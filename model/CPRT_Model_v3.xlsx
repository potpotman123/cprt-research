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0240" windowHeight="17760" tabRatio="500" firstSheet="0" activeTab="7" autoFilterDateGrouping="1"/>
  </bookViews>
  <sheets>
    <sheet xmlns:r="http://schemas.openxmlformats.org/officeDocument/2006/relationships" name="Cover" sheetId="1" state="visible" r:id="rId1"/>
    <sheet xmlns:r="http://schemas.openxmlformats.org/officeDocument/2006/relationships" name="Key Drivers" sheetId="2" state="visible" r:id="rId2"/>
    <sheet xmlns:r="http://schemas.openxmlformats.org/officeDocument/2006/relationships" name="Summary" sheetId="3" state="visible" r:id="rId3"/>
    <sheet xmlns:r="http://schemas.openxmlformats.org/officeDocument/2006/relationships" name="MODEL --------&gt;" sheetId="4" state="visible" r:id="rId4"/>
    <sheet xmlns:r="http://schemas.openxmlformats.org/officeDocument/2006/relationships" name="RPM" sheetId="5" state="visible" r:id="rId5"/>
    <sheet xmlns:r="http://schemas.openxmlformats.org/officeDocument/2006/relationships" name="3SM" sheetId="6" state="visible" r:id="rId6"/>
    <sheet xmlns:r="http://schemas.openxmlformats.org/officeDocument/2006/relationships" name="DCF" sheetId="7" state="visible" r:id="rId7"/>
    <sheet xmlns:r="http://schemas.openxmlformats.org/officeDocument/2006/relationships" name="WACC, Tax, and Reverse DCF" sheetId="8" state="visible" r:id="rId8"/>
    <sheet xmlns:r="http://schemas.openxmlformats.org/officeDocument/2006/relationships" name="RPM ENGINES -----&gt;" sheetId="9" state="visible" r:id="rId9"/>
    <sheet xmlns:r="http://schemas.openxmlformats.org/officeDocument/2006/relationships" name="E1 Fleet" sheetId="10" state="visible" r:id="rId10"/>
    <sheet xmlns:r="http://schemas.openxmlformats.org/officeDocument/2006/relationships" name="E1a Fleet (roll)" sheetId="11" state="visible" r:id="rId11"/>
    <sheet xmlns:r="http://schemas.openxmlformats.org/officeDocument/2006/relationships" name="E2 Claims &amp; Totals" sheetId="12" state="visible" r:id="rId12"/>
    <sheet xmlns:r="http://schemas.openxmlformats.org/officeDocument/2006/relationships" name="E3 Carriers" sheetId="13" state="visible" r:id="rId13"/>
    <sheet xmlns:r="http://schemas.openxmlformats.org/officeDocument/2006/relationships" name="E4 Aftermarket" sheetId="14" state="visible" r:id="rId14"/>
    <sheet xmlns:r="http://schemas.openxmlformats.org/officeDocument/2006/relationships" name="E5 Prices &amp; Fees" sheetId="15" state="visible" r:id="rId15"/>
    <sheet xmlns:r="http://schemas.openxmlformats.org/officeDocument/2006/relationships" name="E6 Other Branches" sheetId="16" state="visible" r:id="rId16"/>
    <sheet xmlns:r="http://schemas.openxmlformats.org/officeDocument/2006/relationships" name="Sheet1" sheetId="17" state="visible" r:id="rId17"/>
    <sheet xmlns:r="http://schemas.openxmlformats.org/officeDocument/2006/relationships" name="Scenarios" sheetId="18" state="visible" r:id="rId18"/>
    <sheet xmlns:r="http://schemas.openxmlformats.org/officeDocument/2006/relationships" name="Street" sheetId="19" state="visible" r:id="rId19"/>
    <sheet xmlns:r="http://schemas.openxmlformats.org/officeDocument/2006/relationships" name="Sources" sheetId="20" state="visible" r:id="rId20"/>
    <sheet xmlns:r="http://schemas.openxmlformats.org/officeDocument/2006/relationships" name="Checks" sheetId="21" state="visible" r:id="rId21"/>
    <sheet xmlns:r="http://schemas.openxmlformats.org/officeDocument/2006/relationships" name="DATA -----&gt;" sheetId="22" state="visible" r:id="rId22"/>
    <sheet xmlns:r="http://schemas.openxmlformats.org/officeDocument/2006/relationships" name="D Reported" sheetId="23" state="visible" r:id="rId23"/>
    <sheet xmlns:r="http://schemas.openxmlformats.org/officeDocument/2006/relationships" name="D Facts" sheetId="24" state="visible" r:id="rId24"/>
    <sheet xmlns:r="http://schemas.openxmlformats.org/officeDocument/2006/relationships" name="D Barclays" sheetId="25" state="visible" r:id="rId25"/>
    <sheet xmlns:r="http://schemas.openxmlformats.org/officeDocument/2006/relationships" name="D 10-K FY26" sheetId="26" state="visible" r:id="rId26"/>
    <sheet xmlns:r="http://schemas.openxmlformats.org/officeDocument/2006/relationships" name="D Coverage" sheetId="27" state="visible" r:id="rId27"/>
    <sheet xmlns:r="http://schemas.openxmlformats.org/officeDocument/2006/relationships" name="D CCC" sheetId="28" state="visible" r:id="rId28"/>
    <sheet xmlns:r="http://schemas.openxmlformats.org/officeDocument/2006/relationships" name="D Fleet" sheetId="29" state="visible" r:id="rId29"/>
    <sheet xmlns:r="http://schemas.openxmlformats.org/officeDocument/2006/relationships" name="D Fees" sheetId="30" state="visible" r:id="rId30"/>
    <sheet xmlns:r="http://schemas.openxmlformats.org/officeDocument/2006/relationships" name="D Carriers" sheetId="31" state="visible" r:id="rId31"/>
    <sheet xmlns:r="http://schemas.openxmlformats.org/officeDocument/2006/relationships" name="D Engine" sheetId="32" state="visible" r:id="rId32"/>
    <sheet xmlns:r="http://schemas.openxmlformats.org/officeDocument/2006/relationships" name="Volume Build" sheetId="33" state="hidden" r:id="rId33"/>
    <sheet xmlns:r="http://schemas.openxmlformats.org/officeDocument/2006/relationships" name="RPU Build" sheetId="34" state="hidden" r:id="rId34"/>
    <sheet xmlns:r="http://schemas.openxmlformats.org/officeDocument/2006/relationships" name="PB IS (Annual)" sheetId="35" state="hidden" r:id="rId35"/>
    <sheet xmlns:r="http://schemas.openxmlformats.org/officeDocument/2006/relationships" name="PB BS (Annual)" sheetId="36" state="hidden" r:id="rId36"/>
    <sheet xmlns:r="http://schemas.openxmlformats.org/officeDocument/2006/relationships" name="PB CF (Annual)" sheetId="37" state="hidden" r:id="rId37"/>
    <sheet xmlns:r="http://schemas.openxmlformats.org/officeDocument/2006/relationships" name="PB IS (Qtr)" sheetId="38" state="hidden" r:id="rId38"/>
    <sheet xmlns:r="http://schemas.openxmlformats.org/officeDocument/2006/relationships" name="PB BS (Qtr)" sheetId="39" state="hidden" r:id="rId39"/>
    <sheet xmlns:r="http://schemas.openxmlformats.org/officeDocument/2006/relationships" name="PB CF (Qtr)" sheetId="40" state="hidden" r:id="rId40"/>
  </sheets>
  <definedNames/>
  <calcPr calcId="191029" fullCalcOnLoad="1" iterateDelta="0.0001"/>
</workbook>
</file>

<file path=xl/styles.xml><?xml version="1.0" encoding="utf-8"?>
<styleSheet xmlns="http://schemas.openxmlformats.org/spreadsheetml/2006/main">
  <numFmts count="17">
    <numFmt numFmtId="164" formatCode="_(\$* #,##0.0_);_(\$* \(#,##0.0\);_(\$* \-?_);_(@_)"/>
    <numFmt numFmtId="165" formatCode="0.0%_);\(0.0%\);\-_)"/>
    <numFmt numFmtId="166" formatCode="#,##0.0_);\(#,##0.0\);\-_)"/>
    <numFmt numFmtId="167" formatCode="#,##0_);\(#,##0\);\-_)"/>
    <numFmt numFmtId="168" formatCode="_(\$* #,##0_);_(\$* \(#,##0\);_(\$* \-_);_(@_)"/>
    <numFmt numFmtId="169" formatCode="\$#,##0.00_);[Red]&quot;($&quot;#,##0.00\)"/>
    <numFmt numFmtId="170" formatCode="0.000"/>
    <numFmt numFmtId="171" formatCode="0.0\x"/>
    <numFmt numFmtId="172" formatCode="#,##0;[Red]\(#,##0\)"/>
    <numFmt numFmtId="173" formatCode="#,##0.00;[Red]\(#,##0.00\)"/>
    <numFmt numFmtId="174" formatCode="#,##0.00%;[Red]\-#,##0.00%"/>
    <numFmt numFmtId="175" formatCode="&quot;$&quot;#,##0_);\(&quot;$&quot;#,##0\);\-_).00"/>
    <numFmt numFmtId="176" formatCode="0.0"/>
    <numFmt numFmtId="177" formatCode="0.00%_);\(0.00%\);\-_)"/>
    <numFmt numFmtId="178" formatCode="&quot;$&quot;#,##0_);\(&quot;$&quot;#,##0\);\-_)0"/>
    <numFmt numFmtId="179" formatCode="&quot;$&quot;#,##0_);\(&quot;$&quot;#,##0\);\-_)"/>
    <numFmt numFmtId="180" formatCode="0.0000"/>
  </numFmts>
  <fonts count="82">
    <font>
      <name val="Calibri"/>
      <charset val="1"/>
      <family val="2"/>
      <color theme="1"/>
      <sz val="11"/>
    </font>
    <font>
      <name val="Garamond"/>
      <charset val="1"/>
      <family val="1"/>
      <b val="1"/>
      <color rgb="FFFFFFFF"/>
      <sz val="13"/>
    </font>
    <font>
      <name val="Garamond"/>
      <charset val="1"/>
      <family val="1"/>
      <color rgb="FF000000"/>
      <sz val="11"/>
    </font>
    <font>
      <name val="Garamond"/>
      <charset val="1"/>
      <family val="1"/>
      <i val="1"/>
      <color rgb="FF595959"/>
      <sz val="10"/>
    </font>
    <font>
      <name val="Garamond"/>
      <charset val="1"/>
      <family val="1"/>
      <i val="1"/>
      <color rgb="FF000000"/>
      <sz val="11"/>
    </font>
    <font>
      <name val="Garamond"/>
      <charset val="1"/>
      <family val="1"/>
      <b val="1"/>
      <color rgb="FF000000"/>
      <sz val="11"/>
    </font>
    <font>
      <name val="Garamond"/>
      <charset val="1"/>
      <family val="1"/>
      <b val="1"/>
      <color rgb="FFFFFFFF"/>
      <sz val="11"/>
    </font>
    <font>
      <name val="Garamond"/>
      <charset val="1"/>
      <family val="1"/>
      <b val="1"/>
      <color rgb="FF000000"/>
      <sz val="10"/>
    </font>
    <font>
      <name val="Garamond"/>
      <charset val="1"/>
      <family val="1"/>
      <i val="1"/>
      <color rgb="FF000000"/>
      <sz val="10"/>
    </font>
    <font>
      <name val="Garamond"/>
      <charset val="1"/>
      <family val="1"/>
      <b val="1"/>
      <color rgb="FF008000"/>
      <sz val="11"/>
    </font>
    <font>
      <name val="Garamond"/>
      <charset val="1"/>
      <family val="1"/>
      <i val="1"/>
      <color rgb="FF595959"/>
      <sz val="11"/>
    </font>
    <font>
      <name val="Garamond"/>
      <charset val="1"/>
      <family val="1"/>
      <color rgb="FF0000FF"/>
      <sz val="11"/>
    </font>
    <font>
      <name val="Garamond"/>
      <charset val="1"/>
      <family val="1"/>
      <b val="1"/>
      <color rgb="FF000000"/>
      <sz val="11"/>
      <u val="single"/>
    </font>
    <font>
      <name val="Garamond"/>
      <charset val="1"/>
      <family val="1"/>
      <i val="1"/>
      <color rgb="FF0000FF"/>
      <sz val="11"/>
    </font>
    <font>
      <name val="Garamond"/>
      <charset val="1"/>
      <family val="1"/>
      <i val="1"/>
      <color rgb="FF008000"/>
      <sz val="11"/>
    </font>
    <font>
      <name val="Garamond"/>
      <charset val="1"/>
      <family val="1"/>
      <color rgb="FF595959"/>
      <sz val="10"/>
    </font>
    <font>
      <name val="Garamond"/>
      <family val="1"/>
      <b val="1"/>
      <color rgb="FFFFFFFF"/>
      <sz val="13"/>
    </font>
    <font>
      <name val="Garamond"/>
      <family val="1"/>
      <color rgb="FF000000"/>
      <sz val="11"/>
    </font>
    <font>
      <name val="Garamond"/>
      <family val="1"/>
      <i val="1"/>
      <color rgb="FF595959"/>
      <sz val="10"/>
    </font>
    <font>
      <name val="Garamond"/>
      <family val="1"/>
      <i val="1"/>
      <color rgb="FF000000"/>
      <sz val="11"/>
    </font>
    <font>
      <name val="Garamond"/>
      <family val="1"/>
      <b val="1"/>
      <color rgb="FF000000"/>
      <sz val="11"/>
    </font>
    <font>
      <name val="Garamond"/>
      <family val="1"/>
      <b val="1"/>
      <color rgb="FFFFFFFF"/>
      <sz val="11"/>
    </font>
    <font>
      <name val="Garamond"/>
      <family val="1"/>
      <b val="1"/>
      <color rgb="FF000000"/>
      <sz val="10"/>
    </font>
    <font>
      <name val="Garamond"/>
      <family val="1"/>
      <i val="1"/>
      <color rgb="FF000000"/>
      <sz val="10"/>
    </font>
    <font>
      <name val="Garamond"/>
      <family val="1"/>
      <b val="1"/>
      <color rgb="FF008000"/>
      <sz val="11"/>
    </font>
    <font>
      <name val="Garamond"/>
      <family val="1"/>
      <i val="1"/>
      <color rgb="FF595959"/>
      <sz val="11"/>
    </font>
    <font>
      <name val="Garamond"/>
      <family val="1"/>
      <i val="1"/>
      <color rgb="FF008000"/>
      <sz val="11"/>
    </font>
    <font>
      <name val="Garamond"/>
      <family val="1"/>
      <color rgb="FF0000FF"/>
      <sz val="11"/>
    </font>
    <font>
      <name val="Garamond"/>
      <family val="1"/>
      <i val="1"/>
      <color rgb="FF0000FF"/>
      <sz val="11"/>
    </font>
    <font>
      <name val="Garamond"/>
      <family val="1"/>
      <color rgb="FF008000"/>
      <sz val="11"/>
    </font>
    <font>
      <name val="Garamond"/>
      <family val="1"/>
      <b val="1"/>
      <color rgb="FF0000FF"/>
      <sz val="11"/>
    </font>
    <font>
      <name val="Garamond"/>
      <family val="1"/>
      <color rgb="FF000000"/>
      <sz val="10"/>
    </font>
    <font>
      <name val="Garamond"/>
      <family val="1"/>
      <color rgb="FF595959"/>
      <sz val="10"/>
    </font>
    <font>
      <name val="Open Sans"/>
      <charset val="1"/>
      <family val="2"/>
      <b val="1"/>
      <i val="1"/>
      <color rgb="FF000000"/>
      <sz val="14"/>
    </font>
    <font>
      <name val="Open Sans"/>
      <charset val="1"/>
      <family val="2"/>
      <color rgb="FF000000"/>
      <sz val="8"/>
    </font>
    <font>
      <name val="Open Sans"/>
      <charset val="1"/>
      <family val="2"/>
      <b val="1"/>
      <color rgb="FF000000"/>
      <sz val="16"/>
    </font>
    <font>
      <name val="Open Sans"/>
      <charset val="1"/>
      <family val="2"/>
      <b val="1"/>
      <color rgb="FF000000"/>
      <sz val="10"/>
    </font>
    <font>
      <name val="Open Sans"/>
      <charset val="1"/>
      <family val="2"/>
      <b val="1"/>
      <color rgb="FF000000"/>
      <sz val="8"/>
    </font>
    <font>
      <name val="Open Sans"/>
      <charset val="1"/>
      <family val="2"/>
      <color rgb="FF26649E"/>
      <sz val="8"/>
    </font>
    <font>
      <name val="Calibri"/>
      <charset val="1"/>
      <family val="2"/>
      <b val="1"/>
      <color theme="1"/>
      <sz val="11"/>
    </font>
    <font>
      <name val="Garamond"/>
      <family val="1"/>
      <i val="1"/>
      <color rgb="FF000000"/>
      <sz val="11"/>
    </font>
    <font>
      <name val="Garamond"/>
      <family val="1"/>
      <color rgb="FF000000"/>
      <sz val="11"/>
    </font>
    <font>
      <name val="Garamond"/>
      <family val="1"/>
      <b val="1"/>
      <color rgb="FF000000"/>
      <sz val="11"/>
    </font>
    <font>
      <name val="Garamond"/>
      <family val="1"/>
      <b val="1"/>
      <color rgb="FFFFFFFF"/>
      <sz val="11"/>
    </font>
    <font>
      <name val="Garamond"/>
      <family val="1"/>
      <i val="1"/>
      <color rgb="FF595959"/>
      <sz val="11"/>
    </font>
    <font>
      <name val="Garamond"/>
      <family val="1"/>
      <i val="1"/>
      <color rgb="FF595959"/>
      <sz val="10"/>
    </font>
    <font>
      <name val="Garamond"/>
      <family val="1"/>
      <i val="1"/>
      <color rgb="FF595959"/>
      <sz val="10"/>
    </font>
    <font>
      <name val="Garamond"/>
      <family val="1"/>
      <b val="1"/>
      <color rgb="FF0F0EFD"/>
      <sz val="11"/>
    </font>
    <font>
      <name val="Garamond"/>
      <family val="1"/>
      <color theme="0"/>
      <sz val="11"/>
    </font>
    <font>
      <name val="Garamond"/>
      <family val="1"/>
      <b val="1"/>
      <color theme="0"/>
      <sz val="10"/>
    </font>
    <font>
      <name val="Garamond"/>
      <family val="1"/>
      <color rgb="FF0F0EFD"/>
      <sz val="11"/>
    </font>
    <font>
      <name val="Garamond"/>
      <family val="1"/>
      <b val="1"/>
      <color theme="0"/>
      <sz val="11"/>
    </font>
    <font>
      <name val="Garamond"/>
      <charset val="1"/>
      <family val="1"/>
      <color theme="0"/>
      <sz val="11"/>
    </font>
    <font>
      <name val="Garamond"/>
      <family val="1"/>
      <b val="1"/>
      <color rgb="FFFFFFFF"/>
      <sz val="13"/>
    </font>
    <font>
      <name val="Garamond"/>
      <family val="1"/>
      <i val="1"/>
      <color rgb="FF595959"/>
      <sz val="10"/>
    </font>
    <font>
      <name val="Garamond"/>
      <family val="1"/>
      <b val="1"/>
      <color rgb="FF000000"/>
      <sz val="11"/>
    </font>
    <font>
      <name val="Garamond"/>
      <family val="1"/>
      <color rgb="FF000000"/>
      <sz val="11"/>
    </font>
    <font>
      <name val="Garamond"/>
      <family val="1"/>
      <color rgb="FF0000FF"/>
      <sz val="11"/>
    </font>
    <font>
      <name val="Garamond"/>
      <family val="1"/>
      <i val="1"/>
      <color rgb="FF000000"/>
      <sz val="11"/>
    </font>
    <font>
      <name val="Garamond"/>
      <family val="1"/>
      <b val="1"/>
      <color rgb="FFFFFFFF"/>
      <sz val="11"/>
    </font>
    <font>
      <name val="Garamond"/>
      <family val="1"/>
      <color rgb="FF008000"/>
      <sz val="11"/>
    </font>
    <font>
      <name val="Garamond"/>
      <family val="1"/>
      <color rgb="FFFF0000"/>
      <sz val="11"/>
    </font>
    <font>
      <name val="Garamond"/>
      <family val="1"/>
      <b val="1"/>
      <color rgb="FF0000FF"/>
      <sz val="11"/>
    </font>
    <font>
      <name val="Garamond"/>
      <family val="1"/>
      <b val="1"/>
      <color rgb="FFFF0000"/>
      <sz val="11"/>
    </font>
    <font>
      <name val="Garamond"/>
      <family val="1"/>
      <b val="1"/>
      <color rgb="FF008000"/>
      <sz val="11"/>
    </font>
    <font>
      <name val="Garamond"/>
      <family val="1"/>
      <color rgb="FF000000"/>
      <sz val="9"/>
    </font>
    <font>
      <name val="Garamond"/>
      <family val="1"/>
      <b val="1"/>
      <color rgb="FF0E2841"/>
      <sz val="18"/>
      <u val="single"/>
    </font>
    <font>
      <name val="Garamond"/>
      <family val="1"/>
      <i val="1"/>
      <color rgb="FF595959"/>
      <sz val="12"/>
    </font>
    <font>
      <name val="Garamond"/>
      <family val="1"/>
      <b val="1"/>
      <color rgb="FF0E2841"/>
      <sz val="13"/>
    </font>
    <font>
      <name val="Garamond"/>
      <family val="1"/>
      <b val="1"/>
      <color rgb="FF000000"/>
      <sz val="14"/>
    </font>
    <font>
      <name val="Garamond"/>
      <family val="1"/>
      <i val="1"/>
      <color rgb="FF008000"/>
      <sz val="11"/>
    </font>
    <font>
      <name val="Calibri"/>
      <family val="2"/>
      <color rgb="FF000000"/>
      <sz val="11"/>
    </font>
    <font>
      <name val="Calibri"/>
      <family val="2"/>
      <color rgb="FF008000"/>
      <sz val="11"/>
    </font>
    <font>
      <name val="Garamond"/>
      <family val="1"/>
      <b val="1"/>
      <color theme="1"/>
      <sz val="11"/>
    </font>
    <font>
      <name val="Garamond"/>
      <color rgb="00000000"/>
      <sz val="11"/>
    </font>
    <font>
      <name val="Garamond"/>
      <color rgb="00008000"/>
      <sz val="11"/>
    </font>
    <font>
      <name val="Garamond"/>
      <b val="1"/>
      <color rgb="00000000"/>
      <sz val="11"/>
    </font>
    <font>
      <name val="Garamond"/>
      <i val="1"/>
      <color rgb="00595959"/>
      <sz val="10"/>
    </font>
    <font>
      <name val="Garamond"/>
      <b val="1"/>
      <color rgb="00FF0000"/>
      <sz val="11"/>
    </font>
    <font>
      <name val="Garamond"/>
      <color rgb="000000FF"/>
      <sz val="11"/>
    </font>
    <font>
      <name val="Garamond"/>
      <b val="1"/>
      <color rgb="00008000"/>
      <sz val="11"/>
    </font>
    <font>
      <name val="Garamond"/>
      <b val="1"/>
      <color rgb="000000FF"/>
      <sz val="11"/>
    </font>
  </fonts>
  <fills count="17">
    <fill>
      <patternFill/>
    </fill>
    <fill>
      <patternFill patternType="gray125"/>
    </fill>
    <fill>
      <patternFill patternType="solid">
        <fgColor rgb="FF0E2841"/>
        <bgColor rgb="FF333333"/>
      </patternFill>
    </fill>
    <fill>
      <patternFill patternType="solid">
        <fgColor rgb="FF215E99"/>
        <bgColor rgb="FF26649E"/>
      </patternFill>
    </fill>
    <fill>
      <patternFill patternType="solid">
        <fgColor rgb="FFFFF2CC"/>
        <bgColor rgb="FFF8F5EF"/>
      </patternFill>
    </fill>
    <fill>
      <patternFill patternType="solid">
        <fgColor rgb="FFE2EFDA"/>
        <bgColor rgb="FFF8F5EF"/>
      </patternFill>
    </fill>
    <fill>
      <patternFill patternType="solid">
        <fgColor rgb="FFFFFF00"/>
        <bgColor rgb="FFFFFF00"/>
      </patternFill>
    </fill>
    <fill>
      <patternFill patternType="solid">
        <fgColor rgb="FFD8D8D8"/>
        <bgColor rgb="FFE2EFDA"/>
      </patternFill>
    </fill>
    <fill>
      <patternFill patternType="solid">
        <fgColor rgb="FFF8F5EF"/>
        <bgColor rgb="FFFFFFFF"/>
      </patternFill>
    </fill>
    <fill>
      <patternFill patternType="solid">
        <fgColor rgb="FF205E9A"/>
        <bgColor rgb="FF26649E"/>
      </patternFill>
    </fill>
    <fill>
      <patternFill patternType="solid">
        <fgColor rgb="FF205E9A"/>
        <bgColor indexed="64"/>
      </patternFill>
    </fill>
    <fill>
      <patternFill patternType="solid">
        <fgColor rgb="FF205E99"/>
        <bgColor indexed="64"/>
      </patternFill>
    </fill>
    <fill>
      <patternFill patternType="solid">
        <fgColor rgb="FF0E2841"/>
      </patternFill>
    </fill>
    <fill>
      <patternFill patternType="solid">
        <fgColor rgb="FFF2F2F2"/>
      </patternFill>
    </fill>
    <fill>
      <patternFill patternType="solid">
        <fgColor rgb="FF215E99"/>
      </patternFill>
    </fill>
    <fill>
      <patternFill patternType="solid">
        <fgColor rgb="FFD0D0D0"/>
      </patternFill>
    </fill>
    <fill>
      <patternFill patternType="solid">
        <fgColor rgb="FF205E99"/>
        <bgColor rgb="FF26649E"/>
      </patternFill>
    </fill>
  </fills>
  <borders count="27">
    <border>
      <left/>
      <right/>
      <top/>
      <bottom/>
      <diagonal/>
    </border>
    <border>
      <left/>
      <right/>
      <top/>
      <bottom style="thin">
        <color auto="1"/>
      </bottom>
      <diagonal/>
    </border>
    <border>
      <left style="thin">
        <color auto="1"/>
      </left>
      <right/>
      <top style="thin">
        <color auto="1"/>
      </top>
      <bottom style="thin">
        <color auto="1"/>
      </bottom>
      <diagonal/>
    </border>
    <border>
      <left style="dotted">
        <color rgb="FF595959"/>
      </left>
      <right/>
      <top style="thin">
        <color auto="1"/>
      </top>
      <bottom style="thin">
        <color auto="1"/>
      </bottom>
      <diagonal/>
    </border>
    <border>
      <left style="thin">
        <color auto="1"/>
      </left>
      <right/>
      <top/>
      <bottom style="thin">
        <color auto="1"/>
      </bottom>
      <diagonal/>
    </border>
    <border>
      <left style="dotted">
        <color rgb="FF595959"/>
      </left>
      <right/>
      <top/>
      <bottom style="thin">
        <color auto="1"/>
      </bottom>
      <diagonal/>
    </border>
    <border>
      <left style="thin">
        <color auto="1"/>
      </left>
      <right/>
      <top/>
      <bottom/>
      <diagonal/>
    </border>
    <border>
      <left style="dotted">
        <color rgb="FF595959"/>
      </left>
      <right/>
      <top/>
      <bottom/>
      <diagonal/>
    </border>
    <border>
      <left/>
      <right/>
      <top style="thin">
        <color auto="1"/>
      </top>
      <bottom/>
      <diagonal/>
    </border>
    <border>
      <left style="thin">
        <color auto="1"/>
      </left>
      <right/>
      <top style="thin">
        <color auto="1"/>
      </top>
      <bottom/>
      <diagonal/>
    </border>
    <border>
      <left style="dotted">
        <color rgb="FF595959"/>
      </left>
      <right/>
      <top style="thin">
        <color auto="1"/>
      </top>
      <bottom/>
      <diagonal/>
    </border>
    <border>
      <left/>
      <right/>
      <top style="thin">
        <color auto="1"/>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right/>
      <top style="thin">
        <color auto="1"/>
      </top>
      <bottom/>
      <diagonal/>
    </border>
    <border>
      <left/>
      <right/>
      <top style="thin">
        <color auto="1"/>
      </top>
      <bottom style="thin">
        <color auto="1"/>
      </bottom>
      <diagonal/>
    </border>
    <border>
      <left/>
      <right/>
      <top/>
      <bottom style="thin">
        <color auto="1"/>
      </bottom>
      <diagonal/>
    </border>
    <border>
      <left/>
      <right style="dotted">
        <color indexed="64"/>
      </right>
      <top/>
      <bottom/>
      <diagonal/>
    </border>
    <border>
      <left/>
      <right style="dotted">
        <color indexed="64"/>
      </right>
      <top style="thin">
        <color auto="1"/>
      </top>
      <bottom/>
      <diagonal/>
    </border>
    <border>
      <left/>
      <right style="dotted">
        <color indexed="64"/>
      </right>
      <top/>
      <bottom style="thin">
        <color auto="1"/>
      </bottom>
      <diagonal/>
    </border>
    <border>
      <left/>
      <right style="dotted">
        <color indexed="64"/>
      </right>
      <top style="thin">
        <color auto="1"/>
      </top>
      <bottom style="thin">
        <color auto="1"/>
      </bottom>
      <diagonal/>
    </border>
    <border>
      <left/>
      <right style="thin">
        <color indexed="64"/>
      </right>
      <top style="thin">
        <color indexed="64"/>
      </top>
      <bottom style="thin">
        <color indexed="64"/>
      </bottom>
      <diagonal/>
    </border>
    <border>
      <left/>
      <right/>
      <top/>
      <bottom style="thin">
        <color auto="1"/>
      </bottom>
      <diagonal/>
    </border>
    <border>
      <left/>
      <right/>
      <top style="thin">
        <color auto="1"/>
      </top>
      <bottom/>
      <diagonal/>
    </border>
    <border>
      <left/>
      <right/>
      <top style="thin">
        <color auto="1"/>
      </top>
      <bottom style="thin">
        <color auto="1"/>
      </bottom>
      <diagonal/>
    </border>
    <border>
      <left/>
      <right/>
      <top/>
      <bottom style="thin">
        <color auto="1"/>
      </bottom>
      <diagonal/>
    </border>
  </borders>
  <cellStyleXfs count="1">
    <xf numFmtId="0" fontId="0" fillId="0" borderId="0"/>
  </cellStyleXfs>
  <cellXfs count="477">
    <xf numFmtId="0" fontId="0" fillId="0" borderId="0" pivotButton="0" quotePrefix="0" xfId="0"/>
    <xf numFmtId="0" fontId="20" fillId="0" borderId="3" applyAlignment="1" pivotButton="0" quotePrefix="0" xfId="0">
      <alignment horizontal="center" vertical="center"/>
    </xf>
    <xf numFmtId="0" fontId="1" fillId="2" borderId="0" pivotButton="0" quotePrefix="0" xfId="0"/>
    <xf numFmtId="0" fontId="2" fillId="2" borderId="0" pivotButton="0" quotePrefix="0" xfId="0"/>
    <xf numFmtId="0" fontId="3" fillId="0" borderId="0" pivotButton="0" quotePrefix="0" xfId="0"/>
    <xf numFmtId="0" fontId="2" fillId="0" borderId="1" pivotButton="0" quotePrefix="0" xfId="0"/>
    <xf numFmtId="0" fontId="4" fillId="0" borderId="1" applyAlignment="1" pivotButton="0" quotePrefix="0" xfId="0">
      <alignment horizontal="center" vertical="center"/>
    </xf>
    <xf numFmtId="0" fontId="6" fillId="3" borderId="1" pivotButton="0" quotePrefix="0" xfId="0"/>
    <xf numFmtId="0" fontId="2" fillId="3" borderId="1" pivotButton="0" quotePrefix="0" xfId="0"/>
    <xf numFmtId="0" fontId="2" fillId="3" borderId="4" applyAlignment="1" pivotButton="0" quotePrefix="0" xfId="0">
      <alignment horizontal="right" vertical="center"/>
    </xf>
    <xf numFmtId="0" fontId="2" fillId="3" borderId="1" applyAlignment="1" pivotButton="0" quotePrefix="0" xfId="0">
      <alignment horizontal="right" vertical="center"/>
    </xf>
    <xf numFmtId="0" fontId="2" fillId="3" borderId="5" applyAlignment="1" pivotButton="0" quotePrefix="0" xfId="0">
      <alignment horizontal="right" vertical="center"/>
    </xf>
    <xf numFmtId="0" fontId="7" fillId="0" borderId="1" applyAlignment="1" pivotButton="0" quotePrefix="0" xfId="0">
      <alignment horizontal="right" vertical="center"/>
    </xf>
    <xf numFmtId="0" fontId="5" fillId="0" borderId="1" pivotButton="0" quotePrefix="0" xfId="0"/>
    <xf numFmtId="0" fontId="8" fillId="0" borderId="1" applyAlignment="1" pivotButton="0" quotePrefix="0" xfId="0">
      <alignment horizontal="center" vertical="center"/>
    </xf>
    <xf numFmtId="164" fontId="9" fillId="0" borderId="4" applyAlignment="1" pivotButton="0" quotePrefix="0" xfId="0">
      <alignment horizontal="right" vertical="center"/>
    </xf>
    <xf numFmtId="164" fontId="9" fillId="0" borderId="1" applyAlignment="1" pivotButton="0" quotePrefix="0" xfId="0">
      <alignment horizontal="right" vertical="center"/>
    </xf>
    <xf numFmtId="164" fontId="5" fillId="0" borderId="5" applyAlignment="1" pivotButton="0" quotePrefix="0" xfId="0">
      <alignment horizontal="right" vertical="center"/>
    </xf>
    <xf numFmtId="164" fontId="5" fillId="0" borderId="1" applyAlignment="1" pivotButton="0" quotePrefix="0" xfId="0">
      <alignment horizontal="right" vertical="center"/>
    </xf>
    <xf numFmtId="165" fontId="4" fillId="0" borderId="0" applyAlignment="1" pivotButton="0" quotePrefix="0" xfId="0">
      <alignment horizontal="right" vertical="center"/>
    </xf>
    <xf numFmtId="0" fontId="10" fillId="0" borderId="0" pivotButton="0" quotePrefix="0" xfId="0"/>
    <xf numFmtId="0" fontId="8" fillId="0" borderId="0" applyAlignment="1" pivotButton="0" quotePrefix="0" xfId="0">
      <alignment horizontal="center" vertical="center"/>
    </xf>
    <xf numFmtId="0" fontId="10" fillId="0" borderId="6" applyAlignment="1" pivotButton="0" quotePrefix="0" xfId="0">
      <alignment horizontal="right" vertical="center"/>
    </xf>
    <xf numFmtId="165" fontId="10" fillId="0" borderId="0" applyAlignment="1" pivotButton="0" quotePrefix="0" xfId="0">
      <alignment horizontal="right" vertical="center"/>
    </xf>
    <xf numFmtId="0" fontId="6" fillId="3" borderId="0" pivotButton="0" quotePrefix="0" xfId="0"/>
    <xf numFmtId="0" fontId="2" fillId="3" borderId="0" pivotButton="0" quotePrefix="0" xfId="0"/>
    <xf numFmtId="0" fontId="2" fillId="0" borderId="0" pivotButton="0" quotePrefix="0" xfId="0"/>
    <xf numFmtId="164" fontId="11" fillId="0" borderId="6" applyAlignment="1" pivotButton="0" quotePrefix="0" xfId="0">
      <alignment horizontal="right" vertical="center"/>
    </xf>
    <xf numFmtId="164" fontId="11" fillId="0" borderId="0" applyAlignment="1" pivotButton="0" quotePrefix="0" xfId="0">
      <alignment horizontal="right" vertical="center"/>
    </xf>
    <xf numFmtId="0" fontId="4" fillId="0" borderId="0" pivotButton="0" quotePrefix="0" xfId="0"/>
    <xf numFmtId="166" fontId="10" fillId="0" borderId="6" applyAlignment="1" pivotButton="0" quotePrefix="0" xfId="0">
      <alignment horizontal="right" vertical="center"/>
    </xf>
    <xf numFmtId="166" fontId="10" fillId="0" borderId="0" applyAlignment="1" pivotButton="0" quotePrefix="0" xfId="0">
      <alignment horizontal="right" vertical="center"/>
    </xf>
    <xf numFmtId="0" fontId="2" fillId="0" borderId="7" pivotButton="0" quotePrefix="0" xfId="0"/>
    <xf numFmtId="167" fontId="11" fillId="4" borderId="0" applyAlignment="1" pivotButton="0" quotePrefix="0" xfId="0">
      <alignment horizontal="right" vertical="center"/>
    </xf>
    <xf numFmtId="165" fontId="11" fillId="4" borderId="0" applyAlignment="1" pivotButton="0" quotePrefix="0" xfId="0">
      <alignment horizontal="right" vertical="center"/>
    </xf>
    <xf numFmtId="165" fontId="2" fillId="0" borderId="0" applyAlignment="1" pivotButton="0" quotePrefix="0" xfId="0">
      <alignment horizontal="right" vertical="center"/>
    </xf>
    <xf numFmtId="0" fontId="12" fillId="0" borderId="0" pivotButton="0" quotePrefix="0" xfId="0"/>
    <xf numFmtId="0" fontId="2" fillId="0" borderId="6" pivotButton="0" quotePrefix="0" xfId="0"/>
    <xf numFmtId="165" fontId="13" fillId="0" borderId="0" applyAlignment="1" pivotButton="0" quotePrefix="0" xfId="0">
      <alignment horizontal="right" vertical="center"/>
    </xf>
    <xf numFmtId="165" fontId="14" fillId="0" borderId="7" applyAlignment="1" pivotButton="0" quotePrefix="0" xfId="0">
      <alignment horizontal="right" vertical="center"/>
    </xf>
    <xf numFmtId="165" fontId="14" fillId="0" borderId="0" applyAlignment="1" pivotButton="0" quotePrefix="0" xfId="0">
      <alignment horizontal="right" vertical="center"/>
    </xf>
    <xf numFmtId="167" fontId="2" fillId="0" borderId="0" applyAlignment="1" pivotButton="0" quotePrefix="0" xfId="0">
      <alignment horizontal="right" vertical="center"/>
    </xf>
    <xf numFmtId="167" fontId="2" fillId="0" borderId="7" applyAlignment="1" pivotButton="0" quotePrefix="0" xfId="0">
      <alignment horizontal="right" vertical="center"/>
    </xf>
    <xf numFmtId="0" fontId="5" fillId="0" borderId="8" pivotButton="0" quotePrefix="0" xfId="0"/>
    <xf numFmtId="0" fontId="8" fillId="0" borderId="8" applyAlignment="1" pivotButton="0" quotePrefix="0" xfId="0">
      <alignment horizontal="center" vertical="center"/>
    </xf>
    <xf numFmtId="167" fontId="5" fillId="0" borderId="9" applyAlignment="1" pivotButton="0" quotePrefix="0" xfId="0">
      <alignment horizontal="right" vertical="center"/>
    </xf>
    <xf numFmtId="167" fontId="5" fillId="0" borderId="8" applyAlignment="1" pivotButton="0" quotePrefix="0" xfId="0">
      <alignment horizontal="right" vertical="center"/>
    </xf>
    <xf numFmtId="168" fontId="2" fillId="0" borderId="6" applyAlignment="1" pivotButton="0" quotePrefix="0" xfId="0">
      <alignment horizontal="right" vertical="center"/>
    </xf>
    <xf numFmtId="168" fontId="2" fillId="0" borderId="0" applyAlignment="1" pivotButton="0" quotePrefix="0" xfId="0">
      <alignment horizontal="right" vertical="center"/>
    </xf>
    <xf numFmtId="164" fontId="13" fillId="0" borderId="0" applyAlignment="1" pivotButton="0" quotePrefix="0" xfId="0">
      <alignment horizontal="right" vertical="center"/>
    </xf>
    <xf numFmtId="165" fontId="11" fillId="0" borderId="6" applyAlignment="1" pivotButton="0" quotePrefix="0" xfId="0">
      <alignment horizontal="right" vertical="center"/>
    </xf>
    <xf numFmtId="165" fontId="11" fillId="0" borderId="0" applyAlignment="1" pivotButton="0" quotePrefix="0" xfId="0">
      <alignment horizontal="right" vertical="center"/>
    </xf>
    <xf numFmtId="168" fontId="11" fillId="0" borderId="6" applyAlignment="1" pivotButton="0" quotePrefix="0" xfId="0">
      <alignment horizontal="right" vertical="center"/>
    </xf>
    <xf numFmtId="168" fontId="11" fillId="0" borderId="0" applyAlignment="1" pivotButton="0" quotePrefix="0" xfId="0">
      <alignment horizontal="right" vertical="center"/>
    </xf>
    <xf numFmtId="165" fontId="11" fillId="4" borderId="7" applyAlignment="1" pivotButton="0" quotePrefix="0" xfId="0">
      <alignment horizontal="right" vertical="center"/>
    </xf>
    <xf numFmtId="0" fontId="2" fillId="0" borderId="9" pivotButton="0" quotePrefix="0" xfId="0"/>
    <xf numFmtId="0" fontId="2" fillId="0" borderId="8" pivotButton="0" quotePrefix="0" xfId="0"/>
    <xf numFmtId="165" fontId="5" fillId="0" borderId="10" applyAlignment="1" pivotButton="0" quotePrefix="0" xfId="0">
      <alignment horizontal="right" vertical="center"/>
    </xf>
    <xf numFmtId="165" fontId="5" fillId="0" borderId="8" applyAlignment="1" pivotButton="0" quotePrefix="0" xfId="0">
      <alignment horizontal="right" vertical="center"/>
    </xf>
    <xf numFmtId="0" fontId="15" fillId="0" borderId="0" pivotButton="0" quotePrefix="0" xfId="0"/>
    <xf numFmtId="165" fontId="10" fillId="0" borderId="7" applyAlignment="1" pivotButton="0" quotePrefix="0" xfId="0">
      <alignment horizontal="right" vertical="center"/>
    </xf>
    <xf numFmtId="0" fontId="16" fillId="2" borderId="0" pivotButton="0" quotePrefix="0" xfId="0"/>
    <xf numFmtId="0" fontId="17" fillId="2" borderId="0" pivotButton="0" quotePrefix="0" xfId="0"/>
    <xf numFmtId="0" fontId="18" fillId="0" borderId="0" pivotButton="0" quotePrefix="0" xfId="0"/>
    <xf numFmtId="0" fontId="17" fillId="0" borderId="1" pivotButton="0" quotePrefix="0" xfId="0"/>
    <xf numFmtId="0" fontId="19" fillId="0" borderId="1" applyAlignment="1" pivotButton="0" quotePrefix="0" xfId="0">
      <alignment horizontal="center" vertical="center"/>
    </xf>
    <xf numFmtId="0" fontId="21" fillId="3" borderId="1" pivotButton="0" quotePrefix="0" xfId="0"/>
    <xf numFmtId="0" fontId="17" fillId="3" borderId="1" pivotButton="0" quotePrefix="0" xfId="0"/>
    <xf numFmtId="0" fontId="17" fillId="3" borderId="4" applyAlignment="1" pivotButton="0" quotePrefix="0" xfId="0">
      <alignment horizontal="right" vertical="center"/>
    </xf>
    <xf numFmtId="0" fontId="17" fillId="3" borderId="1" applyAlignment="1" pivotButton="0" quotePrefix="0" xfId="0">
      <alignment horizontal="right" vertical="center"/>
    </xf>
    <xf numFmtId="0" fontId="22" fillId="0" borderId="1" applyAlignment="1" pivotButton="0" quotePrefix="0" xfId="0">
      <alignment horizontal="right" vertical="center"/>
    </xf>
    <xf numFmtId="0" fontId="20" fillId="0" borderId="0" pivotButton="0" quotePrefix="0" xfId="0"/>
    <xf numFmtId="0" fontId="23" fillId="0" borderId="0" applyAlignment="1" pivotButton="0" quotePrefix="0" xfId="0">
      <alignment horizontal="center" vertical="center"/>
    </xf>
    <xf numFmtId="164" fontId="24" fillId="0" borderId="6" applyAlignment="1" pivotButton="0" quotePrefix="0" xfId="0">
      <alignment horizontal="right" vertical="center"/>
    </xf>
    <xf numFmtId="164" fontId="24" fillId="0" borderId="0" applyAlignment="1" pivotButton="0" quotePrefix="0" xfId="0">
      <alignment horizontal="right" vertical="center"/>
    </xf>
    <xf numFmtId="164" fontId="24" fillId="0" borderId="7" applyAlignment="1" pivotButton="0" quotePrefix="0" xfId="0">
      <alignment horizontal="right" vertical="center"/>
    </xf>
    <xf numFmtId="165" fontId="19" fillId="0" borderId="0" applyAlignment="1" pivotButton="0" quotePrefix="0" xfId="0">
      <alignment horizontal="right" vertical="center"/>
    </xf>
    <xf numFmtId="0" fontId="25" fillId="0" borderId="0" pivotButton="0" quotePrefix="0" xfId="0"/>
    <xf numFmtId="0" fontId="25" fillId="0" borderId="6" applyAlignment="1" pivotButton="0" quotePrefix="0" xfId="0">
      <alignment horizontal="right" vertical="center"/>
    </xf>
    <xf numFmtId="165" fontId="25" fillId="0" borderId="0" applyAlignment="1" pivotButton="0" quotePrefix="0" xfId="0">
      <alignment horizontal="right" vertical="center"/>
    </xf>
    <xf numFmtId="165" fontId="25" fillId="0" borderId="7" applyAlignment="1" pivotButton="0" quotePrefix="0" xfId="0">
      <alignment horizontal="right" vertical="center"/>
    </xf>
    <xf numFmtId="0" fontId="19" fillId="0" borderId="0" pivotButton="0" quotePrefix="0" xfId="0"/>
    <xf numFmtId="164" fontId="26" fillId="0" borderId="6" applyAlignment="1" pivotButton="0" quotePrefix="0" xfId="0">
      <alignment horizontal="right" vertical="center"/>
    </xf>
    <xf numFmtId="164" fontId="26" fillId="0" borderId="0" applyAlignment="1" pivotButton="0" quotePrefix="0" xfId="0">
      <alignment horizontal="right" vertical="center"/>
    </xf>
    <xf numFmtId="164" fontId="26" fillId="0" borderId="7" applyAlignment="1" pivotButton="0" quotePrefix="0" xfId="0">
      <alignment horizontal="right" vertical="center"/>
    </xf>
    <xf numFmtId="0" fontId="17" fillId="0" borderId="6" pivotButton="0" quotePrefix="0" xfId="0"/>
    <xf numFmtId="0" fontId="17" fillId="0" borderId="0" pivotButton="0" quotePrefix="0" xfId="0"/>
    <xf numFmtId="167" fontId="26" fillId="0" borderId="0" applyAlignment="1" pivotButton="0" quotePrefix="0" xfId="0">
      <alignment horizontal="right" vertical="center"/>
    </xf>
    <xf numFmtId="167" fontId="26" fillId="0" borderId="7" applyAlignment="1" pivotButton="0" quotePrefix="0" xfId="0">
      <alignment horizontal="right" vertical="center"/>
    </xf>
    <xf numFmtId="164" fontId="27" fillId="0" borderId="6" applyAlignment="1" pivotButton="0" quotePrefix="0" xfId="0">
      <alignment horizontal="right" vertical="center"/>
    </xf>
    <xf numFmtId="164" fontId="27" fillId="0" borderId="0" applyAlignment="1" pivotButton="0" quotePrefix="0" xfId="0">
      <alignment horizontal="right" vertical="center"/>
    </xf>
    <xf numFmtId="164" fontId="17" fillId="0" borderId="7" applyAlignment="1" pivotButton="0" quotePrefix="0" xfId="0">
      <alignment horizontal="right" vertical="center"/>
    </xf>
    <xf numFmtId="164" fontId="17" fillId="0" borderId="0" applyAlignment="1" pivotButton="0" quotePrefix="0" xfId="0">
      <alignment horizontal="right" vertical="center"/>
    </xf>
    <xf numFmtId="168" fontId="19" fillId="0" borderId="0" applyAlignment="1" pivotButton="0" quotePrefix="0" xfId="0">
      <alignment horizontal="right" vertical="center"/>
    </xf>
    <xf numFmtId="168" fontId="19" fillId="0" borderId="7" applyAlignment="1" pivotButton="0" quotePrefix="0" xfId="0">
      <alignment horizontal="right" vertical="center"/>
    </xf>
    <xf numFmtId="165" fontId="28" fillId="4" borderId="7" applyAlignment="1" pivotButton="0" quotePrefix="0" xfId="0">
      <alignment horizontal="right" vertical="center"/>
    </xf>
    <xf numFmtId="165" fontId="28" fillId="4" borderId="0" applyAlignment="1" pivotButton="0" quotePrefix="0" xfId="0">
      <alignment horizontal="right" vertical="center"/>
    </xf>
    <xf numFmtId="165" fontId="25" fillId="0" borderId="6" applyAlignment="1" pivotButton="0" quotePrefix="0" xfId="0">
      <alignment horizontal="right" vertical="center"/>
    </xf>
    <xf numFmtId="0" fontId="20" fillId="0" borderId="8" pivotButton="0" quotePrefix="0" xfId="0"/>
    <xf numFmtId="0" fontId="23" fillId="0" borderId="8" applyAlignment="1" pivotButton="0" quotePrefix="0" xfId="0">
      <alignment horizontal="center" vertical="center"/>
    </xf>
    <xf numFmtId="164" fontId="20" fillId="0" borderId="9" applyAlignment="1" pivotButton="0" quotePrefix="0" xfId="0">
      <alignment horizontal="right" vertical="center"/>
    </xf>
    <xf numFmtId="164" fontId="20" fillId="0" borderId="8" applyAlignment="1" pivotButton="0" quotePrefix="0" xfId="0">
      <alignment horizontal="right" vertical="center"/>
    </xf>
    <xf numFmtId="164" fontId="20" fillId="0" borderId="10" applyAlignment="1" pivotButton="0" quotePrefix="0" xfId="0">
      <alignment horizontal="right" vertical="center"/>
    </xf>
    <xf numFmtId="164" fontId="29" fillId="0" borderId="6" applyAlignment="1" pivotButton="0" quotePrefix="0" xfId="0">
      <alignment horizontal="right" vertical="center"/>
    </xf>
    <xf numFmtId="164" fontId="29" fillId="0" borderId="0" applyAlignment="1" pivotButton="0" quotePrefix="0" xfId="0">
      <alignment horizontal="right" vertical="center"/>
    </xf>
    <xf numFmtId="166" fontId="25" fillId="0" borderId="6" applyAlignment="1" pivotButton="0" quotePrefix="0" xfId="0">
      <alignment horizontal="right" vertical="center"/>
    </xf>
    <xf numFmtId="166" fontId="25" fillId="0" borderId="0" applyAlignment="1" pivotButton="0" quotePrefix="0" xfId="0">
      <alignment horizontal="right" vertical="center"/>
    </xf>
    <xf numFmtId="0" fontId="17" fillId="0" borderId="7" pivotButton="0" quotePrefix="0" xfId="0"/>
    <xf numFmtId="164" fontId="24" fillId="0" borderId="9" applyAlignment="1" pivotButton="0" quotePrefix="0" xfId="0">
      <alignment horizontal="right" vertical="center"/>
    </xf>
    <xf numFmtId="164" fontId="24" fillId="0" borderId="8" applyAlignment="1" pivotButton="0" quotePrefix="0" xfId="0">
      <alignment horizontal="right" vertical="center"/>
    </xf>
    <xf numFmtId="166" fontId="29" fillId="0" borderId="6" applyAlignment="1" pivotButton="0" quotePrefix="0" xfId="0">
      <alignment horizontal="right" vertical="center"/>
    </xf>
    <xf numFmtId="166" fontId="29" fillId="0" borderId="0" applyAlignment="1" pivotButton="0" quotePrefix="0" xfId="0">
      <alignment horizontal="right" vertical="center"/>
    </xf>
    <xf numFmtId="166" fontId="17" fillId="0" borderId="7" applyAlignment="1" pivotButton="0" quotePrefix="0" xfId="0">
      <alignment horizontal="right" vertical="center"/>
    </xf>
    <xf numFmtId="166" fontId="17" fillId="0" borderId="0" applyAlignment="1" pivotButton="0" quotePrefix="0" xfId="0">
      <alignment horizontal="right" vertical="center"/>
    </xf>
    <xf numFmtId="169" fontId="20" fillId="0" borderId="6" applyAlignment="1" pivotButton="0" quotePrefix="0" xfId="0">
      <alignment horizontal="right" vertical="center"/>
    </xf>
    <xf numFmtId="169" fontId="20" fillId="0" borderId="0" applyAlignment="1" pivotButton="0" quotePrefix="0" xfId="0">
      <alignment horizontal="right" vertical="center"/>
    </xf>
    <xf numFmtId="169" fontId="20" fillId="0" borderId="7" applyAlignment="1" pivotButton="0" quotePrefix="0" xfId="0">
      <alignment horizontal="right" vertical="center"/>
    </xf>
    <xf numFmtId="0" fontId="21" fillId="3" borderId="0" pivotButton="0" quotePrefix="0" xfId="0"/>
    <xf numFmtId="0" fontId="17" fillId="3" borderId="0" pivotButton="0" quotePrefix="0" xfId="0"/>
    <xf numFmtId="169" fontId="28" fillId="0" borderId="0" applyAlignment="1" pivotButton="0" quotePrefix="0" xfId="0">
      <alignment horizontal="right" vertical="center"/>
    </xf>
    <xf numFmtId="169" fontId="25" fillId="0" borderId="7" applyAlignment="1" pivotButton="0" quotePrefix="0" xfId="0">
      <alignment horizontal="right" vertical="center"/>
    </xf>
    <xf numFmtId="169" fontId="25" fillId="0" borderId="0" applyAlignment="1" pivotButton="0" quotePrefix="0" xfId="0">
      <alignment horizontal="right" vertical="center"/>
    </xf>
    <xf numFmtId="165" fontId="20" fillId="0" borderId="7" applyAlignment="1" pivotButton="0" quotePrefix="0" xfId="0">
      <alignment horizontal="right" vertical="center"/>
    </xf>
    <xf numFmtId="165" fontId="20" fillId="0" borderId="0" applyAlignment="1" pivotButton="0" quotePrefix="0" xfId="0">
      <alignment horizontal="right" vertical="center"/>
    </xf>
    <xf numFmtId="164" fontId="20" fillId="0" borderId="6" applyAlignment="1" pivotButton="0" quotePrefix="0" xfId="0">
      <alignment horizontal="right" vertical="center"/>
    </xf>
    <xf numFmtId="164" fontId="20" fillId="0" borderId="0" applyAlignment="1" pivotButton="0" quotePrefix="0" xfId="0">
      <alignment horizontal="right" vertical="center"/>
    </xf>
    <xf numFmtId="164" fontId="20" fillId="0" borderId="7" applyAlignment="1" pivotButton="0" quotePrefix="0" xfId="0">
      <alignment horizontal="right" vertical="center"/>
    </xf>
    <xf numFmtId="164" fontId="17" fillId="0" borderId="6" applyAlignment="1" pivotButton="0" quotePrefix="0" xfId="0">
      <alignment horizontal="right" vertical="center"/>
    </xf>
    <xf numFmtId="0" fontId="20" fillId="0" borderId="11" pivotButton="0" quotePrefix="0" xfId="0"/>
    <xf numFmtId="0" fontId="23" fillId="0" borderId="11" applyAlignment="1" pivotButton="0" quotePrefix="0" xfId="0">
      <alignment horizontal="center" vertical="center"/>
    </xf>
    <xf numFmtId="164" fontId="20" fillId="0" borderId="2" applyAlignment="1" pivotButton="0" quotePrefix="0" xfId="0">
      <alignment horizontal="right" vertical="center"/>
    </xf>
    <xf numFmtId="164" fontId="20" fillId="0" borderId="11" applyAlignment="1" pivotButton="0" quotePrefix="0" xfId="0">
      <alignment horizontal="right" vertical="center"/>
    </xf>
    <xf numFmtId="164" fontId="20" fillId="0" borderId="3" applyAlignment="1" pivotButton="0" quotePrefix="0" xfId="0">
      <alignment horizontal="right" vertical="center"/>
    </xf>
    <xf numFmtId="2" fontId="28" fillId="4" borderId="7" applyAlignment="1" pivotButton="0" quotePrefix="0" xfId="0">
      <alignment horizontal="right" vertical="center"/>
    </xf>
    <xf numFmtId="2" fontId="28" fillId="4" borderId="0" applyAlignment="1" pivotButton="0" quotePrefix="0" xfId="0">
      <alignment horizontal="right" vertical="center"/>
    </xf>
    <xf numFmtId="170" fontId="19" fillId="0" borderId="7" applyAlignment="1" pivotButton="0" quotePrefix="0" xfId="0">
      <alignment horizontal="right" vertical="center"/>
    </xf>
    <xf numFmtId="170" fontId="19" fillId="0" borderId="0" applyAlignment="1" pivotButton="0" quotePrefix="0" xfId="0">
      <alignment horizontal="right" vertical="center"/>
    </xf>
    <xf numFmtId="0" fontId="20" fillId="0" borderId="1" pivotButton="0" quotePrefix="0" xfId="0"/>
    <xf numFmtId="0" fontId="23" fillId="0" borderId="1" applyAlignment="1" pivotButton="0" quotePrefix="0" xfId="0">
      <alignment horizontal="center" vertical="center"/>
    </xf>
    <xf numFmtId="0" fontId="17" fillId="0" borderId="4" pivotButton="0" quotePrefix="0" xfId="0"/>
    <xf numFmtId="164" fontId="20" fillId="0" borderId="5" applyAlignment="1" pivotButton="0" quotePrefix="0" xfId="0">
      <alignment horizontal="right" vertical="center"/>
    </xf>
    <xf numFmtId="164" fontId="20" fillId="0" borderId="1" applyAlignment="1" pivotButton="0" quotePrefix="0" xfId="0">
      <alignment horizontal="right" vertical="center"/>
    </xf>
    <xf numFmtId="164" fontId="27" fillId="4" borderId="0" applyAlignment="1" pivotButton="0" quotePrefix="0" xfId="0">
      <alignment horizontal="right" vertical="center"/>
    </xf>
    <xf numFmtId="164" fontId="27" fillId="4" borderId="7" applyAlignment="1" pivotButton="0" quotePrefix="0" xfId="0">
      <alignment horizontal="right" vertical="center"/>
    </xf>
    <xf numFmtId="169" fontId="28" fillId="4" borderId="0" applyAlignment="1" pivotButton="0" quotePrefix="0" xfId="0">
      <alignment horizontal="right" vertical="center"/>
    </xf>
    <xf numFmtId="169" fontId="28" fillId="4" borderId="7" applyAlignment="1" pivotButton="0" quotePrefix="0" xfId="0">
      <alignment horizontal="right" vertical="center"/>
    </xf>
    <xf numFmtId="0" fontId="17" fillId="0" borderId="9" pivotButton="0" quotePrefix="0" xfId="0"/>
    <xf numFmtId="0" fontId="17" fillId="0" borderId="8" pivotButton="0" quotePrefix="0" xfId="0"/>
    <xf numFmtId="10" fontId="27" fillId="5" borderId="0" applyAlignment="1" pivotButton="0" quotePrefix="0" xfId="0">
      <alignment horizontal="right" vertical="center"/>
    </xf>
    <xf numFmtId="10" fontId="17" fillId="0" borderId="0" applyAlignment="1" pivotButton="0" quotePrefix="0" xfId="0">
      <alignment horizontal="right" vertical="center"/>
    </xf>
    <xf numFmtId="0" fontId="27" fillId="5" borderId="0" applyAlignment="1" pivotButton="0" quotePrefix="0" xfId="0">
      <alignment horizontal="right" vertical="center"/>
    </xf>
    <xf numFmtId="171" fontId="27" fillId="6" borderId="0" applyAlignment="1" pivotButton="0" quotePrefix="0" xfId="0">
      <alignment horizontal="right" vertical="center"/>
    </xf>
    <xf numFmtId="171" fontId="25" fillId="0" borderId="0" applyAlignment="1" pivotButton="0" quotePrefix="0" xfId="0">
      <alignment horizontal="right" vertical="center"/>
    </xf>
    <xf numFmtId="10" fontId="25" fillId="0" borderId="0" applyAlignment="1" pivotButton="0" quotePrefix="0" xfId="0">
      <alignment horizontal="right" vertical="center"/>
    </xf>
    <xf numFmtId="0" fontId="20" fillId="6" borderId="11" pivotButton="0" quotePrefix="0" xfId="0"/>
    <xf numFmtId="169" fontId="20" fillId="6" borderId="11" applyAlignment="1" pivotButton="0" quotePrefix="0" xfId="0">
      <alignment horizontal="right" vertical="center"/>
    </xf>
    <xf numFmtId="164" fontId="27" fillId="5" borderId="0" applyAlignment="1" pivotButton="0" quotePrefix="0" xfId="0">
      <alignment horizontal="right" vertical="center"/>
    </xf>
    <xf numFmtId="168" fontId="25" fillId="0" borderId="0" applyAlignment="1" pivotButton="0" quotePrefix="0" xfId="0">
      <alignment horizontal="right" vertical="center"/>
    </xf>
    <xf numFmtId="0" fontId="22" fillId="0" borderId="0" pivotButton="0" quotePrefix="0" xfId="0"/>
    <xf numFmtId="10" fontId="20" fillId="0" borderId="1" applyAlignment="1" pivotButton="0" quotePrefix="0" xfId="0">
      <alignment horizontal="right" vertical="center"/>
    </xf>
    <xf numFmtId="171" fontId="20" fillId="0" borderId="0" applyAlignment="1" pivotButton="0" quotePrefix="0" xfId="0">
      <alignment horizontal="right" vertical="center"/>
    </xf>
    <xf numFmtId="169" fontId="17" fillId="0" borderId="0" applyAlignment="1" pivotButton="0" quotePrefix="0" xfId="0">
      <alignment horizontal="right" vertical="center"/>
    </xf>
    <xf numFmtId="169" fontId="17" fillId="6" borderId="0" applyAlignment="1" pivotButton="0" quotePrefix="0" xfId="0">
      <alignment horizontal="right" vertical="center"/>
    </xf>
    <xf numFmtId="10" fontId="30" fillId="6" borderId="0" applyAlignment="1" pivotButton="0" quotePrefix="0" xfId="0">
      <alignment horizontal="right" vertical="center"/>
    </xf>
    <xf numFmtId="165" fontId="25" fillId="4" borderId="6" applyAlignment="1" pivotButton="0" quotePrefix="0" xfId="0">
      <alignment horizontal="right" vertical="center"/>
    </xf>
    <xf numFmtId="165" fontId="25" fillId="4" borderId="0" applyAlignment="1" pivotButton="0" quotePrefix="0" xfId="0">
      <alignment horizontal="right" vertical="center"/>
    </xf>
    <xf numFmtId="2" fontId="26" fillId="0" borderId="0" applyAlignment="1" pivotButton="0" quotePrefix="0" xfId="0">
      <alignment horizontal="right" vertical="center"/>
    </xf>
    <xf numFmtId="170" fontId="26" fillId="0" borderId="0" applyAlignment="1" pivotButton="0" quotePrefix="0" xfId="0">
      <alignment horizontal="right" vertical="center"/>
    </xf>
    <xf numFmtId="10" fontId="29" fillId="0" borderId="0" applyAlignment="1" pivotButton="0" quotePrefix="0" xfId="0">
      <alignment horizontal="right" vertical="center"/>
    </xf>
    <xf numFmtId="171" fontId="29" fillId="0" borderId="0" applyAlignment="1" pivotButton="0" quotePrefix="0" xfId="0">
      <alignment horizontal="right" vertical="center"/>
    </xf>
    <xf numFmtId="10" fontId="20" fillId="0" borderId="0" applyAlignment="1" pivotButton="0" quotePrefix="0" xfId="0">
      <alignment horizontal="right" vertical="center"/>
    </xf>
    <xf numFmtId="165" fontId="30" fillId="0" borderId="1" applyAlignment="1" pivotButton="0" quotePrefix="0" xfId="0">
      <alignment horizontal="right" vertical="center"/>
    </xf>
    <xf numFmtId="0" fontId="20" fillId="0" borderId="1" applyAlignment="1" pivotButton="0" quotePrefix="0" xfId="0">
      <alignment horizontal="right" vertical="center"/>
    </xf>
    <xf numFmtId="0" fontId="31" fillId="0" borderId="0" pivotButton="0" quotePrefix="0" xfId="0"/>
    <xf numFmtId="169" fontId="27" fillId="0" borderId="0" applyAlignment="1" pivotButton="0" quotePrefix="0" xfId="0">
      <alignment horizontal="right" vertical="center"/>
    </xf>
    <xf numFmtId="0" fontId="32" fillId="0" borderId="0" pivotButton="0" quotePrefix="0" xfId="0"/>
    <xf numFmtId="0" fontId="0" fillId="7" borderId="0" pivotButton="0" quotePrefix="0" xfId="0"/>
    <xf numFmtId="0" fontId="0" fillId="0" borderId="9" pivotButton="0" quotePrefix="0" xfId="0"/>
    <xf numFmtId="0" fontId="0" fillId="0" borderId="8" pivotButton="0" quotePrefix="0" xfId="0"/>
    <xf numFmtId="0" fontId="0" fillId="0" borderId="12" pivotButton="0" quotePrefix="0" xfId="0"/>
    <xf numFmtId="0" fontId="0" fillId="0" borderId="6" pivotButton="0" quotePrefix="0" xfId="0"/>
    <xf numFmtId="0" fontId="33" fillId="0" borderId="0" applyAlignment="1" pivotButton="0" quotePrefix="0" xfId="0">
      <alignment horizontal="left" vertical="center"/>
    </xf>
    <xf numFmtId="0" fontId="0" fillId="0" borderId="13" pivotButton="0" quotePrefix="0" xfId="0"/>
    <xf numFmtId="0" fontId="34" fillId="0" borderId="0" applyAlignment="1" pivotButton="0" quotePrefix="0" xfId="0">
      <alignment horizontal="left" vertical="center"/>
    </xf>
    <xf numFmtId="0" fontId="35" fillId="8" borderId="0" applyAlignment="1" pivotButton="0" quotePrefix="0" xfId="0">
      <alignment horizontal="left" vertical="center"/>
    </xf>
    <xf numFmtId="0" fontId="0" fillId="8" borderId="0" pivotButton="0" quotePrefix="0" xfId="0"/>
    <xf numFmtId="0" fontId="36" fillId="8" borderId="0" applyAlignment="1" pivotButton="0" quotePrefix="0" xfId="0">
      <alignment horizontal="right" vertical="top" wrapText="1" indent="1"/>
    </xf>
    <xf numFmtId="0" fontId="37" fillId="0" borderId="0" applyAlignment="1" pivotButton="0" quotePrefix="0" xfId="0">
      <alignment horizontal="left" vertical="center"/>
    </xf>
    <xf numFmtId="0" fontId="38" fillId="0" borderId="0" applyAlignment="1" pivotButton="0" quotePrefix="0" xfId="0">
      <alignment horizontal="left" vertical="center"/>
    </xf>
    <xf numFmtId="0" fontId="37" fillId="8" borderId="0" applyAlignment="1" pivotButton="0" quotePrefix="0" xfId="0">
      <alignment horizontal="left" vertical="center"/>
    </xf>
    <xf numFmtId="172" fontId="34" fillId="8" borderId="0" applyAlignment="1" pivotButton="0" quotePrefix="0" xfId="0">
      <alignment horizontal="right" vertical="center"/>
    </xf>
    <xf numFmtId="173" fontId="34" fillId="8" borderId="0" applyAlignment="1" pivotButton="0" quotePrefix="0" xfId="0">
      <alignment horizontal="right" vertical="center"/>
    </xf>
    <xf numFmtId="172" fontId="34" fillId="0" borderId="0" applyAlignment="1" pivotButton="0" quotePrefix="0" xfId="0">
      <alignment horizontal="right" vertical="center" indent="1"/>
    </xf>
    <xf numFmtId="172" fontId="37" fillId="8" borderId="8" applyAlignment="1" pivotButton="0" quotePrefix="0" xfId="0">
      <alignment horizontal="right" vertical="center"/>
    </xf>
    <xf numFmtId="173" fontId="37" fillId="8" borderId="8" applyAlignment="1" pivotButton="0" quotePrefix="0" xfId="0">
      <alignment horizontal="right" vertical="center"/>
    </xf>
    <xf numFmtId="0" fontId="39" fillId="0" borderId="8" pivotButton="0" quotePrefix="0" xfId="0"/>
    <xf numFmtId="172" fontId="37" fillId="0" borderId="8" applyAlignment="1" pivotButton="0" quotePrefix="0" xfId="0">
      <alignment horizontal="right" vertical="center" indent="1"/>
    </xf>
    <xf numFmtId="173" fontId="34" fillId="0" borderId="0" applyAlignment="1" pivotButton="0" quotePrefix="0" xfId="0">
      <alignment horizontal="right" vertical="center" indent="1"/>
    </xf>
    <xf numFmtId="173" fontId="37" fillId="0" borderId="8" applyAlignment="1" pivotButton="0" quotePrefix="0" xfId="0">
      <alignment horizontal="right" vertical="center" indent="1"/>
    </xf>
    <xf numFmtId="174" fontId="34" fillId="8" borderId="0" applyAlignment="1" pivotButton="0" quotePrefix="0" xfId="0">
      <alignment horizontal="right" vertical="center"/>
    </xf>
    <xf numFmtId="174" fontId="34" fillId="0" borderId="0" applyAlignment="1" pivotButton="0" quotePrefix="0" xfId="0">
      <alignment horizontal="right" vertical="center" indent="1"/>
    </xf>
    <xf numFmtId="0" fontId="34" fillId="8" borderId="0" applyAlignment="1" pivotButton="0" quotePrefix="0" xfId="0">
      <alignment horizontal="right" vertical="center"/>
    </xf>
    <xf numFmtId="0" fontId="34" fillId="0" borderId="0" applyAlignment="1" pivotButton="0" quotePrefix="0" xfId="0">
      <alignment horizontal="right" vertical="center" indent="1"/>
    </xf>
    <xf numFmtId="0" fontId="0" fillId="0" borderId="4" pivotButton="0" quotePrefix="0" xfId="0"/>
    <xf numFmtId="0" fontId="0" fillId="0" borderId="1" pivotButton="0" quotePrefix="0" xfId="0"/>
    <xf numFmtId="0" fontId="0" fillId="0" borderId="14" pivotButton="0" quotePrefix="0" xfId="0"/>
    <xf numFmtId="0" fontId="38" fillId="0" borderId="0" applyAlignment="1" pivotButton="0" quotePrefix="0" xfId="0">
      <alignment horizontal="right" vertical="center"/>
    </xf>
    <xf numFmtId="0" fontId="40" fillId="0" borderId="0" pivotButton="0" quotePrefix="0" xfId="0"/>
    <xf numFmtId="0" fontId="41" fillId="0" borderId="0" pivotButton="0" quotePrefix="0" xfId="0"/>
    <xf numFmtId="0" fontId="42" fillId="0" borderId="0" pivotButton="0" quotePrefix="0" xfId="0"/>
    <xf numFmtId="0" fontId="43" fillId="3" borderId="0" pivotButton="0" quotePrefix="0" xfId="0"/>
    <xf numFmtId="0" fontId="44" fillId="0" borderId="0" pivotButton="0" quotePrefix="0" xfId="0"/>
    <xf numFmtId="0" fontId="45" fillId="0" borderId="0" pivotButton="0" quotePrefix="0" xfId="0"/>
    <xf numFmtId="0" fontId="46" fillId="0" borderId="0" pivotButton="0" quotePrefix="0" xfId="0"/>
    <xf numFmtId="164" fontId="47" fillId="0" borderId="7" applyAlignment="1" pivotButton="0" quotePrefix="0" xfId="0">
      <alignment horizontal="right" vertical="center"/>
    </xf>
    <xf numFmtId="164" fontId="47" fillId="0" borderId="0" applyAlignment="1" pivotButton="0" quotePrefix="0" xfId="0">
      <alignment horizontal="right" vertical="center"/>
    </xf>
    <xf numFmtId="0" fontId="17" fillId="0" borderId="0" applyAlignment="1" pivotButton="0" quotePrefix="0" xfId="0">
      <alignment horizontal="right" vertical="center"/>
    </xf>
    <xf numFmtId="0" fontId="48" fillId="9" borderId="4" applyAlignment="1" pivotButton="0" quotePrefix="0" xfId="0">
      <alignment horizontal="right" vertical="center"/>
    </xf>
    <xf numFmtId="0" fontId="48" fillId="9" borderId="1" applyAlignment="1" pivotButton="0" quotePrefix="0" xfId="0">
      <alignment horizontal="right" vertical="center"/>
    </xf>
    <xf numFmtId="0" fontId="48" fillId="9" borderId="5" applyAlignment="1" pivotButton="0" quotePrefix="0" xfId="0">
      <alignment horizontal="right" vertical="center"/>
    </xf>
    <xf numFmtId="0" fontId="48" fillId="0" borderId="0" pivotButton="0" quotePrefix="0" xfId="0"/>
    <xf numFmtId="0" fontId="52" fillId="3" borderId="4" applyAlignment="1" pivotButton="0" quotePrefix="0" xfId="0">
      <alignment horizontal="right" vertical="center"/>
    </xf>
    <xf numFmtId="0" fontId="52" fillId="3" borderId="1" applyAlignment="1" pivotButton="0" quotePrefix="0" xfId="0">
      <alignment horizontal="right" vertical="center"/>
    </xf>
    <xf numFmtId="0" fontId="52" fillId="3" borderId="5" applyAlignment="1" pivotButton="0" quotePrefix="0" xfId="0">
      <alignment horizontal="right" vertical="center"/>
    </xf>
    <xf numFmtId="164" fontId="50" fillId="0" borderId="0" applyAlignment="1" pivotButton="0" quotePrefix="0" xfId="0">
      <alignment horizontal="right" vertical="center"/>
    </xf>
    <xf numFmtId="164" fontId="20" fillId="0" borderId="15" applyAlignment="1" pivotButton="0" quotePrefix="0" xfId="0">
      <alignment horizontal="right" vertical="center"/>
    </xf>
    <xf numFmtId="0" fontId="0" fillId="0" borderId="18" pivotButton="0" quotePrefix="0" xfId="0"/>
    <xf numFmtId="164" fontId="24" fillId="0" borderId="18" applyAlignment="1" pivotButton="0" quotePrefix="0" xfId="0">
      <alignment horizontal="right" vertical="center"/>
    </xf>
    <xf numFmtId="165" fontId="25" fillId="4" borderId="18" applyAlignment="1" pivotButton="0" quotePrefix="0" xfId="0">
      <alignment horizontal="right" vertical="center"/>
    </xf>
    <xf numFmtId="165" fontId="25" fillId="0" borderId="18" applyAlignment="1" pivotButton="0" quotePrefix="0" xfId="0">
      <alignment horizontal="right" vertical="center"/>
    </xf>
    <xf numFmtId="164" fontId="29" fillId="0" borderId="18" applyAlignment="1" pivotButton="0" quotePrefix="0" xfId="0">
      <alignment horizontal="right" vertical="center"/>
    </xf>
    <xf numFmtId="164" fontId="20" fillId="0" borderId="19" applyAlignment="1" pivotButton="0" quotePrefix="0" xfId="0">
      <alignment horizontal="right" vertical="center"/>
    </xf>
    <xf numFmtId="164" fontId="20" fillId="0" borderId="16" applyAlignment="1" pivotButton="0" quotePrefix="0" xfId="0">
      <alignment horizontal="right" vertical="center"/>
    </xf>
    <xf numFmtId="164" fontId="20" fillId="0" borderId="17" applyAlignment="1" pivotButton="0" quotePrefix="0" xfId="0">
      <alignment horizontal="right" vertical="center"/>
    </xf>
    <xf numFmtId="0" fontId="17" fillId="3" borderId="18" pivotButton="0" quotePrefix="0" xfId="0"/>
    <xf numFmtId="164" fontId="20" fillId="0" borderId="18" applyAlignment="1" pivotButton="0" quotePrefix="0" xfId="0">
      <alignment horizontal="right" vertical="center"/>
    </xf>
    <xf numFmtId="164" fontId="17" fillId="0" borderId="18" applyAlignment="1" pivotButton="0" quotePrefix="0" xfId="0">
      <alignment horizontal="right" vertical="center"/>
    </xf>
    <xf numFmtId="164" fontId="20" fillId="0" borderId="21" applyAlignment="1" pivotButton="0" quotePrefix="0" xfId="0">
      <alignment horizontal="right" vertical="center"/>
    </xf>
    <xf numFmtId="0" fontId="17" fillId="0" borderId="18" pivotButton="0" quotePrefix="0" xfId="0"/>
    <xf numFmtId="0" fontId="17" fillId="0" borderId="20" pivotButton="0" quotePrefix="0" xfId="0"/>
    <xf numFmtId="0" fontId="0" fillId="0" borderId="22" pivotButton="0" quotePrefix="0" xfId="0"/>
    <xf numFmtId="165" fontId="19" fillId="0" borderId="13" applyAlignment="1" pivotButton="0" quotePrefix="0" xfId="0">
      <alignment horizontal="right" vertical="center"/>
    </xf>
    <xf numFmtId="0" fontId="0" fillId="0" borderId="16" pivotButton="0" quotePrefix="0" xfId="0"/>
    <xf numFmtId="0" fontId="48" fillId="9" borderId="17" applyAlignment="1" pivotButton="0" quotePrefix="0" xfId="0">
      <alignment horizontal="right" vertical="center"/>
    </xf>
    <xf numFmtId="0" fontId="66" fillId="0" borderId="0" pivotButton="0" quotePrefix="0" xfId="0"/>
    <xf numFmtId="0" fontId="67" fillId="0" borderId="0" pivotButton="0" quotePrefix="0" xfId="0"/>
    <xf numFmtId="0" fontId="59" fillId="14" borderId="23" pivotButton="0" quotePrefix="0" xfId="0"/>
    <xf numFmtId="0" fontId="0" fillId="14" borderId="23" pivotButton="0" quotePrefix="0" xfId="0"/>
    <xf numFmtId="0" fontId="59" fillId="14" borderId="23" applyAlignment="1" pivotButton="0" quotePrefix="0" xfId="0">
      <alignment horizontal="right"/>
    </xf>
    <xf numFmtId="0" fontId="55" fillId="0" borderId="0" pivotButton="0" quotePrefix="0" xfId="0"/>
    <xf numFmtId="175" fontId="62" fillId="0" borderId="0" pivotButton="0" quotePrefix="0" xfId="0"/>
    <xf numFmtId="0" fontId="57" fillId="0" borderId="0" pivotButton="0" quotePrefix="0" xfId="0"/>
    <xf numFmtId="0" fontId="54" fillId="0" borderId="0" pivotButton="0" quotePrefix="0" xfId="0"/>
    <xf numFmtId="175" fontId="64" fillId="0" borderId="0" pivotButton="0" quotePrefix="0" xfId="0"/>
    <xf numFmtId="0" fontId="56" fillId="0" borderId="0" pivotButton="0" quotePrefix="0" xfId="0"/>
    <xf numFmtId="165" fontId="55" fillId="0" borderId="0" pivotButton="0" quotePrefix="0" xfId="0"/>
    <xf numFmtId="0" fontId="60" fillId="0" borderId="0" pivotButton="0" quotePrefix="0" xfId="0"/>
    <xf numFmtId="0" fontId="68" fillId="0" borderId="0" pivotButton="0" quotePrefix="0" xfId="0"/>
    <xf numFmtId="0" fontId="61" fillId="0" borderId="0" pivotButton="0" quotePrefix="0" xfId="0"/>
    <xf numFmtId="167" fontId="56" fillId="0" borderId="0" pivotButton="0" quotePrefix="0" xfId="0"/>
    <xf numFmtId="167" fontId="55" fillId="0" borderId="0" pivotButton="0" quotePrefix="0" xfId="0"/>
    <xf numFmtId="167" fontId="60" fillId="0" borderId="0" pivotButton="0" quotePrefix="0" xfId="0"/>
    <xf numFmtId="176" fontId="55" fillId="0" borderId="0" pivotButton="0" quotePrefix="0" xfId="0"/>
    <xf numFmtId="176" fontId="60" fillId="0" borderId="0" pivotButton="0" quotePrefix="0" xfId="0"/>
    <xf numFmtId="2" fontId="60" fillId="0" borderId="0" pivotButton="0" quotePrefix="0" xfId="0"/>
    <xf numFmtId="170" fontId="56" fillId="0" borderId="0" pivotButton="0" quotePrefix="0" xfId="0"/>
    <xf numFmtId="170" fontId="60" fillId="0" borderId="0" pivotButton="0" quotePrefix="0" xfId="0"/>
    <xf numFmtId="49" fontId="60" fillId="0" borderId="0" pivotButton="0" quotePrefix="0" xfId="0"/>
    <xf numFmtId="177" fontId="60" fillId="0" borderId="0" pivotButton="0" quotePrefix="0" xfId="0"/>
    <xf numFmtId="0" fontId="53" fillId="12" borderId="0" pivotButton="0" quotePrefix="0" xfId="0"/>
    <xf numFmtId="0" fontId="0" fillId="12" borderId="0" pivotButton="0" quotePrefix="0" xfId="0"/>
    <xf numFmtId="0" fontId="55" fillId="15" borderId="25" pivotButton="0" quotePrefix="0" xfId="0"/>
    <xf numFmtId="0" fontId="0" fillId="15" borderId="25" pivotButton="0" quotePrefix="0" xfId="0"/>
    <xf numFmtId="165" fontId="60" fillId="0" borderId="0" pivotButton="0" quotePrefix="0" xfId="0"/>
    <xf numFmtId="0" fontId="58" fillId="0" borderId="0" pivotButton="0" quotePrefix="0" xfId="0"/>
    <xf numFmtId="1" fontId="60" fillId="0" borderId="0" pivotButton="0" quotePrefix="0" xfId="0"/>
    <xf numFmtId="166" fontId="60" fillId="0" borderId="0" pivotButton="0" quotePrefix="0" xfId="0"/>
    <xf numFmtId="0" fontId="58" fillId="0" borderId="23" applyAlignment="1" pivotButton="0" quotePrefix="0" xfId="0">
      <alignment horizontal="center"/>
    </xf>
    <xf numFmtId="0" fontId="54" fillId="0" borderId="23" pivotButton="0" quotePrefix="0" xfId="0"/>
    <xf numFmtId="0" fontId="58" fillId="0" borderId="0" applyAlignment="1" pivotButton="0" quotePrefix="0" xfId="0">
      <alignment horizontal="center"/>
    </xf>
    <xf numFmtId="166" fontId="64" fillId="0" borderId="0" pivotButton="0" quotePrefix="0" xfId="0"/>
    <xf numFmtId="0" fontId="58" fillId="0" borderId="0" applyAlignment="1" pivotButton="0" quotePrefix="0" xfId="0">
      <alignment indent="1"/>
    </xf>
    <xf numFmtId="0" fontId="54" fillId="0" borderId="0" applyAlignment="1" pivotButton="0" quotePrefix="0" xfId="0">
      <alignment horizontal="center"/>
    </xf>
    <xf numFmtId="165" fontId="56" fillId="0" borderId="0" pivotButton="0" quotePrefix="0" xfId="0"/>
    <xf numFmtId="178" fontId="64" fillId="0" borderId="0" pivotButton="0" quotePrefix="0" xfId="0"/>
    <xf numFmtId="0" fontId="55" fillId="0" borderId="0" applyAlignment="1" pivotButton="0" quotePrefix="0" xfId="0">
      <alignment indent="1"/>
    </xf>
    <xf numFmtId="178" fontId="60" fillId="0" borderId="0" pivotButton="0" quotePrefix="0" xfId="0"/>
    <xf numFmtId="166" fontId="55" fillId="0" borderId="0" pivotButton="0" quotePrefix="0" xfId="0"/>
    <xf numFmtId="166" fontId="56" fillId="0" borderId="0" pivotButton="0" quotePrefix="0" xfId="0"/>
    <xf numFmtId="179" fontId="60" fillId="0" borderId="0" pivotButton="0" quotePrefix="0" xfId="0"/>
    <xf numFmtId="179" fontId="64" fillId="0" borderId="0" pivotButton="0" quotePrefix="0" xfId="0"/>
    <xf numFmtId="1" fontId="63" fillId="0" borderId="0" pivotButton="0" quotePrefix="0" xfId="0"/>
    <xf numFmtId="1" fontId="56" fillId="0" borderId="0" pivotButton="0" quotePrefix="0" xfId="0"/>
    <xf numFmtId="166" fontId="60" fillId="0" borderId="7" applyAlignment="1" pivotButton="0" quotePrefix="0" xfId="0">
      <alignment horizontal="right" vertical="center"/>
    </xf>
    <xf numFmtId="166" fontId="60" fillId="0" borderId="0" applyAlignment="1" pivotButton="0" quotePrefix="0" xfId="0">
      <alignment horizontal="right" vertical="center"/>
    </xf>
    <xf numFmtId="166" fontId="56" fillId="0" borderId="0" applyAlignment="1" pivotButton="0" quotePrefix="0" xfId="0">
      <alignment horizontal="right" vertical="center"/>
    </xf>
    <xf numFmtId="165" fontId="60" fillId="0" borderId="7" applyAlignment="1" pivotButton="0" quotePrefix="0" xfId="0">
      <alignment horizontal="right" vertical="center"/>
    </xf>
    <xf numFmtId="165" fontId="60" fillId="0" borderId="0" applyAlignment="1" pivotButton="0" quotePrefix="0" xfId="0">
      <alignment horizontal="right" vertical="center"/>
    </xf>
    <xf numFmtId="165" fontId="56" fillId="0" borderId="0" applyAlignment="1" pivotButton="0" quotePrefix="0" xfId="0">
      <alignment horizontal="right" vertical="center"/>
    </xf>
    <xf numFmtId="179" fontId="56" fillId="0" borderId="7" applyAlignment="1" pivotButton="0" quotePrefix="0" xfId="0">
      <alignment horizontal="right" vertical="center"/>
    </xf>
    <xf numFmtId="179" fontId="56" fillId="0" borderId="0" applyAlignment="1" pivotButton="0" quotePrefix="0" xfId="0">
      <alignment horizontal="right" vertical="center"/>
    </xf>
    <xf numFmtId="165" fontId="56" fillId="0" borderId="7" applyAlignment="1" pivotButton="0" quotePrefix="0" xfId="0">
      <alignment horizontal="right" vertical="center"/>
    </xf>
    <xf numFmtId="0" fontId="56" fillId="15" borderId="25" pivotButton="0" quotePrefix="0" xfId="0"/>
    <xf numFmtId="165" fontId="57" fillId="0" borderId="0" pivotButton="0" quotePrefix="0" xfId="0"/>
    <xf numFmtId="166" fontId="57" fillId="0" borderId="0" pivotButton="0" quotePrefix="0" xfId="0"/>
    <xf numFmtId="176" fontId="56" fillId="0" borderId="0" pivotButton="0" quotePrefix="0" xfId="0"/>
    <xf numFmtId="178" fontId="55" fillId="0" borderId="0" pivotButton="0" quotePrefix="0" xfId="0"/>
    <xf numFmtId="179" fontId="56" fillId="0" borderId="0" pivotButton="0" quotePrefix="0" xfId="0"/>
    <xf numFmtId="177" fontId="56" fillId="0" borderId="0" pivotButton="0" quotePrefix="0" xfId="0"/>
    <xf numFmtId="2" fontId="56" fillId="0" borderId="0" pivotButton="0" quotePrefix="0" xfId="0"/>
    <xf numFmtId="164" fontId="60" fillId="0" borderId="7" applyAlignment="1" pivotButton="0" quotePrefix="0" xfId="0">
      <alignment horizontal="right" vertical="center"/>
    </xf>
    <xf numFmtId="164" fontId="60" fillId="0" borderId="0" applyAlignment="1" pivotButton="0" quotePrefix="0" xfId="0">
      <alignment horizontal="right" vertical="center"/>
    </xf>
    <xf numFmtId="165" fontId="56" fillId="4" borderId="7" applyAlignment="1" pivotButton="0" quotePrefix="0" xfId="0">
      <alignment horizontal="right" vertical="center"/>
    </xf>
    <xf numFmtId="165" fontId="56" fillId="4" borderId="0" applyAlignment="1" pivotButton="0" quotePrefix="0" xfId="0">
      <alignment horizontal="right" vertical="center"/>
    </xf>
    <xf numFmtId="165" fontId="60" fillId="4" borderId="7" applyAlignment="1" pivotButton="0" quotePrefix="0" xfId="0">
      <alignment horizontal="right" vertical="center"/>
    </xf>
    <xf numFmtId="165" fontId="60" fillId="4" borderId="0" applyAlignment="1" pivotButton="0" quotePrefix="0" xfId="0">
      <alignment horizontal="right" vertical="center"/>
    </xf>
    <xf numFmtId="169" fontId="60" fillId="5" borderId="0" applyAlignment="1" pivotButton="0" quotePrefix="0" xfId="0">
      <alignment horizontal="right" vertical="center"/>
    </xf>
    <xf numFmtId="0" fontId="59" fillId="14" borderId="0" pivotButton="0" quotePrefix="0" xfId="0"/>
    <xf numFmtId="175" fontId="60" fillId="0" borderId="0" pivotButton="0" quotePrefix="0" xfId="0"/>
    <xf numFmtId="167" fontId="64" fillId="0" borderId="0" pivotButton="0" quotePrefix="0" xfId="0"/>
    <xf numFmtId="177" fontId="57" fillId="0" borderId="0" pivotButton="0" quotePrefix="0" xfId="0"/>
    <xf numFmtId="2" fontId="57" fillId="0" borderId="0" pivotButton="0" quotePrefix="0" xfId="0"/>
    <xf numFmtId="2" fontId="55" fillId="0" borderId="0" pivotButton="0" quotePrefix="0" xfId="0"/>
    <xf numFmtId="177" fontId="55" fillId="0" borderId="0" pivotButton="0" quotePrefix="0" xfId="0"/>
    <xf numFmtId="0" fontId="69" fillId="0" borderId="0" pivotButton="0" quotePrefix="0" xfId="0"/>
    <xf numFmtId="0" fontId="54" fillId="0" borderId="0" applyAlignment="1" pivotButton="0" quotePrefix="0" xfId="0">
      <alignment horizontal="right"/>
    </xf>
    <xf numFmtId="167" fontId="55" fillId="0" borderId="24" pivotButton="0" quotePrefix="0" xfId="0"/>
    <xf numFmtId="165" fontId="58" fillId="0" borderId="0" pivotButton="0" quotePrefix="0" xfId="0"/>
    <xf numFmtId="0" fontId="56" fillId="0" borderId="0" applyAlignment="1" pivotButton="0" quotePrefix="0" xfId="0">
      <alignment indent="1"/>
    </xf>
    <xf numFmtId="165" fontId="70" fillId="0" borderId="0" pivotButton="0" quotePrefix="0" xfId="0"/>
    <xf numFmtId="170" fontId="57" fillId="0" borderId="0" pivotButton="0" quotePrefix="0" xfId="0"/>
    <xf numFmtId="0" fontId="71" fillId="0" borderId="0" pivotButton="0" quotePrefix="0" xfId="0"/>
    <xf numFmtId="180" fontId="57" fillId="0" borderId="0" pivotButton="0" quotePrefix="0" xfId="0"/>
    <xf numFmtId="180" fontId="58" fillId="0" borderId="0" pivotButton="0" quotePrefix="0" xfId="0"/>
    <xf numFmtId="180" fontId="55" fillId="0" borderId="0" pivotButton="0" quotePrefix="0" xfId="0"/>
    <xf numFmtId="0" fontId="62" fillId="0" borderId="0" pivotButton="0" quotePrefix="0" xfId="0"/>
    <xf numFmtId="180" fontId="60" fillId="0" borderId="0" pivotButton="0" quotePrefix="0" xfId="0"/>
    <xf numFmtId="180" fontId="62" fillId="0" borderId="0" pivotButton="0" quotePrefix="0" xfId="0"/>
    <xf numFmtId="180" fontId="56" fillId="0" borderId="0" pivotButton="0" quotePrefix="0" xfId="0"/>
    <xf numFmtId="0" fontId="72" fillId="0" borderId="0" pivotButton="0" quotePrefix="0" xfId="0"/>
    <xf numFmtId="165" fontId="63" fillId="0" borderId="0" pivotButton="0" quotePrefix="0" xfId="0"/>
    <xf numFmtId="49" fontId="56" fillId="0" borderId="0" pivotButton="0" quotePrefix="0" xfId="0"/>
    <xf numFmtId="1" fontId="61" fillId="0" borderId="0" pivotButton="0" quotePrefix="0" xfId="0"/>
    <xf numFmtId="176" fontId="57" fillId="0" borderId="0" pivotButton="0" quotePrefix="0" xfId="0"/>
    <xf numFmtId="165" fontId="61" fillId="0" borderId="0" pivotButton="0" quotePrefix="0" xfId="0"/>
    <xf numFmtId="177" fontId="60" fillId="0" borderId="0" applyAlignment="1" pivotButton="0" quotePrefix="0" xfId="0">
      <alignment horizontal="center"/>
    </xf>
    <xf numFmtId="177" fontId="64" fillId="0" borderId="0" pivotButton="0" quotePrefix="0" xfId="0"/>
    <xf numFmtId="177" fontId="58" fillId="0" borderId="0" pivotButton="0" quotePrefix="0" xfId="0"/>
    <xf numFmtId="179" fontId="55" fillId="0" borderId="0" pivotButton="0" quotePrefix="0" xfId="0"/>
    <xf numFmtId="170" fontId="61" fillId="0" borderId="0" pivotButton="0" quotePrefix="0" xfId="0"/>
    <xf numFmtId="179" fontId="57" fillId="0" borderId="0" pivotButton="0" quotePrefix="0" xfId="0"/>
    <xf numFmtId="166" fontId="55" fillId="0" borderId="24" pivotButton="0" quotePrefix="0" xfId="0"/>
    <xf numFmtId="0" fontId="54" fillId="14" borderId="23" pivotButton="0" quotePrefix="0" xfId="0"/>
    <xf numFmtId="0" fontId="55" fillId="0" borderId="0" applyAlignment="1" pivotButton="0" quotePrefix="0" xfId="0">
      <alignment vertical="top" wrapText="1"/>
    </xf>
    <xf numFmtId="0" fontId="65" fillId="0" borderId="0" applyAlignment="1" pivotButton="0" quotePrefix="0" xfId="0">
      <alignment vertical="top" wrapText="1"/>
    </xf>
    <xf numFmtId="1" fontId="57" fillId="0" borderId="0" pivotButton="0" quotePrefix="0" xfId="0"/>
    <xf numFmtId="0" fontId="64" fillId="0" borderId="0" pivotButton="0" quotePrefix="0" xfId="0"/>
    <xf numFmtId="0" fontId="55" fillId="13" borderId="23" applyAlignment="1" pivotButton="0" quotePrefix="0" xfId="0">
      <alignment horizontal="left"/>
    </xf>
    <xf numFmtId="0" fontId="55" fillId="13" borderId="23" applyAlignment="1" pivotButton="0" quotePrefix="0" xfId="0">
      <alignment horizontal="right"/>
    </xf>
    <xf numFmtId="167" fontId="57" fillId="0" borderId="0" pivotButton="0" quotePrefix="0" xfId="0"/>
    <xf numFmtId="164" fontId="60" fillId="0" borderId="8" applyAlignment="1" pivotButton="0" quotePrefix="0" xfId="0">
      <alignment horizontal="right" vertical="center"/>
    </xf>
    <xf numFmtId="169" fontId="60" fillId="0" borderId="0" applyAlignment="1" pivotButton="0" quotePrefix="0" xfId="0">
      <alignment horizontal="right" vertical="center"/>
    </xf>
    <xf numFmtId="171" fontId="64" fillId="0" borderId="0" applyAlignment="1" pivotButton="0" quotePrefix="0" xfId="0">
      <alignment horizontal="right" vertical="center"/>
    </xf>
    <xf numFmtId="0" fontId="55" fillId="0" borderId="23" applyAlignment="1" pivotButton="0" quotePrefix="0" xfId="0">
      <alignment horizontal="center"/>
    </xf>
    <xf numFmtId="0" fontId="0" fillId="0" borderId="23" pivotButton="0" quotePrefix="0" xfId="0"/>
    <xf numFmtId="0" fontId="5" fillId="0" borderId="2" applyAlignment="1" pivotButton="0" quotePrefix="0" xfId="0">
      <alignment horizontal="center" vertical="center"/>
    </xf>
    <xf numFmtId="0" fontId="0" fillId="0" borderId="16" pivotButton="0" quotePrefix="0" xfId="0"/>
    <xf numFmtId="0" fontId="5" fillId="0" borderId="3" applyAlignment="1" pivotButton="0" quotePrefix="0" xfId="0">
      <alignment horizontal="center" vertical="center"/>
    </xf>
    <xf numFmtId="1" fontId="63" fillId="0" borderId="0" pivotButton="0" quotePrefix="0" xfId="0"/>
    <xf numFmtId="0" fontId="0" fillId="0" borderId="0" pivotButton="0" quotePrefix="0" xfId="0"/>
    <xf numFmtId="0" fontId="63" fillId="0" borderId="0" pivotButton="0" quotePrefix="0" xfId="0"/>
    <xf numFmtId="0" fontId="20" fillId="0" borderId="2" applyAlignment="1" pivotButton="0" quotePrefix="0" xfId="0">
      <alignment horizontal="center" vertical="center"/>
    </xf>
    <xf numFmtId="0" fontId="20" fillId="0" borderId="3" applyAlignment="1" pivotButton="0" quotePrefix="0" xfId="0">
      <alignment horizontal="center" vertical="center"/>
    </xf>
    <xf numFmtId="0" fontId="51" fillId="14" borderId="23" pivotButton="0" quotePrefix="0" xfId="0"/>
    <xf numFmtId="0" fontId="48" fillId="3" borderId="1" applyAlignment="1" pivotButton="0" quotePrefix="0" xfId="0">
      <alignment horizontal="right" vertical="center"/>
    </xf>
    <xf numFmtId="0" fontId="48" fillId="3" borderId="5" applyAlignment="1" pivotButton="0" quotePrefix="0" xfId="0">
      <alignment horizontal="right" vertical="center"/>
    </xf>
    <xf numFmtId="0" fontId="48" fillId="16" borderId="1" applyAlignment="1" pivotButton="0" quotePrefix="0" xfId="0">
      <alignment horizontal="right" vertical="center"/>
    </xf>
    <xf numFmtId="0" fontId="0" fillId="0" borderId="26" pivotButton="0" quotePrefix="0" xfId="0"/>
    <xf numFmtId="0" fontId="49" fillId="11" borderId="14" applyAlignment="1" pivotButton="0" quotePrefix="0" xfId="0">
      <alignment horizontal="right" vertical="center"/>
    </xf>
    <xf numFmtId="0" fontId="25" fillId="0" borderId="4" applyAlignment="1" pivotButton="0" quotePrefix="0" xfId="0">
      <alignment horizontal="right" vertical="center"/>
    </xf>
    <xf numFmtId="165" fontId="25" fillId="0" borderId="26" applyAlignment="1" pivotButton="0" quotePrefix="0" xfId="0">
      <alignment horizontal="right" vertical="center"/>
    </xf>
    <xf numFmtId="165" fontId="25" fillId="0" borderId="5" applyAlignment="1" pivotButton="0" quotePrefix="0" xfId="0">
      <alignment horizontal="right" vertical="center"/>
    </xf>
    <xf numFmtId="0" fontId="0" fillId="0" borderId="24" pivotButton="0" quotePrefix="0" xfId="0"/>
    <xf numFmtId="0" fontId="0" fillId="0" borderId="0" pivotButton="0" quotePrefix="0" xfId="0"/>
    <xf numFmtId="0" fontId="17" fillId="0" borderId="0" pivotButton="0" quotePrefix="0" xfId="0"/>
    <xf numFmtId="0" fontId="51" fillId="14" borderId="0" pivotButton="0" quotePrefix="0" xfId="0"/>
    <xf numFmtId="0" fontId="49" fillId="10" borderId="14" applyAlignment="1" pivotButton="0" quotePrefix="0" xfId="0">
      <alignment horizontal="center" vertical="center"/>
    </xf>
    <xf numFmtId="10" fontId="73" fillId="0" borderId="13" applyAlignment="1" pivotButton="0" quotePrefix="0" xfId="0">
      <alignment horizontal="center" vertical="center"/>
    </xf>
    <xf numFmtId="2" fontId="26" fillId="0" borderId="13" applyAlignment="1" pivotButton="0" quotePrefix="0" xfId="0">
      <alignment horizontal="center" vertical="center"/>
    </xf>
    <xf numFmtId="170" fontId="26" fillId="0" borderId="13" applyAlignment="1" pivotButton="0" quotePrefix="0" xfId="0">
      <alignment horizontal="center" vertical="center"/>
    </xf>
    <xf numFmtId="164" fontId="20" fillId="0" borderId="14" applyAlignment="1" pivotButton="0" quotePrefix="0" xfId="0">
      <alignment horizontal="center" vertical="center"/>
    </xf>
    <xf numFmtId="165" fontId="19" fillId="0" borderId="0" applyAlignment="1" pivotButton="0" quotePrefix="0" xfId="0">
      <alignment horizontal="right" vertical="center"/>
    </xf>
    <xf numFmtId="0" fontId="0" fillId="0" borderId="0" pivotButton="0" quotePrefix="0" xfId="0"/>
    <xf numFmtId="164" fontId="20" fillId="0" borderId="0" applyAlignment="1" pivotButton="0" quotePrefix="0" xfId="0">
      <alignment horizontal="right" vertical="center"/>
    </xf>
    <xf numFmtId="165" fontId="28" fillId="0" borderId="0" applyAlignment="1" pivotButton="0" quotePrefix="0" xfId="0">
      <alignment horizontal="right" vertical="center"/>
    </xf>
    <xf numFmtId="165" fontId="25" fillId="0" borderId="0" applyAlignment="1" pivotButton="0" quotePrefix="0" xfId="0">
      <alignment horizontal="right" vertical="center"/>
    </xf>
    <xf numFmtId="164" fontId="29" fillId="0" borderId="0" applyAlignment="1" pivotButton="0" quotePrefix="0" xfId="0">
      <alignment horizontal="right" vertical="center"/>
    </xf>
    <xf numFmtId="164" fontId="17" fillId="0" borderId="0" applyAlignment="1" pivotButton="0" quotePrefix="0" xfId="0">
      <alignment horizontal="right" vertical="center"/>
    </xf>
    <xf numFmtId="2" fontId="26" fillId="0" borderId="0" applyAlignment="1" pivotButton="0" quotePrefix="0" xfId="0">
      <alignment horizontal="right" vertical="center"/>
    </xf>
    <xf numFmtId="170" fontId="26" fillId="0" borderId="0" applyAlignment="1" pivotButton="0" quotePrefix="0" xfId="0">
      <alignment horizontal="right" vertical="center"/>
    </xf>
    <xf numFmtId="0" fontId="21" fillId="14" borderId="0" pivotButton="0" quotePrefix="0" xfId="0"/>
    <xf numFmtId="175" fontId="62" fillId="0" borderId="0" pivotButton="0" quotePrefix="0" xfId="0"/>
    <xf numFmtId="175" fontId="64" fillId="0" borderId="0" pivotButton="0" quotePrefix="0" xfId="0"/>
    <xf numFmtId="176" fontId="55" fillId="0" borderId="0" pivotButton="0" quotePrefix="0" xfId="0"/>
    <xf numFmtId="176" fontId="60" fillId="0" borderId="0" pivotButton="0" quotePrefix="0" xfId="0"/>
    <xf numFmtId="0" fontId="55" fillId="0" borderId="26" applyAlignment="1" pivotButton="0" quotePrefix="0" xfId="0">
      <alignment horizontal="center"/>
    </xf>
    <xf numFmtId="178" fontId="64" fillId="0" borderId="0" pivotButton="0" quotePrefix="0" xfId="0"/>
    <xf numFmtId="178" fontId="60" fillId="0" borderId="0" pivotButton="0" quotePrefix="0" xfId="0"/>
    <xf numFmtId="0" fontId="74" fillId="0" borderId="0" pivotButton="0" quotePrefix="0" xfId="0"/>
    <xf numFmtId="0" fontId="77" fillId="0" borderId="0" applyAlignment="1" pivotButton="0" quotePrefix="0" xfId="0">
      <alignment horizontal="center"/>
    </xf>
    <xf numFmtId="178" fontId="75" fillId="0" borderId="0" pivotButton="0" quotePrefix="0" xfId="0"/>
    <xf numFmtId="178" fontId="75" fillId="0" borderId="0" applyAlignment="1" pivotButton="0" quotePrefix="0" xfId="0">
      <alignment horizontal="center"/>
    </xf>
    <xf numFmtId="0" fontId="77" fillId="0" borderId="0" pivotButton="0" quotePrefix="0" xfId="0"/>
    <xf numFmtId="0" fontId="74" fillId="0" borderId="0" applyAlignment="1" pivotButton="0" quotePrefix="0" xfId="0">
      <alignment indent="1"/>
    </xf>
    <xf numFmtId="165" fontId="76" fillId="0" borderId="0" pivotButton="0" quotePrefix="0" xfId="0"/>
    <xf numFmtId="165" fontId="76" fillId="0" borderId="0" applyAlignment="1" pivotButton="0" quotePrefix="0" xfId="0">
      <alignment horizontal="center"/>
    </xf>
    <xf numFmtId="179" fontId="60" fillId="0" borderId="0" pivotButton="0" quotePrefix="0" xfId="0"/>
    <xf numFmtId="179" fontId="64" fillId="0" borderId="0" pivotButton="0" quotePrefix="0" xfId="0"/>
    <xf numFmtId="0" fontId="0" fillId="0" borderId="25" pivotButton="0" quotePrefix="0" xfId="0"/>
    <xf numFmtId="179" fontId="56" fillId="0" borderId="7" applyAlignment="1" pivotButton="0" quotePrefix="0" xfId="0">
      <alignment horizontal="right" vertical="center"/>
    </xf>
    <xf numFmtId="179" fontId="56" fillId="0" borderId="0" applyAlignment="1" pivotButton="0" quotePrefix="0" xfId="0">
      <alignment horizontal="right" vertical="center"/>
    </xf>
    <xf numFmtId="176" fontId="56" fillId="0" borderId="0" pivotButton="0" quotePrefix="0" xfId="0"/>
    <xf numFmtId="178" fontId="55" fillId="0" borderId="0" pivotButton="0" quotePrefix="0" xfId="0"/>
    <xf numFmtId="179" fontId="56" fillId="0" borderId="0" pivotButton="0" quotePrefix="0" xfId="0"/>
    <xf numFmtId="165" fontId="74" fillId="4" borderId="7" applyAlignment="1" pivotButton="0" quotePrefix="0" xfId="0">
      <alignment horizontal="right" vertical="center"/>
    </xf>
    <xf numFmtId="165" fontId="74" fillId="4" borderId="0" applyAlignment="1" pivotButton="0" quotePrefix="0" xfId="0">
      <alignment horizontal="right" vertical="center"/>
    </xf>
    <xf numFmtId="177" fontId="75" fillId="0" borderId="1" applyAlignment="1" pivotButton="0" quotePrefix="0" xfId="0">
      <alignment horizontal="right" vertical="center"/>
    </xf>
    <xf numFmtId="177" fontId="76" fillId="6" borderId="0" applyAlignment="1" pivotButton="0" quotePrefix="0" xfId="0">
      <alignment horizontal="right" vertical="center"/>
    </xf>
    <xf numFmtId="166" fontId="76" fillId="0" borderId="7" applyAlignment="1" pivotButton="0" quotePrefix="0" xfId="0">
      <alignment horizontal="right" vertical="center"/>
    </xf>
    <xf numFmtId="166" fontId="76" fillId="0" borderId="0" applyAlignment="1" pivotButton="0" quotePrefix="0" xfId="0">
      <alignment horizontal="right" vertical="center"/>
    </xf>
    <xf numFmtId="10" fontId="77" fillId="0" borderId="13" applyAlignment="1" pivotButton="0" quotePrefix="0" xfId="0">
      <alignment horizontal="center"/>
    </xf>
    <xf numFmtId="175" fontId="60" fillId="0" borderId="0" pivotButton="0" quotePrefix="0" xfId="0"/>
    <xf numFmtId="0" fontId="77" fillId="0" borderId="6" applyAlignment="1" pivotButton="0" quotePrefix="0" xfId="0">
      <alignment horizontal="center"/>
    </xf>
    <xf numFmtId="0" fontId="77" fillId="0" borderId="18" applyAlignment="1" pivotButton="0" quotePrefix="0" xfId="0">
      <alignment horizontal="center"/>
    </xf>
    <xf numFmtId="2" fontId="77" fillId="0" borderId="13" applyAlignment="1" pivotButton="0" quotePrefix="0" xfId="0">
      <alignment horizontal="center"/>
    </xf>
    <xf numFmtId="170" fontId="77" fillId="0" borderId="13" applyAlignment="1" pivotButton="0" quotePrefix="0" xfId="0">
      <alignment horizontal="center"/>
    </xf>
    <xf numFmtId="0" fontId="77" fillId="0" borderId="4" applyAlignment="1" pivotButton="0" quotePrefix="0" xfId="0">
      <alignment horizontal="center"/>
    </xf>
    <xf numFmtId="0" fontId="77" fillId="0" borderId="1" applyAlignment="1" pivotButton="0" quotePrefix="0" xfId="0">
      <alignment horizontal="center"/>
    </xf>
    <xf numFmtId="0" fontId="77" fillId="0" borderId="20" applyAlignment="1" pivotButton="0" quotePrefix="0" xfId="0">
      <alignment horizontal="center"/>
    </xf>
    <xf numFmtId="164" fontId="77" fillId="0" borderId="14" applyAlignment="1" pivotButton="0" quotePrefix="0" xfId="0">
      <alignment horizontal="center"/>
    </xf>
    <xf numFmtId="170" fontId="76" fillId="0" borderId="0" applyAlignment="1" pivotButton="0" quotePrefix="0" xfId="0">
      <alignment horizontal="right" vertical="center"/>
    </xf>
    <xf numFmtId="0" fontId="74" fillId="3" borderId="0" pivotButton="0" quotePrefix="0" xfId="0"/>
    <xf numFmtId="10" fontId="78" fillId="0" borderId="0" applyAlignment="1" pivotButton="0" quotePrefix="0" xfId="0">
      <alignment horizontal="right" vertical="center"/>
    </xf>
    <xf numFmtId="1" fontId="74" fillId="0" borderId="0" pivotButton="0" quotePrefix="0" xfId="0"/>
    <xf numFmtId="170" fontId="79" fillId="0" borderId="0" applyAlignment="1" pivotButton="0" quotePrefix="0" xfId="0">
      <alignment horizontal="right" vertical="center"/>
    </xf>
    <xf numFmtId="166" fontId="74" fillId="0" borderId="0" applyAlignment="1" pivotButton="0" quotePrefix="0" xfId="0">
      <alignment horizontal="right" vertical="center"/>
    </xf>
    <xf numFmtId="177" fontId="80" fillId="0" borderId="0" applyAlignment="1" pivotButton="0" quotePrefix="0" xfId="0">
      <alignment horizontal="right" vertical="center"/>
    </xf>
    <xf numFmtId="170" fontId="80" fillId="0" borderId="0" applyAlignment="1" pivotButton="0" quotePrefix="0" xfId="0">
      <alignment horizontal="right" vertical="center"/>
    </xf>
    <xf numFmtId="171" fontId="77" fillId="0" borderId="0" applyAlignment="1" pivotButton="0" quotePrefix="0" xfId="0">
      <alignment horizontal="center"/>
    </xf>
    <xf numFmtId="166" fontId="79" fillId="0" borderId="0" pivotButton="0" quotePrefix="0" xfId="0"/>
    <xf numFmtId="177" fontId="75" fillId="0" borderId="0" applyAlignment="1" pivotButton="0" quotePrefix="0" xfId="0">
      <alignment horizontal="right" vertical="center"/>
    </xf>
    <xf numFmtId="166" fontId="75" fillId="0" borderId="0" pivotButton="0" quotePrefix="0" xfId="0"/>
    <xf numFmtId="170" fontId="75" fillId="0" borderId="0" pivotButton="0" quotePrefix="0" xfId="0"/>
    <xf numFmtId="177" fontId="75" fillId="3" borderId="0" pivotButton="0" quotePrefix="0" xfId="0"/>
    <xf numFmtId="165" fontId="79" fillId="0" borderId="0" applyAlignment="1" pivotButton="0" quotePrefix="0" xfId="0">
      <alignment horizontal="right" vertical="center"/>
    </xf>
    <xf numFmtId="165" fontId="79" fillId="6" borderId="0" applyAlignment="1" pivotButton="0" quotePrefix="0" xfId="0">
      <alignment horizontal="right" vertical="center"/>
    </xf>
    <xf numFmtId="179" fontId="75" fillId="0" borderId="0" pivotButton="0" quotePrefix="0" xfId="0"/>
    <xf numFmtId="170" fontId="79" fillId="0" borderId="0" pivotButton="0" quotePrefix="0" xfId="0"/>
    <xf numFmtId="180" fontId="57" fillId="0" borderId="0" pivotButton="0" quotePrefix="0" xfId="0"/>
    <xf numFmtId="180" fontId="58" fillId="0" borderId="0" pivotButton="0" quotePrefix="0" xfId="0"/>
    <xf numFmtId="180" fontId="55" fillId="0" borderId="0" pivotButton="0" quotePrefix="0" xfId="0"/>
    <xf numFmtId="180" fontId="60" fillId="0" borderId="0" pivotButton="0" quotePrefix="0" xfId="0"/>
    <xf numFmtId="180" fontId="62" fillId="0" borderId="0" pivotButton="0" quotePrefix="0" xfId="0"/>
    <xf numFmtId="180" fontId="56" fillId="0" borderId="0" pivotButton="0" quotePrefix="0" xfId="0"/>
    <xf numFmtId="176" fontId="57" fillId="0" borderId="0" pivotButton="0" quotePrefix="0" xfId="0"/>
    <xf numFmtId="179" fontId="55" fillId="0" borderId="0" pivotButton="0" quotePrefix="0" xfId="0"/>
    <xf numFmtId="179" fontId="57" fillId="0" borderId="0" pivotButton="0" quotePrefix="0" xfId="0"/>
    <xf numFmtId="171" fontId="79" fillId="6" borderId="0" applyAlignment="1" pivotButton="0" quotePrefix="0" xfId="0">
      <alignment horizontal="right" vertical="center"/>
    </xf>
    <xf numFmtId="177" fontId="81" fillId="6" borderId="0" applyAlignment="1" pivotButton="0" quotePrefix="0" xfId="0">
      <alignment horizontal="right" vertical="center"/>
    </xf>
    <xf numFmtId="0" fontId="59" fillId="3" borderId="0" pivotButton="0" quotePrefix="0" xfId="0"/>
    <xf numFmtId="0" fontId="56" fillId="3" borderId="0" pivotButton="0" quotePrefix="0" xfId="0"/>
    <xf numFmtId="10" fontId="55" fillId="0" borderId="0" applyAlignment="1" pivotButton="0" quotePrefix="0" xfId="0">
      <alignment horizontal="right" vertical="center"/>
    </xf>
    <xf numFmtId="10" fontId="56" fillId="0" borderId="0" applyAlignment="1" pivotButton="0" quotePrefix="0" xfId="0">
      <alignment horizontal="right" vertical="center"/>
    </xf>
    <xf numFmtId="164" fontId="56" fillId="0" borderId="0" applyAlignment="1" pivotButton="0" quotePrefix="0" xfId="0">
      <alignment horizontal="right" vertical="center"/>
    </xf>
    <xf numFmtId="165" fontId="62" fillId="0" borderId="26" applyAlignment="1" pivotButton="0" quotePrefix="0" xfId="0">
      <alignment horizontal="right" vertical="center"/>
    </xf>
    <xf numFmtId="179" fontId="75" fillId="0" borderId="0" applyAlignment="1" pivotButton="0" quotePrefix="0" xfId="0">
      <alignment horizontal="right" vertical="center"/>
    </xf>
    <xf numFmtId="179" fontId="75" fillId="6" borderId="0" applyAlignment="1" pivotButton="0" quotePrefix="0" xfId="0">
      <alignment horizontal="right" vertical="center"/>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26649E"/>
      <rgbColor rgb="FFBFBFBF"/>
      <rgbColor rgb="FF808080"/>
      <rgbColor rgb="FF9999FF"/>
      <rgbColor rgb="FF993366"/>
      <rgbColor rgb="FFFFF2CC"/>
      <rgbColor rgb="FFF8F5EF"/>
      <rgbColor rgb="FF660066"/>
      <rgbColor rgb="FFFF8080"/>
      <rgbColor rgb="FF215E99"/>
      <rgbColor rgb="FFD8D8D8"/>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E2841"/>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styles" Target="styles.xml" Id="rId41"/><Relationship Type="http://schemas.openxmlformats.org/officeDocument/2006/relationships/theme" Target="theme/theme1.xml" Id="rId42"/></Relationships>
</file>

<file path=xl/comments/comment1.xml><?xml version="1.0" encoding="utf-8"?>
<comments xmlns="http://schemas.openxmlformats.org/spreadsheetml/2006/main">
  <authors>
    <author>Unknown Author</author>
  </authors>
  <commentList>
    <comment ref="F18" authorId="0" shapeId="0">
      <text>
        <t>ESTIMATE. Insurance ≈81% of units (10-K); US ≈ 80–82% of units; non-insurance ≈25% of US volume per FY26 call. Refine in Volume Build.</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FF0E2841"/>
    <outlinePr summaryBelow="1" summaryRight="1"/>
    <pageSetUpPr/>
  </sheetPr>
  <dimension ref="B2:S27"/>
  <sheetViews>
    <sheetView showGridLines="0" zoomScale="90" workbookViewId="0">
      <selection activeCell="G31" sqref="G31"/>
    </sheetView>
  </sheetViews>
  <sheetFormatPr baseColWidth="10" defaultColWidth="8.83203125" defaultRowHeight="15"/>
  <cols>
    <col width="2.5" customWidth="1" style="392" min="1" max="1"/>
    <col width="66" customWidth="1" style="392" min="2" max="2"/>
    <col width="8" customWidth="1" style="392" min="3" max="3"/>
    <col width="13" customWidth="1" style="392" min="4" max="4"/>
    <col width="3" customWidth="1" style="392" min="5" max="5"/>
    <col width="22" customWidth="1" style="392" min="6" max="6"/>
    <col width="58" customWidth="1" style="392" min="7" max="7"/>
    <col width="70" customWidth="1" style="392" min="8" max="8"/>
  </cols>
  <sheetData>
    <row r="2" ht="24" customHeight="1" s="392">
      <c r="B2" s="244" t="inlineStr">
        <is>
          <t>Copart, Inc. (NASDAQ: CPRT)</t>
        </is>
      </c>
    </row>
    <row r="3" ht="16" customHeight="1" s="392">
      <c r="B3" s="245" t="inlineStr">
        <is>
          <t>Revenue architecture, three-statement model, DCF and reverse DCF — Harvard pitch team, October 2026</t>
        </is>
      </c>
    </row>
    <row r="5">
      <c r="B5" s="246" t="inlineStr">
        <is>
          <t>Ticker</t>
        </is>
      </c>
      <c r="C5" s="247" t="n"/>
      <c r="D5" s="248" t="inlineStr">
        <is>
          <t>NASDAQ: $CPRT</t>
        </is>
      </c>
      <c r="E5" s="247" t="n"/>
      <c r="F5" s="373" t="inlineStr">
        <is>
          <t>Colour and label legend</t>
        </is>
      </c>
      <c r="G5" s="247" t="n"/>
      <c r="H5" s="247" t="n"/>
      <c r="I5" s="247" t="n"/>
      <c r="J5" s="247" t="n"/>
      <c r="K5" s="247" t="n"/>
      <c r="L5" s="247" t="n"/>
      <c r="M5" s="247" t="n"/>
      <c r="N5" s="247" t="n"/>
      <c r="O5" s="247" t="n"/>
      <c r="P5" s="247" t="n"/>
      <c r="Q5" s="247" t="n"/>
      <c r="R5" s="247" t="n"/>
      <c r="S5" s="247" t="n"/>
    </row>
    <row r="6">
      <c r="B6" s="249" t="inlineStr">
        <is>
          <t>Current share price (26 Sep 2026)</t>
        </is>
      </c>
      <c r="D6" s="401" t="n">
        <v>29.95</v>
      </c>
      <c r="F6" s="251" t="inlineStr">
        <is>
          <t>Blue: typed input, with label and source</t>
        </is>
      </c>
      <c r="H6" s="252" t="inlineStr">
        <is>
          <t>Owner-entered close — the one typed price in the workbook. DCF H118, the WACC build (Reverse DCF S5) and the Summary read this cell; a rebuild keeps whatever is typed here</t>
        </is>
      </c>
    </row>
    <row r="7">
      <c r="B7" s="249" t="inlineStr">
        <is>
          <t>Price target (DCF implied share price, selected case)</t>
        </is>
      </c>
      <c r="D7" s="402">
        <f>DCF!H98</f>
        <v/>
      </c>
      <c r="F7" s="254" t="inlineStr">
        <is>
          <t>Black: formula</t>
        </is>
      </c>
      <c r="H7" s="252" t="inlineStr">
        <is>
          <t>DCF equity bridge on the Cover statistics and fully diluted shares</t>
        </is>
      </c>
    </row>
    <row r="8">
      <c r="B8" s="249" t="inlineStr">
        <is>
          <t>Implied upside / (downside)</t>
        </is>
      </c>
      <c r="D8" s="255">
        <f>D7/D6-1</f>
        <v/>
      </c>
      <c r="F8" s="256" t="inlineStr">
        <is>
          <t>Green: link from another tab</t>
        </is>
      </c>
    </row>
    <row r="9" ht="17" customHeight="1" s="392">
      <c r="B9" s="257" t="inlineStr">
        <is>
          <t>Key statistics — the hub: the DCF bridge, the WACC build and the Summary read these cells</t>
        </is>
      </c>
      <c r="F9" s="258" t="inlineStr">
        <is>
          <t>Red: toggle, probability or scenario selector</t>
        </is>
      </c>
    </row>
    <row r="10">
      <c r="B10" s="254" t="inlineStr">
        <is>
          <t>Market capitalisation ($m)</t>
        </is>
      </c>
      <c r="D10" s="259">
        <f>D6*D15</f>
        <v/>
      </c>
      <c r="F10" s="252" t="inlineStr">
        <is>
          <t>Grey italic: notes and sources</t>
        </is>
      </c>
      <c r="H10" s="252" t="inlineStr">
        <is>
          <t>Price × fully diluted shares; feeds the WACC build (Reverse DCF S7)</t>
        </is>
      </c>
    </row>
    <row r="11">
      <c r="B11" s="249" t="inlineStr">
        <is>
          <t>Enterprise value ($m)</t>
        </is>
      </c>
      <c r="D11" s="260">
        <f>D10-D12+D13+D14</f>
        <v/>
      </c>
      <c r="F11" s="252" t="inlineStr">
        <is>
          <t>Labels: VERIFIED · MEASURED · FITTED · CALIBRATED · ASSUMED · UNVERIFIED · ENGINE</t>
        </is>
      </c>
      <c r="H11" s="252" t="inlineStr">
        <is>
          <t>Market cap − cash &amp; HTM + lease debt + non-controlling interest</t>
        </is>
      </c>
    </row>
    <row r="12">
      <c r="B12" s="254" t="inlineStr">
        <is>
          <t>Cash &amp; held-to-maturity securities, 31 Jul 2026 ($m)</t>
        </is>
      </c>
      <c r="D12" s="261">
        <f>'D 10-K FY26'!C12+'D 10-K FY26'!C13</f>
        <v/>
      </c>
      <c r="F12" s="249" t="inlineStr">
        <is>
          <t>Tab map</t>
        </is>
      </c>
      <c r="H12" s="252" t="inlineStr">
        <is>
          <t>10-K balance sheet (D 10-K FY26: 1,907.9 + 2,581.9); feeds DCF H107</t>
        </is>
      </c>
    </row>
    <row r="13">
      <c r="B13" s="254" t="inlineStr">
        <is>
          <t>Debt: lease liabilities, 31 Jul 2026 ($m)</t>
        </is>
      </c>
      <c r="D13" s="261">
        <f>'3SM'!H77</f>
        <v/>
      </c>
      <c r="F13" s="249" t="inlineStr">
        <is>
          <t>Key Drivers</t>
        </is>
      </c>
      <c r="G13" s="252" t="inlineStr">
        <is>
          <t>the numbers the theses turn on</t>
        </is>
      </c>
      <c r="H13" s="252" t="inlineStr">
        <is>
          <t>3SM balance sheet (PitchBook / 10-K): 15.2 current + 73.2 non-current; no funded debt. Feeds DCF H108 and the WACC build (S8)</t>
        </is>
      </c>
    </row>
    <row r="14">
      <c r="B14" s="254" t="inlineStr">
        <is>
          <t>Non-controlling interest, 31 Jul 2026 ($m)</t>
        </is>
      </c>
      <c r="D14" s="261">
        <f>'3SM'!H72</f>
        <v/>
      </c>
      <c r="F14" s="249" t="inlineStr">
        <is>
          <t>Summary</t>
        </is>
      </c>
      <c r="G14" s="252" t="inlineStr">
        <is>
          <t>headline financials, Street Δ, component delta to Street</t>
        </is>
      </c>
      <c r="H14" s="252" t="inlineStr">
        <is>
          <t>3SM balance sheet; feeds DCF H109</t>
        </is>
      </c>
    </row>
    <row r="15">
      <c r="B15" s="249" t="inlineStr">
        <is>
          <t>Fully diluted shares (mn) = basic + treasury-method options + RSUs</t>
        </is>
      </c>
      <c r="D15" s="403">
        <f>D16+D17+D18</f>
        <v/>
      </c>
      <c r="F15" s="249" t="inlineStr">
        <is>
          <t>RPM</t>
        </is>
      </c>
      <c r="G15" s="252" t="inlineStr">
        <is>
          <t>one-page revenue build; scenario dropdown in D3</t>
        </is>
      </c>
      <c r="H15" s="252" t="inlineStr">
        <is>
          <t>Feeds DCF H112 and the WACC build (Reverse DCF S6)</t>
        </is>
      </c>
    </row>
    <row r="16">
      <c r="B16" s="254" t="inlineStr">
        <is>
          <t>Basic shares outstanding, 31 Jul 2026 (mn)</t>
        </is>
      </c>
      <c r="D16" s="404">
        <f>'D 10-K FY26'!C5</f>
        <v/>
      </c>
      <c r="F16" s="249" t="inlineStr">
        <is>
          <t>3SM</t>
        </is>
      </c>
      <c r="G16" s="252" t="inlineStr">
        <is>
          <t>three statements FY22A–FY31E with schedules; feeds the DCF</t>
        </is>
      </c>
      <c r="H16" s="252" t="inlineStr">
        <is>
          <t>10-K Note 12: 926,298,293 shares at 31 Jul 2026</t>
        </is>
      </c>
    </row>
    <row r="17">
      <c r="B17" s="254" t="inlineStr">
        <is>
          <t>Net shares from options, treasury method (mn): N × max(0, 1 − K/P)</t>
        </is>
      </c>
      <c r="D17" s="264">
        <f>'D 10-K FY26'!C6/1000*MAX(0,1-'D 10-K FY26'!D6/D6)</f>
        <v/>
      </c>
      <c r="F17" s="249" t="inlineStr">
        <is>
          <t>DCF / Reverse DCF</t>
        </is>
      </c>
      <c r="G17" s="252" t="inlineStr">
        <is>
          <t>valuation; WACC and tax build in Reverse DCF columns R–X</t>
        </is>
      </c>
      <c r="H17" s="252" t="inlineStr">
        <is>
          <t>10-K Note 12: 12.759m options at a $24.19 weighted-average exercise price; P = the price in D6</t>
        </is>
      </c>
    </row>
    <row r="18">
      <c r="B18" s="254" t="inlineStr">
        <is>
          <t>Unvested RSUs (mn)</t>
        </is>
      </c>
      <c r="D18" s="264">
        <f>IF(ISNUMBER('D 10-K FY26'!C8),'D 10-K FY26'!C8/1000,0)</f>
        <v/>
      </c>
      <c r="F18" s="249" t="inlineStr">
        <is>
          <t>E1–E6</t>
        </is>
      </c>
      <c r="G18" s="252" t="inlineStr">
        <is>
          <t>engines: fleet, claims, carriers, aftermarket, fees, branches</t>
        </is>
      </c>
      <c r="H18" s="252" t="inlineStr">
        <is>
          <t>RSU count not parsed from the filing text; enter it from Note 12 on D 10-K FY26</t>
        </is>
      </c>
    </row>
    <row r="19">
      <c r="B19" s="254" t="inlineStr">
        <is>
          <t>EV / FY2026A adjusted EBITDA (x)</t>
        </is>
      </c>
      <c r="D19" s="265">
        <f>D11/D22</f>
        <v/>
      </c>
      <c r="F19" s="249" t="inlineStr">
        <is>
          <t>Scenarios / Street</t>
        </is>
      </c>
      <c r="G19" s="252" t="inlineStr">
        <is>
          <t>seven cases on one base; broker assumptions</t>
        </is>
      </c>
    </row>
    <row r="20">
      <c r="B20" s="254" t="inlineStr">
        <is>
          <t>Price / FY2026A diluted EPS (x)</t>
        </is>
      </c>
      <c r="D20" s="266">
        <f>D6/'3SM'!H28</f>
        <v/>
      </c>
      <c r="F20" s="249" t="inlineStr">
        <is>
          <t>Sources / Checks</t>
        </is>
      </c>
      <c r="G20" s="252" t="inlineStr">
        <is>
          <t>every input with its source; live checks</t>
        </is>
      </c>
      <c r="H20" s="252" t="inlineStr">
        <is>
          <t>3SM FY2026A diluted EPS</t>
        </is>
      </c>
    </row>
    <row r="21">
      <c r="B21" s="254" t="inlineStr">
        <is>
          <t>FY2026A revenue ($m)</t>
        </is>
      </c>
      <c r="D21" s="261">
        <f>RPM!H6</f>
        <v/>
      </c>
      <c r="F21" s="249" t="inlineStr">
        <is>
          <t>D …</t>
        </is>
      </c>
      <c r="G21" s="252" t="inlineStr">
        <is>
          <t>data tabs with sources and dates</t>
        </is>
      </c>
    </row>
    <row r="22">
      <c r="B22" s="254" t="inlineStr">
        <is>
          <t>FY2026A adjusted EBITDA ($m)</t>
        </is>
      </c>
      <c r="D22" s="261">
        <f>'3SM'!H18</f>
        <v/>
      </c>
      <c r="H22" s="252" t="inlineStr">
        <is>
          <t>3SM: EBIT + D&amp;A (Barclays definition)</t>
        </is>
      </c>
    </row>
    <row r="23">
      <c r="B23" s="254" t="inlineStr">
        <is>
          <t>FY2027E legacy service revenue, selected case ($m)</t>
        </is>
      </c>
      <c r="D23" s="261">
        <f>RPM!I10</f>
        <v/>
      </c>
    </row>
    <row r="24">
      <c r="B24" s="254" t="inlineStr">
        <is>
          <t>Δ to JPMorgan FY27E service revenue ($m)</t>
        </is>
      </c>
      <c r="D24" s="261">
        <f>RPM!D50</f>
        <v/>
      </c>
    </row>
    <row r="25">
      <c r="B25" s="254" t="inlineStr">
        <is>
          <t>Selected scenario (dropdown on RPM D3)</t>
        </is>
      </c>
      <c r="D25" s="267">
        <f>RPM!D3</f>
        <v/>
      </c>
    </row>
    <row r="26">
      <c r="B26" s="254" t="inlineStr">
        <is>
          <t>WACC (bottom-up build, Reverse DCF R–X)</t>
        </is>
      </c>
      <c r="D26" s="268">
        <f>'WACC, Tax, and Reverse DCF'!N31</f>
        <v/>
      </c>
    </row>
    <row r="27">
      <c r="B27" s="254" t="inlineStr">
        <is>
          <t>Structural effective tax rate</t>
        </is>
      </c>
      <c r="D27" s="268">
        <f>'WACC, Tax, and Reverse DCF'!N39</f>
        <v/>
      </c>
    </row>
  </sheetData>
  <pageMargins left="0.75" right="0.75" top="1" bottom="1" header="0.5" footer="0.5"/>
</worksheet>
</file>

<file path=xl/worksheets/sheet2.xml><?xml version="1.0" encoding="utf-8"?>
<worksheet xmlns="http://schemas.openxmlformats.org/spreadsheetml/2006/main">
  <sheetPr>
    <tabColor rgb="FF0E2841"/>
    <outlinePr summaryBelow="1" summaryRight="1"/>
    <pageSetUpPr/>
  </sheetPr>
  <dimension ref="B1:S68"/>
  <sheetViews>
    <sheetView showGridLines="0" zoomScale="90" workbookViewId="0">
      <pane xSplit="3" ySplit="4" topLeftCell="D5"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2.5" customWidth="1" style="392" min="1" max="1"/>
    <col width="70" customWidth="1" style="392" min="2" max="2"/>
    <col width="8" customWidth="1" style="392" min="3" max="3"/>
    <col width="13" customWidth="1" style="392" min="4" max="7"/>
    <col width="48" customWidth="1" style="392" min="8" max="8"/>
  </cols>
  <sheetData>
    <row r="1" ht="17" customHeight="1" s="392">
      <c r="B1" s="269" t="inlineStr">
        <is>
          <t>Key Drivers (all cells link to the engines; labels and sources travel with them)</t>
        </is>
      </c>
      <c r="C1" s="270" t="n"/>
      <c r="D1" s="270" t="n"/>
      <c r="E1" s="270" t="n"/>
      <c r="F1" s="270" t="n"/>
      <c r="G1" s="270" t="n"/>
      <c r="H1" s="270" t="n"/>
      <c r="I1" s="270" t="n"/>
      <c r="J1" s="270" t="n"/>
      <c r="K1" s="270" t="n"/>
      <c r="L1" s="270" t="n"/>
      <c r="M1" s="270" t="n"/>
      <c r="N1" s="270" t="n"/>
      <c r="O1" s="270" t="n"/>
      <c r="P1" s="270" t="n"/>
      <c r="Q1" s="270" t="n"/>
      <c r="R1" s="270" t="n"/>
      <c r="S1" s="270" t="n"/>
    </row>
    <row r="2">
      <c r="B2" s="252" t="inlineStr">
        <is>
          <t>Green = link. Change an input on its engine tab, not here. FQ4 FY26 is the last reported quarter; FQ1 FY27 is the first forecast quarter.</t>
        </is>
      </c>
    </row>
    <row r="4">
      <c r="D4" s="249" t="inlineStr">
        <is>
          <t>Value</t>
        </is>
      </c>
      <c r="E4" s="249" t="inlineStr">
        <is>
          <t>Unit</t>
        </is>
      </c>
      <c r="F4" s="249" t="inlineStr">
        <is>
          <t>Label</t>
        </is>
      </c>
      <c r="H4" s="252" t="inlineStr">
        <is>
          <t>Source / where it lives</t>
        </is>
      </c>
    </row>
    <row r="5">
      <c r="B5" s="271" t="inlineStr">
        <is>
          <t>Thesis 1 — coverage persistence (E2 block F, D Coverage)</t>
        </is>
      </c>
      <c r="C5" s="272" t="n"/>
      <c r="D5" s="272" t="n"/>
      <c r="E5" s="272" t="n"/>
      <c r="F5" s="272" t="n"/>
      <c r="G5" s="272" t="n"/>
      <c r="H5" s="272" t="n"/>
      <c r="I5" s="272" t="n"/>
      <c r="J5" s="272" t="n"/>
      <c r="K5" s="272" t="n"/>
      <c r="L5" s="272" t="n"/>
      <c r="M5" s="272" t="n"/>
      <c r="N5" s="272" t="n"/>
      <c r="O5" s="272" t="n"/>
      <c r="P5" s="272" t="n"/>
      <c r="Q5" s="272" t="n"/>
      <c r="R5" s="272" t="n"/>
      <c r="S5" s="272" t="n"/>
    </row>
    <row r="6">
      <c r="B6" s="254" t="inlineStr">
        <is>
          <t>Motor-vehicle-insurance CPI, latest month y/y (Aug 2026)</t>
        </is>
      </c>
      <c r="D6" s="273">
        <f>'D Coverage'!Q17</f>
        <v/>
      </c>
      <c r="E6" s="274" t="inlineStr">
        <is>
          <t>%</t>
        </is>
      </c>
      <c r="F6" s="252" t="inlineStr">
        <is>
          <t>VERIFIED</t>
        </is>
      </c>
      <c r="H6" s="252" t="inlineStr">
        <is>
          <t>BLS CUUR0000SETE, raw/bls; the premium index is falling</t>
        </is>
      </c>
    </row>
    <row r="7">
      <c r="B7" s="254" t="inlineStr">
        <is>
          <t>Premium growth used for FY27 (selected path; E2 row 127 selects BLS trend or S&amp;P-consistent)</t>
        </is>
      </c>
      <c r="D7" s="273">
        <f>'E2 Claims &amp; Totals'!D123</f>
        <v/>
      </c>
      <c r="E7" s="274" t="inlineStr">
        <is>
          <t>%</t>
        </is>
      </c>
      <c r="F7" s="252" t="inlineStr">
        <is>
          <t>selected</t>
        </is>
      </c>
      <c r="H7" s="252" t="inlineStr">
        <is>
          <t>E2 D123</t>
        </is>
      </c>
    </row>
    <row r="8">
      <c r="B8" s="254" t="inlineStr">
        <is>
          <t>Average hourly earnings growth, latest year</t>
        </is>
      </c>
      <c r="D8" s="273">
        <f>'E2 Claims &amp; Totals'!D124</f>
        <v/>
      </c>
      <c r="E8" s="274" t="inlineStr">
        <is>
          <t>%</t>
        </is>
      </c>
      <c r="F8" s="252" t="inlineStr">
        <is>
          <t>VERIFIED</t>
        </is>
      </c>
      <c r="H8" s="252" t="inlineStr">
        <is>
          <t>BLS CES0500000003</t>
        </is>
      </c>
    </row>
    <row r="9">
      <c r="B9" s="254" t="inlineStr">
        <is>
          <t>Premium burden 2023 (level at which households left) / 2026 to date (2025 = 1)</t>
        </is>
      </c>
      <c r="D9" s="266">
        <f>'E2 Claims &amp; Totals'!J108</f>
        <v/>
      </c>
      <c r="E9" s="274" t="inlineStr">
        <is>
          <t>x</t>
        </is>
      </c>
      <c r="F9" s="252" t="inlineStr">
        <is>
          <t>MEASURED</t>
        </is>
      </c>
      <c r="H9" s="252" t="inlineStr">
        <is>
          <t>E2 row 108; 2026 value in M108 (0.956): still 10% above 2023 after the 2026 premium decline</t>
        </is>
      </c>
    </row>
    <row r="10">
      <c r="B10" s="254" t="inlineStr">
        <is>
          <t>First quarter the burden falls below its 2023 level, selected path</t>
        </is>
      </c>
      <c r="D10" s="275">
        <f>'E2 Claims &amp; Totals'!D131</f>
        <v/>
      </c>
      <c r="E10" s="274" t="n"/>
      <c r="F10" s="252" t="inlineStr">
        <is>
          <t>MEASURED</t>
        </is>
      </c>
      <c r="H10" s="252" t="inlineStr">
        <is>
          <t>E2 D131; "beyond FQ4 FY28" on the S&amp;P-consistent path</t>
        </is>
      </c>
    </row>
    <row r="11">
      <c r="B11" s="254" t="inlineStr">
        <is>
          <t>S&amp;P auto combined ratio path 2025P / 2026P / 2027P</t>
        </is>
      </c>
      <c r="D11" s="275">
        <f>'D Coverage'!D20</f>
        <v/>
      </c>
      <c r="E11" s="274" t="inlineStr">
        <is>
          <t>ratio</t>
        </is>
      </c>
      <c r="F11" s="252" t="inlineStr">
        <is>
          <t>VERIFIED (republication)</t>
        </is>
      </c>
      <c r="H11" s="252" t="inlineStr">
        <is>
          <t>D Coverage rows 20–22: 94.5 / 97.1 / 98.9, breaching 100 in 2028 (Carrier Management, 6 Jan 2026)</t>
        </is>
      </c>
    </row>
    <row r="12">
      <c r="B12" s="254" t="inlineStr">
        <is>
          <t>Uninsured-motorist rate 2017 / 2023</t>
        </is>
      </c>
      <c r="D12" s="273">
        <f>'D Coverage'!D8</f>
        <v/>
      </c>
      <c r="E12" s="274" t="inlineStr">
        <is>
          <t>%</t>
        </is>
      </c>
      <c r="F12" s="252" t="inlineStr">
        <is>
          <t>VERIFIED endpoints</t>
        </is>
      </c>
      <c r="H12" s="252" t="inlineStr">
        <is>
          <t>IRC release 20 Feb 2025; 2023 = 15.4% (D Coverage J8)</t>
        </is>
      </c>
    </row>
    <row r="13">
      <c r="B13" s="254" t="inlineStr">
        <is>
          <t>Physical-damage coverage index 2017 (2025 = 1.000; the 2017–23 change is the measured coverage decline)</t>
        </is>
      </c>
      <c r="D13" s="266">
        <f>'E2 Claims &amp; Totals'!D107</f>
        <v/>
      </c>
      <c r="E13" s="274" t="inlineStr">
        <is>
          <t>x</t>
        </is>
      </c>
      <c r="F13" s="252" t="inlineStr">
        <is>
          <t>MEASURED</t>
        </is>
      </c>
      <c r="H13" s="252" t="inlineStr">
        <is>
          <t>E2 row 107; collision share 76–77% flat 2021–23, so the decline is the uninsured leg</t>
        </is>
      </c>
    </row>
    <row r="14">
      <c r="B14" s="254" t="inlineStr">
        <is>
          <t>Share of insured drivers with collision coverage, 2021 / 2022 / 2023</t>
        </is>
      </c>
      <c r="D14" s="273">
        <f>'D Coverage'!H9</f>
        <v/>
      </c>
      <c r="E14" s="274" t="inlineStr">
        <is>
          <t>%</t>
        </is>
      </c>
      <c r="F14" s="252" t="inlineStr">
        <is>
          <t>VERIFIED (republication)</t>
        </is>
      </c>
      <c r="H14" s="252" t="inlineStr">
        <is>
          <t>III via Wayback snapshots 2024 and 2025 plus the live page: 76% / 77% / 77%</t>
        </is>
      </c>
    </row>
    <row r="15">
      <c r="B15" s="254" t="inlineStr">
        <is>
          <t>Two-point coverage response to premium burden (ε)</t>
        </is>
      </c>
      <c r="D15" s="266">
        <f>'E2 Claims &amp; Totals'!D110</f>
        <v/>
      </c>
      <c r="E15" s="274" t="inlineStr">
        <is>
          <t>x</t>
        </is>
      </c>
      <c r="F15" s="252" t="inlineStr">
        <is>
          <t>UNVERIFIED</t>
        </is>
      </c>
      <c r="H15" s="252" t="inlineStr">
        <is>
          <t>E2 D110; n = 2</t>
        </is>
      </c>
    </row>
    <row r="16">
      <c r="B16" s="254" t="inlineStr">
        <is>
          <t>Street-implied FY27 coverage recovery r (reverse-solved to JPM)</t>
        </is>
      </c>
      <c r="D16" s="273">
        <f>'E2 Claims &amp; Totals'!D126</f>
        <v/>
      </c>
      <c r="E16" s="274" t="inlineStr">
        <is>
          <t>%</t>
        </is>
      </c>
      <c r="F16" s="252" t="inlineStr">
        <is>
          <t>MEASURED</t>
        </is>
      </c>
      <c r="H16" s="252" t="inlineStr">
        <is>
          <t>E2 D124: what the Street number needs</t>
        </is>
      </c>
    </row>
    <row r="17">
      <c r="B17" s="254" t="inlineStr">
        <is>
          <t>Coverage ratio FQ1 FY27: sticky / premium-response / recovery</t>
        </is>
      </c>
      <c r="D17" s="266">
        <f>'E2 Claims &amp; Totals'!H116</f>
        <v/>
      </c>
      <c r="E17" s="274" t="inlineStr">
        <is>
          <t>x</t>
        </is>
      </c>
      <c r="F17" s="252" t="inlineStr">
        <is>
          <t>paths</t>
        </is>
      </c>
      <c r="H17" s="252" t="inlineStr">
        <is>
          <t>E2 rows 116–118 (H117, H118 for the other paths)</t>
        </is>
      </c>
    </row>
    <row r="18">
      <c r="B18" s="254" t="inlineStr">
        <is>
          <t>CCC total claim volume y/y, 2024 / 2025</t>
        </is>
      </c>
      <c r="D18" s="273">
        <f>'D Coverage'!K10</f>
        <v/>
      </c>
      <c r="E18" s="274" t="inlineStr">
        <is>
          <t>%</t>
        </is>
      </c>
      <c r="F18" s="252" t="inlineStr">
        <is>
          <t>VERIFIED</t>
        </is>
      </c>
      <c r="H18" s="252" t="inlineStr">
        <is>
          <t>D Coverage K10 / L10 (2025 = −3.3%)</t>
        </is>
      </c>
    </row>
    <row r="20">
      <c r="B20" s="271" t="inlineStr">
        <is>
          <t>Thesis 2 — aftermarket substitution (E4)</t>
        </is>
      </c>
      <c r="C20" s="272" t="n"/>
      <c r="D20" s="272" t="n"/>
      <c r="E20" s="272" t="n"/>
      <c r="F20" s="272" t="n"/>
      <c r="G20" s="272" t="n"/>
      <c r="H20" s="272" t="n"/>
      <c r="I20" s="272" t="n"/>
      <c r="J20" s="272" t="n"/>
      <c r="K20" s="272" t="n"/>
      <c r="L20" s="272" t="n"/>
      <c r="M20" s="272" t="n"/>
      <c r="N20" s="272" t="n"/>
      <c r="O20" s="272" t="n"/>
      <c r="P20" s="272" t="n"/>
      <c r="Q20" s="272" t="n"/>
      <c r="R20" s="272" t="n"/>
      <c r="S20" s="272" t="n"/>
    </row>
    <row r="21">
      <c r="B21" s="254" t="inlineStr">
        <is>
          <t>Aftermarket share of replacement-part dollars, 2025</t>
        </is>
      </c>
      <c r="D21" s="273">
        <f>'E4 Aftermarket'!D47</f>
        <v/>
      </c>
      <c r="E21" s="274" t="inlineStr">
        <is>
          <t>%</t>
        </is>
      </c>
      <c r="F21" s="252" t="inlineStr">
        <is>
          <t>VERIFIED</t>
        </is>
      </c>
      <c r="H21" s="252" t="inlineStr">
        <is>
          <t>CCC Crash Course 2026 (21.0% in 2024)</t>
        </is>
      </c>
    </row>
    <row r="22">
      <c r="B22" s="254" t="inlineStr">
        <is>
          <t>Recycled share of replacement-part dollars, 2025</t>
        </is>
      </c>
      <c r="D22" s="273">
        <f>'E4 Aftermarket'!D48</f>
        <v/>
      </c>
      <c r="E22" s="274" t="inlineStr">
        <is>
          <t>%</t>
        </is>
      </c>
      <c r="F22" s="252" t="inlineStr">
        <is>
          <t>VERIFIED</t>
        </is>
      </c>
      <c r="H22" s="252" t="inlineStr">
        <is>
          <t>CCC (10.7% in 2024)</t>
        </is>
      </c>
    </row>
    <row r="23">
      <c r="B23" s="254" t="inlineStr">
        <is>
          <t>Aftermarket price relative to OEM at the anchor</t>
        </is>
      </c>
      <c r="D23" s="266">
        <f>'E4 Aftermarket'!D50</f>
        <v/>
      </c>
      <c r="E23" s="274" t="inlineStr">
        <is>
          <t>x</t>
        </is>
      </c>
      <c r="F23" s="252" t="inlineStr">
        <is>
          <t>VERIFIED (historical)</t>
        </is>
      </c>
      <c r="H23" s="252" t="inlineStr">
        <is>
          <t>Mitchell 2016 discounts, mean 27%; recycled set equal at the anchor</t>
        </is>
      </c>
    </row>
    <row r="24">
      <c r="B24" s="254" t="inlineStr">
        <is>
          <t>Aftermarket relative-price drift per year (PartsTrader: OEM +4.3%, aftermarket &lt;1%)</t>
        </is>
      </c>
      <c r="D24" s="273">
        <f>'E4 Aftermarket'!D68</f>
        <v/>
      </c>
      <c r="E24" s="274" t="inlineStr">
        <is>
          <t>%</t>
        </is>
      </c>
      <c r="F24" s="252" t="inlineStr">
        <is>
          <t>VERIFIED (trend, one year)</t>
        </is>
      </c>
      <c r="H24" s="252" t="inlineStr">
        <is>
          <t>E4 D68</t>
        </is>
      </c>
    </row>
    <row r="25">
      <c r="B25" s="254" t="inlineStr">
        <is>
          <t>Aftermarket price relative to OEM by FQ4 FY28 (recycled stays at 0.73)</t>
        </is>
      </c>
      <c r="D25" s="266">
        <f>'E4 Aftermarket'!O9</f>
        <v/>
      </c>
      <c r="E25" s="274" t="inlineStr">
        <is>
          <t>x</t>
        </is>
      </c>
      <c r="F25" s="252" t="inlineStr">
        <is>
          <t>derived</t>
        </is>
      </c>
      <c r="H25" s="252" t="inlineStr">
        <is>
          <t>E4 row 9</t>
        </is>
      </c>
    </row>
    <row r="26">
      <c r="B26" s="254" t="inlineStr">
        <is>
          <t>Sourcing path selector (1 observed trend, 2 memo stress)</t>
        </is>
      </c>
      <c r="D26" s="275">
        <f>'E4 Aftermarket'!D64</f>
        <v/>
      </c>
      <c r="E26" s="274" t="n"/>
      <c r="F26" s="252" t="inlineStr">
        <is>
          <t>TOGGLE</t>
        </is>
      </c>
      <c r="H26" s="252" t="inlineStr">
        <is>
          <t>E4 D64</t>
        </is>
      </c>
    </row>
    <row r="27">
      <c r="B27" s="254" t="inlineStr">
        <is>
          <t>Cumulative aftermarket share shift at FQ4 FY27 (selected path)</t>
        </is>
      </c>
      <c r="D27" s="266">
        <f>'E4 Aftermarket'!K7</f>
        <v/>
      </c>
      <c r="E27" s="274" t="inlineStr">
        <is>
          <t>pts</t>
        </is>
      </c>
      <c r="F27" s="252" t="inlineStr">
        <is>
          <t>path</t>
        </is>
      </c>
      <c r="H27" s="252" t="inlineStr">
        <is>
          <t>E4 row 7</t>
        </is>
      </c>
    </row>
    <row r="28">
      <c r="B28" s="254" t="inlineStr">
        <is>
          <t>Complete repair-bill change at FQ4 FY27</t>
        </is>
      </c>
      <c r="D28" s="273">
        <f>'E4 Aftermarket'!K14</f>
        <v/>
      </c>
      <c r="E28" s="274" t="inlineStr">
        <is>
          <t>%</t>
        </is>
      </c>
      <c r="F28" s="252" t="inlineStr">
        <is>
          <t>derived</t>
        </is>
      </c>
      <c r="H28" s="252" t="inlineStr">
        <is>
          <t>E4 row 14</t>
        </is>
      </c>
    </row>
    <row r="29">
      <c r="B29" s="254" t="inlineStr">
        <is>
          <t>Change in total-loss units at FQ4 FY27</t>
        </is>
      </c>
      <c r="D29" s="273">
        <f>'E4 Aftermarket'!K40</f>
        <v/>
      </c>
      <c r="E29" s="274" t="inlineStr">
        <is>
          <t>%</t>
        </is>
      </c>
      <c r="F29" s="252" t="inlineStr">
        <is>
          <t>ENGINE-derived η × bill change</t>
        </is>
      </c>
      <c r="H29" s="252" t="inlineStr">
        <is>
          <t>E4 row 40</t>
        </is>
      </c>
    </row>
    <row r="30">
      <c r="B30" s="254" t="inlineStr">
        <is>
          <t>Change in auction price at FQ4 FY27</t>
        </is>
      </c>
      <c r="D30" s="273">
        <f>'E4 Aftermarket'!K41</f>
        <v/>
      </c>
      <c r="E30" s="274" t="inlineStr">
        <is>
          <t>%</t>
        </is>
      </c>
      <c r="F30" s="252" t="inlineStr">
        <is>
          <t>ASSUMED scaling</t>
        </is>
      </c>
      <c r="H30" s="252" t="inlineStr">
        <is>
          <t>E4 row 41</t>
        </is>
      </c>
    </row>
    <row r="31">
      <c r="B31" s="254" t="inlineStr">
        <is>
          <t>Memo stress case (5.5 pts) at sourced prices: bill change / units</t>
        </is>
      </c>
      <c r="D31" s="273">
        <f>'E4 Aftermarket'!D31</f>
        <v/>
      </c>
      <c r="E31" s="274" t="inlineStr">
        <is>
          <t>%</t>
        </is>
      </c>
      <c r="F31" s="252" t="inlineStr">
        <is>
          <t>derived</t>
        </is>
      </c>
      <c r="H31" s="252" t="inlineStr">
        <is>
          <t>E4 D31 / E31; engine basket reproduces 1.03% in D30</t>
        </is>
      </c>
    </row>
    <row r="33">
      <c r="B33" s="271" t="inlineStr">
        <is>
          <t>Thesis 3 — carrier allocation (E3)</t>
        </is>
      </c>
      <c r="C33" s="272" t="n"/>
      <c r="D33" s="272" t="n"/>
      <c r="E33" s="272" t="n"/>
      <c r="F33" s="272" t="n"/>
      <c r="G33" s="272" t="n"/>
      <c r="H33" s="272" t="n"/>
      <c r="I33" s="272" t="n"/>
      <c r="J33" s="272" t="n"/>
      <c r="K33" s="272" t="n"/>
      <c r="L33" s="272" t="n"/>
      <c r="M33" s="272" t="n"/>
      <c r="N33" s="272" t="n"/>
      <c r="O33" s="272" t="n"/>
      <c r="P33" s="272" t="n"/>
      <c r="Q33" s="272" t="n"/>
      <c r="R33" s="272" t="n"/>
      <c r="S33" s="272" t="n"/>
    </row>
    <row r="34">
      <c r="B34" s="254" t="inlineStr">
        <is>
          <t>Copart share of the insured total-loss pool, FQ4 FY26</t>
        </is>
      </c>
      <c r="D34" s="273">
        <f>'E3 Carriers'!G43</f>
        <v/>
      </c>
      <c r="E34" s="274" t="inlineStr">
        <is>
          <t>%</t>
        </is>
      </c>
      <c r="F34" s="252" t="inlineStr">
        <is>
          <t>reconstructed</t>
        </is>
      </c>
      <c r="H34" s="252" t="inlineStr">
        <is>
          <t>E3 row 43 (frozen weights × inherited allocation)</t>
        </is>
      </c>
    </row>
    <row r="35">
      <c r="B35" s="254" t="inlineStr">
        <is>
          <t>Share FQ4 FY27, base (known runoff only)</t>
        </is>
      </c>
      <c r="D35" s="273">
        <f>'E3 Carriers'!K43</f>
        <v/>
      </c>
      <c r="E35" s="274" t="inlineStr">
        <is>
          <t>%</t>
        </is>
      </c>
      <c r="F35" s="252" t="inlineStr">
        <is>
          <t>scenario</t>
        </is>
      </c>
      <c r="H35" s="252" t="inlineStr">
        <is>
          <t>E3 row 43</t>
        </is>
      </c>
    </row>
    <row r="36">
      <c r="B36" s="254" t="inlineStr">
        <is>
          <t>Share FQ4 FY27, thesis 3 (probability-weighted moves)</t>
        </is>
      </c>
      <c r="D36" s="273">
        <f>'E3 Carriers'!K44</f>
        <v/>
      </c>
      <c r="E36" s="274" t="inlineStr">
        <is>
          <t>%</t>
        </is>
      </c>
      <c r="F36" s="252" t="inlineStr">
        <is>
          <t>scenario</t>
        </is>
      </c>
      <c r="H36" s="252" t="inlineStr">
        <is>
          <t>E3 row 44; memo: 56.6% → 55.3%</t>
        </is>
      </c>
    </row>
    <row r="37">
      <c r="B37" s="254" t="inlineStr">
        <is>
          <t>Progressive allocation to Copart, FQ4 FY26 / FQ4 FY27</t>
        </is>
      </c>
      <c r="D37" s="266">
        <f>'E3 Carriers'!G20</f>
        <v/>
      </c>
      <c r="E37" s="274" t="inlineStr">
        <is>
          <t>share</t>
        </is>
      </c>
      <c r="F37" s="252" t="inlineStr">
        <is>
          <t>UNVERIFIED path</t>
        </is>
      </c>
      <c r="H37" s="252" t="inlineStr">
        <is>
          <t>E3 row 20 (K20 for FY27)</t>
        </is>
      </c>
    </row>
    <row r="38">
      <c r="B38" s="254" t="inlineStr">
        <is>
          <t>Expected move: State Farm / Other (pts)</t>
        </is>
      </c>
      <c r="D38" s="266">
        <f>'E3 Carriers'!F77</f>
        <v/>
      </c>
      <c r="E38" s="274" t="inlineStr">
        <is>
          <t>pts</t>
        </is>
      </c>
      <c r="F38" s="252" t="inlineStr">
        <is>
          <t>UNVERIFIED</t>
        </is>
      </c>
      <c r="H38" s="252" t="inlineStr">
        <is>
          <t>E3 rows 77–78: −5 pts × 45% each</t>
        </is>
      </c>
    </row>
    <row r="39">
      <c r="B39" s="254" t="inlineStr">
        <is>
          <t>Progressive move: effect on FQ4 FY26 service revenue</t>
        </is>
      </c>
      <c r="D39" s="273">
        <f>'E3 Carriers'!D83</f>
        <v/>
      </c>
      <c r="E39" s="274" t="inlineStr">
        <is>
          <t>%</t>
        </is>
      </c>
      <c r="F39" s="252" t="inlineStr">
        <is>
          <t>MEASURED chain</t>
        </is>
      </c>
      <c r="H39" s="252" t="inlineStr">
        <is>
          <t>E3 row 83 (E83 = % of total revenue)</t>
        </is>
      </c>
    </row>
    <row r="40">
      <c r="B40" s="254" t="inlineStr">
        <is>
          <t>Listed-inventory split, Copart share of duopoly (4 nights)</t>
        </is>
      </c>
      <c r="D40" s="273">
        <f>'E3 Carriers'!G45</f>
        <v/>
      </c>
      <c r="E40" s="274" t="inlineStr">
        <is>
          <t>%</t>
        </is>
      </c>
      <c r="F40" s="252" t="inlineStr">
        <is>
          <t>MEASURED</t>
        </is>
      </c>
      <c r="H40" s="252" t="inlineStr">
        <is>
          <t>data/csv/duopoly_daily.csv</t>
        </is>
      </c>
    </row>
    <row r="41">
      <c r="B41" s="254" t="inlineStr">
        <is>
          <t>IAA acreage (owned + leased)</t>
        </is>
      </c>
      <c r="D41" s="261">
        <f>'E3 Carriers'!E86</f>
        <v/>
      </c>
      <c r="E41" s="274" t="inlineStr">
        <is>
          <t>acres</t>
        </is>
      </c>
      <c r="F41" s="252" t="inlineStr">
        <is>
          <t>VERIFIED</t>
        </is>
      </c>
      <c r="H41" s="252" t="inlineStr">
        <is>
          <t>RB Global FY2025 10-K</t>
        </is>
      </c>
    </row>
    <row r="42">
      <c r="B42" s="254" t="inlineStr">
        <is>
          <t>RB Global automotive lots, Q2 2026 y/y</t>
        </is>
      </c>
      <c r="D42" s="273">
        <f>'E3 Carriers'!E94</f>
        <v/>
      </c>
      <c r="E42" s="274" t="inlineStr">
        <is>
          <t>%</t>
        </is>
      </c>
      <c r="F42" s="252" t="inlineStr">
        <is>
          <t>VERIFIED</t>
        </is>
      </c>
      <c r="H42" s="252" t="inlineStr">
        <is>
          <t>RB Global 10-Q</t>
        </is>
      </c>
    </row>
    <row r="43">
      <c r="B43" s="254" t="inlineStr">
        <is>
          <t>Effective seller commission, thesis 3, FQ4 FY27</t>
        </is>
      </c>
      <c r="D43" s="273">
        <f>'E3 Carriers'!K56</f>
        <v/>
      </c>
      <c r="E43" s="274" t="inlineStr">
        <is>
          <t>%</t>
        </is>
      </c>
      <c r="F43" s="252" t="inlineStr">
        <is>
          <t>UNVERIFIED (Barclays 4% base)</t>
        </is>
      </c>
      <c r="H43" s="252" t="inlineStr">
        <is>
          <t>E3 row 56</t>
        </is>
      </c>
    </row>
    <row r="45">
      <c r="B45" s="271" t="inlineStr">
        <is>
          <t>Prices, fees and the ledger (E5)</t>
        </is>
      </c>
      <c r="C45" s="272" t="n"/>
      <c r="D45" s="272" t="n"/>
      <c r="E45" s="272" t="n"/>
      <c r="F45" s="272" t="n"/>
      <c r="G45" s="272" t="n"/>
      <c r="H45" s="272" t="n"/>
      <c r="I45" s="272" t="n"/>
      <c r="J45" s="272" t="n"/>
      <c r="K45" s="272" t="n"/>
      <c r="L45" s="272" t="n"/>
      <c r="M45" s="272" t="n"/>
      <c r="N45" s="272" t="n"/>
      <c r="O45" s="272" t="n"/>
      <c r="P45" s="272" t="n"/>
      <c r="Q45" s="272" t="n"/>
      <c r="R45" s="272" t="n"/>
      <c r="S45" s="272" t="n"/>
    </row>
    <row r="46">
      <c r="B46" s="254" t="inlineStr">
        <is>
          <t>US insurance ASP growth, FY27+ (input)</t>
        </is>
      </c>
      <c r="D46" s="273">
        <f>'E5 Prices &amp; Fees'!D44</f>
        <v/>
      </c>
      <c r="E46" s="274" t="inlineStr">
        <is>
          <t>%</t>
        </is>
      </c>
      <c r="F46" s="252" t="inlineStr">
        <is>
          <t>ASSUMED continuation</t>
        </is>
      </c>
      <c r="H46" s="252" t="inlineStr">
        <is>
          <t>E5 D44; FQ4 FY26 disclosed +3.7%</t>
        </is>
      </c>
    </row>
    <row r="47">
      <c r="B47" s="254" t="inlineStr">
        <is>
          <t>All-in insurance RPU y/y, FQ1 FY27 (base)</t>
        </is>
      </c>
      <c r="D47" s="273">
        <f>'E5 Prices &amp; Fees'!H26</f>
        <v/>
      </c>
      <c r="E47" s="274" t="inlineStr">
        <is>
          <t>%</t>
        </is>
      </c>
      <c r="F47" s="252" t="inlineStr">
        <is>
          <t>derived</t>
        </is>
      </c>
      <c r="H47" s="252" t="inlineStr">
        <is>
          <t>E5 row 26</t>
        </is>
      </c>
    </row>
    <row r="48">
      <c r="B48" s="254" t="inlineStr">
        <is>
          <t>Buyer-fee elasticity to ASP</t>
        </is>
      </c>
      <c r="D48" s="266">
        <f>'E5 Prices &amp; Fees'!D51</f>
        <v/>
      </c>
      <c r="E48" s="274" t="inlineStr">
        <is>
          <t>x</t>
        </is>
      </c>
      <c r="F48" s="252" t="inlineStr">
        <is>
          <t>ENGINE-derived</t>
        </is>
      </c>
      <c r="H48" s="252" t="inlineStr">
        <is>
          <t>E5 D51</t>
        </is>
      </c>
    </row>
    <row r="49">
      <c r="B49" s="254" t="inlineStr">
        <is>
          <t>Insurance share of US service dollars</t>
        </is>
      </c>
      <c r="D49" s="273">
        <f>'E5 Prices &amp; Fees'!D39</f>
        <v/>
      </c>
      <c r="E49" s="274" t="inlineStr">
        <is>
          <t>%</t>
        </is>
      </c>
      <c r="F49" s="252" t="inlineStr">
        <is>
          <t>ASSUMED</t>
        </is>
      </c>
      <c r="H49" s="252" t="inlineStr">
        <is>
          <t>E5 D39 (0.80 alternative)</t>
        </is>
      </c>
    </row>
    <row r="50">
      <c r="B50" s="254" t="inlineStr">
        <is>
          <t>Implied US insurance units, FY26</t>
        </is>
      </c>
      <c r="D50" s="261">
        <f>'E5 Prices &amp; Fees'!P11</f>
        <v/>
      </c>
      <c r="E50" s="274" t="inlineStr">
        <is>
          <t>000s</t>
        </is>
      </c>
      <c r="F50" s="252" t="inlineStr">
        <is>
          <t>MODELED</t>
        </is>
      </c>
      <c r="H50" s="252" t="inlineStr">
        <is>
          <t>E5 row 11</t>
        </is>
      </c>
    </row>
    <row r="52">
      <c r="B52" s="271" t="inlineStr">
        <is>
          <t>Outputs (Scenarios, RPM)</t>
        </is>
      </c>
      <c r="C52" s="272" t="n"/>
      <c r="D52" s="272" t="n"/>
      <c r="E52" s="272" t="n"/>
      <c r="F52" s="272" t="n"/>
      <c r="G52" s="272" t="n"/>
      <c r="H52" s="272" t="n"/>
      <c r="I52" s="272" t="n"/>
      <c r="J52" s="272" t="n"/>
      <c r="K52" s="272" t="n"/>
      <c r="L52" s="272" t="n"/>
      <c r="M52" s="272" t="n"/>
      <c r="N52" s="272" t="n"/>
      <c r="O52" s="272" t="n"/>
      <c r="P52" s="272" t="n"/>
      <c r="Q52" s="272" t="n"/>
      <c r="R52" s="272" t="n"/>
      <c r="S52" s="272" t="n"/>
    </row>
    <row r="53">
      <c r="B53" s="254" t="inlineStr">
        <is>
          <t>JPMorgan FY27 legacy service revenue (ex-ACV), 11 Sep 2026</t>
        </is>
      </c>
      <c r="D53" s="276">
        <f>Scenarios!D108</f>
        <v/>
      </c>
      <c r="E53" s="274" t="inlineStr">
        <is>
          <t>$M</t>
        </is>
      </c>
      <c r="F53" s="252" t="inlineStr">
        <is>
          <t>VERIFIED (licensed)</t>
        </is>
      </c>
      <c r="H53" s="252" t="inlineStr">
        <is>
          <t>Scenarios D108</t>
        </is>
      </c>
    </row>
    <row r="54">
      <c r="B54" s="254" t="inlineStr">
        <is>
          <t>Case 0 Street-implied FY27</t>
        </is>
      </c>
      <c r="D54" s="276">
        <f>Scenarios!D112</f>
        <v/>
      </c>
      <c r="E54" s="274" t="inlineStr">
        <is>
          <t>$M</t>
        </is>
      </c>
      <c r="F54" s="252" t="inlineStr">
        <is>
          <t>by construction</t>
        </is>
      </c>
      <c r="H54" s="252" t="inlineStr">
        <is>
          <t>Scenarios summary</t>
        </is>
      </c>
    </row>
    <row r="55">
      <c r="B55" s="254" t="inlineStr">
        <is>
          <t>Case 1 Known facts FY27 / Δ vs JPM</t>
        </is>
      </c>
      <c r="D55" s="276">
        <f>Scenarios!D113</f>
        <v/>
      </c>
      <c r="E55" s="274" t="inlineStr">
        <is>
          <t>$M</t>
        </is>
      </c>
      <c r="F55" s="252" t="inlineStr">
        <is>
          <t>model</t>
        </is>
      </c>
      <c r="H55" s="252" t="inlineStr">
        <is>
          <t>Scenarios D113; Δ vs JPM in G113</t>
        </is>
      </c>
    </row>
    <row r="56">
      <c r="B56" s="254" t="inlineStr">
        <is>
          <t>Thesis 2 FY27 / Δ vs case 1</t>
        </is>
      </c>
      <c r="D56" s="276">
        <f>Scenarios!D115</f>
        <v/>
      </c>
      <c r="E56" s="274" t="inlineStr">
        <is>
          <t>$M</t>
        </is>
      </c>
      <c r="F56" s="252" t="inlineStr">
        <is>
          <t>model</t>
        </is>
      </c>
      <c r="H56" s="252" t="inlineStr">
        <is>
          <t>Scenarios E115</t>
        </is>
      </c>
    </row>
    <row r="57">
      <c r="B57" s="254" t="inlineStr">
        <is>
          <t>Thesis 3 FY27 / Δ vs case 1</t>
        </is>
      </c>
      <c r="D57" s="276">
        <f>Scenarios!D116</f>
        <v/>
      </c>
      <c r="E57" s="274" t="inlineStr">
        <is>
          <t>$M</t>
        </is>
      </c>
      <c r="F57" s="252" t="inlineStr">
        <is>
          <t>model</t>
        </is>
      </c>
      <c r="H57" s="252" t="inlineStr">
        <is>
          <t>Scenarios E116</t>
        </is>
      </c>
    </row>
    <row r="58">
      <c r="B58" s="254" t="inlineStr">
        <is>
          <t>All three FY27 / Δ vs JPM</t>
        </is>
      </c>
      <c r="D58" s="276">
        <f>Scenarios!D117</f>
        <v/>
      </c>
      <c r="E58" s="274" t="inlineStr">
        <is>
          <t>$M</t>
        </is>
      </c>
      <c r="F58" s="252" t="inlineStr">
        <is>
          <t>model</t>
        </is>
      </c>
      <c r="H58" s="252" t="inlineStr">
        <is>
          <t>Scenarios G117</t>
        </is>
      </c>
    </row>
    <row r="59">
      <c r="B59" s="254" t="inlineStr">
        <is>
          <t>Selected case (dropdown on RPM D3)</t>
        </is>
      </c>
      <c r="D59" s="275">
        <f>RPM!D3</f>
        <v/>
      </c>
      <c r="E59" s="274" t="inlineStr">
        <is>
          <t>case</t>
        </is>
      </c>
      <c r="F59" s="252" t="inlineStr">
        <is>
          <t>selector</t>
        </is>
      </c>
      <c r="H59" s="252" t="inlineStr">
        <is>
          <t>RPM D3 (index in I3); I10 holds the revenue</t>
        </is>
      </c>
    </row>
    <row r="60">
      <c r="B60" s="254" t="inlineStr">
        <is>
          <t>Selected case Δ to JPM</t>
        </is>
      </c>
      <c r="D60" s="276">
        <f>RPM!D50</f>
        <v/>
      </c>
      <c r="E60" s="274" t="inlineStr">
        <is>
          <t>$M</t>
        </is>
      </c>
      <c r="F60" s="252" t="inlineStr">
        <is>
          <t>model</t>
        </is>
      </c>
      <c r="H60" s="252" t="inlineStr">
        <is>
          <t>RPM D50 (E50 in %)</t>
        </is>
      </c>
    </row>
    <row r="62">
      <c r="B62" s="271" t="inlineStr">
        <is>
          <t>Three-statement model (3SM) vs Barclays, FY2027E</t>
        </is>
      </c>
      <c r="C62" s="272" t="n"/>
      <c r="D62" s="272" t="n"/>
      <c r="E62" s="272" t="n"/>
      <c r="F62" s="272" t="n"/>
      <c r="G62" s="272" t="n"/>
      <c r="H62" s="272" t="n"/>
      <c r="I62" s="272" t="n"/>
      <c r="J62" s="272" t="n"/>
      <c r="K62" s="272" t="n"/>
      <c r="L62" s="272" t="n"/>
      <c r="M62" s="272" t="n"/>
      <c r="N62" s="272" t="n"/>
      <c r="O62" s="272" t="n"/>
      <c r="P62" s="272" t="n"/>
      <c r="Q62" s="272" t="n"/>
      <c r="R62" s="272" t="n"/>
      <c r="S62" s="272" t="n"/>
    </row>
    <row r="63">
      <c r="B63" s="254" t="inlineStr">
        <is>
          <t>3SM revenue FY27E</t>
        </is>
      </c>
      <c r="D63" s="276">
        <f>'3SM'!I8</f>
        <v/>
      </c>
      <c r="E63" s="274" t="inlineStr">
        <is>
          <t>$M</t>
        </is>
      </c>
      <c r="F63" s="252" t="inlineStr">
        <is>
          <t>model</t>
        </is>
      </c>
      <c r="H63" s="252" t="inlineStr">
        <is>
          <t>3SM row 8; Δ to Barclays in row 32</t>
        </is>
      </c>
    </row>
    <row r="64">
      <c r="B64" s="254" t="inlineStr">
        <is>
          <t>3SM adjusted EBITDA FY27E</t>
        </is>
      </c>
      <c r="D64" s="276">
        <f>'3SM'!I18</f>
        <v/>
      </c>
      <c r="E64" s="274" t="inlineStr">
        <is>
          <t>$M</t>
        </is>
      </c>
      <c r="F64" s="252" t="inlineStr">
        <is>
          <t>model</t>
        </is>
      </c>
      <c r="H64" s="252" t="inlineStr">
        <is>
          <t>3SM row 18; Barclays 1,916; Δ in row 34</t>
        </is>
      </c>
    </row>
    <row r="65">
      <c r="B65" s="254" t="inlineStr">
        <is>
          <t>3SM diluted EPS FY27E</t>
        </is>
      </c>
      <c r="D65" s="275">
        <f>'3SM'!I28</f>
        <v/>
      </c>
      <c r="E65" s="274" t="inlineStr">
        <is>
          <t>$</t>
        </is>
      </c>
      <c r="F65" s="252" t="inlineStr">
        <is>
          <t>model</t>
        </is>
      </c>
      <c r="H65" s="252" t="inlineStr">
        <is>
          <t>3SM row 28; Barclays $1.56 in row 41</t>
        </is>
      </c>
    </row>
    <row r="66">
      <c r="B66" s="254" t="inlineStr">
        <is>
          <t>3SM free cash flow FY27E (CFO + capex)</t>
        </is>
      </c>
      <c r="D66" s="276">
        <f>'3SM'!I112</f>
        <v/>
      </c>
      <c r="E66" s="274" t="inlineStr">
        <is>
          <t>$M</t>
        </is>
      </c>
      <c r="F66" s="252" t="inlineStr">
        <is>
          <t>model</t>
        </is>
      </c>
      <c r="H66" s="252" t="inlineStr">
        <is>
          <t>3SM row 112</t>
        </is>
      </c>
    </row>
    <row r="67">
      <c r="B67" s="254" t="inlineStr">
        <is>
          <t>3SM cash &amp; HTM FY27E</t>
        </is>
      </c>
      <c r="D67" s="276">
        <f>'3SM'!I47</f>
        <v/>
      </c>
      <c r="E67" s="274" t="inlineStr">
        <is>
          <t>$M</t>
        </is>
      </c>
      <c r="F67" s="252" t="inlineStr">
        <is>
          <t>model</t>
        </is>
      </c>
      <c r="H67" s="252" t="inlineStr">
        <is>
          <t>3SM row 47; Barclays 5,656; Δ in row 79</t>
        </is>
      </c>
    </row>
    <row r="68">
      <c r="B68" s="254" t="inlineStr">
        <is>
          <t>ΔNWC method on the 3SM (dropdown)</t>
        </is>
      </c>
      <c r="D68" s="275">
        <f>'3SM'!D163</f>
        <v/>
      </c>
      <c r="E68" s="274" t="inlineStr">
        <is>
          <t>case</t>
        </is>
      </c>
      <c r="F68" s="252" t="inlineStr">
        <is>
          <t>selector</t>
        </is>
      </c>
      <c r="H68" s="252" t="inlineStr">
        <is>
          <t>3SM D163</t>
        </is>
      </c>
    </row>
  </sheetData>
  <pageMargins left="0.75" right="0.75" top="1" bottom="1" header="0.5" footer="0.5"/>
</worksheet>
</file>

<file path=xl/worksheets/sheet3.xml><?xml version="1.0" encoding="utf-8"?>
<worksheet xmlns="http://schemas.openxmlformats.org/spreadsheetml/2006/main">
  <sheetPr>
    <tabColor rgb="FF0E2841"/>
    <outlinePr summaryBelow="1" summaryRight="1"/>
    <pageSetUpPr/>
  </sheetPr>
  <dimension ref="B1:S52"/>
  <sheetViews>
    <sheetView showGridLines="0" zoomScale="90" workbookViewId="0">
      <pane xSplit="3" ySplit="4" topLeftCell="D5" activePane="bottomRight" state="frozen"/>
      <selection pane="topRight" activeCell="A1" sqref="A1"/>
      <selection pane="bottomLeft" activeCell="A1" sqref="A1"/>
      <selection pane="bottomRight" activeCell="F17" sqref="F17"/>
    </sheetView>
  </sheetViews>
  <sheetFormatPr baseColWidth="10" defaultColWidth="8.83203125" defaultRowHeight="15"/>
  <cols>
    <col width="2.5" customWidth="1" style="392" min="1" max="1"/>
    <col width="70" customWidth="1" style="392" min="2" max="2"/>
    <col width="8" customWidth="1" style="392" min="3" max="3"/>
    <col width="13" customWidth="1" style="392" min="4" max="9"/>
    <col width="48" customWidth="1" style="392" min="12" max="12"/>
  </cols>
  <sheetData>
    <row r="1" ht="17" customHeight="1" s="392">
      <c r="B1" s="269" t="inlineStr">
        <is>
          <t>Copart, Inc. — Summary: headline financials, Street comparison and the component delta to Street</t>
        </is>
      </c>
      <c r="C1" s="270" t="n"/>
      <c r="D1" s="270" t="n"/>
      <c r="E1" s="270" t="n"/>
      <c r="F1" s="270" t="n"/>
      <c r="G1" s="270" t="n"/>
      <c r="H1" s="270" t="n"/>
      <c r="I1" s="270" t="n"/>
      <c r="J1" s="270" t="n"/>
      <c r="K1" s="270" t="n"/>
      <c r="L1" s="270" t="n"/>
      <c r="M1" s="270" t="n"/>
      <c r="N1" s="270" t="n"/>
      <c r="O1" s="270" t="n"/>
      <c r="P1" s="270" t="n"/>
      <c r="Q1" s="270" t="n"/>
      <c r="R1" s="270" t="n"/>
      <c r="S1" s="270" t="n"/>
    </row>
    <row r="2">
      <c r="B2" s="252" t="inlineStr">
        <is>
          <t>Every cell links to the 3SM, DCF, Scenarios, Street, Cover or D Barclays tab (green). Fiscal years end 31 July. $M except per share. Barclays = 11 Sep 2026 model (Underweight, $25). – = no line for that year.</t>
        </is>
      </c>
    </row>
    <row r="4">
      <c r="C4" s="277" t="inlineStr">
        <is>
          <t>Units</t>
        </is>
      </c>
      <c r="D4" s="405" t="inlineStr">
        <is>
          <t>Historicals</t>
        </is>
      </c>
      <c r="E4" s="377" t="n"/>
      <c r="F4" s="377" t="n"/>
      <c r="G4" s="405" t="inlineStr">
        <is>
          <t>Projected</t>
        </is>
      </c>
      <c r="H4" s="377" t="n"/>
      <c r="I4" s="377" t="n"/>
      <c r="L4" s="278" t="inlineStr">
        <is>
          <t>Notes / sources</t>
        </is>
      </c>
    </row>
    <row r="5">
      <c r="B5" s="246" t="inlineStr">
        <is>
          <t>Headline financials — 3SM, selected case (RPM D3)</t>
        </is>
      </c>
      <c r="C5" s="247" t="n"/>
      <c r="D5" s="248" t="inlineStr">
        <is>
          <t>FY2024A</t>
        </is>
      </c>
      <c r="E5" s="248" t="inlineStr">
        <is>
          <t>FY2025A</t>
        </is>
      </c>
      <c r="F5" s="248" t="inlineStr">
        <is>
          <t>FY2026A</t>
        </is>
      </c>
      <c r="G5" s="248" t="inlineStr">
        <is>
          <t>FY2027E</t>
        </is>
      </c>
      <c r="H5" s="248" t="inlineStr">
        <is>
          <t>FY2028E</t>
        </is>
      </c>
      <c r="I5" s="248" t="inlineStr">
        <is>
          <t>FY2029E</t>
        </is>
      </c>
      <c r="J5" s="247" t="n"/>
      <c r="K5" s="247" t="n"/>
      <c r="L5" s="247" t="n"/>
      <c r="M5" s="247" t="n"/>
      <c r="N5" s="247" t="n"/>
      <c r="O5" s="247" t="n"/>
      <c r="P5" s="247" t="n"/>
      <c r="Q5" s="247" t="n"/>
      <c r="R5" s="247" t="n"/>
      <c r="S5" s="247" t="n"/>
    </row>
    <row r="6">
      <c r="B6" s="249" t="inlineStr">
        <is>
          <t>Revenue</t>
        </is>
      </c>
      <c r="C6" s="279" t="inlineStr">
        <is>
          <t>$M</t>
        </is>
      </c>
      <c r="D6" s="280">
        <f>'3SM'!F8</f>
        <v/>
      </c>
      <c r="E6" s="280">
        <f>'3SM'!G8</f>
        <v/>
      </c>
      <c r="F6" s="280">
        <f>'3SM'!H8</f>
        <v/>
      </c>
      <c r="G6" s="280">
        <f>'3SM'!I8</f>
        <v/>
      </c>
      <c r="H6" s="280">
        <f>'3SM'!J8</f>
        <v/>
      </c>
      <c r="I6" s="280">
        <f>'3SM'!K8</f>
        <v/>
      </c>
      <c r="L6" s="252" t="inlineStr">
        <is>
          <t>3SM row 8 (RPM)</t>
        </is>
      </c>
    </row>
    <row r="7">
      <c r="B7" s="281" t="inlineStr">
        <is>
          <t>y/y growth</t>
        </is>
      </c>
      <c r="C7" s="279" t="inlineStr">
        <is>
          <t>%</t>
        </is>
      </c>
      <c r="D7" s="282" t="inlineStr">
        <is>
          <t>–</t>
        </is>
      </c>
      <c r="E7" s="283">
        <f>IF(D6=0,0,E6/D6-1)</f>
        <v/>
      </c>
      <c r="F7" s="283">
        <f>IF(E6=0,0,F6/E6-1)</f>
        <v/>
      </c>
      <c r="G7" s="283">
        <f>IF(F6=0,0,G6/F6-1)</f>
        <v/>
      </c>
      <c r="H7" s="283">
        <f>IF(G6=0,0,H6/G6-1)</f>
        <v/>
      </c>
      <c r="I7" s="283">
        <f>IF(H6=0,0,I6/H6-1)</f>
        <v/>
      </c>
    </row>
    <row r="8">
      <c r="B8" s="249" t="inlineStr">
        <is>
          <t>Adjusted EBITDA</t>
        </is>
      </c>
      <c r="C8" s="279" t="inlineStr">
        <is>
          <t>$M</t>
        </is>
      </c>
      <c r="D8" s="280">
        <f>'3SM'!F18</f>
        <v/>
      </c>
      <c r="E8" s="280">
        <f>'3SM'!G18</f>
        <v/>
      </c>
      <c r="F8" s="280">
        <f>'3SM'!H18</f>
        <v/>
      </c>
      <c r="G8" s="280">
        <f>'3SM'!I18</f>
        <v/>
      </c>
      <c r="H8" s="280">
        <f>'3SM'!J18</f>
        <v/>
      </c>
      <c r="I8" s="280">
        <f>'3SM'!K18</f>
        <v/>
      </c>
      <c r="L8" s="252" t="inlineStr">
        <is>
          <t>3SM row 18 (EBIT + D&amp;A, Barclays definition)</t>
        </is>
      </c>
    </row>
    <row r="9">
      <c r="B9" s="281" t="inlineStr">
        <is>
          <t>margin</t>
        </is>
      </c>
      <c r="C9" s="279" t="inlineStr">
        <is>
          <t>%</t>
        </is>
      </c>
      <c r="D9" s="283">
        <f>IF(D6=0,0,D8/D6)</f>
        <v/>
      </c>
      <c r="E9" s="283">
        <f>IF(E6=0,0,E8/E6)</f>
        <v/>
      </c>
      <c r="F9" s="283">
        <f>IF(F6=0,0,F8/F6)</f>
        <v/>
      </c>
      <c r="G9" s="283">
        <f>IF(G6=0,0,G8/G6)</f>
        <v/>
      </c>
      <c r="H9" s="283">
        <f>IF(H6=0,0,H8/H6)</f>
        <v/>
      </c>
      <c r="I9" s="283">
        <f>IF(I6=0,0,I8/I6)</f>
        <v/>
      </c>
    </row>
    <row r="10">
      <c r="B10" s="249" t="inlineStr">
        <is>
          <t>GAAP diluted EPS</t>
        </is>
      </c>
      <c r="C10" s="279" t="inlineStr">
        <is>
          <t>$</t>
        </is>
      </c>
      <c r="D10" s="406">
        <f>'3SM'!F28</f>
        <v/>
      </c>
      <c r="E10" s="406">
        <f>'3SM'!G28</f>
        <v/>
      </c>
      <c r="F10" s="406">
        <f>'3SM'!H28</f>
        <v/>
      </c>
      <c r="G10" s="406">
        <f>'3SM'!I28</f>
        <v/>
      </c>
      <c r="H10" s="406">
        <f>'3SM'!J28</f>
        <v/>
      </c>
      <c r="I10" s="406">
        <f>'3SM'!K28</f>
        <v/>
      </c>
      <c r="L10" s="252" t="inlineStr">
        <is>
          <t>3SM row 28</t>
        </is>
      </c>
    </row>
    <row r="11">
      <c r="B11" s="281" t="inlineStr">
        <is>
          <t>y/y growth</t>
        </is>
      </c>
      <c r="C11" s="279" t="inlineStr">
        <is>
          <t>%</t>
        </is>
      </c>
      <c r="D11" s="282" t="inlineStr">
        <is>
          <t>–</t>
        </is>
      </c>
      <c r="E11" s="283">
        <f>IF(D10=0,0,E10/D10-1)</f>
        <v/>
      </c>
      <c r="F11" s="283">
        <f>IF(E10=0,0,F10/E10-1)</f>
        <v/>
      </c>
      <c r="G11" s="283">
        <f>IF(F10=0,0,G10/F10-1)</f>
        <v/>
      </c>
      <c r="H11" s="283">
        <f>IF(G10=0,0,H10/G10-1)</f>
        <v/>
      </c>
      <c r="I11" s="283">
        <f>IF(H10=0,0,I10/H10-1)</f>
        <v/>
      </c>
    </row>
    <row r="12">
      <c r="B12" s="249" t="inlineStr">
        <is>
          <t>Free cash flow (CFO + capex)</t>
        </is>
      </c>
      <c r="C12" s="279" t="inlineStr">
        <is>
          <t>$M</t>
        </is>
      </c>
      <c r="D12" s="280">
        <f>'3SM'!F112</f>
        <v/>
      </c>
      <c r="E12" s="280">
        <f>'3SM'!G112</f>
        <v/>
      </c>
      <c r="F12" s="280">
        <f>'3SM'!H112</f>
        <v/>
      </c>
      <c r="G12" s="280">
        <f>'3SM'!I112</f>
        <v/>
      </c>
      <c r="H12" s="280">
        <f>'3SM'!J112</f>
        <v/>
      </c>
      <c r="I12" s="280">
        <f>'3SM'!K112</f>
        <v/>
      </c>
      <c r="L12" s="252" t="inlineStr">
        <is>
          <t>3SM row 112</t>
        </is>
      </c>
    </row>
    <row r="13">
      <c r="B13" s="281" t="inlineStr">
        <is>
          <t>margin</t>
        </is>
      </c>
      <c r="C13" s="279" t="inlineStr">
        <is>
          <t>%</t>
        </is>
      </c>
      <c r="D13" s="283">
        <f>IF(D6=0,0,D12/D6)</f>
        <v/>
      </c>
      <c r="E13" s="283">
        <f>IF(E6=0,0,E12/E6)</f>
        <v/>
      </c>
      <c r="F13" s="283">
        <f>IF(F6=0,0,F12/F6)</f>
        <v/>
      </c>
      <c r="G13" s="283">
        <f>IF(G6=0,0,G12/G6)</f>
        <v/>
      </c>
      <c r="H13" s="283">
        <f>IF(H6=0,0,H12/H6)</f>
        <v/>
      </c>
      <c r="I13" s="283">
        <f>IF(I6=0,0,I12/I6)</f>
        <v/>
      </c>
    </row>
    <row r="14">
      <c r="B14" s="254" t="inlineStr">
        <is>
          <t>Unlevered free cash flow (DCF)</t>
        </is>
      </c>
      <c r="C14" s="279" t="inlineStr">
        <is>
          <t>$M</t>
        </is>
      </c>
      <c r="D14" s="276">
        <f>DCF!F59</f>
        <v/>
      </c>
      <c r="E14" s="276">
        <f>DCF!G59</f>
        <v/>
      </c>
      <c r="F14" s="276">
        <f>DCF!H59</f>
        <v/>
      </c>
      <c r="G14" s="276">
        <f>DCF!I59</f>
        <v/>
      </c>
      <c r="H14" s="276">
        <f>DCF!J59</f>
        <v/>
      </c>
      <c r="I14" s="276">
        <f>DCF!K59</f>
        <v/>
      </c>
      <c r="L14" s="252" t="inlineStr">
        <is>
          <t>DCF row 63: NOPAT + D&amp;A + SBC − capex − ΔNWC; D&amp;A, SBC, capex and ΔNWC read the 3SM</t>
        </is>
      </c>
    </row>
    <row r="15">
      <c r="B15" s="281" t="inlineStr">
        <is>
          <t>margin</t>
        </is>
      </c>
      <c r="C15" s="279" t="inlineStr">
        <is>
          <t>%</t>
        </is>
      </c>
      <c r="D15" s="283">
        <f>IF(D6=0,0,D14/D6)</f>
        <v/>
      </c>
      <c r="E15" s="283">
        <f>IF(E6=0,0,E14/E6)</f>
        <v/>
      </c>
      <c r="F15" s="283">
        <f>IF(F6=0,0,F14/F6)</f>
        <v/>
      </c>
      <c r="G15" s="283">
        <f>IF(G6=0,0,G14/G6)</f>
        <v/>
      </c>
      <c r="H15" s="283">
        <f>IF(H6=0,0,H14/H6)</f>
        <v/>
      </c>
      <c r="I15" s="283">
        <f>IF(I6=0,0,I14/I6)</f>
        <v/>
      </c>
    </row>
    <row r="16">
      <c r="B16" s="246" t="inlineStr">
        <is>
          <t>Street — Barclays model (11 Sep 2026) and consensus EPS; % Δ = 3SM ÷ Street − 1</t>
        </is>
      </c>
      <c r="C16" s="247" t="n"/>
      <c r="D16" s="248" t="inlineStr">
        <is>
          <t>FY2024A</t>
        </is>
      </c>
      <c r="E16" s="248" t="inlineStr">
        <is>
          <t>FY2025A</t>
        </is>
      </c>
      <c r="F16" s="248" t="inlineStr">
        <is>
          <t>FY2026A</t>
        </is>
      </c>
      <c r="G16" s="248" t="inlineStr">
        <is>
          <t>FY2027E</t>
        </is>
      </c>
      <c r="H16" s="248" t="inlineStr">
        <is>
          <t>FY2028E</t>
        </is>
      </c>
      <c r="I16" s="248" t="inlineStr">
        <is>
          <t>FY2029E</t>
        </is>
      </c>
      <c r="J16" s="247" t="n"/>
      <c r="K16" s="247" t="n"/>
      <c r="L16" s="247" t="n"/>
      <c r="M16" s="247" t="n"/>
      <c r="N16" s="247" t="n"/>
      <c r="O16" s="247" t="n"/>
      <c r="P16" s="247" t="n"/>
      <c r="Q16" s="247" t="n"/>
      <c r="R16" s="247" t="n"/>
      <c r="S16" s="247" t="n"/>
    </row>
    <row r="17">
      <c r="B17" s="254" t="inlineStr">
        <is>
          <t>Barclays revenue</t>
        </is>
      </c>
      <c r="C17" s="279" t="inlineStr">
        <is>
          <t>$M</t>
        </is>
      </c>
      <c r="D17" s="282" t="inlineStr">
        <is>
          <t>–</t>
        </is>
      </c>
      <c r="E17" s="282" t="inlineStr">
        <is>
          <t>–</t>
        </is>
      </c>
      <c r="F17" s="276">
        <f>'D Barclays'!D5</f>
        <v/>
      </c>
      <c r="G17" s="276">
        <f>'D Barclays'!E5</f>
        <v/>
      </c>
      <c r="H17" s="276">
        <f>'D Barclays'!F5</f>
        <v/>
      </c>
      <c r="I17" s="276">
        <f>'D Barclays'!G5</f>
        <v/>
      </c>
      <c r="L17" s="252" t="inlineStr">
        <is>
          <t>D Barclays (numeric extraction from the licensed report held locally; FY2026A = reported)</t>
        </is>
      </c>
    </row>
    <row r="18">
      <c r="B18" s="281" t="inlineStr">
        <is>
          <t>y/y growth</t>
        </is>
      </c>
      <c r="C18" s="279" t="inlineStr">
        <is>
          <t>%</t>
        </is>
      </c>
      <c r="D18" s="282" t="inlineStr">
        <is>
          <t>–</t>
        </is>
      </c>
      <c r="E18" s="282" t="inlineStr">
        <is>
          <t>–</t>
        </is>
      </c>
      <c r="F18" s="282" t="inlineStr">
        <is>
          <t>–</t>
        </is>
      </c>
      <c r="G18" s="283">
        <f>IF(F17=0,0,G17/F17-1)</f>
        <v/>
      </c>
      <c r="H18" s="283">
        <f>IF(G17=0,0,H17/G17-1)</f>
        <v/>
      </c>
      <c r="I18" s="283">
        <f>IF(H17=0,0,I17/H17-1)</f>
        <v/>
      </c>
    </row>
    <row r="19">
      <c r="B19" s="285" t="inlineStr">
        <is>
          <t>% Δ 3SM vs Barclays</t>
        </is>
      </c>
      <c r="C19" s="279" t="inlineStr">
        <is>
          <t>%</t>
        </is>
      </c>
      <c r="D19" s="282" t="inlineStr">
        <is>
          <t>–</t>
        </is>
      </c>
      <c r="E19" s="282" t="inlineStr">
        <is>
          <t>–</t>
        </is>
      </c>
      <c r="F19" s="255">
        <f>IF(F17=0,0,F6/F17-1)</f>
        <v/>
      </c>
      <c r="G19" s="255">
        <f>IF(G17=0,0,G6/G17-1)</f>
        <v/>
      </c>
      <c r="H19" s="255">
        <f>IF(H17=0,0,H6/H17-1)</f>
        <v/>
      </c>
      <c r="I19" s="255">
        <f>IF(I17=0,0,I6/I17-1)</f>
        <v/>
      </c>
    </row>
    <row r="20">
      <c r="B20" s="254" t="inlineStr">
        <is>
          <t>Barclays adjusted EBITDA</t>
        </is>
      </c>
      <c r="C20" s="279" t="inlineStr">
        <is>
          <t>$M</t>
        </is>
      </c>
      <c r="D20" s="282" t="inlineStr">
        <is>
          <t>–</t>
        </is>
      </c>
      <c r="E20" s="282" t="inlineStr">
        <is>
          <t>–</t>
        </is>
      </c>
      <c r="F20" s="276">
        <f>'D Barclays'!D6</f>
        <v/>
      </c>
      <c r="G20" s="276">
        <f>'D Barclays'!E6</f>
        <v/>
      </c>
      <c r="H20" s="276">
        <f>'D Barclays'!F6</f>
        <v/>
      </c>
      <c r="I20" s="276">
        <f>'D Barclays'!G6</f>
        <v/>
      </c>
    </row>
    <row r="21">
      <c r="B21" s="281" t="inlineStr">
        <is>
          <t>margin</t>
        </is>
      </c>
      <c r="C21" s="279" t="inlineStr">
        <is>
          <t>%</t>
        </is>
      </c>
      <c r="D21" s="282" t="inlineStr">
        <is>
          <t>–</t>
        </is>
      </c>
      <c r="E21" s="282" t="inlineStr">
        <is>
          <t>–</t>
        </is>
      </c>
      <c r="F21" s="283">
        <f>IF(F17=0,0,F20/F17)</f>
        <v/>
      </c>
      <c r="G21" s="283">
        <f>IF(G17=0,0,G20/G17)</f>
        <v/>
      </c>
      <c r="H21" s="283">
        <f>IF(H17=0,0,H20/H17)</f>
        <v/>
      </c>
      <c r="I21" s="283">
        <f>IF(I17=0,0,I20/I17)</f>
        <v/>
      </c>
    </row>
    <row r="22">
      <c r="B22" s="285" t="inlineStr">
        <is>
          <t>% Δ 3SM vs Barclays</t>
        </is>
      </c>
      <c r="C22" s="279" t="inlineStr">
        <is>
          <t>%</t>
        </is>
      </c>
      <c r="D22" s="282" t="inlineStr">
        <is>
          <t>–</t>
        </is>
      </c>
      <c r="E22" s="282" t="inlineStr">
        <is>
          <t>–</t>
        </is>
      </c>
      <c r="F22" s="255">
        <f>IF(F20=0,0,F8/F20-1)</f>
        <v/>
      </c>
      <c r="G22" s="255">
        <f>IF(G20=0,0,G8/G20-1)</f>
        <v/>
      </c>
      <c r="H22" s="255">
        <f>IF(H20=0,0,H8/H20-1)</f>
        <v/>
      </c>
      <c r="I22" s="255">
        <f>IF(I20=0,0,I8/I20-1)</f>
        <v/>
      </c>
    </row>
    <row r="23">
      <c r="B23" s="254" t="inlineStr">
        <is>
          <t>Barclays diluted EPS</t>
        </is>
      </c>
      <c r="C23" s="279" t="inlineStr">
        <is>
          <t>$</t>
        </is>
      </c>
      <c r="D23" s="282" t="inlineStr">
        <is>
          <t>–</t>
        </is>
      </c>
      <c r="E23" s="282" t="inlineStr">
        <is>
          <t>–</t>
        </is>
      </c>
      <c r="F23" s="407">
        <f>'D Barclays'!D10</f>
        <v/>
      </c>
      <c r="G23" s="407">
        <f>'D Barclays'!E10</f>
        <v/>
      </c>
      <c r="H23" s="407">
        <f>'D Barclays'!F10</f>
        <v/>
      </c>
      <c r="I23" s="407">
        <f>'D Barclays'!G10</f>
        <v/>
      </c>
    </row>
    <row r="24">
      <c r="B24" s="285" t="inlineStr">
        <is>
          <t>% Δ 3SM vs Barclays</t>
        </is>
      </c>
      <c r="C24" s="279" t="inlineStr">
        <is>
          <t>%</t>
        </is>
      </c>
      <c r="D24" s="282" t="inlineStr">
        <is>
          <t>–</t>
        </is>
      </c>
      <c r="E24" s="282" t="inlineStr">
        <is>
          <t>–</t>
        </is>
      </c>
      <c r="F24" s="255">
        <f>IF(F23=0,0,F10/F23-1)</f>
        <v/>
      </c>
      <c r="G24" s="255">
        <f>IF(G23=0,0,G10/G23-1)</f>
        <v/>
      </c>
      <c r="H24" s="255">
        <f>IF(H23=0,0,H10/H23-1)</f>
        <v/>
      </c>
      <c r="I24" s="255">
        <f>IF(I23=0,0,I10/I23-1)</f>
        <v/>
      </c>
    </row>
    <row r="25">
      <c r="B25" s="408" t="inlineStr">
        <is>
          <t>DCF diluted EPS (owner's DCF row 41; the DCF keeps its own cost build)</t>
        </is>
      </c>
      <c r="C25" s="279" t="inlineStr">
        <is>
          <t>$</t>
        </is>
      </c>
      <c r="D25" s="409" t="inlineStr">
        <is>
          <t>–</t>
        </is>
      </c>
      <c r="E25" s="409" t="inlineStr">
        <is>
          <t>–</t>
        </is>
      </c>
      <c r="F25" s="410">
        <f>DCF!H41</f>
        <v/>
      </c>
      <c r="G25" s="410">
        <f>DCF!I41</f>
        <v/>
      </c>
      <c r="H25" s="411">
        <f>DCF!J41</f>
        <v/>
      </c>
      <c r="I25" s="411">
        <f>DCF!K41</f>
        <v/>
      </c>
      <c r="L25" s="412" t="inlineStr">
        <is>
          <t>DCF row 41 (DCF EBIT build differs from the 3SM; see 3SM schedule 9)</t>
        </is>
      </c>
    </row>
    <row r="26">
      <c r="B26" s="413" t="inlineStr">
        <is>
          <t>% Δ DCF EPS vs Barclays</t>
        </is>
      </c>
      <c r="C26" s="279" t="inlineStr">
        <is>
          <t>%</t>
        </is>
      </c>
      <c r="D26" s="409" t="inlineStr">
        <is>
          <t>–</t>
        </is>
      </c>
      <c r="E26" s="409" t="inlineStr">
        <is>
          <t>–</t>
        </is>
      </c>
      <c r="F26" s="414">
        <f>IF(F23=0,0,F25/F23-1)</f>
        <v/>
      </c>
      <c r="G26" s="414">
        <f>IF(G23=0,0,G25/G23-1)</f>
        <v/>
      </c>
      <c r="H26" s="415">
        <f>IF(H23=0,0,H25/H23-1)</f>
        <v/>
      </c>
      <c r="I26" s="415">
        <f>IF(I23=0,0,I25/I23-1)</f>
        <v/>
      </c>
      <c r="L26" s="412" t="inlineStr">
        <is>
          <t>Summary row 23 holds Barclays EPS</t>
        </is>
      </c>
    </row>
    <row r="27">
      <c r="B27" s="254" t="inlineStr">
        <is>
          <t>Broker total revenue — BNP Paribas (Outperform, $40)</t>
        </is>
      </c>
      <c r="C27" s="279" t="inlineStr">
        <is>
          <t>$M</t>
        </is>
      </c>
      <c r="D27" s="282" t="inlineStr">
        <is>
          <t>–</t>
        </is>
      </c>
      <c r="E27" s="282" t="inlineStr">
        <is>
          <t>–</t>
        </is>
      </c>
      <c r="F27" s="282" t="inlineStr">
        <is>
          <t>–</t>
        </is>
      </c>
      <c r="G27" s="276">
        <f>Street!E9</f>
        <v/>
      </c>
      <c r="H27" s="276">
        <f>Street!E10</f>
        <v/>
      </c>
      <c r="I27" s="282" t="inlineStr">
        <is>
          <t>–</t>
        </is>
      </c>
      <c r="L27" s="252" t="inlineStr">
        <is>
          <t>Street tab rows 9–10 (named-broker extractions; report dates in Street row 5)</t>
        </is>
      </c>
    </row>
    <row r="28">
      <c r="B28" s="254" t="inlineStr">
        <is>
          <t>Broker total revenue — J.P. Morgan</t>
        </is>
      </c>
      <c r="C28" s="279" t="inlineStr">
        <is>
          <t>$M</t>
        </is>
      </c>
      <c r="D28" s="282" t="inlineStr">
        <is>
          <t>–</t>
        </is>
      </c>
      <c r="E28" s="282" t="inlineStr">
        <is>
          <t>–</t>
        </is>
      </c>
      <c r="F28" s="282" t="inlineStr">
        <is>
          <t>–</t>
        </is>
      </c>
      <c r="G28" s="276">
        <f>Street!F9</f>
        <v/>
      </c>
      <c r="H28" s="276">
        <f>Street!F10</f>
        <v/>
      </c>
      <c r="I28" s="282" t="inlineStr">
        <is>
          <t>–</t>
        </is>
      </c>
      <c r="L28" s="252" t="inlineStr">
        <is>
          <t>Street tab rows 9–10 (named-broker extractions; report dates in Street row 5)</t>
        </is>
      </c>
    </row>
    <row r="29">
      <c r="B29" s="254" t="inlineStr">
        <is>
          <t>Broker total revenue — BofA Global Research</t>
        </is>
      </c>
      <c r="C29" s="279" t="inlineStr">
        <is>
          <t>$M</t>
        </is>
      </c>
      <c r="D29" s="282" t="inlineStr">
        <is>
          <t>–</t>
        </is>
      </c>
      <c r="E29" s="282" t="inlineStr">
        <is>
          <t>–</t>
        </is>
      </c>
      <c r="F29" s="282" t="inlineStr">
        <is>
          <t>–</t>
        </is>
      </c>
      <c r="G29" s="276">
        <f>Street!G9</f>
        <v/>
      </c>
      <c r="H29" s="276">
        <f>Street!G10</f>
        <v/>
      </c>
      <c r="I29" s="282" t="inlineStr">
        <is>
          <t>–</t>
        </is>
      </c>
      <c r="L29" s="252" t="inlineStr">
        <is>
          <t>Street tab rows 9–10 (named-broker extractions; report dates in Street row 5)</t>
        </is>
      </c>
    </row>
    <row r="30">
      <c r="B30" s="254" t="inlineStr">
        <is>
          <t>Broker total revenue — Barclays, 25 Aug 2026 note</t>
        </is>
      </c>
      <c r="C30" s="279" t="inlineStr">
        <is>
          <t>$M</t>
        </is>
      </c>
      <c r="D30" s="282" t="inlineStr">
        <is>
          <t>–</t>
        </is>
      </c>
      <c r="E30" s="282" t="inlineStr">
        <is>
          <t>–</t>
        </is>
      </c>
      <c r="F30" s="282" t="inlineStr">
        <is>
          <t>–</t>
        </is>
      </c>
      <c r="G30" s="276">
        <f>Street!I9</f>
        <v/>
      </c>
      <c r="H30" s="276">
        <f>Street!I10</f>
        <v/>
      </c>
      <c r="I30" s="282" t="inlineStr">
        <is>
          <t>–</t>
        </is>
      </c>
      <c r="L30" s="252" t="inlineStr">
        <is>
          <t>Street tab rows 9–10 (named-broker extractions; report dates in Street row 5)</t>
        </is>
      </c>
    </row>
    <row r="31">
      <c r="B31" s="246" t="inlineStr">
        <is>
          <t>Component delta to Street — legacy service revenue by case ($M; engines run FY27–28) and the EBITDA bridge to Barclays</t>
        </is>
      </c>
      <c r="C31" s="247" t="n"/>
      <c r="D31" s="248" t="inlineStr">
        <is>
          <t>FY2024A</t>
        </is>
      </c>
      <c r="E31" s="248" t="inlineStr">
        <is>
          <t>FY2025A</t>
        </is>
      </c>
      <c r="F31" s="248" t="inlineStr">
        <is>
          <t>FY2026A</t>
        </is>
      </c>
      <c r="G31" s="248" t="inlineStr">
        <is>
          <t>FY2027E</t>
        </is>
      </c>
      <c r="H31" s="248" t="inlineStr">
        <is>
          <t>FY2028E</t>
        </is>
      </c>
      <c r="I31" s="248" t="inlineStr">
        <is>
          <t>FY2029E</t>
        </is>
      </c>
      <c r="J31" s="247" t="n"/>
      <c r="K31" s="247" t="n"/>
      <c r="L31" s="247" t="n"/>
      <c r="M31" s="247" t="n"/>
      <c r="N31" s="247" t="n"/>
      <c r="O31" s="247" t="n"/>
      <c r="P31" s="247" t="n"/>
      <c r="Q31" s="247" t="n"/>
      <c r="R31" s="247" t="n"/>
      <c r="S31" s="247" t="n"/>
    </row>
    <row r="32">
      <c r="B32" s="254" t="inlineStr">
        <is>
          <t>Street-implied (case 0): known runoff, coverage recovering to the Street path</t>
        </is>
      </c>
      <c r="C32" s="279" t="inlineStr">
        <is>
          <t>$M</t>
        </is>
      </c>
      <c r="D32" s="282" t="inlineStr">
        <is>
          <t>–</t>
        </is>
      </c>
      <c r="E32" s="282" t="inlineStr">
        <is>
          <t>–</t>
        </is>
      </c>
      <c r="F32" s="282" t="inlineStr">
        <is>
          <t>–</t>
        </is>
      </c>
      <c r="G32" s="276">
        <f>Scenarios!Q16</f>
        <v/>
      </c>
      <c r="H32" s="276">
        <f>Scenarios!R16</f>
        <v/>
      </c>
      <c r="I32" s="282" t="inlineStr">
        <is>
          <t>–</t>
        </is>
      </c>
      <c r="L32" s="252" t="inlineStr">
        <is>
          <t>Scenarios Q/R16; the recovery rate is reverse-solved so FY27 equals JPMorgan</t>
        </is>
      </c>
    </row>
    <row r="33">
      <c r="B33" s="254" t="inlineStr">
        <is>
          <t>JPMorgan FY27E legacy service revenue, 11 Sep 2026 (ex-ACV)</t>
        </is>
      </c>
      <c r="C33" s="279" t="inlineStr">
        <is>
          <t>$M</t>
        </is>
      </c>
      <c r="D33" s="282" t="inlineStr">
        <is>
          <t>–</t>
        </is>
      </c>
      <c r="E33" s="282" t="inlineStr">
        <is>
          <t>–</t>
        </is>
      </c>
      <c r="F33" s="282" t="inlineStr">
        <is>
          <t>–</t>
        </is>
      </c>
      <c r="G33" s="276">
        <f>Scenarios!$D$108</f>
        <v/>
      </c>
      <c r="H33" s="282" t="inlineStr">
        <is>
          <t>–</t>
        </is>
      </c>
      <c r="I33" s="282" t="inlineStr">
        <is>
          <t>–</t>
        </is>
      </c>
      <c r="L33" s="252" t="inlineStr">
        <is>
          <t>Scenarios D108 ← D Facts (licensed report held locally); JPMorgan publishes no FY28 service line</t>
        </is>
      </c>
    </row>
    <row r="34">
      <c r="B34" s="249" t="inlineStr">
        <is>
          <t>Thesis 1 — coverage persistence: case 1 (known facts, sticky coverage) − case 0</t>
        </is>
      </c>
      <c r="C34" s="279" t="inlineStr">
        <is>
          <t>$M</t>
        </is>
      </c>
      <c r="D34" s="282" t="inlineStr">
        <is>
          <t>–</t>
        </is>
      </c>
      <c r="E34" s="282" t="inlineStr">
        <is>
          <t>–</t>
        </is>
      </c>
      <c r="F34" s="282" t="inlineStr">
        <is>
          <t>–</t>
        </is>
      </c>
      <c r="G34" s="280">
        <f>Scenarios!Q29-Scenarios!Q16</f>
        <v/>
      </c>
      <c r="H34" s="280">
        <f>Scenarios!R29-Scenarios!R16</f>
        <v/>
      </c>
      <c r="I34" s="282" t="inlineStr">
        <is>
          <t>–</t>
        </is>
      </c>
      <c r="L34" s="252" t="inlineStr">
        <is>
          <t>Scenarios rows 29 − 16</t>
        </is>
      </c>
    </row>
    <row r="35">
      <c r="B35" s="249" t="inlineStr">
        <is>
          <t>Thesis 2 — aftermarket substitution: thesis 2 case − case 1</t>
        </is>
      </c>
      <c r="C35" s="279" t="inlineStr">
        <is>
          <t>$M</t>
        </is>
      </c>
      <c r="D35" s="282" t="inlineStr">
        <is>
          <t>–</t>
        </is>
      </c>
      <c r="E35" s="282" t="inlineStr">
        <is>
          <t>–</t>
        </is>
      </c>
      <c r="F35" s="282" t="inlineStr">
        <is>
          <t>–</t>
        </is>
      </c>
      <c r="G35" s="280">
        <f>Scenarios!Q55-Scenarios!Q29</f>
        <v/>
      </c>
      <c r="H35" s="280">
        <f>Scenarios!R55-Scenarios!R29</f>
        <v/>
      </c>
      <c r="I35" s="282" t="inlineStr">
        <is>
          <t>–</t>
        </is>
      </c>
      <c r="L35" s="252" t="inlineStr">
        <is>
          <t>Scenarios rows 55 − 29</t>
        </is>
      </c>
    </row>
    <row r="36">
      <c r="B36" s="249" t="inlineStr">
        <is>
          <t>Thesis 3 — carrier reallocation (probability-weighted): thesis 3 case − case 1</t>
        </is>
      </c>
      <c r="C36" s="279" t="inlineStr">
        <is>
          <t>$M</t>
        </is>
      </c>
      <c r="D36" s="282" t="inlineStr">
        <is>
          <t>–</t>
        </is>
      </c>
      <c r="E36" s="282" t="inlineStr">
        <is>
          <t>–</t>
        </is>
      </c>
      <c r="F36" s="282" t="inlineStr">
        <is>
          <t>–</t>
        </is>
      </c>
      <c r="G36" s="280">
        <f>Scenarios!Q68-Scenarios!Q29</f>
        <v/>
      </c>
      <c r="H36" s="280">
        <f>Scenarios!R68-Scenarios!R29</f>
        <v/>
      </c>
      <c r="I36" s="282" t="inlineStr">
        <is>
          <t>–</t>
        </is>
      </c>
      <c r="L36" s="252" t="inlineStr">
        <is>
          <t>Scenarios rows 68 − 29</t>
        </is>
      </c>
    </row>
    <row r="37">
      <c r="B37" s="281" t="inlineStr">
        <is>
          <t>Interaction (all three − case 0 − sum of the three parts; exact on the common base)</t>
        </is>
      </c>
      <c r="C37" s="279" t="inlineStr">
        <is>
          <t>$M</t>
        </is>
      </c>
      <c r="D37" s="282" t="inlineStr">
        <is>
          <t>–</t>
        </is>
      </c>
      <c r="E37" s="282" t="inlineStr">
        <is>
          <t>–</t>
        </is>
      </c>
      <c r="F37" s="282" t="inlineStr">
        <is>
          <t>–</t>
        </is>
      </c>
      <c r="G37" s="276">
        <f>Scenarios!Q81-Scenarios!Q16-G34-G35-G36</f>
        <v/>
      </c>
      <c r="H37" s="276">
        <f>Scenarios!R81-Scenarios!R16-H34-H35-H36</f>
        <v/>
      </c>
      <c r="I37" s="282" t="inlineStr">
        <is>
          <t>–</t>
        </is>
      </c>
    </row>
    <row r="38">
      <c r="B38" s="249" t="inlineStr">
        <is>
          <t>All three vs Street-implied</t>
        </is>
      </c>
      <c r="C38" s="279" t="inlineStr">
        <is>
          <t>$M</t>
        </is>
      </c>
      <c r="D38" s="282" t="inlineStr">
        <is>
          <t>–</t>
        </is>
      </c>
      <c r="E38" s="282" t="inlineStr">
        <is>
          <t>–</t>
        </is>
      </c>
      <c r="F38" s="282" t="inlineStr">
        <is>
          <t>–</t>
        </is>
      </c>
      <c r="G38" s="280">
        <f>Scenarios!Q81-Scenarios!Q16</f>
        <v/>
      </c>
      <c r="H38" s="280">
        <f>Scenarios!R81-Scenarios!R16</f>
        <v/>
      </c>
      <c r="I38" s="282" t="inlineStr">
        <is>
          <t>–</t>
        </is>
      </c>
      <c r="L38" s="252" t="inlineStr">
        <is>
          <t>Scenarios rows 81 − 16</t>
        </is>
      </c>
    </row>
    <row r="39">
      <c r="B39" s="254" t="inlineStr">
        <is>
          <t>All three vs JPMorgan, %</t>
        </is>
      </c>
      <c r="C39" s="279" t="inlineStr">
        <is>
          <t>%</t>
        </is>
      </c>
      <c r="D39" s="282" t="inlineStr">
        <is>
          <t>–</t>
        </is>
      </c>
      <c r="E39" s="282" t="inlineStr">
        <is>
          <t>–</t>
        </is>
      </c>
      <c r="F39" s="282" t="inlineStr">
        <is>
          <t>–</t>
        </is>
      </c>
      <c r="G39" s="273">
        <f>Scenarios!H117</f>
        <v/>
      </c>
      <c r="H39" s="282" t="inlineStr">
        <is>
          <t>–</t>
        </is>
      </c>
      <c r="I39" s="282" t="inlineStr">
        <is>
          <t>–</t>
        </is>
      </c>
      <c r="L39" s="252" t="inlineStr">
        <is>
          <t>Scenarios H117</t>
        </is>
      </c>
    </row>
    <row r="40">
      <c r="B40" s="254" t="inlineStr">
        <is>
          <t>Selected case on the RPM (D3): service revenue</t>
        </is>
      </c>
      <c r="C40" s="279" t="inlineStr">
        <is>
          <t>$M</t>
        </is>
      </c>
      <c r="D40" s="282" t="inlineStr">
        <is>
          <t>–</t>
        </is>
      </c>
      <c r="E40" s="282" t="inlineStr">
        <is>
          <t>–</t>
        </is>
      </c>
      <c r="F40" s="282" t="inlineStr">
        <is>
          <t>–</t>
        </is>
      </c>
      <c r="G40" s="276">
        <f>RPM!I10</f>
        <v/>
      </c>
      <c r="H40" s="276">
        <f>RPM!J10</f>
        <v/>
      </c>
      <c r="I40" s="282" t="inlineStr">
        <is>
          <t>–</t>
        </is>
      </c>
      <c r="L40" s="252" t="inlineStr">
        <is>
          <t>RPM I10 / J10 → 3SM</t>
        </is>
      </c>
    </row>
    <row r="41">
      <c r="B41" s="249" t="inlineStr">
        <is>
          <t>Δ selected case vs Street-implied</t>
        </is>
      </c>
      <c r="C41" s="279" t="inlineStr">
        <is>
          <t>$M</t>
        </is>
      </c>
      <c r="D41" s="282" t="inlineStr">
        <is>
          <t>–</t>
        </is>
      </c>
      <c r="E41" s="282" t="inlineStr">
        <is>
          <t>–</t>
        </is>
      </c>
      <c r="F41" s="282" t="inlineStr">
        <is>
          <t>–</t>
        </is>
      </c>
      <c r="G41" s="287">
        <f>G40-G32</f>
        <v/>
      </c>
      <c r="H41" s="287">
        <f>H40-H32</f>
        <v/>
      </c>
      <c r="I41" s="282" t="inlineStr">
        <is>
          <t>–</t>
        </is>
      </c>
    </row>
    <row r="42">
      <c r="B42" s="254" t="inlineStr">
        <is>
          <t>Vehicle sales (RPM)</t>
        </is>
      </c>
      <c r="C42" s="279" t="inlineStr">
        <is>
          <t>$M</t>
        </is>
      </c>
      <c r="D42" s="282" t="inlineStr">
        <is>
          <t>–</t>
        </is>
      </c>
      <c r="E42" s="282" t="inlineStr">
        <is>
          <t>–</t>
        </is>
      </c>
      <c r="F42" s="282" t="inlineStr">
        <is>
          <t>–</t>
        </is>
      </c>
      <c r="G42" s="276">
        <f>RPM!I12</f>
        <v/>
      </c>
      <c r="H42" s="276">
        <f>RPM!J12</f>
        <v/>
      </c>
      <c r="I42" s="282" t="inlineStr">
        <is>
          <t>–</t>
        </is>
      </c>
      <c r="L42" s="252" t="inlineStr">
        <is>
          <t>RPM I12 / J12; JPMorgan FY27E purchased-vehicle revenue 710 on Street F8</t>
        </is>
      </c>
    </row>
    <row r="43">
      <c r="B43" s="281" t="inlineStr">
        <is>
          <t>Δ vs JPMorgan FY27E purchased-vehicle revenue</t>
        </is>
      </c>
      <c r="C43" s="279" t="inlineStr">
        <is>
          <t>$M</t>
        </is>
      </c>
      <c r="D43" s="282" t="inlineStr">
        <is>
          <t>–</t>
        </is>
      </c>
      <c r="E43" s="282" t="inlineStr">
        <is>
          <t>–</t>
        </is>
      </c>
      <c r="F43" s="282" t="inlineStr">
        <is>
          <t>–</t>
        </is>
      </c>
      <c r="G43" s="276">
        <f>RPM!I12-Street!F8</f>
        <v/>
      </c>
      <c r="H43" s="282" t="inlineStr">
        <is>
          <t>–</t>
        </is>
      </c>
      <c r="I43" s="282" t="inlineStr">
        <is>
          <t>–</t>
        </is>
      </c>
    </row>
    <row r="44">
      <c r="B44" s="271" t="inlineStr">
        <is>
          <t>EBITDA bridge to Barclays (3SM − Barclays; Barclays publishes FY27–29)</t>
        </is>
      </c>
      <c r="C44" s="272" t="n"/>
      <c r="D44" s="272" t="n"/>
      <c r="E44" s="272" t="n"/>
      <c r="F44" s="272" t="n"/>
      <c r="G44" s="272" t="n"/>
      <c r="H44" s="272" t="n"/>
      <c r="I44" s="272" t="n"/>
      <c r="J44" s="272" t="n"/>
      <c r="K44" s="272" t="n"/>
      <c r="L44" s="272" t="n"/>
      <c r="M44" s="272" t="n"/>
      <c r="N44" s="272" t="n"/>
      <c r="O44" s="272" t="n"/>
      <c r="P44" s="272" t="n"/>
      <c r="Q44" s="272" t="n"/>
      <c r="R44" s="272" t="n"/>
      <c r="S44" s="272" t="n"/>
    </row>
    <row r="45">
      <c r="B45" s="254" t="inlineStr">
        <is>
          <t>Δ revenue</t>
        </is>
      </c>
      <c r="C45" s="279" t="inlineStr">
        <is>
          <t>$M</t>
        </is>
      </c>
      <c r="D45" s="282" t="inlineStr">
        <is>
          <t>–</t>
        </is>
      </c>
      <c r="E45" s="282" t="inlineStr">
        <is>
          <t>–</t>
        </is>
      </c>
      <c r="F45" s="282" t="inlineStr">
        <is>
          <t>–</t>
        </is>
      </c>
      <c r="G45" s="276">
        <f>'3SM'!I32</f>
        <v/>
      </c>
      <c r="H45" s="276">
        <f>'3SM'!J32</f>
        <v/>
      </c>
      <c r="I45" s="276">
        <f>'3SM'!K32</f>
        <v/>
      </c>
      <c r="L45" s="252" t="inlineStr">
        <is>
          <t>3SM row 32</t>
        </is>
      </c>
    </row>
    <row r="46">
      <c r="B46" s="281" t="inlineStr">
        <is>
          <t>of which revenue effect at Barclays' EBITDA margin</t>
        </is>
      </c>
      <c r="C46" s="279" t="inlineStr">
        <is>
          <t>$M</t>
        </is>
      </c>
      <c r="D46" s="282" t="inlineStr">
        <is>
          <t>–</t>
        </is>
      </c>
      <c r="E46" s="282" t="inlineStr">
        <is>
          <t>–</t>
        </is>
      </c>
      <c r="F46" s="282" t="inlineStr">
        <is>
          <t>–</t>
        </is>
      </c>
      <c r="G46" s="276">
        <f>G45*'3SM'!I33/'3SM'!I31</f>
        <v/>
      </c>
      <c r="H46" s="276">
        <f>H45*'3SM'!J33/'3SM'!J31</f>
        <v/>
      </c>
      <c r="I46" s="276">
        <f>I45*'3SM'!K33/'3SM'!K31</f>
        <v/>
      </c>
    </row>
    <row r="47">
      <c r="B47" s="249" t="inlineStr">
        <is>
          <t>Δ adjusted EBITDA</t>
        </is>
      </c>
      <c r="C47" s="279" t="inlineStr">
        <is>
          <t>$M</t>
        </is>
      </c>
      <c r="D47" s="282" t="inlineStr">
        <is>
          <t>–</t>
        </is>
      </c>
      <c r="E47" s="282" t="inlineStr">
        <is>
          <t>–</t>
        </is>
      </c>
      <c r="F47" s="282" t="inlineStr">
        <is>
          <t>–</t>
        </is>
      </c>
      <c r="G47" s="280">
        <f>'3SM'!I34</f>
        <v/>
      </c>
      <c r="H47" s="280">
        <f>'3SM'!J34</f>
        <v/>
      </c>
      <c r="I47" s="280">
        <f>'3SM'!K34</f>
        <v/>
      </c>
      <c r="L47" s="252" t="inlineStr">
        <is>
          <t>3SM row 34</t>
        </is>
      </c>
    </row>
    <row r="48">
      <c r="B48" s="281" t="inlineStr">
        <is>
          <t>of which margin effect (facility cost per unit on fewer units; Barclays-implied G&amp;A ratio)</t>
        </is>
      </c>
      <c r="C48" s="279" t="inlineStr">
        <is>
          <t>$M</t>
        </is>
      </c>
      <c r="D48" s="282" t="inlineStr">
        <is>
          <t>–</t>
        </is>
      </c>
      <c r="E48" s="282" t="inlineStr">
        <is>
          <t>–</t>
        </is>
      </c>
      <c r="F48" s="282" t="inlineStr">
        <is>
          <t>–</t>
        </is>
      </c>
      <c r="G48" s="288">
        <f>G47-G46</f>
        <v/>
      </c>
      <c r="H48" s="288">
        <f>H47-H46</f>
        <v/>
      </c>
      <c r="I48" s="288">
        <f>I47-I46</f>
        <v/>
      </c>
    </row>
    <row r="49">
      <c r="B49" s="249" t="inlineStr">
        <is>
          <t>Δ diluted EPS ($)</t>
        </is>
      </c>
      <c r="C49" s="279" t="inlineStr">
        <is>
          <t>$</t>
        </is>
      </c>
      <c r="D49" s="282" t="inlineStr">
        <is>
          <t>–</t>
        </is>
      </c>
      <c r="E49" s="282" t="inlineStr">
        <is>
          <t>–</t>
        </is>
      </c>
      <c r="F49" s="282" t="inlineStr">
        <is>
          <t>–</t>
        </is>
      </c>
      <c r="G49" s="406">
        <f>'3SM'!I28-'3SM'!I41</f>
        <v/>
      </c>
      <c r="H49" s="406">
        <f>'3SM'!J28-'3SM'!J41</f>
        <v/>
      </c>
      <c r="I49" s="406">
        <f>'3SM'!K28-'3SM'!K41</f>
        <v/>
      </c>
    </row>
    <row r="50">
      <c r="B50" s="254" t="inlineStr">
        <is>
          <t>Δ diluted EPS (%)</t>
        </is>
      </c>
      <c r="C50" s="279" t="inlineStr">
        <is>
          <t>%</t>
        </is>
      </c>
      <c r="D50" s="282" t="inlineStr">
        <is>
          <t>–</t>
        </is>
      </c>
      <c r="E50" s="282" t="inlineStr">
        <is>
          <t>–</t>
        </is>
      </c>
      <c r="F50" s="282" t="inlineStr">
        <is>
          <t>–</t>
        </is>
      </c>
      <c r="G50" s="273">
        <f>'3SM'!I42</f>
        <v/>
      </c>
      <c r="H50" s="273">
        <f>'3SM'!J42</f>
        <v/>
      </c>
      <c r="I50" s="273">
        <f>'3SM'!K42</f>
        <v/>
      </c>
    </row>
    <row r="51">
      <c r="B51" s="246" t="inlineStr">
        <is>
          <t>Valuation (links)</t>
        </is>
      </c>
      <c r="C51" s="247" t="n"/>
      <c r="D51" s="248" t="inlineStr">
        <is>
          <t>Price (Cover)</t>
        </is>
      </c>
      <c r="E51" s="248" t="inlineStr">
        <is>
          <t>DCF implied</t>
        </is>
      </c>
      <c r="F51" s="248" t="inlineStr">
        <is>
          <t>Upside</t>
        </is>
      </c>
      <c r="G51" s="248" t="inlineStr">
        <is>
          <t>WACC</t>
        </is>
      </c>
      <c r="H51" s="248" t="inlineStr">
        <is>
          <t>Exit multiple</t>
        </is>
      </c>
      <c r="I51" s="248" t="inlineStr">
        <is>
          <t>Tax rate</t>
        </is>
      </c>
      <c r="J51" s="247" t="n"/>
      <c r="K51" s="247" t="n"/>
      <c r="L51" s="247" t="n"/>
      <c r="M51" s="247" t="n"/>
      <c r="N51" s="247" t="n"/>
      <c r="O51" s="247" t="n"/>
      <c r="P51" s="247" t="n"/>
      <c r="Q51" s="247" t="n"/>
      <c r="R51" s="247" t="n"/>
      <c r="S51" s="247" t="n"/>
    </row>
    <row r="52">
      <c r="B52" s="254" t="inlineStr">
        <is>
          <t>Current price (Cover D6) · DCF implied share price (H113) · upside (H114) · WACC (Reverse DCF S25) · exit EV/EBITDA (DCF H92; Barclays 10×) · structural tax rate (S33)</t>
        </is>
      </c>
      <c r="D52" s="416">
        <f>Cover!D6</f>
        <v/>
      </c>
      <c r="E52" s="417">
        <f>DCF!H98</f>
        <v/>
      </c>
      <c r="F52" s="273">
        <f>DCF!H99</f>
        <v/>
      </c>
      <c r="G52" s="268">
        <f>'WACC, Tax, and Reverse DCF'!N31</f>
        <v/>
      </c>
      <c r="H52" s="266">
        <f>DCF!H77</f>
        <v/>
      </c>
      <c r="I52" s="268">
        <f>'WACC, Tax, and Reverse DCF'!N39</f>
        <v/>
      </c>
    </row>
  </sheetData>
  <mergeCells count="2">
    <mergeCell ref="G4:I4"/>
    <mergeCell ref="D4:F4"/>
  </mergeCells>
  <pageMargins left="0.75" right="0.75" top="1" bottom="1" header="0.5" footer="0.5"/>
</worksheet>
</file>

<file path=xl/worksheets/sheet4.xml><?xml version="1.0" encoding="utf-8"?>
<worksheet xmlns="http://schemas.openxmlformats.org/spreadsheetml/2006/main">
  <sheetPr>
    <tabColor rgb="FF0070C0"/>
    <outlinePr summaryBelow="1" summaryRight="1"/>
    <pageSetUpPr/>
  </sheetPr>
  <dimension ref="F5:F5"/>
  <sheetViews>
    <sheetView workbookViewId="0">
      <selection activeCell="F12" sqref="F12"/>
    </sheetView>
  </sheetViews>
  <sheetFormatPr baseColWidth="10" defaultRowHeight="15"/>
  <sheetData>
    <row r="5">
      <c r="F5" s="220" t="n"/>
    </row>
  </sheetData>
  <pageMargins left="0.7" right="0.7" top="0.75" bottom="0.75" header="0.3" footer="0.3"/>
</worksheet>
</file>

<file path=xl/worksheets/sheet5.xml><?xml version="1.0" encoding="utf-8"?>
<worksheet xmlns="http://schemas.openxmlformats.org/spreadsheetml/2006/main">
  <sheetPr>
    <tabColor rgb="FF0070C0"/>
    <outlinePr summaryBelow="1" summaryRight="1"/>
    <pageSetUpPr/>
  </sheetPr>
  <dimension ref="B1:U51"/>
  <sheetViews>
    <sheetView showGridLines="0" zoomScaleNormal="100" workbookViewId="0">
      <pane xSplit="3" ySplit="5" topLeftCell="D6" activePane="bottomRight" state="frozen"/>
      <selection pane="topRight" activeCell="N1" sqref="N1"/>
      <selection pane="bottomLeft" activeCell="A8" sqref="A8"/>
      <selection pane="bottomRight" activeCell="D3" sqref="D3:H3"/>
    </sheetView>
  </sheetViews>
  <sheetFormatPr baseColWidth="10" defaultColWidth="8.6640625" defaultRowHeight="15"/>
  <cols>
    <col width="2.5" customWidth="1" style="392" min="1" max="1"/>
    <col width="56" customWidth="1" style="392" min="2" max="2"/>
    <col width="8" customWidth="1" style="392" min="3" max="3"/>
    <col width="11.5" customWidth="1" style="392" min="4" max="13"/>
    <col width="13.5" customWidth="1" style="392" min="14" max="14"/>
    <col width="46" customWidth="1" style="392" min="21" max="21"/>
  </cols>
  <sheetData>
    <row r="1" ht="16.5" customHeight="1" s="392">
      <c r="B1" s="2" t="inlineStr">
        <is>
          <t xml:space="preserve">Copart, Inc. (NASDAQ: CPRT) </t>
        </is>
      </c>
      <c r="C1" s="3" t="n"/>
      <c r="D1" s="3" t="n"/>
      <c r="E1" s="3" t="n"/>
      <c r="F1" s="3" t="n"/>
      <c r="G1" s="3" t="n"/>
      <c r="H1" s="3" t="n"/>
      <c r="I1" s="3" t="n"/>
      <c r="J1" s="3" t="n"/>
      <c r="K1" s="3" t="n"/>
      <c r="L1" s="3" t="n"/>
      <c r="M1" s="3" t="n"/>
    </row>
    <row r="2" ht="15" customHeight="1" s="392">
      <c r="B2" s="4" t="inlineStr">
        <is>
          <t>Revenue = fee units * service revenue per unit + principal vehicle sales.  In $M</t>
        </is>
      </c>
    </row>
    <row r="3">
      <c r="B3" s="249" t="inlineStr">
        <is>
          <t>Scenario selector — click D3 and choose a case (drives rows 10, 12, 21 for FY27–28; case index in I3)</t>
        </is>
      </c>
      <c r="D3" s="368" t="inlineStr">
        <is>
          <t>6 · All three — sticky coverage + aftermarket + carriers</t>
        </is>
      </c>
      <c r="I3" s="292">
        <f>MATCH(D3,$U$5:$U$11,0)</f>
        <v/>
      </c>
    </row>
    <row r="4" ht="15" customHeight="1" s="392">
      <c r="B4" s="5" t="n"/>
      <c r="C4" s="6" t="inlineStr">
        <is>
          <t>Units</t>
        </is>
      </c>
      <c r="D4" s="365" t="inlineStr">
        <is>
          <t>Historicals</t>
        </is>
      </c>
      <c r="E4" s="418" t="n"/>
      <c r="F4" s="418" t="n"/>
      <c r="G4" s="418" t="n"/>
      <c r="H4" s="418" t="n"/>
      <c r="I4" s="367" t="inlineStr">
        <is>
          <t>Projected</t>
        </is>
      </c>
      <c r="J4" s="418" t="n"/>
      <c r="K4" s="418" t="n"/>
      <c r="L4" s="418" t="n"/>
      <c r="M4" s="418" t="n"/>
      <c r="U4" s="252" t="inlineStr">
        <is>
          <t>Scenario options (list source for the D3 dropdown; do not edit)</t>
        </is>
      </c>
    </row>
    <row r="5" ht="15" customHeight="1" s="392">
      <c r="B5" s="7" t="inlineStr">
        <is>
          <t xml:space="preserve">Reported revenue </t>
        </is>
      </c>
      <c r="C5" s="8" t="n"/>
      <c r="D5" s="221" t="inlineStr">
        <is>
          <t>FY2022A</t>
        </is>
      </c>
      <c r="E5" s="222" t="inlineStr">
        <is>
          <t>FY2023A</t>
        </is>
      </c>
      <c r="F5" s="222" t="inlineStr">
        <is>
          <t>FY2024A</t>
        </is>
      </c>
      <c r="G5" s="222" t="inlineStr">
        <is>
          <t>FY2025A</t>
        </is>
      </c>
      <c r="H5" s="222" t="inlineStr">
        <is>
          <t>FY2026A</t>
        </is>
      </c>
      <c r="I5" s="223" t="inlineStr">
        <is>
          <t>FY2027E</t>
        </is>
      </c>
      <c r="J5" s="222" t="inlineStr">
        <is>
          <t>FY2028E</t>
        </is>
      </c>
      <c r="K5" s="222" t="inlineStr">
        <is>
          <t>FY2029E</t>
        </is>
      </c>
      <c r="L5" s="222" t="inlineStr">
        <is>
          <t>FY2030E</t>
        </is>
      </c>
      <c r="M5" s="222" t="inlineStr">
        <is>
          <t>FY2031E</t>
        </is>
      </c>
      <c r="N5" s="12" t="inlineStr">
        <is>
          <t>FY26–31 CAGR</t>
        </is>
      </c>
      <c r="U5" s="252" t="inlineStr">
        <is>
          <t>1 · Case 0 — Street-implied (coverage recovers to JPM)</t>
        </is>
      </c>
    </row>
    <row r="6" ht="15" customHeight="1" s="392">
      <c r="B6" s="13" t="inlineStr">
        <is>
          <t>Total Revenue</t>
        </is>
      </c>
      <c r="C6" s="14" t="inlineStr">
        <is>
          <t>$M</t>
        </is>
      </c>
      <c r="D6" s="15">
        <f>'PB IS (Annual)'!Q14/1000</f>
        <v/>
      </c>
      <c r="E6" s="16">
        <f>'PB IS (Annual)'!P14/1000</f>
        <v/>
      </c>
      <c r="F6" s="16">
        <f>'PB IS (Annual)'!O14/1000</f>
        <v/>
      </c>
      <c r="G6" s="16">
        <f>'PB IS (Annual)'!N14/1000</f>
        <v/>
      </c>
      <c r="H6" s="16">
        <f>'PB IS (Annual)'!M14/1000</f>
        <v/>
      </c>
      <c r="I6" s="17">
        <f>I10+I12</f>
        <v/>
      </c>
      <c r="J6" s="18">
        <f>J10+J12</f>
        <v/>
      </c>
      <c r="K6" s="18">
        <f>K10+K12</f>
        <v/>
      </c>
      <c r="L6" s="18">
        <f>L10+L12</f>
        <v/>
      </c>
      <c r="M6" s="18">
        <f>M10+M12</f>
        <v/>
      </c>
      <c r="N6" s="19">
        <f>IFERROR((M6/H6)^(1/5)-1,"")</f>
        <v/>
      </c>
      <c r="U6" s="252" t="inlineStr">
        <is>
          <t>2 · Case 1 — Known facts, sticky coverage (thesis 1)</t>
        </is>
      </c>
    </row>
    <row r="7" ht="15" customHeight="1" s="392">
      <c r="B7" s="20" t="inlineStr">
        <is>
          <t xml:space="preserve">   y/y growth</t>
        </is>
      </c>
      <c r="C7" s="21" t="inlineStr">
        <is>
          <t>%</t>
        </is>
      </c>
      <c r="D7" s="22" t="inlineStr">
        <is>
          <t>--</t>
        </is>
      </c>
      <c r="E7" s="23">
        <f>E6/D6-1</f>
        <v/>
      </c>
      <c r="F7" s="23">
        <f>F6/E6-1</f>
        <v/>
      </c>
      <c r="G7" s="23">
        <f>G6/F6-1</f>
        <v/>
      </c>
      <c r="H7" s="23">
        <f>H6/G6-1</f>
        <v/>
      </c>
      <c r="I7" s="23">
        <f>I6/H6-1</f>
        <v/>
      </c>
      <c r="J7" s="23">
        <f>J6/I6-1</f>
        <v/>
      </c>
      <c r="K7" s="23">
        <f>K6/J6-1</f>
        <v/>
      </c>
      <c r="L7" s="23">
        <f>L6/K6-1</f>
        <v/>
      </c>
      <c r="M7" s="23">
        <f>M6/L6-1</f>
        <v/>
      </c>
      <c r="U7" s="252" t="inlineStr">
        <is>
          <t>3 · Case 1b — Premium-response coverage</t>
        </is>
      </c>
    </row>
    <row r="8">
      <c r="U8" s="252" t="inlineStr">
        <is>
          <t>4 · Thesis 2 — aftermarket substitution on case 1</t>
        </is>
      </c>
    </row>
    <row r="9" ht="15" customHeight="1" s="392">
      <c r="B9" s="24" t="inlineStr">
        <is>
          <t>Revenue by type</t>
        </is>
      </c>
      <c r="C9" s="25" t="n"/>
      <c r="D9" s="25" t="n"/>
      <c r="E9" s="25" t="n"/>
      <c r="F9" s="25" t="n"/>
      <c r="G9" s="25" t="n"/>
      <c r="H9" s="25" t="n"/>
      <c r="I9" s="25" t="n"/>
      <c r="J9" s="25" t="n"/>
      <c r="K9" s="25" t="n"/>
      <c r="L9" s="25" t="n"/>
      <c r="M9" s="25" t="n"/>
      <c r="U9" s="252" t="inlineStr">
        <is>
          <t>5 · Thesis 3 — carrier moves on case 1</t>
        </is>
      </c>
    </row>
    <row r="10" ht="15" customHeight="1" s="392">
      <c r="B10" s="26" t="inlineStr">
        <is>
          <t>Service revenue (fee-based)</t>
        </is>
      </c>
      <c r="C10" s="21" t="inlineStr">
        <is>
          <t>$M</t>
        </is>
      </c>
      <c r="D10" s="27" t="n">
        <v>2881.7</v>
      </c>
      <c r="E10" s="28" t="n">
        <v>3199.6</v>
      </c>
      <c r="F10" s="28" t="n">
        <v>3561</v>
      </c>
      <c r="G10" s="28" t="n">
        <v>3968.7</v>
      </c>
      <c r="H10" s="28" t="n">
        <v>3969.5</v>
      </c>
      <c r="I10" s="293">
        <f>Scenarios!Q126</f>
        <v/>
      </c>
      <c r="J10" s="294">
        <f>Scenarios!R126</f>
        <v/>
      </c>
      <c r="K10" s="295">
        <f>J10*(1+$D$43)</f>
        <v/>
      </c>
      <c r="L10" s="295">
        <f>K10*(1+$D$43)</f>
        <v/>
      </c>
      <c r="M10" s="295">
        <f>L10*(1+$D$43)</f>
        <v/>
      </c>
      <c r="N10" s="19">
        <f>IFERROR((M10/H10)^(1/5)-1,"")</f>
        <v/>
      </c>
      <c r="P10" s="252" t="inlineStr">
        <is>
          <t>FY27–28 from Scenarios (selected case); FY29–31 fade at row 43</t>
        </is>
      </c>
      <c r="U10" s="252" t="inlineStr">
        <is>
          <t>6 · All three — sticky coverage + aftermarket + carriers</t>
        </is>
      </c>
    </row>
    <row r="11" ht="15" customHeight="1" s="392">
      <c r="B11" s="20" t="inlineStr">
        <is>
          <t xml:space="preserve">   y/y growth</t>
        </is>
      </c>
      <c r="C11" s="21" t="inlineStr">
        <is>
          <t>%</t>
        </is>
      </c>
      <c r="D11" s="22" t="inlineStr">
        <is>
          <t>--</t>
        </is>
      </c>
      <c r="E11" s="23">
        <f>E10/D10-1</f>
        <v/>
      </c>
      <c r="F11" s="23">
        <f>F10/E10-1</f>
        <v/>
      </c>
      <c r="G11" s="23">
        <f>G10/F10-1</f>
        <v/>
      </c>
      <c r="H11" s="23">
        <f>H10/G10-1</f>
        <v/>
      </c>
      <c r="I11" s="23">
        <f>I10/H10-1</f>
        <v/>
      </c>
      <c r="J11" s="23">
        <f>J10/I10-1</f>
        <v/>
      </c>
      <c r="K11" s="23">
        <f>K10/J10-1</f>
        <v/>
      </c>
      <c r="L11" s="23">
        <f>L10/K10-1</f>
        <v/>
      </c>
      <c r="M11" s="23">
        <f>M10/L10-1</f>
        <v/>
      </c>
      <c r="U11" s="252" t="inlineStr">
        <is>
          <t>7 · Bull — premium-response coverage, ASP +6%</t>
        </is>
      </c>
    </row>
    <row r="12" ht="15" customHeight="1" s="392">
      <c r="B12" s="26" t="inlineStr">
        <is>
          <t>Vehicle sales (bought &amp; resold)</t>
        </is>
      </c>
      <c r="C12" s="21" t="inlineStr">
        <is>
          <t>$M</t>
        </is>
      </c>
      <c r="D12" s="27" t="n">
        <v>619.2</v>
      </c>
      <c r="E12" s="28" t="n">
        <v>669.9</v>
      </c>
      <c r="F12" s="28" t="n">
        <v>675.8</v>
      </c>
      <c r="G12" s="28" t="n">
        <v>678.3</v>
      </c>
      <c r="H12" s="28" t="n">
        <v>696.7</v>
      </c>
      <c r="I12" s="293">
        <f>Scenarios!Q127</f>
        <v/>
      </c>
      <c r="J12" s="294">
        <f>Scenarios!R127</f>
        <v/>
      </c>
      <c r="K12" s="295">
        <f>J12*(1+$D$44)</f>
        <v/>
      </c>
      <c r="L12" s="295">
        <f>K12*(1+$D$44)</f>
        <v/>
      </c>
      <c r="M12" s="295">
        <f>L12*(1+$D$44)</f>
        <v/>
      </c>
      <c r="N12" s="19">
        <f>IFERROR((M12/H12)^(1/5)-1,"")</f>
        <v/>
      </c>
      <c r="P12" s="252" t="inlineStr">
        <is>
          <t>FY27–28 from Scenarios (E6 purchased overlay); FY29–31 fade at row 44</t>
        </is>
      </c>
    </row>
    <row r="13" ht="15" customHeight="1" s="392">
      <c r="B13" s="20" t="inlineStr">
        <is>
          <t xml:space="preserve">   y/y growth</t>
        </is>
      </c>
      <c r="C13" s="21" t="inlineStr">
        <is>
          <t>%</t>
        </is>
      </c>
      <c r="D13" s="22" t="inlineStr">
        <is>
          <t>--</t>
        </is>
      </c>
      <c r="E13" s="23">
        <f>E12/D12-1</f>
        <v/>
      </c>
      <c r="F13" s="23">
        <f>F12/E12-1</f>
        <v/>
      </c>
      <c r="G13" s="23">
        <f>G12/F12-1</f>
        <v/>
      </c>
      <c r="H13" s="23">
        <f>H12/G12-1</f>
        <v/>
      </c>
      <c r="I13" s="23">
        <f>I12/H12-1</f>
        <v/>
      </c>
      <c r="J13" s="23">
        <f>J12/I12-1</f>
        <v/>
      </c>
      <c r="K13" s="23">
        <f>K12/J12-1</f>
        <v/>
      </c>
      <c r="L13" s="23">
        <f>L12/K12-1</f>
        <v/>
      </c>
      <c r="M13" s="23">
        <f>M12/L12-1</f>
        <v/>
      </c>
    </row>
    <row r="14" ht="15" customHeight="1" s="392">
      <c r="B14" s="29" t="inlineStr">
        <is>
          <t>check (service + vehicle sales = total reported revenue)</t>
        </is>
      </c>
      <c r="C14" s="21" t="inlineStr">
        <is>
          <t>$M</t>
        </is>
      </c>
      <c r="D14" s="30">
        <f>D10+D12-D6</f>
        <v/>
      </c>
      <c r="E14" s="31">
        <f>E10+E12-E6</f>
        <v/>
      </c>
      <c r="F14" s="31">
        <f>F10+F12-F6</f>
        <v/>
      </c>
      <c r="G14" s="31">
        <f>G10+G12-G6</f>
        <v/>
      </c>
      <c r="H14" s="31">
        <f>H10+H12-H6</f>
        <v/>
      </c>
      <c r="I14" s="32" t="n"/>
      <c r="J14" s="26" t="n"/>
      <c r="K14" s="26" t="n"/>
      <c r="L14" s="26" t="n"/>
      <c r="M14" s="26" t="n"/>
    </row>
    <row r="16" ht="15" customHeight="1" s="392">
      <c r="B16" s="24" t="inlineStr">
        <is>
          <t xml:space="preserve">Unit build </t>
        </is>
      </c>
      <c r="C16" s="25" t="n"/>
      <c r="D16" s="25" t="n"/>
      <c r="E16" s="25" t="n"/>
      <c r="F16" s="25" t="n"/>
      <c r="G16" s="25" t="n"/>
      <c r="H16" s="25" t="n"/>
      <c r="I16" s="25" t="n"/>
      <c r="J16" s="25" t="n"/>
      <c r="K16" s="25" t="n"/>
      <c r="L16" s="25" t="n"/>
      <c r="M16" s="25" t="n"/>
    </row>
    <row r="17" ht="15" customHeight="1" s="392">
      <c r="B17" s="26" t="inlineStr">
        <is>
          <t>FY2026 global units</t>
        </is>
      </c>
      <c r="C17" s="21" t="inlineStr">
        <is>
          <t>000s</t>
        </is>
      </c>
      <c r="H17" s="33" t="n">
        <v>4000</v>
      </c>
      <c r="P17" t="inlineStr">
        <is>
          <t>&lt;-  As an anchor for forecasts. Copart only discloses % change in its units sold. FY2026, Copart said "over 4million"-&gt; assuming 4m units for FY2026</t>
        </is>
      </c>
    </row>
    <row r="18" ht="15" customHeight="1" s="392">
      <c r="B18" s="26" t="inlineStr">
        <is>
          <t>FY2026 unit mix: US insurance / US non-insurance / International</t>
        </is>
      </c>
      <c r="C18" s="21" t="inlineStr">
        <is>
          <t>%</t>
        </is>
      </c>
      <c r="F18" s="34" t="n">
        <v>0.65</v>
      </c>
      <c r="G18" s="34" t="n">
        <v>0.17</v>
      </c>
      <c r="H18" s="35">
        <f>1-F18-G18</f>
        <v/>
      </c>
      <c r="P18" t="inlineStr">
        <is>
          <t>Estimates</t>
        </is>
      </c>
    </row>
    <row r="20" ht="15" customHeight="1" s="392">
      <c r="B20" s="36" t="inlineStr">
        <is>
          <t>Unit growth by channel</t>
        </is>
      </c>
    </row>
    <row r="21" ht="15" customHeight="1" s="392">
      <c r="B21" s="29" t="inlineStr">
        <is>
          <t>US insurance units, y/y</t>
        </is>
      </c>
      <c r="C21" s="21" t="inlineStr">
        <is>
          <t>%</t>
        </is>
      </c>
      <c r="D21" s="37" t="n"/>
      <c r="E21" s="26" t="n"/>
      <c r="F21" s="26" t="n"/>
      <c r="G21" s="38" t="n">
        <v>0.042</v>
      </c>
      <c r="H21" s="38" t="n">
        <v>-0.08</v>
      </c>
      <c r="I21" s="296">
        <f>Scenarios!Q128/Scenarios!P128-1</f>
        <v/>
      </c>
      <c r="J21" s="297">
        <f>Scenarios!R128/Scenarios!Q128-1</f>
        <v/>
      </c>
      <c r="K21" s="298">
        <f>$D$45</f>
        <v/>
      </c>
      <c r="L21" s="298">
        <f>$D$45</f>
        <v/>
      </c>
      <c r="M21" s="298">
        <f>$D$45</f>
        <v/>
      </c>
      <c r="P21" s="252" t="inlineStr">
        <is>
          <t>FY27–28 from Scenarios (E2 pool × E3 share × E4); FY29–31 fade at row 45</t>
        </is>
      </c>
    </row>
    <row r="22" ht="15" customHeight="1" s="392">
      <c r="B22" s="29" t="inlineStr">
        <is>
          <t>US non-insurance units, y/y</t>
        </is>
      </c>
      <c r="C22" s="21" t="inlineStr">
        <is>
          <t>%</t>
        </is>
      </c>
      <c r="D22" s="37" t="n"/>
      <c r="E22" s="26" t="n"/>
      <c r="F22" s="26" t="n"/>
      <c r="G22" s="38" t="n">
        <v>0.028</v>
      </c>
      <c r="H22" s="38" t="n">
        <v>-0.039</v>
      </c>
      <c r="I22" s="39">
        <f>'Volume Build'!I33</f>
        <v/>
      </c>
      <c r="J22" s="40">
        <f>'Volume Build'!J33</f>
        <v/>
      </c>
      <c r="K22" s="40">
        <f>'Volume Build'!K33</f>
        <v/>
      </c>
      <c r="L22" s="40">
        <f>'Volume Build'!L33</f>
        <v/>
      </c>
      <c r="M22" s="40">
        <f>'Volume Build'!M33</f>
        <v/>
      </c>
      <c r="P22" t="inlineStr">
        <is>
          <t>Forecasts link to volume build</t>
        </is>
      </c>
    </row>
    <row r="23" ht="15" customHeight="1" s="392">
      <c r="B23" s="29" t="inlineStr">
        <is>
          <t>International units, y/y</t>
        </is>
      </c>
      <c r="C23" s="21" t="inlineStr">
        <is>
          <t>%</t>
        </is>
      </c>
      <c r="D23" s="37" t="n"/>
      <c r="E23" s="26" t="n"/>
      <c r="F23" s="26" t="n"/>
      <c r="G23" s="38" t="n">
        <v>0.081</v>
      </c>
      <c r="H23" s="38" t="n">
        <v>0.037</v>
      </c>
      <c r="I23" s="39">
        <f>'Volume Build'!I34</f>
        <v/>
      </c>
      <c r="J23" s="40">
        <f>'Volume Build'!J34</f>
        <v/>
      </c>
      <c r="K23" s="40">
        <f>'Volume Build'!K34</f>
        <v/>
      </c>
      <c r="L23" s="40">
        <f>'Volume Build'!L34</f>
        <v/>
      </c>
      <c r="M23" s="40">
        <f>'Volume Build'!M34</f>
        <v/>
      </c>
      <c r="P23" s="213" t="inlineStr">
        <is>
          <t>Owner-entered from Copart calls (international units y/y)</t>
        </is>
      </c>
    </row>
    <row r="25" ht="15" customHeight="1" s="392">
      <c r="B25" s="36" t="inlineStr">
        <is>
          <t>Units by channel</t>
        </is>
      </c>
    </row>
    <row r="26" ht="15" customHeight="1" s="392">
      <c r="B26" s="26" t="inlineStr">
        <is>
          <t>US insurance units</t>
        </is>
      </c>
      <c r="C26" s="21" t="inlineStr">
        <is>
          <t>000s</t>
        </is>
      </c>
      <c r="D26" s="37" t="n"/>
      <c r="E26" s="26" t="n"/>
      <c r="F26" s="41">
        <f>G26/(1+G21)</f>
        <v/>
      </c>
      <c r="G26" s="41">
        <f>H26/(1+H21)</f>
        <v/>
      </c>
      <c r="H26" s="41">
        <f>$H$17*$F$18</f>
        <v/>
      </c>
      <c r="I26" s="42">
        <f>H26*(1+I21)</f>
        <v/>
      </c>
      <c r="J26" s="41">
        <f>I26*(1+J21)</f>
        <v/>
      </c>
      <c r="K26" s="41">
        <f>J26*(1+K21)</f>
        <v/>
      </c>
      <c r="L26" s="41">
        <f>K26*(1+L21)</f>
        <v/>
      </c>
      <c r="M26" s="41">
        <f>L26*(1+M21)</f>
        <v/>
      </c>
      <c r="P26" t="inlineStr">
        <is>
          <t>Starting from FY2026 anchor (4m), work backwards using disclosed growth rates to reconstruct FY25 and FY24, and forecast forward</t>
        </is>
      </c>
    </row>
    <row r="27" ht="15" customHeight="1" s="392">
      <c r="B27" s="26" t="inlineStr">
        <is>
          <t>US non-insurance units (dealer, BluCar, Direct, charity)</t>
        </is>
      </c>
      <c r="C27" s="21" t="inlineStr">
        <is>
          <t>000s</t>
        </is>
      </c>
      <c r="D27" s="37" t="n"/>
      <c r="E27" s="26" t="n"/>
      <c r="F27" s="41">
        <f>G27/(1+G22)</f>
        <v/>
      </c>
      <c r="G27" s="41">
        <f>H27/(1+H22)</f>
        <v/>
      </c>
      <c r="H27" s="41">
        <f>$H$17*$G$18</f>
        <v/>
      </c>
      <c r="I27" s="42">
        <f>H27*(1+I22)</f>
        <v/>
      </c>
      <c r="J27" s="41">
        <f>I27*(1+J22)</f>
        <v/>
      </c>
      <c r="K27" s="41">
        <f>J27*(1+K22)</f>
        <v/>
      </c>
      <c r="L27" s="41">
        <f>K27*(1+L22)</f>
        <v/>
      </c>
      <c r="M27" s="41">
        <f>L27*(1+M22)</f>
        <v/>
      </c>
    </row>
    <row r="28" ht="15" customHeight="1" s="392">
      <c r="B28" s="26" t="inlineStr">
        <is>
          <t>International units</t>
        </is>
      </c>
      <c r="C28" s="21" t="inlineStr">
        <is>
          <t>000s</t>
        </is>
      </c>
      <c r="D28" s="37" t="n"/>
      <c r="E28" s="26" t="n"/>
      <c r="F28" s="41">
        <f>G28/(1+G23)</f>
        <v/>
      </c>
      <c r="G28" s="41">
        <f>H28/(1+H23)</f>
        <v/>
      </c>
      <c r="H28" s="41">
        <f>$H$17*$H$18</f>
        <v/>
      </c>
      <c r="I28" s="42">
        <f>H28*(1+I23)</f>
        <v/>
      </c>
      <c r="J28" s="41">
        <f>I28*(1+J23)</f>
        <v/>
      </c>
      <c r="K28" s="41">
        <f>J28*(1+K23)</f>
        <v/>
      </c>
      <c r="L28" s="41">
        <f>K28*(1+L23)</f>
        <v/>
      </c>
      <c r="M28" s="41">
        <f>L28*(1+M23)</f>
        <v/>
      </c>
    </row>
    <row r="29" ht="15" customHeight="1" s="392">
      <c r="B29" s="43" t="inlineStr">
        <is>
          <t>Global fee units</t>
        </is>
      </c>
      <c r="C29" s="44" t="inlineStr">
        <is>
          <t>000s</t>
        </is>
      </c>
      <c r="D29" s="45">
        <f>IF(COUNT(D26:D28)=3,SUM(D26:D28),"")</f>
        <v/>
      </c>
      <c r="E29" s="46">
        <f>IF(COUNT(E26:E28)=3,SUM(E26:E28),"")</f>
        <v/>
      </c>
      <c r="F29" s="46">
        <f>SUM(F26:F28)</f>
        <v/>
      </c>
      <c r="G29" s="46">
        <f>SUM(G26:G28)</f>
        <v/>
      </c>
      <c r="H29" s="46">
        <f>SUM(H26:H28)</f>
        <v/>
      </c>
      <c r="I29" s="46">
        <f>SUM(I26:I28)</f>
        <v/>
      </c>
      <c r="J29" s="46">
        <f>SUM(J26:J28)</f>
        <v/>
      </c>
      <c r="K29" s="46">
        <f>SUM(K26:K28)</f>
        <v/>
      </c>
      <c r="L29" s="46">
        <f>SUM(L26:L28)</f>
        <v/>
      </c>
      <c r="M29" s="46">
        <f>SUM(M26:M28)</f>
        <v/>
      </c>
      <c r="N29" s="19">
        <f>IFERROR((M29/H29)^(1/5)-1,"")</f>
        <v/>
      </c>
    </row>
    <row r="30" ht="15" customHeight="1" s="392">
      <c r="B30" s="20" t="inlineStr">
        <is>
          <t xml:space="preserve">   y/y growth</t>
        </is>
      </c>
      <c r="C30" s="21" t="inlineStr">
        <is>
          <t>%</t>
        </is>
      </c>
      <c r="D30" s="22" t="inlineStr">
        <is>
          <t>--</t>
        </is>
      </c>
      <c r="E30" s="23">
        <f>IFERROR(E29/D29-1,"")</f>
        <v/>
      </c>
      <c r="F30" s="23">
        <f>IFERROR(F29/E29-1,"")</f>
        <v/>
      </c>
      <c r="G30" s="23">
        <f>G29/F29-1</f>
        <v/>
      </c>
      <c r="H30" s="23">
        <f>H29/G29-1</f>
        <v/>
      </c>
      <c r="I30" s="23">
        <f>I29/H29-1</f>
        <v/>
      </c>
      <c r="J30" s="23">
        <f>J29/I29-1</f>
        <v/>
      </c>
      <c r="K30" s="23">
        <f>K29/J29-1</f>
        <v/>
      </c>
      <c r="L30" s="23">
        <f>L29/K29-1</f>
        <v/>
      </c>
      <c r="M30" s="23">
        <f>M29/L29-1</f>
        <v/>
      </c>
    </row>
    <row r="32" ht="15" customHeight="1" s="392">
      <c r="B32" s="24" t="inlineStr">
        <is>
          <t xml:space="preserve">Revenue per unit (RPU) </t>
        </is>
      </c>
      <c r="C32" s="25" t="n"/>
      <c r="D32" s="25" t="n"/>
      <c r="E32" s="25" t="n"/>
      <c r="F32" s="25" t="n"/>
      <c r="G32" s="25" t="n"/>
      <c r="H32" s="25" t="n"/>
      <c r="I32" s="25" t="n"/>
      <c r="J32" s="25" t="n"/>
      <c r="K32" s="25" t="n"/>
      <c r="L32" s="25" t="n"/>
      <c r="M32" s="25" t="n"/>
    </row>
    <row r="33" ht="15" customHeight="1" s="392">
      <c r="B33" s="26" t="inlineStr">
        <is>
          <t>Service revenue per fee unit</t>
        </is>
      </c>
      <c r="C33" s="21" t="inlineStr">
        <is>
          <t>$</t>
        </is>
      </c>
      <c r="D33" s="47">
        <f>IFERROR(D10*1000/D29,"")</f>
        <v/>
      </c>
      <c r="E33" s="48">
        <f>IFERROR(E10*1000/E29,"")</f>
        <v/>
      </c>
      <c r="F33" s="48">
        <f>F10*1000/F29</f>
        <v/>
      </c>
      <c r="G33" s="48">
        <f>G10*1000/G29</f>
        <v/>
      </c>
      <c r="H33" s="48">
        <f>H10*1000/H29</f>
        <v/>
      </c>
      <c r="I33" s="419">
        <f>I10*1000/I29</f>
        <v/>
      </c>
      <c r="J33" s="420">
        <f>J10*1000/J29</f>
        <v/>
      </c>
      <c r="K33" s="420">
        <f>K10*1000/K29</f>
        <v/>
      </c>
      <c r="L33" s="420">
        <f>L10*1000/L29</f>
        <v/>
      </c>
      <c r="M33" s="420">
        <f>M10*1000/M29</f>
        <v/>
      </c>
      <c r="N33" s="19">
        <f>(M33/H33)^(1/5)-1</f>
        <v/>
      </c>
      <c r="P33" s="252" t="inlineStr">
        <is>
          <t>Implied: service revenue ÷ global fee units (no longer a driver)</t>
        </is>
      </c>
    </row>
    <row r="34" ht="15" customHeight="1" s="392">
      <c r="B34" s="29" t="inlineStr">
        <is>
          <t xml:space="preserve">RPU growth, y/y </t>
        </is>
      </c>
      <c r="C34" s="21" t="inlineStr">
        <is>
          <t>%</t>
        </is>
      </c>
      <c r="D34" s="37" t="n"/>
      <c r="E34" s="23">
        <f>IFERROR(E33/D33-1,"")</f>
        <v/>
      </c>
      <c r="F34" s="23">
        <f>IFERROR(F33/E33-1,"")</f>
        <v/>
      </c>
      <c r="G34" s="23">
        <f>G33/F33-1</f>
        <v/>
      </c>
      <c r="H34" s="23">
        <f>H33/G33-1</f>
        <v/>
      </c>
      <c r="I34" s="301">
        <f>I33/H33-1</f>
        <v/>
      </c>
      <c r="J34" s="298">
        <f>J33/I33-1</f>
        <v/>
      </c>
      <c r="K34" s="298">
        <f>K33/J33-1</f>
        <v/>
      </c>
      <c r="L34" s="298">
        <f>L33/K33-1</f>
        <v/>
      </c>
      <c r="M34" s="298">
        <f>M33/L33-1</f>
        <v/>
      </c>
      <c r="P34" s="252" t="inlineStr">
        <is>
          <t>Implied from row 33</t>
        </is>
      </c>
    </row>
    <row r="36" ht="15" customHeight="1" s="392">
      <c r="B36" s="24" t="inlineStr">
        <is>
          <t>Disclosed revenue-per-unit and ASP growth (for checking purposes)</t>
        </is>
      </c>
      <c r="C36" s="25" t="n"/>
      <c r="D36" s="25" t="n"/>
      <c r="E36" s="25" t="n"/>
      <c r="F36" s="25" t="n"/>
      <c r="G36" s="25" t="n"/>
      <c r="H36" s="25" t="n"/>
      <c r="I36" s="25" t="n"/>
      <c r="J36" s="25" t="n"/>
      <c r="K36" s="25" t="n"/>
      <c r="L36" s="25" t="n"/>
      <c r="M36" s="25" t="n"/>
      <c r="P36" s="213" t="inlineStr">
        <is>
          <t>Disclosed by Copart (calls, 8-Ks); owner-entered in v1</t>
        </is>
      </c>
    </row>
    <row r="37" ht="15" customHeight="1" s="392">
      <c r="B37" s="29" t="inlineStr">
        <is>
          <t>Global revenue per unit, y/y (disclosed)</t>
        </is>
      </c>
      <c r="C37" s="21" t="inlineStr">
        <is>
          <t>%</t>
        </is>
      </c>
      <c r="D37" s="37" t="n"/>
      <c r="E37" s="26" t="n"/>
      <c r="F37" s="26" t="n"/>
      <c r="G37" s="26" t="n"/>
      <c r="H37" s="38" t="n">
        <v>0.057</v>
      </c>
      <c r="I37" s="32" t="n"/>
      <c r="J37" s="26" t="n"/>
      <c r="K37" s="26" t="n"/>
      <c r="L37" s="26" t="n"/>
      <c r="M37" s="26" t="n"/>
      <c r="P37" s="213" t="inlineStr">
        <is>
          <t>Disclosed by Copart (calls); owner-entered in v1</t>
        </is>
      </c>
    </row>
    <row r="38" ht="15" customHeight="1" s="392">
      <c r="B38" s="29" t="inlineStr">
        <is>
          <t>Global ASP, y/y (disclosed)</t>
        </is>
      </c>
      <c r="C38" s="21" t="inlineStr">
        <is>
          <t>%</t>
        </is>
      </c>
      <c r="D38" s="37" t="n"/>
      <c r="E38" s="26" t="n"/>
      <c r="F38" s="26" t="n"/>
      <c r="G38" s="26" t="n"/>
      <c r="H38" s="38" t="n">
        <v>0.055</v>
      </c>
      <c r="I38" s="32" t="n"/>
      <c r="J38" s="26" t="n"/>
      <c r="K38" s="26" t="n"/>
      <c r="L38" s="26" t="n"/>
      <c r="M38" s="26" t="n"/>
      <c r="P38" s="213" t="inlineStr">
        <is>
          <t>Disclosed by Copart (calls); owner-entered in v1</t>
        </is>
      </c>
    </row>
    <row r="39" ht="15" customHeight="1" s="392">
      <c r="B39" s="29" t="inlineStr">
        <is>
          <t>International revenue, $M (disclosed)</t>
        </is>
      </c>
      <c r="C39" s="21" t="inlineStr">
        <is>
          <t>$M</t>
        </is>
      </c>
      <c r="D39" s="37" t="n"/>
      <c r="E39" s="26" t="n"/>
      <c r="F39" s="26" t="n"/>
      <c r="G39" s="49" t="n">
        <v>791.9</v>
      </c>
      <c r="H39" s="49" t="n">
        <v>858.8</v>
      </c>
      <c r="I39" s="32" t="n"/>
      <c r="J39" s="26" t="n"/>
      <c r="K39" s="26" t="n"/>
      <c r="L39" s="26" t="n"/>
      <c r="M39" s="26" t="n"/>
      <c r="P39" s="213" t="inlineStr">
        <is>
          <t>8-K segment revenue; owner-entered in v1 (see D Reported geography table)</t>
        </is>
      </c>
    </row>
    <row r="40" ht="15" customHeight="1" s="392">
      <c r="B40" s="29" t="inlineStr">
        <is>
          <t>US revenue, $M (disclosed)</t>
        </is>
      </c>
      <c r="C40" s="21" t="inlineStr">
        <is>
          <t>$M</t>
        </is>
      </c>
      <c r="D40" s="37" t="n"/>
      <c r="E40" s="26" t="n"/>
      <c r="F40" s="26" t="n"/>
      <c r="G40" s="49" t="n">
        <v>3855.1</v>
      </c>
      <c r="H40" s="49" t="n">
        <v>3807.4</v>
      </c>
      <c r="I40" s="32" t="n"/>
      <c r="J40" s="26" t="n"/>
      <c r="K40" s="26" t="n"/>
      <c r="L40" s="26" t="n"/>
      <c r="M40" s="26" t="n"/>
      <c r="P40" s="213" t="inlineStr">
        <is>
          <t>8-K segment revenue; owner-entered in v1 (see D Reported geography table)</t>
        </is>
      </c>
    </row>
    <row r="42">
      <c r="B42" s="271" t="inlineStr">
        <is>
          <t>Beyond the engine horizon (FY29–31): fade inputs</t>
        </is>
      </c>
      <c r="C42" s="302" t="n"/>
      <c r="D42" s="302" t="n"/>
      <c r="E42" s="302" t="n"/>
      <c r="F42" s="302" t="n"/>
      <c r="G42" s="302" t="n"/>
      <c r="H42" s="302" t="n"/>
      <c r="I42" s="302" t="n"/>
      <c r="J42" s="302" t="n"/>
      <c r="K42" s="302" t="n"/>
      <c r="L42" s="302" t="n"/>
      <c r="M42" s="302" t="n"/>
      <c r="N42" s="302" t="n"/>
      <c r="O42" s="302" t="n"/>
      <c r="P42" s="302" t="n"/>
      <c r="Q42" s="302" t="n"/>
      <c r="R42" s="302" t="n"/>
      <c r="S42" s="302" t="n"/>
    </row>
    <row r="43">
      <c r="B43" s="254" t="inlineStr">
        <is>
          <t>Service revenue growth, FY29–31</t>
        </is>
      </c>
      <c r="C43" s="279" t="inlineStr">
        <is>
          <t>%</t>
        </is>
      </c>
      <c r="D43" s="303" t="n">
        <v>0.03</v>
      </c>
      <c r="E43" s="254" t="n"/>
      <c r="F43" s="254" t="n"/>
      <c r="G43" s="254" t="n"/>
      <c r="H43" s="254" t="n"/>
      <c r="I43" s="254" t="n"/>
      <c r="J43" s="254" t="n"/>
      <c r="K43" s="254" t="n"/>
      <c r="L43" s="254" t="n"/>
      <c r="M43" s="254" t="n"/>
      <c r="N43" s="254" t="n"/>
      <c r="O43" s="254" t="n"/>
      <c r="P43" s="252" t="inlineStr">
        <is>
          <t>ASSUMED: roughly the FY28 engine growth; the engines stop at FY28</t>
        </is>
      </c>
      <c r="Q43" s="254" t="n"/>
      <c r="R43" s="254" t="n"/>
      <c r="S43" s="254" t="n"/>
    </row>
    <row r="44">
      <c r="B44" s="254" t="inlineStr">
        <is>
          <t>Vehicle-sales revenue growth, FY29–31</t>
        </is>
      </c>
      <c r="C44" s="279" t="inlineStr">
        <is>
          <t>%</t>
        </is>
      </c>
      <c r="D44" s="303" t="n">
        <v>0</v>
      </c>
      <c r="E44" s="254" t="n"/>
      <c r="F44" s="254" t="n"/>
      <c r="G44" s="254" t="n"/>
      <c r="H44" s="254" t="n"/>
      <c r="I44" s="254" t="n"/>
      <c r="J44" s="254" t="n"/>
      <c r="K44" s="254" t="n"/>
      <c r="L44" s="254" t="n"/>
      <c r="M44" s="254" t="n"/>
      <c r="N44" s="254" t="n"/>
      <c r="O44" s="254" t="n"/>
      <c r="P44" s="252" t="inlineStr">
        <is>
          <t>ASSUMED flat</t>
        </is>
      </c>
      <c r="Q44" s="254" t="n"/>
      <c r="R44" s="254" t="n"/>
      <c r="S44" s="254" t="n"/>
    </row>
    <row r="45">
      <c r="B45" s="254" t="inlineStr">
        <is>
          <t>US insurance unit growth, FY29–31</t>
        </is>
      </c>
      <c r="C45" s="279" t="inlineStr">
        <is>
          <t>%</t>
        </is>
      </c>
      <c r="D45" s="303" t="n">
        <v>0.01</v>
      </c>
      <c r="E45" s="254" t="n"/>
      <c r="F45" s="254" t="n"/>
      <c r="G45" s="254" t="n"/>
      <c r="H45" s="254" t="n"/>
      <c r="I45" s="254" t="n"/>
      <c r="J45" s="254" t="n"/>
      <c r="K45" s="254" t="n"/>
      <c r="L45" s="254" t="n"/>
      <c r="M45" s="254" t="n"/>
      <c r="N45" s="254" t="n"/>
      <c r="O45" s="254" t="n"/>
      <c r="P45" s="252" t="inlineStr">
        <is>
          <t>ASSUMED</t>
        </is>
      </c>
      <c r="Q45" s="254" t="n"/>
      <c r="R45" s="254" t="n"/>
      <c r="S45" s="254" t="n"/>
    </row>
    <row r="46">
      <c r="B46" s="254" t="n"/>
      <c r="C46" s="254" t="n"/>
      <c r="D46" s="254" t="n"/>
      <c r="E46" s="254" t="n"/>
      <c r="F46" s="254" t="n"/>
      <c r="G46" s="254" t="n"/>
      <c r="H46" s="254" t="n"/>
      <c r="I46" s="254" t="n"/>
      <c r="J46" s="254" t="n"/>
      <c r="K46" s="254" t="n"/>
      <c r="L46" s="254" t="n"/>
      <c r="M46" s="254" t="n"/>
      <c r="N46" s="254" t="n"/>
      <c r="O46" s="254" t="n"/>
      <c r="P46" s="254" t="n"/>
      <c r="Q46" s="254" t="n"/>
      <c r="R46" s="254" t="n"/>
      <c r="S46" s="254" t="n"/>
    </row>
    <row r="47">
      <c r="B47" s="271" t="inlineStr">
        <is>
          <t>Delta Δ to Street and to the engine (FY27E service revenue, legacy, ex-ACV)</t>
        </is>
      </c>
      <c r="C47" s="302" t="n"/>
      <c r="D47" s="302" t="n"/>
      <c r="E47" s="302" t="n"/>
      <c r="F47" s="302" t="n"/>
      <c r="G47" s="302" t="n"/>
      <c r="H47" s="302" t="n"/>
      <c r="I47" s="302" t="n"/>
      <c r="J47" s="302" t="n"/>
      <c r="K47" s="302" t="n"/>
      <c r="L47" s="302" t="n"/>
      <c r="M47" s="302" t="n"/>
      <c r="N47" s="302" t="n"/>
      <c r="O47" s="302" t="n"/>
      <c r="P47" s="302" t="n"/>
      <c r="Q47" s="302" t="n"/>
      <c r="R47" s="302" t="n"/>
      <c r="S47" s="302" t="n"/>
    </row>
    <row r="48">
      <c r="B48" s="254" t="inlineStr">
        <is>
          <t>JPMorgan 11 Sep 2026</t>
        </is>
      </c>
      <c r="C48" s="279" t="inlineStr">
        <is>
          <t>$M</t>
        </is>
      </c>
      <c r="D48" s="276">
        <f>Scenarios!$D$108</f>
        <v/>
      </c>
      <c r="E48" s="254" t="n"/>
      <c r="F48" s="254" t="n"/>
      <c r="G48" s="254" t="n"/>
      <c r="H48" s="254" t="n"/>
      <c r="I48" s="254" t="n"/>
      <c r="J48" s="254" t="n"/>
      <c r="K48" s="254" t="n"/>
      <c r="L48" s="254" t="n"/>
      <c r="M48" s="254" t="n"/>
      <c r="N48" s="254" t="n"/>
      <c r="O48" s="254" t="n"/>
      <c r="P48" s="252" t="inlineStr">
        <is>
          <t>VERIFIED, licensed report held locally</t>
        </is>
      </c>
      <c r="Q48" s="254" t="n"/>
      <c r="R48" s="254" t="n"/>
      <c r="S48" s="254" t="n"/>
    </row>
    <row r="49">
      <c r="B49" s="254" t="inlineStr">
        <is>
          <t>Model, selected case</t>
        </is>
      </c>
      <c r="C49" s="279" t="inlineStr">
        <is>
          <t>$M</t>
        </is>
      </c>
      <c r="D49" s="288">
        <f>I10</f>
        <v/>
      </c>
      <c r="E49" s="254" t="n"/>
      <c r="F49" s="254" t="n"/>
      <c r="G49" s="254" t="n"/>
      <c r="H49" s="254" t="n"/>
      <c r="I49" s="254" t="n"/>
      <c r="J49" s="254" t="n"/>
      <c r="K49" s="254" t="n"/>
      <c r="L49" s="254" t="n"/>
      <c r="M49" s="254" t="n"/>
      <c r="N49" s="254" t="n"/>
      <c r="O49" s="254" t="n"/>
      <c r="P49" s="254" t="n"/>
      <c r="Q49" s="254" t="n"/>
      <c r="R49" s="254" t="n"/>
      <c r="S49" s="254" t="n"/>
    </row>
    <row r="50">
      <c r="B50" s="249" t="inlineStr">
        <is>
          <t>Δ model − JPM</t>
        </is>
      </c>
      <c r="C50" s="279" t="inlineStr">
        <is>
          <t>$M</t>
        </is>
      </c>
      <c r="D50" s="287">
        <f>D49-D48</f>
        <v/>
      </c>
      <c r="E50" s="255">
        <f>D50/D48</f>
        <v/>
      </c>
      <c r="F50" s="254" t="n"/>
      <c r="G50" s="254" t="n"/>
      <c r="H50" s="254" t="n"/>
      <c r="I50" s="254" t="n"/>
      <c r="J50" s="254" t="n"/>
      <c r="K50" s="254" t="n"/>
      <c r="L50" s="254" t="n"/>
      <c r="M50" s="254" t="n"/>
      <c r="N50" s="254" t="n"/>
      <c r="O50" s="254" t="n"/>
      <c r="P50" s="254" t="n"/>
      <c r="Q50" s="254" t="n"/>
      <c r="R50" s="254" t="n"/>
      <c r="S50" s="254" t="n"/>
    </row>
    <row r="51">
      <c r="B51" s="254" t="inlineStr">
        <is>
          <t>Engine saved reference (mask 10) / reference + allocation (mask 11, comparable with case 1)</t>
        </is>
      </c>
      <c r="C51" s="279" t="inlineStr">
        <is>
          <t>$M</t>
        </is>
      </c>
      <c r="D51" s="276">
        <f>Scenarios!D120</f>
        <v/>
      </c>
      <c r="E51" s="276">
        <f>Scenarios!D121</f>
        <v/>
      </c>
      <c r="F51" s="254" t="n"/>
      <c r="G51" s="254" t="n"/>
      <c r="H51" s="254" t="n"/>
      <c r="I51" s="254" t="n"/>
      <c r="J51" s="254" t="n"/>
      <c r="K51" s="254" t="n"/>
      <c r="L51" s="254" t="n"/>
      <c r="M51" s="254" t="n"/>
      <c r="N51" s="254" t="n"/>
      <c r="O51" s="254" t="n"/>
      <c r="P51" s="252" t="inlineStr">
        <is>
          <t>ENGINE; see Scenarios summary</t>
        </is>
      </c>
      <c r="Q51" s="254" t="n"/>
      <c r="R51" s="254" t="n"/>
      <c r="S51" s="254" t="n"/>
    </row>
  </sheetData>
  <mergeCells count="3">
    <mergeCell ref="D4:H4"/>
    <mergeCell ref="I4:M4"/>
    <mergeCell ref="D3:H3"/>
  </mergeCells>
  <dataValidations count="1">
    <dataValidation sqref="D3" showDropDown="0" showInputMessage="1" showErrorMessage="1" allowBlank="0" errorTitle="Selector" error="Choose a value from the list" promptTitle="Selector" prompt="Click the arrow and choose a case" type="list">
      <formula1>$U$5:$U$11</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6.xml><?xml version="1.0" encoding="utf-8"?>
<worksheet xmlns="http://schemas.openxmlformats.org/spreadsheetml/2006/main">
  <sheetPr>
    <tabColor rgb="FF0070C0"/>
    <outlinePr summaryBelow="1" summaryRight="1"/>
    <pageSetUpPr/>
  </sheetPr>
  <dimension ref="B1:S176"/>
  <sheetViews>
    <sheetView showGridLines="0" zoomScale="90" workbookViewId="0">
      <pane xSplit="3" ySplit="5" topLeftCell="D6" activePane="bottomRight" state="frozen"/>
      <selection pane="topRight" activeCell="A1" sqref="A1"/>
      <selection pane="bottomLeft" activeCell="A1" sqref="A1"/>
      <selection pane="bottomRight" activeCell="E126" sqref="E126"/>
    </sheetView>
  </sheetViews>
  <sheetFormatPr baseColWidth="10" defaultColWidth="8.83203125" defaultRowHeight="15"/>
  <cols>
    <col width="2.5" customWidth="1" style="392" min="1" max="1"/>
    <col width="62" customWidth="1" style="392" min="2" max="2"/>
    <col width="8" customWidth="1" style="392" min="3" max="3"/>
    <col width="13" customWidth="1" style="392" min="4" max="13"/>
    <col width="48" customWidth="1" style="392" min="15" max="15"/>
    <col width="46" customWidth="1" style="392" min="17" max="17"/>
  </cols>
  <sheetData>
    <row r="1" ht="17" customHeight="1" s="392">
      <c r="B1" s="269" t="inlineStr">
        <is>
          <t>Copart, Inc. — Three-statement model (3SM), FY2022A–FY2031E ($M; fiscal year ends 31 July)</t>
        </is>
      </c>
      <c r="C1" s="270" t="n"/>
      <c r="D1" s="270" t="n"/>
      <c r="E1" s="270" t="n"/>
      <c r="F1" s="270" t="n"/>
      <c r="G1" s="270" t="n"/>
      <c r="H1" s="270" t="n"/>
      <c r="I1" s="270" t="n"/>
      <c r="J1" s="270" t="n"/>
      <c r="K1" s="270" t="n"/>
      <c r="L1" s="270" t="n"/>
      <c r="M1" s="270" t="n"/>
      <c r="N1" s="270" t="n"/>
      <c r="O1" s="270" t="n"/>
      <c r="P1" s="270" t="n"/>
      <c r="Q1" s="270" t="n"/>
      <c r="R1" s="270" t="n"/>
      <c r="S1" s="270" t="n"/>
    </row>
    <row r="2">
      <c r="B2" s="252" t="inlineStr">
        <is>
          <t>Revenue = RPM (selected case). Facility operations = fee units × cost per unit. Other lines: Barclays 11 Sep 2026 where published, else FY2026 actual ratio held. Blue = input, black = formula, green = link, red = selector. History = PitchBook / 10-K.</t>
        </is>
      </c>
    </row>
    <row r="4">
      <c r="C4" s="277" t="inlineStr">
        <is>
          <t>Units</t>
        </is>
      </c>
      <c r="D4" s="405" t="inlineStr">
        <is>
          <t>Historicals</t>
        </is>
      </c>
      <c r="E4" s="377" t="n"/>
      <c r="F4" s="377" t="n"/>
      <c r="G4" s="377" t="n"/>
      <c r="H4" s="377" t="n"/>
      <c r="I4" s="405" t="inlineStr">
        <is>
          <t>Projected</t>
        </is>
      </c>
      <c r="J4" s="377" t="n"/>
      <c r="K4" s="377" t="n"/>
      <c r="L4" s="377" t="n"/>
      <c r="M4" s="377" t="n"/>
      <c r="O4" s="278" t="inlineStr">
        <is>
          <t>Notes / sources</t>
        </is>
      </c>
    </row>
    <row r="5">
      <c r="B5" s="246" t="inlineStr">
        <is>
          <t>Income statement</t>
        </is>
      </c>
      <c r="C5" s="247" t="n"/>
      <c r="D5" s="248" t="inlineStr">
        <is>
          <t>FY2022A</t>
        </is>
      </c>
      <c r="E5" s="248" t="inlineStr">
        <is>
          <t>FY2023A</t>
        </is>
      </c>
      <c r="F5" s="248" t="inlineStr">
        <is>
          <t>FY2024A</t>
        </is>
      </c>
      <c r="G5" s="248" t="inlineStr">
        <is>
          <t>FY2025A</t>
        </is>
      </c>
      <c r="H5" s="248" t="inlineStr">
        <is>
          <t>FY2026A</t>
        </is>
      </c>
      <c r="I5" s="248" t="inlineStr">
        <is>
          <t>FY2027E</t>
        </is>
      </c>
      <c r="J5" s="248" t="inlineStr">
        <is>
          <t>FY2028E</t>
        </is>
      </c>
      <c r="K5" s="248" t="inlineStr">
        <is>
          <t>FY2029E</t>
        </is>
      </c>
      <c r="L5" s="248" t="inlineStr">
        <is>
          <t>FY2030E</t>
        </is>
      </c>
      <c r="M5" s="248" t="inlineStr">
        <is>
          <t>FY2031E</t>
        </is>
      </c>
      <c r="N5" s="247" t="n"/>
      <c r="O5" s="247" t="n"/>
      <c r="P5" s="247" t="n"/>
      <c r="Q5" s="247" t="n"/>
      <c r="R5" s="247" t="n"/>
      <c r="S5" s="247" t="n"/>
    </row>
    <row r="6">
      <c r="B6" s="254" t="inlineStr">
        <is>
          <t>Service revenue</t>
        </is>
      </c>
      <c r="C6" s="279" t="inlineStr">
        <is>
          <t>$M</t>
        </is>
      </c>
      <c r="D6" s="276">
        <f>RPM!D10</f>
        <v/>
      </c>
      <c r="E6" s="276">
        <f>RPM!E10</f>
        <v/>
      </c>
      <c r="F6" s="276">
        <f>RPM!F10</f>
        <v/>
      </c>
      <c r="G6" s="276">
        <f>RPM!G10</f>
        <v/>
      </c>
      <c r="H6" s="276">
        <f>RPM!H10</f>
        <v/>
      </c>
      <c r="I6" s="276">
        <f>RPM!I10</f>
        <v/>
      </c>
      <c r="J6" s="276">
        <f>RPM!J10</f>
        <v/>
      </c>
      <c r="K6" s="276">
        <f>RPM!K10</f>
        <v/>
      </c>
      <c r="L6" s="276">
        <f>RPM!L10</f>
        <v/>
      </c>
      <c r="M6" s="276">
        <f>RPM!M10</f>
        <v/>
      </c>
      <c r="O6" s="252" t="inlineStr">
        <is>
          <t>RPM row 10: FY24–26 per 10-K; FY27–28 from the engines (selected case, RPM D3); FY29–31 fade (RPM row 43)</t>
        </is>
      </c>
    </row>
    <row r="7">
      <c r="B7" s="254" t="inlineStr">
        <is>
          <t>Vehicle sales</t>
        </is>
      </c>
      <c r="C7" s="279" t="inlineStr">
        <is>
          <t>$M</t>
        </is>
      </c>
      <c r="D7" s="276">
        <f>RPM!D12</f>
        <v/>
      </c>
      <c r="E7" s="276">
        <f>RPM!E12</f>
        <v/>
      </c>
      <c r="F7" s="276">
        <f>RPM!F12</f>
        <v/>
      </c>
      <c r="G7" s="276">
        <f>RPM!G12</f>
        <v/>
      </c>
      <c r="H7" s="276">
        <f>RPM!H12</f>
        <v/>
      </c>
      <c r="I7" s="276">
        <f>RPM!I12</f>
        <v/>
      </c>
      <c r="J7" s="276">
        <f>RPM!J12</f>
        <v/>
      </c>
      <c r="K7" s="276">
        <f>RPM!K12</f>
        <v/>
      </c>
      <c r="L7" s="276">
        <f>RPM!L12</f>
        <v/>
      </c>
      <c r="M7" s="276">
        <f>RPM!M12</f>
        <v/>
      </c>
      <c r="O7" s="252" t="inlineStr">
        <is>
          <t>RPM row 12</t>
        </is>
      </c>
    </row>
    <row r="8">
      <c r="B8" s="249" t="inlineStr">
        <is>
          <t>Total revenue</t>
        </is>
      </c>
      <c r="C8" s="279" t="inlineStr">
        <is>
          <t>$M</t>
        </is>
      </c>
      <c r="D8" s="280">
        <f>RPM!D6</f>
        <v/>
      </c>
      <c r="E8" s="280">
        <f>RPM!E6</f>
        <v/>
      </c>
      <c r="F8" s="280">
        <f>RPM!F6</f>
        <v/>
      </c>
      <c r="G8" s="280">
        <f>RPM!G6</f>
        <v/>
      </c>
      <c r="H8" s="280">
        <f>RPM!H6</f>
        <v/>
      </c>
      <c r="I8" s="280">
        <f>RPM!I6</f>
        <v/>
      </c>
      <c r="J8" s="280">
        <f>RPM!J6</f>
        <v/>
      </c>
      <c r="K8" s="280">
        <f>RPM!K6</f>
        <v/>
      </c>
      <c r="L8" s="280">
        <f>RPM!L6</f>
        <v/>
      </c>
      <c r="M8" s="280">
        <f>RPM!M6</f>
        <v/>
      </c>
      <c r="O8" s="252" t="inlineStr">
        <is>
          <t>RPM row 6 (history = PitchBook total revenue)</t>
        </is>
      </c>
    </row>
    <row r="9">
      <c r="B9" s="281" t="inlineStr">
        <is>
          <t>y/y growth</t>
        </is>
      </c>
      <c r="C9" s="279" t="inlineStr">
        <is>
          <t>%</t>
        </is>
      </c>
      <c r="D9" s="282" t="inlineStr">
        <is>
          <t>–</t>
        </is>
      </c>
      <c r="E9" s="283">
        <f>IF(D8=0,0,E8/D8-1)</f>
        <v/>
      </c>
      <c r="F9" s="283">
        <f>IF(E8=0,0,F8/E8-1)</f>
        <v/>
      </c>
      <c r="G9" s="283">
        <f>IF(F8=0,0,G8/F8-1)</f>
        <v/>
      </c>
      <c r="H9" s="283">
        <f>IF(G8=0,0,H8/G8-1)</f>
        <v/>
      </c>
      <c r="I9" s="283">
        <f>IF(H8=0,0,I8/H8-1)</f>
        <v/>
      </c>
      <c r="J9" s="283">
        <f>IF(I8=0,0,J8/I8-1)</f>
        <v/>
      </c>
      <c r="K9" s="283">
        <f>IF(J8=0,0,K8/J8-1)</f>
        <v/>
      </c>
      <c r="L9" s="283">
        <f>IF(K8=0,0,L8/K8-1)</f>
        <v/>
      </c>
      <c r="M9" s="283">
        <f>IF(L8=0,0,M8/L8-1)</f>
        <v/>
      </c>
    </row>
    <row r="10">
      <c r="B10" s="254" t="inlineStr">
        <is>
          <t>Facility operations (incl. yard D&amp;A)</t>
        </is>
      </c>
      <c r="C10" s="279" t="inlineStr">
        <is>
          <t>$M</t>
        </is>
      </c>
      <c r="D10" s="276">
        <f>'PB IS (Annual)'!Q19/1000-D11</f>
        <v/>
      </c>
      <c r="E10" s="276">
        <f>'PB IS (Annual)'!P19/1000-E11</f>
        <v/>
      </c>
      <c r="F10" s="276">
        <f>'PB IS (Annual)'!O19/1000-F11</f>
        <v/>
      </c>
      <c r="G10" s="276">
        <f>'PB IS (Annual)'!N19/1000-G11</f>
        <v/>
      </c>
      <c r="H10" s="276">
        <f>'PB IS (Annual)'!M19/1000-H11</f>
        <v/>
      </c>
      <c r="I10" s="288">
        <f>I124*I125/1000</f>
        <v/>
      </c>
      <c r="J10" s="288">
        <f>J124*J125/1000</f>
        <v/>
      </c>
      <c r="K10" s="288">
        <f>K124*K125/1000</f>
        <v/>
      </c>
      <c r="L10" s="288">
        <f>L124*L125/1000</f>
        <v/>
      </c>
      <c r="M10" s="288">
        <f>M124*M125/1000</f>
        <v/>
      </c>
      <c r="O10" s="252" t="inlineStr">
        <is>
          <t>History: PitchBook total cost of revenue − cost of vehicle sales (10-K). Projection: global fee units (RPM row 29) × facility cost per unit (schedule 1) — the volume-driven margin lever</t>
        </is>
      </c>
    </row>
    <row r="11">
      <c r="B11" s="254" t="inlineStr">
        <is>
          <t>Cost of vehicle sales</t>
        </is>
      </c>
      <c r="C11" s="279" t="inlineStr">
        <is>
          <t>$M</t>
        </is>
      </c>
      <c r="D11" s="276">
        <f>'D 10-K FY26'!E56</f>
        <v/>
      </c>
      <c r="E11" s="276">
        <f>'D 10-K FY26'!D56</f>
        <v/>
      </c>
      <c r="F11" s="276">
        <f>'D 10-K FY26'!E39</f>
        <v/>
      </c>
      <c r="G11" s="276">
        <f>'D 10-K FY26'!D39</f>
        <v/>
      </c>
      <c r="H11" s="276">
        <f>'D 10-K FY26'!C39</f>
        <v/>
      </c>
      <c r="I11" s="288">
        <f>I7*I127</f>
        <v/>
      </c>
      <c r="J11" s="288">
        <f>J7*J127</f>
        <v/>
      </c>
      <c r="K11" s="288">
        <f>K7*K127</f>
        <v/>
      </c>
      <c r="L11" s="288">
        <f>L7*L127</f>
        <v/>
      </c>
      <c r="M11" s="288">
        <f>M7*M127</f>
        <v/>
      </c>
      <c r="O11" s="252" t="inlineStr">
        <is>
          <t>History: 10-K income statements (FY2026 and FY2024 filings, D 10-K FY26). Projection: vehicle sales × FY2026 ratio (schedule 1)</t>
        </is>
      </c>
    </row>
    <row r="12">
      <c r="B12" s="249" t="inlineStr">
        <is>
          <t>Gross profit</t>
        </is>
      </c>
      <c r="C12" s="279" t="inlineStr">
        <is>
          <t>$M</t>
        </is>
      </c>
      <c r="D12" s="287">
        <f>D8-D10-D11</f>
        <v/>
      </c>
      <c r="E12" s="287">
        <f>E8-E10-E11</f>
        <v/>
      </c>
      <c r="F12" s="287">
        <f>F8-F10-F11</f>
        <v/>
      </c>
      <c r="G12" s="287">
        <f>G8-G10-G11</f>
        <v/>
      </c>
      <c r="H12" s="287">
        <f>H8-H10-H11</f>
        <v/>
      </c>
      <c r="I12" s="287">
        <f>I8-I10-I11</f>
        <v/>
      </c>
      <c r="J12" s="287">
        <f>J8-J10-J11</f>
        <v/>
      </c>
      <c r="K12" s="287">
        <f>K8-K10-K11</f>
        <v/>
      </c>
      <c r="L12" s="287">
        <f>L8-L10-L11</f>
        <v/>
      </c>
      <c r="M12" s="287">
        <f>M8-M10-M11</f>
        <v/>
      </c>
    </row>
    <row r="13">
      <c r="B13" s="281" t="inlineStr">
        <is>
          <t>Gross margin</t>
        </is>
      </c>
      <c r="C13" s="279" t="inlineStr">
        <is>
          <t>%</t>
        </is>
      </c>
      <c r="D13" s="283">
        <f>IF(D8=0,0,D12/D8)</f>
        <v/>
      </c>
      <c r="E13" s="283">
        <f>IF(E8=0,0,E12/E8)</f>
        <v/>
      </c>
      <c r="F13" s="283">
        <f>IF(F8=0,0,F12/F8)</f>
        <v/>
      </c>
      <c r="G13" s="283">
        <f>IF(G8=0,0,G12/G8)</f>
        <v/>
      </c>
      <c r="H13" s="283">
        <f>IF(H8=0,0,H12/H8)</f>
        <v/>
      </c>
      <c r="I13" s="283">
        <f>IF(I8=0,0,I12/I8)</f>
        <v/>
      </c>
      <c r="J13" s="283">
        <f>IF(J8=0,0,J12/J8)</f>
        <v/>
      </c>
      <c r="K13" s="283">
        <f>IF(K8=0,0,K12/K8)</f>
        <v/>
      </c>
      <c r="L13" s="283">
        <f>IF(L8=0,0,L12/L8)</f>
        <v/>
      </c>
      <c r="M13" s="283">
        <f>IF(M8=0,0,M12/M8)</f>
        <v/>
      </c>
    </row>
    <row r="14">
      <c r="B14" s="254" t="inlineStr">
        <is>
          <t>General and administrative (incl. D&amp;A, SBC)</t>
        </is>
      </c>
      <c r="C14" s="279" t="inlineStr">
        <is>
          <t>$M</t>
        </is>
      </c>
      <c r="D14" s="276">
        <f>'PB IS (Annual)'!Q31/1000</f>
        <v/>
      </c>
      <c r="E14" s="276">
        <f>'PB IS (Annual)'!P31/1000</f>
        <v/>
      </c>
      <c r="F14" s="276">
        <f>'PB IS (Annual)'!O31/1000</f>
        <v/>
      </c>
      <c r="G14" s="276">
        <f>'PB IS (Annual)'!N31/1000</f>
        <v/>
      </c>
      <c r="H14" s="276">
        <f>'PB IS (Annual)'!M31/1000</f>
        <v/>
      </c>
      <c r="I14" s="288">
        <f>I8*I128</f>
        <v/>
      </c>
      <c r="J14" s="288">
        <f>J8*J128</f>
        <v/>
      </c>
      <c r="K14" s="288">
        <f>K8*K128</f>
        <v/>
      </c>
      <c r="L14" s="288">
        <f>L8*L128</f>
        <v/>
      </c>
      <c r="M14" s="288">
        <f>M8*M128</f>
        <v/>
      </c>
      <c r="O14" s="252" t="inlineStr">
        <is>
          <t>History: PitchBook total operating expenses = 10-K G&amp;A. Projection: revenue × Barclays-implied G&amp;A ratio (schedule 1)</t>
        </is>
      </c>
    </row>
    <row r="15">
      <c r="B15" s="249" t="inlineStr">
        <is>
          <t>Operating income (EBIT)</t>
        </is>
      </c>
      <c r="C15" s="279" t="inlineStr">
        <is>
          <t>$M</t>
        </is>
      </c>
      <c r="D15" s="287">
        <f>D12-D14</f>
        <v/>
      </c>
      <c r="E15" s="287">
        <f>E12-E14</f>
        <v/>
      </c>
      <c r="F15" s="287">
        <f>F12-F14</f>
        <v/>
      </c>
      <c r="G15" s="287">
        <f>G12-G14</f>
        <v/>
      </c>
      <c r="H15" s="287">
        <f>H12-H14</f>
        <v/>
      </c>
      <c r="I15" s="287">
        <f>I12-I14</f>
        <v/>
      </c>
      <c r="J15" s="287">
        <f>J12-J14</f>
        <v/>
      </c>
      <c r="K15" s="287">
        <f>K12-K14</f>
        <v/>
      </c>
      <c r="L15" s="287">
        <f>L12-L14</f>
        <v/>
      </c>
      <c r="M15" s="287">
        <f>M12-M14</f>
        <v/>
      </c>
    </row>
    <row r="16">
      <c r="B16" s="281" t="inlineStr">
        <is>
          <t>Operating margin</t>
        </is>
      </c>
      <c r="C16" s="279" t="inlineStr">
        <is>
          <t>%</t>
        </is>
      </c>
      <c r="D16" s="283">
        <f>IF(D8=0,0,D15/D8)</f>
        <v/>
      </c>
      <c r="E16" s="283">
        <f>IF(E8=0,0,E15/E8)</f>
        <v/>
      </c>
      <c r="F16" s="283">
        <f>IF(F8=0,0,F15/F8)</f>
        <v/>
      </c>
      <c r="G16" s="283">
        <f>IF(G8=0,0,G15/G8)</f>
        <v/>
      </c>
      <c r="H16" s="283">
        <f>IF(H8=0,0,H15/H8)</f>
        <v/>
      </c>
      <c r="I16" s="283">
        <f>IF(I8=0,0,I15/I8)</f>
        <v/>
      </c>
      <c r="J16" s="283">
        <f>IF(J8=0,0,J15/J8)</f>
        <v/>
      </c>
      <c r="K16" s="283">
        <f>IF(K8=0,0,K15/K8)</f>
        <v/>
      </c>
      <c r="L16" s="283">
        <f>IF(L8=0,0,L15/L8)</f>
        <v/>
      </c>
      <c r="M16" s="283">
        <f>IF(M8=0,0,M15/M8)</f>
        <v/>
      </c>
    </row>
    <row r="17">
      <c r="B17" s="254" t="inlineStr">
        <is>
          <t>Depreciation and amortization</t>
        </is>
      </c>
      <c r="C17" s="279" t="inlineStr">
        <is>
          <t>$M</t>
        </is>
      </c>
      <c r="D17" s="276">
        <f>'PB IS (Annual)'!Q93/1000</f>
        <v/>
      </c>
      <c r="E17" s="276">
        <f>'PB IS (Annual)'!P93/1000</f>
        <v/>
      </c>
      <c r="F17" s="276">
        <f>'PB IS (Annual)'!O93/1000</f>
        <v/>
      </c>
      <c r="G17" s="276">
        <f>'PB IS (Annual)'!N93/1000</f>
        <v/>
      </c>
      <c r="H17" s="276">
        <f>'PB IS (Annual)'!M93/1000</f>
        <v/>
      </c>
      <c r="I17" s="288">
        <f>I133</f>
        <v/>
      </c>
      <c r="J17" s="288">
        <f>J133</f>
        <v/>
      </c>
      <c r="K17" s="288">
        <f>K133</f>
        <v/>
      </c>
      <c r="L17" s="288">
        <f>L133</f>
        <v/>
      </c>
      <c r="M17" s="288">
        <f>M133</f>
        <v/>
      </c>
      <c r="O17" s="252" t="inlineStr">
        <is>
          <t>History: PitchBook supplemental D&amp;A (10-K). Projection: schedule 2 (Barclays EBITDA − EBIT for FY27–29)</t>
        </is>
      </c>
    </row>
    <row r="18">
      <c r="B18" s="249" t="inlineStr">
        <is>
          <t>Adjusted EBITDA (EBIT + D&amp;A; Barclays definition)</t>
        </is>
      </c>
      <c r="C18" s="279" t="inlineStr">
        <is>
          <t>$M</t>
        </is>
      </c>
      <c r="D18" s="287">
        <f>D15+D17</f>
        <v/>
      </c>
      <c r="E18" s="287">
        <f>E15+E17</f>
        <v/>
      </c>
      <c r="F18" s="287">
        <f>F15+F17</f>
        <v/>
      </c>
      <c r="G18" s="287">
        <f>G15+G17</f>
        <v/>
      </c>
      <c r="H18" s="287">
        <f>H15+H17</f>
        <v/>
      </c>
      <c r="I18" s="287">
        <f>I15+I17</f>
        <v/>
      </c>
      <c r="J18" s="287">
        <f>J15+J17</f>
        <v/>
      </c>
      <c r="K18" s="287">
        <f>K15+K17</f>
        <v/>
      </c>
      <c r="L18" s="287">
        <f>L15+L17</f>
        <v/>
      </c>
      <c r="M18" s="287">
        <f>M15+M17</f>
        <v/>
      </c>
      <c r="O18" s="252" t="inlineStr">
        <is>
          <t>Barclays' "EBITDA (adj)" = EBIT + D&amp;A (FY26: 1,882); no SBC add-back</t>
        </is>
      </c>
    </row>
    <row r="19">
      <c r="B19" s="281" t="inlineStr">
        <is>
          <t>Adjusted EBITDA margin</t>
        </is>
      </c>
      <c r="C19" s="279" t="inlineStr">
        <is>
          <t>%</t>
        </is>
      </c>
      <c r="D19" s="283">
        <f>IF(D8=0,0,D18/D8)</f>
        <v/>
      </c>
      <c r="E19" s="283">
        <f>IF(E8=0,0,E18/E8)</f>
        <v/>
      </c>
      <c r="F19" s="283">
        <f>IF(F8=0,0,F18/F8)</f>
        <v/>
      </c>
      <c r="G19" s="283">
        <f>IF(G8=0,0,G18/G8)</f>
        <v/>
      </c>
      <c r="H19" s="283">
        <f>IF(H8=0,0,H18/H8)</f>
        <v/>
      </c>
      <c r="I19" s="283">
        <f>IF(I8=0,0,I18/I8)</f>
        <v/>
      </c>
      <c r="J19" s="283">
        <f>IF(J8=0,0,J18/J8)</f>
        <v/>
      </c>
      <c r="K19" s="283">
        <f>IF(K8=0,0,K18/K8)</f>
        <v/>
      </c>
      <c r="L19" s="283">
        <f>IF(L8=0,0,L18/L8)</f>
        <v/>
      </c>
      <c r="M19" s="283">
        <f>IF(M8=0,0,M18/M8)</f>
        <v/>
      </c>
    </row>
    <row r="20">
      <c r="B20" s="254" t="inlineStr">
        <is>
          <t>Interest and other income, net</t>
        </is>
      </c>
      <c r="C20" s="279" t="inlineStr">
        <is>
          <t>$M</t>
        </is>
      </c>
      <c r="D20" s="276">
        <f>'PB IS (Annual)'!Q48/1000</f>
        <v/>
      </c>
      <c r="E20" s="276">
        <f>'PB IS (Annual)'!P48/1000</f>
        <v/>
      </c>
      <c r="F20" s="276">
        <f>'PB IS (Annual)'!O48/1000</f>
        <v/>
      </c>
      <c r="G20" s="276">
        <f>'PB IS (Annual)'!N48/1000</f>
        <v/>
      </c>
      <c r="H20" s="276">
        <f>'PB IS (Annual)'!M48/1000</f>
        <v/>
      </c>
      <c r="I20" s="288">
        <f>I139</f>
        <v/>
      </c>
      <c r="J20" s="288">
        <f>J139</f>
        <v/>
      </c>
      <c r="K20" s="288">
        <f>K139</f>
        <v/>
      </c>
      <c r="L20" s="288">
        <f>L139</f>
        <v/>
      </c>
      <c r="M20" s="288">
        <f>M139</f>
        <v/>
      </c>
      <c r="O20" s="252" t="inlineStr">
        <is>
          <t>History: PitchBook total non-operating income (interest income, net + other). Projection: yield × opening cash &amp; HTM (schedule 3)</t>
        </is>
      </c>
    </row>
    <row r="21">
      <c r="B21" s="249" t="inlineStr">
        <is>
          <t>Pre-tax income</t>
        </is>
      </c>
      <c r="C21" s="279" t="inlineStr">
        <is>
          <t>$M</t>
        </is>
      </c>
      <c r="D21" s="287">
        <f>D15+D20</f>
        <v/>
      </c>
      <c r="E21" s="287">
        <f>E15+E20</f>
        <v/>
      </c>
      <c r="F21" s="287">
        <f>F15+F20</f>
        <v/>
      </c>
      <c r="G21" s="287">
        <f>G15+G20</f>
        <v/>
      </c>
      <c r="H21" s="287">
        <f>H15+H20</f>
        <v/>
      </c>
      <c r="I21" s="287">
        <f>I15+I20</f>
        <v/>
      </c>
      <c r="J21" s="287">
        <f>J15+J20</f>
        <v/>
      </c>
      <c r="K21" s="287">
        <f>K15+K20</f>
        <v/>
      </c>
      <c r="L21" s="287">
        <f>L15+L20</f>
        <v/>
      </c>
      <c r="M21" s="287">
        <f>M15+M20</f>
        <v/>
      </c>
    </row>
    <row r="22">
      <c r="B22" s="254" t="inlineStr">
        <is>
          <t>Income tax expense</t>
        </is>
      </c>
      <c r="C22" s="279" t="inlineStr">
        <is>
          <t>$M</t>
        </is>
      </c>
      <c r="D22" s="276">
        <f>'PB IS (Annual)'!Q50/1000</f>
        <v/>
      </c>
      <c r="E22" s="276">
        <f>'PB IS (Annual)'!P50/1000</f>
        <v/>
      </c>
      <c r="F22" s="276">
        <f>'PB IS (Annual)'!O50/1000</f>
        <v/>
      </c>
      <c r="G22" s="276">
        <f>'PB IS (Annual)'!N50/1000</f>
        <v/>
      </c>
      <c r="H22" s="276">
        <f>'PB IS (Annual)'!M50/1000</f>
        <v/>
      </c>
      <c r="I22" s="288">
        <f>I21*I23</f>
        <v/>
      </c>
      <c r="J22" s="288">
        <f>J21*J23</f>
        <v/>
      </c>
      <c r="K22" s="288">
        <f>K21*K23</f>
        <v/>
      </c>
      <c r="L22" s="288">
        <f>L21*L23</f>
        <v/>
      </c>
      <c r="M22" s="288">
        <f>M21*M23</f>
        <v/>
      </c>
      <c r="O22" s="252" t="inlineStr">
        <is>
          <t>Projection: pre-tax × structural rate</t>
        </is>
      </c>
    </row>
    <row r="23">
      <c r="B23" s="281" t="inlineStr">
        <is>
          <t>Effective tax rate</t>
        </is>
      </c>
      <c r="C23" s="279" t="inlineStr">
        <is>
          <t>%</t>
        </is>
      </c>
      <c r="D23" s="283">
        <f>IF(D21=0,0,D22/D21)</f>
        <v/>
      </c>
      <c r="E23" s="283">
        <f>IF(E21=0,0,E22/E21)</f>
        <v/>
      </c>
      <c r="F23" s="283">
        <f>IF(F21=0,0,F22/F21)</f>
        <v/>
      </c>
      <c r="G23" s="283">
        <f>IF(G21=0,0,G22/G21)</f>
        <v/>
      </c>
      <c r="H23" s="283">
        <f>IF(H21=0,0,H22/H21)</f>
        <v/>
      </c>
      <c r="I23" s="273">
        <f>'WACC, Tax, and Reverse DCF'!$N$39</f>
        <v/>
      </c>
      <c r="J23" s="273">
        <f>'WACC, Tax, and Reverse DCF'!$N$39</f>
        <v/>
      </c>
      <c r="K23" s="273">
        <f>'WACC, Tax, and Reverse DCF'!$N$39</f>
        <v/>
      </c>
      <c r="L23" s="273">
        <f>'WACC, Tax, and Reverse DCF'!$N$39</f>
        <v/>
      </c>
      <c r="M23" s="273">
        <f>'WACC, Tax, and Reverse DCF'!$N$39</f>
        <v/>
      </c>
      <c r="O23" s="252" t="inlineStr">
        <is>
          <t>FY27+: structural rate from the tax build (Reverse DCF S29–S33: 21% statutory + state − FDII − option benefit); Barclays-implied 20.3% in schedule 7</t>
        </is>
      </c>
    </row>
    <row r="24">
      <c r="B24" s="249" t="inlineStr">
        <is>
          <t>Net income (consolidated)</t>
        </is>
      </c>
      <c r="C24" s="279" t="inlineStr">
        <is>
          <t>$M</t>
        </is>
      </c>
      <c r="D24" s="287">
        <f>D21-D22</f>
        <v/>
      </c>
      <c r="E24" s="287">
        <f>E21-E22</f>
        <v/>
      </c>
      <c r="F24" s="287">
        <f>F21-F22</f>
        <v/>
      </c>
      <c r="G24" s="287">
        <f>G21-G22</f>
        <v/>
      </c>
      <c r="H24" s="287">
        <f>H21-H22</f>
        <v/>
      </c>
      <c r="I24" s="287">
        <f>I21-I22</f>
        <v/>
      </c>
      <c r="J24" s="287">
        <f>J21-J22</f>
        <v/>
      </c>
      <c r="K24" s="287">
        <f>K21-K22</f>
        <v/>
      </c>
      <c r="L24" s="287">
        <f>L21-L22</f>
        <v/>
      </c>
      <c r="M24" s="287">
        <f>M21-M22</f>
        <v/>
      </c>
    </row>
    <row r="25">
      <c r="B25" s="254" t="inlineStr">
        <is>
          <t>Net (income) loss attributable to noncontrolling interest</t>
        </is>
      </c>
      <c r="C25" s="279" t="inlineStr">
        <is>
          <t>$M</t>
        </is>
      </c>
      <c r="D25" s="276">
        <f>'PB IS (Annual)'!Q56/1000-'PB IS (Annual)'!Q54/1000</f>
        <v/>
      </c>
      <c r="E25" s="276">
        <f>'PB IS (Annual)'!P56/1000-'PB IS (Annual)'!P54/1000</f>
        <v/>
      </c>
      <c r="F25" s="276">
        <f>'PB IS (Annual)'!O56/1000-'PB IS (Annual)'!O54/1000</f>
        <v/>
      </c>
      <c r="G25" s="276">
        <f>'PB IS (Annual)'!N56/1000-'PB IS (Annual)'!N54/1000</f>
        <v/>
      </c>
      <c r="H25" s="276">
        <f>'PB IS (Annual)'!M56/1000-'PB IS (Annual)'!M54/1000</f>
        <v/>
      </c>
      <c r="I25" s="304" t="n">
        <v>0</v>
      </c>
      <c r="J25" s="304" t="n">
        <v>0</v>
      </c>
      <c r="K25" s="304" t="n">
        <v>0</v>
      </c>
      <c r="L25" s="304" t="n">
        <v>0</v>
      </c>
      <c r="M25" s="304" t="n">
        <v>0</v>
      </c>
      <c r="O25" s="252" t="inlineStr">
        <is>
          <t>History: NI to Copart − consolidated NI (positive = NCI loss added back). Projection: ASSUMED 0 (Barclays ignores NCI; FY26 was +3.9)</t>
        </is>
      </c>
    </row>
    <row r="26">
      <c r="B26" s="249" t="inlineStr">
        <is>
          <t>Net income attributable to Copart</t>
        </is>
      </c>
      <c r="C26" s="279" t="inlineStr">
        <is>
          <t>$M</t>
        </is>
      </c>
      <c r="D26" s="287">
        <f>D24+D25</f>
        <v/>
      </c>
      <c r="E26" s="287">
        <f>E24+E25</f>
        <v/>
      </c>
      <c r="F26" s="287">
        <f>F24+F25</f>
        <v/>
      </c>
      <c r="G26" s="287">
        <f>G24+G25</f>
        <v/>
      </c>
      <c r="H26" s="287">
        <f>H24+H25</f>
        <v/>
      </c>
      <c r="I26" s="287">
        <f>I24+I25</f>
        <v/>
      </c>
      <c r="J26" s="287">
        <f>J24+J25</f>
        <v/>
      </c>
      <c r="K26" s="287">
        <f>K24+K25</f>
        <v/>
      </c>
      <c r="L26" s="287">
        <f>L24+L25</f>
        <v/>
      </c>
      <c r="M26" s="287">
        <f>M24+M25</f>
        <v/>
      </c>
    </row>
    <row r="27">
      <c r="B27" s="254" t="inlineStr">
        <is>
          <t>Diluted weighted-average shares</t>
        </is>
      </c>
      <c r="C27" s="279" t="inlineStr">
        <is>
          <t>M</t>
        </is>
      </c>
      <c r="D27" s="404">
        <f>'PB IS (Annual)'!Q68/1000000</f>
        <v/>
      </c>
      <c r="E27" s="404">
        <f>'PB IS (Annual)'!P68/1000000</f>
        <v/>
      </c>
      <c r="F27" s="404">
        <f>'PB IS (Annual)'!O68/1000000</f>
        <v/>
      </c>
      <c r="G27" s="404">
        <f>'PB IS (Annual)'!N68/1000000</f>
        <v/>
      </c>
      <c r="H27" s="404">
        <f>'PB IS (Annual)'!M68/1000000</f>
        <v/>
      </c>
      <c r="I27" s="421">
        <f>I151</f>
        <v/>
      </c>
      <c r="J27" s="421">
        <f>J151</f>
        <v/>
      </c>
      <c r="K27" s="421">
        <f>K151</f>
        <v/>
      </c>
      <c r="L27" s="421">
        <f>L151</f>
        <v/>
      </c>
      <c r="M27" s="421">
        <f>M151</f>
        <v/>
      </c>
      <c r="O27" s="252" t="inlineStr">
        <is>
          <t>Projection: schedule 5</t>
        </is>
      </c>
    </row>
    <row r="28">
      <c r="B28" s="249" t="inlineStr">
        <is>
          <t>Diluted EPS</t>
        </is>
      </c>
      <c r="C28" s="279" t="inlineStr">
        <is>
          <t>$</t>
        </is>
      </c>
      <c r="D28" s="422">
        <f>IF(D27=0,0,D26/D27)</f>
        <v/>
      </c>
      <c r="E28" s="422">
        <f>IF(E27=0,0,E26/E27)</f>
        <v/>
      </c>
      <c r="F28" s="422">
        <f>IF(F27=0,0,F26/F27)</f>
        <v/>
      </c>
      <c r="G28" s="422">
        <f>IF(G27=0,0,G26/G27)</f>
        <v/>
      </c>
      <c r="H28" s="422">
        <f>IF(H27=0,0,H26/H27)</f>
        <v/>
      </c>
      <c r="I28" s="422">
        <f>IF(I27=0,0,I26/I27)</f>
        <v/>
      </c>
      <c r="J28" s="422">
        <f>IF(J27=0,0,J26/J27)</f>
        <v/>
      </c>
      <c r="K28" s="422">
        <f>IF(K27=0,0,K26/K27)</f>
        <v/>
      </c>
      <c r="L28" s="422">
        <f>IF(L27=0,0,L26/L27)</f>
        <v/>
      </c>
      <c r="M28" s="422">
        <f>IF(M27=0,0,M26/M27)</f>
        <v/>
      </c>
    </row>
    <row r="29">
      <c r="B29" s="281" t="inlineStr">
        <is>
          <t>y/y growth</t>
        </is>
      </c>
      <c r="C29" s="279" t="inlineStr">
        <is>
          <t>%</t>
        </is>
      </c>
      <c r="D29" s="282" t="inlineStr">
        <is>
          <t>–</t>
        </is>
      </c>
      <c r="E29" s="283">
        <f>IF(D28=0,0,E28/D28-1)</f>
        <v/>
      </c>
      <c r="F29" s="283">
        <f>IF(E28=0,0,F28/E28-1)</f>
        <v/>
      </c>
      <c r="G29" s="283">
        <f>IF(F28=0,0,G28/F28-1)</f>
        <v/>
      </c>
      <c r="H29" s="283">
        <f>IF(G28=0,0,H28/G28-1)</f>
        <v/>
      </c>
      <c r="I29" s="283">
        <f>IF(H28=0,0,I28/H28-1)</f>
        <v/>
      </c>
      <c r="J29" s="283">
        <f>IF(I28=0,0,J28/I28-1)</f>
        <v/>
      </c>
      <c r="K29" s="283">
        <f>IF(J28=0,0,K28/J28-1)</f>
        <v/>
      </c>
      <c r="L29" s="283">
        <f>IF(K28=0,0,L28/K28-1)</f>
        <v/>
      </c>
      <c r="M29" s="283">
        <f>IF(L28=0,0,M28/L28-1)</f>
        <v/>
      </c>
    </row>
    <row r="30">
      <c r="B30" s="271" t="inlineStr">
        <is>
          <t>Barclays parity — income statement (Barclays publishes FY2026A–FY2029E only; Δ = 3SM − Barclays)</t>
        </is>
      </c>
      <c r="C30" s="272" t="n"/>
      <c r="D30" s="272" t="n"/>
      <c r="E30" s="272" t="n"/>
      <c r="F30" s="272" t="n"/>
      <c r="G30" s="272" t="n"/>
      <c r="H30" s="272" t="n"/>
      <c r="I30" s="272" t="n"/>
      <c r="J30" s="272" t="n"/>
      <c r="K30" s="272" t="n"/>
      <c r="L30" s="272" t="n"/>
      <c r="M30" s="272" t="n"/>
      <c r="N30" s="272" t="n"/>
      <c r="O30" s="272" t="n"/>
      <c r="P30" s="272" t="n"/>
      <c r="Q30" s="272" t="n"/>
      <c r="R30" s="272" t="n"/>
      <c r="S30" s="272" t="n"/>
    </row>
    <row r="31">
      <c r="B31" s="254" t="inlineStr">
        <is>
          <t>Barclays revenue</t>
        </is>
      </c>
      <c r="C31" s="279" t="inlineStr">
        <is>
          <t>$M</t>
        </is>
      </c>
      <c r="D31" s="282" t="inlineStr">
        <is>
          <t>–</t>
        </is>
      </c>
      <c r="E31" s="282" t="inlineStr">
        <is>
          <t>–</t>
        </is>
      </c>
      <c r="F31" s="282" t="inlineStr">
        <is>
          <t>–</t>
        </is>
      </c>
      <c r="G31" s="282" t="inlineStr">
        <is>
          <t>–</t>
        </is>
      </c>
      <c r="H31" s="276">
        <f>'D Barclays'!D5</f>
        <v/>
      </c>
      <c r="I31" s="276">
        <f>'D Barclays'!E5</f>
        <v/>
      </c>
      <c r="J31" s="276">
        <f>'D Barclays'!F5</f>
        <v/>
      </c>
      <c r="K31" s="276">
        <f>'D Barclays'!G5</f>
        <v/>
      </c>
      <c r="L31" s="282" t="inlineStr">
        <is>
          <t>–</t>
        </is>
      </c>
      <c r="M31" s="282" t="inlineStr">
        <is>
          <t>–</t>
        </is>
      </c>
      <c r="O31" s="252" t="inlineStr">
        <is>
          <t>D Barclays row 5</t>
        </is>
      </c>
    </row>
    <row r="32">
      <c r="B32" s="281" t="inlineStr">
        <is>
          <t>Δ revenue</t>
        </is>
      </c>
      <c r="C32" s="279" t="inlineStr">
        <is>
          <t>$M</t>
        </is>
      </c>
      <c r="D32" s="282" t="inlineStr">
        <is>
          <t>–</t>
        </is>
      </c>
      <c r="E32" s="282" t="inlineStr">
        <is>
          <t>–</t>
        </is>
      </c>
      <c r="F32" s="282" t="inlineStr">
        <is>
          <t>–</t>
        </is>
      </c>
      <c r="G32" s="282" t="inlineStr">
        <is>
          <t>–</t>
        </is>
      </c>
      <c r="H32" s="288">
        <f>H8-H31</f>
        <v/>
      </c>
      <c r="I32" s="288">
        <f>I8-I31</f>
        <v/>
      </c>
      <c r="J32" s="288">
        <f>J8-J31</f>
        <v/>
      </c>
      <c r="K32" s="288">
        <f>K8-K31</f>
        <v/>
      </c>
      <c r="L32" s="282" t="inlineStr">
        <is>
          <t>–</t>
        </is>
      </c>
      <c r="M32" s="282" t="inlineStr">
        <is>
          <t>–</t>
        </is>
      </c>
    </row>
    <row r="33">
      <c r="B33" s="254" t="inlineStr">
        <is>
          <t>Barclays adjusted EBITDA</t>
        </is>
      </c>
      <c r="C33" s="279" t="inlineStr">
        <is>
          <t>$M</t>
        </is>
      </c>
      <c r="D33" s="282" t="inlineStr">
        <is>
          <t>–</t>
        </is>
      </c>
      <c r="E33" s="282" t="inlineStr">
        <is>
          <t>–</t>
        </is>
      </c>
      <c r="F33" s="282" t="inlineStr">
        <is>
          <t>–</t>
        </is>
      </c>
      <c r="G33" s="282" t="inlineStr">
        <is>
          <t>–</t>
        </is>
      </c>
      <c r="H33" s="276">
        <f>'D Barclays'!D6</f>
        <v/>
      </c>
      <c r="I33" s="276">
        <f>'D Barclays'!E6</f>
        <v/>
      </c>
      <c r="J33" s="276">
        <f>'D Barclays'!F6</f>
        <v/>
      </c>
      <c r="K33" s="276">
        <f>'D Barclays'!G6</f>
        <v/>
      </c>
      <c r="L33" s="282" t="inlineStr">
        <is>
          <t>–</t>
        </is>
      </c>
      <c r="M33" s="282" t="inlineStr">
        <is>
          <t>–</t>
        </is>
      </c>
    </row>
    <row r="34">
      <c r="B34" s="281" t="inlineStr">
        <is>
          <t>Δ adjusted EBITDA</t>
        </is>
      </c>
      <c r="C34" s="279" t="inlineStr">
        <is>
          <t>$M</t>
        </is>
      </c>
      <c r="D34" s="282" t="inlineStr">
        <is>
          <t>–</t>
        </is>
      </c>
      <c r="E34" s="282" t="inlineStr">
        <is>
          <t>–</t>
        </is>
      </c>
      <c r="F34" s="282" t="inlineStr">
        <is>
          <t>–</t>
        </is>
      </c>
      <c r="G34" s="282" t="inlineStr">
        <is>
          <t>–</t>
        </is>
      </c>
      <c r="H34" s="288">
        <f>H18-H33</f>
        <v/>
      </c>
      <c r="I34" s="288">
        <f>I18-I33</f>
        <v/>
      </c>
      <c r="J34" s="288">
        <f>J18-J33</f>
        <v/>
      </c>
      <c r="K34" s="288">
        <f>K18-K33</f>
        <v/>
      </c>
      <c r="L34" s="282" t="inlineStr">
        <is>
          <t>–</t>
        </is>
      </c>
      <c r="M34" s="282" t="inlineStr">
        <is>
          <t>–</t>
        </is>
      </c>
    </row>
    <row r="35">
      <c r="B35" s="254" t="inlineStr">
        <is>
          <t>Barclays EBIT</t>
        </is>
      </c>
      <c r="C35" s="279" t="inlineStr">
        <is>
          <t>$M</t>
        </is>
      </c>
      <c r="D35" s="282" t="inlineStr">
        <is>
          <t>–</t>
        </is>
      </c>
      <c r="E35" s="282" t="inlineStr">
        <is>
          <t>–</t>
        </is>
      </c>
      <c r="F35" s="282" t="inlineStr">
        <is>
          <t>–</t>
        </is>
      </c>
      <c r="G35" s="282" t="inlineStr">
        <is>
          <t>–</t>
        </is>
      </c>
      <c r="H35" s="276">
        <f>'D Barclays'!D7</f>
        <v/>
      </c>
      <c r="I35" s="276">
        <f>'D Barclays'!E7</f>
        <v/>
      </c>
      <c r="J35" s="276">
        <f>'D Barclays'!F7</f>
        <v/>
      </c>
      <c r="K35" s="276">
        <f>'D Barclays'!G7</f>
        <v/>
      </c>
      <c r="L35" s="282" t="inlineStr">
        <is>
          <t>–</t>
        </is>
      </c>
      <c r="M35" s="282" t="inlineStr">
        <is>
          <t>–</t>
        </is>
      </c>
    </row>
    <row r="36">
      <c r="B36" s="281" t="inlineStr">
        <is>
          <t>Δ EBIT</t>
        </is>
      </c>
      <c r="C36" s="279" t="inlineStr">
        <is>
          <t>$M</t>
        </is>
      </c>
      <c r="D36" s="282" t="inlineStr">
        <is>
          <t>–</t>
        </is>
      </c>
      <c r="E36" s="282" t="inlineStr">
        <is>
          <t>–</t>
        </is>
      </c>
      <c r="F36" s="282" t="inlineStr">
        <is>
          <t>–</t>
        </is>
      </c>
      <c r="G36" s="282" t="inlineStr">
        <is>
          <t>–</t>
        </is>
      </c>
      <c r="H36" s="288">
        <f>H15-H35</f>
        <v/>
      </c>
      <c r="I36" s="288">
        <f>I15-I35</f>
        <v/>
      </c>
      <c r="J36" s="288">
        <f>J15-J35</f>
        <v/>
      </c>
      <c r="K36" s="288">
        <f>K15-K35</f>
        <v/>
      </c>
      <c r="L36" s="282" t="inlineStr">
        <is>
          <t>–</t>
        </is>
      </c>
      <c r="M36" s="282" t="inlineStr">
        <is>
          <t>–</t>
        </is>
      </c>
    </row>
    <row r="37">
      <c r="B37" s="254" t="inlineStr">
        <is>
          <t>Barclays pre-tax income</t>
        </is>
      </c>
      <c r="C37" s="279" t="inlineStr">
        <is>
          <t>$M</t>
        </is>
      </c>
      <c r="D37" s="282" t="inlineStr">
        <is>
          <t>–</t>
        </is>
      </c>
      <c r="E37" s="282" t="inlineStr">
        <is>
          <t>–</t>
        </is>
      </c>
      <c r="F37" s="282" t="inlineStr">
        <is>
          <t>–</t>
        </is>
      </c>
      <c r="G37" s="282" t="inlineStr">
        <is>
          <t>–</t>
        </is>
      </c>
      <c r="H37" s="276">
        <f>'D Barclays'!D8</f>
        <v/>
      </c>
      <c r="I37" s="276">
        <f>'D Barclays'!E8</f>
        <v/>
      </c>
      <c r="J37" s="276">
        <f>'D Barclays'!F8</f>
        <v/>
      </c>
      <c r="K37" s="276">
        <f>'D Barclays'!G8</f>
        <v/>
      </c>
      <c r="L37" s="282" t="inlineStr">
        <is>
          <t>–</t>
        </is>
      </c>
      <c r="M37" s="282" t="inlineStr">
        <is>
          <t>–</t>
        </is>
      </c>
    </row>
    <row r="38">
      <c r="B38" s="281" t="inlineStr">
        <is>
          <t>Δ pre-tax income</t>
        </is>
      </c>
      <c r="C38" s="279" t="inlineStr">
        <is>
          <t>$M</t>
        </is>
      </c>
      <c r="D38" s="282" t="inlineStr">
        <is>
          <t>–</t>
        </is>
      </c>
      <c r="E38" s="282" t="inlineStr">
        <is>
          <t>–</t>
        </is>
      </c>
      <c r="F38" s="282" t="inlineStr">
        <is>
          <t>–</t>
        </is>
      </c>
      <c r="G38" s="282" t="inlineStr">
        <is>
          <t>–</t>
        </is>
      </c>
      <c r="H38" s="288">
        <f>H21-H37</f>
        <v/>
      </c>
      <c r="I38" s="288">
        <f>I21-I37</f>
        <v/>
      </c>
      <c r="J38" s="288">
        <f>J21-J37</f>
        <v/>
      </c>
      <c r="K38" s="288">
        <f>K21-K37</f>
        <v/>
      </c>
      <c r="L38" s="282" t="inlineStr">
        <is>
          <t>–</t>
        </is>
      </c>
      <c r="M38" s="282" t="inlineStr">
        <is>
          <t>–</t>
        </is>
      </c>
    </row>
    <row r="39">
      <c r="B39" s="254" t="inlineStr">
        <is>
          <t>Barclays net income</t>
        </is>
      </c>
      <c r="C39" s="279" t="inlineStr">
        <is>
          <t>$M</t>
        </is>
      </c>
      <c r="D39" s="282" t="inlineStr">
        <is>
          <t>–</t>
        </is>
      </c>
      <c r="E39" s="282" t="inlineStr">
        <is>
          <t>–</t>
        </is>
      </c>
      <c r="F39" s="282" t="inlineStr">
        <is>
          <t>–</t>
        </is>
      </c>
      <c r="G39" s="282" t="inlineStr">
        <is>
          <t>–</t>
        </is>
      </c>
      <c r="H39" s="276">
        <f>'D Barclays'!D9</f>
        <v/>
      </c>
      <c r="I39" s="276">
        <f>'D Barclays'!E9</f>
        <v/>
      </c>
      <c r="J39" s="276">
        <f>'D Barclays'!F9</f>
        <v/>
      </c>
      <c r="K39" s="276">
        <f>'D Barclays'!G9</f>
        <v/>
      </c>
      <c r="L39" s="282" t="inlineStr">
        <is>
          <t>–</t>
        </is>
      </c>
      <c r="M39" s="282" t="inlineStr">
        <is>
          <t>–</t>
        </is>
      </c>
    </row>
    <row r="40">
      <c r="B40" s="281" t="inlineStr">
        <is>
          <t>Δ net income</t>
        </is>
      </c>
      <c r="C40" s="279" t="inlineStr">
        <is>
          <t>$M</t>
        </is>
      </c>
      <c r="D40" s="282" t="inlineStr">
        <is>
          <t>–</t>
        </is>
      </c>
      <c r="E40" s="282" t="inlineStr">
        <is>
          <t>–</t>
        </is>
      </c>
      <c r="F40" s="282" t="inlineStr">
        <is>
          <t>–</t>
        </is>
      </c>
      <c r="G40" s="282" t="inlineStr">
        <is>
          <t>–</t>
        </is>
      </c>
      <c r="H40" s="288">
        <f>H26-H39</f>
        <v/>
      </c>
      <c r="I40" s="288">
        <f>I26-I39</f>
        <v/>
      </c>
      <c r="J40" s="288">
        <f>J26-J39</f>
        <v/>
      </c>
      <c r="K40" s="288">
        <f>K26-K39</f>
        <v/>
      </c>
      <c r="L40" s="282" t="inlineStr">
        <is>
          <t>–</t>
        </is>
      </c>
      <c r="M40" s="282" t="inlineStr">
        <is>
          <t>–</t>
        </is>
      </c>
    </row>
    <row r="41">
      <c r="B41" s="254" t="inlineStr">
        <is>
          <t>Barclays diluted EPS</t>
        </is>
      </c>
      <c r="C41" s="279" t="inlineStr">
        <is>
          <t>$</t>
        </is>
      </c>
      <c r="D41" s="282" t="inlineStr">
        <is>
          <t>–</t>
        </is>
      </c>
      <c r="E41" s="282" t="inlineStr">
        <is>
          <t>–</t>
        </is>
      </c>
      <c r="F41" s="282" t="inlineStr">
        <is>
          <t>–</t>
        </is>
      </c>
      <c r="G41" s="282" t="inlineStr">
        <is>
          <t>–</t>
        </is>
      </c>
      <c r="H41" s="407">
        <f>'D Barclays'!D10</f>
        <v/>
      </c>
      <c r="I41" s="407">
        <f>'D Barclays'!E10</f>
        <v/>
      </c>
      <c r="J41" s="407">
        <f>'D Barclays'!F10</f>
        <v/>
      </c>
      <c r="K41" s="407">
        <f>'D Barclays'!G10</f>
        <v/>
      </c>
      <c r="L41" s="282" t="inlineStr">
        <is>
          <t>–</t>
        </is>
      </c>
      <c r="M41" s="282" t="inlineStr">
        <is>
          <t>–</t>
        </is>
      </c>
    </row>
    <row r="42">
      <c r="B42" s="281" t="inlineStr">
        <is>
          <t>Δ EPS, %</t>
        </is>
      </c>
      <c r="C42" s="279" t="inlineStr">
        <is>
          <t>%</t>
        </is>
      </c>
      <c r="D42" s="282" t="inlineStr">
        <is>
          <t>–</t>
        </is>
      </c>
      <c r="E42" s="282" t="inlineStr">
        <is>
          <t>–</t>
        </is>
      </c>
      <c r="F42" s="282" t="inlineStr">
        <is>
          <t>–</t>
        </is>
      </c>
      <c r="G42" s="282" t="inlineStr">
        <is>
          <t>–</t>
        </is>
      </c>
      <c r="H42" s="283">
        <f>IF(H41=0,0,H28/H41-1)</f>
        <v/>
      </c>
      <c r="I42" s="283">
        <f>IF(I41=0,0,I28/I41-1)</f>
        <v/>
      </c>
      <c r="J42" s="283">
        <f>IF(J41=0,0,J28/J41-1)</f>
        <v/>
      </c>
      <c r="K42" s="283">
        <f>IF(K41=0,0,K28/K41-1)</f>
        <v/>
      </c>
      <c r="L42" s="282" t="inlineStr">
        <is>
          <t>–</t>
        </is>
      </c>
      <c r="M42" s="282" t="inlineStr">
        <is>
          <t>–</t>
        </is>
      </c>
    </row>
    <row r="43">
      <c r="B43" s="246" t="inlineStr">
        <is>
          <t>Balance sheet</t>
        </is>
      </c>
      <c r="C43" s="247" t="n"/>
      <c r="D43" s="248" t="inlineStr">
        <is>
          <t>FY2022A</t>
        </is>
      </c>
      <c r="E43" s="248" t="inlineStr">
        <is>
          <t>FY2023A</t>
        </is>
      </c>
      <c r="F43" s="248" t="inlineStr">
        <is>
          <t>FY2024A</t>
        </is>
      </c>
      <c r="G43" s="248" t="inlineStr">
        <is>
          <t>FY2025A</t>
        </is>
      </c>
      <c r="H43" s="248" t="inlineStr">
        <is>
          <t>FY2026A</t>
        </is>
      </c>
      <c r="I43" s="248" t="inlineStr">
        <is>
          <t>FY2027E</t>
        </is>
      </c>
      <c r="J43" s="248" t="inlineStr">
        <is>
          <t>FY2028E</t>
        </is>
      </c>
      <c r="K43" s="248" t="inlineStr">
        <is>
          <t>FY2029E</t>
        </is>
      </c>
      <c r="L43" s="248" t="inlineStr">
        <is>
          <t>FY2030E</t>
        </is>
      </c>
      <c r="M43" s="248" t="inlineStr">
        <is>
          <t>FY2031E</t>
        </is>
      </c>
      <c r="N43" s="247" t="n"/>
      <c r="O43" s="247" t="n"/>
      <c r="P43" s="247" t="n"/>
      <c r="Q43" s="247" t="n"/>
      <c r="R43" s="247" t="n"/>
      <c r="S43" s="247" t="n"/>
    </row>
    <row r="44">
      <c r="B44" s="249" t="inlineStr">
        <is>
          <t>Assets</t>
        </is>
      </c>
    </row>
    <row r="45">
      <c r="B45" s="254" t="inlineStr">
        <is>
          <t>Cash and cash equivalents</t>
        </is>
      </c>
      <c r="C45" s="279" t="inlineStr">
        <is>
          <t>$M</t>
        </is>
      </c>
      <c r="D45" s="276">
        <f>'PB BS (Annual)'!Q14/1000</f>
        <v/>
      </c>
      <c r="E45" s="276">
        <f>'PB BS (Annual)'!P14/1000</f>
        <v/>
      </c>
      <c r="F45" s="276">
        <f>'PB BS (Annual)'!O14/1000</f>
        <v/>
      </c>
      <c r="G45" s="276">
        <f>'PB BS (Annual)'!N14/1000</f>
        <v/>
      </c>
      <c r="H45" s="276">
        <f>'PB BS (Annual)'!M14/1000</f>
        <v/>
      </c>
      <c r="I45" s="288">
        <f>I110</f>
        <v/>
      </c>
      <c r="J45" s="288">
        <f>J110</f>
        <v/>
      </c>
      <c r="K45" s="288">
        <f>K110</f>
        <v/>
      </c>
      <c r="L45" s="288">
        <f>L110</f>
        <v/>
      </c>
      <c r="M45" s="288">
        <f>M110</f>
        <v/>
      </c>
      <c r="O45" s="252" t="inlineStr">
        <is>
          <t>Projection: cash-flow statement ending cash (the plug)</t>
        </is>
      </c>
    </row>
    <row r="46">
      <c r="B46" s="254" t="inlineStr">
        <is>
          <t>Held-to-maturity securities (Treasury bills)</t>
        </is>
      </c>
      <c r="C46" s="279" t="inlineStr">
        <is>
          <t>$M</t>
        </is>
      </c>
      <c r="D46" s="276">
        <f>'PB BS (Annual)'!Q16/1000</f>
        <v/>
      </c>
      <c r="E46" s="276">
        <f>'PB BS (Annual)'!P16/1000</f>
        <v/>
      </c>
      <c r="F46" s="276">
        <f>'PB BS (Annual)'!O16/1000</f>
        <v/>
      </c>
      <c r="G46" s="276">
        <f>'PB BS (Annual)'!N16/1000</f>
        <v/>
      </c>
      <c r="H46" s="276">
        <f>'PB BS (Annual)'!M16/1000</f>
        <v/>
      </c>
      <c r="I46" s="288">
        <f>H46</f>
        <v/>
      </c>
      <c r="J46" s="288">
        <f>I46</f>
        <v/>
      </c>
      <c r="K46" s="288">
        <f>J46</f>
        <v/>
      </c>
      <c r="L46" s="288">
        <f>K46</f>
        <v/>
      </c>
      <c r="M46" s="288">
        <f>L46</f>
        <v/>
      </c>
      <c r="O46" s="252" t="inlineStr">
        <is>
          <t>ASSUMED held flat: no net HTM purchases modelled; all liquidity accrues in cash (same pool for interest income)</t>
        </is>
      </c>
    </row>
    <row r="47">
      <c r="B47" s="281" t="inlineStr">
        <is>
          <t>Cash &amp; HTM securities</t>
        </is>
      </c>
      <c r="C47" s="279" t="inlineStr">
        <is>
          <t>$M</t>
        </is>
      </c>
      <c r="D47" s="288">
        <f>D45+D46</f>
        <v/>
      </c>
      <c r="E47" s="288">
        <f>E45+E46</f>
        <v/>
      </c>
      <c r="F47" s="288">
        <f>F45+F46</f>
        <v/>
      </c>
      <c r="G47" s="288">
        <f>G45+G46</f>
        <v/>
      </c>
      <c r="H47" s="288">
        <f>H45+H46</f>
        <v/>
      </c>
      <c r="I47" s="288">
        <f>I45+I46</f>
        <v/>
      </c>
      <c r="J47" s="288">
        <f>J45+J46</f>
        <v/>
      </c>
      <c r="K47" s="288">
        <f>K45+K46</f>
        <v/>
      </c>
      <c r="L47" s="288">
        <f>L45+L46</f>
        <v/>
      </c>
      <c r="M47" s="288">
        <f>M45+M46</f>
        <v/>
      </c>
      <c r="O47" s="252" t="inlineStr">
        <is>
          <t>Barclays' "cash and equivalents" line combines both (FY26: 4,490)</t>
        </is>
      </c>
    </row>
    <row r="48">
      <c r="B48" s="254" t="inlineStr">
        <is>
          <t>Accounts receivable, net</t>
        </is>
      </c>
      <c r="C48" s="279" t="inlineStr">
        <is>
          <t>$M</t>
        </is>
      </c>
      <c r="D48" s="276">
        <f>'PB BS (Annual)'!Q28/1000-'PB BS (Annual)'!Q25/1000</f>
        <v/>
      </c>
      <c r="E48" s="276">
        <f>'PB BS (Annual)'!P28/1000-'PB BS (Annual)'!P25/1000</f>
        <v/>
      </c>
      <c r="F48" s="276">
        <f>'PB BS (Annual)'!O28/1000-'PB BS (Annual)'!O25/1000</f>
        <v/>
      </c>
      <c r="G48" s="276">
        <f>'PB BS (Annual)'!N28/1000-'PB BS (Annual)'!N25/1000</f>
        <v/>
      </c>
      <c r="H48" s="276">
        <f>'PB BS (Annual)'!M28/1000-'PB BS (Annual)'!M25/1000</f>
        <v/>
      </c>
      <c r="I48" s="288">
        <f>I8*I155/365</f>
        <v/>
      </c>
      <c r="J48" s="288">
        <f>J8*J155/365</f>
        <v/>
      </c>
      <c r="K48" s="288">
        <f>K8*K155/365</f>
        <v/>
      </c>
      <c r="L48" s="288">
        <f>L8*L155/365</f>
        <v/>
      </c>
      <c r="M48" s="288">
        <f>M8*M155/365</f>
        <v/>
      </c>
      <c r="O48" s="252" t="inlineStr">
        <is>
          <t>History: PitchBook trade and other receivables − taxes receivable (= 10-K AR, net). Projection: days of revenue (schedule 6)</t>
        </is>
      </c>
    </row>
    <row r="49">
      <c r="B49" s="254" t="inlineStr">
        <is>
          <t>Income taxes receivable</t>
        </is>
      </c>
      <c r="C49" s="279" t="inlineStr">
        <is>
          <t>$M</t>
        </is>
      </c>
      <c r="D49" s="276">
        <f>'PB BS (Annual)'!Q25/1000</f>
        <v/>
      </c>
      <c r="E49" s="276">
        <f>'PB BS (Annual)'!P25/1000</f>
        <v/>
      </c>
      <c r="F49" s="276">
        <f>'PB BS (Annual)'!O25/1000</f>
        <v/>
      </c>
      <c r="G49" s="276">
        <f>'PB BS (Annual)'!N25/1000</f>
        <v/>
      </c>
      <c r="H49" s="276">
        <f>'PB BS (Annual)'!M25/1000</f>
        <v/>
      </c>
      <c r="I49" s="288">
        <f>H49</f>
        <v/>
      </c>
      <c r="J49" s="288">
        <f>I49</f>
        <v/>
      </c>
      <c r="K49" s="288">
        <f>J49</f>
        <v/>
      </c>
      <c r="L49" s="288">
        <f>K49</f>
        <v/>
      </c>
      <c r="M49" s="288">
        <f>L49</f>
        <v/>
      </c>
      <c r="O49" s="252" t="inlineStr">
        <is>
          <t>ASSUMED held flat</t>
        </is>
      </c>
    </row>
    <row r="50">
      <c r="B50" s="254" t="inlineStr">
        <is>
          <t>Vehicle pooling costs</t>
        </is>
      </c>
      <c r="C50" s="279" t="inlineStr">
        <is>
          <t>$M</t>
        </is>
      </c>
      <c r="D50" s="276">
        <f>'PB BS (Annual)'!Q31/1000</f>
        <v/>
      </c>
      <c r="E50" s="276">
        <f>'PB BS (Annual)'!P31/1000</f>
        <v/>
      </c>
      <c r="F50" s="276">
        <f>'PB BS (Annual)'!O31/1000</f>
        <v/>
      </c>
      <c r="G50" s="276">
        <f>'PB BS (Annual)'!N31/1000</f>
        <v/>
      </c>
      <c r="H50" s="276">
        <f>'PB BS (Annual)'!M31/1000</f>
        <v/>
      </c>
      <c r="I50" s="288">
        <f>I10*I156/365</f>
        <v/>
      </c>
      <c r="J50" s="288">
        <f>J10*J156/365</f>
        <v/>
      </c>
      <c r="K50" s="288">
        <f>K10*K156/365</f>
        <v/>
      </c>
      <c r="L50" s="288">
        <f>L10*L156/365</f>
        <v/>
      </c>
      <c r="M50" s="288">
        <f>M10*M156/365</f>
        <v/>
      </c>
      <c r="O50" s="252" t="inlineStr">
        <is>
          <t>Projection: days of facility operations (schedule 6)</t>
        </is>
      </c>
    </row>
    <row r="51">
      <c r="B51" s="254" t="inlineStr">
        <is>
          <t>Inventories</t>
        </is>
      </c>
      <c r="C51" s="279" t="inlineStr">
        <is>
          <t>$M</t>
        </is>
      </c>
      <c r="D51" s="276">
        <f>'PB BS (Annual)'!Q19/1000</f>
        <v/>
      </c>
      <c r="E51" s="276">
        <f>'PB BS (Annual)'!P19/1000</f>
        <v/>
      </c>
      <c r="F51" s="276">
        <f>'PB BS (Annual)'!O19/1000</f>
        <v/>
      </c>
      <c r="G51" s="276">
        <f>'PB BS (Annual)'!N19/1000</f>
        <v/>
      </c>
      <c r="H51" s="276">
        <f>'PB BS (Annual)'!M19/1000</f>
        <v/>
      </c>
      <c r="I51" s="288">
        <f>I11*I157/365</f>
        <v/>
      </c>
      <c r="J51" s="288">
        <f>J11*J157/365</f>
        <v/>
      </c>
      <c r="K51" s="288">
        <f>K11*K157/365</f>
        <v/>
      </c>
      <c r="L51" s="288">
        <f>L11*L157/365</f>
        <v/>
      </c>
      <c r="M51" s="288">
        <f>M11*M157/365</f>
        <v/>
      </c>
      <c r="O51" s="252" t="inlineStr">
        <is>
          <t>Projection: days of cost of vehicle sales (schedule 6)</t>
        </is>
      </c>
    </row>
    <row r="52">
      <c r="B52" s="254" t="inlineStr">
        <is>
          <t>Prepaid expenses and other current assets</t>
        </is>
      </c>
      <c r="C52" s="279" t="inlineStr">
        <is>
          <t>$M</t>
        </is>
      </c>
      <c r="D52" s="276">
        <f>'PB BS (Annual)'!Q33/1000</f>
        <v/>
      </c>
      <c r="E52" s="276">
        <f>'PB BS (Annual)'!P33/1000</f>
        <v/>
      </c>
      <c r="F52" s="276">
        <f>'PB BS (Annual)'!O33/1000</f>
        <v/>
      </c>
      <c r="G52" s="276">
        <f>'PB BS (Annual)'!N33/1000</f>
        <v/>
      </c>
      <c r="H52" s="276">
        <f>'PB BS (Annual)'!M33/1000</f>
        <v/>
      </c>
      <c r="I52" s="288">
        <f>I8*I158/365</f>
        <v/>
      </c>
      <c r="J52" s="288">
        <f>J8*J158/365</f>
        <v/>
      </c>
      <c r="K52" s="288">
        <f>K8*K158/365</f>
        <v/>
      </c>
      <c r="L52" s="288">
        <f>L8*L158/365</f>
        <v/>
      </c>
      <c r="M52" s="288">
        <f>M8*M158/365</f>
        <v/>
      </c>
      <c r="O52" s="252" t="inlineStr">
        <is>
          <t>Projection: days of revenue (schedule 6)</t>
        </is>
      </c>
    </row>
    <row r="53">
      <c r="B53" s="254" t="inlineStr">
        <is>
          <t>Other operating assets (Barclays ΔNWC reconciliation)</t>
        </is>
      </c>
      <c r="C53" s="279" t="inlineStr">
        <is>
          <t>$M</t>
        </is>
      </c>
      <c r="D53" s="304" t="n">
        <v>0</v>
      </c>
      <c r="E53" s="304" t="n">
        <v>0</v>
      </c>
      <c r="F53" s="304" t="n">
        <v>0</v>
      </c>
      <c r="G53" s="304" t="n">
        <v>0</v>
      </c>
      <c r="H53" s="304" t="n">
        <v>0</v>
      </c>
      <c r="I53" s="288">
        <f>H53+(I161-I164)</f>
        <v/>
      </c>
      <c r="J53" s="288">
        <f>I53+(J161-J164)</f>
        <v/>
      </c>
      <c r="K53" s="288">
        <f>J53+(K161-K164)</f>
        <v/>
      </c>
      <c r="L53" s="288">
        <f>K53+(L161-L164)</f>
        <v/>
      </c>
      <c r="M53" s="288">
        <f>L53+(M161-M164)</f>
        <v/>
      </c>
      <c r="O53" s="252" t="inlineStr">
        <is>
          <t>Zero under the days schedule; under the Barclays ΔNWC method it carries the working capital Barclays assumes beyond what the days lines generate, so the balance sheet still balances</t>
        </is>
      </c>
    </row>
    <row r="54">
      <c r="B54" s="249" t="inlineStr">
        <is>
          <t>Total current assets</t>
        </is>
      </c>
      <c r="C54" s="279" t="inlineStr">
        <is>
          <t>$M</t>
        </is>
      </c>
      <c r="D54" s="287">
        <f>SUM(D45:D53)-D47</f>
        <v/>
      </c>
      <c r="E54" s="287">
        <f>SUM(E45:E53)-E47</f>
        <v/>
      </c>
      <c r="F54" s="287">
        <f>SUM(F45:F53)-F47</f>
        <v/>
      </c>
      <c r="G54" s="287">
        <f>SUM(G45:G53)-G47</f>
        <v/>
      </c>
      <c r="H54" s="287">
        <f>SUM(H45:H53)-H47</f>
        <v/>
      </c>
      <c r="I54" s="287">
        <f>SUM(I45:I53)-I47</f>
        <v/>
      </c>
      <c r="J54" s="287">
        <f>SUM(J45:J53)-J47</f>
        <v/>
      </c>
      <c r="K54" s="287">
        <f>SUM(K45:K53)-K47</f>
        <v/>
      </c>
      <c r="L54" s="287">
        <f>SUM(L45:L53)-L47</f>
        <v/>
      </c>
      <c r="M54" s="287">
        <f>SUM(M45:M53)-M47</f>
        <v/>
      </c>
    </row>
    <row r="55">
      <c r="B55" s="254" t="inlineStr">
        <is>
          <t>Property and equipment, net (excl. lease ROU)</t>
        </is>
      </c>
      <c r="C55" s="279" t="inlineStr">
        <is>
          <t>$M</t>
        </is>
      </c>
      <c r="D55" s="276">
        <f>'PB BS (Annual)'!Q52/1000-'PB BS (Annual)'!Q46/1000</f>
        <v/>
      </c>
      <c r="E55" s="276">
        <f>'PB BS (Annual)'!P52/1000-'PB BS (Annual)'!P46/1000</f>
        <v/>
      </c>
      <c r="F55" s="276">
        <f>'PB BS (Annual)'!O52/1000-'PB BS (Annual)'!O46/1000</f>
        <v/>
      </c>
      <c r="G55" s="276">
        <f>'PB BS (Annual)'!N52/1000-'PB BS (Annual)'!N46/1000</f>
        <v/>
      </c>
      <c r="H55" s="276">
        <f>'PB BS (Annual)'!M52/1000-'PB BS (Annual)'!M46/1000</f>
        <v/>
      </c>
      <c r="I55" s="288">
        <f>I135</f>
        <v/>
      </c>
      <c r="J55" s="288">
        <f>J135</f>
        <v/>
      </c>
      <c r="K55" s="288">
        <f>K135</f>
        <v/>
      </c>
      <c r="L55" s="288">
        <f>L135</f>
        <v/>
      </c>
      <c r="M55" s="288">
        <f>M135</f>
        <v/>
      </c>
      <c r="O55" s="252" t="inlineStr">
        <is>
          <t>History: PitchBook net PP&amp;E − leased assets (= 10-K PP&amp;E, net). Projection: schedule 2</t>
        </is>
      </c>
    </row>
    <row r="56">
      <c r="B56" s="254" t="inlineStr">
        <is>
          <t>Operating lease right-of-use assets</t>
        </is>
      </c>
      <c r="C56" s="279" t="inlineStr">
        <is>
          <t>$M</t>
        </is>
      </c>
      <c r="D56" s="276">
        <f>'PB BS (Annual)'!Q46/1000</f>
        <v/>
      </c>
      <c r="E56" s="276">
        <f>'PB BS (Annual)'!P46/1000</f>
        <v/>
      </c>
      <c r="F56" s="276">
        <f>'PB BS (Annual)'!O46/1000</f>
        <v/>
      </c>
      <c r="G56" s="276">
        <f>'PB BS (Annual)'!N46/1000</f>
        <v/>
      </c>
      <c r="H56" s="276">
        <f>'PB BS (Annual)'!M46/1000</f>
        <v/>
      </c>
      <c r="I56" s="288">
        <f>H56</f>
        <v/>
      </c>
      <c r="J56" s="288">
        <f>I56</f>
        <v/>
      </c>
      <c r="K56" s="288">
        <f>J56</f>
        <v/>
      </c>
      <c r="L56" s="288">
        <f>K56</f>
        <v/>
      </c>
      <c r="M56" s="288">
        <f>L56</f>
        <v/>
      </c>
      <c r="O56" s="252" t="inlineStr">
        <is>
          <t>ASSUMED held flat (Barclays holds lease debt flat at 88)</t>
        </is>
      </c>
    </row>
    <row r="57">
      <c r="B57" s="254" t="inlineStr">
        <is>
          <t>Goodwill</t>
        </is>
      </c>
      <c r="C57" s="279" t="inlineStr">
        <is>
          <t>$M</t>
        </is>
      </c>
      <c r="D57" s="276">
        <f>'PB BS (Annual)'!Q55/1000</f>
        <v/>
      </c>
      <c r="E57" s="276">
        <f>'PB BS (Annual)'!P55/1000</f>
        <v/>
      </c>
      <c r="F57" s="276">
        <f>'PB BS (Annual)'!O55/1000</f>
        <v/>
      </c>
      <c r="G57" s="276">
        <f>'PB BS (Annual)'!N55/1000</f>
        <v/>
      </c>
      <c r="H57" s="276">
        <f>'PB BS (Annual)'!M55/1000</f>
        <v/>
      </c>
      <c r="I57" s="288">
        <f>H57+I173</f>
        <v/>
      </c>
      <c r="J57" s="288">
        <f>I57+J173</f>
        <v/>
      </c>
      <c r="K57" s="288">
        <f>J57+K173</f>
        <v/>
      </c>
      <c r="L57" s="288">
        <f>K57+L173</f>
        <v/>
      </c>
      <c r="M57" s="288">
        <f>L57+M173</f>
        <v/>
      </c>
      <c r="O57" s="252" t="inlineStr">
        <is>
          <t>Flat; rises by the ACV consideration in the close year if the DCF toggle is on (schedule 8)</t>
        </is>
      </c>
    </row>
    <row r="58">
      <c r="B58" s="254" t="inlineStr">
        <is>
          <t>Intangible assets, net</t>
        </is>
      </c>
      <c r="C58" s="279" t="inlineStr">
        <is>
          <t>$M</t>
        </is>
      </c>
      <c r="D58" s="276">
        <f>'PB BS (Annual)'!Q73/1000-'PB BS (Annual)'!Q55/1000</f>
        <v/>
      </c>
      <c r="E58" s="276">
        <f>'PB BS (Annual)'!P73/1000-'PB BS (Annual)'!P55/1000</f>
        <v/>
      </c>
      <c r="F58" s="276">
        <f>'PB BS (Annual)'!O73/1000-'PB BS (Annual)'!O55/1000</f>
        <v/>
      </c>
      <c r="G58" s="276">
        <f>'PB BS (Annual)'!N73/1000-'PB BS (Annual)'!N55/1000</f>
        <v/>
      </c>
      <c r="H58" s="276">
        <f>'PB BS (Annual)'!M73/1000-'PB BS (Annual)'!M55/1000</f>
        <v/>
      </c>
      <c r="I58" s="288">
        <f>H58</f>
        <v/>
      </c>
      <c r="J58" s="288">
        <f>I58</f>
        <v/>
      </c>
      <c r="K58" s="288">
        <f>J58</f>
        <v/>
      </c>
      <c r="L58" s="288">
        <f>K58</f>
        <v/>
      </c>
      <c r="M58" s="288">
        <f>L58</f>
        <v/>
      </c>
      <c r="O58" s="252" t="inlineStr">
        <is>
          <t>ASSUMED held flat (amortisation is carried inside D&amp;A against PP&amp;E)</t>
        </is>
      </c>
    </row>
    <row r="59">
      <c r="B59" s="254" t="inlineStr">
        <is>
          <t>Other non-current assets</t>
        </is>
      </c>
      <c r="C59" s="279" t="inlineStr">
        <is>
          <t>$M</t>
        </is>
      </c>
      <c r="D59" s="276">
        <f>'PB BS (Annual)'!Q76/1000</f>
        <v/>
      </c>
      <c r="E59" s="276">
        <f>'PB BS (Annual)'!P76/1000</f>
        <v/>
      </c>
      <c r="F59" s="276">
        <f>'PB BS (Annual)'!O76/1000</f>
        <v/>
      </c>
      <c r="G59" s="276">
        <f>'PB BS (Annual)'!N76/1000</f>
        <v/>
      </c>
      <c r="H59" s="276">
        <f>'PB BS (Annual)'!M76/1000</f>
        <v/>
      </c>
      <c r="I59" s="288">
        <f>H59</f>
        <v/>
      </c>
      <c r="J59" s="288">
        <f>I59</f>
        <v/>
      </c>
      <c r="K59" s="288">
        <f>J59</f>
        <v/>
      </c>
      <c r="L59" s="288">
        <f>K59</f>
        <v/>
      </c>
      <c r="M59" s="288">
        <f>L59</f>
        <v/>
      </c>
      <c r="O59" s="252" t="inlineStr">
        <is>
          <t>ASSUMED held flat</t>
        </is>
      </c>
    </row>
    <row r="60">
      <c r="B60" s="249" t="inlineStr">
        <is>
          <t>Total assets</t>
        </is>
      </c>
      <c r="C60" s="279" t="inlineStr">
        <is>
          <t>$M</t>
        </is>
      </c>
      <c r="D60" s="287">
        <f>D54+SUM(D55:D59)</f>
        <v/>
      </c>
      <c r="E60" s="287">
        <f>E54+SUM(E55:E59)</f>
        <v/>
      </c>
      <c r="F60" s="287">
        <f>F54+SUM(F55:F59)</f>
        <v/>
      </c>
      <c r="G60" s="287">
        <f>G54+SUM(G55:G59)</f>
        <v/>
      </c>
      <c r="H60" s="287">
        <f>H54+SUM(H55:H59)</f>
        <v/>
      </c>
      <c r="I60" s="287">
        <f>I54+SUM(I55:I59)</f>
        <v/>
      </c>
      <c r="J60" s="287">
        <f>J54+SUM(J55:J59)</f>
        <v/>
      </c>
      <c r="K60" s="287">
        <f>K54+SUM(K55:K59)</f>
        <v/>
      </c>
      <c r="L60" s="287">
        <f>L54+SUM(L55:L59)</f>
        <v/>
      </c>
      <c r="M60" s="287">
        <f>M54+SUM(M55:M59)</f>
        <v/>
      </c>
    </row>
    <row r="61">
      <c r="B61" s="249" t="inlineStr">
        <is>
          <t>Liabilities</t>
        </is>
      </c>
    </row>
    <row r="62">
      <c r="B62" s="254" t="inlineStr">
        <is>
          <t>Accounts payable, accrued liabilities and deferred revenue</t>
        </is>
      </c>
      <c r="C62" s="279" t="inlineStr">
        <is>
          <t>$M</t>
        </is>
      </c>
      <c r="D62" s="276">
        <f>'PB BS (Annual)'!Q112/1000-'PB BS (Annual)'!Q85/1000-'PB BS (Annual)'!Q98/1000</f>
        <v/>
      </c>
      <c r="E62" s="276">
        <f>'PB BS (Annual)'!P112/1000-'PB BS (Annual)'!P85/1000-'PB BS (Annual)'!P98/1000</f>
        <v/>
      </c>
      <c r="F62" s="276">
        <f>'PB BS (Annual)'!O112/1000-'PB BS (Annual)'!O85/1000-'PB BS (Annual)'!O98/1000</f>
        <v/>
      </c>
      <c r="G62" s="276">
        <f>'PB BS (Annual)'!N112/1000-'PB BS (Annual)'!N85/1000-'PB BS (Annual)'!N98/1000</f>
        <v/>
      </c>
      <c r="H62" s="276">
        <f>'PB BS (Annual)'!M112/1000-'PB BS (Annual)'!M85/1000-'PB BS (Annual)'!M98/1000</f>
        <v/>
      </c>
      <c r="I62" s="288">
        <f>(I10+I11+I14-I17)*I159/365</f>
        <v/>
      </c>
      <c r="J62" s="288">
        <f>(J10+J11+J14-J17)*J159/365</f>
        <v/>
      </c>
      <c r="K62" s="288">
        <f>(K10+K11+K14-K17)*K159/365</f>
        <v/>
      </c>
      <c r="L62" s="288">
        <f>(L10+L11+L14-L17)*L159/365</f>
        <v/>
      </c>
      <c r="M62" s="288">
        <f>(M10+M11+M14-M17)*M159/365</f>
        <v/>
      </c>
      <c r="O62" s="252" t="inlineStr">
        <is>
          <t>History: PitchBook total current liabilities − income taxes payable − current lease liabilities (FY26: 634.7 AP &amp; accrued + 32.5 deferred revenue). Projection: days of cash operating costs (schedule 6)</t>
        </is>
      </c>
    </row>
    <row r="63">
      <c r="B63" s="254" t="inlineStr">
        <is>
          <t>Income taxes payable</t>
        </is>
      </c>
      <c r="C63" s="279" t="inlineStr">
        <is>
          <t>$M</t>
        </is>
      </c>
      <c r="D63" s="276">
        <f>'PB BS (Annual)'!Q85/1000</f>
        <v/>
      </c>
      <c r="E63" s="276">
        <f>'PB BS (Annual)'!P85/1000</f>
        <v/>
      </c>
      <c r="F63" s="276">
        <f>'PB BS (Annual)'!O85/1000</f>
        <v/>
      </c>
      <c r="G63" s="276">
        <f>'PB BS (Annual)'!N85/1000</f>
        <v/>
      </c>
      <c r="H63" s="276">
        <f>'PB BS (Annual)'!M85/1000</f>
        <v/>
      </c>
      <c r="I63" s="288">
        <f>H63</f>
        <v/>
      </c>
      <c r="J63" s="288">
        <f>I63</f>
        <v/>
      </c>
      <c r="K63" s="288">
        <f>J63</f>
        <v/>
      </c>
      <c r="L63" s="288">
        <f>K63</f>
        <v/>
      </c>
      <c r="M63" s="288">
        <f>L63</f>
        <v/>
      </c>
      <c r="O63" s="252" t="inlineStr">
        <is>
          <t>ASSUMED held flat</t>
        </is>
      </c>
    </row>
    <row r="64">
      <c r="B64" s="254" t="inlineStr">
        <is>
          <t>Lease liabilities, current</t>
        </is>
      </c>
      <c r="C64" s="279" t="inlineStr">
        <is>
          <t>$M</t>
        </is>
      </c>
      <c r="D64" s="276">
        <f>'PB BS (Annual)'!Q98/1000</f>
        <v/>
      </c>
      <c r="E64" s="276">
        <f>'PB BS (Annual)'!P98/1000</f>
        <v/>
      </c>
      <c r="F64" s="276">
        <f>'PB BS (Annual)'!O98/1000</f>
        <v/>
      </c>
      <c r="G64" s="276">
        <f>'PB BS (Annual)'!N98/1000</f>
        <v/>
      </c>
      <c r="H64" s="276">
        <f>'PB BS (Annual)'!M98/1000</f>
        <v/>
      </c>
      <c r="I64" s="288">
        <f>H64</f>
        <v/>
      </c>
      <c r="J64" s="288">
        <f>I64</f>
        <v/>
      </c>
      <c r="K64" s="288">
        <f>J64</f>
        <v/>
      </c>
      <c r="L64" s="288">
        <f>K64</f>
        <v/>
      </c>
      <c r="M64" s="288">
        <f>L64</f>
        <v/>
      </c>
      <c r="O64" s="252" t="inlineStr">
        <is>
          <t>ASSUMED held flat</t>
        </is>
      </c>
    </row>
    <row r="65">
      <c r="B65" s="249" t="inlineStr">
        <is>
          <t>Total current liabilities</t>
        </is>
      </c>
      <c r="C65" s="279" t="inlineStr">
        <is>
          <t>$M</t>
        </is>
      </c>
      <c r="D65" s="287">
        <f>SUM(D62:D64)</f>
        <v/>
      </c>
      <c r="E65" s="287">
        <f>SUM(E62:E64)</f>
        <v/>
      </c>
      <c r="F65" s="287">
        <f>SUM(F62:F64)</f>
        <v/>
      </c>
      <c r="G65" s="287">
        <f>SUM(G62:G64)</f>
        <v/>
      </c>
      <c r="H65" s="287">
        <f>SUM(H62:H64)</f>
        <v/>
      </c>
      <c r="I65" s="287">
        <f>SUM(I62:I64)</f>
        <v/>
      </c>
      <c r="J65" s="287">
        <f>SUM(J62:J64)</f>
        <v/>
      </c>
      <c r="K65" s="287">
        <f>SUM(K62:K64)</f>
        <v/>
      </c>
      <c r="L65" s="287">
        <f>SUM(L62:L64)</f>
        <v/>
      </c>
      <c r="M65" s="287">
        <f>SUM(M62:M64)</f>
        <v/>
      </c>
    </row>
    <row r="66">
      <c r="B66" s="254" t="inlineStr">
        <is>
          <t>Lease liabilities and debt, non-current</t>
        </is>
      </c>
      <c r="C66" s="279" t="inlineStr">
        <is>
          <t>$M</t>
        </is>
      </c>
      <c r="D66" s="276">
        <f>'PB BS (Annual)'!Q119/1000</f>
        <v/>
      </c>
      <c r="E66" s="276">
        <f>'PB BS (Annual)'!P119/1000</f>
        <v/>
      </c>
      <c r="F66" s="276">
        <f>'PB BS (Annual)'!O119/1000</f>
        <v/>
      </c>
      <c r="G66" s="276">
        <f>'PB BS (Annual)'!N119/1000</f>
        <v/>
      </c>
      <c r="H66" s="276">
        <f>'PB BS (Annual)'!M119/1000</f>
        <v/>
      </c>
      <c r="I66" s="288">
        <f>H66</f>
        <v/>
      </c>
      <c r="J66" s="288">
        <f>I66</f>
        <v/>
      </c>
      <c r="K66" s="288">
        <f>J66</f>
        <v/>
      </c>
      <c r="L66" s="288">
        <f>K66</f>
        <v/>
      </c>
      <c r="M66" s="288">
        <f>L66</f>
        <v/>
      </c>
      <c r="O66" s="252" t="inlineStr">
        <is>
          <t>ASSUMED held flat; with the current portion this is Barclays' "debt" of 88</t>
        </is>
      </c>
    </row>
    <row r="67">
      <c r="B67" s="254" t="inlineStr">
        <is>
          <t>Deferred tax liabilities</t>
        </is>
      </c>
      <c r="C67" s="279" t="inlineStr">
        <is>
          <t>$M</t>
        </is>
      </c>
      <c r="D67" s="276">
        <f>'PB BS (Annual)'!Q121/1000</f>
        <v/>
      </c>
      <c r="E67" s="276">
        <f>'PB BS (Annual)'!P121/1000</f>
        <v/>
      </c>
      <c r="F67" s="276">
        <f>'PB BS (Annual)'!O121/1000</f>
        <v/>
      </c>
      <c r="G67" s="276">
        <f>'PB BS (Annual)'!N121/1000</f>
        <v/>
      </c>
      <c r="H67" s="276">
        <f>'PB BS (Annual)'!M121/1000</f>
        <v/>
      </c>
      <c r="I67" s="288">
        <f>H67</f>
        <v/>
      </c>
      <c r="J67" s="288">
        <f>I67</f>
        <v/>
      </c>
      <c r="K67" s="288">
        <f>J67</f>
        <v/>
      </c>
      <c r="L67" s="288">
        <f>K67</f>
        <v/>
      </c>
      <c r="M67" s="288">
        <f>L67</f>
        <v/>
      </c>
      <c r="O67" s="252" t="inlineStr">
        <is>
          <t>ASSUMED held flat</t>
        </is>
      </c>
    </row>
    <row r="68">
      <c r="B68" s="254" t="inlineStr">
        <is>
          <t>Other non-current liabilities (taxes payable)</t>
        </is>
      </c>
      <c r="C68" s="279" t="inlineStr">
        <is>
          <t>$M</t>
        </is>
      </c>
      <c r="D68" s="276">
        <f>'PB BS (Annual)'!Q125/1000</f>
        <v/>
      </c>
      <c r="E68" s="276">
        <f>'PB BS (Annual)'!P125/1000</f>
        <v/>
      </c>
      <c r="F68" s="276">
        <f>'PB BS (Annual)'!O125/1000</f>
        <v/>
      </c>
      <c r="G68" s="276">
        <f>'PB BS (Annual)'!N125/1000</f>
        <v/>
      </c>
      <c r="H68" s="276">
        <f>'PB BS (Annual)'!M125/1000</f>
        <v/>
      </c>
      <c r="I68" s="288">
        <f>H68</f>
        <v/>
      </c>
      <c r="J68" s="288">
        <f>I68</f>
        <v/>
      </c>
      <c r="K68" s="288">
        <f>J68</f>
        <v/>
      </c>
      <c r="L68" s="288">
        <f>K68</f>
        <v/>
      </c>
      <c r="M68" s="288">
        <f>L68</f>
        <v/>
      </c>
      <c r="O68" s="252" t="inlineStr">
        <is>
          <t>ASSUMED held flat</t>
        </is>
      </c>
    </row>
    <row r="69">
      <c r="B69" s="249" t="inlineStr">
        <is>
          <t>Total liabilities</t>
        </is>
      </c>
      <c r="C69" s="279" t="inlineStr">
        <is>
          <t>$M</t>
        </is>
      </c>
      <c r="D69" s="287">
        <f>D65+SUM(D66:D68)</f>
        <v/>
      </c>
      <c r="E69" s="287">
        <f>E65+SUM(E66:E68)</f>
        <v/>
      </c>
      <c r="F69" s="287">
        <f>F65+SUM(F66:F68)</f>
        <v/>
      </c>
      <c r="G69" s="287">
        <f>G65+SUM(G66:G68)</f>
        <v/>
      </c>
      <c r="H69" s="287">
        <f>H65+SUM(H66:H68)</f>
        <v/>
      </c>
      <c r="I69" s="287">
        <f>I65+SUM(I66:I68)</f>
        <v/>
      </c>
      <c r="J69" s="287">
        <f>J65+SUM(J66:J68)</f>
        <v/>
      </c>
      <c r="K69" s="287">
        <f>K65+SUM(K66:K68)</f>
        <v/>
      </c>
      <c r="L69" s="287">
        <f>L65+SUM(L66:L68)</f>
        <v/>
      </c>
      <c r="M69" s="287">
        <f>M65+SUM(M66:M68)</f>
        <v/>
      </c>
    </row>
    <row r="70">
      <c r="B70" s="249" t="inlineStr">
        <is>
          <t>Equity</t>
        </is>
      </c>
    </row>
    <row r="71">
      <c r="B71" s="254" t="inlineStr">
        <is>
          <t>Copart stockholders' equity</t>
        </is>
      </c>
      <c r="C71" s="279" t="inlineStr">
        <is>
          <t>$M</t>
        </is>
      </c>
      <c r="D71" s="276">
        <f>'PB BS (Annual)'!Q147/1000</f>
        <v/>
      </c>
      <c r="E71" s="276">
        <f>'PB BS (Annual)'!P147/1000</f>
        <v/>
      </c>
      <c r="F71" s="276">
        <f>'PB BS (Annual)'!O147/1000</f>
        <v/>
      </c>
      <c r="G71" s="276">
        <f>'PB BS (Annual)'!N147/1000</f>
        <v/>
      </c>
      <c r="H71" s="276">
        <f>'PB BS (Annual)'!M147/1000</f>
        <v/>
      </c>
      <c r="I71" s="288">
        <f>H71+I26+I90+I103+I102</f>
        <v/>
      </c>
      <c r="J71" s="288">
        <f>I71+J26+J90+J103+J102</f>
        <v/>
      </c>
      <c r="K71" s="288">
        <f>J71+K26+K90+K103+K102</f>
        <v/>
      </c>
      <c r="L71" s="288">
        <f>K71+L26+L90+L103+L102</f>
        <v/>
      </c>
      <c r="M71" s="288">
        <f>L71+M26+M90+M103+M102</f>
        <v/>
      </c>
      <c r="O71" s="252" t="inlineStr">
        <is>
          <t>Projection: prior + net income to Copart + SBC + option proceeds − repurchases (no OCI movement assumed)</t>
        </is>
      </c>
    </row>
    <row r="72">
      <c r="B72" s="254" t="inlineStr">
        <is>
          <t>Noncontrolling interest</t>
        </is>
      </c>
      <c r="C72" s="279" t="inlineStr">
        <is>
          <t>$M</t>
        </is>
      </c>
      <c r="D72" s="276">
        <f>'PB BS (Annual)'!Q148/1000</f>
        <v/>
      </c>
      <c r="E72" s="276">
        <f>'PB BS (Annual)'!P148/1000</f>
        <v/>
      </c>
      <c r="F72" s="276">
        <f>'PB BS (Annual)'!O148/1000</f>
        <v/>
      </c>
      <c r="G72" s="276">
        <f>'PB BS (Annual)'!N148/1000</f>
        <v/>
      </c>
      <c r="H72" s="276">
        <f>'PB BS (Annual)'!M148/1000</f>
        <v/>
      </c>
      <c r="I72" s="288">
        <f>H72-I25</f>
        <v/>
      </c>
      <c r="J72" s="288">
        <f>I72-J25</f>
        <v/>
      </c>
      <c r="K72" s="288">
        <f>J72-K25</f>
        <v/>
      </c>
      <c r="L72" s="288">
        <f>K72-L25</f>
        <v/>
      </c>
      <c r="M72" s="288">
        <f>L72-M25</f>
        <v/>
      </c>
      <c r="O72" s="252" t="inlineStr">
        <is>
          <t>Projection: prior less the NCI loss carried on the income statement (0 by assumption)</t>
        </is>
      </c>
    </row>
    <row r="73">
      <c r="B73" s="249" t="inlineStr">
        <is>
          <t>Total equity</t>
        </is>
      </c>
      <c r="C73" s="279" t="inlineStr">
        <is>
          <t>$M</t>
        </is>
      </c>
      <c r="D73" s="287">
        <f>D71+D72</f>
        <v/>
      </c>
      <c r="E73" s="287">
        <f>E71+E72</f>
        <v/>
      </c>
      <c r="F73" s="287">
        <f>F71+F72</f>
        <v/>
      </c>
      <c r="G73" s="287">
        <f>G71+G72</f>
        <v/>
      </c>
      <c r="H73" s="287">
        <f>H71+H72</f>
        <v/>
      </c>
      <c r="I73" s="287">
        <f>I71+I72</f>
        <v/>
      </c>
      <c r="J73" s="287">
        <f>J71+J72</f>
        <v/>
      </c>
      <c r="K73" s="287">
        <f>K71+K72</f>
        <v/>
      </c>
      <c r="L73" s="287">
        <f>L71+L72</f>
        <v/>
      </c>
      <c r="M73" s="287">
        <f>M71+M72</f>
        <v/>
      </c>
    </row>
    <row r="74">
      <c r="B74" s="249" t="inlineStr">
        <is>
          <t>Total liabilities and equity</t>
        </is>
      </c>
      <c r="C74" s="279" t="inlineStr">
        <is>
          <t>$M</t>
        </is>
      </c>
      <c r="D74" s="287">
        <f>D69+D73</f>
        <v/>
      </c>
      <c r="E74" s="287">
        <f>E69+E73</f>
        <v/>
      </c>
      <c r="F74" s="287">
        <f>F69+F73</f>
        <v/>
      </c>
      <c r="G74" s="287">
        <f>G69+G73</f>
        <v/>
      </c>
      <c r="H74" s="287">
        <f>H69+H73</f>
        <v/>
      </c>
      <c r="I74" s="287">
        <f>I69+I73</f>
        <v/>
      </c>
      <c r="J74" s="287">
        <f>J69+J73</f>
        <v/>
      </c>
      <c r="K74" s="287">
        <f>K69+K73</f>
        <v/>
      </c>
      <c r="L74" s="287">
        <f>L69+L73</f>
        <v/>
      </c>
      <c r="M74" s="287">
        <f>M69+M73</f>
        <v/>
      </c>
    </row>
    <row r="75">
      <c r="B75" s="274" t="inlineStr">
        <is>
          <t>Balance check (assets − liabilities and equity; should be 0)</t>
        </is>
      </c>
      <c r="C75" s="279" t="inlineStr">
        <is>
          <t>$M</t>
        </is>
      </c>
      <c r="D75" s="265">
        <f>ROUND(D60-D74,3)</f>
        <v/>
      </c>
      <c r="E75" s="265">
        <f>ROUND(E60-E74,3)</f>
        <v/>
      </c>
      <c r="F75" s="265">
        <f>ROUND(F60-F74,3)</f>
        <v/>
      </c>
      <c r="G75" s="265">
        <f>ROUND(G60-G74,3)</f>
        <v/>
      </c>
      <c r="H75" s="265">
        <f>ROUND(H60-H74,3)</f>
        <v/>
      </c>
      <c r="I75" s="265">
        <f>ROUND(I60-I74,3)</f>
        <v/>
      </c>
      <c r="J75" s="265">
        <f>ROUND(J60-J74,3)</f>
        <v/>
      </c>
      <c r="K75" s="265">
        <f>ROUND(K60-K74,3)</f>
        <v/>
      </c>
      <c r="L75" s="265">
        <f>ROUND(L60-L74,3)</f>
        <v/>
      </c>
      <c r="M75" s="265">
        <f>ROUND(M60-M74,3)</f>
        <v/>
      </c>
    </row>
    <row r="76">
      <c r="B76" s="271" t="inlineStr">
        <is>
          <t>Barclays parity — balance sheet</t>
        </is>
      </c>
      <c r="C76" s="272" t="n"/>
      <c r="D76" s="272" t="n"/>
      <c r="E76" s="272" t="n"/>
      <c r="F76" s="272" t="n"/>
      <c r="G76" s="272" t="n"/>
      <c r="H76" s="272" t="n"/>
      <c r="I76" s="272" t="n"/>
      <c r="J76" s="272" t="n"/>
      <c r="K76" s="272" t="n"/>
      <c r="L76" s="272" t="n"/>
      <c r="M76" s="272" t="n"/>
      <c r="N76" s="272" t="n"/>
      <c r="O76" s="272" t="n"/>
      <c r="P76" s="272" t="n"/>
      <c r="Q76" s="272" t="n"/>
      <c r="R76" s="272" t="n"/>
      <c r="S76" s="272" t="n"/>
    </row>
    <row r="77">
      <c r="B77" s="254" t="inlineStr">
        <is>
          <t>Debt, Barclays definition (lease liabilities, current + non-current)</t>
        </is>
      </c>
      <c r="C77" s="279" t="inlineStr">
        <is>
          <t>$M</t>
        </is>
      </c>
      <c r="D77" s="288">
        <f>D64+D66</f>
        <v/>
      </c>
      <c r="E77" s="288">
        <f>E64+E66</f>
        <v/>
      </c>
      <c r="F77" s="288">
        <f>F64+F66</f>
        <v/>
      </c>
      <c r="G77" s="288">
        <f>G64+G66</f>
        <v/>
      </c>
      <c r="H77" s="288">
        <f>H64+H66</f>
        <v/>
      </c>
      <c r="I77" s="288">
        <f>I64+I66</f>
        <v/>
      </c>
      <c r="J77" s="288">
        <f>J64+J66</f>
        <v/>
      </c>
      <c r="K77" s="288">
        <f>K64+K66</f>
        <v/>
      </c>
      <c r="L77" s="288">
        <f>L64+L66</f>
        <v/>
      </c>
      <c r="M77" s="288">
        <f>M64+M66</f>
        <v/>
      </c>
    </row>
    <row r="78">
      <c r="B78" s="254" t="inlineStr">
        <is>
          <t>Barclays cash and equivalents</t>
        </is>
      </c>
      <c r="C78" s="279" t="inlineStr">
        <is>
          <t>$M</t>
        </is>
      </c>
      <c r="D78" s="282" t="inlineStr">
        <is>
          <t>–</t>
        </is>
      </c>
      <c r="E78" s="282" t="inlineStr">
        <is>
          <t>–</t>
        </is>
      </c>
      <c r="F78" s="282" t="inlineStr">
        <is>
          <t>–</t>
        </is>
      </c>
      <c r="G78" s="282" t="inlineStr">
        <is>
          <t>–</t>
        </is>
      </c>
      <c r="H78" s="276">
        <f>'D Barclays'!D12</f>
        <v/>
      </c>
      <c r="I78" s="276">
        <f>'D Barclays'!E12</f>
        <v/>
      </c>
      <c r="J78" s="276">
        <f>'D Barclays'!F12</f>
        <v/>
      </c>
      <c r="K78" s="276">
        <f>'D Barclays'!G12</f>
        <v/>
      </c>
      <c r="L78" s="282" t="inlineStr">
        <is>
          <t>–</t>
        </is>
      </c>
      <c r="M78" s="282" t="inlineStr">
        <is>
          <t>–</t>
        </is>
      </c>
    </row>
    <row r="79">
      <c r="B79" s="281" t="inlineStr">
        <is>
          <t>Δ cash &amp; HTM</t>
        </is>
      </c>
      <c r="C79" s="279" t="inlineStr">
        <is>
          <t>$M</t>
        </is>
      </c>
      <c r="D79" s="282" t="inlineStr">
        <is>
          <t>–</t>
        </is>
      </c>
      <c r="E79" s="282" t="inlineStr">
        <is>
          <t>–</t>
        </is>
      </c>
      <c r="F79" s="282" t="inlineStr">
        <is>
          <t>–</t>
        </is>
      </c>
      <c r="G79" s="282" t="inlineStr">
        <is>
          <t>–</t>
        </is>
      </c>
      <c r="H79" s="288">
        <f>H47-H78</f>
        <v/>
      </c>
      <c r="I79" s="288">
        <f>I47-I78</f>
        <v/>
      </c>
      <c r="J79" s="288">
        <f>J47-J78</f>
        <v/>
      </c>
      <c r="K79" s="288">
        <f>K47-K78</f>
        <v/>
      </c>
      <c r="L79" s="282" t="inlineStr">
        <is>
          <t>–</t>
        </is>
      </c>
      <c r="M79" s="282" t="inlineStr">
        <is>
          <t>–</t>
        </is>
      </c>
    </row>
    <row r="80">
      <c r="B80" s="254" t="inlineStr">
        <is>
          <t>Barclays total assets</t>
        </is>
      </c>
      <c r="C80" s="279" t="inlineStr">
        <is>
          <t>$M</t>
        </is>
      </c>
      <c r="D80" s="282" t="inlineStr">
        <is>
          <t>–</t>
        </is>
      </c>
      <c r="E80" s="282" t="inlineStr">
        <is>
          <t>–</t>
        </is>
      </c>
      <c r="F80" s="282" t="inlineStr">
        <is>
          <t>–</t>
        </is>
      </c>
      <c r="G80" s="282" t="inlineStr">
        <is>
          <t>–</t>
        </is>
      </c>
      <c r="H80" s="276">
        <f>'D Barclays'!D13</f>
        <v/>
      </c>
      <c r="I80" s="276">
        <f>'D Barclays'!E13</f>
        <v/>
      </c>
      <c r="J80" s="276">
        <f>'D Barclays'!F13</f>
        <v/>
      </c>
      <c r="K80" s="276">
        <f>'D Barclays'!G13</f>
        <v/>
      </c>
      <c r="L80" s="282" t="inlineStr">
        <is>
          <t>–</t>
        </is>
      </c>
      <c r="M80" s="282" t="inlineStr">
        <is>
          <t>–</t>
        </is>
      </c>
    </row>
    <row r="81">
      <c r="B81" s="281" t="inlineStr">
        <is>
          <t>Δ total assets</t>
        </is>
      </c>
      <c r="C81" s="279" t="inlineStr">
        <is>
          <t>$M</t>
        </is>
      </c>
      <c r="D81" s="282" t="inlineStr">
        <is>
          <t>–</t>
        </is>
      </c>
      <c r="E81" s="282" t="inlineStr">
        <is>
          <t>–</t>
        </is>
      </c>
      <c r="F81" s="282" t="inlineStr">
        <is>
          <t>–</t>
        </is>
      </c>
      <c r="G81" s="282" t="inlineStr">
        <is>
          <t>–</t>
        </is>
      </c>
      <c r="H81" s="288">
        <f>H60-H80</f>
        <v/>
      </c>
      <c r="I81" s="288">
        <f>I60-I80</f>
        <v/>
      </c>
      <c r="J81" s="288">
        <f>J60-J80</f>
        <v/>
      </c>
      <c r="K81" s="288">
        <f>K60-K80</f>
        <v/>
      </c>
      <c r="L81" s="282" t="inlineStr">
        <is>
          <t>–</t>
        </is>
      </c>
      <c r="M81" s="282" t="inlineStr">
        <is>
          <t>–</t>
        </is>
      </c>
    </row>
    <row r="82">
      <c r="B82" s="254" t="inlineStr">
        <is>
          <t>Barclays debt</t>
        </is>
      </c>
      <c r="C82" s="279" t="inlineStr">
        <is>
          <t>$M</t>
        </is>
      </c>
      <c r="D82" s="282" t="inlineStr">
        <is>
          <t>–</t>
        </is>
      </c>
      <c r="E82" s="282" t="inlineStr">
        <is>
          <t>–</t>
        </is>
      </c>
      <c r="F82" s="282" t="inlineStr">
        <is>
          <t>–</t>
        </is>
      </c>
      <c r="G82" s="282" t="inlineStr">
        <is>
          <t>–</t>
        </is>
      </c>
      <c r="H82" s="276">
        <f>'D Barclays'!D14</f>
        <v/>
      </c>
      <c r="I82" s="276">
        <f>'D Barclays'!E14</f>
        <v/>
      </c>
      <c r="J82" s="276">
        <f>'D Barclays'!F14</f>
        <v/>
      </c>
      <c r="K82" s="276">
        <f>'D Barclays'!G14</f>
        <v/>
      </c>
      <c r="L82" s="282" t="inlineStr">
        <is>
          <t>–</t>
        </is>
      </c>
      <c r="M82" s="282" t="inlineStr">
        <is>
          <t>–</t>
        </is>
      </c>
    </row>
    <row r="83">
      <c r="B83" s="281" t="inlineStr">
        <is>
          <t>Δ debt</t>
        </is>
      </c>
      <c r="C83" s="279" t="inlineStr">
        <is>
          <t>$M</t>
        </is>
      </c>
      <c r="D83" s="282" t="inlineStr">
        <is>
          <t>–</t>
        </is>
      </c>
      <c r="E83" s="282" t="inlineStr">
        <is>
          <t>–</t>
        </is>
      </c>
      <c r="F83" s="282" t="inlineStr">
        <is>
          <t>–</t>
        </is>
      </c>
      <c r="G83" s="282" t="inlineStr">
        <is>
          <t>–</t>
        </is>
      </c>
      <c r="H83" s="288">
        <f>H77-H82</f>
        <v/>
      </c>
      <c r="I83" s="288">
        <f>I77-I82</f>
        <v/>
      </c>
      <c r="J83" s="288">
        <f>J77-J82</f>
        <v/>
      </c>
      <c r="K83" s="288">
        <f>K77-K82</f>
        <v/>
      </c>
      <c r="L83" s="282" t="inlineStr">
        <is>
          <t>–</t>
        </is>
      </c>
      <c r="M83" s="282" t="inlineStr">
        <is>
          <t>–</t>
        </is>
      </c>
    </row>
    <row r="84">
      <c r="B84" s="254" t="inlineStr">
        <is>
          <t>Barclays shareholders' equity</t>
        </is>
      </c>
      <c r="C84" s="279" t="inlineStr">
        <is>
          <t>$M</t>
        </is>
      </c>
      <c r="D84" s="282" t="inlineStr">
        <is>
          <t>–</t>
        </is>
      </c>
      <c r="E84" s="282" t="inlineStr">
        <is>
          <t>–</t>
        </is>
      </c>
      <c r="F84" s="282" t="inlineStr">
        <is>
          <t>–</t>
        </is>
      </c>
      <c r="G84" s="282" t="inlineStr">
        <is>
          <t>–</t>
        </is>
      </c>
      <c r="H84" s="276">
        <f>'D Barclays'!D16</f>
        <v/>
      </c>
      <c r="I84" s="276">
        <f>'D Barclays'!E16</f>
        <v/>
      </c>
      <c r="J84" s="276">
        <f>'D Barclays'!F16</f>
        <v/>
      </c>
      <c r="K84" s="276">
        <f>'D Barclays'!G16</f>
        <v/>
      </c>
      <c r="L84" s="282" t="inlineStr">
        <is>
          <t>–</t>
        </is>
      </c>
      <c r="M84" s="282" t="inlineStr">
        <is>
          <t>–</t>
        </is>
      </c>
    </row>
    <row r="85">
      <c r="B85" s="281" t="inlineStr">
        <is>
          <t>Δ Copart stockholders' equity</t>
        </is>
      </c>
      <c r="C85" s="279" t="inlineStr">
        <is>
          <t>$M</t>
        </is>
      </c>
      <c r="D85" s="282" t="inlineStr">
        <is>
          <t>–</t>
        </is>
      </c>
      <c r="E85" s="282" t="inlineStr">
        <is>
          <t>–</t>
        </is>
      </c>
      <c r="F85" s="282" t="inlineStr">
        <is>
          <t>–</t>
        </is>
      </c>
      <c r="G85" s="282" t="inlineStr">
        <is>
          <t>–</t>
        </is>
      </c>
      <c r="H85" s="288">
        <f>H71-H84</f>
        <v/>
      </c>
      <c r="I85" s="288">
        <f>I71-I84</f>
        <v/>
      </c>
      <c r="J85" s="288">
        <f>J71-J84</f>
        <v/>
      </c>
      <c r="K85" s="288">
        <f>K71-K84</f>
        <v/>
      </c>
      <c r="L85" s="282" t="inlineStr">
        <is>
          <t>–</t>
        </is>
      </c>
      <c r="M85" s="282" t="inlineStr">
        <is>
          <t>–</t>
        </is>
      </c>
    </row>
    <row r="86">
      <c r="B86" s="246" t="inlineStr">
        <is>
          <t>Cash flow statement</t>
        </is>
      </c>
      <c r="C86" s="247" t="n"/>
      <c r="D86" s="248" t="inlineStr">
        <is>
          <t>FY2022A</t>
        </is>
      </c>
      <c r="E86" s="248" t="inlineStr">
        <is>
          <t>FY2023A</t>
        </is>
      </c>
      <c r="F86" s="248" t="inlineStr">
        <is>
          <t>FY2024A</t>
        </is>
      </c>
      <c r="G86" s="248" t="inlineStr">
        <is>
          <t>FY2025A</t>
        </is>
      </c>
      <c r="H86" s="248" t="inlineStr">
        <is>
          <t>FY2026A</t>
        </is>
      </c>
      <c r="I86" s="248" t="inlineStr">
        <is>
          <t>FY2027E</t>
        </is>
      </c>
      <c r="J86" s="248" t="inlineStr">
        <is>
          <t>FY2028E</t>
        </is>
      </c>
      <c r="K86" s="248" t="inlineStr">
        <is>
          <t>FY2029E</t>
        </is>
      </c>
      <c r="L86" s="248" t="inlineStr">
        <is>
          <t>FY2030E</t>
        </is>
      </c>
      <c r="M86" s="248" t="inlineStr">
        <is>
          <t>FY2031E</t>
        </is>
      </c>
      <c r="N86" s="247" t="n"/>
      <c r="O86" s="247" t="n"/>
      <c r="P86" s="247" t="n"/>
      <c r="Q86" s="247" t="n"/>
      <c r="R86" s="247" t="n"/>
      <c r="S86" s="247" t="n"/>
    </row>
    <row r="87">
      <c r="B87" s="249" t="inlineStr">
        <is>
          <t>Operating activities</t>
        </is>
      </c>
    </row>
    <row r="88">
      <c r="B88" s="254" t="inlineStr">
        <is>
          <t>Net income (consolidated)</t>
        </is>
      </c>
      <c r="C88" s="279" t="inlineStr">
        <is>
          <t>$M</t>
        </is>
      </c>
      <c r="D88" s="276">
        <f>'PB CF (Annual)'!Q14/1000</f>
        <v/>
      </c>
      <c r="E88" s="276">
        <f>'PB CF (Annual)'!P14/1000</f>
        <v/>
      </c>
      <c r="F88" s="276">
        <f>'PB CF (Annual)'!O14/1000</f>
        <v/>
      </c>
      <c r="G88" s="276">
        <f>'PB CF (Annual)'!N14/1000</f>
        <v/>
      </c>
      <c r="H88" s="276">
        <f>'PB CF (Annual)'!M14/1000</f>
        <v/>
      </c>
      <c r="I88" s="288">
        <f>I24</f>
        <v/>
      </c>
      <c r="J88" s="288">
        <f>J24</f>
        <v/>
      </c>
      <c r="K88" s="288">
        <f>K24</f>
        <v/>
      </c>
      <c r="L88" s="288">
        <f>L24</f>
        <v/>
      </c>
      <c r="M88" s="288">
        <f>M24</f>
        <v/>
      </c>
    </row>
    <row r="89">
      <c r="B89" s="254" t="inlineStr">
        <is>
          <t>(+) Depreciation and amortization</t>
        </is>
      </c>
      <c r="C89" s="279" t="inlineStr">
        <is>
          <t>$M</t>
        </is>
      </c>
      <c r="D89" s="276">
        <f>'PB CF (Annual)'!Q17/1000</f>
        <v/>
      </c>
      <c r="E89" s="276">
        <f>'PB CF (Annual)'!P17/1000</f>
        <v/>
      </c>
      <c r="F89" s="276">
        <f>'PB CF (Annual)'!O17/1000</f>
        <v/>
      </c>
      <c r="G89" s="276">
        <f>'PB CF (Annual)'!N17/1000</f>
        <v/>
      </c>
      <c r="H89" s="276">
        <f>'PB CF (Annual)'!M17/1000</f>
        <v/>
      </c>
      <c r="I89" s="288">
        <f>I17</f>
        <v/>
      </c>
      <c r="J89" s="288">
        <f>J17</f>
        <v/>
      </c>
      <c r="K89" s="288">
        <f>K17</f>
        <v/>
      </c>
      <c r="L89" s="288">
        <f>L17</f>
        <v/>
      </c>
      <c r="M89" s="288">
        <f>M17</f>
        <v/>
      </c>
      <c r="O89" s="252" t="inlineStr">
        <is>
          <t>History: cash-flow D&amp;A incl. debt-cost amortisation (FY26 238.5 vs 229.4 on the income statement)</t>
        </is>
      </c>
    </row>
    <row r="90">
      <c r="B90" s="254" t="inlineStr">
        <is>
          <t>(+) Stock-based compensation</t>
        </is>
      </c>
      <c r="C90" s="279" t="inlineStr">
        <is>
          <t>$M</t>
        </is>
      </c>
      <c r="D90" s="276">
        <f>'PB CF (Annual)'!Q20/1000</f>
        <v/>
      </c>
      <c r="E90" s="276">
        <f>'PB CF (Annual)'!P20/1000</f>
        <v/>
      </c>
      <c r="F90" s="276">
        <f>'PB CF (Annual)'!O20/1000</f>
        <v/>
      </c>
      <c r="G90" s="276">
        <f>'PB CF (Annual)'!N20/1000</f>
        <v/>
      </c>
      <c r="H90" s="276">
        <f>'PB CF (Annual)'!M20/1000</f>
        <v/>
      </c>
      <c r="I90" s="288">
        <f>I142</f>
        <v/>
      </c>
      <c r="J90" s="288">
        <f>J142</f>
        <v/>
      </c>
      <c r="K90" s="288">
        <f>K142</f>
        <v/>
      </c>
      <c r="L90" s="288">
        <f>L142</f>
        <v/>
      </c>
      <c r="M90" s="288">
        <f>M142</f>
        <v/>
      </c>
      <c r="O90" s="252" t="inlineStr">
        <is>
          <t>Projection: schedule 4</t>
        </is>
      </c>
    </row>
    <row r="91">
      <c r="B91" s="254" t="inlineStr">
        <is>
          <t>(+) Other non-cash items (deferred taxes, disposals, other)</t>
        </is>
      </c>
      <c r="C91" s="279" t="inlineStr">
        <is>
          <t>$M</t>
        </is>
      </c>
      <c r="D91" s="276">
        <f>'PB CF (Annual)'!Q35/1000-'PB CF (Annual)'!Q17/1000-'PB CF (Annual)'!Q20/1000</f>
        <v/>
      </c>
      <c r="E91" s="276">
        <f>'PB CF (Annual)'!P35/1000-'PB CF (Annual)'!P17/1000-'PB CF (Annual)'!P20/1000</f>
        <v/>
      </c>
      <c r="F91" s="276">
        <f>'PB CF (Annual)'!O35/1000-'PB CF (Annual)'!O17/1000-'PB CF (Annual)'!O20/1000</f>
        <v/>
      </c>
      <c r="G91" s="276">
        <f>'PB CF (Annual)'!N35/1000-'PB CF (Annual)'!N17/1000-'PB CF (Annual)'!N20/1000</f>
        <v/>
      </c>
      <c r="H91" s="276">
        <f>'PB CF (Annual)'!M35/1000-'PB CF (Annual)'!M17/1000-'PB CF (Annual)'!M20/1000</f>
        <v/>
      </c>
      <c r="I91" s="304" t="n">
        <v>0</v>
      </c>
      <c r="J91" s="304" t="n">
        <v>0</v>
      </c>
      <c r="K91" s="304" t="n">
        <v>0</v>
      </c>
      <c r="L91" s="304" t="n">
        <v>0</v>
      </c>
      <c r="M91" s="304" t="n">
        <v>0</v>
      </c>
      <c r="O91" s="252" t="inlineStr">
        <is>
          <t>ASSUMED 0 in projection (FY26: 54.4, mostly deferred taxes)</t>
        </is>
      </c>
    </row>
    <row r="92">
      <c r="B92" s="254" t="inlineStr">
        <is>
          <t>(−) Change in operating working capital</t>
        </is>
      </c>
      <c r="C92" s="279" t="inlineStr">
        <is>
          <t>$M</t>
        </is>
      </c>
      <c r="D92" s="276">
        <f>'PB CF (Annual)'!Q55/1000</f>
        <v/>
      </c>
      <c r="E92" s="276">
        <f>'PB CF (Annual)'!P55/1000</f>
        <v/>
      </c>
      <c r="F92" s="276">
        <f>'PB CF (Annual)'!O55/1000</f>
        <v/>
      </c>
      <c r="G92" s="276">
        <f>'PB CF (Annual)'!N55/1000</f>
        <v/>
      </c>
      <c r="H92" s="276">
        <f>'PB CF (Annual)'!M55/1000</f>
        <v/>
      </c>
      <c r="I92" s="288">
        <f>I164</f>
        <v/>
      </c>
      <c r="J92" s="288">
        <f>J164</f>
        <v/>
      </c>
      <c r="K92" s="288">
        <f>K164</f>
        <v/>
      </c>
      <c r="L92" s="288">
        <f>L164</f>
        <v/>
      </c>
      <c r="M92" s="288">
        <f>M164</f>
        <v/>
      </c>
      <c r="O92" s="252" t="inlineStr">
        <is>
          <t>Projection: selected method (schedule 6; default = Barclays −83 a year)</t>
        </is>
      </c>
    </row>
    <row r="93">
      <c r="B93" s="249" t="inlineStr">
        <is>
          <t>Cash flow from operations</t>
        </is>
      </c>
      <c r="C93" s="279" t="inlineStr">
        <is>
          <t>$M</t>
        </is>
      </c>
      <c r="D93" s="287">
        <f>SUM(D88:D92)</f>
        <v/>
      </c>
      <c r="E93" s="287">
        <f>SUM(E88:E92)</f>
        <v/>
      </c>
      <c r="F93" s="287">
        <f>SUM(F88:F92)</f>
        <v/>
      </c>
      <c r="G93" s="287">
        <f>SUM(G88:G92)</f>
        <v/>
      </c>
      <c r="H93" s="287">
        <f>SUM(H88:H92)</f>
        <v/>
      </c>
      <c r="I93" s="287">
        <f>SUM(I88:I92)</f>
        <v/>
      </c>
      <c r="J93" s="287">
        <f>SUM(J88:J92)</f>
        <v/>
      </c>
      <c r="K93" s="287">
        <f>SUM(K88:K92)</f>
        <v/>
      </c>
      <c r="L93" s="287">
        <f>SUM(L88:L92)</f>
        <v/>
      </c>
      <c r="M93" s="287">
        <f>SUM(M88:M92)</f>
        <v/>
      </c>
    </row>
    <row r="94">
      <c r="B94" s="249" t="inlineStr">
        <is>
          <t>Investing activities</t>
        </is>
      </c>
    </row>
    <row r="95">
      <c r="B95" s="254" t="inlineStr">
        <is>
          <t>(−) Purchases of property and equipment</t>
        </is>
      </c>
      <c r="C95" s="279" t="inlineStr">
        <is>
          <t>$M</t>
        </is>
      </c>
      <c r="D95" s="276">
        <f>'PB CF (Annual)'!Q64/1000</f>
        <v/>
      </c>
      <c r="E95" s="276">
        <f>'PB CF (Annual)'!P64/1000</f>
        <v/>
      </c>
      <c r="F95" s="276">
        <f>'PB CF (Annual)'!O64/1000</f>
        <v/>
      </c>
      <c r="G95" s="276">
        <f>'PB CF (Annual)'!N64/1000</f>
        <v/>
      </c>
      <c r="H95" s="276">
        <f>'PB CF (Annual)'!M64/1000</f>
        <v/>
      </c>
      <c r="I95" s="288">
        <f>I131</f>
        <v/>
      </c>
      <c r="J95" s="288">
        <f>J131</f>
        <v/>
      </c>
      <c r="K95" s="288">
        <f>K131</f>
        <v/>
      </c>
      <c r="L95" s="288">
        <f>L131</f>
        <v/>
      </c>
      <c r="M95" s="288">
        <f>M131</f>
        <v/>
      </c>
      <c r="O95" s="252" t="inlineStr">
        <is>
          <t>Projection: schedule 2 (Barclays −500 a year FY27–29)</t>
        </is>
      </c>
    </row>
    <row r="96">
      <c r="B96" s="254" t="inlineStr">
        <is>
          <t>(+) Proceeds from disposals of property and equipment</t>
        </is>
      </c>
      <c r="C96" s="279" t="inlineStr">
        <is>
          <t>$M</t>
        </is>
      </c>
      <c r="D96" s="276">
        <f>'PB CF (Annual)'!Q65/1000</f>
        <v/>
      </c>
      <c r="E96" s="276">
        <f>'PB CF (Annual)'!P65/1000</f>
        <v/>
      </c>
      <c r="F96" s="276">
        <f>'PB CF (Annual)'!O65/1000</f>
        <v/>
      </c>
      <c r="G96" s="276">
        <f>'PB CF (Annual)'!N65/1000</f>
        <v/>
      </c>
      <c r="H96" s="276">
        <f>'PB CF (Annual)'!M65/1000</f>
        <v/>
      </c>
      <c r="I96" s="304" t="n">
        <v>0</v>
      </c>
      <c r="J96" s="304" t="n">
        <v>0</v>
      </c>
      <c r="K96" s="304" t="n">
        <v>0</v>
      </c>
      <c r="L96" s="304" t="n">
        <v>0</v>
      </c>
      <c r="M96" s="304" t="n">
        <v>0</v>
      </c>
      <c r="O96" s="252" t="inlineStr">
        <is>
          <t>ASSUMED 0</t>
        </is>
      </c>
    </row>
    <row r="97">
      <c r="B97" s="254" t="inlineStr">
        <is>
          <t>(−) Acquisitions and investments in businesses (ACV if toggled)</t>
        </is>
      </c>
      <c r="C97" s="279" t="inlineStr">
        <is>
          <t>$M</t>
        </is>
      </c>
      <c r="D97" s="276">
        <f>'PB CF (Annual)'!Q70/1000+'PB CF (Annual)'!Q73/1000</f>
        <v/>
      </c>
      <c r="E97" s="276">
        <f>'PB CF (Annual)'!P70/1000+'PB CF (Annual)'!P73/1000</f>
        <v/>
      </c>
      <c r="F97" s="276">
        <f>'PB CF (Annual)'!O70/1000+'PB CF (Annual)'!O73/1000</f>
        <v/>
      </c>
      <c r="G97" s="276">
        <f>'PB CF (Annual)'!N70/1000+'PB CF (Annual)'!N73/1000</f>
        <v/>
      </c>
      <c r="H97" s="276">
        <f>'PB CF (Annual)'!M70/1000+'PB CF (Annual)'!M73/1000</f>
        <v/>
      </c>
      <c r="I97" s="288">
        <f>-I173</f>
        <v/>
      </c>
      <c r="J97" s="288">
        <f>-J173</f>
        <v/>
      </c>
      <c r="K97" s="288">
        <f>-K173</f>
        <v/>
      </c>
      <c r="L97" s="288">
        <f>-L173</f>
        <v/>
      </c>
      <c r="M97" s="288">
        <f>-M173</f>
        <v/>
      </c>
      <c r="O97" s="252" t="inlineStr">
        <is>
          <t>Projection: ACV cash consideration in the close year when the DCF toggle is on (schedule 8)</t>
        </is>
      </c>
    </row>
    <row r="98">
      <c r="B98" s="254" t="inlineStr">
        <is>
          <t>(−) Net purchases of held-to-maturity securities</t>
        </is>
      </c>
      <c r="C98" s="279" t="inlineStr">
        <is>
          <t>$M</t>
        </is>
      </c>
      <c r="D98" s="276">
        <f>'PB CF (Annual)'!Q77/1000</f>
        <v/>
      </c>
      <c r="E98" s="276">
        <f>'PB CF (Annual)'!P77/1000</f>
        <v/>
      </c>
      <c r="F98" s="276">
        <f>'PB CF (Annual)'!O77/1000</f>
        <v/>
      </c>
      <c r="G98" s="276">
        <f>'PB CF (Annual)'!N77/1000</f>
        <v/>
      </c>
      <c r="H98" s="276">
        <f>'PB CF (Annual)'!M77/1000</f>
        <v/>
      </c>
      <c r="I98" s="304" t="n">
        <v>0</v>
      </c>
      <c r="J98" s="304" t="n">
        <v>0</v>
      </c>
      <c r="K98" s="304" t="n">
        <v>0</v>
      </c>
      <c r="L98" s="304" t="n">
        <v>0</v>
      </c>
      <c r="M98" s="304" t="n">
        <v>0</v>
      </c>
      <c r="O98" s="252" t="inlineStr">
        <is>
          <t>ASSUMED 0: HTM held flat (balance sheet)</t>
        </is>
      </c>
    </row>
    <row r="99">
      <c r="B99" s="254" t="inlineStr">
        <is>
          <t>Other investing</t>
        </is>
      </c>
      <c r="C99" s="279" t="inlineStr">
        <is>
          <t>$M</t>
        </is>
      </c>
      <c r="D99" s="276">
        <f>'PB CF (Annual)'!Q84/1000-(D95+D96+D97+D98)</f>
        <v/>
      </c>
      <c r="E99" s="276">
        <f>'PB CF (Annual)'!P84/1000-(E95+E96+E97+E98)</f>
        <v/>
      </c>
      <c r="F99" s="276">
        <f>'PB CF (Annual)'!O84/1000-(F95+F96+F97+F98)</f>
        <v/>
      </c>
      <c r="G99" s="276">
        <f>'PB CF (Annual)'!N84/1000-(G95+G96+G97+G98)</f>
        <v/>
      </c>
      <c r="H99" s="276">
        <f>'PB CF (Annual)'!M84/1000-(H95+H96+H97+H98)</f>
        <v/>
      </c>
      <c r="I99" s="304" t="n">
        <v>0</v>
      </c>
      <c r="J99" s="304" t="n">
        <v>0</v>
      </c>
      <c r="K99" s="304" t="n">
        <v>0</v>
      </c>
      <c r="L99" s="304" t="n">
        <v>0</v>
      </c>
      <c r="M99" s="304" t="n">
        <v>0</v>
      </c>
      <c r="O99" s="252" t="inlineStr">
        <is>
          <t>History: residual to PitchBook total investing cash flow</t>
        </is>
      </c>
    </row>
    <row r="100">
      <c r="B100" s="249" t="inlineStr">
        <is>
          <t>Cash flow from investing</t>
        </is>
      </c>
      <c r="C100" s="279" t="inlineStr">
        <is>
          <t>$M</t>
        </is>
      </c>
      <c r="D100" s="287">
        <f>SUM(D95:D99)</f>
        <v/>
      </c>
      <c r="E100" s="287">
        <f>SUM(E95:E99)</f>
        <v/>
      </c>
      <c r="F100" s="287">
        <f>SUM(F95:F99)</f>
        <v/>
      </c>
      <c r="G100" s="287">
        <f>SUM(G95:G99)</f>
        <v/>
      </c>
      <c r="H100" s="287">
        <f>SUM(H95:H99)</f>
        <v/>
      </c>
      <c r="I100" s="287">
        <f>SUM(I95:I99)</f>
        <v/>
      </c>
      <c r="J100" s="287">
        <f>SUM(J95:J99)</f>
        <v/>
      </c>
      <c r="K100" s="287">
        <f>SUM(K95:K99)</f>
        <v/>
      </c>
      <c r="L100" s="287">
        <f>SUM(L95:L99)</f>
        <v/>
      </c>
      <c r="M100" s="287">
        <f>SUM(M95:M99)</f>
        <v/>
      </c>
    </row>
    <row r="101">
      <c r="B101" s="249" t="inlineStr">
        <is>
          <t>Financing activities</t>
        </is>
      </c>
    </row>
    <row r="102">
      <c r="B102" s="254" t="inlineStr">
        <is>
          <t>(−) Repurchases of common stock</t>
        </is>
      </c>
      <c r="C102" s="279" t="inlineStr">
        <is>
          <t>$M</t>
        </is>
      </c>
      <c r="D102" s="276">
        <f>'PB CF (Annual)'!Q90/1000</f>
        <v/>
      </c>
      <c r="E102" s="276">
        <f>'PB CF (Annual)'!P90/1000</f>
        <v/>
      </c>
      <c r="F102" s="276">
        <f>'PB CF (Annual)'!O90/1000</f>
        <v/>
      </c>
      <c r="G102" s="276">
        <f>'PB CF (Annual)'!N90/1000</f>
        <v/>
      </c>
      <c r="H102" s="276">
        <f>'PB CF (Annual)'!M90/1000</f>
        <v/>
      </c>
      <c r="I102" s="288">
        <f>-I144</f>
        <v/>
      </c>
      <c r="J102" s="288">
        <f>-J144</f>
        <v/>
      </c>
      <c r="K102" s="288">
        <f>-K144</f>
        <v/>
      </c>
      <c r="L102" s="288">
        <f>-L144</f>
        <v/>
      </c>
      <c r="M102" s="288">
        <f>-M144</f>
        <v/>
      </c>
      <c r="O102" s="252" t="inlineStr">
        <is>
          <t>Projection: schedule 5 (input, default 0)</t>
        </is>
      </c>
    </row>
    <row r="103">
      <c r="B103" s="254" t="inlineStr">
        <is>
          <t>(+) Proceeds from stock options and ESPP</t>
        </is>
      </c>
      <c r="C103" s="279" t="inlineStr">
        <is>
          <t>$M</t>
        </is>
      </c>
      <c r="D103" s="276">
        <f>'PB CF (Annual)'!Q109/1000</f>
        <v/>
      </c>
      <c r="E103" s="276">
        <f>'PB CF (Annual)'!P109/1000</f>
        <v/>
      </c>
      <c r="F103" s="276">
        <f>'PB CF (Annual)'!O109/1000</f>
        <v/>
      </c>
      <c r="G103" s="276">
        <f>'PB CF (Annual)'!N109/1000</f>
        <v/>
      </c>
      <c r="H103" s="276">
        <f>'PB CF (Annual)'!M109/1000</f>
        <v/>
      </c>
      <c r="I103" s="288">
        <f>H103</f>
        <v/>
      </c>
      <c r="J103" s="288">
        <f>I103</f>
        <v/>
      </c>
      <c r="K103" s="288">
        <f>J103</f>
        <v/>
      </c>
      <c r="L103" s="288">
        <f>K103</f>
        <v/>
      </c>
      <c r="M103" s="288">
        <f>L103</f>
        <v/>
      </c>
      <c r="O103" s="252" t="inlineStr">
        <is>
          <t>ASSUMED held at FY2026 (31.0)</t>
        </is>
      </c>
    </row>
    <row r="104">
      <c r="B104" s="254" t="inlineStr">
        <is>
          <t>Debt and lease repayments, issuance costs</t>
        </is>
      </c>
      <c r="C104" s="279" t="inlineStr">
        <is>
          <t>$M</t>
        </is>
      </c>
      <c r="D104" s="276">
        <f>'PB CF (Annual)'!Q100/1000+'PB CF (Annual)'!Q103/1000+'PB CF (Annual)'!Q106/1000</f>
        <v/>
      </c>
      <c r="E104" s="276">
        <f>'PB CF (Annual)'!P100/1000+'PB CF (Annual)'!P103/1000+'PB CF (Annual)'!P106/1000</f>
        <v/>
      </c>
      <c r="F104" s="276">
        <f>'PB CF (Annual)'!O100/1000+'PB CF (Annual)'!O103/1000+'PB CF (Annual)'!O106/1000</f>
        <v/>
      </c>
      <c r="G104" s="276">
        <f>'PB CF (Annual)'!N100/1000+'PB CF (Annual)'!N103/1000+'PB CF (Annual)'!N106/1000</f>
        <v/>
      </c>
      <c r="H104" s="276">
        <f>'PB CF (Annual)'!M100/1000+'PB CF (Annual)'!M103/1000+'PB CF (Annual)'!M106/1000</f>
        <v/>
      </c>
      <c r="I104" s="304" t="n">
        <v>0</v>
      </c>
      <c r="J104" s="304" t="n">
        <v>0</v>
      </c>
      <c r="K104" s="304" t="n">
        <v>0</v>
      </c>
      <c r="L104" s="304" t="n">
        <v>0</v>
      </c>
      <c r="M104" s="304" t="n">
        <v>0</v>
      </c>
      <c r="O104" s="252" t="inlineStr">
        <is>
          <t>ASSUMED 0 (no funded debt)</t>
        </is>
      </c>
    </row>
    <row r="105">
      <c r="B105" s="254" t="inlineStr">
        <is>
          <t>Other financing (incl. tax withholding on equity awards, NCI)</t>
        </is>
      </c>
      <c r="C105" s="279" t="inlineStr">
        <is>
          <t>$M</t>
        </is>
      </c>
      <c r="D105" s="276">
        <f>'PB CF (Annual)'!Q112/1000-(D102+D103+D104)</f>
        <v/>
      </c>
      <c r="E105" s="276">
        <f>'PB CF (Annual)'!P112/1000-(E102+E103+E104)</f>
        <v/>
      </c>
      <c r="F105" s="276">
        <f>'PB CF (Annual)'!O112/1000-(F102+F103+F104)</f>
        <v/>
      </c>
      <c r="G105" s="276">
        <f>'PB CF (Annual)'!N112/1000-(G102+G103+G104)</f>
        <v/>
      </c>
      <c r="H105" s="276">
        <f>'PB CF (Annual)'!M112/1000-(H102+H103+H104)</f>
        <v/>
      </c>
      <c r="I105" s="304" t="n">
        <v>0</v>
      </c>
      <c r="J105" s="304" t="n">
        <v>0</v>
      </c>
      <c r="K105" s="304" t="n">
        <v>0</v>
      </c>
      <c r="L105" s="304" t="n">
        <v>0</v>
      </c>
      <c r="M105" s="304" t="n">
        <v>0</v>
      </c>
      <c r="O105" s="252" t="inlineStr">
        <is>
          <t>History: residual to PitchBook total financing cash flow. ASSUMED 0</t>
        </is>
      </c>
    </row>
    <row r="106">
      <c r="B106" s="249" t="inlineStr">
        <is>
          <t>Cash flow from financing</t>
        </is>
      </c>
      <c r="C106" s="279" t="inlineStr">
        <is>
          <t>$M</t>
        </is>
      </c>
      <c r="D106" s="287">
        <f>SUM(D102:D105)</f>
        <v/>
      </c>
      <c r="E106" s="287">
        <f>SUM(E102:E105)</f>
        <v/>
      </c>
      <c r="F106" s="287">
        <f>SUM(F102:F105)</f>
        <v/>
      </c>
      <c r="G106" s="287">
        <f>SUM(G102:G105)</f>
        <v/>
      </c>
      <c r="H106" s="287">
        <f>SUM(H102:H105)</f>
        <v/>
      </c>
      <c r="I106" s="287">
        <f>SUM(I102:I105)</f>
        <v/>
      </c>
      <c r="J106" s="287">
        <f>SUM(J102:J105)</f>
        <v/>
      </c>
      <c r="K106" s="287">
        <f>SUM(K102:K105)</f>
        <v/>
      </c>
      <c r="L106" s="287">
        <f>SUM(L102:L105)</f>
        <v/>
      </c>
      <c r="M106" s="287">
        <f>SUM(M102:M105)</f>
        <v/>
      </c>
    </row>
    <row r="107">
      <c r="B107" s="254" t="inlineStr">
        <is>
          <t>Effect of exchange rates on cash</t>
        </is>
      </c>
      <c r="C107" s="279" t="inlineStr">
        <is>
          <t>$M</t>
        </is>
      </c>
      <c r="D107" s="276">
        <f>'PB CF (Annual)'!Q115/1000</f>
        <v/>
      </c>
      <c r="E107" s="276">
        <f>'PB CF (Annual)'!P115/1000</f>
        <v/>
      </c>
      <c r="F107" s="276">
        <f>'PB CF (Annual)'!O115/1000</f>
        <v/>
      </c>
      <c r="G107" s="276">
        <f>'PB CF (Annual)'!N115/1000</f>
        <v/>
      </c>
      <c r="H107" s="276">
        <f>'PB CF (Annual)'!M115/1000</f>
        <v/>
      </c>
      <c r="I107" s="304" t="n">
        <v>0</v>
      </c>
      <c r="J107" s="304" t="n">
        <v>0</v>
      </c>
      <c r="K107" s="304" t="n">
        <v>0</v>
      </c>
      <c r="L107" s="304" t="n">
        <v>0</v>
      </c>
      <c r="M107" s="304" t="n">
        <v>0</v>
      </c>
      <c r="O107" s="252" t="inlineStr">
        <is>
          <t>ASSUMED 0</t>
        </is>
      </c>
    </row>
    <row r="108">
      <c r="B108" s="249" t="inlineStr">
        <is>
          <t>Net change in cash and cash equivalents</t>
        </is>
      </c>
      <c r="C108" s="279" t="inlineStr">
        <is>
          <t>$M</t>
        </is>
      </c>
      <c r="D108" s="287">
        <f>D93+D100+D106+D107</f>
        <v/>
      </c>
      <c r="E108" s="287">
        <f>E93+E100+E106+E107</f>
        <v/>
      </c>
      <c r="F108" s="287">
        <f>F93+F100+F106+F107</f>
        <v/>
      </c>
      <c r="G108" s="287">
        <f>G93+G100+G106+G107</f>
        <v/>
      </c>
      <c r="H108" s="287">
        <f>H93+H100+H106+H107</f>
        <v/>
      </c>
      <c r="I108" s="287">
        <f>I93+I100+I106+I107</f>
        <v/>
      </c>
      <c r="J108" s="287">
        <f>J93+J100+J106+J107</f>
        <v/>
      </c>
      <c r="K108" s="287">
        <f>K93+K100+K106+K107</f>
        <v/>
      </c>
      <c r="L108" s="287">
        <f>L93+L100+L106+L107</f>
        <v/>
      </c>
      <c r="M108" s="287">
        <f>M93+M100+M106+M107</f>
        <v/>
      </c>
    </row>
    <row r="109">
      <c r="B109" s="254" t="inlineStr">
        <is>
          <t>Beginning cash and cash equivalents</t>
        </is>
      </c>
      <c r="C109" s="279" t="inlineStr">
        <is>
          <t>$M</t>
        </is>
      </c>
      <c r="D109" s="276">
        <f>'PB CF (Annual)'!Q117/1000</f>
        <v/>
      </c>
      <c r="E109" s="276">
        <f>'PB CF (Annual)'!P117/1000</f>
        <v/>
      </c>
      <c r="F109" s="276">
        <f>'PB CF (Annual)'!O117/1000</f>
        <v/>
      </c>
      <c r="G109" s="276">
        <f>'PB CF (Annual)'!N117/1000</f>
        <v/>
      </c>
      <c r="H109" s="276">
        <f>'PB CF (Annual)'!M117/1000</f>
        <v/>
      </c>
      <c r="I109" s="288">
        <f>H110</f>
        <v/>
      </c>
      <c r="J109" s="288">
        <f>I110</f>
        <v/>
      </c>
      <c r="K109" s="288">
        <f>J110</f>
        <v/>
      </c>
      <c r="L109" s="288">
        <f>K110</f>
        <v/>
      </c>
      <c r="M109" s="288">
        <f>L110</f>
        <v/>
      </c>
    </row>
    <row r="110">
      <c r="B110" s="249" t="inlineStr">
        <is>
          <t>Ending cash and cash equivalents</t>
        </is>
      </c>
      <c r="C110" s="279" t="inlineStr">
        <is>
          <t>$M</t>
        </is>
      </c>
      <c r="D110" s="287">
        <f>D109+D108</f>
        <v/>
      </c>
      <c r="E110" s="287">
        <f>E109+E108</f>
        <v/>
      </c>
      <c r="F110" s="287">
        <f>F109+F108</f>
        <v/>
      </c>
      <c r="G110" s="287">
        <f>G109+G108</f>
        <v/>
      </c>
      <c r="H110" s="287">
        <f>H109+H108</f>
        <v/>
      </c>
      <c r="I110" s="287">
        <f>I109+I108</f>
        <v/>
      </c>
      <c r="J110" s="287">
        <f>J109+J108</f>
        <v/>
      </c>
      <c r="K110" s="287">
        <f>K109+K108</f>
        <v/>
      </c>
      <c r="L110" s="287">
        <f>L109+L108</f>
        <v/>
      </c>
      <c r="M110" s="287">
        <f>M109+M108</f>
        <v/>
      </c>
    </row>
    <row r="111">
      <c r="B111" s="274" t="inlineStr">
        <is>
          <t>Cash check (ending cash − balance-sheet cash; should be 0)</t>
        </is>
      </c>
      <c r="C111" s="279" t="inlineStr">
        <is>
          <t>$M</t>
        </is>
      </c>
      <c r="D111" s="265">
        <f>ROUND(D110-D45,3)</f>
        <v/>
      </c>
      <c r="E111" s="265">
        <f>ROUND(E110-E45,3)</f>
        <v/>
      </c>
      <c r="F111" s="265">
        <f>ROUND(F110-F45,3)</f>
        <v/>
      </c>
      <c r="G111" s="265">
        <f>ROUND(G110-G45,3)</f>
        <v/>
      </c>
      <c r="H111" s="265">
        <f>ROUND(H110-H45,3)</f>
        <v/>
      </c>
      <c r="I111" s="265">
        <f>ROUND(I110-I45,3)</f>
        <v/>
      </c>
      <c r="J111" s="265">
        <f>ROUND(J110-J45,3)</f>
        <v/>
      </c>
      <c r="K111" s="265">
        <f>ROUND(K110-K45,3)</f>
        <v/>
      </c>
      <c r="L111" s="265">
        <f>ROUND(L110-L45,3)</f>
        <v/>
      </c>
      <c r="M111" s="265">
        <f>ROUND(M110-M45,3)</f>
        <v/>
      </c>
    </row>
    <row r="112">
      <c r="B112" s="249" t="inlineStr">
        <is>
          <t>Free cash flow (CFO + capex)</t>
        </is>
      </c>
      <c r="C112" s="279" t="inlineStr">
        <is>
          <t>$M</t>
        </is>
      </c>
      <c r="D112" s="287">
        <f>D93+D95</f>
        <v/>
      </c>
      <c r="E112" s="287">
        <f>E93+E95</f>
        <v/>
      </c>
      <c r="F112" s="287">
        <f>F93+F95</f>
        <v/>
      </c>
      <c r="G112" s="287">
        <f>G93+G95</f>
        <v/>
      </c>
      <c r="H112" s="287">
        <f>H93+H95</f>
        <v/>
      </c>
      <c r="I112" s="287">
        <f>I93+I95</f>
        <v/>
      </c>
      <c r="J112" s="287">
        <f>J93+J95</f>
        <v/>
      </c>
      <c r="K112" s="287">
        <f>K93+K95</f>
        <v/>
      </c>
      <c r="L112" s="287">
        <f>L93+L95</f>
        <v/>
      </c>
      <c r="M112" s="287">
        <f>M93+M95</f>
        <v/>
      </c>
    </row>
    <row r="113">
      <c r="B113" s="281" t="inlineStr">
        <is>
          <t>FCF margin</t>
        </is>
      </c>
      <c r="C113" s="279" t="inlineStr">
        <is>
          <t>%</t>
        </is>
      </c>
      <c r="D113" s="283">
        <f>IF(D8=0,0,D112/D8)</f>
        <v/>
      </c>
      <c r="E113" s="283">
        <f>IF(E8=0,0,E112/E8)</f>
        <v/>
      </c>
      <c r="F113" s="283">
        <f>IF(F8=0,0,F112/F8)</f>
        <v/>
      </c>
      <c r="G113" s="283">
        <f>IF(G8=0,0,G112/G8)</f>
        <v/>
      </c>
      <c r="H113" s="283">
        <f>IF(H8=0,0,H112/H8)</f>
        <v/>
      </c>
      <c r="I113" s="283">
        <f>IF(I8=0,0,I112/I8)</f>
        <v/>
      </c>
      <c r="J113" s="283">
        <f>IF(J8=0,0,J112/J8)</f>
        <v/>
      </c>
      <c r="K113" s="283">
        <f>IF(K8=0,0,K112/K8)</f>
        <v/>
      </c>
      <c r="L113" s="283">
        <f>IF(L8=0,0,L112/L8)</f>
        <v/>
      </c>
      <c r="M113" s="283">
        <f>IF(M8=0,0,M112/M8)</f>
        <v/>
      </c>
    </row>
    <row r="114">
      <c r="B114" s="271" t="inlineStr">
        <is>
          <t>Barclays parity — cash flow</t>
        </is>
      </c>
      <c r="C114" s="272" t="n"/>
      <c r="D114" s="272" t="n"/>
      <c r="E114" s="272" t="n"/>
      <c r="F114" s="272" t="n"/>
      <c r="G114" s="272" t="n"/>
      <c r="H114" s="272" t="n"/>
      <c r="I114" s="272" t="n"/>
      <c r="J114" s="272" t="n"/>
      <c r="K114" s="272" t="n"/>
      <c r="L114" s="272" t="n"/>
      <c r="M114" s="272" t="n"/>
      <c r="N114" s="272" t="n"/>
      <c r="O114" s="272" t="n"/>
      <c r="P114" s="272" t="n"/>
      <c r="Q114" s="272" t="n"/>
      <c r="R114" s="272" t="n"/>
      <c r="S114" s="272" t="n"/>
    </row>
    <row r="115">
      <c r="B115" s="254" t="inlineStr">
        <is>
          <t>Barclays cash flow from operations</t>
        </is>
      </c>
      <c r="C115" s="279" t="inlineStr">
        <is>
          <t>$M</t>
        </is>
      </c>
      <c r="D115" s="282" t="inlineStr">
        <is>
          <t>–</t>
        </is>
      </c>
      <c r="E115" s="282" t="inlineStr">
        <is>
          <t>–</t>
        </is>
      </c>
      <c r="F115" s="282" t="inlineStr">
        <is>
          <t>–</t>
        </is>
      </c>
      <c r="G115" s="282" t="inlineStr">
        <is>
          <t>–</t>
        </is>
      </c>
      <c r="H115" s="276">
        <f>'D Barclays'!D18</f>
        <v/>
      </c>
      <c r="I115" s="276">
        <f>'D Barclays'!E18</f>
        <v/>
      </c>
      <c r="J115" s="276">
        <f>'D Barclays'!F18</f>
        <v/>
      </c>
      <c r="K115" s="276">
        <f>'D Barclays'!G18</f>
        <v/>
      </c>
      <c r="L115" s="282" t="inlineStr">
        <is>
          <t>–</t>
        </is>
      </c>
      <c r="M115" s="282" t="inlineStr">
        <is>
          <t>–</t>
        </is>
      </c>
    </row>
    <row r="116">
      <c r="B116" s="281" t="inlineStr">
        <is>
          <t>Δ CFO</t>
        </is>
      </c>
      <c r="C116" s="279" t="inlineStr">
        <is>
          <t>$M</t>
        </is>
      </c>
      <c r="D116" s="282" t="inlineStr">
        <is>
          <t>–</t>
        </is>
      </c>
      <c r="E116" s="282" t="inlineStr">
        <is>
          <t>–</t>
        </is>
      </c>
      <c r="F116" s="282" t="inlineStr">
        <is>
          <t>–</t>
        </is>
      </c>
      <c r="G116" s="282" t="inlineStr">
        <is>
          <t>–</t>
        </is>
      </c>
      <c r="H116" s="288">
        <f>H93-H115</f>
        <v/>
      </c>
      <c r="I116" s="288">
        <f>I93-I115</f>
        <v/>
      </c>
      <c r="J116" s="288">
        <f>J93-J115</f>
        <v/>
      </c>
      <c r="K116" s="288">
        <f>K93-K115</f>
        <v/>
      </c>
      <c r="L116" s="282" t="inlineStr">
        <is>
          <t>–</t>
        </is>
      </c>
      <c r="M116" s="282" t="inlineStr">
        <is>
          <t>–</t>
        </is>
      </c>
    </row>
    <row r="117">
      <c r="B117" s="254" t="inlineStr">
        <is>
          <t>Barclays capital expenditure</t>
        </is>
      </c>
      <c r="C117" s="279" t="inlineStr">
        <is>
          <t>$M</t>
        </is>
      </c>
      <c r="D117" s="282" t="inlineStr">
        <is>
          <t>–</t>
        </is>
      </c>
      <c r="E117" s="282" t="inlineStr">
        <is>
          <t>–</t>
        </is>
      </c>
      <c r="F117" s="282" t="inlineStr">
        <is>
          <t>–</t>
        </is>
      </c>
      <c r="G117" s="282" t="inlineStr">
        <is>
          <t>–</t>
        </is>
      </c>
      <c r="H117" s="276">
        <f>'D Barclays'!D19</f>
        <v/>
      </c>
      <c r="I117" s="276">
        <f>'D Barclays'!E19</f>
        <v/>
      </c>
      <c r="J117" s="276">
        <f>'D Barclays'!F19</f>
        <v/>
      </c>
      <c r="K117" s="276">
        <f>'D Barclays'!G19</f>
        <v/>
      </c>
      <c r="L117" s="282" t="inlineStr">
        <is>
          <t>–</t>
        </is>
      </c>
      <c r="M117" s="282" t="inlineStr">
        <is>
          <t>–</t>
        </is>
      </c>
    </row>
    <row r="118">
      <c r="B118" s="281" t="inlineStr">
        <is>
          <t>Δ capex</t>
        </is>
      </c>
      <c r="C118" s="279" t="inlineStr">
        <is>
          <t>$M</t>
        </is>
      </c>
      <c r="D118" s="282" t="inlineStr">
        <is>
          <t>–</t>
        </is>
      </c>
      <c r="E118" s="282" t="inlineStr">
        <is>
          <t>–</t>
        </is>
      </c>
      <c r="F118" s="282" t="inlineStr">
        <is>
          <t>–</t>
        </is>
      </c>
      <c r="G118" s="282" t="inlineStr">
        <is>
          <t>–</t>
        </is>
      </c>
      <c r="H118" s="288">
        <f>H95-H117</f>
        <v/>
      </c>
      <c r="I118" s="288">
        <f>I95-I117</f>
        <v/>
      </c>
      <c r="J118" s="288">
        <f>J95-J117</f>
        <v/>
      </c>
      <c r="K118" s="288">
        <f>K95-K117</f>
        <v/>
      </c>
      <c r="L118" s="282" t="inlineStr">
        <is>
          <t>–</t>
        </is>
      </c>
      <c r="M118" s="282" t="inlineStr">
        <is>
          <t>–</t>
        </is>
      </c>
    </row>
    <row r="119">
      <c r="B119" s="254" t="inlineStr">
        <is>
          <t>Barclays change in working capital</t>
        </is>
      </c>
      <c r="C119" s="279" t="inlineStr">
        <is>
          <t>$M</t>
        </is>
      </c>
      <c r="D119" s="282" t="inlineStr">
        <is>
          <t>–</t>
        </is>
      </c>
      <c r="E119" s="282" t="inlineStr">
        <is>
          <t>–</t>
        </is>
      </c>
      <c r="F119" s="282" t="inlineStr">
        <is>
          <t>–</t>
        </is>
      </c>
      <c r="G119" s="282" t="inlineStr">
        <is>
          <t>–</t>
        </is>
      </c>
      <c r="H119" s="276">
        <f>'D Barclays'!D17</f>
        <v/>
      </c>
      <c r="I119" s="276">
        <f>'D Barclays'!E17</f>
        <v/>
      </c>
      <c r="J119" s="276">
        <f>'D Barclays'!F17</f>
        <v/>
      </c>
      <c r="K119" s="276">
        <f>'D Barclays'!G17</f>
        <v/>
      </c>
      <c r="L119" s="282" t="inlineStr">
        <is>
          <t>–</t>
        </is>
      </c>
      <c r="M119" s="282" t="inlineStr">
        <is>
          <t>–</t>
        </is>
      </c>
    </row>
    <row r="120">
      <c r="B120" s="281" t="inlineStr">
        <is>
          <t>Δ change in working capital</t>
        </is>
      </c>
      <c r="C120" s="279" t="inlineStr">
        <is>
          <t>$M</t>
        </is>
      </c>
      <c r="D120" s="282" t="inlineStr">
        <is>
          <t>–</t>
        </is>
      </c>
      <c r="E120" s="282" t="inlineStr">
        <is>
          <t>–</t>
        </is>
      </c>
      <c r="F120" s="282" t="inlineStr">
        <is>
          <t>–</t>
        </is>
      </c>
      <c r="G120" s="282" t="inlineStr">
        <is>
          <t>–</t>
        </is>
      </c>
      <c r="H120" s="288">
        <f>H92-H119</f>
        <v/>
      </c>
      <c r="I120" s="288">
        <f>I92-I119</f>
        <v/>
      </c>
      <c r="J120" s="288">
        <f>J92-J119</f>
        <v/>
      </c>
      <c r="K120" s="288">
        <f>K92-K119</f>
        <v/>
      </c>
      <c r="L120" s="282" t="inlineStr">
        <is>
          <t>–</t>
        </is>
      </c>
      <c r="M120" s="282" t="inlineStr">
        <is>
          <t>–</t>
        </is>
      </c>
    </row>
    <row r="121">
      <c r="B121" s="274" t="inlineStr">
        <is>
          <t>Barclays free cash flow (memo; Barclays' definition not stated, exceeds CFO + capex)</t>
        </is>
      </c>
      <c r="C121" s="279" t="inlineStr">
        <is>
          <t>$M</t>
        </is>
      </c>
      <c r="D121" s="282" t="inlineStr">
        <is>
          <t>–</t>
        </is>
      </c>
      <c r="E121" s="282" t="inlineStr">
        <is>
          <t>–</t>
        </is>
      </c>
      <c r="F121" s="282" t="inlineStr">
        <is>
          <t>–</t>
        </is>
      </c>
      <c r="G121" s="282" t="inlineStr">
        <is>
          <t>–</t>
        </is>
      </c>
      <c r="H121" s="276">
        <f>'D Barclays'!D20</f>
        <v/>
      </c>
      <c r="I121" s="276">
        <f>'D Barclays'!E20</f>
        <v/>
      </c>
      <c r="J121" s="276">
        <f>'D Barclays'!F20</f>
        <v/>
      </c>
      <c r="K121" s="276">
        <f>'D Barclays'!G20</f>
        <v/>
      </c>
      <c r="L121" s="282" t="inlineStr">
        <is>
          <t>–</t>
        </is>
      </c>
      <c r="M121" s="282" t="inlineStr">
        <is>
          <t>–</t>
        </is>
      </c>
    </row>
    <row r="122">
      <c r="B122" s="246" t="inlineStr">
        <is>
          <t>Supporting schedules</t>
        </is>
      </c>
      <c r="C122" s="247" t="n"/>
      <c r="D122" s="248" t="inlineStr">
        <is>
          <t>FY2022A</t>
        </is>
      </c>
      <c r="E122" s="248" t="inlineStr">
        <is>
          <t>FY2023A</t>
        </is>
      </c>
      <c r="F122" s="248" t="inlineStr">
        <is>
          <t>FY2024A</t>
        </is>
      </c>
      <c r="G122" s="248" t="inlineStr">
        <is>
          <t>FY2025A</t>
        </is>
      </c>
      <c r="H122" s="248" t="inlineStr">
        <is>
          <t>FY2026A</t>
        </is>
      </c>
      <c r="I122" s="248" t="inlineStr">
        <is>
          <t>FY2027E</t>
        </is>
      </c>
      <c r="J122" s="248" t="inlineStr">
        <is>
          <t>FY2028E</t>
        </is>
      </c>
      <c r="K122" s="248" t="inlineStr">
        <is>
          <t>FY2029E</t>
        </is>
      </c>
      <c r="L122" s="248" t="inlineStr">
        <is>
          <t>FY2030E</t>
        </is>
      </c>
      <c r="M122" s="248" t="inlineStr">
        <is>
          <t>FY2031E</t>
        </is>
      </c>
      <c r="N122" s="247" t="n"/>
      <c r="O122" s="247" t="n"/>
      <c r="P122" s="247" t="n"/>
      <c r="Q122" s="247" t="n"/>
      <c r="R122" s="247" t="n"/>
      <c r="S122" s="247" t="n"/>
    </row>
    <row r="123">
      <c r="B123" s="271" t="inlineStr">
        <is>
          <t>1. Revenue drivers and facility cost (the volume-driven gross margin)</t>
        </is>
      </c>
      <c r="C123" s="272" t="n"/>
      <c r="D123" s="272" t="n"/>
      <c r="E123" s="272" t="n"/>
      <c r="F123" s="272" t="n"/>
      <c r="G123" s="272" t="n"/>
      <c r="H123" s="272" t="n"/>
      <c r="I123" s="272" t="n"/>
      <c r="J123" s="272" t="n"/>
      <c r="K123" s="272" t="n"/>
      <c r="L123" s="272" t="n"/>
      <c r="M123" s="272" t="n"/>
      <c r="N123" s="272" t="n"/>
      <c r="O123" s="272" t="n"/>
      <c r="P123" s="272" t="n"/>
      <c r="Q123" s="272" t="n"/>
      <c r="R123" s="272" t="n"/>
      <c r="S123" s="272" t="n"/>
    </row>
    <row r="124">
      <c r="B124" s="254" t="inlineStr">
        <is>
          <t>Global fee units</t>
        </is>
      </c>
      <c r="C124" s="279" t="inlineStr">
        <is>
          <t>000s</t>
        </is>
      </c>
      <c r="D124" s="261">
        <f>RPM!D29</f>
        <v/>
      </c>
      <c r="E124" s="261">
        <f>RPM!E29</f>
        <v/>
      </c>
      <c r="F124" s="261">
        <f>RPM!F29</f>
        <v/>
      </c>
      <c r="G124" s="261">
        <f>RPM!G29</f>
        <v/>
      </c>
      <c r="H124" s="261">
        <f>RPM!H29</f>
        <v/>
      </c>
      <c r="I124" s="261">
        <f>RPM!I29</f>
        <v/>
      </c>
      <c r="J124" s="261">
        <f>RPM!J29</f>
        <v/>
      </c>
      <c r="K124" s="261">
        <f>RPM!K29</f>
        <v/>
      </c>
      <c r="L124" s="261">
        <f>RPM!L29</f>
        <v/>
      </c>
      <c r="M124" s="261">
        <f>RPM!M29</f>
        <v/>
      </c>
      <c r="O124" s="252" t="inlineStr">
        <is>
          <t>RPM row 29 (FY26 anchor 4.0m; FY27–28 from the engines; FY29–31 fade). History before FY26 is blank where the RPM has no units</t>
        </is>
      </c>
    </row>
    <row r="125">
      <c r="B125" s="254" t="inlineStr">
        <is>
          <t>Facility cost per fee unit (incl. yard D&amp;A)</t>
        </is>
      </c>
      <c r="C125" s="279" t="inlineStr">
        <is>
          <t>$</t>
        </is>
      </c>
      <c r="D125" s="423">
        <f>IFERROR(D10*1000/D124,"")</f>
        <v/>
      </c>
      <c r="E125" s="423">
        <f>IFERROR(E10*1000/E124,"")</f>
        <v/>
      </c>
      <c r="F125" s="423">
        <f>IFERROR(F10*1000/F124,"")</f>
        <v/>
      </c>
      <c r="G125" s="423">
        <f>IFERROR(G10*1000/G124,"")</f>
        <v/>
      </c>
      <c r="H125" s="423">
        <f>IFERROR(H10*1000/H124,"")</f>
        <v/>
      </c>
      <c r="I125" s="423">
        <f>H125*(1+I126)</f>
        <v/>
      </c>
      <c r="J125" s="423">
        <f>I125*(1+J126)</f>
        <v/>
      </c>
      <c r="K125" s="423">
        <f>J125*(1+K126)</f>
        <v/>
      </c>
      <c r="L125" s="423">
        <f>K125*(1+L126)</f>
        <v/>
      </c>
      <c r="M125" s="423">
        <f>L125*(1+M126)</f>
        <v/>
      </c>
      <c r="O125" s="252" t="inlineStr">
        <is>
          <t>FY26: 1,965.9 ÷ 4.0m units ≈ $491. Projection: prior × (1 + growth)</t>
        </is>
      </c>
    </row>
    <row r="126">
      <c r="B126" s="281" t="inlineStr">
        <is>
          <t>Facility cost per unit, y/y</t>
        </is>
      </c>
      <c r="C126" s="279" t="inlineStr">
        <is>
          <t>%</t>
        </is>
      </c>
      <c r="D126" s="282" t="inlineStr">
        <is>
          <t>–</t>
        </is>
      </c>
      <c r="E126" s="283">
        <f>IFERROR(E125/D125-1,"")</f>
        <v/>
      </c>
      <c r="F126" s="283">
        <f>IFERROR(F125/E125-1,"")</f>
        <v/>
      </c>
      <c r="G126" s="283">
        <f>IFERROR(G125/F125-1,"")</f>
        <v/>
      </c>
      <c r="H126" s="283">
        <f>IFERROR(H125/G125-1,"")</f>
        <v/>
      </c>
      <c r="I126" s="273">
        <f>DCF!I15</f>
        <v/>
      </c>
      <c r="J126" s="273">
        <f>DCF!J15</f>
        <v/>
      </c>
      <c r="K126" s="273">
        <f>DCF!K15</f>
        <v/>
      </c>
      <c r="L126" s="273">
        <f>DCF!L15</f>
        <v/>
      </c>
      <c r="M126" s="273">
        <f>DCF!M15</f>
        <v/>
      </c>
      <c r="O126" s="252" t="inlineStr">
        <is>
          <t>ASSUMED (owner, DCF row 15): +4.5% FY27 fading to +2.0% FY31 — one input shared with the DCF so the two builds move together</t>
        </is>
      </c>
    </row>
    <row r="127">
      <c r="B127" s="254" t="inlineStr">
        <is>
          <t>Cost of vehicle sales, % of vehicle sales</t>
        </is>
      </c>
      <c r="C127" s="279" t="inlineStr">
        <is>
          <t>%</t>
        </is>
      </c>
      <c r="D127" s="283">
        <f>IF(D7=0,0,D11/D7)</f>
        <v/>
      </c>
      <c r="E127" s="283">
        <f>IF(E7=0,0,E11/E7)</f>
        <v/>
      </c>
      <c r="F127" s="283">
        <f>IF(F7=0,0,F11/F7)</f>
        <v/>
      </c>
      <c r="G127" s="283">
        <f>IF(G7=0,0,G11/G7)</f>
        <v/>
      </c>
      <c r="H127" s="283">
        <f>IF(H7=0,0,H11/H7)</f>
        <v/>
      </c>
      <c r="I127" s="283">
        <f>$H$127</f>
        <v/>
      </c>
      <c r="J127" s="283">
        <f>$H$127</f>
        <v/>
      </c>
      <c r="K127" s="283">
        <f>$H$127</f>
        <v/>
      </c>
      <c r="L127" s="283">
        <f>$H$127</f>
        <v/>
      </c>
      <c r="M127" s="283">
        <f>$H$127</f>
        <v/>
      </c>
      <c r="O127" s="252" t="inlineStr">
        <is>
          <t>CALIBRATED: FY2026 actual (10-K) held</t>
        </is>
      </c>
    </row>
    <row r="128">
      <c r="B128" s="254" t="inlineStr">
        <is>
          <t>G&amp;A (incl. D&amp;A, SBC), % of revenue</t>
        </is>
      </c>
      <c r="C128" s="279" t="inlineStr">
        <is>
          <t>%</t>
        </is>
      </c>
      <c r="D128" s="283">
        <f>IF(D8=0,0,D14/D8)</f>
        <v/>
      </c>
      <c r="E128" s="283">
        <f>IF(E8=0,0,E14/E8)</f>
        <v/>
      </c>
      <c r="F128" s="283">
        <f>IF(F8=0,0,F14/F8)</f>
        <v/>
      </c>
      <c r="G128" s="283">
        <f>IF(G8=0,0,G14/G8)</f>
        <v/>
      </c>
      <c r="H128" s="283">
        <f>IF(H8=0,0,H14/H8)</f>
        <v/>
      </c>
      <c r="I128" s="273">
        <f>('D Barclays'!E5-'D Barclays'!E7)/'D Barclays'!E5-($H$10+$H$11)/$H$8</f>
        <v/>
      </c>
      <c r="J128" s="273">
        <f>('D Barclays'!F5-'D Barclays'!F7)/'D Barclays'!F5-($H$10+$H$11)/$H$8</f>
        <v/>
      </c>
      <c r="K128" s="273">
        <f>('D Barclays'!G5-'D Barclays'!G7)/'D Barclays'!G5-($H$10+$H$11)/$H$8</f>
        <v/>
      </c>
      <c r="L128" s="283">
        <f>K128</f>
        <v/>
      </c>
      <c r="M128" s="283">
        <f>L128</f>
        <v/>
      </c>
      <c r="O128" s="252" t="inlineStr">
        <is>
          <t>Barclays-implied: Barclays' (revenue − EBIT) ÷ revenue less Copart's FY2026 facility and vehicle-cost ratios (FY27 9.2%, FY28 8.6%, FY29 8.1%); held at FY29 after. Barclays' margin expansion therefore sits in G&amp;A; volume leverage sits in facility cost</t>
        </is>
      </c>
    </row>
    <row r="129">
      <c r="B129" s="271" t="inlineStr">
        <is>
          <t>2. Property and equipment, capex and D&amp;A</t>
        </is>
      </c>
      <c r="C129" s="272" t="n"/>
      <c r="D129" s="272" t="n"/>
      <c r="E129" s="272" t="n"/>
      <c r="F129" s="272" t="n"/>
      <c r="G129" s="272" t="n"/>
      <c r="H129" s="272" t="n"/>
      <c r="I129" s="272" t="n"/>
      <c r="J129" s="272" t="n"/>
      <c r="K129" s="272" t="n"/>
      <c r="L129" s="272" t="n"/>
      <c r="M129" s="272" t="n"/>
      <c r="N129" s="272" t="n"/>
      <c r="O129" s="272" t="n"/>
      <c r="P129" s="272" t="n"/>
      <c r="Q129" s="272" t="n"/>
      <c r="R129" s="272" t="n"/>
      <c r="S129" s="272" t="n"/>
    </row>
    <row r="130">
      <c r="B130" s="254" t="inlineStr">
        <is>
          <t>Opening net PP&amp;E</t>
        </is>
      </c>
      <c r="C130" s="279" t="inlineStr">
        <is>
          <t>$M</t>
        </is>
      </c>
      <c r="D130" s="282" t="inlineStr">
        <is>
          <t>–</t>
        </is>
      </c>
      <c r="E130" s="282" t="inlineStr">
        <is>
          <t>–</t>
        </is>
      </c>
      <c r="F130" s="282" t="inlineStr">
        <is>
          <t>–</t>
        </is>
      </c>
      <c r="G130" s="282" t="inlineStr">
        <is>
          <t>–</t>
        </is>
      </c>
      <c r="H130" s="282" t="inlineStr">
        <is>
          <t>–</t>
        </is>
      </c>
      <c r="I130" s="288">
        <f>H55</f>
        <v/>
      </c>
      <c r="J130" s="288">
        <f>I55</f>
        <v/>
      </c>
      <c r="K130" s="288">
        <f>J55</f>
        <v/>
      </c>
      <c r="L130" s="288">
        <f>K55</f>
        <v/>
      </c>
      <c r="M130" s="288">
        <f>L55</f>
        <v/>
      </c>
    </row>
    <row r="131">
      <c r="B131" s="254" t="inlineStr">
        <is>
          <t>Capital expenditure (negative = outflow)</t>
        </is>
      </c>
      <c r="C131" s="279" t="inlineStr">
        <is>
          <t>$M</t>
        </is>
      </c>
      <c r="D131" s="288">
        <f>D95</f>
        <v/>
      </c>
      <c r="E131" s="288">
        <f>E95</f>
        <v/>
      </c>
      <c r="F131" s="288">
        <f>F95</f>
        <v/>
      </c>
      <c r="G131" s="288">
        <f>G95</f>
        <v/>
      </c>
      <c r="H131" s="288">
        <f>H95</f>
        <v/>
      </c>
      <c r="I131" s="276">
        <f>'D Barclays'!E19</f>
        <v/>
      </c>
      <c r="J131" s="276">
        <f>'D Barclays'!F19</f>
        <v/>
      </c>
      <c r="K131" s="276">
        <f>'D Barclays'!G19</f>
        <v/>
      </c>
      <c r="L131" s="288">
        <f>-L8*$K$132</f>
        <v/>
      </c>
      <c r="M131" s="288">
        <f>-M8*$K$132</f>
        <v/>
      </c>
      <c r="O131" s="252" t="inlineStr">
        <is>
          <t>FY27–29: Barclays −500 a year (D Barclays). FY30–31: Barclays' FY29 capex-to-revenue ratio applied to model revenue (no broker projects FY30)</t>
        </is>
      </c>
    </row>
    <row r="132">
      <c r="B132" s="281" t="inlineStr">
        <is>
          <t>Capex, % of revenue</t>
        </is>
      </c>
      <c r="C132" s="279" t="inlineStr">
        <is>
          <t>%</t>
        </is>
      </c>
      <c r="D132" s="283">
        <f>IF(D8=0,0,-D131/D8)</f>
        <v/>
      </c>
      <c r="E132" s="283">
        <f>IF(E8=0,0,-E131/E8)</f>
        <v/>
      </c>
      <c r="F132" s="283">
        <f>IF(F8=0,0,-F131/F8)</f>
        <v/>
      </c>
      <c r="G132" s="283">
        <f>IF(G8=0,0,-G131/G8)</f>
        <v/>
      </c>
      <c r="H132" s="283">
        <f>IF(H8=0,0,-H131/H8)</f>
        <v/>
      </c>
      <c r="I132" s="283">
        <f>IF(I8=0,0,-I131/I8)</f>
        <v/>
      </c>
      <c r="J132" s="283">
        <f>IF(J8=0,0,-J131/J8)</f>
        <v/>
      </c>
      <c r="K132" s="283">
        <f>IF(K8=0,0,-K131/K8)</f>
        <v/>
      </c>
      <c r="L132" s="283">
        <f>IF(L8=0,0,-L131/L8)</f>
        <v/>
      </c>
      <c r="M132" s="283">
        <f>IF(M8=0,0,-M131/M8)</f>
        <v/>
      </c>
    </row>
    <row r="133">
      <c r="B133" s="254" t="inlineStr">
        <is>
          <t>Depreciation and amortization</t>
        </is>
      </c>
      <c r="C133" s="279" t="inlineStr">
        <is>
          <t>$M</t>
        </is>
      </c>
      <c r="D133" s="288">
        <f>D17</f>
        <v/>
      </c>
      <c r="E133" s="288">
        <f>E17</f>
        <v/>
      </c>
      <c r="F133" s="288">
        <f>F17</f>
        <v/>
      </c>
      <c r="G133" s="288">
        <f>G17</f>
        <v/>
      </c>
      <c r="H133" s="288">
        <f>H17</f>
        <v/>
      </c>
      <c r="I133" s="276">
        <f>'D Barclays'!E6-'D Barclays'!E7</f>
        <v/>
      </c>
      <c r="J133" s="276">
        <f>'D Barclays'!F6-'D Barclays'!F7</f>
        <v/>
      </c>
      <c r="K133" s="276">
        <f>'D Barclays'!G6-'D Barclays'!G7</f>
        <v/>
      </c>
      <c r="L133" s="288">
        <f>L130*$K$134</f>
        <v/>
      </c>
      <c r="M133" s="288">
        <f>M130*$K$134</f>
        <v/>
      </c>
      <c r="O133" s="252" t="inlineStr">
        <is>
          <t>FY27–29: Barclays EBITDA − EBIT (226 / 234 / 243). FY30–31: Barclays' FY29 D&amp;A-to-opening-PP&amp;E rate applied to the model's opening balance</t>
        </is>
      </c>
    </row>
    <row r="134">
      <c r="B134" s="281" t="inlineStr">
        <is>
          <t>D&amp;A, % of opening net PP&amp;E</t>
        </is>
      </c>
      <c r="C134" s="279" t="inlineStr">
        <is>
          <t>%</t>
        </is>
      </c>
      <c r="D134" s="282" t="inlineStr">
        <is>
          <t>–</t>
        </is>
      </c>
      <c r="E134" s="283">
        <f>IF(D55=0,0,E17/D55)</f>
        <v/>
      </c>
      <c r="F134" s="283">
        <f>IF(E55=0,0,F17/E55)</f>
        <v/>
      </c>
      <c r="G134" s="283">
        <f>IF(F55=0,0,G17/F55)</f>
        <v/>
      </c>
      <c r="H134" s="283">
        <f>IF(G55=0,0,H17/G55)</f>
        <v/>
      </c>
      <c r="I134" s="283">
        <f>IF(I130=0,0,I133/I130)</f>
        <v/>
      </c>
      <c r="J134" s="283">
        <f>IF(J130=0,0,J133/J130)</f>
        <v/>
      </c>
      <c r="K134" s="283">
        <f>IF(K130=0,0,K133/K130)</f>
        <v/>
      </c>
      <c r="L134" s="283">
        <f>IF(L130=0,0,L133/L130)</f>
        <v/>
      </c>
      <c r="M134" s="283">
        <f>IF(M130=0,0,M133/M130)</f>
        <v/>
      </c>
    </row>
    <row r="135">
      <c r="B135" s="249" t="inlineStr">
        <is>
          <t>Closing net PP&amp;E (opening + capex − D&amp;A)</t>
        </is>
      </c>
      <c r="C135" s="279" t="inlineStr">
        <is>
          <t>$M</t>
        </is>
      </c>
      <c r="D135" s="282" t="inlineStr">
        <is>
          <t>–</t>
        </is>
      </c>
      <c r="E135" s="282" t="inlineStr">
        <is>
          <t>–</t>
        </is>
      </c>
      <c r="F135" s="282" t="inlineStr">
        <is>
          <t>–</t>
        </is>
      </c>
      <c r="G135" s="282" t="inlineStr">
        <is>
          <t>–</t>
        </is>
      </c>
      <c r="H135" s="282" t="inlineStr">
        <is>
          <t>–</t>
        </is>
      </c>
      <c r="I135" s="287">
        <f>I130-I131-I133</f>
        <v/>
      </c>
      <c r="J135" s="287">
        <f>J130-J131-J133</f>
        <v/>
      </c>
      <c r="K135" s="287">
        <f>K130-K131-K133</f>
        <v/>
      </c>
      <c r="L135" s="287">
        <f>L130-L131-L133</f>
        <v/>
      </c>
      <c r="M135" s="287">
        <f>M130-M131-M133</f>
        <v/>
      </c>
      <c r="O135" s="252" t="inlineStr">
        <is>
          <t>All D&amp;A is charged against PP&amp;E (intangibles held flat); ROU assets sit on their own line</t>
        </is>
      </c>
    </row>
    <row r="136">
      <c r="B136" s="271" t="inlineStr">
        <is>
          <t>3. Cash, HTM securities and interest income</t>
        </is>
      </c>
      <c r="C136" s="272" t="n"/>
      <c r="D136" s="272" t="n"/>
      <c r="E136" s="272" t="n"/>
      <c r="F136" s="272" t="n"/>
      <c r="G136" s="272" t="n"/>
      <c r="H136" s="272" t="n"/>
      <c r="I136" s="272" t="n"/>
      <c r="J136" s="272" t="n"/>
      <c r="K136" s="272" t="n"/>
      <c r="L136" s="272" t="n"/>
      <c r="M136" s="272" t="n"/>
      <c r="N136" s="272" t="n"/>
      <c r="O136" s="272" t="n"/>
      <c r="P136" s="272" t="n"/>
      <c r="Q136" s="272" t="n"/>
      <c r="R136" s="272" t="n"/>
      <c r="S136" s="272" t="n"/>
    </row>
    <row r="137">
      <c r="B137" s="254" t="inlineStr">
        <is>
          <t>Opening cash &amp; HTM securities</t>
        </is>
      </c>
      <c r="C137" s="279" t="inlineStr">
        <is>
          <t>$M</t>
        </is>
      </c>
      <c r="D137" s="282" t="inlineStr">
        <is>
          <t>–</t>
        </is>
      </c>
      <c r="E137" s="282" t="inlineStr">
        <is>
          <t>–</t>
        </is>
      </c>
      <c r="F137" s="282" t="inlineStr">
        <is>
          <t>–</t>
        </is>
      </c>
      <c r="G137" s="282" t="inlineStr">
        <is>
          <t>–</t>
        </is>
      </c>
      <c r="H137" s="282" t="inlineStr">
        <is>
          <t>–</t>
        </is>
      </c>
      <c r="I137" s="288">
        <f>H47</f>
        <v/>
      </c>
      <c r="J137" s="288">
        <f>I47</f>
        <v/>
      </c>
      <c r="K137" s="288">
        <f>J47</f>
        <v/>
      </c>
      <c r="L137" s="288">
        <f>K47</f>
        <v/>
      </c>
      <c r="M137" s="288">
        <f>L47</f>
        <v/>
      </c>
    </row>
    <row r="138">
      <c r="B138" s="254" t="inlineStr">
        <is>
          <t>Yield on opening cash &amp; HTM (interest and other income)</t>
        </is>
      </c>
      <c r="C138" s="279" t="inlineStr">
        <is>
          <t>%</t>
        </is>
      </c>
      <c r="D138" s="282" t="inlineStr">
        <is>
          <t>–</t>
        </is>
      </c>
      <c r="E138" s="308">
        <f>IF(D47=0,0,E20/D47)</f>
        <v/>
      </c>
      <c r="F138" s="308">
        <f>IF(E47=0,0,F20/E47)</f>
        <v/>
      </c>
      <c r="G138" s="308">
        <f>IF(F47=0,0,G20/F47)</f>
        <v/>
      </c>
      <c r="H138" s="308">
        <f>IF(G47=0,0,H20/G47)</f>
        <v/>
      </c>
      <c r="I138" s="268">
        <f>('D Barclays'!E8-'D Barclays'!E7)/'D Barclays'!D12</f>
        <v/>
      </c>
      <c r="J138" s="268">
        <f>('D Barclays'!F8-'D Barclays'!F7)/'D Barclays'!E12</f>
        <v/>
      </c>
      <c r="K138" s="268">
        <f>('D Barclays'!G8-'D Barclays'!G7)/'D Barclays'!F12</f>
        <v/>
      </c>
      <c r="L138" s="308">
        <f>K138</f>
        <v/>
      </c>
      <c r="M138" s="308">
        <f>L138</f>
        <v/>
      </c>
      <c r="O138" s="252" t="inlineStr">
        <is>
          <t>FY27–29: Barclays-implied (pre-tax − EBIT = 140 a year ÷ Barclays' opening cash): 3.1% / 2.5% / 2.0%; held at FY29 after. FY26 actual on opening cash &amp; HTM: 3.8% (10-K interest income 181.9). Opening balance avoids a circular reference</t>
        </is>
      </c>
    </row>
    <row r="139">
      <c r="B139" s="254" t="inlineStr">
        <is>
          <t>Interest and other income, net</t>
        </is>
      </c>
      <c r="C139" s="279" t="inlineStr">
        <is>
          <t>$M</t>
        </is>
      </c>
      <c r="D139" s="282" t="inlineStr">
        <is>
          <t>–</t>
        </is>
      </c>
      <c r="E139" s="282" t="inlineStr">
        <is>
          <t>–</t>
        </is>
      </c>
      <c r="F139" s="282" t="inlineStr">
        <is>
          <t>–</t>
        </is>
      </c>
      <c r="G139" s="282" t="inlineStr">
        <is>
          <t>–</t>
        </is>
      </c>
      <c r="H139" s="282" t="inlineStr">
        <is>
          <t>–</t>
        </is>
      </c>
      <c r="I139" s="288">
        <f>I137*I138</f>
        <v/>
      </c>
      <c r="J139" s="288">
        <f>J137*J138</f>
        <v/>
      </c>
      <c r="K139" s="288">
        <f>K137*K138</f>
        <v/>
      </c>
      <c r="L139" s="288">
        <f>L137*L138</f>
        <v/>
      </c>
      <c r="M139" s="288">
        <f>M137*M138</f>
        <v/>
      </c>
    </row>
    <row r="140">
      <c r="B140" s="271" t="inlineStr">
        <is>
          <t>4. Stock-based compensation</t>
        </is>
      </c>
      <c r="C140" s="272" t="n"/>
      <c r="D140" s="272" t="n"/>
      <c r="E140" s="272" t="n"/>
      <c r="F140" s="272" t="n"/>
      <c r="G140" s="272" t="n"/>
      <c r="H140" s="272" t="n"/>
      <c r="I140" s="272" t="n"/>
      <c r="J140" s="272" t="n"/>
      <c r="K140" s="272" t="n"/>
      <c r="L140" s="272" t="n"/>
      <c r="M140" s="272" t="n"/>
      <c r="N140" s="272" t="n"/>
      <c r="O140" s="272" t="n"/>
      <c r="P140" s="272" t="n"/>
      <c r="Q140" s="272" t="n"/>
      <c r="R140" s="272" t="n"/>
      <c r="S140" s="272" t="n"/>
    </row>
    <row r="141">
      <c r="B141" s="254" t="inlineStr">
        <is>
          <t>SBC, % of revenue</t>
        </is>
      </c>
      <c r="C141" s="279" t="inlineStr">
        <is>
          <t>%</t>
        </is>
      </c>
      <c r="D141" s="308">
        <f>IF(D8=0,0,D90/D8)</f>
        <v/>
      </c>
      <c r="E141" s="308">
        <f>IF(E8=0,0,E90/E8)</f>
        <v/>
      </c>
      <c r="F141" s="308">
        <f>IF(F8=0,0,F90/F8)</f>
        <v/>
      </c>
      <c r="G141" s="308">
        <f>IF(G8=0,0,G90/G8)</f>
        <v/>
      </c>
      <c r="H141" s="308">
        <f>IF(H8=0,0,H90/H8)</f>
        <v/>
      </c>
      <c r="I141" s="308">
        <f>$H$141</f>
        <v/>
      </c>
      <c r="J141" s="308">
        <f>$H$141</f>
        <v/>
      </c>
      <c r="K141" s="308">
        <f>$H$141</f>
        <v/>
      </c>
      <c r="L141" s="308">
        <f>$H$141</f>
        <v/>
      </c>
      <c r="M141" s="308">
        <f>$H$141</f>
        <v/>
      </c>
      <c r="O141" s="252" t="inlineStr">
        <is>
          <t>CALIBRATED: FY2026 actual (cash-flow statement 38.8 = 0.83%) held; Barclays publishes no SBC line</t>
        </is>
      </c>
    </row>
    <row r="142">
      <c r="B142" s="254" t="inlineStr">
        <is>
          <t>Stock-based compensation</t>
        </is>
      </c>
      <c r="C142" s="279" t="inlineStr">
        <is>
          <t>$M</t>
        </is>
      </c>
      <c r="D142" s="282" t="inlineStr">
        <is>
          <t>–</t>
        </is>
      </c>
      <c r="E142" s="282" t="inlineStr">
        <is>
          <t>–</t>
        </is>
      </c>
      <c r="F142" s="282" t="inlineStr">
        <is>
          <t>–</t>
        </is>
      </c>
      <c r="G142" s="282" t="inlineStr">
        <is>
          <t>–</t>
        </is>
      </c>
      <c r="H142" s="282" t="inlineStr">
        <is>
          <t>–</t>
        </is>
      </c>
      <c r="I142" s="288">
        <f>I8*I141</f>
        <v/>
      </c>
      <c r="J142" s="288">
        <f>J8*J141</f>
        <v/>
      </c>
      <c r="K142" s="288">
        <f>K8*K141</f>
        <v/>
      </c>
      <c r="L142" s="288">
        <f>L8*L141</f>
        <v/>
      </c>
      <c r="M142" s="288">
        <f>M8*M141</f>
        <v/>
      </c>
    </row>
    <row r="143">
      <c r="B143" s="271" t="inlineStr">
        <is>
          <t>5. Shares and buybacks</t>
        </is>
      </c>
      <c r="C143" s="272" t="n"/>
      <c r="D143" s="272" t="n"/>
      <c r="E143" s="272" t="n"/>
      <c r="F143" s="272" t="n"/>
      <c r="G143" s="272" t="n"/>
      <c r="H143" s="272" t="n"/>
      <c r="I143" s="272" t="n"/>
      <c r="J143" s="272" t="n"/>
      <c r="K143" s="272" t="n"/>
      <c r="L143" s="272" t="n"/>
      <c r="M143" s="272" t="n"/>
      <c r="N143" s="272" t="n"/>
      <c r="O143" s="272" t="n"/>
      <c r="P143" s="272" t="n"/>
      <c r="Q143" s="272" t="n"/>
      <c r="R143" s="272" t="n"/>
      <c r="S143" s="272" t="n"/>
    </row>
    <row r="144">
      <c r="B144" s="254" t="inlineStr">
        <is>
          <t>Share repurchases ($, input)</t>
        </is>
      </c>
      <c r="C144" s="279" t="inlineStr">
        <is>
          <t>$M</t>
        </is>
      </c>
      <c r="D144" s="288">
        <f>-D102</f>
        <v/>
      </c>
      <c r="E144" s="288">
        <f>-E102</f>
        <v/>
      </c>
      <c r="F144" s="288">
        <f>-F102</f>
        <v/>
      </c>
      <c r="G144" s="288">
        <f>-G102</f>
        <v/>
      </c>
      <c r="H144" s="288">
        <f>-H102</f>
        <v/>
      </c>
      <c r="I144" s="304" t="n">
        <v>0</v>
      </c>
      <c r="J144" s="304" t="n">
        <v>0</v>
      </c>
      <c r="K144" s="304" t="n">
        <v>0</v>
      </c>
      <c r="L144" s="304" t="n">
        <v>0</v>
      </c>
      <c r="M144" s="304" t="n">
        <v>0</v>
      </c>
      <c r="O144" s="252" t="inlineStr">
        <is>
          <t>ASSUMED 0: Barclays' flat 933m diluted share count implies no repurchases after FY26. Enter dollars to test; the owner's DCF cash roll carries $600m a year (DCF row 73) as an alternative</t>
        </is>
      </c>
    </row>
    <row r="145">
      <c r="B145" s="254" t="inlineStr">
        <is>
          <t>Average repurchase price</t>
        </is>
      </c>
      <c r="C145" s="279" t="inlineStr">
        <is>
          <t>$</t>
        </is>
      </c>
      <c r="D145" s="282" t="inlineStr">
        <is>
          <t>–</t>
        </is>
      </c>
      <c r="E145" s="282" t="inlineStr">
        <is>
          <t>–</t>
        </is>
      </c>
      <c r="F145" s="282" t="inlineStr">
        <is>
          <t>–</t>
        </is>
      </c>
      <c r="G145" s="282" t="inlineStr">
        <is>
          <t>–</t>
        </is>
      </c>
      <c r="H145" s="416">
        <f>'D 10-K FY26'!D10</f>
        <v/>
      </c>
      <c r="I145" s="416">
        <f>DCF!I70</f>
        <v/>
      </c>
      <c r="J145" s="416">
        <f>DCF!J70</f>
        <v/>
      </c>
      <c r="K145" s="416">
        <f>DCF!K70</f>
        <v/>
      </c>
      <c r="L145" s="416">
        <f>DCF!L70</f>
        <v/>
      </c>
      <c r="M145" s="416">
        <f>DCF!M70</f>
        <v/>
      </c>
      <c r="O145" s="252" t="inlineStr">
        <is>
          <t>FY26: $37.63 (10-K). Projection: owner's DCF row 74</t>
        </is>
      </c>
    </row>
    <row r="146">
      <c r="B146" s="254" t="inlineStr">
        <is>
          <t>Shares repurchased</t>
        </is>
      </c>
      <c r="C146" s="279" t="inlineStr">
        <is>
          <t>M</t>
        </is>
      </c>
      <c r="D146" s="309">
        <f>IF(N(D145)=0,0,D144/N(D145))</f>
        <v/>
      </c>
      <c r="E146" s="309">
        <f>IF(N(E145)=0,0,E144/N(E145))</f>
        <v/>
      </c>
      <c r="F146" s="309">
        <f>IF(N(F145)=0,0,F144/N(F145))</f>
        <v/>
      </c>
      <c r="G146" s="309">
        <f>IF(N(G145)=0,0,G144/N(G145))</f>
        <v/>
      </c>
      <c r="H146" s="264">
        <f>'D 10-K FY26'!C10</f>
        <v/>
      </c>
      <c r="I146" s="309">
        <f>IF(I145=0,0,I144/I145)</f>
        <v/>
      </c>
      <c r="J146" s="309">
        <f>IF(J145=0,0,J144/J145)</f>
        <v/>
      </c>
      <c r="K146" s="309">
        <f>IF(K145=0,0,K144/K145)</f>
        <v/>
      </c>
      <c r="L146" s="309">
        <f>IF(L145=0,0,L144/L145)</f>
        <v/>
      </c>
      <c r="M146" s="309">
        <f>IF(M145=0,0,M144/M145)</f>
        <v/>
      </c>
      <c r="O146" s="252" t="inlineStr">
        <is>
          <t>FY26: 43.4m (10-K)</t>
        </is>
      </c>
    </row>
    <row r="147">
      <c r="B147" s="254" t="inlineStr">
        <is>
          <t>Net shares issued (options, RSUs, ESPP)</t>
        </is>
      </c>
      <c r="C147" s="279" t="inlineStr">
        <is>
          <t>M</t>
        </is>
      </c>
      <c r="D147" s="282" t="inlineStr">
        <is>
          <t>–</t>
        </is>
      </c>
      <c r="E147" s="309">
        <f>E148-D148+N(E146)</f>
        <v/>
      </c>
      <c r="F147" s="309">
        <f>F148-E148+N(F146)</f>
        <v/>
      </c>
      <c r="G147" s="309">
        <f>G148-F148+N(G146)</f>
        <v/>
      </c>
      <c r="H147" s="309">
        <f>H148-G148+N(H146)</f>
        <v/>
      </c>
      <c r="I147" s="309">
        <f>$H$147</f>
        <v/>
      </c>
      <c r="J147" s="309">
        <f>$H$147</f>
        <v/>
      </c>
      <c r="K147" s="309">
        <f>$H$147</f>
        <v/>
      </c>
      <c r="L147" s="309">
        <f>$H$147</f>
        <v/>
      </c>
      <c r="M147" s="309">
        <f>$H$147</f>
        <v/>
      </c>
      <c r="O147" s="252" t="inlineStr">
        <is>
          <t>History: change in year-end shares + repurchased shares. Projection: FY2026 actual (1.8m) held</t>
        </is>
      </c>
    </row>
    <row r="148">
      <c r="B148" s="254" t="inlineStr">
        <is>
          <t>Basic shares outstanding, year-end</t>
        </is>
      </c>
      <c r="C148" s="279" t="inlineStr">
        <is>
          <t>M</t>
        </is>
      </c>
      <c r="D148" s="404">
        <f>'PB BS (Annual)'!Q152/1000000</f>
        <v/>
      </c>
      <c r="E148" s="404">
        <f>'PB BS (Annual)'!P152/1000000</f>
        <v/>
      </c>
      <c r="F148" s="404">
        <f>'PB BS (Annual)'!O152/1000000</f>
        <v/>
      </c>
      <c r="G148" s="404">
        <f>'PB BS (Annual)'!N152/1000000</f>
        <v/>
      </c>
      <c r="H148" s="404">
        <f>'PB BS (Annual)'!M152/1000000</f>
        <v/>
      </c>
      <c r="I148" s="421">
        <f>H148+I147-I146</f>
        <v/>
      </c>
      <c r="J148" s="421">
        <f>I148+J147-J146</f>
        <v/>
      </c>
      <c r="K148" s="421">
        <f>J148+K147-K146</f>
        <v/>
      </c>
      <c r="L148" s="421">
        <f>K148+L147-L146</f>
        <v/>
      </c>
      <c r="M148" s="421">
        <f>L148+M147-M146</f>
        <v/>
      </c>
      <c r="O148" s="252" t="inlineStr">
        <is>
          <t>History: PitchBook common shares outstanding (FY26 925.8m; the 10-K cover count 926.3m is a later date)</t>
        </is>
      </c>
    </row>
    <row r="149">
      <c r="B149" s="254" t="inlineStr">
        <is>
          <t>Basic weighted-average shares</t>
        </is>
      </c>
      <c r="C149" s="279" t="inlineStr">
        <is>
          <t>M</t>
        </is>
      </c>
      <c r="D149" s="404">
        <f>'PB IS (Annual)'!Q67/1000000</f>
        <v/>
      </c>
      <c r="E149" s="404">
        <f>'PB IS (Annual)'!P67/1000000</f>
        <v/>
      </c>
      <c r="F149" s="404">
        <f>'PB IS (Annual)'!O67/1000000</f>
        <v/>
      </c>
      <c r="G149" s="404">
        <f>'PB IS (Annual)'!N67/1000000</f>
        <v/>
      </c>
      <c r="H149" s="404">
        <f>'PB IS (Annual)'!M67/1000000</f>
        <v/>
      </c>
      <c r="I149" s="421">
        <f>(H148+I148)/2</f>
        <v/>
      </c>
      <c r="J149" s="421">
        <f>(I148+J148)/2</f>
        <v/>
      </c>
      <c r="K149" s="421">
        <f>(J148+K148)/2</f>
        <v/>
      </c>
      <c r="L149" s="421">
        <f>(K148+L148)/2</f>
        <v/>
      </c>
      <c r="M149" s="421">
        <f>(L148+M148)/2</f>
        <v/>
      </c>
    </row>
    <row r="150">
      <c r="B150" s="254" t="inlineStr">
        <is>
          <t>Dilutive securities (options, RSUs; treasury method)</t>
        </is>
      </c>
      <c r="C150" s="279" t="inlineStr">
        <is>
          <t>M</t>
        </is>
      </c>
      <c r="D150" s="309">
        <f>D27-D149</f>
        <v/>
      </c>
      <c r="E150" s="309">
        <f>E27-E149</f>
        <v/>
      </c>
      <c r="F150" s="309">
        <f>F27-F149</f>
        <v/>
      </c>
      <c r="G150" s="309">
        <f>G27-G149</f>
        <v/>
      </c>
      <c r="H150" s="309">
        <f>H27-H149</f>
        <v/>
      </c>
      <c r="I150" s="309">
        <f>$H$150</f>
        <v/>
      </c>
      <c r="J150" s="309">
        <f>$H$150</f>
        <v/>
      </c>
      <c r="K150" s="309">
        <f>$H$150</f>
        <v/>
      </c>
      <c r="L150" s="309">
        <f>$H$150</f>
        <v/>
      </c>
      <c r="M150" s="309">
        <f>$H$150</f>
        <v/>
      </c>
      <c r="O150" s="252" t="inlineStr">
        <is>
          <t>History: diluted − basic weighted-average shares. Projection: FY2026 actual (7.2m) held — matches Barclays' 933m (925.8 + 7.2)</t>
        </is>
      </c>
    </row>
    <row r="151">
      <c r="B151" s="249" t="inlineStr">
        <is>
          <t>Diluted weighted-average shares</t>
        </is>
      </c>
      <c r="C151" s="279" t="inlineStr">
        <is>
          <t>M</t>
        </is>
      </c>
      <c r="D151" s="403">
        <f>D27</f>
        <v/>
      </c>
      <c r="E151" s="403">
        <f>E27</f>
        <v/>
      </c>
      <c r="F151" s="403">
        <f>F27</f>
        <v/>
      </c>
      <c r="G151" s="403">
        <f>G27</f>
        <v/>
      </c>
      <c r="H151" s="403">
        <f>H27</f>
        <v/>
      </c>
      <c r="I151" s="403">
        <f>I149+I150</f>
        <v/>
      </c>
      <c r="J151" s="403">
        <f>J149+J150</f>
        <v/>
      </c>
      <c r="K151" s="403">
        <f>K149+K150</f>
        <v/>
      </c>
      <c r="L151" s="403">
        <f>L149+L150</f>
        <v/>
      </c>
      <c r="M151" s="403">
        <f>M149+M150</f>
        <v/>
      </c>
    </row>
    <row r="152">
      <c r="B152" s="254" t="inlineStr">
        <is>
          <t>Barclays diluted shares</t>
        </is>
      </c>
      <c r="C152" s="279" t="inlineStr">
        <is>
          <t>M</t>
        </is>
      </c>
      <c r="D152" s="282" t="inlineStr">
        <is>
          <t>–</t>
        </is>
      </c>
      <c r="E152" s="282" t="inlineStr">
        <is>
          <t>–</t>
        </is>
      </c>
      <c r="F152" s="282" t="inlineStr">
        <is>
          <t>–</t>
        </is>
      </c>
      <c r="G152" s="282" t="inlineStr">
        <is>
          <t>–</t>
        </is>
      </c>
      <c r="H152" s="404">
        <f>'D Barclays'!D11</f>
        <v/>
      </c>
      <c r="I152" s="404">
        <f>'D Barclays'!E11</f>
        <v/>
      </c>
      <c r="J152" s="404">
        <f>'D Barclays'!F11</f>
        <v/>
      </c>
      <c r="K152" s="404">
        <f>'D Barclays'!G11</f>
        <v/>
      </c>
      <c r="L152" s="282" t="inlineStr">
        <is>
          <t>–</t>
        </is>
      </c>
      <c r="M152" s="282" t="inlineStr">
        <is>
          <t>–</t>
        </is>
      </c>
    </row>
    <row r="153">
      <c r="B153" s="281" t="inlineStr">
        <is>
          <t>Δ diluted shares</t>
        </is>
      </c>
      <c r="C153" s="279" t="inlineStr">
        <is>
          <t>M</t>
        </is>
      </c>
      <c r="D153" s="282" t="inlineStr">
        <is>
          <t>–</t>
        </is>
      </c>
      <c r="E153" s="282" t="inlineStr">
        <is>
          <t>–</t>
        </is>
      </c>
      <c r="F153" s="282" t="inlineStr">
        <is>
          <t>–</t>
        </is>
      </c>
      <c r="G153" s="282" t="inlineStr">
        <is>
          <t>–</t>
        </is>
      </c>
      <c r="H153" s="421">
        <f>H151-H152</f>
        <v/>
      </c>
      <c r="I153" s="421">
        <f>I151-I152</f>
        <v/>
      </c>
      <c r="J153" s="421">
        <f>J151-J152</f>
        <v/>
      </c>
      <c r="K153" s="421">
        <f>K151-K152</f>
        <v/>
      </c>
      <c r="L153" s="282" t="inlineStr">
        <is>
          <t>–</t>
        </is>
      </c>
      <c r="M153" s="282" t="inlineStr">
        <is>
          <t>–</t>
        </is>
      </c>
    </row>
    <row r="154">
      <c r="B154" s="271" t="inlineStr">
        <is>
          <t>6. Working capital (days; FY2026 actual held) and the Barclays ΔNWC method</t>
        </is>
      </c>
      <c r="C154" s="272" t="n"/>
      <c r="D154" s="272" t="n"/>
      <c r="E154" s="272" t="n"/>
      <c r="F154" s="272" t="n"/>
      <c r="G154" s="272" t="n"/>
      <c r="H154" s="272" t="n"/>
      <c r="I154" s="272" t="n"/>
      <c r="J154" s="272" t="n"/>
      <c r="K154" s="272" t="n"/>
      <c r="L154" s="272" t="n"/>
      <c r="M154" s="272" t="n"/>
      <c r="N154" s="272" t="n"/>
      <c r="O154" s="272" t="n"/>
      <c r="P154" s="272" t="n"/>
      <c r="Q154" s="272" t="n"/>
      <c r="R154" s="272" t="n"/>
      <c r="S154" s="272" t="n"/>
    </row>
    <row r="155">
      <c r="B155" s="254" t="inlineStr">
        <is>
          <t>Receivables, days of revenue</t>
        </is>
      </c>
      <c r="C155" s="279" t="inlineStr">
        <is>
          <t>days</t>
        </is>
      </c>
      <c r="D155" s="421">
        <f>IF(D8=0,0,D48/D8*365)</f>
        <v/>
      </c>
      <c r="E155" s="421">
        <f>IF(E8=0,0,E48/E8*365)</f>
        <v/>
      </c>
      <c r="F155" s="421">
        <f>IF(F8=0,0,F48/F8*365)</f>
        <v/>
      </c>
      <c r="G155" s="421">
        <f>IF(G8=0,0,G48/G8*365)</f>
        <v/>
      </c>
      <c r="H155" s="421">
        <f>IF(H8=0,0,H48/H8*365)</f>
        <v/>
      </c>
      <c r="I155" s="421">
        <f>$H$155</f>
        <v/>
      </c>
      <c r="J155" s="421">
        <f>$H$155</f>
        <v/>
      </c>
      <c r="K155" s="421">
        <f>$H$155</f>
        <v/>
      </c>
      <c r="L155" s="421">
        <f>$H$155</f>
        <v/>
      </c>
      <c r="M155" s="421">
        <f>$H$155</f>
        <v/>
      </c>
    </row>
    <row r="156">
      <c r="B156" s="254" t="inlineStr">
        <is>
          <t>Vehicle pooling costs, days of facility operations</t>
        </is>
      </c>
      <c r="C156" s="279" t="inlineStr">
        <is>
          <t>days</t>
        </is>
      </c>
      <c r="D156" s="421">
        <f>IF(D10=0,0,D50/D10*365)</f>
        <v/>
      </c>
      <c r="E156" s="421">
        <f>IF(E10=0,0,E50/E10*365)</f>
        <v/>
      </c>
      <c r="F156" s="421">
        <f>IF(F10=0,0,F50/F10*365)</f>
        <v/>
      </c>
      <c r="G156" s="421">
        <f>IF(G10=0,0,G50/G10*365)</f>
        <v/>
      </c>
      <c r="H156" s="421">
        <f>IF(H10=0,0,H50/H10*365)</f>
        <v/>
      </c>
      <c r="I156" s="421">
        <f>$H$156</f>
        <v/>
      </c>
      <c r="J156" s="421">
        <f>$H$156</f>
        <v/>
      </c>
      <c r="K156" s="421">
        <f>$H$156</f>
        <v/>
      </c>
      <c r="L156" s="421">
        <f>$H$156</f>
        <v/>
      </c>
      <c r="M156" s="421">
        <f>$H$156</f>
        <v/>
      </c>
    </row>
    <row r="157">
      <c r="B157" s="254" t="inlineStr">
        <is>
          <t>Inventories, days of cost of vehicle sales</t>
        </is>
      </c>
      <c r="C157" s="279" t="inlineStr">
        <is>
          <t>days</t>
        </is>
      </c>
      <c r="D157" s="421">
        <f>IF(D11=0,0,D51/D11*365)</f>
        <v/>
      </c>
      <c r="E157" s="421">
        <f>IF(E11=0,0,E51/E11*365)</f>
        <v/>
      </c>
      <c r="F157" s="421">
        <f>IF(F11=0,0,F51/F11*365)</f>
        <v/>
      </c>
      <c r="G157" s="421">
        <f>IF(G11=0,0,G51/G11*365)</f>
        <v/>
      </c>
      <c r="H157" s="421">
        <f>IF(H11=0,0,H51/H11*365)</f>
        <v/>
      </c>
      <c r="I157" s="421">
        <f>$H$157</f>
        <v/>
      </c>
      <c r="J157" s="421">
        <f>$H$157</f>
        <v/>
      </c>
      <c r="K157" s="421">
        <f>$H$157</f>
        <v/>
      </c>
      <c r="L157" s="421">
        <f>$H$157</f>
        <v/>
      </c>
      <c r="M157" s="421">
        <f>$H$157</f>
        <v/>
      </c>
    </row>
    <row r="158">
      <c r="B158" s="254" t="inlineStr">
        <is>
          <t>Prepaid and other current assets, days of revenue</t>
        </is>
      </c>
      <c r="C158" s="279" t="inlineStr">
        <is>
          <t>days</t>
        </is>
      </c>
      <c r="D158" s="421">
        <f>IF(D8=0,0,D52/D8*365)</f>
        <v/>
      </c>
      <c r="E158" s="421">
        <f>IF(E8=0,0,E52/E8*365)</f>
        <v/>
      </c>
      <c r="F158" s="421">
        <f>IF(F8=0,0,F52/F8*365)</f>
        <v/>
      </c>
      <c r="G158" s="421">
        <f>IF(G8=0,0,G52/G8*365)</f>
        <v/>
      </c>
      <c r="H158" s="421">
        <f>IF(H8=0,0,H52/H8*365)</f>
        <v/>
      </c>
      <c r="I158" s="421">
        <f>$H$158</f>
        <v/>
      </c>
      <c r="J158" s="421">
        <f>$H$158</f>
        <v/>
      </c>
      <c r="K158" s="421">
        <f>$H$158</f>
        <v/>
      </c>
      <c r="L158" s="421">
        <f>$H$158</f>
        <v/>
      </c>
      <c r="M158" s="421">
        <f>$H$158</f>
        <v/>
      </c>
    </row>
    <row r="159">
      <c r="B159" s="254" t="inlineStr">
        <is>
          <t>Payables, accrued and deferred revenue, days of cash operating costs</t>
        </is>
      </c>
      <c r="C159" s="279" t="inlineStr">
        <is>
          <t>days</t>
        </is>
      </c>
      <c r="D159" s="421">
        <f>IF((D10+D11+D14-D17)=0,0,D62/(D10+D11+D14-D17)*365)</f>
        <v/>
      </c>
      <c r="E159" s="421">
        <f>IF((E10+E11+E14-E17)=0,0,E62/(E10+E11+E14-E17)*365)</f>
        <v/>
      </c>
      <c r="F159" s="421">
        <f>IF((F10+F11+F14-F17)=0,0,F62/(F10+F11+F14-F17)*365)</f>
        <v/>
      </c>
      <c r="G159" s="421">
        <f>IF((G10+G11+G14-G17)=0,0,G62/(G10+G11+G14-G17)*365)</f>
        <v/>
      </c>
      <c r="H159" s="421">
        <f>IF((H10+H11+H14-H17)=0,0,H62/(H10+H11+H14-H17)*365)</f>
        <v/>
      </c>
      <c r="I159" s="421">
        <f>$H$159</f>
        <v/>
      </c>
      <c r="J159" s="421">
        <f>$H$159</f>
        <v/>
      </c>
      <c r="K159" s="421">
        <f>$H$159</f>
        <v/>
      </c>
      <c r="L159" s="421">
        <f>$H$159</f>
        <v/>
      </c>
      <c r="M159" s="421">
        <f>$H$159</f>
        <v/>
      </c>
      <c r="O159" s="252" t="inlineStr">
        <is>
          <t>Cash operating costs = facility operations + cost of vehicle sales + G&amp;A − D&amp;A</t>
        </is>
      </c>
    </row>
    <row r="160">
      <c r="B160" s="254" t="inlineStr">
        <is>
          <t>Operating working capital (days-driven lines)</t>
        </is>
      </c>
      <c r="C160" s="279" t="inlineStr">
        <is>
          <t>$M</t>
        </is>
      </c>
      <c r="D160" s="288">
        <f>D48+D50+D51+D52-D62</f>
        <v/>
      </c>
      <c r="E160" s="288">
        <f>E48+E50+E51+E52-E62</f>
        <v/>
      </c>
      <c r="F160" s="288">
        <f>F48+F50+F51+F52-F62</f>
        <v/>
      </c>
      <c r="G160" s="288">
        <f>G48+G50+G51+G52-G62</f>
        <v/>
      </c>
      <c r="H160" s="288">
        <f>H48+H50+H51+H52-H62</f>
        <v/>
      </c>
      <c r="I160" s="288">
        <f>I48+I50+I51+I52-I62</f>
        <v/>
      </c>
      <c r="J160" s="288">
        <f>J48+J50+J51+J52-J62</f>
        <v/>
      </c>
      <c r="K160" s="288">
        <f>K48+K50+K51+K52-K62</f>
        <v/>
      </c>
      <c r="L160" s="288">
        <f>L48+L50+L51+L52-L62</f>
        <v/>
      </c>
      <c r="M160" s="288">
        <f>M48+M50+M51+M52-M62</f>
        <v/>
      </c>
    </row>
    <row r="161">
      <c r="B161" s="254" t="inlineStr">
        <is>
          <t>Change in working capital, days basis (cash effect)</t>
        </is>
      </c>
      <c r="C161" s="279" t="inlineStr">
        <is>
          <t>$M</t>
        </is>
      </c>
      <c r="D161" s="282" t="inlineStr">
        <is>
          <t>–</t>
        </is>
      </c>
      <c r="E161" s="288">
        <f>-(E160-D160)</f>
        <v/>
      </c>
      <c r="F161" s="288">
        <f>-(F160-E160)</f>
        <v/>
      </c>
      <c r="G161" s="288">
        <f>-(G160-F160)</f>
        <v/>
      </c>
      <c r="H161" s="288">
        <f>-(H160-G160)</f>
        <v/>
      </c>
      <c r="I161" s="288">
        <f>-(I160-H160)</f>
        <v/>
      </c>
      <c r="J161" s="288">
        <f>-(J160-I160)</f>
        <v/>
      </c>
      <c r="K161" s="288">
        <f>-(K160-J160)</f>
        <v/>
      </c>
      <c r="L161" s="288">
        <f>-(L160-K160)</f>
        <v/>
      </c>
      <c r="M161" s="288">
        <f>-(M160-L160)</f>
        <v/>
      </c>
      <c r="O161" s="252" t="inlineStr">
        <is>
          <t>FY2026 days held produce only a small outflow (the lines grow with revenue); Copart's reported outflows have been larger (FY22–26 average −102)</t>
        </is>
      </c>
    </row>
    <row r="162">
      <c r="B162" s="254" t="inlineStr">
        <is>
          <t>Barclays change in working capital (FY30–31 held at FY29)</t>
        </is>
      </c>
      <c r="C162" s="279" t="inlineStr">
        <is>
          <t>$M</t>
        </is>
      </c>
      <c r="D162" s="282" t="inlineStr">
        <is>
          <t>–</t>
        </is>
      </c>
      <c r="E162" s="282" t="inlineStr">
        <is>
          <t>–</t>
        </is>
      </c>
      <c r="F162" s="282" t="inlineStr">
        <is>
          <t>–</t>
        </is>
      </c>
      <c r="G162" s="282" t="inlineStr">
        <is>
          <t>–</t>
        </is>
      </c>
      <c r="H162" s="276">
        <f>'D Barclays'!D17</f>
        <v/>
      </c>
      <c r="I162" s="276">
        <f>'D Barclays'!E17</f>
        <v/>
      </c>
      <c r="J162" s="276">
        <f>'D Barclays'!F17</f>
        <v/>
      </c>
      <c r="K162" s="276">
        <f>'D Barclays'!G17</f>
        <v/>
      </c>
      <c r="L162" s="288">
        <f>K162</f>
        <v/>
      </c>
      <c r="M162" s="288">
        <f>L162</f>
        <v/>
      </c>
      <c r="Q162" s="252" t="inlineStr">
        <is>
          <t>ΔNWC options (list source)</t>
        </is>
      </c>
    </row>
    <row r="163">
      <c r="B163" s="254" t="inlineStr">
        <is>
          <t>ΔNWC method (click D to choose; index in F): days schedule or Barclays</t>
        </is>
      </c>
      <c r="D163" s="370" t="inlineStr">
        <is>
          <t>2 · Barclays ΔNWC (−83 a year)</t>
        </is>
      </c>
      <c r="F163" s="292">
        <f>MATCH(D163,$Q$163:$Q$164,0)</f>
        <v/>
      </c>
      <c r="G163" s="282" t="inlineStr">
        <is>
          <t>–</t>
        </is>
      </c>
      <c r="H163" s="282" t="inlineStr">
        <is>
          <t>–</t>
        </is>
      </c>
      <c r="I163" s="282" t="inlineStr">
        <is>
          <t>–</t>
        </is>
      </c>
      <c r="J163" s="282" t="inlineStr">
        <is>
          <t>–</t>
        </is>
      </c>
      <c r="K163" s="282" t="inlineStr">
        <is>
          <t>–</t>
        </is>
      </c>
      <c r="L163" s="282" t="inlineStr">
        <is>
          <t>–</t>
        </is>
      </c>
      <c r="M163" s="282" t="inlineStr">
        <is>
          <t>–</t>
        </is>
      </c>
      <c r="O163" s="252" t="inlineStr">
        <is>
          <t>Selector. Barclays keeps the cash flow on −83 a year; the days schedule lets the lines above drive it</t>
        </is>
      </c>
      <c r="Q163" s="252" t="inlineStr">
        <is>
          <t>1 · Days schedule</t>
        </is>
      </c>
    </row>
    <row r="164">
      <c r="B164" s="249" t="inlineStr">
        <is>
          <t>Change in working capital, selected (to the cash flow statement)</t>
        </is>
      </c>
      <c r="C164" s="279" t="inlineStr">
        <is>
          <t>$M</t>
        </is>
      </c>
      <c r="D164" s="282" t="inlineStr">
        <is>
          <t>–</t>
        </is>
      </c>
      <c r="E164" s="282" t="inlineStr">
        <is>
          <t>–</t>
        </is>
      </c>
      <c r="F164" s="282" t="inlineStr">
        <is>
          <t>–</t>
        </is>
      </c>
      <c r="G164" s="282" t="inlineStr">
        <is>
          <t>–</t>
        </is>
      </c>
      <c r="H164" s="282" t="inlineStr">
        <is>
          <t>–</t>
        </is>
      </c>
      <c r="I164" s="287">
        <f>IF($F$163=1,I161,I162)</f>
        <v/>
      </c>
      <c r="J164" s="287">
        <f>IF($F$163=1,J161,J162)</f>
        <v/>
      </c>
      <c r="K164" s="287">
        <f>IF($F$163=1,K161,K162)</f>
        <v/>
      </c>
      <c r="L164" s="287">
        <f>IF($F$163=1,L161,L162)</f>
        <v/>
      </c>
      <c r="M164" s="287">
        <f>IF($F$163=1,M161,M162)</f>
        <v/>
      </c>
      <c r="Q164" s="252" t="inlineStr">
        <is>
          <t>2 · Barclays ΔNWC (−83 a year)</t>
        </is>
      </c>
    </row>
    <row r="165">
      <c r="B165" s="271" t="inlineStr">
        <is>
          <t>7. Tax (rates; the build lives on the Reverse DCF tab, columns R–X)</t>
        </is>
      </c>
      <c r="C165" s="272" t="n"/>
      <c r="D165" s="272" t="n"/>
      <c r="E165" s="272" t="n"/>
      <c r="F165" s="272" t="n"/>
      <c r="G165" s="272" t="n"/>
      <c r="H165" s="272" t="n"/>
      <c r="I165" s="272" t="n"/>
      <c r="J165" s="272" t="n"/>
      <c r="K165" s="272" t="n"/>
      <c r="L165" s="272" t="n"/>
      <c r="M165" s="272" t="n"/>
      <c r="N165" s="272" t="n"/>
      <c r="O165" s="272" t="n"/>
      <c r="P165" s="272" t="n"/>
      <c r="Q165" s="272" t="n"/>
      <c r="R165" s="272" t="n"/>
      <c r="S165" s="272" t="n"/>
    </row>
    <row r="166">
      <c r="B166" s="254" t="inlineStr">
        <is>
          <t>Structural effective tax rate applied FY27+ (Reverse DCF S33)</t>
        </is>
      </c>
      <c r="D166" s="268">
        <f>'WACC, Tax, and Reverse DCF'!N39</f>
        <v/>
      </c>
      <c r="E166" s="282" t="inlineStr">
        <is>
          <t>–</t>
        </is>
      </c>
      <c r="F166" s="282" t="inlineStr">
        <is>
          <t>–</t>
        </is>
      </c>
      <c r="G166" s="282" t="inlineStr">
        <is>
          <t>–</t>
        </is>
      </c>
      <c r="H166" s="282" t="inlineStr">
        <is>
          <t>–</t>
        </is>
      </c>
      <c r="I166" s="282" t="inlineStr">
        <is>
          <t>–</t>
        </is>
      </c>
      <c r="J166" s="282" t="inlineStr">
        <is>
          <t>–</t>
        </is>
      </c>
      <c r="K166" s="282" t="inlineStr">
        <is>
          <t>–</t>
        </is>
      </c>
      <c r="L166" s="282" t="inlineStr">
        <is>
          <t>–</t>
        </is>
      </c>
      <c r="M166" s="282" t="inlineStr">
        <is>
          <t>–</t>
        </is>
      </c>
      <c r="O166" s="252" t="inlineStr">
        <is>
          <t>21% statutory + state − FDII − excess option benefit (10-K tax note)</t>
        </is>
      </c>
    </row>
    <row r="167">
      <c r="B167" s="254" t="inlineStr">
        <is>
          <t>Barclays-implied FY2027E rate (Reverse DCF S36)</t>
        </is>
      </c>
      <c r="D167" s="268">
        <f>'WACC, Tax, and Reverse DCF'!N42</f>
        <v/>
      </c>
      <c r="E167" s="282" t="inlineStr">
        <is>
          <t>–</t>
        </is>
      </c>
      <c r="F167" s="282" t="inlineStr">
        <is>
          <t>–</t>
        </is>
      </c>
      <c r="G167" s="282" t="inlineStr">
        <is>
          <t>–</t>
        </is>
      </c>
      <c r="H167" s="282" t="inlineStr">
        <is>
          <t>–</t>
        </is>
      </c>
      <c r="I167" s="282" t="inlineStr">
        <is>
          <t>–</t>
        </is>
      </c>
      <c r="J167" s="282" t="inlineStr">
        <is>
          <t>–</t>
        </is>
      </c>
      <c r="K167" s="282" t="inlineStr">
        <is>
          <t>–</t>
        </is>
      </c>
      <c r="L167" s="282" t="inlineStr">
        <is>
          <t>–</t>
        </is>
      </c>
      <c r="M167" s="282" t="inlineStr">
        <is>
          <t>–</t>
        </is>
      </c>
      <c r="O167" s="252" t="inlineStr">
        <is>
          <t>1 − Barclays adj. net income ÷ adj. pre-tax</t>
        </is>
      </c>
    </row>
    <row r="168">
      <c r="B168" s="254" t="inlineStr">
        <is>
          <t>FY2026 actual effective rate (10-K)</t>
        </is>
      </c>
      <c r="D168" s="268">
        <f>'D 10-K FY26'!C33</f>
        <v/>
      </c>
      <c r="E168" s="282" t="inlineStr">
        <is>
          <t>–</t>
        </is>
      </c>
      <c r="F168" s="282" t="inlineStr">
        <is>
          <t>–</t>
        </is>
      </c>
      <c r="G168" s="282" t="inlineStr">
        <is>
          <t>–</t>
        </is>
      </c>
      <c r="H168" s="282" t="inlineStr">
        <is>
          <t>–</t>
        </is>
      </c>
      <c r="I168" s="282" t="inlineStr">
        <is>
          <t>–</t>
        </is>
      </c>
      <c r="J168" s="282" t="inlineStr">
        <is>
          <t>–</t>
        </is>
      </c>
      <c r="K168" s="282" t="inlineStr">
        <is>
          <t>–</t>
        </is>
      </c>
      <c r="L168" s="282" t="inlineStr">
        <is>
          <t>–</t>
        </is>
      </c>
      <c r="M168" s="282" t="inlineStr">
        <is>
          <t>–</t>
        </is>
      </c>
      <c r="O168" s="252" t="inlineStr">
        <is>
          <t>MD&amp;A: 19.3%</t>
        </is>
      </c>
    </row>
    <row r="169">
      <c r="B169" s="271" t="inlineStr">
        <is>
          <t>8. ACV Auctions acquisition gate (links to the owner's DCF toggle)</t>
        </is>
      </c>
      <c r="C169" s="272" t="n"/>
      <c r="D169" s="272" t="n"/>
      <c r="E169" s="272" t="n"/>
      <c r="F169" s="272" t="n"/>
      <c r="G169" s="272" t="n"/>
      <c r="H169" s="272" t="n"/>
      <c r="I169" s="272" t="n"/>
      <c r="J169" s="272" t="n"/>
      <c r="K169" s="272" t="n"/>
      <c r="L169" s="272" t="n"/>
      <c r="M169" s="272" t="n"/>
      <c r="N169" s="272" t="n"/>
      <c r="O169" s="272" t="n"/>
      <c r="P169" s="272" t="n"/>
      <c r="Q169" s="272" t="n"/>
      <c r="R169" s="272" t="n"/>
      <c r="S169" s="272" t="n"/>
    </row>
    <row r="170">
      <c r="B170" s="254" t="inlineStr">
        <is>
          <t>Toggle (1 = include cash consideration; DCF H115)</t>
        </is>
      </c>
      <c r="D170" s="275">
        <f>DCF!H100</f>
        <v/>
      </c>
      <c r="E170" s="282" t="inlineStr">
        <is>
          <t>–</t>
        </is>
      </c>
      <c r="F170" s="282" t="inlineStr">
        <is>
          <t>–</t>
        </is>
      </c>
      <c r="G170" s="282" t="inlineStr">
        <is>
          <t>–</t>
        </is>
      </c>
      <c r="H170" s="282" t="inlineStr">
        <is>
          <t>–</t>
        </is>
      </c>
      <c r="I170" s="282" t="inlineStr">
        <is>
          <t>–</t>
        </is>
      </c>
      <c r="J170" s="282" t="inlineStr">
        <is>
          <t>–</t>
        </is>
      </c>
      <c r="K170" s="282" t="inlineStr">
        <is>
          <t>–</t>
        </is>
      </c>
      <c r="L170" s="282" t="inlineStr">
        <is>
          <t>–</t>
        </is>
      </c>
      <c r="M170" s="282" t="inlineStr">
        <is>
          <t>–</t>
        </is>
      </c>
    </row>
    <row r="171">
      <c r="B171" s="254" t="inlineStr">
        <is>
          <t>Cash consideration ($M; DCF H116)</t>
        </is>
      </c>
      <c r="D171" s="276">
        <f>DCF!H101</f>
        <v/>
      </c>
      <c r="E171" s="282" t="inlineStr">
        <is>
          <t>–</t>
        </is>
      </c>
      <c r="F171" s="282" t="inlineStr">
        <is>
          <t>–</t>
        </is>
      </c>
      <c r="G171" s="282" t="inlineStr">
        <is>
          <t>–</t>
        </is>
      </c>
      <c r="H171" s="282" t="inlineStr">
        <is>
          <t>–</t>
        </is>
      </c>
      <c r="I171" s="282" t="inlineStr">
        <is>
          <t>–</t>
        </is>
      </c>
      <c r="J171" s="282" t="inlineStr">
        <is>
          <t>–</t>
        </is>
      </c>
      <c r="K171" s="282" t="inlineStr">
        <is>
          <t>–</t>
        </is>
      </c>
      <c r="L171" s="282" t="inlineStr">
        <is>
          <t>–</t>
        </is>
      </c>
      <c r="M171" s="282" t="inlineStr">
        <is>
          <t>–</t>
        </is>
      </c>
    </row>
    <row r="172">
      <c r="B172" s="254" t="inlineStr">
        <is>
          <t>Closes in fiscal year (DCF I117)</t>
        </is>
      </c>
      <c r="D172" s="267">
        <f>DCF!I102</f>
        <v/>
      </c>
      <c r="E172" s="282" t="inlineStr">
        <is>
          <t>–</t>
        </is>
      </c>
      <c r="F172" s="282" t="inlineStr">
        <is>
          <t>–</t>
        </is>
      </c>
      <c r="G172" s="282" t="inlineStr">
        <is>
          <t>–</t>
        </is>
      </c>
      <c r="H172" s="282" t="inlineStr">
        <is>
          <t>–</t>
        </is>
      </c>
      <c r="I172" s="282" t="inlineStr">
        <is>
          <t>–</t>
        </is>
      </c>
      <c r="J172" s="282" t="inlineStr">
        <is>
          <t>–</t>
        </is>
      </c>
      <c r="K172" s="282" t="inlineStr">
        <is>
          <t>–</t>
        </is>
      </c>
      <c r="L172" s="282" t="inlineStr">
        <is>
          <t>–</t>
        </is>
      </c>
      <c r="M172" s="282" t="inlineStr">
        <is>
          <t>–</t>
        </is>
      </c>
    </row>
    <row r="173">
      <c r="B173" s="254" t="inlineStr">
        <is>
          <t>Cash consideration by year (to investing cash flow and goodwill)</t>
        </is>
      </c>
      <c r="C173" s="279" t="inlineStr">
        <is>
          <t>$M</t>
        </is>
      </c>
      <c r="D173" s="282" t="inlineStr">
        <is>
          <t>–</t>
        </is>
      </c>
      <c r="E173" s="282" t="inlineStr">
        <is>
          <t>–</t>
        </is>
      </c>
      <c r="F173" s="282" t="inlineStr">
        <is>
          <t>–</t>
        </is>
      </c>
      <c r="G173" s="282" t="inlineStr">
        <is>
          <t>–</t>
        </is>
      </c>
      <c r="H173" s="282" t="inlineStr">
        <is>
          <t>–</t>
        </is>
      </c>
      <c r="I173" s="288">
        <f>IF(AND($D$170=1,I$5=$D$172),$D$171,0)</f>
        <v/>
      </c>
      <c r="J173" s="288">
        <f>IF(AND($D$170=1,J$5=$D$172),$D$171,0)</f>
        <v/>
      </c>
      <c r="K173" s="288">
        <f>IF(AND($D$170=1,K$5=$D$172),$D$171,0)</f>
        <v/>
      </c>
      <c r="L173" s="288">
        <f>IF(AND($D$170=1,L$5=$D$172),$D$171,0)</f>
        <v/>
      </c>
      <c r="M173" s="288">
        <f>IF(AND($D$170=1,M$5=$D$172),$D$171,0)</f>
        <v/>
      </c>
      <c r="O173" s="252" t="inlineStr">
        <is>
          <t>ACV's revenue and EBITDA contribution is excluded until the deal is classified (plan §2.8); only the cash outflow and goodwill are carried</t>
        </is>
      </c>
    </row>
    <row r="174">
      <c r="B174" s="271" t="inlineStr">
        <is>
          <t>9. Memo: the owner's DCF operating build</t>
        </is>
      </c>
      <c r="C174" s="272" t="n"/>
      <c r="D174" s="272" t="n"/>
      <c r="E174" s="272" t="n"/>
      <c r="F174" s="272" t="n"/>
      <c r="G174" s="272" t="n"/>
      <c r="H174" s="272" t="n"/>
      <c r="I174" s="272" t="n"/>
      <c r="J174" s="272" t="n"/>
      <c r="K174" s="272" t="n"/>
      <c r="L174" s="272" t="n"/>
      <c r="M174" s="272" t="n"/>
      <c r="N174" s="272" t="n"/>
      <c r="O174" s="272" t="n"/>
      <c r="P174" s="272" t="n"/>
      <c r="Q174" s="272" t="n"/>
      <c r="R174" s="272" t="n"/>
      <c r="S174" s="272" t="n"/>
    </row>
    <row r="175">
      <c r="B175" s="254" t="inlineStr">
        <is>
          <t>DCF operating income (DCF row 24)</t>
        </is>
      </c>
      <c r="C175" s="279" t="inlineStr">
        <is>
          <t>$M</t>
        </is>
      </c>
      <c r="D175" s="282" t="inlineStr">
        <is>
          <t>–</t>
        </is>
      </c>
      <c r="E175" s="282" t="inlineStr">
        <is>
          <t>–</t>
        </is>
      </c>
      <c r="F175" s="282" t="inlineStr">
        <is>
          <t>–</t>
        </is>
      </c>
      <c r="G175" s="282" t="inlineStr">
        <is>
          <t>–</t>
        </is>
      </c>
      <c r="H175" s="282" t="inlineStr">
        <is>
          <t>–</t>
        </is>
      </c>
      <c r="I175" s="276">
        <f>DCF!I24</f>
        <v/>
      </c>
      <c r="J175" s="276">
        <f>DCF!J24</f>
        <v/>
      </c>
      <c r="K175" s="276">
        <f>DCF!K24</f>
        <v/>
      </c>
      <c r="L175" s="276">
        <f>DCF!L24</f>
        <v/>
      </c>
      <c r="M175" s="276">
        <f>DCF!M24</f>
        <v/>
      </c>
    </row>
    <row r="176">
      <c r="B176" s="281" t="inlineStr">
        <is>
          <t>Δ 3SM EBIT − DCF EBIT</t>
        </is>
      </c>
      <c r="C176" s="279" t="inlineStr">
        <is>
          <t>$M</t>
        </is>
      </c>
      <c r="D176" s="282" t="inlineStr">
        <is>
          <t>–</t>
        </is>
      </c>
      <c r="E176" s="282" t="inlineStr">
        <is>
          <t>–</t>
        </is>
      </c>
      <c r="F176" s="282" t="inlineStr">
        <is>
          <t>–</t>
        </is>
      </c>
      <c r="G176" s="282" t="inlineStr">
        <is>
          <t>–</t>
        </is>
      </c>
      <c r="H176" s="282" t="inlineStr">
        <is>
          <t>–</t>
        </is>
      </c>
      <c r="I176" s="288">
        <f>I15-I175</f>
        <v/>
      </c>
      <c r="J176" s="288">
        <f>J15-J175</f>
        <v/>
      </c>
      <c r="K176" s="288">
        <f>K15-K175</f>
        <v/>
      </c>
      <c r="L176" s="288">
        <f>L15-L175</f>
        <v/>
      </c>
      <c r="M176" s="288">
        <f>M15-M175</f>
        <v/>
      </c>
      <c r="O176" s="252" t="inlineStr">
        <is>
          <t>The DCF grows G&amp;A at its own rates (DCF row 22); the 3SM uses the Barclays-implied ratio. Link DCF row 24 here to make them one build</t>
        </is>
      </c>
    </row>
  </sheetData>
  <mergeCells count="3">
    <mergeCell ref="D4:H4"/>
    <mergeCell ref="I4:M4"/>
    <mergeCell ref="D163:E163"/>
  </mergeCells>
  <dataValidations count="1">
    <dataValidation sqref="D163" showDropDown="0" showInputMessage="1" showErrorMessage="1" allowBlank="0" errorTitle="Selector" error="Choose a value from the list" promptTitle="Selector" prompt="Click the arrow and choose a case" type="list">
      <formula1>$Q$163:$Q$164</formula1>
    </dataValidation>
  </dataValidations>
  <pageMargins left="0.75" right="0.75" top="1" bottom="1" header="0.5" footer="0.5"/>
</worksheet>
</file>

<file path=xl/worksheets/sheet7.xml><?xml version="1.0" encoding="utf-8"?>
<worksheet xmlns="http://schemas.openxmlformats.org/spreadsheetml/2006/main">
  <sheetPr>
    <tabColor rgb="FF0070C0"/>
    <outlinePr summaryBelow="1" summaryRight="1"/>
    <pageSetUpPr/>
  </sheetPr>
  <dimension ref="B1:P116"/>
  <sheetViews>
    <sheetView showGridLines="0" zoomScale="90" zoomScaleNormal="90" workbookViewId="0">
      <pane xSplit="3" ySplit="5" topLeftCell="D35" activePane="bottomRight" state="frozen"/>
      <selection pane="topRight" activeCell="D1" sqref="D1"/>
      <selection pane="bottomLeft" activeCell="A6" sqref="A6"/>
      <selection pane="bottomRight" activeCell="D109" sqref="D109"/>
    </sheetView>
  </sheetViews>
  <sheetFormatPr baseColWidth="10" defaultColWidth="8.6640625" defaultRowHeight="15"/>
  <cols>
    <col width="2.5" customWidth="1" style="392" min="1" max="1"/>
    <col width="56" customWidth="1" style="392" min="2" max="2"/>
    <col width="8" customWidth="1" style="392" min="3" max="3"/>
    <col width="11.5" customWidth="1" style="392" min="4" max="13"/>
    <col width="13.5" customWidth="1" style="392" min="14" max="14"/>
  </cols>
  <sheetData>
    <row r="1" ht="15.75" customHeight="1" s="392">
      <c r="B1" s="61" t="inlineStr">
        <is>
          <t>Copart, Inc. — Discounted Cash Flow</t>
        </is>
      </c>
      <c r="C1" s="62" t="n"/>
      <c r="D1" s="62" t="n"/>
      <c r="E1" s="62" t="n"/>
      <c r="F1" s="62" t="n"/>
      <c r="G1" s="62" t="n"/>
      <c r="H1" s="62" t="n"/>
      <c r="I1" s="62" t="n"/>
      <c r="J1" s="62" t="n"/>
      <c r="K1" s="62" t="n"/>
      <c r="L1" s="62" t="n"/>
      <c r="M1" s="62" t="n"/>
    </row>
    <row r="2" ht="15" customHeight="1" s="392">
      <c r="B2" s="63" t="inlineStr">
        <is>
          <t>Fiscal year ends 31 July.  $M unless noted.  Historicals link to PitchBook tabs; revenue links to RPM.</t>
        </is>
      </c>
    </row>
    <row r="3">
      <c r="N3" s="377" t="n"/>
    </row>
    <row r="4" ht="15" customHeight="1" s="392">
      <c r="B4" s="64" t="n"/>
      <c r="C4" s="65" t="inlineStr">
        <is>
          <t>Units</t>
        </is>
      </c>
      <c r="D4" s="371" t="inlineStr">
        <is>
          <t>Historicals</t>
        </is>
      </c>
      <c r="E4" s="418" t="n"/>
      <c r="F4" s="418" t="n"/>
      <c r="G4" s="418" t="n"/>
      <c r="H4" s="418" t="n"/>
      <c r="I4" s="372" t="inlineStr">
        <is>
          <t>Projected</t>
        </is>
      </c>
      <c r="J4" s="418" t="n"/>
      <c r="K4" s="418" t="n"/>
      <c r="L4" s="418" t="n"/>
      <c r="M4" s="418" t="n"/>
      <c r="N4" s="179" t="n"/>
    </row>
    <row r="5" ht="15" customHeight="1" s="392">
      <c r="B5" s="66" t="inlineStr">
        <is>
          <t>Income statement</t>
        </is>
      </c>
      <c r="C5" s="67" t="n"/>
      <c r="D5" s="68" t="inlineStr">
        <is>
          <t>FY2022A</t>
        </is>
      </c>
      <c r="E5" s="69" t="inlineStr">
        <is>
          <t>FY2023A</t>
        </is>
      </c>
      <c r="F5" s="374" t="inlineStr">
        <is>
          <t>FY2024A</t>
        </is>
      </c>
      <c r="G5" s="374" t="inlineStr">
        <is>
          <t>FY2025A</t>
        </is>
      </c>
      <c r="H5" s="374" t="inlineStr">
        <is>
          <t>FY2026A</t>
        </is>
      </c>
      <c r="I5" s="375" t="inlineStr">
        <is>
          <t>FY2027E</t>
        </is>
      </c>
      <c r="J5" s="374" t="inlineStr">
        <is>
          <t>FY2028E</t>
        </is>
      </c>
      <c r="K5" s="374" t="inlineStr">
        <is>
          <t>FY2029E</t>
        </is>
      </c>
      <c r="L5" s="374" t="inlineStr">
        <is>
          <t>FY2030E</t>
        </is>
      </c>
      <c r="M5" s="376" t="inlineStr">
        <is>
          <t>FY2031E</t>
        </is>
      </c>
      <c r="N5" s="378" t="inlineStr">
        <is>
          <t>FY26–31 CAGR</t>
        </is>
      </c>
    </row>
    <row r="6" ht="15" customHeight="1" s="392">
      <c r="B6" s="71" t="inlineStr">
        <is>
          <t>Revenue</t>
        </is>
      </c>
      <c r="C6" s="72" t="inlineStr">
        <is>
          <t>$M</t>
        </is>
      </c>
      <c r="D6" s="73">
        <f>RPM!D6</f>
        <v/>
      </c>
      <c r="E6" s="74">
        <f>RPM!E6</f>
        <v/>
      </c>
      <c r="F6" s="74">
        <f>RPM!F6</f>
        <v/>
      </c>
      <c r="G6" s="74">
        <f>RPM!G6</f>
        <v/>
      </c>
      <c r="H6" s="74">
        <f>RPM!H6</f>
        <v/>
      </c>
      <c r="I6" s="75">
        <f>RPM!I6</f>
        <v/>
      </c>
      <c r="J6" s="74">
        <f>RPM!J6</f>
        <v/>
      </c>
      <c r="K6" s="74">
        <f>RPM!K6</f>
        <v/>
      </c>
      <c r="L6" s="74">
        <f>RPM!L6</f>
        <v/>
      </c>
      <c r="M6" s="74">
        <f>RPM!M6</f>
        <v/>
      </c>
      <c r="N6" s="241">
        <f>(M6/H6)^(1/5)-1</f>
        <v/>
      </c>
    </row>
    <row r="7" ht="15" customHeight="1" s="392">
      <c r="B7" s="77" t="inlineStr">
        <is>
          <t xml:space="preserve">   y/y growth</t>
        </is>
      </c>
      <c r="C7" s="72" t="inlineStr">
        <is>
          <t>%</t>
        </is>
      </c>
      <c r="D7" s="78" t="inlineStr">
        <is>
          <t>--</t>
        </is>
      </c>
      <c r="E7" s="395">
        <f>E6/D6-1</f>
        <v/>
      </c>
      <c r="F7" s="395">
        <f>F6/E6-1</f>
        <v/>
      </c>
      <c r="G7" s="395">
        <f>G6/F6-1</f>
        <v/>
      </c>
      <c r="H7" s="395">
        <f>H6/G6-1</f>
        <v/>
      </c>
      <c r="I7" s="80">
        <f>I6/H6-1</f>
        <v/>
      </c>
      <c r="J7" s="395">
        <f>J6/I6-1</f>
        <v/>
      </c>
      <c r="K7" s="395">
        <f>K6/J6-1</f>
        <v/>
      </c>
      <c r="L7" s="395">
        <f>L6/K6-1</f>
        <v/>
      </c>
      <c r="M7" s="395">
        <f>M6/L6-1</f>
        <v/>
      </c>
      <c r="N7" s="182" t="n"/>
    </row>
    <row r="8" ht="15" customHeight="1" s="392">
      <c r="B8" s="81" t="inlineStr">
        <is>
          <t xml:space="preserve">   of which service revenue</t>
        </is>
      </c>
      <c r="C8" s="72" t="inlineStr">
        <is>
          <t>$M</t>
        </is>
      </c>
      <c r="D8" s="82">
        <f>RPM!D10</f>
        <v/>
      </c>
      <c r="E8" s="83">
        <f>RPM!E10</f>
        <v/>
      </c>
      <c r="F8" s="83">
        <f>RPM!F10</f>
        <v/>
      </c>
      <c r="G8" s="83">
        <f>RPM!G10</f>
        <v/>
      </c>
      <c r="H8" s="83">
        <f>RPM!H10</f>
        <v/>
      </c>
      <c r="I8" s="84">
        <f>RPM!I10</f>
        <v/>
      </c>
      <c r="J8" s="83">
        <f>RPM!J10</f>
        <v/>
      </c>
      <c r="K8" s="83">
        <f>RPM!K10</f>
        <v/>
      </c>
      <c r="L8" s="83">
        <f>RPM!L10</f>
        <v/>
      </c>
      <c r="M8" s="83">
        <f>RPM!M10</f>
        <v/>
      </c>
      <c r="N8" s="182" t="n"/>
      <c r="P8" t="inlineStr">
        <is>
          <t>Copart doesn't own car</t>
        </is>
      </c>
    </row>
    <row r="9" ht="15" customHeight="1" s="392">
      <c r="B9" s="81" t="inlineStr">
        <is>
          <t xml:space="preserve">   of which vehicle sales</t>
        </is>
      </c>
      <c r="C9" s="72" t="inlineStr">
        <is>
          <t>$M</t>
        </is>
      </c>
      <c r="D9" s="82">
        <f>RPM!D12</f>
        <v/>
      </c>
      <c r="E9" s="83">
        <f>RPM!E12</f>
        <v/>
      </c>
      <c r="F9" s="83">
        <f>RPM!F12</f>
        <v/>
      </c>
      <c r="G9" s="83">
        <f>RPM!G12</f>
        <v/>
      </c>
      <c r="H9" s="83">
        <f>RPM!H12</f>
        <v/>
      </c>
      <c r="I9" s="84">
        <f>RPM!I12</f>
        <v/>
      </c>
      <c r="J9" s="83">
        <f>RPM!J12</f>
        <v/>
      </c>
      <c r="K9" s="83">
        <f>RPM!K12</f>
        <v/>
      </c>
      <c r="L9" s="83">
        <f>RPM!L12</f>
        <v/>
      </c>
      <c r="M9" s="83">
        <f>RPM!M12</f>
        <v/>
      </c>
      <c r="N9" s="182" t="n"/>
      <c r="P9" t="inlineStr">
        <is>
          <t>Copart buys &amp; resells car</t>
        </is>
      </c>
    </row>
    <row r="10">
      <c r="N10" s="182" t="n"/>
    </row>
    <row r="11" ht="15" customHeight="1" s="392">
      <c r="B11" s="207" t="inlineStr">
        <is>
          <t>Global fee units</t>
        </is>
      </c>
      <c r="C11" s="72" t="inlineStr">
        <is>
          <t>000s</t>
        </is>
      </c>
      <c r="D11" s="85" t="n"/>
      <c r="E11" s="384" t="n"/>
      <c r="F11" s="87">
        <f>RPM!F29</f>
        <v/>
      </c>
      <c r="G11" s="87">
        <f>RPM!G29</f>
        <v/>
      </c>
      <c r="H11" s="87">
        <f>RPM!H29</f>
        <v/>
      </c>
      <c r="I11" s="88">
        <f>RPM!I29</f>
        <v/>
      </c>
      <c r="J11" s="87">
        <f>RPM!J29</f>
        <v/>
      </c>
      <c r="K11" s="87">
        <f>RPM!K29</f>
        <v/>
      </c>
      <c r="L11" s="87">
        <f>RPM!L29</f>
        <v/>
      </c>
      <c r="M11" s="87">
        <f>RPM!M29</f>
        <v/>
      </c>
      <c r="N11" s="182" t="n"/>
      <c r="P11" t="inlineStr">
        <is>
          <t># of times Copart sold through auctions</t>
        </is>
      </c>
    </row>
    <row r="12">
      <c r="N12" s="182" t="n"/>
    </row>
    <row r="13" ht="15" customHeight="1" s="392">
      <c r="B13" s="384" t="inlineStr">
        <is>
          <t>Facility operations (cost of service revenue, incl. yard D&amp;A)</t>
        </is>
      </c>
      <c r="C13" s="72" t="inlineStr">
        <is>
          <t>$M</t>
        </is>
      </c>
      <c r="D13" s="89" t="n">
        <v>1275.5</v>
      </c>
      <c r="E13" s="90" t="n">
        <v>1462.6</v>
      </c>
      <c r="F13" s="90" t="n">
        <v>1653.8</v>
      </c>
      <c r="G13" s="90" t="n">
        <v>1944.3</v>
      </c>
      <c r="H13" s="90" t="n">
        <v>1965.9</v>
      </c>
      <c r="I13" s="91">
        <f>I11*I14/1000</f>
        <v/>
      </c>
      <c r="J13" s="397">
        <f>J11*J14/1000</f>
        <v/>
      </c>
      <c r="K13" s="397">
        <f>K11*K14/1000</f>
        <v/>
      </c>
      <c r="L13" s="397">
        <f>L11*L14/1000</f>
        <v/>
      </c>
      <c r="M13" s="397">
        <f>M11*M14/1000</f>
        <v/>
      </c>
      <c r="N13" s="182" t="n"/>
    </row>
    <row r="14" ht="15" customHeight="1" s="392">
      <c r="B14" s="81" t="inlineStr">
        <is>
          <t xml:space="preserve">   Facility cost per fee unit</t>
        </is>
      </c>
      <c r="C14" s="72" t="inlineStr">
        <is>
          <t>$</t>
        </is>
      </c>
      <c r="D14" s="85" t="n"/>
      <c r="E14" s="384" t="n"/>
      <c r="F14" s="93">
        <f>F13*1000/F11</f>
        <v/>
      </c>
      <c r="G14" s="93">
        <f>G13*1000/G11</f>
        <v/>
      </c>
      <c r="H14" s="93">
        <f>H13*1000/H11</f>
        <v/>
      </c>
      <c r="I14" s="94">
        <f>H14*(1+I15)</f>
        <v/>
      </c>
      <c r="J14" s="93">
        <f>I14*(1+J15)</f>
        <v/>
      </c>
      <c r="K14" s="93">
        <f>J14*(1+K15)</f>
        <v/>
      </c>
      <c r="L14" s="93">
        <f>K14*(1+L15)</f>
        <v/>
      </c>
      <c r="M14" s="93">
        <f>L14*(1+M15)</f>
        <v/>
      </c>
      <c r="N14" s="182" t="n"/>
      <c r="P14" t="inlineStr">
        <is>
          <t>facility ops / # of cars. If Copart handles fewer cars but yard costs stay the same, cost/car rises</t>
        </is>
      </c>
    </row>
    <row r="15" ht="15" customHeight="1" s="392">
      <c r="B15" s="81" t="inlineStr">
        <is>
          <t xml:space="preserve">   Facility cost per unit, y/y</t>
        </is>
      </c>
      <c r="C15" s="72" t="inlineStr">
        <is>
          <t>%</t>
        </is>
      </c>
      <c r="D15" s="85" t="n"/>
      <c r="E15" s="384" t="n"/>
      <c r="F15" s="384" t="n"/>
      <c r="G15" s="395">
        <f>G14/F14-1</f>
        <v/>
      </c>
      <c r="H15" s="395">
        <f>H14/G14-1</f>
        <v/>
      </c>
      <c r="I15" s="95" t="n">
        <v>0.045</v>
      </c>
      <c r="J15" s="96" t="n">
        <v>0.025</v>
      </c>
      <c r="K15" s="96" t="n">
        <v>0.02</v>
      </c>
      <c r="L15" s="96" t="n">
        <v>0.02</v>
      </c>
      <c r="M15" s="96" t="n">
        <v>0.02</v>
      </c>
      <c r="N15" s="182" t="n"/>
    </row>
    <row r="16" ht="15" customHeight="1" s="392">
      <c r="B16" s="384" t="inlineStr">
        <is>
          <t>Cost of vehicle sales</t>
        </is>
      </c>
      <c r="C16" s="72" t="inlineStr">
        <is>
          <t>$M</t>
        </is>
      </c>
      <c r="D16" s="89" t="n">
        <v>619.2</v>
      </c>
      <c r="E16" s="90" t="n">
        <v>669.9</v>
      </c>
      <c r="F16" s="90" t="n">
        <v>675.8</v>
      </c>
      <c r="G16" s="90" t="n">
        <v>603</v>
      </c>
      <c r="H16" s="90" t="n">
        <v>616.5</v>
      </c>
      <c r="I16" s="91">
        <f>I9*I17</f>
        <v/>
      </c>
      <c r="J16" s="397">
        <f>J9*J17</f>
        <v/>
      </c>
      <c r="K16" s="397">
        <f>K9*K17</f>
        <v/>
      </c>
      <c r="L16" s="397">
        <f>L9*L17</f>
        <v/>
      </c>
      <c r="M16" s="397">
        <f>M9*M17</f>
        <v/>
      </c>
      <c r="N16" s="182" t="n"/>
    </row>
    <row r="17" ht="15" customHeight="1" s="392">
      <c r="B17" s="77" t="inlineStr">
        <is>
          <t xml:space="preserve">   as % of vehicle sales</t>
        </is>
      </c>
      <c r="C17" s="72" t="inlineStr">
        <is>
          <t>%</t>
        </is>
      </c>
      <c r="D17" s="97">
        <f>D16/D9</f>
        <v/>
      </c>
      <c r="E17" s="395">
        <f>E16/E9</f>
        <v/>
      </c>
      <c r="F17" s="395">
        <f>F16/F9</f>
        <v/>
      </c>
      <c r="G17" s="395">
        <f>G16/G9</f>
        <v/>
      </c>
      <c r="H17" s="395">
        <f>H16/H9</f>
        <v/>
      </c>
      <c r="I17" s="95" t="n">
        <v>0.885</v>
      </c>
      <c r="J17" s="96" t="n">
        <v>0.885</v>
      </c>
      <c r="K17" s="96" t="n">
        <v>0.885</v>
      </c>
      <c r="L17" s="96" t="n">
        <v>0.885</v>
      </c>
      <c r="M17" s="96" t="n">
        <v>0.885</v>
      </c>
      <c r="N17" s="182" t="n"/>
    </row>
    <row r="18" ht="15" customHeight="1" s="392">
      <c r="B18" s="98" t="inlineStr">
        <is>
          <t>Gross profit</t>
        </is>
      </c>
      <c r="C18" s="99" t="inlineStr">
        <is>
          <t>$M</t>
        </is>
      </c>
      <c r="D18" s="100">
        <f>D6-D13-D16</f>
        <v/>
      </c>
      <c r="E18" s="101">
        <f>E6-E13-E16</f>
        <v/>
      </c>
      <c r="F18" s="101">
        <f>F6-F13-F16</f>
        <v/>
      </c>
      <c r="G18" s="101">
        <f>G6-G13-G16</f>
        <v/>
      </c>
      <c r="H18" s="101">
        <f>H6-H13-H16</f>
        <v/>
      </c>
      <c r="I18" s="102">
        <f>I6-I13-I16</f>
        <v/>
      </c>
      <c r="J18" s="101">
        <f>J6-J13-J16</f>
        <v/>
      </c>
      <c r="K18" s="101">
        <f>K6-K13-K16</f>
        <v/>
      </c>
      <c r="L18" s="101">
        <f>L6-L13-L16</f>
        <v/>
      </c>
      <c r="M18" s="101">
        <f>M6-M13-M16</f>
        <v/>
      </c>
      <c r="N18" s="241">
        <f>(M18/H18)^(1/5)-1</f>
        <v/>
      </c>
    </row>
    <row r="19" ht="15" customHeight="1" s="392">
      <c r="B19" s="77" t="inlineStr">
        <is>
          <t xml:space="preserve">   Gross margin</t>
        </is>
      </c>
      <c r="C19" s="72" t="inlineStr">
        <is>
          <t>%</t>
        </is>
      </c>
      <c r="D19" s="97">
        <f>D18/D6</f>
        <v/>
      </c>
      <c r="E19" s="395">
        <f>E18/E6</f>
        <v/>
      </c>
      <c r="F19" s="395">
        <f>F18/F6</f>
        <v/>
      </c>
      <c r="G19" s="395">
        <f>G18/G6</f>
        <v/>
      </c>
      <c r="H19" s="395">
        <f>H18/H6</f>
        <v/>
      </c>
      <c r="I19" s="80">
        <f>I18/I6</f>
        <v/>
      </c>
      <c r="J19" s="395">
        <f>J18/J6</f>
        <v/>
      </c>
      <c r="K19" s="395">
        <f>K18/K6</f>
        <v/>
      </c>
      <c r="L19" s="395">
        <f>L18/L6</f>
        <v/>
      </c>
      <c r="M19" s="395">
        <f>M18/M6</f>
        <v/>
      </c>
      <c r="N19" s="182" t="n"/>
    </row>
    <row r="20">
      <c r="N20" s="182" t="n"/>
    </row>
    <row r="21" ht="15" customHeight="1" s="392">
      <c r="B21" s="384" t="inlineStr">
        <is>
          <t>General &amp; administrative (incl. D&amp;A, SBC)</t>
        </is>
      </c>
      <c r="C21" s="72" t="inlineStr">
        <is>
          <t>$M</t>
        </is>
      </c>
      <c r="D21" s="103">
        <f>'PB IS (Annual)'!Q31/1000</f>
        <v/>
      </c>
      <c r="E21" s="396">
        <f>'PB IS (Annual)'!P31/1000</f>
        <v/>
      </c>
      <c r="F21" s="396">
        <f>'PB IS (Annual)'!O31/1000</f>
        <v/>
      </c>
      <c r="G21" s="396">
        <f>'PB IS (Annual)'!N31/1000</f>
        <v/>
      </c>
      <c r="H21" s="396">
        <f>'PB IS (Annual)'!M31/1000</f>
        <v/>
      </c>
      <c r="I21" s="91">
        <f>H21*(1+I22)</f>
        <v/>
      </c>
      <c r="J21" s="397">
        <f>I21*(1+J22)</f>
        <v/>
      </c>
      <c r="K21" s="397">
        <f>J21*(1+K22)</f>
        <v/>
      </c>
      <c r="L21" s="397">
        <f>K21*(1+L22)</f>
        <v/>
      </c>
      <c r="M21" s="397">
        <f>L21*(1+M22)</f>
        <v/>
      </c>
      <c r="N21" s="182" t="n"/>
    </row>
    <row r="22" ht="15" customHeight="1" s="392">
      <c r="B22" s="81" t="inlineStr">
        <is>
          <t xml:space="preserve">   G&amp;A growth, y/y</t>
        </is>
      </c>
      <c r="C22" s="72" t="inlineStr">
        <is>
          <t>%</t>
        </is>
      </c>
      <c r="D22" s="85" t="n"/>
      <c r="E22" s="395">
        <f>E21/D21-1</f>
        <v/>
      </c>
      <c r="F22" s="395">
        <f>F21/E21-1</f>
        <v/>
      </c>
      <c r="G22" s="395">
        <f>G21/F21-1</f>
        <v/>
      </c>
      <c r="H22" s="395">
        <f>H21/G21-1</f>
        <v/>
      </c>
      <c r="I22" s="95" t="n">
        <v>0.07000000000000001</v>
      </c>
      <c r="J22" s="96" t="n">
        <v>0.05</v>
      </c>
      <c r="K22" s="96" t="n">
        <v>0.04</v>
      </c>
      <c r="L22" s="96" t="n">
        <v>0.04</v>
      </c>
      <c r="M22" s="96" t="n">
        <v>0.04</v>
      </c>
      <c r="N22" s="182" t="n"/>
    </row>
    <row r="23" ht="15" customHeight="1" s="392">
      <c r="B23" s="77" t="inlineStr">
        <is>
          <t xml:space="preserve">   as % of revenue</t>
        </is>
      </c>
      <c r="C23" s="72" t="inlineStr">
        <is>
          <t>%</t>
        </is>
      </c>
      <c r="D23" s="97">
        <f>D21/D6</f>
        <v/>
      </c>
      <c r="E23" s="395">
        <f>E21/E6</f>
        <v/>
      </c>
      <c r="F23" s="395">
        <f>F21/F6</f>
        <v/>
      </c>
      <c r="G23" s="395">
        <f>G21/G6</f>
        <v/>
      </c>
      <c r="H23" s="395">
        <f>H21/H6</f>
        <v/>
      </c>
      <c r="I23" s="80">
        <f>I21/I6</f>
        <v/>
      </c>
      <c r="J23" s="395">
        <f>J21/J6</f>
        <v/>
      </c>
      <c r="K23" s="395">
        <f>K21/K6</f>
        <v/>
      </c>
      <c r="L23" s="395">
        <f>L21/L6</f>
        <v/>
      </c>
      <c r="M23" s="395">
        <f>M21/M6</f>
        <v/>
      </c>
      <c r="N23" s="182" t="n"/>
    </row>
    <row r="24" ht="15" customHeight="1" s="392">
      <c r="B24" s="98" t="inlineStr">
        <is>
          <t>Operating income (EBIT)</t>
        </is>
      </c>
      <c r="C24" s="99" t="inlineStr">
        <is>
          <t>$M</t>
        </is>
      </c>
      <c r="D24" s="100">
        <f>D18-D21</f>
        <v/>
      </c>
      <c r="E24" s="101">
        <f>E18-E21</f>
        <v/>
      </c>
      <c r="F24" s="101">
        <f>F18-F21</f>
        <v/>
      </c>
      <c r="G24" s="101">
        <f>G18-G21</f>
        <v/>
      </c>
      <c r="H24" s="101">
        <f>H18-H21</f>
        <v/>
      </c>
      <c r="I24" s="102">
        <f>I18-I21</f>
        <v/>
      </c>
      <c r="J24" s="101">
        <f>J18-J21</f>
        <v/>
      </c>
      <c r="K24" s="101">
        <f>K18-K21</f>
        <v/>
      </c>
      <c r="L24" s="101">
        <f>L18-L21</f>
        <v/>
      </c>
      <c r="M24" s="101">
        <f>M18-M21</f>
        <v/>
      </c>
      <c r="N24" s="241">
        <f>(M24/H24)^(1/5)-1</f>
        <v/>
      </c>
    </row>
    <row r="25" ht="15" customHeight="1" s="392">
      <c r="B25" s="77" t="inlineStr">
        <is>
          <t xml:space="preserve">   Operating margin</t>
        </is>
      </c>
      <c r="C25" s="72" t="inlineStr">
        <is>
          <t>%</t>
        </is>
      </c>
      <c r="D25" s="97">
        <f>D24/D6</f>
        <v/>
      </c>
      <c r="E25" s="395">
        <f>E24/E6</f>
        <v/>
      </c>
      <c r="F25" s="395">
        <f>F24/F6</f>
        <v/>
      </c>
      <c r="G25" s="395">
        <f>G24/G6</f>
        <v/>
      </c>
      <c r="H25" s="395">
        <f>H24/H6</f>
        <v/>
      </c>
      <c r="I25" s="80">
        <f>I24/I6</f>
        <v/>
      </c>
      <c r="J25" s="395">
        <f>J24/J6</f>
        <v/>
      </c>
      <c r="K25" s="395">
        <f>K24/K6</f>
        <v/>
      </c>
      <c r="L25" s="395">
        <f>L24/L6</f>
        <v/>
      </c>
      <c r="M25" s="395">
        <f>M24/M6</f>
        <v/>
      </c>
      <c r="N25" s="182" t="n"/>
    </row>
    <row r="26" ht="15" customHeight="1" s="392">
      <c r="B26" s="77" t="inlineStr">
        <is>
          <t xml:space="preserve">   y/y growth</t>
        </is>
      </c>
      <c r="C26" s="72" t="inlineStr">
        <is>
          <t>%</t>
        </is>
      </c>
      <c r="D26" s="78" t="inlineStr">
        <is>
          <t>--</t>
        </is>
      </c>
      <c r="E26" s="395">
        <f>E24/D24-1</f>
        <v/>
      </c>
      <c r="F26" s="395">
        <f>F24/E24-1</f>
        <v/>
      </c>
      <c r="G26" s="395">
        <f>G24/F24-1</f>
        <v/>
      </c>
      <c r="H26" s="395">
        <f>H24/G24-1</f>
        <v/>
      </c>
      <c r="I26" s="80">
        <f>I24/H24-1</f>
        <v/>
      </c>
      <c r="J26" s="395">
        <f>J24/I24-1</f>
        <v/>
      </c>
      <c r="K26" s="395">
        <f>K24/J24-1</f>
        <v/>
      </c>
      <c r="L26" s="395">
        <f>L24/K24-1</f>
        <v/>
      </c>
      <c r="M26" s="395">
        <f>M24/L24-1</f>
        <v/>
      </c>
      <c r="N26" s="182" t="n"/>
    </row>
    <row r="27" ht="15" customHeight="1" s="392">
      <c r="B27" s="207" t="inlineStr">
        <is>
          <t>check vs pitchBook operating profit</t>
        </is>
      </c>
      <c r="C27" s="72" t="inlineStr">
        <is>
          <t>$M</t>
        </is>
      </c>
      <c r="D27" s="105">
        <f>D24-'PB IS (Annual)'!Q32/1000</f>
        <v/>
      </c>
      <c r="E27" s="106">
        <f>E24-'PB IS (Annual)'!P32/1000</f>
        <v/>
      </c>
      <c r="F27" s="106">
        <f>F24-'PB IS (Annual)'!O32/1000</f>
        <v/>
      </c>
      <c r="G27" s="106">
        <f>G24-'PB IS (Annual)'!N32/1000</f>
        <v/>
      </c>
      <c r="H27" s="106">
        <f>H24-'PB IS (Annual)'!M32/1000</f>
        <v/>
      </c>
      <c r="I27" s="107" t="n"/>
      <c r="J27" s="384" t="n"/>
      <c r="K27" s="384" t="n"/>
      <c r="L27" s="384" t="n"/>
      <c r="M27" s="384" t="n"/>
      <c r="N27" s="182" t="n"/>
    </row>
    <row r="28">
      <c r="N28" s="182" t="n"/>
    </row>
    <row r="29" ht="15" customHeight="1" s="392">
      <c r="B29" s="208" t="inlineStr">
        <is>
          <t>Depreciation &amp; amortization</t>
        </is>
      </c>
      <c r="C29" s="72" t="inlineStr">
        <is>
          <t>$M</t>
        </is>
      </c>
      <c r="D29" s="103">
        <f>'PB CF (Annual)'!Q18/1000</f>
        <v/>
      </c>
      <c r="E29" s="396">
        <f>'PB CF (Annual)'!P18/1000</f>
        <v/>
      </c>
      <c r="F29" s="396">
        <f>'PB CF (Annual)'!O18/1000</f>
        <v/>
      </c>
      <c r="G29" s="396">
        <f>'PB CF (Annual)'!N18/1000</f>
        <v/>
      </c>
      <c r="H29" s="396">
        <f>'PB CF (Annual)'!M18/1000</f>
        <v/>
      </c>
      <c r="I29" s="310">
        <f>'3SM'!I17</f>
        <v/>
      </c>
      <c r="J29" s="311">
        <f>'3SM'!J17</f>
        <v/>
      </c>
      <c r="K29" s="311">
        <f>'3SM'!K17</f>
        <v/>
      </c>
      <c r="L29" s="311">
        <f>'3SM'!L17</f>
        <v/>
      </c>
      <c r="M29" s="311">
        <f>'3SM'!M17</f>
        <v/>
      </c>
      <c r="N29" s="182" t="n"/>
      <c r="P29" s="252" t="inlineStr">
        <is>
          <t>From the 3SM row 17 (Barclays D&amp;A FY27–29; FY30–31 at the FY29 rate); row 30 is now the implied %</t>
        </is>
      </c>
    </row>
    <row r="30" ht="15" customHeight="1" s="392">
      <c r="B30" s="77" t="inlineStr">
        <is>
          <t xml:space="preserve">   as % of revenue</t>
        </is>
      </c>
      <c r="C30" s="72" t="inlineStr">
        <is>
          <t>%</t>
        </is>
      </c>
      <c r="D30" s="97">
        <f>D29/D6</f>
        <v/>
      </c>
      <c r="E30" s="395">
        <f>E29/E6</f>
        <v/>
      </c>
      <c r="F30" s="395">
        <f>F29/F6</f>
        <v/>
      </c>
      <c r="G30" s="395">
        <f>G29/G6</f>
        <v/>
      </c>
      <c r="H30" s="395">
        <f>H29/H6</f>
        <v/>
      </c>
      <c r="I30" s="312">
        <f>I29/I6</f>
        <v/>
      </c>
      <c r="J30" s="313">
        <f>J29/J6</f>
        <v/>
      </c>
      <c r="K30" s="313">
        <f>K29/K6</f>
        <v/>
      </c>
      <c r="L30" s="313">
        <f>L29/L6</f>
        <v/>
      </c>
      <c r="M30" s="313">
        <f>M29/M6</f>
        <v/>
      </c>
      <c r="N30" s="182" t="n"/>
    </row>
    <row r="31" ht="15" customHeight="1" s="392">
      <c r="B31" s="98" t="inlineStr">
        <is>
          <t>EBITDA</t>
        </is>
      </c>
      <c r="C31" s="99" t="inlineStr">
        <is>
          <t>$M</t>
        </is>
      </c>
      <c r="D31" s="100">
        <f>D24+D29</f>
        <v/>
      </c>
      <c r="E31" s="101">
        <f>E24+E29</f>
        <v/>
      </c>
      <c r="F31" s="101">
        <f>F24+F29</f>
        <v/>
      </c>
      <c r="G31" s="101">
        <f>G24+G29</f>
        <v/>
      </c>
      <c r="H31" s="101">
        <f>H24+H29</f>
        <v/>
      </c>
      <c r="I31" s="102">
        <f>I24+I29</f>
        <v/>
      </c>
      <c r="J31" s="101">
        <f>J24+J29</f>
        <v/>
      </c>
      <c r="K31" s="101">
        <f>K24+K29</f>
        <v/>
      </c>
      <c r="L31" s="101">
        <f>L24+L29</f>
        <v/>
      </c>
      <c r="M31" s="101">
        <f>M24+M29</f>
        <v/>
      </c>
      <c r="N31" s="241">
        <f>(M31/H31)^(1/5)-1</f>
        <v/>
      </c>
    </row>
    <row r="32" ht="15" customHeight="1" s="392">
      <c r="B32" s="77" t="inlineStr">
        <is>
          <t xml:space="preserve">   EBITDA margin</t>
        </is>
      </c>
      <c r="C32" s="72" t="inlineStr">
        <is>
          <t>%</t>
        </is>
      </c>
      <c r="D32" s="97">
        <f>D31/D6</f>
        <v/>
      </c>
      <c r="E32" s="395">
        <f>E31/E6</f>
        <v/>
      </c>
      <c r="F32" s="395">
        <f>F31/F6</f>
        <v/>
      </c>
      <c r="G32" s="395">
        <f>G31/G6</f>
        <v/>
      </c>
      <c r="H32" s="395">
        <f>H31/H6</f>
        <v/>
      </c>
      <c r="I32" s="80">
        <f>I31/I6</f>
        <v/>
      </c>
      <c r="J32" s="395">
        <f>J31/J6</f>
        <v/>
      </c>
      <c r="K32" s="395">
        <f>K31/K6</f>
        <v/>
      </c>
      <c r="L32" s="395">
        <f>L31/L6</f>
        <v/>
      </c>
      <c r="M32" s="395">
        <f>M31/M6</f>
        <v/>
      </c>
      <c r="N32" s="182" t="n"/>
    </row>
    <row r="33">
      <c r="N33" s="182" t="n"/>
    </row>
    <row r="34" ht="15" customHeight="1" s="392">
      <c r="B34" s="208" t="inlineStr">
        <is>
          <t xml:space="preserve">Interest &amp; other income </t>
        </is>
      </c>
      <c r="C34" s="72" t="inlineStr">
        <is>
          <t>$M</t>
        </is>
      </c>
      <c r="D34" s="103">
        <f>'PB IS (Annual)'!Q48/1000</f>
        <v/>
      </c>
      <c r="E34" s="396">
        <f>'PB IS (Annual)'!P48/1000</f>
        <v/>
      </c>
      <c r="F34" s="396">
        <f>'PB IS (Annual)'!O48/1000</f>
        <v/>
      </c>
      <c r="G34" s="396">
        <f>'PB IS (Annual)'!N48/1000</f>
        <v/>
      </c>
      <c r="H34" s="396">
        <f>'PB IS (Annual)'!M48/1000</f>
        <v/>
      </c>
      <c r="I34" s="91">
        <f>H72*I35</f>
        <v/>
      </c>
      <c r="J34" s="397">
        <f>I72*J35</f>
        <v/>
      </c>
      <c r="K34" s="397">
        <f>J72*K35</f>
        <v/>
      </c>
      <c r="L34" s="397">
        <f>K72*L35</f>
        <v/>
      </c>
      <c r="M34" s="397">
        <f>L72*M35</f>
        <v/>
      </c>
      <c r="N34" s="182" t="n"/>
      <c r="P34" t="inlineStr">
        <is>
          <t>Yield on Copart's $4.5b in Treasury bills</t>
        </is>
      </c>
    </row>
    <row r="35" ht="15" customHeight="1" s="392">
      <c r="B35" s="81" t="inlineStr">
        <is>
          <t xml:space="preserve">   Yield on cash &amp; HTM securities</t>
        </is>
      </c>
      <c r="C35" s="72" t="inlineStr">
        <is>
          <t>%</t>
        </is>
      </c>
      <c r="D35" s="85" t="n"/>
      <c r="E35" s="384" t="n"/>
      <c r="F35" s="384" t="n"/>
      <c r="G35" s="384" t="n"/>
      <c r="H35" s="384" t="n"/>
      <c r="I35" s="95" t="n">
        <v>0.036</v>
      </c>
      <c r="J35" s="96" t="n">
        <v>0.034</v>
      </c>
      <c r="K35" s="96" t="n">
        <v>0.033</v>
      </c>
      <c r="L35" s="96" t="n">
        <v>0.033</v>
      </c>
      <c r="M35" s="96" t="n">
        <v>0.033</v>
      </c>
      <c r="N35" s="182" t="n"/>
    </row>
    <row r="36" ht="15" customHeight="1" s="392">
      <c r="B36" s="98" t="inlineStr">
        <is>
          <t>Pre-tax income</t>
        </is>
      </c>
      <c r="C36" s="99" t="inlineStr">
        <is>
          <t>$M</t>
        </is>
      </c>
      <c r="D36" s="100">
        <f>D24+D34</f>
        <v/>
      </c>
      <c r="E36" s="101">
        <f>E24+E34</f>
        <v/>
      </c>
      <c r="F36" s="101">
        <f>F24+F34</f>
        <v/>
      </c>
      <c r="G36" s="101">
        <f>G24+G34</f>
        <v/>
      </c>
      <c r="H36" s="101">
        <f>H24+H34</f>
        <v/>
      </c>
      <c r="I36" s="102">
        <f>I24+I34</f>
        <v/>
      </c>
      <c r="J36" s="101">
        <f>J24+J34</f>
        <v/>
      </c>
      <c r="K36" s="101">
        <f>K24+K34</f>
        <v/>
      </c>
      <c r="L36" s="101">
        <f>L24+L34</f>
        <v/>
      </c>
      <c r="M36" s="101">
        <f>M24+M34</f>
        <v/>
      </c>
      <c r="N36" s="182" t="n"/>
    </row>
    <row r="37" ht="15" customHeight="1" s="392">
      <c r="B37" s="384" t="inlineStr">
        <is>
          <t>Income tax</t>
        </is>
      </c>
      <c r="C37" s="72" t="inlineStr">
        <is>
          <t>$M</t>
        </is>
      </c>
      <c r="D37" s="103">
        <f>'PB IS (Annual)'!Q50/1000</f>
        <v/>
      </c>
      <c r="E37" s="396">
        <f>'PB IS (Annual)'!P50/1000</f>
        <v/>
      </c>
      <c r="F37" s="396">
        <f>'PB IS (Annual)'!O50/1000</f>
        <v/>
      </c>
      <c r="G37" s="396">
        <f>'PB IS (Annual)'!N50/1000</f>
        <v/>
      </c>
      <c r="H37" s="396">
        <f>'PB IS (Annual)'!M50/1000</f>
        <v/>
      </c>
      <c r="I37" s="91">
        <f>I36*I38</f>
        <v/>
      </c>
      <c r="J37" s="397">
        <f>J36*J38</f>
        <v/>
      </c>
      <c r="K37" s="397">
        <f>K36*K38</f>
        <v/>
      </c>
      <c r="L37" s="397">
        <f>L36*L38</f>
        <v/>
      </c>
      <c r="M37" s="397">
        <f>M36*M38</f>
        <v/>
      </c>
      <c r="N37" s="182" t="n"/>
    </row>
    <row r="38" ht="15" customHeight="1" s="392">
      <c r="B38" s="77" t="inlineStr">
        <is>
          <t xml:space="preserve">   Effective tax rate</t>
        </is>
      </c>
      <c r="C38" s="72" t="inlineStr">
        <is>
          <t>%</t>
        </is>
      </c>
      <c r="D38" s="97">
        <f>D37/D36</f>
        <v/>
      </c>
      <c r="E38" s="395">
        <f>E37/E36</f>
        <v/>
      </c>
      <c r="F38" s="395">
        <f>F37/F36</f>
        <v/>
      </c>
      <c r="G38" s="395">
        <f>G37/G36</f>
        <v/>
      </c>
      <c r="H38" s="395">
        <f>H37/H36</f>
        <v/>
      </c>
      <c r="I38" s="314">
        <f>'WACC, Tax, and Reverse DCF'!$N$39</f>
        <v/>
      </c>
      <c r="J38" s="315">
        <f>'WACC, Tax, and Reverse DCF'!$N$39</f>
        <v/>
      </c>
      <c r="K38" s="315">
        <f>'WACC, Tax, and Reverse DCF'!$N$39</f>
        <v/>
      </c>
      <c r="L38" s="315">
        <f>'WACC, Tax, and Reverse DCF'!$N$39</f>
        <v/>
      </c>
      <c r="M38" s="315">
        <f>'WACC, Tax, and Reverse DCF'!$N$39</f>
        <v/>
      </c>
      <c r="N38" s="182" t="n"/>
      <c r="P38" s="252" t="inlineStr">
        <is>
          <t>FY27+ = structural effective rate from the tax build (Reverse DCF R28–R36)</t>
        </is>
      </c>
    </row>
    <row r="39" ht="15" customHeight="1" s="392">
      <c r="B39" s="98" t="inlineStr">
        <is>
          <t>Net income</t>
        </is>
      </c>
      <c r="C39" s="99" t="inlineStr">
        <is>
          <t>$M</t>
        </is>
      </c>
      <c r="D39" s="108">
        <f>'PB IS (Annual)'!Q56/1000</f>
        <v/>
      </c>
      <c r="E39" s="109">
        <f>'PB IS (Annual)'!P56/1000</f>
        <v/>
      </c>
      <c r="F39" s="109">
        <f>'PB IS (Annual)'!O56/1000</f>
        <v/>
      </c>
      <c r="G39" s="109">
        <f>'PB IS (Annual)'!N56/1000</f>
        <v/>
      </c>
      <c r="H39" s="109">
        <f>'PB IS (Annual)'!M56/1000</f>
        <v/>
      </c>
      <c r="I39" s="102">
        <f>I36-I37</f>
        <v/>
      </c>
      <c r="J39" s="101">
        <f>J36-J37</f>
        <v/>
      </c>
      <c r="K39" s="101">
        <f>K36-K37</f>
        <v/>
      </c>
      <c r="L39" s="101">
        <f>L36-L37</f>
        <v/>
      </c>
      <c r="M39" s="101">
        <f>M36-M37</f>
        <v/>
      </c>
      <c r="N39" s="241">
        <f>(M39/H39)^(1/5)-1</f>
        <v/>
      </c>
    </row>
    <row r="40" ht="15" customHeight="1" s="392">
      <c r="B40" s="384" t="inlineStr">
        <is>
          <t>Diluted shares</t>
        </is>
      </c>
      <c r="C40" s="72" t="inlineStr">
        <is>
          <t>M</t>
        </is>
      </c>
      <c r="D40" s="110">
        <f>'PB IS (Annual)'!Q68/1000000</f>
        <v/>
      </c>
      <c r="E40" s="111">
        <f>'PB IS (Annual)'!P68/1000000</f>
        <v/>
      </c>
      <c r="F40" s="111">
        <f>'PB IS (Annual)'!O68/1000000</f>
        <v/>
      </c>
      <c r="G40" s="111">
        <f>'PB IS (Annual)'!N68/1000000</f>
        <v/>
      </c>
      <c r="H40" s="111">
        <f>'PB IS (Annual)'!M68/1000000</f>
        <v/>
      </c>
      <c r="I40" s="112">
        <f>H40-I69/I70</f>
        <v/>
      </c>
      <c r="J40" s="113">
        <f>I40-J69/J70</f>
        <v/>
      </c>
      <c r="K40" s="113">
        <f>J40-K69/K70</f>
        <v/>
      </c>
      <c r="L40" s="113">
        <f>K40-L69/L70</f>
        <v/>
      </c>
      <c r="M40" s="113">
        <f>L40-M69/M70</f>
        <v/>
      </c>
      <c r="N40" s="182" t="n"/>
    </row>
    <row r="41" ht="15" customHeight="1" s="392">
      <c r="B41" s="71" t="inlineStr">
        <is>
          <t>Diluted EPS</t>
        </is>
      </c>
      <c r="C41" s="72" t="inlineStr">
        <is>
          <t>$</t>
        </is>
      </c>
      <c r="D41" s="114">
        <f>D39/D40</f>
        <v/>
      </c>
      <c r="E41" s="115">
        <f>E39/E40</f>
        <v/>
      </c>
      <c r="F41" s="115">
        <f>F39/F40</f>
        <v/>
      </c>
      <c r="G41" s="115">
        <f>G39/G40</f>
        <v/>
      </c>
      <c r="H41" s="115">
        <f>H39/H40</f>
        <v/>
      </c>
      <c r="I41" s="116">
        <f>I39/I40</f>
        <v/>
      </c>
      <c r="J41" s="115">
        <f>J39/J40</f>
        <v/>
      </c>
      <c r="K41" s="115">
        <f>K39/K40</f>
        <v/>
      </c>
      <c r="L41" s="115">
        <f>L39/L40</f>
        <v/>
      </c>
      <c r="M41" s="115">
        <f>M39/M40</f>
        <v/>
      </c>
      <c r="N41" s="241">
        <f>(M41/H41)^(1/5)-1</f>
        <v/>
      </c>
    </row>
    <row r="42" ht="15" customHeight="1" s="392">
      <c r="B42" s="77" t="inlineStr">
        <is>
          <t xml:space="preserve">   y/y growth</t>
        </is>
      </c>
      <c r="C42" s="72" t="inlineStr">
        <is>
          <t>%</t>
        </is>
      </c>
      <c r="D42" s="379" t="inlineStr">
        <is>
          <t>--</t>
        </is>
      </c>
      <c r="E42" s="380">
        <f>E41/D41-1</f>
        <v/>
      </c>
      <c r="F42" s="380">
        <f>F41/E41-1</f>
        <v/>
      </c>
      <c r="G42" s="380">
        <f>G41/F41-1</f>
        <v/>
      </c>
      <c r="H42" s="380">
        <f>H41/G41-1</f>
        <v/>
      </c>
      <c r="I42" s="381">
        <f>I41/H41-1</f>
        <v/>
      </c>
      <c r="J42" s="380">
        <f>J41/I41-1</f>
        <v/>
      </c>
      <c r="K42" s="380">
        <f>K41/J41-1</f>
        <v/>
      </c>
      <c r="L42" s="380">
        <f>L41/K41-1</f>
        <v/>
      </c>
      <c r="M42" s="380">
        <f>M41/L41-1</f>
        <v/>
      </c>
      <c r="N42" s="205" t="n"/>
    </row>
    <row r="43">
      <c r="N43" s="382" t="n"/>
    </row>
    <row r="44" ht="15" customHeight="1" s="392">
      <c r="B44" s="210" t="inlineStr">
        <is>
          <t>Street EPS</t>
        </is>
      </c>
      <c r="C44" s="118" t="n"/>
      <c r="D44" s="118" t="n"/>
      <c r="E44" s="118" t="n"/>
      <c r="F44" s="118" t="n"/>
      <c r="G44" s="118" t="n"/>
      <c r="H44" s="118" t="n"/>
      <c r="I44" s="118" t="n"/>
      <c r="J44" s="118" t="n"/>
      <c r="K44" s="118" t="n"/>
      <c r="L44" s="118" t="n"/>
      <c r="M44" s="118" t="n"/>
    </row>
    <row r="45" ht="15" customHeight="1" s="392">
      <c r="B45" s="207" t="inlineStr">
        <is>
          <t>Barclays (UW, $25) -- 11 Sep 2026</t>
        </is>
      </c>
      <c r="C45" s="72" t="inlineStr">
        <is>
          <t>$</t>
        </is>
      </c>
      <c r="D45" s="85" t="n"/>
      <c r="E45" s="384" t="n"/>
      <c r="F45" s="384" t="n"/>
      <c r="G45" s="384" t="n"/>
      <c r="H45" s="119" t="n">
        <v>1.55</v>
      </c>
      <c r="I45" s="120" t="n">
        <v>1.56</v>
      </c>
      <c r="J45" s="121" t="n">
        <v>1.64</v>
      </c>
      <c r="K45" s="121" t="n">
        <v>1.72</v>
      </c>
      <c r="L45" s="384" t="n"/>
      <c r="M45" s="384" t="n"/>
    </row>
    <row r="46" ht="15" customHeight="1" s="392">
      <c r="B46" s="71" t="inlineStr">
        <is>
          <t>Model vs. Barclays</t>
        </is>
      </c>
      <c r="C46" s="72" t="inlineStr">
        <is>
          <t>%</t>
        </is>
      </c>
      <c r="D46" s="85" t="n"/>
      <c r="E46" s="384" t="n"/>
      <c r="F46" s="384" t="n"/>
      <c r="G46" s="384" t="n"/>
      <c r="H46" s="384" t="n"/>
      <c r="I46" s="122">
        <f>I41/I45-1</f>
        <v/>
      </c>
      <c r="J46" s="123">
        <f>J41/J45-1</f>
        <v/>
      </c>
      <c r="K46" s="384" t="n"/>
      <c r="L46" s="384" t="n"/>
      <c r="M46" s="384" t="n"/>
    </row>
    <row r="48" ht="15" customHeight="1" s="392">
      <c r="B48" s="117" t="inlineStr">
        <is>
          <t>Unlevered free cash flow</t>
        </is>
      </c>
      <c r="C48" s="118" t="n"/>
      <c r="D48" s="118" t="n"/>
      <c r="E48" s="118" t="n"/>
      <c r="F48" s="118" t="n"/>
      <c r="G48" s="118" t="n"/>
      <c r="H48" s="118" t="n"/>
      <c r="I48" s="118" t="n"/>
      <c r="J48" s="118" t="n"/>
      <c r="K48" s="118" t="n"/>
      <c r="L48" s="118" t="n"/>
      <c r="M48" s="118" t="n"/>
    </row>
    <row r="49" ht="15" customHeight="1" s="392">
      <c r="B49" s="71" t="inlineStr">
        <is>
          <t>EBIT</t>
        </is>
      </c>
      <c r="C49" s="72" t="inlineStr">
        <is>
          <t>$M</t>
        </is>
      </c>
      <c r="D49" s="124">
        <f>D24</f>
        <v/>
      </c>
      <c r="E49" s="393">
        <f>E24</f>
        <v/>
      </c>
      <c r="F49" s="393">
        <f>F24</f>
        <v/>
      </c>
      <c r="G49" s="393">
        <f>G24</f>
        <v/>
      </c>
      <c r="H49" s="393">
        <f>H24</f>
        <v/>
      </c>
      <c r="I49" s="126">
        <f>I24</f>
        <v/>
      </c>
      <c r="J49" s="393">
        <f>J24</f>
        <v/>
      </c>
      <c r="K49" s="393">
        <f>K24</f>
        <v/>
      </c>
      <c r="L49" s="393">
        <f>L24</f>
        <v/>
      </c>
      <c r="M49" s="393">
        <f>M24</f>
        <v/>
      </c>
    </row>
    <row r="50" ht="15" customHeight="1" s="392">
      <c r="B50" s="384" t="inlineStr">
        <is>
          <t>(−) Taxes on EBIT</t>
        </is>
      </c>
      <c r="C50" s="72" t="inlineStr">
        <is>
          <t>$M</t>
        </is>
      </c>
      <c r="D50" s="127">
        <f>-D24*D38</f>
        <v/>
      </c>
      <c r="E50" s="397">
        <f>-E24*E38</f>
        <v/>
      </c>
      <c r="F50" s="397">
        <f>-F24*F38</f>
        <v/>
      </c>
      <c r="G50" s="397">
        <f>-G24*G38</f>
        <v/>
      </c>
      <c r="H50" s="397">
        <f>-H24*H38</f>
        <v/>
      </c>
      <c r="I50" s="91">
        <f>-I24*I38</f>
        <v/>
      </c>
      <c r="J50" s="397">
        <f>-J24*J38</f>
        <v/>
      </c>
      <c r="K50" s="397">
        <f>-K24*K38</f>
        <v/>
      </c>
      <c r="L50" s="397">
        <f>-L24*L38</f>
        <v/>
      </c>
      <c r="M50" s="397">
        <f>-M24*M38</f>
        <v/>
      </c>
    </row>
    <row r="51" ht="15" customHeight="1" s="392">
      <c r="B51" s="98" t="inlineStr">
        <is>
          <t>NOPAT</t>
        </is>
      </c>
      <c r="C51" s="99" t="inlineStr">
        <is>
          <t>$M</t>
        </is>
      </c>
      <c r="D51" s="100">
        <f>D49+D50</f>
        <v/>
      </c>
      <c r="E51" s="101">
        <f>E49+E50</f>
        <v/>
      </c>
      <c r="F51" s="101">
        <f>F49+F50</f>
        <v/>
      </c>
      <c r="G51" s="101">
        <f>G49+G50</f>
        <v/>
      </c>
      <c r="H51" s="101">
        <f>H49+H50</f>
        <v/>
      </c>
      <c r="I51" s="102">
        <f>I49+I50</f>
        <v/>
      </c>
      <c r="J51" s="101">
        <f>J49+J50</f>
        <v/>
      </c>
      <c r="K51" s="101">
        <f>K49+K50</f>
        <v/>
      </c>
      <c r="L51" s="101">
        <f>L49+L50</f>
        <v/>
      </c>
      <c r="M51" s="101">
        <f>M49+M50</f>
        <v/>
      </c>
    </row>
    <row r="52" ht="15" customHeight="1" s="392">
      <c r="B52" s="384" t="inlineStr">
        <is>
          <t>(+) D&amp;A</t>
        </is>
      </c>
      <c r="C52" s="72" t="inlineStr">
        <is>
          <t>$M</t>
        </is>
      </c>
      <c r="D52" s="127">
        <f>D29</f>
        <v/>
      </c>
      <c r="E52" s="397">
        <f>E29</f>
        <v/>
      </c>
      <c r="F52" s="397">
        <f>F29</f>
        <v/>
      </c>
      <c r="G52" s="397">
        <f>G29</f>
        <v/>
      </c>
      <c r="H52" s="397">
        <f>H29</f>
        <v/>
      </c>
      <c r="I52" s="91">
        <f>I29</f>
        <v/>
      </c>
      <c r="J52" s="397">
        <f>J29</f>
        <v/>
      </c>
      <c r="K52" s="397">
        <f>K29</f>
        <v/>
      </c>
      <c r="L52" s="397">
        <f>L29</f>
        <v/>
      </c>
      <c r="M52" s="397">
        <f>M29</f>
        <v/>
      </c>
    </row>
    <row r="53" ht="15" customHeight="1" s="392">
      <c r="B53" s="384" t="inlineStr">
        <is>
          <t>(+) Stock-based compensation</t>
        </is>
      </c>
      <c r="C53" s="72" t="inlineStr">
        <is>
          <t>$M</t>
        </is>
      </c>
      <c r="D53" s="103">
        <f>'PB CF (Annual)'!Q20/1000</f>
        <v/>
      </c>
      <c r="E53" s="396">
        <f>'PB CF (Annual)'!P20/1000</f>
        <v/>
      </c>
      <c r="F53" s="396">
        <f>'PB CF (Annual)'!O20/1000</f>
        <v/>
      </c>
      <c r="G53" s="396">
        <f>'PB CF (Annual)'!N20/1000</f>
        <v/>
      </c>
      <c r="H53" s="396">
        <f>'PB CF (Annual)'!M20/1000</f>
        <v/>
      </c>
      <c r="I53" s="310">
        <f>'3SM'!I90</f>
        <v/>
      </c>
      <c r="J53" s="311">
        <f>'3SM'!J90</f>
        <v/>
      </c>
      <c r="K53" s="311">
        <f>'3SM'!K90</f>
        <v/>
      </c>
      <c r="L53" s="311">
        <f>'3SM'!L90</f>
        <v/>
      </c>
      <c r="M53" s="311">
        <f>'3SM'!M90</f>
        <v/>
      </c>
      <c r="P53" s="252" t="inlineStr">
        <is>
          <t>From the 3SM row 90 (FY26 % of revenue held); row 58 implied</t>
        </is>
      </c>
    </row>
    <row r="54" ht="15" customHeight="1" s="392">
      <c r="B54" s="77" t="inlineStr">
        <is>
          <t xml:space="preserve">   as % of revenue</t>
        </is>
      </c>
      <c r="C54" s="72" t="inlineStr">
        <is>
          <t>%</t>
        </is>
      </c>
      <c r="D54" s="97">
        <f>D53/D6</f>
        <v/>
      </c>
      <c r="E54" s="395">
        <f>E53/E6</f>
        <v/>
      </c>
      <c r="F54" s="395">
        <f>F53/F6</f>
        <v/>
      </c>
      <c r="G54" s="395">
        <f>G53/G6</f>
        <v/>
      </c>
      <c r="H54" s="395">
        <f>H53/H6</f>
        <v/>
      </c>
      <c r="I54" s="312">
        <f>I53/I6</f>
        <v/>
      </c>
      <c r="J54" s="313">
        <f>J53/J6</f>
        <v/>
      </c>
      <c r="K54" s="313">
        <f>K53/K6</f>
        <v/>
      </c>
      <c r="L54" s="313">
        <f>L53/L6</f>
        <v/>
      </c>
      <c r="M54" s="313">
        <f>M53/M6</f>
        <v/>
      </c>
    </row>
    <row r="55" ht="15" customHeight="1" s="392">
      <c r="B55" s="384" t="inlineStr">
        <is>
          <t>(−) Capital expenditures</t>
        </is>
      </c>
      <c r="C55" s="72" t="inlineStr">
        <is>
          <t>$M</t>
        </is>
      </c>
      <c r="D55" s="103">
        <f>'PB CF (Annual)'!Q64/1000</f>
        <v/>
      </c>
      <c r="E55" s="396">
        <f>'PB CF (Annual)'!P64/1000</f>
        <v/>
      </c>
      <c r="F55" s="396">
        <f>'PB CF (Annual)'!O64/1000</f>
        <v/>
      </c>
      <c r="G55" s="396">
        <f>'PB CF (Annual)'!N64/1000</f>
        <v/>
      </c>
      <c r="H55" s="396">
        <f>'PB CF (Annual)'!M64/1000</f>
        <v/>
      </c>
      <c r="I55" s="310">
        <f>'3SM'!I95</f>
        <v/>
      </c>
      <c r="J55" s="311">
        <f>'3SM'!J95</f>
        <v/>
      </c>
      <c r="K55" s="311">
        <f>'3SM'!K95</f>
        <v/>
      </c>
      <c r="L55" s="311">
        <f>'3SM'!L95</f>
        <v/>
      </c>
      <c r="M55" s="311">
        <f>'3SM'!M95</f>
        <v/>
      </c>
      <c r="P55" s="252" t="inlineStr">
        <is>
          <t>From the 3SM row 95 (Barclays −500 FY27–29; FY29 ratio after); row 60 implied</t>
        </is>
      </c>
    </row>
    <row r="56" ht="15" customHeight="1" s="392">
      <c r="B56" s="211" t="inlineStr">
        <is>
          <t xml:space="preserve">   as % of revenue</t>
        </is>
      </c>
      <c r="C56" s="72" t="inlineStr">
        <is>
          <t>%</t>
        </is>
      </c>
      <c r="D56" s="97">
        <f>-D55/D6</f>
        <v/>
      </c>
      <c r="E56" s="395">
        <f>-E55/E6</f>
        <v/>
      </c>
      <c r="F56" s="395">
        <f>-F55/F6</f>
        <v/>
      </c>
      <c r="G56" s="395">
        <f>-G55/G6</f>
        <v/>
      </c>
      <c r="H56" s="395">
        <f>-H55/H6</f>
        <v/>
      </c>
      <c r="I56" s="312">
        <f>-I55/I6</f>
        <v/>
      </c>
      <c r="J56" s="313">
        <f>-J55/J6</f>
        <v/>
      </c>
      <c r="K56" s="313">
        <f>-K55/K6</f>
        <v/>
      </c>
      <c r="L56" s="313">
        <f>-L55/L6</f>
        <v/>
      </c>
      <c r="M56" s="313">
        <f>-M55/M6</f>
        <v/>
      </c>
    </row>
    <row r="57" ht="15" customHeight="1" s="392">
      <c r="B57" s="384" t="inlineStr">
        <is>
          <t>(−) Increase in net working capital</t>
        </is>
      </c>
      <c r="C57" s="72" t="inlineStr">
        <is>
          <t>$M</t>
        </is>
      </c>
      <c r="D57" s="103">
        <f>'PB CF (Annual)'!Q55/1000</f>
        <v/>
      </c>
      <c r="E57" s="396">
        <f>'PB CF (Annual)'!P55/1000</f>
        <v/>
      </c>
      <c r="F57" s="396">
        <f>'PB CF (Annual)'!O55/1000</f>
        <v/>
      </c>
      <c r="G57" s="396">
        <f>'PB CF (Annual)'!N55/1000</f>
        <v/>
      </c>
      <c r="H57" s="396">
        <f>'PB CF (Annual)'!M55/1000</f>
        <v/>
      </c>
      <c r="I57" s="310">
        <f>'3SM'!I92</f>
        <v/>
      </c>
      <c r="J57" s="311">
        <f>'3SM'!J92</f>
        <v/>
      </c>
      <c r="K57" s="311">
        <f>'3SM'!K92</f>
        <v/>
      </c>
      <c r="L57" s="311">
        <f>'3SM'!L92</f>
        <v/>
      </c>
      <c r="M57" s="311">
        <f>'3SM'!M92</f>
        <v/>
      </c>
      <c r="P57" s="252" t="inlineStr">
        <is>
          <t>From the 3SM row 92 (selected ΔNWC method, 3SM D163); row 62 implied</t>
        </is>
      </c>
    </row>
    <row r="58" ht="15" customHeight="1" s="392">
      <c r="B58" s="408" t="inlineStr">
        <is>
          <t xml:space="preserve">   Increase in NWC as % of revenue (reads the 3SM)</t>
        </is>
      </c>
      <c r="C58" s="72" t="inlineStr">
        <is>
          <t>%</t>
        </is>
      </c>
      <c r="D58" s="85" t="n"/>
      <c r="E58" s="384" t="n"/>
      <c r="F58" s="384" t="n"/>
      <c r="G58" s="384" t="n"/>
      <c r="H58" s="384" t="n"/>
      <c r="I58" s="424">
        <f>-I57/I6</f>
        <v/>
      </c>
      <c r="J58" s="425">
        <f>-J57/J6</f>
        <v/>
      </c>
      <c r="K58" s="425">
        <f>-K57/K6</f>
        <v/>
      </c>
      <c r="L58" s="425">
        <f>-L57/L6</f>
        <v/>
      </c>
      <c r="M58" s="425">
        <f>-M57/M6</f>
        <v/>
      </c>
    </row>
    <row r="59" ht="15" customHeight="1" s="392">
      <c r="B59" s="128" t="inlineStr">
        <is>
          <t>Unlevered free cash flow</t>
        </is>
      </c>
      <c r="C59" s="129" t="inlineStr">
        <is>
          <t>$M</t>
        </is>
      </c>
      <c r="D59" s="130">
        <f>D51+D52+D53+D55+D57</f>
        <v/>
      </c>
      <c r="E59" s="131">
        <f>E51+E52+E53+E55+E57</f>
        <v/>
      </c>
      <c r="F59" s="131">
        <f>F51+F52+F53+F55+F57</f>
        <v/>
      </c>
      <c r="G59" s="131">
        <f>G51+G52+G53+G55+G57</f>
        <v/>
      </c>
      <c r="H59" s="131">
        <f>H51+H52+H53+H55+H57</f>
        <v/>
      </c>
      <c r="I59" s="132">
        <f>I51+I52+I53+I55+I57</f>
        <v/>
      </c>
      <c r="J59" s="131">
        <f>J51+J52+J53+J55+J57</f>
        <v/>
      </c>
      <c r="K59" s="131">
        <f>K51+K52+K53+K55+K57</f>
        <v/>
      </c>
      <c r="L59" s="131">
        <f>L51+L52+L53+L55+L57</f>
        <v/>
      </c>
      <c r="M59" s="131">
        <f>M51+M52+M53+M55+M57</f>
        <v/>
      </c>
      <c r="N59" s="391">
        <f>(M59/H59)^(1/5)-1</f>
        <v/>
      </c>
    </row>
    <row r="60" ht="15" customHeight="1" s="392">
      <c r="B60" s="77" t="inlineStr">
        <is>
          <t xml:space="preserve">   FCF conversion (UFCF / EBITDA)</t>
        </is>
      </c>
      <c r="C60" s="72" t="inlineStr">
        <is>
          <t>%</t>
        </is>
      </c>
      <c r="D60" s="97">
        <f>D59/D31</f>
        <v/>
      </c>
      <c r="E60" s="395">
        <f>E59/E31</f>
        <v/>
      </c>
      <c r="F60" s="395">
        <f>F59/F31</f>
        <v/>
      </c>
      <c r="G60" s="395">
        <f>G59/G31</f>
        <v/>
      </c>
      <c r="H60" s="395">
        <f>H59/H31</f>
        <v/>
      </c>
      <c r="I60" s="80">
        <f>I59/I31</f>
        <v/>
      </c>
      <c r="J60" s="395">
        <f>J59/J31</f>
        <v/>
      </c>
      <c r="K60" s="395">
        <f>K59/K31</f>
        <v/>
      </c>
      <c r="L60" s="395">
        <f>L59/L31</f>
        <v/>
      </c>
      <c r="M60" s="395">
        <f>M59/M31</f>
        <v/>
      </c>
    </row>
    <row r="62" ht="15" customHeight="1" s="392">
      <c r="B62" s="207" t="inlineStr">
        <is>
          <t>Discount period (30 Sep 2026)</t>
        </is>
      </c>
      <c r="C62" s="72" t="inlineStr">
        <is>
          <t>yrs</t>
        </is>
      </c>
      <c r="D62" s="85" t="n"/>
      <c r="E62" s="384" t="n"/>
      <c r="F62" s="384" t="n"/>
      <c r="G62" s="384" t="n"/>
      <c r="H62" s="384" t="n"/>
      <c r="I62" s="133" t="n">
        <v>0.42</v>
      </c>
      <c r="J62" s="134" t="n">
        <v>1.42</v>
      </c>
      <c r="K62" s="134" t="n">
        <v>2.42</v>
      </c>
      <c r="L62" s="134" t="n">
        <v>3.42</v>
      </c>
      <c r="M62" s="134" t="n">
        <v>4.42</v>
      </c>
    </row>
    <row r="63" ht="15" customHeight="1" s="392">
      <c r="B63" s="81" t="inlineStr">
        <is>
          <t>Discount factor</t>
        </is>
      </c>
      <c r="C63" s="72" t="inlineStr">
        <is>
          <t>x</t>
        </is>
      </c>
      <c r="D63" s="85" t="n"/>
      <c r="E63" s="384" t="n"/>
      <c r="F63" s="384" t="n"/>
      <c r="G63" s="384" t="n"/>
      <c r="H63" s="384" t="n"/>
      <c r="I63" s="135">
        <f>1/(1+'WACC, Tax, and Reverse DCF'!N31)^I62</f>
        <v/>
      </c>
      <c r="J63" s="136">
        <f>1/(1+'WACC, Tax, and Reverse DCF'!N31)^J62</f>
        <v/>
      </c>
      <c r="K63" s="136">
        <f>1/(1+'WACC, Tax, and Reverse DCF'!N31)^K62</f>
        <v/>
      </c>
      <c r="L63" s="136">
        <f>1/(1+'WACC, Tax, and Reverse DCF'!N31)^L62</f>
        <v/>
      </c>
      <c r="M63" s="136">
        <f>1/(1+'WACC, Tax, and Reverse DCF'!N31)^M62</f>
        <v/>
      </c>
    </row>
    <row r="64" ht="15" customHeight="1" s="392">
      <c r="B64" s="137" t="inlineStr">
        <is>
          <t>PV of UFCF</t>
        </is>
      </c>
      <c r="C64" s="138" t="inlineStr">
        <is>
          <t>$M</t>
        </is>
      </c>
      <c r="D64" s="139" t="n"/>
      <c r="E64" s="64" t="n"/>
      <c r="F64" s="64" t="n"/>
      <c r="G64" s="64" t="n"/>
      <c r="H64" s="64" t="n"/>
      <c r="I64" s="140">
        <f>I59*I63</f>
        <v/>
      </c>
      <c r="J64" s="141">
        <f>J59*J63</f>
        <v/>
      </c>
      <c r="K64" s="141">
        <f>K59*K63</f>
        <v/>
      </c>
      <c r="L64" s="141">
        <f>L59*L63</f>
        <v/>
      </c>
      <c r="M64" s="141">
        <f>M59*M63</f>
        <v/>
      </c>
    </row>
    <row r="66" ht="15" customHeight="1" s="392">
      <c r="B66" s="117" t="inlineStr">
        <is>
          <t>Cash roll-forward (for interest income; simplified)</t>
        </is>
      </c>
      <c r="C66" s="118" t="n"/>
      <c r="D66" s="118" t="n"/>
      <c r="E66" s="118" t="n"/>
      <c r="F66" s="118" t="n"/>
      <c r="G66" s="118" t="n"/>
      <c r="H66" s="118" t="n"/>
      <c r="I66" s="118" t="n"/>
      <c r="J66" s="118" t="n"/>
      <c r="K66" s="118" t="n"/>
      <c r="L66" s="118" t="n"/>
      <c r="M66" s="118" t="n"/>
      <c r="P66" t="inlineStr">
        <is>
          <t>to calculate interest income</t>
        </is>
      </c>
    </row>
    <row r="67" ht="15" customHeight="1" s="392">
      <c r="B67" s="384" t="inlineStr">
        <is>
          <t>Beginning cash &amp; investments</t>
        </is>
      </c>
      <c r="C67" s="72" t="inlineStr">
        <is>
          <t>$M</t>
        </is>
      </c>
      <c r="D67" s="85" t="n"/>
      <c r="E67" s="384" t="n"/>
      <c r="F67" s="384" t="n"/>
      <c r="G67" s="384" t="n"/>
      <c r="H67" s="384" t="n"/>
      <c r="I67" s="91">
        <f>H72</f>
        <v/>
      </c>
      <c r="J67" s="397">
        <f>I72</f>
        <v/>
      </c>
      <c r="K67" s="397">
        <f>J72</f>
        <v/>
      </c>
      <c r="L67" s="397">
        <f>K72</f>
        <v/>
      </c>
      <c r="M67" s="397">
        <f>L72</f>
        <v/>
      </c>
      <c r="P67" t="inlineStr">
        <is>
          <t>beginnning cash + cash inflow - share buybacks - ACV acquisition</t>
        </is>
      </c>
    </row>
    <row r="68" ht="15" customHeight="1" s="392">
      <c r="B68" s="384" t="inlineStr">
        <is>
          <t>(+) UFCF + after-tax interest</t>
        </is>
      </c>
      <c r="C68" s="72" t="inlineStr">
        <is>
          <t>$M</t>
        </is>
      </c>
      <c r="D68" s="85" t="n"/>
      <c r="E68" s="384" t="n"/>
      <c r="F68" s="384" t="n"/>
      <c r="G68" s="384" t="n"/>
      <c r="H68" s="384" t="n"/>
      <c r="I68" s="91">
        <f>I59+I34*(1-I38)</f>
        <v/>
      </c>
      <c r="J68" s="397">
        <f>J59+J34*(1-J38)</f>
        <v/>
      </c>
      <c r="K68" s="397">
        <f>K59+K34*(1-K38)</f>
        <v/>
      </c>
      <c r="L68" s="397">
        <f>L59+L34*(1-L38)</f>
        <v/>
      </c>
      <c r="M68" s="397">
        <f>M59+M34*(1-M38)</f>
        <v/>
      </c>
    </row>
    <row r="69" ht="15" customHeight="1" s="392">
      <c r="B69" s="384" t="inlineStr">
        <is>
          <t>(−) Share repurchases</t>
        </is>
      </c>
      <c r="C69" s="72" t="inlineStr">
        <is>
          <t>$M</t>
        </is>
      </c>
      <c r="D69" s="85" t="n"/>
      <c r="E69" s="384" t="n"/>
      <c r="F69" s="384" t="n"/>
      <c r="G69" s="384" t="n"/>
      <c r="H69" s="142" t="n">
        <v>1632.5</v>
      </c>
      <c r="I69" s="143" t="n">
        <v>600</v>
      </c>
      <c r="J69" s="142" t="n">
        <v>600</v>
      </c>
      <c r="K69" s="142" t="n">
        <v>600</v>
      </c>
      <c r="L69" s="142" t="n">
        <v>600</v>
      </c>
      <c r="M69" s="142" t="n">
        <v>600</v>
      </c>
    </row>
    <row r="70" ht="15" customHeight="1" s="392">
      <c r="B70" s="81" t="inlineStr">
        <is>
          <t>Average repurchase price</t>
        </is>
      </c>
      <c r="C70" s="72" t="inlineStr">
        <is>
          <t>$</t>
        </is>
      </c>
      <c r="D70" s="85" t="n"/>
      <c r="E70" s="384" t="n"/>
      <c r="F70" s="384" t="n"/>
      <c r="G70" s="384" t="n"/>
      <c r="H70" s="144" t="n">
        <v>37.6</v>
      </c>
      <c r="I70" s="145" t="n">
        <v>32</v>
      </c>
      <c r="J70" s="144" t="n">
        <v>34</v>
      </c>
      <c r="K70" s="144" t="n">
        <v>36</v>
      </c>
      <c r="L70" s="144" t="n">
        <v>38</v>
      </c>
      <c r="M70" s="144" t="n">
        <v>40</v>
      </c>
    </row>
    <row r="71" ht="15" customHeight="1" s="392">
      <c r="B71" s="208" t="inlineStr">
        <is>
          <t>(−) ACV Auctions acquisition (toggle)</t>
        </is>
      </c>
      <c r="C71" s="72" t="inlineStr">
        <is>
          <t>$M</t>
        </is>
      </c>
      <c r="D71" s="85" t="n"/>
      <c r="E71" s="384" t="n"/>
      <c r="F71" s="384" t="n"/>
      <c r="G71" s="384" t="n"/>
      <c r="H71" s="384" t="n"/>
      <c r="I71" s="91">
        <f>IF(AND($H$100=1,I$5=$I$102),$H$101,0)</f>
        <v/>
      </c>
      <c r="J71" s="397">
        <f>IF(AND($H$100=1,J$5=$I$102),$H$101,0)</f>
        <v/>
      </c>
      <c r="K71" s="397">
        <f>IF(AND($H$100=1,K$5=$I$102),$H$101,0)</f>
        <v/>
      </c>
      <c r="L71" s="397">
        <f>IF(AND($H$100=1,L$5=$I$102),$H$101,0)</f>
        <v/>
      </c>
      <c r="M71" s="397">
        <f>IF(AND($H$100=1,M$5=$I$102),$H$101,0)</f>
        <v/>
      </c>
      <c r="P71" t="inlineStr">
        <is>
          <t>can be toggled to consider/ignore -- H115</t>
        </is>
      </c>
    </row>
    <row r="72" ht="15" customHeight="1" s="392">
      <c r="B72" s="98" t="inlineStr">
        <is>
          <t>Ending cash &amp; investments</t>
        </is>
      </c>
      <c r="C72" s="99" t="inlineStr">
        <is>
          <t>$M</t>
        </is>
      </c>
      <c r="D72" s="146" t="n"/>
      <c r="E72" s="147" t="n"/>
      <c r="F72" s="147" t="n"/>
      <c r="G72" s="147" t="n"/>
      <c r="H72" s="360">
        <f>Cover!D12</f>
        <v/>
      </c>
      <c r="I72" s="102">
        <f>I67+I68-I69-I71</f>
        <v/>
      </c>
      <c r="J72" s="101">
        <f>J67+J68-J69-J71</f>
        <v/>
      </c>
      <c r="K72" s="101">
        <f>K67+K68-K69-K71</f>
        <v/>
      </c>
      <c r="L72" s="101">
        <f>L67+L68-L69-L71</f>
        <v/>
      </c>
      <c r="M72" s="101">
        <f>M67+M68-M69-M71</f>
        <v/>
      </c>
      <c r="P72" s="252" t="inlineStr">
        <is>
          <t>Opening cash &amp; HTM from the Cover key statistics</t>
        </is>
      </c>
    </row>
    <row r="75">
      <c r="B75" s="117" t="inlineStr">
        <is>
          <t>Terminal value &amp; valuation</t>
        </is>
      </c>
      <c r="C75" s="118" t="n"/>
      <c r="D75" s="118" t="n"/>
      <c r="E75" s="118" t="n"/>
      <c r="F75" s="118" t="n"/>
      <c r="G75" s="118" t="n"/>
      <c r="H75" s="118" t="n"/>
      <c r="I75" s="118" t="n"/>
      <c r="J75" s="118" t="n"/>
      <c r="K75" s="118" t="n"/>
      <c r="L75" s="118" t="n"/>
      <c r="M75" s="118" t="n"/>
    </row>
    <row r="76" ht="15" customHeight="1" s="392">
      <c r="B76" s="208" t="inlineStr">
        <is>
          <t>Method (1 = exit multiple, 2 = perpetuity growth)</t>
        </is>
      </c>
      <c r="H76" s="150" t="n">
        <v>1</v>
      </c>
    </row>
    <row r="77" ht="15" customHeight="1" s="392">
      <c r="B77" s="384" t="inlineStr">
        <is>
          <t>Exit EV / EBITDA multiple</t>
        </is>
      </c>
      <c r="H77" s="467" t="n">
        <v>10</v>
      </c>
    </row>
    <row r="78" ht="15" customHeight="1" s="392">
      <c r="B78" s="384" t="inlineStr">
        <is>
          <t>Perpetuity growth rate</t>
        </is>
      </c>
      <c r="H78" s="148" t="n">
        <v>0.03</v>
      </c>
    </row>
    <row r="79" ht="15" customHeight="1" s="392">
      <c r="B79" s="384" t="inlineStr">
        <is>
          <t>Terminal year EBITDA (FY2031E)</t>
        </is>
      </c>
      <c r="H79" s="397">
        <f>M31</f>
        <v/>
      </c>
    </row>
    <row r="80" ht="15" customHeight="1" s="392">
      <c r="B80" s="384" t="inlineStr">
        <is>
          <t>Terminal year UFCF (FY2031E)</t>
        </is>
      </c>
      <c r="H80" s="397">
        <f>M59</f>
        <v/>
      </c>
    </row>
    <row r="81" ht="15" customHeight="1" s="392">
      <c r="B81" s="208" t="inlineStr">
        <is>
          <t>Terminal value -- exit multiple</t>
        </is>
      </c>
      <c r="H81" s="397">
        <f>H77*H79</f>
        <v/>
      </c>
    </row>
    <row r="82" ht="15" customHeight="1" s="392">
      <c r="B82" s="208" t="inlineStr">
        <is>
          <t>Terminal value -- perpetuity</t>
        </is>
      </c>
      <c r="H82" s="397">
        <f>H80*(1+H78)/('WACC, Tax, and Reverse DCF'!N31-H78)</f>
        <v/>
      </c>
    </row>
    <row r="83" ht="15" customHeight="1" s="392">
      <c r="B83" s="71" t="inlineStr">
        <is>
          <t>Terminal value (selected)</t>
        </is>
      </c>
      <c r="H83" s="393">
        <f>IF(H76=1,H81,H82)</f>
        <v/>
      </c>
    </row>
    <row r="84" ht="15" customHeight="1" s="392">
      <c r="B84" s="77" t="inlineStr">
        <is>
          <t xml:space="preserve">   implied exit multiple / implied perpetuity growth</t>
        </is>
      </c>
      <c r="G84" s="152">
        <f>H83/H79</f>
        <v/>
      </c>
      <c r="H84" s="153">
        <f>(H83*'WACC, Tax, and Reverse DCF'!N31-H80)/(H83+H80)</f>
        <v/>
      </c>
    </row>
    <row r="85" ht="15" customHeight="1" s="392">
      <c r="B85" s="384" t="inlineStr">
        <is>
          <t>PV of terminal value</t>
        </is>
      </c>
      <c r="H85" s="397">
        <f>H83*M63</f>
        <v/>
      </c>
    </row>
    <row r="86" ht="15" customHeight="1" s="392">
      <c r="B86" s="208" t="inlineStr">
        <is>
          <t>PV of explicit UFCF (FY27-FY31)</t>
        </is>
      </c>
      <c r="H86" s="397">
        <f>SUM(I64:M64)</f>
        <v/>
      </c>
    </row>
    <row r="87" ht="15" customHeight="1" s="392">
      <c r="B87" s="98" t="inlineStr">
        <is>
          <t>Enterprise value</t>
        </is>
      </c>
      <c r="H87" s="101">
        <f>H85+H86</f>
        <v/>
      </c>
    </row>
    <row r="88" ht="15" customHeight="1" s="392">
      <c r="B88" s="77" t="inlineStr">
        <is>
          <t xml:space="preserve">   terminal value as % of EV</t>
        </is>
      </c>
      <c r="H88" s="395">
        <f>H85/H87</f>
        <v/>
      </c>
    </row>
    <row r="90" ht="15" customHeight="1" s="392">
      <c r="B90" s="117" t="inlineStr">
        <is>
          <t>Equity bridge</t>
        </is>
      </c>
      <c r="C90" s="118" t="n"/>
      <c r="D90" s="118" t="n"/>
      <c r="E90" s="118" t="n"/>
      <c r="F90" s="118" t="n"/>
      <c r="G90" s="118" t="n"/>
      <c r="H90" s="118" t="n"/>
      <c r="I90" s="118" t="n"/>
      <c r="J90" s="118" t="n"/>
      <c r="K90" s="118" t="n"/>
      <c r="L90" s="118" t="n"/>
      <c r="M90" s="118" t="n"/>
    </row>
    <row r="91" ht="15" customHeight="1" s="392">
      <c r="B91" s="384" t="inlineStr">
        <is>
          <t>Enterprise value</t>
        </is>
      </c>
      <c r="H91" s="397">
        <f>H87</f>
        <v/>
      </c>
    </row>
    <row r="92" ht="15" customHeight="1" s="392">
      <c r="B92" s="384" t="inlineStr">
        <is>
          <t>(+) Cash &amp; HTM securities, 31 Jul 2026</t>
        </is>
      </c>
      <c r="H92" s="311">
        <f>Cover!D12</f>
        <v/>
      </c>
      <c r="P92" s="252" t="inlineStr">
        <is>
          <t>Rows 107–109, 112 and 118 read the Cover key statistics (cash &amp; HTM, lease debt, NCI, fully diluted shares, price)</t>
        </is>
      </c>
    </row>
    <row r="93" ht="15" customHeight="1" s="392">
      <c r="B93" s="384" t="inlineStr">
        <is>
          <t>(−) Total debt (finance leases)</t>
        </is>
      </c>
      <c r="H93" s="311">
        <f>-Cover!D13</f>
        <v/>
      </c>
    </row>
    <row r="94" ht="15" customHeight="1" s="392">
      <c r="B94" s="384" t="inlineStr">
        <is>
          <t>(−) Non-controlling interest</t>
        </is>
      </c>
      <c r="H94" s="311">
        <f>-Cover!D14</f>
        <v/>
      </c>
    </row>
    <row r="95" ht="15" customHeight="1" s="392">
      <c r="B95" s="384" t="inlineStr">
        <is>
          <t>(−) ACV Auctions cash consideration (if toggle on and not yet closed)</t>
        </is>
      </c>
      <c r="H95" s="397">
        <f>-IF(H100=1,H101,0)</f>
        <v/>
      </c>
    </row>
    <row r="96" ht="15" customHeight="1" s="392">
      <c r="B96" s="98" t="inlineStr">
        <is>
          <t>Equity value</t>
        </is>
      </c>
      <c r="H96" s="101">
        <f>SUM(H91:H95)</f>
        <v/>
      </c>
    </row>
    <row r="97" ht="15" customHeight="1" s="392">
      <c r="B97" s="254" t="inlineStr">
        <is>
          <t>Fully diluted shares (M) — Cover key statistics</t>
        </is>
      </c>
      <c r="H97" s="294">
        <f>Cover!D15</f>
        <v/>
      </c>
    </row>
    <row r="98" ht="15" customHeight="1" s="392">
      <c r="B98" s="154" t="inlineStr">
        <is>
          <t>Implied share price</t>
        </is>
      </c>
      <c r="H98" s="155">
        <f>H96/H97</f>
        <v/>
      </c>
    </row>
    <row r="99" ht="15" customHeight="1" s="392">
      <c r="B99" s="384" t="inlineStr">
        <is>
          <t>Upside / (downside) vs. current</t>
        </is>
      </c>
      <c r="H99" s="123">
        <f>H98/H103-1</f>
        <v/>
      </c>
    </row>
    <row r="100" ht="15" customHeight="1" s="392">
      <c r="B100" s="384" t="inlineStr">
        <is>
          <t>ACV toggle (1 = include cash outflow)</t>
        </is>
      </c>
      <c r="H100" s="150" t="n">
        <v>1</v>
      </c>
    </row>
    <row r="101" ht="15" customHeight="1" s="392">
      <c r="B101" s="384" t="inlineStr">
        <is>
          <t>ACV consideration ($M)</t>
        </is>
      </c>
      <c r="H101" s="156" t="n">
        <v>1900</v>
      </c>
    </row>
    <row r="102" ht="15" customHeight="1" s="392">
      <c r="B102" s="384" t="inlineStr">
        <is>
          <t>ACV closes in fiscal year</t>
        </is>
      </c>
      <c r="I102" s="150" t="inlineStr">
        <is>
          <t>FY2027E</t>
        </is>
      </c>
    </row>
    <row r="103" ht="15" customHeight="1" s="392">
      <c r="B103" s="384" t="inlineStr">
        <is>
          <t>Current share price (26 Sep 2026)</t>
        </is>
      </c>
      <c r="H103" s="316">
        <f>Cover!D6</f>
        <v/>
      </c>
      <c r="P103" s="252" t="inlineStr">
        <is>
          <t>Type the price on the Cover (D6), not here</t>
        </is>
      </c>
    </row>
    <row r="104" ht="15" customHeight="1" s="392">
      <c r="B104" s="77" t="inlineStr">
        <is>
          <t>Current market cap / EV</t>
        </is>
      </c>
      <c r="G104" s="157">
        <f>H103*H97</f>
        <v/>
      </c>
      <c r="H104" s="157">
        <f>G104-H92-H93-H94</f>
        <v/>
      </c>
    </row>
    <row r="105" ht="15" customHeight="1" s="392">
      <c r="B105" s="77" t="inlineStr">
        <is>
          <t>Current P/E (FY26A) / EV/EBITDA (FY26A)</t>
        </is>
      </c>
      <c r="G105" s="152">
        <f>H103/H41</f>
        <v/>
      </c>
      <c r="H105" s="152">
        <f>H104/H31</f>
        <v/>
      </c>
    </row>
    <row r="107" ht="15" customHeight="1" s="392">
      <c r="B107" s="210" t="inlineStr">
        <is>
          <t>Sensitivity -- implied share price: exit multiple (down) x WACC (across)</t>
        </is>
      </c>
      <c r="C107" s="118" t="n"/>
      <c r="D107" s="118" t="n"/>
      <c r="E107" s="118" t="n"/>
      <c r="F107" s="118" t="n"/>
      <c r="G107" s="118" t="n"/>
      <c r="H107" s="118" t="n"/>
      <c r="I107" s="118" t="n"/>
      <c r="J107" s="118" t="n"/>
      <c r="K107" s="118" t="n"/>
      <c r="L107" s="118" t="n"/>
      <c r="M107" s="118" t="n"/>
    </row>
    <row r="108" ht="15" customHeight="1" s="392">
      <c r="B108" s="158" t="inlineStr">
        <is>
          <t>Exit multiple \ WACC</t>
        </is>
      </c>
      <c r="D108" s="426">
        <f>'WACC, Tax, and Reverse DCF'!$N$31+(-0.01)</f>
        <v/>
      </c>
      <c r="E108" s="426">
        <f>'WACC, Tax, and Reverse DCF'!$N$31+(-0.005)</f>
        <v/>
      </c>
      <c r="F108" s="426">
        <f>'WACC, Tax, and Reverse DCF'!$N$31+(0)</f>
        <v/>
      </c>
      <c r="G108" s="426">
        <f>'WACC, Tax, and Reverse DCF'!$N$31+(0.005)</f>
        <v/>
      </c>
      <c r="H108" s="426">
        <f>'WACC, Tax, and Reverse DCF'!$N$31+(0.01)</f>
        <v/>
      </c>
    </row>
    <row r="109" ht="15" customHeight="1" s="392">
      <c r="C109" s="160" t="n">
        <v>8</v>
      </c>
      <c r="D109" s="161">
        <f>(($C109*$H$79)/(1+D$108)^$M$62+SUMPRODUCT($I$59:$M$59,1/(1+D$108)^$I$62:$M$62)+$H$92+$H$93+$H$94+$H$95)/$H$97</f>
        <v/>
      </c>
      <c r="E109" s="161">
        <f>(($C109*$H$79)/(1+E$108)^$M$62+SUMPRODUCT($I$59:$M$59,1/(1+E$108)^$I$62:$M$62)+$H$92+$H$93+$H$94+$H$95)/$H$97</f>
        <v/>
      </c>
      <c r="F109" s="161">
        <f>(($C109*$H$79)/(1+F$108)^$M$62+SUMPRODUCT($I$59:$M$59,1/(1+F$108)^$I$62:$M$62)+$H$92+$H$93+$H$94+$H$95)/$H$97</f>
        <v/>
      </c>
      <c r="G109" s="161">
        <f>(($C109*$H$79)/(1+G$108)^$M$62+SUMPRODUCT($I$59:$M$59,1/(1+G$108)^$I$62:$M$62)+$H$92+$H$93+$H$94+$H$95)/$H$97</f>
        <v/>
      </c>
      <c r="H109" s="161">
        <f>(($C109*$H$79)/(1+H$108)^$M$62+SUMPRODUCT($I$59:$M$59,1/(1+H$108)^$I$62:$M$62)+$H$92+$H$93+$H$94+$H$95)/$H$97</f>
        <v/>
      </c>
    </row>
    <row r="110" ht="15" customHeight="1" s="392">
      <c r="C110" s="160" t="n">
        <v>10</v>
      </c>
      <c r="D110" s="161">
        <f>(($C110*$H$79)/(1+D$108)^$M$62+SUMPRODUCT($I$59:$M$59,1/(1+D$108)^$I$62:$M$62)+$H$92+$H$93+$H$94+$H$95)/$H$97</f>
        <v/>
      </c>
      <c r="E110" s="161">
        <f>(($C110*$H$79)/(1+E$108)^$M$62+SUMPRODUCT($I$59:$M$59,1/(1+E$108)^$I$62:$M$62)+$H$92+$H$93+$H$94+$H$95)/$H$97</f>
        <v/>
      </c>
      <c r="F110" s="161">
        <f>(($C110*$H$79)/(1+F$108)^$M$62+SUMPRODUCT($I$59:$M$59,1/(1+F$108)^$I$62:$M$62)+$H$92+$H$93+$H$94+$H$95)/$H$97</f>
        <v/>
      </c>
      <c r="G110" s="161">
        <f>(($C110*$H$79)/(1+G$108)^$M$62+SUMPRODUCT($I$59:$M$59,1/(1+G$108)^$I$62:$M$62)+$H$92+$H$93+$H$94+$H$95)/$H$97</f>
        <v/>
      </c>
      <c r="H110" s="161">
        <f>(($C110*$H$79)/(1+H$108)^$M$62+SUMPRODUCT($I$59:$M$59,1/(1+H$108)^$I$62:$M$62)+$H$92+$H$93+$H$94+$H$95)/$H$97</f>
        <v/>
      </c>
    </row>
    <row r="111" ht="15" customHeight="1" s="392">
      <c r="C111" s="160" t="n">
        <v>12.5</v>
      </c>
      <c r="D111" s="161">
        <f>(($C111*$H$79)/(1+D$108)^$M$62+SUMPRODUCT($I$59:$M$59,1/(1+D$108)^$I$62:$M$62)+$H$92+$H$93+$H$94+$H$95)/$H$97</f>
        <v/>
      </c>
      <c r="E111" s="161">
        <f>(($C111*$H$79)/(1+E$108)^$M$62+SUMPRODUCT($I$59:$M$59,1/(1+E$108)^$I$62:$M$62)+$H$92+$H$93+$H$94+$H$95)/$H$97</f>
        <v/>
      </c>
      <c r="F111" s="162">
        <f>(($C111*$H$79)/(1+F$108)^$M$62+SUMPRODUCT($I$59:$M$59,1/(1+F$108)^$I$62:$M$62)+$H$92+$H$93+$H$94+$H$95)/$H$97</f>
        <v/>
      </c>
      <c r="G111" s="161">
        <f>(($C111*$H$79)/(1+G$108)^$M$62+SUMPRODUCT($I$59:$M$59,1/(1+G$108)^$I$62:$M$62)+$H$92+$H$93+$H$94+$H$95)/$H$97</f>
        <v/>
      </c>
      <c r="H111" s="161">
        <f>(($C111*$H$79)/(1+H$108)^$M$62+SUMPRODUCT($I$59:$M$59,1/(1+H$108)^$I$62:$M$62)+$H$92+$H$93+$H$94+$H$95)/$H$97</f>
        <v/>
      </c>
    </row>
    <row r="112" ht="15" customHeight="1" s="392">
      <c r="C112" s="160" t="n">
        <v>15</v>
      </c>
      <c r="D112" s="161">
        <f>(($C112*$H$79)/(1+D$108)^$M$62+SUMPRODUCT($I$59:$M$59,1/(1+D$108)^$I$62:$M$62)+$H$92+$H$93+$H$94+$H$95)/$H$97</f>
        <v/>
      </c>
      <c r="E112" s="161">
        <f>(($C112*$H$79)/(1+E$108)^$M$62+SUMPRODUCT($I$59:$M$59,1/(1+E$108)^$I$62:$M$62)+$H$92+$H$93+$H$94+$H$95)/$H$97</f>
        <v/>
      </c>
      <c r="F112" s="161">
        <f>(($C112*$H$79)/(1+F$108)^$M$62+SUMPRODUCT($I$59:$M$59,1/(1+F$108)^$I$62:$M$62)+$H$92+$H$93+$H$94+$H$95)/$H$97</f>
        <v/>
      </c>
      <c r="G112" s="161">
        <f>(($C112*$H$79)/(1+G$108)^$M$62+SUMPRODUCT($I$59:$M$59,1/(1+G$108)^$I$62:$M$62)+$H$92+$H$93+$H$94+$H$95)/$H$97</f>
        <v/>
      </c>
      <c r="H112" s="161">
        <f>(($C112*$H$79)/(1+H$108)^$M$62+SUMPRODUCT($I$59:$M$59,1/(1+H$108)^$I$62:$M$62)+$H$92+$H$93+$H$94+$H$95)/$H$97</f>
        <v/>
      </c>
    </row>
    <row r="113" ht="15" customHeight="1" s="392">
      <c r="C113" s="160" t="n">
        <v>18</v>
      </c>
      <c r="D113" s="161">
        <f>(($C113*$H$79)/(1+D$108)^$M$62+SUMPRODUCT($I$59:$M$59,1/(1+D$108)^$I$62:$M$62)+$H$92+$H$93+$H$94+$H$95)/$H$97</f>
        <v/>
      </c>
      <c r="E113" s="161">
        <f>(($C113*$H$79)/(1+E$108)^$M$62+SUMPRODUCT($I$59:$M$59,1/(1+E$108)^$I$62:$M$62)+$H$92+$H$93+$H$94+$H$95)/$H$97</f>
        <v/>
      </c>
      <c r="F113" s="161">
        <f>(($C113*$H$79)/(1+F$108)^$M$62+SUMPRODUCT($I$59:$M$59,1/(1+F$108)^$I$62:$M$62)+$H$92+$H$93+$H$94+$H$95)/$H$97</f>
        <v/>
      </c>
      <c r="G113" s="161">
        <f>(($C113*$H$79)/(1+G$108)^$M$62+SUMPRODUCT($I$59:$M$59,1/(1+G$108)^$I$62:$M$62)+$H$92+$H$93+$H$94+$H$95)/$H$97</f>
        <v/>
      </c>
      <c r="H113" s="161">
        <f>(($C113*$H$79)/(1+H$108)^$M$62+SUMPRODUCT($I$59:$M$59,1/(1+H$108)^$I$62:$M$62)+$H$92+$H$93+$H$94+$H$95)/$H$97</f>
        <v/>
      </c>
    </row>
    <row r="116" ht="15" customHeight="1" s="392">
      <c r="B116" s="212" t="inlineStr">
        <is>
          <t>Sensitivity is exit-multiple method only</t>
        </is>
      </c>
    </row>
  </sheetData>
  <mergeCells count="2">
    <mergeCell ref="D4:H4"/>
    <mergeCell ref="I4:M4"/>
  </mergeCells>
  <conditionalFormatting sqref="D109:H113">
    <cfRule type="colorScale" priority="1">
      <colorScale>
        <cfvo type="min"/>
        <cfvo type="percentile" val="50"/>
        <cfvo type="max"/>
        <color rgb="FFF8696B"/>
        <color rgb="FFFFEB84"/>
        <color rgb="FF63BE7B"/>
      </colorScale>
    </cfRule>
  </conditionalFormatting>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tabColor rgb="FF0070C0"/>
    <outlinePr summaryBelow="1" summaryRight="1"/>
    <pageSetUpPr/>
  </sheetPr>
  <dimension ref="A1:T78"/>
  <sheetViews>
    <sheetView showGridLines="0" tabSelected="1" zoomScale="90" zoomScaleNormal="90" workbookViewId="0">
      <pane xSplit="3" ySplit="9" topLeftCell="D16" activePane="bottomRight" state="frozen"/>
      <selection activeCell="E6" sqref="E6"/>
      <selection pane="topRight" activeCell="E6" sqref="E6"/>
      <selection pane="bottomLeft" activeCell="E6" sqref="E6"/>
      <selection pane="bottomRight" activeCell="H36" sqref="H36"/>
    </sheetView>
  </sheetViews>
  <sheetFormatPr baseColWidth="10" defaultColWidth="8.6640625" defaultRowHeight="15"/>
  <cols>
    <col width="2.5" customWidth="1" style="392" min="1" max="1"/>
    <col width="56" customWidth="1" style="392" min="2" max="2"/>
    <col width="8" customWidth="1" style="392" min="3" max="3"/>
    <col width="11.5" customWidth="1" style="392" min="4" max="12"/>
    <col width="2.5" customWidth="1" style="392" min="12" max="12"/>
    <col width="46" customWidth="1" style="392" min="13" max="13"/>
    <col width="13.5" customWidth="1" style="392" min="14" max="14"/>
    <col width="12.5" customWidth="1" style="392" min="15" max="15"/>
    <col width="44" customWidth="1" style="392" min="18" max="18"/>
    <col width="14" customWidth="1" style="392" min="19" max="24"/>
    <col width="40" customWidth="1" style="392" min="20" max="20"/>
  </cols>
  <sheetData>
    <row r="1" ht="15.75" customHeight="1" s="392">
      <c r="B1" s="61" t="inlineStr">
        <is>
          <t>Copart, Inc. — Reverse DCF</t>
        </is>
      </c>
      <c r="C1" s="62" t="n"/>
      <c r="D1" s="62" t="n"/>
      <c r="E1" s="62" t="n"/>
      <c r="F1" s="62" t="n"/>
      <c r="G1" s="62" t="n"/>
      <c r="H1" s="62" t="n"/>
      <c r="I1" s="62" t="n"/>
      <c r="J1" s="62" t="n"/>
      <c r="K1" s="62" t="n"/>
      <c r="L1" s="62" t="n"/>
      <c r="M1" s="62" t="n"/>
    </row>
    <row r="2" ht="15" customHeight="1" s="392">
      <c r="B2" s="63" t="n"/>
    </row>
    <row r="4" ht="15" customHeight="1" s="392">
      <c r="B4" s="210" t="inlineStr">
        <is>
          <t xml:space="preserve">Market-implied case </t>
        </is>
      </c>
      <c r="C4" s="118" t="n"/>
      <c r="D4" s="118" t="n"/>
      <c r="E4" s="118" t="n"/>
      <c r="F4" s="118" t="n"/>
      <c r="G4" s="118" t="n"/>
      <c r="H4" s="118" t="n"/>
      <c r="I4" s="118" t="n"/>
      <c r="J4" s="118" t="n"/>
      <c r="K4" s="118" t="n"/>
      <c r="L4" s="118" t="n"/>
      <c r="M4" s="118" t="n"/>
    </row>
    <row r="5" ht="15" customHeight="1" s="392">
      <c r="B5" s="408" t="inlineStr">
        <is>
          <t>Implied flat revenue growth, FY27–FY28 (solved so the implied price in H51 equals the current price in H52 at the exit multiple in H36)</t>
        </is>
      </c>
      <c r="H5" s="468" t="n">
        <v>0.158089</v>
      </c>
    </row>
    <row r="6" ht="15" customHeight="1" s="392">
      <c r="B6" s="63" t="n"/>
    </row>
    <row r="8" ht="15" customHeight="1" s="392">
      <c r="B8" s="64" t="n"/>
      <c r="C8" s="65" t="inlineStr">
        <is>
          <t>Units</t>
        </is>
      </c>
      <c r="D8" s="371" t="inlineStr">
        <is>
          <t>Historicals</t>
        </is>
      </c>
      <c r="E8" s="418" t="n"/>
      <c r="F8" s="418" t="n"/>
      <c r="G8" s="418" t="n"/>
      <c r="H8" s="418" t="n"/>
      <c r="I8" s="372" t="inlineStr">
        <is>
          <t>Projected</t>
        </is>
      </c>
      <c r="J8" s="366" t="n"/>
      <c r="K8" s="240" t="n"/>
    </row>
    <row r="9" ht="15" customHeight="1" s="392">
      <c r="B9" s="66" t="inlineStr">
        <is>
          <t xml:space="preserve">Income statement </t>
        </is>
      </c>
      <c r="C9" s="67" t="n"/>
      <c r="D9" s="217" t="inlineStr">
        <is>
          <t>FY2022A</t>
        </is>
      </c>
      <c r="E9" s="218" t="inlineStr">
        <is>
          <t>FY2023A</t>
        </is>
      </c>
      <c r="F9" s="218" t="inlineStr">
        <is>
          <t>FY2024A</t>
        </is>
      </c>
      <c r="G9" s="218" t="inlineStr">
        <is>
          <t>FY2025A</t>
        </is>
      </c>
      <c r="H9" s="218" t="inlineStr">
        <is>
          <t>FY2026A</t>
        </is>
      </c>
      <c r="I9" s="219" t="inlineStr">
        <is>
          <t>FY2027E</t>
        </is>
      </c>
      <c r="J9" s="243" t="inlineStr">
        <is>
          <t>FY2028E</t>
        </is>
      </c>
      <c r="K9" s="386" t="inlineStr">
        <is>
          <t>CAGR</t>
        </is>
      </c>
      <c r="L9" s="216" t="n"/>
      <c r="M9" s="216" t="n"/>
      <c r="N9" s="70" t="n"/>
    </row>
    <row r="10" ht="15" customHeight="1" s="392">
      <c r="B10" s="71" t="inlineStr">
        <is>
          <t>Revenue</t>
        </is>
      </c>
      <c r="C10" s="72" t="inlineStr">
        <is>
          <t>$M</t>
        </is>
      </c>
      <c r="D10" s="73">
        <f>'PB IS (Annual)'!Q14/1000</f>
        <v/>
      </c>
      <c r="E10" s="74">
        <f>'PB IS (Annual)'!P14/1000</f>
        <v/>
      </c>
      <c r="F10" s="74">
        <f>'PB IS (Annual)'!O14/1000</f>
        <v/>
      </c>
      <c r="G10" s="74">
        <f>'PB IS (Annual)'!N14/1000</f>
        <v/>
      </c>
      <c r="H10" s="74">
        <f>'PB IS (Annual)'!M14/1000</f>
        <v/>
      </c>
      <c r="I10" s="428">
        <f>H10*(1+$H$5)</f>
        <v/>
      </c>
      <c r="J10" s="429">
        <f>I10*(1+$H$5)</f>
        <v/>
      </c>
      <c r="K10" s="387">
        <f>_xlfn.RRI(3, H10, J10)</f>
        <v/>
      </c>
      <c r="L10" s="215" t="n"/>
      <c r="M10" s="400" t="inlineStr">
        <is>
          <t>WACC build</t>
        </is>
      </c>
      <c r="N10" s="385" t="inlineStr">
        <is>
          <t>Value</t>
        </is>
      </c>
      <c r="O10" s="385" t="inlineStr">
        <is>
          <t>Label</t>
        </is>
      </c>
      <c r="P10" s="317" t="n"/>
      <c r="Q10" s="317" t="n"/>
      <c r="R10" s="317" t="n"/>
    </row>
    <row r="11" ht="15" customHeight="1" s="392">
      <c r="B11" s="81" t="inlineStr">
        <is>
          <t>y/y growth</t>
        </is>
      </c>
      <c r="C11" s="72" t="inlineStr">
        <is>
          <t>%</t>
        </is>
      </c>
      <c r="D11" s="78" t="inlineStr">
        <is>
          <t>--</t>
        </is>
      </c>
      <c r="E11" s="395">
        <f>E10/D10-1</f>
        <v/>
      </c>
      <c r="F11" s="395">
        <f>F10/E10-1</f>
        <v/>
      </c>
      <c r="G11" s="395">
        <f>G10/F10-1</f>
        <v/>
      </c>
      <c r="H11" s="395">
        <f>H10/G10-1</f>
        <v/>
      </c>
      <c r="I11" s="395">
        <f>I10/H10-1</f>
        <v/>
      </c>
      <c r="J11" s="395">
        <f>J10/I10-1</f>
        <v/>
      </c>
      <c r="K11" s="430" t="inlineStr">
        <is>
          <t>–</t>
        </is>
      </c>
      <c r="L11" s="391" t="n"/>
      <c r="M11" s="384" t="inlineStr">
        <is>
          <t>Current share price</t>
        </is>
      </c>
      <c r="N11" s="431">
        <f>Cover!$D$6</f>
        <v/>
      </c>
      <c r="O11" s="409" t="inlineStr">
        <is>
          <t>–</t>
        </is>
      </c>
      <c r="P11" s="409" t="inlineStr">
        <is>
          <t>–</t>
        </is>
      </c>
      <c r="Q11" s="409" t="inlineStr">
        <is>
          <t>–</t>
        </is>
      </c>
      <c r="R11" s="252" t="inlineStr">
        <is>
          <t>Cover D6 — the one typed price in the workbook</t>
        </is>
      </c>
    </row>
    <row r="12">
      <c r="H12" s="226" t="n"/>
      <c r="K12" s="387" t="n"/>
      <c r="M12" s="384" t="inlineStr">
        <is>
          <t>Fully diluted shares, mn</t>
        </is>
      </c>
      <c r="N12" s="404">
        <f>Cover!$D$15</f>
        <v/>
      </c>
      <c r="O12" s="409" t="inlineStr">
        <is>
          <t>–</t>
        </is>
      </c>
      <c r="P12" s="409" t="inlineStr">
        <is>
          <t>–</t>
        </is>
      </c>
      <c r="Q12" s="409" t="inlineStr">
        <is>
          <t>–</t>
        </is>
      </c>
      <c r="R12" s="252" t="inlineStr">
        <is>
          <t>Cover D15: basic + treasury-method options + RSUs (10-K Note 12)</t>
        </is>
      </c>
    </row>
    <row r="13" ht="15" customHeight="1" s="392">
      <c r="B13" s="71" t="inlineStr">
        <is>
          <t>EBITDA</t>
        </is>
      </c>
      <c r="C13" s="72" t="inlineStr">
        <is>
          <t>$M</t>
        </is>
      </c>
      <c r="D13" s="73">
        <f>DCF!D31</f>
        <v/>
      </c>
      <c r="E13" s="74">
        <f>DCF!E31</f>
        <v/>
      </c>
      <c r="F13" s="74">
        <f>DCF!F31</f>
        <v/>
      </c>
      <c r="G13" s="74">
        <f>DCF!G31</f>
        <v/>
      </c>
      <c r="H13" s="227">
        <f>DCF!H31</f>
        <v/>
      </c>
      <c r="I13" s="393">
        <f>I10*I14</f>
        <v/>
      </c>
      <c r="J13" s="393">
        <f>J10*J14</f>
        <v/>
      </c>
      <c r="K13" s="387">
        <f>_xlfn.RRI(3, H13, J13)</f>
        <v/>
      </c>
      <c r="L13" s="393" t="n"/>
      <c r="M13" s="71" t="inlineStr">
        <is>
          <t xml:space="preserve">Market value of equity ($m) </t>
        </is>
      </c>
      <c r="N13" s="319">
        <f>Cover!$D$10</f>
        <v/>
      </c>
      <c r="O13" s="409" t="inlineStr">
        <is>
          <t>–</t>
        </is>
      </c>
      <c r="P13" s="409" t="inlineStr">
        <is>
          <t>–</t>
        </is>
      </c>
      <c r="Q13" s="409" t="inlineStr">
        <is>
          <t>–</t>
        </is>
      </c>
    </row>
    <row r="14" ht="15" customHeight="1" s="392">
      <c r="B14" s="81" t="inlineStr">
        <is>
          <t>EBITDA margin</t>
        </is>
      </c>
      <c r="C14" s="72" t="inlineStr">
        <is>
          <t>%</t>
        </is>
      </c>
      <c r="D14" s="164">
        <f>D13/D10</f>
        <v/>
      </c>
      <c r="E14" s="165">
        <f>E13/E10</f>
        <v/>
      </c>
      <c r="F14" s="165">
        <f>F13/F10</f>
        <v/>
      </c>
      <c r="G14" s="165">
        <f>G13/G10</f>
        <v/>
      </c>
      <c r="H14" s="228">
        <f>H13/H10</f>
        <v/>
      </c>
      <c r="I14" s="96" t="n">
        <v>0.408</v>
      </c>
      <c r="J14" s="96" t="n">
        <v>0.412</v>
      </c>
      <c r="K14" s="430" t="inlineStr">
        <is>
          <t>–</t>
        </is>
      </c>
      <c r="L14" s="394" t="n"/>
      <c r="M14" s="384" t="inlineStr">
        <is>
          <t xml:space="preserve">Debt: lease liabilities ($m), no funded debt </t>
        </is>
      </c>
      <c r="N14" s="261">
        <f>Cover!$D$13</f>
        <v/>
      </c>
      <c r="O14" s="409" t="inlineStr">
        <is>
          <t>–</t>
        </is>
      </c>
      <c r="P14" s="409" t="inlineStr">
        <is>
          <t>–</t>
        </is>
      </c>
      <c r="Q14" s="409" t="inlineStr">
        <is>
          <t>–</t>
        </is>
      </c>
      <c r="R14" s="252" t="inlineStr">
        <is>
          <t>Cover D13 ← 3SM balance sheet; revolver undrawn</t>
        </is>
      </c>
    </row>
    <row r="15" ht="15" customHeight="1" s="392">
      <c r="B15" s="77" t="inlineStr">
        <is>
          <t xml:space="preserve">   y/y growth</t>
        </is>
      </c>
      <c r="C15" s="72" t="inlineStr">
        <is>
          <t>%</t>
        </is>
      </c>
      <c r="D15" s="78" t="inlineStr">
        <is>
          <t>--</t>
        </is>
      </c>
      <c r="E15" s="395">
        <f>E13/D13-1</f>
        <v/>
      </c>
      <c r="F15" s="395">
        <f>F13/E13-1</f>
        <v/>
      </c>
      <c r="G15" s="395">
        <f>G13/F13-1</f>
        <v/>
      </c>
      <c r="H15" s="229">
        <f>H13/G13-1</f>
        <v/>
      </c>
      <c r="I15" s="395">
        <f>I13/H13-1</f>
        <v/>
      </c>
      <c r="J15" s="395">
        <f>J13/I13-1</f>
        <v/>
      </c>
      <c r="K15" s="430" t="inlineStr">
        <is>
          <t>–</t>
        </is>
      </c>
      <c r="L15" s="395" t="n"/>
      <c r="M15" s="254" t="inlineStr">
        <is>
          <t>Weight of equity / weight of debt</t>
        </is>
      </c>
      <c r="N15" s="308">
        <f>N13/(N13+N14)</f>
        <v/>
      </c>
      <c r="O15" s="308">
        <f>N14/(N13+N14)</f>
        <v/>
      </c>
      <c r="P15" s="409" t="inlineStr">
        <is>
          <t>–</t>
        </is>
      </c>
      <c r="Q15" s="409" t="inlineStr">
        <is>
          <t>–</t>
        </is>
      </c>
    </row>
    <row r="16">
      <c r="H16" s="226" t="n"/>
      <c r="K16" s="387" t="n"/>
    </row>
    <row r="17" ht="15" customHeight="1" s="392">
      <c r="B17" s="384" t="inlineStr">
        <is>
          <t>D&amp;A</t>
        </is>
      </c>
      <c r="C17" s="72" t="inlineStr">
        <is>
          <t>$M</t>
        </is>
      </c>
      <c r="D17" s="103">
        <f>DCF!D29</f>
        <v/>
      </c>
      <c r="E17" s="396">
        <f>DCF!E29</f>
        <v/>
      </c>
      <c r="F17" s="396">
        <f>DCF!F29</f>
        <v/>
      </c>
      <c r="G17" s="396">
        <f>DCF!G29</f>
        <v/>
      </c>
      <c r="H17" s="230">
        <f>DCF!H29</f>
        <v/>
      </c>
      <c r="I17" s="224" t="n">
        <v>226</v>
      </c>
      <c r="J17" s="224" t="n">
        <v>234</v>
      </c>
      <c r="K17" s="430" t="inlineStr">
        <is>
          <t>–</t>
        </is>
      </c>
      <c r="L17" s="396" t="n"/>
      <c r="M17" s="408" t="inlineStr">
        <is>
          <t>Risk-free rate (10-yr US Treasury, 1 Oct 2026)</t>
        </is>
      </c>
      <c r="N17" s="320" t="n">
        <v>0.0524</v>
      </c>
      <c r="O17" s="252" t="inlineStr">
        <is>
          <t>VERIFIED</t>
        </is>
      </c>
      <c r="P17" s="409" t="inlineStr">
        <is>
          <t>–</t>
        </is>
      </c>
      <c r="Q17" s="409" t="inlineStr">
        <is>
          <t>–</t>
        </is>
      </c>
      <c r="R17" s="412" t="inlineStr">
        <is>
          <t>Risk-free rate: 10-year US Treasury par yield, 1 Oct 2026. VERIFIED — US Treasury daily par yield curve, raw/discovery_2026-10-02/ust_yield_curve_2026.csv (row 10/01/2026, 10 Yr)</t>
        </is>
      </c>
    </row>
    <row r="18" ht="15" customHeight="1" s="392">
      <c r="B18" s="98" t="inlineStr">
        <is>
          <t>EBIT</t>
        </is>
      </c>
      <c r="C18" s="99" t="inlineStr">
        <is>
          <t>$M</t>
        </is>
      </c>
      <c r="D18" s="100">
        <f>D13-D17</f>
        <v/>
      </c>
      <c r="E18" s="101">
        <f>E13-E17</f>
        <v/>
      </c>
      <c r="F18" s="101">
        <f>F13-F17</f>
        <v/>
      </c>
      <c r="G18" s="101">
        <f>G13-G17</f>
        <v/>
      </c>
      <c r="H18" s="231">
        <f>H13-H17</f>
        <v/>
      </c>
      <c r="I18" s="225">
        <f>I13-I17</f>
        <v/>
      </c>
      <c r="J18" s="225">
        <f>J13-J17</f>
        <v/>
      </c>
      <c r="K18" s="387">
        <f>_xlfn.RRI(3, H18, J18)</f>
        <v/>
      </c>
      <c r="L18" s="393" t="n"/>
      <c r="M18" s="408" t="inlineStr">
        <is>
          <t>Equity risk premium (Damodaran, Jan 2026)</t>
        </is>
      </c>
      <c r="N18" s="320" t="n">
        <v>0.0446</v>
      </c>
      <c r="O18" s="252" t="inlineStr">
        <is>
          <t>VERIFIED</t>
        </is>
      </c>
      <c r="P18" s="409" t="inlineStr">
        <is>
          <t>–</t>
        </is>
      </c>
      <c r="Q18" s="409" t="inlineStr">
        <is>
          <t>–</t>
        </is>
      </c>
      <c r="R18" s="412" t="inlineStr">
        <is>
          <t>Equity risk premium: United States, Damodaran, January 2026. VERIFIED — Damodaran country risk premiums table (Aa1; mature-market 4.23% + 0.23% CRP), raw/discovery_2026-10-02/damodaran_ctryprem.html</t>
        </is>
      </c>
    </row>
    <row r="19" ht="15" customHeight="1" s="392">
      <c r="B19" s="77" t="inlineStr">
        <is>
          <t xml:space="preserve">   y/y growth</t>
        </is>
      </c>
      <c r="C19" s="72" t="inlineStr">
        <is>
          <t>%</t>
        </is>
      </c>
      <c r="D19" s="78" t="inlineStr">
        <is>
          <t>--</t>
        </is>
      </c>
      <c r="E19" s="395">
        <f>E18/D18-1</f>
        <v/>
      </c>
      <c r="F19" s="395">
        <f>F18/E18-1</f>
        <v/>
      </c>
      <c r="G19" s="395">
        <f>G18/F18-1</f>
        <v/>
      </c>
      <c r="H19" s="229">
        <f>H18/G18-1</f>
        <v/>
      </c>
      <c r="I19" s="395">
        <f>I18/H18-1</f>
        <v/>
      </c>
      <c r="J19" s="395">
        <f>J18/I18-1</f>
        <v/>
      </c>
      <c r="K19" s="430" t="inlineStr">
        <is>
          <t>–</t>
        </is>
      </c>
      <c r="L19" s="395" t="n"/>
      <c r="M19" s="408" t="inlineStr">
        <is>
          <t>Industry beta (Damodaran, Jan 2026)</t>
        </is>
      </c>
      <c r="N19" s="249" t="inlineStr">
        <is>
          <t>Levered</t>
        </is>
      </c>
      <c r="O19" s="249" t="inlineStr">
        <is>
          <t>Unlevered</t>
        </is>
      </c>
      <c r="P19" s="249" t="inlineStr">
        <is>
          <t>Cash-corrected</t>
        </is>
      </c>
      <c r="Q19" s="409" t="inlineStr">
        <is>
          <t>–</t>
        </is>
      </c>
      <c r="R19" s="412" t="inlineStr">
        <is>
          <t>Beta (Damodaran, January 2026): levered / unlevered / cash-corrected unlevered. VERIFIED — raw/discovery_2026-10-02/damodaran_betas.html</t>
        </is>
      </c>
    </row>
    <row r="20">
      <c r="H20" s="226" t="n"/>
      <c r="K20" s="387" t="n"/>
      <c r="M20" s="254" t="inlineStr">
        <is>
          <t>Business &amp; Consumer Services (155 firms)</t>
        </is>
      </c>
      <c r="N20" s="321" t="n">
        <v>0.89</v>
      </c>
      <c r="O20" s="321" t="n">
        <v>0.77</v>
      </c>
      <c r="P20" s="321" t="n">
        <v>0.8100000000000001</v>
      </c>
      <c r="Q20" s="409" t="inlineStr">
        <is>
          <t>–</t>
        </is>
      </c>
    </row>
    <row r="21" ht="15" customHeight="1" s="392">
      <c r="B21" s="117" t="inlineStr">
        <is>
          <t>Unlevered free cash flow</t>
        </is>
      </c>
      <c r="C21" s="118" t="n"/>
      <c r="D21" s="118" t="n"/>
      <c r="E21" s="118" t="n"/>
      <c r="F21" s="118" t="n"/>
      <c r="G21" s="118" t="n"/>
      <c r="H21" s="234" t="n"/>
      <c r="I21" s="118" t="n"/>
      <c r="J21" s="118" t="n"/>
      <c r="K21" s="387" t="n"/>
      <c r="L21" s="384" t="n"/>
      <c r="M21" s="254" t="inlineStr">
        <is>
          <t>Retail (Automotive) (34 firms)</t>
        </is>
      </c>
      <c r="N21" s="321" t="n">
        <v>0.9399999999999999</v>
      </c>
      <c r="O21" s="321" t="n">
        <v>0.7</v>
      </c>
      <c r="P21" s="321" t="n">
        <v>0.71</v>
      </c>
      <c r="Q21" s="409" t="inlineStr">
        <is>
          <t>–</t>
        </is>
      </c>
    </row>
    <row r="22" ht="15" customHeight="1" s="392">
      <c r="B22" s="71" t="inlineStr">
        <is>
          <t>EBIT</t>
        </is>
      </c>
      <c r="C22" s="72" t="inlineStr">
        <is>
          <t>$M</t>
        </is>
      </c>
      <c r="D22" s="124">
        <f>D18</f>
        <v/>
      </c>
      <c r="E22" s="393">
        <f>E18</f>
        <v/>
      </c>
      <c r="F22" s="393">
        <f>F18</f>
        <v/>
      </c>
      <c r="G22" s="393">
        <f>G18</f>
        <v/>
      </c>
      <c r="H22" s="235">
        <f>H18</f>
        <v/>
      </c>
      <c r="I22" s="393">
        <f>I18</f>
        <v/>
      </c>
      <c r="J22" s="393">
        <f>J18</f>
        <v/>
      </c>
      <c r="K22" s="387">
        <f>_xlfn.RRI(3, H22, J22)</f>
        <v/>
      </c>
      <c r="L22" s="393" t="n"/>
      <c r="M22" s="254" t="inlineStr">
        <is>
          <t>Auto Parts (35 firms)</t>
        </is>
      </c>
      <c r="N22" s="321" t="n">
        <v>1.34</v>
      </c>
      <c r="O22" s="321" t="n">
        <v>1.02</v>
      </c>
      <c r="P22" s="321" t="n">
        <v>1.13</v>
      </c>
      <c r="Q22" s="409" t="inlineStr">
        <is>
          <t>–</t>
        </is>
      </c>
    </row>
    <row r="23" ht="15" customHeight="1" s="392">
      <c r="B23" s="384" t="inlineStr">
        <is>
          <t>(−) Taxes on EBIT</t>
        </is>
      </c>
      <c r="C23" s="72" t="inlineStr">
        <is>
          <t>$M</t>
        </is>
      </c>
      <c r="D23" s="103">
        <f>-D18*DCF!D38</f>
        <v/>
      </c>
      <c r="E23" s="396">
        <f>-E18*DCF!E38</f>
        <v/>
      </c>
      <c r="F23" s="396">
        <f>-F18*DCF!F38</f>
        <v/>
      </c>
      <c r="G23" s="396">
        <f>-G18*DCF!G38</f>
        <v/>
      </c>
      <c r="H23" s="230">
        <f>-H18*DCF!H38</f>
        <v/>
      </c>
      <c r="I23" s="396">
        <f>-I18*DCF!I38</f>
        <v/>
      </c>
      <c r="J23" s="396">
        <f>-J18*DCF!J38</f>
        <v/>
      </c>
      <c r="K23" s="430" t="inlineStr">
        <is>
          <t>–</t>
        </is>
      </c>
      <c r="L23" s="396" t="n"/>
      <c r="M23" s="254" t="inlineStr">
        <is>
          <t>Transportation (19 firms)</t>
        </is>
      </c>
      <c r="N23" s="321" t="n">
        <v>0.86</v>
      </c>
      <c r="O23" s="321" t="n">
        <v>0.68</v>
      </c>
      <c r="P23" s="321" t="n">
        <v>0.71</v>
      </c>
      <c r="Q23" s="409" t="inlineStr">
        <is>
          <t>–</t>
        </is>
      </c>
    </row>
    <row r="24" ht="15" customHeight="1" s="392">
      <c r="B24" s="98" t="inlineStr">
        <is>
          <t>NOPAT</t>
        </is>
      </c>
      <c r="C24" s="99" t="inlineStr">
        <is>
          <t>$M</t>
        </is>
      </c>
      <c r="D24" s="100">
        <f>D22+D23</f>
        <v/>
      </c>
      <c r="E24" s="101">
        <f>E22+E23</f>
        <v/>
      </c>
      <c r="F24" s="101">
        <f>F22+F23</f>
        <v/>
      </c>
      <c r="G24" s="101">
        <f>G22+G23</f>
        <v/>
      </c>
      <c r="H24" s="231">
        <f>H22+H23</f>
        <v/>
      </c>
      <c r="I24" s="225">
        <f>I22+I23</f>
        <v/>
      </c>
      <c r="J24" s="225">
        <f>J22+J23</f>
        <v/>
      </c>
      <c r="K24" s="387">
        <f>_xlfn.RRI(3, H24, J24)</f>
        <v/>
      </c>
      <c r="L24" s="393" t="n"/>
      <c r="M24" s="254" t="inlineStr">
        <is>
          <t>Total market (5,994 firms)</t>
        </is>
      </c>
      <c r="N24" s="321" t="n">
        <v>0.91</v>
      </c>
      <c r="O24" s="321" t="n">
        <v>0.72</v>
      </c>
      <c r="P24" s="321" t="n">
        <v>0.76</v>
      </c>
      <c r="Q24" s="409" t="inlineStr">
        <is>
          <t>–</t>
        </is>
      </c>
    </row>
    <row r="25" ht="15" customHeight="1" s="392">
      <c r="B25" s="384" t="inlineStr">
        <is>
          <t>(+) D&amp;A</t>
        </is>
      </c>
      <c r="C25" s="72" t="inlineStr">
        <is>
          <t>$M</t>
        </is>
      </c>
      <c r="D25" s="127">
        <f>D17</f>
        <v/>
      </c>
      <c r="E25" s="397">
        <f>E17</f>
        <v/>
      </c>
      <c r="F25" s="397">
        <f>F17</f>
        <v/>
      </c>
      <c r="G25" s="397">
        <f>G17</f>
        <v/>
      </c>
      <c r="H25" s="236">
        <f>H17</f>
        <v/>
      </c>
      <c r="I25" s="397">
        <f>I17</f>
        <v/>
      </c>
      <c r="J25" s="397">
        <f>J17</f>
        <v/>
      </c>
      <c r="K25" s="430" t="inlineStr">
        <is>
          <t>–</t>
        </is>
      </c>
      <c r="L25" s="397" t="n"/>
      <c r="M25" s="408" t="inlineStr">
        <is>
          <t>Peer betas, 5-yr monthly: RBA / KAR / ACVA / CVNA</t>
        </is>
      </c>
      <c r="N25" s="274" t="inlineStr">
        <is>
          <t>RBA</t>
        </is>
      </c>
      <c r="O25" s="274" t="inlineStr">
        <is>
          <t>KAR</t>
        </is>
      </c>
      <c r="P25" s="274" t="inlineStr">
        <is>
          <t>ACVA</t>
        </is>
      </c>
      <c r="Q25" s="274" t="inlineStr">
        <is>
          <t>CVNA</t>
        </is>
      </c>
      <c r="R25" s="412" t="inlineStr">
        <is>
          <t>Peer company betas (5-year monthly): RB Global, OPENLANE, ACV Auctions, Carvana, Copart. NOT OBTAINED — price downloads refused by the only permitted free source's robots file; paste CapIQ or Bloomberg values here (dated) to override the industry beta</t>
        </is>
      </c>
    </row>
    <row r="26" ht="15" customHeight="1" s="392">
      <c r="B26" s="384" t="inlineStr">
        <is>
          <t>(+) Stock-based compensation (DCF % of revenue)</t>
        </is>
      </c>
      <c r="C26" s="72" t="inlineStr">
        <is>
          <t>$M</t>
        </is>
      </c>
      <c r="D26" s="103">
        <f>DCF!D53</f>
        <v/>
      </c>
      <c r="E26" s="396">
        <f>DCF!E53</f>
        <v/>
      </c>
      <c r="F26" s="396">
        <f>DCF!F53</f>
        <v/>
      </c>
      <c r="G26" s="396">
        <f>DCF!G53</f>
        <v/>
      </c>
      <c r="H26" s="230">
        <f>DCF!H53</f>
        <v/>
      </c>
      <c r="I26" s="396">
        <f>I10*DCF!I54</f>
        <v/>
      </c>
      <c r="J26" s="396">
        <f>J10*DCF!J54</f>
        <v/>
      </c>
      <c r="K26" s="430" t="inlineStr">
        <is>
          <t>–</t>
        </is>
      </c>
      <c r="L26" s="396" t="n"/>
      <c r="M26" s="408" t="inlineStr">
        <is>
          <t>Selected unlevered beta (avg of two closest)</t>
        </is>
      </c>
      <c r="N26" s="322">
        <f>AVERAGE(P20,P21)</f>
        <v/>
      </c>
      <c r="O26" s="252" t="inlineStr">
        <is>
          <t>ASSUMED</t>
        </is>
      </c>
      <c r="P26" s="409" t="inlineStr">
        <is>
          <t>–</t>
        </is>
      </c>
      <c r="Q26" s="409" t="inlineStr">
        <is>
          <t>–</t>
        </is>
      </c>
      <c r="R26" s="412" t="inlineStr">
        <is>
          <t>Selected unlevered beta (default: average of the two closest industries, cash-corrected). ASSUMED choice of industries; Copart is an auction-services business with retail-automotive exposure</t>
        </is>
      </c>
    </row>
    <row r="27" ht="15" customHeight="1" s="392">
      <c r="B27" s="384" t="inlineStr">
        <is>
          <t>(−) Capital expenditures (DCF % of revenue)</t>
        </is>
      </c>
      <c r="C27" s="72" t="inlineStr">
        <is>
          <t>$M</t>
        </is>
      </c>
      <c r="D27" s="103">
        <f>DCF!D55</f>
        <v/>
      </c>
      <c r="E27" s="396">
        <f>DCF!E55</f>
        <v/>
      </c>
      <c r="F27" s="396">
        <f>DCF!F55</f>
        <v/>
      </c>
      <c r="G27" s="396">
        <f>DCF!G55</f>
        <v/>
      </c>
      <c r="H27" s="230">
        <f>DCF!H55</f>
        <v/>
      </c>
      <c r="I27" s="396">
        <f>-I10*DCF!I56</f>
        <v/>
      </c>
      <c r="J27" s="396">
        <f>-J10*DCF!J56</f>
        <v/>
      </c>
      <c r="K27" s="430" t="inlineStr">
        <is>
          <t>–</t>
        </is>
      </c>
      <c r="L27" s="396" t="n"/>
      <c r="M27" s="254" t="inlineStr">
        <is>
          <t>Relevered beta = βu × (1 + (1 − t) × D/E)</t>
        </is>
      </c>
      <c r="N27" s="309">
        <f>N26*(1+(1-N39)*N14/N13)</f>
        <v/>
      </c>
      <c r="O27" s="409" t="inlineStr">
        <is>
          <t>–</t>
        </is>
      </c>
      <c r="P27" s="409" t="inlineStr">
        <is>
          <t>–</t>
        </is>
      </c>
      <c r="Q27" s="409" t="inlineStr">
        <is>
          <t>–</t>
        </is>
      </c>
    </row>
    <row r="28" ht="15" customHeight="1" s="392">
      <c r="B28" s="384" t="inlineStr">
        <is>
          <t>(−) Increase in NWC (DCF % of Δrevenue)</t>
        </is>
      </c>
      <c r="C28" s="72" t="inlineStr">
        <is>
          <t>$M</t>
        </is>
      </c>
      <c r="D28" s="103">
        <f>DCF!D57</f>
        <v/>
      </c>
      <c r="E28" s="396">
        <f>DCF!E57</f>
        <v/>
      </c>
      <c r="F28" s="396">
        <f>DCF!F57</f>
        <v/>
      </c>
      <c r="G28" s="396">
        <f>DCF!G57</f>
        <v/>
      </c>
      <c r="H28" s="230">
        <f>DCF!H57</f>
        <v/>
      </c>
      <c r="I28" s="396" t="n">
        <v>-83</v>
      </c>
      <c r="J28" s="396" t="n">
        <v>-83</v>
      </c>
      <c r="K28" s="430" t="inlineStr">
        <is>
          <t>–</t>
        </is>
      </c>
      <c r="L28" s="396" t="n"/>
      <c r="M28" s="71" t="inlineStr">
        <is>
          <t>Cost of equity (CAPM)</t>
        </is>
      </c>
      <c r="N28" s="323">
        <f>N17+N27*N18</f>
        <v/>
      </c>
      <c r="O28" s="409" t="inlineStr">
        <is>
          <t>–</t>
        </is>
      </c>
      <c r="P28" s="409" t="inlineStr">
        <is>
          <t>–</t>
        </is>
      </c>
      <c r="Q28" s="409" t="inlineStr">
        <is>
          <t>–</t>
        </is>
      </c>
    </row>
    <row r="29" ht="15" customHeight="1" s="392">
      <c r="B29" s="128" t="inlineStr">
        <is>
          <t>Unlevered free cash flow</t>
        </is>
      </c>
      <c r="C29" s="129" t="inlineStr">
        <is>
          <t>$M</t>
        </is>
      </c>
      <c r="D29" s="130">
        <f>D24+D25+D26+D27+D28</f>
        <v/>
      </c>
      <c r="E29" s="131">
        <f>E24+E25+E26+E27+E28</f>
        <v/>
      </c>
      <c r="F29" s="131">
        <f>F24+F25+F26+F27+F28</f>
        <v/>
      </c>
      <c r="G29" s="131">
        <f>G24+G25+G26+G27+G28</f>
        <v/>
      </c>
      <c r="H29" s="237">
        <f>H24+H25+H26+H27+H28</f>
        <v/>
      </c>
      <c r="I29" s="232">
        <f>I24+I25+I26+I27+I28</f>
        <v/>
      </c>
      <c r="J29" s="232">
        <f>J24+J25+J26+J27+J28</f>
        <v/>
      </c>
      <c r="K29" s="387">
        <f>_xlfn.RRI(3, H29, J29)</f>
        <v/>
      </c>
      <c r="L29" s="393" t="n"/>
      <c r="M29" s="408" t="inlineStr">
        <is>
          <t>Pre-tax cost of debt (revolver proxy; weight ≈ 0)</t>
        </is>
      </c>
      <c r="N29" s="320" t="n">
        <v>0.0575</v>
      </c>
      <c r="O29" s="252" t="inlineStr">
        <is>
          <t>ASSUMED</t>
        </is>
      </c>
      <c r="P29" s="409" t="inlineStr">
        <is>
          <t>–</t>
        </is>
      </c>
      <c r="Q29" s="409" t="inlineStr">
        <is>
          <t>–</t>
        </is>
      </c>
      <c r="R29" s="412" t="inlineStr">
        <is>
          <t>Pre-tax cost of debt (revolver pricing proxy; weight ≈ 0). ASSUMED: 10-K describes the $1,250m unsecured revolver maturing 23 Jan 2031 without the margin; SOFR + 1.0–1.5% proxy</t>
        </is>
      </c>
    </row>
    <row r="30" ht="15" customHeight="1" s="392">
      <c r="B30" s="81" t="inlineStr">
        <is>
          <t>Discount period (DCF)</t>
        </is>
      </c>
      <c r="C30" s="72" t="inlineStr">
        <is>
          <t>yrs</t>
        </is>
      </c>
      <c r="D30" s="432" t="inlineStr">
        <is>
          <t>–</t>
        </is>
      </c>
      <c r="E30" s="409" t="inlineStr">
        <is>
          <t>–</t>
        </is>
      </c>
      <c r="F30" s="409" t="inlineStr">
        <is>
          <t>–</t>
        </is>
      </c>
      <c r="G30" s="409" t="inlineStr">
        <is>
          <t>–</t>
        </is>
      </c>
      <c r="H30" s="433" t="inlineStr">
        <is>
          <t>–</t>
        </is>
      </c>
      <c r="I30" s="398">
        <f>DCF!I62</f>
        <v/>
      </c>
      <c r="J30" s="398">
        <f>DCF!J62</f>
        <v/>
      </c>
      <c r="K30" s="434" t="inlineStr">
        <is>
          <t>–</t>
        </is>
      </c>
      <c r="L30" s="398" t="n"/>
      <c r="M30" s="254" t="inlineStr">
        <is>
          <t>After-tax cost of debt</t>
        </is>
      </c>
      <c r="N30" s="308">
        <f>N29*(1-N39)</f>
        <v/>
      </c>
      <c r="O30" s="409" t="inlineStr">
        <is>
          <t>–</t>
        </is>
      </c>
      <c r="P30" s="409" t="inlineStr">
        <is>
          <t>–</t>
        </is>
      </c>
      <c r="Q30" s="409" t="inlineStr">
        <is>
          <t>–</t>
        </is>
      </c>
    </row>
    <row r="31" ht="15" customHeight="1" s="392">
      <c r="B31" s="81" t="inlineStr">
        <is>
          <t>Discount factor (DCF WACC)</t>
        </is>
      </c>
      <c r="C31" s="72" t="inlineStr">
        <is>
          <t>x</t>
        </is>
      </c>
      <c r="D31" s="432" t="inlineStr">
        <is>
          <t>–</t>
        </is>
      </c>
      <c r="E31" s="409" t="inlineStr">
        <is>
          <t>–</t>
        </is>
      </c>
      <c r="F31" s="409" t="inlineStr">
        <is>
          <t>–</t>
        </is>
      </c>
      <c r="G31" s="409" t="inlineStr">
        <is>
          <t>–</t>
        </is>
      </c>
      <c r="H31" s="433" t="inlineStr">
        <is>
          <t>–</t>
        </is>
      </c>
      <c r="I31" s="399">
        <f>DCF!I63</f>
        <v/>
      </c>
      <c r="J31" s="399">
        <f>DCF!J63</f>
        <v/>
      </c>
      <c r="K31" s="435" t="inlineStr">
        <is>
          <t>–</t>
        </is>
      </c>
      <c r="L31" s="399" t="n"/>
      <c r="M31" s="71" t="inlineStr">
        <is>
          <t>WACC</t>
        </is>
      </c>
      <c r="N31" s="323">
        <f>N15*N28+O15*N30</f>
        <v/>
      </c>
      <c r="O31" s="409" t="inlineStr">
        <is>
          <t>–</t>
        </is>
      </c>
      <c r="P31" s="409" t="inlineStr">
        <is>
          <t>–</t>
        </is>
      </c>
      <c r="Q31" s="409" t="inlineStr">
        <is>
          <t>–</t>
        </is>
      </c>
    </row>
    <row r="32" ht="15" customHeight="1" s="392">
      <c r="B32" s="137" t="inlineStr">
        <is>
          <t>PV of UFCF</t>
        </is>
      </c>
      <c r="C32" s="138" t="inlineStr">
        <is>
          <t>$M</t>
        </is>
      </c>
      <c r="D32" s="436" t="inlineStr">
        <is>
          <t>–</t>
        </is>
      </c>
      <c r="E32" s="437" t="inlineStr">
        <is>
          <t>–</t>
        </is>
      </c>
      <c r="F32" s="437" t="inlineStr">
        <is>
          <t>–</t>
        </is>
      </c>
      <c r="G32" s="437" t="inlineStr">
        <is>
          <t>–</t>
        </is>
      </c>
      <c r="H32" s="438" t="inlineStr">
        <is>
          <t>–</t>
        </is>
      </c>
      <c r="I32" s="233">
        <f>I29*I31</f>
        <v/>
      </c>
      <c r="J32" s="233">
        <f>J29*J31</f>
        <v/>
      </c>
      <c r="K32" s="439" t="inlineStr">
        <is>
          <t>–</t>
        </is>
      </c>
      <c r="L32" s="393" t="n"/>
      <c r="M32" s="408" t="inlineStr">
        <is>
          <t>Memo: DCF's previous WACC inputs → 8.725%</t>
        </is>
      </c>
      <c r="R32" s="412" t="inlineStr">
        <is>
          <t>Memo: DCF's previous inputs — risk-free 4.21%, beta 1.05, ERP 4.30% → 8.725%</t>
        </is>
      </c>
    </row>
    <row r="34" ht="15" customHeight="1" s="392">
      <c r="B34" s="210" t="inlineStr">
        <is>
          <t>Valuation</t>
        </is>
      </c>
      <c r="C34" s="118" t="n"/>
      <c r="D34" s="118" t="n"/>
      <c r="E34" s="118" t="n"/>
      <c r="F34" s="118" t="n"/>
      <c r="G34" s="118" t="n"/>
      <c r="H34" s="118" t="n"/>
      <c r="I34" s="118" t="n"/>
      <c r="J34" s="118" t="n"/>
      <c r="K34" s="118" t="n"/>
      <c r="L34" s="384" t="n"/>
      <c r="M34" s="400" t="inlineStr">
        <is>
          <t xml:space="preserve">Effective tax rate build </t>
        </is>
      </c>
      <c r="N34" s="385" t="inlineStr">
        <is>
          <t>Value</t>
        </is>
      </c>
      <c r="O34" s="385" t="inlineStr">
        <is>
          <t>Label</t>
        </is>
      </c>
      <c r="P34" s="317" t="n"/>
      <c r="Q34" s="317" t="n"/>
      <c r="R34" s="317" t="n"/>
    </row>
    <row r="35" ht="15" customHeight="1" s="392">
      <c r="B35" s="384" t="inlineStr">
        <is>
          <t>WACC</t>
        </is>
      </c>
      <c r="D35" s="409" t="inlineStr">
        <is>
          <t>–</t>
        </is>
      </c>
      <c r="E35" s="409" t="inlineStr">
        <is>
          <t>–</t>
        </is>
      </c>
      <c r="F35" s="409" t="inlineStr">
        <is>
          <t>–</t>
        </is>
      </c>
      <c r="G35" s="409" t="inlineStr">
        <is>
          <t>–</t>
        </is>
      </c>
      <c r="H35" s="168">
        <f>N31</f>
        <v/>
      </c>
      <c r="I35" s="409" t="inlineStr">
        <is>
          <t>–</t>
        </is>
      </c>
      <c r="J35" s="409" t="inlineStr">
        <is>
          <t>–</t>
        </is>
      </c>
      <c r="K35" s="409" t="inlineStr">
        <is>
          <t>–</t>
        </is>
      </c>
      <c r="M35" s="254" t="inlineStr">
        <is>
          <t>US federal statutory rate</t>
        </is>
      </c>
      <c r="N35" s="320" t="n">
        <v>0.21</v>
      </c>
      <c r="O35" s="252" t="inlineStr">
        <is>
          <t>VERIFIED</t>
        </is>
      </c>
      <c r="P35" s="409" t="inlineStr">
        <is>
          <t>–</t>
        </is>
      </c>
      <c r="Q35" s="409" t="inlineStr">
        <is>
          <t>–</t>
        </is>
      </c>
      <c r="R35" s="252" t="inlineStr">
        <is>
          <t>10-K MD&amp;A</t>
        </is>
      </c>
    </row>
    <row r="36" ht="15" customHeight="1" s="392">
      <c r="B36" s="408" t="inlineStr">
        <is>
          <t>Exit EV / EBITDA multiple (Barclays: 10× on 2026)</t>
        </is>
      </c>
      <c r="D36" s="409" t="inlineStr">
        <is>
          <t>–</t>
        </is>
      </c>
      <c r="E36" s="409" t="inlineStr">
        <is>
          <t>–</t>
        </is>
      </c>
      <c r="F36" s="409" t="inlineStr">
        <is>
          <t>–</t>
        </is>
      </c>
      <c r="G36" s="409" t="inlineStr">
        <is>
          <t>–</t>
        </is>
      </c>
      <c r="H36" s="444" t="n">
        <v>10</v>
      </c>
      <c r="I36" s="409" t="inlineStr">
        <is>
          <t>–</t>
        </is>
      </c>
      <c r="J36" s="409" t="inlineStr">
        <is>
          <t>–</t>
        </is>
      </c>
      <c r="K36" s="409" t="inlineStr">
        <is>
          <t>–</t>
        </is>
      </c>
      <c r="M36" s="408" t="inlineStr">
        <is>
          <t>(+) State income taxes ÷ pre-tax income</t>
        </is>
      </c>
      <c r="N36" s="268">
        <f>'D 10-K FY26'!E34/1834.977</f>
        <v/>
      </c>
      <c r="O36" s="252" t="inlineStr">
        <is>
          <t>VERIFIED</t>
        </is>
      </c>
      <c r="P36" s="409" t="inlineStr">
        <is>
          <t>–</t>
        </is>
      </c>
      <c r="Q36" s="409" t="inlineStr">
        <is>
          <t>–</t>
        </is>
      </c>
      <c r="R36" s="412" t="inlineStr">
        <is>
          <t>(+) State income taxes: $21.5m ÷ pre-tax income $1,835m. 10-K MD&amp;A Income Taxes; pre-tax income from the income statement</t>
        </is>
      </c>
    </row>
    <row r="37" ht="15" customHeight="1" s="392">
      <c r="B37" s="384" t="inlineStr">
        <is>
          <t>Terminal year EBITDA (FY2028E, market-implied)</t>
        </is>
      </c>
      <c r="D37" s="409" t="inlineStr">
        <is>
          <t>–</t>
        </is>
      </c>
      <c r="E37" s="409" t="inlineStr">
        <is>
          <t>–</t>
        </is>
      </c>
      <c r="F37" s="409" t="inlineStr">
        <is>
          <t>–</t>
        </is>
      </c>
      <c r="G37" s="409" t="inlineStr">
        <is>
          <t>–</t>
        </is>
      </c>
      <c r="H37" s="397">
        <f>J13</f>
        <v/>
      </c>
      <c r="I37" s="409" t="inlineStr">
        <is>
          <t>–</t>
        </is>
      </c>
      <c r="J37" s="409" t="inlineStr">
        <is>
          <t>–</t>
        </is>
      </c>
      <c r="K37" s="409" t="inlineStr">
        <is>
          <t>–</t>
        </is>
      </c>
      <c r="M37" s="254" t="inlineStr">
        <is>
          <t>(−) FDII deduction: $46.7m ÷ pre-tax income</t>
        </is>
      </c>
      <c r="N37" s="268">
        <f>'D 10-K FY26'!C34/1834.977</f>
        <v/>
      </c>
      <c r="O37" s="252" t="inlineStr">
        <is>
          <t>VERIFIED</t>
        </is>
      </c>
      <c r="P37" s="409" t="inlineStr">
        <is>
          <t>–</t>
        </is>
      </c>
      <c r="Q37" s="409" t="inlineStr">
        <is>
          <t>–</t>
        </is>
      </c>
      <c r="R37" s="252" t="inlineStr">
        <is>
          <t>10-K MD&amp;A; set by federal tax law, check the FY27 deduction rate</t>
        </is>
      </c>
    </row>
    <row r="38" ht="15" customHeight="1" s="392">
      <c r="B38" s="384" t="inlineStr">
        <is>
          <t>Terminal value</t>
        </is>
      </c>
      <c r="D38" s="409" t="inlineStr">
        <is>
          <t>–</t>
        </is>
      </c>
      <c r="E38" s="409" t="inlineStr">
        <is>
          <t>–</t>
        </is>
      </c>
      <c r="F38" s="409" t="inlineStr">
        <is>
          <t>–</t>
        </is>
      </c>
      <c r="G38" s="409" t="inlineStr">
        <is>
          <t>–</t>
        </is>
      </c>
      <c r="H38" s="397">
        <f>H36*H37</f>
        <v/>
      </c>
      <c r="I38" s="409" t="inlineStr">
        <is>
          <t>–</t>
        </is>
      </c>
      <c r="J38" s="409" t="inlineStr">
        <is>
          <t>–</t>
        </is>
      </c>
      <c r="K38" s="409" t="inlineStr">
        <is>
          <t>–</t>
        </is>
      </c>
      <c r="M38" s="408" t="inlineStr">
        <is>
          <t>(−) Excess option tax benefit ÷ pre-tax income</t>
        </is>
      </c>
      <c r="N38" s="268">
        <f>'D 10-K FY26'!D34/1834.977</f>
        <v/>
      </c>
      <c r="O38" s="252" t="inlineStr">
        <is>
          <t>VERIFIED</t>
        </is>
      </c>
      <c r="P38" s="409" t="inlineStr">
        <is>
          <t>–</t>
        </is>
      </c>
      <c r="Q38" s="409" t="inlineStr">
        <is>
          <t>–</t>
        </is>
      </c>
      <c r="R38" s="412" t="inlineStr">
        <is>
          <t>(−) Excess tax benefit on option exercises: $6.6m (FY25: $36.7m); excluded from the forward rate because it depends on the share price. 10-K MD&amp;A</t>
        </is>
      </c>
    </row>
    <row r="39" ht="15" customHeight="1" s="392">
      <c r="B39" s="384" t="inlineStr">
        <is>
          <t>PV of terminal value</t>
        </is>
      </c>
      <c r="D39" s="409" t="inlineStr">
        <is>
          <t>–</t>
        </is>
      </c>
      <c r="E39" s="409" t="inlineStr">
        <is>
          <t>–</t>
        </is>
      </c>
      <c r="F39" s="409" t="inlineStr">
        <is>
          <t>–</t>
        </is>
      </c>
      <c r="G39" s="409" t="inlineStr">
        <is>
          <t>–</t>
        </is>
      </c>
      <c r="H39" s="397">
        <f>H38*J31</f>
        <v/>
      </c>
      <c r="I39" s="409" t="inlineStr">
        <is>
          <t>–</t>
        </is>
      </c>
      <c r="J39" s="409" t="inlineStr">
        <is>
          <t>–</t>
        </is>
      </c>
      <c r="K39" s="409" t="inlineStr">
        <is>
          <t>–</t>
        </is>
      </c>
      <c r="M39" s="408" t="inlineStr">
        <is>
          <t>Structural effective tax rate → DCF, 3SM</t>
        </is>
      </c>
      <c r="N39" s="323">
        <f>N35+N36+N37</f>
        <v/>
      </c>
      <c r="O39" s="409" t="inlineStr">
        <is>
          <t>–</t>
        </is>
      </c>
      <c r="P39" s="409" t="inlineStr">
        <is>
          <t>–</t>
        </is>
      </c>
      <c r="Q39" s="409" t="inlineStr">
        <is>
          <t>–</t>
        </is>
      </c>
      <c r="R39" s="412" t="inlineStr">
        <is>
          <t>Structural effective tax rate (statutory + state − FDII)   → DCF tax rows</t>
        </is>
      </c>
    </row>
    <row r="40" ht="15" customHeight="1" s="392">
      <c r="B40" s="208" t="inlineStr">
        <is>
          <t>PV of explicit UFCF (FY27-FY31)</t>
        </is>
      </c>
      <c r="D40" s="409" t="inlineStr">
        <is>
          <t>–</t>
        </is>
      </c>
      <c r="E40" s="409" t="inlineStr">
        <is>
          <t>–</t>
        </is>
      </c>
      <c r="F40" s="409" t="inlineStr">
        <is>
          <t>–</t>
        </is>
      </c>
      <c r="G40" s="409" t="inlineStr">
        <is>
          <t>–</t>
        </is>
      </c>
      <c r="H40" s="397">
        <f>SUM(I32:L32)</f>
        <v/>
      </c>
      <c r="I40" s="409" t="inlineStr">
        <is>
          <t>–</t>
        </is>
      </c>
      <c r="J40" s="409" t="inlineStr">
        <is>
          <t>–</t>
        </is>
      </c>
      <c r="K40" s="409" t="inlineStr">
        <is>
          <t>–</t>
        </is>
      </c>
      <c r="M40" s="274" t="inlineStr">
        <is>
          <t>Reported effective rate FY2026 / FY2025</t>
        </is>
      </c>
      <c r="N40" s="268">
        <f>'D 10-K FY26'!C33</f>
        <v/>
      </c>
      <c r="O40" s="268">
        <f>'D 10-K FY26'!D33</f>
        <v/>
      </c>
      <c r="P40" s="409" t="inlineStr">
        <is>
          <t>–</t>
        </is>
      </c>
      <c r="Q40" s="409" t="inlineStr">
        <is>
          <t>–</t>
        </is>
      </c>
    </row>
    <row r="41" ht="15" customHeight="1" s="392">
      <c r="B41" s="98" t="inlineStr">
        <is>
          <t>Enterprise value</t>
        </is>
      </c>
      <c r="D41" s="409" t="inlineStr">
        <is>
          <t>–</t>
        </is>
      </c>
      <c r="E41" s="409" t="inlineStr">
        <is>
          <t>–</t>
        </is>
      </c>
      <c r="F41" s="409" t="inlineStr">
        <is>
          <t>–</t>
        </is>
      </c>
      <c r="G41" s="409" t="inlineStr">
        <is>
          <t>–</t>
        </is>
      </c>
      <c r="H41" s="101">
        <f>H39+H40</f>
        <v/>
      </c>
      <c r="I41" s="409" t="inlineStr">
        <is>
          <t>–</t>
        </is>
      </c>
      <c r="J41" s="409" t="inlineStr">
        <is>
          <t>–</t>
        </is>
      </c>
      <c r="K41" s="409" t="inlineStr">
        <is>
          <t>–</t>
        </is>
      </c>
      <c r="M41" s="408" t="inlineStr">
        <is>
          <t>Cash taxes paid ÷ pre-tax income, FY26 / FY25</t>
        </is>
      </c>
      <c r="N41" s="268">
        <f>'D 10-K FY26'!C32/1834.977</f>
        <v/>
      </c>
      <c r="O41" s="268">
        <f>'D 10-K FY26'!D32/1895.581</f>
        <v/>
      </c>
      <c r="P41" s="409" t="inlineStr">
        <is>
          <t>–</t>
        </is>
      </c>
      <c r="Q41" s="409" t="inlineStr">
        <is>
          <t>–</t>
        </is>
      </c>
      <c r="R41" s="412" t="inlineStr">
        <is>
          <t>Cash taxes paid ÷ pre-tax income, FY2026 / FY2025. Supplemental cash flow</t>
        </is>
      </c>
    </row>
    <row r="42">
      <c r="M42" s="408" t="inlineStr">
        <is>
          <t>Barclays-implied tax rate, FY2027E</t>
        </is>
      </c>
      <c r="N42" s="268">
        <f>1-'D Barclays'!E9/'D Barclays'!E8</f>
        <v/>
      </c>
      <c r="O42" s="409" t="inlineStr">
        <is>
          <t>–</t>
        </is>
      </c>
      <c r="P42" s="409" t="inlineStr">
        <is>
          <t>–</t>
        </is>
      </c>
      <c r="Q42" s="409" t="inlineStr">
        <is>
          <t>–</t>
        </is>
      </c>
      <c r="R42" s="412" t="inlineStr">
        <is>
          <t>Barclays-implied rate FY2027E (1 − adj. net income ÷ adj. pre-tax)</t>
        </is>
      </c>
    </row>
    <row r="43" ht="15" customHeight="1" s="392">
      <c r="B43" s="210" t="inlineStr">
        <is>
          <t>Equity bridge</t>
        </is>
      </c>
      <c r="C43" s="118" t="n"/>
      <c r="D43" s="118" t="n"/>
      <c r="E43" s="118" t="n"/>
      <c r="F43" s="118" t="n"/>
      <c r="G43" s="118" t="n"/>
      <c r="H43" s="118" t="n"/>
      <c r="I43" s="118" t="n"/>
      <c r="J43" s="118" t="n"/>
      <c r="K43" s="118" t="n"/>
      <c r="L43" s="384" t="n"/>
      <c r="M43" s="384" t="n"/>
    </row>
    <row r="44" ht="15" customHeight="1" s="392">
      <c r="B44" s="384" t="inlineStr">
        <is>
          <t>Enterprise value</t>
        </is>
      </c>
      <c r="D44" s="409" t="inlineStr">
        <is>
          <t>–</t>
        </is>
      </c>
      <c r="E44" s="409" t="inlineStr">
        <is>
          <t>–</t>
        </is>
      </c>
      <c r="F44" s="409" t="inlineStr">
        <is>
          <t>–</t>
        </is>
      </c>
      <c r="G44" s="409" t="inlineStr">
        <is>
          <t>–</t>
        </is>
      </c>
      <c r="H44" s="397">
        <f>H41</f>
        <v/>
      </c>
      <c r="I44" s="409" t="inlineStr">
        <is>
          <t>–</t>
        </is>
      </c>
      <c r="J44" s="409" t="inlineStr">
        <is>
          <t>–</t>
        </is>
      </c>
      <c r="K44" s="409" t="inlineStr">
        <is>
          <t>–</t>
        </is>
      </c>
    </row>
    <row r="45" ht="15" customHeight="1" s="392">
      <c r="B45" s="384" t="inlineStr">
        <is>
          <t>(+) Cash &amp; HTM securities</t>
        </is>
      </c>
      <c r="D45" s="409" t="inlineStr">
        <is>
          <t>–</t>
        </is>
      </c>
      <c r="E45" s="409" t="inlineStr">
        <is>
          <t>–</t>
        </is>
      </c>
      <c r="F45" s="409" t="inlineStr">
        <is>
          <t>–</t>
        </is>
      </c>
      <c r="G45" s="409" t="inlineStr">
        <is>
          <t>–</t>
        </is>
      </c>
      <c r="H45" s="311">
        <f>Cover!D12</f>
        <v/>
      </c>
      <c r="I45" s="409" t="inlineStr">
        <is>
          <t>–</t>
        </is>
      </c>
      <c r="J45" s="409" t="inlineStr">
        <is>
          <t>–</t>
        </is>
      </c>
      <c r="K45" s="409" t="inlineStr">
        <is>
          <t>–</t>
        </is>
      </c>
    </row>
    <row r="46" ht="15" customHeight="1" s="392">
      <c r="B46" s="384" t="inlineStr">
        <is>
          <t>(−) Total debt</t>
        </is>
      </c>
      <c r="D46" s="409" t="inlineStr">
        <is>
          <t>–</t>
        </is>
      </c>
      <c r="E46" s="409" t="inlineStr">
        <is>
          <t>–</t>
        </is>
      </c>
      <c r="F46" s="409" t="inlineStr">
        <is>
          <t>–</t>
        </is>
      </c>
      <c r="G46" s="409" t="inlineStr">
        <is>
          <t>–</t>
        </is>
      </c>
      <c r="H46" s="311">
        <f>-Cover!D13</f>
        <v/>
      </c>
      <c r="I46" s="409" t="inlineStr">
        <is>
          <t>–</t>
        </is>
      </c>
      <c r="J46" s="409" t="inlineStr">
        <is>
          <t>–</t>
        </is>
      </c>
      <c r="K46" s="409" t="inlineStr">
        <is>
          <t>–</t>
        </is>
      </c>
    </row>
    <row r="47" ht="15" customHeight="1" s="392">
      <c r="B47" s="384" t="inlineStr">
        <is>
          <t>(−) Non-controlling interest</t>
        </is>
      </c>
      <c r="D47" s="409" t="inlineStr">
        <is>
          <t>–</t>
        </is>
      </c>
      <c r="E47" s="409" t="inlineStr">
        <is>
          <t>–</t>
        </is>
      </c>
      <c r="F47" s="409" t="inlineStr">
        <is>
          <t>–</t>
        </is>
      </c>
      <c r="G47" s="409" t="inlineStr">
        <is>
          <t>–</t>
        </is>
      </c>
      <c r="H47" s="311">
        <f>-Cover!D14</f>
        <v/>
      </c>
      <c r="I47" s="409" t="inlineStr">
        <is>
          <t>–</t>
        </is>
      </c>
      <c r="J47" s="409" t="inlineStr">
        <is>
          <t>–</t>
        </is>
      </c>
      <c r="K47" s="409" t="inlineStr">
        <is>
          <t>–</t>
        </is>
      </c>
    </row>
    <row r="48" ht="15" customHeight="1" s="392">
      <c r="B48" s="384" t="inlineStr">
        <is>
          <t>(−) ACV consideration (DCF toggle)</t>
        </is>
      </c>
      <c r="D48" s="409" t="inlineStr">
        <is>
          <t>–</t>
        </is>
      </c>
      <c r="E48" s="409" t="inlineStr">
        <is>
          <t>–</t>
        </is>
      </c>
      <c r="F48" s="409" t="inlineStr">
        <is>
          <t>–</t>
        </is>
      </c>
      <c r="G48" s="409" t="inlineStr">
        <is>
          <t>–</t>
        </is>
      </c>
      <c r="H48" s="396">
        <f>DCF!H95</f>
        <v/>
      </c>
      <c r="I48" s="409" t="inlineStr">
        <is>
          <t>–</t>
        </is>
      </c>
      <c r="J48" s="409" t="inlineStr">
        <is>
          <t>–</t>
        </is>
      </c>
      <c r="K48" s="409" t="inlineStr">
        <is>
          <t>–</t>
        </is>
      </c>
    </row>
    <row r="49" ht="15" customHeight="1" s="392">
      <c r="B49" s="98" t="inlineStr">
        <is>
          <t>Equity value</t>
        </is>
      </c>
      <c r="D49" s="409" t="inlineStr">
        <is>
          <t>–</t>
        </is>
      </c>
      <c r="E49" s="409" t="inlineStr">
        <is>
          <t>–</t>
        </is>
      </c>
      <c r="F49" s="409" t="inlineStr">
        <is>
          <t>–</t>
        </is>
      </c>
      <c r="G49" s="409" t="inlineStr">
        <is>
          <t>–</t>
        </is>
      </c>
      <c r="H49" s="101">
        <f>SUM(H44:H48)</f>
        <v/>
      </c>
      <c r="I49" s="409" t="inlineStr">
        <is>
          <t>–</t>
        </is>
      </c>
      <c r="J49" s="409" t="inlineStr">
        <is>
          <t>–</t>
        </is>
      </c>
      <c r="K49" s="409" t="inlineStr">
        <is>
          <t>–</t>
        </is>
      </c>
    </row>
    <row r="50" ht="15" customHeight="1" s="392">
      <c r="B50" s="384" t="inlineStr">
        <is>
          <t>FDSO (M)</t>
        </is>
      </c>
      <c r="D50" s="409" t="inlineStr">
        <is>
          <t>–</t>
        </is>
      </c>
      <c r="E50" s="409" t="inlineStr">
        <is>
          <t>–</t>
        </is>
      </c>
      <c r="F50" s="409" t="inlineStr">
        <is>
          <t>–</t>
        </is>
      </c>
      <c r="G50" s="409" t="inlineStr">
        <is>
          <t>–</t>
        </is>
      </c>
      <c r="H50" s="294">
        <f>Cover!D15</f>
        <v/>
      </c>
      <c r="I50" s="409" t="inlineStr">
        <is>
          <t>–</t>
        </is>
      </c>
      <c r="J50" s="409" t="inlineStr">
        <is>
          <t>–</t>
        </is>
      </c>
      <c r="K50" s="409" t="inlineStr">
        <is>
          <t>–</t>
        </is>
      </c>
    </row>
    <row r="51" ht="15" customHeight="1" s="392">
      <c r="B51" s="154" t="inlineStr">
        <is>
          <t>Implied share price</t>
        </is>
      </c>
      <c r="H51" s="155">
        <f>H49/H50</f>
        <v/>
      </c>
    </row>
    <row r="52" ht="15" customHeight="1" s="392">
      <c r="B52" s="384" t="inlineStr">
        <is>
          <t xml:space="preserve">Current share price </t>
        </is>
      </c>
      <c r="D52" s="409" t="inlineStr">
        <is>
          <t>–</t>
        </is>
      </c>
      <c r="E52" s="409" t="inlineStr">
        <is>
          <t>–</t>
        </is>
      </c>
      <c r="F52" s="409" t="inlineStr">
        <is>
          <t>–</t>
        </is>
      </c>
      <c r="G52" s="409" t="inlineStr">
        <is>
          <t>–</t>
        </is>
      </c>
      <c r="H52" s="361">
        <f>Cover!D6</f>
        <v/>
      </c>
      <c r="I52" s="409" t="inlineStr">
        <is>
          <t>–</t>
        </is>
      </c>
      <c r="J52" s="409" t="inlineStr">
        <is>
          <t>–</t>
        </is>
      </c>
      <c r="K52" s="409" t="inlineStr">
        <is>
          <t>–</t>
        </is>
      </c>
    </row>
    <row r="53" ht="15" customHeight="1" s="392">
      <c r="B53" s="154" t="inlineStr">
        <is>
          <t xml:space="preserve">Implied - current </t>
        </is>
      </c>
      <c r="H53" s="155">
        <f>H51-H52</f>
        <v/>
      </c>
    </row>
    <row r="55" ht="15" customHeight="1" s="392">
      <c r="B55" s="469" t="inlineStr">
        <is>
          <t>Reverse DCF summary</t>
        </is>
      </c>
      <c r="C55" s="470" t="n"/>
      <c r="D55" s="470" t="n"/>
      <c r="E55" s="470" t="n"/>
      <c r="F55" s="470" t="n"/>
      <c r="G55" s="470" t="n"/>
      <c r="H55" s="470" t="n"/>
      <c r="I55" s="470" t="n"/>
      <c r="J55" s="470" t="n"/>
      <c r="K55" s="470" t="n"/>
      <c r="L55" s="254" t="n"/>
      <c r="M55" s="254" t="n"/>
    </row>
    <row r="56" ht="15" customHeight="1" s="392">
      <c r="B56" s="408" t="inlineStr">
        <is>
          <t>Implied revenue CAGR, FY26–FY28</t>
        </is>
      </c>
      <c r="D56" s="409" t="inlineStr">
        <is>
          <t>–</t>
        </is>
      </c>
      <c r="E56" s="409" t="inlineStr">
        <is>
          <t>–</t>
        </is>
      </c>
      <c r="F56" s="409" t="inlineStr">
        <is>
          <t>–</t>
        </is>
      </c>
      <c r="G56" s="409" t="inlineStr">
        <is>
          <t>–</t>
        </is>
      </c>
      <c r="H56" s="471">
        <f>H5</f>
        <v/>
      </c>
      <c r="I56" s="409" t="inlineStr">
        <is>
          <t>–</t>
        </is>
      </c>
      <c r="J56" s="409" t="inlineStr">
        <is>
          <t>–</t>
        </is>
      </c>
      <c r="K56" s="409" t="inlineStr">
        <is>
          <t>–</t>
        </is>
      </c>
    </row>
    <row r="57" ht="15" customHeight="1" s="392">
      <c r="B57" s="408" t="inlineStr">
        <is>
          <t>Implied FY2028E revenue</t>
        </is>
      </c>
      <c r="D57" s="409" t="inlineStr">
        <is>
          <t>–</t>
        </is>
      </c>
      <c r="E57" s="409" t="inlineStr">
        <is>
          <t>–</t>
        </is>
      </c>
      <c r="F57" s="409" t="inlineStr">
        <is>
          <t>–</t>
        </is>
      </c>
      <c r="G57" s="409" t="inlineStr">
        <is>
          <t>–</t>
        </is>
      </c>
      <c r="H57" s="445">
        <f>J10</f>
        <v/>
      </c>
      <c r="I57" s="409" t="inlineStr">
        <is>
          <t>–</t>
        </is>
      </c>
      <c r="J57" s="409" t="inlineStr">
        <is>
          <t>–</t>
        </is>
      </c>
      <c r="K57" s="409" t="inlineStr">
        <is>
          <t>–</t>
        </is>
      </c>
    </row>
    <row r="58" ht="15" customHeight="1" s="392">
      <c r="B58" s="408" t="inlineStr">
        <is>
          <t>Implied FY2028E EBITDA</t>
        </is>
      </c>
      <c r="D58" s="409" t="inlineStr">
        <is>
          <t>–</t>
        </is>
      </c>
      <c r="E58" s="409" t="inlineStr">
        <is>
          <t>–</t>
        </is>
      </c>
      <c r="F58" s="409" t="inlineStr">
        <is>
          <t>–</t>
        </is>
      </c>
      <c r="G58" s="409" t="inlineStr">
        <is>
          <t>–</t>
        </is>
      </c>
      <c r="H58" s="445">
        <f>J13</f>
        <v/>
      </c>
      <c r="I58" s="409" t="inlineStr">
        <is>
          <t>–</t>
        </is>
      </c>
      <c r="J58" s="409" t="inlineStr">
        <is>
          <t>–</t>
        </is>
      </c>
      <c r="K58" s="409" t="inlineStr">
        <is>
          <t>–</t>
        </is>
      </c>
    </row>
    <row r="59" ht="15" customHeight="1" s="392">
      <c r="B59" s="254" t="inlineStr">
        <is>
          <t>DCF base-case revenue CAGR, FY26-FY31 (for comparison)</t>
        </is>
      </c>
      <c r="D59" s="409" t="inlineStr">
        <is>
          <t>–</t>
        </is>
      </c>
      <c r="E59" s="409" t="inlineStr">
        <is>
          <t>–</t>
        </is>
      </c>
      <c r="F59" s="409" t="inlineStr">
        <is>
          <t>–</t>
        </is>
      </c>
      <c r="G59" s="409" t="inlineStr">
        <is>
          <t>–</t>
        </is>
      </c>
      <c r="H59" s="472">
        <f>(DCF!M6/DCF!H6)^(1/5)-1</f>
        <v/>
      </c>
      <c r="I59" s="409" t="inlineStr">
        <is>
          <t>–</t>
        </is>
      </c>
      <c r="J59" s="409" t="inlineStr">
        <is>
          <t>–</t>
        </is>
      </c>
      <c r="K59" s="409" t="inlineStr">
        <is>
          <t>–</t>
        </is>
      </c>
    </row>
    <row r="60" ht="15" customHeight="1" s="392">
      <c r="B60" s="254" t="inlineStr">
        <is>
          <t>DCF base-case FY2031E EBITDA</t>
        </is>
      </c>
      <c r="D60" s="409" t="inlineStr">
        <is>
          <t>–</t>
        </is>
      </c>
      <c r="E60" s="409" t="inlineStr">
        <is>
          <t>–</t>
        </is>
      </c>
      <c r="F60" s="409" t="inlineStr">
        <is>
          <t>–</t>
        </is>
      </c>
      <c r="G60" s="409" t="inlineStr">
        <is>
          <t>–</t>
        </is>
      </c>
      <c r="H60" s="473">
        <f>DCF!M31</f>
        <v/>
      </c>
      <c r="I60" s="409" t="inlineStr">
        <is>
          <t>–</t>
        </is>
      </c>
      <c r="J60" s="409" t="inlineStr">
        <is>
          <t>–</t>
        </is>
      </c>
      <c r="K60" s="409" t="inlineStr">
        <is>
          <t>–</t>
        </is>
      </c>
    </row>
    <row r="61" ht="15" customHeight="1" s="392">
      <c r="B61" s="249" t="inlineStr">
        <is>
          <t>Implied exit multiple if you keep the DCF base cash flows</t>
        </is>
      </c>
      <c r="D61" s="409" t="inlineStr">
        <is>
          <t>–</t>
        </is>
      </c>
      <c r="E61" s="409" t="inlineStr">
        <is>
          <t>–</t>
        </is>
      </c>
      <c r="F61" s="409" t="inlineStr">
        <is>
          <t>–</t>
        </is>
      </c>
      <c r="G61" s="409" t="inlineStr">
        <is>
          <t>–</t>
        </is>
      </c>
      <c r="H61" s="362">
        <f>((Cover!D6*Cover!D15-Cover!D12+Cover!D13+Cover!D14-DCF!H95)-DCF!H86)/DCF!M63/DCF!M31</f>
        <v/>
      </c>
      <c r="I61" s="409" t="inlineStr">
        <is>
          <t>–</t>
        </is>
      </c>
      <c r="J61" s="409" t="inlineStr">
        <is>
          <t>–</t>
        </is>
      </c>
      <c r="K61" s="409" t="inlineStr">
        <is>
          <t>–</t>
        </is>
      </c>
    </row>
    <row r="62" ht="15" customHeight="1" s="392">
      <c r="B62" s="254" t="inlineStr">
        <is>
          <t>Implied perpetuity growth on the DCF base cash flows</t>
        </is>
      </c>
      <c r="D62" s="409" t="inlineStr">
        <is>
          <t>–</t>
        </is>
      </c>
      <c r="E62" s="409" t="inlineStr">
        <is>
          <t>–</t>
        </is>
      </c>
      <c r="F62" s="409" t="inlineStr">
        <is>
          <t>–</t>
        </is>
      </c>
      <c r="G62" s="409" t="inlineStr">
        <is>
          <t>–</t>
        </is>
      </c>
      <c r="H62" s="450">
        <f>(H61*DCF!M31*N31-DCF!M59)/(H61*DCF!M31+DCF!M59)</f>
        <v/>
      </c>
      <c r="I62" s="409" t="inlineStr">
        <is>
          <t>–</t>
        </is>
      </c>
      <c r="J62" s="409" t="inlineStr">
        <is>
          <t>–</t>
        </is>
      </c>
      <c r="K62" s="409" t="inlineStr">
        <is>
          <t>–</t>
        </is>
      </c>
    </row>
    <row r="63" ht="15" customHeight="1" s="392">
      <c r="B63" s="252" t="n"/>
    </row>
    <row r="64"/>
    <row r="65" ht="15" customHeight="1" s="392">
      <c r="B65" s="469" t="inlineStr">
        <is>
          <t>Sensitivity</t>
        </is>
      </c>
      <c r="C65" s="470" t="n"/>
      <c r="D65" s="470" t="n"/>
      <c r="E65" s="470" t="n"/>
      <c r="F65" s="470" t="n"/>
      <c r="G65" s="470" t="n"/>
      <c r="H65" s="470" t="n"/>
      <c r="I65" s="470" t="n"/>
      <c r="J65" s="470" t="n"/>
      <c r="K65" s="470" t="n"/>
      <c r="L65" s="254" t="n"/>
      <c r="M65" s="254" t="n"/>
    </row>
    <row r="66" ht="15" customHeight="1" s="392">
      <c r="B66" s="249" t="inlineStr">
        <is>
          <t>Flat revenue growth →</t>
        </is>
      </c>
      <c r="D66" s="474" t="n">
        <v>-0.04</v>
      </c>
      <c r="E66" s="474" t="n">
        <v>-0.02</v>
      </c>
      <c r="F66" s="474" t="n">
        <v>0</v>
      </c>
      <c r="G66" s="474" t="n">
        <v>0.02</v>
      </c>
      <c r="H66" s="474" t="n">
        <v>0.03</v>
      </c>
      <c r="I66" s="474" t="n">
        <v>0.04</v>
      </c>
      <c r="J66" s="474" t="n">
        <v>0.06</v>
      </c>
      <c r="K66" s="474" t="n">
        <v>0.08</v>
      </c>
    </row>
    <row r="67" ht="15" customHeight="1" s="392">
      <c r="B67" s="249" t="inlineStr">
        <is>
          <t>Implied share price</t>
        </is>
      </c>
      <c r="D67" s="475">
        <f>(($H$10*(1+D$66)*($I$14*(1-DCF!$I$38)+DCF!$I$54-DCF!$I$56)+($I$17*DCF!$I$38+$I$28))*$I$31+($H$10*(1+D$66)^2*($J$14*(1-DCF!$J$38)+DCF!$J$54-DCF!$J$56)+($J$17*DCF!$J$38+$J$28))*$J$31+$H$36*$J$14*$H$10*(1+D$66)^2*$J$31+$H$45+$H$46+$H$47+$H$48)/$H$50</f>
        <v/>
      </c>
      <c r="E67" s="475">
        <f>(($H$10*(1+E$66)*($I$14*(1-DCF!$I$38)+DCF!$I$54-DCF!$I$56)+($I$17*DCF!$I$38+$I$28))*$I$31+($H$10*(1+E$66)^2*($J$14*(1-DCF!$J$38)+DCF!$J$54-DCF!$J$56)+($J$17*DCF!$J$38+$J$28))*$J$31+$H$36*$J$14*$H$10*(1+E$66)^2*$J$31+$H$45+$H$46+$H$47+$H$48)/$H$50</f>
        <v/>
      </c>
      <c r="F67" s="475">
        <f>(($H$10*(1+F$66)*($I$14*(1-DCF!$I$38)+DCF!$I$54-DCF!$I$56)+($I$17*DCF!$I$38+$I$28))*$I$31+($H$10*(1+F$66)^2*($J$14*(1-DCF!$J$38)+DCF!$J$54-DCF!$J$56)+($J$17*DCF!$J$38+$J$28))*$J$31+$H$36*$J$14*$H$10*(1+F$66)^2*$J$31+$H$45+$H$46+$H$47+$H$48)/$H$50</f>
        <v/>
      </c>
      <c r="G67" s="475">
        <f>(($H$10*(1+G$66)*($I$14*(1-DCF!$I$38)+DCF!$I$54-DCF!$I$56)+($I$17*DCF!$I$38+$I$28))*$I$31+($H$10*(1+G$66)^2*($J$14*(1-DCF!$J$38)+DCF!$J$54-DCF!$J$56)+($J$17*DCF!$J$38+$J$28))*$J$31+$H$36*$J$14*$H$10*(1+G$66)^2*$J$31+$H$45+$H$46+$H$47+$H$48)/$H$50</f>
        <v/>
      </c>
      <c r="H67" s="475">
        <f>(($H$10*(1+H$66)*($I$14*(1-DCF!$I$38)+DCF!$I$54-DCF!$I$56)+($I$17*DCF!$I$38+$I$28))*$I$31+($H$10*(1+H$66)^2*($J$14*(1-DCF!$J$38)+DCF!$J$54-DCF!$J$56)+($J$17*DCF!$J$38+$J$28))*$J$31+$H$36*$J$14*$H$10*(1+H$66)^2*$J$31+$H$45+$H$46+$H$47+$H$48)/$H$50</f>
        <v/>
      </c>
      <c r="I67" s="476">
        <f>(($H$10*(1+I$66)*($I$14*(1-DCF!$I$38)+DCF!$I$54-DCF!$I$56)+($I$17*DCF!$I$38+$I$28))*$I$31+($H$10*(1+I$66)^2*($J$14*(1-DCF!$J$38)+DCF!$J$54-DCF!$J$56)+($J$17*DCF!$J$38+$J$28))*$J$31+$H$36*$J$14*$H$10*(1+I$66)^2*$J$31+$H$45+$H$46+$H$47+$H$48)/$H$50</f>
        <v/>
      </c>
      <c r="J67" s="475">
        <f>(($H$10*(1+J$66)*($I$14*(1-DCF!$I$38)+DCF!$I$54-DCF!$I$56)+($I$17*DCF!$I$38+$I$28))*$I$31+($H$10*(1+J$66)^2*($J$14*(1-DCF!$J$38)+DCF!$J$54-DCF!$J$56)+($J$17*DCF!$J$38+$J$28))*$J$31+$H$36*$J$14*$H$10*(1+J$66)^2*$J$31+$H$45+$H$46+$H$47+$H$48)/$H$50</f>
        <v/>
      </c>
      <c r="K67" s="475">
        <f>(($H$10*(1+K$66)*($I$14*(1-DCF!$I$38)+DCF!$I$54-DCF!$I$56)+($I$17*DCF!$I$38+$I$28))*$I$31+($H$10*(1+K$66)^2*($J$14*(1-DCF!$J$38)+DCF!$J$54-DCF!$J$56)+($J$17*DCF!$J$38+$J$28))*$J$31+$H$36*$J$14*$H$10*(1+K$66)^2*$J$31+$H$45+$H$46+$H$47+$H$48)/$H$50</f>
        <v/>
      </c>
    </row>
    <row r="68"/>
    <row r="69" ht="15" customHeight="1" s="392">
      <c r="B69" s="252" t="n"/>
    </row>
    <row r="70"/>
    <row r="71" ht="15" customHeight="1" s="392">
      <c r="B71" s="117" t="inlineStr">
        <is>
          <t>Street price targets and multiples (for reference)</t>
        </is>
      </c>
      <c r="C71" s="118" t="n"/>
      <c r="D71" s="118" t="n"/>
      <c r="E71" s="118" t="n"/>
      <c r="F71" s="118" t="n"/>
      <c r="G71" s="118" t="n"/>
      <c r="H71" s="118" t="n"/>
      <c r="I71" s="118" t="n"/>
      <c r="J71" s="118" t="n"/>
      <c r="K71" s="118" t="n"/>
      <c r="L71" s="384" t="n"/>
      <c r="M71" s="384" t="n"/>
    </row>
    <row r="72" ht="15" customHeight="1" s="392">
      <c r="B72" s="137" t="inlineStr">
        <is>
          <t>Broker</t>
        </is>
      </c>
      <c r="F72" s="137" t="inlineStr">
        <is>
          <t>Rating</t>
        </is>
      </c>
      <c r="H72" s="172" t="inlineStr">
        <is>
          <t>PT</t>
        </is>
      </c>
      <c r="I72" s="137" t="n"/>
    </row>
    <row r="73" ht="15" customHeight="1" s="392">
      <c r="B73" s="208" t="inlineStr">
        <is>
          <t xml:space="preserve">Barclays </t>
        </is>
      </c>
      <c r="F73" s="173" t="inlineStr">
        <is>
          <t>Underweight</t>
        </is>
      </c>
      <c r="H73" s="174" t="n">
        <v>25</v>
      </c>
      <c r="I73" s="175" t="n"/>
    </row>
    <row r="74" ht="15" customHeight="1" s="392">
      <c r="B74" s="208" t="inlineStr">
        <is>
          <t xml:space="preserve">Stephens </t>
        </is>
      </c>
      <c r="F74" s="173" t="inlineStr">
        <is>
          <t>Equal-Weight</t>
        </is>
      </c>
      <c r="H74" s="174" t="n">
        <v>35</v>
      </c>
      <c r="I74" s="175" t="n"/>
    </row>
    <row r="75" ht="15" customHeight="1" s="392">
      <c r="B75" s="208" t="inlineStr">
        <is>
          <t xml:space="preserve">BNP Paribas </t>
        </is>
      </c>
      <c r="F75" s="173" t="inlineStr">
        <is>
          <t>Outperform</t>
        </is>
      </c>
      <c r="H75" s="174" t="n">
        <v>40</v>
      </c>
      <c r="I75" s="175" t="n"/>
    </row>
    <row r="76" ht="15" customHeight="1" s="392">
      <c r="B76" s="208" t="inlineStr">
        <is>
          <t xml:space="preserve">HSBC </t>
        </is>
      </c>
      <c r="F76" s="173" t="inlineStr">
        <is>
          <t>Buy</t>
        </is>
      </c>
      <c r="H76" s="174" t="n">
        <v>46</v>
      </c>
      <c r="I76" s="175" t="n"/>
    </row>
    <row r="77" ht="15" customHeight="1" s="392">
      <c r="B77" s="208" t="inlineStr">
        <is>
          <t xml:space="preserve">Jefferies </t>
        </is>
      </c>
      <c r="F77" s="173" t="inlineStr">
        <is>
          <t>Buy</t>
        </is>
      </c>
      <c r="H77" s="174" t="n">
        <v>45</v>
      </c>
      <c r="I77" s="175" t="n"/>
    </row>
    <row r="78" ht="15" customHeight="1" s="392">
      <c r="B78" s="384" t="inlineStr">
        <is>
          <t>Equisights</t>
        </is>
      </c>
      <c r="F78" s="173" t="inlineStr">
        <is>
          <t>Outperform</t>
        </is>
      </c>
      <c r="H78" s="174" t="n">
        <v>43.1</v>
      </c>
      <c r="I78" s="175" t="n"/>
    </row>
  </sheetData>
  <mergeCells count="1">
    <mergeCell ref="D8:H8"/>
  </mergeCells>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tabColor rgb="FF7030A0"/>
    <outlinePr summaryBelow="1" summaryRight="1"/>
    <pageSetUpPr/>
  </sheetPr>
  <dimension ref="B3:B3"/>
  <sheetViews>
    <sheetView showGridLines="0" workbookViewId="0">
      <selection activeCell="A1" sqref="A1"/>
    </sheetView>
  </sheetViews>
  <sheetFormatPr baseColWidth="10" defaultColWidth="8.83203125" defaultRowHeight="15"/>
  <cols>
    <col width="40" customWidth="1" style="392" min="2" max="2"/>
  </cols>
  <sheetData>
    <row r="3" ht="19" customHeight="1" s="392">
      <c r="B3" s="324" t="inlineStr">
        <is>
          <t>RPM ENGINES -----&gt;</t>
        </is>
      </c>
    </row>
  </sheetData>
  <pageMargins left="0.75" right="0.75" top="1" bottom="1" header="0.5" footer="0.5"/>
</worksheet>
</file>

<file path=xl/worksheets/sheet10.xml><?xml version="1.0" encoding="utf-8"?>
<worksheet xmlns="http://schemas.openxmlformats.org/spreadsheetml/2006/main">
  <sheetPr>
    <tabColor rgb="FF7030A0"/>
    <outlinePr summaryBelow="1" summaryRight="1"/>
    <pageSetUpPr/>
  </sheetPr>
  <dimension ref="B1:S100"/>
  <sheetViews>
    <sheetView showGridLines="0" zoomScale="90" workbookViewId="0">
      <pane xSplit="3" ySplit="5" topLeftCell="D6"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2.5" customWidth="1" style="392" min="1" max="1"/>
    <col width="56" customWidth="1" style="392" min="2" max="2"/>
    <col width="8" customWidth="1" style="392" min="3" max="3"/>
    <col width="13" customWidth="1" style="392" min="4" max="13"/>
    <col width="48" customWidth="1" style="392" min="16" max="16"/>
  </cols>
  <sheetData>
    <row r="1" ht="17" customHeight="1" s="392">
      <c r="B1" s="269" t="inlineStr">
        <is>
          <t>E1 Fleet — vehicles on the road by age and body (thousands)</t>
        </is>
      </c>
      <c r="C1" s="270" t="n"/>
      <c r="D1" s="270" t="n"/>
      <c r="E1" s="270" t="n"/>
      <c r="F1" s="270" t="n"/>
      <c r="G1" s="270" t="n"/>
      <c r="H1" s="270" t="n"/>
      <c r="I1" s="270" t="n"/>
      <c r="J1" s="270" t="n"/>
      <c r="K1" s="270" t="n"/>
      <c r="L1" s="270" t="n"/>
      <c r="M1" s="270" t="n"/>
      <c r="N1" s="270" t="n"/>
      <c r="O1" s="270" t="n"/>
      <c r="P1" s="270" t="n"/>
      <c r="Q1" s="270" t="n"/>
      <c r="R1" s="270" t="n"/>
      <c r="S1" s="270" t="n"/>
    </row>
    <row r="2">
      <c r="B2" s="252" t="inlineStr">
        <is>
          <t>Fleet(a, b, Y) = Births(Y−a, b) × S_b(a ÷ k_b(Y));  k_b(Y) = k_b(2013) × m(Y).  Calendar years; feeds E2 by fiscal-quarter weights.  Appendix A, Eq. 1–3.</t>
        </is>
      </c>
    </row>
    <row r="3">
      <c r="C3" s="252" t="inlineStr">
        <is>
          <t>CY</t>
        </is>
      </c>
      <c r="D3" s="325" t="n">
        <v>2019</v>
      </c>
      <c r="E3" s="325" t="n">
        <v>2020</v>
      </c>
      <c r="F3" s="325" t="n">
        <v>2021</v>
      </c>
      <c r="G3" s="325" t="n">
        <v>2022</v>
      </c>
      <c r="H3" s="325" t="n">
        <v>2023</v>
      </c>
      <c r="I3" s="325" t="n">
        <v>2024</v>
      </c>
      <c r="J3" s="325" t="n">
        <v>2025</v>
      </c>
      <c r="K3" s="325" t="n">
        <v>2026</v>
      </c>
      <c r="L3" s="325" t="n">
        <v>2027</v>
      </c>
      <c r="M3" s="325" t="n">
        <v>2028</v>
      </c>
    </row>
    <row r="4">
      <c r="C4" s="277" t="inlineStr">
        <is>
          <t>Units</t>
        </is>
      </c>
      <c r="D4" s="405" t="inlineStr">
        <is>
          <t>Historicals</t>
        </is>
      </c>
      <c r="E4" s="377" t="n"/>
      <c r="F4" s="377" t="n"/>
      <c r="G4" s="377" t="n"/>
      <c r="H4" s="377" t="n"/>
      <c r="I4" s="377" t="n"/>
      <c r="J4" s="377" t="n"/>
      <c r="K4" s="405" t="inlineStr">
        <is>
          <t>Projected</t>
        </is>
      </c>
      <c r="L4" s="377" t="n"/>
      <c r="M4" s="377" t="n"/>
      <c r="P4" s="278" t="inlineStr">
        <is>
          <t>Notes / sources</t>
        </is>
      </c>
    </row>
    <row r="5">
      <c r="B5" s="246" t="inlineStr">
        <is>
          <t>A. Births by body (new light vehicles sold in the calendar year)</t>
        </is>
      </c>
      <c r="C5" s="247" t="n"/>
      <c r="D5" s="248" t="inlineStr">
        <is>
          <t>CY2019</t>
        </is>
      </c>
      <c r="E5" s="248" t="inlineStr">
        <is>
          <t>CY2020</t>
        </is>
      </c>
      <c r="F5" s="248" t="inlineStr">
        <is>
          <t>CY2021</t>
        </is>
      </c>
      <c r="G5" s="248" t="inlineStr">
        <is>
          <t>CY2022</t>
        </is>
      </c>
      <c r="H5" s="248" t="inlineStr">
        <is>
          <t>CY2023</t>
        </is>
      </c>
      <c r="I5" s="248" t="inlineStr">
        <is>
          <t>CY2024</t>
        </is>
      </c>
      <c r="J5" s="248" t="inlineStr">
        <is>
          <t>CY2025</t>
        </is>
      </c>
      <c r="K5" s="248" t="inlineStr">
        <is>
          <t>CY2026</t>
        </is>
      </c>
      <c r="L5" s="248" t="inlineStr">
        <is>
          <t>CY2027</t>
        </is>
      </c>
      <c r="M5" s="248" t="inlineStr">
        <is>
          <t>CY2028</t>
        </is>
      </c>
      <c r="N5" s="247" t="n"/>
      <c r="O5" s="247" t="n"/>
      <c r="P5" s="247" t="n"/>
      <c r="Q5" s="247" t="n"/>
      <c r="R5" s="247" t="n"/>
      <c r="S5" s="247" t="n"/>
    </row>
    <row r="6">
      <c r="B6" s="254" t="inlineStr">
        <is>
          <t>Car</t>
        </is>
      </c>
      <c r="C6" s="279" t="inlineStr">
        <is>
          <t>000s</t>
        </is>
      </c>
      <c r="D6" s="261">
        <f>INDEX('D Fleet'!$C$5:$C$63,MATCH(D$3,'D Fleet'!$B$5:$B$63,0))</f>
        <v/>
      </c>
      <c r="E6" s="261">
        <f>INDEX('D Fleet'!$C$5:$C$63,MATCH(E$3,'D Fleet'!$B$5:$B$63,0))</f>
        <v/>
      </c>
      <c r="F6" s="261">
        <f>INDEX('D Fleet'!$C$5:$C$63,MATCH(F$3,'D Fleet'!$B$5:$B$63,0))</f>
        <v/>
      </c>
      <c r="G6" s="261">
        <f>INDEX('D Fleet'!$C$5:$C$63,MATCH(G$3,'D Fleet'!$B$5:$B$63,0))</f>
        <v/>
      </c>
      <c r="H6" s="261">
        <f>INDEX('D Fleet'!$C$5:$C$63,MATCH(H$3,'D Fleet'!$B$5:$B$63,0))</f>
        <v/>
      </c>
      <c r="I6" s="261">
        <f>INDEX('D Fleet'!$C$5:$C$63,MATCH(I$3,'D Fleet'!$B$5:$B$63,0))</f>
        <v/>
      </c>
      <c r="J6" s="261">
        <f>INDEX('D Fleet'!$C$5:$C$63,MATCH(J$3,'D Fleet'!$B$5:$B$63,0))</f>
        <v/>
      </c>
      <c r="K6" s="261">
        <f>INDEX('D Fleet'!$C$5:$C$63,MATCH(K$3,'D Fleet'!$B$5:$B$63,0))</f>
        <v/>
      </c>
      <c r="L6" s="261">
        <f>INDEX('D Fleet'!$C$5:$C$63,MATCH(L$3,'D Fleet'!$B$5:$B$63,0))</f>
        <v/>
      </c>
      <c r="M6" s="261">
        <f>INDEX('D Fleet'!$C$5:$C$63,MATCH(M$3,'D Fleet'!$B$5:$B$63,0))</f>
        <v/>
      </c>
      <c r="N6" s="282" t="inlineStr">
        <is>
          <t>–</t>
        </is>
      </c>
      <c r="O6" s="282" t="inlineStr">
        <is>
          <t>–</t>
        </is>
      </c>
      <c r="P6" s="252" t="inlineStr">
        <is>
          <t>D Fleet; Ward's/ORNL to 2021, FRED 2022–25 (VERIFIED); SUV/pickup/van split is an EPA composition proxy (ASSUMED)</t>
        </is>
      </c>
      <c r="Q6" s="282" t="inlineStr">
        <is>
          <t>–</t>
        </is>
      </c>
      <c r="R6" s="282" t="inlineStr">
        <is>
          <t>–</t>
        </is>
      </c>
    </row>
    <row r="7">
      <c r="B7" s="254" t="inlineStr">
        <is>
          <t>Utility vehicle (SUV)</t>
        </is>
      </c>
      <c r="C7" s="279" t="inlineStr">
        <is>
          <t>000s</t>
        </is>
      </c>
      <c r="D7" s="261">
        <f>INDEX('D Fleet'!$D$5:$D$63,MATCH(D$3,'D Fleet'!$B$5:$B$63,0))</f>
        <v/>
      </c>
      <c r="E7" s="261">
        <f>INDEX('D Fleet'!$D$5:$D$63,MATCH(E$3,'D Fleet'!$B$5:$B$63,0))</f>
        <v/>
      </c>
      <c r="F7" s="261">
        <f>INDEX('D Fleet'!$D$5:$D$63,MATCH(F$3,'D Fleet'!$B$5:$B$63,0))</f>
        <v/>
      </c>
      <c r="G7" s="261">
        <f>INDEX('D Fleet'!$D$5:$D$63,MATCH(G$3,'D Fleet'!$B$5:$B$63,0))</f>
        <v/>
      </c>
      <c r="H7" s="261">
        <f>INDEX('D Fleet'!$D$5:$D$63,MATCH(H$3,'D Fleet'!$B$5:$B$63,0))</f>
        <v/>
      </c>
      <c r="I7" s="261">
        <f>INDEX('D Fleet'!$D$5:$D$63,MATCH(I$3,'D Fleet'!$B$5:$B$63,0))</f>
        <v/>
      </c>
      <c r="J7" s="261">
        <f>INDEX('D Fleet'!$D$5:$D$63,MATCH(J$3,'D Fleet'!$B$5:$B$63,0))</f>
        <v/>
      </c>
      <c r="K7" s="261">
        <f>INDEX('D Fleet'!$D$5:$D$63,MATCH(K$3,'D Fleet'!$B$5:$B$63,0))</f>
        <v/>
      </c>
      <c r="L7" s="261">
        <f>INDEX('D Fleet'!$D$5:$D$63,MATCH(L$3,'D Fleet'!$B$5:$B$63,0))</f>
        <v/>
      </c>
      <c r="M7" s="261">
        <f>INDEX('D Fleet'!$D$5:$D$63,MATCH(M$3,'D Fleet'!$B$5:$B$63,0))</f>
        <v/>
      </c>
      <c r="N7" s="282" t="inlineStr">
        <is>
          <t>–</t>
        </is>
      </c>
      <c r="O7" s="282" t="inlineStr">
        <is>
          <t>–</t>
        </is>
      </c>
      <c r="P7" s="282" t="inlineStr">
        <is>
          <t>–</t>
        </is>
      </c>
      <c r="Q7" s="282" t="inlineStr">
        <is>
          <t>–</t>
        </is>
      </c>
      <c r="R7" s="282" t="inlineStr">
        <is>
          <t>–</t>
        </is>
      </c>
    </row>
    <row r="8">
      <c r="B8" s="254" t="inlineStr">
        <is>
          <t>Pickup</t>
        </is>
      </c>
      <c r="C8" s="279" t="inlineStr">
        <is>
          <t>000s</t>
        </is>
      </c>
      <c r="D8" s="261">
        <f>INDEX('D Fleet'!$E$5:$E$63,MATCH(D$3,'D Fleet'!$B$5:$B$63,0))</f>
        <v/>
      </c>
      <c r="E8" s="261">
        <f>INDEX('D Fleet'!$E$5:$E$63,MATCH(E$3,'D Fleet'!$B$5:$B$63,0))</f>
        <v/>
      </c>
      <c r="F8" s="261">
        <f>INDEX('D Fleet'!$E$5:$E$63,MATCH(F$3,'D Fleet'!$B$5:$B$63,0))</f>
        <v/>
      </c>
      <c r="G8" s="261">
        <f>INDEX('D Fleet'!$E$5:$E$63,MATCH(G$3,'D Fleet'!$B$5:$B$63,0))</f>
        <v/>
      </c>
      <c r="H8" s="261">
        <f>INDEX('D Fleet'!$E$5:$E$63,MATCH(H$3,'D Fleet'!$B$5:$B$63,0))</f>
        <v/>
      </c>
      <c r="I8" s="261">
        <f>INDEX('D Fleet'!$E$5:$E$63,MATCH(I$3,'D Fleet'!$B$5:$B$63,0))</f>
        <v/>
      </c>
      <c r="J8" s="261">
        <f>INDEX('D Fleet'!$E$5:$E$63,MATCH(J$3,'D Fleet'!$B$5:$B$63,0))</f>
        <v/>
      </c>
      <c r="K8" s="261">
        <f>INDEX('D Fleet'!$E$5:$E$63,MATCH(K$3,'D Fleet'!$B$5:$B$63,0))</f>
        <v/>
      </c>
      <c r="L8" s="261">
        <f>INDEX('D Fleet'!$E$5:$E$63,MATCH(L$3,'D Fleet'!$B$5:$B$63,0))</f>
        <v/>
      </c>
      <c r="M8" s="261">
        <f>INDEX('D Fleet'!$E$5:$E$63,MATCH(M$3,'D Fleet'!$B$5:$B$63,0))</f>
        <v/>
      </c>
      <c r="N8" s="282" t="inlineStr">
        <is>
          <t>–</t>
        </is>
      </c>
      <c r="O8" s="282" t="inlineStr">
        <is>
          <t>–</t>
        </is>
      </c>
      <c r="P8" s="282" t="inlineStr">
        <is>
          <t>–</t>
        </is>
      </c>
      <c r="Q8" s="282" t="inlineStr">
        <is>
          <t>–</t>
        </is>
      </c>
      <c r="R8" s="282" t="inlineStr">
        <is>
          <t>–</t>
        </is>
      </c>
    </row>
    <row r="9">
      <c r="B9" s="254" t="inlineStr">
        <is>
          <t>Van / minivan</t>
        </is>
      </c>
      <c r="C9" s="279" t="inlineStr">
        <is>
          <t>000s</t>
        </is>
      </c>
      <c r="D9" s="261">
        <f>INDEX('D Fleet'!$F$5:$F$63,MATCH(D$3,'D Fleet'!$B$5:$B$63,0))</f>
        <v/>
      </c>
      <c r="E9" s="261">
        <f>INDEX('D Fleet'!$F$5:$F$63,MATCH(E$3,'D Fleet'!$B$5:$B$63,0))</f>
        <v/>
      </c>
      <c r="F9" s="261">
        <f>INDEX('D Fleet'!$F$5:$F$63,MATCH(F$3,'D Fleet'!$B$5:$B$63,0))</f>
        <v/>
      </c>
      <c r="G9" s="261">
        <f>INDEX('D Fleet'!$F$5:$F$63,MATCH(G$3,'D Fleet'!$B$5:$B$63,0))</f>
        <v/>
      </c>
      <c r="H9" s="261">
        <f>INDEX('D Fleet'!$F$5:$F$63,MATCH(H$3,'D Fleet'!$B$5:$B$63,0))</f>
        <v/>
      </c>
      <c r="I9" s="261">
        <f>INDEX('D Fleet'!$F$5:$F$63,MATCH(I$3,'D Fleet'!$B$5:$B$63,0))</f>
        <v/>
      </c>
      <c r="J9" s="261">
        <f>INDEX('D Fleet'!$F$5:$F$63,MATCH(J$3,'D Fleet'!$B$5:$B$63,0))</f>
        <v/>
      </c>
      <c r="K9" s="261">
        <f>INDEX('D Fleet'!$F$5:$F$63,MATCH(K$3,'D Fleet'!$B$5:$B$63,0))</f>
        <v/>
      </c>
      <c r="L9" s="261">
        <f>INDEX('D Fleet'!$F$5:$F$63,MATCH(L$3,'D Fleet'!$B$5:$B$63,0))</f>
        <v/>
      </c>
      <c r="M9" s="261">
        <f>INDEX('D Fleet'!$F$5:$F$63,MATCH(M$3,'D Fleet'!$B$5:$B$63,0))</f>
        <v/>
      </c>
      <c r="N9" s="282" t="inlineStr">
        <is>
          <t>–</t>
        </is>
      </c>
      <c r="O9" s="282" t="inlineStr">
        <is>
          <t>–</t>
        </is>
      </c>
      <c r="P9" s="282" t="inlineStr">
        <is>
          <t>–</t>
        </is>
      </c>
      <c r="Q9" s="282" t="inlineStr">
        <is>
          <t>–</t>
        </is>
      </c>
      <c r="R9" s="282" t="inlineStr">
        <is>
          <t>–</t>
        </is>
      </c>
    </row>
    <row r="10">
      <c r="B10" s="249" t="inlineStr">
        <is>
          <t>Total light vehicles</t>
        </is>
      </c>
      <c r="C10" s="279" t="inlineStr">
        <is>
          <t>000s</t>
        </is>
      </c>
      <c r="D10" s="326">
        <f>SUM(D6:D9)</f>
        <v/>
      </c>
      <c r="E10" s="326">
        <f>SUM(E6:E9)</f>
        <v/>
      </c>
      <c r="F10" s="326">
        <f>SUM(F6:F9)</f>
        <v/>
      </c>
      <c r="G10" s="326">
        <f>SUM(G6:G9)</f>
        <v/>
      </c>
      <c r="H10" s="326">
        <f>SUM(H6:H9)</f>
        <v/>
      </c>
      <c r="I10" s="326">
        <f>SUM(I6:I9)</f>
        <v/>
      </c>
      <c r="J10" s="326">
        <f>SUM(J6:J9)</f>
        <v/>
      </c>
      <c r="K10" s="326">
        <f>SUM(K6:K9)</f>
        <v/>
      </c>
      <c r="L10" s="326">
        <f>SUM(L6:L9)</f>
        <v/>
      </c>
      <c r="M10" s="326">
        <f>SUM(M6:M9)</f>
        <v/>
      </c>
      <c r="N10" s="282" t="inlineStr">
        <is>
          <t>–</t>
        </is>
      </c>
      <c r="O10" s="282" t="inlineStr">
        <is>
          <t>–</t>
        </is>
      </c>
      <c r="P10" s="282" t="inlineStr">
        <is>
          <t>–</t>
        </is>
      </c>
      <c r="Q10" s="282" t="inlineStr">
        <is>
          <t>–</t>
        </is>
      </c>
      <c r="R10" s="282" t="inlineStr">
        <is>
          <t>–</t>
        </is>
      </c>
    </row>
    <row r="11">
      <c r="B11" s="274" t="inlineStr">
        <is>
          <t xml:space="preserve">   y/y growth</t>
        </is>
      </c>
      <c r="C11" s="279" t="inlineStr">
        <is>
          <t>%</t>
        </is>
      </c>
      <c r="D11" s="282" t="inlineStr">
        <is>
          <t>–</t>
        </is>
      </c>
      <c r="E11" s="327">
        <f>E10/D10-1</f>
        <v/>
      </c>
      <c r="F11" s="327">
        <f>F10/E10-1</f>
        <v/>
      </c>
      <c r="G11" s="327">
        <f>G10/F10-1</f>
        <v/>
      </c>
      <c r="H11" s="327">
        <f>H10/G10-1</f>
        <v/>
      </c>
      <c r="I11" s="327">
        <f>I10/H10-1</f>
        <v/>
      </c>
      <c r="J11" s="327">
        <f>J10/I10-1</f>
        <v/>
      </c>
      <c r="K11" s="327">
        <f>K10/J10-1</f>
        <v/>
      </c>
      <c r="L11" s="327">
        <f>L10/K10-1</f>
        <v/>
      </c>
      <c r="M11" s="327">
        <f>M10/L10-1</f>
        <v/>
      </c>
      <c r="N11" s="282" t="inlineStr">
        <is>
          <t>–</t>
        </is>
      </c>
      <c r="O11" s="282" t="inlineStr">
        <is>
          <t>–</t>
        </is>
      </c>
      <c r="P11" s="282" t="inlineStr">
        <is>
          <t>–</t>
        </is>
      </c>
      <c r="Q11" s="282" t="inlineStr">
        <is>
          <t>–</t>
        </is>
      </c>
      <c r="R11" s="282" t="inlineStr">
        <is>
          <t>–</t>
        </is>
      </c>
    </row>
    <row r="13">
      <c r="B13" s="271" t="inlineStr">
        <is>
          <t>B. Survival stretch  (k = 1 is the raw EPA schedule; k &gt; 1 means vehicles last longer)</t>
        </is>
      </c>
      <c r="C13" s="272" t="n"/>
      <c r="D13" s="272" t="n"/>
      <c r="E13" s="272" t="n"/>
      <c r="F13" s="272" t="n"/>
      <c r="G13" s="272" t="n"/>
      <c r="H13" s="272" t="n"/>
      <c r="I13" s="272" t="n"/>
      <c r="J13" s="272" t="n"/>
      <c r="K13" s="272" t="n"/>
      <c r="L13" s="272" t="n"/>
      <c r="M13" s="272" t="n"/>
      <c r="N13" s="272" t="n"/>
      <c r="O13" s="272" t="n"/>
      <c r="P13" s="272" t="n"/>
      <c r="Q13" s="272" t="n"/>
      <c r="R13" s="272" t="n"/>
      <c r="S13" s="272" t="n"/>
    </row>
    <row r="14">
      <c r="B14" s="254" t="inlineStr">
        <is>
          <t>m(Y): drift multiplier, linear 2013 → 2024, flat after</t>
        </is>
      </c>
      <c r="C14" s="279" t="inlineStr">
        <is>
          <t>x</t>
        </is>
      </c>
      <c r="D14" s="265">
        <f>1+($D$92-1)*MIN(MAX(D$3-2013,0),11)/11</f>
        <v/>
      </c>
      <c r="E14" s="265">
        <f>1+($D$92-1)*MIN(MAX(E$3-2013,0),11)/11</f>
        <v/>
      </c>
      <c r="F14" s="265">
        <f>1+($D$92-1)*MIN(MAX(F$3-2013,0),11)/11</f>
        <v/>
      </c>
      <c r="G14" s="265">
        <f>1+($D$92-1)*MIN(MAX(G$3-2013,0),11)/11</f>
        <v/>
      </c>
      <c r="H14" s="265">
        <f>1+($D$92-1)*MIN(MAX(H$3-2013,0),11)/11</f>
        <v/>
      </c>
      <c r="I14" s="265">
        <f>1+($D$92-1)*MIN(MAX(I$3-2013,0),11)/11</f>
        <v/>
      </c>
      <c r="J14" s="265">
        <f>1+($D$92-1)*MIN(MAX(J$3-2013,0),11)/11</f>
        <v/>
      </c>
      <c r="K14" s="265">
        <f>1+($D$92-1)*MIN(MAX(K$3-2013,0),11)/11</f>
        <v/>
      </c>
      <c r="L14" s="265">
        <f>1+($D$92-1)*MIN(MAX(L$3-2013,0),11)/11</f>
        <v/>
      </c>
      <c r="M14" s="265">
        <f>1+($D$92-1)*MIN(MAX(M$3-2013,0),11)/11</f>
        <v/>
      </c>
      <c r="N14" s="282" t="inlineStr">
        <is>
          <t>–</t>
        </is>
      </c>
      <c r="O14" s="282" t="inlineStr">
        <is>
          <t>–</t>
        </is>
      </c>
      <c r="P14" s="252" t="inlineStr">
        <is>
          <t>FITTED to two 2024 count anchors (Inputs rows); AGE_CURVES.md §2.4</t>
        </is>
      </c>
      <c r="Q14" s="282" t="inlineStr">
        <is>
          <t>–</t>
        </is>
      </c>
      <c r="R14" s="282" t="inlineStr">
        <is>
          <t>–</t>
        </is>
      </c>
    </row>
    <row r="15">
      <c r="B15" s="254" t="inlineStr">
        <is>
          <t>k_cars(Y)</t>
        </is>
      </c>
      <c r="C15" s="279" t="inlineStr">
        <is>
          <t>x</t>
        </is>
      </c>
      <c r="D15" s="265">
        <f>$D$90*D14</f>
        <v/>
      </c>
      <c r="E15" s="265">
        <f>$D$90*E14</f>
        <v/>
      </c>
      <c r="F15" s="265">
        <f>$D$90*F14</f>
        <v/>
      </c>
      <c r="G15" s="265">
        <f>$D$90*G14</f>
        <v/>
      </c>
      <c r="H15" s="265">
        <f>$D$90*H14</f>
        <v/>
      </c>
      <c r="I15" s="265">
        <f>$D$90*I14</f>
        <v/>
      </c>
      <c r="J15" s="265">
        <f>$D$90*J14</f>
        <v/>
      </c>
      <c r="K15" s="265">
        <f>$D$90*K14</f>
        <v/>
      </c>
      <c r="L15" s="265">
        <f>$D$90*L14</f>
        <v/>
      </c>
      <c r="M15" s="265">
        <f>$D$90*M14</f>
        <v/>
      </c>
      <c r="N15" s="282" t="inlineStr">
        <is>
          <t>–</t>
        </is>
      </c>
      <c r="O15" s="282" t="inlineStr">
        <is>
          <t>–</t>
        </is>
      </c>
      <c r="P15" s="282" t="inlineStr">
        <is>
          <t>–</t>
        </is>
      </c>
      <c r="Q15" s="282" t="inlineStr">
        <is>
          <t>–</t>
        </is>
      </c>
      <c r="R15" s="282" t="inlineStr">
        <is>
          <t>–</t>
        </is>
      </c>
    </row>
    <row r="16">
      <c r="B16" s="254" t="inlineStr">
        <is>
          <t>k_light trucks(Y)</t>
        </is>
      </c>
      <c r="C16" s="279" t="inlineStr">
        <is>
          <t>x</t>
        </is>
      </c>
      <c r="D16" s="265">
        <f>$D$91*D14</f>
        <v/>
      </c>
      <c r="E16" s="265">
        <f>$D$91*E14</f>
        <v/>
      </c>
      <c r="F16" s="265">
        <f>$D$91*F14</f>
        <v/>
      </c>
      <c r="G16" s="265">
        <f>$D$91*G14</f>
        <v/>
      </c>
      <c r="H16" s="265">
        <f>$D$91*H14</f>
        <v/>
      </c>
      <c r="I16" s="265">
        <f>$D$91*I14</f>
        <v/>
      </c>
      <c r="J16" s="265">
        <f>$D$91*J14</f>
        <v/>
      </c>
      <c r="K16" s="265">
        <f>$D$91*K14</f>
        <v/>
      </c>
      <c r="L16" s="265">
        <f>$D$91*L14</f>
        <v/>
      </c>
      <c r="M16" s="265">
        <f>$D$91*M14</f>
        <v/>
      </c>
      <c r="N16" s="282" t="inlineStr">
        <is>
          <t>–</t>
        </is>
      </c>
      <c r="O16" s="282" t="inlineStr">
        <is>
          <t>–</t>
        </is>
      </c>
      <c r="P16" s="282" t="inlineStr">
        <is>
          <t>–</t>
        </is>
      </c>
      <c r="Q16" s="282" t="inlineStr">
        <is>
          <t>–</t>
        </is>
      </c>
      <c r="R16" s="282" t="inlineStr">
        <is>
          <t>–</t>
        </is>
      </c>
    </row>
    <row r="18">
      <c r="B18" s="271" t="inlineStr">
        <is>
          <t>C. Vehicles on the road by age band × body (thousands; from E1a roll)</t>
        </is>
      </c>
      <c r="C18" s="272" t="n"/>
      <c r="D18" s="272" t="n"/>
      <c r="E18" s="272" t="n"/>
      <c r="F18" s="272" t="n"/>
      <c r="G18" s="272" t="n"/>
      <c r="H18" s="272" t="n"/>
      <c r="I18" s="272" t="n"/>
      <c r="J18" s="272" t="n"/>
      <c r="K18" s="272" t="n"/>
      <c r="L18" s="272" t="n"/>
      <c r="M18" s="272" t="n"/>
      <c r="N18" s="272" t="n"/>
      <c r="O18" s="272" t="n"/>
      <c r="P18" s="272" t="n"/>
      <c r="Q18" s="272" t="n"/>
      <c r="R18" s="272" t="n"/>
      <c r="S18" s="272" t="n"/>
    </row>
    <row r="19">
      <c r="B19" s="254" t="inlineStr">
        <is>
          <t>Car — 0 (current or newer)</t>
        </is>
      </c>
      <c r="C19" s="279" t="inlineStr">
        <is>
          <t>000s</t>
        </is>
      </c>
      <c r="D19" s="261">
        <f>SUMIFS('E1a Fleet (roll)'!E$7:E$190,'E1a Fleet (roll)'!$A$7:$A$190,"Car",'E1a Fleet (roll)'!$C$7:$C$190,0)</f>
        <v/>
      </c>
      <c r="E19" s="261">
        <f>SUMIFS('E1a Fleet (roll)'!F$7:F$190,'E1a Fleet (roll)'!$A$7:$A$190,"Car",'E1a Fleet (roll)'!$C$7:$C$190,0)</f>
        <v/>
      </c>
      <c r="F19" s="261">
        <f>SUMIFS('E1a Fleet (roll)'!G$7:G$190,'E1a Fleet (roll)'!$A$7:$A$190,"Car",'E1a Fleet (roll)'!$C$7:$C$190,0)</f>
        <v/>
      </c>
      <c r="G19" s="261">
        <f>SUMIFS('E1a Fleet (roll)'!H$7:H$190,'E1a Fleet (roll)'!$A$7:$A$190,"Car",'E1a Fleet (roll)'!$C$7:$C$190,0)</f>
        <v/>
      </c>
      <c r="H19" s="261">
        <f>SUMIFS('E1a Fleet (roll)'!I$7:I$190,'E1a Fleet (roll)'!$A$7:$A$190,"Car",'E1a Fleet (roll)'!$C$7:$C$190,0)</f>
        <v/>
      </c>
      <c r="I19" s="261">
        <f>SUMIFS('E1a Fleet (roll)'!J$7:J$190,'E1a Fleet (roll)'!$A$7:$A$190,"Car",'E1a Fleet (roll)'!$C$7:$C$190,0)</f>
        <v/>
      </c>
      <c r="J19" s="261">
        <f>SUMIFS('E1a Fleet (roll)'!K$7:K$190,'E1a Fleet (roll)'!$A$7:$A$190,"Car",'E1a Fleet (roll)'!$C$7:$C$190,0)</f>
        <v/>
      </c>
      <c r="K19" s="261">
        <f>SUMIFS('E1a Fleet (roll)'!L$7:L$190,'E1a Fleet (roll)'!$A$7:$A$190,"Car",'E1a Fleet (roll)'!$C$7:$C$190,0)</f>
        <v/>
      </c>
      <c r="L19" s="261">
        <f>SUMIFS('E1a Fleet (roll)'!M$7:M$190,'E1a Fleet (roll)'!$A$7:$A$190,"Car",'E1a Fleet (roll)'!$C$7:$C$190,0)</f>
        <v/>
      </c>
      <c r="M19" s="261">
        <f>SUMIFS('E1a Fleet (roll)'!N$7:N$190,'E1a Fleet (roll)'!$A$7:$A$190,"Car",'E1a Fleet (roll)'!$C$7:$C$190,0)</f>
        <v/>
      </c>
      <c r="N19" s="282" t="inlineStr">
        <is>
          <t>–</t>
        </is>
      </c>
      <c r="O19" s="282" t="inlineStr">
        <is>
          <t>–</t>
        </is>
      </c>
      <c r="P19" s="282" t="inlineStr">
        <is>
          <t>–</t>
        </is>
      </c>
      <c r="Q19" s="282" t="inlineStr">
        <is>
          <t>–</t>
        </is>
      </c>
      <c r="R19" s="282" t="inlineStr">
        <is>
          <t>–</t>
        </is>
      </c>
    </row>
    <row r="20">
      <c r="B20" s="328" t="inlineStr">
        <is>
          <t>Car — 1–3 years</t>
        </is>
      </c>
      <c r="C20" s="279" t="inlineStr">
        <is>
          <t>000s</t>
        </is>
      </c>
      <c r="D20" s="261">
        <f>SUMIFS('E1a Fleet (roll)'!E$7:E$190,'E1a Fleet (roll)'!$A$7:$A$190,"Car",'E1a Fleet (roll)'!$C$7:$C$190,1)</f>
        <v/>
      </c>
      <c r="E20" s="261">
        <f>SUMIFS('E1a Fleet (roll)'!F$7:F$190,'E1a Fleet (roll)'!$A$7:$A$190,"Car",'E1a Fleet (roll)'!$C$7:$C$190,1)</f>
        <v/>
      </c>
      <c r="F20" s="261">
        <f>SUMIFS('E1a Fleet (roll)'!G$7:G$190,'E1a Fleet (roll)'!$A$7:$A$190,"Car",'E1a Fleet (roll)'!$C$7:$C$190,1)</f>
        <v/>
      </c>
      <c r="G20" s="261">
        <f>SUMIFS('E1a Fleet (roll)'!H$7:H$190,'E1a Fleet (roll)'!$A$7:$A$190,"Car",'E1a Fleet (roll)'!$C$7:$C$190,1)</f>
        <v/>
      </c>
      <c r="H20" s="261">
        <f>SUMIFS('E1a Fleet (roll)'!I$7:I$190,'E1a Fleet (roll)'!$A$7:$A$190,"Car",'E1a Fleet (roll)'!$C$7:$C$190,1)</f>
        <v/>
      </c>
      <c r="I20" s="261">
        <f>SUMIFS('E1a Fleet (roll)'!J$7:J$190,'E1a Fleet (roll)'!$A$7:$A$190,"Car",'E1a Fleet (roll)'!$C$7:$C$190,1)</f>
        <v/>
      </c>
      <c r="J20" s="261">
        <f>SUMIFS('E1a Fleet (roll)'!K$7:K$190,'E1a Fleet (roll)'!$A$7:$A$190,"Car",'E1a Fleet (roll)'!$C$7:$C$190,1)</f>
        <v/>
      </c>
      <c r="K20" s="261">
        <f>SUMIFS('E1a Fleet (roll)'!L$7:L$190,'E1a Fleet (roll)'!$A$7:$A$190,"Car",'E1a Fleet (roll)'!$C$7:$C$190,1)</f>
        <v/>
      </c>
      <c r="L20" s="261">
        <f>SUMIFS('E1a Fleet (roll)'!M$7:M$190,'E1a Fleet (roll)'!$A$7:$A$190,"Car",'E1a Fleet (roll)'!$C$7:$C$190,1)</f>
        <v/>
      </c>
      <c r="M20" s="261">
        <f>SUMIFS('E1a Fleet (roll)'!N$7:N$190,'E1a Fleet (roll)'!$A$7:$A$190,"Car",'E1a Fleet (roll)'!$C$7:$C$190,1)</f>
        <v/>
      </c>
      <c r="N20" s="282" t="inlineStr">
        <is>
          <t>–</t>
        </is>
      </c>
      <c r="O20" s="282" t="inlineStr">
        <is>
          <t>–</t>
        </is>
      </c>
      <c r="P20" s="282" t="inlineStr">
        <is>
          <t>–</t>
        </is>
      </c>
      <c r="Q20" s="282" t="inlineStr">
        <is>
          <t>–</t>
        </is>
      </c>
      <c r="R20" s="282" t="inlineStr">
        <is>
          <t>–</t>
        </is>
      </c>
    </row>
    <row r="21">
      <c r="B21" s="328" t="inlineStr">
        <is>
          <t>Car — 4–6 years</t>
        </is>
      </c>
      <c r="C21" s="279" t="inlineStr">
        <is>
          <t>000s</t>
        </is>
      </c>
      <c r="D21" s="261">
        <f>SUMIFS('E1a Fleet (roll)'!E$7:E$190,'E1a Fleet (roll)'!$A$7:$A$190,"Car",'E1a Fleet (roll)'!$C$7:$C$190,2)</f>
        <v/>
      </c>
      <c r="E21" s="261">
        <f>SUMIFS('E1a Fleet (roll)'!F$7:F$190,'E1a Fleet (roll)'!$A$7:$A$190,"Car",'E1a Fleet (roll)'!$C$7:$C$190,2)</f>
        <v/>
      </c>
      <c r="F21" s="261">
        <f>SUMIFS('E1a Fleet (roll)'!G$7:G$190,'E1a Fleet (roll)'!$A$7:$A$190,"Car",'E1a Fleet (roll)'!$C$7:$C$190,2)</f>
        <v/>
      </c>
      <c r="G21" s="261">
        <f>SUMIFS('E1a Fleet (roll)'!H$7:H$190,'E1a Fleet (roll)'!$A$7:$A$190,"Car",'E1a Fleet (roll)'!$C$7:$C$190,2)</f>
        <v/>
      </c>
      <c r="H21" s="261">
        <f>SUMIFS('E1a Fleet (roll)'!I$7:I$190,'E1a Fleet (roll)'!$A$7:$A$190,"Car",'E1a Fleet (roll)'!$C$7:$C$190,2)</f>
        <v/>
      </c>
      <c r="I21" s="261">
        <f>SUMIFS('E1a Fleet (roll)'!J$7:J$190,'E1a Fleet (roll)'!$A$7:$A$190,"Car",'E1a Fleet (roll)'!$C$7:$C$190,2)</f>
        <v/>
      </c>
      <c r="J21" s="261">
        <f>SUMIFS('E1a Fleet (roll)'!K$7:K$190,'E1a Fleet (roll)'!$A$7:$A$190,"Car",'E1a Fleet (roll)'!$C$7:$C$190,2)</f>
        <v/>
      </c>
      <c r="K21" s="261">
        <f>SUMIFS('E1a Fleet (roll)'!L$7:L$190,'E1a Fleet (roll)'!$A$7:$A$190,"Car",'E1a Fleet (roll)'!$C$7:$C$190,2)</f>
        <v/>
      </c>
      <c r="L21" s="261">
        <f>SUMIFS('E1a Fleet (roll)'!M$7:M$190,'E1a Fleet (roll)'!$A$7:$A$190,"Car",'E1a Fleet (roll)'!$C$7:$C$190,2)</f>
        <v/>
      </c>
      <c r="M21" s="261">
        <f>SUMIFS('E1a Fleet (roll)'!N$7:N$190,'E1a Fleet (roll)'!$A$7:$A$190,"Car",'E1a Fleet (roll)'!$C$7:$C$190,2)</f>
        <v/>
      </c>
      <c r="N21" s="282" t="inlineStr">
        <is>
          <t>–</t>
        </is>
      </c>
      <c r="O21" s="282" t="inlineStr">
        <is>
          <t>–</t>
        </is>
      </c>
      <c r="P21" s="282" t="inlineStr">
        <is>
          <t>–</t>
        </is>
      </c>
      <c r="Q21" s="282" t="inlineStr">
        <is>
          <t>–</t>
        </is>
      </c>
      <c r="R21" s="282" t="inlineStr">
        <is>
          <t>–</t>
        </is>
      </c>
    </row>
    <row r="22">
      <c r="B22" s="328" t="inlineStr">
        <is>
          <t>Car — 7+ years</t>
        </is>
      </c>
      <c r="C22" s="279" t="inlineStr">
        <is>
          <t>000s</t>
        </is>
      </c>
      <c r="D22" s="261">
        <f>SUMIFS('E1a Fleet (roll)'!E$7:E$190,'E1a Fleet (roll)'!$A$7:$A$190,"Car",'E1a Fleet (roll)'!$C$7:$C$190,3)</f>
        <v/>
      </c>
      <c r="E22" s="261">
        <f>SUMIFS('E1a Fleet (roll)'!F$7:F$190,'E1a Fleet (roll)'!$A$7:$A$190,"Car",'E1a Fleet (roll)'!$C$7:$C$190,3)</f>
        <v/>
      </c>
      <c r="F22" s="261">
        <f>SUMIFS('E1a Fleet (roll)'!G$7:G$190,'E1a Fleet (roll)'!$A$7:$A$190,"Car",'E1a Fleet (roll)'!$C$7:$C$190,3)</f>
        <v/>
      </c>
      <c r="G22" s="261">
        <f>SUMIFS('E1a Fleet (roll)'!H$7:H$190,'E1a Fleet (roll)'!$A$7:$A$190,"Car",'E1a Fleet (roll)'!$C$7:$C$190,3)</f>
        <v/>
      </c>
      <c r="H22" s="261">
        <f>SUMIFS('E1a Fleet (roll)'!I$7:I$190,'E1a Fleet (roll)'!$A$7:$A$190,"Car",'E1a Fleet (roll)'!$C$7:$C$190,3)</f>
        <v/>
      </c>
      <c r="I22" s="261">
        <f>SUMIFS('E1a Fleet (roll)'!J$7:J$190,'E1a Fleet (roll)'!$A$7:$A$190,"Car",'E1a Fleet (roll)'!$C$7:$C$190,3)</f>
        <v/>
      </c>
      <c r="J22" s="261">
        <f>SUMIFS('E1a Fleet (roll)'!K$7:K$190,'E1a Fleet (roll)'!$A$7:$A$190,"Car",'E1a Fleet (roll)'!$C$7:$C$190,3)</f>
        <v/>
      </c>
      <c r="K22" s="261">
        <f>SUMIFS('E1a Fleet (roll)'!L$7:L$190,'E1a Fleet (roll)'!$A$7:$A$190,"Car",'E1a Fleet (roll)'!$C$7:$C$190,3)</f>
        <v/>
      </c>
      <c r="L22" s="261">
        <f>SUMIFS('E1a Fleet (roll)'!M$7:M$190,'E1a Fleet (roll)'!$A$7:$A$190,"Car",'E1a Fleet (roll)'!$C$7:$C$190,3)</f>
        <v/>
      </c>
      <c r="M22" s="261">
        <f>SUMIFS('E1a Fleet (roll)'!N$7:N$190,'E1a Fleet (roll)'!$A$7:$A$190,"Car",'E1a Fleet (roll)'!$C$7:$C$190,3)</f>
        <v/>
      </c>
      <c r="N22" s="282" t="inlineStr">
        <is>
          <t>–</t>
        </is>
      </c>
      <c r="O22" s="282" t="inlineStr">
        <is>
          <t>–</t>
        </is>
      </c>
      <c r="P22" s="282" t="inlineStr">
        <is>
          <t>–</t>
        </is>
      </c>
      <c r="Q22" s="282" t="inlineStr">
        <is>
          <t>–</t>
        </is>
      </c>
      <c r="R22" s="282" t="inlineStr">
        <is>
          <t>–</t>
        </is>
      </c>
    </row>
    <row r="23">
      <c r="B23" s="254" t="inlineStr">
        <is>
          <t>Utility vehicle (SUV) — 0 (current or newer)</t>
        </is>
      </c>
      <c r="C23" s="279" t="inlineStr">
        <is>
          <t>000s</t>
        </is>
      </c>
      <c r="D23" s="261">
        <f>SUMIFS('E1a Fleet (roll)'!E$7:E$190,'E1a Fleet (roll)'!$A$7:$A$190,"SUV",'E1a Fleet (roll)'!$C$7:$C$190,0)</f>
        <v/>
      </c>
      <c r="E23" s="261">
        <f>SUMIFS('E1a Fleet (roll)'!F$7:F$190,'E1a Fleet (roll)'!$A$7:$A$190,"SUV",'E1a Fleet (roll)'!$C$7:$C$190,0)</f>
        <v/>
      </c>
      <c r="F23" s="261">
        <f>SUMIFS('E1a Fleet (roll)'!G$7:G$190,'E1a Fleet (roll)'!$A$7:$A$190,"SUV",'E1a Fleet (roll)'!$C$7:$C$190,0)</f>
        <v/>
      </c>
      <c r="G23" s="261">
        <f>SUMIFS('E1a Fleet (roll)'!H$7:H$190,'E1a Fleet (roll)'!$A$7:$A$190,"SUV",'E1a Fleet (roll)'!$C$7:$C$190,0)</f>
        <v/>
      </c>
      <c r="H23" s="261">
        <f>SUMIFS('E1a Fleet (roll)'!I$7:I$190,'E1a Fleet (roll)'!$A$7:$A$190,"SUV",'E1a Fleet (roll)'!$C$7:$C$190,0)</f>
        <v/>
      </c>
      <c r="I23" s="261">
        <f>SUMIFS('E1a Fleet (roll)'!J$7:J$190,'E1a Fleet (roll)'!$A$7:$A$190,"SUV",'E1a Fleet (roll)'!$C$7:$C$190,0)</f>
        <v/>
      </c>
      <c r="J23" s="261">
        <f>SUMIFS('E1a Fleet (roll)'!K$7:K$190,'E1a Fleet (roll)'!$A$7:$A$190,"SUV",'E1a Fleet (roll)'!$C$7:$C$190,0)</f>
        <v/>
      </c>
      <c r="K23" s="261">
        <f>SUMIFS('E1a Fleet (roll)'!L$7:L$190,'E1a Fleet (roll)'!$A$7:$A$190,"SUV",'E1a Fleet (roll)'!$C$7:$C$190,0)</f>
        <v/>
      </c>
      <c r="L23" s="261">
        <f>SUMIFS('E1a Fleet (roll)'!M$7:M$190,'E1a Fleet (roll)'!$A$7:$A$190,"SUV",'E1a Fleet (roll)'!$C$7:$C$190,0)</f>
        <v/>
      </c>
      <c r="M23" s="261">
        <f>SUMIFS('E1a Fleet (roll)'!N$7:N$190,'E1a Fleet (roll)'!$A$7:$A$190,"SUV",'E1a Fleet (roll)'!$C$7:$C$190,0)</f>
        <v/>
      </c>
      <c r="N23" s="282" t="inlineStr">
        <is>
          <t>–</t>
        </is>
      </c>
      <c r="O23" s="282" t="inlineStr">
        <is>
          <t>–</t>
        </is>
      </c>
      <c r="P23" s="282" t="inlineStr">
        <is>
          <t>–</t>
        </is>
      </c>
      <c r="Q23" s="282" t="inlineStr">
        <is>
          <t>–</t>
        </is>
      </c>
      <c r="R23" s="282" t="inlineStr">
        <is>
          <t>–</t>
        </is>
      </c>
    </row>
    <row r="24">
      <c r="B24" s="328" t="inlineStr">
        <is>
          <t>Utility vehicle (SUV) — 1–3 years</t>
        </is>
      </c>
      <c r="C24" s="279" t="inlineStr">
        <is>
          <t>000s</t>
        </is>
      </c>
      <c r="D24" s="261">
        <f>SUMIFS('E1a Fleet (roll)'!E$7:E$190,'E1a Fleet (roll)'!$A$7:$A$190,"SUV",'E1a Fleet (roll)'!$C$7:$C$190,1)</f>
        <v/>
      </c>
      <c r="E24" s="261">
        <f>SUMIFS('E1a Fleet (roll)'!F$7:F$190,'E1a Fleet (roll)'!$A$7:$A$190,"SUV",'E1a Fleet (roll)'!$C$7:$C$190,1)</f>
        <v/>
      </c>
      <c r="F24" s="261">
        <f>SUMIFS('E1a Fleet (roll)'!G$7:G$190,'E1a Fleet (roll)'!$A$7:$A$190,"SUV",'E1a Fleet (roll)'!$C$7:$C$190,1)</f>
        <v/>
      </c>
      <c r="G24" s="261">
        <f>SUMIFS('E1a Fleet (roll)'!H$7:H$190,'E1a Fleet (roll)'!$A$7:$A$190,"SUV",'E1a Fleet (roll)'!$C$7:$C$190,1)</f>
        <v/>
      </c>
      <c r="H24" s="261">
        <f>SUMIFS('E1a Fleet (roll)'!I$7:I$190,'E1a Fleet (roll)'!$A$7:$A$190,"SUV",'E1a Fleet (roll)'!$C$7:$C$190,1)</f>
        <v/>
      </c>
      <c r="I24" s="261">
        <f>SUMIFS('E1a Fleet (roll)'!J$7:J$190,'E1a Fleet (roll)'!$A$7:$A$190,"SUV",'E1a Fleet (roll)'!$C$7:$C$190,1)</f>
        <v/>
      </c>
      <c r="J24" s="261">
        <f>SUMIFS('E1a Fleet (roll)'!K$7:K$190,'E1a Fleet (roll)'!$A$7:$A$190,"SUV",'E1a Fleet (roll)'!$C$7:$C$190,1)</f>
        <v/>
      </c>
      <c r="K24" s="261">
        <f>SUMIFS('E1a Fleet (roll)'!L$7:L$190,'E1a Fleet (roll)'!$A$7:$A$190,"SUV",'E1a Fleet (roll)'!$C$7:$C$190,1)</f>
        <v/>
      </c>
      <c r="L24" s="261">
        <f>SUMIFS('E1a Fleet (roll)'!M$7:M$190,'E1a Fleet (roll)'!$A$7:$A$190,"SUV",'E1a Fleet (roll)'!$C$7:$C$190,1)</f>
        <v/>
      </c>
      <c r="M24" s="261">
        <f>SUMIFS('E1a Fleet (roll)'!N$7:N$190,'E1a Fleet (roll)'!$A$7:$A$190,"SUV",'E1a Fleet (roll)'!$C$7:$C$190,1)</f>
        <v/>
      </c>
      <c r="N24" s="282" t="inlineStr">
        <is>
          <t>–</t>
        </is>
      </c>
      <c r="O24" s="282" t="inlineStr">
        <is>
          <t>–</t>
        </is>
      </c>
      <c r="P24" s="282" t="inlineStr">
        <is>
          <t>–</t>
        </is>
      </c>
      <c r="Q24" s="282" t="inlineStr">
        <is>
          <t>–</t>
        </is>
      </c>
      <c r="R24" s="282" t="inlineStr">
        <is>
          <t>–</t>
        </is>
      </c>
    </row>
    <row r="25">
      <c r="B25" s="328" t="inlineStr">
        <is>
          <t>Utility vehicle (SUV) — 4–6 years</t>
        </is>
      </c>
      <c r="C25" s="279" t="inlineStr">
        <is>
          <t>000s</t>
        </is>
      </c>
      <c r="D25" s="261">
        <f>SUMIFS('E1a Fleet (roll)'!E$7:E$190,'E1a Fleet (roll)'!$A$7:$A$190,"SUV",'E1a Fleet (roll)'!$C$7:$C$190,2)</f>
        <v/>
      </c>
      <c r="E25" s="261">
        <f>SUMIFS('E1a Fleet (roll)'!F$7:F$190,'E1a Fleet (roll)'!$A$7:$A$190,"SUV",'E1a Fleet (roll)'!$C$7:$C$190,2)</f>
        <v/>
      </c>
      <c r="F25" s="261">
        <f>SUMIFS('E1a Fleet (roll)'!G$7:G$190,'E1a Fleet (roll)'!$A$7:$A$190,"SUV",'E1a Fleet (roll)'!$C$7:$C$190,2)</f>
        <v/>
      </c>
      <c r="G25" s="261">
        <f>SUMIFS('E1a Fleet (roll)'!H$7:H$190,'E1a Fleet (roll)'!$A$7:$A$190,"SUV",'E1a Fleet (roll)'!$C$7:$C$190,2)</f>
        <v/>
      </c>
      <c r="H25" s="261">
        <f>SUMIFS('E1a Fleet (roll)'!I$7:I$190,'E1a Fleet (roll)'!$A$7:$A$190,"SUV",'E1a Fleet (roll)'!$C$7:$C$190,2)</f>
        <v/>
      </c>
      <c r="I25" s="261">
        <f>SUMIFS('E1a Fleet (roll)'!J$7:J$190,'E1a Fleet (roll)'!$A$7:$A$190,"SUV",'E1a Fleet (roll)'!$C$7:$C$190,2)</f>
        <v/>
      </c>
      <c r="J25" s="261">
        <f>SUMIFS('E1a Fleet (roll)'!K$7:K$190,'E1a Fleet (roll)'!$A$7:$A$190,"SUV",'E1a Fleet (roll)'!$C$7:$C$190,2)</f>
        <v/>
      </c>
      <c r="K25" s="261">
        <f>SUMIFS('E1a Fleet (roll)'!L$7:L$190,'E1a Fleet (roll)'!$A$7:$A$190,"SUV",'E1a Fleet (roll)'!$C$7:$C$190,2)</f>
        <v/>
      </c>
      <c r="L25" s="261">
        <f>SUMIFS('E1a Fleet (roll)'!M$7:M$190,'E1a Fleet (roll)'!$A$7:$A$190,"SUV",'E1a Fleet (roll)'!$C$7:$C$190,2)</f>
        <v/>
      </c>
      <c r="M25" s="261">
        <f>SUMIFS('E1a Fleet (roll)'!N$7:N$190,'E1a Fleet (roll)'!$A$7:$A$190,"SUV",'E1a Fleet (roll)'!$C$7:$C$190,2)</f>
        <v/>
      </c>
      <c r="N25" s="282" t="inlineStr">
        <is>
          <t>–</t>
        </is>
      </c>
      <c r="O25" s="282" t="inlineStr">
        <is>
          <t>–</t>
        </is>
      </c>
      <c r="P25" s="282" t="inlineStr">
        <is>
          <t>–</t>
        </is>
      </c>
      <c r="Q25" s="282" t="inlineStr">
        <is>
          <t>–</t>
        </is>
      </c>
      <c r="R25" s="282" t="inlineStr">
        <is>
          <t>–</t>
        </is>
      </c>
    </row>
    <row r="26">
      <c r="B26" s="328" t="inlineStr">
        <is>
          <t>Utility vehicle (SUV) — 7+ years</t>
        </is>
      </c>
      <c r="C26" s="279" t="inlineStr">
        <is>
          <t>000s</t>
        </is>
      </c>
      <c r="D26" s="261">
        <f>SUMIFS('E1a Fleet (roll)'!E$7:E$190,'E1a Fleet (roll)'!$A$7:$A$190,"SUV",'E1a Fleet (roll)'!$C$7:$C$190,3)</f>
        <v/>
      </c>
      <c r="E26" s="261">
        <f>SUMIFS('E1a Fleet (roll)'!F$7:F$190,'E1a Fleet (roll)'!$A$7:$A$190,"SUV",'E1a Fleet (roll)'!$C$7:$C$190,3)</f>
        <v/>
      </c>
      <c r="F26" s="261">
        <f>SUMIFS('E1a Fleet (roll)'!G$7:G$190,'E1a Fleet (roll)'!$A$7:$A$190,"SUV",'E1a Fleet (roll)'!$C$7:$C$190,3)</f>
        <v/>
      </c>
      <c r="G26" s="261">
        <f>SUMIFS('E1a Fleet (roll)'!H$7:H$190,'E1a Fleet (roll)'!$A$7:$A$190,"SUV",'E1a Fleet (roll)'!$C$7:$C$190,3)</f>
        <v/>
      </c>
      <c r="H26" s="261">
        <f>SUMIFS('E1a Fleet (roll)'!I$7:I$190,'E1a Fleet (roll)'!$A$7:$A$190,"SUV",'E1a Fleet (roll)'!$C$7:$C$190,3)</f>
        <v/>
      </c>
      <c r="I26" s="261">
        <f>SUMIFS('E1a Fleet (roll)'!J$7:J$190,'E1a Fleet (roll)'!$A$7:$A$190,"SUV",'E1a Fleet (roll)'!$C$7:$C$190,3)</f>
        <v/>
      </c>
      <c r="J26" s="261">
        <f>SUMIFS('E1a Fleet (roll)'!K$7:K$190,'E1a Fleet (roll)'!$A$7:$A$190,"SUV",'E1a Fleet (roll)'!$C$7:$C$190,3)</f>
        <v/>
      </c>
      <c r="K26" s="261">
        <f>SUMIFS('E1a Fleet (roll)'!L$7:L$190,'E1a Fleet (roll)'!$A$7:$A$190,"SUV",'E1a Fleet (roll)'!$C$7:$C$190,3)</f>
        <v/>
      </c>
      <c r="L26" s="261">
        <f>SUMIFS('E1a Fleet (roll)'!M$7:M$190,'E1a Fleet (roll)'!$A$7:$A$190,"SUV",'E1a Fleet (roll)'!$C$7:$C$190,3)</f>
        <v/>
      </c>
      <c r="M26" s="261">
        <f>SUMIFS('E1a Fleet (roll)'!N$7:N$190,'E1a Fleet (roll)'!$A$7:$A$190,"SUV",'E1a Fleet (roll)'!$C$7:$C$190,3)</f>
        <v/>
      </c>
      <c r="N26" s="282" t="inlineStr">
        <is>
          <t>–</t>
        </is>
      </c>
      <c r="O26" s="282" t="inlineStr">
        <is>
          <t>–</t>
        </is>
      </c>
      <c r="P26" s="282" t="inlineStr">
        <is>
          <t>–</t>
        </is>
      </c>
      <c r="Q26" s="282" t="inlineStr">
        <is>
          <t>–</t>
        </is>
      </c>
      <c r="R26" s="282" t="inlineStr">
        <is>
          <t>–</t>
        </is>
      </c>
    </row>
    <row r="27">
      <c r="B27" s="254" t="inlineStr">
        <is>
          <t>Pickup — 0 (current or newer)</t>
        </is>
      </c>
      <c r="C27" s="279" t="inlineStr">
        <is>
          <t>000s</t>
        </is>
      </c>
      <c r="D27" s="261">
        <f>SUMIFS('E1a Fleet (roll)'!E$7:E$190,'E1a Fleet (roll)'!$A$7:$A$190,"Pickup",'E1a Fleet (roll)'!$C$7:$C$190,0)</f>
        <v/>
      </c>
      <c r="E27" s="261">
        <f>SUMIFS('E1a Fleet (roll)'!F$7:F$190,'E1a Fleet (roll)'!$A$7:$A$190,"Pickup",'E1a Fleet (roll)'!$C$7:$C$190,0)</f>
        <v/>
      </c>
      <c r="F27" s="261">
        <f>SUMIFS('E1a Fleet (roll)'!G$7:G$190,'E1a Fleet (roll)'!$A$7:$A$190,"Pickup",'E1a Fleet (roll)'!$C$7:$C$190,0)</f>
        <v/>
      </c>
      <c r="G27" s="261">
        <f>SUMIFS('E1a Fleet (roll)'!H$7:H$190,'E1a Fleet (roll)'!$A$7:$A$190,"Pickup",'E1a Fleet (roll)'!$C$7:$C$190,0)</f>
        <v/>
      </c>
      <c r="H27" s="261">
        <f>SUMIFS('E1a Fleet (roll)'!I$7:I$190,'E1a Fleet (roll)'!$A$7:$A$190,"Pickup",'E1a Fleet (roll)'!$C$7:$C$190,0)</f>
        <v/>
      </c>
      <c r="I27" s="261">
        <f>SUMIFS('E1a Fleet (roll)'!J$7:J$190,'E1a Fleet (roll)'!$A$7:$A$190,"Pickup",'E1a Fleet (roll)'!$C$7:$C$190,0)</f>
        <v/>
      </c>
      <c r="J27" s="261">
        <f>SUMIFS('E1a Fleet (roll)'!K$7:K$190,'E1a Fleet (roll)'!$A$7:$A$190,"Pickup",'E1a Fleet (roll)'!$C$7:$C$190,0)</f>
        <v/>
      </c>
      <c r="K27" s="261">
        <f>SUMIFS('E1a Fleet (roll)'!L$7:L$190,'E1a Fleet (roll)'!$A$7:$A$190,"Pickup",'E1a Fleet (roll)'!$C$7:$C$190,0)</f>
        <v/>
      </c>
      <c r="L27" s="261">
        <f>SUMIFS('E1a Fleet (roll)'!M$7:M$190,'E1a Fleet (roll)'!$A$7:$A$190,"Pickup",'E1a Fleet (roll)'!$C$7:$C$190,0)</f>
        <v/>
      </c>
      <c r="M27" s="261">
        <f>SUMIFS('E1a Fleet (roll)'!N$7:N$190,'E1a Fleet (roll)'!$A$7:$A$190,"Pickup",'E1a Fleet (roll)'!$C$7:$C$190,0)</f>
        <v/>
      </c>
      <c r="N27" s="282" t="inlineStr">
        <is>
          <t>–</t>
        </is>
      </c>
      <c r="O27" s="282" t="inlineStr">
        <is>
          <t>–</t>
        </is>
      </c>
      <c r="P27" s="282" t="inlineStr">
        <is>
          <t>–</t>
        </is>
      </c>
      <c r="Q27" s="282" t="inlineStr">
        <is>
          <t>–</t>
        </is>
      </c>
      <c r="R27" s="282" t="inlineStr">
        <is>
          <t>–</t>
        </is>
      </c>
    </row>
    <row r="28">
      <c r="B28" s="328" t="inlineStr">
        <is>
          <t>Pickup — 1–3 years</t>
        </is>
      </c>
      <c r="C28" s="279" t="inlineStr">
        <is>
          <t>000s</t>
        </is>
      </c>
      <c r="D28" s="261">
        <f>SUMIFS('E1a Fleet (roll)'!E$7:E$190,'E1a Fleet (roll)'!$A$7:$A$190,"Pickup",'E1a Fleet (roll)'!$C$7:$C$190,1)</f>
        <v/>
      </c>
      <c r="E28" s="261">
        <f>SUMIFS('E1a Fleet (roll)'!F$7:F$190,'E1a Fleet (roll)'!$A$7:$A$190,"Pickup",'E1a Fleet (roll)'!$C$7:$C$190,1)</f>
        <v/>
      </c>
      <c r="F28" s="261">
        <f>SUMIFS('E1a Fleet (roll)'!G$7:G$190,'E1a Fleet (roll)'!$A$7:$A$190,"Pickup",'E1a Fleet (roll)'!$C$7:$C$190,1)</f>
        <v/>
      </c>
      <c r="G28" s="261">
        <f>SUMIFS('E1a Fleet (roll)'!H$7:H$190,'E1a Fleet (roll)'!$A$7:$A$190,"Pickup",'E1a Fleet (roll)'!$C$7:$C$190,1)</f>
        <v/>
      </c>
      <c r="H28" s="261">
        <f>SUMIFS('E1a Fleet (roll)'!I$7:I$190,'E1a Fleet (roll)'!$A$7:$A$190,"Pickup",'E1a Fleet (roll)'!$C$7:$C$190,1)</f>
        <v/>
      </c>
      <c r="I28" s="261">
        <f>SUMIFS('E1a Fleet (roll)'!J$7:J$190,'E1a Fleet (roll)'!$A$7:$A$190,"Pickup",'E1a Fleet (roll)'!$C$7:$C$190,1)</f>
        <v/>
      </c>
      <c r="J28" s="261">
        <f>SUMIFS('E1a Fleet (roll)'!K$7:K$190,'E1a Fleet (roll)'!$A$7:$A$190,"Pickup",'E1a Fleet (roll)'!$C$7:$C$190,1)</f>
        <v/>
      </c>
      <c r="K28" s="261">
        <f>SUMIFS('E1a Fleet (roll)'!L$7:L$190,'E1a Fleet (roll)'!$A$7:$A$190,"Pickup",'E1a Fleet (roll)'!$C$7:$C$190,1)</f>
        <v/>
      </c>
      <c r="L28" s="261">
        <f>SUMIFS('E1a Fleet (roll)'!M$7:M$190,'E1a Fleet (roll)'!$A$7:$A$190,"Pickup",'E1a Fleet (roll)'!$C$7:$C$190,1)</f>
        <v/>
      </c>
      <c r="M28" s="261">
        <f>SUMIFS('E1a Fleet (roll)'!N$7:N$190,'E1a Fleet (roll)'!$A$7:$A$190,"Pickup",'E1a Fleet (roll)'!$C$7:$C$190,1)</f>
        <v/>
      </c>
      <c r="N28" s="282" t="inlineStr">
        <is>
          <t>–</t>
        </is>
      </c>
      <c r="O28" s="282" t="inlineStr">
        <is>
          <t>–</t>
        </is>
      </c>
      <c r="P28" s="282" t="inlineStr">
        <is>
          <t>–</t>
        </is>
      </c>
      <c r="Q28" s="282" t="inlineStr">
        <is>
          <t>–</t>
        </is>
      </c>
      <c r="R28" s="282" t="inlineStr">
        <is>
          <t>–</t>
        </is>
      </c>
    </row>
    <row r="29">
      <c r="B29" s="328" t="inlineStr">
        <is>
          <t>Pickup — 4–6 years</t>
        </is>
      </c>
      <c r="C29" s="279" t="inlineStr">
        <is>
          <t>000s</t>
        </is>
      </c>
      <c r="D29" s="261">
        <f>SUMIFS('E1a Fleet (roll)'!E$7:E$190,'E1a Fleet (roll)'!$A$7:$A$190,"Pickup",'E1a Fleet (roll)'!$C$7:$C$190,2)</f>
        <v/>
      </c>
      <c r="E29" s="261">
        <f>SUMIFS('E1a Fleet (roll)'!F$7:F$190,'E1a Fleet (roll)'!$A$7:$A$190,"Pickup",'E1a Fleet (roll)'!$C$7:$C$190,2)</f>
        <v/>
      </c>
      <c r="F29" s="261">
        <f>SUMIFS('E1a Fleet (roll)'!G$7:G$190,'E1a Fleet (roll)'!$A$7:$A$190,"Pickup",'E1a Fleet (roll)'!$C$7:$C$190,2)</f>
        <v/>
      </c>
      <c r="G29" s="261">
        <f>SUMIFS('E1a Fleet (roll)'!H$7:H$190,'E1a Fleet (roll)'!$A$7:$A$190,"Pickup",'E1a Fleet (roll)'!$C$7:$C$190,2)</f>
        <v/>
      </c>
      <c r="H29" s="261">
        <f>SUMIFS('E1a Fleet (roll)'!I$7:I$190,'E1a Fleet (roll)'!$A$7:$A$190,"Pickup",'E1a Fleet (roll)'!$C$7:$C$190,2)</f>
        <v/>
      </c>
      <c r="I29" s="261">
        <f>SUMIFS('E1a Fleet (roll)'!J$7:J$190,'E1a Fleet (roll)'!$A$7:$A$190,"Pickup",'E1a Fleet (roll)'!$C$7:$C$190,2)</f>
        <v/>
      </c>
      <c r="J29" s="261">
        <f>SUMIFS('E1a Fleet (roll)'!K$7:K$190,'E1a Fleet (roll)'!$A$7:$A$190,"Pickup",'E1a Fleet (roll)'!$C$7:$C$190,2)</f>
        <v/>
      </c>
      <c r="K29" s="261">
        <f>SUMIFS('E1a Fleet (roll)'!L$7:L$190,'E1a Fleet (roll)'!$A$7:$A$190,"Pickup",'E1a Fleet (roll)'!$C$7:$C$190,2)</f>
        <v/>
      </c>
      <c r="L29" s="261">
        <f>SUMIFS('E1a Fleet (roll)'!M$7:M$190,'E1a Fleet (roll)'!$A$7:$A$190,"Pickup",'E1a Fleet (roll)'!$C$7:$C$190,2)</f>
        <v/>
      </c>
      <c r="M29" s="261">
        <f>SUMIFS('E1a Fleet (roll)'!N$7:N$190,'E1a Fleet (roll)'!$A$7:$A$190,"Pickup",'E1a Fleet (roll)'!$C$7:$C$190,2)</f>
        <v/>
      </c>
      <c r="N29" s="282" t="inlineStr">
        <is>
          <t>–</t>
        </is>
      </c>
      <c r="O29" s="282" t="inlineStr">
        <is>
          <t>–</t>
        </is>
      </c>
      <c r="P29" s="282" t="inlineStr">
        <is>
          <t>–</t>
        </is>
      </c>
      <c r="Q29" s="282" t="inlineStr">
        <is>
          <t>–</t>
        </is>
      </c>
      <c r="R29" s="282" t="inlineStr">
        <is>
          <t>–</t>
        </is>
      </c>
    </row>
    <row r="30">
      <c r="B30" s="328" t="inlineStr">
        <is>
          <t>Pickup — 7+ years</t>
        </is>
      </c>
      <c r="C30" s="279" t="inlineStr">
        <is>
          <t>000s</t>
        </is>
      </c>
      <c r="D30" s="261">
        <f>SUMIFS('E1a Fleet (roll)'!E$7:E$190,'E1a Fleet (roll)'!$A$7:$A$190,"Pickup",'E1a Fleet (roll)'!$C$7:$C$190,3)</f>
        <v/>
      </c>
      <c r="E30" s="261">
        <f>SUMIFS('E1a Fleet (roll)'!F$7:F$190,'E1a Fleet (roll)'!$A$7:$A$190,"Pickup",'E1a Fleet (roll)'!$C$7:$C$190,3)</f>
        <v/>
      </c>
      <c r="F30" s="261">
        <f>SUMIFS('E1a Fleet (roll)'!G$7:G$190,'E1a Fleet (roll)'!$A$7:$A$190,"Pickup",'E1a Fleet (roll)'!$C$7:$C$190,3)</f>
        <v/>
      </c>
      <c r="G30" s="261">
        <f>SUMIFS('E1a Fleet (roll)'!H$7:H$190,'E1a Fleet (roll)'!$A$7:$A$190,"Pickup",'E1a Fleet (roll)'!$C$7:$C$190,3)</f>
        <v/>
      </c>
      <c r="H30" s="261">
        <f>SUMIFS('E1a Fleet (roll)'!I$7:I$190,'E1a Fleet (roll)'!$A$7:$A$190,"Pickup",'E1a Fleet (roll)'!$C$7:$C$190,3)</f>
        <v/>
      </c>
      <c r="I30" s="261">
        <f>SUMIFS('E1a Fleet (roll)'!J$7:J$190,'E1a Fleet (roll)'!$A$7:$A$190,"Pickup",'E1a Fleet (roll)'!$C$7:$C$190,3)</f>
        <v/>
      </c>
      <c r="J30" s="261">
        <f>SUMIFS('E1a Fleet (roll)'!K$7:K$190,'E1a Fleet (roll)'!$A$7:$A$190,"Pickup",'E1a Fleet (roll)'!$C$7:$C$190,3)</f>
        <v/>
      </c>
      <c r="K30" s="261">
        <f>SUMIFS('E1a Fleet (roll)'!L$7:L$190,'E1a Fleet (roll)'!$A$7:$A$190,"Pickup",'E1a Fleet (roll)'!$C$7:$C$190,3)</f>
        <v/>
      </c>
      <c r="L30" s="261">
        <f>SUMIFS('E1a Fleet (roll)'!M$7:M$190,'E1a Fleet (roll)'!$A$7:$A$190,"Pickup",'E1a Fleet (roll)'!$C$7:$C$190,3)</f>
        <v/>
      </c>
      <c r="M30" s="261">
        <f>SUMIFS('E1a Fleet (roll)'!N$7:N$190,'E1a Fleet (roll)'!$A$7:$A$190,"Pickup",'E1a Fleet (roll)'!$C$7:$C$190,3)</f>
        <v/>
      </c>
      <c r="N30" s="282" t="inlineStr">
        <is>
          <t>–</t>
        </is>
      </c>
      <c r="O30" s="282" t="inlineStr">
        <is>
          <t>–</t>
        </is>
      </c>
      <c r="P30" s="282" t="inlineStr">
        <is>
          <t>–</t>
        </is>
      </c>
      <c r="Q30" s="282" t="inlineStr">
        <is>
          <t>–</t>
        </is>
      </c>
      <c r="R30" s="282" t="inlineStr">
        <is>
          <t>–</t>
        </is>
      </c>
    </row>
    <row r="31">
      <c r="B31" s="254" t="inlineStr">
        <is>
          <t>Van / minivan — 0 (current or newer)</t>
        </is>
      </c>
      <c r="C31" s="279" t="inlineStr">
        <is>
          <t>000s</t>
        </is>
      </c>
      <c r="D31" s="261">
        <f>SUMIFS('E1a Fleet (roll)'!E$7:E$190,'E1a Fleet (roll)'!$A$7:$A$190,"Van",'E1a Fleet (roll)'!$C$7:$C$190,0)</f>
        <v/>
      </c>
      <c r="E31" s="261">
        <f>SUMIFS('E1a Fleet (roll)'!F$7:F$190,'E1a Fleet (roll)'!$A$7:$A$190,"Van",'E1a Fleet (roll)'!$C$7:$C$190,0)</f>
        <v/>
      </c>
      <c r="F31" s="261">
        <f>SUMIFS('E1a Fleet (roll)'!G$7:G$190,'E1a Fleet (roll)'!$A$7:$A$190,"Van",'E1a Fleet (roll)'!$C$7:$C$190,0)</f>
        <v/>
      </c>
      <c r="G31" s="261">
        <f>SUMIFS('E1a Fleet (roll)'!H$7:H$190,'E1a Fleet (roll)'!$A$7:$A$190,"Van",'E1a Fleet (roll)'!$C$7:$C$190,0)</f>
        <v/>
      </c>
      <c r="H31" s="261">
        <f>SUMIFS('E1a Fleet (roll)'!I$7:I$190,'E1a Fleet (roll)'!$A$7:$A$190,"Van",'E1a Fleet (roll)'!$C$7:$C$190,0)</f>
        <v/>
      </c>
      <c r="I31" s="261">
        <f>SUMIFS('E1a Fleet (roll)'!J$7:J$190,'E1a Fleet (roll)'!$A$7:$A$190,"Van",'E1a Fleet (roll)'!$C$7:$C$190,0)</f>
        <v/>
      </c>
      <c r="J31" s="261">
        <f>SUMIFS('E1a Fleet (roll)'!K$7:K$190,'E1a Fleet (roll)'!$A$7:$A$190,"Van",'E1a Fleet (roll)'!$C$7:$C$190,0)</f>
        <v/>
      </c>
      <c r="K31" s="261">
        <f>SUMIFS('E1a Fleet (roll)'!L$7:L$190,'E1a Fleet (roll)'!$A$7:$A$190,"Van",'E1a Fleet (roll)'!$C$7:$C$190,0)</f>
        <v/>
      </c>
      <c r="L31" s="261">
        <f>SUMIFS('E1a Fleet (roll)'!M$7:M$190,'E1a Fleet (roll)'!$A$7:$A$190,"Van",'E1a Fleet (roll)'!$C$7:$C$190,0)</f>
        <v/>
      </c>
      <c r="M31" s="261">
        <f>SUMIFS('E1a Fleet (roll)'!N$7:N$190,'E1a Fleet (roll)'!$A$7:$A$190,"Van",'E1a Fleet (roll)'!$C$7:$C$190,0)</f>
        <v/>
      </c>
      <c r="N31" s="282" t="inlineStr">
        <is>
          <t>–</t>
        </is>
      </c>
      <c r="O31" s="282" t="inlineStr">
        <is>
          <t>–</t>
        </is>
      </c>
      <c r="P31" s="282" t="inlineStr">
        <is>
          <t>–</t>
        </is>
      </c>
      <c r="Q31" s="282" t="inlineStr">
        <is>
          <t>–</t>
        </is>
      </c>
      <c r="R31" s="282" t="inlineStr">
        <is>
          <t>–</t>
        </is>
      </c>
    </row>
    <row r="32">
      <c r="B32" s="328" t="inlineStr">
        <is>
          <t>Van / minivan — 1–3 years</t>
        </is>
      </c>
      <c r="C32" s="279" t="inlineStr">
        <is>
          <t>000s</t>
        </is>
      </c>
      <c r="D32" s="261">
        <f>SUMIFS('E1a Fleet (roll)'!E$7:E$190,'E1a Fleet (roll)'!$A$7:$A$190,"Van",'E1a Fleet (roll)'!$C$7:$C$190,1)</f>
        <v/>
      </c>
      <c r="E32" s="261">
        <f>SUMIFS('E1a Fleet (roll)'!F$7:F$190,'E1a Fleet (roll)'!$A$7:$A$190,"Van",'E1a Fleet (roll)'!$C$7:$C$190,1)</f>
        <v/>
      </c>
      <c r="F32" s="261">
        <f>SUMIFS('E1a Fleet (roll)'!G$7:G$190,'E1a Fleet (roll)'!$A$7:$A$190,"Van",'E1a Fleet (roll)'!$C$7:$C$190,1)</f>
        <v/>
      </c>
      <c r="G32" s="261">
        <f>SUMIFS('E1a Fleet (roll)'!H$7:H$190,'E1a Fleet (roll)'!$A$7:$A$190,"Van",'E1a Fleet (roll)'!$C$7:$C$190,1)</f>
        <v/>
      </c>
      <c r="H32" s="261">
        <f>SUMIFS('E1a Fleet (roll)'!I$7:I$190,'E1a Fleet (roll)'!$A$7:$A$190,"Van",'E1a Fleet (roll)'!$C$7:$C$190,1)</f>
        <v/>
      </c>
      <c r="I32" s="261">
        <f>SUMIFS('E1a Fleet (roll)'!J$7:J$190,'E1a Fleet (roll)'!$A$7:$A$190,"Van",'E1a Fleet (roll)'!$C$7:$C$190,1)</f>
        <v/>
      </c>
      <c r="J32" s="261">
        <f>SUMIFS('E1a Fleet (roll)'!K$7:K$190,'E1a Fleet (roll)'!$A$7:$A$190,"Van",'E1a Fleet (roll)'!$C$7:$C$190,1)</f>
        <v/>
      </c>
      <c r="K32" s="261">
        <f>SUMIFS('E1a Fleet (roll)'!L$7:L$190,'E1a Fleet (roll)'!$A$7:$A$190,"Van",'E1a Fleet (roll)'!$C$7:$C$190,1)</f>
        <v/>
      </c>
      <c r="L32" s="261">
        <f>SUMIFS('E1a Fleet (roll)'!M$7:M$190,'E1a Fleet (roll)'!$A$7:$A$190,"Van",'E1a Fleet (roll)'!$C$7:$C$190,1)</f>
        <v/>
      </c>
      <c r="M32" s="261">
        <f>SUMIFS('E1a Fleet (roll)'!N$7:N$190,'E1a Fleet (roll)'!$A$7:$A$190,"Van",'E1a Fleet (roll)'!$C$7:$C$190,1)</f>
        <v/>
      </c>
      <c r="N32" s="282" t="inlineStr">
        <is>
          <t>–</t>
        </is>
      </c>
      <c r="O32" s="282" t="inlineStr">
        <is>
          <t>–</t>
        </is>
      </c>
      <c r="P32" s="282" t="inlineStr">
        <is>
          <t>–</t>
        </is>
      </c>
      <c r="Q32" s="282" t="inlineStr">
        <is>
          <t>–</t>
        </is>
      </c>
      <c r="R32" s="282" t="inlineStr">
        <is>
          <t>–</t>
        </is>
      </c>
    </row>
    <row r="33">
      <c r="B33" s="328" t="inlineStr">
        <is>
          <t>Van / minivan — 4–6 years</t>
        </is>
      </c>
      <c r="C33" s="279" t="inlineStr">
        <is>
          <t>000s</t>
        </is>
      </c>
      <c r="D33" s="261">
        <f>SUMIFS('E1a Fleet (roll)'!E$7:E$190,'E1a Fleet (roll)'!$A$7:$A$190,"Van",'E1a Fleet (roll)'!$C$7:$C$190,2)</f>
        <v/>
      </c>
      <c r="E33" s="261">
        <f>SUMIFS('E1a Fleet (roll)'!F$7:F$190,'E1a Fleet (roll)'!$A$7:$A$190,"Van",'E1a Fleet (roll)'!$C$7:$C$190,2)</f>
        <v/>
      </c>
      <c r="F33" s="261">
        <f>SUMIFS('E1a Fleet (roll)'!G$7:G$190,'E1a Fleet (roll)'!$A$7:$A$190,"Van",'E1a Fleet (roll)'!$C$7:$C$190,2)</f>
        <v/>
      </c>
      <c r="G33" s="261">
        <f>SUMIFS('E1a Fleet (roll)'!H$7:H$190,'E1a Fleet (roll)'!$A$7:$A$190,"Van",'E1a Fleet (roll)'!$C$7:$C$190,2)</f>
        <v/>
      </c>
      <c r="H33" s="261">
        <f>SUMIFS('E1a Fleet (roll)'!I$7:I$190,'E1a Fleet (roll)'!$A$7:$A$190,"Van",'E1a Fleet (roll)'!$C$7:$C$190,2)</f>
        <v/>
      </c>
      <c r="I33" s="261">
        <f>SUMIFS('E1a Fleet (roll)'!J$7:J$190,'E1a Fleet (roll)'!$A$7:$A$190,"Van",'E1a Fleet (roll)'!$C$7:$C$190,2)</f>
        <v/>
      </c>
      <c r="J33" s="261">
        <f>SUMIFS('E1a Fleet (roll)'!K$7:K$190,'E1a Fleet (roll)'!$A$7:$A$190,"Van",'E1a Fleet (roll)'!$C$7:$C$190,2)</f>
        <v/>
      </c>
      <c r="K33" s="261">
        <f>SUMIFS('E1a Fleet (roll)'!L$7:L$190,'E1a Fleet (roll)'!$A$7:$A$190,"Van",'E1a Fleet (roll)'!$C$7:$C$190,2)</f>
        <v/>
      </c>
      <c r="L33" s="261">
        <f>SUMIFS('E1a Fleet (roll)'!M$7:M$190,'E1a Fleet (roll)'!$A$7:$A$190,"Van",'E1a Fleet (roll)'!$C$7:$C$190,2)</f>
        <v/>
      </c>
      <c r="M33" s="261">
        <f>SUMIFS('E1a Fleet (roll)'!N$7:N$190,'E1a Fleet (roll)'!$A$7:$A$190,"Van",'E1a Fleet (roll)'!$C$7:$C$190,2)</f>
        <v/>
      </c>
      <c r="N33" s="282" t="inlineStr">
        <is>
          <t>–</t>
        </is>
      </c>
      <c r="O33" s="282" t="inlineStr">
        <is>
          <t>–</t>
        </is>
      </c>
      <c r="P33" s="282" t="inlineStr">
        <is>
          <t>–</t>
        </is>
      </c>
      <c r="Q33" s="282" t="inlineStr">
        <is>
          <t>–</t>
        </is>
      </c>
      <c r="R33" s="282" t="inlineStr">
        <is>
          <t>–</t>
        </is>
      </c>
    </row>
    <row r="34">
      <c r="B34" s="328" t="inlineStr">
        <is>
          <t>Van / minivan — 7+ years</t>
        </is>
      </c>
      <c r="C34" s="279" t="inlineStr">
        <is>
          <t>000s</t>
        </is>
      </c>
      <c r="D34" s="261">
        <f>SUMIFS('E1a Fleet (roll)'!E$7:E$190,'E1a Fleet (roll)'!$A$7:$A$190,"Van",'E1a Fleet (roll)'!$C$7:$C$190,3)</f>
        <v/>
      </c>
      <c r="E34" s="261">
        <f>SUMIFS('E1a Fleet (roll)'!F$7:F$190,'E1a Fleet (roll)'!$A$7:$A$190,"Van",'E1a Fleet (roll)'!$C$7:$C$190,3)</f>
        <v/>
      </c>
      <c r="F34" s="261">
        <f>SUMIFS('E1a Fleet (roll)'!G$7:G$190,'E1a Fleet (roll)'!$A$7:$A$190,"Van",'E1a Fleet (roll)'!$C$7:$C$190,3)</f>
        <v/>
      </c>
      <c r="G34" s="261">
        <f>SUMIFS('E1a Fleet (roll)'!H$7:H$190,'E1a Fleet (roll)'!$A$7:$A$190,"Van",'E1a Fleet (roll)'!$C$7:$C$190,3)</f>
        <v/>
      </c>
      <c r="H34" s="261">
        <f>SUMIFS('E1a Fleet (roll)'!I$7:I$190,'E1a Fleet (roll)'!$A$7:$A$190,"Van",'E1a Fleet (roll)'!$C$7:$C$190,3)</f>
        <v/>
      </c>
      <c r="I34" s="261">
        <f>SUMIFS('E1a Fleet (roll)'!J$7:J$190,'E1a Fleet (roll)'!$A$7:$A$190,"Van",'E1a Fleet (roll)'!$C$7:$C$190,3)</f>
        <v/>
      </c>
      <c r="J34" s="261">
        <f>SUMIFS('E1a Fleet (roll)'!K$7:K$190,'E1a Fleet (roll)'!$A$7:$A$190,"Van",'E1a Fleet (roll)'!$C$7:$C$190,3)</f>
        <v/>
      </c>
      <c r="K34" s="261">
        <f>SUMIFS('E1a Fleet (roll)'!L$7:L$190,'E1a Fleet (roll)'!$A$7:$A$190,"Van",'E1a Fleet (roll)'!$C$7:$C$190,3)</f>
        <v/>
      </c>
      <c r="L34" s="261">
        <f>SUMIFS('E1a Fleet (roll)'!M$7:M$190,'E1a Fleet (roll)'!$A$7:$A$190,"Van",'E1a Fleet (roll)'!$C$7:$C$190,3)</f>
        <v/>
      </c>
      <c r="M34" s="261">
        <f>SUMIFS('E1a Fleet (roll)'!N$7:N$190,'E1a Fleet (roll)'!$A$7:$A$190,"Van",'E1a Fleet (roll)'!$C$7:$C$190,3)</f>
        <v/>
      </c>
      <c r="N34" s="282" t="inlineStr">
        <is>
          <t>–</t>
        </is>
      </c>
      <c r="O34" s="282" t="inlineStr">
        <is>
          <t>–</t>
        </is>
      </c>
      <c r="P34" s="282" t="inlineStr">
        <is>
          <t>–</t>
        </is>
      </c>
      <c r="Q34" s="282" t="inlineStr">
        <is>
          <t>–</t>
        </is>
      </c>
      <c r="R34" s="282" t="inlineStr">
        <is>
          <t>–</t>
        </is>
      </c>
    </row>
    <row r="35">
      <c r="B35" s="249" t="inlineStr">
        <is>
          <t>Total vehicles on the road</t>
        </is>
      </c>
      <c r="C35" s="279" t="inlineStr">
        <is>
          <t>000s</t>
        </is>
      </c>
      <c r="D35" s="326">
        <f>SUM(D19:D34)</f>
        <v/>
      </c>
      <c r="E35" s="326">
        <f>SUM(E19:E34)</f>
        <v/>
      </c>
      <c r="F35" s="326">
        <f>SUM(F19:F34)</f>
        <v/>
      </c>
      <c r="G35" s="326">
        <f>SUM(G19:G34)</f>
        <v/>
      </c>
      <c r="H35" s="326">
        <f>SUM(H19:H34)</f>
        <v/>
      </c>
      <c r="I35" s="326">
        <f>SUM(I19:I34)</f>
        <v/>
      </c>
      <c r="J35" s="326">
        <f>SUM(J19:J34)</f>
        <v/>
      </c>
      <c r="K35" s="326">
        <f>SUM(K19:K34)</f>
        <v/>
      </c>
      <c r="L35" s="326">
        <f>SUM(L19:L34)</f>
        <v/>
      </c>
      <c r="M35" s="326">
        <f>SUM(M19:M34)</f>
        <v/>
      </c>
      <c r="N35" s="282" t="inlineStr">
        <is>
          <t>–</t>
        </is>
      </c>
      <c r="O35" s="282" t="inlineStr">
        <is>
          <t>–</t>
        </is>
      </c>
      <c r="P35" s="282" t="inlineStr">
        <is>
          <t>–</t>
        </is>
      </c>
      <c r="Q35" s="282" t="inlineStr">
        <is>
          <t>–</t>
        </is>
      </c>
      <c r="R35" s="282" t="inlineStr">
        <is>
          <t>–</t>
        </is>
      </c>
    </row>
    <row r="36">
      <c r="B36" s="274" t="inlineStr">
        <is>
          <t xml:space="preserve">   share aged 7+</t>
        </is>
      </c>
      <c r="C36" s="279" t="inlineStr">
        <is>
          <t>%</t>
        </is>
      </c>
      <c r="D36" s="329">
        <f>SUMIFS('E1a Fleet (roll)'!D$7:D$190,'E1a Fleet (roll)'!$C$7:$C$190,3)/D35</f>
        <v/>
      </c>
      <c r="E36" s="329">
        <f>SUMIFS('E1a Fleet (roll)'!E$7:E$190,'E1a Fleet (roll)'!$C$7:$C$190,3)/E35</f>
        <v/>
      </c>
      <c r="F36" s="329">
        <f>SUMIFS('E1a Fleet (roll)'!F$7:F$190,'E1a Fleet (roll)'!$C$7:$C$190,3)/F35</f>
        <v/>
      </c>
      <c r="G36" s="329">
        <f>SUMIFS('E1a Fleet (roll)'!G$7:G$190,'E1a Fleet (roll)'!$C$7:$C$190,3)/G35</f>
        <v/>
      </c>
      <c r="H36" s="329">
        <f>SUMIFS('E1a Fleet (roll)'!H$7:H$190,'E1a Fleet (roll)'!$C$7:$C$190,3)/H35</f>
        <v/>
      </c>
      <c r="I36" s="329">
        <f>SUMIFS('E1a Fleet (roll)'!I$7:I$190,'E1a Fleet (roll)'!$C$7:$C$190,3)/I35</f>
        <v/>
      </c>
      <c r="J36" s="329">
        <f>SUMIFS('E1a Fleet (roll)'!J$7:J$190,'E1a Fleet (roll)'!$C$7:$C$190,3)/J35</f>
        <v/>
      </c>
      <c r="K36" s="329">
        <f>SUMIFS('E1a Fleet (roll)'!K$7:K$190,'E1a Fleet (roll)'!$C$7:$C$190,3)/K35</f>
        <v/>
      </c>
      <c r="L36" s="329">
        <f>SUMIFS('E1a Fleet (roll)'!L$7:L$190,'E1a Fleet (roll)'!$C$7:$C$190,3)/L35</f>
        <v/>
      </c>
      <c r="M36" s="329">
        <f>SUMIFS('E1a Fleet (roll)'!M$7:M$190,'E1a Fleet (roll)'!$C$7:$C$190,3)/M35</f>
        <v/>
      </c>
      <c r="N36" s="282" t="inlineStr">
        <is>
          <t>–</t>
        </is>
      </c>
      <c r="O36" s="282" t="inlineStr">
        <is>
          <t>–</t>
        </is>
      </c>
      <c r="P36" s="282" t="inlineStr">
        <is>
          <t>–</t>
        </is>
      </c>
      <c r="Q36" s="282" t="inlineStr">
        <is>
          <t>–</t>
        </is>
      </c>
      <c r="R36" s="282" t="inlineStr">
        <is>
          <t>–</t>
        </is>
      </c>
    </row>
    <row r="39">
      <c r="B39" s="271" t="inlineStr">
        <is>
          <t>D. Claims-weighted composition: share of claims by body × age band  (model = fleet × R(age) × body factor; CCC-implied = TL mix ÷ TLF, normalised)</t>
        </is>
      </c>
      <c r="C39" s="272" t="n"/>
      <c r="D39" s="272" t="n"/>
      <c r="E39" s="272" t="n"/>
      <c r="F39" s="272" t="n"/>
      <c r="G39" s="272" t="n"/>
      <c r="H39" s="272" t="n"/>
      <c r="I39" s="272" t="n"/>
      <c r="J39" s="272" t="n"/>
      <c r="K39" s="272" t="n"/>
      <c r="L39" s="272" t="n"/>
      <c r="M39" s="272" t="n"/>
      <c r="N39" s="272" t="n"/>
      <c r="O39" s="272" t="n"/>
      <c r="P39" s="272" t="n"/>
      <c r="Q39" s="272" t="n"/>
      <c r="R39" s="272" t="n"/>
      <c r="S39" s="272" t="n"/>
    </row>
    <row r="40">
      <c r="B40" s="254" t="inlineStr">
        <is>
          <t>Model: Car — 0 (current or newer)</t>
        </is>
      </c>
      <c r="C40" s="279" t="inlineStr">
        <is>
          <t>%</t>
        </is>
      </c>
      <c r="D40" s="273">
        <f>SUMIFS('E1a Fleet (roll)'!P$7:P$190,'E1a Fleet (roll)'!$A$7:$A$190,"Car",'E1a Fleet (roll)'!$C$7:$C$190,0)/SUM('E1a Fleet (roll)'!P$7:P$190)</f>
        <v/>
      </c>
      <c r="E40" s="273">
        <f>SUMIFS('E1a Fleet (roll)'!Q$7:Q$190,'E1a Fleet (roll)'!$A$7:$A$190,"Car",'E1a Fleet (roll)'!$C$7:$C$190,0)/SUM('E1a Fleet (roll)'!Q$7:Q$190)</f>
        <v/>
      </c>
      <c r="F40" s="273">
        <f>SUMIFS('E1a Fleet (roll)'!R$7:R$190,'E1a Fleet (roll)'!$A$7:$A$190,"Car",'E1a Fleet (roll)'!$C$7:$C$190,0)/SUM('E1a Fleet (roll)'!R$7:R$190)</f>
        <v/>
      </c>
      <c r="G40" s="273">
        <f>SUMIFS('E1a Fleet (roll)'!S$7:S$190,'E1a Fleet (roll)'!$A$7:$A$190,"Car",'E1a Fleet (roll)'!$C$7:$C$190,0)/SUM('E1a Fleet (roll)'!S$7:S$190)</f>
        <v/>
      </c>
      <c r="H40" s="273">
        <f>SUMIFS('E1a Fleet (roll)'!T$7:T$190,'E1a Fleet (roll)'!$A$7:$A$190,"Car",'E1a Fleet (roll)'!$C$7:$C$190,0)/SUM('E1a Fleet (roll)'!T$7:T$190)</f>
        <v/>
      </c>
      <c r="I40" s="273">
        <f>SUMIFS('E1a Fleet (roll)'!U$7:U$190,'E1a Fleet (roll)'!$A$7:$A$190,"Car",'E1a Fleet (roll)'!$C$7:$C$190,0)/SUM('E1a Fleet (roll)'!U$7:U$190)</f>
        <v/>
      </c>
      <c r="J40" s="273">
        <f>SUMIFS('E1a Fleet (roll)'!V$7:V$190,'E1a Fleet (roll)'!$A$7:$A$190,"Car",'E1a Fleet (roll)'!$C$7:$C$190,0)/SUM('E1a Fleet (roll)'!V$7:V$190)</f>
        <v/>
      </c>
      <c r="K40" s="273">
        <f>SUMIFS('E1a Fleet (roll)'!W$7:W$190,'E1a Fleet (roll)'!$A$7:$A$190,"Car",'E1a Fleet (roll)'!$C$7:$C$190,0)/SUM('E1a Fleet (roll)'!W$7:W$190)</f>
        <v/>
      </c>
      <c r="L40" s="273">
        <f>SUMIFS('E1a Fleet (roll)'!X$7:X$190,'E1a Fleet (roll)'!$A$7:$A$190,"Car",'E1a Fleet (roll)'!$C$7:$C$190,0)/SUM('E1a Fleet (roll)'!X$7:X$190)</f>
        <v/>
      </c>
      <c r="M40" s="273">
        <f>SUMIFS('E1a Fleet (roll)'!Y$7:Y$190,'E1a Fleet (roll)'!$A$7:$A$190,"Car",'E1a Fleet (roll)'!$C$7:$C$190,0)/SUM('E1a Fleet (roll)'!Y$7:Y$190)</f>
        <v/>
      </c>
      <c r="N40" s="282" t="inlineStr">
        <is>
          <t>–</t>
        </is>
      </c>
      <c r="O40" s="282" t="inlineStr">
        <is>
          <t>–</t>
        </is>
      </c>
      <c r="P40" s="282" t="inlineStr">
        <is>
          <t>–</t>
        </is>
      </c>
      <c r="Q40" s="282" t="inlineStr">
        <is>
          <t>–</t>
        </is>
      </c>
      <c r="R40" s="282" t="inlineStr">
        <is>
          <t>–</t>
        </is>
      </c>
    </row>
    <row r="41">
      <c r="B41" s="328" t="inlineStr">
        <is>
          <t>Model: Car — 1–3 years</t>
        </is>
      </c>
      <c r="C41" s="279" t="inlineStr">
        <is>
          <t>%</t>
        </is>
      </c>
      <c r="D41" s="273">
        <f>SUMIFS('E1a Fleet (roll)'!P$7:P$190,'E1a Fleet (roll)'!$A$7:$A$190,"Car",'E1a Fleet (roll)'!$C$7:$C$190,1)/SUM('E1a Fleet (roll)'!P$7:P$190)</f>
        <v/>
      </c>
      <c r="E41" s="273">
        <f>SUMIFS('E1a Fleet (roll)'!Q$7:Q$190,'E1a Fleet (roll)'!$A$7:$A$190,"Car",'E1a Fleet (roll)'!$C$7:$C$190,1)/SUM('E1a Fleet (roll)'!Q$7:Q$190)</f>
        <v/>
      </c>
      <c r="F41" s="273">
        <f>SUMIFS('E1a Fleet (roll)'!R$7:R$190,'E1a Fleet (roll)'!$A$7:$A$190,"Car",'E1a Fleet (roll)'!$C$7:$C$190,1)/SUM('E1a Fleet (roll)'!R$7:R$190)</f>
        <v/>
      </c>
      <c r="G41" s="273">
        <f>SUMIFS('E1a Fleet (roll)'!S$7:S$190,'E1a Fleet (roll)'!$A$7:$A$190,"Car",'E1a Fleet (roll)'!$C$7:$C$190,1)/SUM('E1a Fleet (roll)'!S$7:S$190)</f>
        <v/>
      </c>
      <c r="H41" s="273">
        <f>SUMIFS('E1a Fleet (roll)'!T$7:T$190,'E1a Fleet (roll)'!$A$7:$A$190,"Car",'E1a Fleet (roll)'!$C$7:$C$190,1)/SUM('E1a Fleet (roll)'!T$7:T$190)</f>
        <v/>
      </c>
      <c r="I41" s="273">
        <f>SUMIFS('E1a Fleet (roll)'!U$7:U$190,'E1a Fleet (roll)'!$A$7:$A$190,"Car",'E1a Fleet (roll)'!$C$7:$C$190,1)/SUM('E1a Fleet (roll)'!U$7:U$190)</f>
        <v/>
      </c>
      <c r="J41" s="273">
        <f>SUMIFS('E1a Fleet (roll)'!V$7:V$190,'E1a Fleet (roll)'!$A$7:$A$190,"Car",'E1a Fleet (roll)'!$C$7:$C$190,1)/SUM('E1a Fleet (roll)'!V$7:V$190)</f>
        <v/>
      </c>
      <c r="K41" s="273">
        <f>SUMIFS('E1a Fleet (roll)'!W$7:W$190,'E1a Fleet (roll)'!$A$7:$A$190,"Car",'E1a Fleet (roll)'!$C$7:$C$190,1)/SUM('E1a Fleet (roll)'!W$7:W$190)</f>
        <v/>
      </c>
      <c r="L41" s="273">
        <f>SUMIFS('E1a Fleet (roll)'!X$7:X$190,'E1a Fleet (roll)'!$A$7:$A$190,"Car",'E1a Fleet (roll)'!$C$7:$C$190,1)/SUM('E1a Fleet (roll)'!X$7:X$190)</f>
        <v/>
      </c>
      <c r="M41" s="273">
        <f>SUMIFS('E1a Fleet (roll)'!Y$7:Y$190,'E1a Fleet (roll)'!$A$7:$A$190,"Car",'E1a Fleet (roll)'!$C$7:$C$190,1)/SUM('E1a Fleet (roll)'!Y$7:Y$190)</f>
        <v/>
      </c>
      <c r="N41" s="282" t="inlineStr">
        <is>
          <t>–</t>
        </is>
      </c>
      <c r="O41" s="282" t="inlineStr">
        <is>
          <t>–</t>
        </is>
      </c>
      <c r="P41" s="282" t="inlineStr">
        <is>
          <t>–</t>
        </is>
      </c>
      <c r="Q41" s="282" t="inlineStr">
        <is>
          <t>–</t>
        </is>
      </c>
      <c r="R41" s="282" t="inlineStr">
        <is>
          <t>–</t>
        </is>
      </c>
    </row>
    <row r="42">
      <c r="B42" s="328" t="inlineStr">
        <is>
          <t>Model: Car — 4–6 years</t>
        </is>
      </c>
      <c r="C42" s="279" t="inlineStr">
        <is>
          <t>%</t>
        </is>
      </c>
      <c r="D42" s="273">
        <f>SUMIFS('E1a Fleet (roll)'!P$7:P$190,'E1a Fleet (roll)'!$A$7:$A$190,"Car",'E1a Fleet (roll)'!$C$7:$C$190,2)/SUM('E1a Fleet (roll)'!P$7:P$190)</f>
        <v/>
      </c>
      <c r="E42" s="273">
        <f>SUMIFS('E1a Fleet (roll)'!Q$7:Q$190,'E1a Fleet (roll)'!$A$7:$A$190,"Car",'E1a Fleet (roll)'!$C$7:$C$190,2)/SUM('E1a Fleet (roll)'!Q$7:Q$190)</f>
        <v/>
      </c>
      <c r="F42" s="273">
        <f>SUMIFS('E1a Fleet (roll)'!R$7:R$190,'E1a Fleet (roll)'!$A$7:$A$190,"Car",'E1a Fleet (roll)'!$C$7:$C$190,2)/SUM('E1a Fleet (roll)'!R$7:R$190)</f>
        <v/>
      </c>
      <c r="G42" s="273">
        <f>SUMIFS('E1a Fleet (roll)'!S$7:S$190,'E1a Fleet (roll)'!$A$7:$A$190,"Car",'E1a Fleet (roll)'!$C$7:$C$190,2)/SUM('E1a Fleet (roll)'!S$7:S$190)</f>
        <v/>
      </c>
      <c r="H42" s="273">
        <f>SUMIFS('E1a Fleet (roll)'!T$7:T$190,'E1a Fleet (roll)'!$A$7:$A$190,"Car",'E1a Fleet (roll)'!$C$7:$C$190,2)/SUM('E1a Fleet (roll)'!T$7:T$190)</f>
        <v/>
      </c>
      <c r="I42" s="273">
        <f>SUMIFS('E1a Fleet (roll)'!U$7:U$190,'E1a Fleet (roll)'!$A$7:$A$190,"Car",'E1a Fleet (roll)'!$C$7:$C$190,2)/SUM('E1a Fleet (roll)'!U$7:U$190)</f>
        <v/>
      </c>
      <c r="J42" s="273">
        <f>SUMIFS('E1a Fleet (roll)'!V$7:V$190,'E1a Fleet (roll)'!$A$7:$A$190,"Car",'E1a Fleet (roll)'!$C$7:$C$190,2)/SUM('E1a Fleet (roll)'!V$7:V$190)</f>
        <v/>
      </c>
      <c r="K42" s="273">
        <f>SUMIFS('E1a Fleet (roll)'!W$7:W$190,'E1a Fleet (roll)'!$A$7:$A$190,"Car",'E1a Fleet (roll)'!$C$7:$C$190,2)/SUM('E1a Fleet (roll)'!W$7:W$190)</f>
        <v/>
      </c>
      <c r="L42" s="273">
        <f>SUMIFS('E1a Fleet (roll)'!X$7:X$190,'E1a Fleet (roll)'!$A$7:$A$190,"Car",'E1a Fleet (roll)'!$C$7:$C$190,2)/SUM('E1a Fleet (roll)'!X$7:X$190)</f>
        <v/>
      </c>
      <c r="M42" s="273">
        <f>SUMIFS('E1a Fleet (roll)'!Y$7:Y$190,'E1a Fleet (roll)'!$A$7:$A$190,"Car",'E1a Fleet (roll)'!$C$7:$C$190,2)/SUM('E1a Fleet (roll)'!Y$7:Y$190)</f>
        <v/>
      </c>
      <c r="N42" s="282" t="inlineStr">
        <is>
          <t>–</t>
        </is>
      </c>
      <c r="O42" s="282" t="inlineStr">
        <is>
          <t>–</t>
        </is>
      </c>
      <c r="P42" s="282" t="inlineStr">
        <is>
          <t>–</t>
        </is>
      </c>
      <c r="Q42" s="282" t="inlineStr">
        <is>
          <t>–</t>
        </is>
      </c>
      <c r="R42" s="282" t="inlineStr">
        <is>
          <t>–</t>
        </is>
      </c>
    </row>
    <row r="43">
      <c r="B43" s="328" t="inlineStr">
        <is>
          <t>Model: Car — 7+ years</t>
        </is>
      </c>
      <c r="C43" s="279" t="inlineStr">
        <is>
          <t>%</t>
        </is>
      </c>
      <c r="D43" s="273">
        <f>SUMIFS('E1a Fleet (roll)'!P$7:P$190,'E1a Fleet (roll)'!$A$7:$A$190,"Car",'E1a Fleet (roll)'!$C$7:$C$190,3)/SUM('E1a Fleet (roll)'!P$7:P$190)</f>
        <v/>
      </c>
      <c r="E43" s="273">
        <f>SUMIFS('E1a Fleet (roll)'!Q$7:Q$190,'E1a Fleet (roll)'!$A$7:$A$190,"Car",'E1a Fleet (roll)'!$C$7:$C$190,3)/SUM('E1a Fleet (roll)'!Q$7:Q$190)</f>
        <v/>
      </c>
      <c r="F43" s="273">
        <f>SUMIFS('E1a Fleet (roll)'!R$7:R$190,'E1a Fleet (roll)'!$A$7:$A$190,"Car",'E1a Fleet (roll)'!$C$7:$C$190,3)/SUM('E1a Fleet (roll)'!R$7:R$190)</f>
        <v/>
      </c>
      <c r="G43" s="273">
        <f>SUMIFS('E1a Fleet (roll)'!S$7:S$190,'E1a Fleet (roll)'!$A$7:$A$190,"Car",'E1a Fleet (roll)'!$C$7:$C$190,3)/SUM('E1a Fleet (roll)'!S$7:S$190)</f>
        <v/>
      </c>
      <c r="H43" s="273">
        <f>SUMIFS('E1a Fleet (roll)'!T$7:T$190,'E1a Fleet (roll)'!$A$7:$A$190,"Car",'E1a Fleet (roll)'!$C$7:$C$190,3)/SUM('E1a Fleet (roll)'!T$7:T$190)</f>
        <v/>
      </c>
      <c r="I43" s="273">
        <f>SUMIFS('E1a Fleet (roll)'!U$7:U$190,'E1a Fleet (roll)'!$A$7:$A$190,"Car",'E1a Fleet (roll)'!$C$7:$C$190,3)/SUM('E1a Fleet (roll)'!U$7:U$190)</f>
        <v/>
      </c>
      <c r="J43" s="273">
        <f>SUMIFS('E1a Fleet (roll)'!V$7:V$190,'E1a Fleet (roll)'!$A$7:$A$190,"Car",'E1a Fleet (roll)'!$C$7:$C$190,3)/SUM('E1a Fleet (roll)'!V$7:V$190)</f>
        <v/>
      </c>
      <c r="K43" s="273">
        <f>SUMIFS('E1a Fleet (roll)'!W$7:W$190,'E1a Fleet (roll)'!$A$7:$A$190,"Car",'E1a Fleet (roll)'!$C$7:$C$190,3)/SUM('E1a Fleet (roll)'!W$7:W$190)</f>
        <v/>
      </c>
      <c r="L43" s="273">
        <f>SUMIFS('E1a Fleet (roll)'!X$7:X$190,'E1a Fleet (roll)'!$A$7:$A$190,"Car",'E1a Fleet (roll)'!$C$7:$C$190,3)/SUM('E1a Fleet (roll)'!X$7:X$190)</f>
        <v/>
      </c>
      <c r="M43" s="273">
        <f>SUMIFS('E1a Fleet (roll)'!Y$7:Y$190,'E1a Fleet (roll)'!$A$7:$A$190,"Car",'E1a Fleet (roll)'!$C$7:$C$190,3)/SUM('E1a Fleet (roll)'!Y$7:Y$190)</f>
        <v/>
      </c>
      <c r="N43" s="282" t="inlineStr">
        <is>
          <t>–</t>
        </is>
      </c>
      <c r="O43" s="282" t="inlineStr">
        <is>
          <t>–</t>
        </is>
      </c>
      <c r="P43" s="282" t="inlineStr">
        <is>
          <t>–</t>
        </is>
      </c>
      <c r="Q43" s="282" t="inlineStr">
        <is>
          <t>–</t>
        </is>
      </c>
      <c r="R43" s="282" t="inlineStr">
        <is>
          <t>–</t>
        </is>
      </c>
    </row>
    <row r="44">
      <c r="B44" s="254" t="inlineStr">
        <is>
          <t>Model: Utility vehicle (SUV) — 0 (current or newer)</t>
        </is>
      </c>
      <c r="C44" s="279" t="inlineStr">
        <is>
          <t>%</t>
        </is>
      </c>
      <c r="D44" s="273">
        <f>SUMIFS('E1a Fleet (roll)'!P$7:P$190,'E1a Fleet (roll)'!$A$7:$A$190,"SUV",'E1a Fleet (roll)'!$C$7:$C$190,0)/SUM('E1a Fleet (roll)'!P$7:P$190)</f>
        <v/>
      </c>
      <c r="E44" s="273">
        <f>SUMIFS('E1a Fleet (roll)'!Q$7:Q$190,'E1a Fleet (roll)'!$A$7:$A$190,"SUV",'E1a Fleet (roll)'!$C$7:$C$190,0)/SUM('E1a Fleet (roll)'!Q$7:Q$190)</f>
        <v/>
      </c>
      <c r="F44" s="273">
        <f>SUMIFS('E1a Fleet (roll)'!R$7:R$190,'E1a Fleet (roll)'!$A$7:$A$190,"SUV",'E1a Fleet (roll)'!$C$7:$C$190,0)/SUM('E1a Fleet (roll)'!R$7:R$190)</f>
        <v/>
      </c>
      <c r="G44" s="273">
        <f>SUMIFS('E1a Fleet (roll)'!S$7:S$190,'E1a Fleet (roll)'!$A$7:$A$190,"SUV",'E1a Fleet (roll)'!$C$7:$C$190,0)/SUM('E1a Fleet (roll)'!S$7:S$190)</f>
        <v/>
      </c>
      <c r="H44" s="273">
        <f>SUMIFS('E1a Fleet (roll)'!T$7:T$190,'E1a Fleet (roll)'!$A$7:$A$190,"SUV",'E1a Fleet (roll)'!$C$7:$C$190,0)/SUM('E1a Fleet (roll)'!T$7:T$190)</f>
        <v/>
      </c>
      <c r="I44" s="273">
        <f>SUMIFS('E1a Fleet (roll)'!U$7:U$190,'E1a Fleet (roll)'!$A$7:$A$190,"SUV",'E1a Fleet (roll)'!$C$7:$C$190,0)/SUM('E1a Fleet (roll)'!U$7:U$190)</f>
        <v/>
      </c>
      <c r="J44" s="273">
        <f>SUMIFS('E1a Fleet (roll)'!V$7:V$190,'E1a Fleet (roll)'!$A$7:$A$190,"SUV",'E1a Fleet (roll)'!$C$7:$C$190,0)/SUM('E1a Fleet (roll)'!V$7:V$190)</f>
        <v/>
      </c>
      <c r="K44" s="273">
        <f>SUMIFS('E1a Fleet (roll)'!W$7:W$190,'E1a Fleet (roll)'!$A$7:$A$190,"SUV",'E1a Fleet (roll)'!$C$7:$C$190,0)/SUM('E1a Fleet (roll)'!W$7:W$190)</f>
        <v/>
      </c>
      <c r="L44" s="273">
        <f>SUMIFS('E1a Fleet (roll)'!X$7:X$190,'E1a Fleet (roll)'!$A$7:$A$190,"SUV",'E1a Fleet (roll)'!$C$7:$C$190,0)/SUM('E1a Fleet (roll)'!X$7:X$190)</f>
        <v/>
      </c>
      <c r="M44" s="273">
        <f>SUMIFS('E1a Fleet (roll)'!Y$7:Y$190,'E1a Fleet (roll)'!$A$7:$A$190,"SUV",'E1a Fleet (roll)'!$C$7:$C$190,0)/SUM('E1a Fleet (roll)'!Y$7:Y$190)</f>
        <v/>
      </c>
      <c r="N44" s="282" t="inlineStr">
        <is>
          <t>–</t>
        </is>
      </c>
      <c r="O44" s="282" t="inlineStr">
        <is>
          <t>–</t>
        </is>
      </c>
      <c r="P44" s="282" t="inlineStr">
        <is>
          <t>–</t>
        </is>
      </c>
      <c r="Q44" s="282" t="inlineStr">
        <is>
          <t>–</t>
        </is>
      </c>
      <c r="R44" s="282" t="inlineStr">
        <is>
          <t>–</t>
        </is>
      </c>
    </row>
    <row r="45">
      <c r="B45" s="328" t="inlineStr">
        <is>
          <t>Model: Utility vehicle (SUV) — 1–3 years</t>
        </is>
      </c>
      <c r="C45" s="279" t="inlineStr">
        <is>
          <t>%</t>
        </is>
      </c>
      <c r="D45" s="273">
        <f>SUMIFS('E1a Fleet (roll)'!P$7:P$190,'E1a Fleet (roll)'!$A$7:$A$190,"SUV",'E1a Fleet (roll)'!$C$7:$C$190,1)/SUM('E1a Fleet (roll)'!P$7:P$190)</f>
        <v/>
      </c>
      <c r="E45" s="273">
        <f>SUMIFS('E1a Fleet (roll)'!Q$7:Q$190,'E1a Fleet (roll)'!$A$7:$A$190,"SUV",'E1a Fleet (roll)'!$C$7:$C$190,1)/SUM('E1a Fleet (roll)'!Q$7:Q$190)</f>
        <v/>
      </c>
      <c r="F45" s="273">
        <f>SUMIFS('E1a Fleet (roll)'!R$7:R$190,'E1a Fleet (roll)'!$A$7:$A$190,"SUV",'E1a Fleet (roll)'!$C$7:$C$190,1)/SUM('E1a Fleet (roll)'!R$7:R$190)</f>
        <v/>
      </c>
      <c r="G45" s="273">
        <f>SUMIFS('E1a Fleet (roll)'!S$7:S$190,'E1a Fleet (roll)'!$A$7:$A$190,"SUV",'E1a Fleet (roll)'!$C$7:$C$190,1)/SUM('E1a Fleet (roll)'!S$7:S$190)</f>
        <v/>
      </c>
      <c r="H45" s="273">
        <f>SUMIFS('E1a Fleet (roll)'!T$7:T$190,'E1a Fleet (roll)'!$A$7:$A$190,"SUV",'E1a Fleet (roll)'!$C$7:$C$190,1)/SUM('E1a Fleet (roll)'!T$7:T$190)</f>
        <v/>
      </c>
      <c r="I45" s="273">
        <f>SUMIFS('E1a Fleet (roll)'!U$7:U$190,'E1a Fleet (roll)'!$A$7:$A$190,"SUV",'E1a Fleet (roll)'!$C$7:$C$190,1)/SUM('E1a Fleet (roll)'!U$7:U$190)</f>
        <v/>
      </c>
      <c r="J45" s="273">
        <f>SUMIFS('E1a Fleet (roll)'!V$7:V$190,'E1a Fleet (roll)'!$A$7:$A$190,"SUV",'E1a Fleet (roll)'!$C$7:$C$190,1)/SUM('E1a Fleet (roll)'!V$7:V$190)</f>
        <v/>
      </c>
      <c r="K45" s="273">
        <f>SUMIFS('E1a Fleet (roll)'!W$7:W$190,'E1a Fleet (roll)'!$A$7:$A$190,"SUV",'E1a Fleet (roll)'!$C$7:$C$190,1)/SUM('E1a Fleet (roll)'!W$7:W$190)</f>
        <v/>
      </c>
      <c r="L45" s="273">
        <f>SUMIFS('E1a Fleet (roll)'!X$7:X$190,'E1a Fleet (roll)'!$A$7:$A$190,"SUV",'E1a Fleet (roll)'!$C$7:$C$190,1)/SUM('E1a Fleet (roll)'!X$7:X$190)</f>
        <v/>
      </c>
      <c r="M45" s="273">
        <f>SUMIFS('E1a Fleet (roll)'!Y$7:Y$190,'E1a Fleet (roll)'!$A$7:$A$190,"SUV",'E1a Fleet (roll)'!$C$7:$C$190,1)/SUM('E1a Fleet (roll)'!Y$7:Y$190)</f>
        <v/>
      </c>
      <c r="N45" s="282" t="inlineStr">
        <is>
          <t>–</t>
        </is>
      </c>
      <c r="O45" s="282" t="inlineStr">
        <is>
          <t>–</t>
        </is>
      </c>
      <c r="P45" s="282" t="inlineStr">
        <is>
          <t>–</t>
        </is>
      </c>
      <c r="Q45" s="282" t="inlineStr">
        <is>
          <t>–</t>
        </is>
      </c>
      <c r="R45" s="282" t="inlineStr">
        <is>
          <t>–</t>
        </is>
      </c>
    </row>
    <row r="46">
      <c r="B46" s="328" t="inlineStr">
        <is>
          <t>Model: Utility vehicle (SUV) — 4–6 years</t>
        </is>
      </c>
      <c r="C46" s="279" t="inlineStr">
        <is>
          <t>%</t>
        </is>
      </c>
      <c r="D46" s="273">
        <f>SUMIFS('E1a Fleet (roll)'!P$7:P$190,'E1a Fleet (roll)'!$A$7:$A$190,"SUV",'E1a Fleet (roll)'!$C$7:$C$190,2)/SUM('E1a Fleet (roll)'!P$7:P$190)</f>
        <v/>
      </c>
      <c r="E46" s="273">
        <f>SUMIFS('E1a Fleet (roll)'!Q$7:Q$190,'E1a Fleet (roll)'!$A$7:$A$190,"SUV",'E1a Fleet (roll)'!$C$7:$C$190,2)/SUM('E1a Fleet (roll)'!Q$7:Q$190)</f>
        <v/>
      </c>
      <c r="F46" s="273">
        <f>SUMIFS('E1a Fleet (roll)'!R$7:R$190,'E1a Fleet (roll)'!$A$7:$A$190,"SUV",'E1a Fleet (roll)'!$C$7:$C$190,2)/SUM('E1a Fleet (roll)'!R$7:R$190)</f>
        <v/>
      </c>
      <c r="G46" s="273">
        <f>SUMIFS('E1a Fleet (roll)'!S$7:S$190,'E1a Fleet (roll)'!$A$7:$A$190,"SUV",'E1a Fleet (roll)'!$C$7:$C$190,2)/SUM('E1a Fleet (roll)'!S$7:S$190)</f>
        <v/>
      </c>
      <c r="H46" s="273">
        <f>SUMIFS('E1a Fleet (roll)'!T$7:T$190,'E1a Fleet (roll)'!$A$7:$A$190,"SUV",'E1a Fleet (roll)'!$C$7:$C$190,2)/SUM('E1a Fleet (roll)'!T$7:T$190)</f>
        <v/>
      </c>
      <c r="I46" s="273">
        <f>SUMIFS('E1a Fleet (roll)'!U$7:U$190,'E1a Fleet (roll)'!$A$7:$A$190,"SUV",'E1a Fleet (roll)'!$C$7:$C$190,2)/SUM('E1a Fleet (roll)'!U$7:U$190)</f>
        <v/>
      </c>
      <c r="J46" s="273">
        <f>SUMIFS('E1a Fleet (roll)'!V$7:V$190,'E1a Fleet (roll)'!$A$7:$A$190,"SUV",'E1a Fleet (roll)'!$C$7:$C$190,2)/SUM('E1a Fleet (roll)'!V$7:V$190)</f>
        <v/>
      </c>
      <c r="K46" s="273">
        <f>SUMIFS('E1a Fleet (roll)'!W$7:W$190,'E1a Fleet (roll)'!$A$7:$A$190,"SUV",'E1a Fleet (roll)'!$C$7:$C$190,2)/SUM('E1a Fleet (roll)'!W$7:W$190)</f>
        <v/>
      </c>
      <c r="L46" s="273">
        <f>SUMIFS('E1a Fleet (roll)'!X$7:X$190,'E1a Fleet (roll)'!$A$7:$A$190,"SUV",'E1a Fleet (roll)'!$C$7:$C$190,2)/SUM('E1a Fleet (roll)'!X$7:X$190)</f>
        <v/>
      </c>
      <c r="M46" s="273">
        <f>SUMIFS('E1a Fleet (roll)'!Y$7:Y$190,'E1a Fleet (roll)'!$A$7:$A$190,"SUV",'E1a Fleet (roll)'!$C$7:$C$190,2)/SUM('E1a Fleet (roll)'!Y$7:Y$190)</f>
        <v/>
      </c>
      <c r="N46" s="282" t="inlineStr">
        <is>
          <t>–</t>
        </is>
      </c>
      <c r="O46" s="282" t="inlineStr">
        <is>
          <t>–</t>
        </is>
      </c>
      <c r="P46" s="282" t="inlineStr">
        <is>
          <t>–</t>
        </is>
      </c>
      <c r="Q46" s="282" t="inlineStr">
        <is>
          <t>–</t>
        </is>
      </c>
      <c r="R46" s="282" t="inlineStr">
        <is>
          <t>–</t>
        </is>
      </c>
    </row>
    <row r="47">
      <c r="B47" s="328" t="inlineStr">
        <is>
          <t>Model: Utility vehicle (SUV) — 7+ years</t>
        </is>
      </c>
      <c r="C47" s="279" t="inlineStr">
        <is>
          <t>%</t>
        </is>
      </c>
      <c r="D47" s="273">
        <f>SUMIFS('E1a Fleet (roll)'!P$7:P$190,'E1a Fleet (roll)'!$A$7:$A$190,"SUV",'E1a Fleet (roll)'!$C$7:$C$190,3)/SUM('E1a Fleet (roll)'!P$7:P$190)</f>
        <v/>
      </c>
      <c r="E47" s="273">
        <f>SUMIFS('E1a Fleet (roll)'!Q$7:Q$190,'E1a Fleet (roll)'!$A$7:$A$190,"SUV",'E1a Fleet (roll)'!$C$7:$C$190,3)/SUM('E1a Fleet (roll)'!Q$7:Q$190)</f>
        <v/>
      </c>
      <c r="F47" s="273">
        <f>SUMIFS('E1a Fleet (roll)'!R$7:R$190,'E1a Fleet (roll)'!$A$7:$A$190,"SUV",'E1a Fleet (roll)'!$C$7:$C$190,3)/SUM('E1a Fleet (roll)'!R$7:R$190)</f>
        <v/>
      </c>
      <c r="G47" s="273">
        <f>SUMIFS('E1a Fleet (roll)'!S$7:S$190,'E1a Fleet (roll)'!$A$7:$A$190,"SUV",'E1a Fleet (roll)'!$C$7:$C$190,3)/SUM('E1a Fleet (roll)'!S$7:S$190)</f>
        <v/>
      </c>
      <c r="H47" s="273">
        <f>SUMIFS('E1a Fleet (roll)'!T$7:T$190,'E1a Fleet (roll)'!$A$7:$A$190,"SUV",'E1a Fleet (roll)'!$C$7:$C$190,3)/SUM('E1a Fleet (roll)'!T$7:T$190)</f>
        <v/>
      </c>
      <c r="I47" s="273">
        <f>SUMIFS('E1a Fleet (roll)'!U$7:U$190,'E1a Fleet (roll)'!$A$7:$A$190,"SUV",'E1a Fleet (roll)'!$C$7:$C$190,3)/SUM('E1a Fleet (roll)'!U$7:U$190)</f>
        <v/>
      </c>
      <c r="J47" s="273">
        <f>SUMIFS('E1a Fleet (roll)'!V$7:V$190,'E1a Fleet (roll)'!$A$7:$A$190,"SUV",'E1a Fleet (roll)'!$C$7:$C$190,3)/SUM('E1a Fleet (roll)'!V$7:V$190)</f>
        <v/>
      </c>
      <c r="K47" s="273">
        <f>SUMIFS('E1a Fleet (roll)'!W$7:W$190,'E1a Fleet (roll)'!$A$7:$A$190,"SUV",'E1a Fleet (roll)'!$C$7:$C$190,3)/SUM('E1a Fleet (roll)'!W$7:W$190)</f>
        <v/>
      </c>
      <c r="L47" s="273">
        <f>SUMIFS('E1a Fleet (roll)'!X$7:X$190,'E1a Fleet (roll)'!$A$7:$A$190,"SUV",'E1a Fleet (roll)'!$C$7:$C$190,3)/SUM('E1a Fleet (roll)'!X$7:X$190)</f>
        <v/>
      </c>
      <c r="M47" s="273">
        <f>SUMIFS('E1a Fleet (roll)'!Y$7:Y$190,'E1a Fleet (roll)'!$A$7:$A$190,"SUV",'E1a Fleet (roll)'!$C$7:$C$190,3)/SUM('E1a Fleet (roll)'!Y$7:Y$190)</f>
        <v/>
      </c>
      <c r="N47" s="282" t="inlineStr">
        <is>
          <t>–</t>
        </is>
      </c>
      <c r="O47" s="282" t="inlineStr">
        <is>
          <t>–</t>
        </is>
      </c>
      <c r="P47" s="282" t="inlineStr">
        <is>
          <t>–</t>
        </is>
      </c>
      <c r="Q47" s="282" t="inlineStr">
        <is>
          <t>–</t>
        </is>
      </c>
      <c r="R47" s="282" t="inlineStr">
        <is>
          <t>–</t>
        </is>
      </c>
    </row>
    <row r="48">
      <c r="B48" s="254" t="inlineStr">
        <is>
          <t>Model: Pickup — 0 (current or newer)</t>
        </is>
      </c>
      <c r="C48" s="279" t="inlineStr">
        <is>
          <t>%</t>
        </is>
      </c>
      <c r="D48" s="273">
        <f>SUMIFS('E1a Fleet (roll)'!P$7:P$190,'E1a Fleet (roll)'!$A$7:$A$190,"Pickup",'E1a Fleet (roll)'!$C$7:$C$190,0)/SUM('E1a Fleet (roll)'!P$7:P$190)</f>
        <v/>
      </c>
      <c r="E48" s="273">
        <f>SUMIFS('E1a Fleet (roll)'!Q$7:Q$190,'E1a Fleet (roll)'!$A$7:$A$190,"Pickup",'E1a Fleet (roll)'!$C$7:$C$190,0)/SUM('E1a Fleet (roll)'!Q$7:Q$190)</f>
        <v/>
      </c>
      <c r="F48" s="273">
        <f>SUMIFS('E1a Fleet (roll)'!R$7:R$190,'E1a Fleet (roll)'!$A$7:$A$190,"Pickup",'E1a Fleet (roll)'!$C$7:$C$190,0)/SUM('E1a Fleet (roll)'!R$7:R$190)</f>
        <v/>
      </c>
      <c r="G48" s="273">
        <f>SUMIFS('E1a Fleet (roll)'!S$7:S$190,'E1a Fleet (roll)'!$A$7:$A$190,"Pickup",'E1a Fleet (roll)'!$C$7:$C$190,0)/SUM('E1a Fleet (roll)'!S$7:S$190)</f>
        <v/>
      </c>
      <c r="H48" s="273">
        <f>SUMIFS('E1a Fleet (roll)'!T$7:T$190,'E1a Fleet (roll)'!$A$7:$A$190,"Pickup",'E1a Fleet (roll)'!$C$7:$C$190,0)/SUM('E1a Fleet (roll)'!T$7:T$190)</f>
        <v/>
      </c>
      <c r="I48" s="273">
        <f>SUMIFS('E1a Fleet (roll)'!U$7:U$190,'E1a Fleet (roll)'!$A$7:$A$190,"Pickup",'E1a Fleet (roll)'!$C$7:$C$190,0)/SUM('E1a Fleet (roll)'!U$7:U$190)</f>
        <v/>
      </c>
      <c r="J48" s="273">
        <f>SUMIFS('E1a Fleet (roll)'!V$7:V$190,'E1a Fleet (roll)'!$A$7:$A$190,"Pickup",'E1a Fleet (roll)'!$C$7:$C$190,0)/SUM('E1a Fleet (roll)'!V$7:V$190)</f>
        <v/>
      </c>
      <c r="K48" s="273">
        <f>SUMIFS('E1a Fleet (roll)'!W$7:W$190,'E1a Fleet (roll)'!$A$7:$A$190,"Pickup",'E1a Fleet (roll)'!$C$7:$C$190,0)/SUM('E1a Fleet (roll)'!W$7:W$190)</f>
        <v/>
      </c>
      <c r="L48" s="273">
        <f>SUMIFS('E1a Fleet (roll)'!X$7:X$190,'E1a Fleet (roll)'!$A$7:$A$190,"Pickup",'E1a Fleet (roll)'!$C$7:$C$190,0)/SUM('E1a Fleet (roll)'!X$7:X$190)</f>
        <v/>
      </c>
      <c r="M48" s="273">
        <f>SUMIFS('E1a Fleet (roll)'!Y$7:Y$190,'E1a Fleet (roll)'!$A$7:$A$190,"Pickup",'E1a Fleet (roll)'!$C$7:$C$190,0)/SUM('E1a Fleet (roll)'!Y$7:Y$190)</f>
        <v/>
      </c>
      <c r="N48" s="282" t="inlineStr">
        <is>
          <t>–</t>
        </is>
      </c>
      <c r="O48" s="282" t="inlineStr">
        <is>
          <t>–</t>
        </is>
      </c>
      <c r="P48" s="282" t="inlineStr">
        <is>
          <t>–</t>
        </is>
      </c>
      <c r="Q48" s="282" t="inlineStr">
        <is>
          <t>–</t>
        </is>
      </c>
      <c r="R48" s="282" t="inlineStr">
        <is>
          <t>–</t>
        </is>
      </c>
    </row>
    <row r="49">
      <c r="B49" s="328" t="inlineStr">
        <is>
          <t>Model: Pickup — 1–3 years</t>
        </is>
      </c>
      <c r="C49" s="279" t="inlineStr">
        <is>
          <t>%</t>
        </is>
      </c>
      <c r="D49" s="273">
        <f>SUMIFS('E1a Fleet (roll)'!P$7:P$190,'E1a Fleet (roll)'!$A$7:$A$190,"Pickup",'E1a Fleet (roll)'!$C$7:$C$190,1)/SUM('E1a Fleet (roll)'!P$7:P$190)</f>
        <v/>
      </c>
      <c r="E49" s="273">
        <f>SUMIFS('E1a Fleet (roll)'!Q$7:Q$190,'E1a Fleet (roll)'!$A$7:$A$190,"Pickup",'E1a Fleet (roll)'!$C$7:$C$190,1)/SUM('E1a Fleet (roll)'!Q$7:Q$190)</f>
        <v/>
      </c>
      <c r="F49" s="273">
        <f>SUMIFS('E1a Fleet (roll)'!R$7:R$190,'E1a Fleet (roll)'!$A$7:$A$190,"Pickup",'E1a Fleet (roll)'!$C$7:$C$190,1)/SUM('E1a Fleet (roll)'!R$7:R$190)</f>
        <v/>
      </c>
      <c r="G49" s="273">
        <f>SUMIFS('E1a Fleet (roll)'!S$7:S$190,'E1a Fleet (roll)'!$A$7:$A$190,"Pickup",'E1a Fleet (roll)'!$C$7:$C$190,1)/SUM('E1a Fleet (roll)'!S$7:S$190)</f>
        <v/>
      </c>
      <c r="H49" s="273">
        <f>SUMIFS('E1a Fleet (roll)'!T$7:T$190,'E1a Fleet (roll)'!$A$7:$A$190,"Pickup",'E1a Fleet (roll)'!$C$7:$C$190,1)/SUM('E1a Fleet (roll)'!T$7:T$190)</f>
        <v/>
      </c>
      <c r="I49" s="273">
        <f>SUMIFS('E1a Fleet (roll)'!U$7:U$190,'E1a Fleet (roll)'!$A$7:$A$190,"Pickup",'E1a Fleet (roll)'!$C$7:$C$190,1)/SUM('E1a Fleet (roll)'!U$7:U$190)</f>
        <v/>
      </c>
      <c r="J49" s="273">
        <f>SUMIFS('E1a Fleet (roll)'!V$7:V$190,'E1a Fleet (roll)'!$A$7:$A$190,"Pickup",'E1a Fleet (roll)'!$C$7:$C$190,1)/SUM('E1a Fleet (roll)'!V$7:V$190)</f>
        <v/>
      </c>
      <c r="K49" s="273">
        <f>SUMIFS('E1a Fleet (roll)'!W$7:W$190,'E1a Fleet (roll)'!$A$7:$A$190,"Pickup",'E1a Fleet (roll)'!$C$7:$C$190,1)/SUM('E1a Fleet (roll)'!W$7:W$190)</f>
        <v/>
      </c>
      <c r="L49" s="273">
        <f>SUMIFS('E1a Fleet (roll)'!X$7:X$190,'E1a Fleet (roll)'!$A$7:$A$190,"Pickup",'E1a Fleet (roll)'!$C$7:$C$190,1)/SUM('E1a Fleet (roll)'!X$7:X$190)</f>
        <v/>
      </c>
      <c r="M49" s="273">
        <f>SUMIFS('E1a Fleet (roll)'!Y$7:Y$190,'E1a Fleet (roll)'!$A$7:$A$190,"Pickup",'E1a Fleet (roll)'!$C$7:$C$190,1)/SUM('E1a Fleet (roll)'!Y$7:Y$190)</f>
        <v/>
      </c>
      <c r="N49" s="282" t="inlineStr">
        <is>
          <t>–</t>
        </is>
      </c>
      <c r="O49" s="282" t="inlineStr">
        <is>
          <t>–</t>
        </is>
      </c>
      <c r="P49" s="282" t="inlineStr">
        <is>
          <t>–</t>
        </is>
      </c>
      <c r="Q49" s="282" t="inlineStr">
        <is>
          <t>–</t>
        </is>
      </c>
      <c r="R49" s="282" t="inlineStr">
        <is>
          <t>–</t>
        </is>
      </c>
    </row>
    <row r="50">
      <c r="B50" s="328" t="inlineStr">
        <is>
          <t>Model: Pickup — 4–6 years</t>
        </is>
      </c>
      <c r="C50" s="279" t="inlineStr">
        <is>
          <t>%</t>
        </is>
      </c>
      <c r="D50" s="273">
        <f>SUMIFS('E1a Fleet (roll)'!P$7:P$190,'E1a Fleet (roll)'!$A$7:$A$190,"Pickup",'E1a Fleet (roll)'!$C$7:$C$190,2)/SUM('E1a Fleet (roll)'!P$7:P$190)</f>
        <v/>
      </c>
      <c r="E50" s="273">
        <f>SUMIFS('E1a Fleet (roll)'!Q$7:Q$190,'E1a Fleet (roll)'!$A$7:$A$190,"Pickup",'E1a Fleet (roll)'!$C$7:$C$190,2)/SUM('E1a Fleet (roll)'!Q$7:Q$190)</f>
        <v/>
      </c>
      <c r="F50" s="273">
        <f>SUMIFS('E1a Fleet (roll)'!R$7:R$190,'E1a Fleet (roll)'!$A$7:$A$190,"Pickup",'E1a Fleet (roll)'!$C$7:$C$190,2)/SUM('E1a Fleet (roll)'!R$7:R$190)</f>
        <v/>
      </c>
      <c r="G50" s="273">
        <f>SUMIFS('E1a Fleet (roll)'!S$7:S$190,'E1a Fleet (roll)'!$A$7:$A$190,"Pickup",'E1a Fleet (roll)'!$C$7:$C$190,2)/SUM('E1a Fleet (roll)'!S$7:S$190)</f>
        <v/>
      </c>
      <c r="H50" s="273">
        <f>SUMIFS('E1a Fleet (roll)'!T$7:T$190,'E1a Fleet (roll)'!$A$7:$A$190,"Pickup",'E1a Fleet (roll)'!$C$7:$C$190,2)/SUM('E1a Fleet (roll)'!T$7:T$190)</f>
        <v/>
      </c>
      <c r="I50" s="273">
        <f>SUMIFS('E1a Fleet (roll)'!U$7:U$190,'E1a Fleet (roll)'!$A$7:$A$190,"Pickup",'E1a Fleet (roll)'!$C$7:$C$190,2)/SUM('E1a Fleet (roll)'!U$7:U$190)</f>
        <v/>
      </c>
      <c r="J50" s="273">
        <f>SUMIFS('E1a Fleet (roll)'!V$7:V$190,'E1a Fleet (roll)'!$A$7:$A$190,"Pickup",'E1a Fleet (roll)'!$C$7:$C$190,2)/SUM('E1a Fleet (roll)'!V$7:V$190)</f>
        <v/>
      </c>
      <c r="K50" s="273">
        <f>SUMIFS('E1a Fleet (roll)'!W$7:W$190,'E1a Fleet (roll)'!$A$7:$A$190,"Pickup",'E1a Fleet (roll)'!$C$7:$C$190,2)/SUM('E1a Fleet (roll)'!W$7:W$190)</f>
        <v/>
      </c>
      <c r="L50" s="273">
        <f>SUMIFS('E1a Fleet (roll)'!X$7:X$190,'E1a Fleet (roll)'!$A$7:$A$190,"Pickup",'E1a Fleet (roll)'!$C$7:$C$190,2)/SUM('E1a Fleet (roll)'!X$7:X$190)</f>
        <v/>
      </c>
      <c r="M50" s="273">
        <f>SUMIFS('E1a Fleet (roll)'!Y$7:Y$190,'E1a Fleet (roll)'!$A$7:$A$190,"Pickup",'E1a Fleet (roll)'!$C$7:$C$190,2)/SUM('E1a Fleet (roll)'!Y$7:Y$190)</f>
        <v/>
      </c>
      <c r="N50" s="282" t="inlineStr">
        <is>
          <t>–</t>
        </is>
      </c>
      <c r="O50" s="282" t="inlineStr">
        <is>
          <t>–</t>
        </is>
      </c>
      <c r="P50" s="282" t="inlineStr">
        <is>
          <t>–</t>
        </is>
      </c>
      <c r="Q50" s="282" t="inlineStr">
        <is>
          <t>–</t>
        </is>
      </c>
      <c r="R50" s="282" t="inlineStr">
        <is>
          <t>–</t>
        </is>
      </c>
    </row>
    <row r="51">
      <c r="B51" s="328" t="inlineStr">
        <is>
          <t>Model: Pickup — 7+ years</t>
        </is>
      </c>
      <c r="C51" s="279" t="inlineStr">
        <is>
          <t>%</t>
        </is>
      </c>
      <c r="D51" s="273">
        <f>SUMIFS('E1a Fleet (roll)'!P$7:P$190,'E1a Fleet (roll)'!$A$7:$A$190,"Pickup",'E1a Fleet (roll)'!$C$7:$C$190,3)/SUM('E1a Fleet (roll)'!P$7:P$190)</f>
        <v/>
      </c>
      <c r="E51" s="273">
        <f>SUMIFS('E1a Fleet (roll)'!Q$7:Q$190,'E1a Fleet (roll)'!$A$7:$A$190,"Pickup",'E1a Fleet (roll)'!$C$7:$C$190,3)/SUM('E1a Fleet (roll)'!Q$7:Q$190)</f>
        <v/>
      </c>
      <c r="F51" s="273">
        <f>SUMIFS('E1a Fleet (roll)'!R$7:R$190,'E1a Fleet (roll)'!$A$7:$A$190,"Pickup",'E1a Fleet (roll)'!$C$7:$C$190,3)/SUM('E1a Fleet (roll)'!R$7:R$190)</f>
        <v/>
      </c>
      <c r="G51" s="273">
        <f>SUMIFS('E1a Fleet (roll)'!S$7:S$190,'E1a Fleet (roll)'!$A$7:$A$190,"Pickup",'E1a Fleet (roll)'!$C$7:$C$190,3)/SUM('E1a Fleet (roll)'!S$7:S$190)</f>
        <v/>
      </c>
      <c r="H51" s="273">
        <f>SUMIFS('E1a Fleet (roll)'!T$7:T$190,'E1a Fleet (roll)'!$A$7:$A$190,"Pickup",'E1a Fleet (roll)'!$C$7:$C$190,3)/SUM('E1a Fleet (roll)'!T$7:T$190)</f>
        <v/>
      </c>
      <c r="I51" s="273">
        <f>SUMIFS('E1a Fleet (roll)'!U$7:U$190,'E1a Fleet (roll)'!$A$7:$A$190,"Pickup",'E1a Fleet (roll)'!$C$7:$C$190,3)/SUM('E1a Fleet (roll)'!U$7:U$190)</f>
        <v/>
      </c>
      <c r="J51" s="273">
        <f>SUMIFS('E1a Fleet (roll)'!V$7:V$190,'E1a Fleet (roll)'!$A$7:$A$190,"Pickup",'E1a Fleet (roll)'!$C$7:$C$190,3)/SUM('E1a Fleet (roll)'!V$7:V$190)</f>
        <v/>
      </c>
      <c r="K51" s="273">
        <f>SUMIFS('E1a Fleet (roll)'!W$7:W$190,'E1a Fleet (roll)'!$A$7:$A$190,"Pickup",'E1a Fleet (roll)'!$C$7:$C$190,3)/SUM('E1a Fleet (roll)'!W$7:W$190)</f>
        <v/>
      </c>
      <c r="L51" s="273">
        <f>SUMIFS('E1a Fleet (roll)'!X$7:X$190,'E1a Fleet (roll)'!$A$7:$A$190,"Pickup",'E1a Fleet (roll)'!$C$7:$C$190,3)/SUM('E1a Fleet (roll)'!X$7:X$190)</f>
        <v/>
      </c>
      <c r="M51" s="273">
        <f>SUMIFS('E1a Fleet (roll)'!Y$7:Y$190,'E1a Fleet (roll)'!$A$7:$A$190,"Pickup",'E1a Fleet (roll)'!$C$7:$C$190,3)/SUM('E1a Fleet (roll)'!Y$7:Y$190)</f>
        <v/>
      </c>
      <c r="N51" s="282" t="inlineStr">
        <is>
          <t>–</t>
        </is>
      </c>
      <c r="O51" s="282" t="inlineStr">
        <is>
          <t>–</t>
        </is>
      </c>
      <c r="P51" s="282" t="inlineStr">
        <is>
          <t>–</t>
        </is>
      </c>
      <c r="Q51" s="282" t="inlineStr">
        <is>
          <t>–</t>
        </is>
      </c>
      <c r="R51" s="282" t="inlineStr">
        <is>
          <t>–</t>
        </is>
      </c>
    </row>
    <row r="52">
      <c r="B52" s="254" t="inlineStr">
        <is>
          <t>Model: Van / minivan — 0 (current or newer)</t>
        </is>
      </c>
      <c r="C52" s="279" t="inlineStr">
        <is>
          <t>%</t>
        </is>
      </c>
      <c r="D52" s="273">
        <f>SUMIFS('E1a Fleet (roll)'!P$7:P$190,'E1a Fleet (roll)'!$A$7:$A$190,"Van",'E1a Fleet (roll)'!$C$7:$C$190,0)/SUM('E1a Fleet (roll)'!P$7:P$190)</f>
        <v/>
      </c>
      <c r="E52" s="273">
        <f>SUMIFS('E1a Fleet (roll)'!Q$7:Q$190,'E1a Fleet (roll)'!$A$7:$A$190,"Van",'E1a Fleet (roll)'!$C$7:$C$190,0)/SUM('E1a Fleet (roll)'!Q$7:Q$190)</f>
        <v/>
      </c>
      <c r="F52" s="273">
        <f>SUMIFS('E1a Fleet (roll)'!R$7:R$190,'E1a Fleet (roll)'!$A$7:$A$190,"Van",'E1a Fleet (roll)'!$C$7:$C$190,0)/SUM('E1a Fleet (roll)'!R$7:R$190)</f>
        <v/>
      </c>
      <c r="G52" s="273">
        <f>SUMIFS('E1a Fleet (roll)'!S$7:S$190,'E1a Fleet (roll)'!$A$7:$A$190,"Van",'E1a Fleet (roll)'!$C$7:$C$190,0)/SUM('E1a Fleet (roll)'!S$7:S$190)</f>
        <v/>
      </c>
      <c r="H52" s="273">
        <f>SUMIFS('E1a Fleet (roll)'!T$7:T$190,'E1a Fleet (roll)'!$A$7:$A$190,"Van",'E1a Fleet (roll)'!$C$7:$C$190,0)/SUM('E1a Fleet (roll)'!T$7:T$190)</f>
        <v/>
      </c>
      <c r="I52" s="273">
        <f>SUMIFS('E1a Fleet (roll)'!U$7:U$190,'E1a Fleet (roll)'!$A$7:$A$190,"Van",'E1a Fleet (roll)'!$C$7:$C$190,0)/SUM('E1a Fleet (roll)'!U$7:U$190)</f>
        <v/>
      </c>
      <c r="J52" s="273">
        <f>SUMIFS('E1a Fleet (roll)'!V$7:V$190,'E1a Fleet (roll)'!$A$7:$A$190,"Van",'E1a Fleet (roll)'!$C$7:$C$190,0)/SUM('E1a Fleet (roll)'!V$7:V$190)</f>
        <v/>
      </c>
      <c r="K52" s="273">
        <f>SUMIFS('E1a Fleet (roll)'!W$7:W$190,'E1a Fleet (roll)'!$A$7:$A$190,"Van",'E1a Fleet (roll)'!$C$7:$C$190,0)/SUM('E1a Fleet (roll)'!W$7:W$190)</f>
        <v/>
      </c>
      <c r="L52" s="273">
        <f>SUMIFS('E1a Fleet (roll)'!X$7:X$190,'E1a Fleet (roll)'!$A$7:$A$190,"Van",'E1a Fleet (roll)'!$C$7:$C$190,0)/SUM('E1a Fleet (roll)'!X$7:X$190)</f>
        <v/>
      </c>
      <c r="M52" s="273">
        <f>SUMIFS('E1a Fleet (roll)'!Y$7:Y$190,'E1a Fleet (roll)'!$A$7:$A$190,"Van",'E1a Fleet (roll)'!$C$7:$C$190,0)/SUM('E1a Fleet (roll)'!Y$7:Y$190)</f>
        <v/>
      </c>
      <c r="N52" s="282" t="inlineStr">
        <is>
          <t>–</t>
        </is>
      </c>
      <c r="O52" s="282" t="inlineStr">
        <is>
          <t>–</t>
        </is>
      </c>
      <c r="P52" s="282" t="inlineStr">
        <is>
          <t>–</t>
        </is>
      </c>
      <c r="Q52" s="282" t="inlineStr">
        <is>
          <t>–</t>
        </is>
      </c>
      <c r="R52" s="282" t="inlineStr">
        <is>
          <t>–</t>
        </is>
      </c>
    </row>
    <row r="53">
      <c r="B53" s="328" t="inlineStr">
        <is>
          <t>Model: Van / minivan — 1–3 years</t>
        </is>
      </c>
      <c r="C53" s="279" t="inlineStr">
        <is>
          <t>%</t>
        </is>
      </c>
      <c r="D53" s="273">
        <f>SUMIFS('E1a Fleet (roll)'!P$7:P$190,'E1a Fleet (roll)'!$A$7:$A$190,"Van",'E1a Fleet (roll)'!$C$7:$C$190,1)/SUM('E1a Fleet (roll)'!P$7:P$190)</f>
        <v/>
      </c>
      <c r="E53" s="273">
        <f>SUMIFS('E1a Fleet (roll)'!Q$7:Q$190,'E1a Fleet (roll)'!$A$7:$A$190,"Van",'E1a Fleet (roll)'!$C$7:$C$190,1)/SUM('E1a Fleet (roll)'!Q$7:Q$190)</f>
        <v/>
      </c>
      <c r="F53" s="273">
        <f>SUMIFS('E1a Fleet (roll)'!R$7:R$190,'E1a Fleet (roll)'!$A$7:$A$190,"Van",'E1a Fleet (roll)'!$C$7:$C$190,1)/SUM('E1a Fleet (roll)'!R$7:R$190)</f>
        <v/>
      </c>
      <c r="G53" s="273">
        <f>SUMIFS('E1a Fleet (roll)'!S$7:S$190,'E1a Fleet (roll)'!$A$7:$A$190,"Van",'E1a Fleet (roll)'!$C$7:$C$190,1)/SUM('E1a Fleet (roll)'!S$7:S$190)</f>
        <v/>
      </c>
      <c r="H53" s="273">
        <f>SUMIFS('E1a Fleet (roll)'!T$7:T$190,'E1a Fleet (roll)'!$A$7:$A$190,"Van",'E1a Fleet (roll)'!$C$7:$C$190,1)/SUM('E1a Fleet (roll)'!T$7:T$190)</f>
        <v/>
      </c>
      <c r="I53" s="273">
        <f>SUMIFS('E1a Fleet (roll)'!U$7:U$190,'E1a Fleet (roll)'!$A$7:$A$190,"Van",'E1a Fleet (roll)'!$C$7:$C$190,1)/SUM('E1a Fleet (roll)'!U$7:U$190)</f>
        <v/>
      </c>
      <c r="J53" s="273">
        <f>SUMIFS('E1a Fleet (roll)'!V$7:V$190,'E1a Fleet (roll)'!$A$7:$A$190,"Van",'E1a Fleet (roll)'!$C$7:$C$190,1)/SUM('E1a Fleet (roll)'!V$7:V$190)</f>
        <v/>
      </c>
      <c r="K53" s="273">
        <f>SUMIFS('E1a Fleet (roll)'!W$7:W$190,'E1a Fleet (roll)'!$A$7:$A$190,"Van",'E1a Fleet (roll)'!$C$7:$C$190,1)/SUM('E1a Fleet (roll)'!W$7:W$190)</f>
        <v/>
      </c>
      <c r="L53" s="273">
        <f>SUMIFS('E1a Fleet (roll)'!X$7:X$190,'E1a Fleet (roll)'!$A$7:$A$190,"Van",'E1a Fleet (roll)'!$C$7:$C$190,1)/SUM('E1a Fleet (roll)'!X$7:X$190)</f>
        <v/>
      </c>
      <c r="M53" s="273">
        <f>SUMIFS('E1a Fleet (roll)'!Y$7:Y$190,'E1a Fleet (roll)'!$A$7:$A$190,"Van",'E1a Fleet (roll)'!$C$7:$C$190,1)/SUM('E1a Fleet (roll)'!Y$7:Y$190)</f>
        <v/>
      </c>
      <c r="N53" s="282" t="inlineStr">
        <is>
          <t>–</t>
        </is>
      </c>
      <c r="O53" s="282" t="inlineStr">
        <is>
          <t>–</t>
        </is>
      </c>
      <c r="P53" s="282" t="inlineStr">
        <is>
          <t>–</t>
        </is>
      </c>
      <c r="Q53" s="282" t="inlineStr">
        <is>
          <t>–</t>
        </is>
      </c>
      <c r="R53" s="282" t="inlineStr">
        <is>
          <t>–</t>
        </is>
      </c>
    </row>
    <row r="54">
      <c r="B54" s="328" t="inlineStr">
        <is>
          <t>Model: Van / minivan — 4–6 years</t>
        </is>
      </c>
      <c r="C54" s="279" t="inlineStr">
        <is>
          <t>%</t>
        </is>
      </c>
      <c r="D54" s="273">
        <f>SUMIFS('E1a Fleet (roll)'!P$7:P$190,'E1a Fleet (roll)'!$A$7:$A$190,"Van",'E1a Fleet (roll)'!$C$7:$C$190,2)/SUM('E1a Fleet (roll)'!P$7:P$190)</f>
        <v/>
      </c>
      <c r="E54" s="273">
        <f>SUMIFS('E1a Fleet (roll)'!Q$7:Q$190,'E1a Fleet (roll)'!$A$7:$A$190,"Van",'E1a Fleet (roll)'!$C$7:$C$190,2)/SUM('E1a Fleet (roll)'!Q$7:Q$190)</f>
        <v/>
      </c>
      <c r="F54" s="273">
        <f>SUMIFS('E1a Fleet (roll)'!R$7:R$190,'E1a Fleet (roll)'!$A$7:$A$190,"Van",'E1a Fleet (roll)'!$C$7:$C$190,2)/SUM('E1a Fleet (roll)'!R$7:R$190)</f>
        <v/>
      </c>
      <c r="G54" s="273">
        <f>SUMIFS('E1a Fleet (roll)'!S$7:S$190,'E1a Fleet (roll)'!$A$7:$A$190,"Van",'E1a Fleet (roll)'!$C$7:$C$190,2)/SUM('E1a Fleet (roll)'!S$7:S$190)</f>
        <v/>
      </c>
      <c r="H54" s="273">
        <f>SUMIFS('E1a Fleet (roll)'!T$7:T$190,'E1a Fleet (roll)'!$A$7:$A$190,"Van",'E1a Fleet (roll)'!$C$7:$C$190,2)/SUM('E1a Fleet (roll)'!T$7:T$190)</f>
        <v/>
      </c>
      <c r="I54" s="273">
        <f>SUMIFS('E1a Fleet (roll)'!U$7:U$190,'E1a Fleet (roll)'!$A$7:$A$190,"Van",'E1a Fleet (roll)'!$C$7:$C$190,2)/SUM('E1a Fleet (roll)'!U$7:U$190)</f>
        <v/>
      </c>
      <c r="J54" s="273">
        <f>SUMIFS('E1a Fleet (roll)'!V$7:V$190,'E1a Fleet (roll)'!$A$7:$A$190,"Van",'E1a Fleet (roll)'!$C$7:$C$190,2)/SUM('E1a Fleet (roll)'!V$7:V$190)</f>
        <v/>
      </c>
      <c r="K54" s="273">
        <f>SUMIFS('E1a Fleet (roll)'!W$7:W$190,'E1a Fleet (roll)'!$A$7:$A$190,"Van",'E1a Fleet (roll)'!$C$7:$C$190,2)/SUM('E1a Fleet (roll)'!W$7:W$190)</f>
        <v/>
      </c>
      <c r="L54" s="273">
        <f>SUMIFS('E1a Fleet (roll)'!X$7:X$190,'E1a Fleet (roll)'!$A$7:$A$190,"Van",'E1a Fleet (roll)'!$C$7:$C$190,2)/SUM('E1a Fleet (roll)'!X$7:X$190)</f>
        <v/>
      </c>
      <c r="M54" s="273">
        <f>SUMIFS('E1a Fleet (roll)'!Y$7:Y$190,'E1a Fleet (roll)'!$A$7:$A$190,"Van",'E1a Fleet (roll)'!$C$7:$C$190,2)/SUM('E1a Fleet (roll)'!Y$7:Y$190)</f>
        <v/>
      </c>
      <c r="N54" s="282" t="inlineStr">
        <is>
          <t>–</t>
        </is>
      </c>
      <c r="O54" s="282" t="inlineStr">
        <is>
          <t>–</t>
        </is>
      </c>
      <c r="P54" s="282" t="inlineStr">
        <is>
          <t>–</t>
        </is>
      </c>
      <c r="Q54" s="282" t="inlineStr">
        <is>
          <t>–</t>
        </is>
      </c>
      <c r="R54" s="282" t="inlineStr">
        <is>
          <t>–</t>
        </is>
      </c>
    </row>
    <row r="55">
      <c r="B55" s="328" t="inlineStr">
        <is>
          <t>Model: Van / minivan — 7+ years</t>
        </is>
      </c>
      <c r="C55" s="279" t="inlineStr">
        <is>
          <t>%</t>
        </is>
      </c>
      <c r="D55" s="273">
        <f>SUMIFS('E1a Fleet (roll)'!P$7:P$190,'E1a Fleet (roll)'!$A$7:$A$190,"Van",'E1a Fleet (roll)'!$C$7:$C$190,3)/SUM('E1a Fleet (roll)'!P$7:P$190)</f>
        <v/>
      </c>
      <c r="E55" s="273">
        <f>SUMIFS('E1a Fleet (roll)'!Q$7:Q$190,'E1a Fleet (roll)'!$A$7:$A$190,"Van",'E1a Fleet (roll)'!$C$7:$C$190,3)/SUM('E1a Fleet (roll)'!Q$7:Q$190)</f>
        <v/>
      </c>
      <c r="F55" s="273">
        <f>SUMIFS('E1a Fleet (roll)'!R$7:R$190,'E1a Fleet (roll)'!$A$7:$A$190,"Van",'E1a Fleet (roll)'!$C$7:$C$190,3)/SUM('E1a Fleet (roll)'!R$7:R$190)</f>
        <v/>
      </c>
      <c r="G55" s="273">
        <f>SUMIFS('E1a Fleet (roll)'!S$7:S$190,'E1a Fleet (roll)'!$A$7:$A$190,"Van",'E1a Fleet (roll)'!$C$7:$C$190,3)/SUM('E1a Fleet (roll)'!S$7:S$190)</f>
        <v/>
      </c>
      <c r="H55" s="273">
        <f>SUMIFS('E1a Fleet (roll)'!T$7:T$190,'E1a Fleet (roll)'!$A$7:$A$190,"Van",'E1a Fleet (roll)'!$C$7:$C$190,3)/SUM('E1a Fleet (roll)'!T$7:T$190)</f>
        <v/>
      </c>
      <c r="I55" s="273">
        <f>SUMIFS('E1a Fleet (roll)'!U$7:U$190,'E1a Fleet (roll)'!$A$7:$A$190,"Van",'E1a Fleet (roll)'!$C$7:$C$190,3)/SUM('E1a Fleet (roll)'!U$7:U$190)</f>
        <v/>
      </c>
      <c r="J55" s="273">
        <f>SUMIFS('E1a Fleet (roll)'!V$7:V$190,'E1a Fleet (roll)'!$A$7:$A$190,"Van",'E1a Fleet (roll)'!$C$7:$C$190,3)/SUM('E1a Fleet (roll)'!V$7:V$190)</f>
        <v/>
      </c>
      <c r="K55" s="273">
        <f>SUMIFS('E1a Fleet (roll)'!W$7:W$190,'E1a Fleet (roll)'!$A$7:$A$190,"Van",'E1a Fleet (roll)'!$C$7:$C$190,3)/SUM('E1a Fleet (roll)'!W$7:W$190)</f>
        <v/>
      </c>
      <c r="L55" s="273">
        <f>SUMIFS('E1a Fleet (roll)'!X$7:X$190,'E1a Fleet (roll)'!$A$7:$A$190,"Van",'E1a Fleet (roll)'!$C$7:$C$190,3)/SUM('E1a Fleet (roll)'!X$7:X$190)</f>
        <v/>
      </c>
      <c r="M55" s="273">
        <f>SUMIFS('E1a Fleet (roll)'!Y$7:Y$190,'E1a Fleet (roll)'!$A$7:$A$190,"Van",'E1a Fleet (roll)'!$C$7:$C$190,3)/SUM('E1a Fleet (roll)'!Y$7:Y$190)</f>
        <v/>
      </c>
      <c r="N55" s="282" t="inlineStr">
        <is>
          <t>–</t>
        </is>
      </c>
      <c r="O55" s="282" t="inlineStr">
        <is>
          <t>–</t>
        </is>
      </c>
      <c r="P55" s="282" t="inlineStr">
        <is>
          <t>–</t>
        </is>
      </c>
      <c r="Q55" s="282" t="inlineStr">
        <is>
          <t>–</t>
        </is>
      </c>
      <c r="R55" s="282" t="inlineStr">
        <is>
          <t>–</t>
        </is>
      </c>
    </row>
    <row r="56">
      <c r="B56" s="254" t="inlineStr">
        <is>
          <t>CCC-implied: Car — 0 (current or newer)</t>
        </is>
      </c>
      <c r="C56" s="279" t="inlineStr">
        <is>
          <t>%</t>
        </is>
      </c>
      <c r="D56" s="282" t="inlineStr">
        <is>
          <t>–</t>
        </is>
      </c>
      <c r="E56" s="273">
        <f>SUMIFS('D CCC'!$K$5:$K$100,'D CCC'!$B$5:$B$100,E$3,'D CCC'!$C$5:$C$100,"Car",'D CCC'!$D$5:$D$100,0)</f>
        <v/>
      </c>
      <c r="F56" s="273">
        <f>SUMIFS('D CCC'!$K$5:$K$100,'D CCC'!$B$5:$B$100,F$3,'D CCC'!$C$5:$C$100,"Car",'D CCC'!$D$5:$D$100,0)</f>
        <v/>
      </c>
      <c r="G56" s="273">
        <f>SUMIFS('D CCC'!$K$5:$K$100,'D CCC'!$B$5:$B$100,G$3,'D CCC'!$C$5:$C$100,"Car",'D CCC'!$D$5:$D$100,0)</f>
        <v/>
      </c>
      <c r="H56" s="273">
        <f>SUMIFS('D CCC'!$K$5:$K$100,'D CCC'!$B$5:$B$100,H$3,'D CCC'!$C$5:$C$100,"Car",'D CCC'!$D$5:$D$100,0)</f>
        <v/>
      </c>
      <c r="I56" s="273">
        <f>SUMIFS('D CCC'!$K$5:$K$100,'D CCC'!$B$5:$B$100,I$3,'D CCC'!$C$5:$C$100,"Car",'D CCC'!$D$5:$D$100,0)</f>
        <v/>
      </c>
      <c r="J56" s="273">
        <f>SUMIFS('D CCC'!$K$5:$K$100,'D CCC'!$B$5:$B$100,J$3,'D CCC'!$C$5:$C$100,"Car",'D CCC'!$D$5:$D$100,0)</f>
        <v/>
      </c>
      <c r="K56" s="282" t="inlineStr">
        <is>
          <t>–</t>
        </is>
      </c>
      <c r="L56" s="282" t="inlineStr">
        <is>
          <t>–</t>
        </is>
      </c>
      <c r="M56" s="282" t="inlineStr">
        <is>
          <t>–</t>
        </is>
      </c>
      <c r="N56" s="282" t="inlineStr">
        <is>
          <t>–</t>
        </is>
      </c>
      <c r="O56" s="282" t="inlineStr">
        <is>
          <t>–</t>
        </is>
      </c>
      <c r="P56" s="252" t="inlineStr">
        <is>
          <t>D CCC column K (VERIFIED cells, derived ratio); 2020–2025 only</t>
        </is>
      </c>
      <c r="Q56" s="282" t="inlineStr">
        <is>
          <t>–</t>
        </is>
      </c>
      <c r="R56" s="282" t="inlineStr">
        <is>
          <t>–</t>
        </is>
      </c>
    </row>
    <row r="57">
      <c r="B57" s="328" t="inlineStr">
        <is>
          <t>CCC-implied: Car — 1–3 years</t>
        </is>
      </c>
      <c r="C57" s="279" t="inlineStr">
        <is>
          <t>%</t>
        </is>
      </c>
      <c r="D57" s="282" t="inlineStr">
        <is>
          <t>–</t>
        </is>
      </c>
      <c r="E57" s="273">
        <f>SUMIFS('D CCC'!$K$5:$K$100,'D CCC'!$B$5:$B$100,E$3,'D CCC'!$C$5:$C$100,"Car",'D CCC'!$D$5:$D$100,1)</f>
        <v/>
      </c>
      <c r="F57" s="273">
        <f>SUMIFS('D CCC'!$K$5:$K$100,'D CCC'!$B$5:$B$100,F$3,'D CCC'!$C$5:$C$100,"Car",'D CCC'!$D$5:$D$100,1)</f>
        <v/>
      </c>
      <c r="G57" s="273">
        <f>SUMIFS('D CCC'!$K$5:$K$100,'D CCC'!$B$5:$B$100,G$3,'D CCC'!$C$5:$C$100,"Car",'D CCC'!$D$5:$D$100,1)</f>
        <v/>
      </c>
      <c r="H57" s="273">
        <f>SUMIFS('D CCC'!$K$5:$K$100,'D CCC'!$B$5:$B$100,H$3,'D CCC'!$C$5:$C$100,"Car",'D CCC'!$D$5:$D$100,1)</f>
        <v/>
      </c>
      <c r="I57" s="273">
        <f>SUMIFS('D CCC'!$K$5:$K$100,'D CCC'!$B$5:$B$100,I$3,'D CCC'!$C$5:$C$100,"Car",'D CCC'!$D$5:$D$100,1)</f>
        <v/>
      </c>
      <c r="J57" s="273">
        <f>SUMIFS('D CCC'!$K$5:$K$100,'D CCC'!$B$5:$B$100,J$3,'D CCC'!$C$5:$C$100,"Car",'D CCC'!$D$5:$D$100,1)</f>
        <v/>
      </c>
      <c r="K57" s="282" t="inlineStr">
        <is>
          <t>–</t>
        </is>
      </c>
      <c r="L57" s="282" t="inlineStr">
        <is>
          <t>–</t>
        </is>
      </c>
      <c r="M57" s="282" t="inlineStr">
        <is>
          <t>–</t>
        </is>
      </c>
      <c r="N57" s="282" t="inlineStr">
        <is>
          <t>–</t>
        </is>
      </c>
      <c r="O57" s="282" t="inlineStr">
        <is>
          <t>–</t>
        </is>
      </c>
      <c r="P57" s="282" t="inlineStr">
        <is>
          <t>–</t>
        </is>
      </c>
      <c r="Q57" s="282" t="inlineStr">
        <is>
          <t>–</t>
        </is>
      </c>
      <c r="R57" s="282" t="inlineStr">
        <is>
          <t>–</t>
        </is>
      </c>
    </row>
    <row r="58">
      <c r="B58" s="328" t="inlineStr">
        <is>
          <t>CCC-implied: Car — 4–6 years</t>
        </is>
      </c>
      <c r="C58" s="279" t="inlineStr">
        <is>
          <t>%</t>
        </is>
      </c>
      <c r="D58" s="282" t="inlineStr">
        <is>
          <t>–</t>
        </is>
      </c>
      <c r="E58" s="273">
        <f>SUMIFS('D CCC'!$K$5:$K$100,'D CCC'!$B$5:$B$100,E$3,'D CCC'!$C$5:$C$100,"Car",'D CCC'!$D$5:$D$100,2)</f>
        <v/>
      </c>
      <c r="F58" s="273">
        <f>SUMIFS('D CCC'!$K$5:$K$100,'D CCC'!$B$5:$B$100,F$3,'D CCC'!$C$5:$C$100,"Car",'D CCC'!$D$5:$D$100,2)</f>
        <v/>
      </c>
      <c r="G58" s="273">
        <f>SUMIFS('D CCC'!$K$5:$K$100,'D CCC'!$B$5:$B$100,G$3,'D CCC'!$C$5:$C$100,"Car",'D CCC'!$D$5:$D$100,2)</f>
        <v/>
      </c>
      <c r="H58" s="273">
        <f>SUMIFS('D CCC'!$K$5:$K$100,'D CCC'!$B$5:$B$100,H$3,'D CCC'!$C$5:$C$100,"Car",'D CCC'!$D$5:$D$100,2)</f>
        <v/>
      </c>
      <c r="I58" s="273">
        <f>SUMIFS('D CCC'!$K$5:$K$100,'D CCC'!$B$5:$B$100,I$3,'D CCC'!$C$5:$C$100,"Car",'D CCC'!$D$5:$D$100,2)</f>
        <v/>
      </c>
      <c r="J58" s="273">
        <f>SUMIFS('D CCC'!$K$5:$K$100,'D CCC'!$B$5:$B$100,J$3,'D CCC'!$C$5:$C$100,"Car",'D CCC'!$D$5:$D$100,2)</f>
        <v/>
      </c>
      <c r="K58" s="282" t="inlineStr">
        <is>
          <t>–</t>
        </is>
      </c>
      <c r="L58" s="282" t="inlineStr">
        <is>
          <t>–</t>
        </is>
      </c>
      <c r="M58" s="282" t="inlineStr">
        <is>
          <t>–</t>
        </is>
      </c>
      <c r="N58" s="282" t="inlineStr">
        <is>
          <t>–</t>
        </is>
      </c>
      <c r="O58" s="282" t="inlineStr">
        <is>
          <t>–</t>
        </is>
      </c>
      <c r="P58" s="282" t="inlineStr">
        <is>
          <t>–</t>
        </is>
      </c>
      <c r="Q58" s="282" t="inlineStr">
        <is>
          <t>–</t>
        </is>
      </c>
      <c r="R58" s="282" t="inlineStr">
        <is>
          <t>–</t>
        </is>
      </c>
    </row>
    <row r="59">
      <c r="B59" s="328" t="inlineStr">
        <is>
          <t>CCC-implied: Car — 7+ years</t>
        </is>
      </c>
      <c r="C59" s="279" t="inlineStr">
        <is>
          <t>%</t>
        </is>
      </c>
      <c r="D59" s="282" t="inlineStr">
        <is>
          <t>–</t>
        </is>
      </c>
      <c r="E59" s="273">
        <f>SUMIFS('D CCC'!$K$5:$K$100,'D CCC'!$B$5:$B$100,E$3,'D CCC'!$C$5:$C$100,"Car",'D CCC'!$D$5:$D$100,3)</f>
        <v/>
      </c>
      <c r="F59" s="273">
        <f>SUMIFS('D CCC'!$K$5:$K$100,'D CCC'!$B$5:$B$100,F$3,'D CCC'!$C$5:$C$100,"Car",'D CCC'!$D$5:$D$100,3)</f>
        <v/>
      </c>
      <c r="G59" s="273">
        <f>SUMIFS('D CCC'!$K$5:$K$100,'D CCC'!$B$5:$B$100,G$3,'D CCC'!$C$5:$C$100,"Car",'D CCC'!$D$5:$D$100,3)</f>
        <v/>
      </c>
      <c r="H59" s="273">
        <f>SUMIFS('D CCC'!$K$5:$K$100,'D CCC'!$B$5:$B$100,H$3,'D CCC'!$C$5:$C$100,"Car",'D CCC'!$D$5:$D$100,3)</f>
        <v/>
      </c>
      <c r="I59" s="273">
        <f>SUMIFS('D CCC'!$K$5:$K$100,'D CCC'!$B$5:$B$100,I$3,'D CCC'!$C$5:$C$100,"Car",'D CCC'!$D$5:$D$100,3)</f>
        <v/>
      </c>
      <c r="J59" s="273">
        <f>SUMIFS('D CCC'!$K$5:$K$100,'D CCC'!$B$5:$B$100,J$3,'D CCC'!$C$5:$C$100,"Car",'D CCC'!$D$5:$D$100,3)</f>
        <v/>
      </c>
      <c r="K59" s="282" t="inlineStr">
        <is>
          <t>–</t>
        </is>
      </c>
      <c r="L59" s="282" t="inlineStr">
        <is>
          <t>–</t>
        </is>
      </c>
      <c r="M59" s="282" t="inlineStr">
        <is>
          <t>–</t>
        </is>
      </c>
      <c r="N59" s="282" t="inlineStr">
        <is>
          <t>–</t>
        </is>
      </c>
      <c r="O59" s="282" t="inlineStr">
        <is>
          <t>–</t>
        </is>
      </c>
      <c r="P59" s="282" t="inlineStr">
        <is>
          <t>–</t>
        </is>
      </c>
      <c r="Q59" s="282" t="inlineStr">
        <is>
          <t>–</t>
        </is>
      </c>
      <c r="R59" s="282" t="inlineStr">
        <is>
          <t>–</t>
        </is>
      </c>
    </row>
    <row r="60">
      <c r="B60" s="254" t="inlineStr">
        <is>
          <t>CCC-implied: Utility vehicle (SUV) — 0 (current or newer)</t>
        </is>
      </c>
      <c r="C60" s="279" t="inlineStr">
        <is>
          <t>%</t>
        </is>
      </c>
      <c r="D60" s="282" t="inlineStr">
        <is>
          <t>–</t>
        </is>
      </c>
      <c r="E60" s="273">
        <f>SUMIFS('D CCC'!$K$5:$K$100,'D CCC'!$B$5:$B$100,E$3,'D CCC'!$C$5:$C$100,"Utility Vehicle",'D CCC'!$D$5:$D$100,0)</f>
        <v/>
      </c>
      <c r="F60" s="273">
        <f>SUMIFS('D CCC'!$K$5:$K$100,'D CCC'!$B$5:$B$100,F$3,'D CCC'!$C$5:$C$100,"Utility Vehicle",'D CCC'!$D$5:$D$100,0)</f>
        <v/>
      </c>
      <c r="G60" s="273">
        <f>SUMIFS('D CCC'!$K$5:$K$100,'D CCC'!$B$5:$B$100,G$3,'D CCC'!$C$5:$C$100,"Utility Vehicle",'D CCC'!$D$5:$D$100,0)</f>
        <v/>
      </c>
      <c r="H60" s="273">
        <f>SUMIFS('D CCC'!$K$5:$K$100,'D CCC'!$B$5:$B$100,H$3,'D CCC'!$C$5:$C$100,"Utility Vehicle",'D CCC'!$D$5:$D$100,0)</f>
        <v/>
      </c>
      <c r="I60" s="273">
        <f>SUMIFS('D CCC'!$K$5:$K$100,'D CCC'!$B$5:$B$100,I$3,'D CCC'!$C$5:$C$100,"Utility Vehicle",'D CCC'!$D$5:$D$100,0)</f>
        <v/>
      </c>
      <c r="J60" s="273">
        <f>SUMIFS('D CCC'!$K$5:$K$100,'D CCC'!$B$5:$B$100,J$3,'D CCC'!$C$5:$C$100,"Utility Vehicle",'D CCC'!$D$5:$D$100,0)</f>
        <v/>
      </c>
      <c r="K60" s="282" t="inlineStr">
        <is>
          <t>–</t>
        </is>
      </c>
      <c r="L60" s="282" t="inlineStr">
        <is>
          <t>–</t>
        </is>
      </c>
      <c r="M60" s="282" t="inlineStr">
        <is>
          <t>–</t>
        </is>
      </c>
      <c r="N60" s="282" t="inlineStr">
        <is>
          <t>–</t>
        </is>
      </c>
      <c r="O60" s="282" t="inlineStr">
        <is>
          <t>–</t>
        </is>
      </c>
      <c r="P60" s="282" t="inlineStr">
        <is>
          <t>–</t>
        </is>
      </c>
      <c r="Q60" s="282" t="inlineStr">
        <is>
          <t>–</t>
        </is>
      </c>
      <c r="R60" s="282" t="inlineStr">
        <is>
          <t>–</t>
        </is>
      </c>
    </row>
    <row r="61">
      <c r="B61" s="328" t="inlineStr">
        <is>
          <t>CCC-implied: Utility vehicle (SUV) — 1–3 years</t>
        </is>
      </c>
      <c r="C61" s="279" t="inlineStr">
        <is>
          <t>%</t>
        </is>
      </c>
      <c r="D61" s="282" t="inlineStr">
        <is>
          <t>–</t>
        </is>
      </c>
      <c r="E61" s="273">
        <f>SUMIFS('D CCC'!$K$5:$K$100,'D CCC'!$B$5:$B$100,E$3,'D CCC'!$C$5:$C$100,"Utility Vehicle",'D CCC'!$D$5:$D$100,1)</f>
        <v/>
      </c>
      <c r="F61" s="273">
        <f>SUMIFS('D CCC'!$K$5:$K$100,'D CCC'!$B$5:$B$100,F$3,'D CCC'!$C$5:$C$100,"Utility Vehicle",'D CCC'!$D$5:$D$100,1)</f>
        <v/>
      </c>
      <c r="G61" s="273">
        <f>SUMIFS('D CCC'!$K$5:$K$100,'D CCC'!$B$5:$B$100,G$3,'D CCC'!$C$5:$C$100,"Utility Vehicle",'D CCC'!$D$5:$D$100,1)</f>
        <v/>
      </c>
      <c r="H61" s="273">
        <f>SUMIFS('D CCC'!$K$5:$K$100,'D CCC'!$B$5:$B$100,H$3,'D CCC'!$C$5:$C$100,"Utility Vehicle",'D CCC'!$D$5:$D$100,1)</f>
        <v/>
      </c>
      <c r="I61" s="273">
        <f>SUMIFS('D CCC'!$K$5:$K$100,'D CCC'!$B$5:$B$100,I$3,'D CCC'!$C$5:$C$100,"Utility Vehicle",'D CCC'!$D$5:$D$100,1)</f>
        <v/>
      </c>
      <c r="J61" s="273">
        <f>SUMIFS('D CCC'!$K$5:$K$100,'D CCC'!$B$5:$B$100,J$3,'D CCC'!$C$5:$C$100,"Utility Vehicle",'D CCC'!$D$5:$D$100,1)</f>
        <v/>
      </c>
      <c r="K61" s="282" t="inlineStr">
        <is>
          <t>–</t>
        </is>
      </c>
      <c r="L61" s="282" t="inlineStr">
        <is>
          <t>–</t>
        </is>
      </c>
      <c r="M61" s="282" t="inlineStr">
        <is>
          <t>–</t>
        </is>
      </c>
      <c r="N61" s="282" t="inlineStr">
        <is>
          <t>–</t>
        </is>
      </c>
      <c r="O61" s="282" t="inlineStr">
        <is>
          <t>–</t>
        </is>
      </c>
      <c r="P61" s="282" t="inlineStr">
        <is>
          <t>–</t>
        </is>
      </c>
      <c r="Q61" s="282" t="inlineStr">
        <is>
          <t>–</t>
        </is>
      </c>
      <c r="R61" s="282" t="inlineStr">
        <is>
          <t>–</t>
        </is>
      </c>
    </row>
    <row r="62">
      <c r="B62" s="328" t="inlineStr">
        <is>
          <t>CCC-implied: Utility vehicle (SUV) — 4–6 years</t>
        </is>
      </c>
      <c r="C62" s="279" t="inlineStr">
        <is>
          <t>%</t>
        </is>
      </c>
      <c r="D62" s="282" t="inlineStr">
        <is>
          <t>–</t>
        </is>
      </c>
      <c r="E62" s="273">
        <f>SUMIFS('D CCC'!$K$5:$K$100,'D CCC'!$B$5:$B$100,E$3,'D CCC'!$C$5:$C$100,"Utility Vehicle",'D CCC'!$D$5:$D$100,2)</f>
        <v/>
      </c>
      <c r="F62" s="273">
        <f>SUMIFS('D CCC'!$K$5:$K$100,'D CCC'!$B$5:$B$100,F$3,'D CCC'!$C$5:$C$100,"Utility Vehicle",'D CCC'!$D$5:$D$100,2)</f>
        <v/>
      </c>
      <c r="G62" s="273">
        <f>SUMIFS('D CCC'!$K$5:$K$100,'D CCC'!$B$5:$B$100,G$3,'D CCC'!$C$5:$C$100,"Utility Vehicle",'D CCC'!$D$5:$D$100,2)</f>
        <v/>
      </c>
      <c r="H62" s="273">
        <f>SUMIFS('D CCC'!$K$5:$K$100,'D CCC'!$B$5:$B$100,H$3,'D CCC'!$C$5:$C$100,"Utility Vehicle",'D CCC'!$D$5:$D$100,2)</f>
        <v/>
      </c>
      <c r="I62" s="273">
        <f>SUMIFS('D CCC'!$K$5:$K$100,'D CCC'!$B$5:$B$100,I$3,'D CCC'!$C$5:$C$100,"Utility Vehicle",'D CCC'!$D$5:$D$100,2)</f>
        <v/>
      </c>
      <c r="J62" s="273">
        <f>SUMIFS('D CCC'!$K$5:$K$100,'D CCC'!$B$5:$B$100,J$3,'D CCC'!$C$5:$C$100,"Utility Vehicle",'D CCC'!$D$5:$D$100,2)</f>
        <v/>
      </c>
      <c r="K62" s="282" t="inlineStr">
        <is>
          <t>–</t>
        </is>
      </c>
      <c r="L62" s="282" t="inlineStr">
        <is>
          <t>–</t>
        </is>
      </c>
      <c r="M62" s="282" t="inlineStr">
        <is>
          <t>–</t>
        </is>
      </c>
      <c r="N62" s="282" t="inlineStr">
        <is>
          <t>–</t>
        </is>
      </c>
      <c r="O62" s="282" t="inlineStr">
        <is>
          <t>–</t>
        </is>
      </c>
      <c r="P62" s="282" t="inlineStr">
        <is>
          <t>–</t>
        </is>
      </c>
      <c r="Q62" s="282" t="inlineStr">
        <is>
          <t>–</t>
        </is>
      </c>
      <c r="R62" s="282" t="inlineStr">
        <is>
          <t>–</t>
        </is>
      </c>
    </row>
    <row r="63">
      <c r="B63" s="328" t="inlineStr">
        <is>
          <t>CCC-implied: Utility vehicle (SUV) — 7+ years</t>
        </is>
      </c>
      <c r="C63" s="279" t="inlineStr">
        <is>
          <t>%</t>
        </is>
      </c>
      <c r="D63" s="282" t="inlineStr">
        <is>
          <t>–</t>
        </is>
      </c>
      <c r="E63" s="273">
        <f>SUMIFS('D CCC'!$K$5:$K$100,'D CCC'!$B$5:$B$100,E$3,'D CCC'!$C$5:$C$100,"Utility Vehicle",'D CCC'!$D$5:$D$100,3)</f>
        <v/>
      </c>
      <c r="F63" s="273">
        <f>SUMIFS('D CCC'!$K$5:$K$100,'D CCC'!$B$5:$B$100,F$3,'D CCC'!$C$5:$C$100,"Utility Vehicle",'D CCC'!$D$5:$D$100,3)</f>
        <v/>
      </c>
      <c r="G63" s="273">
        <f>SUMIFS('D CCC'!$K$5:$K$100,'D CCC'!$B$5:$B$100,G$3,'D CCC'!$C$5:$C$100,"Utility Vehicle",'D CCC'!$D$5:$D$100,3)</f>
        <v/>
      </c>
      <c r="H63" s="273">
        <f>SUMIFS('D CCC'!$K$5:$K$100,'D CCC'!$B$5:$B$100,H$3,'D CCC'!$C$5:$C$100,"Utility Vehicle",'D CCC'!$D$5:$D$100,3)</f>
        <v/>
      </c>
      <c r="I63" s="273">
        <f>SUMIFS('D CCC'!$K$5:$K$100,'D CCC'!$B$5:$B$100,I$3,'D CCC'!$C$5:$C$100,"Utility Vehicle",'D CCC'!$D$5:$D$100,3)</f>
        <v/>
      </c>
      <c r="J63" s="273">
        <f>SUMIFS('D CCC'!$K$5:$K$100,'D CCC'!$B$5:$B$100,J$3,'D CCC'!$C$5:$C$100,"Utility Vehicle",'D CCC'!$D$5:$D$100,3)</f>
        <v/>
      </c>
      <c r="K63" s="282" t="inlineStr">
        <is>
          <t>–</t>
        </is>
      </c>
      <c r="L63" s="282" t="inlineStr">
        <is>
          <t>–</t>
        </is>
      </c>
      <c r="M63" s="282" t="inlineStr">
        <is>
          <t>–</t>
        </is>
      </c>
      <c r="N63" s="282" t="inlineStr">
        <is>
          <t>–</t>
        </is>
      </c>
      <c r="O63" s="282" t="inlineStr">
        <is>
          <t>–</t>
        </is>
      </c>
      <c r="P63" s="282" t="inlineStr">
        <is>
          <t>–</t>
        </is>
      </c>
      <c r="Q63" s="282" t="inlineStr">
        <is>
          <t>–</t>
        </is>
      </c>
      <c r="R63" s="282" t="inlineStr">
        <is>
          <t>–</t>
        </is>
      </c>
    </row>
    <row r="64">
      <c r="B64" s="254" t="inlineStr">
        <is>
          <t>CCC-implied: Pickup — 0 (current or newer)</t>
        </is>
      </c>
      <c r="C64" s="279" t="inlineStr">
        <is>
          <t>%</t>
        </is>
      </c>
      <c r="D64" s="282" t="inlineStr">
        <is>
          <t>–</t>
        </is>
      </c>
      <c r="E64" s="273">
        <f>SUMIFS('D CCC'!$K$5:$K$100,'D CCC'!$B$5:$B$100,E$3,'D CCC'!$C$5:$C$100,"Pickup",'D CCC'!$D$5:$D$100,0)</f>
        <v/>
      </c>
      <c r="F64" s="273">
        <f>SUMIFS('D CCC'!$K$5:$K$100,'D CCC'!$B$5:$B$100,F$3,'D CCC'!$C$5:$C$100,"Pickup",'D CCC'!$D$5:$D$100,0)</f>
        <v/>
      </c>
      <c r="G64" s="273">
        <f>SUMIFS('D CCC'!$K$5:$K$100,'D CCC'!$B$5:$B$100,G$3,'D CCC'!$C$5:$C$100,"Pickup",'D CCC'!$D$5:$D$100,0)</f>
        <v/>
      </c>
      <c r="H64" s="273">
        <f>SUMIFS('D CCC'!$K$5:$K$100,'D CCC'!$B$5:$B$100,H$3,'D CCC'!$C$5:$C$100,"Pickup",'D CCC'!$D$5:$D$100,0)</f>
        <v/>
      </c>
      <c r="I64" s="273">
        <f>SUMIFS('D CCC'!$K$5:$K$100,'D CCC'!$B$5:$B$100,I$3,'D CCC'!$C$5:$C$100,"Pickup",'D CCC'!$D$5:$D$100,0)</f>
        <v/>
      </c>
      <c r="J64" s="273">
        <f>SUMIFS('D CCC'!$K$5:$K$100,'D CCC'!$B$5:$B$100,J$3,'D CCC'!$C$5:$C$100,"Pickup",'D CCC'!$D$5:$D$100,0)</f>
        <v/>
      </c>
      <c r="K64" s="282" t="inlineStr">
        <is>
          <t>–</t>
        </is>
      </c>
      <c r="L64" s="282" t="inlineStr">
        <is>
          <t>–</t>
        </is>
      </c>
      <c r="M64" s="282" t="inlineStr">
        <is>
          <t>–</t>
        </is>
      </c>
      <c r="N64" s="282" t="inlineStr">
        <is>
          <t>–</t>
        </is>
      </c>
      <c r="O64" s="282" t="inlineStr">
        <is>
          <t>–</t>
        </is>
      </c>
      <c r="P64" s="282" t="inlineStr">
        <is>
          <t>–</t>
        </is>
      </c>
      <c r="Q64" s="282" t="inlineStr">
        <is>
          <t>–</t>
        </is>
      </c>
      <c r="R64" s="282" t="inlineStr">
        <is>
          <t>–</t>
        </is>
      </c>
    </row>
    <row r="65">
      <c r="B65" s="328" t="inlineStr">
        <is>
          <t>CCC-implied: Pickup — 1–3 years</t>
        </is>
      </c>
      <c r="C65" s="279" t="inlineStr">
        <is>
          <t>%</t>
        </is>
      </c>
      <c r="D65" s="282" t="inlineStr">
        <is>
          <t>–</t>
        </is>
      </c>
      <c r="E65" s="273">
        <f>SUMIFS('D CCC'!$K$5:$K$100,'D CCC'!$B$5:$B$100,E$3,'D CCC'!$C$5:$C$100,"Pickup",'D CCC'!$D$5:$D$100,1)</f>
        <v/>
      </c>
      <c r="F65" s="273">
        <f>SUMIFS('D CCC'!$K$5:$K$100,'D CCC'!$B$5:$B$100,F$3,'D CCC'!$C$5:$C$100,"Pickup",'D CCC'!$D$5:$D$100,1)</f>
        <v/>
      </c>
      <c r="G65" s="273">
        <f>SUMIFS('D CCC'!$K$5:$K$100,'D CCC'!$B$5:$B$100,G$3,'D CCC'!$C$5:$C$100,"Pickup",'D CCC'!$D$5:$D$100,1)</f>
        <v/>
      </c>
      <c r="H65" s="273">
        <f>SUMIFS('D CCC'!$K$5:$K$100,'D CCC'!$B$5:$B$100,H$3,'D CCC'!$C$5:$C$100,"Pickup",'D CCC'!$D$5:$D$100,1)</f>
        <v/>
      </c>
      <c r="I65" s="273">
        <f>SUMIFS('D CCC'!$K$5:$K$100,'D CCC'!$B$5:$B$100,I$3,'D CCC'!$C$5:$C$100,"Pickup",'D CCC'!$D$5:$D$100,1)</f>
        <v/>
      </c>
      <c r="J65" s="273">
        <f>SUMIFS('D CCC'!$K$5:$K$100,'D CCC'!$B$5:$B$100,J$3,'D CCC'!$C$5:$C$100,"Pickup",'D CCC'!$D$5:$D$100,1)</f>
        <v/>
      </c>
      <c r="K65" s="282" t="inlineStr">
        <is>
          <t>–</t>
        </is>
      </c>
      <c r="L65" s="282" t="inlineStr">
        <is>
          <t>–</t>
        </is>
      </c>
      <c r="M65" s="282" t="inlineStr">
        <is>
          <t>–</t>
        </is>
      </c>
      <c r="N65" s="282" t="inlineStr">
        <is>
          <t>–</t>
        </is>
      </c>
      <c r="O65" s="282" t="inlineStr">
        <is>
          <t>–</t>
        </is>
      </c>
      <c r="P65" s="282" t="inlineStr">
        <is>
          <t>–</t>
        </is>
      </c>
      <c r="Q65" s="282" t="inlineStr">
        <is>
          <t>–</t>
        </is>
      </c>
      <c r="R65" s="282" t="inlineStr">
        <is>
          <t>–</t>
        </is>
      </c>
    </row>
    <row r="66">
      <c r="B66" s="328" t="inlineStr">
        <is>
          <t>CCC-implied: Pickup — 4–6 years</t>
        </is>
      </c>
      <c r="C66" s="279" t="inlineStr">
        <is>
          <t>%</t>
        </is>
      </c>
      <c r="D66" s="282" t="inlineStr">
        <is>
          <t>–</t>
        </is>
      </c>
      <c r="E66" s="273">
        <f>SUMIFS('D CCC'!$K$5:$K$100,'D CCC'!$B$5:$B$100,E$3,'D CCC'!$C$5:$C$100,"Pickup",'D CCC'!$D$5:$D$100,2)</f>
        <v/>
      </c>
      <c r="F66" s="273">
        <f>SUMIFS('D CCC'!$K$5:$K$100,'D CCC'!$B$5:$B$100,F$3,'D CCC'!$C$5:$C$100,"Pickup",'D CCC'!$D$5:$D$100,2)</f>
        <v/>
      </c>
      <c r="G66" s="273">
        <f>SUMIFS('D CCC'!$K$5:$K$100,'D CCC'!$B$5:$B$100,G$3,'D CCC'!$C$5:$C$100,"Pickup",'D CCC'!$D$5:$D$100,2)</f>
        <v/>
      </c>
      <c r="H66" s="273">
        <f>SUMIFS('D CCC'!$K$5:$K$100,'D CCC'!$B$5:$B$100,H$3,'D CCC'!$C$5:$C$100,"Pickup",'D CCC'!$D$5:$D$100,2)</f>
        <v/>
      </c>
      <c r="I66" s="273">
        <f>SUMIFS('D CCC'!$K$5:$K$100,'D CCC'!$B$5:$B$100,I$3,'D CCC'!$C$5:$C$100,"Pickup",'D CCC'!$D$5:$D$100,2)</f>
        <v/>
      </c>
      <c r="J66" s="273">
        <f>SUMIFS('D CCC'!$K$5:$K$100,'D CCC'!$B$5:$B$100,J$3,'D CCC'!$C$5:$C$100,"Pickup",'D CCC'!$D$5:$D$100,2)</f>
        <v/>
      </c>
      <c r="K66" s="282" t="inlineStr">
        <is>
          <t>–</t>
        </is>
      </c>
      <c r="L66" s="282" t="inlineStr">
        <is>
          <t>–</t>
        </is>
      </c>
      <c r="M66" s="282" t="inlineStr">
        <is>
          <t>–</t>
        </is>
      </c>
      <c r="N66" s="282" t="inlineStr">
        <is>
          <t>–</t>
        </is>
      </c>
      <c r="O66" s="282" t="inlineStr">
        <is>
          <t>–</t>
        </is>
      </c>
      <c r="P66" s="282" t="inlineStr">
        <is>
          <t>–</t>
        </is>
      </c>
      <c r="Q66" s="282" t="inlineStr">
        <is>
          <t>–</t>
        </is>
      </c>
      <c r="R66" s="282" t="inlineStr">
        <is>
          <t>–</t>
        </is>
      </c>
    </row>
    <row r="67">
      <c r="B67" s="328" t="inlineStr">
        <is>
          <t>CCC-implied: Pickup — 7+ years</t>
        </is>
      </c>
      <c r="C67" s="279" t="inlineStr">
        <is>
          <t>%</t>
        </is>
      </c>
      <c r="D67" s="282" t="inlineStr">
        <is>
          <t>–</t>
        </is>
      </c>
      <c r="E67" s="273">
        <f>SUMIFS('D CCC'!$K$5:$K$100,'D CCC'!$B$5:$B$100,E$3,'D CCC'!$C$5:$C$100,"Pickup",'D CCC'!$D$5:$D$100,3)</f>
        <v/>
      </c>
      <c r="F67" s="273">
        <f>SUMIFS('D CCC'!$K$5:$K$100,'D CCC'!$B$5:$B$100,F$3,'D CCC'!$C$5:$C$100,"Pickup",'D CCC'!$D$5:$D$100,3)</f>
        <v/>
      </c>
      <c r="G67" s="273">
        <f>SUMIFS('D CCC'!$K$5:$K$100,'D CCC'!$B$5:$B$100,G$3,'D CCC'!$C$5:$C$100,"Pickup",'D CCC'!$D$5:$D$100,3)</f>
        <v/>
      </c>
      <c r="H67" s="273">
        <f>SUMIFS('D CCC'!$K$5:$K$100,'D CCC'!$B$5:$B$100,H$3,'D CCC'!$C$5:$C$100,"Pickup",'D CCC'!$D$5:$D$100,3)</f>
        <v/>
      </c>
      <c r="I67" s="273">
        <f>SUMIFS('D CCC'!$K$5:$K$100,'D CCC'!$B$5:$B$100,I$3,'D CCC'!$C$5:$C$100,"Pickup",'D CCC'!$D$5:$D$100,3)</f>
        <v/>
      </c>
      <c r="J67" s="273">
        <f>SUMIFS('D CCC'!$K$5:$K$100,'D CCC'!$B$5:$B$100,J$3,'D CCC'!$C$5:$C$100,"Pickup",'D CCC'!$D$5:$D$100,3)</f>
        <v/>
      </c>
      <c r="K67" s="282" t="inlineStr">
        <is>
          <t>–</t>
        </is>
      </c>
      <c r="L67" s="282" t="inlineStr">
        <is>
          <t>–</t>
        </is>
      </c>
      <c r="M67" s="282" t="inlineStr">
        <is>
          <t>–</t>
        </is>
      </c>
      <c r="N67" s="282" t="inlineStr">
        <is>
          <t>–</t>
        </is>
      </c>
      <c r="O67" s="282" t="inlineStr">
        <is>
          <t>–</t>
        </is>
      </c>
      <c r="P67" s="282" t="inlineStr">
        <is>
          <t>–</t>
        </is>
      </c>
      <c r="Q67" s="282" t="inlineStr">
        <is>
          <t>–</t>
        </is>
      </c>
      <c r="R67" s="282" t="inlineStr">
        <is>
          <t>–</t>
        </is>
      </c>
    </row>
    <row r="68">
      <c r="B68" s="254" t="inlineStr">
        <is>
          <t>CCC-implied: Van / minivan — 0 (current or newer)</t>
        </is>
      </c>
      <c r="C68" s="279" t="inlineStr">
        <is>
          <t>%</t>
        </is>
      </c>
      <c r="D68" s="282" t="inlineStr">
        <is>
          <t>–</t>
        </is>
      </c>
      <c r="E68" s="273">
        <f>SUMIFS('D CCC'!$K$5:$K$100,'D CCC'!$B$5:$B$100,E$3,'D CCC'!$C$5:$C$100,"Van",'D CCC'!$D$5:$D$100,0)</f>
        <v/>
      </c>
      <c r="F68" s="273">
        <f>SUMIFS('D CCC'!$K$5:$K$100,'D CCC'!$B$5:$B$100,F$3,'D CCC'!$C$5:$C$100,"Van",'D CCC'!$D$5:$D$100,0)</f>
        <v/>
      </c>
      <c r="G68" s="273">
        <f>SUMIFS('D CCC'!$K$5:$K$100,'D CCC'!$B$5:$B$100,G$3,'D CCC'!$C$5:$C$100,"Van",'D CCC'!$D$5:$D$100,0)</f>
        <v/>
      </c>
      <c r="H68" s="273">
        <f>SUMIFS('D CCC'!$K$5:$K$100,'D CCC'!$B$5:$B$100,H$3,'D CCC'!$C$5:$C$100,"Van",'D CCC'!$D$5:$D$100,0)</f>
        <v/>
      </c>
      <c r="I68" s="273">
        <f>SUMIFS('D CCC'!$K$5:$K$100,'D CCC'!$B$5:$B$100,I$3,'D CCC'!$C$5:$C$100,"Van",'D CCC'!$D$5:$D$100,0)</f>
        <v/>
      </c>
      <c r="J68" s="273">
        <f>SUMIFS('D CCC'!$K$5:$K$100,'D CCC'!$B$5:$B$100,J$3,'D CCC'!$C$5:$C$100,"Van",'D CCC'!$D$5:$D$100,0)</f>
        <v/>
      </c>
      <c r="K68" s="282" t="inlineStr">
        <is>
          <t>–</t>
        </is>
      </c>
      <c r="L68" s="282" t="inlineStr">
        <is>
          <t>–</t>
        </is>
      </c>
      <c r="M68" s="282" t="inlineStr">
        <is>
          <t>–</t>
        </is>
      </c>
      <c r="N68" s="282" t="inlineStr">
        <is>
          <t>–</t>
        </is>
      </c>
      <c r="O68" s="282" t="inlineStr">
        <is>
          <t>–</t>
        </is>
      </c>
      <c r="P68" s="282" t="inlineStr">
        <is>
          <t>–</t>
        </is>
      </c>
      <c r="Q68" s="282" t="inlineStr">
        <is>
          <t>–</t>
        </is>
      </c>
      <c r="R68" s="282" t="inlineStr">
        <is>
          <t>–</t>
        </is>
      </c>
    </row>
    <row r="69">
      <c r="B69" s="328" t="inlineStr">
        <is>
          <t>CCC-implied: Van / minivan — 1–3 years</t>
        </is>
      </c>
      <c r="C69" s="279" t="inlineStr">
        <is>
          <t>%</t>
        </is>
      </c>
      <c r="D69" s="282" t="inlineStr">
        <is>
          <t>–</t>
        </is>
      </c>
      <c r="E69" s="273">
        <f>SUMIFS('D CCC'!$K$5:$K$100,'D CCC'!$B$5:$B$100,E$3,'D CCC'!$C$5:$C$100,"Van",'D CCC'!$D$5:$D$100,1)</f>
        <v/>
      </c>
      <c r="F69" s="273">
        <f>SUMIFS('D CCC'!$K$5:$K$100,'D CCC'!$B$5:$B$100,F$3,'D CCC'!$C$5:$C$100,"Van",'D CCC'!$D$5:$D$100,1)</f>
        <v/>
      </c>
      <c r="G69" s="273">
        <f>SUMIFS('D CCC'!$K$5:$K$100,'D CCC'!$B$5:$B$100,G$3,'D CCC'!$C$5:$C$100,"Van",'D CCC'!$D$5:$D$100,1)</f>
        <v/>
      </c>
      <c r="H69" s="273">
        <f>SUMIFS('D CCC'!$K$5:$K$100,'D CCC'!$B$5:$B$100,H$3,'D CCC'!$C$5:$C$100,"Van",'D CCC'!$D$5:$D$100,1)</f>
        <v/>
      </c>
      <c r="I69" s="273">
        <f>SUMIFS('D CCC'!$K$5:$K$100,'D CCC'!$B$5:$B$100,I$3,'D CCC'!$C$5:$C$100,"Van",'D CCC'!$D$5:$D$100,1)</f>
        <v/>
      </c>
      <c r="J69" s="273">
        <f>SUMIFS('D CCC'!$K$5:$K$100,'D CCC'!$B$5:$B$100,J$3,'D CCC'!$C$5:$C$100,"Van",'D CCC'!$D$5:$D$100,1)</f>
        <v/>
      </c>
      <c r="K69" s="282" t="inlineStr">
        <is>
          <t>–</t>
        </is>
      </c>
      <c r="L69" s="282" t="inlineStr">
        <is>
          <t>–</t>
        </is>
      </c>
      <c r="M69" s="282" t="inlineStr">
        <is>
          <t>–</t>
        </is>
      </c>
      <c r="N69" s="282" t="inlineStr">
        <is>
          <t>–</t>
        </is>
      </c>
      <c r="O69" s="282" t="inlineStr">
        <is>
          <t>–</t>
        </is>
      </c>
      <c r="P69" s="282" t="inlineStr">
        <is>
          <t>–</t>
        </is>
      </c>
      <c r="Q69" s="282" t="inlineStr">
        <is>
          <t>–</t>
        </is>
      </c>
      <c r="R69" s="282" t="inlineStr">
        <is>
          <t>–</t>
        </is>
      </c>
    </row>
    <row r="70">
      <c r="B70" s="328" t="inlineStr">
        <is>
          <t>CCC-implied: Van / minivan — 4–6 years</t>
        </is>
      </c>
      <c r="C70" s="279" t="inlineStr">
        <is>
          <t>%</t>
        </is>
      </c>
      <c r="D70" s="282" t="inlineStr">
        <is>
          <t>–</t>
        </is>
      </c>
      <c r="E70" s="273">
        <f>SUMIFS('D CCC'!$K$5:$K$100,'D CCC'!$B$5:$B$100,E$3,'D CCC'!$C$5:$C$100,"Van",'D CCC'!$D$5:$D$100,2)</f>
        <v/>
      </c>
      <c r="F70" s="273">
        <f>SUMIFS('D CCC'!$K$5:$K$100,'D CCC'!$B$5:$B$100,F$3,'D CCC'!$C$5:$C$100,"Van",'D CCC'!$D$5:$D$100,2)</f>
        <v/>
      </c>
      <c r="G70" s="273">
        <f>SUMIFS('D CCC'!$K$5:$K$100,'D CCC'!$B$5:$B$100,G$3,'D CCC'!$C$5:$C$100,"Van",'D CCC'!$D$5:$D$100,2)</f>
        <v/>
      </c>
      <c r="H70" s="273">
        <f>SUMIFS('D CCC'!$K$5:$K$100,'D CCC'!$B$5:$B$100,H$3,'D CCC'!$C$5:$C$100,"Van",'D CCC'!$D$5:$D$100,2)</f>
        <v/>
      </c>
      <c r="I70" s="273">
        <f>SUMIFS('D CCC'!$K$5:$K$100,'D CCC'!$B$5:$B$100,I$3,'D CCC'!$C$5:$C$100,"Van",'D CCC'!$D$5:$D$100,2)</f>
        <v/>
      </c>
      <c r="J70" s="273">
        <f>SUMIFS('D CCC'!$K$5:$K$100,'D CCC'!$B$5:$B$100,J$3,'D CCC'!$C$5:$C$100,"Van",'D CCC'!$D$5:$D$100,2)</f>
        <v/>
      </c>
      <c r="K70" s="282" t="inlineStr">
        <is>
          <t>–</t>
        </is>
      </c>
      <c r="L70" s="282" t="inlineStr">
        <is>
          <t>–</t>
        </is>
      </c>
      <c r="M70" s="282" t="inlineStr">
        <is>
          <t>–</t>
        </is>
      </c>
      <c r="N70" s="282" t="inlineStr">
        <is>
          <t>–</t>
        </is>
      </c>
      <c r="O70" s="282" t="inlineStr">
        <is>
          <t>–</t>
        </is>
      </c>
      <c r="P70" s="282" t="inlineStr">
        <is>
          <t>–</t>
        </is>
      </c>
      <c r="Q70" s="282" t="inlineStr">
        <is>
          <t>–</t>
        </is>
      </c>
      <c r="R70" s="282" t="inlineStr">
        <is>
          <t>–</t>
        </is>
      </c>
    </row>
    <row r="71">
      <c r="B71" s="328" t="inlineStr">
        <is>
          <t>CCC-implied: Van / minivan — 7+ years</t>
        </is>
      </c>
      <c r="C71" s="279" t="inlineStr">
        <is>
          <t>%</t>
        </is>
      </c>
      <c r="D71" s="282" t="inlineStr">
        <is>
          <t>–</t>
        </is>
      </c>
      <c r="E71" s="273">
        <f>SUMIFS('D CCC'!$K$5:$K$100,'D CCC'!$B$5:$B$100,E$3,'D CCC'!$C$5:$C$100,"Van",'D CCC'!$D$5:$D$100,3)</f>
        <v/>
      </c>
      <c r="F71" s="273">
        <f>SUMIFS('D CCC'!$K$5:$K$100,'D CCC'!$B$5:$B$100,F$3,'D CCC'!$C$5:$C$100,"Van",'D CCC'!$D$5:$D$100,3)</f>
        <v/>
      </c>
      <c r="G71" s="273">
        <f>SUMIFS('D CCC'!$K$5:$K$100,'D CCC'!$B$5:$B$100,G$3,'D CCC'!$C$5:$C$100,"Van",'D CCC'!$D$5:$D$100,3)</f>
        <v/>
      </c>
      <c r="H71" s="273">
        <f>SUMIFS('D CCC'!$K$5:$K$100,'D CCC'!$B$5:$B$100,H$3,'D CCC'!$C$5:$C$100,"Van",'D CCC'!$D$5:$D$100,3)</f>
        <v/>
      </c>
      <c r="I71" s="273">
        <f>SUMIFS('D CCC'!$K$5:$K$100,'D CCC'!$B$5:$B$100,I$3,'D CCC'!$C$5:$C$100,"Van",'D CCC'!$D$5:$D$100,3)</f>
        <v/>
      </c>
      <c r="J71" s="273">
        <f>SUMIFS('D CCC'!$K$5:$K$100,'D CCC'!$B$5:$B$100,J$3,'D CCC'!$C$5:$C$100,"Van",'D CCC'!$D$5:$D$100,3)</f>
        <v/>
      </c>
      <c r="K71" s="282" t="inlineStr">
        <is>
          <t>–</t>
        </is>
      </c>
      <c r="L71" s="282" t="inlineStr">
        <is>
          <t>–</t>
        </is>
      </c>
      <c r="M71" s="282" t="inlineStr">
        <is>
          <t>–</t>
        </is>
      </c>
      <c r="N71" s="282" t="inlineStr">
        <is>
          <t>–</t>
        </is>
      </c>
      <c r="O71" s="282" t="inlineStr">
        <is>
          <t>–</t>
        </is>
      </c>
      <c r="P71" s="282" t="inlineStr">
        <is>
          <t>–</t>
        </is>
      </c>
      <c r="Q71" s="282" t="inlineStr">
        <is>
          <t>–</t>
        </is>
      </c>
      <c r="R71" s="282" t="inlineStr">
        <is>
          <t>–</t>
        </is>
      </c>
    </row>
    <row r="73">
      <c r="B73" s="274" t="inlineStr">
        <is>
          <t>Gap, body total: Car (model − CCC)</t>
        </is>
      </c>
      <c r="C73" s="279" t="inlineStr">
        <is>
          <t>pp</t>
        </is>
      </c>
      <c r="D73" s="282" t="inlineStr">
        <is>
          <t>–</t>
        </is>
      </c>
      <c r="E73" s="327">
        <f>SUM(E40:E43)-SUM(E56:E59)</f>
        <v/>
      </c>
      <c r="F73" s="327">
        <f>SUM(F40:F43)-SUM(F56:F59)</f>
        <v/>
      </c>
      <c r="G73" s="327">
        <f>SUM(G40:G43)-SUM(G56:G59)</f>
        <v/>
      </c>
      <c r="H73" s="327">
        <f>SUM(H40:H43)-SUM(H56:H59)</f>
        <v/>
      </c>
      <c r="I73" s="327">
        <f>SUM(I40:I43)-SUM(I56:I59)</f>
        <v/>
      </c>
      <c r="J73" s="327">
        <f>SUM(J40:J43)-SUM(J56:J59)</f>
        <v/>
      </c>
      <c r="K73" s="282" t="inlineStr">
        <is>
          <t>–</t>
        </is>
      </c>
      <c r="L73" s="282" t="inlineStr">
        <is>
          <t>–</t>
        </is>
      </c>
      <c r="M73" s="282" t="inlineStr">
        <is>
          <t>–</t>
        </is>
      </c>
      <c r="N73" s="282" t="inlineStr">
        <is>
          <t>–</t>
        </is>
      </c>
      <c r="O73" s="282" t="inlineStr">
        <is>
          <t>–</t>
        </is>
      </c>
      <c r="P73" s="282" t="inlineStr">
        <is>
          <t>–</t>
        </is>
      </c>
      <c r="Q73" s="282" t="inlineStr">
        <is>
          <t>–</t>
        </is>
      </c>
      <c r="R73" s="282" t="inlineStr">
        <is>
          <t>–</t>
        </is>
      </c>
    </row>
    <row r="74">
      <c r="B74" s="274" t="inlineStr">
        <is>
          <t>Gap, body total: Utility vehicle (SUV) (model − CCC)</t>
        </is>
      </c>
      <c r="C74" s="279" t="inlineStr">
        <is>
          <t>pp</t>
        </is>
      </c>
      <c r="D74" s="282" t="inlineStr">
        <is>
          <t>–</t>
        </is>
      </c>
      <c r="E74" s="327">
        <f>SUM(E44:E47)-SUM(E60:E63)</f>
        <v/>
      </c>
      <c r="F74" s="327">
        <f>SUM(F44:F47)-SUM(F60:F63)</f>
        <v/>
      </c>
      <c r="G74" s="327">
        <f>SUM(G44:G47)-SUM(G60:G63)</f>
        <v/>
      </c>
      <c r="H74" s="327">
        <f>SUM(H44:H47)-SUM(H60:H63)</f>
        <v/>
      </c>
      <c r="I74" s="327">
        <f>SUM(I44:I47)-SUM(I60:I63)</f>
        <v/>
      </c>
      <c r="J74" s="327">
        <f>SUM(J44:J47)-SUM(J60:J63)</f>
        <v/>
      </c>
      <c r="K74" s="282" t="inlineStr">
        <is>
          <t>–</t>
        </is>
      </c>
      <c r="L74" s="282" t="inlineStr">
        <is>
          <t>–</t>
        </is>
      </c>
      <c r="M74" s="282" t="inlineStr">
        <is>
          <t>–</t>
        </is>
      </c>
      <c r="N74" s="282" t="inlineStr">
        <is>
          <t>–</t>
        </is>
      </c>
      <c r="O74" s="282" t="inlineStr">
        <is>
          <t>–</t>
        </is>
      </c>
      <c r="P74" s="282" t="inlineStr">
        <is>
          <t>–</t>
        </is>
      </c>
      <c r="Q74" s="282" t="inlineStr">
        <is>
          <t>–</t>
        </is>
      </c>
      <c r="R74" s="282" t="inlineStr">
        <is>
          <t>–</t>
        </is>
      </c>
    </row>
    <row r="75">
      <c r="B75" s="274" t="inlineStr">
        <is>
          <t>Gap, body total: Pickup (model − CCC)</t>
        </is>
      </c>
      <c r="C75" s="279" t="inlineStr">
        <is>
          <t>pp</t>
        </is>
      </c>
      <c r="D75" s="282" t="inlineStr">
        <is>
          <t>–</t>
        </is>
      </c>
      <c r="E75" s="327">
        <f>SUM(E48:E51)-SUM(E64:E67)</f>
        <v/>
      </c>
      <c r="F75" s="327">
        <f>SUM(F48:F51)-SUM(F64:F67)</f>
        <v/>
      </c>
      <c r="G75" s="327">
        <f>SUM(G48:G51)-SUM(G64:G67)</f>
        <v/>
      </c>
      <c r="H75" s="327">
        <f>SUM(H48:H51)-SUM(H64:H67)</f>
        <v/>
      </c>
      <c r="I75" s="327">
        <f>SUM(I48:I51)-SUM(I64:I67)</f>
        <v/>
      </c>
      <c r="J75" s="327">
        <f>SUM(J48:J51)-SUM(J64:J67)</f>
        <v/>
      </c>
      <c r="K75" s="282" t="inlineStr">
        <is>
          <t>–</t>
        </is>
      </c>
      <c r="L75" s="282" t="inlineStr">
        <is>
          <t>–</t>
        </is>
      </c>
      <c r="M75" s="282" t="inlineStr">
        <is>
          <t>–</t>
        </is>
      </c>
      <c r="N75" s="282" t="inlineStr">
        <is>
          <t>–</t>
        </is>
      </c>
      <c r="O75" s="282" t="inlineStr">
        <is>
          <t>–</t>
        </is>
      </c>
      <c r="P75" s="282" t="inlineStr">
        <is>
          <t>–</t>
        </is>
      </c>
      <c r="Q75" s="282" t="inlineStr">
        <is>
          <t>–</t>
        </is>
      </c>
      <c r="R75" s="282" t="inlineStr">
        <is>
          <t>–</t>
        </is>
      </c>
    </row>
    <row r="76">
      <c r="B76" s="274" t="inlineStr">
        <is>
          <t>Gap, body total: Van / minivan (model − CCC)</t>
        </is>
      </c>
      <c r="C76" s="279" t="inlineStr">
        <is>
          <t>pp</t>
        </is>
      </c>
      <c r="D76" s="282" t="inlineStr">
        <is>
          <t>–</t>
        </is>
      </c>
      <c r="E76" s="327">
        <f>SUM(E52:E55)-SUM(E68:E71)</f>
        <v/>
      </c>
      <c r="F76" s="327">
        <f>SUM(F52:F55)-SUM(F68:F71)</f>
        <v/>
      </c>
      <c r="G76" s="327">
        <f>SUM(G52:G55)-SUM(G68:G71)</f>
        <v/>
      </c>
      <c r="H76" s="327">
        <f>SUM(H52:H55)-SUM(H68:H71)</f>
        <v/>
      </c>
      <c r="I76" s="327">
        <f>SUM(I52:I55)-SUM(I68:I71)</f>
        <v/>
      </c>
      <c r="J76" s="327">
        <f>SUM(J52:J55)-SUM(J68:J71)</f>
        <v/>
      </c>
      <c r="K76" s="282" t="inlineStr">
        <is>
          <t>–</t>
        </is>
      </c>
      <c r="L76" s="282" t="inlineStr">
        <is>
          <t>–</t>
        </is>
      </c>
      <c r="M76" s="282" t="inlineStr">
        <is>
          <t>–</t>
        </is>
      </c>
      <c r="N76" s="282" t="inlineStr">
        <is>
          <t>–</t>
        </is>
      </c>
      <c r="O76" s="282" t="inlineStr">
        <is>
          <t>–</t>
        </is>
      </c>
      <c r="P76" s="282" t="inlineStr">
        <is>
          <t>–</t>
        </is>
      </c>
      <c r="Q76" s="282" t="inlineStr">
        <is>
          <t>–</t>
        </is>
      </c>
      <c r="R76" s="282" t="inlineStr">
        <is>
          <t>–</t>
        </is>
      </c>
    </row>
    <row r="77">
      <c r="B77" s="249" t="inlineStr">
        <is>
          <t>Largest single-cell gap, |model − CCC|</t>
        </is>
      </c>
      <c r="C77" s="279" t="inlineStr">
        <is>
          <t>pp</t>
        </is>
      </c>
      <c r="D77" s="282" t="inlineStr">
        <is>
          <t>–</t>
        </is>
      </c>
      <c r="E77" s="255">
        <f>MAX(ABS(E40-E56),ABS(E41-E57),ABS(E42-E58),ABS(E43-E59),ABS(E44-E60),ABS(E45-E61),ABS(E46-E62),ABS(E47-E63),ABS(E48-E64),ABS(E49-E65),ABS(E50-E66),ABS(E51-E67),ABS(E52-E68),ABS(E53-E69),ABS(E54-E70),ABS(E55-E71))</f>
        <v/>
      </c>
      <c r="F77" s="255">
        <f>MAX(ABS(F40-F56),ABS(F41-F57),ABS(F42-F58),ABS(F43-F59),ABS(F44-F60),ABS(F45-F61),ABS(F46-F62),ABS(F47-F63),ABS(F48-F64),ABS(F49-F65),ABS(F50-F66),ABS(F51-F67),ABS(F52-F68),ABS(F53-F69),ABS(F54-F70),ABS(F55-F71))</f>
        <v/>
      </c>
      <c r="G77" s="255">
        <f>MAX(ABS(G40-G56),ABS(G41-G57),ABS(G42-G58),ABS(G43-G59),ABS(G44-G60),ABS(G45-G61),ABS(G46-G62),ABS(G47-G63),ABS(G48-G64),ABS(G49-G65),ABS(G50-G66),ABS(G51-G67),ABS(G52-G68),ABS(G53-G69),ABS(G54-G70),ABS(G55-G71))</f>
        <v/>
      </c>
      <c r="H77" s="255">
        <f>MAX(ABS(H40-H56),ABS(H41-H57),ABS(H42-H58),ABS(H43-H59),ABS(H44-H60),ABS(H45-H61),ABS(H46-H62),ABS(H47-H63),ABS(H48-H64),ABS(H49-H65),ABS(H50-H66),ABS(H51-H67),ABS(H52-H68),ABS(H53-H69),ABS(H54-H70),ABS(H55-H71))</f>
        <v/>
      </c>
      <c r="I77" s="255">
        <f>MAX(ABS(I40-I56),ABS(I41-I57),ABS(I42-I58),ABS(I43-I59),ABS(I44-I60),ABS(I45-I61),ABS(I46-I62),ABS(I47-I63),ABS(I48-I64),ABS(I49-I65),ABS(I50-I66),ABS(I51-I67),ABS(I52-I68),ABS(I53-I69),ABS(I54-I70),ABS(I55-I71))</f>
        <v/>
      </c>
      <c r="J77" s="255">
        <f>MAX(ABS(J40-J56),ABS(J41-J57),ABS(J42-J58),ABS(J43-J59),ABS(J44-J60),ABS(J45-J61),ABS(J46-J62),ABS(J47-J63),ABS(J48-J64),ABS(J49-J65),ABS(J50-J66),ABS(J51-J67),ABS(J52-J68),ABS(J53-J69),ABS(J54-J70),ABS(J55-J71))</f>
        <v/>
      </c>
      <c r="K77" s="282" t="inlineStr">
        <is>
          <t>–</t>
        </is>
      </c>
      <c r="L77" s="282" t="inlineStr">
        <is>
          <t>–</t>
        </is>
      </c>
      <c r="M77" s="282" t="inlineStr">
        <is>
          <t>–</t>
        </is>
      </c>
      <c r="N77" s="282" t="inlineStr">
        <is>
          <t>–</t>
        </is>
      </c>
      <c r="O77" s="282" t="inlineStr">
        <is>
          <t>–</t>
        </is>
      </c>
      <c r="P77" s="282" t="inlineStr">
        <is>
          <t>–</t>
        </is>
      </c>
      <c r="Q77" s="282" t="inlineStr">
        <is>
          <t>–</t>
        </is>
      </c>
      <c r="R77" s="282" t="inlineStr">
        <is>
          <t>–</t>
        </is>
      </c>
    </row>
    <row r="80">
      <c r="B80" s="271" t="inlineStr">
        <is>
          <t>E. Checks</t>
        </is>
      </c>
      <c r="C80" s="272" t="n"/>
      <c r="D80" s="272" t="n"/>
      <c r="E80" s="272" t="n"/>
      <c r="F80" s="272" t="n"/>
      <c r="G80" s="272" t="n"/>
      <c r="H80" s="272" t="n"/>
      <c r="I80" s="272" t="n"/>
      <c r="J80" s="272" t="n"/>
      <c r="K80" s="272" t="n"/>
      <c r="L80" s="272" t="n"/>
      <c r="M80" s="272" t="n"/>
      <c r="N80" s="272" t="n"/>
      <c r="O80" s="272" t="n"/>
      <c r="P80" s="272" t="n"/>
      <c r="Q80" s="272" t="n"/>
      <c r="R80" s="272" t="n"/>
      <c r="S80" s="272" t="n"/>
    </row>
    <row r="81">
      <c r="B81" s="254" t="inlineStr">
        <is>
          <t>Total vehicles on the road, 2024 vs Experian anchor</t>
        </is>
      </c>
      <c r="C81" s="279" t="inlineStr">
        <is>
          <t>000s</t>
        </is>
      </c>
      <c r="D81" s="259">
        <f>I35</f>
        <v/>
      </c>
      <c r="E81" s="259">
        <f>$D$95</f>
        <v/>
      </c>
      <c r="F81" s="283">
        <f>D81/E81-1</f>
        <v/>
      </c>
      <c r="G81" s="249">
        <f>IF(ABS(F81)&lt;0.02,"PASS","FAIL")</f>
        <v/>
      </c>
      <c r="H81" s="282" t="inlineStr">
        <is>
          <t>–</t>
        </is>
      </c>
      <c r="I81" s="282" t="inlineStr">
        <is>
          <t>–</t>
        </is>
      </c>
      <c r="J81" s="282" t="inlineStr">
        <is>
          <t>–</t>
        </is>
      </c>
      <c r="K81" s="282" t="inlineStr">
        <is>
          <t>–</t>
        </is>
      </c>
      <c r="L81" s="282" t="inlineStr">
        <is>
          <t>–</t>
        </is>
      </c>
      <c r="M81" s="282" t="inlineStr">
        <is>
          <t>–</t>
        </is>
      </c>
      <c r="N81" s="282" t="inlineStr">
        <is>
          <t>–</t>
        </is>
      </c>
      <c r="O81" s="282" t="inlineStr">
        <is>
          <t>–</t>
        </is>
      </c>
      <c r="P81" s="252" t="inlineStr">
        <is>
          <t>Anchor in Inputs; the roll is fitted to it via m(2024), so this is a reproduction check, not validation</t>
        </is>
      </c>
      <c r="Q81" s="282" t="inlineStr">
        <is>
          <t>–</t>
        </is>
      </c>
      <c r="R81" s="282" t="inlineStr">
        <is>
          <t>–</t>
        </is>
      </c>
    </row>
    <row r="82">
      <c r="B82" s="254" t="inlineStr">
        <is>
          <t>Share aged 7+, 2024 vs S&amp;P anchor</t>
        </is>
      </c>
      <c r="C82" s="279" t="inlineStr">
        <is>
          <t>%</t>
        </is>
      </c>
      <c r="D82" s="283">
        <f>I36</f>
        <v/>
      </c>
      <c r="E82" s="283">
        <f>$D$96</f>
        <v/>
      </c>
      <c r="F82" s="283">
        <f>D82-E82</f>
        <v/>
      </c>
      <c r="G82" s="249">
        <f>IF(ABS(F82)&lt;0.02,"PASS","FAIL")</f>
        <v/>
      </c>
      <c r="H82" s="282" t="inlineStr">
        <is>
          <t>–</t>
        </is>
      </c>
      <c r="I82" s="282" t="inlineStr">
        <is>
          <t>–</t>
        </is>
      </c>
      <c r="J82" s="282" t="inlineStr">
        <is>
          <t>–</t>
        </is>
      </c>
      <c r="K82" s="282" t="inlineStr">
        <is>
          <t>–</t>
        </is>
      </c>
      <c r="L82" s="282" t="inlineStr">
        <is>
          <t>–</t>
        </is>
      </c>
      <c r="M82" s="282" t="inlineStr">
        <is>
          <t>–</t>
        </is>
      </c>
      <c r="N82" s="282" t="inlineStr">
        <is>
          <t>–</t>
        </is>
      </c>
      <c r="O82" s="282" t="inlineStr">
        <is>
          <t>–</t>
        </is>
      </c>
      <c r="P82" s="282" t="inlineStr">
        <is>
          <t>–</t>
        </is>
      </c>
      <c r="Q82" s="282" t="inlineStr">
        <is>
          <t>–</t>
        </is>
      </c>
      <c r="R82" s="282" t="inlineStr">
        <is>
          <t>–</t>
        </is>
      </c>
    </row>
    <row r="83">
      <c r="B83" s="254" t="inlineStr">
        <is>
          <t>Largest cell gap vs CCC claim mix, 2020–2025 (out of sample except body factors at 2025)</t>
        </is>
      </c>
      <c r="C83" s="279" t="inlineStr">
        <is>
          <t>pp</t>
        </is>
      </c>
      <c r="D83" s="283">
        <f>MAX(E77:J77)</f>
        <v/>
      </c>
      <c r="E83" s="282" t="inlineStr">
        <is>
          <t>–</t>
        </is>
      </c>
      <c r="F83" s="282" t="inlineStr">
        <is>
          <t>–</t>
        </is>
      </c>
      <c r="G83" s="249">
        <f>IF(D83&lt;0.035,"PASS","FAIL")</f>
        <v/>
      </c>
      <c r="H83" s="282" t="inlineStr">
        <is>
          <t>–</t>
        </is>
      </c>
      <c r="I83" s="282" t="inlineStr">
        <is>
          <t>–</t>
        </is>
      </c>
      <c r="J83" s="282" t="inlineStr">
        <is>
          <t>–</t>
        </is>
      </c>
      <c r="K83" s="282" t="inlineStr">
        <is>
          <t>–</t>
        </is>
      </c>
      <c r="L83" s="282" t="inlineStr">
        <is>
          <t>–</t>
        </is>
      </c>
      <c r="M83" s="282" t="inlineStr">
        <is>
          <t>–</t>
        </is>
      </c>
      <c r="N83" s="282" t="inlineStr">
        <is>
          <t>–</t>
        </is>
      </c>
      <c r="O83" s="282" t="inlineStr">
        <is>
          <t>–</t>
        </is>
      </c>
      <c r="P83" s="252" t="inlineStr">
        <is>
          <t>PASS if every cell within 3.5 points and 2025 within 2.5; see docs/source_trace_2026-10-01/FLEET_VS_CCC.md</t>
        </is>
      </c>
      <c r="Q83" s="282" t="inlineStr">
        <is>
          <t>–</t>
        </is>
      </c>
      <c r="R83" s="282" t="inlineStr">
        <is>
          <t>–</t>
        </is>
      </c>
    </row>
    <row r="84">
      <c r="B84" s="254" t="inlineStr">
        <is>
          <t>Largest body-total gap, 2020–2024 (body factors fitted on 2025 only)</t>
        </is>
      </c>
      <c r="C84" s="279" t="inlineStr">
        <is>
          <t>pp</t>
        </is>
      </c>
      <c r="D84" s="283">
        <f>MAX(ABS(E73),ABS(E74),ABS(E75),ABS(E76),ABS(F73),ABS(F74),ABS(F75),ABS(F76),ABS(G73),ABS(G74),ABS(G75),ABS(G76),ABS(H73),ABS(H74),ABS(H75),ABS(H76),ABS(I73),ABS(I74),ABS(I75),ABS(I76))</f>
        <v/>
      </c>
      <c r="E84" s="282" t="inlineStr">
        <is>
          <t>–</t>
        </is>
      </c>
      <c r="F84" s="282" t="inlineStr">
        <is>
          <t>–</t>
        </is>
      </c>
      <c r="G84" s="249">
        <f>IF(D84&lt;0.015,"PASS","FAIL")</f>
        <v/>
      </c>
      <c r="H84" s="282" t="inlineStr">
        <is>
          <t>–</t>
        </is>
      </c>
      <c r="I84" s="282" t="inlineStr">
        <is>
          <t>–</t>
        </is>
      </c>
      <c r="J84" s="282" t="inlineStr">
        <is>
          <t>–</t>
        </is>
      </c>
      <c r="K84" s="282" t="inlineStr">
        <is>
          <t>–</t>
        </is>
      </c>
      <c r="L84" s="282" t="inlineStr">
        <is>
          <t>–</t>
        </is>
      </c>
      <c r="M84" s="282" t="inlineStr">
        <is>
          <t>–</t>
        </is>
      </c>
      <c r="N84" s="282" t="inlineStr">
        <is>
          <t>–</t>
        </is>
      </c>
      <c r="O84" s="282" t="inlineStr">
        <is>
          <t>–</t>
        </is>
      </c>
      <c r="P84" s="282" t="inlineStr">
        <is>
          <t>–</t>
        </is>
      </c>
      <c r="Q84" s="282" t="inlineStr">
        <is>
          <t>–</t>
        </is>
      </c>
      <c r="R84" s="282" t="inlineStr">
        <is>
          <t>–</t>
        </is>
      </c>
    </row>
    <row r="86">
      <c r="B86" s="252" t="inlineStr">
        <is>
          <t>Feeds →  E2 Claims &amp; Totals (vehicles by band × body, rows 19–34, mapped to fiscal quarters)</t>
        </is>
      </c>
    </row>
    <row r="88">
      <c r="B88" s="246" t="inlineStr">
        <is>
          <t>Inputs  (blue = typed value; every number here carries a label and a source)</t>
        </is>
      </c>
      <c r="C88" s="247" t="n"/>
      <c r="D88" s="248" t="inlineStr">
        <is>
          <t>Value</t>
        </is>
      </c>
      <c r="E88" s="248" t="inlineStr">
        <is>
          <t>Label</t>
        </is>
      </c>
      <c r="F88" s="247" t="n"/>
      <c r="G88" s="247" t="n"/>
      <c r="H88" s="247" t="n"/>
      <c r="I88" s="247" t="n"/>
      <c r="J88" s="247" t="n"/>
      <c r="K88" s="247" t="n"/>
      <c r="L88" s="247" t="n"/>
      <c r="M88" s="247" t="n"/>
      <c r="N88" s="247" t="n"/>
      <c r="O88" s="247" t="n"/>
      <c r="P88" s="247" t="n"/>
      <c r="Q88" s="247" t="n"/>
      <c r="R88" s="247" t="n"/>
      <c r="S88" s="247" t="n"/>
    </row>
    <row r="89">
      <c r="B89" s="254" t="inlineStr">
        <is>
          <t>k_cars(2013): survival stretch, cars</t>
        </is>
      </c>
      <c r="D89" s="330" t="n">
        <v>1.064</v>
      </c>
      <c r="E89" s="252" t="inlineStr">
        <is>
          <t>FITTED</t>
        </is>
      </c>
      <c r="F89" s="282" t="inlineStr">
        <is>
          <t>–</t>
        </is>
      </c>
      <c r="G89" s="282" t="inlineStr">
        <is>
          <t>–</t>
        </is>
      </c>
      <c r="H89" s="282" t="inlineStr">
        <is>
          <t>–</t>
        </is>
      </c>
      <c r="I89" s="282" t="inlineStr">
        <is>
          <t>–</t>
        </is>
      </c>
      <c r="J89" s="282" t="inlineStr">
        <is>
          <t>–</t>
        </is>
      </c>
      <c r="K89" s="282" t="inlineStr">
        <is>
          <t>–</t>
        </is>
      </c>
      <c r="L89" s="282" t="inlineStr">
        <is>
          <t>–</t>
        </is>
      </c>
      <c r="M89" s="282" t="inlineStr">
        <is>
          <t>–</t>
        </is>
      </c>
      <c r="N89" s="282" t="inlineStr">
        <is>
          <t>–</t>
        </is>
      </c>
      <c r="O89" s="282" t="inlineStr">
        <is>
          <t>–</t>
        </is>
      </c>
      <c r="P89" s="252" t="inlineStr">
        <is>
          <t>docs/AGE_CURVES.md §2.3 — reproduces IHS 2013 census of cars by age (ORNL Table 3.11)</t>
        </is>
      </c>
      <c r="Q89" s="282" t="inlineStr">
        <is>
          <t>–</t>
        </is>
      </c>
      <c r="R89" s="282" t="inlineStr">
        <is>
          <t>–</t>
        </is>
      </c>
    </row>
    <row r="90">
      <c r="B90" s="254" t="inlineStr">
        <is>
          <t>k_cars(2013)</t>
        </is>
      </c>
      <c r="D90" s="330" t="n">
        <v>1.064</v>
      </c>
      <c r="E90" s="252" t="inlineStr">
        <is>
          <t>FITTED</t>
        </is>
      </c>
      <c r="F90" s="282" t="inlineStr">
        <is>
          <t>–</t>
        </is>
      </c>
      <c r="G90" s="282" t="inlineStr">
        <is>
          <t>–</t>
        </is>
      </c>
      <c r="H90" s="282" t="inlineStr">
        <is>
          <t>–</t>
        </is>
      </c>
      <c r="I90" s="282" t="inlineStr">
        <is>
          <t>–</t>
        </is>
      </c>
      <c r="J90" s="282" t="inlineStr">
        <is>
          <t>–</t>
        </is>
      </c>
      <c r="K90" s="282" t="inlineStr">
        <is>
          <t>–</t>
        </is>
      </c>
      <c r="L90" s="282" t="inlineStr">
        <is>
          <t>–</t>
        </is>
      </c>
      <c r="M90" s="282" t="inlineStr">
        <is>
          <t>–</t>
        </is>
      </c>
      <c r="N90" s="282" t="inlineStr">
        <is>
          <t>–</t>
        </is>
      </c>
      <c r="O90" s="282" t="inlineStr">
        <is>
          <t>–</t>
        </is>
      </c>
      <c r="P90" s="252" t="inlineStr">
        <is>
          <t>same (duplicate row kept for formula anchoring)</t>
        </is>
      </c>
      <c r="Q90" s="282" t="inlineStr">
        <is>
          <t>–</t>
        </is>
      </c>
      <c r="R90" s="282" t="inlineStr">
        <is>
          <t>–</t>
        </is>
      </c>
    </row>
    <row r="91">
      <c r="B91" s="254" t="inlineStr">
        <is>
          <t>k_light trucks(2013)</t>
        </is>
      </c>
      <c r="D91" s="330" t="n">
        <v>0.921</v>
      </c>
      <c r="E91" s="252" t="inlineStr">
        <is>
          <t>FITTED</t>
        </is>
      </c>
      <c r="F91" s="282" t="inlineStr">
        <is>
          <t>–</t>
        </is>
      </c>
      <c r="G91" s="282" t="inlineStr">
        <is>
          <t>–</t>
        </is>
      </c>
      <c r="H91" s="282" t="inlineStr">
        <is>
          <t>–</t>
        </is>
      </c>
      <c r="I91" s="282" t="inlineStr">
        <is>
          <t>–</t>
        </is>
      </c>
      <c r="J91" s="282" t="inlineStr">
        <is>
          <t>–</t>
        </is>
      </c>
      <c r="K91" s="282" t="inlineStr">
        <is>
          <t>–</t>
        </is>
      </c>
      <c r="L91" s="282" t="inlineStr">
        <is>
          <t>–</t>
        </is>
      </c>
      <c r="M91" s="282" t="inlineStr">
        <is>
          <t>–</t>
        </is>
      </c>
      <c r="N91" s="282" t="inlineStr">
        <is>
          <t>–</t>
        </is>
      </c>
      <c r="O91" s="282" t="inlineStr">
        <is>
          <t>–</t>
        </is>
      </c>
      <c r="P91" s="252" t="inlineStr">
        <is>
          <t>docs/AGE_CURVES.md §2.3 — IHS 2013 census of trucks (ORNL Table 3.12)</t>
        </is>
      </c>
      <c r="Q91" s="282" t="inlineStr">
        <is>
          <t>–</t>
        </is>
      </c>
      <c r="R91" s="282" t="inlineStr">
        <is>
          <t>–</t>
        </is>
      </c>
    </row>
    <row r="92">
      <c r="B92" s="254" t="inlineStr">
        <is>
          <t>m(2024): drift multiplier</t>
        </is>
      </c>
      <c r="D92" s="330" t="n">
        <v>1.194</v>
      </c>
      <c r="E92" s="252" t="inlineStr">
        <is>
          <t>FITTED</t>
        </is>
      </c>
      <c r="F92" s="282" t="inlineStr">
        <is>
          <t>–</t>
        </is>
      </c>
      <c r="G92" s="282" t="inlineStr">
        <is>
          <t>–</t>
        </is>
      </c>
      <c r="H92" s="282" t="inlineStr">
        <is>
          <t>–</t>
        </is>
      </c>
      <c r="I92" s="282" t="inlineStr">
        <is>
          <t>–</t>
        </is>
      </c>
      <c r="J92" s="282" t="inlineStr">
        <is>
          <t>–</t>
        </is>
      </c>
      <c r="K92" s="282" t="inlineStr">
        <is>
          <t>–</t>
        </is>
      </c>
      <c r="L92" s="282" t="inlineStr">
        <is>
          <t>–</t>
        </is>
      </c>
      <c r="M92" s="282" t="inlineStr">
        <is>
          <t>–</t>
        </is>
      </c>
      <c r="N92" s="282" t="inlineStr">
        <is>
          <t>–</t>
        </is>
      </c>
      <c r="O92" s="282" t="inlineStr">
        <is>
          <t>–</t>
        </is>
      </c>
      <c r="P92" s="252" t="inlineStr">
        <is>
          <t>docs/AGE_CURVES.md §2.4 — fitted to the two 2024 anchors below; anchors themselves need sourcing</t>
        </is>
      </c>
      <c r="Q92" s="282" t="inlineStr">
        <is>
          <t>–</t>
        </is>
      </c>
      <c r="R92" s="282" t="inlineStr">
        <is>
          <t>–</t>
        </is>
      </c>
    </row>
    <row r="93">
      <c r="B93" s="254" t="inlineStr">
        <is>
          <t>exposure(age 0): fraction of a claim-year for current-year vehicles</t>
        </is>
      </c>
      <c r="D93" s="330" t="n">
        <v>0.5</v>
      </c>
      <c r="E93" s="252" t="inlineStr">
        <is>
          <t>ASSUMED</t>
        </is>
      </c>
      <c r="F93" s="282" t="inlineStr">
        <is>
          <t>–</t>
        </is>
      </c>
      <c r="G93" s="282" t="inlineStr">
        <is>
          <t>–</t>
        </is>
      </c>
      <c r="H93" s="282" t="inlineStr">
        <is>
          <t>–</t>
        </is>
      </c>
      <c r="I93" s="282" t="inlineStr">
        <is>
          <t>–</t>
        </is>
      </c>
      <c r="J93" s="282" t="inlineStr">
        <is>
          <t>–</t>
        </is>
      </c>
      <c r="K93" s="282" t="inlineStr">
        <is>
          <t>–</t>
        </is>
      </c>
      <c r="L93" s="282" t="inlineStr">
        <is>
          <t>–</t>
        </is>
      </c>
      <c r="M93" s="282" t="inlineStr">
        <is>
          <t>–</t>
        </is>
      </c>
      <c r="N93" s="282" t="inlineStr">
        <is>
          <t>–</t>
        </is>
      </c>
      <c r="O93" s="282" t="inlineStr">
        <is>
          <t>–</t>
        </is>
      </c>
      <c r="P93" s="252" t="inlineStr">
        <is>
          <t>data/csv/age_curves.csv header; looks low versus CCC age-0 claim share (5.5% vs 4.0%)</t>
        </is>
      </c>
      <c r="Q93" s="282" t="inlineStr">
        <is>
          <t>–</t>
        </is>
      </c>
      <c r="R93" s="282" t="inlineStr">
        <is>
          <t>–</t>
        </is>
      </c>
    </row>
    <row r="94">
      <c r="B94" s="254" t="inlineStr">
        <is>
          <t>Claims decay per year beyond age 6 (R(a) = exposure × e^(−decay·max(a−6,0)))</t>
        </is>
      </c>
      <c r="D94" s="330" t="n">
        <v>0.09027</v>
      </c>
      <c r="E94" s="252" t="inlineStr">
        <is>
          <t>FITTED</t>
        </is>
      </c>
      <c r="F94" s="282" t="inlineStr">
        <is>
          <t>–</t>
        </is>
      </c>
      <c r="G94" s="282" t="inlineStr">
        <is>
          <t>–</t>
        </is>
      </c>
      <c r="H94" s="282" t="inlineStr">
        <is>
          <t>–</t>
        </is>
      </c>
      <c r="I94" s="282" t="inlineStr">
        <is>
          <t>–</t>
        </is>
      </c>
      <c r="J94" s="282" t="inlineStr">
        <is>
          <t>–</t>
        </is>
      </c>
      <c r="K94" s="282" t="inlineStr">
        <is>
          <t>–</t>
        </is>
      </c>
      <c r="L94" s="282" t="inlineStr">
        <is>
          <t>–</t>
        </is>
      </c>
      <c r="M94" s="282" t="inlineStr">
        <is>
          <t>–</t>
        </is>
      </c>
      <c r="N94" s="282" t="inlineStr">
        <is>
          <t>–</t>
        </is>
      </c>
      <c r="O94" s="282" t="inlineStr">
        <is>
          <t>–</t>
        </is>
      </c>
      <c r="P94" s="252" t="inlineStr">
        <is>
          <t>scripts/age_curves.py — fitted jointly with P(a) to eight CCC 2024 statistics</t>
        </is>
      </c>
      <c r="Q94" s="282" t="inlineStr">
        <is>
          <t>–</t>
        </is>
      </c>
      <c r="R94" s="282" t="inlineStr">
        <is>
          <t>–</t>
        </is>
      </c>
    </row>
    <row r="95">
      <c r="B95" s="254" t="inlineStr">
        <is>
          <t>Vehicles in operation, 2024 (thousands)</t>
        </is>
      </c>
      <c r="D95" s="261">
        <f>'D Facts'!$D$40</f>
        <v/>
      </c>
      <c r="E95" s="252" t="inlineStr">
        <is>
          <t>UNVERIFIED</t>
        </is>
      </c>
      <c r="F95" s="282" t="inlineStr">
        <is>
          <t>–</t>
        </is>
      </c>
      <c r="G95" s="282" t="inlineStr">
        <is>
          <t>–</t>
        </is>
      </c>
      <c r="H95" s="282" t="inlineStr">
        <is>
          <t>–</t>
        </is>
      </c>
      <c r="I95" s="282" t="inlineStr">
        <is>
          <t>–</t>
        </is>
      </c>
      <c r="J95" s="282" t="inlineStr">
        <is>
          <t>–</t>
        </is>
      </c>
      <c r="K95" s="282" t="inlineStr">
        <is>
          <t>–</t>
        </is>
      </c>
      <c r="L95" s="282" t="inlineStr">
        <is>
          <t>–</t>
        </is>
      </c>
      <c r="M95" s="282" t="inlineStr">
        <is>
          <t>–</t>
        </is>
      </c>
      <c r="N95" s="282" t="inlineStr">
        <is>
          <t>–</t>
        </is>
      </c>
      <c r="O95" s="282" t="inlineStr">
        <is>
          <t>–</t>
        </is>
      </c>
      <c r="P95" s="252" t="inlineStr">
        <is>
          <t>Experian figure on disk per PROVENANCE (file to be cited); the recalled S&amp;P 289M is retired</t>
        </is>
      </c>
      <c r="Q95" s="282" t="inlineStr">
        <is>
          <t>–</t>
        </is>
      </c>
      <c r="R95" s="282" t="inlineStr">
        <is>
          <t>–</t>
        </is>
      </c>
    </row>
    <row r="96">
      <c r="B96" s="254" t="inlineStr">
        <is>
          <t>Share aged 7+, 2024</t>
        </is>
      </c>
      <c r="D96" s="273">
        <f>'D Facts'!$D$41</f>
        <v/>
      </c>
      <c r="E96" s="252" t="inlineStr">
        <is>
          <t>UNVERIFIED</t>
        </is>
      </c>
      <c r="F96" s="282" t="inlineStr">
        <is>
          <t>–</t>
        </is>
      </c>
      <c r="G96" s="282" t="inlineStr">
        <is>
          <t>–</t>
        </is>
      </c>
      <c r="H96" s="282" t="inlineStr">
        <is>
          <t>–</t>
        </is>
      </c>
      <c r="I96" s="282" t="inlineStr">
        <is>
          <t>–</t>
        </is>
      </c>
      <c r="J96" s="282" t="inlineStr">
        <is>
          <t>–</t>
        </is>
      </c>
      <c r="K96" s="282" t="inlineStr">
        <is>
          <t>–</t>
        </is>
      </c>
      <c r="L96" s="282" t="inlineStr">
        <is>
          <t>–</t>
        </is>
      </c>
      <c r="M96" s="282" t="inlineStr">
        <is>
          <t>–</t>
        </is>
      </c>
      <c r="N96" s="282" t="inlineStr">
        <is>
          <t>–</t>
        </is>
      </c>
      <c r="O96" s="282" t="inlineStr">
        <is>
          <t>–</t>
        </is>
      </c>
      <c r="P96" s="252" t="inlineStr">
        <is>
          <t>recalled S&amp;P Global Mobility release; not on disk</t>
        </is>
      </c>
      <c r="Q96" s="282" t="inlineStr">
        <is>
          <t>–</t>
        </is>
      </c>
      <c r="R96" s="282" t="inlineStr">
        <is>
          <t>–</t>
        </is>
      </c>
    </row>
    <row r="97">
      <c r="B97" s="254" t="inlineStr">
        <is>
          <t>Body factor: Car (claims per vehicle vs common curve)</t>
        </is>
      </c>
      <c r="D97" s="330" t="n">
        <v>1.11</v>
      </c>
      <c r="E97" s="252" t="inlineStr">
        <is>
          <t>CALIBRATED</t>
        </is>
      </c>
      <c r="F97" s="282" t="inlineStr">
        <is>
          <t>–</t>
        </is>
      </c>
      <c r="G97" s="282" t="inlineStr">
        <is>
          <t>–</t>
        </is>
      </c>
      <c r="H97" s="282" t="inlineStr">
        <is>
          <t>–</t>
        </is>
      </c>
      <c r="I97" s="282" t="inlineStr">
        <is>
          <t>–</t>
        </is>
      </c>
      <c r="J97" s="282" t="inlineStr">
        <is>
          <t>–</t>
        </is>
      </c>
      <c r="K97" s="282" t="inlineStr">
        <is>
          <t>–</t>
        </is>
      </c>
      <c r="L97" s="282" t="inlineStr">
        <is>
          <t>–</t>
        </is>
      </c>
      <c r="M97" s="282" t="inlineStr">
        <is>
          <t>–</t>
        </is>
      </c>
      <c r="N97" s="282" t="inlineStr">
        <is>
          <t>–</t>
        </is>
      </c>
      <c r="O97" s="282" t="inlineStr">
        <is>
          <t>–</t>
        </is>
      </c>
      <c r="P97" s="252" t="inlineStr">
        <is>
          <t>scripts/fleet_vs_ccc_backtest.py — fitted to 2025 CCC cells only; 2020–24 are the test</t>
        </is>
      </c>
      <c r="Q97" s="282" t="inlineStr">
        <is>
          <t>–</t>
        </is>
      </c>
      <c r="R97" s="282" t="inlineStr">
        <is>
          <t>–</t>
        </is>
      </c>
    </row>
    <row r="98">
      <c r="B98" s="254" t="inlineStr">
        <is>
          <t>Body factor: Utility vehicle (SUV)</t>
        </is>
      </c>
      <c r="D98" s="330" t="n">
        <v>0.917</v>
      </c>
      <c r="E98" s="252" t="inlineStr">
        <is>
          <t>CALIBRATED</t>
        </is>
      </c>
      <c r="F98" s="282" t="inlineStr">
        <is>
          <t>–</t>
        </is>
      </c>
      <c r="G98" s="282" t="inlineStr">
        <is>
          <t>–</t>
        </is>
      </c>
      <c r="H98" s="282" t="inlineStr">
        <is>
          <t>–</t>
        </is>
      </c>
      <c r="I98" s="282" t="inlineStr">
        <is>
          <t>–</t>
        </is>
      </c>
      <c r="J98" s="282" t="inlineStr">
        <is>
          <t>–</t>
        </is>
      </c>
      <c r="K98" s="282" t="inlineStr">
        <is>
          <t>–</t>
        </is>
      </c>
      <c r="L98" s="282" t="inlineStr">
        <is>
          <t>–</t>
        </is>
      </c>
      <c r="M98" s="282" t="inlineStr">
        <is>
          <t>–</t>
        </is>
      </c>
      <c r="N98" s="282" t="inlineStr">
        <is>
          <t>–</t>
        </is>
      </c>
      <c r="O98" s="282" t="inlineStr">
        <is>
          <t>–</t>
        </is>
      </c>
      <c r="P98" s="252" t="inlineStr">
        <is>
          <t>same</t>
        </is>
      </c>
      <c r="Q98" s="282" t="inlineStr">
        <is>
          <t>–</t>
        </is>
      </c>
      <c r="R98" s="282" t="inlineStr">
        <is>
          <t>–</t>
        </is>
      </c>
    </row>
    <row r="99">
      <c r="B99" s="254" t="inlineStr">
        <is>
          <t>Body factor: Pickup</t>
        </is>
      </c>
      <c r="D99" s="330" t="n">
        <v>1.028</v>
      </c>
      <c r="E99" s="252" t="inlineStr">
        <is>
          <t>CALIBRATED</t>
        </is>
      </c>
      <c r="F99" s="282" t="inlineStr">
        <is>
          <t>–</t>
        </is>
      </c>
      <c r="G99" s="282" t="inlineStr">
        <is>
          <t>–</t>
        </is>
      </c>
      <c r="H99" s="282" t="inlineStr">
        <is>
          <t>–</t>
        </is>
      </c>
      <c r="I99" s="282" t="inlineStr">
        <is>
          <t>–</t>
        </is>
      </c>
      <c r="J99" s="282" t="inlineStr">
        <is>
          <t>–</t>
        </is>
      </c>
      <c r="K99" s="282" t="inlineStr">
        <is>
          <t>–</t>
        </is>
      </c>
      <c r="L99" s="282" t="inlineStr">
        <is>
          <t>–</t>
        </is>
      </c>
      <c r="M99" s="282" t="inlineStr">
        <is>
          <t>–</t>
        </is>
      </c>
      <c r="N99" s="282" t="inlineStr">
        <is>
          <t>–</t>
        </is>
      </c>
      <c r="O99" s="282" t="inlineStr">
        <is>
          <t>–</t>
        </is>
      </c>
      <c r="P99" s="252" t="inlineStr">
        <is>
          <t>same</t>
        </is>
      </c>
      <c r="Q99" s="282" t="inlineStr">
        <is>
          <t>–</t>
        </is>
      </c>
      <c r="R99" s="282" t="inlineStr">
        <is>
          <t>–</t>
        </is>
      </c>
    </row>
    <row r="100">
      <c r="B100" s="254" t="inlineStr">
        <is>
          <t>Body factor: Van / minivan</t>
        </is>
      </c>
      <c r="D100" s="330" t="n">
        <v>0.923</v>
      </c>
      <c r="E100" s="252" t="inlineStr">
        <is>
          <t>CALIBRATED</t>
        </is>
      </c>
      <c r="F100" s="282" t="inlineStr">
        <is>
          <t>–</t>
        </is>
      </c>
      <c r="G100" s="282" t="inlineStr">
        <is>
          <t>–</t>
        </is>
      </c>
      <c r="H100" s="282" t="inlineStr">
        <is>
          <t>–</t>
        </is>
      </c>
      <c r="I100" s="282" t="inlineStr">
        <is>
          <t>–</t>
        </is>
      </c>
      <c r="J100" s="282" t="inlineStr">
        <is>
          <t>–</t>
        </is>
      </c>
      <c r="K100" s="282" t="inlineStr">
        <is>
          <t>–</t>
        </is>
      </c>
      <c r="L100" s="282" t="inlineStr">
        <is>
          <t>–</t>
        </is>
      </c>
      <c r="M100" s="282" t="inlineStr">
        <is>
          <t>–</t>
        </is>
      </c>
      <c r="N100" s="282" t="inlineStr">
        <is>
          <t>–</t>
        </is>
      </c>
      <c r="O100" s="282" t="inlineStr">
        <is>
          <t>–</t>
        </is>
      </c>
      <c r="P100" s="252" t="inlineStr">
        <is>
          <t>same</t>
        </is>
      </c>
      <c r="Q100" s="282" t="inlineStr">
        <is>
          <t>–</t>
        </is>
      </c>
      <c r="R100" s="282" t="inlineStr">
        <is>
          <t>–</t>
        </is>
      </c>
    </row>
  </sheetData>
  <mergeCells count="2">
    <mergeCell ref="K4:M4"/>
    <mergeCell ref="D4:J4"/>
  </mergeCells>
  <pageMargins left="0.75" right="0.75" top="1" bottom="1" header="0.5" footer="0.5"/>
</worksheet>
</file>

<file path=xl/worksheets/sheet11.xml><?xml version="1.0" encoding="utf-8"?>
<worksheet xmlns="http://schemas.openxmlformats.org/spreadsheetml/2006/main">
  <sheetPr>
    <tabColor rgb="FF7030A0"/>
    <outlinePr summaryBelow="1" summaryRight="1"/>
    <pageSetUpPr/>
  </sheetPr>
  <dimension ref="A1:Y190"/>
  <sheetViews>
    <sheetView showGridLines="0" zoomScale="85" workbookViewId="0">
      <pane xSplit="4" ySplit="6" topLeftCell="E7"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9" customWidth="1" style="392" min="1" max="1"/>
    <col width="6" customWidth="1" style="392" min="2" max="3"/>
    <col width="9" customWidth="1" style="392" min="4" max="4"/>
    <col width="11" customWidth="1" style="392" min="5" max="26"/>
  </cols>
  <sheetData>
    <row r="1" ht="17" customHeight="1" s="392">
      <c r="B1" s="269" t="inlineStr">
        <is>
          <t>E1a Fleet (roll) — single-age roll behind E1, by body (thousands) and claims mass</t>
        </is>
      </c>
      <c r="C1" s="270" t="n"/>
      <c r="D1" s="270" t="n"/>
      <c r="E1" s="270" t="n"/>
      <c r="F1" s="270" t="n"/>
      <c r="G1" s="270" t="n"/>
      <c r="H1" s="270" t="n"/>
      <c r="I1" s="270" t="n"/>
      <c r="J1" s="270" t="n"/>
      <c r="K1" s="270" t="n"/>
      <c r="L1" s="270" t="n"/>
      <c r="M1" s="270" t="n"/>
      <c r="N1" s="270" t="n"/>
      <c r="O1" s="270" t="n"/>
      <c r="P1" s="270" t="n"/>
      <c r="Q1" s="270" t="n"/>
      <c r="R1" s="270" t="n"/>
      <c r="S1" s="270" t="n"/>
    </row>
    <row r="2">
      <c r="B2" s="252" t="inlineStr">
        <is>
          <t>Fleet cell = Births(CY − age, body) × S_body(age ÷ k_body(CY)), linear interpolation of the EPA schedule, zero beyond its last age. Claims mass = fleet × R(age) × body factor. Formulas only; collapse this tab in normal use.</t>
        </is>
      </c>
    </row>
    <row r="3">
      <c r="D3" s="252" t="inlineStr">
        <is>
          <t>CY →</t>
        </is>
      </c>
      <c r="E3" s="252" t="n">
        <v>2019</v>
      </c>
      <c r="F3" s="252" t="n">
        <v>2020</v>
      </c>
      <c r="G3" s="252" t="n">
        <v>2021</v>
      </c>
      <c r="H3" s="252" t="n">
        <v>2022</v>
      </c>
      <c r="I3" s="252" t="n">
        <v>2023</v>
      </c>
      <c r="J3" s="252" t="n">
        <v>2024</v>
      </c>
      <c r="K3" s="252" t="n">
        <v>2025</v>
      </c>
      <c r="L3" s="252" t="n">
        <v>2026</v>
      </c>
      <c r="M3" s="252" t="n">
        <v>2027</v>
      </c>
      <c r="N3" s="252" t="n">
        <v>2028</v>
      </c>
      <c r="O3" s="252" t="inlineStr">
        <is>
          <t>claims mass →</t>
        </is>
      </c>
      <c r="P3" s="252" t="n">
        <v>2019</v>
      </c>
      <c r="Q3" s="252" t="n">
        <v>2020</v>
      </c>
      <c r="R3" s="252" t="n">
        <v>2021</v>
      </c>
      <c r="S3" s="252" t="n">
        <v>2022</v>
      </c>
      <c r="T3" s="252" t="n">
        <v>2023</v>
      </c>
      <c r="U3" s="252" t="n">
        <v>2024</v>
      </c>
      <c r="V3" s="252" t="n">
        <v>2025</v>
      </c>
      <c r="W3" s="252" t="n">
        <v>2026</v>
      </c>
      <c r="X3" s="252" t="n">
        <v>2027</v>
      </c>
      <c r="Y3" s="252" t="n">
        <v>2028</v>
      </c>
    </row>
    <row r="4">
      <c r="D4" s="252" t="inlineStr">
        <is>
          <t>k cars</t>
        </is>
      </c>
      <c r="E4" s="266">
        <f>'E1 Fleet'!D15</f>
        <v/>
      </c>
      <c r="F4" s="266">
        <f>'E1 Fleet'!E15</f>
        <v/>
      </c>
      <c r="G4" s="266">
        <f>'E1 Fleet'!F15</f>
        <v/>
      </c>
      <c r="H4" s="266">
        <f>'E1 Fleet'!G15</f>
        <v/>
      </c>
      <c r="I4" s="266">
        <f>'E1 Fleet'!H15</f>
        <v/>
      </c>
      <c r="J4" s="266">
        <f>'E1 Fleet'!I15</f>
        <v/>
      </c>
      <c r="K4" s="266">
        <f>'E1 Fleet'!J15</f>
        <v/>
      </c>
      <c r="L4" s="266">
        <f>'E1 Fleet'!K15</f>
        <v/>
      </c>
      <c r="M4" s="266">
        <f>'E1 Fleet'!L15</f>
        <v/>
      </c>
      <c r="N4" s="266">
        <f>'E1 Fleet'!M15</f>
        <v/>
      </c>
    </row>
    <row r="5">
      <c r="D5" s="252" t="inlineStr">
        <is>
          <t>k light trucks</t>
        </is>
      </c>
      <c r="E5" s="266">
        <f>'E1 Fleet'!D16</f>
        <v/>
      </c>
      <c r="F5" s="266">
        <f>'E1 Fleet'!E16</f>
        <v/>
      </c>
      <c r="G5" s="266">
        <f>'E1 Fleet'!F16</f>
        <v/>
      </c>
      <c r="H5" s="266">
        <f>'E1 Fleet'!G16</f>
        <v/>
      </c>
      <c r="I5" s="266">
        <f>'E1 Fleet'!H16</f>
        <v/>
      </c>
      <c r="J5" s="266">
        <f>'E1 Fleet'!I16</f>
        <v/>
      </c>
      <c r="K5" s="266">
        <f>'E1 Fleet'!J16</f>
        <v/>
      </c>
      <c r="L5" s="266">
        <f>'E1 Fleet'!K16</f>
        <v/>
      </c>
      <c r="M5" s="266">
        <f>'E1 Fleet'!L16</f>
        <v/>
      </c>
      <c r="N5" s="266">
        <f>'E1 Fleet'!M16</f>
        <v/>
      </c>
    </row>
    <row r="6">
      <c r="A6" s="249" t="inlineStr">
        <is>
          <t>Body</t>
        </is>
      </c>
      <c r="B6" s="249" t="inlineStr">
        <is>
          <t>Age</t>
        </is>
      </c>
      <c r="C6" s="249" t="inlineStr">
        <is>
          <t>Band</t>
        </is>
      </c>
      <c r="D6" s="249" t="inlineStr">
        <is>
          <t>R(age)</t>
        </is>
      </c>
      <c r="E6" s="249" t="inlineStr">
        <is>
          <t>Fleet CY2019</t>
        </is>
      </c>
      <c r="F6" s="249" t="inlineStr">
        <is>
          <t>Fleet CY2020</t>
        </is>
      </c>
      <c r="G6" s="249" t="inlineStr">
        <is>
          <t>Fleet CY2021</t>
        </is>
      </c>
      <c r="H6" s="249" t="inlineStr">
        <is>
          <t>Fleet CY2022</t>
        </is>
      </c>
      <c r="I6" s="249" t="inlineStr">
        <is>
          <t>Fleet CY2023</t>
        </is>
      </c>
      <c r="J6" s="249" t="inlineStr">
        <is>
          <t>Fleet CY2024</t>
        </is>
      </c>
      <c r="K6" s="249" t="inlineStr">
        <is>
          <t>Fleet CY2025</t>
        </is>
      </c>
      <c r="L6" s="249" t="inlineStr">
        <is>
          <t>Fleet CY2026</t>
        </is>
      </c>
      <c r="M6" s="249" t="inlineStr">
        <is>
          <t>Fleet CY2027</t>
        </is>
      </c>
      <c r="N6" s="249" t="inlineStr">
        <is>
          <t>Fleet CY2028</t>
        </is>
      </c>
      <c r="P6" s="249" t="inlineStr">
        <is>
          <t>Claims CY2019</t>
        </is>
      </c>
      <c r="Q6" s="249" t="inlineStr">
        <is>
          <t>Claims CY2020</t>
        </is>
      </c>
      <c r="R6" s="249" t="inlineStr">
        <is>
          <t>Claims CY2021</t>
        </is>
      </c>
      <c r="S6" s="249" t="inlineStr">
        <is>
          <t>Claims CY2022</t>
        </is>
      </c>
      <c r="T6" s="249" t="inlineStr">
        <is>
          <t>Claims CY2023</t>
        </is>
      </c>
      <c r="U6" s="249" t="inlineStr">
        <is>
          <t>Claims CY2024</t>
        </is>
      </c>
      <c r="V6" s="249" t="inlineStr">
        <is>
          <t>Claims CY2025</t>
        </is>
      </c>
      <c r="W6" s="249" t="inlineStr">
        <is>
          <t>Claims CY2026</t>
        </is>
      </c>
      <c r="X6" s="249" t="inlineStr">
        <is>
          <t>Claims CY2027</t>
        </is>
      </c>
      <c r="Y6" s="249" t="inlineStr">
        <is>
          <t>Claims CY2028</t>
        </is>
      </c>
    </row>
    <row r="7">
      <c r="A7" t="inlineStr">
        <is>
          <t>Car</t>
        </is>
      </c>
      <c r="B7" s="331" t="n">
        <v>0</v>
      </c>
      <c r="C7" s="331" t="n">
        <v>0</v>
      </c>
      <c r="D7" s="266">
        <f>IF($B7=0,'E1 Fleet'!$D$93,1)*EXP(-'E1 Fleet'!$D$94*MAX($B7-6,0))</f>
        <v/>
      </c>
      <c r="E7" s="261">
        <f>IFERROR(INDEX('D Fleet'!$C$5:$C$63,MATCH(E$3-$B7,'D Fleet'!$B$5:$B$63,0)),0)*IFERROR(INDEX('D Fleet'!$J$5:$J$36,INT(($B7/E$4))+1)+(($B7/E$4)-INT(($B7/E$4)))*(INDEX('D Fleet'!$J$5:$J$36,INT(($B7/E$4))+2)-INDEX('D Fleet'!$J$5:$J$36,INT(($B7/E$4))+1)),0)</f>
        <v/>
      </c>
      <c r="F7" s="261">
        <f>IFERROR(INDEX('D Fleet'!$C$5:$C$63,MATCH(F$3-$B7,'D Fleet'!$B$5:$B$63,0)),0)*IFERROR(INDEX('D Fleet'!$J$5:$J$36,INT(($B7/F$4))+1)+(($B7/F$4)-INT(($B7/F$4)))*(INDEX('D Fleet'!$J$5:$J$36,INT(($B7/F$4))+2)-INDEX('D Fleet'!$J$5:$J$36,INT(($B7/F$4))+1)),0)</f>
        <v/>
      </c>
      <c r="G7" s="261">
        <f>IFERROR(INDEX('D Fleet'!$C$5:$C$63,MATCH(G$3-$B7,'D Fleet'!$B$5:$B$63,0)),0)*IFERROR(INDEX('D Fleet'!$J$5:$J$36,INT(($B7/G$4))+1)+(($B7/G$4)-INT(($B7/G$4)))*(INDEX('D Fleet'!$J$5:$J$36,INT(($B7/G$4))+2)-INDEX('D Fleet'!$J$5:$J$36,INT(($B7/G$4))+1)),0)</f>
        <v/>
      </c>
      <c r="H7" s="261">
        <f>IFERROR(INDEX('D Fleet'!$C$5:$C$63,MATCH(H$3-$B7,'D Fleet'!$B$5:$B$63,0)),0)*IFERROR(INDEX('D Fleet'!$J$5:$J$36,INT(($B7/H$4))+1)+(($B7/H$4)-INT(($B7/H$4)))*(INDEX('D Fleet'!$J$5:$J$36,INT(($B7/H$4))+2)-INDEX('D Fleet'!$J$5:$J$36,INT(($B7/H$4))+1)),0)</f>
        <v/>
      </c>
      <c r="I7" s="261">
        <f>IFERROR(INDEX('D Fleet'!$C$5:$C$63,MATCH(I$3-$B7,'D Fleet'!$B$5:$B$63,0)),0)*IFERROR(INDEX('D Fleet'!$J$5:$J$36,INT(($B7/I$4))+1)+(($B7/I$4)-INT(($B7/I$4)))*(INDEX('D Fleet'!$J$5:$J$36,INT(($B7/I$4))+2)-INDEX('D Fleet'!$J$5:$J$36,INT(($B7/I$4))+1)),0)</f>
        <v/>
      </c>
      <c r="J7" s="261">
        <f>IFERROR(INDEX('D Fleet'!$C$5:$C$63,MATCH(J$3-$B7,'D Fleet'!$B$5:$B$63,0)),0)*IFERROR(INDEX('D Fleet'!$J$5:$J$36,INT(($B7/J$4))+1)+(($B7/J$4)-INT(($B7/J$4)))*(INDEX('D Fleet'!$J$5:$J$36,INT(($B7/J$4))+2)-INDEX('D Fleet'!$J$5:$J$36,INT(($B7/J$4))+1)),0)</f>
        <v/>
      </c>
      <c r="K7" s="261">
        <f>IFERROR(INDEX('D Fleet'!$C$5:$C$63,MATCH(K$3-$B7,'D Fleet'!$B$5:$B$63,0)),0)*IFERROR(INDEX('D Fleet'!$J$5:$J$36,INT(($B7/K$4))+1)+(($B7/K$4)-INT(($B7/K$4)))*(INDEX('D Fleet'!$J$5:$J$36,INT(($B7/K$4))+2)-INDEX('D Fleet'!$J$5:$J$36,INT(($B7/K$4))+1)),0)</f>
        <v/>
      </c>
      <c r="L7" s="261">
        <f>IFERROR(INDEX('D Fleet'!$C$5:$C$63,MATCH(L$3-$B7,'D Fleet'!$B$5:$B$63,0)),0)*IFERROR(INDEX('D Fleet'!$J$5:$J$36,INT(($B7/L$4))+1)+(($B7/L$4)-INT(($B7/L$4)))*(INDEX('D Fleet'!$J$5:$J$36,INT(($B7/L$4))+2)-INDEX('D Fleet'!$J$5:$J$36,INT(($B7/L$4))+1)),0)</f>
        <v/>
      </c>
      <c r="M7" s="261">
        <f>IFERROR(INDEX('D Fleet'!$C$5:$C$63,MATCH(M$3-$B7,'D Fleet'!$B$5:$B$63,0)),0)*IFERROR(INDEX('D Fleet'!$J$5:$J$36,INT(($B7/M$4))+1)+(($B7/M$4)-INT(($B7/M$4)))*(INDEX('D Fleet'!$J$5:$J$36,INT(($B7/M$4))+2)-INDEX('D Fleet'!$J$5:$J$36,INT(($B7/M$4))+1)),0)</f>
        <v/>
      </c>
      <c r="N7" s="261">
        <f>IFERROR(INDEX('D Fleet'!$C$5:$C$63,MATCH(N$3-$B7,'D Fleet'!$B$5:$B$63,0)),0)*IFERROR(INDEX('D Fleet'!$J$5:$J$36,INT(($B7/N$4))+1)+(($B7/N$4)-INT(($B7/N$4)))*(INDEX('D Fleet'!$J$5:$J$36,INT(($B7/N$4))+2)-INDEX('D Fleet'!$J$5:$J$36,INT(($B7/N$4))+1)),0)</f>
        <v/>
      </c>
      <c r="P7" s="261">
        <f>E7*$D7*'E1 Fleet'!$D$97</f>
        <v/>
      </c>
      <c r="Q7" s="261">
        <f>F7*$D7*'E1 Fleet'!$D$97</f>
        <v/>
      </c>
      <c r="R7" s="261">
        <f>G7*$D7*'E1 Fleet'!$D$97</f>
        <v/>
      </c>
      <c r="S7" s="261">
        <f>H7*$D7*'E1 Fleet'!$D$97</f>
        <v/>
      </c>
      <c r="T7" s="261">
        <f>I7*$D7*'E1 Fleet'!$D$97</f>
        <v/>
      </c>
      <c r="U7" s="261">
        <f>J7*$D7*'E1 Fleet'!$D$97</f>
        <v/>
      </c>
      <c r="V7" s="261">
        <f>K7*$D7*'E1 Fleet'!$D$97</f>
        <v/>
      </c>
      <c r="W7" s="261">
        <f>L7*$D7*'E1 Fleet'!$D$97</f>
        <v/>
      </c>
      <c r="X7" s="261">
        <f>M7*$D7*'E1 Fleet'!$D$97</f>
        <v/>
      </c>
      <c r="Y7" s="261">
        <f>N7*$D7*'E1 Fleet'!$D$97</f>
        <v/>
      </c>
    </row>
    <row r="8">
      <c r="A8" t="inlineStr">
        <is>
          <t>Car</t>
        </is>
      </c>
      <c r="B8" s="331" t="n">
        <v>1</v>
      </c>
      <c r="C8" s="331" t="n">
        <v>1</v>
      </c>
      <c r="D8" s="266">
        <f>IF($B8=0,'E1 Fleet'!$D$93,1)*EXP(-'E1 Fleet'!$D$94*MAX($B8-6,0))</f>
        <v/>
      </c>
      <c r="E8" s="261">
        <f>IFERROR(INDEX('D Fleet'!$C$5:$C$63,MATCH(E$3-$B8,'D Fleet'!$B$5:$B$63,0)),0)*IFERROR(INDEX('D Fleet'!$J$5:$J$36,INT(($B8/E$4))+1)+(($B8/E$4)-INT(($B8/E$4)))*(INDEX('D Fleet'!$J$5:$J$36,INT(($B8/E$4))+2)-INDEX('D Fleet'!$J$5:$J$36,INT(($B8/E$4))+1)),0)</f>
        <v/>
      </c>
      <c r="F8" s="261">
        <f>IFERROR(INDEX('D Fleet'!$C$5:$C$63,MATCH(F$3-$B8,'D Fleet'!$B$5:$B$63,0)),0)*IFERROR(INDEX('D Fleet'!$J$5:$J$36,INT(($B8/F$4))+1)+(($B8/F$4)-INT(($B8/F$4)))*(INDEX('D Fleet'!$J$5:$J$36,INT(($B8/F$4))+2)-INDEX('D Fleet'!$J$5:$J$36,INT(($B8/F$4))+1)),0)</f>
        <v/>
      </c>
      <c r="G8" s="261">
        <f>IFERROR(INDEX('D Fleet'!$C$5:$C$63,MATCH(G$3-$B8,'D Fleet'!$B$5:$B$63,0)),0)*IFERROR(INDEX('D Fleet'!$J$5:$J$36,INT(($B8/G$4))+1)+(($B8/G$4)-INT(($B8/G$4)))*(INDEX('D Fleet'!$J$5:$J$36,INT(($B8/G$4))+2)-INDEX('D Fleet'!$J$5:$J$36,INT(($B8/G$4))+1)),0)</f>
        <v/>
      </c>
      <c r="H8" s="261">
        <f>IFERROR(INDEX('D Fleet'!$C$5:$C$63,MATCH(H$3-$B8,'D Fleet'!$B$5:$B$63,0)),0)*IFERROR(INDEX('D Fleet'!$J$5:$J$36,INT(($B8/H$4))+1)+(($B8/H$4)-INT(($B8/H$4)))*(INDEX('D Fleet'!$J$5:$J$36,INT(($B8/H$4))+2)-INDEX('D Fleet'!$J$5:$J$36,INT(($B8/H$4))+1)),0)</f>
        <v/>
      </c>
      <c r="I8" s="261">
        <f>IFERROR(INDEX('D Fleet'!$C$5:$C$63,MATCH(I$3-$B8,'D Fleet'!$B$5:$B$63,0)),0)*IFERROR(INDEX('D Fleet'!$J$5:$J$36,INT(($B8/I$4))+1)+(($B8/I$4)-INT(($B8/I$4)))*(INDEX('D Fleet'!$J$5:$J$36,INT(($B8/I$4))+2)-INDEX('D Fleet'!$J$5:$J$36,INT(($B8/I$4))+1)),0)</f>
        <v/>
      </c>
      <c r="J8" s="261">
        <f>IFERROR(INDEX('D Fleet'!$C$5:$C$63,MATCH(J$3-$B8,'D Fleet'!$B$5:$B$63,0)),0)*IFERROR(INDEX('D Fleet'!$J$5:$J$36,INT(($B8/J$4))+1)+(($B8/J$4)-INT(($B8/J$4)))*(INDEX('D Fleet'!$J$5:$J$36,INT(($B8/J$4))+2)-INDEX('D Fleet'!$J$5:$J$36,INT(($B8/J$4))+1)),0)</f>
        <v/>
      </c>
      <c r="K8" s="261">
        <f>IFERROR(INDEX('D Fleet'!$C$5:$C$63,MATCH(K$3-$B8,'D Fleet'!$B$5:$B$63,0)),0)*IFERROR(INDEX('D Fleet'!$J$5:$J$36,INT(($B8/K$4))+1)+(($B8/K$4)-INT(($B8/K$4)))*(INDEX('D Fleet'!$J$5:$J$36,INT(($B8/K$4))+2)-INDEX('D Fleet'!$J$5:$J$36,INT(($B8/K$4))+1)),0)</f>
        <v/>
      </c>
      <c r="L8" s="261">
        <f>IFERROR(INDEX('D Fleet'!$C$5:$C$63,MATCH(L$3-$B8,'D Fleet'!$B$5:$B$63,0)),0)*IFERROR(INDEX('D Fleet'!$J$5:$J$36,INT(($B8/L$4))+1)+(($B8/L$4)-INT(($B8/L$4)))*(INDEX('D Fleet'!$J$5:$J$36,INT(($B8/L$4))+2)-INDEX('D Fleet'!$J$5:$J$36,INT(($B8/L$4))+1)),0)</f>
        <v/>
      </c>
      <c r="M8" s="261">
        <f>IFERROR(INDEX('D Fleet'!$C$5:$C$63,MATCH(M$3-$B8,'D Fleet'!$B$5:$B$63,0)),0)*IFERROR(INDEX('D Fleet'!$J$5:$J$36,INT(($B8/M$4))+1)+(($B8/M$4)-INT(($B8/M$4)))*(INDEX('D Fleet'!$J$5:$J$36,INT(($B8/M$4))+2)-INDEX('D Fleet'!$J$5:$J$36,INT(($B8/M$4))+1)),0)</f>
        <v/>
      </c>
      <c r="N8" s="261">
        <f>IFERROR(INDEX('D Fleet'!$C$5:$C$63,MATCH(N$3-$B8,'D Fleet'!$B$5:$B$63,0)),0)*IFERROR(INDEX('D Fleet'!$J$5:$J$36,INT(($B8/N$4))+1)+(($B8/N$4)-INT(($B8/N$4)))*(INDEX('D Fleet'!$J$5:$J$36,INT(($B8/N$4))+2)-INDEX('D Fleet'!$J$5:$J$36,INT(($B8/N$4))+1)),0)</f>
        <v/>
      </c>
      <c r="P8" s="261">
        <f>E8*$D8*'E1 Fleet'!$D$97</f>
        <v/>
      </c>
      <c r="Q8" s="261">
        <f>F8*$D8*'E1 Fleet'!$D$97</f>
        <v/>
      </c>
      <c r="R8" s="261">
        <f>G8*$D8*'E1 Fleet'!$D$97</f>
        <v/>
      </c>
      <c r="S8" s="261">
        <f>H8*$D8*'E1 Fleet'!$D$97</f>
        <v/>
      </c>
      <c r="T8" s="261">
        <f>I8*$D8*'E1 Fleet'!$D$97</f>
        <v/>
      </c>
      <c r="U8" s="261">
        <f>J8*$D8*'E1 Fleet'!$D$97</f>
        <v/>
      </c>
      <c r="V8" s="261">
        <f>K8*$D8*'E1 Fleet'!$D$97</f>
        <v/>
      </c>
      <c r="W8" s="261">
        <f>L8*$D8*'E1 Fleet'!$D$97</f>
        <v/>
      </c>
      <c r="X8" s="261">
        <f>M8*$D8*'E1 Fleet'!$D$97</f>
        <v/>
      </c>
      <c r="Y8" s="261">
        <f>N8*$D8*'E1 Fleet'!$D$97</f>
        <v/>
      </c>
    </row>
    <row r="9">
      <c r="A9" t="inlineStr">
        <is>
          <t>Car</t>
        </is>
      </c>
      <c r="B9" s="331" t="n">
        <v>2</v>
      </c>
      <c r="C9" s="331" t="n">
        <v>1</v>
      </c>
      <c r="D9" s="266">
        <f>IF($B9=0,'E1 Fleet'!$D$93,1)*EXP(-'E1 Fleet'!$D$94*MAX($B9-6,0))</f>
        <v/>
      </c>
      <c r="E9" s="261">
        <f>IFERROR(INDEX('D Fleet'!$C$5:$C$63,MATCH(E$3-$B9,'D Fleet'!$B$5:$B$63,0)),0)*IFERROR(INDEX('D Fleet'!$J$5:$J$36,INT(($B9/E$4))+1)+(($B9/E$4)-INT(($B9/E$4)))*(INDEX('D Fleet'!$J$5:$J$36,INT(($B9/E$4))+2)-INDEX('D Fleet'!$J$5:$J$36,INT(($B9/E$4))+1)),0)</f>
        <v/>
      </c>
      <c r="F9" s="261">
        <f>IFERROR(INDEX('D Fleet'!$C$5:$C$63,MATCH(F$3-$B9,'D Fleet'!$B$5:$B$63,0)),0)*IFERROR(INDEX('D Fleet'!$J$5:$J$36,INT(($B9/F$4))+1)+(($B9/F$4)-INT(($B9/F$4)))*(INDEX('D Fleet'!$J$5:$J$36,INT(($B9/F$4))+2)-INDEX('D Fleet'!$J$5:$J$36,INT(($B9/F$4))+1)),0)</f>
        <v/>
      </c>
      <c r="G9" s="261">
        <f>IFERROR(INDEX('D Fleet'!$C$5:$C$63,MATCH(G$3-$B9,'D Fleet'!$B$5:$B$63,0)),0)*IFERROR(INDEX('D Fleet'!$J$5:$J$36,INT(($B9/G$4))+1)+(($B9/G$4)-INT(($B9/G$4)))*(INDEX('D Fleet'!$J$5:$J$36,INT(($B9/G$4))+2)-INDEX('D Fleet'!$J$5:$J$36,INT(($B9/G$4))+1)),0)</f>
        <v/>
      </c>
      <c r="H9" s="261">
        <f>IFERROR(INDEX('D Fleet'!$C$5:$C$63,MATCH(H$3-$B9,'D Fleet'!$B$5:$B$63,0)),0)*IFERROR(INDEX('D Fleet'!$J$5:$J$36,INT(($B9/H$4))+1)+(($B9/H$4)-INT(($B9/H$4)))*(INDEX('D Fleet'!$J$5:$J$36,INT(($B9/H$4))+2)-INDEX('D Fleet'!$J$5:$J$36,INT(($B9/H$4))+1)),0)</f>
        <v/>
      </c>
      <c r="I9" s="261">
        <f>IFERROR(INDEX('D Fleet'!$C$5:$C$63,MATCH(I$3-$B9,'D Fleet'!$B$5:$B$63,0)),0)*IFERROR(INDEX('D Fleet'!$J$5:$J$36,INT(($B9/I$4))+1)+(($B9/I$4)-INT(($B9/I$4)))*(INDEX('D Fleet'!$J$5:$J$36,INT(($B9/I$4))+2)-INDEX('D Fleet'!$J$5:$J$36,INT(($B9/I$4))+1)),0)</f>
        <v/>
      </c>
      <c r="J9" s="261">
        <f>IFERROR(INDEX('D Fleet'!$C$5:$C$63,MATCH(J$3-$B9,'D Fleet'!$B$5:$B$63,0)),0)*IFERROR(INDEX('D Fleet'!$J$5:$J$36,INT(($B9/J$4))+1)+(($B9/J$4)-INT(($B9/J$4)))*(INDEX('D Fleet'!$J$5:$J$36,INT(($B9/J$4))+2)-INDEX('D Fleet'!$J$5:$J$36,INT(($B9/J$4))+1)),0)</f>
        <v/>
      </c>
      <c r="K9" s="261">
        <f>IFERROR(INDEX('D Fleet'!$C$5:$C$63,MATCH(K$3-$B9,'D Fleet'!$B$5:$B$63,0)),0)*IFERROR(INDEX('D Fleet'!$J$5:$J$36,INT(($B9/K$4))+1)+(($B9/K$4)-INT(($B9/K$4)))*(INDEX('D Fleet'!$J$5:$J$36,INT(($B9/K$4))+2)-INDEX('D Fleet'!$J$5:$J$36,INT(($B9/K$4))+1)),0)</f>
        <v/>
      </c>
      <c r="L9" s="261">
        <f>IFERROR(INDEX('D Fleet'!$C$5:$C$63,MATCH(L$3-$B9,'D Fleet'!$B$5:$B$63,0)),0)*IFERROR(INDEX('D Fleet'!$J$5:$J$36,INT(($B9/L$4))+1)+(($B9/L$4)-INT(($B9/L$4)))*(INDEX('D Fleet'!$J$5:$J$36,INT(($B9/L$4))+2)-INDEX('D Fleet'!$J$5:$J$36,INT(($B9/L$4))+1)),0)</f>
        <v/>
      </c>
      <c r="M9" s="261">
        <f>IFERROR(INDEX('D Fleet'!$C$5:$C$63,MATCH(M$3-$B9,'D Fleet'!$B$5:$B$63,0)),0)*IFERROR(INDEX('D Fleet'!$J$5:$J$36,INT(($B9/M$4))+1)+(($B9/M$4)-INT(($B9/M$4)))*(INDEX('D Fleet'!$J$5:$J$36,INT(($B9/M$4))+2)-INDEX('D Fleet'!$J$5:$J$36,INT(($B9/M$4))+1)),0)</f>
        <v/>
      </c>
      <c r="N9" s="261">
        <f>IFERROR(INDEX('D Fleet'!$C$5:$C$63,MATCH(N$3-$B9,'D Fleet'!$B$5:$B$63,0)),0)*IFERROR(INDEX('D Fleet'!$J$5:$J$36,INT(($B9/N$4))+1)+(($B9/N$4)-INT(($B9/N$4)))*(INDEX('D Fleet'!$J$5:$J$36,INT(($B9/N$4))+2)-INDEX('D Fleet'!$J$5:$J$36,INT(($B9/N$4))+1)),0)</f>
        <v/>
      </c>
      <c r="P9" s="261">
        <f>E9*$D9*'E1 Fleet'!$D$97</f>
        <v/>
      </c>
      <c r="Q9" s="261">
        <f>F9*$D9*'E1 Fleet'!$D$97</f>
        <v/>
      </c>
      <c r="R9" s="261">
        <f>G9*$D9*'E1 Fleet'!$D$97</f>
        <v/>
      </c>
      <c r="S9" s="261">
        <f>H9*$D9*'E1 Fleet'!$D$97</f>
        <v/>
      </c>
      <c r="T9" s="261">
        <f>I9*$D9*'E1 Fleet'!$D$97</f>
        <v/>
      </c>
      <c r="U9" s="261">
        <f>J9*$D9*'E1 Fleet'!$D$97</f>
        <v/>
      </c>
      <c r="V9" s="261">
        <f>K9*$D9*'E1 Fleet'!$D$97</f>
        <v/>
      </c>
      <c r="W9" s="261">
        <f>L9*$D9*'E1 Fleet'!$D$97</f>
        <v/>
      </c>
      <c r="X9" s="261">
        <f>M9*$D9*'E1 Fleet'!$D$97</f>
        <v/>
      </c>
      <c r="Y9" s="261">
        <f>N9*$D9*'E1 Fleet'!$D$97</f>
        <v/>
      </c>
    </row>
    <row r="10">
      <c r="A10" t="inlineStr">
        <is>
          <t>Car</t>
        </is>
      </c>
      <c r="B10" s="331" t="n">
        <v>3</v>
      </c>
      <c r="C10" s="331" t="n">
        <v>1</v>
      </c>
      <c r="D10" s="266">
        <f>IF($B10=0,'E1 Fleet'!$D$93,1)*EXP(-'E1 Fleet'!$D$94*MAX($B10-6,0))</f>
        <v/>
      </c>
      <c r="E10" s="261">
        <f>IFERROR(INDEX('D Fleet'!$C$5:$C$63,MATCH(E$3-$B10,'D Fleet'!$B$5:$B$63,0)),0)*IFERROR(INDEX('D Fleet'!$J$5:$J$36,INT(($B10/E$4))+1)+(($B10/E$4)-INT(($B10/E$4)))*(INDEX('D Fleet'!$J$5:$J$36,INT(($B10/E$4))+2)-INDEX('D Fleet'!$J$5:$J$36,INT(($B10/E$4))+1)),0)</f>
        <v/>
      </c>
      <c r="F10" s="261">
        <f>IFERROR(INDEX('D Fleet'!$C$5:$C$63,MATCH(F$3-$B10,'D Fleet'!$B$5:$B$63,0)),0)*IFERROR(INDEX('D Fleet'!$J$5:$J$36,INT(($B10/F$4))+1)+(($B10/F$4)-INT(($B10/F$4)))*(INDEX('D Fleet'!$J$5:$J$36,INT(($B10/F$4))+2)-INDEX('D Fleet'!$J$5:$J$36,INT(($B10/F$4))+1)),0)</f>
        <v/>
      </c>
      <c r="G10" s="261">
        <f>IFERROR(INDEX('D Fleet'!$C$5:$C$63,MATCH(G$3-$B10,'D Fleet'!$B$5:$B$63,0)),0)*IFERROR(INDEX('D Fleet'!$J$5:$J$36,INT(($B10/G$4))+1)+(($B10/G$4)-INT(($B10/G$4)))*(INDEX('D Fleet'!$J$5:$J$36,INT(($B10/G$4))+2)-INDEX('D Fleet'!$J$5:$J$36,INT(($B10/G$4))+1)),0)</f>
        <v/>
      </c>
      <c r="H10" s="261">
        <f>IFERROR(INDEX('D Fleet'!$C$5:$C$63,MATCH(H$3-$B10,'D Fleet'!$B$5:$B$63,0)),0)*IFERROR(INDEX('D Fleet'!$J$5:$J$36,INT(($B10/H$4))+1)+(($B10/H$4)-INT(($B10/H$4)))*(INDEX('D Fleet'!$J$5:$J$36,INT(($B10/H$4))+2)-INDEX('D Fleet'!$J$5:$J$36,INT(($B10/H$4))+1)),0)</f>
        <v/>
      </c>
      <c r="I10" s="261">
        <f>IFERROR(INDEX('D Fleet'!$C$5:$C$63,MATCH(I$3-$B10,'D Fleet'!$B$5:$B$63,0)),0)*IFERROR(INDEX('D Fleet'!$J$5:$J$36,INT(($B10/I$4))+1)+(($B10/I$4)-INT(($B10/I$4)))*(INDEX('D Fleet'!$J$5:$J$36,INT(($B10/I$4))+2)-INDEX('D Fleet'!$J$5:$J$36,INT(($B10/I$4))+1)),0)</f>
        <v/>
      </c>
      <c r="J10" s="261">
        <f>IFERROR(INDEX('D Fleet'!$C$5:$C$63,MATCH(J$3-$B10,'D Fleet'!$B$5:$B$63,0)),0)*IFERROR(INDEX('D Fleet'!$J$5:$J$36,INT(($B10/J$4))+1)+(($B10/J$4)-INT(($B10/J$4)))*(INDEX('D Fleet'!$J$5:$J$36,INT(($B10/J$4))+2)-INDEX('D Fleet'!$J$5:$J$36,INT(($B10/J$4))+1)),0)</f>
        <v/>
      </c>
      <c r="K10" s="261">
        <f>IFERROR(INDEX('D Fleet'!$C$5:$C$63,MATCH(K$3-$B10,'D Fleet'!$B$5:$B$63,0)),0)*IFERROR(INDEX('D Fleet'!$J$5:$J$36,INT(($B10/K$4))+1)+(($B10/K$4)-INT(($B10/K$4)))*(INDEX('D Fleet'!$J$5:$J$36,INT(($B10/K$4))+2)-INDEX('D Fleet'!$J$5:$J$36,INT(($B10/K$4))+1)),0)</f>
        <v/>
      </c>
      <c r="L10" s="261">
        <f>IFERROR(INDEX('D Fleet'!$C$5:$C$63,MATCH(L$3-$B10,'D Fleet'!$B$5:$B$63,0)),0)*IFERROR(INDEX('D Fleet'!$J$5:$J$36,INT(($B10/L$4))+1)+(($B10/L$4)-INT(($B10/L$4)))*(INDEX('D Fleet'!$J$5:$J$36,INT(($B10/L$4))+2)-INDEX('D Fleet'!$J$5:$J$36,INT(($B10/L$4))+1)),0)</f>
        <v/>
      </c>
      <c r="M10" s="261">
        <f>IFERROR(INDEX('D Fleet'!$C$5:$C$63,MATCH(M$3-$B10,'D Fleet'!$B$5:$B$63,0)),0)*IFERROR(INDEX('D Fleet'!$J$5:$J$36,INT(($B10/M$4))+1)+(($B10/M$4)-INT(($B10/M$4)))*(INDEX('D Fleet'!$J$5:$J$36,INT(($B10/M$4))+2)-INDEX('D Fleet'!$J$5:$J$36,INT(($B10/M$4))+1)),0)</f>
        <v/>
      </c>
      <c r="N10" s="261">
        <f>IFERROR(INDEX('D Fleet'!$C$5:$C$63,MATCH(N$3-$B10,'D Fleet'!$B$5:$B$63,0)),0)*IFERROR(INDEX('D Fleet'!$J$5:$J$36,INT(($B10/N$4))+1)+(($B10/N$4)-INT(($B10/N$4)))*(INDEX('D Fleet'!$J$5:$J$36,INT(($B10/N$4))+2)-INDEX('D Fleet'!$J$5:$J$36,INT(($B10/N$4))+1)),0)</f>
        <v/>
      </c>
      <c r="P10" s="261">
        <f>E10*$D10*'E1 Fleet'!$D$97</f>
        <v/>
      </c>
      <c r="Q10" s="261">
        <f>F10*$D10*'E1 Fleet'!$D$97</f>
        <v/>
      </c>
      <c r="R10" s="261">
        <f>G10*$D10*'E1 Fleet'!$D$97</f>
        <v/>
      </c>
      <c r="S10" s="261">
        <f>H10*$D10*'E1 Fleet'!$D$97</f>
        <v/>
      </c>
      <c r="T10" s="261">
        <f>I10*$D10*'E1 Fleet'!$D$97</f>
        <v/>
      </c>
      <c r="U10" s="261">
        <f>J10*$D10*'E1 Fleet'!$D$97</f>
        <v/>
      </c>
      <c r="V10" s="261">
        <f>K10*$D10*'E1 Fleet'!$D$97</f>
        <v/>
      </c>
      <c r="W10" s="261">
        <f>L10*$D10*'E1 Fleet'!$D$97</f>
        <v/>
      </c>
      <c r="X10" s="261">
        <f>M10*$D10*'E1 Fleet'!$D$97</f>
        <v/>
      </c>
      <c r="Y10" s="261">
        <f>N10*$D10*'E1 Fleet'!$D$97</f>
        <v/>
      </c>
    </row>
    <row r="11">
      <c r="A11" t="inlineStr">
        <is>
          <t>Car</t>
        </is>
      </c>
      <c r="B11" s="331" t="n">
        <v>4</v>
      </c>
      <c r="C11" s="331" t="n">
        <v>2</v>
      </c>
      <c r="D11" s="266">
        <f>IF($B11=0,'E1 Fleet'!$D$93,1)*EXP(-'E1 Fleet'!$D$94*MAX($B11-6,0))</f>
        <v/>
      </c>
      <c r="E11" s="261">
        <f>IFERROR(INDEX('D Fleet'!$C$5:$C$63,MATCH(E$3-$B11,'D Fleet'!$B$5:$B$63,0)),0)*IFERROR(INDEX('D Fleet'!$J$5:$J$36,INT(($B11/E$4))+1)+(($B11/E$4)-INT(($B11/E$4)))*(INDEX('D Fleet'!$J$5:$J$36,INT(($B11/E$4))+2)-INDEX('D Fleet'!$J$5:$J$36,INT(($B11/E$4))+1)),0)</f>
        <v/>
      </c>
      <c r="F11" s="261">
        <f>IFERROR(INDEX('D Fleet'!$C$5:$C$63,MATCH(F$3-$B11,'D Fleet'!$B$5:$B$63,0)),0)*IFERROR(INDEX('D Fleet'!$J$5:$J$36,INT(($B11/F$4))+1)+(($B11/F$4)-INT(($B11/F$4)))*(INDEX('D Fleet'!$J$5:$J$36,INT(($B11/F$4))+2)-INDEX('D Fleet'!$J$5:$J$36,INT(($B11/F$4))+1)),0)</f>
        <v/>
      </c>
      <c r="G11" s="261">
        <f>IFERROR(INDEX('D Fleet'!$C$5:$C$63,MATCH(G$3-$B11,'D Fleet'!$B$5:$B$63,0)),0)*IFERROR(INDEX('D Fleet'!$J$5:$J$36,INT(($B11/G$4))+1)+(($B11/G$4)-INT(($B11/G$4)))*(INDEX('D Fleet'!$J$5:$J$36,INT(($B11/G$4))+2)-INDEX('D Fleet'!$J$5:$J$36,INT(($B11/G$4))+1)),0)</f>
        <v/>
      </c>
      <c r="H11" s="261">
        <f>IFERROR(INDEX('D Fleet'!$C$5:$C$63,MATCH(H$3-$B11,'D Fleet'!$B$5:$B$63,0)),0)*IFERROR(INDEX('D Fleet'!$J$5:$J$36,INT(($B11/H$4))+1)+(($B11/H$4)-INT(($B11/H$4)))*(INDEX('D Fleet'!$J$5:$J$36,INT(($B11/H$4))+2)-INDEX('D Fleet'!$J$5:$J$36,INT(($B11/H$4))+1)),0)</f>
        <v/>
      </c>
      <c r="I11" s="261">
        <f>IFERROR(INDEX('D Fleet'!$C$5:$C$63,MATCH(I$3-$B11,'D Fleet'!$B$5:$B$63,0)),0)*IFERROR(INDEX('D Fleet'!$J$5:$J$36,INT(($B11/I$4))+1)+(($B11/I$4)-INT(($B11/I$4)))*(INDEX('D Fleet'!$J$5:$J$36,INT(($B11/I$4))+2)-INDEX('D Fleet'!$J$5:$J$36,INT(($B11/I$4))+1)),0)</f>
        <v/>
      </c>
      <c r="J11" s="261">
        <f>IFERROR(INDEX('D Fleet'!$C$5:$C$63,MATCH(J$3-$B11,'D Fleet'!$B$5:$B$63,0)),0)*IFERROR(INDEX('D Fleet'!$J$5:$J$36,INT(($B11/J$4))+1)+(($B11/J$4)-INT(($B11/J$4)))*(INDEX('D Fleet'!$J$5:$J$36,INT(($B11/J$4))+2)-INDEX('D Fleet'!$J$5:$J$36,INT(($B11/J$4))+1)),0)</f>
        <v/>
      </c>
      <c r="K11" s="261">
        <f>IFERROR(INDEX('D Fleet'!$C$5:$C$63,MATCH(K$3-$B11,'D Fleet'!$B$5:$B$63,0)),0)*IFERROR(INDEX('D Fleet'!$J$5:$J$36,INT(($B11/K$4))+1)+(($B11/K$4)-INT(($B11/K$4)))*(INDEX('D Fleet'!$J$5:$J$36,INT(($B11/K$4))+2)-INDEX('D Fleet'!$J$5:$J$36,INT(($B11/K$4))+1)),0)</f>
        <v/>
      </c>
      <c r="L11" s="261">
        <f>IFERROR(INDEX('D Fleet'!$C$5:$C$63,MATCH(L$3-$B11,'D Fleet'!$B$5:$B$63,0)),0)*IFERROR(INDEX('D Fleet'!$J$5:$J$36,INT(($B11/L$4))+1)+(($B11/L$4)-INT(($B11/L$4)))*(INDEX('D Fleet'!$J$5:$J$36,INT(($B11/L$4))+2)-INDEX('D Fleet'!$J$5:$J$36,INT(($B11/L$4))+1)),0)</f>
        <v/>
      </c>
      <c r="M11" s="261">
        <f>IFERROR(INDEX('D Fleet'!$C$5:$C$63,MATCH(M$3-$B11,'D Fleet'!$B$5:$B$63,0)),0)*IFERROR(INDEX('D Fleet'!$J$5:$J$36,INT(($B11/M$4))+1)+(($B11/M$4)-INT(($B11/M$4)))*(INDEX('D Fleet'!$J$5:$J$36,INT(($B11/M$4))+2)-INDEX('D Fleet'!$J$5:$J$36,INT(($B11/M$4))+1)),0)</f>
        <v/>
      </c>
      <c r="N11" s="261">
        <f>IFERROR(INDEX('D Fleet'!$C$5:$C$63,MATCH(N$3-$B11,'D Fleet'!$B$5:$B$63,0)),0)*IFERROR(INDEX('D Fleet'!$J$5:$J$36,INT(($B11/N$4))+1)+(($B11/N$4)-INT(($B11/N$4)))*(INDEX('D Fleet'!$J$5:$J$36,INT(($B11/N$4))+2)-INDEX('D Fleet'!$J$5:$J$36,INT(($B11/N$4))+1)),0)</f>
        <v/>
      </c>
      <c r="P11" s="261">
        <f>E11*$D11*'E1 Fleet'!$D$97</f>
        <v/>
      </c>
      <c r="Q11" s="261">
        <f>F11*$D11*'E1 Fleet'!$D$97</f>
        <v/>
      </c>
      <c r="R11" s="261">
        <f>G11*$D11*'E1 Fleet'!$D$97</f>
        <v/>
      </c>
      <c r="S11" s="261">
        <f>H11*$D11*'E1 Fleet'!$D$97</f>
        <v/>
      </c>
      <c r="T11" s="261">
        <f>I11*$D11*'E1 Fleet'!$D$97</f>
        <v/>
      </c>
      <c r="U11" s="261">
        <f>J11*$D11*'E1 Fleet'!$D$97</f>
        <v/>
      </c>
      <c r="V11" s="261">
        <f>K11*$D11*'E1 Fleet'!$D$97</f>
        <v/>
      </c>
      <c r="W11" s="261">
        <f>L11*$D11*'E1 Fleet'!$D$97</f>
        <v/>
      </c>
      <c r="X11" s="261">
        <f>M11*$D11*'E1 Fleet'!$D$97</f>
        <v/>
      </c>
      <c r="Y11" s="261">
        <f>N11*$D11*'E1 Fleet'!$D$97</f>
        <v/>
      </c>
    </row>
    <row r="12">
      <c r="A12" t="inlineStr">
        <is>
          <t>Car</t>
        </is>
      </c>
      <c r="B12" s="331" t="n">
        <v>5</v>
      </c>
      <c r="C12" s="331" t="n">
        <v>2</v>
      </c>
      <c r="D12" s="266">
        <f>IF($B12=0,'E1 Fleet'!$D$93,1)*EXP(-'E1 Fleet'!$D$94*MAX($B12-6,0))</f>
        <v/>
      </c>
      <c r="E12" s="261">
        <f>IFERROR(INDEX('D Fleet'!$C$5:$C$63,MATCH(E$3-$B12,'D Fleet'!$B$5:$B$63,0)),0)*IFERROR(INDEX('D Fleet'!$J$5:$J$36,INT(($B12/E$4))+1)+(($B12/E$4)-INT(($B12/E$4)))*(INDEX('D Fleet'!$J$5:$J$36,INT(($B12/E$4))+2)-INDEX('D Fleet'!$J$5:$J$36,INT(($B12/E$4))+1)),0)</f>
        <v/>
      </c>
      <c r="F12" s="261">
        <f>IFERROR(INDEX('D Fleet'!$C$5:$C$63,MATCH(F$3-$B12,'D Fleet'!$B$5:$B$63,0)),0)*IFERROR(INDEX('D Fleet'!$J$5:$J$36,INT(($B12/F$4))+1)+(($B12/F$4)-INT(($B12/F$4)))*(INDEX('D Fleet'!$J$5:$J$36,INT(($B12/F$4))+2)-INDEX('D Fleet'!$J$5:$J$36,INT(($B12/F$4))+1)),0)</f>
        <v/>
      </c>
      <c r="G12" s="261">
        <f>IFERROR(INDEX('D Fleet'!$C$5:$C$63,MATCH(G$3-$B12,'D Fleet'!$B$5:$B$63,0)),0)*IFERROR(INDEX('D Fleet'!$J$5:$J$36,INT(($B12/G$4))+1)+(($B12/G$4)-INT(($B12/G$4)))*(INDEX('D Fleet'!$J$5:$J$36,INT(($B12/G$4))+2)-INDEX('D Fleet'!$J$5:$J$36,INT(($B12/G$4))+1)),0)</f>
        <v/>
      </c>
      <c r="H12" s="261">
        <f>IFERROR(INDEX('D Fleet'!$C$5:$C$63,MATCH(H$3-$B12,'D Fleet'!$B$5:$B$63,0)),0)*IFERROR(INDEX('D Fleet'!$J$5:$J$36,INT(($B12/H$4))+1)+(($B12/H$4)-INT(($B12/H$4)))*(INDEX('D Fleet'!$J$5:$J$36,INT(($B12/H$4))+2)-INDEX('D Fleet'!$J$5:$J$36,INT(($B12/H$4))+1)),0)</f>
        <v/>
      </c>
      <c r="I12" s="261">
        <f>IFERROR(INDEX('D Fleet'!$C$5:$C$63,MATCH(I$3-$B12,'D Fleet'!$B$5:$B$63,0)),0)*IFERROR(INDEX('D Fleet'!$J$5:$J$36,INT(($B12/I$4))+1)+(($B12/I$4)-INT(($B12/I$4)))*(INDEX('D Fleet'!$J$5:$J$36,INT(($B12/I$4))+2)-INDEX('D Fleet'!$J$5:$J$36,INT(($B12/I$4))+1)),0)</f>
        <v/>
      </c>
      <c r="J12" s="261">
        <f>IFERROR(INDEX('D Fleet'!$C$5:$C$63,MATCH(J$3-$B12,'D Fleet'!$B$5:$B$63,0)),0)*IFERROR(INDEX('D Fleet'!$J$5:$J$36,INT(($B12/J$4))+1)+(($B12/J$4)-INT(($B12/J$4)))*(INDEX('D Fleet'!$J$5:$J$36,INT(($B12/J$4))+2)-INDEX('D Fleet'!$J$5:$J$36,INT(($B12/J$4))+1)),0)</f>
        <v/>
      </c>
      <c r="K12" s="261">
        <f>IFERROR(INDEX('D Fleet'!$C$5:$C$63,MATCH(K$3-$B12,'D Fleet'!$B$5:$B$63,0)),0)*IFERROR(INDEX('D Fleet'!$J$5:$J$36,INT(($B12/K$4))+1)+(($B12/K$4)-INT(($B12/K$4)))*(INDEX('D Fleet'!$J$5:$J$36,INT(($B12/K$4))+2)-INDEX('D Fleet'!$J$5:$J$36,INT(($B12/K$4))+1)),0)</f>
        <v/>
      </c>
      <c r="L12" s="261">
        <f>IFERROR(INDEX('D Fleet'!$C$5:$C$63,MATCH(L$3-$B12,'D Fleet'!$B$5:$B$63,0)),0)*IFERROR(INDEX('D Fleet'!$J$5:$J$36,INT(($B12/L$4))+1)+(($B12/L$4)-INT(($B12/L$4)))*(INDEX('D Fleet'!$J$5:$J$36,INT(($B12/L$4))+2)-INDEX('D Fleet'!$J$5:$J$36,INT(($B12/L$4))+1)),0)</f>
        <v/>
      </c>
      <c r="M12" s="261">
        <f>IFERROR(INDEX('D Fleet'!$C$5:$C$63,MATCH(M$3-$B12,'D Fleet'!$B$5:$B$63,0)),0)*IFERROR(INDEX('D Fleet'!$J$5:$J$36,INT(($B12/M$4))+1)+(($B12/M$4)-INT(($B12/M$4)))*(INDEX('D Fleet'!$J$5:$J$36,INT(($B12/M$4))+2)-INDEX('D Fleet'!$J$5:$J$36,INT(($B12/M$4))+1)),0)</f>
        <v/>
      </c>
      <c r="N12" s="261">
        <f>IFERROR(INDEX('D Fleet'!$C$5:$C$63,MATCH(N$3-$B12,'D Fleet'!$B$5:$B$63,0)),0)*IFERROR(INDEX('D Fleet'!$J$5:$J$36,INT(($B12/N$4))+1)+(($B12/N$4)-INT(($B12/N$4)))*(INDEX('D Fleet'!$J$5:$J$36,INT(($B12/N$4))+2)-INDEX('D Fleet'!$J$5:$J$36,INT(($B12/N$4))+1)),0)</f>
        <v/>
      </c>
      <c r="P12" s="261">
        <f>E12*$D12*'E1 Fleet'!$D$97</f>
        <v/>
      </c>
      <c r="Q12" s="261">
        <f>F12*$D12*'E1 Fleet'!$D$97</f>
        <v/>
      </c>
      <c r="R12" s="261">
        <f>G12*$D12*'E1 Fleet'!$D$97</f>
        <v/>
      </c>
      <c r="S12" s="261">
        <f>H12*$D12*'E1 Fleet'!$D$97</f>
        <v/>
      </c>
      <c r="T12" s="261">
        <f>I12*$D12*'E1 Fleet'!$D$97</f>
        <v/>
      </c>
      <c r="U12" s="261">
        <f>J12*$D12*'E1 Fleet'!$D$97</f>
        <v/>
      </c>
      <c r="V12" s="261">
        <f>K12*$D12*'E1 Fleet'!$D$97</f>
        <v/>
      </c>
      <c r="W12" s="261">
        <f>L12*$D12*'E1 Fleet'!$D$97</f>
        <v/>
      </c>
      <c r="X12" s="261">
        <f>M12*$D12*'E1 Fleet'!$D$97</f>
        <v/>
      </c>
      <c r="Y12" s="261">
        <f>N12*$D12*'E1 Fleet'!$D$97</f>
        <v/>
      </c>
    </row>
    <row r="13">
      <c r="A13" t="inlineStr">
        <is>
          <t>Car</t>
        </is>
      </c>
      <c r="B13" s="331" t="n">
        <v>6</v>
      </c>
      <c r="C13" s="331" t="n">
        <v>2</v>
      </c>
      <c r="D13" s="266">
        <f>IF($B13=0,'E1 Fleet'!$D$93,1)*EXP(-'E1 Fleet'!$D$94*MAX($B13-6,0))</f>
        <v/>
      </c>
      <c r="E13" s="261">
        <f>IFERROR(INDEX('D Fleet'!$C$5:$C$63,MATCH(E$3-$B13,'D Fleet'!$B$5:$B$63,0)),0)*IFERROR(INDEX('D Fleet'!$J$5:$J$36,INT(($B13/E$4))+1)+(($B13/E$4)-INT(($B13/E$4)))*(INDEX('D Fleet'!$J$5:$J$36,INT(($B13/E$4))+2)-INDEX('D Fleet'!$J$5:$J$36,INT(($B13/E$4))+1)),0)</f>
        <v/>
      </c>
      <c r="F13" s="261">
        <f>IFERROR(INDEX('D Fleet'!$C$5:$C$63,MATCH(F$3-$B13,'D Fleet'!$B$5:$B$63,0)),0)*IFERROR(INDEX('D Fleet'!$J$5:$J$36,INT(($B13/F$4))+1)+(($B13/F$4)-INT(($B13/F$4)))*(INDEX('D Fleet'!$J$5:$J$36,INT(($B13/F$4))+2)-INDEX('D Fleet'!$J$5:$J$36,INT(($B13/F$4))+1)),0)</f>
        <v/>
      </c>
      <c r="G13" s="261">
        <f>IFERROR(INDEX('D Fleet'!$C$5:$C$63,MATCH(G$3-$B13,'D Fleet'!$B$5:$B$63,0)),0)*IFERROR(INDEX('D Fleet'!$J$5:$J$36,INT(($B13/G$4))+1)+(($B13/G$4)-INT(($B13/G$4)))*(INDEX('D Fleet'!$J$5:$J$36,INT(($B13/G$4))+2)-INDEX('D Fleet'!$J$5:$J$36,INT(($B13/G$4))+1)),0)</f>
        <v/>
      </c>
      <c r="H13" s="261">
        <f>IFERROR(INDEX('D Fleet'!$C$5:$C$63,MATCH(H$3-$B13,'D Fleet'!$B$5:$B$63,0)),0)*IFERROR(INDEX('D Fleet'!$J$5:$J$36,INT(($B13/H$4))+1)+(($B13/H$4)-INT(($B13/H$4)))*(INDEX('D Fleet'!$J$5:$J$36,INT(($B13/H$4))+2)-INDEX('D Fleet'!$J$5:$J$36,INT(($B13/H$4))+1)),0)</f>
        <v/>
      </c>
      <c r="I13" s="261">
        <f>IFERROR(INDEX('D Fleet'!$C$5:$C$63,MATCH(I$3-$B13,'D Fleet'!$B$5:$B$63,0)),0)*IFERROR(INDEX('D Fleet'!$J$5:$J$36,INT(($B13/I$4))+1)+(($B13/I$4)-INT(($B13/I$4)))*(INDEX('D Fleet'!$J$5:$J$36,INT(($B13/I$4))+2)-INDEX('D Fleet'!$J$5:$J$36,INT(($B13/I$4))+1)),0)</f>
        <v/>
      </c>
      <c r="J13" s="261">
        <f>IFERROR(INDEX('D Fleet'!$C$5:$C$63,MATCH(J$3-$B13,'D Fleet'!$B$5:$B$63,0)),0)*IFERROR(INDEX('D Fleet'!$J$5:$J$36,INT(($B13/J$4))+1)+(($B13/J$4)-INT(($B13/J$4)))*(INDEX('D Fleet'!$J$5:$J$36,INT(($B13/J$4))+2)-INDEX('D Fleet'!$J$5:$J$36,INT(($B13/J$4))+1)),0)</f>
        <v/>
      </c>
      <c r="K13" s="261">
        <f>IFERROR(INDEX('D Fleet'!$C$5:$C$63,MATCH(K$3-$B13,'D Fleet'!$B$5:$B$63,0)),0)*IFERROR(INDEX('D Fleet'!$J$5:$J$36,INT(($B13/K$4))+1)+(($B13/K$4)-INT(($B13/K$4)))*(INDEX('D Fleet'!$J$5:$J$36,INT(($B13/K$4))+2)-INDEX('D Fleet'!$J$5:$J$36,INT(($B13/K$4))+1)),0)</f>
        <v/>
      </c>
      <c r="L13" s="261">
        <f>IFERROR(INDEX('D Fleet'!$C$5:$C$63,MATCH(L$3-$B13,'D Fleet'!$B$5:$B$63,0)),0)*IFERROR(INDEX('D Fleet'!$J$5:$J$36,INT(($B13/L$4))+1)+(($B13/L$4)-INT(($B13/L$4)))*(INDEX('D Fleet'!$J$5:$J$36,INT(($B13/L$4))+2)-INDEX('D Fleet'!$J$5:$J$36,INT(($B13/L$4))+1)),0)</f>
        <v/>
      </c>
      <c r="M13" s="261">
        <f>IFERROR(INDEX('D Fleet'!$C$5:$C$63,MATCH(M$3-$B13,'D Fleet'!$B$5:$B$63,0)),0)*IFERROR(INDEX('D Fleet'!$J$5:$J$36,INT(($B13/M$4))+1)+(($B13/M$4)-INT(($B13/M$4)))*(INDEX('D Fleet'!$J$5:$J$36,INT(($B13/M$4))+2)-INDEX('D Fleet'!$J$5:$J$36,INT(($B13/M$4))+1)),0)</f>
        <v/>
      </c>
      <c r="N13" s="261">
        <f>IFERROR(INDEX('D Fleet'!$C$5:$C$63,MATCH(N$3-$B13,'D Fleet'!$B$5:$B$63,0)),0)*IFERROR(INDEX('D Fleet'!$J$5:$J$36,INT(($B13/N$4))+1)+(($B13/N$4)-INT(($B13/N$4)))*(INDEX('D Fleet'!$J$5:$J$36,INT(($B13/N$4))+2)-INDEX('D Fleet'!$J$5:$J$36,INT(($B13/N$4))+1)),0)</f>
        <v/>
      </c>
      <c r="P13" s="261">
        <f>E13*$D13*'E1 Fleet'!$D$97</f>
        <v/>
      </c>
      <c r="Q13" s="261">
        <f>F13*$D13*'E1 Fleet'!$D$97</f>
        <v/>
      </c>
      <c r="R13" s="261">
        <f>G13*$D13*'E1 Fleet'!$D$97</f>
        <v/>
      </c>
      <c r="S13" s="261">
        <f>H13*$D13*'E1 Fleet'!$D$97</f>
        <v/>
      </c>
      <c r="T13" s="261">
        <f>I13*$D13*'E1 Fleet'!$D$97</f>
        <v/>
      </c>
      <c r="U13" s="261">
        <f>J13*$D13*'E1 Fleet'!$D$97</f>
        <v/>
      </c>
      <c r="V13" s="261">
        <f>K13*$D13*'E1 Fleet'!$D$97</f>
        <v/>
      </c>
      <c r="W13" s="261">
        <f>L13*$D13*'E1 Fleet'!$D$97</f>
        <v/>
      </c>
      <c r="X13" s="261">
        <f>M13*$D13*'E1 Fleet'!$D$97</f>
        <v/>
      </c>
      <c r="Y13" s="261">
        <f>N13*$D13*'E1 Fleet'!$D$97</f>
        <v/>
      </c>
    </row>
    <row r="14">
      <c r="A14" t="inlineStr">
        <is>
          <t>Car</t>
        </is>
      </c>
      <c r="B14" s="331" t="n">
        <v>7</v>
      </c>
      <c r="C14" s="331" t="n">
        <v>3</v>
      </c>
      <c r="D14" s="266">
        <f>IF($B14=0,'E1 Fleet'!$D$93,1)*EXP(-'E1 Fleet'!$D$94*MAX($B14-6,0))</f>
        <v/>
      </c>
      <c r="E14" s="261">
        <f>IFERROR(INDEX('D Fleet'!$C$5:$C$63,MATCH(E$3-$B14,'D Fleet'!$B$5:$B$63,0)),0)*IFERROR(INDEX('D Fleet'!$J$5:$J$36,INT(($B14/E$4))+1)+(($B14/E$4)-INT(($B14/E$4)))*(INDEX('D Fleet'!$J$5:$J$36,INT(($B14/E$4))+2)-INDEX('D Fleet'!$J$5:$J$36,INT(($B14/E$4))+1)),0)</f>
        <v/>
      </c>
      <c r="F14" s="261">
        <f>IFERROR(INDEX('D Fleet'!$C$5:$C$63,MATCH(F$3-$B14,'D Fleet'!$B$5:$B$63,0)),0)*IFERROR(INDEX('D Fleet'!$J$5:$J$36,INT(($B14/F$4))+1)+(($B14/F$4)-INT(($B14/F$4)))*(INDEX('D Fleet'!$J$5:$J$36,INT(($B14/F$4))+2)-INDEX('D Fleet'!$J$5:$J$36,INT(($B14/F$4))+1)),0)</f>
        <v/>
      </c>
      <c r="G14" s="261">
        <f>IFERROR(INDEX('D Fleet'!$C$5:$C$63,MATCH(G$3-$B14,'D Fleet'!$B$5:$B$63,0)),0)*IFERROR(INDEX('D Fleet'!$J$5:$J$36,INT(($B14/G$4))+1)+(($B14/G$4)-INT(($B14/G$4)))*(INDEX('D Fleet'!$J$5:$J$36,INT(($B14/G$4))+2)-INDEX('D Fleet'!$J$5:$J$36,INT(($B14/G$4))+1)),0)</f>
        <v/>
      </c>
      <c r="H14" s="261">
        <f>IFERROR(INDEX('D Fleet'!$C$5:$C$63,MATCH(H$3-$B14,'D Fleet'!$B$5:$B$63,0)),0)*IFERROR(INDEX('D Fleet'!$J$5:$J$36,INT(($B14/H$4))+1)+(($B14/H$4)-INT(($B14/H$4)))*(INDEX('D Fleet'!$J$5:$J$36,INT(($B14/H$4))+2)-INDEX('D Fleet'!$J$5:$J$36,INT(($B14/H$4))+1)),0)</f>
        <v/>
      </c>
      <c r="I14" s="261">
        <f>IFERROR(INDEX('D Fleet'!$C$5:$C$63,MATCH(I$3-$B14,'D Fleet'!$B$5:$B$63,0)),0)*IFERROR(INDEX('D Fleet'!$J$5:$J$36,INT(($B14/I$4))+1)+(($B14/I$4)-INT(($B14/I$4)))*(INDEX('D Fleet'!$J$5:$J$36,INT(($B14/I$4))+2)-INDEX('D Fleet'!$J$5:$J$36,INT(($B14/I$4))+1)),0)</f>
        <v/>
      </c>
      <c r="J14" s="261">
        <f>IFERROR(INDEX('D Fleet'!$C$5:$C$63,MATCH(J$3-$B14,'D Fleet'!$B$5:$B$63,0)),0)*IFERROR(INDEX('D Fleet'!$J$5:$J$36,INT(($B14/J$4))+1)+(($B14/J$4)-INT(($B14/J$4)))*(INDEX('D Fleet'!$J$5:$J$36,INT(($B14/J$4))+2)-INDEX('D Fleet'!$J$5:$J$36,INT(($B14/J$4))+1)),0)</f>
        <v/>
      </c>
      <c r="K14" s="261">
        <f>IFERROR(INDEX('D Fleet'!$C$5:$C$63,MATCH(K$3-$B14,'D Fleet'!$B$5:$B$63,0)),0)*IFERROR(INDEX('D Fleet'!$J$5:$J$36,INT(($B14/K$4))+1)+(($B14/K$4)-INT(($B14/K$4)))*(INDEX('D Fleet'!$J$5:$J$36,INT(($B14/K$4))+2)-INDEX('D Fleet'!$J$5:$J$36,INT(($B14/K$4))+1)),0)</f>
        <v/>
      </c>
      <c r="L14" s="261">
        <f>IFERROR(INDEX('D Fleet'!$C$5:$C$63,MATCH(L$3-$B14,'D Fleet'!$B$5:$B$63,0)),0)*IFERROR(INDEX('D Fleet'!$J$5:$J$36,INT(($B14/L$4))+1)+(($B14/L$4)-INT(($B14/L$4)))*(INDEX('D Fleet'!$J$5:$J$36,INT(($B14/L$4))+2)-INDEX('D Fleet'!$J$5:$J$36,INT(($B14/L$4))+1)),0)</f>
        <v/>
      </c>
      <c r="M14" s="261">
        <f>IFERROR(INDEX('D Fleet'!$C$5:$C$63,MATCH(M$3-$B14,'D Fleet'!$B$5:$B$63,0)),0)*IFERROR(INDEX('D Fleet'!$J$5:$J$36,INT(($B14/M$4))+1)+(($B14/M$4)-INT(($B14/M$4)))*(INDEX('D Fleet'!$J$5:$J$36,INT(($B14/M$4))+2)-INDEX('D Fleet'!$J$5:$J$36,INT(($B14/M$4))+1)),0)</f>
        <v/>
      </c>
      <c r="N14" s="261">
        <f>IFERROR(INDEX('D Fleet'!$C$5:$C$63,MATCH(N$3-$B14,'D Fleet'!$B$5:$B$63,0)),0)*IFERROR(INDEX('D Fleet'!$J$5:$J$36,INT(($B14/N$4))+1)+(($B14/N$4)-INT(($B14/N$4)))*(INDEX('D Fleet'!$J$5:$J$36,INT(($B14/N$4))+2)-INDEX('D Fleet'!$J$5:$J$36,INT(($B14/N$4))+1)),0)</f>
        <v/>
      </c>
      <c r="P14" s="261">
        <f>E14*$D14*'E1 Fleet'!$D$97</f>
        <v/>
      </c>
      <c r="Q14" s="261">
        <f>F14*$D14*'E1 Fleet'!$D$97</f>
        <v/>
      </c>
      <c r="R14" s="261">
        <f>G14*$D14*'E1 Fleet'!$D$97</f>
        <v/>
      </c>
      <c r="S14" s="261">
        <f>H14*$D14*'E1 Fleet'!$D$97</f>
        <v/>
      </c>
      <c r="T14" s="261">
        <f>I14*$D14*'E1 Fleet'!$D$97</f>
        <v/>
      </c>
      <c r="U14" s="261">
        <f>J14*$D14*'E1 Fleet'!$D$97</f>
        <v/>
      </c>
      <c r="V14" s="261">
        <f>K14*$D14*'E1 Fleet'!$D$97</f>
        <v/>
      </c>
      <c r="W14" s="261">
        <f>L14*$D14*'E1 Fleet'!$D$97</f>
        <v/>
      </c>
      <c r="X14" s="261">
        <f>M14*$D14*'E1 Fleet'!$D$97</f>
        <v/>
      </c>
      <c r="Y14" s="261">
        <f>N14*$D14*'E1 Fleet'!$D$97</f>
        <v/>
      </c>
    </row>
    <row r="15">
      <c r="A15" t="inlineStr">
        <is>
          <t>Car</t>
        </is>
      </c>
      <c r="B15" s="331" t="n">
        <v>8</v>
      </c>
      <c r="C15" s="331" t="n">
        <v>3</v>
      </c>
      <c r="D15" s="266">
        <f>IF($B15=0,'E1 Fleet'!$D$93,1)*EXP(-'E1 Fleet'!$D$94*MAX($B15-6,0))</f>
        <v/>
      </c>
      <c r="E15" s="261">
        <f>IFERROR(INDEX('D Fleet'!$C$5:$C$63,MATCH(E$3-$B15,'D Fleet'!$B$5:$B$63,0)),0)*IFERROR(INDEX('D Fleet'!$J$5:$J$36,INT(($B15/E$4))+1)+(($B15/E$4)-INT(($B15/E$4)))*(INDEX('D Fleet'!$J$5:$J$36,INT(($B15/E$4))+2)-INDEX('D Fleet'!$J$5:$J$36,INT(($B15/E$4))+1)),0)</f>
        <v/>
      </c>
      <c r="F15" s="261">
        <f>IFERROR(INDEX('D Fleet'!$C$5:$C$63,MATCH(F$3-$B15,'D Fleet'!$B$5:$B$63,0)),0)*IFERROR(INDEX('D Fleet'!$J$5:$J$36,INT(($B15/F$4))+1)+(($B15/F$4)-INT(($B15/F$4)))*(INDEX('D Fleet'!$J$5:$J$36,INT(($B15/F$4))+2)-INDEX('D Fleet'!$J$5:$J$36,INT(($B15/F$4))+1)),0)</f>
        <v/>
      </c>
      <c r="G15" s="261">
        <f>IFERROR(INDEX('D Fleet'!$C$5:$C$63,MATCH(G$3-$B15,'D Fleet'!$B$5:$B$63,0)),0)*IFERROR(INDEX('D Fleet'!$J$5:$J$36,INT(($B15/G$4))+1)+(($B15/G$4)-INT(($B15/G$4)))*(INDEX('D Fleet'!$J$5:$J$36,INT(($B15/G$4))+2)-INDEX('D Fleet'!$J$5:$J$36,INT(($B15/G$4))+1)),0)</f>
        <v/>
      </c>
      <c r="H15" s="261">
        <f>IFERROR(INDEX('D Fleet'!$C$5:$C$63,MATCH(H$3-$B15,'D Fleet'!$B$5:$B$63,0)),0)*IFERROR(INDEX('D Fleet'!$J$5:$J$36,INT(($B15/H$4))+1)+(($B15/H$4)-INT(($B15/H$4)))*(INDEX('D Fleet'!$J$5:$J$36,INT(($B15/H$4))+2)-INDEX('D Fleet'!$J$5:$J$36,INT(($B15/H$4))+1)),0)</f>
        <v/>
      </c>
      <c r="I15" s="261">
        <f>IFERROR(INDEX('D Fleet'!$C$5:$C$63,MATCH(I$3-$B15,'D Fleet'!$B$5:$B$63,0)),0)*IFERROR(INDEX('D Fleet'!$J$5:$J$36,INT(($B15/I$4))+1)+(($B15/I$4)-INT(($B15/I$4)))*(INDEX('D Fleet'!$J$5:$J$36,INT(($B15/I$4))+2)-INDEX('D Fleet'!$J$5:$J$36,INT(($B15/I$4))+1)),0)</f>
        <v/>
      </c>
      <c r="J15" s="261">
        <f>IFERROR(INDEX('D Fleet'!$C$5:$C$63,MATCH(J$3-$B15,'D Fleet'!$B$5:$B$63,0)),0)*IFERROR(INDEX('D Fleet'!$J$5:$J$36,INT(($B15/J$4))+1)+(($B15/J$4)-INT(($B15/J$4)))*(INDEX('D Fleet'!$J$5:$J$36,INT(($B15/J$4))+2)-INDEX('D Fleet'!$J$5:$J$36,INT(($B15/J$4))+1)),0)</f>
        <v/>
      </c>
      <c r="K15" s="261">
        <f>IFERROR(INDEX('D Fleet'!$C$5:$C$63,MATCH(K$3-$B15,'D Fleet'!$B$5:$B$63,0)),0)*IFERROR(INDEX('D Fleet'!$J$5:$J$36,INT(($B15/K$4))+1)+(($B15/K$4)-INT(($B15/K$4)))*(INDEX('D Fleet'!$J$5:$J$36,INT(($B15/K$4))+2)-INDEX('D Fleet'!$J$5:$J$36,INT(($B15/K$4))+1)),0)</f>
        <v/>
      </c>
      <c r="L15" s="261">
        <f>IFERROR(INDEX('D Fleet'!$C$5:$C$63,MATCH(L$3-$B15,'D Fleet'!$B$5:$B$63,0)),0)*IFERROR(INDEX('D Fleet'!$J$5:$J$36,INT(($B15/L$4))+1)+(($B15/L$4)-INT(($B15/L$4)))*(INDEX('D Fleet'!$J$5:$J$36,INT(($B15/L$4))+2)-INDEX('D Fleet'!$J$5:$J$36,INT(($B15/L$4))+1)),0)</f>
        <v/>
      </c>
      <c r="M15" s="261">
        <f>IFERROR(INDEX('D Fleet'!$C$5:$C$63,MATCH(M$3-$B15,'D Fleet'!$B$5:$B$63,0)),0)*IFERROR(INDEX('D Fleet'!$J$5:$J$36,INT(($B15/M$4))+1)+(($B15/M$4)-INT(($B15/M$4)))*(INDEX('D Fleet'!$J$5:$J$36,INT(($B15/M$4))+2)-INDEX('D Fleet'!$J$5:$J$36,INT(($B15/M$4))+1)),0)</f>
        <v/>
      </c>
      <c r="N15" s="261">
        <f>IFERROR(INDEX('D Fleet'!$C$5:$C$63,MATCH(N$3-$B15,'D Fleet'!$B$5:$B$63,0)),0)*IFERROR(INDEX('D Fleet'!$J$5:$J$36,INT(($B15/N$4))+1)+(($B15/N$4)-INT(($B15/N$4)))*(INDEX('D Fleet'!$J$5:$J$36,INT(($B15/N$4))+2)-INDEX('D Fleet'!$J$5:$J$36,INT(($B15/N$4))+1)),0)</f>
        <v/>
      </c>
      <c r="P15" s="261">
        <f>E15*$D15*'E1 Fleet'!$D$97</f>
        <v/>
      </c>
      <c r="Q15" s="261">
        <f>F15*$D15*'E1 Fleet'!$D$97</f>
        <v/>
      </c>
      <c r="R15" s="261">
        <f>G15*$D15*'E1 Fleet'!$D$97</f>
        <v/>
      </c>
      <c r="S15" s="261">
        <f>H15*$D15*'E1 Fleet'!$D$97</f>
        <v/>
      </c>
      <c r="T15" s="261">
        <f>I15*$D15*'E1 Fleet'!$D$97</f>
        <v/>
      </c>
      <c r="U15" s="261">
        <f>J15*$D15*'E1 Fleet'!$D$97</f>
        <v/>
      </c>
      <c r="V15" s="261">
        <f>K15*$D15*'E1 Fleet'!$D$97</f>
        <v/>
      </c>
      <c r="W15" s="261">
        <f>L15*$D15*'E1 Fleet'!$D$97</f>
        <v/>
      </c>
      <c r="X15" s="261">
        <f>M15*$D15*'E1 Fleet'!$D$97</f>
        <v/>
      </c>
      <c r="Y15" s="261">
        <f>N15*$D15*'E1 Fleet'!$D$97</f>
        <v/>
      </c>
    </row>
    <row r="16">
      <c r="A16" t="inlineStr">
        <is>
          <t>Car</t>
        </is>
      </c>
      <c r="B16" s="331" t="n">
        <v>9</v>
      </c>
      <c r="C16" s="331" t="n">
        <v>3</v>
      </c>
      <c r="D16" s="266">
        <f>IF($B16=0,'E1 Fleet'!$D$93,1)*EXP(-'E1 Fleet'!$D$94*MAX($B16-6,0))</f>
        <v/>
      </c>
      <c r="E16" s="261">
        <f>IFERROR(INDEX('D Fleet'!$C$5:$C$63,MATCH(E$3-$B16,'D Fleet'!$B$5:$B$63,0)),0)*IFERROR(INDEX('D Fleet'!$J$5:$J$36,INT(($B16/E$4))+1)+(($B16/E$4)-INT(($B16/E$4)))*(INDEX('D Fleet'!$J$5:$J$36,INT(($B16/E$4))+2)-INDEX('D Fleet'!$J$5:$J$36,INT(($B16/E$4))+1)),0)</f>
        <v/>
      </c>
      <c r="F16" s="261">
        <f>IFERROR(INDEX('D Fleet'!$C$5:$C$63,MATCH(F$3-$B16,'D Fleet'!$B$5:$B$63,0)),0)*IFERROR(INDEX('D Fleet'!$J$5:$J$36,INT(($B16/F$4))+1)+(($B16/F$4)-INT(($B16/F$4)))*(INDEX('D Fleet'!$J$5:$J$36,INT(($B16/F$4))+2)-INDEX('D Fleet'!$J$5:$J$36,INT(($B16/F$4))+1)),0)</f>
        <v/>
      </c>
      <c r="G16" s="261">
        <f>IFERROR(INDEX('D Fleet'!$C$5:$C$63,MATCH(G$3-$B16,'D Fleet'!$B$5:$B$63,0)),0)*IFERROR(INDEX('D Fleet'!$J$5:$J$36,INT(($B16/G$4))+1)+(($B16/G$4)-INT(($B16/G$4)))*(INDEX('D Fleet'!$J$5:$J$36,INT(($B16/G$4))+2)-INDEX('D Fleet'!$J$5:$J$36,INT(($B16/G$4))+1)),0)</f>
        <v/>
      </c>
      <c r="H16" s="261">
        <f>IFERROR(INDEX('D Fleet'!$C$5:$C$63,MATCH(H$3-$B16,'D Fleet'!$B$5:$B$63,0)),0)*IFERROR(INDEX('D Fleet'!$J$5:$J$36,INT(($B16/H$4))+1)+(($B16/H$4)-INT(($B16/H$4)))*(INDEX('D Fleet'!$J$5:$J$36,INT(($B16/H$4))+2)-INDEX('D Fleet'!$J$5:$J$36,INT(($B16/H$4))+1)),0)</f>
        <v/>
      </c>
      <c r="I16" s="261">
        <f>IFERROR(INDEX('D Fleet'!$C$5:$C$63,MATCH(I$3-$B16,'D Fleet'!$B$5:$B$63,0)),0)*IFERROR(INDEX('D Fleet'!$J$5:$J$36,INT(($B16/I$4))+1)+(($B16/I$4)-INT(($B16/I$4)))*(INDEX('D Fleet'!$J$5:$J$36,INT(($B16/I$4))+2)-INDEX('D Fleet'!$J$5:$J$36,INT(($B16/I$4))+1)),0)</f>
        <v/>
      </c>
      <c r="J16" s="261">
        <f>IFERROR(INDEX('D Fleet'!$C$5:$C$63,MATCH(J$3-$B16,'D Fleet'!$B$5:$B$63,0)),0)*IFERROR(INDEX('D Fleet'!$J$5:$J$36,INT(($B16/J$4))+1)+(($B16/J$4)-INT(($B16/J$4)))*(INDEX('D Fleet'!$J$5:$J$36,INT(($B16/J$4))+2)-INDEX('D Fleet'!$J$5:$J$36,INT(($B16/J$4))+1)),0)</f>
        <v/>
      </c>
      <c r="K16" s="261">
        <f>IFERROR(INDEX('D Fleet'!$C$5:$C$63,MATCH(K$3-$B16,'D Fleet'!$B$5:$B$63,0)),0)*IFERROR(INDEX('D Fleet'!$J$5:$J$36,INT(($B16/K$4))+1)+(($B16/K$4)-INT(($B16/K$4)))*(INDEX('D Fleet'!$J$5:$J$36,INT(($B16/K$4))+2)-INDEX('D Fleet'!$J$5:$J$36,INT(($B16/K$4))+1)),0)</f>
        <v/>
      </c>
      <c r="L16" s="261">
        <f>IFERROR(INDEX('D Fleet'!$C$5:$C$63,MATCH(L$3-$B16,'D Fleet'!$B$5:$B$63,0)),0)*IFERROR(INDEX('D Fleet'!$J$5:$J$36,INT(($B16/L$4))+1)+(($B16/L$4)-INT(($B16/L$4)))*(INDEX('D Fleet'!$J$5:$J$36,INT(($B16/L$4))+2)-INDEX('D Fleet'!$J$5:$J$36,INT(($B16/L$4))+1)),0)</f>
        <v/>
      </c>
      <c r="M16" s="261">
        <f>IFERROR(INDEX('D Fleet'!$C$5:$C$63,MATCH(M$3-$B16,'D Fleet'!$B$5:$B$63,0)),0)*IFERROR(INDEX('D Fleet'!$J$5:$J$36,INT(($B16/M$4))+1)+(($B16/M$4)-INT(($B16/M$4)))*(INDEX('D Fleet'!$J$5:$J$36,INT(($B16/M$4))+2)-INDEX('D Fleet'!$J$5:$J$36,INT(($B16/M$4))+1)),0)</f>
        <v/>
      </c>
      <c r="N16" s="261">
        <f>IFERROR(INDEX('D Fleet'!$C$5:$C$63,MATCH(N$3-$B16,'D Fleet'!$B$5:$B$63,0)),0)*IFERROR(INDEX('D Fleet'!$J$5:$J$36,INT(($B16/N$4))+1)+(($B16/N$4)-INT(($B16/N$4)))*(INDEX('D Fleet'!$J$5:$J$36,INT(($B16/N$4))+2)-INDEX('D Fleet'!$J$5:$J$36,INT(($B16/N$4))+1)),0)</f>
        <v/>
      </c>
      <c r="P16" s="261">
        <f>E16*$D16*'E1 Fleet'!$D$97</f>
        <v/>
      </c>
      <c r="Q16" s="261">
        <f>F16*$D16*'E1 Fleet'!$D$97</f>
        <v/>
      </c>
      <c r="R16" s="261">
        <f>G16*$D16*'E1 Fleet'!$D$97</f>
        <v/>
      </c>
      <c r="S16" s="261">
        <f>H16*$D16*'E1 Fleet'!$D$97</f>
        <v/>
      </c>
      <c r="T16" s="261">
        <f>I16*$D16*'E1 Fleet'!$D$97</f>
        <v/>
      </c>
      <c r="U16" s="261">
        <f>J16*$D16*'E1 Fleet'!$D$97</f>
        <v/>
      </c>
      <c r="V16" s="261">
        <f>K16*$D16*'E1 Fleet'!$D$97</f>
        <v/>
      </c>
      <c r="W16" s="261">
        <f>L16*$D16*'E1 Fleet'!$D$97</f>
        <v/>
      </c>
      <c r="X16" s="261">
        <f>M16*$D16*'E1 Fleet'!$D$97</f>
        <v/>
      </c>
      <c r="Y16" s="261">
        <f>N16*$D16*'E1 Fleet'!$D$97</f>
        <v/>
      </c>
    </row>
    <row r="17">
      <c r="A17" t="inlineStr">
        <is>
          <t>Car</t>
        </is>
      </c>
      <c r="B17" s="331" t="n">
        <v>10</v>
      </c>
      <c r="C17" s="331" t="n">
        <v>3</v>
      </c>
      <c r="D17" s="266">
        <f>IF($B17=0,'E1 Fleet'!$D$93,1)*EXP(-'E1 Fleet'!$D$94*MAX($B17-6,0))</f>
        <v/>
      </c>
      <c r="E17" s="261">
        <f>IFERROR(INDEX('D Fleet'!$C$5:$C$63,MATCH(E$3-$B17,'D Fleet'!$B$5:$B$63,0)),0)*IFERROR(INDEX('D Fleet'!$J$5:$J$36,INT(($B17/E$4))+1)+(($B17/E$4)-INT(($B17/E$4)))*(INDEX('D Fleet'!$J$5:$J$36,INT(($B17/E$4))+2)-INDEX('D Fleet'!$J$5:$J$36,INT(($B17/E$4))+1)),0)</f>
        <v/>
      </c>
      <c r="F17" s="261">
        <f>IFERROR(INDEX('D Fleet'!$C$5:$C$63,MATCH(F$3-$B17,'D Fleet'!$B$5:$B$63,0)),0)*IFERROR(INDEX('D Fleet'!$J$5:$J$36,INT(($B17/F$4))+1)+(($B17/F$4)-INT(($B17/F$4)))*(INDEX('D Fleet'!$J$5:$J$36,INT(($B17/F$4))+2)-INDEX('D Fleet'!$J$5:$J$36,INT(($B17/F$4))+1)),0)</f>
        <v/>
      </c>
      <c r="G17" s="261">
        <f>IFERROR(INDEX('D Fleet'!$C$5:$C$63,MATCH(G$3-$B17,'D Fleet'!$B$5:$B$63,0)),0)*IFERROR(INDEX('D Fleet'!$J$5:$J$36,INT(($B17/G$4))+1)+(($B17/G$4)-INT(($B17/G$4)))*(INDEX('D Fleet'!$J$5:$J$36,INT(($B17/G$4))+2)-INDEX('D Fleet'!$J$5:$J$36,INT(($B17/G$4))+1)),0)</f>
        <v/>
      </c>
      <c r="H17" s="261">
        <f>IFERROR(INDEX('D Fleet'!$C$5:$C$63,MATCH(H$3-$B17,'D Fleet'!$B$5:$B$63,0)),0)*IFERROR(INDEX('D Fleet'!$J$5:$J$36,INT(($B17/H$4))+1)+(($B17/H$4)-INT(($B17/H$4)))*(INDEX('D Fleet'!$J$5:$J$36,INT(($B17/H$4))+2)-INDEX('D Fleet'!$J$5:$J$36,INT(($B17/H$4))+1)),0)</f>
        <v/>
      </c>
      <c r="I17" s="261">
        <f>IFERROR(INDEX('D Fleet'!$C$5:$C$63,MATCH(I$3-$B17,'D Fleet'!$B$5:$B$63,0)),0)*IFERROR(INDEX('D Fleet'!$J$5:$J$36,INT(($B17/I$4))+1)+(($B17/I$4)-INT(($B17/I$4)))*(INDEX('D Fleet'!$J$5:$J$36,INT(($B17/I$4))+2)-INDEX('D Fleet'!$J$5:$J$36,INT(($B17/I$4))+1)),0)</f>
        <v/>
      </c>
      <c r="J17" s="261">
        <f>IFERROR(INDEX('D Fleet'!$C$5:$C$63,MATCH(J$3-$B17,'D Fleet'!$B$5:$B$63,0)),0)*IFERROR(INDEX('D Fleet'!$J$5:$J$36,INT(($B17/J$4))+1)+(($B17/J$4)-INT(($B17/J$4)))*(INDEX('D Fleet'!$J$5:$J$36,INT(($B17/J$4))+2)-INDEX('D Fleet'!$J$5:$J$36,INT(($B17/J$4))+1)),0)</f>
        <v/>
      </c>
      <c r="K17" s="261">
        <f>IFERROR(INDEX('D Fleet'!$C$5:$C$63,MATCH(K$3-$B17,'D Fleet'!$B$5:$B$63,0)),0)*IFERROR(INDEX('D Fleet'!$J$5:$J$36,INT(($B17/K$4))+1)+(($B17/K$4)-INT(($B17/K$4)))*(INDEX('D Fleet'!$J$5:$J$36,INT(($B17/K$4))+2)-INDEX('D Fleet'!$J$5:$J$36,INT(($B17/K$4))+1)),0)</f>
        <v/>
      </c>
      <c r="L17" s="261">
        <f>IFERROR(INDEX('D Fleet'!$C$5:$C$63,MATCH(L$3-$B17,'D Fleet'!$B$5:$B$63,0)),0)*IFERROR(INDEX('D Fleet'!$J$5:$J$36,INT(($B17/L$4))+1)+(($B17/L$4)-INT(($B17/L$4)))*(INDEX('D Fleet'!$J$5:$J$36,INT(($B17/L$4))+2)-INDEX('D Fleet'!$J$5:$J$36,INT(($B17/L$4))+1)),0)</f>
        <v/>
      </c>
      <c r="M17" s="261">
        <f>IFERROR(INDEX('D Fleet'!$C$5:$C$63,MATCH(M$3-$B17,'D Fleet'!$B$5:$B$63,0)),0)*IFERROR(INDEX('D Fleet'!$J$5:$J$36,INT(($B17/M$4))+1)+(($B17/M$4)-INT(($B17/M$4)))*(INDEX('D Fleet'!$J$5:$J$36,INT(($B17/M$4))+2)-INDEX('D Fleet'!$J$5:$J$36,INT(($B17/M$4))+1)),0)</f>
        <v/>
      </c>
      <c r="N17" s="261">
        <f>IFERROR(INDEX('D Fleet'!$C$5:$C$63,MATCH(N$3-$B17,'D Fleet'!$B$5:$B$63,0)),0)*IFERROR(INDEX('D Fleet'!$J$5:$J$36,INT(($B17/N$4))+1)+(($B17/N$4)-INT(($B17/N$4)))*(INDEX('D Fleet'!$J$5:$J$36,INT(($B17/N$4))+2)-INDEX('D Fleet'!$J$5:$J$36,INT(($B17/N$4))+1)),0)</f>
        <v/>
      </c>
      <c r="P17" s="261">
        <f>E17*$D17*'E1 Fleet'!$D$97</f>
        <v/>
      </c>
      <c r="Q17" s="261">
        <f>F17*$D17*'E1 Fleet'!$D$97</f>
        <v/>
      </c>
      <c r="R17" s="261">
        <f>G17*$D17*'E1 Fleet'!$D$97</f>
        <v/>
      </c>
      <c r="S17" s="261">
        <f>H17*$D17*'E1 Fleet'!$D$97</f>
        <v/>
      </c>
      <c r="T17" s="261">
        <f>I17*$D17*'E1 Fleet'!$D$97</f>
        <v/>
      </c>
      <c r="U17" s="261">
        <f>J17*$D17*'E1 Fleet'!$D$97</f>
        <v/>
      </c>
      <c r="V17" s="261">
        <f>K17*$D17*'E1 Fleet'!$D$97</f>
        <v/>
      </c>
      <c r="W17" s="261">
        <f>L17*$D17*'E1 Fleet'!$D$97</f>
        <v/>
      </c>
      <c r="X17" s="261">
        <f>M17*$D17*'E1 Fleet'!$D$97</f>
        <v/>
      </c>
      <c r="Y17" s="261">
        <f>N17*$D17*'E1 Fleet'!$D$97</f>
        <v/>
      </c>
    </row>
    <row r="18">
      <c r="A18" t="inlineStr">
        <is>
          <t>Car</t>
        </is>
      </c>
      <c r="B18" s="331" t="n">
        <v>11</v>
      </c>
      <c r="C18" s="331" t="n">
        <v>3</v>
      </c>
      <c r="D18" s="266">
        <f>IF($B18=0,'E1 Fleet'!$D$93,1)*EXP(-'E1 Fleet'!$D$94*MAX($B18-6,0))</f>
        <v/>
      </c>
      <c r="E18" s="261">
        <f>IFERROR(INDEX('D Fleet'!$C$5:$C$63,MATCH(E$3-$B18,'D Fleet'!$B$5:$B$63,0)),0)*IFERROR(INDEX('D Fleet'!$J$5:$J$36,INT(($B18/E$4))+1)+(($B18/E$4)-INT(($B18/E$4)))*(INDEX('D Fleet'!$J$5:$J$36,INT(($B18/E$4))+2)-INDEX('D Fleet'!$J$5:$J$36,INT(($B18/E$4))+1)),0)</f>
        <v/>
      </c>
      <c r="F18" s="261">
        <f>IFERROR(INDEX('D Fleet'!$C$5:$C$63,MATCH(F$3-$B18,'D Fleet'!$B$5:$B$63,0)),0)*IFERROR(INDEX('D Fleet'!$J$5:$J$36,INT(($B18/F$4))+1)+(($B18/F$4)-INT(($B18/F$4)))*(INDEX('D Fleet'!$J$5:$J$36,INT(($B18/F$4))+2)-INDEX('D Fleet'!$J$5:$J$36,INT(($B18/F$4))+1)),0)</f>
        <v/>
      </c>
      <c r="G18" s="261">
        <f>IFERROR(INDEX('D Fleet'!$C$5:$C$63,MATCH(G$3-$B18,'D Fleet'!$B$5:$B$63,0)),0)*IFERROR(INDEX('D Fleet'!$J$5:$J$36,INT(($B18/G$4))+1)+(($B18/G$4)-INT(($B18/G$4)))*(INDEX('D Fleet'!$J$5:$J$36,INT(($B18/G$4))+2)-INDEX('D Fleet'!$J$5:$J$36,INT(($B18/G$4))+1)),0)</f>
        <v/>
      </c>
      <c r="H18" s="261">
        <f>IFERROR(INDEX('D Fleet'!$C$5:$C$63,MATCH(H$3-$B18,'D Fleet'!$B$5:$B$63,0)),0)*IFERROR(INDEX('D Fleet'!$J$5:$J$36,INT(($B18/H$4))+1)+(($B18/H$4)-INT(($B18/H$4)))*(INDEX('D Fleet'!$J$5:$J$36,INT(($B18/H$4))+2)-INDEX('D Fleet'!$J$5:$J$36,INT(($B18/H$4))+1)),0)</f>
        <v/>
      </c>
      <c r="I18" s="261">
        <f>IFERROR(INDEX('D Fleet'!$C$5:$C$63,MATCH(I$3-$B18,'D Fleet'!$B$5:$B$63,0)),0)*IFERROR(INDEX('D Fleet'!$J$5:$J$36,INT(($B18/I$4))+1)+(($B18/I$4)-INT(($B18/I$4)))*(INDEX('D Fleet'!$J$5:$J$36,INT(($B18/I$4))+2)-INDEX('D Fleet'!$J$5:$J$36,INT(($B18/I$4))+1)),0)</f>
        <v/>
      </c>
      <c r="J18" s="261">
        <f>IFERROR(INDEX('D Fleet'!$C$5:$C$63,MATCH(J$3-$B18,'D Fleet'!$B$5:$B$63,0)),0)*IFERROR(INDEX('D Fleet'!$J$5:$J$36,INT(($B18/J$4))+1)+(($B18/J$4)-INT(($B18/J$4)))*(INDEX('D Fleet'!$J$5:$J$36,INT(($B18/J$4))+2)-INDEX('D Fleet'!$J$5:$J$36,INT(($B18/J$4))+1)),0)</f>
        <v/>
      </c>
      <c r="K18" s="261">
        <f>IFERROR(INDEX('D Fleet'!$C$5:$C$63,MATCH(K$3-$B18,'D Fleet'!$B$5:$B$63,0)),0)*IFERROR(INDEX('D Fleet'!$J$5:$J$36,INT(($B18/K$4))+1)+(($B18/K$4)-INT(($B18/K$4)))*(INDEX('D Fleet'!$J$5:$J$36,INT(($B18/K$4))+2)-INDEX('D Fleet'!$J$5:$J$36,INT(($B18/K$4))+1)),0)</f>
        <v/>
      </c>
      <c r="L18" s="261">
        <f>IFERROR(INDEX('D Fleet'!$C$5:$C$63,MATCH(L$3-$B18,'D Fleet'!$B$5:$B$63,0)),0)*IFERROR(INDEX('D Fleet'!$J$5:$J$36,INT(($B18/L$4))+1)+(($B18/L$4)-INT(($B18/L$4)))*(INDEX('D Fleet'!$J$5:$J$36,INT(($B18/L$4))+2)-INDEX('D Fleet'!$J$5:$J$36,INT(($B18/L$4))+1)),0)</f>
        <v/>
      </c>
      <c r="M18" s="261">
        <f>IFERROR(INDEX('D Fleet'!$C$5:$C$63,MATCH(M$3-$B18,'D Fleet'!$B$5:$B$63,0)),0)*IFERROR(INDEX('D Fleet'!$J$5:$J$36,INT(($B18/M$4))+1)+(($B18/M$4)-INT(($B18/M$4)))*(INDEX('D Fleet'!$J$5:$J$36,INT(($B18/M$4))+2)-INDEX('D Fleet'!$J$5:$J$36,INT(($B18/M$4))+1)),0)</f>
        <v/>
      </c>
      <c r="N18" s="261">
        <f>IFERROR(INDEX('D Fleet'!$C$5:$C$63,MATCH(N$3-$B18,'D Fleet'!$B$5:$B$63,0)),0)*IFERROR(INDEX('D Fleet'!$J$5:$J$36,INT(($B18/N$4))+1)+(($B18/N$4)-INT(($B18/N$4)))*(INDEX('D Fleet'!$J$5:$J$36,INT(($B18/N$4))+2)-INDEX('D Fleet'!$J$5:$J$36,INT(($B18/N$4))+1)),0)</f>
        <v/>
      </c>
      <c r="P18" s="261">
        <f>E18*$D18*'E1 Fleet'!$D$97</f>
        <v/>
      </c>
      <c r="Q18" s="261">
        <f>F18*$D18*'E1 Fleet'!$D$97</f>
        <v/>
      </c>
      <c r="R18" s="261">
        <f>G18*$D18*'E1 Fleet'!$D$97</f>
        <v/>
      </c>
      <c r="S18" s="261">
        <f>H18*$D18*'E1 Fleet'!$D$97</f>
        <v/>
      </c>
      <c r="T18" s="261">
        <f>I18*$D18*'E1 Fleet'!$D$97</f>
        <v/>
      </c>
      <c r="U18" s="261">
        <f>J18*$D18*'E1 Fleet'!$D$97</f>
        <v/>
      </c>
      <c r="V18" s="261">
        <f>K18*$D18*'E1 Fleet'!$D$97</f>
        <v/>
      </c>
      <c r="W18" s="261">
        <f>L18*$D18*'E1 Fleet'!$D$97</f>
        <v/>
      </c>
      <c r="X18" s="261">
        <f>M18*$D18*'E1 Fleet'!$D$97</f>
        <v/>
      </c>
      <c r="Y18" s="261">
        <f>N18*$D18*'E1 Fleet'!$D$97</f>
        <v/>
      </c>
    </row>
    <row r="19">
      <c r="A19" t="inlineStr">
        <is>
          <t>Car</t>
        </is>
      </c>
      <c r="B19" s="331" t="n">
        <v>12</v>
      </c>
      <c r="C19" s="331" t="n">
        <v>3</v>
      </c>
      <c r="D19" s="266">
        <f>IF($B19=0,'E1 Fleet'!$D$93,1)*EXP(-'E1 Fleet'!$D$94*MAX($B19-6,0))</f>
        <v/>
      </c>
      <c r="E19" s="261">
        <f>IFERROR(INDEX('D Fleet'!$C$5:$C$63,MATCH(E$3-$B19,'D Fleet'!$B$5:$B$63,0)),0)*IFERROR(INDEX('D Fleet'!$J$5:$J$36,INT(($B19/E$4))+1)+(($B19/E$4)-INT(($B19/E$4)))*(INDEX('D Fleet'!$J$5:$J$36,INT(($B19/E$4))+2)-INDEX('D Fleet'!$J$5:$J$36,INT(($B19/E$4))+1)),0)</f>
        <v/>
      </c>
      <c r="F19" s="261">
        <f>IFERROR(INDEX('D Fleet'!$C$5:$C$63,MATCH(F$3-$B19,'D Fleet'!$B$5:$B$63,0)),0)*IFERROR(INDEX('D Fleet'!$J$5:$J$36,INT(($B19/F$4))+1)+(($B19/F$4)-INT(($B19/F$4)))*(INDEX('D Fleet'!$J$5:$J$36,INT(($B19/F$4))+2)-INDEX('D Fleet'!$J$5:$J$36,INT(($B19/F$4))+1)),0)</f>
        <v/>
      </c>
      <c r="G19" s="261">
        <f>IFERROR(INDEX('D Fleet'!$C$5:$C$63,MATCH(G$3-$B19,'D Fleet'!$B$5:$B$63,0)),0)*IFERROR(INDEX('D Fleet'!$J$5:$J$36,INT(($B19/G$4))+1)+(($B19/G$4)-INT(($B19/G$4)))*(INDEX('D Fleet'!$J$5:$J$36,INT(($B19/G$4))+2)-INDEX('D Fleet'!$J$5:$J$36,INT(($B19/G$4))+1)),0)</f>
        <v/>
      </c>
      <c r="H19" s="261">
        <f>IFERROR(INDEX('D Fleet'!$C$5:$C$63,MATCH(H$3-$B19,'D Fleet'!$B$5:$B$63,0)),0)*IFERROR(INDEX('D Fleet'!$J$5:$J$36,INT(($B19/H$4))+1)+(($B19/H$4)-INT(($B19/H$4)))*(INDEX('D Fleet'!$J$5:$J$36,INT(($B19/H$4))+2)-INDEX('D Fleet'!$J$5:$J$36,INT(($B19/H$4))+1)),0)</f>
        <v/>
      </c>
      <c r="I19" s="261">
        <f>IFERROR(INDEX('D Fleet'!$C$5:$C$63,MATCH(I$3-$B19,'D Fleet'!$B$5:$B$63,0)),0)*IFERROR(INDEX('D Fleet'!$J$5:$J$36,INT(($B19/I$4))+1)+(($B19/I$4)-INT(($B19/I$4)))*(INDEX('D Fleet'!$J$5:$J$36,INT(($B19/I$4))+2)-INDEX('D Fleet'!$J$5:$J$36,INT(($B19/I$4))+1)),0)</f>
        <v/>
      </c>
      <c r="J19" s="261">
        <f>IFERROR(INDEX('D Fleet'!$C$5:$C$63,MATCH(J$3-$B19,'D Fleet'!$B$5:$B$63,0)),0)*IFERROR(INDEX('D Fleet'!$J$5:$J$36,INT(($B19/J$4))+1)+(($B19/J$4)-INT(($B19/J$4)))*(INDEX('D Fleet'!$J$5:$J$36,INT(($B19/J$4))+2)-INDEX('D Fleet'!$J$5:$J$36,INT(($B19/J$4))+1)),0)</f>
        <v/>
      </c>
      <c r="K19" s="261">
        <f>IFERROR(INDEX('D Fleet'!$C$5:$C$63,MATCH(K$3-$B19,'D Fleet'!$B$5:$B$63,0)),0)*IFERROR(INDEX('D Fleet'!$J$5:$J$36,INT(($B19/K$4))+1)+(($B19/K$4)-INT(($B19/K$4)))*(INDEX('D Fleet'!$J$5:$J$36,INT(($B19/K$4))+2)-INDEX('D Fleet'!$J$5:$J$36,INT(($B19/K$4))+1)),0)</f>
        <v/>
      </c>
      <c r="L19" s="261">
        <f>IFERROR(INDEX('D Fleet'!$C$5:$C$63,MATCH(L$3-$B19,'D Fleet'!$B$5:$B$63,0)),0)*IFERROR(INDEX('D Fleet'!$J$5:$J$36,INT(($B19/L$4))+1)+(($B19/L$4)-INT(($B19/L$4)))*(INDEX('D Fleet'!$J$5:$J$36,INT(($B19/L$4))+2)-INDEX('D Fleet'!$J$5:$J$36,INT(($B19/L$4))+1)),0)</f>
        <v/>
      </c>
      <c r="M19" s="261">
        <f>IFERROR(INDEX('D Fleet'!$C$5:$C$63,MATCH(M$3-$B19,'D Fleet'!$B$5:$B$63,0)),0)*IFERROR(INDEX('D Fleet'!$J$5:$J$36,INT(($B19/M$4))+1)+(($B19/M$4)-INT(($B19/M$4)))*(INDEX('D Fleet'!$J$5:$J$36,INT(($B19/M$4))+2)-INDEX('D Fleet'!$J$5:$J$36,INT(($B19/M$4))+1)),0)</f>
        <v/>
      </c>
      <c r="N19" s="261">
        <f>IFERROR(INDEX('D Fleet'!$C$5:$C$63,MATCH(N$3-$B19,'D Fleet'!$B$5:$B$63,0)),0)*IFERROR(INDEX('D Fleet'!$J$5:$J$36,INT(($B19/N$4))+1)+(($B19/N$4)-INT(($B19/N$4)))*(INDEX('D Fleet'!$J$5:$J$36,INT(($B19/N$4))+2)-INDEX('D Fleet'!$J$5:$J$36,INT(($B19/N$4))+1)),0)</f>
        <v/>
      </c>
      <c r="P19" s="261">
        <f>E19*$D19*'E1 Fleet'!$D$97</f>
        <v/>
      </c>
      <c r="Q19" s="261">
        <f>F19*$D19*'E1 Fleet'!$D$97</f>
        <v/>
      </c>
      <c r="R19" s="261">
        <f>G19*$D19*'E1 Fleet'!$D$97</f>
        <v/>
      </c>
      <c r="S19" s="261">
        <f>H19*$D19*'E1 Fleet'!$D$97</f>
        <v/>
      </c>
      <c r="T19" s="261">
        <f>I19*$D19*'E1 Fleet'!$D$97</f>
        <v/>
      </c>
      <c r="U19" s="261">
        <f>J19*$D19*'E1 Fleet'!$D$97</f>
        <v/>
      </c>
      <c r="V19" s="261">
        <f>K19*$D19*'E1 Fleet'!$D$97</f>
        <v/>
      </c>
      <c r="W19" s="261">
        <f>L19*$D19*'E1 Fleet'!$D$97</f>
        <v/>
      </c>
      <c r="X19" s="261">
        <f>M19*$D19*'E1 Fleet'!$D$97</f>
        <v/>
      </c>
      <c r="Y19" s="261">
        <f>N19*$D19*'E1 Fleet'!$D$97</f>
        <v/>
      </c>
    </row>
    <row r="20">
      <c r="A20" t="inlineStr">
        <is>
          <t>Car</t>
        </is>
      </c>
      <c r="B20" s="331" t="n">
        <v>13</v>
      </c>
      <c r="C20" s="331" t="n">
        <v>3</v>
      </c>
      <c r="D20" s="266">
        <f>IF($B20=0,'E1 Fleet'!$D$93,1)*EXP(-'E1 Fleet'!$D$94*MAX($B20-6,0))</f>
        <v/>
      </c>
      <c r="E20" s="261">
        <f>IFERROR(INDEX('D Fleet'!$C$5:$C$63,MATCH(E$3-$B20,'D Fleet'!$B$5:$B$63,0)),0)*IFERROR(INDEX('D Fleet'!$J$5:$J$36,INT(($B20/E$4))+1)+(($B20/E$4)-INT(($B20/E$4)))*(INDEX('D Fleet'!$J$5:$J$36,INT(($B20/E$4))+2)-INDEX('D Fleet'!$J$5:$J$36,INT(($B20/E$4))+1)),0)</f>
        <v/>
      </c>
      <c r="F20" s="261">
        <f>IFERROR(INDEX('D Fleet'!$C$5:$C$63,MATCH(F$3-$B20,'D Fleet'!$B$5:$B$63,0)),0)*IFERROR(INDEX('D Fleet'!$J$5:$J$36,INT(($B20/F$4))+1)+(($B20/F$4)-INT(($B20/F$4)))*(INDEX('D Fleet'!$J$5:$J$36,INT(($B20/F$4))+2)-INDEX('D Fleet'!$J$5:$J$36,INT(($B20/F$4))+1)),0)</f>
        <v/>
      </c>
      <c r="G20" s="261">
        <f>IFERROR(INDEX('D Fleet'!$C$5:$C$63,MATCH(G$3-$B20,'D Fleet'!$B$5:$B$63,0)),0)*IFERROR(INDEX('D Fleet'!$J$5:$J$36,INT(($B20/G$4))+1)+(($B20/G$4)-INT(($B20/G$4)))*(INDEX('D Fleet'!$J$5:$J$36,INT(($B20/G$4))+2)-INDEX('D Fleet'!$J$5:$J$36,INT(($B20/G$4))+1)),0)</f>
        <v/>
      </c>
      <c r="H20" s="261">
        <f>IFERROR(INDEX('D Fleet'!$C$5:$C$63,MATCH(H$3-$B20,'D Fleet'!$B$5:$B$63,0)),0)*IFERROR(INDEX('D Fleet'!$J$5:$J$36,INT(($B20/H$4))+1)+(($B20/H$4)-INT(($B20/H$4)))*(INDEX('D Fleet'!$J$5:$J$36,INT(($B20/H$4))+2)-INDEX('D Fleet'!$J$5:$J$36,INT(($B20/H$4))+1)),0)</f>
        <v/>
      </c>
      <c r="I20" s="261">
        <f>IFERROR(INDEX('D Fleet'!$C$5:$C$63,MATCH(I$3-$B20,'D Fleet'!$B$5:$B$63,0)),0)*IFERROR(INDEX('D Fleet'!$J$5:$J$36,INT(($B20/I$4))+1)+(($B20/I$4)-INT(($B20/I$4)))*(INDEX('D Fleet'!$J$5:$J$36,INT(($B20/I$4))+2)-INDEX('D Fleet'!$J$5:$J$36,INT(($B20/I$4))+1)),0)</f>
        <v/>
      </c>
      <c r="J20" s="261">
        <f>IFERROR(INDEX('D Fleet'!$C$5:$C$63,MATCH(J$3-$B20,'D Fleet'!$B$5:$B$63,0)),0)*IFERROR(INDEX('D Fleet'!$J$5:$J$36,INT(($B20/J$4))+1)+(($B20/J$4)-INT(($B20/J$4)))*(INDEX('D Fleet'!$J$5:$J$36,INT(($B20/J$4))+2)-INDEX('D Fleet'!$J$5:$J$36,INT(($B20/J$4))+1)),0)</f>
        <v/>
      </c>
      <c r="K20" s="261">
        <f>IFERROR(INDEX('D Fleet'!$C$5:$C$63,MATCH(K$3-$B20,'D Fleet'!$B$5:$B$63,0)),0)*IFERROR(INDEX('D Fleet'!$J$5:$J$36,INT(($B20/K$4))+1)+(($B20/K$4)-INT(($B20/K$4)))*(INDEX('D Fleet'!$J$5:$J$36,INT(($B20/K$4))+2)-INDEX('D Fleet'!$J$5:$J$36,INT(($B20/K$4))+1)),0)</f>
        <v/>
      </c>
      <c r="L20" s="261">
        <f>IFERROR(INDEX('D Fleet'!$C$5:$C$63,MATCH(L$3-$B20,'D Fleet'!$B$5:$B$63,0)),0)*IFERROR(INDEX('D Fleet'!$J$5:$J$36,INT(($B20/L$4))+1)+(($B20/L$4)-INT(($B20/L$4)))*(INDEX('D Fleet'!$J$5:$J$36,INT(($B20/L$4))+2)-INDEX('D Fleet'!$J$5:$J$36,INT(($B20/L$4))+1)),0)</f>
        <v/>
      </c>
      <c r="M20" s="261">
        <f>IFERROR(INDEX('D Fleet'!$C$5:$C$63,MATCH(M$3-$B20,'D Fleet'!$B$5:$B$63,0)),0)*IFERROR(INDEX('D Fleet'!$J$5:$J$36,INT(($B20/M$4))+1)+(($B20/M$4)-INT(($B20/M$4)))*(INDEX('D Fleet'!$J$5:$J$36,INT(($B20/M$4))+2)-INDEX('D Fleet'!$J$5:$J$36,INT(($B20/M$4))+1)),0)</f>
        <v/>
      </c>
      <c r="N20" s="261">
        <f>IFERROR(INDEX('D Fleet'!$C$5:$C$63,MATCH(N$3-$B20,'D Fleet'!$B$5:$B$63,0)),0)*IFERROR(INDEX('D Fleet'!$J$5:$J$36,INT(($B20/N$4))+1)+(($B20/N$4)-INT(($B20/N$4)))*(INDEX('D Fleet'!$J$5:$J$36,INT(($B20/N$4))+2)-INDEX('D Fleet'!$J$5:$J$36,INT(($B20/N$4))+1)),0)</f>
        <v/>
      </c>
      <c r="P20" s="261">
        <f>E20*$D20*'E1 Fleet'!$D$97</f>
        <v/>
      </c>
      <c r="Q20" s="261">
        <f>F20*$D20*'E1 Fleet'!$D$97</f>
        <v/>
      </c>
      <c r="R20" s="261">
        <f>G20*$D20*'E1 Fleet'!$D$97</f>
        <v/>
      </c>
      <c r="S20" s="261">
        <f>H20*$D20*'E1 Fleet'!$D$97</f>
        <v/>
      </c>
      <c r="T20" s="261">
        <f>I20*$D20*'E1 Fleet'!$D$97</f>
        <v/>
      </c>
      <c r="U20" s="261">
        <f>J20*$D20*'E1 Fleet'!$D$97</f>
        <v/>
      </c>
      <c r="V20" s="261">
        <f>K20*$D20*'E1 Fleet'!$D$97</f>
        <v/>
      </c>
      <c r="W20" s="261">
        <f>L20*$D20*'E1 Fleet'!$D$97</f>
        <v/>
      </c>
      <c r="X20" s="261">
        <f>M20*$D20*'E1 Fleet'!$D$97</f>
        <v/>
      </c>
      <c r="Y20" s="261">
        <f>N20*$D20*'E1 Fleet'!$D$97</f>
        <v/>
      </c>
    </row>
    <row r="21">
      <c r="A21" t="inlineStr">
        <is>
          <t>Car</t>
        </is>
      </c>
      <c r="B21" s="331" t="n">
        <v>14</v>
      </c>
      <c r="C21" s="331" t="n">
        <v>3</v>
      </c>
      <c r="D21" s="266">
        <f>IF($B21=0,'E1 Fleet'!$D$93,1)*EXP(-'E1 Fleet'!$D$94*MAX($B21-6,0))</f>
        <v/>
      </c>
      <c r="E21" s="261">
        <f>IFERROR(INDEX('D Fleet'!$C$5:$C$63,MATCH(E$3-$B21,'D Fleet'!$B$5:$B$63,0)),0)*IFERROR(INDEX('D Fleet'!$J$5:$J$36,INT(($B21/E$4))+1)+(($B21/E$4)-INT(($B21/E$4)))*(INDEX('D Fleet'!$J$5:$J$36,INT(($B21/E$4))+2)-INDEX('D Fleet'!$J$5:$J$36,INT(($B21/E$4))+1)),0)</f>
        <v/>
      </c>
      <c r="F21" s="261">
        <f>IFERROR(INDEX('D Fleet'!$C$5:$C$63,MATCH(F$3-$B21,'D Fleet'!$B$5:$B$63,0)),0)*IFERROR(INDEX('D Fleet'!$J$5:$J$36,INT(($B21/F$4))+1)+(($B21/F$4)-INT(($B21/F$4)))*(INDEX('D Fleet'!$J$5:$J$36,INT(($B21/F$4))+2)-INDEX('D Fleet'!$J$5:$J$36,INT(($B21/F$4))+1)),0)</f>
        <v/>
      </c>
      <c r="G21" s="261">
        <f>IFERROR(INDEX('D Fleet'!$C$5:$C$63,MATCH(G$3-$B21,'D Fleet'!$B$5:$B$63,0)),0)*IFERROR(INDEX('D Fleet'!$J$5:$J$36,INT(($B21/G$4))+1)+(($B21/G$4)-INT(($B21/G$4)))*(INDEX('D Fleet'!$J$5:$J$36,INT(($B21/G$4))+2)-INDEX('D Fleet'!$J$5:$J$36,INT(($B21/G$4))+1)),0)</f>
        <v/>
      </c>
      <c r="H21" s="261">
        <f>IFERROR(INDEX('D Fleet'!$C$5:$C$63,MATCH(H$3-$B21,'D Fleet'!$B$5:$B$63,0)),0)*IFERROR(INDEX('D Fleet'!$J$5:$J$36,INT(($B21/H$4))+1)+(($B21/H$4)-INT(($B21/H$4)))*(INDEX('D Fleet'!$J$5:$J$36,INT(($B21/H$4))+2)-INDEX('D Fleet'!$J$5:$J$36,INT(($B21/H$4))+1)),0)</f>
        <v/>
      </c>
      <c r="I21" s="261">
        <f>IFERROR(INDEX('D Fleet'!$C$5:$C$63,MATCH(I$3-$B21,'D Fleet'!$B$5:$B$63,0)),0)*IFERROR(INDEX('D Fleet'!$J$5:$J$36,INT(($B21/I$4))+1)+(($B21/I$4)-INT(($B21/I$4)))*(INDEX('D Fleet'!$J$5:$J$36,INT(($B21/I$4))+2)-INDEX('D Fleet'!$J$5:$J$36,INT(($B21/I$4))+1)),0)</f>
        <v/>
      </c>
      <c r="J21" s="261">
        <f>IFERROR(INDEX('D Fleet'!$C$5:$C$63,MATCH(J$3-$B21,'D Fleet'!$B$5:$B$63,0)),0)*IFERROR(INDEX('D Fleet'!$J$5:$J$36,INT(($B21/J$4))+1)+(($B21/J$4)-INT(($B21/J$4)))*(INDEX('D Fleet'!$J$5:$J$36,INT(($B21/J$4))+2)-INDEX('D Fleet'!$J$5:$J$36,INT(($B21/J$4))+1)),0)</f>
        <v/>
      </c>
      <c r="K21" s="261">
        <f>IFERROR(INDEX('D Fleet'!$C$5:$C$63,MATCH(K$3-$B21,'D Fleet'!$B$5:$B$63,0)),0)*IFERROR(INDEX('D Fleet'!$J$5:$J$36,INT(($B21/K$4))+1)+(($B21/K$4)-INT(($B21/K$4)))*(INDEX('D Fleet'!$J$5:$J$36,INT(($B21/K$4))+2)-INDEX('D Fleet'!$J$5:$J$36,INT(($B21/K$4))+1)),0)</f>
        <v/>
      </c>
      <c r="L21" s="261">
        <f>IFERROR(INDEX('D Fleet'!$C$5:$C$63,MATCH(L$3-$B21,'D Fleet'!$B$5:$B$63,0)),0)*IFERROR(INDEX('D Fleet'!$J$5:$J$36,INT(($B21/L$4))+1)+(($B21/L$4)-INT(($B21/L$4)))*(INDEX('D Fleet'!$J$5:$J$36,INT(($B21/L$4))+2)-INDEX('D Fleet'!$J$5:$J$36,INT(($B21/L$4))+1)),0)</f>
        <v/>
      </c>
      <c r="M21" s="261">
        <f>IFERROR(INDEX('D Fleet'!$C$5:$C$63,MATCH(M$3-$B21,'D Fleet'!$B$5:$B$63,0)),0)*IFERROR(INDEX('D Fleet'!$J$5:$J$36,INT(($B21/M$4))+1)+(($B21/M$4)-INT(($B21/M$4)))*(INDEX('D Fleet'!$J$5:$J$36,INT(($B21/M$4))+2)-INDEX('D Fleet'!$J$5:$J$36,INT(($B21/M$4))+1)),0)</f>
        <v/>
      </c>
      <c r="N21" s="261">
        <f>IFERROR(INDEX('D Fleet'!$C$5:$C$63,MATCH(N$3-$B21,'D Fleet'!$B$5:$B$63,0)),0)*IFERROR(INDEX('D Fleet'!$J$5:$J$36,INT(($B21/N$4))+1)+(($B21/N$4)-INT(($B21/N$4)))*(INDEX('D Fleet'!$J$5:$J$36,INT(($B21/N$4))+2)-INDEX('D Fleet'!$J$5:$J$36,INT(($B21/N$4))+1)),0)</f>
        <v/>
      </c>
      <c r="P21" s="261">
        <f>E21*$D21*'E1 Fleet'!$D$97</f>
        <v/>
      </c>
      <c r="Q21" s="261">
        <f>F21*$D21*'E1 Fleet'!$D$97</f>
        <v/>
      </c>
      <c r="R21" s="261">
        <f>G21*$D21*'E1 Fleet'!$D$97</f>
        <v/>
      </c>
      <c r="S21" s="261">
        <f>H21*$D21*'E1 Fleet'!$D$97</f>
        <v/>
      </c>
      <c r="T21" s="261">
        <f>I21*$D21*'E1 Fleet'!$D$97</f>
        <v/>
      </c>
      <c r="U21" s="261">
        <f>J21*$D21*'E1 Fleet'!$D$97</f>
        <v/>
      </c>
      <c r="V21" s="261">
        <f>K21*$D21*'E1 Fleet'!$D$97</f>
        <v/>
      </c>
      <c r="W21" s="261">
        <f>L21*$D21*'E1 Fleet'!$D$97</f>
        <v/>
      </c>
      <c r="X21" s="261">
        <f>M21*$D21*'E1 Fleet'!$D$97</f>
        <v/>
      </c>
      <c r="Y21" s="261">
        <f>N21*$D21*'E1 Fleet'!$D$97</f>
        <v/>
      </c>
    </row>
    <row r="22">
      <c r="A22" t="inlineStr">
        <is>
          <t>Car</t>
        </is>
      </c>
      <c r="B22" s="331" t="n">
        <v>15</v>
      </c>
      <c r="C22" s="331" t="n">
        <v>3</v>
      </c>
      <c r="D22" s="266">
        <f>IF($B22=0,'E1 Fleet'!$D$93,1)*EXP(-'E1 Fleet'!$D$94*MAX($B22-6,0))</f>
        <v/>
      </c>
      <c r="E22" s="261">
        <f>IFERROR(INDEX('D Fleet'!$C$5:$C$63,MATCH(E$3-$B22,'D Fleet'!$B$5:$B$63,0)),0)*IFERROR(INDEX('D Fleet'!$J$5:$J$36,INT(($B22/E$4))+1)+(($B22/E$4)-INT(($B22/E$4)))*(INDEX('D Fleet'!$J$5:$J$36,INT(($B22/E$4))+2)-INDEX('D Fleet'!$J$5:$J$36,INT(($B22/E$4))+1)),0)</f>
        <v/>
      </c>
      <c r="F22" s="261">
        <f>IFERROR(INDEX('D Fleet'!$C$5:$C$63,MATCH(F$3-$B22,'D Fleet'!$B$5:$B$63,0)),0)*IFERROR(INDEX('D Fleet'!$J$5:$J$36,INT(($B22/F$4))+1)+(($B22/F$4)-INT(($B22/F$4)))*(INDEX('D Fleet'!$J$5:$J$36,INT(($B22/F$4))+2)-INDEX('D Fleet'!$J$5:$J$36,INT(($B22/F$4))+1)),0)</f>
        <v/>
      </c>
      <c r="G22" s="261">
        <f>IFERROR(INDEX('D Fleet'!$C$5:$C$63,MATCH(G$3-$B22,'D Fleet'!$B$5:$B$63,0)),0)*IFERROR(INDEX('D Fleet'!$J$5:$J$36,INT(($B22/G$4))+1)+(($B22/G$4)-INT(($B22/G$4)))*(INDEX('D Fleet'!$J$5:$J$36,INT(($B22/G$4))+2)-INDEX('D Fleet'!$J$5:$J$36,INT(($B22/G$4))+1)),0)</f>
        <v/>
      </c>
      <c r="H22" s="261">
        <f>IFERROR(INDEX('D Fleet'!$C$5:$C$63,MATCH(H$3-$B22,'D Fleet'!$B$5:$B$63,0)),0)*IFERROR(INDEX('D Fleet'!$J$5:$J$36,INT(($B22/H$4))+1)+(($B22/H$4)-INT(($B22/H$4)))*(INDEX('D Fleet'!$J$5:$J$36,INT(($B22/H$4))+2)-INDEX('D Fleet'!$J$5:$J$36,INT(($B22/H$4))+1)),0)</f>
        <v/>
      </c>
      <c r="I22" s="261">
        <f>IFERROR(INDEX('D Fleet'!$C$5:$C$63,MATCH(I$3-$B22,'D Fleet'!$B$5:$B$63,0)),0)*IFERROR(INDEX('D Fleet'!$J$5:$J$36,INT(($B22/I$4))+1)+(($B22/I$4)-INT(($B22/I$4)))*(INDEX('D Fleet'!$J$5:$J$36,INT(($B22/I$4))+2)-INDEX('D Fleet'!$J$5:$J$36,INT(($B22/I$4))+1)),0)</f>
        <v/>
      </c>
      <c r="J22" s="261">
        <f>IFERROR(INDEX('D Fleet'!$C$5:$C$63,MATCH(J$3-$B22,'D Fleet'!$B$5:$B$63,0)),0)*IFERROR(INDEX('D Fleet'!$J$5:$J$36,INT(($B22/J$4))+1)+(($B22/J$4)-INT(($B22/J$4)))*(INDEX('D Fleet'!$J$5:$J$36,INT(($B22/J$4))+2)-INDEX('D Fleet'!$J$5:$J$36,INT(($B22/J$4))+1)),0)</f>
        <v/>
      </c>
      <c r="K22" s="261">
        <f>IFERROR(INDEX('D Fleet'!$C$5:$C$63,MATCH(K$3-$B22,'D Fleet'!$B$5:$B$63,0)),0)*IFERROR(INDEX('D Fleet'!$J$5:$J$36,INT(($B22/K$4))+1)+(($B22/K$4)-INT(($B22/K$4)))*(INDEX('D Fleet'!$J$5:$J$36,INT(($B22/K$4))+2)-INDEX('D Fleet'!$J$5:$J$36,INT(($B22/K$4))+1)),0)</f>
        <v/>
      </c>
      <c r="L22" s="261">
        <f>IFERROR(INDEX('D Fleet'!$C$5:$C$63,MATCH(L$3-$B22,'D Fleet'!$B$5:$B$63,0)),0)*IFERROR(INDEX('D Fleet'!$J$5:$J$36,INT(($B22/L$4))+1)+(($B22/L$4)-INT(($B22/L$4)))*(INDEX('D Fleet'!$J$5:$J$36,INT(($B22/L$4))+2)-INDEX('D Fleet'!$J$5:$J$36,INT(($B22/L$4))+1)),0)</f>
        <v/>
      </c>
      <c r="M22" s="261">
        <f>IFERROR(INDEX('D Fleet'!$C$5:$C$63,MATCH(M$3-$B22,'D Fleet'!$B$5:$B$63,0)),0)*IFERROR(INDEX('D Fleet'!$J$5:$J$36,INT(($B22/M$4))+1)+(($B22/M$4)-INT(($B22/M$4)))*(INDEX('D Fleet'!$J$5:$J$36,INT(($B22/M$4))+2)-INDEX('D Fleet'!$J$5:$J$36,INT(($B22/M$4))+1)),0)</f>
        <v/>
      </c>
      <c r="N22" s="261">
        <f>IFERROR(INDEX('D Fleet'!$C$5:$C$63,MATCH(N$3-$B22,'D Fleet'!$B$5:$B$63,0)),0)*IFERROR(INDEX('D Fleet'!$J$5:$J$36,INT(($B22/N$4))+1)+(($B22/N$4)-INT(($B22/N$4)))*(INDEX('D Fleet'!$J$5:$J$36,INT(($B22/N$4))+2)-INDEX('D Fleet'!$J$5:$J$36,INT(($B22/N$4))+1)),0)</f>
        <v/>
      </c>
      <c r="P22" s="261">
        <f>E22*$D22*'E1 Fleet'!$D$97</f>
        <v/>
      </c>
      <c r="Q22" s="261">
        <f>F22*$D22*'E1 Fleet'!$D$97</f>
        <v/>
      </c>
      <c r="R22" s="261">
        <f>G22*$D22*'E1 Fleet'!$D$97</f>
        <v/>
      </c>
      <c r="S22" s="261">
        <f>H22*$D22*'E1 Fleet'!$D$97</f>
        <v/>
      </c>
      <c r="T22" s="261">
        <f>I22*$D22*'E1 Fleet'!$D$97</f>
        <v/>
      </c>
      <c r="U22" s="261">
        <f>J22*$D22*'E1 Fleet'!$D$97</f>
        <v/>
      </c>
      <c r="V22" s="261">
        <f>K22*$D22*'E1 Fleet'!$D$97</f>
        <v/>
      </c>
      <c r="W22" s="261">
        <f>L22*$D22*'E1 Fleet'!$D$97</f>
        <v/>
      </c>
      <c r="X22" s="261">
        <f>M22*$D22*'E1 Fleet'!$D$97</f>
        <v/>
      </c>
      <c r="Y22" s="261">
        <f>N22*$D22*'E1 Fleet'!$D$97</f>
        <v/>
      </c>
    </row>
    <row r="23">
      <c r="A23" t="inlineStr">
        <is>
          <t>Car</t>
        </is>
      </c>
      <c r="B23" s="331" t="n">
        <v>16</v>
      </c>
      <c r="C23" s="331" t="n">
        <v>3</v>
      </c>
      <c r="D23" s="266">
        <f>IF($B23=0,'E1 Fleet'!$D$93,1)*EXP(-'E1 Fleet'!$D$94*MAX($B23-6,0))</f>
        <v/>
      </c>
      <c r="E23" s="261">
        <f>IFERROR(INDEX('D Fleet'!$C$5:$C$63,MATCH(E$3-$B23,'D Fleet'!$B$5:$B$63,0)),0)*IFERROR(INDEX('D Fleet'!$J$5:$J$36,INT(($B23/E$4))+1)+(($B23/E$4)-INT(($B23/E$4)))*(INDEX('D Fleet'!$J$5:$J$36,INT(($B23/E$4))+2)-INDEX('D Fleet'!$J$5:$J$36,INT(($B23/E$4))+1)),0)</f>
        <v/>
      </c>
      <c r="F23" s="261">
        <f>IFERROR(INDEX('D Fleet'!$C$5:$C$63,MATCH(F$3-$B23,'D Fleet'!$B$5:$B$63,0)),0)*IFERROR(INDEX('D Fleet'!$J$5:$J$36,INT(($B23/F$4))+1)+(($B23/F$4)-INT(($B23/F$4)))*(INDEX('D Fleet'!$J$5:$J$36,INT(($B23/F$4))+2)-INDEX('D Fleet'!$J$5:$J$36,INT(($B23/F$4))+1)),0)</f>
        <v/>
      </c>
      <c r="G23" s="261">
        <f>IFERROR(INDEX('D Fleet'!$C$5:$C$63,MATCH(G$3-$B23,'D Fleet'!$B$5:$B$63,0)),0)*IFERROR(INDEX('D Fleet'!$J$5:$J$36,INT(($B23/G$4))+1)+(($B23/G$4)-INT(($B23/G$4)))*(INDEX('D Fleet'!$J$5:$J$36,INT(($B23/G$4))+2)-INDEX('D Fleet'!$J$5:$J$36,INT(($B23/G$4))+1)),0)</f>
        <v/>
      </c>
      <c r="H23" s="261">
        <f>IFERROR(INDEX('D Fleet'!$C$5:$C$63,MATCH(H$3-$B23,'D Fleet'!$B$5:$B$63,0)),0)*IFERROR(INDEX('D Fleet'!$J$5:$J$36,INT(($B23/H$4))+1)+(($B23/H$4)-INT(($B23/H$4)))*(INDEX('D Fleet'!$J$5:$J$36,INT(($B23/H$4))+2)-INDEX('D Fleet'!$J$5:$J$36,INT(($B23/H$4))+1)),0)</f>
        <v/>
      </c>
      <c r="I23" s="261">
        <f>IFERROR(INDEX('D Fleet'!$C$5:$C$63,MATCH(I$3-$B23,'D Fleet'!$B$5:$B$63,0)),0)*IFERROR(INDEX('D Fleet'!$J$5:$J$36,INT(($B23/I$4))+1)+(($B23/I$4)-INT(($B23/I$4)))*(INDEX('D Fleet'!$J$5:$J$36,INT(($B23/I$4))+2)-INDEX('D Fleet'!$J$5:$J$36,INT(($B23/I$4))+1)),0)</f>
        <v/>
      </c>
      <c r="J23" s="261">
        <f>IFERROR(INDEX('D Fleet'!$C$5:$C$63,MATCH(J$3-$B23,'D Fleet'!$B$5:$B$63,0)),0)*IFERROR(INDEX('D Fleet'!$J$5:$J$36,INT(($B23/J$4))+1)+(($B23/J$4)-INT(($B23/J$4)))*(INDEX('D Fleet'!$J$5:$J$36,INT(($B23/J$4))+2)-INDEX('D Fleet'!$J$5:$J$36,INT(($B23/J$4))+1)),0)</f>
        <v/>
      </c>
      <c r="K23" s="261">
        <f>IFERROR(INDEX('D Fleet'!$C$5:$C$63,MATCH(K$3-$B23,'D Fleet'!$B$5:$B$63,0)),0)*IFERROR(INDEX('D Fleet'!$J$5:$J$36,INT(($B23/K$4))+1)+(($B23/K$4)-INT(($B23/K$4)))*(INDEX('D Fleet'!$J$5:$J$36,INT(($B23/K$4))+2)-INDEX('D Fleet'!$J$5:$J$36,INT(($B23/K$4))+1)),0)</f>
        <v/>
      </c>
      <c r="L23" s="261">
        <f>IFERROR(INDEX('D Fleet'!$C$5:$C$63,MATCH(L$3-$B23,'D Fleet'!$B$5:$B$63,0)),0)*IFERROR(INDEX('D Fleet'!$J$5:$J$36,INT(($B23/L$4))+1)+(($B23/L$4)-INT(($B23/L$4)))*(INDEX('D Fleet'!$J$5:$J$36,INT(($B23/L$4))+2)-INDEX('D Fleet'!$J$5:$J$36,INT(($B23/L$4))+1)),0)</f>
        <v/>
      </c>
      <c r="M23" s="261">
        <f>IFERROR(INDEX('D Fleet'!$C$5:$C$63,MATCH(M$3-$B23,'D Fleet'!$B$5:$B$63,0)),0)*IFERROR(INDEX('D Fleet'!$J$5:$J$36,INT(($B23/M$4))+1)+(($B23/M$4)-INT(($B23/M$4)))*(INDEX('D Fleet'!$J$5:$J$36,INT(($B23/M$4))+2)-INDEX('D Fleet'!$J$5:$J$36,INT(($B23/M$4))+1)),0)</f>
        <v/>
      </c>
      <c r="N23" s="261">
        <f>IFERROR(INDEX('D Fleet'!$C$5:$C$63,MATCH(N$3-$B23,'D Fleet'!$B$5:$B$63,0)),0)*IFERROR(INDEX('D Fleet'!$J$5:$J$36,INT(($B23/N$4))+1)+(($B23/N$4)-INT(($B23/N$4)))*(INDEX('D Fleet'!$J$5:$J$36,INT(($B23/N$4))+2)-INDEX('D Fleet'!$J$5:$J$36,INT(($B23/N$4))+1)),0)</f>
        <v/>
      </c>
      <c r="P23" s="261">
        <f>E23*$D23*'E1 Fleet'!$D$97</f>
        <v/>
      </c>
      <c r="Q23" s="261">
        <f>F23*$D23*'E1 Fleet'!$D$97</f>
        <v/>
      </c>
      <c r="R23" s="261">
        <f>G23*$D23*'E1 Fleet'!$D$97</f>
        <v/>
      </c>
      <c r="S23" s="261">
        <f>H23*$D23*'E1 Fleet'!$D$97</f>
        <v/>
      </c>
      <c r="T23" s="261">
        <f>I23*$D23*'E1 Fleet'!$D$97</f>
        <v/>
      </c>
      <c r="U23" s="261">
        <f>J23*$D23*'E1 Fleet'!$D$97</f>
        <v/>
      </c>
      <c r="V23" s="261">
        <f>K23*$D23*'E1 Fleet'!$D$97</f>
        <v/>
      </c>
      <c r="W23" s="261">
        <f>L23*$D23*'E1 Fleet'!$D$97</f>
        <v/>
      </c>
      <c r="X23" s="261">
        <f>M23*$D23*'E1 Fleet'!$D$97</f>
        <v/>
      </c>
      <c r="Y23" s="261">
        <f>N23*$D23*'E1 Fleet'!$D$97</f>
        <v/>
      </c>
    </row>
    <row r="24">
      <c r="A24" t="inlineStr">
        <is>
          <t>Car</t>
        </is>
      </c>
      <c r="B24" s="331" t="n">
        <v>17</v>
      </c>
      <c r="C24" s="331" t="n">
        <v>3</v>
      </c>
      <c r="D24" s="266">
        <f>IF($B24=0,'E1 Fleet'!$D$93,1)*EXP(-'E1 Fleet'!$D$94*MAX($B24-6,0))</f>
        <v/>
      </c>
      <c r="E24" s="261">
        <f>IFERROR(INDEX('D Fleet'!$C$5:$C$63,MATCH(E$3-$B24,'D Fleet'!$B$5:$B$63,0)),0)*IFERROR(INDEX('D Fleet'!$J$5:$J$36,INT(($B24/E$4))+1)+(($B24/E$4)-INT(($B24/E$4)))*(INDEX('D Fleet'!$J$5:$J$36,INT(($B24/E$4))+2)-INDEX('D Fleet'!$J$5:$J$36,INT(($B24/E$4))+1)),0)</f>
        <v/>
      </c>
      <c r="F24" s="261">
        <f>IFERROR(INDEX('D Fleet'!$C$5:$C$63,MATCH(F$3-$B24,'D Fleet'!$B$5:$B$63,0)),0)*IFERROR(INDEX('D Fleet'!$J$5:$J$36,INT(($B24/F$4))+1)+(($B24/F$4)-INT(($B24/F$4)))*(INDEX('D Fleet'!$J$5:$J$36,INT(($B24/F$4))+2)-INDEX('D Fleet'!$J$5:$J$36,INT(($B24/F$4))+1)),0)</f>
        <v/>
      </c>
      <c r="G24" s="261">
        <f>IFERROR(INDEX('D Fleet'!$C$5:$C$63,MATCH(G$3-$B24,'D Fleet'!$B$5:$B$63,0)),0)*IFERROR(INDEX('D Fleet'!$J$5:$J$36,INT(($B24/G$4))+1)+(($B24/G$4)-INT(($B24/G$4)))*(INDEX('D Fleet'!$J$5:$J$36,INT(($B24/G$4))+2)-INDEX('D Fleet'!$J$5:$J$36,INT(($B24/G$4))+1)),0)</f>
        <v/>
      </c>
      <c r="H24" s="261">
        <f>IFERROR(INDEX('D Fleet'!$C$5:$C$63,MATCH(H$3-$B24,'D Fleet'!$B$5:$B$63,0)),0)*IFERROR(INDEX('D Fleet'!$J$5:$J$36,INT(($B24/H$4))+1)+(($B24/H$4)-INT(($B24/H$4)))*(INDEX('D Fleet'!$J$5:$J$36,INT(($B24/H$4))+2)-INDEX('D Fleet'!$J$5:$J$36,INT(($B24/H$4))+1)),0)</f>
        <v/>
      </c>
      <c r="I24" s="261">
        <f>IFERROR(INDEX('D Fleet'!$C$5:$C$63,MATCH(I$3-$B24,'D Fleet'!$B$5:$B$63,0)),0)*IFERROR(INDEX('D Fleet'!$J$5:$J$36,INT(($B24/I$4))+1)+(($B24/I$4)-INT(($B24/I$4)))*(INDEX('D Fleet'!$J$5:$J$36,INT(($B24/I$4))+2)-INDEX('D Fleet'!$J$5:$J$36,INT(($B24/I$4))+1)),0)</f>
        <v/>
      </c>
      <c r="J24" s="261">
        <f>IFERROR(INDEX('D Fleet'!$C$5:$C$63,MATCH(J$3-$B24,'D Fleet'!$B$5:$B$63,0)),0)*IFERROR(INDEX('D Fleet'!$J$5:$J$36,INT(($B24/J$4))+1)+(($B24/J$4)-INT(($B24/J$4)))*(INDEX('D Fleet'!$J$5:$J$36,INT(($B24/J$4))+2)-INDEX('D Fleet'!$J$5:$J$36,INT(($B24/J$4))+1)),0)</f>
        <v/>
      </c>
      <c r="K24" s="261">
        <f>IFERROR(INDEX('D Fleet'!$C$5:$C$63,MATCH(K$3-$B24,'D Fleet'!$B$5:$B$63,0)),0)*IFERROR(INDEX('D Fleet'!$J$5:$J$36,INT(($B24/K$4))+1)+(($B24/K$4)-INT(($B24/K$4)))*(INDEX('D Fleet'!$J$5:$J$36,INT(($B24/K$4))+2)-INDEX('D Fleet'!$J$5:$J$36,INT(($B24/K$4))+1)),0)</f>
        <v/>
      </c>
      <c r="L24" s="261">
        <f>IFERROR(INDEX('D Fleet'!$C$5:$C$63,MATCH(L$3-$B24,'D Fleet'!$B$5:$B$63,0)),0)*IFERROR(INDEX('D Fleet'!$J$5:$J$36,INT(($B24/L$4))+1)+(($B24/L$4)-INT(($B24/L$4)))*(INDEX('D Fleet'!$J$5:$J$36,INT(($B24/L$4))+2)-INDEX('D Fleet'!$J$5:$J$36,INT(($B24/L$4))+1)),0)</f>
        <v/>
      </c>
      <c r="M24" s="261">
        <f>IFERROR(INDEX('D Fleet'!$C$5:$C$63,MATCH(M$3-$B24,'D Fleet'!$B$5:$B$63,0)),0)*IFERROR(INDEX('D Fleet'!$J$5:$J$36,INT(($B24/M$4))+1)+(($B24/M$4)-INT(($B24/M$4)))*(INDEX('D Fleet'!$J$5:$J$36,INT(($B24/M$4))+2)-INDEX('D Fleet'!$J$5:$J$36,INT(($B24/M$4))+1)),0)</f>
        <v/>
      </c>
      <c r="N24" s="261">
        <f>IFERROR(INDEX('D Fleet'!$C$5:$C$63,MATCH(N$3-$B24,'D Fleet'!$B$5:$B$63,0)),0)*IFERROR(INDEX('D Fleet'!$J$5:$J$36,INT(($B24/N$4))+1)+(($B24/N$4)-INT(($B24/N$4)))*(INDEX('D Fleet'!$J$5:$J$36,INT(($B24/N$4))+2)-INDEX('D Fleet'!$J$5:$J$36,INT(($B24/N$4))+1)),0)</f>
        <v/>
      </c>
      <c r="P24" s="261">
        <f>E24*$D24*'E1 Fleet'!$D$97</f>
        <v/>
      </c>
      <c r="Q24" s="261">
        <f>F24*$D24*'E1 Fleet'!$D$97</f>
        <v/>
      </c>
      <c r="R24" s="261">
        <f>G24*$D24*'E1 Fleet'!$D$97</f>
        <v/>
      </c>
      <c r="S24" s="261">
        <f>H24*$D24*'E1 Fleet'!$D$97</f>
        <v/>
      </c>
      <c r="T24" s="261">
        <f>I24*$D24*'E1 Fleet'!$D$97</f>
        <v/>
      </c>
      <c r="U24" s="261">
        <f>J24*$D24*'E1 Fleet'!$D$97</f>
        <v/>
      </c>
      <c r="V24" s="261">
        <f>K24*$D24*'E1 Fleet'!$D$97</f>
        <v/>
      </c>
      <c r="W24" s="261">
        <f>L24*$D24*'E1 Fleet'!$D$97</f>
        <v/>
      </c>
      <c r="X24" s="261">
        <f>M24*$D24*'E1 Fleet'!$D$97</f>
        <v/>
      </c>
      <c r="Y24" s="261">
        <f>N24*$D24*'E1 Fleet'!$D$97</f>
        <v/>
      </c>
    </row>
    <row r="25">
      <c r="A25" t="inlineStr">
        <is>
          <t>Car</t>
        </is>
      </c>
      <c r="B25" s="331" t="n">
        <v>18</v>
      </c>
      <c r="C25" s="331" t="n">
        <v>3</v>
      </c>
      <c r="D25" s="266">
        <f>IF($B25=0,'E1 Fleet'!$D$93,1)*EXP(-'E1 Fleet'!$D$94*MAX($B25-6,0))</f>
        <v/>
      </c>
      <c r="E25" s="261">
        <f>IFERROR(INDEX('D Fleet'!$C$5:$C$63,MATCH(E$3-$B25,'D Fleet'!$B$5:$B$63,0)),0)*IFERROR(INDEX('D Fleet'!$J$5:$J$36,INT(($B25/E$4))+1)+(($B25/E$4)-INT(($B25/E$4)))*(INDEX('D Fleet'!$J$5:$J$36,INT(($B25/E$4))+2)-INDEX('D Fleet'!$J$5:$J$36,INT(($B25/E$4))+1)),0)</f>
        <v/>
      </c>
      <c r="F25" s="261">
        <f>IFERROR(INDEX('D Fleet'!$C$5:$C$63,MATCH(F$3-$B25,'D Fleet'!$B$5:$B$63,0)),0)*IFERROR(INDEX('D Fleet'!$J$5:$J$36,INT(($B25/F$4))+1)+(($B25/F$4)-INT(($B25/F$4)))*(INDEX('D Fleet'!$J$5:$J$36,INT(($B25/F$4))+2)-INDEX('D Fleet'!$J$5:$J$36,INT(($B25/F$4))+1)),0)</f>
        <v/>
      </c>
      <c r="G25" s="261">
        <f>IFERROR(INDEX('D Fleet'!$C$5:$C$63,MATCH(G$3-$B25,'D Fleet'!$B$5:$B$63,0)),0)*IFERROR(INDEX('D Fleet'!$J$5:$J$36,INT(($B25/G$4))+1)+(($B25/G$4)-INT(($B25/G$4)))*(INDEX('D Fleet'!$J$5:$J$36,INT(($B25/G$4))+2)-INDEX('D Fleet'!$J$5:$J$36,INT(($B25/G$4))+1)),0)</f>
        <v/>
      </c>
      <c r="H25" s="261">
        <f>IFERROR(INDEX('D Fleet'!$C$5:$C$63,MATCH(H$3-$B25,'D Fleet'!$B$5:$B$63,0)),0)*IFERROR(INDEX('D Fleet'!$J$5:$J$36,INT(($B25/H$4))+1)+(($B25/H$4)-INT(($B25/H$4)))*(INDEX('D Fleet'!$J$5:$J$36,INT(($B25/H$4))+2)-INDEX('D Fleet'!$J$5:$J$36,INT(($B25/H$4))+1)),0)</f>
        <v/>
      </c>
      <c r="I25" s="261">
        <f>IFERROR(INDEX('D Fleet'!$C$5:$C$63,MATCH(I$3-$B25,'D Fleet'!$B$5:$B$63,0)),0)*IFERROR(INDEX('D Fleet'!$J$5:$J$36,INT(($B25/I$4))+1)+(($B25/I$4)-INT(($B25/I$4)))*(INDEX('D Fleet'!$J$5:$J$36,INT(($B25/I$4))+2)-INDEX('D Fleet'!$J$5:$J$36,INT(($B25/I$4))+1)),0)</f>
        <v/>
      </c>
      <c r="J25" s="261">
        <f>IFERROR(INDEX('D Fleet'!$C$5:$C$63,MATCH(J$3-$B25,'D Fleet'!$B$5:$B$63,0)),0)*IFERROR(INDEX('D Fleet'!$J$5:$J$36,INT(($B25/J$4))+1)+(($B25/J$4)-INT(($B25/J$4)))*(INDEX('D Fleet'!$J$5:$J$36,INT(($B25/J$4))+2)-INDEX('D Fleet'!$J$5:$J$36,INT(($B25/J$4))+1)),0)</f>
        <v/>
      </c>
      <c r="K25" s="261">
        <f>IFERROR(INDEX('D Fleet'!$C$5:$C$63,MATCH(K$3-$B25,'D Fleet'!$B$5:$B$63,0)),0)*IFERROR(INDEX('D Fleet'!$J$5:$J$36,INT(($B25/K$4))+1)+(($B25/K$4)-INT(($B25/K$4)))*(INDEX('D Fleet'!$J$5:$J$36,INT(($B25/K$4))+2)-INDEX('D Fleet'!$J$5:$J$36,INT(($B25/K$4))+1)),0)</f>
        <v/>
      </c>
      <c r="L25" s="261">
        <f>IFERROR(INDEX('D Fleet'!$C$5:$C$63,MATCH(L$3-$B25,'D Fleet'!$B$5:$B$63,0)),0)*IFERROR(INDEX('D Fleet'!$J$5:$J$36,INT(($B25/L$4))+1)+(($B25/L$4)-INT(($B25/L$4)))*(INDEX('D Fleet'!$J$5:$J$36,INT(($B25/L$4))+2)-INDEX('D Fleet'!$J$5:$J$36,INT(($B25/L$4))+1)),0)</f>
        <v/>
      </c>
      <c r="M25" s="261">
        <f>IFERROR(INDEX('D Fleet'!$C$5:$C$63,MATCH(M$3-$B25,'D Fleet'!$B$5:$B$63,0)),0)*IFERROR(INDEX('D Fleet'!$J$5:$J$36,INT(($B25/M$4))+1)+(($B25/M$4)-INT(($B25/M$4)))*(INDEX('D Fleet'!$J$5:$J$36,INT(($B25/M$4))+2)-INDEX('D Fleet'!$J$5:$J$36,INT(($B25/M$4))+1)),0)</f>
        <v/>
      </c>
      <c r="N25" s="261">
        <f>IFERROR(INDEX('D Fleet'!$C$5:$C$63,MATCH(N$3-$B25,'D Fleet'!$B$5:$B$63,0)),0)*IFERROR(INDEX('D Fleet'!$J$5:$J$36,INT(($B25/N$4))+1)+(($B25/N$4)-INT(($B25/N$4)))*(INDEX('D Fleet'!$J$5:$J$36,INT(($B25/N$4))+2)-INDEX('D Fleet'!$J$5:$J$36,INT(($B25/N$4))+1)),0)</f>
        <v/>
      </c>
      <c r="P25" s="261">
        <f>E25*$D25*'E1 Fleet'!$D$97</f>
        <v/>
      </c>
      <c r="Q25" s="261">
        <f>F25*$D25*'E1 Fleet'!$D$97</f>
        <v/>
      </c>
      <c r="R25" s="261">
        <f>G25*$D25*'E1 Fleet'!$D$97</f>
        <v/>
      </c>
      <c r="S25" s="261">
        <f>H25*$D25*'E1 Fleet'!$D$97</f>
        <v/>
      </c>
      <c r="T25" s="261">
        <f>I25*$D25*'E1 Fleet'!$D$97</f>
        <v/>
      </c>
      <c r="U25" s="261">
        <f>J25*$D25*'E1 Fleet'!$D$97</f>
        <v/>
      </c>
      <c r="V25" s="261">
        <f>K25*$D25*'E1 Fleet'!$D$97</f>
        <v/>
      </c>
      <c r="W25" s="261">
        <f>L25*$D25*'E1 Fleet'!$D$97</f>
        <v/>
      </c>
      <c r="X25" s="261">
        <f>M25*$D25*'E1 Fleet'!$D$97</f>
        <v/>
      </c>
      <c r="Y25" s="261">
        <f>N25*$D25*'E1 Fleet'!$D$97</f>
        <v/>
      </c>
    </row>
    <row r="26">
      <c r="A26" t="inlineStr">
        <is>
          <t>Car</t>
        </is>
      </c>
      <c r="B26" s="331" t="n">
        <v>19</v>
      </c>
      <c r="C26" s="331" t="n">
        <v>3</v>
      </c>
      <c r="D26" s="266">
        <f>IF($B26=0,'E1 Fleet'!$D$93,1)*EXP(-'E1 Fleet'!$D$94*MAX($B26-6,0))</f>
        <v/>
      </c>
      <c r="E26" s="261">
        <f>IFERROR(INDEX('D Fleet'!$C$5:$C$63,MATCH(E$3-$B26,'D Fleet'!$B$5:$B$63,0)),0)*IFERROR(INDEX('D Fleet'!$J$5:$J$36,INT(($B26/E$4))+1)+(($B26/E$4)-INT(($B26/E$4)))*(INDEX('D Fleet'!$J$5:$J$36,INT(($B26/E$4))+2)-INDEX('D Fleet'!$J$5:$J$36,INT(($B26/E$4))+1)),0)</f>
        <v/>
      </c>
      <c r="F26" s="261">
        <f>IFERROR(INDEX('D Fleet'!$C$5:$C$63,MATCH(F$3-$B26,'D Fleet'!$B$5:$B$63,0)),0)*IFERROR(INDEX('D Fleet'!$J$5:$J$36,INT(($B26/F$4))+1)+(($B26/F$4)-INT(($B26/F$4)))*(INDEX('D Fleet'!$J$5:$J$36,INT(($B26/F$4))+2)-INDEX('D Fleet'!$J$5:$J$36,INT(($B26/F$4))+1)),0)</f>
        <v/>
      </c>
      <c r="G26" s="261">
        <f>IFERROR(INDEX('D Fleet'!$C$5:$C$63,MATCH(G$3-$B26,'D Fleet'!$B$5:$B$63,0)),0)*IFERROR(INDEX('D Fleet'!$J$5:$J$36,INT(($B26/G$4))+1)+(($B26/G$4)-INT(($B26/G$4)))*(INDEX('D Fleet'!$J$5:$J$36,INT(($B26/G$4))+2)-INDEX('D Fleet'!$J$5:$J$36,INT(($B26/G$4))+1)),0)</f>
        <v/>
      </c>
      <c r="H26" s="261">
        <f>IFERROR(INDEX('D Fleet'!$C$5:$C$63,MATCH(H$3-$B26,'D Fleet'!$B$5:$B$63,0)),0)*IFERROR(INDEX('D Fleet'!$J$5:$J$36,INT(($B26/H$4))+1)+(($B26/H$4)-INT(($B26/H$4)))*(INDEX('D Fleet'!$J$5:$J$36,INT(($B26/H$4))+2)-INDEX('D Fleet'!$J$5:$J$36,INT(($B26/H$4))+1)),0)</f>
        <v/>
      </c>
      <c r="I26" s="261">
        <f>IFERROR(INDEX('D Fleet'!$C$5:$C$63,MATCH(I$3-$B26,'D Fleet'!$B$5:$B$63,0)),0)*IFERROR(INDEX('D Fleet'!$J$5:$J$36,INT(($B26/I$4))+1)+(($B26/I$4)-INT(($B26/I$4)))*(INDEX('D Fleet'!$J$5:$J$36,INT(($B26/I$4))+2)-INDEX('D Fleet'!$J$5:$J$36,INT(($B26/I$4))+1)),0)</f>
        <v/>
      </c>
      <c r="J26" s="261">
        <f>IFERROR(INDEX('D Fleet'!$C$5:$C$63,MATCH(J$3-$B26,'D Fleet'!$B$5:$B$63,0)),0)*IFERROR(INDEX('D Fleet'!$J$5:$J$36,INT(($B26/J$4))+1)+(($B26/J$4)-INT(($B26/J$4)))*(INDEX('D Fleet'!$J$5:$J$36,INT(($B26/J$4))+2)-INDEX('D Fleet'!$J$5:$J$36,INT(($B26/J$4))+1)),0)</f>
        <v/>
      </c>
      <c r="K26" s="261">
        <f>IFERROR(INDEX('D Fleet'!$C$5:$C$63,MATCH(K$3-$B26,'D Fleet'!$B$5:$B$63,0)),0)*IFERROR(INDEX('D Fleet'!$J$5:$J$36,INT(($B26/K$4))+1)+(($B26/K$4)-INT(($B26/K$4)))*(INDEX('D Fleet'!$J$5:$J$36,INT(($B26/K$4))+2)-INDEX('D Fleet'!$J$5:$J$36,INT(($B26/K$4))+1)),0)</f>
        <v/>
      </c>
      <c r="L26" s="261">
        <f>IFERROR(INDEX('D Fleet'!$C$5:$C$63,MATCH(L$3-$B26,'D Fleet'!$B$5:$B$63,0)),0)*IFERROR(INDEX('D Fleet'!$J$5:$J$36,INT(($B26/L$4))+1)+(($B26/L$4)-INT(($B26/L$4)))*(INDEX('D Fleet'!$J$5:$J$36,INT(($B26/L$4))+2)-INDEX('D Fleet'!$J$5:$J$36,INT(($B26/L$4))+1)),0)</f>
        <v/>
      </c>
      <c r="M26" s="261">
        <f>IFERROR(INDEX('D Fleet'!$C$5:$C$63,MATCH(M$3-$B26,'D Fleet'!$B$5:$B$63,0)),0)*IFERROR(INDEX('D Fleet'!$J$5:$J$36,INT(($B26/M$4))+1)+(($B26/M$4)-INT(($B26/M$4)))*(INDEX('D Fleet'!$J$5:$J$36,INT(($B26/M$4))+2)-INDEX('D Fleet'!$J$5:$J$36,INT(($B26/M$4))+1)),0)</f>
        <v/>
      </c>
      <c r="N26" s="261">
        <f>IFERROR(INDEX('D Fleet'!$C$5:$C$63,MATCH(N$3-$B26,'D Fleet'!$B$5:$B$63,0)),0)*IFERROR(INDEX('D Fleet'!$J$5:$J$36,INT(($B26/N$4))+1)+(($B26/N$4)-INT(($B26/N$4)))*(INDEX('D Fleet'!$J$5:$J$36,INT(($B26/N$4))+2)-INDEX('D Fleet'!$J$5:$J$36,INT(($B26/N$4))+1)),0)</f>
        <v/>
      </c>
      <c r="P26" s="261">
        <f>E26*$D26*'E1 Fleet'!$D$97</f>
        <v/>
      </c>
      <c r="Q26" s="261">
        <f>F26*$D26*'E1 Fleet'!$D$97</f>
        <v/>
      </c>
      <c r="R26" s="261">
        <f>G26*$D26*'E1 Fleet'!$D$97</f>
        <v/>
      </c>
      <c r="S26" s="261">
        <f>H26*$D26*'E1 Fleet'!$D$97</f>
        <v/>
      </c>
      <c r="T26" s="261">
        <f>I26*$D26*'E1 Fleet'!$D$97</f>
        <v/>
      </c>
      <c r="U26" s="261">
        <f>J26*$D26*'E1 Fleet'!$D$97</f>
        <v/>
      </c>
      <c r="V26" s="261">
        <f>K26*$D26*'E1 Fleet'!$D$97</f>
        <v/>
      </c>
      <c r="W26" s="261">
        <f>L26*$D26*'E1 Fleet'!$D$97</f>
        <v/>
      </c>
      <c r="X26" s="261">
        <f>M26*$D26*'E1 Fleet'!$D$97</f>
        <v/>
      </c>
      <c r="Y26" s="261">
        <f>N26*$D26*'E1 Fleet'!$D$97</f>
        <v/>
      </c>
    </row>
    <row r="27">
      <c r="A27" t="inlineStr">
        <is>
          <t>Car</t>
        </is>
      </c>
      <c r="B27" s="331" t="n">
        <v>20</v>
      </c>
      <c r="C27" s="331" t="n">
        <v>3</v>
      </c>
      <c r="D27" s="266">
        <f>IF($B27=0,'E1 Fleet'!$D$93,1)*EXP(-'E1 Fleet'!$D$94*MAX($B27-6,0))</f>
        <v/>
      </c>
      <c r="E27" s="261">
        <f>IFERROR(INDEX('D Fleet'!$C$5:$C$63,MATCH(E$3-$B27,'D Fleet'!$B$5:$B$63,0)),0)*IFERROR(INDEX('D Fleet'!$J$5:$J$36,INT(($B27/E$4))+1)+(($B27/E$4)-INT(($B27/E$4)))*(INDEX('D Fleet'!$J$5:$J$36,INT(($B27/E$4))+2)-INDEX('D Fleet'!$J$5:$J$36,INT(($B27/E$4))+1)),0)</f>
        <v/>
      </c>
      <c r="F27" s="261">
        <f>IFERROR(INDEX('D Fleet'!$C$5:$C$63,MATCH(F$3-$B27,'D Fleet'!$B$5:$B$63,0)),0)*IFERROR(INDEX('D Fleet'!$J$5:$J$36,INT(($B27/F$4))+1)+(($B27/F$4)-INT(($B27/F$4)))*(INDEX('D Fleet'!$J$5:$J$36,INT(($B27/F$4))+2)-INDEX('D Fleet'!$J$5:$J$36,INT(($B27/F$4))+1)),0)</f>
        <v/>
      </c>
      <c r="G27" s="261">
        <f>IFERROR(INDEX('D Fleet'!$C$5:$C$63,MATCH(G$3-$B27,'D Fleet'!$B$5:$B$63,0)),0)*IFERROR(INDEX('D Fleet'!$J$5:$J$36,INT(($B27/G$4))+1)+(($B27/G$4)-INT(($B27/G$4)))*(INDEX('D Fleet'!$J$5:$J$36,INT(($B27/G$4))+2)-INDEX('D Fleet'!$J$5:$J$36,INT(($B27/G$4))+1)),0)</f>
        <v/>
      </c>
      <c r="H27" s="261">
        <f>IFERROR(INDEX('D Fleet'!$C$5:$C$63,MATCH(H$3-$B27,'D Fleet'!$B$5:$B$63,0)),0)*IFERROR(INDEX('D Fleet'!$J$5:$J$36,INT(($B27/H$4))+1)+(($B27/H$4)-INT(($B27/H$4)))*(INDEX('D Fleet'!$J$5:$J$36,INT(($B27/H$4))+2)-INDEX('D Fleet'!$J$5:$J$36,INT(($B27/H$4))+1)),0)</f>
        <v/>
      </c>
      <c r="I27" s="261">
        <f>IFERROR(INDEX('D Fleet'!$C$5:$C$63,MATCH(I$3-$B27,'D Fleet'!$B$5:$B$63,0)),0)*IFERROR(INDEX('D Fleet'!$J$5:$J$36,INT(($B27/I$4))+1)+(($B27/I$4)-INT(($B27/I$4)))*(INDEX('D Fleet'!$J$5:$J$36,INT(($B27/I$4))+2)-INDEX('D Fleet'!$J$5:$J$36,INT(($B27/I$4))+1)),0)</f>
        <v/>
      </c>
      <c r="J27" s="261">
        <f>IFERROR(INDEX('D Fleet'!$C$5:$C$63,MATCH(J$3-$B27,'D Fleet'!$B$5:$B$63,0)),0)*IFERROR(INDEX('D Fleet'!$J$5:$J$36,INT(($B27/J$4))+1)+(($B27/J$4)-INT(($B27/J$4)))*(INDEX('D Fleet'!$J$5:$J$36,INT(($B27/J$4))+2)-INDEX('D Fleet'!$J$5:$J$36,INT(($B27/J$4))+1)),0)</f>
        <v/>
      </c>
      <c r="K27" s="261">
        <f>IFERROR(INDEX('D Fleet'!$C$5:$C$63,MATCH(K$3-$B27,'D Fleet'!$B$5:$B$63,0)),0)*IFERROR(INDEX('D Fleet'!$J$5:$J$36,INT(($B27/K$4))+1)+(($B27/K$4)-INT(($B27/K$4)))*(INDEX('D Fleet'!$J$5:$J$36,INT(($B27/K$4))+2)-INDEX('D Fleet'!$J$5:$J$36,INT(($B27/K$4))+1)),0)</f>
        <v/>
      </c>
      <c r="L27" s="261">
        <f>IFERROR(INDEX('D Fleet'!$C$5:$C$63,MATCH(L$3-$B27,'D Fleet'!$B$5:$B$63,0)),0)*IFERROR(INDEX('D Fleet'!$J$5:$J$36,INT(($B27/L$4))+1)+(($B27/L$4)-INT(($B27/L$4)))*(INDEX('D Fleet'!$J$5:$J$36,INT(($B27/L$4))+2)-INDEX('D Fleet'!$J$5:$J$36,INT(($B27/L$4))+1)),0)</f>
        <v/>
      </c>
      <c r="M27" s="261">
        <f>IFERROR(INDEX('D Fleet'!$C$5:$C$63,MATCH(M$3-$B27,'D Fleet'!$B$5:$B$63,0)),0)*IFERROR(INDEX('D Fleet'!$J$5:$J$36,INT(($B27/M$4))+1)+(($B27/M$4)-INT(($B27/M$4)))*(INDEX('D Fleet'!$J$5:$J$36,INT(($B27/M$4))+2)-INDEX('D Fleet'!$J$5:$J$36,INT(($B27/M$4))+1)),0)</f>
        <v/>
      </c>
      <c r="N27" s="261">
        <f>IFERROR(INDEX('D Fleet'!$C$5:$C$63,MATCH(N$3-$B27,'D Fleet'!$B$5:$B$63,0)),0)*IFERROR(INDEX('D Fleet'!$J$5:$J$36,INT(($B27/N$4))+1)+(($B27/N$4)-INT(($B27/N$4)))*(INDEX('D Fleet'!$J$5:$J$36,INT(($B27/N$4))+2)-INDEX('D Fleet'!$J$5:$J$36,INT(($B27/N$4))+1)),0)</f>
        <v/>
      </c>
      <c r="P27" s="261">
        <f>E27*$D27*'E1 Fleet'!$D$97</f>
        <v/>
      </c>
      <c r="Q27" s="261">
        <f>F27*$D27*'E1 Fleet'!$D$97</f>
        <v/>
      </c>
      <c r="R27" s="261">
        <f>G27*$D27*'E1 Fleet'!$D$97</f>
        <v/>
      </c>
      <c r="S27" s="261">
        <f>H27*$D27*'E1 Fleet'!$D$97</f>
        <v/>
      </c>
      <c r="T27" s="261">
        <f>I27*$D27*'E1 Fleet'!$D$97</f>
        <v/>
      </c>
      <c r="U27" s="261">
        <f>J27*$D27*'E1 Fleet'!$D$97</f>
        <v/>
      </c>
      <c r="V27" s="261">
        <f>K27*$D27*'E1 Fleet'!$D$97</f>
        <v/>
      </c>
      <c r="W27" s="261">
        <f>L27*$D27*'E1 Fleet'!$D$97</f>
        <v/>
      </c>
      <c r="X27" s="261">
        <f>M27*$D27*'E1 Fleet'!$D$97</f>
        <v/>
      </c>
      <c r="Y27" s="261">
        <f>N27*$D27*'E1 Fleet'!$D$97</f>
        <v/>
      </c>
    </row>
    <row r="28">
      <c r="A28" t="inlineStr">
        <is>
          <t>Car</t>
        </is>
      </c>
      <c r="B28" s="331" t="n">
        <v>21</v>
      </c>
      <c r="C28" s="331" t="n">
        <v>3</v>
      </c>
      <c r="D28" s="266">
        <f>IF($B28=0,'E1 Fleet'!$D$93,1)*EXP(-'E1 Fleet'!$D$94*MAX($B28-6,0))</f>
        <v/>
      </c>
      <c r="E28" s="261">
        <f>IFERROR(INDEX('D Fleet'!$C$5:$C$63,MATCH(E$3-$B28,'D Fleet'!$B$5:$B$63,0)),0)*IFERROR(INDEX('D Fleet'!$J$5:$J$36,INT(($B28/E$4))+1)+(($B28/E$4)-INT(($B28/E$4)))*(INDEX('D Fleet'!$J$5:$J$36,INT(($B28/E$4))+2)-INDEX('D Fleet'!$J$5:$J$36,INT(($B28/E$4))+1)),0)</f>
        <v/>
      </c>
      <c r="F28" s="261">
        <f>IFERROR(INDEX('D Fleet'!$C$5:$C$63,MATCH(F$3-$B28,'D Fleet'!$B$5:$B$63,0)),0)*IFERROR(INDEX('D Fleet'!$J$5:$J$36,INT(($B28/F$4))+1)+(($B28/F$4)-INT(($B28/F$4)))*(INDEX('D Fleet'!$J$5:$J$36,INT(($B28/F$4))+2)-INDEX('D Fleet'!$J$5:$J$36,INT(($B28/F$4))+1)),0)</f>
        <v/>
      </c>
      <c r="G28" s="261">
        <f>IFERROR(INDEX('D Fleet'!$C$5:$C$63,MATCH(G$3-$B28,'D Fleet'!$B$5:$B$63,0)),0)*IFERROR(INDEX('D Fleet'!$J$5:$J$36,INT(($B28/G$4))+1)+(($B28/G$4)-INT(($B28/G$4)))*(INDEX('D Fleet'!$J$5:$J$36,INT(($B28/G$4))+2)-INDEX('D Fleet'!$J$5:$J$36,INT(($B28/G$4))+1)),0)</f>
        <v/>
      </c>
      <c r="H28" s="261">
        <f>IFERROR(INDEX('D Fleet'!$C$5:$C$63,MATCH(H$3-$B28,'D Fleet'!$B$5:$B$63,0)),0)*IFERROR(INDEX('D Fleet'!$J$5:$J$36,INT(($B28/H$4))+1)+(($B28/H$4)-INT(($B28/H$4)))*(INDEX('D Fleet'!$J$5:$J$36,INT(($B28/H$4))+2)-INDEX('D Fleet'!$J$5:$J$36,INT(($B28/H$4))+1)),0)</f>
        <v/>
      </c>
      <c r="I28" s="261">
        <f>IFERROR(INDEX('D Fleet'!$C$5:$C$63,MATCH(I$3-$B28,'D Fleet'!$B$5:$B$63,0)),0)*IFERROR(INDEX('D Fleet'!$J$5:$J$36,INT(($B28/I$4))+1)+(($B28/I$4)-INT(($B28/I$4)))*(INDEX('D Fleet'!$J$5:$J$36,INT(($B28/I$4))+2)-INDEX('D Fleet'!$J$5:$J$36,INT(($B28/I$4))+1)),0)</f>
        <v/>
      </c>
      <c r="J28" s="261">
        <f>IFERROR(INDEX('D Fleet'!$C$5:$C$63,MATCH(J$3-$B28,'D Fleet'!$B$5:$B$63,0)),0)*IFERROR(INDEX('D Fleet'!$J$5:$J$36,INT(($B28/J$4))+1)+(($B28/J$4)-INT(($B28/J$4)))*(INDEX('D Fleet'!$J$5:$J$36,INT(($B28/J$4))+2)-INDEX('D Fleet'!$J$5:$J$36,INT(($B28/J$4))+1)),0)</f>
        <v/>
      </c>
      <c r="K28" s="261">
        <f>IFERROR(INDEX('D Fleet'!$C$5:$C$63,MATCH(K$3-$B28,'D Fleet'!$B$5:$B$63,0)),0)*IFERROR(INDEX('D Fleet'!$J$5:$J$36,INT(($B28/K$4))+1)+(($B28/K$4)-INT(($B28/K$4)))*(INDEX('D Fleet'!$J$5:$J$36,INT(($B28/K$4))+2)-INDEX('D Fleet'!$J$5:$J$36,INT(($B28/K$4))+1)),0)</f>
        <v/>
      </c>
      <c r="L28" s="261">
        <f>IFERROR(INDEX('D Fleet'!$C$5:$C$63,MATCH(L$3-$B28,'D Fleet'!$B$5:$B$63,0)),0)*IFERROR(INDEX('D Fleet'!$J$5:$J$36,INT(($B28/L$4))+1)+(($B28/L$4)-INT(($B28/L$4)))*(INDEX('D Fleet'!$J$5:$J$36,INT(($B28/L$4))+2)-INDEX('D Fleet'!$J$5:$J$36,INT(($B28/L$4))+1)),0)</f>
        <v/>
      </c>
      <c r="M28" s="261">
        <f>IFERROR(INDEX('D Fleet'!$C$5:$C$63,MATCH(M$3-$B28,'D Fleet'!$B$5:$B$63,0)),0)*IFERROR(INDEX('D Fleet'!$J$5:$J$36,INT(($B28/M$4))+1)+(($B28/M$4)-INT(($B28/M$4)))*(INDEX('D Fleet'!$J$5:$J$36,INT(($B28/M$4))+2)-INDEX('D Fleet'!$J$5:$J$36,INT(($B28/M$4))+1)),0)</f>
        <v/>
      </c>
      <c r="N28" s="261">
        <f>IFERROR(INDEX('D Fleet'!$C$5:$C$63,MATCH(N$3-$B28,'D Fleet'!$B$5:$B$63,0)),0)*IFERROR(INDEX('D Fleet'!$J$5:$J$36,INT(($B28/N$4))+1)+(($B28/N$4)-INT(($B28/N$4)))*(INDEX('D Fleet'!$J$5:$J$36,INT(($B28/N$4))+2)-INDEX('D Fleet'!$J$5:$J$36,INT(($B28/N$4))+1)),0)</f>
        <v/>
      </c>
      <c r="P28" s="261">
        <f>E28*$D28*'E1 Fleet'!$D$97</f>
        <v/>
      </c>
      <c r="Q28" s="261">
        <f>F28*$D28*'E1 Fleet'!$D$97</f>
        <v/>
      </c>
      <c r="R28" s="261">
        <f>G28*$D28*'E1 Fleet'!$D$97</f>
        <v/>
      </c>
      <c r="S28" s="261">
        <f>H28*$D28*'E1 Fleet'!$D$97</f>
        <v/>
      </c>
      <c r="T28" s="261">
        <f>I28*$D28*'E1 Fleet'!$D$97</f>
        <v/>
      </c>
      <c r="U28" s="261">
        <f>J28*$D28*'E1 Fleet'!$D$97</f>
        <v/>
      </c>
      <c r="V28" s="261">
        <f>K28*$D28*'E1 Fleet'!$D$97</f>
        <v/>
      </c>
      <c r="W28" s="261">
        <f>L28*$D28*'E1 Fleet'!$D$97</f>
        <v/>
      </c>
      <c r="X28" s="261">
        <f>M28*$D28*'E1 Fleet'!$D$97</f>
        <v/>
      </c>
      <c r="Y28" s="261">
        <f>N28*$D28*'E1 Fleet'!$D$97</f>
        <v/>
      </c>
    </row>
    <row r="29">
      <c r="A29" t="inlineStr">
        <is>
          <t>Car</t>
        </is>
      </c>
      <c r="B29" s="331" t="n">
        <v>22</v>
      </c>
      <c r="C29" s="331" t="n">
        <v>3</v>
      </c>
      <c r="D29" s="266">
        <f>IF($B29=0,'E1 Fleet'!$D$93,1)*EXP(-'E1 Fleet'!$D$94*MAX($B29-6,0))</f>
        <v/>
      </c>
      <c r="E29" s="261">
        <f>IFERROR(INDEX('D Fleet'!$C$5:$C$63,MATCH(E$3-$B29,'D Fleet'!$B$5:$B$63,0)),0)*IFERROR(INDEX('D Fleet'!$J$5:$J$36,INT(($B29/E$4))+1)+(($B29/E$4)-INT(($B29/E$4)))*(INDEX('D Fleet'!$J$5:$J$36,INT(($B29/E$4))+2)-INDEX('D Fleet'!$J$5:$J$36,INT(($B29/E$4))+1)),0)</f>
        <v/>
      </c>
      <c r="F29" s="261">
        <f>IFERROR(INDEX('D Fleet'!$C$5:$C$63,MATCH(F$3-$B29,'D Fleet'!$B$5:$B$63,0)),0)*IFERROR(INDEX('D Fleet'!$J$5:$J$36,INT(($B29/F$4))+1)+(($B29/F$4)-INT(($B29/F$4)))*(INDEX('D Fleet'!$J$5:$J$36,INT(($B29/F$4))+2)-INDEX('D Fleet'!$J$5:$J$36,INT(($B29/F$4))+1)),0)</f>
        <v/>
      </c>
      <c r="G29" s="261">
        <f>IFERROR(INDEX('D Fleet'!$C$5:$C$63,MATCH(G$3-$B29,'D Fleet'!$B$5:$B$63,0)),0)*IFERROR(INDEX('D Fleet'!$J$5:$J$36,INT(($B29/G$4))+1)+(($B29/G$4)-INT(($B29/G$4)))*(INDEX('D Fleet'!$J$5:$J$36,INT(($B29/G$4))+2)-INDEX('D Fleet'!$J$5:$J$36,INT(($B29/G$4))+1)),0)</f>
        <v/>
      </c>
      <c r="H29" s="261">
        <f>IFERROR(INDEX('D Fleet'!$C$5:$C$63,MATCH(H$3-$B29,'D Fleet'!$B$5:$B$63,0)),0)*IFERROR(INDEX('D Fleet'!$J$5:$J$36,INT(($B29/H$4))+1)+(($B29/H$4)-INT(($B29/H$4)))*(INDEX('D Fleet'!$J$5:$J$36,INT(($B29/H$4))+2)-INDEX('D Fleet'!$J$5:$J$36,INT(($B29/H$4))+1)),0)</f>
        <v/>
      </c>
      <c r="I29" s="261">
        <f>IFERROR(INDEX('D Fleet'!$C$5:$C$63,MATCH(I$3-$B29,'D Fleet'!$B$5:$B$63,0)),0)*IFERROR(INDEX('D Fleet'!$J$5:$J$36,INT(($B29/I$4))+1)+(($B29/I$4)-INT(($B29/I$4)))*(INDEX('D Fleet'!$J$5:$J$36,INT(($B29/I$4))+2)-INDEX('D Fleet'!$J$5:$J$36,INT(($B29/I$4))+1)),0)</f>
        <v/>
      </c>
      <c r="J29" s="261">
        <f>IFERROR(INDEX('D Fleet'!$C$5:$C$63,MATCH(J$3-$B29,'D Fleet'!$B$5:$B$63,0)),0)*IFERROR(INDEX('D Fleet'!$J$5:$J$36,INT(($B29/J$4))+1)+(($B29/J$4)-INT(($B29/J$4)))*(INDEX('D Fleet'!$J$5:$J$36,INT(($B29/J$4))+2)-INDEX('D Fleet'!$J$5:$J$36,INT(($B29/J$4))+1)),0)</f>
        <v/>
      </c>
      <c r="K29" s="261">
        <f>IFERROR(INDEX('D Fleet'!$C$5:$C$63,MATCH(K$3-$B29,'D Fleet'!$B$5:$B$63,0)),0)*IFERROR(INDEX('D Fleet'!$J$5:$J$36,INT(($B29/K$4))+1)+(($B29/K$4)-INT(($B29/K$4)))*(INDEX('D Fleet'!$J$5:$J$36,INT(($B29/K$4))+2)-INDEX('D Fleet'!$J$5:$J$36,INT(($B29/K$4))+1)),0)</f>
        <v/>
      </c>
      <c r="L29" s="261">
        <f>IFERROR(INDEX('D Fleet'!$C$5:$C$63,MATCH(L$3-$B29,'D Fleet'!$B$5:$B$63,0)),0)*IFERROR(INDEX('D Fleet'!$J$5:$J$36,INT(($B29/L$4))+1)+(($B29/L$4)-INT(($B29/L$4)))*(INDEX('D Fleet'!$J$5:$J$36,INT(($B29/L$4))+2)-INDEX('D Fleet'!$J$5:$J$36,INT(($B29/L$4))+1)),0)</f>
        <v/>
      </c>
      <c r="M29" s="261">
        <f>IFERROR(INDEX('D Fleet'!$C$5:$C$63,MATCH(M$3-$B29,'D Fleet'!$B$5:$B$63,0)),0)*IFERROR(INDEX('D Fleet'!$J$5:$J$36,INT(($B29/M$4))+1)+(($B29/M$4)-INT(($B29/M$4)))*(INDEX('D Fleet'!$J$5:$J$36,INT(($B29/M$4))+2)-INDEX('D Fleet'!$J$5:$J$36,INT(($B29/M$4))+1)),0)</f>
        <v/>
      </c>
      <c r="N29" s="261">
        <f>IFERROR(INDEX('D Fleet'!$C$5:$C$63,MATCH(N$3-$B29,'D Fleet'!$B$5:$B$63,0)),0)*IFERROR(INDEX('D Fleet'!$J$5:$J$36,INT(($B29/N$4))+1)+(($B29/N$4)-INT(($B29/N$4)))*(INDEX('D Fleet'!$J$5:$J$36,INT(($B29/N$4))+2)-INDEX('D Fleet'!$J$5:$J$36,INT(($B29/N$4))+1)),0)</f>
        <v/>
      </c>
      <c r="P29" s="261">
        <f>E29*$D29*'E1 Fleet'!$D$97</f>
        <v/>
      </c>
      <c r="Q29" s="261">
        <f>F29*$D29*'E1 Fleet'!$D$97</f>
        <v/>
      </c>
      <c r="R29" s="261">
        <f>G29*$D29*'E1 Fleet'!$D$97</f>
        <v/>
      </c>
      <c r="S29" s="261">
        <f>H29*$D29*'E1 Fleet'!$D$97</f>
        <v/>
      </c>
      <c r="T29" s="261">
        <f>I29*$D29*'E1 Fleet'!$D$97</f>
        <v/>
      </c>
      <c r="U29" s="261">
        <f>J29*$D29*'E1 Fleet'!$D$97</f>
        <v/>
      </c>
      <c r="V29" s="261">
        <f>K29*$D29*'E1 Fleet'!$D$97</f>
        <v/>
      </c>
      <c r="W29" s="261">
        <f>L29*$D29*'E1 Fleet'!$D$97</f>
        <v/>
      </c>
      <c r="X29" s="261">
        <f>M29*$D29*'E1 Fleet'!$D$97</f>
        <v/>
      </c>
      <c r="Y29" s="261">
        <f>N29*$D29*'E1 Fleet'!$D$97</f>
        <v/>
      </c>
    </row>
    <row r="30">
      <c r="A30" t="inlineStr">
        <is>
          <t>Car</t>
        </is>
      </c>
      <c r="B30" s="331" t="n">
        <v>23</v>
      </c>
      <c r="C30" s="331" t="n">
        <v>3</v>
      </c>
      <c r="D30" s="266">
        <f>IF($B30=0,'E1 Fleet'!$D$93,1)*EXP(-'E1 Fleet'!$D$94*MAX($B30-6,0))</f>
        <v/>
      </c>
      <c r="E30" s="261">
        <f>IFERROR(INDEX('D Fleet'!$C$5:$C$63,MATCH(E$3-$B30,'D Fleet'!$B$5:$B$63,0)),0)*IFERROR(INDEX('D Fleet'!$J$5:$J$36,INT(($B30/E$4))+1)+(($B30/E$4)-INT(($B30/E$4)))*(INDEX('D Fleet'!$J$5:$J$36,INT(($B30/E$4))+2)-INDEX('D Fleet'!$J$5:$J$36,INT(($B30/E$4))+1)),0)</f>
        <v/>
      </c>
      <c r="F30" s="261">
        <f>IFERROR(INDEX('D Fleet'!$C$5:$C$63,MATCH(F$3-$B30,'D Fleet'!$B$5:$B$63,0)),0)*IFERROR(INDEX('D Fleet'!$J$5:$J$36,INT(($B30/F$4))+1)+(($B30/F$4)-INT(($B30/F$4)))*(INDEX('D Fleet'!$J$5:$J$36,INT(($B30/F$4))+2)-INDEX('D Fleet'!$J$5:$J$36,INT(($B30/F$4))+1)),0)</f>
        <v/>
      </c>
      <c r="G30" s="261">
        <f>IFERROR(INDEX('D Fleet'!$C$5:$C$63,MATCH(G$3-$B30,'D Fleet'!$B$5:$B$63,0)),0)*IFERROR(INDEX('D Fleet'!$J$5:$J$36,INT(($B30/G$4))+1)+(($B30/G$4)-INT(($B30/G$4)))*(INDEX('D Fleet'!$J$5:$J$36,INT(($B30/G$4))+2)-INDEX('D Fleet'!$J$5:$J$36,INT(($B30/G$4))+1)),0)</f>
        <v/>
      </c>
      <c r="H30" s="261">
        <f>IFERROR(INDEX('D Fleet'!$C$5:$C$63,MATCH(H$3-$B30,'D Fleet'!$B$5:$B$63,0)),0)*IFERROR(INDEX('D Fleet'!$J$5:$J$36,INT(($B30/H$4))+1)+(($B30/H$4)-INT(($B30/H$4)))*(INDEX('D Fleet'!$J$5:$J$36,INT(($B30/H$4))+2)-INDEX('D Fleet'!$J$5:$J$36,INT(($B30/H$4))+1)),0)</f>
        <v/>
      </c>
      <c r="I30" s="261">
        <f>IFERROR(INDEX('D Fleet'!$C$5:$C$63,MATCH(I$3-$B30,'D Fleet'!$B$5:$B$63,0)),0)*IFERROR(INDEX('D Fleet'!$J$5:$J$36,INT(($B30/I$4))+1)+(($B30/I$4)-INT(($B30/I$4)))*(INDEX('D Fleet'!$J$5:$J$36,INT(($B30/I$4))+2)-INDEX('D Fleet'!$J$5:$J$36,INT(($B30/I$4))+1)),0)</f>
        <v/>
      </c>
      <c r="J30" s="261">
        <f>IFERROR(INDEX('D Fleet'!$C$5:$C$63,MATCH(J$3-$B30,'D Fleet'!$B$5:$B$63,0)),0)*IFERROR(INDEX('D Fleet'!$J$5:$J$36,INT(($B30/J$4))+1)+(($B30/J$4)-INT(($B30/J$4)))*(INDEX('D Fleet'!$J$5:$J$36,INT(($B30/J$4))+2)-INDEX('D Fleet'!$J$5:$J$36,INT(($B30/J$4))+1)),0)</f>
        <v/>
      </c>
      <c r="K30" s="261">
        <f>IFERROR(INDEX('D Fleet'!$C$5:$C$63,MATCH(K$3-$B30,'D Fleet'!$B$5:$B$63,0)),0)*IFERROR(INDEX('D Fleet'!$J$5:$J$36,INT(($B30/K$4))+1)+(($B30/K$4)-INT(($B30/K$4)))*(INDEX('D Fleet'!$J$5:$J$36,INT(($B30/K$4))+2)-INDEX('D Fleet'!$J$5:$J$36,INT(($B30/K$4))+1)),0)</f>
        <v/>
      </c>
      <c r="L30" s="261">
        <f>IFERROR(INDEX('D Fleet'!$C$5:$C$63,MATCH(L$3-$B30,'D Fleet'!$B$5:$B$63,0)),0)*IFERROR(INDEX('D Fleet'!$J$5:$J$36,INT(($B30/L$4))+1)+(($B30/L$4)-INT(($B30/L$4)))*(INDEX('D Fleet'!$J$5:$J$36,INT(($B30/L$4))+2)-INDEX('D Fleet'!$J$5:$J$36,INT(($B30/L$4))+1)),0)</f>
        <v/>
      </c>
      <c r="M30" s="261">
        <f>IFERROR(INDEX('D Fleet'!$C$5:$C$63,MATCH(M$3-$B30,'D Fleet'!$B$5:$B$63,0)),0)*IFERROR(INDEX('D Fleet'!$J$5:$J$36,INT(($B30/M$4))+1)+(($B30/M$4)-INT(($B30/M$4)))*(INDEX('D Fleet'!$J$5:$J$36,INT(($B30/M$4))+2)-INDEX('D Fleet'!$J$5:$J$36,INT(($B30/M$4))+1)),0)</f>
        <v/>
      </c>
      <c r="N30" s="261">
        <f>IFERROR(INDEX('D Fleet'!$C$5:$C$63,MATCH(N$3-$B30,'D Fleet'!$B$5:$B$63,0)),0)*IFERROR(INDEX('D Fleet'!$J$5:$J$36,INT(($B30/N$4))+1)+(($B30/N$4)-INT(($B30/N$4)))*(INDEX('D Fleet'!$J$5:$J$36,INT(($B30/N$4))+2)-INDEX('D Fleet'!$J$5:$J$36,INT(($B30/N$4))+1)),0)</f>
        <v/>
      </c>
      <c r="P30" s="261">
        <f>E30*$D30*'E1 Fleet'!$D$97</f>
        <v/>
      </c>
      <c r="Q30" s="261">
        <f>F30*$D30*'E1 Fleet'!$D$97</f>
        <v/>
      </c>
      <c r="R30" s="261">
        <f>G30*$D30*'E1 Fleet'!$D$97</f>
        <v/>
      </c>
      <c r="S30" s="261">
        <f>H30*$D30*'E1 Fleet'!$D$97</f>
        <v/>
      </c>
      <c r="T30" s="261">
        <f>I30*$D30*'E1 Fleet'!$D$97</f>
        <v/>
      </c>
      <c r="U30" s="261">
        <f>J30*$D30*'E1 Fleet'!$D$97</f>
        <v/>
      </c>
      <c r="V30" s="261">
        <f>K30*$D30*'E1 Fleet'!$D$97</f>
        <v/>
      </c>
      <c r="W30" s="261">
        <f>L30*$D30*'E1 Fleet'!$D$97</f>
        <v/>
      </c>
      <c r="X30" s="261">
        <f>M30*$D30*'E1 Fleet'!$D$97</f>
        <v/>
      </c>
      <c r="Y30" s="261">
        <f>N30*$D30*'E1 Fleet'!$D$97</f>
        <v/>
      </c>
    </row>
    <row r="31">
      <c r="A31" t="inlineStr">
        <is>
          <t>Car</t>
        </is>
      </c>
      <c r="B31" s="331" t="n">
        <v>24</v>
      </c>
      <c r="C31" s="331" t="n">
        <v>3</v>
      </c>
      <c r="D31" s="266">
        <f>IF($B31=0,'E1 Fleet'!$D$93,1)*EXP(-'E1 Fleet'!$D$94*MAX($B31-6,0))</f>
        <v/>
      </c>
      <c r="E31" s="261">
        <f>IFERROR(INDEX('D Fleet'!$C$5:$C$63,MATCH(E$3-$B31,'D Fleet'!$B$5:$B$63,0)),0)*IFERROR(INDEX('D Fleet'!$J$5:$J$36,INT(($B31/E$4))+1)+(($B31/E$4)-INT(($B31/E$4)))*(INDEX('D Fleet'!$J$5:$J$36,INT(($B31/E$4))+2)-INDEX('D Fleet'!$J$5:$J$36,INT(($B31/E$4))+1)),0)</f>
        <v/>
      </c>
      <c r="F31" s="261">
        <f>IFERROR(INDEX('D Fleet'!$C$5:$C$63,MATCH(F$3-$B31,'D Fleet'!$B$5:$B$63,0)),0)*IFERROR(INDEX('D Fleet'!$J$5:$J$36,INT(($B31/F$4))+1)+(($B31/F$4)-INT(($B31/F$4)))*(INDEX('D Fleet'!$J$5:$J$36,INT(($B31/F$4))+2)-INDEX('D Fleet'!$J$5:$J$36,INT(($B31/F$4))+1)),0)</f>
        <v/>
      </c>
      <c r="G31" s="261">
        <f>IFERROR(INDEX('D Fleet'!$C$5:$C$63,MATCH(G$3-$B31,'D Fleet'!$B$5:$B$63,0)),0)*IFERROR(INDEX('D Fleet'!$J$5:$J$36,INT(($B31/G$4))+1)+(($B31/G$4)-INT(($B31/G$4)))*(INDEX('D Fleet'!$J$5:$J$36,INT(($B31/G$4))+2)-INDEX('D Fleet'!$J$5:$J$36,INT(($B31/G$4))+1)),0)</f>
        <v/>
      </c>
      <c r="H31" s="261">
        <f>IFERROR(INDEX('D Fleet'!$C$5:$C$63,MATCH(H$3-$B31,'D Fleet'!$B$5:$B$63,0)),0)*IFERROR(INDEX('D Fleet'!$J$5:$J$36,INT(($B31/H$4))+1)+(($B31/H$4)-INT(($B31/H$4)))*(INDEX('D Fleet'!$J$5:$J$36,INT(($B31/H$4))+2)-INDEX('D Fleet'!$J$5:$J$36,INT(($B31/H$4))+1)),0)</f>
        <v/>
      </c>
      <c r="I31" s="261">
        <f>IFERROR(INDEX('D Fleet'!$C$5:$C$63,MATCH(I$3-$B31,'D Fleet'!$B$5:$B$63,0)),0)*IFERROR(INDEX('D Fleet'!$J$5:$J$36,INT(($B31/I$4))+1)+(($B31/I$4)-INT(($B31/I$4)))*(INDEX('D Fleet'!$J$5:$J$36,INT(($B31/I$4))+2)-INDEX('D Fleet'!$J$5:$J$36,INT(($B31/I$4))+1)),0)</f>
        <v/>
      </c>
      <c r="J31" s="261">
        <f>IFERROR(INDEX('D Fleet'!$C$5:$C$63,MATCH(J$3-$B31,'D Fleet'!$B$5:$B$63,0)),0)*IFERROR(INDEX('D Fleet'!$J$5:$J$36,INT(($B31/J$4))+1)+(($B31/J$4)-INT(($B31/J$4)))*(INDEX('D Fleet'!$J$5:$J$36,INT(($B31/J$4))+2)-INDEX('D Fleet'!$J$5:$J$36,INT(($B31/J$4))+1)),0)</f>
        <v/>
      </c>
      <c r="K31" s="261">
        <f>IFERROR(INDEX('D Fleet'!$C$5:$C$63,MATCH(K$3-$B31,'D Fleet'!$B$5:$B$63,0)),0)*IFERROR(INDEX('D Fleet'!$J$5:$J$36,INT(($B31/K$4))+1)+(($B31/K$4)-INT(($B31/K$4)))*(INDEX('D Fleet'!$J$5:$J$36,INT(($B31/K$4))+2)-INDEX('D Fleet'!$J$5:$J$36,INT(($B31/K$4))+1)),0)</f>
        <v/>
      </c>
      <c r="L31" s="261">
        <f>IFERROR(INDEX('D Fleet'!$C$5:$C$63,MATCH(L$3-$B31,'D Fleet'!$B$5:$B$63,0)),0)*IFERROR(INDEX('D Fleet'!$J$5:$J$36,INT(($B31/L$4))+1)+(($B31/L$4)-INT(($B31/L$4)))*(INDEX('D Fleet'!$J$5:$J$36,INT(($B31/L$4))+2)-INDEX('D Fleet'!$J$5:$J$36,INT(($B31/L$4))+1)),0)</f>
        <v/>
      </c>
      <c r="M31" s="261">
        <f>IFERROR(INDEX('D Fleet'!$C$5:$C$63,MATCH(M$3-$B31,'D Fleet'!$B$5:$B$63,0)),0)*IFERROR(INDEX('D Fleet'!$J$5:$J$36,INT(($B31/M$4))+1)+(($B31/M$4)-INT(($B31/M$4)))*(INDEX('D Fleet'!$J$5:$J$36,INT(($B31/M$4))+2)-INDEX('D Fleet'!$J$5:$J$36,INT(($B31/M$4))+1)),0)</f>
        <v/>
      </c>
      <c r="N31" s="261">
        <f>IFERROR(INDEX('D Fleet'!$C$5:$C$63,MATCH(N$3-$B31,'D Fleet'!$B$5:$B$63,0)),0)*IFERROR(INDEX('D Fleet'!$J$5:$J$36,INT(($B31/N$4))+1)+(($B31/N$4)-INT(($B31/N$4)))*(INDEX('D Fleet'!$J$5:$J$36,INT(($B31/N$4))+2)-INDEX('D Fleet'!$J$5:$J$36,INT(($B31/N$4))+1)),0)</f>
        <v/>
      </c>
      <c r="P31" s="261">
        <f>E31*$D31*'E1 Fleet'!$D$97</f>
        <v/>
      </c>
      <c r="Q31" s="261">
        <f>F31*$D31*'E1 Fleet'!$D$97</f>
        <v/>
      </c>
      <c r="R31" s="261">
        <f>G31*$D31*'E1 Fleet'!$D$97</f>
        <v/>
      </c>
      <c r="S31" s="261">
        <f>H31*$D31*'E1 Fleet'!$D$97</f>
        <v/>
      </c>
      <c r="T31" s="261">
        <f>I31*$D31*'E1 Fleet'!$D$97</f>
        <v/>
      </c>
      <c r="U31" s="261">
        <f>J31*$D31*'E1 Fleet'!$D$97</f>
        <v/>
      </c>
      <c r="V31" s="261">
        <f>K31*$D31*'E1 Fleet'!$D$97</f>
        <v/>
      </c>
      <c r="W31" s="261">
        <f>L31*$D31*'E1 Fleet'!$D$97</f>
        <v/>
      </c>
      <c r="X31" s="261">
        <f>M31*$D31*'E1 Fleet'!$D$97</f>
        <v/>
      </c>
      <c r="Y31" s="261">
        <f>N31*$D31*'E1 Fleet'!$D$97</f>
        <v/>
      </c>
    </row>
    <row r="32">
      <c r="A32" t="inlineStr">
        <is>
          <t>Car</t>
        </is>
      </c>
      <c r="B32" s="331" t="n">
        <v>25</v>
      </c>
      <c r="C32" s="331" t="n">
        <v>3</v>
      </c>
      <c r="D32" s="266">
        <f>IF($B32=0,'E1 Fleet'!$D$93,1)*EXP(-'E1 Fleet'!$D$94*MAX($B32-6,0))</f>
        <v/>
      </c>
      <c r="E32" s="261">
        <f>IFERROR(INDEX('D Fleet'!$C$5:$C$63,MATCH(E$3-$B32,'D Fleet'!$B$5:$B$63,0)),0)*IFERROR(INDEX('D Fleet'!$J$5:$J$36,INT(($B32/E$4))+1)+(($B32/E$4)-INT(($B32/E$4)))*(INDEX('D Fleet'!$J$5:$J$36,INT(($B32/E$4))+2)-INDEX('D Fleet'!$J$5:$J$36,INT(($B32/E$4))+1)),0)</f>
        <v/>
      </c>
      <c r="F32" s="261">
        <f>IFERROR(INDEX('D Fleet'!$C$5:$C$63,MATCH(F$3-$B32,'D Fleet'!$B$5:$B$63,0)),0)*IFERROR(INDEX('D Fleet'!$J$5:$J$36,INT(($B32/F$4))+1)+(($B32/F$4)-INT(($B32/F$4)))*(INDEX('D Fleet'!$J$5:$J$36,INT(($B32/F$4))+2)-INDEX('D Fleet'!$J$5:$J$36,INT(($B32/F$4))+1)),0)</f>
        <v/>
      </c>
      <c r="G32" s="261">
        <f>IFERROR(INDEX('D Fleet'!$C$5:$C$63,MATCH(G$3-$B32,'D Fleet'!$B$5:$B$63,0)),0)*IFERROR(INDEX('D Fleet'!$J$5:$J$36,INT(($B32/G$4))+1)+(($B32/G$4)-INT(($B32/G$4)))*(INDEX('D Fleet'!$J$5:$J$36,INT(($B32/G$4))+2)-INDEX('D Fleet'!$J$5:$J$36,INT(($B32/G$4))+1)),0)</f>
        <v/>
      </c>
      <c r="H32" s="261">
        <f>IFERROR(INDEX('D Fleet'!$C$5:$C$63,MATCH(H$3-$B32,'D Fleet'!$B$5:$B$63,0)),0)*IFERROR(INDEX('D Fleet'!$J$5:$J$36,INT(($B32/H$4))+1)+(($B32/H$4)-INT(($B32/H$4)))*(INDEX('D Fleet'!$J$5:$J$36,INT(($B32/H$4))+2)-INDEX('D Fleet'!$J$5:$J$36,INT(($B32/H$4))+1)),0)</f>
        <v/>
      </c>
      <c r="I32" s="261">
        <f>IFERROR(INDEX('D Fleet'!$C$5:$C$63,MATCH(I$3-$B32,'D Fleet'!$B$5:$B$63,0)),0)*IFERROR(INDEX('D Fleet'!$J$5:$J$36,INT(($B32/I$4))+1)+(($B32/I$4)-INT(($B32/I$4)))*(INDEX('D Fleet'!$J$5:$J$36,INT(($B32/I$4))+2)-INDEX('D Fleet'!$J$5:$J$36,INT(($B32/I$4))+1)),0)</f>
        <v/>
      </c>
      <c r="J32" s="261">
        <f>IFERROR(INDEX('D Fleet'!$C$5:$C$63,MATCH(J$3-$B32,'D Fleet'!$B$5:$B$63,0)),0)*IFERROR(INDEX('D Fleet'!$J$5:$J$36,INT(($B32/J$4))+1)+(($B32/J$4)-INT(($B32/J$4)))*(INDEX('D Fleet'!$J$5:$J$36,INT(($B32/J$4))+2)-INDEX('D Fleet'!$J$5:$J$36,INT(($B32/J$4))+1)),0)</f>
        <v/>
      </c>
      <c r="K32" s="261">
        <f>IFERROR(INDEX('D Fleet'!$C$5:$C$63,MATCH(K$3-$B32,'D Fleet'!$B$5:$B$63,0)),0)*IFERROR(INDEX('D Fleet'!$J$5:$J$36,INT(($B32/K$4))+1)+(($B32/K$4)-INT(($B32/K$4)))*(INDEX('D Fleet'!$J$5:$J$36,INT(($B32/K$4))+2)-INDEX('D Fleet'!$J$5:$J$36,INT(($B32/K$4))+1)),0)</f>
        <v/>
      </c>
      <c r="L32" s="261">
        <f>IFERROR(INDEX('D Fleet'!$C$5:$C$63,MATCH(L$3-$B32,'D Fleet'!$B$5:$B$63,0)),0)*IFERROR(INDEX('D Fleet'!$J$5:$J$36,INT(($B32/L$4))+1)+(($B32/L$4)-INT(($B32/L$4)))*(INDEX('D Fleet'!$J$5:$J$36,INT(($B32/L$4))+2)-INDEX('D Fleet'!$J$5:$J$36,INT(($B32/L$4))+1)),0)</f>
        <v/>
      </c>
      <c r="M32" s="261">
        <f>IFERROR(INDEX('D Fleet'!$C$5:$C$63,MATCH(M$3-$B32,'D Fleet'!$B$5:$B$63,0)),0)*IFERROR(INDEX('D Fleet'!$J$5:$J$36,INT(($B32/M$4))+1)+(($B32/M$4)-INT(($B32/M$4)))*(INDEX('D Fleet'!$J$5:$J$36,INT(($B32/M$4))+2)-INDEX('D Fleet'!$J$5:$J$36,INT(($B32/M$4))+1)),0)</f>
        <v/>
      </c>
      <c r="N32" s="261">
        <f>IFERROR(INDEX('D Fleet'!$C$5:$C$63,MATCH(N$3-$B32,'D Fleet'!$B$5:$B$63,0)),0)*IFERROR(INDEX('D Fleet'!$J$5:$J$36,INT(($B32/N$4))+1)+(($B32/N$4)-INT(($B32/N$4)))*(INDEX('D Fleet'!$J$5:$J$36,INT(($B32/N$4))+2)-INDEX('D Fleet'!$J$5:$J$36,INT(($B32/N$4))+1)),0)</f>
        <v/>
      </c>
      <c r="P32" s="261">
        <f>E32*$D32*'E1 Fleet'!$D$97</f>
        <v/>
      </c>
      <c r="Q32" s="261">
        <f>F32*$D32*'E1 Fleet'!$D$97</f>
        <v/>
      </c>
      <c r="R32" s="261">
        <f>G32*$D32*'E1 Fleet'!$D$97</f>
        <v/>
      </c>
      <c r="S32" s="261">
        <f>H32*$D32*'E1 Fleet'!$D$97</f>
        <v/>
      </c>
      <c r="T32" s="261">
        <f>I32*$D32*'E1 Fleet'!$D$97</f>
        <v/>
      </c>
      <c r="U32" s="261">
        <f>J32*$D32*'E1 Fleet'!$D$97</f>
        <v/>
      </c>
      <c r="V32" s="261">
        <f>K32*$D32*'E1 Fleet'!$D$97</f>
        <v/>
      </c>
      <c r="W32" s="261">
        <f>L32*$D32*'E1 Fleet'!$D$97</f>
        <v/>
      </c>
      <c r="X32" s="261">
        <f>M32*$D32*'E1 Fleet'!$D$97</f>
        <v/>
      </c>
      <c r="Y32" s="261">
        <f>N32*$D32*'E1 Fleet'!$D$97</f>
        <v/>
      </c>
    </row>
    <row r="33">
      <c r="A33" t="inlineStr">
        <is>
          <t>Car</t>
        </is>
      </c>
      <c r="B33" s="331" t="n">
        <v>26</v>
      </c>
      <c r="C33" s="331" t="n">
        <v>3</v>
      </c>
      <c r="D33" s="266">
        <f>IF($B33=0,'E1 Fleet'!$D$93,1)*EXP(-'E1 Fleet'!$D$94*MAX($B33-6,0))</f>
        <v/>
      </c>
      <c r="E33" s="261">
        <f>IFERROR(INDEX('D Fleet'!$C$5:$C$63,MATCH(E$3-$B33,'D Fleet'!$B$5:$B$63,0)),0)*IFERROR(INDEX('D Fleet'!$J$5:$J$36,INT(($B33/E$4))+1)+(($B33/E$4)-INT(($B33/E$4)))*(INDEX('D Fleet'!$J$5:$J$36,INT(($B33/E$4))+2)-INDEX('D Fleet'!$J$5:$J$36,INT(($B33/E$4))+1)),0)</f>
        <v/>
      </c>
      <c r="F33" s="261">
        <f>IFERROR(INDEX('D Fleet'!$C$5:$C$63,MATCH(F$3-$B33,'D Fleet'!$B$5:$B$63,0)),0)*IFERROR(INDEX('D Fleet'!$J$5:$J$36,INT(($B33/F$4))+1)+(($B33/F$4)-INT(($B33/F$4)))*(INDEX('D Fleet'!$J$5:$J$36,INT(($B33/F$4))+2)-INDEX('D Fleet'!$J$5:$J$36,INT(($B33/F$4))+1)),0)</f>
        <v/>
      </c>
      <c r="G33" s="261">
        <f>IFERROR(INDEX('D Fleet'!$C$5:$C$63,MATCH(G$3-$B33,'D Fleet'!$B$5:$B$63,0)),0)*IFERROR(INDEX('D Fleet'!$J$5:$J$36,INT(($B33/G$4))+1)+(($B33/G$4)-INT(($B33/G$4)))*(INDEX('D Fleet'!$J$5:$J$36,INT(($B33/G$4))+2)-INDEX('D Fleet'!$J$5:$J$36,INT(($B33/G$4))+1)),0)</f>
        <v/>
      </c>
      <c r="H33" s="261">
        <f>IFERROR(INDEX('D Fleet'!$C$5:$C$63,MATCH(H$3-$B33,'D Fleet'!$B$5:$B$63,0)),0)*IFERROR(INDEX('D Fleet'!$J$5:$J$36,INT(($B33/H$4))+1)+(($B33/H$4)-INT(($B33/H$4)))*(INDEX('D Fleet'!$J$5:$J$36,INT(($B33/H$4))+2)-INDEX('D Fleet'!$J$5:$J$36,INT(($B33/H$4))+1)),0)</f>
        <v/>
      </c>
      <c r="I33" s="261">
        <f>IFERROR(INDEX('D Fleet'!$C$5:$C$63,MATCH(I$3-$B33,'D Fleet'!$B$5:$B$63,0)),0)*IFERROR(INDEX('D Fleet'!$J$5:$J$36,INT(($B33/I$4))+1)+(($B33/I$4)-INT(($B33/I$4)))*(INDEX('D Fleet'!$J$5:$J$36,INT(($B33/I$4))+2)-INDEX('D Fleet'!$J$5:$J$36,INT(($B33/I$4))+1)),0)</f>
        <v/>
      </c>
      <c r="J33" s="261">
        <f>IFERROR(INDEX('D Fleet'!$C$5:$C$63,MATCH(J$3-$B33,'D Fleet'!$B$5:$B$63,0)),0)*IFERROR(INDEX('D Fleet'!$J$5:$J$36,INT(($B33/J$4))+1)+(($B33/J$4)-INT(($B33/J$4)))*(INDEX('D Fleet'!$J$5:$J$36,INT(($B33/J$4))+2)-INDEX('D Fleet'!$J$5:$J$36,INT(($B33/J$4))+1)),0)</f>
        <v/>
      </c>
      <c r="K33" s="261">
        <f>IFERROR(INDEX('D Fleet'!$C$5:$C$63,MATCH(K$3-$B33,'D Fleet'!$B$5:$B$63,0)),0)*IFERROR(INDEX('D Fleet'!$J$5:$J$36,INT(($B33/K$4))+1)+(($B33/K$4)-INT(($B33/K$4)))*(INDEX('D Fleet'!$J$5:$J$36,INT(($B33/K$4))+2)-INDEX('D Fleet'!$J$5:$J$36,INT(($B33/K$4))+1)),0)</f>
        <v/>
      </c>
      <c r="L33" s="261">
        <f>IFERROR(INDEX('D Fleet'!$C$5:$C$63,MATCH(L$3-$B33,'D Fleet'!$B$5:$B$63,0)),0)*IFERROR(INDEX('D Fleet'!$J$5:$J$36,INT(($B33/L$4))+1)+(($B33/L$4)-INT(($B33/L$4)))*(INDEX('D Fleet'!$J$5:$J$36,INT(($B33/L$4))+2)-INDEX('D Fleet'!$J$5:$J$36,INT(($B33/L$4))+1)),0)</f>
        <v/>
      </c>
      <c r="M33" s="261">
        <f>IFERROR(INDEX('D Fleet'!$C$5:$C$63,MATCH(M$3-$B33,'D Fleet'!$B$5:$B$63,0)),0)*IFERROR(INDEX('D Fleet'!$J$5:$J$36,INT(($B33/M$4))+1)+(($B33/M$4)-INT(($B33/M$4)))*(INDEX('D Fleet'!$J$5:$J$36,INT(($B33/M$4))+2)-INDEX('D Fleet'!$J$5:$J$36,INT(($B33/M$4))+1)),0)</f>
        <v/>
      </c>
      <c r="N33" s="261">
        <f>IFERROR(INDEX('D Fleet'!$C$5:$C$63,MATCH(N$3-$B33,'D Fleet'!$B$5:$B$63,0)),0)*IFERROR(INDEX('D Fleet'!$J$5:$J$36,INT(($B33/N$4))+1)+(($B33/N$4)-INT(($B33/N$4)))*(INDEX('D Fleet'!$J$5:$J$36,INT(($B33/N$4))+2)-INDEX('D Fleet'!$J$5:$J$36,INT(($B33/N$4))+1)),0)</f>
        <v/>
      </c>
      <c r="P33" s="261">
        <f>E33*$D33*'E1 Fleet'!$D$97</f>
        <v/>
      </c>
      <c r="Q33" s="261">
        <f>F33*$D33*'E1 Fleet'!$D$97</f>
        <v/>
      </c>
      <c r="R33" s="261">
        <f>G33*$D33*'E1 Fleet'!$D$97</f>
        <v/>
      </c>
      <c r="S33" s="261">
        <f>H33*$D33*'E1 Fleet'!$D$97</f>
        <v/>
      </c>
      <c r="T33" s="261">
        <f>I33*$D33*'E1 Fleet'!$D$97</f>
        <v/>
      </c>
      <c r="U33" s="261">
        <f>J33*$D33*'E1 Fleet'!$D$97</f>
        <v/>
      </c>
      <c r="V33" s="261">
        <f>K33*$D33*'E1 Fleet'!$D$97</f>
        <v/>
      </c>
      <c r="W33" s="261">
        <f>L33*$D33*'E1 Fleet'!$D$97</f>
        <v/>
      </c>
      <c r="X33" s="261">
        <f>M33*$D33*'E1 Fleet'!$D$97</f>
        <v/>
      </c>
      <c r="Y33" s="261">
        <f>N33*$D33*'E1 Fleet'!$D$97</f>
        <v/>
      </c>
    </row>
    <row r="34">
      <c r="A34" t="inlineStr">
        <is>
          <t>Car</t>
        </is>
      </c>
      <c r="B34" s="331" t="n">
        <v>27</v>
      </c>
      <c r="C34" s="331" t="n">
        <v>3</v>
      </c>
      <c r="D34" s="266">
        <f>IF($B34=0,'E1 Fleet'!$D$93,1)*EXP(-'E1 Fleet'!$D$94*MAX($B34-6,0))</f>
        <v/>
      </c>
      <c r="E34" s="261">
        <f>IFERROR(INDEX('D Fleet'!$C$5:$C$63,MATCH(E$3-$B34,'D Fleet'!$B$5:$B$63,0)),0)*IFERROR(INDEX('D Fleet'!$J$5:$J$36,INT(($B34/E$4))+1)+(($B34/E$4)-INT(($B34/E$4)))*(INDEX('D Fleet'!$J$5:$J$36,INT(($B34/E$4))+2)-INDEX('D Fleet'!$J$5:$J$36,INT(($B34/E$4))+1)),0)</f>
        <v/>
      </c>
      <c r="F34" s="261">
        <f>IFERROR(INDEX('D Fleet'!$C$5:$C$63,MATCH(F$3-$B34,'D Fleet'!$B$5:$B$63,0)),0)*IFERROR(INDEX('D Fleet'!$J$5:$J$36,INT(($B34/F$4))+1)+(($B34/F$4)-INT(($B34/F$4)))*(INDEX('D Fleet'!$J$5:$J$36,INT(($B34/F$4))+2)-INDEX('D Fleet'!$J$5:$J$36,INT(($B34/F$4))+1)),0)</f>
        <v/>
      </c>
      <c r="G34" s="261">
        <f>IFERROR(INDEX('D Fleet'!$C$5:$C$63,MATCH(G$3-$B34,'D Fleet'!$B$5:$B$63,0)),0)*IFERROR(INDEX('D Fleet'!$J$5:$J$36,INT(($B34/G$4))+1)+(($B34/G$4)-INT(($B34/G$4)))*(INDEX('D Fleet'!$J$5:$J$36,INT(($B34/G$4))+2)-INDEX('D Fleet'!$J$5:$J$36,INT(($B34/G$4))+1)),0)</f>
        <v/>
      </c>
      <c r="H34" s="261">
        <f>IFERROR(INDEX('D Fleet'!$C$5:$C$63,MATCH(H$3-$B34,'D Fleet'!$B$5:$B$63,0)),0)*IFERROR(INDEX('D Fleet'!$J$5:$J$36,INT(($B34/H$4))+1)+(($B34/H$4)-INT(($B34/H$4)))*(INDEX('D Fleet'!$J$5:$J$36,INT(($B34/H$4))+2)-INDEX('D Fleet'!$J$5:$J$36,INT(($B34/H$4))+1)),0)</f>
        <v/>
      </c>
      <c r="I34" s="261">
        <f>IFERROR(INDEX('D Fleet'!$C$5:$C$63,MATCH(I$3-$B34,'D Fleet'!$B$5:$B$63,0)),0)*IFERROR(INDEX('D Fleet'!$J$5:$J$36,INT(($B34/I$4))+1)+(($B34/I$4)-INT(($B34/I$4)))*(INDEX('D Fleet'!$J$5:$J$36,INT(($B34/I$4))+2)-INDEX('D Fleet'!$J$5:$J$36,INT(($B34/I$4))+1)),0)</f>
        <v/>
      </c>
      <c r="J34" s="261">
        <f>IFERROR(INDEX('D Fleet'!$C$5:$C$63,MATCH(J$3-$B34,'D Fleet'!$B$5:$B$63,0)),0)*IFERROR(INDEX('D Fleet'!$J$5:$J$36,INT(($B34/J$4))+1)+(($B34/J$4)-INT(($B34/J$4)))*(INDEX('D Fleet'!$J$5:$J$36,INT(($B34/J$4))+2)-INDEX('D Fleet'!$J$5:$J$36,INT(($B34/J$4))+1)),0)</f>
        <v/>
      </c>
      <c r="K34" s="261">
        <f>IFERROR(INDEX('D Fleet'!$C$5:$C$63,MATCH(K$3-$B34,'D Fleet'!$B$5:$B$63,0)),0)*IFERROR(INDEX('D Fleet'!$J$5:$J$36,INT(($B34/K$4))+1)+(($B34/K$4)-INT(($B34/K$4)))*(INDEX('D Fleet'!$J$5:$J$36,INT(($B34/K$4))+2)-INDEX('D Fleet'!$J$5:$J$36,INT(($B34/K$4))+1)),0)</f>
        <v/>
      </c>
      <c r="L34" s="261">
        <f>IFERROR(INDEX('D Fleet'!$C$5:$C$63,MATCH(L$3-$B34,'D Fleet'!$B$5:$B$63,0)),0)*IFERROR(INDEX('D Fleet'!$J$5:$J$36,INT(($B34/L$4))+1)+(($B34/L$4)-INT(($B34/L$4)))*(INDEX('D Fleet'!$J$5:$J$36,INT(($B34/L$4))+2)-INDEX('D Fleet'!$J$5:$J$36,INT(($B34/L$4))+1)),0)</f>
        <v/>
      </c>
      <c r="M34" s="261">
        <f>IFERROR(INDEX('D Fleet'!$C$5:$C$63,MATCH(M$3-$B34,'D Fleet'!$B$5:$B$63,0)),0)*IFERROR(INDEX('D Fleet'!$J$5:$J$36,INT(($B34/M$4))+1)+(($B34/M$4)-INT(($B34/M$4)))*(INDEX('D Fleet'!$J$5:$J$36,INT(($B34/M$4))+2)-INDEX('D Fleet'!$J$5:$J$36,INT(($B34/M$4))+1)),0)</f>
        <v/>
      </c>
      <c r="N34" s="261">
        <f>IFERROR(INDEX('D Fleet'!$C$5:$C$63,MATCH(N$3-$B34,'D Fleet'!$B$5:$B$63,0)),0)*IFERROR(INDEX('D Fleet'!$J$5:$J$36,INT(($B34/N$4))+1)+(($B34/N$4)-INT(($B34/N$4)))*(INDEX('D Fleet'!$J$5:$J$36,INT(($B34/N$4))+2)-INDEX('D Fleet'!$J$5:$J$36,INT(($B34/N$4))+1)),0)</f>
        <v/>
      </c>
      <c r="P34" s="261">
        <f>E34*$D34*'E1 Fleet'!$D$97</f>
        <v/>
      </c>
      <c r="Q34" s="261">
        <f>F34*$D34*'E1 Fleet'!$D$97</f>
        <v/>
      </c>
      <c r="R34" s="261">
        <f>G34*$D34*'E1 Fleet'!$D$97</f>
        <v/>
      </c>
      <c r="S34" s="261">
        <f>H34*$D34*'E1 Fleet'!$D$97</f>
        <v/>
      </c>
      <c r="T34" s="261">
        <f>I34*$D34*'E1 Fleet'!$D$97</f>
        <v/>
      </c>
      <c r="U34" s="261">
        <f>J34*$D34*'E1 Fleet'!$D$97</f>
        <v/>
      </c>
      <c r="V34" s="261">
        <f>K34*$D34*'E1 Fleet'!$D$97</f>
        <v/>
      </c>
      <c r="W34" s="261">
        <f>L34*$D34*'E1 Fleet'!$D$97</f>
        <v/>
      </c>
      <c r="X34" s="261">
        <f>M34*$D34*'E1 Fleet'!$D$97</f>
        <v/>
      </c>
      <c r="Y34" s="261">
        <f>N34*$D34*'E1 Fleet'!$D$97</f>
        <v/>
      </c>
    </row>
    <row r="35">
      <c r="A35" t="inlineStr">
        <is>
          <t>Car</t>
        </is>
      </c>
      <c r="B35" s="331" t="n">
        <v>28</v>
      </c>
      <c r="C35" s="331" t="n">
        <v>3</v>
      </c>
      <c r="D35" s="266">
        <f>IF($B35=0,'E1 Fleet'!$D$93,1)*EXP(-'E1 Fleet'!$D$94*MAX($B35-6,0))</f>
        <v/>
      </c>
      <c r="E35" s="261">
        <f>IFERROR(INDEX('D Fleet'!$C$5:$C$63,MATCH(E$3-$B35,'D Fleet'!$B$5:$B$63,0)),0)*IFERROR(INDEX('D Fleet'!$J$5:$J$36,INT(($B35/E$4))+1)+(($B35/E$4)-INT(($B35/E$4)))*(INDEX('D Fleet'!$J$5:$J$36,INT(($B35/E$4))+2)-INDEX('D Fleet'!$J$5:$J$36,INT(($B35/E$4))+1)),0)</f>
        <v/>
      </c>
      <c r="F35" s="261">
        <f>IFERROR(INDEX('D Fleet'!$C$5:$C$63,MATCH(F$3-$B35,'D Fleet'!$B$5:$B$63,0)),0)*IFERROR(INDEX('D Fleet'!$J$5:$J$36,INT(($B35/F$4))+1)+(($B35/F$4)-INT(($B35/F$4)))*(INDEX('D Fleet'!$J$5:$J$36,INT(($B35/F$4))+2)-INDEX('D Fleet'!$J$5:$J$36,INT(($B35/F$4))+1)),0)</f>
        <v/>
      </c>
      <c r="G35" s="261">
        <f>IFERROR(INDEX('D Fleet'!$C$5:$C$63,MATCH(G$3-$B35,'D Fleet'!$B$5:$B$63,0)),0)*IFERROR(INDEX('D Fleet'!$J$5:$J$36,INT(($B35/G$4))+1)+(($B35/G$4)-INT(($B35/G$4)))*(INDEX('D Fleet'!$J$5:$J$36,INT(($B35/G$4))+2)-INDEX('D Fleet'!$J$5:$J$36,INT(($B35/G$4))+1)),0)</f>
        <v/>
      </c>
      <c r="H35" s="261">
        <f>IFERROR(INDEX('D Fleet'!$C$5:$C$63,MATCH(H$3-$B35,'D Fleet'!$B$5:$B$63,0)),0)*IFERROR(INDEX('D Fleet'!$J$5:$J$36,INT(($B35/H$4))+1)+(($B35/H$4)-INT(($B35/H$4)))*(INDEX('D Fleet'!$J$5:$J$36,INT(($B35/H$4))+2)-INDEX('D Fleet'!$J$5:$J$36,INT(($B35/H$4))+1)),0)</f>
        <v/>
      </c>
      <c r="I35" s="261">
        <f>IFERROR(INDEX('D Fleet'!$C$5:$C$63,MATCH(I$3-$B35,'D Fleet'!$B$5:$B$63,0)),0)*IFERROR(INDEX('D Fleet'!$J$5:$J$36,INT(($B35/I$4))+1)+(($B35/I$4)-INT(($B35/I$4)))*(INDEX('D Fleet'!$J$5:$J$36,INT(($B35/I$4))+2)-INDEX('D Fleet'!$J$5:$J$36,INT(($B35/I$4))+1)),0)</f>
        <v/>
      </c>
      <c r="J35" s="261">
        <f>IFERROR(INDEX('D Fleet'!$C$5:$C$63,MATCH(J$3-$B35,'D Fleet'!$B$5:$B$63,0)),0)*IFERROR(INDEX('D Fleet'!$J$5:$J$36,INT(($B35/J$4))+1)+(($B35/J$4)-INT(($B35/J$4)))*(INDEX('D Fleet'!$J$5:$J$36,INT(($B35/J$4))+2)-INDEX('D Fleet'!$J$5:$J$36,INT(($B35/J$4))+1)),0)</f>
        <v/>
      </c>
      <c r="K35" s="261">
        <f>IFERROR(INDEX('D Fleet'!$C$5:$C$63,MATCH(K$3-$B35,'D Fleet'!$B$5:$B$63,0)),0)*IFERROR(INDEX('D Fleet'!$J$5:$J$36,INT(($B35/K$4))+1)+(($B35/K$4)-INT(($B35/K$4)))*(INDEX('D Fleet'!$J$5:$J$36,INT(($B35/K$4))+2)-INDEX('D Fleet'!$J$5:$J$36,INT(($B35/K$4))+1)),0)</f>
        <v/>
      </c>
      <c r="L35" s="261">
        <f>IFERROR(INDEX('D Fleet'!$C$5:$C$63,MATCH(L$3-$B35,'D Fleet'!$B$5:$B$63,0)),0)*IFERROR(INDEX('D Fleet'!$J$5:$J$36,INT(($B35/L$4))+1)+(($B35/L$4)-INT(($B35/L$4)))*(INDEX('D Fleet'!$J$5:$J$36,INT(($B35/L$4))+2)-INDEX('D Fleet'!$J$5:$J$36,INT(($B35/L$4))+1)),0)</f>
        <v/>
      </c>
      <c r="M35" s="261">
        <f>IFERROR(INDEX('D Fleet'!$C$5:$C$63,MATCH(M$3-$B35,'D Fleet'!$B$5:$B$63,0)),0)*IFERROR(INDEX('D Fleet'!$J$5:$J$36,INT(($B35/M$4))+1)+(($B35/M$4)-INT(($B35/M$4)))*(INDEX('D Fleet'!$J$5:$J$36,INT(($B35/M$4))+2)-INDEX('D Fleet'!$J$5:$J$36,INT(($B35/M$4))+1)),0)</f>
        <v/>
      </c>
      <c r="N35" s="261">
        <f>IFERROR(INDEX('D Fleet'!$C$5:$C$63,MATCH(N$3-$B35,'D Fleet'!$B$5:$B$63,0)),0)*IFERROR(INDEX('D Fleet'!$J$5:$J$36,INT(($B35/N$4))+1)+(($B35/N$4)-INT(($B35/N$4)))*(INDEX('D Fleet'!$J$5:$J$36,INT(($B35/N$4))+2)-INDEX('D Fleet'!$J$5:$J$36,INT(($B35/N$4))+1)),0)</f>
        <v/>
      </c>
      <c r="P35" s="261">
        <f>E35*$D35*'E1 Fleet'!$D$97</f>
        <v/>
      </c>
      <c r="Q35" s="261">
        <f>F35*$D35*'E1 Fleet'!$D$97</f>
        <v/>
      </c>
      <c r="R35" s="261">
        <f>G35*$D35*'E1 Fleet'!$D$97</f>
        <v/>
      </c>
      <c r="S35" s="261">
        <f>H35*$D35*'E1 Fleet'!$D$97</f>
        <v/>
      </c>
      <c r="T35" s="261">
        <f>I35*$D35*'E1 Fleet'!$D$97</f>
        <v/>
      </c>
      <c r="U35" s="261">
        <f>J35*$D35*'E1 Fleet'!$D$97</f>
        <v/>
      </c>
      <c r="V35" s="261">
        <f>K35*$D35*'E1 Fleet'!$D$97</f>
        <v/>
      </c>
      <c r="W35" s="261">
        <f>L35*$D35*'E1 Fleet'!$D$97</f>
        <v/>
      </c>
      <c r="X35" s="261">
        <f>M35*$D35*'E1 Fleet'!$D$97</f>
        <v/>
      </c>
      <c r="Y35" s="261">
        <f>N35*$D35*'E1 Fleet'!$D$97</f>
        <v/>
      </c>
    </row>
    <row r="36">
      <c r="A36" t="inlineStr">
        <is>
          <t>Car</t>
        </is>
      </c>
      <c r="B36" s="331" t="n">
        <v>29</v>
      </c>
      <c r="C36" s="331" t="n">
        <v>3</v>
      </c>
      <c r="D36" s="266">
        <f>IF($B36=0,'E1 Fleet'!$D$93,1)*EXP(-'E1 Fleet'!$D$94*MAX($B36-6,0))</f>
        <v/>
      </c>
      <c r="E36" s="261">
        <f>IFERROR(INDEX('D Fleet'!$C$5:$C$63,MATCH(E$3-$B36,'D Fleet'!$B$5:$B$63,0)),0)*IFERROR(INDEX('D Fleet'!$J$5:$J$36,INT(($B36/E$4))+1)+(($B36/E$4)-INT(($B36/E$4)))*(INDEX('D Fleet'!$J$5:$J$36,INT(($B36/E$4))+2)-INDEX('D Fleet'!$J$5:$J$36,INT(($B36/E$4))+1)),0)</f>
        <v/>
      </c>
      <c r="F36" s="261">
        <f>IFERROR(INDEX('D Fleet'!$C$5:$C$63,MATCH(F$3-$B36,'D Fleet'!$B$5:$B$63,0)),0)*IFERROR(INDEX('D Fleet'!$J$5:$J$36,INT(($B36/F$4))+1)+(($B36/F$4)-INT(($B36/F$4)))*(INDEX('D Fleet'!$J$5:$J$36,INT(($B36/F$4))+2)-INDEX('D Fleet'!$J$5:$J$36,INT(($B36/F$4))+1)),0)</f>
        <v/>
      </c>
      <c r="G36" s="261">
        <f>IFERROR(INDEX('D Fleet'!$C$5:$C$63,MATCH(G$3-$B36,'D Fleet'!$B$5:$B$63,0)),0)*IFERROR(INDEX('D Fleet'!$J$5:$J$36,INT(($B36/G$4))+1)+(($B36/G$4)-INT(($B36/G$4)))*(INDEX('D Fleet'!$J$5:$J$36,INT(($B36/G$4))+2)-INDEX('D Fleet'!$J$5:$J$36,INT(($B36/G$4))+1)),0)</f>
        <v/>
      </c>
      <c r="H36" s="261">
        <f>IFERROR(INDEX('D Fleet'!$C$5:$C$63,MATCH(H$3-$B36,'D Fleet'!$B$5:$B$63,0)),0)*IFERROR(INDEX('D Fleet'!$J$5:$J$36,INT(($B36/H$4))+1)+(($B36/H$4)-INT(($B36/H$4)))*(INDEX('D Fleet'!$J$5:$J$36,INT(($B36/H$4))+2)-INDEX('D Fleet'!$J$5:$J$36,INT(($B36/H$4))+1)),0)</f>
        <v/>
      </c>
      <c r="I36" s="261">
        <f>IFERROR(INDEX('D Fleet'!$C$5:$C$63,MATCH(I$3-$B36,'D Fleet'!$B$5:$B$63,0)),0)*IFERROR(INDEX('D Fleet'!$J$5:$J$36,INT(($B36/I$4))+1)+(($B36/I$4)-INT(($B36/I$4)))*(INDEX('D Fleet'!$J$5:$J$36,INT(($B36/I$4))+2)-INDEX('D Fleet'!$J$5:$J$36,INT(($B36/I$4))+1)),0)</f>
        <v/>
      </c>
      <c r="J36" s="261">
        <f>IFERROR(INDEX('D Fleet'!$C$5:$C$63,MATCH(J$3-$B36,'D Fleet'!$B$5:$B$63,0)),0)*IFERROR(INDEX('D Fleet'!$J$5:$J$36,INT(($B36/J$4))+1)+(($B36/J$4)-INT(($B36/J$4)))*(INDEX('D Fleet'!$J$5:$J$36,INT(($B36/J$4))+2)-INDEX('D Fleet'!$J$5:$J$36,INT(($B36/J$4))+1)),0)</f>
        <v/>
      </c>
      <c r="K36" s="261">
        <f>IFERROR(INDEX('D Fleet'!$C$5:$C$63,MATCH(K$3-$B36,'D Fleet'!$B$5:$B$63,0)),0)*IFERROR(INDEX('D Fleet'!$J$5:$J$36,INT(($B36/K$4))+1)+(($B36/K$4)-INT(($B36/K$4)))*(INDEX('D Fleet'!$J$5:$J$36,INT(($B36/K$4))+2)-INDEX('D Fleet'!$J$5:$J$36,INT(($B36/K$4))+1)),0)</f>
        <v/>
      </c>
      <c r="L36" s="261">
        <f>IFERROR(INDEX('D Fleet'!$C$5:$C$63,MATCH(L$3-$B36,'D Fleet'!$B$5:$B$63,0)),0)*IFERROR(INDEX('D Fleet'!$J$5:$J$36,INT(($B36/L$4))+1)+(($B36/L$4)-INT(($B36/L$4)))*(INDEX('D Fleet'!$J$5:$J$36,INT(($B36/L$4))+2)-INDEX('D Fleet'!$J$5:$J$36,INT(($B36/L$4))+1)),0)</f>
        <v/>
      </c>
      <c r="M36" s="261">
        <f>IFERROR(INDEX('D Fleet'!$C$5:$C$63,MATCH(M$3-$B36,'D Fleet'!$B$5:$B$63,0)),0)*IFERROR(INDEX('D Fleet'!$J$5:$J$36,INT(($B36/M$4))+1)+(($B36/M$4)-INT(($B36/M$4)))*(INDEX('D Fleet'!$J$5:$J$36,INT(($B36/M$4))+2)-INDEX('D Fleet'!$J$5:$J$36,INT(($B36/M$4))+1)),0)</f>
        <v/>
      </c>
      <c r="N36" s="261">
        <f>IFERROR(INDEX('D Fleet'!$C$5:$C$63,MATCH(N$3-$B36,'D Fleet'!$B$5:$B$63,0)),0)*IFERROR(INDEX('D Fleet'!$J$5:$J$36,INT(($B36/N$4))+1)+(($B36/N$4)-INT(($B36/N$4)))*(INDEX('D Fleet'!$J$5:$J$36,INT(($B36/N$4))+2)-INDEX('D Fleet'!$J$5:$J$36,INT(($B36/N$4))+1)),0)</f>
        <v/>
      </c>
      <c r="P36" s="261">
        <f>E36*$D36*'E1 Fleet'!$D$97</f>
        <v/>
      </c>
      <c r="Q36" s="261">
        <f>F36*$D36*'E1 Fleet'!$D$97</f>
        <v/>
      </c>
      <c r="R36" s="261">
        <f>G36*$D36*'E1 Fleet'!$D$97</f>
        <v/>
      </c>
      <c r="S36" s="261">
        <f>H36*$D36*'E1 Fleet'!$D$97</f>
        <v/>
      </c>
      <c r="T36" s="261">
        <f>I36*$D36*'E1 Fleet'!$D$97</f>
        <v/>
      </c>
      <c r="U36" s="261">
        <f>J36*$D36*'E1 Fleet'!$D$97</f>
        <v/>
      </c>
      <c r="V36" s="261">
        <f>K36*$D36*'E1 Fleet'!$D$97</f>
        <v/>
      </c>
      <c r="W36" s="261">
        <f>L36*$D36*'E1 Fleet'!$D$97</f>
        <v/>
      </c>
      <c r="X36" s="261">
        <f>M36*$D36*'E1 Fleet'!$D$97</f>
        <v/>
      </c>
      <c r="Y36" s="261">
        <f>N36*$D36*'E1 Fleet'!$D$97</f>
        <v/>
      </c>
    </row>
    <row r="37">
      <c r="A37" t="inlineStr">
        <is>
          <t>Car</t>
        </is>
      </c>
      <c r="B37" s="331" t="n">
        <v>30</v>
      </c>
      <c r="C37" s="331" t="n">
        <v>3</v>
      </c>
      <c r="D37" s="266">
        <f>IF($B37=0,'E1 Fleet'!$D$93,1)*EXP(-'E1 Fleet'!$D$94*MAX($B37-6,0))</f>
        <v/>
      </c>
      <c r="E37" s="261">
        <f>IFERROR(INDEX('D Fleet'!$C$5:$C$63,MATCH(E$3-$B37,'D Fleet'!$B$5:$B$63,0)),0)*IFERROR(INDEX('D Fleet'!$J$5:$J$36,INT(($B37/E$4))+1)+(($B37/E$4)-INT(($B37/E$4)))*(INDEX('D Fleet'!$J$5:$J$36,INT(($B37/E$4))+2)-INDEX('D Fleet'!$J$5:$J$36,INT(($B37/E$4))+1)),0)</f>
        <v/>
      </c>
      <c r="F37" s="261">
        <f>IFERROR(INDEX('D Fleet'!$C$5:$C$63,MATCH(F$3-$B37,'D Fleet'!$B$5:$B$63,0)),0)*IFERROR(INDEX('D Fleet'!$J$5:$J$36,INT(($B37/F$4))+1)+(($B37/F$4)-INT(($B37/F$4)))*(INDEX('D Fleet'!$J$5:$J$36,INT(($B37/F$4))+2)-INDEX('D Fleet'!$J$5:$J$36,INT(($B37/F$4))+1)),0)</f>
        <v/>
      </c>
      <c r="G37" s="261">
        <f>IFERROR(INDEX('D Fleet'!$C$5:$C$63,MATCH(G$3-$B37,'D Fleet'!$B$5:$B$63,0)),0)*IFERROR(INDEX('D Fleet'!$J$5:$J$36,INT(($B37/G$4))+1)+(($B37/G$4)-INT(($B37/G$4)))*(INDEX('D Fleet'!$J$5:$J$36,INT(($B37/G$4))+2)-INDEX('D Fleet'!$J$5:$J$36,INT(($B37/G$4))+1)),0)</f>
        <v/>
      </c>
      <c r="H37" s="261">
        <f>IFERROR(INDEX('D Fleet'!$C$5:$C$63,MATCH(H$3-$B37,'D Fleet'!$B$5:$B$63,0)),0)*IFERROR(INDEX('D Fleet'!$J$5:$J$36,INT(($B37/H$4))+1)+(($B37/H$4)-INT(($B37/H$4)))*(INDEX('D Fleet'!$J$5:$J$36,INT(($B37/H$4))+2)-INDEX('D Fleet'!$J$5:$J$36,INT(($B37/H$4))+1)),0)</f>
        <v/>
      </c>
      <c r="I37" s="261">
        <f>IFERROR(INDEX('D Fleet'!$C$5:$C$63,MATCH(I$3-$B37,'D Fleet'!$B$5:$B$63,0)),0)*IFERROR(INDEX('D Fleet'!$J$5:$J$36,INT(($B37/I$4))+1)+(($B37/I$4)-INT(($B37/I$4)))*(INDEX('D Fleet'!$J$5:$J$36,INT(($B37/I$4))+2)-INDEX('D Fleet'!$J$5:$J$36,INT(($B37/I$4))+1)),0)</f>
        <v/>
      </c>
      <c r="J37" s="261">
        <f>IFERROR(INDEX('D Fleet'!$C$5:$C$63,MATCH(J$3-$B37,'D Fleet'!$B$5:$B$63,0)),0)*IFERROR(INDEX('D Fleet'!$J$5:$J$36,INT(($B37/J$4))+1)+(($B37/J$4)-INT(($B37/J$4)))*(INDEX('D Fleet'!$J$5:$J$36,INT(($B37/J$4))+2)-INDEX('D Fleet'!$J$5:$J$36,INT(($B37/J$4))+1)),0)</f>
        <v/>
      </c>
      <c r="K37" s="261">
        <f>IFERROR(INDEX('D Fleet'!$C$5:$C$63,MATCH(K$3-$B37,'D Fleet'!$B$5:$B$63,0)),0)*IFERROR(INDEX('D Fleet'!$J$5:$J$36,INT(($B37/K$4))+1)+(($B37/K$4)-INT(($B37/K$4)))*(INDEX('D Fleet'!$J$5:$J$36,INT(($B37/K$4))+2)-INDEX('D Fleet'!$J$5:$J$36,INT(($B37/K$4))+1)),0)</f>
        <v/>
      </c>
      <c r="L37" s="261">
        <f>IFERROR(INDEX('D Fleet'!$C$5:$C$63,MATCH(L$3-$B37,'D Fleet'!$B$5:$B$63,0)),0)*IFERROR(INDEX('D Fleet'!$J$5:$J$36,INT(($B37/L$4))+1)+(($B37/L$4)-INT(($B37/L$4)))*(INDEX('D Fleet'!$J$5:$J$36,INT(($B37/L$4))+2)-INDEX('D Fleet'!$J$5:$J$36,INT(($B37/L$4))+1)),0)</f>
        <v/>
      </c>
      <c r="M37" s="261">
        <f>IFERROR(INDEX('D Fleet'!$C$5:$C$63,MATCH(M$3-$B37,'D Fleet'!$B$5:$B$63,0)),0)*IFERROR(INDEX('D Fleet'!$J$5:$J$36,INT(($B37/M$4))+1)+(($B37/M$4)-INT(($B37/M$4)))*(INDEX('D Fleet'!$J$5:$J$36,INT(($B37/M$4))+2)-INDEX('D Fleet'!$J$5:$J$36,INT(($B37/M$4))+1)),0)</f>
        <v/>
      </c>
      <c r="N37" s="261">
        <f>IFERROR(INDEX('D Fleet'!$C$5:$C$63,MATCH(N$3-$B37,'D Fleet'!$B$5:$B$63,0)),0)*IFERROR(INDEX('D Fleet'!$J$5:$J$36,INT(($B37/N$4))+1)+(($B37/N$4)-INT(($B37/N$4)))*(INDEX('D Fleet'!$J$5:$J$36,INT(($B37/N$4))+2)-INDEX('D Fleet'!$J$5:$J$36,INT(($B37/N$4))+1)),0)</f>
        <v/>
      </c>
      <c r="P37" s="261">
        <f>E37*$D37*'E1 Fleet'!$D$97</f>
        <v/>
      </c>
      <c r="Q37" s="261">
        <f>F37*$D37*'E1 Fleet'!$D$97</f>
        <v/>
      </c>
      <c r="R37" s="261">
        <f>G37*$D37*'E1 Fleet'!$D$97</f>
        <v/>
      </c>
      <c r="S37" s="261">
        <f>H37*$D37*'E1 Fleet'!$D$97</f>
        <v/>
      </c>
      <c r="T37" s="261">
        <f>I37*$D37*'E1 Fleet'!$D$97</f>
        <v/>
      </c>
      <c r="U37" s="261">
        <f>J37*$D37*'E1 Fleet'!$D$97</f>
        <v/>
      </c>
      <c r="V37" s="261">
        <f>K37*$D37*'E1 Fleet'!$D$97</f>
        <v/>
      </c>
      <c r="W37" s="261">
        <f>L37*$D37*'E1 Fleet'!$D$97</f>
        <v/>
      </c>
      <c r="X37" s="261">
        <f>M37*$D37*'E1 Fleet'!$D$97</f>
        <v/>
      </c>
      <c r="Y37" s="261">
        <f>N37*$D37*'E1 Fleet'!$D$97</f>
        <v/>
      </c>
    </row>
    <row r="38">
      <c r="A38" t="inlineStr">
        <is>
          <t>Car</t>
        </is>
      </c>
      <c r="B38" s="331" t="n">
        <v>31</v>
      </c>
      <c r="C38" s="331" t="n">
        <v>3</v>
      </c>
      <c r="D38" s="266">
        <f>IF($B38=0,'E1 Fleet'!$D$93,1)*EXP(-'E1 Fleet'!$D$94*MAX($B38-6,0))</f>
        <v/>
      </c>
      <c r="E38" s="261">
        <f>IFERROR(INDEX('D Fleet'!$C$5:$C$63,MATCH(E$3-$B38,'D Fleet'!$B$5:$B$63,0)),0)*IFERROR(INDEX('D Fleet'!$J$5:$J$36,INT(($B38/E$4))+1)+(($B38/E$4)-INT(($B38/E$4)))*(INDEX('D Fleet'!$J$5:$J$36,INT(($B38/E$4))+2)-INDEX('D Fleet'!$J$5:$J$36,INT(($B38/E$4))+1)),0)</f>
        <v/>
      </c>
      <c r="F38" s="261">
        <f>IFERROR(INDEX('D Fleet'!$C$5:$C$63,MATCH(F$3-$B38,'D Fleet'!$B$5:$B$63,0)),0)*IFERROR(INDEX('D Fleet'!$J$5:$J$36,INT(($B38/F$4))+1)+(($B38/F$4)-INT(($B38/F$4)))*(INDEX('D Fleet'!$J$5:$J$36,INT(($B38/F$4))+2)-INDEX('D Fleet'!$J$5:$J$36,INT(($B38/F$4))+1)),0)</f>
        <v/>
      </c>
      <c r="G38" s="261">
        <f>IFERROR(INDEX('D Fleet'!$C$5:$C$63,MATCH(G$3-$B38,'D Fleet'!$B$5:$B$63,0)),0)*IFERROR(INDEX('D Fleet'!$J$5:$J$36,INT(($B38/G$4))+1)+(($B38/G$4)-INT(($B38/G$4)))*(INDEX('D Fleet'!$J$5:$J$36,INT(($B38/G$4))+2)-INDEX('D Fleet'!$J$5:$J$36,INT(($B38/G$4))+1)),0)</f>
        <v/>
      </c>
      <c r="H38" s="261">
        <f>IFERROR(INDEX('D Fleet'!$C$5:$C$63,MATCH(H$3-$B38,'D Fleet'!$B$5:$B$63,0)),0)*IFERROR(INDEX('D Fleet'!$J$5:$J$36,INT(($B38/H$4))+1)+(($B38/H$4)-INT(($B38/H$4)))*(INDEX('D Fleet'!$J$5:$J$36,INT(($B38/H$4))+2)-INDEX('D Fleet'!$J$5:$J$36,INT(($B38/H$4))+1)),0)</f>
        <v/>
      </c>
      <c r="I38" s="261">
        <f>IFERROR(INDEX('D Fleet'!$C$5:$C$63,MATCH(I$3-$B38,'D Fleet'!$B$5:$B$63,0)),0)*IFERROR(INDEX('D Fleet'!$J$5:$J$36,INT(($B38/I$4))+1)+(($B38/I$4)-INT(($B38/I$4)))*(INDEX('D Fleet'!$J$5:$J$36,INT(($B38/I$4))+2)-INDEX('D Fleet'!$J$5:$J$36,INT(($B38/I$4))+1)),0)</f>
        <v/>
      </c>
      <c r="J38" s="261">
        <f>IFERROR(INDEX('D Fleet'!$C$5:$C$63,MATCH(J$3-$B38,'D Fleet'!$B$5:$B$63,0)),0)*IFERROR(INDEX('D Fleet'!$J$5:$J$36,INT(($B38/J$4))+1)+(($B38/J$4)-INT(($B38/J$4)))*(INDEX('D Fleet'!$J$5:$J$36,INT(($B38/J$4))+2)-INDEX('D Fleet'!$J$5:$J$36,INT(($B38/J$4))+1)),0)</f>
        <v/>
      </c>
      <c r="K38" s="261">
        <f>IFERROR(INDEX('D Fleet'!$C$5:$C$63,MATCH(K$3-$B38,'D Fleet'!$B$5:$B$63,0)),0)*IFERROR(INDEX('D Fleet'!$J$5:$J$36,INT(($B38/K$4))+1)+(($B38/K$4)-INT(($B38/K$4)))*(INDEX('D Fleet'!$J$5:$J$36,INT(($B38/K$4))+2)-INDEX('D Fleet'!$J$5:$J$36,INT(($B38/K$4))+1)),0)</f>
        <v/>
      </c>
      <c r="L38" s="261">
        <f>IFERROR(INDEX('D Fleet'!$C$5:$C$63,MATCH(L$3-$B38,'D Fleet'!$B$5:$B$63,0)),0)*IFERROR(INDEX('D Fleet'!$J$5:$J$36,INT(($B38/L$4))+1)+(($B38/L$4)-INT(($B38/L$4)))*(INDEX('D Fleet'!$J$5:$J$36,INT(($B38/L$4))+2)-INDEX('D Fleet'!$J$5:$J$36,INT(($B38/L$4))+1)),0)</f>
        <v/>
      </c>
      <c r="M38" s="261">
        <f>IFERROR(INDEX('D Fleet'!$C$5:$C$63,MATCH(M$3-$B38,'D Fleet'!$B$5:$B$63,0)),0)*IFERROR(INDEX('D Fleet'!$J$5:$J$36,INT(($B38/M$4))+1)+(($B38/M$4)-INT(($B38/M$4)))*(INDEX('D Fleet'!$J$5:$J$36,INT(($B38/M$4))+2)-INDEX('D Fleet'!$J$5:$J$36,INT(($B38/M$4))+1)),0)</f>
        <v/>
      </c>
      <c r="N38" s="261">
        <f>IFERROR(INDEX('D Fleet'!$C$5:$C$63,MATCH(N$3-$B38,'D Fleet'!$B$5:$B$63,0)),0)*IFERROR(INDEX('D Fleet'!$J$5:$J$36,INT(($B38/N$4))+1)+(($B38/N$4)-INT(($B38/N$4)))*(INDEX('D Fleet'!$J$5:$J$36,INT(($B38/N$4))+2)-INDEX('D Fleet'!$J$5:$J$36,INT(($B38/N$4))+1)),0)</f>
        <v/>
      </c>
      <c r="P38" s="261">
        <f>E38*$D38*'E1 Fleet'!$D$97</f>
        <v/>
      </c>
      <c r="Q38" s="261">
        <f>F38*$D38*'E1 Fleet'!$D$97</f>
        <v/>
      </c>
      <c r="R38" s="261">
        <f>G38*$D38*'E1 Fleet'!$D$97</f>
        <v/>
      </c>
      <c r="S38" s="261">
        <f>H38*$D38*'E1 Fleet'!$D$97</f>
        <v/>
      </c>
      <c r="T38" s="261">
        <f>I38*$D38*'E1 Fleet'!$D$97</f>
        <v/>
      </c>
      <c r="U38" s="261">
        <f>J38*$D38*'E1 Fleet'!$D$97</f>
        <v/>
      </c>
      <c r="V38" s="261">
        <f>K38*$D38*'E1 Fleet'!$D$97</f>
        <v/>
      </c>
      <c r="W38" s="261">
        <f>L38*$D38*'E1 Fleet'!$D$97</f>
        <v/>
      </c>
      <c r="X38" s="261">
        <f>M38*$D38*'E1 Fleet'!$D$97</f>
        <v/>
      </c>
      <c r="Y38" s="261">
        <f>N38*$D38*'E1 Fleet'!$D$97</f>
        <v/>
      </c>
    </row>
    <row r="39">
      <c r="A39" t="inlineStr">
        <is>
          <t>Car</t>
        </is>
      </c>
      <c r="B39" s="331" t="n">
        <v>32</v>
      </c>
      <c r="C39" s="331" t="n">
        <v>3</v>
      </c>
      <c r="D39" s="266">
        <f>IF($B39=0,'E1 Fleet'!$D$93,1)*EXP(-'E1 Fleet'!$D$94*MAX($B39-6,0))</f>
        <v/>
      </c>
      <c r="E39" s="261">
        <f>IFERROR(INDEX('D Fleet'!$C$5:$C$63,MATCH(E$3-$B39,'D Fleet'!$B$5:$B$63,0)),0)*IFERROR(INDEX('D Fleet'!$J$5:$J$36,INT(($B39/E$4))+1)+(($B39/E$4)-INT(($B39/E$4)))*(INDEX('D Fleet'!$J$5:$J$36,INT(($B39/E$4))+2)-INDEX('D Fleet'!$J$5:$J$36,INT(($B39/E$4))+1)),0)</f>
        <v/>
      </c>
      <c r="F39" s="261">
        <f>IFERROR(INDEX('D Fleet'!$C$5:$C$63,MATCH(F$3-$B39,'D Fleet'!$B$5:$B$63,0)),0)*IFERROR(INDEX('D Fleet'!$J$5:$J$36,INT(($B39/F$4))+1)+(($B39/F$4)-INT(($B39/F$4)))*(INDEX('D Fleet'!$J$5:$J$36,INT(($B39/F$4))+2)-INDEX('D Fleet'!$J$5:$J$36,INT(($B39/F$4))+1)),0)</f>
        <v/>
      </c>
      <c r="G39" s="261">
        <f>IFERROR(INDEX('D Fleet'!$C$5:$C$63,MATCH(G$3-$B39,'D Fleet'!$B$5:$B$63,0)),0)*IFERROR(INDEX('D Fleet'!$J$5:$J$36,INT(($B39/G$4))+1)+(($B39/G$4)-INT(($B39/G$4)))*(INDEX('D Fleet'!$J$5:$J$36,INT(($B39/G$4))+2)-INDEX('D Fleet'!$J$5:$J$36,INT(($B39/G$4))+1)),0)</f>
        <v/>
      </c>
      <c r="H39" s="261">
        <f>IFERROR(INDEX('D Fleet'!$C$5:$C$63,MATCH(H$3-$B39,'D Fleet'!$B$5:$B$63,0)),0)*IFERROR(INDEX('D Fleet'!$J$5:$J$36,INT(($B39/H$4))+1)+(($B39/H$4)-INT(($B39/H$4)))*(INDEX('D Fleet'!$J$5:$J$36,INT(($B39/H$4))+2)-INDEX('D Fleet'!$J$5:$J$36,INT(($B39/H$4))+1)),0)</f>
        <v/>
      </c>
      <c r="I39" s="261">
        <f>IFERROR(INDEX('D Fleet'!$C$5:$C$63,MATCH(I$3-$B39,'D Fleet'!$B$5:$B$63,0)),0)*IFERROR(INDEX('D Fleet'!$J$5:$J$36,INT(($B39/I$4))+1)+(($B39/I$4)-INT(($B39/I$4)))*(INDEX('D Fleet'!$J$5:$J$36,INT(($B39/I$4))+2)-INDEX('D Fleet'!$J$5:$J$36,INT(($B39/I$4))+1)),0)</f>
        <v/>
      </c>
      <c r="J39" s="261">
        <f>IFERROR(INDEX('D Fleet'!$C$5:$C$63,MATCH(J$3-$B39,'D Fleet'!$B$5:$B$63,0)),0)*IFERROR(INDEX('D Fleet'!$J$5:$J$36,INT(($B39/J$4))+1)+(($B39/J$4)-INT(($B39/J$4)))*(INDEX('D Fleet'!$J$5:$J$36,INT(($B39/J$4))+2)-INDEX('D Fleet'!$J$5:$J$36,INT(($B39/J$4))+1)),0)</f>
        <v/>
      </c>
      <c r="K39" s="261">
        <f>IFERROR(INDEX('D Fleet'!$C$5:$C$63,MATCH(K$3-$B39,'D Fleet'!$B$5:$B$63,0)),0)*IFERROR(INDEX('D Fleet'!$J$5:$J$36,INT(($B39/K$4))+1)+(($B39/K$4)-INT(($B39/K$4)))*(INDEX('D Fleet'!$J$5:$J$36,INT(($B39/K$4))+2)-INDEX('D Fleet'!$J$5:$J$36,INT(($B39/K$4))+1)),0)</f>
        <v/>
      </c>
      <c r="L39" s="261">
        <f>IFERROR(INDEX('D Fleet'!$C$5:$C$63,MATCH(L$3-$B39,'D Fleet'!$B$5:$B$63,0)),0)*IFERROR(INDEX('D Fleet'!$J$5:$J$36,INT(($B39/L$4))+1)+(($B39/L$4)-INT(($B39/L$4)))*(INDEX('D Fleet'!$J$5:$J$36,INT(($B39/L$4))+2)-INDEX('D Fleet'!$J$5:$J$36,INT(($B39/L$4))+1)),0)</f>
        <v/>
      </c>
      <c r="M39" s="261">
        <f>IFERROR(INDEX('D Fleet'!$C$5:$C$63,MATCH(M$3-$B39,'D Fleet'!$B$5:$B$63,0)),0)*IFERROR(INDEX('D Fleet'!$J$5:$J$36,INT(($B39/M$4))+1)+(($B39/M$4)-INT(($B39/M$4)))*(INDEX('D Fleet'!$J$5:$J$36,INT(($B39/M$4))+2)-INDEX('D Fleet'!$J$5:$J$36,INT(($B39/M$4))+1)),0)</f>
        <v/>
      </c>
      <c r="N39" s="261">
        <f>IFERROR(INDEX('D Fleet'!$C$5:$C$63,MATCH(N$3-$B39,'D Fleet'!$B$5:$B$63,0)),0)*IFERROR(INDEX('D Fleet'!$J$5:$J$36,INT(($B39/N$4))+1)+(($B39/N$4)-INT(($B39/N$4)))*(INDEX('D Fleet'!$J$5:$J$36,INT(($B39/N$4))+2)-INDEX('D Fleet'!$J$5:$J$36,INT(($B39/N$4))+1)),0)</f>
        <v/>
      </c>
      <c r="P39" s="261">
        <f>E39*$D39*'E1 Fleet'!$D$97</f>
        <v/>
      </c>
      <c r="Q39" s="261">
        <f>F39*$D39*'E1 Fleet'!$D$97</f>
        <v/>
      </c>
      <c r="R39" s="261">
        <f>G39*$D39*'E1 Fleet'!$D$97</f>
        <v/>
      </c>
      <c r="S39" s="261">
        <f>H39*$D39*'E1 Fleet'!$D$97</f>
        <v/>
      </c>
      <c r="T39" s="261">
        <f>I39*$D39*'E1 Fleet'!$D$97</f>
        <v/>
      </c>
      <c r="U39" s="261">
        <f>J39*$D39*'E1 Fleet'!$D$97</f>
        <v/>
      </c>
      <c r="V39" s="261">
        <f>K39*$D39*'E1 Fleet'!$D$97</f>
        <v/>
      </c>
      <c r="W39" s="261">
        <f>L39*$D39*'E1 Fleet'!$D$97</f>
        <v/>
      </c>
      <c r="X39" s="261">
        <f>M39*$D39*'E1 Fleet'!$D$97</f>
        <v/>
      </c>
      <c r="Y39" s="261">
        <f>N39*$D39*'E1 Fleet'!$D$97</f>
        <v/>
      </c>
    </row>
    <row r="40">
      <c r="A40" t="inlineStr">
        <is>
          <t>Car</t>
        </is>
      </c>
      <c r="B40" s="331" t="n">
        <v>33</v>
      </c>
      <c r="C40" s="331" t="n">
        <v>3</v>
      </c>
      <c r="D40" s="266">
        <f>IF($B40=0,'E1 Fleet'!$D$93,1)*EXP(-'E1 Fleet'!$D$94*MAX($B40-6,0))</f>
        <v/>
      </c>
      <c r="E40" s="261">
        <f>IFERROR(INDEX('D Fleet'!$C$5:$C$63,MATCH(E$3-$B40,'D Fleet'!$B$5:$B$63,0)),0)*IFERROR(INDEX('D Fleet'!$J$5:$J$36,INT(($B40/E$4))+1)+(($B40/E$4)-INT(($B40/E$4)))*(INDEX('D Fleet'!$J$5:$J$36,INT(($B40/E$4))+2)-INDEX('D Fleet'!$J$5:$J$36,INT(($B40/E$4))+1)),0)</f>
        <v/>
      </c>
      <c r="F40" s="261">
        <f>IFERROR(INDEX('D Fleet'!$C$5:$C$63,MATCH(F$3-$B40,'D Fleet'!$B$5:$B$63,0)),0)*IFERROR(INDEX('D Fleet'!$J$5:$J$36,INT(($B40/F$4))+1)+(($B40/F$4)-INT(($B40/F$4)))*(INDEX('D Fleet'!$J$5:$J$36,INT(($B40/F$4))+2)-INDEX('D Fleet'!$J$5:$J$36,INT(($B40/F$4))+1)),0)</f>
        <v/>
      </c>
      <c r="G40" s="261">
        <f>IFERROR(INDEX('D Fleet'!$C$5:$C$63,MATCH(G$3-$B40,'D Fleet'!$B$5:$B$63,0)),0)*IFERROR(INDEX('D Fleet'!$J$5:$J$36,INT(($B40/G$4))+1)+(($B40/G$4)-INT(($B40/G$4)))*(INDEX('D Fleet'!$J$5:$J$36,INT(($B40/G$4))+2)-INDEX('D Fleet'!$J$5:$J$36,INT(($B40/G$4))+1)),0)</f>
        <v/>
      </c>
      <c r="H40" s="261">
        <f>IFERROR(INDEX('D Fleet'!$C$5:$C$63,MATCH(H$3-$B40,'D Fleet'!$B$5:$B$63,0)),0)*IFERROR(INDEX('D Fleet'!$J$5:$J$36,INT(($B40/H$4))+1)+(($B40/H$4)-INT(($B40/H$4)))*(INDEX('D Fleet'!$J$5:$J$36,INT(($B40/H$4))+2)-INDEX('D Fleet'!$J$5:$J$36,INT(($B40/H$4))+1)),0)</f>
        <v/>
      </c>
      <c r="I40" s="261">
        <f>IFERROR(INDEX('D Fleet'!$C$5:$C$63,MATCH(I$3-$B40,'D Fleet'!$B$5:$B$63,0)),0)*IFERROR(INDEX('D Fleet'!$J$5:$J$36,INT(($B40/I$4))+1)+(($B40/I$4)-INT(($B40/I$4)))*(INDEX('D Fleet'!$J$5:$J$36,INT(($B40/I$4))+2)-INDEX('D Fleet'!$J$5:$J$36,INT(($B40/I$4))+1)),0)</f>
        <v/>
      </c>
      <c r="J40" s="261">
        <f>IFERROR(INDEX('D Fleet'!$C$5:$C$63,MATCH(J$3-$B40,'D Fleet'!$B$5:$B$63,0)),0)*IFERROR(INDEX('D Fleet'!$J$5:$J$36,INT(($B40/J$4))+1)+(($B40/J$4)-INT(($B40/J$4)))*(INDEX('D Fleet'!$J$5:$J$36,INT(($B40/J$4))+2)-INDEX('D Fleet'!$J$5:$J$36,INT(($B40/J$4))+1)),0)</f>
        <v/>
      </c>
      <c r="K40" s="261">
        <f>IFERROR(INDEX('D Fleet'!$C$5:$C$63,MATCH(K$3-$B40,'D Fleet'!$B$5:$B$63,0)),0)*IFERROR(INDEX('D Fleet'!$J$5:$J$36,INT(($B40/K$4))+1)+(($B40/K$4)-INT(($B40/K$4)))*(INDEX('D Fleet'!$J$5:$J$36,INT(($B40/K$4))+2)-INDEX('D Fleet'!$J$5:$J$36,INT(($B40/K$4))+1)),0)</f>
        <v/>
      </c>
      <c r="L40" s="261">
        <f>IFERROR(INDEX('D Fleet'!$C$5:$C$63,MATCH(L$3-$B40,'D Fleet'!$B$5:$B$63,0)),0)*IFERROR(INDEX('D Fleet'!$J$5:$J$36,INT(($B40/L$4))+1)+(($B40/L$4)-INT(($B40/L$4)))*(INDEX('D Fleet'!$J$5:$J$36,INT(($B40/L$4))+2)-INDEX('D Fleet'!$J$5:$J$36,INT(($B40/L$4))+1)),0)</f>
        <v/>
      </c>
      <c r="M40" s="261">
        <f>IFERROR(INDEX('D Fleet'!$C$5:$C$63,MATCH(M$3-$B40,'D Fleet'!$B$5:$B$63,0)),0)*IFERROR(INDEX('D Fleet'!$J$5:$J$36,INT(($B40/M$4))+1)+(($B40/M$4)-INT(($B40/M$4)))*(INDEX('D Fleet'!$J$5:$J$36,INT(($B40/M$4))+2)-INDEX('D Fleet'!$J$5:$J$36,INT(($B40/M$4))+1)),0)</f>
        <v/>
      </c>
      <c r="N40" s="261">
        <f>IFERROR(INDEX('D Fleet'!$C$5:$C$63,MATCH(N$3-$B40,'D Fleet'!$B$5:$B$63,0)),0)*IFERROR(INDEX('D Fleet'!$J$5:$J$36,INT(($B40/N$4))+1)+(($B40/N$4)-INT(($B40/N$4)))*(INDEX('D Fleet'!$J$5:$J$36,INT(($B40/N$4))+2)-INDEX('D Fleet'!$J$5:$J$36,INT(($B40/N$4))+1)),0)</f>
        <v/>
      </c>
      <c r="P40" s="261">
        <f>E40*$D40*'E1 Fleet'!$D$97</f>
        <v/>
      </c>
      <c r="Q40" s="261">
        <f>F40*$D40*'E1 Fleet'!$D$97</f>
        <v/>
      </c>
      <c r="R40" s="261">
        <f>G40*$D40*'E1 Fleet'!$D$97</f>
        <v/>
      </c>
      <c r="S40" s="261">
        <f>H40*$D40*'E1 Fleet'!$D$97</f>
        <v/>
      </c>
      <c r="T40" s="261">
        <f>I40*$D40*'E1 Fleet'!$D$97</f>
        <v/>
      </c>
      <c r="U40" s="261">
        <f>J40*$D40*'E1 Fleet'!$D$97</f>
        <v/>
      </c>
      <c r="V40" s="261">
        <f>K40*$D40*'E1 Fleet'!$D$97</f>
        <v/>
      </c>
      <c r="W40" s="261">
        <f>L40*$D40*'E1 Fleet'!$D$97</f>
        <v/>
      </c>
      <c r="X40" s="261">
        <f>M40*$D40*'E1 Fleet'!$D$97</f>
        <v/>
      </c>
      <c r="Y40" s="261">
        <f>N40*$D40*'E1 Fleet'!$D$97</f>
        <v/>
      </c>
    </row>
    <row r="41">
      <c r="A41" t="inlineStr">
        <is>
          <t>Car</t>
        </is>
      </c>
      <c r="B41" s="331" t="n">
        <v>34</v>
      </c>
      <c r="C41" s="331" t="n">
        <v>3</v>
      </c>
      <c r="D41" s="266">
        <f>IF($B41=0,'E1 Fleet'!$D$93,1)*EXP(-'E1 Fleet'!$D$94*MAX($B41-6,0))</f>
        <v/>
      </c>
      <c r="E41" s="261">
        <f>IFERROR(INDEX('D Fleet'!$C$5:$C$63,MATCH(E$3-$B41,'D Fleet'!$B$5:$B$63,0)),0)*IFERROR(INDEX('D Fleet'!$J$5:$J$36,INT(($B41/E$4))+1)+(($B41/E$4)-INT(($B41/E$4)))*(INDEX('D Fleet'!$J$5:$J$36,INT(($B41/E$4))+2)-INDEX('D Fleet'!$J$5:$J$36,INT(($B41/E$4))+1)),0)</f>
        <v/>
      </c>
      <c r="F41" s="261">
        <f>IFERROR(INDEX('D Fleet'!$C$5:$C$63,MATCH(F$3-$B41,'D Fleet'!$B$5:$B$63,0)),0)*IFERROR(INDEX('D Fleet'!$J$5:$J$36,INT(($B41/F$4))+1)+(($B41/F$4)-INT(($B41/F$4)))*(INDEX('D Fleet'!$J$5:$J$36,INT(($B41/F$4))+2)-INDEX('D Fleet'!$J$5:$J$36,INT(($B41/F$4))+1)),0)</f>
        <v/>
      </c>
      <c r="G41" s="261">
        <f>IFERROR(INDEX('D Fleet'!$C$5:$C$63,MATCH(G$3-$B41,'D Fleet'!$B$5:$B$63,0)),0)*IFERROR(INDEX('D Fleet'!$J$5:$J$36,INT(($B41/G$4))+1)+(($B41/G$4)-INT(($B41/G$4)))*(INDEX('D Fleet'!$J$5:$J$36,INT(($B41/G$4))+2)-INDEX('D Fleet'!$J$5:$J$36,INT(($B41/G$4))+1)),0)</f>
        <v/>
      </c>
      <c r="H41" s="261">
        <f>IFERROR(INDEX('D Fleet'!$C$5:$C$63,MATCH(H$3-$B41,'D Fleet'!$B$5:$B$63,0)),0)*IFERROR(INDEX('D Fleet'!$J$5:$J$36,INT(($B41/H$4))+1)+(($B41/H$4)-INT(($B41/H$4)))*(INDEX('D Fleet'!$J$5:$J$36,INT(($B41/H$4))+2)-INDEX('D Fleet'!$J$5:$J$36,INT(($B41/H$4))+1)),0)</f>
        <v/>
      </c>
      <c r="I41" s="261">
        <f>IFERROR(INDEX('D Fleet'!$C$5:$C$63,MATCH(I$3-$B41,'D Fleet'!$B$5:$B$63,0)),0)*IFERROR(INDEX('D Fleet'!$J$5:$J$36,INT(($B41/I$4))+1)+(($B41/I$4)-INT(($B41/I$4)))*(INDEX('D Fleet'!$J$5:$J$36,INT(($B41/I$4))+2)-INDEX('D Fleet'!$J$5:$J$36,INT(($B41/I$4))+1)),0)</f>
        <v/>
      </c>
      <c r="J41" s="261">
        <f>IFERROR(INDEX('D Fleet'!$C$5:$C$63,MATCH(J$3-$B41,'D Fleet'!$B$5:$B$63,0)),0)*IFERROR(INDEX('D Fleet'!$J$5:$J$36,INT(($B41/J$4))+1)+(($B41/J$4)-INT(($B41/J$4)))*(INDEX('D Fleet'!$J$5:$J$36,INT(($B41/J$4))+2)-INDEX('D Fleet'!$J$5:$J$36,INT(($B41/J$4))+1)),0)</f>
        <v/>
      </c>
      <c r="K41" s="261">
        <f>IFERROR(INDEX('D Fleet'!$C$5:$C$63,MATCH(K$3-$B41,'D Fleet'!$B$5:$B$63,0)),0)*IFERROR(INDEX('D Fleet'!$J$5:$J$36,INT(($B41/K$4))+1)+(($B41/K$4)-INT(($B41/K$4)))*(INDEX('D Fleet'!$J$5:$J$36,INT(($B41/K$4))+2)-INDEX('D Fleet'!$J$5:$J$36,INT(($B41/K$4))+1)),0)</f>
        <v/>
      </c>
      <c r="L41" s="261">
        <f>IFERROR(INDEX('D Fleet'!$C$5:$C$63,MATCH(L$3-$B41,'D Fleet'!$B$5:$B$63,0)),0)*IFERROR(INDEX('D Fleet'!$J$5:$J$36,INT(($B41/L$4))+1)+(($B41/L$4)-INT(($B41/L$4)))*(INDEX('D Fleet'!$J$5:$J$36,INT(($B41/L$4))+2)-INDEX('D Fleet'!$J$5:$J$36,INT(($B41/L$4))+1)),0)</f>
        <v/>
      </c>
      <c r="M41" s="261">
        <f>IFERROR(INDEX('D Fleet'!$C$5:$C$63,MATCH(M$3-$B41,'D Fleet'!$B$5:$B$63,0)),0)*IFERROR(INDEX('D Fleet'!$J$5:$J$36,INT(($B41/M$4))+1)+(($B41/M$4)-INT(($B41/M$4)))*(INDEX('D Fleet'!$J$5:$J$36,INT(($B41/M$4))+2)-INDEX('D Fleet'!$J$5:$J$36,INT(($B41/M$4))+1)),0)</f>
        <v/>
      </c>
      <c r="N41" s="261">
        <f>IFERROR(INDEX('D Fleet'!$C$5:$C$63,MATCH(N$3-$B41,'D Fleet'!$B$5:$B$63,0)),0)*IFERROR(INDEX('D Fleet'!$J$5:$J$36,INT(($B41/N$4))+1)+(($B41/N$4)-INT(($B41/N$4)))*(INDEX('D Fleet'!$J$5:$J$36,INT(($B41/N$4))+2)-INDEX('D Fleet'!$J$5:$J$36,INT(($B41/N$4))+1)),0)</f>
        <v/>
      </c>
      <c r="P41" s="261">
        <f>E41*$D41*'E1 Fleet'!$D$97</f>
        <v/>
      </c>
      <c r="Q41" s="261">
        <f>F41*$D41*'E1 Fleet'!$D$97</f>
        <v/>
      </c>
      <c r="R41" s="261">
        <f>G41*$D41*'E1 Fleet'!$D$97</f>
        <v/>
      </c>
      <c r="S41" s="261">
        <f>H41*$D41*'E1 Fleet'!$D$97</f>
        <v/>
      </c>
      <c r="T41" s="261">
        <f>I41*$D41*'E1 Fleet'!$D$97</f>
        <v/>
      </c>
      <c r="U41" s="261">
        <f>J41*$D41*'E1 Fleet'!$D$97</f>
        <v/>
      </c>
      <c r="V41" s="261">
        <f>K41*$D41*'E1 Fleet'!$D$97</f>
        <v/>
      </c>
      <c r="W41" s="261">
        <f>L41*$D41*'E1 Fleet'!$D$97</f>
        <v/>
      </c>
      <c r="X41" s="261">
        <f>M41*$D41*'E1 Fleet'!$D$97</f>
        <v/>
      </c>
      <c r="Y41" s="261">
        <f>N41*$D41*'E1 Fleet'!$D$97</f>
        <v/>
      </c>
    </row>
    <row r="42">
      <c r="A42" t="inlineStr">
        <is>
          <t>Car</t>
        </is>
      </c>
      <c r="B42" s="331" t="n">
        <v>35</v>
      </c>
      <c r="C42" s="331" t="n">
        <v>3</v>
      </c>
      <c r="D42" s="266">
        <f>IF($B42=0,'E1 Fleet'!$D$93,1)*EXP(-'E1 Fleet'!$D$94*MAX($B42-6,0))</f>
        <v/>
      </c>
      <c r="E42" s="261">
        <f>IFERROR(INDEX('D Fleet'!$C$5:$C$63,MATCH(E$3-$B42,'D Fleet'!$B$5:$B$63,0)),0)*IFERROR(INDEX('D Fleet'!$J$5:$J$36,INT(($B42/E$4))+1)+(($B42/E$4)-INT(($B42/E$4)))*(INDEX('D Fleet'!$J$5:$J$36,INT(($B42/E$4))+2)-INDEX('D Fleet'!$J$5:$J$36,INT(($B42/E$4))+1)),0)</f>
        <v/>
      </c>
      <c r="F42" s="261">
        <f>IFERROR(INDEX('D Fleet'!$C$5:$C$63,MATCH(F$3-$B42,'D Fleet'!$B$5:$B$63,0)),0)*IFERROR(INDEX('D Fleet'!$J$5:$J$36,INT(($B42/F$4))+1)+(($B42/F$4)-INT(($B42/F$4)))*(INDEX('D Fleet'!$J$5:$J$36,INT(($B42/F$4))+2)-INDEX('D Fleet'!$J$5:$J$36,INT(($B42/F$4))+1)),0)</f>
        <v/>
      </c>
      <c r="G42" s="261">
        <f>IFERROR(INDEX('D Fleet'!$C$5:$C$63,MATCH(G$3-$B42,'D Fleet'!$B$5:$B$63,0)),0)*IFERROR(INDEX('D Fleet'!$J$5:$J$36,INT(($B42/G$4))+1)+(($B42/G$4)-INT(($B42/G$4)))*(INDEX('D Fleet'!$J$5:$J$36,INT(($B42/G$4))+2)-INDEX('D Fleet'!$J$5:$J$36,INT(($B42/G$4))+1)),0)</f>
        <v/>
      </c>
      <c r="H42" s="261">
        <f>IFERROR(INDEX('D Fleet'!$C$5:$C$63,MATCH(H$3-$B42,'D Fleet'!$B$5:$B$63,0)),0)*IFERROR(INDEX('D Fleet'!$J$5:$J$36,INT(($B42/H$4))+1)+(($B42/H$4)-INT(($B42/H$4)))*(INDEX('D Fleet'!$J$5:$J$36,INT(($B42/H$4))+2)-INDEX('D Fleet'!$J$5:$J$36,INT(($B42/H$4))+1)),0)</f>
        <v/>
      </c>
      <c r="I42" s="261">
        <f>IFERROR(INDEX('D Fleet'!$C$5:$C$63,MATCH(I$3-$B42,'D Fleet'!$B$5:$B$63,0)),0)*IFERROR(INDEX('D Fleet'!$J$5:$J$36,INT(($B42/I$4))+1)+(($B42/I$4)-INT(($B42/I$4)))*(INDEX('D Fleet'!$J$5:$J$36,INT(($B42/I$4))+2)-INDEX('D Fleet'!$J$5:$J$36,INT(($B42/I$4))+1)),0)</f>
        <v/>
      </c>
      <c r="J42" s="261">
        <f>IFERROR(INDEX('D Fleet'!$C$5:$C$63,MATCH(J$3-$B42,'D Fleet'!$B$5:$B$63,0)),0)*IFERROR(INDEX('D Fleet'!$J$5:$J$36,INT(($B42/J$4))+1)+(($B42/J$4)-INT(($B42/J$4)))*(INDEX('D Fleet'!$J$5:$J$36,INT(($B42/J$4))+2)-INDEX('D Fleet'!$J$5:$J$36,INT(($B42/J$4))+1)),0)</f>
        <v/>
      </c>
      <c r="K42" s="261">
        <f>IFERROR(INDEX('D Fleet'!$C$5:$C$63,MATCH(K$3-$B42,'D Fleet'!$B$5:$B$63,0)),0)*IFERROR(INDEX('D Fleet'!$J$5:$J$36,INT(($B42/K$4))+1)+(($B42/K$4)-INT(($B42/K$4)))*(INDEX('D Fleet'!$J$5:$J$36,INT(($B42/K$4))+2)-INDEX('D Fleet'!$J$5:$J$36,INT(($B42/K$4))+1)),0)</f>
        <v/>
      </c>
      <c r="L42" s="261">
        <f>IFERROR(INDEX('D Fleet'!$C$5:$C$63,MATCH(L$3-$B42,'D Fleet'!$B$5:$B$63,0)),0)*IFERROR(INDEX('D Fleet'!$J$5:$J$36,INT(($B42/L$4))+1)+(($B42/L$4)-INT(($B42/L$4)))*(INDEX('D Fleet'!$J$5:$J$36,INT(($B42/L$4))+2)-INDEX('D Fleet'!$J$5:$J$36,INT(($B42/L$4))+1)),0)</f>
        <v/>
      </c>
      <c r="M42" s="261">
        <f>IFERROR(INDEX('D Fleet'!$C$5:$C$63,MATCH(M$3-$B42,'D Fleet'!$B$5:$B$63,0)),0)*IFERROR(INDEX('D Fleet'!$J$5:$J$36,INT(($B42/M$4))+1)+(($B42/M$4)-INT(($B42/M$4)))*(INDEX('D Fleet'!$J$5:$J$36,INT(($B42/M$4))+2)-INDEX('D Fleet'!$J$5:$J$36,INT(($B42/M$4))+1)),0)</f>
        <v/>
      </c>
      <c r="N42" s="261">
        <f>IFERROR(INDEX('D Fleet'!$C$5:$C$63,MATCH(N$3-$B42,'D Fleet'!$B$5:$B$63,0)),0)*IFERROR(INDEX('D Fleet'!$J$5:$J$36,INT(($B42/N$4))+1)+(($B42/N$4)-INT(($B42/N$4)))*(INDEX('D Fleet'!$J$5:$J$36,INT(($B42/N$4))+2)-INDEX('D Fleet'!$J$5:$J$36,INT(($B42/N$4))+1)),0)</f>
        <v/>
      </c>
      <c r="P42" s="261">
        <f>E42*$D42*'E1 Fleet'!$D$97</f>
        <v/>
      </c>
      <c r="Q42" s="261">
        <f>F42*$D42*'E1 Fleet'!$D$97</f>
        <v/>
      </c>
      <c r="R42" s="261">
        <f>G42*$D42*'E1 Fleet'!$D$97</f>
        <v/>
      </c>
      <c r="S42" s="261">
        <f>H42*$D42*'E1 Fleet'!$D$97</f>
        <v/>
      </c>
      <c r="T42" s="261">
        <f>I42*$D42*'E1 Fleet'!$D$97</f>
        <v/>
      </c>
      <c r="U42" s="261">
        <f>J42*$D42*'E1 Fleet'!$D$97</f>
        <v/>
      </c>
      <c r="V42" s="261">
        <f>K42*$D42*'E1 Fleet'!$D$97</f>
        <v/>
      </c>
      <c r="W42" s="261">
        <f>L42*$D42*'E1 Fleet'!$D$97</f>
        <v/>
      </c>
      <c r="X42" s="261">
        <f>M42*$D42*'E1 Fleet'!$D$97</f>
        <v/>
      </c>
      <c r="Y42" s="261">
        <f>N42*$D42*'E1 Fleet'!$D$97</f>
        <v/>
      </c>
    </row>
    <row r="43">
      <c r="A43" t="inlineStr">
        <is>
          <t>Car</t>
        </is>
      </c>
      <c r="B43" s="331" t="n">
        <v>36</v>
      </c>
      <c r="C43" s="331" t="n">
        <v>3</v>
      </c>
      <c r="D43" s="266">
        <f>IF($B43=0,'E1 Fleet'!$D$93,1)*EXP(-'E1 Fleet'!$D$94*MAX($B43-6,0))</f>
        <v/>
      </c>
      <c r="E43" s="261">
        <f>IFERROR(INDEX('D Fleet'!$C$5:$C$63,MATCH(E$3-$B43,'D Fleet'!$B$5:$B$63,0)),0)*IFERROR(INDEX('D Fleet'!$J$5:$J$36,INT(($B43/E$4))+1)+(($B43/E$4)-INT(($B43/E$4)))*(INDEX('D Fleet'!$J$5:$J$36,INT(($B43/E$4))+2)-INDEX('D Fleet'!$J$5:$J$36,INT(($B43/E$4))+1)),0)</f>
        <v/>
      </c>
      <c r="F43" s="261">
        <f>IFERROR(INDEX('D Fleet'!$C$5:$C$63,MATCH(F$3-$B43,'D Fleet'!$B$5:$B$63,0)),0)*IFERROR(INDEX('D Fleet'!$J$5:$J$36,INT(($B43/F$4))+1)+(($B43/F$4)-INT(($B43/F$4)))*(INDEX('D Fleet'!$J$5:$J$36,INT(($B43/F$4))+2)-INDEX('D Fleet'!$J$5:$J$36,INT(($B43/F$4))+1)),0)</f>
        <v/>
      </c>
      <c r="G43" s="261">
        <f>IFERROR(INDEX('D Fleet'!$C$5:$C$63,MATCH(G$3-$B43,'D Fleet'!$B$5:$B$63,0)),0)*IFERROR(INDEX('D Fleet'!$J$5:$J$36,INT(($B43/G$4))+1)+(($B43/G$4)-INT(($B43/G$4)))*(INDEX('D Fleet'!$J$5:$J$36,INT(($B43/G$4))+2)-INDEX('D Fleet'!$J$5:$J$36,INT(($B43/G$4))+1)),0)</f>
        <v/>
      </c>
      <c r="H43" s="261">
        <f>IFERROR(INDEX('D Fleet'!$C$5:$C$63,MATCH(H$3-$B43,'D Fleet'!$B$5:$B$63,0)),0)*IFERROR(INDEX('D Fleet'!$J$5:$J$36,INT(($B43/H$4))+1)+(($B43/H$4)-INT(($B43/H$4)))*(INDEX('D Fleet'!$J$5:$J$36,INT(($B43/H$4))+2)-INDEX('D Fleet'!$J$5:$J$36,INT(($B43/H$4))+1)),0)</f>
        <v/>
      </c>
      <c r="I43" s="261">
        <f>IFERROR(INDEX('D Fleet'!$C$5:$C$63,MATCH(I$3-$B43,'D Fleet'!$B$5:$B$63,0)),0)*IFERROR(INDEX('D Fleet'!$J$5:$J$36,INT(($B43/I$4))+1)+(($B43/I$4)-INT(($B43/I$4)))*(INDEX('D Fleet'!$J$5:$J$36,INT(($B43/I$4))+2)-INDEX('D Fleet'!$J$5:$J$36,INT(($B43/I$4))+1)),0)</f>
        <v/>
      </c>
      <c r="J43" s="261">
        <f>IFERROR(INDEX('D Fleet'!$C$5:$C$63,MATCH(J$3-$B43,'D Fleet'!$B$5:$B$63,0)),0)*IFERROR(INDEX('D Fleet'!$J$5:$J$36,INT(($B43/J$4))+1)+(($B43/J$4)-INT(($B43/J$4)))*(INDEX('D Fleet'!$J$5:$J$36,INT(($B43/J$4))+2)-INDEX('D Fleet'!$J$5:$J$36,INT(($B43/J$4))+1)),0)</f>
        <v/>
      </c>
      <c r="K43" s="261">
        <f>IFERROR(INDEX('D Fleet'!$C$5:$C$63,MATCH(K$3-$B43,'D Fleet'!$B$5:$B$63,0)),0)*IFERROR(INDEX('D Fleet'!$J$5:$J$36,INT(($B43/K$4))+1)+(($B43/K$4)-INT(($B43/K$4)))*(INDEX('D Fleet'!$J$5:$J$36,INT(($B43/K$4))+2)-INDEX('D Fleet'!$J$5:$J$36,INT(($B43/K$4))+1)),0)</f>
        <v/>
      </c>
      <c r="L43" s="261">
        <f>IFERROR(INDEX('D Fleet'!$C$5:$C$63,MATCH(L$3-$B43,'D Fleet'!$B$5:$B$63,0)),0)*IFERROR(INDEX('D Fleet'!$J$5:$J$36,INT(($B43/L$4))+1)+(($B43/L$4)-INT(($B43/L$4)))*(INDEX('D Fleet'!$J$5:$J$36,INT(($B43/L$4))+2)-INDEX('D Fleet'!$J$5:$J$36,INT(($B43/L$4))+1)),0)</f>
        <v/>
      </c>
      <c r="M43" s="261">
        <f>IFERROR(INDEX('D Fleet'!$C$5:$C$63,MATCH(M$3-$B43,'D Fleet'!$B$5:$B$63,0)),0)*IFERROR(INDEX('D Fleet'!$J$5:$J$36,INT(($B43/M$4))+1)+(($B43/M$4)-INT(($B43/M$4)))*(INDEX('D Fleet'!$J$5:$J$36,INT(($B43/M$4))+2)-INDEX('D Fleet'!$J$5:$J$36,INT(($B43/M$4))+1)),0)</f>
        <v/>
      </c>
      <c r="N43" s="261">
        <f>IFERROR(INDEX('D Fleet'!$C$5:$C$63,MATCH(N$3-$B43,'D Fleet'!$B$5:$B$63,0)),0)*IFERROR(INDEX('D Fleet'!$J$5:$J$36,INT(($B43/N$4))+1)+(($B43/N$4)-INT(($B43/N$4)))*(INDEX('D Fleet'!$J$5:$J$36,INT(($B43/N$4))+2)-INDEX('D Fleet'!$J$5:$J$36,INT(($B43/N$4))+1)),0)</f>
        <v/>
      </c>
      <c r="P43" s="261">
        <f>E43*$D43*'E1 Fleet'!$D$97</f>
        <v/>
      </c>
      <c r="Q43" s="261">
        <f>F43*$D43*'E1 Fleet'!$D$97</f>
        <v/>
      </c>
      <c r="R43" s="261">
        <f>G43*$D43*'E1 Fleet'!$D$97</f>
        <v/>
      </c>
      <c r="S43" s="261">
        <f>H43*$D43*'E1 Fleet'!$D$97</f>
        <v/>
      </c>
      <c r="T43" s="261">
        <f>I43*$D43*'E1 Fleet'!$D$97</f>
        <v/>
      </c>
      <c r="U43" s="261">
        <f>J43*$D43*'E1 Fleet'!$D$97</f>
        <v/>
      </c>
      <c r="V43" s="261">
        <f>K43*$D43*'E1 Fleet'!$D$97</f>
        <v/>
      </c>
      <c r="W43" s="261">
        <f>L43*$D43*'E1 Fleet'!$D$97</f>
        <v/>
      </c>
      <c r="X43" s="261">
        <f>M43*$D43*'E1 Fleet'!$D$97</f>
        <v/>
      </c>
      <c r="Y43" s="261">
        <f>N43*$D43*'E1 Fleet'!$D$97</f>
        <v/>
      </c>
    </row>
    <row r="44">
      <c r="A44" t="inlineStr">
        <is>
          <t>Car</t>
        </is>
      </c>
      <c r="B44" s="331" t="n">
        <v>37</v>
      </c>
      <c r="C44" s="331" t="n">
        <v>3</v>
      </c>
      <c r="D44" s="266">
        <f>IF($B44=0,'E1 Fleet'!$D$93,1)*EXP(-'E1 Fleet'!$D$94*MAX($B44-6,0))</f>
        <v/>
      </c>
      <c r="E44" s="261">
        <f>IFERROR(INDEX('D Fleet'!$C$5:$C$63,MATCH(E$3-$B44,'D Fleet'!$B$5:$B$63,0)),0)*IFERROR(INDEX('D Fleet'!$J$5:$J$36,INT(($B44/E$4))+1)+(($B44/E$4)-INT(($B44/E$4)))*(INDEX('D Fleet'!$J$5:$J$36,INT(($B44/E$4))+2)-INDEX('D Fleet'!$J$5:$J$36,INT(($B44/E$4))+1)),0)</f>
        <v/>
      </c>
      <c r="F44" s="261">
        <f>IFERROR(INDEX('D Fleet'!$C$5:$C$63,MATCH(F$3-$B44,'D Fleet'!$B$5:$B$63,0)),0)*IFERROR(INDEX('D Fleet'!$J$5:$J$36,INT(($B44/F$4))+1)+(($B44/F$4)-INT(($B44/F$4)))*(INDEX('D Fleet'!$J$5:$J$36,INT(($B44/F$4))+2)-INDEX('D Fleet'!$J$5:$J$36,INT(($B44/F$4))+1)),0)</f>
        <v/>
      </c>
      <c r="G44" s="261">
        <f>IFERROR(INDEX('D Fleet'!$C$5:$C$63,MATCH(G$3-$B44,'D Fleet'!$B$5:$B$63,0)),0)*IFERROR(INDEX('D Fleet'!$J$5:$J$36,INT(($B44/G$4))+1)+(($B44/G$4)-INT(($B44/G$4)))*(INDEX('D Fleet'!$J$5:$J$36,INT(($B44/G$4))+2)-INDEX('D Fleet'!$J$5:$J$36,INT(($B44/G$4))+1)),0)</f>
        <v/>
      </c>
      <c r="H44" s="261">
        <f>IFERROR(INDEX('D Fleet'!$C$5:$C$63,MATCH(H$3-$B44,'D Fleet'!$B$5:$B$63,0)),0)*IFERROR(INDEX('D Fleet'!$J$5:$J$36,INT(($B44/H$4))+1)+(($B44/H$4)-INT(($B44/H$4)))*(INDEX('D Fleet'!$J$5:$J$36,INT(($B44/H$4))+2)-INDEX('D Fleet'!$J$5:$J$36,INT(($B44/H$4))+1)),0)</f>
        <v/>
      </c>
      <c r="I44" s="261">
        <f>IFERROR(INDEX('D Fleet'!$C$5:$C$63,MATCH(I$3-$B44,'D Fleet'!$B$5:$B$63,0)),0)*IFERROR(INDEX('D Fleet'!$J$5:$J$36,INT(($B44/I$4))+1)+(($B44/I$4)-INT(($B44/I$4)))*(INDEX('D Fleet'!$J$5:$J$36,INT(($B44/I$4))+2)-INDEX('D Fleet'!$J$5:$J$36,INT(($B44/I$4))+1)),0)</f>
        <v/>
      </c>
      <c r="J44" s="261">
        <f>IFERROR(INDEX('D Fleet'!$C$5:$C$63,MATCH(J$3-$B44,'D Fleet'!$B$5:$B$63,0)),0)*IFERROR(INDEX('D Fleet'!$J$5:$J$36,INT(($B44/J$4))+1)+(($B44/J$4)-INT(($B44/J$4)))*(INDEX('D Fleet'!$J$5:$J$36,INT(($B44/J$4))+2)-INDEX('D Fleet'!$J$5:$J$36,INT(($B44/J$4))+1)),0)</f>
        <v/>
      </c>
      <c r="K44" s="261">
        <f>IFERROR(INDEX('D Fleet'!$C$5:$C$63,MATCH(K$3-$B44,'D Fleet'!$B$5:$B$63,0)),0)*IFERROR(INDEX('D Fleet'!$J$5:$J$36,INT(($B44/K$4))+1)+(($B44/K$4)-INT(($B44/K$4)))*(INDEX('D Fleet'!$J$5:$J$36,INT(($B44/K$4))+2)-INDEX('D Fleet'!$J$5:$J$36,INT(($B44/K$4))+1)),0)</f>
        <v/>
      </c>
      <c r="L44" s="261">
        <f>IFERROR(INDEX('D Fleet'!$C$5:$C$63,MATCH(L$3-$B44,'D Fleet'!$B$5:$B$63,0)),0)*IFERROR(INDEX('D Fleet'!$J$5:$J$36,INT(($B44/L$4))+1)+(($B44/L$4)-INT(($B44/L$4)))*(INDEX('D Fleet'!$J$5:$J$36,INT(($B44/L$4))+2)-INDEX('D Fleet'!$J$5:$J$36,INT(($B44/L$4))+1)),0)</f>
        <v/>
      </c>
      <c r="M44" s="261">
        <f>IFERROR(INDEX('D Fleet'!$C$5:$C$63,MATCH(M$3-$B44,'D Fleet'!$B$5:$B$63,0)),0)*IFERROR(INDEX('D Fleet'!$J$5:$J$36,INT(($B44/M$4))+1)+(($B44/M$4)-INT(($B44/M$4)))*(INDEX('D Fleet'!$J$5:$J$36,INT(($B44/M$4))+2)-INDEX('D Fleet'!$J$5:$J$36,INT(($B44/M$4))+1)),0)</f>
        <v/>
      </c>
      <c r="N44" s="261">
        <f>IFERROR(INDEX('D Fleet'!$C$5:$C$63,MATCH(N$3-$B44,'D Fleet'!$B$5:$B$63,0)),0)*IFERROR(INDEX('D Fleet'!$J$5:$J$36,INT(($B44/N$4))+1)+(($B44/N$4)-INT(($B44/N$4)))*(INDEX('D Fleet'!$J$5:$J$36,INT(($B44/N$4))+2)-INDEX('D Fleet'!$J$5:$J$36,INT(($B44/N$4))+1)),0)</f>
        <v/>
      </c>
      <c r="P44" s="261">
        <f>E44*$D44*'E1 Fleet'!$D$97</f>
        <v/>
      </c>
      <c r="Q44" s="261">
        <f>F44*$D44*'E1 Fleet'!$D$97</f>
        <v/>
      </c>
      <c r="R44" s="261">
        <f>G44*$D44*'E1 Fleet'!$D$97</f>
        <v/>
      </c>
      <c r="S44" s="261">
        <f>H44*$D44*'E1 Fleet'!$D$97</f>
        <v/>
      </c>
      <c r="T44" s="261">
        <f>I44*$D44*'E1 Fleet'!$D$97</f>
        <v/>
      </c>
      <c r="U44" s="261">
        <f>J44*$D44*'E1 Fleet'!$D$97</f>
        <v/>
      </c>
      <c r="V44" s="261">
        <f>K44*$D44*'E1 Fleet'!$D$97</f>
        <v/>
      </c>
      <c r="W44" s="261">
        <f>L44*$D44*'E1 Fleet'!$D$97</f>
        <v/>
      </c>
      <c r="X44" s="261">
        <f>M44*$D44*'E1 Fleet'!$D$97</f>
        <v/>
      </c>
      <c r="Y44" s="261">
        <f>N44*$D44*'E1 Fleet'!$D$97</f>
        <v/>
      </c>
    </row>
    <row r="45">
      <c r="A45" t="inlineStr">
        <is>
          <t>Car</t>
        </is>
      </c>
      <c r="B45" s="331" t="n">
        <v>38</v>
      </c>
      <c r="C45" s="331" t="n">
        <v>3</v>
      </c>
      <c r="D45" s="266">
        <f>IF($B45=0,'E1 Fleet'!$D$93,1)*EXP(-'E1 Fleet'!$D$94*MAX($B45-6,0))</f>
        <v/>
      </c>
      <c r="E45" s="261">
        <f>IFERROR(INDEX('D Fleet'!$C$5:$C$63,MATCH(E$3-$B45,'D Fleet'!$B$5:$B$63,0)),0)*IFERROR(INDEX('D Fleet'!$J$5:$J$36,INT(($B45/E$4))+1)+(($B45/E$4)-INT(($B45/E$4)))*(INDEX('D Fleet'!$J$5:$J$36,INT(($B45/E$4))+2)-INDEX('D Fleet'!$J$5:$J$36,INT(($B45/E$4))+1)),0)</f>
        <v/>
      </c>
      <c r="F45" s="261">
        <f>IFERROR(INDEX('D Fleet'!$C$5:$C$63,MATCH(F$3-$B45,'D Fleet'!$B$5:$B$63,0)),0)*IFERROR(INDEX('D Fleet'!$J$5:$J$36,INT(($B45/F$4))+1)+(($B45/F$4)-INT(($B45/F$4)))*(INDEX('D Fleet'!$J$5:$J$36,INT(($B45/F$4))+2)-INDEX('D Fleet'!$J$5:$J$36,INT(($B45/F$4))+1)),0)</f>
        <v/>
      </c>
      <c r="G45" s="261">
        <f>IFERROR(INDEX('D Fleet'!$C$5:$C$63,MATCH(G$3-$B45,'D Fleet'!$B$5:$B$63,0)),0)*IFERROR(INDEX('D Fleet'!$J$5:$J$36,INT(($B45/G$4))+1)+(($B45/G$4)-INT(($B45/G$4)))*(INDEX('D Fleet'!$J$5:$J$36,INT(($B45/G$4))+2)-INDEX('D Fleet'!$J$5:$J$36,INT(($B45/G$4))+1)),0)</f>
        <v/>
      </c>
      <c r="H45" s="261">
        <f>IFERROR(INDEX('D Fleet'!$C$5:$C$63,MATCH(H$3-$B45,'D Fleet'!$B$5:$B$63,0)),0)*IFERROR(INDEX('D Fleet'!$J$5:$J$36,INT(($B45/H$4))+1)+(($B45/H$4)-INT(($B45/H$4)))*(INDEX('D Fleet'!$J$5:$J$36,INT(($B45/H$4))+2)-INDEX('D Fleet'!$J$5:$J$36,INT(($B45/H$4))+1)),0)</f>
        <v/>
      </c>
      <c r="I45" s="261">
        <f>IFERROR(INDEX('D Fleet'!$C$5:$C$63,MATCH(I$3-$B45,'D Fleet'!$B$5:$B$63,0)),0)*IFERROR(INDEX('D Fleet'!$J$5:$J$36,INT(($B45/I$4))+1)+(($B45/I$4)-INT(($B45/I$4)))*(INDEX('D Fleet'!$J$5:$J$36,INT(($B45/I$4))+2)-INDEX('D Fleet'!$J$5:$J$36,INT(($B45/I$4))+1)),0)</f>
        <v/>
      </c>
      <c r="J45" s="261">
        <f>IFERROR(INDEX('D Fleet'!$C$5:$C$63,MATCH(J$3-$B45,'D Fleet'!$B$5:$B$63,0)),0)*IFERROR(INDEX('D Fleet'!$J$5:$J$36,INT(($B45/J$4))+1)+(($B45/J$4)-INT(($B45/J$4)))*(INDEX('D Fleet'!$J$5:$J$36,INT(($B45/J$4))+2)-INDEX('D Fleet'!$J$5:$J$36,INT(($B45/J$4))+1)),0)</f>
        <v/>
      </c>
      <c r="K45" s="261">
        <f>IFERROR(INDEX('D Fleet'!$C$5:$C$63,MATCH(K$3-$B45,'D Fleet'!$B$5:$B$63,0)),0)*IFERROR(INDEX('D Fleet'!$J$5:$J$36,INT(($B45/K$4))+1)+(($B45/K$4)-INT(($B45/K$4)))*(INDEX('D Fleet'!$J$5:$J$36,INT(($B45/K$4))+2)-INDEX('D Fleet'!$J$5:$J$36,INT(($B45/K$4))+1)),0)</f>
        <v/>
      </c>
      <c r="L45" s="261">
        <f>IFERROR(INDEX('D Fleet'!$C$5:$C$63,MATCH(L$3-$B45,'D Fleet'!$B$5:$B$63,0)),0)*IFERROR(INDEX('D Fleet'!$J$5:$J$36,INT(($B45/L$4))+1)+(($B45/L$4)-INT(($B45/L$4)))*(INDEX('D Fleet'!$J$5:$J$36,INT(($B45/L$4))+2)-INDEX('D Fleet'!$J$5:$J$36,INT(($B45/L$4))+1)),0)</f>
        <v/>
      </c>
      <c r="M45" s="261">
        <f>IFERROR(INDEX('D Fleet'!$C$5:$C$63,MATCH(M$3-$B45,'D Fleet'!$B$5:$B$63,0)),0)*IFERROR(INDEX('D Fleet'!$J$5:$J$36,INT(($B45/M$4))+1)+(($B45/M$4)-INT(($B45/M$4)))*(INDEX('D Fleet'!$J$5:$J$36,INT(($B45/M$4))+2)-INDEX('D Fleet'!$J$5:$J$36,INT(($B45/M$4))+1)),0)</f>
        <v/>
      </c>
      <c r="N45" s="261">
        <f>IFERROR(INDEX('D Fleet'!$C$5:$C$63,MATCH(N$3-$B45,'D Fleet'!$B$5:$B$63,0)),0)*IFERROR(INDEX('D Fleet'!$J$5:$J$36,INT(($B45/N$4))+1)+(($B45/N$4)-INT(($B45/N$4)))*(INDEX('D Fleet'!$J$5:$J$36,INT(($B45/N$4))+2)-INDEX('D Fleet'!$J$5:$J$36,INT(($B45/N$4))+1)),0)</f>
        <v/>
      </c>
      <c r="P45" s="261">
        <f>E45*$D45*'E1 Fleet'!$D$97</f>
        <v/>
      </c>
      <c r="Q45" s="261">
        <f>F45*$D45*'E1 Fleet'!$D$97</f>
        <v/>
      </c>
      <c r="R45" s="261">
        <f>G45*$D45*'E1 Fleet'!$D$97</f>
        <v/>
      </c>
      <c r="S45" s="261">
        <f>H45*$D45*'E1 Fleet'!$D$97</f>
        <v/>
      </c>
      <c r="T45" s="261">
        <f>I45*$D45*'E1 Fleet'!$D$97</f>
        <v/>
      </c>
      <c r="U45" s="261">
        <f>J45*$D45*'E1 Fleet'!$D$97</f>
        <v/>
      </c>
      <c r="V45" s="261">
        <f>K45*$D45*'E1 Fleet'!$D$97</f>
        <v/>
      </c>
      <c r="W45" s="261">
        <f>L45*$D45*'E1 Fleet'!$D$97</f>
        <v/>
      </c>
      <c r="X45" s="261">
        <f>M45*$D45*'E1 Fleet'!$D$97</f>
        <v/>
      </c>
      <c r="Y45" s="261">
        <f>N45*$D45*'E1 Fleet'!$D$97</f>
        <v/>
      </c>
    </row>
    <row r="46">
      <c r="A46" t="inlineStr">
        <is>
          <t>Car</t>
        </is>
      </c>
      <c r="B46" s="331" t="n">
        <v>39</v>
      </c>
      <c r="C46" s="331" t="n">
        <v>3</v>
      </c>
      <c r="D46" s="266">
        <f>IF($B46=0,'E1 Fleet'!$D$93,1)*EXP(-'E1 Fleet'!$D$94*MAX($B46-6,0))</f>
        <v/>
      </c>
      <c r="E46" s="261">
        <f>IFERROR(INDEX('D Fleet'!$C$5:$C$63,MATCH(E$3-$B46,'D Fleet'!$B$5:$B$63,0)),0)*IFERROR(INDEX('D Fleet'!$J$5:$J$36,INT(($B46/E$4))+1)+(($B46/E$4)-INT(($B46/E$4)))*(INDEX('D Fleet'!$J$5:$J$36,INT(($B46/E$4))+2)-INDEX('D Fleet'!$J$5:$J$36,INT(($B46/E$4))+1)),0)</f>
        <v/>
      </c>
      <c r="F46" s="261">
        <f>IFERROR(INDEX('D Fleet'!$C$5:$C$63,MATCH(F$3-$B46,'D Fleet'!$B$5:$B$63,0)),0)*IFERROR(INDEX('D Fleet'!$J$5:$J$36,INT(($B46/F$4))+1)+(($B46/F$4)-INT(($B46/F$4)))*(INDEX('D Fleet'!$J$5:$J$36,INT(($B46/F$4))+2)-INDEX('D Fleet'!$J$5:$J$36,INT(($B46/F$4))+1)),0)</f>
        <v/>
      </c>
      <c r="G46" s="261">
        <f>IFERROR(INDEX('D Fleet'!$C$5:$C$63,MATCH(G$3-$B46,'D Fleet'!$B$5:$B$63,0)),0)*IFERROR(INDEX('D Fleet'!$J$5:$J$36,INT(($B46/G$4))+1)+(($B46/G$4)-INT(($B46/G$4)))*(INDEX('D Fleet'!$J$5:$J$36,INT(($B46/G$4))+2)-INDEX('D Fleet'!$J$5:$J$36,INT(($B46/G$4))+1)),0)</f>
        <v/>
      </c>
      <c r="H46" s="261">
        <f>IFERROR(INDEX('D Fleet'!$C$5:$C$63,MATCH(H$3-$B46,'D Fleet'!$B$5:$B$63,0)),0)*IFERROR(INDEX('D Fleet'!$J$5:$J$36,INT(($B46/H$4))+1)+(($B46/H$4)-INT(($B46/H$4)))*(INDEX('D Fleet'!$J$5:$J$36,INT(($B46/H$4))+2)-INDEX('D Fleet'!$J$5:$J$36,INT(($B46/H$4))+1)),0)</f>
        <v/>
      </c>
      <c r="I46" s="261">
        <f>IFERROR(INDEX('D Fleet'!$C$5:$C$63,MATCH(I$3-$B46,'D Fleet'!$B$5:$B$63,0)),0)*IFERROR(INDEX('D Fleet'!$J$5:$J$36,INT(($B46/I$4))+1)+(($B46/I$4)-INT(($B46/I$4)))*(INDEX('D Fleet'!$J$5:$J$36,INT(($B46/I$4))+2)-INDEX('D Fleet'!$J$5:$J$36,INT(($B46/I$4))+1)),0)</f>
        <v/>
      </c>
      <c r="J46" s="261">
        <f>IFERROR(INDEX('D Fleet'!$C$5:$C$63,MATCH(J$3-$B46,'D Fleet'!$B$5:$B$63,0)),0)*IFERROR(INDEX('D Fleet'!$J$5:$J$36,INT(($B46/J$4))+1)+(($B46/J$4)-INT(($B46/J$4)))*(INDEX('D Fleet'!$J$5:$J$36,INT(($B46/J$4))+2)-INDEX('D Fleet'!$J$5:$J$36,INT(($B46/J$4))+1)),0)</f>
        <v/>
      </c>
      <c r="K46" s="261">
        <f>IFERROR(INDEX('D Fleet'!$C$5:$C$63,MATCH(K$3-$B46,'D Fleet'!$B$5:$B$63,0)),0)*IFERROR(INDEX('D Fleet'!$J$5:$J$36,INT(($B46/K$4))+1)+(($B46/K$4)-INT(($B46/K$4)))*(INDEX('D Fleet'!$J$5:$J$36,INT(($B46/K$4))+2)-INDEX('D Fleet'!$J$5:$J$36,INT(($B46/K$4))+1)),0)</f>
        <v/>
      </c>
      <c r="L46" s="261">
        <f>IFERROR(INDEX('D Fleet'!$C$5:$C$63,MATCH(L$3-$B46,'D Fleet'!$B$5:$B$63,0)),0)*IFERROR(INDEX('D Fleet'!$J$5:$J$36,INT(($B46/L$4))+1)+(($B46/L$4)-INT(($B46/L$4)))*(INDEX('D Fleet'!$J$5:$J$36,INT(($B46/L$4))+2)-INDEX('D Fleet'!$J$5:$J$36,INT(($B46/L$4))+1)),0)</f>
        <v/>
      </c>
      <c r="M46" s="261">
        <f>IFERROR(INDEX('D Fleet'!$C$5:$C$63,MATCH(M$3-$B46,'D Fleet'!$B$5:$B$63,0)),0)*IFERROR(INDEX('D Fleet'!$J$5:$J$36,INT(($B46/M$4))+1)+(($B46/M$4)-INT(($B46/M$4)))*(INDEX('D Fleet'!$J$5:$J$36,INT(($B46/M$4))+2)-INDEX('D Fleet'!$J$5:$J$36,INT(($B46/M$4))+1)),0)</f>
        <v/>
      </c>
      <c r="N46" s="261">
        <f>IFERROR(INDEX('D Fleet'!$C$5:$C$63,MATCH(N$3-$B46,'D Fleet'!$B$5:$B$63,0)),0)*IFERROR(INDEX('D Fleet'!$J$5:$J$36,INT(($B46/N$4))+1)+(($B46/N$4)-INT(($B46/N$4)))*(INDEX('D Fleet'!$J$5:$J$36,INT(($B46/N$4))+2)-INDEX('D Fleet'!$J$5:$J$36,INT(($B46/N$4))+1)),0)</f>
        <v/>
      </c>
      <c r="P46" s="261">
        <f>E46*$D46*'E1 Fleet'!$D$97</f>
        <v/>
      </c>
      <c r="Q46" s="261">
        <f>F46*$D46*'E1 Fleet'!$D$97</f>
        <v/>
      </c>
      <c r="R46" s="261">
        <f>G46*$D46*'E1 Fleet'!$D$97</f>
        <v/>
      </c>
      <c r="S46" s="261">
        <f>H46*$D46*'E1 Fleet'!$D$97</f>
        <v/>
      </c>
      <c r="T46" s="261">
        <f>I46*$D46*'E1 Fleet'!$D$97</f>
        <v/>
      </c>
      <c r="U46" s="261">
        <f>J46*$D46*'E1 Fleet'!$D$97</f>
        <v/>
      </c>
      <c r="V46" s="261">
        <f>K46*$D46*'E1 Fleet'!$D$97</f>
        <v/>
      </c>
      <c r="W46" s="261">
        <f>L46*$D46*'E1 Fleet'!$D$97</f>
        <v/>
      </c>
      <c r="X46" s="261">
        <f>M46*$D46*'E1 Fleet'!$D$97</f>
        <v/>
      </c>
      <c r="Y46" s="261">
        <f>N46*$D46*'E1 Fleet'!$D$97</f>
        <v/>
      </c>
    </row>
    <row r="47">
      <c r="A47" t="inlineStr">
        <is>
          <t>Car</t>
        </is>
      </c>
      <c r="B47" s="331" t="n">
        <v>40</v>
      </c>
      <c r="C47" s="331" t="n">
        <v>3</v>
      </c>
      <c r="D47" s="266">
        <f>IF($B47=0,'E1 Fleet'!$D$93,1)*EXP(-'E1 Fleet'!$D$94*MAX($B47-6,0))</f>
        <v/>
      </c>
      <c r="E47" s="261">
        <f>IFERROR(INDEX('D Fleet'!$C$5:$C$63,MATCH(E$3-$B47,'D Fleet'!$B$5:$B$63,0)),0)*IFERROR(INDEX('D Fleet'!$J$5:$J$36,INT(($B47/E$4))+1)+(($B47/E$4)-INT(($B47/E$4)))*(INDEX('D Fleet'!$J$5:$J$36,INT(($B47/E$4))+2)-INDEX('D Fleet'!$J$5:$J$36,INT(($B47/E$4))+1)),0)</f>
        <v/>
      </c>
      <c r="F47" s="261">
        <f>IFERROR(INDEX('D Fleet'!$C$5:$C$63,MATCH(F$3-$B47,'D Fleet'!$B$5:$B$63,0)),0)*IFERROR(INDEX('D Fleet'!$J$5:$J$36,INT(($B47/F$4))+1)+(($B47/F$4)-INT(($B47/F$4)))*(INDEX('D Fleet'!$J$5:$J$36,INT(($B47/F$4))+2)-INDEX('D Fleet'!$J$5:$J$36,INT(($B47/F$4))+1)),0)</f>
        <v/>
      </c>
      <c r="G47" s="261">
        <f>IFERROR(INDEX('D Fleet'!$C$5:$C$63,MATCH(G$3-$B47,'D Fleet'!$B$5:$B$63,0)),0)*IFERROR(INDEX('D Fleet'!$J$5:$J$36,INT(($B47/G$4))+1)+(($B47/G$4)-INT(($B47/G$4)))*(INDEX('D Fleet'!$J$5:$J$36,INT(($B47/G$4))+2)-INDEX('D Fleet'!$J$5:$J$36,INT(($B47/G$4))+1)),0)</f>
        <v/>
      </c>
      <c r="H47" s="261">
        <f>IFERROR(INDEX('D Fleet'!$C$5:$C$63,MATCH(H$3-$B47,'D Fleet'!$B$5:$B$63,0)),0)*IFERROR(INDEX('D Fleet'!$J$5:$J$36,INT(($B47/H$4))+1)+(($B47/H$4)-INT(($B47/H$4)))*(INDEX('D Fleet'!$J$5:$J$36,INT(($B47/H$4))+2)-INDEX('D Fleet'!$J$5:$J$36,INT(($B47/H$4))+1)),0)</f>
        <v/>
      </c>
      <c r="I47" s="261">
        <f>IFERROR(INDEX('D Fleet'!$C$5:$C$63,MATCH(I$3-$B47,'D Fleet'!$B$5:$B$63,0)),0)*IFERROR(INDEX('D Fleet'!$J$5:$J$36,INT(($B47/I$4))+1)+(($B47/I$4)-INT(($B47/I$4)))*(INDEX('D Fleet'!$J$5:$J$36,INT(($B47/I$4))+2)-INDEX('D Fleet'!$J$5:$J$36,INT(($B47/I$4))+1)),0)</f>
        <v/>
      </c>
      <c r="J47" s="261">
        <f>IFERROR(INDEX('D Fleet'!$C$5:$C$63,MATCH(J$3-$B47,'D Fleet'!$B$5:$B$63,0)),0)*IFERROR(INDEX('D Fleet'!$J$5:$J$36,INT(($B47/J$4))+1)+(($B47/J$4)-INT(($B47/J$4)))*(INDEX('D Fleet'!$J$5:$J$36,INT(($B47/J$4))+2)-INDEX('D Fleet'!$J$5:$J$36,INT(($B47/J$4))+1)),0)</f>
        <v/>
      </c>
      <c r="K47" s="261">
        <f>IFERROR(INDEX('D Fleet'!$C$5:$C$63,MATCH(K$3-$B47,'D Fleet'!$B$5:$B$63,0)),0)*IFERROR(INDEX('D Fleet'!$J$5:$J$36,INT(($B47/K$4))+1)+(($B47/K$4)-INT(($B47/K$4)))*(INDEX('D Fleet'!$J$5:$J$36,INT(($B47/K$4))+2)-INDEX('D Fleet'!$J$5:$J$36,INT(($B47/K$4))+1)),0)</f>
        <v/>
      </c>
      <c r="L47" s="261">
        <f>IFERROR(INDEX('D Fleet'!$C$5:$C$63,MATCH(L$3-$B47,'D Fleet'!$B$5:$B$63,0)),0)*IFERROR(INDEX('D Fleet'!$J$5:$J$36,INT(($B47/L$4))+1)+(($B47/L$4)-INT(($B47/L$4)))*(INDEX('D Fleet'!$J$5:$J$36,INT(($B47/L$4))+2)-INDEX('D Fleet'!$J$5:$J$36,INT(($B47/L$4))+1)),0)</f>
        <v/>
      </c>
      <c r="M47" s="261">
        <f>IFERROR(INDEX('D Fleet'!$C$5:$C$63,MATCH(M$3-$B47,'D Fleet'!$B$5:$B$63,0)),0)*IFERROR(INDEX('D Fleet'!$J$5:$J$36,INT(($B47/M$4))+1)+(($B47/M$4)-INT(($B47/M$4)))*(INDEX('D Fleet'!$J$5:$J$36,INT(($B47/M$4))+2)-INDEX('D Fleet'!$J$5:$J$36,INT(($B47/M$4))+1)),0)</f>
        <v/>
      </c>
      <c r="N47" s="261">
        <f>IFERROR(INDEX('D Fleet'!$C$5:$C$63,MATCH(N$3-$B47,'D Fleet'!$B$5:$B$63,0)),0)*IFERROR(INDEX('D Fleet'!$J$5:$J$36,INT(($B47/N$4))+1)+(($B47/N$4)-INT(($B47/N$4)))*(INDEX('D Fleet'!$J$5:$J$36,INT(($B47/N$4))+2)-INDEX('D Fleet'!$J$5:$J$36,INT(($B47/N$4))+1)),0)</f>
        <v/>
      </c>
      <c r="P47" s="261">
        <f>E47*$D47*'E1 Fleet'!$D$97</f>
        <v/>
      </c>
      <c r="Q47" s="261">
        <f>F47*$D47*'E1 Fleet'!$D$97</f>
        <v/>
      </c>
      <c r="R47" s="261">
        <f>G47*$D47*'E1 Fleet'!$D$97</f>
        <v/>
      </c>
      <c r="S47" s="261">
        <f>H47*$D47*'E1 Fleet'!$D$97</f>
        <v/>
      </c>
      <c r="T47" s="261">
        <f>I47*$D47*'E1 Fleet'!$D$97</f>
        <v/>
      </c>
      <c r="U47" s="261">
        <f>J47*$D47*'E1 Fleet'!$D$97</f>
        <v/>
      </c>
      <c r="V47" s="261">
        <f>K47*$D47*'E1 Fleet'!$D$97</f>
        <v/>
      </c>
      <c r="W47" s="261">
        <f>L47*$D47*'E1 Fleet'!$D$97</f>
        <v/>
      </c>
      <c r="X47" s="261">
        <f>M47*$D47*'E1 Fleet'!$D$97</f>
        <v/>
      </c>
      <c r="Y47" s="261">
        <f>N47*$D47*'E1 Fleet'!$D$97</f>
        <v/>
      </c>
    </row>
    <row r="48">
      <c r="A48" t="inlineStr">
        <is>
          <t>Car</t>
        </is>
      </c>
      <c r="B48" s="331" t="n">
        <v>41</v>
      </c>
      <c r="C48" s="331" t="n">
        <v>3</v>
      </c>
      <c r="D48" s="266">
        <f>IF($B48=0,'E1 Fleet'!$D$93,1)*EXP(-'E1 Fleet'!$D$94*MAX($B48-6,0))</f>
        <v/>
      </c>
      <c r="E48" s="261">
        <f>IFERROR(INDEX('D Fleet'!$C$5:$C$63,MATCH(E$3-$B48,'D Fleet'!$B$5:$B$63,0)),0)*IFERROR(INDEX('D Fleet'!$J$5:$J$36,INT(($B48/E$4))+1)+(($B48/E$4)-INT(($B48/E$4)))*(INDEX('D Fleet'!$J$5:$J$36,INT(($B48/E$4))+2)-INDEX('D Fleet'!$J$5:$J$36,INT(($B48/E$4))+1)),0)</f>
        <v/>
      </c>
      <c r="F48" s="261">
        <f>IFERROR(INDEX('D Fleet'!$C$5:$C$63,MATCH(F$3-$B48,'D Fleet'!$B$5:$B$63,0)),0)*IFERROR(INDEX('D Fleet'!$J$5:$J$36,INT(($B48/F$4))+1)+(($B48/F$4)-INT(($B48/F$4)))*(INDEX('D Fleet'!$J$5:$J$36,INT(($B48/F$4))+2)-INDEX('D Fleet'!$J$5:$J$36,INT(($B48/F$4))+1)),0)</f>
        <v/>
      </c>
      <c r="G48" s="261">
        <f>IFERROR(INDEX('D Fleet'!$C$5:$C$63,MATCH(G$3-$B48,'D Fleet'!$B$5:$B$63,0)),0)*IFERROR(INDEX('D Fleet'!$J$5:$J$36,INT(($B48/G$4))+1)+(($B48/G$4)-INT(($B48/G$4)))*(INDEX('D Fleet'!$J$5:$J$36,INT(($B48/G$4))+2)-INDEX('D Fleet'!$J$5:$J$36,INT(($B48/G$4))+1)),0)</f>
        <v/>
      </c>
      <c r="H48" s="261">
        <f>IFERROR(INDEX('D Fleet'!$C$5:$C$63,MATCH(H$3-$B48,'D Fleet'!$B$5:$B$63,0)),0)*IFERROR(INDEX('D Fleet'!$J$5:$J$36,INT(($B48/H$4))+1)+(($B48/H$4)-INT(($B48/H$4)))*(INDEX('D Fleet'!$J$5:$J$36,INT(($B48/H$4))+2)-INDEX('D Fleet'!$J$5:$J$36,INT(($B48/H$4))+1)),0)</f>
        <v/>
      </c>
      <c r="I48" s="261">
        <f>IFERROR(INDEX('D Fleet'!$C$5:$C$63,MATCH(I$3-$B48,'D Fleet'!$B$5:$B$63,0)),0)*IFERROR(INDEX('D Fleet'!$J$5:$J$36,INT(($B48/I$4))+1)+(($B48/I$4)-INT(($B48/I$4)))*(INDEX('D Fleet'!$J$5:$J$36,INT(($B48/I$4))+2)-INDEX('D Fleet'!$J$5:$J$36,INT(($B48/I$4))+1)),0)</f>
        <v/>
      </c>
      <c r="J48" s="261">
        <f>IFERROR(INDEX('D Fleet'!$C$5:$C$63,MATCH(J$3-$B48,'D Fleet'!$B$5:$B$63,0)),0)*IFERROR(INDEX('D Fleet'!$J$5:$J$36,INT(($B48/J$4))+1)+(($B48/J$4)-INT(($B48/J$4)))*(INDEX('D Fleet'!$J$5:$J$36,INT(($B48/J$4))+2)-INDEX('D Fleet'!$J$5:$J$36,INT(($B48/J$4))+1)),0)</f>
        <v/>
      </c>
      <c r="K48" s="261">
        <f>IFERROR(INDEX('D Fleet'!$C$5:$C$63,MATCH(K$3-$B48,'D Fleet'!$B$5:$B$63,0)),0)*IFERROR(INDEX('D Fleet'!$J$5:$J$36,INT(($B48/K$4))+1)+(($B48/K$4)-INT(($B48/K$4)))*(INDEX('D Fleet'!$J$5:$J$36,INT(($B48/K$4))+2)-INDEX('D Fleet'!$J$5:$J$36,INT(($B48/K$4))+1)),0)</f>
        <v/>
      </c>
      <c r="L48" s="261">
        <f>IFERROR(INDEX('D Fleet'!$C$5:$C$63,MATCH(L$3-$B48,'D Fleet'!$B$5:$B$63,0)),0)*IFERROR(INDEX('D Fleet'!$J$5:$J$36,INT(($B48/L$4))+1)+(($B48/L$4)-INT(($B48/L$4)))*(INDEX('D Fleet'!$J$5:$J$36,INT(($B48/L$4))+2)-INDEX('D Fleet'!$J$5:$J$36,INT(($B48/L$4))+1)),0)</f>
        <v/>
      </c>
      <c r="M48" s="261">
        <f>IFERROR(INDEX('D Fleet'!$C$5:$C$63,MATCH(M$3-$B48,'D Fleet'!$B$5:$B$63,0)),0)*IFERROR(INDEX('D Fleet'!$J$5:$J$36,INT(($B48/M$4))+1)+(($B48/M$4)-INT(($B48/M$4)))*(INDEX('D Fleet'!$J$5:$J$36,INT(($B48/M$4))+2)-INDEX('D Fleet'!$J$5:$J$36,INT(($B48/M$4))+1)),0)</f>
        <v/>
      </c>
      <c r="N48" s="261">
        <f>IFERROR(INDEX('D Fleet'!$C$5:$C$63,MATCH(N$3-$B48,'D Fleet'!$B$5:$B$63,0)),0)*IFERROR(INDEX('D Fleet'!$J$5:$J$36,INT(($B48/N$4))+1)+(($B48/N$4)-INT(($B48/N$4)))*(INDEX('D Fleet'!$J$5:$J$36,INT(($B48/N$4))+2)-INDEX('D Fleet'!$J$5:$J$36,INT(($B48/N$4))+1)),0)</f>
        <v/>
      </c>
      <c r="P48" s="261">
        <f>E48*$D48*'E1 Fleet'!$D$97</f>
        <v/>
      </c>
      <c r="Q48" s="261">
        <f>F48*$D48*'E1 Fleet'!$D$97</f>
        <v/>
      </c>
      <c r="R48" s="261">
        <f>G48*$D48*'E1 Fleet'!$D$97</f>
        <v/>
      </c>
      <c r="S48" s="261">
        <f>H48*$D48*'E1 Fleet'!$D$97</f>
        <v/>
      </c>
      <c r="T48" s="261">
        <f>I48*$D48*'E1 Fleet'!$D$97</f>
        <v/>
      </c>
      <c r="U48" s="261">
        <f>J48*$D48*'E1 Fleet'!$D$97</f>
        <v/>
      </c>
      <c r="V48" s="261">
        <f>K48*$D48*'E1 Fleet'!$D$97</f>
        <v/>
      </c>
      <c r="W48" s="261">
        <f>L48*$D48*'E1 Fleet'!$D$97</f>
        <v/>
      </c>
      <c r="X48" s="261">
        <f>M48*$D48*'E1 Fleet'!$D$97</f>
        <v/>
      </c>
      <c r="Y48" s="261">
        <f>N48*$D48*'E1 Fleet'!$D$97</f>
        <v/>
      </c>
    </row>
    <row r="49">
      <c r="A49" t="inlineStr">
        <is>
          <t>Car</t>
        </is>
      </c>
      <c r="B49" s="331" t="n">
        <v>42</v>
      </c>
      <c r="C49" s="331" t="n">
        <v>3</v>
      </c>
      <c r="D49" s="266">
        <f>IF($B49=0,'E1 Fleet'!$D$93,1)*EXP(-'E1 Fleet'!$D$94*MAX($B49-6,0))</f>
        <v/>
      </c>
      <c r="E49" s="261">
        <f>IFERROR(INDEX('D Fleet'!$C$5:$C$63,MATCH(E$3-$B49,'D Fleet'!$B$5:$B$63,0)),0)*IFERROR(INDEX('D Fleet'!$J$5:$J$36,INT(($B49/E$4))+1)+(($B49/E$4)-INT(($B49/E$4)))*(INDEX('D Fleet'!$J$5:$J$36,INT(($B49/E$4))+2)-INDEX('D Fleet'!$J$5:$J$36,INT(($B49/E$4))+1)),0)</f>
        <v/>
      </c>
      <c r="F49" s="261">
        <f>IFERROR(INDEX('D Fleet'!$C$5:$C$63,MATCH(F$3-$B49,'D Fleet'!$B$5:$B$63,0)),0)*IFERROR(INDEX('D Fleet'!$J$5:$J$36,INT(($B49/F$4))+1)+(($B49/F$4)-INT(($B49/F$4)))*(INDEX('D Fleet'!$J$5:$J$36,INT(($B49/F$4))+2)-INDEX('D Fleet'!$J$5:$J$36,INT(($B49/F$4))+1)),0)</f>
        <v/>
      </c>
      <c r="G49" s="261">
        <f>IFERROR(INDEX('D Fleet'!$C$5:$C$63,MATCH(G$3-$B49,'D Fleet'!$B$5:$B$63,0)),0)*IFERROR(INDEX('D Fleet'!$J$5:$J$36,INT(($B49/G$4))+1)+(($B49/G$4)-INT(($B49/G$4)))*(INDEX('D Fleet'!$J$5:$J$36,INT(($B49/G$4))+2)-INDEX('D Fleet'!$J$5:$J$36,INT(($B49/G$4))+1)),0)</f>
        <v/>
      </c>
      <c r="H49" s="261">
        <f>IFERROR(INDEX('D Fleet'!$C$5:$C$63,MATCH(H$3-$B49,'D Fleet'!$B$5:$B$63,0)),0)*IFERROR(INDEX('D Fleet'!$J$5:$J$36,INT(($B49/H$4))+1)+(($B49/H$4)-INT(($B49/H$4)))*(INDEX('D Fleet'!$J$5:$J$36,INT(($B49/H$4))+2)-INDEX('D Fleet'!$J$5:$J$36,INT(($B49/H$4))+1)),0)</f>
        <v/>
      </c>
      <c r="I49" s="261">
        <f>IFERROR(INDEX('D Fleet'!$C$5:$C$63,MATCH(I$3-$B49,'D Fleet'!$B$5:$B$63,0)),0)*IFERROR(INDEX('D Fleet'!$J$5:$J$36,INT(($B49/I$4))+1)+(($B49/I$4)-INT(($B49/I$4)))*(INDEX('D Fleet'!$J$5:$J$36,INT(($B49/I$4))+2)-INDEX('D Fleet'!$J$5:$J$36,INT(($B49/I$4))+1)),0)</f>
        <v/>
      </c>
      <c r="J49" s="261">
        <f>IFERROR(INDEX('D Fleet'!$C$5:$C$63,MATCH(J$3-$B49,'D Fleet'!$B$5:$B$63,0)),0)*IFERROR(INDEX('D Fleet'!$J$5:$J$36,INT(($B49/J$4))+1)+(($B49/J$4)-INT(($B49/J$4)))*(INDEX('D Fleet'!$J$5:$J$36,INT(($B49/J$4))+2)-INDEX('D Fleet'!$J$5:$J$36,INT(($B49/J$4))+1)),0)</f>
        <v/>
      </c>
      <c r="K49" s="261">
        <f>IFERROR(INDEX('D Fleet'!$C$5:$C$63,MATCH(K$3-$B49,'D Fleet'!$B$5:$B$63,0)),0)*IFERROR(INDEX('D Fleet'!$J$5:$J$36,INT(($B49/K$4))+1)+(($B49/K$4)-INT(($B49/K$4)))*(INDEX('D Fleet'!$J$5:$J$36,INT(($B49/K$4))+2)-INDEX('D Fleet'!$J$5:$J$36,INT(($B49/K$4))+1)),0)</f>
        <v/>
      </c>
      <c r="L49" s="261">
        <f>IFERROR(INDEX('D Fleet'!$C$5:$C$63,MATCH(L$3-$B49,'D Fleet'!$B$5:$B$63,0)),0)*IFERROR(INDEX('D Fleet'!$J$5:$J$36,INT(($B49/L$4))+1)+(($B49/L$4)-INT(($B49/L$4)))*(INDEX('D Fleet'!$J$5:$J$36,INT(($B49/L$4))+2)-INDEX('D Fleet'!$J$5:$J$36,INT(($B49/L$4))+1)),0)</f>
        <v/>
      </c>
      <c r="M49" s="261">
        <f>IFERROR(INDEX('D Fleet'!$C$5:$C$63,MATCH(M$3-$B49,'D Fleet'!$B$5:$B$63,0)),0)*IFERROR(INDEX('D Fleet'!$J$5:$J$36,INT(($B49/M$4))+1)+(($B49/M$4)-INT(($B49/M$4)))*(INDEX('D Fleet'!$J$5:$J$36,INT(($B49/M$4))+2)-INDEX('D Fleet'!$J$5:$J$36,INT(($B49/M$4))+1)),0)</f>
        <v/>
      </c>
      <c r="N49" s="261">
        <f>IFERROR(INDEX('D Fleet'!$C$5:$C$63,MATCH(N$3-$B49,'D Fleet'!$B$5:$B$63,0)),0)*IFERROR(INDEX('D Fleet'!$J$5:$J$36,INT(($B49/N$4))+1)+(($B49/N$4)-INT(($B49/N$4)))*(INDEX('D Fleet'!$J$5:$J$36,INT(($B49/N$4))+2)-INDEX('D Fleet'!$J$5:$J$36,INT(($B49/N$4))+1)),0)</f>
        <v/>
      </c>
      <c r="P49" s="261">
        <f>E49*$D49*'E1 Fleet'!$D$97</f>
        <v/>
      </c>
      <c r="Q49" s="261">
        <f>F49*$D49*'E1 Fleet'!$D$97</f>
        <v/>
      </c>
      <c r="R49" s="261">
        <f>G49*$D49*'E1 Fleet'!$D$97</f>
        <v/>
      </c>
      <c r="S49" s="261">
        <f>H49*$D49*'E1 Fleet'!$D$97</f>
        <v/>
      </c>
      <c r="T49" s="261">
        <f>I49*$D49*'E1 Fleet'!$D$97</f>
        <v/>
      </c>
      <c r="U49" s="261">
        <f>J49*$D49*'E1 Fleet'!$D$97</f>
        <v/>
      </c>
      <c r="V49" s="261">
        <f>K49*$D49*'E1 Fleet'!$D$97</f>
        <v/>
      </c>
      <c r="W49" s="261">
        <f>L49*$D49*'E1 Fleet'!$D$97</f>
        <v/>
      </c>
      <c r="X49" s="261">
        <f>M49*$D49*'E1 Fleet'!$D$97</f>
        <v/>
      </c>
      <c r="Y49" s="261">
        <f>N49*$D49*'E1 Fleet'!$D$97</f>
        <v/>
      </c>
    </row>
    <row r="50">
      <c r="A50" t="inlineStr">
        <is>
          <t>Car</t>
        </is>
      </c>
      <c r="B50" s="331" t="n">
        <v>43</v>
      </c>
      <c r="C50" s="331" t="n">
        <v>3</v>
      </c>
      <c r="D50" s="266">
        <f>IF($B50=0,'E1 Fleet'!$D$93,1)*EXP(-'E1 Fleet'!$D$94*MAX($B50-6,0))</f>
        <v/>
      </c>
      <c r="E50" s="261">
        <f>IFERROR(INDEX('D Fleet'!$C$5:$C$63,MATCH(E$3-$B50,'D Fleet'!$B$5:$B$63,0)),0)*IFERROR(INDEX('D Fleet'!$J$5:$J$36,INT(($B50/E$4))+1)+(($B50/E$4)-INT(($B50/E$4)))*(INDEX('D Fleet'!$J$5:$J$36,INT(($B50/E$4))+2)-INDEX('D Fleet'!$J$5:$J$36,INT(($B50/E$4))+1)),0)</f>
        <v/>
      </c>
      <c r="F50" s="261">
        <f>IFERROR(INDEX('D Fleet'!$C$5:$C$63,MATCH(F$3-$B50,'D Fleet'!$B$5:$B$63,0)),0)*IFERROR(INDEX('D Fleet'!$J$5:$J$36,INT(($B50/F$4))+1)+(($B50/F$4)-INT(($B50/F$4)))*(INDEX('D Fleet'!$J$5:$J$36,INT(($B50/F$4))+2)-INDEX('D Fleet'!$J$5:$J$36,INT(($B50/F$4))+1)),0)</f>
        <v/>
      </c>
      <c r="G50" s="261">
        <f>IFERROR(INDEX('D Fleet'!$C$5:$C$63,MATCH(G$3-$B50,'D Fleet'!$B$5:$B$63,0)),0)*IFERROR(INDEX('D Fleet'!$J$5:$J$36,INT(($B50/G$4))+1)+(($B50/G$4)-INT(($B50/G$4)))*(INDEX('D Fleet'!$J$5:$J$36,INT(($B50/G$4))+2)-INDEX('D Fleet'!$J$5:$J$36,INT(($B50/G$4))+1)),0)</f>
        <v/>
      </c>
      <c r="H50" s="261">
        <f>IFERROR(INDEX('D Fleet'!$C$5:$C$63,MATCH(H$3-$B50,'D Fleet'!$B$5:$B$63,0)),0)*IFERROR(INDEX('D Fleet'!$J$5:$J$36,INT(($B50/H$4))+1)+(($B50/H$4)-INT(($B50/H$4)))*(INDEX('D Fleet'!$J$5:$J$36,INT(($B50/H$4))+2)-INDEX('D Fleet'!$J$5:$J$36,INT(($B50/H$4))+1)),0)</f>
        <v/>
      </c>
      <c r="I50" s="261">
        <f>IFERROR(INDEX('D Fleet'!$C$5:$C$63,MATCH(I$3-$B50,'D Fleet'!$B$5:$B$63,0)),0)*IFERROR(INDEX('D Fleet'!$J$5:$J$36,INT(($B50/I$4))+1)+(($B50/I$4)-INT(($B50/I$4)))*(INDEX('D Fleet'!$J$5:$J$36,INT(($B50/I$4))+2)-INDEX('D Fleet'!$J$5:$J$36,INT(($B50/I$4))+1)),0)</f>
        <v/>
      </c>
      <c r="J50" s="261">
        <f>IFERROR(INDEX('D Fleet'!$C$5:$C$63,MATCH(J$3-$B50,'D Fleet'!$B$5:$B$63,0)),0)*IFERROR(INDEX('D Fleet'!$J$5:$J$36,INT(($B50/J$4))+1)+(($B50/J$4)-INT(($B50/J$4)))*(INDEX('D Fleet'!$J$5:$J$36,INT(($B50/J$4))+2)-INDEX('D Fleet'!$J$5:$J$36,INT(($B50/J$4))+1)),0)</f>
        <v/>
      </c>
      <c r="K50" s="261">
        <f>IFERROR(INDEX('D Fleet'!$C$5:$C$63,MATCH(K$3-$B50,'D Fleet'!$B$5:$B$63,0)),0)*IFERROR(INDEX('D Fleet'!$J$5:$J$36,INT(($B50/K$4))+1)+(($B50/K$4)-INT(($B50/K$4)))*(INDEX('D Fleet'!$J$5:$J$36,INT(($B50/K$4))+2)-INDEX('D Fleet'!$J$5:$J$36,INT(($B50/K$4))+1)),0)</f>
        <v/>
      </c>
      <c r="L50" s="261">
        <f>IFERROR(INDEX('D Fleet'!$C$5:$C$63,MATCH(L$3-$B50,'D Fleet'!$B$5:$B$63,0)),0)*IFERROR(INDEX('D Fleet'!$J$5:$J$36,INT(($B50/L$4))+1)+(($B50/L$4)-INT(($B50/L$4)))*(INDEX('D Fleet'!$J$5:$J$36,INT(($B50/L$4))+2)-INDEX('D Fleet'!$J$5:$J$36,INT(($B50/L$4))+1)),0)</f>
        <v/>
      </c>
      <c r="M50" s="261">
        <f>IFERROR(INDEX('D Fleet'!$C$5:$C$63,MATCH(M$3-$B50,'D Fleet'!$B$5:$B$63,0)),0)*IFERROR(INDEX('D Fleet'!$J$5:$J$36,INT(($B50/M$4))+1)+(($B50/M$4)-INT(($B50/M$4)))*(INDEX('D Fleet'!$J$5:$J$36,INT(($B50/M$4))+2)-INDEX('D Fleet'!$J$5:$J$36,INT(($B50/M$4))+1)),0)</f>
        <v/>
      </c>
      <c r="N50" s="261">
        <f>IFERROR(INDEX('D Fleet'!$C$5:$C$63,MATCH(N$3-$B50,'D Fleet'!$B$5:$B$63,0)),0)*IFERROR(INDEX('D Fleet'!$J$5:$J$36,INT(($B50/N$4))+1)+(($B50/N$4)-INT(($B50/N$4)))*(INDEX('D Fleet'!$J$5:$J$36,INT(($B50/N$4))+2)-INDEX('D Fleet'!$J$5:$J$36,INT(($B50/N$4))+1)),0)</f>
        <v/>
      </c>
      <c r="P50" s="261">
        <f>E50*$D50*'E1 Fleet'!$D$97</f>
        <v/>
      </c>
      <c r="Q50" s="261">
        <f>F50*$D50*'E1 Fleet'!$D$97</f>
        <v/>
      </c>
      <c r="R50" s="261">
        <f>G50*$D50*'E1 Fleet'!$D$97</f>
        <v/>
      </c>
      <c r="S50" s="261">
        <f>H50*$D50*'E1 Fleet'!$D$97</f>
        <v/>
      </c>
      <c r="T50" s="261">
        <f>I50*$D50*'E1 Fleet'!$D$97</f>
        <v/>
      </c>
      <c r="U50" s="261">
        <f>J50*$D50*'E1 Fleet'!$D$97</f>
        <v/>
      </c>
      <c r="V50" s="261">
        <f>K50*$D50*'E1 Fleet'!$D$97</f>
        <v/>
      </c>
      <c r="W50" s="261">
        <f>L50*$D50*'E1 Fleet'!$D$97</f>
        <v/>
      </c>
      <c r="X50" s="261">
        <f>M50*$D50*'E1 Fleet'!$D$97</f>
        <v/>
      </c>
      <c r="Y50" s="261">
        <f>N50*$D50*'E1 Fleet'!$D$97</f>
        <v/>
      </c>
    </row>
    <row r="51">
      <c r="A51" t="inlineStr">
        <is>
          <t>Car</t>
        </is>
      </c>
      <c r="B51" s="331" t="n">
        <v>44</v>
      </c>
      <c r="C51" s="331" t="n">
        <v>3</v>
      </c>
      <c r="D51" s="266">
        <f>IF($B51=0,'E1 Fleet'!$D$93,1)*EXP(-'E1 Fleet'!$D$94*MAX($B51-6,0))</f>
        <v/>
      </c>
      <c r="E51" s="261">
        <f>IFERROR(INDEX('D Fleet'!$C$5:$C$63,MATCH(E$3-$B51,'D Fleet'!$B$5:$B$63,0)),0)*IFERROR(INDEX('D Fleet'!$J$5:$J$36,INT(($B51/E$4))+1)+(($B51/E$4)-INT(($B51/E$4)))*(INDEX('D Fleet'!$J$5:$J$36,INT(($B51/E$4))+2)-INDEX('D Fleet'!$J$5:$J$36,INT(($B51/E$4))+1)),0)</f>
        <v/>
      </c>
      <c r="F51" s="261">
        <f>IFERROR(INDEX('D Fleet'!$C$5:$C$63,MATCH(F$3-$B51,'D Fleet'!$B$5:$B$63,0)),0)*IFERROR(INDEX('D Fleet'!$J$5:$J$36,INT(($B51/F$4))+1)+(($B51/F$4)-INT(($B51/F$4)))*(INDEX('D Fleet'!$J$5:$J$36,INT(($B51/F$4))+2)-INDEX('D Fleet'!$J$5:$J$36,INT(($B51/F$4))+1)),0)</f>
        <v/>
      </c>
      <c r="G51" s="261">
        <f>IFERROR(INDEX('D Fleet'!$C$5:$C$63,MATCH(G$3-$B51,'D Fleet'!$B$5:$B$63,0)),0)*IFERROR(INDEX('D Fleet'!$J$5:$J$36,INT(($B51/G$4))+1)+(($B51/G$4)-INT(($B51/G$4)))*(INDEX('D Fleet'!$J$5:$J$36,INT(($B51/G$4))+2)-INDEX('D Fleet'!$J$5:$J$36,INT(($B51/G$4))+1)),0)</f>
        <v/>
      </c>
      <c r="H51" s="261">
        <f>IFERROR(INDEX('D Fleet'!$C$5:$C$63,MATCH(H$3-$B51,'D Fleet'!$B$5:$B$63,0)),0)*IFERROR(INDEX('D Fleet'!$J$5:$J$36,INT(($B51/H$4))+1)+(($B51/H$4)-INT(($B51/H$4)))*(INDEX('D Fleet'!$J$5:$J$36,INT(($B51/H$4))+2)-INDEX('D Fleet'!$J$5:$J$36,INT(($B51/H$4))+1)),0)</f>
        <v/>
      </c>
      <c r="I51" s="261">
        <f>IFERROR(INDEX('D Fleet'!$C$5:$C$63,MATCH(I$3-$B51,'D Fleet'!$B$5:$B$63,0)),0)*IFERROR(INDEX('D Fleet'!$J$5:$J$36,INT(($B51/I$4))+1)+(($B51/I$4)-INT(($B51/I$4)))*(INDEX('D Fleet'!$J$5:$J$36,INT(($B51/I$4))+2)-INDEX('D Fleet'!$J$5:$J$36,INT(($B51/I$4))+1)),0)</f>
        <v/>
      </c>
      <c r="J51" s="261">
        <f>IFERROR(INDEX('D Fleet'!$C$5:$C$63,MATCH(J$3-$B51,'D Fleet'!$B$5:$B$63,0)),0)*IFERROR(INDEX('D Fleet'!$J$5:$J$36,INT(($B51/J$4))+1)+(($B51/J$4)-INT(($B51/J$4)))*(INDEX('D Fleet'!$J$5:$J$36,INT(($B51/J$4))+2)-INDEX('D Fleet'!$J$5:$J$36,INT(($B51/J$4))+1)),0)</f>
        <v/>
      </c>
      <c r="K51" s="261">
        <f>IFERROR(INDEX('D Fleet'!$C$5:$C$63,MATCH(K$3-$B51,'D Fleet'!$B$5:$B$63,0)),0)*IFERROR(INDEX('D Fleet'!$J$5:$J$36,INT(($B51/K$4))+1)+(($B51/K$4)-INT(($B51/K$4)))*(INDEX('D Fleet'!$J$5:$J$36,INT(($B51/K$4))+2)-INDEX('D Fleet'!$J$5:$J$36,INT(($B51/K$4))+1)),0)</f>
        <v/>
      </c>
      <c r="L51" s="261">
        <f>IFERROR(INDEX('D Fleet'!$C$5:$C$63,MATCH(L$3-$B51,'D Fleet'!$B$5:$B$63,0)),0)*IFERROR(INDEX('D Fleet'!$J$5:$J$36,INT(($B51/L$4))+1)+(($B51/L$4)-INT(($B51/L$4)))*(INDEX('D Fleet'!$J$5:$J$36,INT(($B51/L$4))+2)-INDEX('D Fleet'!$J$5:$J$36,INT(($B51/L$4))+1)),0)</f>
        <v/>
      </c>
      <c r="M51" s="261">
        <f>IFERROR(INDEX('D Fleet'!$C$5:$C$63,MATCH(M$3-$B51,'D Fleet'!$B$5:$B$63,0)),0)*IFERROR(INDEX('D Fleet'!$J$5:$J$36,INT(($B51/M$4))+1)+(($B51/M$4)-INT(($B51/M$4)))*(INDEX('D Fleet'!$J$5:$J$36,INT(($B51/M$4))+2)-INDEX('D Fleet'!$J$5:$J$36,INT(($B51/M$4))+1)),0)</f>
        <v/>
      </c>
      <c r="N51" s="261">
        <f>IFERROR(INDEX('D Fleet'!$C$5:$C$63,MATCH(N$3-$B51,'D Fleet'!$B$5:$B$63,0)),0)*IFERROR(INDEX('D Fleet'!$J$5:$J$36,INT(($B51/N$4))+1)+(($B51/N$4)-INT(($B51/N$4)))*(INDEX('D Fleet'!$J$5:$J$36,INT(($B51/N$4))+2)-INDEX('D Fleet'!$J$5:$J$36,INT(($B51/N$4))+1)),0)</f>
        <v/>
      </c>
      <c r="P51" s="261">
        <f>E51*$D51*'E1 Fleet'!$D$97</f>
        <v/>
      </c>
      <c r="Q51" s="261">
        <f>F51*$D51*'E1 Fleet'!$D$97</f>
        <v/>
      </c>
      <c r="R51" s="261">
        <f>G51*$D51*'E1 Fleet'!$D$97</f>
        <v/>
      </c>
      <c r="S51" s="261">
        <f>H51*$D51*'E1 Fleet'!$D$97</f>
        <v/>
      </c>
      <c r="T51" s="261">
        <f>I51*$D51*'E1 Fleet'!$D$97</f>
        <v/>
      </c>
      <c r="U51" s="261">
        <f>J51*$D51*'E1 Fleet'!$D$97</f>
        <v/>
      </c>
      <c r="V51" s="261">
        <f>K51*$D51*'E1 Fleet'!$D$97</f>
        <v/>
      </c>
      <c r="W51" s="261">
        <f>L51*$D51*'E1 Fleet'!$D$97</f>
        <v/>
      </c>
      <c r="X51" s="261">
        <f>M51*$D51*'E1 Fleet'!$D$97</f>
        <v/>
      </c>
      <c r="Y51" s="261">
        <f>N51*$D51*'E1 Fleet'!$D$97</f>
        <v/>
      </c>
    </row>
    <row r="52">
      <c r="A52" t="inlineStr">
        <is>
          <t>Car</t>
        </is>
      </c>
      <c r="B52" s="331" t="n">
        <v>45</v>
      </c>
      <c r="C52" s="331" t="n">
        <v>3</v>
      </c>
      <c r="D52" s="266">
        <f>IF($B52=0,'E1 Fleet'!$D$93,1)*EXP(-'E1 Fleet'!$D$94*MAX($B52-6,0))</f>
        <v/>
      </c>
      <c r="E52" s="261">
        <f>IFERROR(INDEX('D Fleet'!$C$5:$C$63,MATCH(E$3-$B52,'D Fleet'!$B$5:$B$63,0)),0)*IFERROR(INDEX('D Fleet'!$J$5:$J$36,INT(($B52/E$4))+1)+(($B52/E$4)-INT(($B52/E$4)))*(INDEX('D Fleet'!$J$5:$J$36,INT(($B52/E$4))+2)-INDEX('D Fleet'!$J$5:$J$36,INT(($B52/E$4))+1)),0)</f>
        <v/>
      </c>
      <c r="F52" s="261">
        <f>IFERROR(INDEX('D Fleet'!$C$5:$C$63,MATCH(F$3-$B52,'D Fleet'!$B$5:$B$63,0)),0)*IFERROR(INDEX('D Fleet'!$J$5:$J$36,INT(($B52/F$4))+1)+(($B52/F$4)-INT(($B52/F$4)))*(INDEX('D Fleet'!$J$5:$J$36,INT(($B52/F$4))+2)-INDEX('D Fleet'!$J$5:$J$36,INT(($B52/F$4))+1)),0)</f>
        <v/>
      </c>
      <c r="G52" s="261">
        <f>IFERROR(INDEX('D Fleet'!$C$5:$C$63,MATCH(G$3-$B52,'D Fleet'!$B$5:$B$63,0)),0)*IFERROR(INDEX('D Fleet'!$J$5:$J$36,INT(($B52/G$4))+1)+(($B52/G$4)-INT(($B52/G$4)))*(INDEX('D Fleet'!$J$5:$J$36,INT(($B52/G$4))+2)-INDEX('D Fleet'!$J$5:$J$36,INT(($B52/G$4))+1)),0)</f>
        <v/>
      </c>
      <c r="H52" s="261">
        <f>IFERROR(INDEX('D Fleet'!$C$5:$C$63,MATCH(H$3-$B52,'D Fleet'!$B$5:$B$63,0)),0)*IFERROR(INDEX('D Fleet'!$J$5:$J$36,INT(($B52/H$4))+1)+(($B52/H$4)-INT(($B52/H$4)))*(INDEX('D Fleet'!$J$5:$J$36,INT(($B52/H$4))+2)-INDEX('D Fleet'!$J$5:$J$36,INT(($B52/H$4))+1)),0)</f>
        <v/>
      </c>
      <c r="I52" s="261">
        <f>IFERROR(INDEX('D Fleet'!$C$5:$C$63,MATCH(I$3-$B52,'D Fleet'!$B$5:$B$63,0)),0)*IFERROR(INDEX('D Fleet'!$J$5:$J$36,INT(($B52/I$4))+1)+(($B52/I$4)-INT(($B52/I$4)))*(INDEX('D Fleet'!$J$5:$J$36,INT(($B52/I$4))+2)-INDEX('D Fleet'!$J$5:$J$36,INT(($B52/I$4))+1)),0)</f>
        <v/>
      </c>
      <c r="J52" s="261">
        <f>IFERROR(INDEX('D Fleet'!$C$5:$C$63,MATCH(J$3-$B52,'D Fleet'!$B$5:$B$63,0)),0)*IFERROR(INDEX('D Fleet'!$J$5:$J$36,INT(($B52/J$4))+1)+(($B52/J$4)-INT(($B52/J$4)))*(INDEX('D Fleet'!$J$5:$J$36,INT(($B52/J$4))+2)-INDEX('D Fleet'!$J$5:$J$36,INT(($B52/J$4))+1)),0)</f>
        <v/>
      </c>
      <c r="K52" s="261">
        <f>IFERROR(INDEX('D Fleet'!$C$5:$C$63,MATCH(K$3-$B52,'D Fleet'!$B$5:$B$63,0)),0)*IFERROR(INDEX('D Fleet'!$J$5:$J$36,INT(($B52/K$4))+1)+(($B52/K$4)-INT(($B52/K$4)))*(INDEX('D Fleet'!$J$5:$J$36,INT(($B52/K$4))+2)-INDEX('D Fleet'!$J$5:$J$36,INT(($B52/K$4))+1)),0)</f>
        <v/>
      </c>
      <c r="L52" s="261">
        <f>IFERROR(INDEX('D Fleet'!$C$5:$C$63,MATCH(L$3-$B52,'D Fleet'!$B$5:$B$63,0)),0)*IFERROR(INDEX('D Fleet'!$J$5:$J$36,INT(($B52/L$4))+1)+(($B52/L$4)-INT(($B52/L$4)))*(INDEX('D Fleet'!$J$5:$J$36,INT(($B52/L$4))+2)-INDEX('D Fleet'!$J$5:$J$36,INT(($B52/L$4))+1)),0)</f>
        <v/>
      </c>
      <c r="M52" s="261">
        <f>IFERROR(INDEX('D Fleet'!$C$5:$C$63,MATCH(M$3-$B52,'D Fleet'!$B$5:$B$63,0)),0)*IFERROR(INDEX('D Fleet'!$J$5:$J$36,INT(($B52/M$4))+1)+(($B52/M$4)-INT(($B52/M$4)))*(INDEX('D Fleet'!$J$5:$J$36,INT(($B52/M$4))+2)-INDEX('D Fleet'!$J$5:$J$36,INT(($B52/M$4))+1)),0)</f>
        <v/>
      </c>
      <c r="N52" s="261">
        <f>IFERROR(INDEX('D Fleet'!$C$5:$C$63,MATCH(N$3-$B52,'D Fleet'!$B$5:$B$63,0)),0)*IFERROR(INDEX('D Fleet'!$J$5:$J$36,INT(($B52/N$4))+1)+(($B52/N$4)-INT(($B52/N$4)))*(INDEX('D Fleet'!$J$5:$J$36,INT(($B52/N$4))+2)-INDEX('D Fleet'!$J$5:$J$36,INT(($B52/N$4))+1)),0)</f>
        <v/>
      </c>
      <c r="P52" s="261">
        <f>E52*$D52*'E1 Fleet'!$D$97</f>
        <v/>
      </c>
      <c r="Q52" s="261">
        <f>F52*$D52*'E1 Fleet'!$D$97</f>
        <v/>
      </c>
      <c r="R52" s="261">
        <f>G52*$D52*'E1 Fleet'!$D$97</f>
        <v/>
      </c>
      <c r="S52" s="261">
        <f>H52*$D52*'E1 Fleet'!$D$97</f>
        <v/>
      </c>
      <c r="T52" s="261">
        <f>I52*$D52*'E1 Fleet'!$D$97</f>
        <v/>
      </c>
      <c r="U52" s="261">
        <f>J52*$D52*'E1 Fleet'!$D$97</f>
        <v/>
      </c>
      <c r="V52" s="261">
        <f>K52*$D52*'E1 Fleet'!$D$97</f>
        <v/>
      </c>
      <c r="W52" s="261">
        <f>L52*$D52*'E1 Fleet'!$D$97</f>
        <v/>
      </c>
      <c r="X52" s="261">
        <f>M52*$D52*'E1 Fleet'!$D$97</f>
        <v/>
      </c>
      <c r="Y52" s="261">
        <f>N52*$D52*'E1 Fleet'!$D$97</f>
        <v/>
      </c>
    </row>
    <row r="53">
      <c r="A53" t="inlineStr">
        <is>
          <t>SUV</t>
        </is>
      </c>
      <c r="B53" s="331" t="n">
        <v>0</v>
      </c>
      <c r="C53" s="331" t="n">
        <v>0</v>
      </c>
      <c r="D53" s="266">
        <f>IF($B53=0,'E1 Fleet'!$D$93,1)*EXP(-'E1 Fleet'!$D$94*MAX($B53-6,0))</f>
        <v/>
      </c>
      <c r="E53" s="261">
        <f>IFERROR(INDEX('D Fleet'!$D$5:$D$63,MATCH(E$3-$B53,'D Fleet'!$B$5:$B$63,0)),0)*IFERROR(INDEX('D Fleet'!$K$5:$K$36,INT(($B53/E$5))+1)+(($B53/E$5)-INT(($B53/E$5)))*(INDEX('D Fleet'!$K$5:$K$36,INT(($B53/E$5))+2)-INDEX('D Fleet'!$K$5:$K$36,INT(($B53/E$5))+1)),0)</f>
        <v/>
      </c>
      <c r="F53" s="261">
        <f>IFERROR(INDEX('D Fleet'!$D$5:$D$63,MATCH(F$3-$B53,'D Fleet'!$B$5:$B$63,0)),0)*IFERROR(INDEX('D Fleet'!$K$5:$K$36,INT(($B53/F$5))+1)+(($B53/F$5)-INT(($B53/F$5)))*(INDEX('D Fleet'!$K$5:$K$36,INT(($B53/F$5))+2)-INDEX('D Fleet'!$K$5:$K$36,INT(($B53/F$5))+1)),0)</f>
        <v/>
      </c>
      <c r="G53" s="261">
        <f>IFERROR(INDEX('D Fleet'!$D$5:$D$63,MATCH(G$3-$B53,'D Fleet'!$B$5:$B$63,0)),0)*IFERROR(INDEX('D Fleet'!$K$5:$K$36,INT(($B53/G$5))+1)+(($B53/G$5)-INT(($B53/G$5)))*(INDEX('D Fleet'!$K$5:$K$36,INT(($B53/G$5))+2)-INDEX('D Fleet'!$K$5:$K$36,INT(($B53/G$5))+1)),0)</f>
        <v/>
      </c>
      <c r="H53" s="261">
        <f>IFERROR(INDEX('D Fleet'!$D$5:$D$63,MATCH(H$3-$B53,'D Fleet'!$B$5:$B$63,0)),0)*IFERROR(INDEX('D Fleet'!$K$5:$K$36,INT(($B53/H$5))+1)+(($B53/H$5)-INT(($B53/H$5)))*(INDEX('D Fleet'!$K$5:$K$36,INT(($B53/H$5))+2)-INDEX('D Fleet'!$K$5:$K$36,INT(($B53/H$5))+1)),0)</f>
        <v/>
      </c>
      <c r="I53" s="261">
        <f>IFERROR(INDEX('D Fleet'!$D$5:$D$63,MATCH(I$3-$B53,'D Fleet'!$B$5:$B$63,0)),0)*IFERROR(INDEX('D Fleet'!$K$5:$K$36,INT(($B53/I$5))+1)+(($B53/I$5)-INT(($B53/I$5)))*(INDEX('D Fleet'!$K$5:$K$36,INT(($B53/I$5))+2)-INDEX('D Fleet'!$K$5:$K$36,INT(($B53/I$5))+1)),0)</f>
        <v/>
      </c>
      <c r="J53" s="261">
        <f>IFERROR(INDEX('D Fleet'!$D$5:$D$63,MATCH(J$3-$B53,'D Fleet'!$B$5:$B$63,0)),0)*IFERROR(INDEX('D Fleet'!$K$5:$K$36,INT(($B53/J$5))+1)+(($B53/J$5)-INT(($B53/J$5)))*(INDEX('D Fleet'!$K$5:$K$36,INT(($B53/J$5))+2)-INDEX('D Fleet'!$K$5:$K$36,INT(($B53/J$5))+1)),0)</f>
        <v/>
      </c>
      <c r="K53" s="261">
        <f>IFERROR(INDEX('D Fleet'!$D$5:$D$63,MATCH(K$3-$B53,'D Fleet'!$B$5:$B$63,0)),0)*IFERROR(INDEX('D Fleet'!$K$5:$K$36,INT(($B53/K$5))+1)+(($B53/K$5)-INT(($B53/K$5)))*(INDEX('D Fleet'!$K$5:$K$36,INT(($B53/K$5))+2)-INDEX('D Fleet'!$K$5:$K$36,INT(($B53/K$5))+1)),0)</f>
        <v/>
      </c>
      <c r="L53" s="261">
        <f>IFERROR(INDEX('D Fleet'!$D$5:$D$63,MATCH(L$3-$B53,'D Fleet'!$B$5:$B$63,0)),0)*IFERROR(INDEX('D Fleet'!$K$5:$K$36,INT(($B53/L$5))+1)+(($B53/L$5)-INT(($B53/L$5)))*(INDEX('D Fleet'!$K$5:$K$36,INT(($B53/L$5))+2)-INDEX('D Fleet'!$K$5:$K$36,INT(($B53/L$5))+1)),0)</f>
        <v/>
      </c>
      <c r="M53" s="261">
        <f>IFERROR(INDEX('D Fleet'!$D$5:$D$63,MATCH(M$3-$B53,'D Fleet'!$B$5:$B$63,0)),0)*IFERROR(INDEX('D Fleet'!$K$5:$K$36,INT(($B53/M$5))+1)+(($B53/M$5)-INT(($B53/M$5)))*(INDEX('D Fleet'!$K$5:$K$36,INT(($B53/M$5))+2)-INDEX('D Fleet'!$K$5:$K$36,INT(($B53/M$5))+1)),0)</f>
        <v/>
      </c>
      <c r="N53" s="261">
        <f>IFERROR(INDEX('D Fleet'!$D$5:$D$63,MATCH(N$3-$B53,'D Fleet'!$B$5:$B$63,0)),0)*IFERROR(INDEX('D Fleet'!$K$5:$K$36,INT(($B53/N$5))+1)+(($B53/N$5)-INT(($B53/N$5)))*(INDEX('D Fleet'!$K$5:$K$36,INT(($B53/N$5))+2)-INDEX('D Fleet'!$K$5:$K$36,INT(($B53/N$5))+1)),0)</f>
        <v/>
      </c>
      <c r="P53" s="261">
        <f>E53*$D53*'E1 Fleet'!$D$98</f>
        <v/>
      </c>
      <c r="Q53" s="261">
        <f>F53*$D53*'E1 Fleet'!$D$98</f>
        <v/>
      </c>
      <c r="R53" s="261">
        <f>G53*$D53*'E1 Fleet'!$D$98</f>
        <v/>
      </c>
      <c r="S53" s="261">
        <f>H53*$D53*'E1 Fleet'!$D$98</f>
        <v/>
      </c>
      <c r="T53" s="261">
        <f>I53*$D53*'E1 Fleet'!$D$98</f>
        <v/>
      </c>
      <c r="U53" s="261">
        <f>J53*$D53*'E1 Fleet'!$D$98</f>
        <v/>
      </c>
      <c r="V53" s="261">
        <f>K53*$D53*'E1 Fleet'!$D$98</f>
        <v/>
      </c>
      <c r="W53" s="261">
        <f>L53*$D53*'E1 Fleet'!$D$98</f>
        <v/>
      </c>
      <c r="X53" s="261">
        <f>M53*$D53*'E1 Fleet'!$D$98</f>
        <v/>
      </c>
      <c r="Y53" s="261">
        <f>N53*$D53*'E1 Fleet'!$D$98</f>
        <v/>
      </c>
    </row>
    <row r="54">
      <c r="A54" t="inlineStr">
        <is>
          <t>SUV</t>
        </is>
      </c>
      <c r="B54" s="331" t="n">
        <v>1</v>
      </c>
      <c r="C54" s="331" t="n">
        <v>1</v>
      </c>
      <c r="D54" s="266">
        <f>IF($B54=0,'E1 Fleet'!$D$93,1)*EXP(-'E1 Fleet'!$D$94*MAX($B54-6,0))</f>
        <v/>
      </c>
      <c r="E54" s="261">
        <f>IFERROR(INDEX('D Fleet'!$D$5:$D$63,MATCH(E$3-$B54,'D Fleet'!$B$5:$B$63,0)),0)*IFERROR(INDEX('D Fleet'!$K$5:$K$36,INT(($B54/E$5))+1)+(($B54/E$5)-INT(($B54/E$5)))*(INDEX('D Fleet'!$K$5:$K$36,INT(($B54/E$5))+2)-INDEX('D Fleet'!$K$5:$K$36,INT(($B54/E$5))+1)),0)</f>
        <v/>
      </c>
      <c r="F54" s="261">
        <f>IFERROR(INDEX('D Fleet'!$D$5:$D$63,MATCH(F$3-$B54,'D Fleet'!$B$5:$B$63,0)),0)*IFERROR(INDEX('D Fleet'!$K$5:$K$36,INT(($B54/F$5))+1)+(($B54/F$5)-INT(($B54/F$5)))*(INDEX('D Fleet'!$K$5:$K$36,INT(($B54/F$5))+2)-INDEX('D Fleet'!$K$5:$K$36,INT(($B54/F$5))+1)),0)</f>
        <v/>
      </c>
      <c r="G54" s="261">
        <f>IFERROR(INDEX('D Fleet'!$D$5:$D$63,MATCH(G$3-$B54,'D Fleet'!$B$5:$B$63,0)),0)*IFERROR(INDEX('D Fleet'!$K$5:$K$36,INT(($B54/G$5))+1)+(($B54/G$5)-INT(($B54/G$5)))*(INDEX('D Fleet'!$K$5:$K$36,INT(($B54/G$5))+2)-INDEX('D Fleet'!$K$5:$K$36,INT(($B54/G$5))+1)),0)</f>
        <v/>
      </c>
      <c r="H54" s="261">
        <f>IFERROR(INDEX('D Fleet'!$D$5:$D$63,MATCH(H$3-$B54,'D Fleet'!$B$5:$B$63,0)),0)*IFERROR(INDEX('D Fleet'!$K$5:$K$36,INT(($B54/H$5))+1)+(($B54/H$5)-INT(($B54/H$5)))*(INDEX('D Fleet'!$K$5:$K$36,INT(($B54/H$5))+2)-INDEX('D Fleet'!$K$5:$K$36,INT(($B54/H$5))+1)),0)</f>
        <v/>
      </c>
      <c r="I54" s="261">
        <f>IFERROR(INDEX('D Fleet'!$D$5:$D$63,MATCH(I$3-$B54,'D Fleet'!$B$5:$B$63,0)),0)*IFERROR(INDEX('D Fleet'!$K$5:$K$36,INT(($B54/I$5))+1)+(($B54/I$5)-INT(($B54/I$5)))*(INDEX('D Fleet'!$K$5:$K$36,INT(($B54/I$5))+2)-INDEX('D Fleet'!$K$5:$K$36,INT(($B54/I$5))+1)),0)</f>
        <v/>
      </c>
      <c r="J54" s="261">
        <f>IFERROR(INDEX('D Fleet'!$D$5:$D$63,MATCH(J$3-$B54,'D Fleet'!$B$5:$B$63,0)),0)*IFERROR(INDEX('D Fleet'!$K$5:$K$36,INT(($B54/J$5))+1)+(($B54/J$5)-INT(($B54/J$5)))*(INDEX('D Fleet'!$K$5:$K$36,INT(($B54/J$5))+2)-INDEX('D Fleet'!$K$5:$K$36,INT(($B54/J$5))+1)),0)</f>
        <v/>
      </c>
      <c r="K54" s="261">
        <f>IFERROR(INDEX('D Fleet'!$D$5:$D$63,MATCH(K$3-$B54,'D Fleet'!$B$5:$B$63,0)),0)*IFERROR(INDEX('D Fleet'!$K$5:$K$36,INT(($B54/K$5))+1)+(($B54/K$5)-INT(($B54/K$5)))*(INDEX('D Fleet'!$K$5:$K$36,INT(($B54/K$5))+2)-INDEX('D Fleet'!$K$5:$K$36,INT(($B54/K$5))+1)),0)</f>
        <v/>
      </c>
      <c r="L54" s="261">
        <f>IFERROR(INDEX('D Fleet'!$D$5:$D$63,MATCH(L$3-$B54,'D Fleet'!$B$5:$B$63,0)),0)*IFERROR(INDEX('D Fleet'!$K$5:$K$36,INT(($B54/L$5))+1)+(($B54/L$5)-INT(($B54/L$5)))*(INDEX('D Fleet'!$K$5:$K$36,INT(($B54/L$5))+2)-INDEX('D Fleet'!$K$5:$K$36,INT(($B54/L$5))+1)),0)</f>
        <v/>
      </c>
      <c r="M54" s="261">
        <f>IFERROR(INDEX('D Fleet'!$D$5:$D$63,MATCH(M$3-$B54,'D Fleet'!$B$5:$B$63,0)),0)*IFERROR(INDEX('D Fleet'!$K$5:$K$36,INT(($B54/M$5))+1)+(($B54/M$5)-INT(($B54/M$5)))*(INDEX('D Fleet'!$K$5:$K$36,INT(($B54/M$5))+2)-INDEX('D Fleet'!$K$5:$K$36,INT(($B54/M$5))+1)),0)</f>
        <v/>
      </c>
      <c r="N54" s="261">
        <f>IFERROR(INDEX('D Fleet'!$D$5:$D$63,MATCH(N$3-$B54,'D Fleet'!$B$5:$B$63,0)),0)*IFERROR(INDEX('D Fleet'!$K$5:$K$36,INT(($B54/N$5))+1)+(($B54/N$5)-INT(($B54/N$5)))*(INDEX('D Fleet'!$K$5:$K$36,INT(($B54/N$5))+2)-INDEX('D Fleet'!$K$5:$K$36,INT(($B54/N$5))+1)),0)</f>
        <v/>
      </c>
      <c r="P54" s="261">
        <f>E54*$D54*'E1 Fleet'!$D$98</f>
        <v/>
      </c>
      <c r="Q54" s="261">
        <f>F54*$D54*'E1 Fleet'!$D$98</f>
        <v/>
      </c>
      <c r="R54" s="261">
        <f>G54*$D54*'E1 Fleet'!$D$98</f>
        <v/>
      </c>
      <c r="S54" s="261">
        <f>H54*$D54*'E1 Fleet'!$D$98</f>
        <v/>
      </c>
      <c r="T54" s="261">
        <f>I54*$D54*'E1 Fleet'!$D$98</f>
        <v/>
      </c>
      <c r="U54" s="261">
        <f>J54*$D54*'E1 Fleet'!$D$98</f>
        <v/>
      </c>
      <c r="V54" s="261">
        <f>K54*$D54*'E1 Fleet'!$D$98</f>
        <v/>
      </c>
      <c r="W54" s="261">
        <f>L54*$D54*'E1 Fleet'!$D$98</f>
        <v/>
      </c>
      <c r="X54" s="261">
        <f>M54*$D54*'E1 Fleet'!$D$98</f>
        <v/>
      </c>
      <c r="Y54" s="261">
        <f>N54*$D54*'E1 Fleet'!$D$98</f>
        <v/>
      </c>
    </row>
    <row r="55">
      <c r="A55" t="inlineStr">
        <is>
          <t>SUV</t>
        </is>
      </c>
      <c r="B55" s="331" t="n">
        <v>2</v>
      </c>
      <c r="C55" s="331" t="n">
        <v>1</v>
      </c>
      <c r="D55" s="266">
        <f>IF($B55=0,'E1 Fleet'!$D$93,1)*EXP(-'E1 Fleet'!$D$94*MAX($B55-6,0))</f>
        <v/>
      </c>
      <c r="E55" s="261">
        <f>IFERROR(INDEX('D Fleet'!$D$5:$D$63,MATCH(E$3-$B55,'D Fleet'!$B$5:$B$63,0)),0)*IFERROR(INDEX('D Fleet'!$K$5:$K$36,INT(($B55/E$5))+1)+(($B55/E$5)-INT(($B55/E$5)))*(INDEX('D Fleet'!$K$5:$K$36,INT(($B55/E$5))+2)-INDEX('D Fleet'!$K$5:$K$36,INT(($B55/E$5))+1)),0)</f>
        <v/>
      </c>
      <c r="F55" s="261">
        <f>IFERROR(INDEX('D Fleet'!$D$5:$D$63,MATCH(F$3-$B55,'D Fleet'!$B$5:$B$63,0)),0)*IFERROR(INDEX('D Fleet'!$K$5:$K$36,INT(($B55/F$5))+1)+(($B55/F$5)-INT(($B55/F$5)))*(INDEX('D Fleet'!$K$5:$K$36,INT(($B55/F$5))+2)-INDEX('D Fleet'!$K$5:$K$36,INT(($B55/F$5))+1)),0)</f>
        <v/>
      </c>
      <c r="G55" s="261">
        <f>IFERROR(INDEX('D Fleet'!$D$5:$D$63,MATCH(G$3-$B55,'D Fleet'!$B$5:$B$63,0)),0)*IFERROR(INDEX('D Fleet'!$K$5:$K$36,INT(($B55/G$5))+1)+(($B55/G$5)-INT(($B55/G$5)))*(INDEX('D Fleet'!$K$5:$K$36,INT(($B55/G$5))+2)-INDEX('D Fleet'!$K$5:$K$36,INT(($B55/G$5))+1)),0)</f>
        <v/>
      </c>
      <c r="H55" s="261">
        <f>IFERROR(INDEX('D Fleet'!$D$5:$D$63,MATCH(H$3-$B55,'D Fleet'!$B$5:$B$63,0)),0)*IFERROR(INDEX('D Fleet'!$K$5:$K$36,INT(($B55/H$5))+1)+(($B55/H$5)-INT(($B55/H$5)))*(INDEX('D Fleet'!$K$5:$K$36,INT(($B55/H$5))+2)-INDEX('D Fleet'!$K$5:$K$36,INT(($B55/H$5))+1)),0)</f>
        <v/>
      </c>
      <c r="I55" s="261">
        <f>IFERROR(INDEX('D Fleet'!$D$5:$D$63,MATCH(I$3-$B55,'D Fleet'!$B$5:$B$63,0)),0)*IFERROR(INDEX('D Fleet'!$K$5:$K$36,INT(($B55/I$5))+1)+(($B55/I$5)-INT(($B55/I$5)))*(INDEX('D Fleet'!$K$5:$K$36,INT(($B55/I$5))+2)-INDEX('D Fleet'!$K$5:$K$36,INT(($B55/I$5))+1)),0)</f>
        <v/>
      </c>
      <c r="J55" s="261">
        <f>IFERROR(INDEX('D Fleet'!$D$5:$D$63,MATCH(J$3-$B55,'D Fleet'!$B$5:$B$63,0)),0)*IFERROR(INDEX('D Fleet'!$K$5:$K$36,INT(($B55/J$5))+1)+(($B55/J$5)-INT(($B55/J$5)))*(INDEX('D Fleet'!$K$5:$K$36,INT(($B55/J$5))+2)-INDEX('D Fleet'!$K$5:$K$36,INT(($B55/J$5))+1)),0)</f>
        <v/>
      </c>
      <c r="K55" s="261">
        <f>IFERROR(INDEX('D Fleet'!$D$5:$D$63,MATCH(K$3-$B55,'D Fleet'!$B$5:$B$63,0)),0)*IFERROR(INDEX('D Fleet'!$K$5:$K$36,INT(($B55/K$5))+1)+(($B55/K$5)-INT(($B55/K$5)))*(INDEX('D Fleet'!$K$5:$K$36,INT(($B55/K$5))+2)-INDEX('D Fleet'!$K$5:$K$36,INT(($B55/K$5))+1)),0)</f>
        <v/>
      </c>
      <c r="L55" s="261">
        <f>IFERROR(INDEX('D Fleet'!$D$5:$D$63,MATCH(L$3-$B55,'D Fleet'!$B$5:$B$63,0)),0)*IFERROR(INDEX('D Fleet'!$K$5:$K$36,INT(($B55/L$5))+1)+(($B55/L$5)-INT(($B55/L$5)))*(INDEX('D Fleet'!$K$5:$K$36,INT(($B55/L$5))+2)-INDEX('D Fleet'!$K$5:$K$36,INT(($B55/L$5))+1)),0)</f>
        <v/>
      </c>
      <c r="M55" s="261">
        <f>IFERROR(INDEX('D Fleet'!$D$5:$D$63,MATCH(M$3-$B55,'D Fleet'!$B$5:$B$63,0)),0)*IFERROR(INDEX('D Fleet'!$K$5:$K$36,INT(($B55/M$5))+1)+(($B55/M$5)-INT(($B55/M$5)))*(INDEX('D Fleet'!$K$5:$K$36,INT(($B55/M$5))+2)-INDEX('D Fleet'!$K$5:$K$36,INT(($B55/M$5))+1)),0)</f>
        <v/>
      </c>
      <c r="N55" s="261">
        <f>IFERROR(INDEX('D Fleet'!$D$5:$D$63,MATCH(N$3-$B55,'D Fleet'!$B$5:$B$63,0)),0)*IFERROR(INDEX('D Fleet'!$K$5:$K$36,INT(($B55/N$5))+1)+(($B55/N$5)-INT(($B55/N$5)))*(INDEX('D Fleet'!$K$5:$K$36,INT(($B55/N$5))+2)-INDEX('D Fleet'!$K$5:$K$36,INT(($B55/N$5))+1)),0)</f>
        <v/>
      </c>
      <c r="P55" s="261">
        <f>E55*$D55*'E1 Fleet'!$D$98</f>
        <v/>
      </c>
      <c r="Q55" s="261">
        <f>F55*$D55*'E1 Fleet'!$D$98</f>
        <v/>
      </c>
      <c r="R55" s="261">
        <f>G55*$D55*'E1 Fleet'!$D$98</f>
        <v/>
      </c>
      <c r="S55" s="261">
        <f>H55*$D55*'E1 Fleet'!$D$98</f>
        <v/>
      </c>
      <c r="T55" s="261">
        <f>I55*$D55*'E1 Fleet'!$D$98</f>
        <v/>
      </c>
      <c r="U55" s="261">
        <f>J55*$D55*'E1 Fleet'!$D$98</f>
        <v/>
      </c>
      <c r="V55" s="261">
        <f>K55*$D55*'E1 Fleet'!$D$98</f>
        <v/>
      </c>
      <c r="W55" s="261">
        <f>L55*$D55*'E1 Fleet'!$D$98</f>
        <v/>
      </c>
      <c r="X55" s="261">
        <f>M55*$D55*'E1 Fleet'!$D$98</f>
        <v/>
      </c>
      <c r="Y55" s="261">
        <f>N55*$D55*'E1 Fleet'!$D$98</f>
        <v/>
      </c>
    </row>
    <row r="56">
      <c r="A56" t="inlineStr">
        <is>
          <t>SUV</t>
        </is>
      </c>
      <c r="B56" s="331" t="n">
        <v>3</v>
      </c>
      <c r="C56" s="331" t="n">
        <v>1</v>
      </c>
      <c r="D56" s="266">
        <f>IF($B56=0,'E1 Fleet'!$D$93,1)*EXP(-'E1 Fleet'!$D$94*MAX($B56-6,0))</f>
        <v/>
      </c>
      <c r="E56" s="261">
        <f>IFERROR(INDEX('D Fleet'!$D$5:$D$63,MATCH(E$3-$B56,'D Fleet'!$B$5:$B$63,0)),0)*IFERROR(INDEX('D Fleet'!$K$5:$K$36,INT(($B56/E$5))+1)+(($B56/E$5)-INT(($B56/E$5)))*(INDEX('D Fleet'!$K$5:$K$36,INT(($B56/E$5))+2)-INDEX('D Fleet'!$K$5:$K$36,INT(($B56/E$5))+1)),0)</f>
        <v/>
      </c>
      <c r="F56" s="261">
        <f>IFERROR(INDEX('D Fleet'!$D$5:$D$63,MATCH(F$3-$B56,'D Fleet'!$B$5:$B$63,0)),0)*IFERROR(INDEX('D Fleet'!$K$5:$K$36,INT(($B56/F$5))+1)+(($B56/F$5)-INT(($B56/F$5)))*(INDEX('D Fleet'!$K$5:$K$36,INT(($B56/F$5))+2)-INDEX('D Fleet'!$K$5:$K$36,INT(($B56/F$5))+1)),0)</f>
        <v/>
      </c>
      <c r="G56" s="261">
        <f>IFERROR(INDEX('D Fleet'!$D$5:$D$63,MATCH(G$3-$B56,'D Fleet'!$B$5:$B$63,0)),0)*IFERROR(INDEX('D Fleet'!$K$5:$K$36,INT(($B56/G$5))+1)+(($B56/G$5)-INT(($B56/G$5)))*(INDEX('D Fleet'!$K$5:$K$36,INT(($B56/G$5))+2)-INDEX('D Fleet'!$K$5:$K$36,INT(($B56/G$5))+1)),0)</f>
        <v/>
      </c>
      <c r="H56" s="261">
        <f>IFERROR(INDEX('D Fleet'!$D$5:$D$63,MATCH(H$3-$B56,'D Fleet'!$B$5:$B$63,0)),0)*IFERROR(INDEX('D Fleet'!$K$5:$K$36,INT(($B56/H$5))+1)+(($B56/H$5)-INT(($B56/H$5)))*(INDEX('D Fleet'!$K$5:$K$36,INT(($B56/H$5))+2)-INDEX('D Fleet'!$K$5:$K$36,INT(($B56/H$5))+1)),0)</f>
        <v/>
      </c>
      <c r="I56" s="261">
        <f>IFERROR(INDEX('D Fleet'!$D$5:$D$63,MATCH(I$3-$B56,'D Fleet'!$B$5:$B$63,0)),0)*IFERROR(INDEX('D Fleet'!$K$5:$K$36,INT(($B56/I$5))+1)+(($B56/I$5)-INT(($B56/I$5)))*(INDEX('D Fleet'!$K$5:$K$36,INT(($B56/I$5))+2)-INDEX('D Fleet'!$K$5:$K$36,INT(($B56/I$5))+1)),0)</f>
        <v/>
      </c>
      <c r="J56" s="261">
        <f>IFERROR(INDEX('D Fleet'!$D$5:$D$63,MATCH(J$3-$B56,'D Fleet'!$B$5:$B$63,0)),0)*IFERROR(INDEX('D Fleet'!$K$5:$K$36,INT(($B56/J$5))+1)+(($B56/J$5)-INT(($B56/J$5)))*(INDEX('D Fleet'!$K$5:$K$36,INT(($B56/J$5))+2)-INDEX('D Fleet'!$K$5:$K$36,INT(($B56/J$5))+1)),0)</f>
        <v/>
      </c>
      <c r="K56" s="261">
        <f>IFERROR(INDEX('D Fleet'!$D$5:$D$63,MATCH(K$3-$B56,'D Fleet'!$B$5:$B$63,0)),0)*IFERROR(INDEX('D Fleet'!$K$5:$K$36,INT(($B56/K$5))+1)+(($B56/K$5)-INT(($B56/K$5)))*(INDEX('D Fleet'!$K$5:$K$36,INT(($B56/K$5))+2)-INDEX('D Fleet'!$K$5:$K$36,INT(($B56/K$5))+1)),0)</f>
        <v/>
      </c>
      <c r="L56" s="261">
        <f>IFERROR(INDEX('D Fleet'!$D$5:$D$63,MATCH(L$3-$B56,'D Fleet'!$B$5:$B$63,0)),0)*IFERROR(INDEX('D Fleet'!$K$5:$K$36,INT(($B56/L$5))+1)+(($B56/L$5)-INT(($B56/L$5)))*(INDEX('D Fleet'!$K$5:$K$36,INT(($B56/L$5))+2)-INDEX('D Fleet'!$K$5:$K$36,INT(($B56/L$5))+1)),0)</f>
        <v/>
      </c>
      <c r="M56" s="261">
        <f>IFERROR(INDEX('D Fleet'!$D$5:$D$63,MATCH(M$3-$B56,'D Fleet'!$B$5:$B$63,0)),0)*IFERROR(INDEX('D Fleet'!$K$5:$K$36,INT(($B56/M$5))+1)+(($B56/M$5)-INT(($B56/M$5)))*(INDEX('D Fleet'!$K$5:$K$36,INT(($B56/M$5))+2)-INDEX('D Fleet'!$K$5:$K$36,INT(($B56/M$5))+1)),0)</f>
        <v/>
      </c>
      <c r="N56" s="261">
        <f>IFERROR(INDEX('D Fleet'!$D$5:$D$63,MATCH(N$3-$B56,'D Fleet'!$B$5:$B$63,0)),0)*IFERROR(INDEX('D Fleet'!$K$5:$K$36,INT(($B56/N$5))+1)+(($B56/N$5)-INT(($B56/N$5)))*(INDEX('D Fleet'!$K$5:$K$36,INT(($B56/N$5))+2)-INDEX('D Fleet'!$K$5:$K$36,INT(($B56/N$5))+1)),0)</f>
        <v/>
      </c>
      <c r="P56" s="261">
        <f>E56*$D56*'E1 Fleet'!$D$98</f>
        <v/>
      </c>
      <c r="Q56" s="261">
        <f>F56*$D56*'E1 Fleet'!$D$98</f>
        <v/>
      </c>
      <c r="R56" s="261">
        <f>G56*$D56*'E1 Fleet'!$D$98</f>
        <v/>
      </c>
      <c r="S56" s="261">
        <f>H56*$D56*'E1 Fleet'!$D$98</f>
        <v/>
      </c>
      <c r="T56" s="261">
        <f>I56*$D56*'E1 Fleet'!$D$98</f>
        <v/>
      </c>
      <c r="U56" s="261">
        <f>J56*$D56*'E1 Fleet'!$D$98</f>
        <v/>
      </c>
      <c r="V56" s="261">
        <f>K56*$D56*'E1 Fleet'!$D$98</f>
        <v/>
      </c>
      <c r="W56" s="261">
        <f>L56*$D56*'E1 Fleet'!$D$98</f>
        <v/>
      </c>
      <c r="X56" s="261">
        <f>M56*$D56*'E1 Fleet'!$D$98</f>
        <v/>
      </c>
      <c r="Y56" s="261">
        <f>N56*$D56*'E1 Fleet'!$D$98</f>
        <v/>
      </c>
    </row>
    <row r="57">
      <c r="A57" t="inlineStr">
        <is>
          <t>SUV</t>
        </is>
      </c>
      <c r="B57" s="331" t="n">
        <v>4</v>
      </c>
      <c r="C57" s="331" t="n">
        <v>2</v>
      </c>
      <c r="D57" s="266">
        <f>IF($B57=0,'E1 Fleet'!$D$93,1)*EXP(-'E1 Fleet'!$D$94*MAX($B57-6,0))</f>
        <v/>
      </c>
      <c r="E57" s="261">
        <f>IFERROR(INDEX('D Fleet'!$D$5:$D$63,MATCH(E$3-$B57,'D Fleet'!$B$5:$B$63,0)),0)*IFERROR(INDEX('D Fleet'!$K$5:$K$36,INT(($B57/E$5))+1)+(($B57/E$5)-INT(($B57/E$5)))*(INDEX('D Fleet'!$K$5:$K$36,INT(($B57/E$5))+2)-INDEX('D Fleet'!$K$5:$K$36,INT(($B57/E$5))+1)),0)</f>
        <v/>
      </c>
      <c r="F57" s="261">
        <f>IFERROR(INDEX('D Fleet'!$D$5:$D$63,MATCH(F$3-$B57,'D Fleet'!$B$5:$B$63,0)),0)*IFERROR(INDEX('D Fleet'!$K$5:$K$36,INT(($B57/F$5))+1)+(($B57/F$5)-INT(($B57/F$5)))*(INDEX('D Fleet'!$K$5:$K$36,INT(($B57/F$5))+2)-INDEX('D Fleet'!$K$5:$K$36,INT(($B57/F$5))+1)),0)</f>
        <v/>
      </c>
      <c r="G57" s="261">
        <f>IFERROR(INDEX('D Fleet'!$D$5:$D$63,MATCH(G$3-$B57,'D Fleet'!$B$5:$B$63,0)),0)*IFERROR(INDEX('D Fleet'!$K$5:$K$36,INT(($B57/G$5))+1)+(($B57/G$5)-INT(($B57/G$5)))*(INDEX('D Fleet'!$K$5:$K$36,INT(($B57/G$5))+2)-INDEX('D Fleet'!$K$5:$K$36,INT(($B57/G$5))+1)),0)</f>
        <v/>
      </c>
      <c r="H57" s="261">
        <f>IFERROR(INDEX('D Fleet'!$D$5:$D$63,MATCH(H$3-$B57,'D Fleet'!$B$5:$B$63,0)),0)*IFERROR(INDEX('D Fleet'!$K$5:$K$36,INT(($B57/H$5))+1)+(($B57/H$5)-INT(($B57/H$5)))*(INDEX('D Fleet'!$K$5:$K$36,INT(($B57/H$5))+2)-INDEX('D Fleet'!$K$5:$K$36,INT(($B57/H$5))+1)),0)</f>
        <v/>
      </c>
      <c r="I57" s="261">
        <f>IFERROR(INDEX('D Fleet'!$D$5:$D$63,MATCH(I$3-$B57,'D Fleet'!$B$5:$B$63,0)),0)*IFERROR(INDEX('D Fleet'!$K$5:$K$36,INT(($B57/I$5))+1)+(($B57/I$5)-INT(($B57/I$5)))*(INDEX('D Fleet'!$K$5:$K$36,INT(($B57/I$5))+2)-INDEX('D Fleet'!$K$5:$K$36,INT(($B57/I$5))+1)),0)</f>
        <v/>
      </c>
      <c r="J57" s="261">
        <f>IFERROR(INDEX('D Fleet'!$D$5:$D$63,MATCH(J$3-$B57,'D Fleet'!$B$5:$B$63,0)),0)*IFERROR(INDEX('D Fleet'!$K$5:$K$36,INT(($B57/J$5))+1)+(($B57/J$5)-INT(($B57/J$5)))*(INDEX('D Fleet'!$K$5:$K$36,INT(($B57/J$5))+2)-INDEX('D Fleet'!$K$5:$K$36,INT(($B57/J$5))+1)),0)</f>
        <v/>
      </c>
      <c r="K57" s="261">
        <f>IFERROR(INDEX('D Fleet'!$D$5:$D$63,MATCH(K$3-$B57,'D Fleet'!$B$5:$B$63,0)),0)*IFERROR(INDEX('D Fleet'!$K$5:$K$36,INT(($B57/K$5))+1)+(($B57/K$5)-INT(($B57/K$5)))*(INDEX('D Fleet'!$K$5:$K$36,INT(($B57/K$5))+2)-INDEX('D Fleet'!$K$5:$K$36,INT(($B57/K$5))+1)),0)</f>
        <v/>
      </c>
      <c r="L57" s="261">
        <f>IFERROR(INDEX('D Fleet'!$D$5:$D$63,MATCH(L$3-$B57,'D Fleet'!$B$5:$B$63,0)),0)*IFERROR(INDEX('D Fleet'!$K$5:$K$36,INT(($B57/L$5))+1)+(($B57/L$5)-INT(($B57/L$5)))*(INDEX('D Fleet'!$K$5:$K$36,INT(($B57/L$5))+2)-INDEX('D Fleet'!$K$5:$K$36,INT(($B57/L$5))+1)),0)</f>
        <v/>
      </c>
      <c r="M57" s="261">
        <f>IFERROR(INDEX('D Fleet'!$D$5:$D$63,MATCH(M$3-$B57,'D Fleet'!$B$5:$B$63,0)),0)*IFERROR(INDEX('D Fleet'!$K$5:$K$36,INT(($B57/M$5))+1)+(($B57/M$5)-INT(($B57/M$5)))*(INDEX('D Fleet'!$K$5:$K$36,INT(($B57/M$5))+2)-INDEX('D Fleet'!$K$5:$K$36,INT(($B57/M$5))+1)),0)</f>
        <v/>
      </c>
      <c r="N57" s="261">
        <f>IFERROR(INDEX('D Fleet'!$D$5:$D$63,MATCH(N$3-$B57,'D Fleet'!$B$5:$B$63,0)),0)*IFERROR(INDEX('D Fleet'!$K$5:$K$36,INT(($B57/N$5))+1)+(($B57/N$5)-INT(($B57/N$5)))*(INDEX('D Fleet'!$K$5:$K$36,INT(($B57/N$5))+2)-INDEX('D Fleet'!$K$5:$K$36,INT(($B57/N$5))+1)),0)</f>
        <v/>
      </c>
      <c r="P57" s="261">
        <f>E57*$D57*'E1 Fleet'!$D$98</f>
        <v/>
      </c>
      <c r="Q57" s="261">
        <f>F57*$D57*'E1 Fleet'!$D$98</f>
        <v/>
      </c>
      <c r="R57" s="261">
        <f>G57*$D57*'E1 Fleet'!$D$98</f>
        <v/>
      </c>
      <c r="S57" s="261">
        <f>H57*$D57*'E1 Fleet'!$D$98</f>
        <v/>
      </c>
      <c r="T57" s="261">
        <f>I57*$D57*'E1 Fleet'!$D$98</f>
        <v/>
      </c>
      <c r="U57" s="261">
        <f>J57*$D57*'E1 Fleet'!$D$98</f>
        <v/>
      </c>
      <c r="V57" s="261">
        <f>K57*$D57*'E1 Fleet'!$D$98</f>
        <v/>
      </c>
      <c r="W57" s="261">
        <f>L57*$D57*'E1 Fleet'!$D$98</f>
        <v/>
      </c>
      <c r="X57" s="261">
        <f>M57*$D57*'E1 Fleet'!$D$98</f>
        <v/>
      </c>
      <c r="Y57" s="261">
        <f>N57*$D57*'E1 Fleet'!$D$98</f>
        <v/>
      </c>
    </row>
    <row r="58">
      <c r="A58" t="inlineStr">
        <is>
          <t>SUV</t>
        </is>
      </c>
      <c r="B58" s="331" t="n">
        <v>5</v>
      </c>
      <c r="C58" s="331" t="n">
        <v>2</v>
      </c>
      <c r="D58" s="266">
        <f>IF($B58=0,'E1 Fleet'!$D$93,1)*EXP(-'E1 Fleet'!$D$94*MAX($B58-6,0))</f>
        <v/>
      </c>
      <c r="E58" s="261">
        <f>IFERROR(INDEX('D Fleet'!$D$5:$D$63,MATCH(E$3-$B58,'D Fleet'!$B$5:$B$63,0)),0)*IFERROR(INDEX('D Fleet'!$K$5:$K$36,INT(($B58/E$5))+1)+(($B58/E$5)-INT(($B58/E$5)))*(INDEX('D Fleet'!$K$5:$K$36,INT(($B58/E$5))+2)-INDEX('D Fleet'!$K$5:$K$36,INT(($B58/E$5))+1)),0)</f>
        <v/>
      </c>
      <c r="F58" s="261">
        <f>IFERROR(INDEX('D Fleet'!$D$5:$D$63,MATCH(F$3-$B58,'D Fleet'!$B$5:$B$63,0)),0)*IFERROR(INDEX('D Fleet'!$K$5:$K$36,INT(($B58/F$5))+1)+(($B58/F$5)-INT(($B58/F$5)))*(INDEX('D Fleet'!$K$5:$K$36,INT(($B58/F$5))+2)-INDEX('D Fleet'!$K$5:$K$36,INT(($B58/F$5))+1)),0)</f>
        <v/>
      </c>
      <c r="G58" s="261">
        <f>IFERROR(INDEX('D Fleet'!$D$5:$D$63,MATCH(G$3-$B58,'D Fleet'!$B$5:$B$63,0)),0)*IFERROR(INDEX('D Fleet'!$K$5:$K$36,INT(($B58/G$5))+1)+(($B58/G$5)-INT(($B58/G$5)))*(INDEX('D Fleet'!$K$5:$K$36,INT(($B58/G$5))+2)-INDEX('D Fleet'!$K$5:$K$36,INT(($B58/G$5))+1)),0)</f>
        <v/>
      </c>
      <c r="H58" s="261">
        <f>IFERROR(INDEX('D Fleet'!$D$5:$D$63,MATCH(H$3-$B58,'D Fleet'!$B$5:$B$63,0)),0)*IFERROR(INDEX('D Fleet'!$K$5:$K$36,INT(($B58/H$5))+1)+(($B58/H$5)-INT(($B58/H$5)))*(INDEX('D Fleet'!$K$5:$K$36,INT(($B58/H$5))+2)-INDEX('D Fleet'!$K$5:$K$36,INT(($B58/H$5))+1)),0)</f>
        <v/>
      </c>
      <c r="I58" s="261">
        <f>IFERROR(INDEX('D Fleet'!$D$5:$D$63,MATCH(I$3-$B58,'D Fleet'!$B$5:$B$63,0)),0)*IFERROR(INDEX('D Fleet'!$K$5:$K$36,INT(($B58/I$5))+1)+(($B58/I$5)-INT(($B58/I$5)))*(INDEX('D Fleet'!$K$5:$K$36,INT(($B58/I$5))+2)-INDEX('D Fleet'!$K$5:$K$36,INT(($B58/I$5))+1)),0)</f>
        <v/>
      </c>
      <c r="J58" s="261">
        <f>IFERROR(INDEX('D Fleet'!$D$5:$D$63,MATCH(J$3-$B58,'D Fleet'!$B$5:$B$63,0)),0)*IFERROR(INDEX('D Fleet'!$K$5:$K$36,INT(($B58/J$5))+1)+(($B58/J$5)-INT(($B58/J$5)))*(INDEX('D Fleet'!$K$5:$K$36,INT(($B58/J$5))+2)-INDEX('D Fleet'!$K$5:$K$36,INT(($B58/J$5))+1)),0)</f>
        <v/>
      </c>
      <c r="K58" s="261">
        <f>IFERROR(INDEX('D Fleet'!$D$5:$D$63,MATCH(K$3-$B58,'D Fleet'!$B$5:$B$63,0)),0)*IFERROR(INDEX('D Fleet'!$K$5:$K$36,INT(($B58/K$5))+1)+(($B58/K$5)-INT(($B58/K$5)))*(INDEX('D Fleet'!$K$5:$K$36,INT(($B58/K$5))+2)-INDEX('D Fleet'!$K$5:$K$36,INT(($B58/K$5))+1)),0)</f>
        <v/>
      </c>
      <c r="L58" s="261">
        <f>IFERROR(INDEX('D Fleet'!$D$5:$D$63,MATCH(L$3-$B58,'D Fleet'!$B$5:$B$63,0)),0)*IFERROR(INDEX('D Fleet'!$K$5:$K$36,INT(($B58/L$5))+1)+(($B58/L$5)-INT(($B58/L$5)))*(INDEX('D Fleet'!$K$5:$K$36,INT(($B58/L$5))+2)-INDEX('D Fleet'!$K$5:$K$36,INT(($B58/L$5))+1)),0)</f>
        <v/>
      </c>
      <c r="M58" s="261">
        <f>IFERROR(INDEX('D Fleet'!$D$5:$D$63,MATCH(M$3-$B58,'D Fleet'!$B$5:$B$63,0)),0)*IFERROR(INDEX('D Fleet'!$K$5:$K$36,INT(($B58/M$5))+1)+(($B58/M$5)-INT(($B58/M$5)))*(INDEX('D Fleet'!$K$5:$K$36,INT(($B58/M$5))+2)-INDEX('D Fleet'!$K$5:$K$36,INT(($B58/M$5))+1)),0)</f>
        <v/>
      </c>
      <c r="N58" s="261">
        <f>IFERROR(INDEX('D Fleet'!$D$5:$D$63,MATCH(N$3-$B58,'D Fleet'!$B$5:$B$63,0)),0)*IFERROR(INDEX('D Fleet'!$K$5:$K$36,INT(($B58/N$5))+1)+(($B58/N$5)-INT(($B58/N$5)))*(INDEX('D Fleet'!$K$5:$K$36,INT(($B58/N$5))+2)-INDEX('D Fleet'!$K$5:$K$36,INT(($B58/N$5))+1)),0)</f>
        <v/>
      </c>
      <c r="P58" s="261">
        <f>E58*$D58*'E1 Fleet'!$D$98</f>
        <v/>
      </c>
      <c r="Q58" s="261">
        <f>F58*$D58*'E1 Fleet'!$D$98</f>
        <v/>
      </c>
      <c r="R58" s="261">
        <f>G58*$D58*'E1 Fleet'!$D$98</f>
        <v/>
      </c>
      <c r="S58" s="261">
        <f>H58*$D58*'E1 Fleet'!$D$98</f>
        <v/>
      </c>
      <c r="T58" s="261">
        <f>I58*$D58*'E1 Fleet'!$D$98</f>
        <v/>
      </c>
      <c r="U58" s="261">
        <f>J58*$D58*'E1 Fleet'!$D$98</f>
        <v/>
      </c>
      <c r="V58" s="261">
        <f>K58*$D58*'E1 Fleet'!$D$98</f>
        <v/>
      </c>
      <c r="W58" s="261">
        <f>L58*$D58*'E1 Fleet'!$D$98</f>
        <v/>
      </c>
      <c r="X58" s="261">
        <f>M58*$D58*'E1 Fleet'!$D$98</f>
        <v/>
      </c>
      <c r="Y58" s="261">
        <f>N58*$D58*'E1 Fleet'!$D$98</f>
        <v/>
      </c>
    </row>
    <row r="59">
      <c r="A59" t="inlineStr">
        <is>
          <t>SUV</t>
        </is>
      </c>
      <c r="B59" s="331" t="n">
        <v>6</v>
      </c>
      <c r="C59" s="331" t="n">
        <v>2</v>
      </c>
      <c r="D59" s="266">
        <f>IF($B59=0,'E1 Fleet'!$D$93,1)*EXP(-'E1 Fleet'!$D$94*MAX($B59-6,0))</f>
        <v/>
      </c>
      <c r="E59" s="261">
        <f>IFERROR(INDEX('D Fleet'!$D$5:$D$63,MATCH(E$3-$B59,'D Fleet'!$B$5:$B$63,0)),0)*IFERROR(INDEX('D Fleet'!$K$5:$K$36,INT(($B59/E$5))+1)+(($B59/E$5)-INT(($B59/E$5)))*(INDEX('D Fleet'!$K$5:$K$36,INT(($B59/E$5))+2)-INDEX('D Fleet'!$K$5:$K$36,INT(($B59/E$5))+1)),0)</f>
        <v/>
      </c>
      <c r="F59" s="261">
        <f>IFERROR(INDEX('D Fleet'!$D$5:$D$63,MATCH(F$3-$B59,'D Fleet'!$B$5:$B$63,0)),0)*IFERROR(INDEX('D Fleet'!$K$5:$K$36,INT(($B59/F$5))+1)+(($B59/F$5)-INT(($B59/F$5)))*(INDEX('D Fleet'!$K$5:$K$36,INT(($B59/F$5))+2)-INDEX('D Fleet'!$K$5:$K$36,INT(($B59/F$5))+1)),0)</f>
        <v/>
      </c>
      <c r="G59" s="261">
        <f>IFERROR(INDEX('D Fleet'!$D$5:$D$63,MATCH(G$3-$B59,'D Fleet'!$B$5:$B$63,0)),0)*IFERROR(INDEX('D Fleet'!$K$5:$K$36,INT(($B59/G$5))+1)+(($B59/G$5)-INT(($B59/G$5)))*(INDEX('D Fleet'!$K$5:$K$36,INT(($B59/G$5))+2)-INDEX('D Fleet'!$K$5:$K$36,INT(($B59/G$5))+1)),0)</f>
        <v/>
      </c>
      <c r="H59" s="261">
        <f>IFERROR(INDEX('D Fleet'!$D$5:$D$63,MATCH(H$3-$B59,'D Fleet'!$B$5:$B$63,0)),0)*IFERROR(INDEX('D Fleet'!$K$5:$K$36,INT(($B59/H$5))+1)+(($B59/H$5)-INT(($B59/H$5)))*(INDEX('D Fleet'!$K$5:$K$36,INT(($B59/H$5))+2)-INDEX('D Fleet'!$K$5:$K$36,INT(($B59/H$5))+1)),0)</f>
        <v/>
      </c>
      <c r="I59" s="261">
        <f>IFERROR(INDEX('D Fleet'!$D$5:$D$63,MATCH(I$3-$B59,'D Fleet'!$B$5:$B$63,0)),0)*IFERROR(INDEX('D Fleet'!$K$5:$K$36,INT(($B59/I$5))+1)+(($B59/I$5)-INT(($B59/I$5)))*(INDEX('D Fleet'!$K$5:$K$36,INT(($B59/I$5))+2)-INDEX('D Fleet'!$K$5:$K$36,INT(($B59/I$5))+1)),0)</f>
        <v/>
      </c>
      <c r="J59" s="261">
        <f>IFERROR(INDEX('D Fleet'!$D$5:$D$63,MATCH(J$3-$B59,'D Fleet'!$B$5:$B$63,0)),0)*IFERROR(INDEX('D Fleet'!$K$5:$K$36,INT(($B59/J$5))+1)+(($B59/J$5)-INT(($B59/J$5)))*(INDEX('D Fleet'!$K$5:$K$36,INT(($B59/J$5))+2)-INDEX('D Fleet'!$K$5:$K$36,INT(($B59/J$5))+1)),0)</f>
        <v/>
      </c>
      <c r="K59" s="261">
        <f>IFERROR(INDEX('D Fleet'!$D$5:$D$63,MATCH(K$3-$B59,'D Fleet'!$B$5:$B$63,0)),0)*IFERROR(INDEX('D Fleet'!$K$5:$K$36,INT(($B59/K$5))+1)+(($B59/K$5)-INT(($B59/K$5)))*(INDEX('D Fleet'!$K$5:$K$36,INT(($B59/K$5))+2)-INDEX('D Fleet'!$K$5:$K$36,INT(($B59/K$5))+1)),0)</f>
        <v/>
      </c>
      <c r="L59" s="261">
        <f>IFERROR(INDEX('D Fleet'!$D$5:$D$63,MATCH(L$3-$B59,'D Fleet'!$B$5:$B$63,0)),0)*IFERROR(INDEX('D Fleet'!$K$5:$K$36,INT(($B59/L$5))+1)+(($B59/L$5)-INT(($B59/L$5)))*(INDEX('D Fleet'!$K$5:$K$36,INT(($B59/L$5))+2)-INDEX('D Fleet'!$K$5:$K$36,INT(($B59/L$5))+1)),0)</f>
        <v/>
      </c>
      <c r="M59" s="261">
        <f>IFERROR(INDEX('D Fleet'!$D$5:$D$63,MATCH(M$3-$B59,'D Fleet'!$B$5:$B$63,0)),0)*IFERROR(INDEX('D Fleet'!$K$5:$K$36,INT(($B59/M$5))+1)+(($B59/M$5)-INT(($B59/M$5)))*(INDEX('D Fleet'!$K$5:$K$36,INT(($B59/M$5))+2)-INDEX('D Fleet'!$K$5:$K$36,INT(($B59/M$5))+1)),0)</f>
        <v/>
      </c>
      <c r="N59" s="261">
        <f>IFERROR(INDEX('D Fleet'!$D$5:$D$63,MATCH(N$3-$B59,'D Fleet'!$B$5:$B$63,0)),0)*IFERROR(INDEX('D Fleet'!$K$5:$K$36,INT(($B59/N$5))+1)+(($B59/N$5)-INT(($B59/N$5)))*(INDEX('D Fleet'!$K$5:$K$36,INT(($B59/N$5))+2)-INDEX('D Fleet'!$K$5:$K$36,INT(($B59/N$5))+1)),0)</f>
        <v/>
      </c>
      <c r="P59" s="261">
        <f>E59*$D59*'E1 Fleet'!$D$98</f>
        <v/>
      </c>
      <c r="Q59" s="261">
        <f>F59*$D59*'E1 Fleet'!$D$98</f>
        <v/>
      </c>
      <c r="R59" s="261">
        <f>G59*$D59*'E1 Fleet'!$D$98</f>
        <v/>
      </c>
      <c r="S59" s="261">
        <f>H59*$D59*'E1 Fleet'!$D$98</f>
        <v/>
      </c>
      <c r="T59" s="261">
        <f>I59*$D59*'E1 Fleet'!$D$98</f>
        <v/>
      </c>
      <c r="U59" s="261">
        <f>J59*$D59*'E1 Fleet'!$D$98</f>
        <v/>
      </c>
      <c r="V59" s="261">
        <f>K59*$D59*'E1 Fleet'!$D$98</f>
        <v/>
      </c>
      <c r="W59" s="261">
        <f>L59*$D59*'E1 Fleet'!$D$98</f>
        <v/>
      </c>
      <c r="X59" s="261">
        <f>M59*$D59*'E1 Fleet'!$D$98</f>
        <v/>
      </c>
      <c r="Y59" s="261">
        <f>N59*$D59*'E1 Fleet'!$D$98</f>
        <v/>
      </c>
    </row>
    <row r="60">
      <c r="A60" t="inlineStr">
        <is>
          <t>SUV</t>
        </is>
      </c>
      <c r="B60" s="331" t="n">
        <v>7</v>
      </c>
      <c r="C60" s="331" t="n">
        <v>3</v>
      </c>
      <c r="D60" s="266">
        <f>IF($B60=0,'E1 Fleet'!$D$93,1)*EXP(-'E1 Fleet'!$D$94*MAX($B60-6,0))</f>
        <v/>
      </c>
      <c r="E60" s="261">
        <f>IFERROR(INDEX('D Fleet'!$D$5:$D$63,MATCH(E$3-$B60,'D Fleet'!$B$5:$B$63,0)),0)*IFERROR(INDEX('D Fleet'!$K$5:$K$36,INT(($B60/E$5))+1)+(($B60/E$5)-INT(($B60/E$5)))*(INDEX('D Fleet'!$K$5:$K$36,INT(($B60/E$5))+2)-INDEX('D Fleet'!$K$5:$K$36,INT(($B60/E$5))+1)),0)</f>
        <v/>
      </c>
      <c r="F60" s="261">
        <f>IFERROR(INDEX('D Fleet'!$D$5:$D$63,MATCH(F$3-$B60,'D Fleet'!$B$5:$B$63,0)),0)*IFERROR(INDEX('D Fleet'!$K$5:$K$36,INT(($B60/F$5))+1)+(($B60/F$5)-INT(($B60/F$5)))*(INDEX('D Fleet'!$K$5:$K$36,INT(($B60/F$5))+2)-INDEX('D Fleet'!$K$5:$K$36,INT(($B60/F$5))+1)),0)</f>
        <v/>
      </c>
      <c r="G60" s="261">
        <f>IFERROR(INDEX('D Fleet'!$D$5:$D$63,MATCH(G$3-$B60,'D Fleet'!$B$5:$B$63,0)),0)*IFERROR(INDEX('D Fleet'!$K$5:$K$36,INT(($B60/G$5))+1)+(($B60/G$5)-INT(($B60/G$5)))*(INDEX('D Fleet'!$K$5:$K$36,INT(($B60/G$5))+2)-INDEX('D Fleet'!$K$5:$K$36,INT(($B60/G$5))+1)),0)</f>
        <v/>
      </c>
      <c r="H60" s="261">
        <f>IFERROR(INDEX('D Fleet'!$D$5:$D$63,MATCH(H$3-$B60,'D Fleet'!$B$5:$B$63,0)),0)*IFERROR(INDEX('D Fleet'!$K$5:$K$36,INT(($B60/H$5))+1)+(($B60/H$5)-INT(($B60/H$5)))*(INDEX('D Fleet'!$K$5:$K$36,INT(($B60/H$5))+2)-INDEX('D Fleet'!$K$5:$K$36,INT(($B60/H$5))+1)),0)</f>
        <v/>
      </c>
      <c r="I60" s="261">
        <f>IFERROR(INDEX('D Fleet'!$D$5:$D$63,MATCH(I$3-$B60,'D Fleet'!$B$5:$B$63,0)),0)*IFERROR(INDEX('D Fleet'!$K$5:$K$36,INT(($B60/I$5))+1)+(($B60/I$5)-INT(($B60/I$5)))*(INDEX('D Fleet'!$K$5:$K$36,INT(($B60/I$5))+2)-INDEX('D Fleet'!$K$5:$K$36,INT(($B60/I$5))+1)),0)</f>
        <v/>
      </c>
      <c r="J60" s="261">
        <f>IFERROR(INDEX('D Fleet'!$D$5:$D$63,MATCH(J$3-$B60,'D Fleet'!$B$5:$B$63,0)),0)*IFERROR(INDEX('D Fleet'!$K$5:$K$36,INT(($B60/J$5))+1)+(($B60/J$5)-INT(($B60/J$5)))*(INDEX('D Fleet'!$K$5:$K$36,INT(($B60/J$5))+2)-INDEX('D Fleet'!$K$5:$K$36,INT(($B60/J$5))+1)),0)</f>
        <v/>
      </c>
      <c r="K60" s="261">
        <f>IFERROR(INDEX('D Fleet'!$D$5:$D$63,MATCH(K$3-$B60,'D Fleet'!$B$5:$B$63,0)),0)*IFERROR(INDEX('D Fleet'!$K$5:$K$36,INT(($B60/K$5))+1)+(($B60/K$5)-INT(($B60/K$5)))*(INDEX('D Fleet'!$K$5:$K$36,INT(($B60/K$5))+2)-INDEX('D Fleet'!$K$5:$K$36,INT(($B60/K$5))+1)),0)</f>
        <v/>
      </c>
      <c r="L60" s="261">
        <f>IFERROR(INDEX('D Fleet'!$D$5:$D$63,MATCH(L$3-$B60,'D Fleet'!$B$5:$B$63,0)),0)*IFERROR(INDEX('D Fleet'!$K$5:$K$36,INT(($B60/L$5))+1)+(($B60/L$5)-INT(($B60/L$5)))*(INDEX('D Fleet'!$K$5:$K$36,INT(($B60/L$5))+2)-INDEX('D Fleet'!$K$5:$K$36,INT(($B60/L$5))+1)),0)</f>
        <v/>
      </c>
      <c r="M60" s="261">
        <f>IFERROR(INDEX('D Fleet'!$D$5:$D$63,MATCH(M$3-$B60,'D Fleet'!$B$5:$B$63,0)),0)*IFERROR(INDEX('D Fleet'!$K$5:$K$36,INT(($B60/M$5))+1)+(($B60/M$5)-INT(($B60/M$5)))*(INDEX('D Fleet'!$K$5:$K$36,INT(($B60/M$5))+2)-INDEX('D Fleet'!$K$5:$K$36,INT(($B60/M$5))+1)),0)</f>
        <v/>
      </c>
      <c r="N60" s="261">
        <f>IFERROR(INDEX('D Fleet'!$D$5:$D$63,MATCH(N$3-$B60,'D Fleet'!$B$5:$B$63,0)),0)*IFERROR(INDEX('D Fleet'!$K$5:$K$36,INT(($B60/N$5))+1)+(($B60/N$5)-INT(($B60/N$5)))*(INDEX('D Fleet'!$K$5:$K$36,INT(($B60/N$5))+2)-INDEX('D Fleet'!$K$5:$K$36,INT(($B60/N$5))+1)),0)</f>
        <v/>
      </c>
      <c r="P60" s="261">
        <f>E60*$D60*'E1 Fleet'!$D$98</f>
        <v/>
      </c>
      <c r="Q60" s="261">
        <f>F60*$D60*'E1 Fleet'!$D$98</f>
        <v/>
      </c>
      <c r="R60" s="261">
        <f>G60*$D60*'E1 Fleet'!$D$98</f>
        <v/>
      </c>
      <c r="S60" s="261">
        <f>H60*$D60*'E1 Fleet'!$D$98</f>
        <v/>
      </c>
      <c r="T60" s="261">
        <f>I60*$D60*'E1 Fleet'!$D$98</f>
        <v/>
      </c>
      <c r="U60" s="261">
        <f>J60*$D60*'E1 Fleet'!$D$98</f>
        <v/>
      </c>
      <c r="V60" s="261">
        <f>K60*$D60*'E1 Fleet'!$D$98</f>
        <v/>
      </c>
      <c r="W60" s="261">
        <f>L60*$D60*'E1 Fleet'!$D$98</f>
        <v/>
      </c>
      <c r="X60" s="261">
        <f>M60*$D60*'E1 Fleet'!$D$98</f>
        <v/>
      </c>
      <c r="Y60" s="261">
        <f>N60*$D60*'E1 Fleet'!$D$98</f>
        <v/>
      </c>
    </row>
    <row r="61">
      <c r="A61" t="inlineStr">
        <is>
          <t>SUV</t>
        </is>
      </c>
      <c r="B61" s="331" t="n">
        <v>8</v>
      </c>
      <c r="C61" s="331" t="n">
        <v>3</v>
      </c>
      <c r="D61" s="266">
        <f>IF($B61=0,'E1 Fleet'!$D$93,1)*EXP(-'E1 Fleet'!$D$94*MAX($B61-6,0))</f>
        <v/>
      </c>
      <c r="E61" s="261">
        <f>IFERROR(INDEX('D Fleet'!$D$5:$D$63,MATCH(E$3-$B61,'D Fleet'!$B$5:$B$63,0)),0)*IFERROR(INDEX('D Fleet'!$K$5:$K$36,INT(($B61/E$5))+1)+(($B61/E$5)-INT(($B61/E$5)))*(INDEX('D Fleet'!$K$5:$K$36,INT(($B61/E$5))+2)-INDEX('D Fleet'!$K$5:$K$36,INT(($B61/E$5))+1)),0)</f>
        <v/>
      </c>
      <c r="F61" s="261">
        <f>IFERROR(INDEX('D Fleet'!$D$5:$D$63,MATCH(F$3-$B61,'D Fleet'!$B$5:$B$63,0)),0)*IFERROR(INDEX('D Fleet'!$K$5:$K$36,INT(($B61/F$5))+1)+(($B61/F$5)-INT(($B61/F$5)))*(INDEX('D Fleet'!$K$5:$K$36,INT(($B61/F$5))+2)-INDEX('D Fleet'!$K$5:$K$36,INT(($B61/F$5))+1)),0)</f>
        <v/>
      </c>
      <c r="G61" s="261">
        <f>IFERROR(INDEX('D Fleet'!$D$5:$D$63,MATCH(G$3-$B61,'D Fleet'!$B$5:$B$63,0)),0)*IFERROR(INDEX('D Fleet'!$K$5:$K$36,INT(($B61/G$5))+1)+(($B61/G$5)-INT(($B61/G$5)))*(INDEX('D Fleet'!$K$5:$K$36,INT(($B61/G$5))+2)-INDEX('D Fleet'!$K$5:$K$36,INT(($B61/G$5))+1)),0)</f>
        <v/>
      </c>
      <c r="H61" s="261">
        <f>IFERROR(INDEX('D Fleet'!$D$5:$D$63,MATCH(H$3-$B61,'D Fleet'!$B$5:$B$63,0)),0)*IFERROR(INDEX('D Fleet'!$K$5:$K$36,INT(($B61/H$5))+1)+(($B61/H$5)-INT(($B61/H$5)))*(INDEX('D Fleet'!$K$5:$K$36,INT(($B61/H$5))+2)-INDEX('D Fleet'!$K$5:$K$36,INT(($B61/H$5))+1)),0)</f>
        <v/>
      </c>
      <c r="I61" s="261">
        <f>IFERROR(INDEX('D Fleet'!$D$5:$D$63,MATCH(I$3-$B61,'D Fleet'!$B$5:$B$63,0)),0)*IFERROR(INDEX('D Fleet'!$K$5:$K$36,INT(($B61/I$5))+1)+(($B61/I$5)-INT(($B61/I$5)))*(INDEX('D Fleet'!$K$5:$K$36,INT(($B61/I$5))+2)-INDEX('D Fleet'!$K$5:$K$36,INT(($B61/I$5))+1)),0)</f>
        <v/>
      </c>
      <c r="J61" s="261">
        <f>IFERROR(INDEX('D Fleet'!$D$5:$D$63,MATCH(J$3-$B61,'D Fleet'!$B$5:$B$63,0)),0)*IFERROR(INDEX('D Fleet'!$K$5:$K$36,INT(($B61/J$5))+1)+(($B61/J$5)-INT(($B61/J$5)))*(INDEX('D Fleet'!$K$5:$K$36,INT(($B61/J$5))+2)-INDEX('D Fleet'!$K$5:$K$36,INT(($B61/J$5))+1)),0)</f>
        <v/>
      </c>
      <c r="K61" s="261">
        <f>IFERROR(INDEX('D Fleet'!$D$5:$D$63,MATCH(K$3-$B61,'D Fleet'!$B$5:$B$63,0)),0)*IFERROR(INDEX('D Fleet'!$K$5:$K$36,INT(($B61/K$5))+1)+(($B61/K$5)-INT(($B61/K$5)))*(INDEX('D Fleet'!$K$5:$K$36,INT(($B61/K$5))+2)-INDEX('D Fleet'!$K$5:$K$36,INT(($B61/K$5))+1)),0)</f>
        <v/>
      </c>
      <c r="L61" s="261">
        <f>IFERROR(INDEX('D Fleet'!$D$5:$D$63,MATCH(L$3-$B61,'D Fleet'!$B$5:$B$63,0)),0)*IFERROR(INDEX('D Fleet'!$K$5:$K$36,INT(($B61/L$5))+1)+(($B61/L$5)-INT(($B61/L$5)))*(INDEX('D Fleet'!$K$5:$K$36,INT(($B61/L$5))+2)-INDEX('D Fleet'!$K$5:$K$36,INT(($B61/L$5))+1)),0)</f>
        <v/>
      </c>
      <c r="M61" s="261">
        <f>IFERROR(INDEX('D Fleet'!$D$5:$D$63,MATCH(M$3-$B61,'D Fleet'!$B$5:$B$63,0)),0)*IFERROR(INDEX('D Fleet'!$K$5:$K$36,INT(($B61/M$5))+1)+(($B61/M$5)-INT(($B61/M$5)))*(INDEX('D Fleet'!$K$5:$K$36,INT(($B61/M$5))+2)-INDEX('D Fleet'!$K$5:$K$36,INT(($B61/M$5))+1)),0)</f>
        <v/>
      </c>
      <c r="N61" s="261">
        <f>IFERROR(INDEX('D Fleet'!$D$5:$D$63,MATCH(N$3-$B61,'D Fleet'!$B$5:$B$63,0)),0)*IFERROR(INDEX('D Fleet'!$K$5:$K$36,INT(($B61/N$5))+1)+(($B61/N$5)-INT(($B61/N$5)))*(INDEX('D Fleet'!$K$5:$K$36,INT(($B61/N$5))+2)-INDEX('D Fleet'!$K$5:$K$36,INT(($B61/N$5))+1)),0)</f>
        <v/>
      </c>
      <c r="P61" s="261">
        <f>E61*$D61*'E1 Fleet'!$D$98</f>
        <v/>
      </c>
      <c r="Q61" s="261">
        <f>F61*$D61*'E1 Fleet'!$D$98</f>
        <v/>
      </c>
      <c r="R61" s="261">
        <f>G61*$D61*'E1 Fleet'!$D$98</f>
        <v/>
      </c>
      <c r="S61" s="261">
        <f>H61*$D61*'E1 Fleet'!$D$98</f>
        <v/>
      </c>
      <c r="T61" s="261">
        <f>I61*$D61*'E1 Fleet'!$D$98</f>
        <v/>
      </c>
      <c r="U61" s="261">
        <f>J61*$D61*'E1 Fleet'!$D$98</f>
        <v/>
      </c>
      <c r="V61" s="261">
        <f>K61*$D61*'E1 Fleet'!$D$98</f>
        <v/>
      </c>
      <c r="W61" s="261">
        <f>L61*$D61*'E1 Fleet'!$D$98</f>
        <v/>
      </c>
      <c r="X61" s="261">
        <f>M61*$D61*'E1 Fleet'!$D$98</f>
        <v/>
      </c>
      <c r="Y61" s="261">
        <f>N61*$D61*'E1 Fleet'!$D$98</f>
        <v/>
      </c>
    </row>
    <row r="62">
      <c r="A62" t="inlineStr">
        <is>
          <t>SUV</t>
        </is>
      </c>
      <c r="B62" s="331" t="n">
        <v>9</v>
      </c>
      <c r="C62" s="331" t="n">
        <v>3</v>
      </c>
      <c r="D62" s="266">
        <f>IF($B62=0,'E1 Fleet'!$D$93,1)*EXP(-'E1 Fleet'!$D$94*MAX($B62-6,0))</f>
        <v/>
      </c>
      <c r="E62" s="261">
        <f>IFERROR(INDEX('D Fleet'!$D$5:$D$63,MATCH(E$3-$B62,'D Fleet'!$B$5:$B$63,0)),0)*IFERROR(INDEX('D Fleet'!$K$5:$K$36,INT(($B62/E$5))+1)+(($B62/E$5)-INT(($B62/E$5)))*(INDEX('D Fleet'!$K$5:$K$36,INT(($B62/E$5))+2)-INDEX('D Fleet'!$K$5:$K$36,INT(($B62/E$5))+1)),0)</f>
        <v/>
      </c>
      <c r="F62" s="261">
        <f>IFERROR(INDEX('D Fleet'!$D$5:$D$63,MATCH(F$3-$B62,'D Fleet'!$B$5:$B$63,0)),0)*IFERROR(INDEX('D Fleet'!$K$5:$K$36,INT(($B62/F$5))+1)+(($B62/F$5)-INT(($B62/F$5)))*(INDEX('D Fleet'!$K$5:$K$36,INT(($B62/F$5))+2)-INDEX('D Fleet'!$K$5:$K$36,INT(($B62/F$5))+1)),0)</f>
        <v/>
      </c>
      <c r="G62" s="261">
        <f>IFERROR(INDEX('D Fleet'!$D$5:$D$63,MATCH(G$3-$B62,'D Fleet'!$B$5:$B$63,0)),0)*IFERROR(INDEX('D Fleet'!$K$5:$K$36,INT(($B62/G$5))+1)+(($B62/G$5)-INT(($B62/G$5)))*(INDEX('D Fleet'!$K$5:$K$36,INT(($B62/G$5))+2)-INDEX('D Fleet'!$K$5:$K$36,INT(($B62/G$5))+1)),0)</f>
        <v/>
      </c>
      <c r="H62" s="261">
        <f>IFERROR(INDEX('D Fleet'!$D$5:$D$63,MATCH(H$3-$B62,'D Fleet'!$B$5:$B$63,0)),0)*IFERROR(INDEX('D Fleet'!$K$5:$K$36,INT(($B62/H$5))+1)+(($B62/H$5)-INT(($B62/H$5)))*(INDEX('D Fleet'!$K$5:$K$36,INT(($B62/H$5))+2)-INDEX('D Fleet'!$K$5:$K$36,INT(($B62/H$5))+1)),0)</f>
        <v/>
      </c>
      <c r="I62" s="261">
        <f>IFERROR(INDEX('D Fleet'!$D$5:$D$63,MATCH(I$3-$B62,'D Fleet'!$B$5:$B$63,0)),0)*IFERROR(INDEX('D Fleet'!$K$5:$K$36,INT(($B62/I$5))+1)+(($B62/I$5)-INT(($B62/I$5)))*(INDEX('D Fleet'!$K$5:$K$36,INT(($B62/I$5))+2)-INDEX('D Fleet'!$K$5:$K$36,INT(($B62/I$5))+1)),0)</f>
        <v/>
      </c>
      <c r="J62" s="261">
        <f>IFERROR(INDEX('D Fleet'!$D$5:$D$63,MATCH(J$3-$B62,'D Fleet'!$B$5:$B$63,0)),0)*IFERROR(INDEX('D Fleet'!$K$5:$K$36,INT(($B62/J$5))+1)+(($B62/J$5)-INT(($B62/J$5)))*(INDEX('D Fleet'!$K$5:$K$36,INT(($B62/J$5))+2)-INDEX('D Fleet'!$K$5:$K$36,INT(($B62/J$5))+1)),0)</f>
        <v/>
      </c>
      <c r="K62" s="261">
        <f>IFERROR(INDEX('D Fleet'!$D$5:$D$63,MATCH(K$3-$B62,'D Fleet'!$B$5:$B$63,0)),0)*IFERROR(INDEX('D Fleet'!$K$5:$K$36,INT(($B62/K$5))+1)+(($B62/K$5)-INT(($B62/K$5)))*(INDEX('D Fleet'!$K$5:$K$36,INT(($B62/K$5))+2)-INDEX('D Fleet'!$K$5:$K$36,INT(($B62/K$5))+1)),0)</f>
        <v/>
      </c>
      <c r="L62" s="261">
        <f>IFERROR(INDEX('D Fleet'!$D$5:$D$63,MATCH(L$3-$B62,'D Fleet'!$B$5:$B$63,0)),0)*IFERROR(INDEX('D Fleet'!$K$5:$K$36,INT(($B62/L$5))+1)+(($B62/L$5)-INT(($B62/L$5)))*(INDEX('D Fleet'!$K$5:$K$36,INT(($B62/L$5))+2)-INDEX('D Fleet'!$K$5:$K$36,INT(($B62/L$5))+1)),0)</f>
        <v/>
      </c>
      <c r="M62" s="261">
        <f>IFERROR(INDEX('D Fleet'!$D$5:$D$63,MATCH(M$3-$B62,'D Fleet'!$B$5:$B$63,0)),0)*IFERROR(INDEX('D Fleet'!$K$5:$K$36,INT(($B62/M$5))+1)+(($B62/M$5)-INT(($B62/M$5)))*(INDEX('D Fleet'!$K$5:$K$36,INT(($B62/M$5))+2)-INDEX('D Fleet'!$K$5:$K$36,INT(($B62/M$5))+1)),0)</f>
        <v/>
      </c>
      <c r="N62" s="261">
        <f>IFERROR(INDEX('D Fleet'!$D$5:$D$63,MATCH(N$3-$B62,'D Fleet'!$B$5:$B$63,0)),0)*IFERROR(INDEX('D Fleet'!$K$5:$K$36,INT(($B62/N$5))+1)+(($B62/N$5)-INT(($B62/N$5)))*(INDEX('D Fleet'!$K$5:$K$36,INT(($B62/N$5))+2)-INDEX('D Fleet'!$K$5:$K$36,INT(($B62/N$5))+1)),0)</f>
        <v/>
      </c>
      <c r="P62" s="261">
        <f>E62*$D62*'E1 Fleet'!$D$98</f>
        <v/>
      </c>
      <c r="Q62" s="261">
        <f>F62*$D62*'E1 Fleet'!$D$98</f>
        <v/>
      </c>
      <c r="R62" s="261">
        <f>G62*$D62*'E1 Fleet'!$D$98</f>
        <v/>
      </c>
      <c r="S62" s="261">
        <f>H62*$D62*'E1 Fleet'!$D$98</f>
        <v/>
      </c>
      <c r="T62" s="261">
        <f>I62*$D62*'E1 Fleet'!$D$98</f>
        <v/>
      </c>
      <c r="U62" s="261">
        <f>J62*$D62*'E1 Fleet'!$D$98</f>
        <v/>
      </c>
      <c r="V62" s="261">
        <f>K62*$D62*'E1 Fleet'!$D$98</f>
        <v/>
      </c>
      <c r="W62" s="261">
        <f>L62*$D62*'E1 Fleet'!$D$98</f>
        <v/>
      </c>
      <c r="X62" s="261">
        <f>M62*$D62*'E1 Fleet'!$D$98</f>
        <v/>
      </c>
      <c r="Y62" s="261">
        <f>N62*$D62*'E1 Fleet'!$D$98</f>
        <v/>
      </c>
    </row>
    <row r="63">
      <c r="A63" t="inlineStr">
        <is>
          <t>SUV</t>
        </is>
      </c>
      <c r="B63" s="331" t="n">
        <v>10</v>
      </c>
      <c r="C63" s="331" t="n">
        <v>3</v>
      </c>
      <c r="D63" s="266">
        <f>IF($B63=0,'E1 Fleet'!$D$93,1)*EXP(-'E1 Fleet'!$D$94*MAX($B63-6,0))</f>
        <v/>
      </c>
      <c r="E63" s="261">
        <f>IFERROR(INDEX('D Fleet'!$D$5:$D$63,MATCH(E$3-$B63,'D Fleet'!$B$5:$B$63,0)),0)*IFERROR(INDEX('D Fleet'!$K$5:$K$36,INT(($B63/E$5))+1)+(($B63/E$5)-INT(($B63/E$5)))*(INDEX('D Fleet'!$K$5:$K$36,INT(($B63/E$5))+2)-INDEX('D Fleet'!$K$5:$K$36,INT(($B63/E$5))+1)),0)</f>
        <v/>
      </c>
      <c r="F63" s="261">
        <f>IFERROR(INDEX('D Fleet'!$D$5:$D$63,MATCH(F$3-$B63,'D Fleet'!$B$5:$B$63,0)),0)*IFERROR(INDEX('D Fleet'!$K$5:$K$36,INT(($B63/F$5))+1)+(($B63/F$5)-INT(($B63/F$5)))*(INDEX('D Fleet'!$K$5:$K$36,INT(($B63/F$5))+2)-INDEX('D Fleet'!$K$5:$K$36,INT(($B63/F$5))+1)),0)</f>
        <v/>
      </c>
      <c r="G63" s="261">
        <f>IFERROR(INDEX('D Fleet'!$D$5:$D$63,MATCH(G$3-$B63,'D Fleet'!$B$5:$B$63,0)),0)*IFERROR(INDEX('D Fleet'!$K$5:$K$36,INT(($B63/G$5))+1)+(($B63/G$5)-INT(($B63/G$5)))*(INDEX('D Fleet'!$K$5:$K$36,INT(($B63/G$5))+2)-INDEX('D Fleet'!$K$5:$K$36,INT(($B63/G$5))+1)),0)</f>
        <v/>
      </c>
      <c r="H63" s="261">
        <f>IFERROR(INDEX('D Fleet'!$D$5:$D$63,MATCH(H$3-$B63,'D Fleet'!$B$5:$B$63,0)),0)*IFERROR(INDEX('D Fleet'!$K$5:$K$36,INT(($B63/H$5))+1)+(($B63/H$5)-INT(($B63/H$5)))*(INDEX('D Fleet'!$K$5:$K$36,INT(($B63/H$5))+2)-INDEX('D Fleet'!$K$5:$K$36,INT(($B63/H$5))+1)),0)</f>
        <v/>
      </c>
      <c r="I63" s="261">
        <f>IFERROR(INDEX('D Fleet'!$D$5:$D$63,MATCH(I$3-$B63,'D Fleet'!$B$5:$B$63,0)),0)*IFERROR(INDEX('D Fleet'!$K$5:$K$36,INT(($B63/I$5))+1)+(($B63/I$5)-INT(($B63/I$5)))*(INDEX('D Fleet'!$K$5:$K$36,INT(($B63/I$5))+2)-INDEX('D Fleet'!$K$5:$K$36,INT(($B63/I$5))+1)),0)</f>
        <v/>
      </c>
      <c r="J63" s="261">
        <f>IFERROR(INDEX('D Fleet'!$D$5:$D$63,MATCH(J$3-$B63,'D Fleet'!$B$5:$B$63,0)),0)*IFERROR(INDEX('D Fleet'!$K$5:$K$36,INT(($B63/J$5))+1)+(($B63/J$5)-INT(($B63/J$5)))*(INDEX('D Fleet'!$K$5:$K$36,INT(($B63/J$5))+2)-INDEX('D Fleet'!$K$5:$K$36,INT(($B63/J$5))+1)),0)</f>
        <v/>
      </c>
      <c r="K63" s="261">
        <f>IFERROR(INDEX('D Fleet'!$D$5:$D$63,MATCH(K$3-$B63,'D Fleet'!$B$5:$B$63,0)),0)*IFERROR(INDEX('D Fleet'!$K$5:$K$36,INT(($B63/K$5))+1)+(($B63/K$5)-INT(($B63/K$5)))*(INDEX('D Fleet'!$K$5:$K$36,INT(($B63/K$5))+2)-INDEX('D Fleet'!$K$5:$K$36,INT(($B63/K$5))+1)),0)</f>
        <v/>
      </c>
      <c r="L63" s="261">
        <f>IFERROR(INDEX('D Fleet'!$D$5:$D$63,MATCH(L$3-$B63,'D Fleet'!$B$5:$B$63,0)),0)*IFERROR(INDEX('D Fleet'!$K$5:$K$36,INT(($B63/L$5))+1)+(($B63/L$5)-INT(($B63/L$5)))*(INDEX('D Fleet'!$K$5:$K$36,INT(($B63/L$5))+2)-INDEX('D Fleet'!$K$5:$K$36,INT(($B63/L$5))+1)),0)</f>
        <v/>
      </c>
      <c r="M63" s="261">
        <f>IFERROR(INDEX('D Fleet'!$D$5:$D$63,MATCH(M$3-$B63,'D Fleet'!$B$5:$B$63,0)),0)*IFERROR(INDEX('D Fleet'!$K$5:$K$36,INT(($B63/M$5))+1)+(($B63/M$5)-INT(($B63/M$5)))*(INDEX('D Fleet'!$K$5:$K$36,INT(($B63/M$5))+2)-INDEX('D Fleet'!$K$5:$K$36,INT(($B63/M$5))+1)),0)</f>
        <v/>
      </c>
      <c r="N63" s="261">
        <f>IFERROR(INDEX('D Fleet'!$D$5:$D$63,MATCH(N$3-$B63,'D Fleet'!$B$5:$B$63,0)),0)*IFERROR(INDEX('D Fleet'!$K$5:$K$36,INT(($B63/N$5))+1)+(($B63/N$5)-INT(($B63/N$5)))*(INDEX('D Fleet'!$K$5:$K$36,INT(($B63/N$5))+2)-INDEX('D Fleet'!$K$5:$K$36,INT(($B63/N$5))+1)),0)</f>
        <v/>
      </c>
      <c r="P63" s="261">
        <f>E63*$D63*'E1 Fleet'!$D$98</f>
        <v/>
      </c>
      <c r="Q63" s="261">
        <f>F63*$D63*'E1 Fleet'!$D$98</f>
        <v/>
      </c>
      <c r="R63" s="261">
        <f>G63*$D63*'E1 Fleet'!$D$98</f>
        <v/>
      </c>
      <c r="S63" s="261">
        <f>H63*$D63*'E1 Fleet'!$D$98</f>
        <v/>
      </c>
      <c r="T63" s="261">
        <f>I63*$D63*'E1 Fleet'!$D$98</f>
        <v/>
      </c>
      <c r="U63" s="261">
        <f>J63*$D63*'E1 Fleet'!$D$98</f>
        <v/>
      </c>
      <c r="V63" s="261">
        <f>K63*$D63*'E1 Fleet'!$D$98</f>
        <v/>
      </c>
      <c r="W63" s="261">
        <f>L63*$D63*'E1 Fleet'!$D$98</f>
        <v/>
      </c>
      <c r="X63" s="261">
        <f>M63*$D63*'E1 Fleet'!$D$98</f>
        <v/>
      </c>
      <c r="Y63" s="261">
        <f>N63*$D63*'E1 Fleet'!$D$98</f>
        <v/>
      </c>
    </row>
    <row r="64">
      <c r="A64" t="inlineStr">
        <is>
          <t>SUV</t>
        </is>
      </c>
      <c r="B64" s="331" t="n">
        <v>11</v>
      </c>
      <c r="C64" s="331" t="n">
        <v>3</v>
      </c>
      <c r="D64" s="266">
        <f>IF($B64=0,'E1 Fleet'!$D$93,1)*EXP(-'E1 Fleet'!$D$94*MAX($B64-6,0))</f>
        <v/>
      </c>
      <c r="E64" s="261">
        <f>IFERROR(INDEX('D Fleet'!$D$5:$D$63,MATCH(E$3-$B64,'D Fleet'!$B$5:$B$63,0)),0)*IFERROR(INDEX('D Fleet'!$K$5:$K$36,INT(($B64/E$5))+1)+(($B64/E$5)-INT(($B64/E$5)))*(INDEX('D Fleet'!$K$5:$K$36,INT(($B64/E$5))+2)-INDEX('D Fleet'!$K$5:$K$36,INT(($B64/E$5))+1)),0)</f>
        <v/>
      </c>
      <c r="F64" s="261">
        <f>IFERROR(INDEX('D Fleet'!$D$5:$D$63,MATCH(F$3-$B64,'D Fleet'!$B$5:$B$63,0)),0)*IFERROR(INDEX('D Fleet'!$K$5:$K$36,INT(($B64/F$5))+1)+(($B64/F$5)-INT(($B64/F$5)))*(INDEX('D Fleet'!$K$5:$K$36,INT(($B64/F$5))+2)-INDEX('D Fleet'!$K$5:$K$36,INT(($B64/F$5))+1)),0)</f>
        <v/>
      </c>
      <c r="G64" s="261">
        <f>IFERROR(INDEX('D Fleet'!$D$5:$D$63,MATCH(G$3-$B64,'D Fleet'!$B$5:$B$63,0)),0)*IFERROR(INDEX('D Fleet'!$K$5:$K$36,INT(($B64/G$5))+1)+(($B64/G$5)-INT(($B64/G$5)))*(INDEX('D Fleet'!$K$5:$K$36,INT(($B64/G$5))+2)-INDEX('D Fleet'!$K$5:$K$36,INT(($B64/G$5))+1)),0)</f>
        <v/>
      </c>
      <c r="H64" s="261">
        <f>IFERROR(INDEX('D Fleet'!$D$5:$D$63,MATCH(H$3-$B64,'D Fleet'!$B$5:$B$63,0)),0)*IFERROR(INDEX('D Fleet'!$K$5:$K$36,INT(($B64/H$5))+1)+(($B64/H$5)-INT(($B64/H$5)))*(INDEX('D Fleet'!$K$5:$K$36,INT(($B64/H$5))+2)-INDEX('D Fleet'!$K$5:$K$36,INT(($B64/H$5))+1)),0)</f>
        <v/>
      </c>
      <c r="I64" s="261">
        <f>IFERROR(INDEX('D Fleet'!$D$5:$D$63,MATCH(I$3-$B64,'D Fleet'!$B$5:$B$63,0)),0)*IFERROR(INDEX('D Fleet'!$K$5:$K$36,INT(($B64/I$5))+1)+(($B64/I$5)-INT(($B64/I$5)))*(INDEX('D Fleet'!$K$5:$K$36,INT(($B64/I$5))+2)-INDEX('D Fleet'!$K$5:$K$36,INT(($B64/I$5))+1)),0)</f>
        <v/>
      </c>
      <c r="J64" s="261">
        <f>IFERROR(INDEX('D Fleet'!$D$5:$D$63,MATCH(J$3-$B64,'D Fleet'!$B$5:$B$63,0)),0)*IFERROR(INDEX('D Fleet'!$K$5:$K$36,INT(($B64/J$5))+1)+(($B64/J$5)-INT(($B64/J$5)))*(INDEX('D Fleet'!$K$5:$K$36,INT(($B64/J$5))+2)-INDEX('D Fleet'!$K$5:$K$36,INT(($B64/J$5))+1)),0)</f>
        <v/>
      </c>
      <c r="K64" s="261">
        <f>IFERROR(INDEX('D Fleet'!$D$5:$D$63,MATCH(K$3-$B64,'D Fleet'!$B$5:$B$63,0)),0)*IFERROR(INDEX('D Fleet'!$K$5:$K$36,INT(($B64/K$5))+1)+(($B64/K$5)-INT(($B64/K$5)))*(INDEX('D Fleet'!$K$5:$K$36,INT(($B64/K$5))+2)-INDEX('D Fleet'!$K$5:$K$36,INT(($B64/K$5))+1)),0)</f>
        <v/>
      </c>
      <c r="L64" s="261">
        <f>IFERROR(INDEX('D Fleet'!$D$5:$D$63,MATCH(L$3-$B64,'D Fleet'!$B$5:$B$63,0)),0)*IFERROR(INDEX('D Fleet'!$K$5:$K$36,INT(($B64/L$5))+1)+(($B64/L$5)-INT(($B64/L$5)))*(INDEX('D Fleet'!$K$5:$K$36,INT(($B64/L$5))+2)-INDEX('D Fleet'!$K$5:$K$36,INT(($B64/L$5))+1)),0)</f>
        <v/>
      </c>
      <c r="M64" s="261">
        <f>IFERROR(INDEX('D Fleet'!$D$5:$D$63,MATCH(M$3-$B64,'D Fleet'!$B$5:$B$63,0)),0)*IFERROR(INDEX('D Fleet'!$K$5:$K$36,INT(($B64/M$5))+1)+(($B64/M$5)-INT(($B64/M$5)))*(INDEX('D Fleet'!$K$5:$K$36,INT(($B64/M$5))+2)-INDEX('D Fleet'!$K$5:$K$36,INT(($B64/M$5))+1)),0)</f>
        <v/>
      </c>
      <c r="N64" s="261">
        <f>IFERROR(INDEX('D Fleet'!$D$5:$D$63,MATCH(N$3-$B64,'D Fleet'!$B$5:$B$63,0)),0)*IFERROR(INDEX('D Fleet'!$K$5:$K$36,INT(($B64/N$5))+1)+(($B64/N$5)-INT(($B64/N$5)))*(INDEX('D Fleet'!$K$5:$K$36,INT(($B64/N$5))+2)-INDEX('D Fleet'!$K$5:$K$36,INT(($B64/N$5))+1)),0)</f>
        <v/>
      </c>
      <c r="P64" s="261">
        <f>E64*$D64*'E1 Fleet'!$D$98</f>
        <v/>
      </c>
      <c r="Q64" s="261">
        <f>F64*$D64*'E1 Fleet'!$D$98</f>
        <v/>
      </c>
      <c r="R64" s="261">
        <f>G64*$D64*'E1 Fleet'!$D$98</f>
        <v/>
      </c>
      <c r="S64" s="261">
        <f>H64*$D64*'E1 Fleet'!$D$98</f>
        <v/>
      </c>
      <c r="T64" s="261">
        <f>I64*$D64*'E1 Fleet'!$D$98</f>
        <v/>
      </c>
      <c r="U64" s="261">
        <f>J64*$D64*'E1 Fleet'!$D$98</f>
        <v/>
      </c>
      <c r="V64" s="261">
        <f>K64*$D64*'E1 Fleet'!$D$98</f>
        <v/>
      </c>
      <c r="W64" s="261">
        <f>L64*$D64*'E1 Fleet'!$D$98</f>
        <v/>
      </c>
      <c r="X64" s="261">
        <f>M64*$D64*'E1 Fleet'!$D$98</f>
        <v/>
      </c>
      <c r="Y64" s="261">
        <f>N64*$D64*'E1 Fleet'!$D$98</f>
        <v/>
      </c>
    </row>
    <row r="65">
      <c r="A65" t="inlineStr">
        <is>
          <t>SUV</t>
        </is>
      </c>
      <c r="B65" s="331" t="n">
        <v>12</v>
      </c>
      <c r="C65" s="331" t="n">
        <v>3</v>
      </c>
      <c r="D65" s="266">
        <f>IF($B65=0,'E1 Fleet'!$D$93,1)*EXP(-'E1 Fleet'!$D$94*MAX($B65-6,0))</f>
        <v/>
      </c>
      <c r="E65" s="261">
        <f>IFERROR(INDEX('D Fleet'!$D$5:$D$63,MATCH(E$3-$B65,'D Fleet'!$B$5:$B$63,0)),0)*IFERROR(INDEX('D Fleet'!$K$5:$K$36,INT(($B65/E$5))+1)+(($B65/E$5)-INT(($B65/E$5)))*(INDEX('D Fleet'!$K$5:$K$36,INT(($B65/E$5))+2)-INDEX('D Fleet'!$K$5:$K$36,INT(($B65/E$5))+1)),0)</f>
        <v/>
      </c>
      <c r="F65" s="261">
        <f>IFERROR(INDEX('D Fleet'!$D$5:$D$63,MATCH(F$3-$B65,'D Fleet'!$B$5:$B$63,0)),0)*IFERROR(INDEX('D Fleet'!$K$5:$K$36,INT(($B65/F$5))+1)+(($B65/F$5)-INT(($B65/F$5)))*(INDEX('D Fleet'!$K$5:$K$36,INT(($B65/F$5))+2)-INDEX('D Fleet'!$K$5:$K$36,INT(($B65/F$5))+1)),0)</f>
        <v/>
      </c>
      <c r="G65" s="261">
        <f>IFERROR(INDEX('D Fleet'!$D$5:$D$63,MATCH(G$3-$B65,'D Fleet'!$B$5:$B$63,0)),0)*IFERROR(INDEX('D Fleet'!$K$5:$K$36,INT(($B65/G$5))+1)+(($B65/G$5)-INT(($B65/G$5)))*(INDEX('D Fleet'!$K$5:$K$36,INT(($B65/G$5))+2)-INDEX('D Fleet'!$K$5:$K$36,INT(($B65/G$5))+1)),0)</f>
        <v/>
      </c>
      <c r="H65" s="261">
        <f>IFERROR(INDEX('D Fleet'!$D$5:$D$63,MATCH(H$3-$B65,'D Fleet'!$B$5:$B$63,0)),0)*IFERROR(INDEX('D Fleet'!$K$5:$K$36,INT(($B65/H$5))+1)+(($B65/H$5)-INT(($B65/H$5)))*(INDEX('D Fleet'!$K$5:$K$36,INT(($B65/H$5))+2)-INDEX('D Fleet'!$K$5:$K$36,INT(($B65/H$5))+1)),0)</f>
        <v/>
      </c>
      <c r="I65" s="261">
        <f>IFERROR(INDEX('D Fleet'!$D$5:$D$63,MATCH(I$3-$B65,'D Fleet'!$B$5:$B$63,0)),0)*IFERROR(INDEX('D Fleet'!$K$5:$K$36,INT(($B65/I$5))+1)+(($B65/I$5)-INT(($B65/I$5)))*(INDEX('D Fleet'!$K$5:$K$36,INT(($B65/I$5))+2)-INDEX('D Fleet'!$K$5:$K$36,INT(($B65/I$5))+1)),0)</f>
        <v/>
      </c>
      <c r="J65" s="261">
        <f>IFERROR(INDEX('D Fleet'!$D$5:$D$63,MATCH(J$3-$B65,'D Fleet'!$B$5:$B$63,0)),0)*IFERROR(INDEX('D Fleet'!$K$5:$K$36,INT(($B65/J$5))+1)+(($B65/J$5)-INT(($B65/J$5)))*(INDEX('D Fleet'!$K$5:$K$36,INT(($B65/J$5))+2)-INDEX('D Fleet'!$K$5:$K$36,INT(($B65/J$5))+1)),0)</f>
        <v/>
      </c>
      <c r="K65" s="261">
        <f>IFERROR(INDEX('D Fleet'!$D$5:$D$63,MATCH(K$3-$B65,'D Fleet'!$B$5:$B$63,0)),0)*IFERROR(INDEX('D Fleet'!$K$5:$K$36,INT(($B65/K$5))+1)+(($B65/K$5)-INT(($B65/K$5)))*(INDEX('D Fleet'!$K$5:$K$36,INT(($B65/K$5))+2)-INDEX('D Fleet'!$K$5:$K$36,INT(($B65/K$5))+1)),0)</f>
        <v/>
      </c>
      <c r="L65" s="261">
        <f>IFERROR(INDEX('D Fleet'!$D$5:$D$63,MATCH(L$3-$B65,'D Fleet'!$B$5:$B$63,0)),0)*IFERROR(INDEX('D Fleet'!$K$5:$K$36,INT(($B65/L$5))+1)+(($B65/L$5)-INT(($B65/L$5)))*(INDEX('D Fleet'!$K$5:$K$36,INT(($B65/L$5))+2)-INDEX('D Fleet'!$K$5:$K$36,INT(($B65/L$5))+1)),0)</f>
        <v/>
      </c>
      <c r="M65" s="261">
        <f>IFERROR(INDEX('D Fleet'!$D$5:$D$63,MATCH(M$3-$B65,'D Fleet'!$B$5:$B$63,0)),0)*IFERROR(INDEX('D Fleet'!$K$5:$K$36,INT(($B65/M$5))+1)+(($B65/M$5)-INT(($B65/M$5)))*(INDEX('D Fleet'!$K$5:$K$36,INT(($B65/M$5))+2)-INDEX('D Fleet'!$K$5:$K$36,INT(($B65/M$5))+1)),0)</f>
        <v/>
      </c>
      <c r="N65" s="261">
        <f>IFERROR(INDEX('D Fleet'!$D$5:$D$63,MATCH(N$3-$B65,'D Fleet'!$B$5:$B$63,0)),0)*IFERROR(INDEX('D Fleet'!$K$5:$K$36,INT(($B65/N$5))+1)+(($B65/N$5)-INT(($B65/N$5)))*(INDEX('D Fleet'!$K$5:$K$36,INT(($B65/N$5))+2)-INDEX('D Fleet'!$K$5:$K$36,INT(($B65/N$5))+1)),0)</f>
        <v/>
      </c>
      <c r="P65" s="261">
        <f>E65*$D65*'E1 Fleet'!$D$98</f>
        <v/>
      </c>
      <c r="Q65" s="261">
        <f>F65*$D65*'E1 Fleet'!$D$98</f>
        <v/>
      </c>
      <c r="R65" s="261">
        <f>G65*$D65*'E1 Fleet'!$D$98</f>
        <v/>
      </c>
      <c r="S65" s="261">
        <f>H65*$D65*'E1 Fleet'!$D$98</f>
        <v/>
      </c>
      <c r="T65" s="261">
        <f>I65*$D65*'E1 Fleet'!$D$98</f>
        <v/>
      </c>
      <c r="U65" s="261">
        <f>J65*$D65*'E1 Fleet'!$D$98</f>
        <v/>
      </c>
      <c r="V65" s="261">
        <f>K65*$D65*'E1 Fleet'!$D$98</f>
        <v/>
      </c>
      <c r="W65" s="261">
        <f>L65*$D65*'E1 Fleet'!$D$98</f>
        <v/>
      </c>
      <c r="X65" s="261">
        <f>M65*$D65*'E1 Fleet'!$D$98</f>
        <v/>
      </c>
      <c r="Y65" s="261">
        <f>N65*$D65*'E1 Fleet'!$D$98</f>
        <v/>
      </c>
    </row>
    <row r="66">
      <c r="A66" t="inlineStr">
        <is>
          <t>SUV</t>
        </is>
      </c>
      <c r="B66" s="331" t="n">
        <v>13</v>
      </c>
      <c r="C66" s="331" t="n">
        <v>3</v>
      </c>
      <c r="D66" s="266">
        <f>IF($B66=0,'E1 Fleet'!$D$93,1)*EXP(-'E1 Fleet'!$D$94*MAX($B66-6,0))</f>
        <v/>
      </c>
      <c r="E66" s="261">
        <f>IFERROR(INDEX('D Fleet'!$D$5:$D$63,MATCH(E$3-$B66,'D Fleet'!$B$5:$B$63,0)),0)*IFERROR(INDEX('D Fleet'!$K$5:$K$36,INT(($B66/E$5))+1)+(($B66/E$5)-INT(($B66/E$5)))*(INDEX('D Fleet'!$K$5:$K$36,INT(($B66/E$5))+2)-INDEX('D Fleet'!$K$5:$K$36,INT(($B66/E$5))+1)),0)</f>
        <v/>
      </c>
      <c r="F66" s="261">
        <f>IFERROR(INDEX('D Fleet'!$D$5:$D$63,MATCH(F$3-$B66,'D Fleet'!$B$5:$B$63,0)),0)*IFERROR(INDEX('D Fleet'!$K$5:$K$36,INT(($B66/F$5))+1)+(($B66/F$5)-INT(($B66/F$5)))*(INDEX('D Fleet'!$K$5:$K$36,INT(($B66/F$5))+2)-INDEX('D Fleet'!$K$5:$K$36,INT(($B66/F$5))+1)),0)</f>
        <v/>
      </c>
      <c r="G66" s="261">
        <f>IFERROR(INDEX('D Fleet'!$D$5:$D$63,MATCH(G$3-$B66,'D Fleet'!$B$5:$B$63,0)),0)*IFERROR(INDEX('D Fleet'!$K$5:$K$36,INT(($B66/G$5))+1)+(($B66/G$5)-INT(($B66/G$5)))*(INDEX('D Fleet'!$K$5:$K$36,INT(($B66/G$5))+2)-INDEX('D Fleet'!$K$5:$K$36,INT(($B66/G$5))+1)),0)</f>
        <v/>
      </c>
      <c r="H66" s="261">
        <f>IFERROR(INDEX('D Fleet'!$D$5:$D$63,MATCH(H$3-$B66,'D Fleet'!$B$5:$B$63,0)),0)*IFERROR(INDEX('D Fleet'!$K$5:$K$36,INT(($B66/H$5))+1)+(($B66/H$5)-INT(($B66/H$5)))*(INDEX('D Fleet'!$K$5:$K$36,INT(($B66/H$5))+2)-INDEX('D Fleet'!$K$5:$K$36,INT(($B66/H$5))+1)),0)</f>
        <v/>
      </c>
      <c r="I66" s="261">
        <f>IFERROR(INDEX('D Fleet'!$D$5:$D$63,MATCH(I$3-$B66,'D Fleet'!$B$5:$B$63,0)),0)*IFERROR(INDEX('D Fleet'!$K$5:$K$36,INT(($B66/I$5))+1)+(($B66/I$5)-INT(($B66/I$5)))*(INDEX('D Fleet'!$K$5:$K$36,INT(($B66/I$5))+2)-INDEX('D Fleet'!$K$5:$K$36,INT(($B66/I$5))+1)),0)</f>
        <v/>
      </c>
      <c r="J66" s="261">
        <f>IFERROR(INDEX('D Fleet'!$D$5:$D$63,MATCH(J$3-$B66,'D Fleet'!$B$5:$B$63,0)),0)*IFERROR(INDEX('D Fleet'!$K$5:$K$36,INT(($B66/J$5))+1)+(($B66/J$5)-INT(($B66/J$5)))*(INDEX('D Fleet'!$K$5:$K$36,INT(($B66/J$5))+2)-INDEX('D Fleet'!$K$5:$K$36,INT(($B66/J$5))+1)),0)</f>
        <v/>
      </c>
      <c r="K66" s="261">
        <f>IFERROR(INDEX('D Fleet'!$D$5:$D$63,MATCH(K$3-$B66,'D Fleet'!$B$5:$B$63,0)),0)*IFERROR(INDEX('D Fleet'!$K$5:$K$36,INT(($B66/K$5))+1)+(($B66/K$5)-INT(($B66/K$5)))*(INDEX('D Fleet'!$K$5:$K$36,INT(($B66/K$5))+2)-INDEX('D Fleet'!$K$5:$K$36,INT(($B66/K$5))+1)),0)</f>
        <v/>
      </c>
      <c r="L66" s="261">
        <f>IFERROR(INDEX('D Fleet'!$D$5:$D$63,MATCH(L$3-$B66,'D Fleet'!$B$5:$B$63,0)),0)*IFERROR(INDEX('D Fleet'!$K$5:$K$36,INT(($B66/L$5))+1)+(($B66/L$5)-INT(($B66/L$5)))*(INDEX('D Fleet'!$K$5:$K$36,INT(($B66/L$5))+2)-INDEX('D Fleet'!$K$5:$K$36,INT(($B66/L$5))+1)),0)</f>
        <v/>
      </c>
      <c r="M66" s="261">
        <f>IFERROR(INDEX('D Fleet'!$D$5:$D$63,MATCH(M$3-$B66,'D Fleet'!$B$5:$B$63,0)),0)*IFERROR(INDEX('D Fleet'!$K$5:$K$36,INT(($B66/M$5))+1)+(($B66/M$5)-INT(($B66/M$5)))*(INDEX('D Fleet'!$K$5:$K$36,INT(($B66/M$5))+2)-INDEX('D Fleet'!$K$5:$K$36,INT(($B66/M$5))+1)),0)</f>
        <v/>
      </c>
      <c r="N66" s="261">
        <f>IFERROR(INDEX('D Fleet'!$D$5:$D$63,MATCH(N$3-$B66,'D Fleet'!$B$5:$B$63,0)),0)*IFERROR(INDEX('D Fleet'!$K$5:$K$36,INT(($B66/N$5))+1)+(($B66/N$5)-INT(($B66/N$5)))*(INDEX('D Fleet'!$K$5:$K$36,INT(($B66/N$5))+2)-INDEX('D Fleet'!$K$5:$K$36,INT(($B66/N$5))+1)),0)</f>
        <v/>
      </c>
      <c r="P66" s="261">
        <f>E66*$D66*'E1 Fleet'!$D$98</f>
        <v/>
      </c>
      <c r="Q66" s="261">
        <f>F66*$D66*'E1 Fleet'!$D$98</f>
        <v/>
      </c>
      <c r="R66" s="261">
        <f>G66*$D66*'E1 Fleet'!$D$98</f>
        <v/>
      </c>
      <c r="S66" s="261">
        <f>H66*$D66*'E1 Fleet'!$D$98</f>
        <v/>
      </c>
      <c r="T66" s="261">
        <f>I66*$D66*'E1 Fleet'!$D$98</f>
        <v/>
      </c>
      <c r="U66" s="261">
        <f>J66*$D66*'E1 Fleet'!$D$98</f>
        <v/>
      </c>
      <c r="V66" s="261">
        <f>K66*$D66*'E1 Fleet'!$D$98</f>
        <v/>
      </c>
      <c r="W66" s="261">
        <f>L66*$D66*'E1 Fleet'!$D$98</f>
        <v/>
      </c>
      <c r="X66" s="261">
        <f>M66*$D66*'E1 Fleet'!$D$98</f>
        <v/>
      </c>
      <c r="Y66" s="261">
        <f>N66*$D66*'E1 Fleet'!$D$98</f>
        <v/>
      </c>
    </row>
    <row r="67">
      <c r="A67" t="inlineStr">
        <is>
          <t>SUV</t>
        </is>
      </c>
      <c r="B67" s="331" t="n">
        <v>14</v>
      </c>
      <c r="C67" s="331" t="n">
        <v>3</v>
      </c>
      <c r="D67" s="266">
        <f>IF($B67=0,'E1 Fleet'!$D$93,1)*EXP(-'E1 Fleet'!$D$94*MAX($B67-6,0))</f>
        <v/>
      </c>
      <c r="E67" s="261">
        <f>IFERROR(INDEX('D Fleet'!$D$5:$D$63,MATCH(E$3-$B67,'D Fleet'!$B$5:$B$63,0)),0)*IFERROR(INDEX('D Fleet'!$K$5:$K$36,INT(($B67/E$5))+1)+(($B67/E$5)-INT(($B67/E$5)))*(INDEX('D Fleet'!$K$5:$K$36,INT(($B67/E$5))+2)-INDEX('D Fleet'!$K$5:$K$36,INT(($B67/E$5))+1)),0)</f>
        <v/>
      </c>
      <c r="F67" s="261">
        <f>IFERROR(INDEX('D Fleet'!$D$5:$D$63,MATCH(F$3-$B67,'D Fleet'!$B$5:$B$63,0)),0)*IFERROR(INDEX('D Fleet'!$K$5:$K$36,INT(($B67/F$5))+1)+(($B67/F$5)-INT(($B67/F$5)))*(INDEX('D Fleet'!$K$5:$K$36,INT(($B67/F$5))+2)-INDEX('D Fleet'!$K$5:$K$36,INT(($B67/F$5))+1)),0)</f>
        <v/>
      </c>
      <c r="G67" s="261">
        <f>IFERROR(INDEX('D Fleet'!$D$5:$D$63,MATCH(G$3-$B67,'D Fleet'!$B$5:$B$63,0)),0)*IFERROR(INDEX('D Fleet'!$K$5:$K$36,INT(($B67/G$5))+1)+(($B67/G$5)-INT(($B67/G$5)))*(INDEX('D Fleet'!$K$5:$K$36,INT(($B67/G$5))+2)-INDEX('D Fleet'!$K$5:$K$36,INT(($B67/G$5))+1)),0)</f>
        <v/>
      </c>
      <c r="H67" s="261">
        <f>IFERROR(INDEX('D Fleet'!$D$5:$D$63,MATCH(H$3-$B67,'D Fleet'!$B$5:$B$63,0)),0)*IFERROR(INDEX('D Fleet'!$K$5:$K$36,INT(($B67/H$5))+1)+(($B67/H$5)-INT(($B67/H$5)))*(INDEX('D Fleet'!$K$5:$K$36,INT(($B67/H$5))+2)-INDEX('D Fleet'!$K$5:$K$36,INT(($B67/H$5))+1)),0)</f>
        <v/>
      </c>
      <c r="I67" s="261">
        <f>IFERROR(INDEX('D Fleet'!$D$5:$D$63,MATCH(I$3-$B67,'D Fleet'!$B$5:$B$63,0)),0)*IFERROR(INDEX('D Fleet'!$K$5:$K$36,INT(($B67/I$5))+1)+(($B67/I$5)-INT(($B67/I$5)))*(INDEX('D Fleet'!$K$5:$K$36,INT(($B67/I$5))+2)-INDEX('D Fleet'!$K$5:$K$36,INT(($B67/I$5))+1)),0)</f>
        <v/>
      </c>
      <c r="J67" s="261">
        <f>IFERROR(INDEX('D Fleet'!$D$5:$D$63,MATCH(J$3-$B67,'D Fleet'!$B$5:$B$63,0)),0)*IFERROR(INDEX('D Fleet'!$K$5:$K$36,INT(($B67/J$5))+1)+(($B67/J$5)-INT(($B67/J$5)))*(INDEX('D Fleet'!$K$5:$K$36,INT(($B67/J$5))+2)-INDEX('D Fleet'!$K$5:$K$36,INT(($B67/J$5))+1)),0)</f>
        <v/>
      </c>
      <c r="K67" s="261">
        <f>IFERROR(INDEX('D Fleet'!$D$5:$D$63,MATCH(K$3-$B67,'D Fleet'!$B$5:$B$63,0)),0)*IFERROR(INDEX('D Fleet'!$K$5:$K$36,INT(($B67/K$5))+1)+(($B67/K$5)-INT(($B67/K$5)))*(INDEX('D Fleet'!$K$5:$K$36,INT(($B67/K$5))+2)-INDEX('D Fleet'!$K$5:$K$36,INT(($B67/K$5))+1)),0)</f>
        <v/>
      </c>
      <c r="L67" s="261">
        <f>IFERROR(INDEX('D Fleet'!$D$5:$D$63,MATCH(L$3-$B67,'D Fleet'!$B$5:$B$63,0)),0)*IFERROR(INDEX('D Fleet'!$K$5:$K$36,INT(($B67/L$5))+1)+(($B67/L$5)-INT(($B67/L$5)))*(INDEX('D Fleet'!$K$5:$K$36,INT(($B67/L$5))+2)-INDEX('D Fleet'!$K$5:$K$36,INT(($B67/L$5))+1)),0)</f>
        <v/>
      </c>
      <c r="M67" s="261">
        <f>IFERROR(INDEX('D Fleet'!$D$5:$D$63,MATCH(M$3-$B67,'D Fleet'!$B$5:$B$63,0)),0)*IFERROR(INDEX('D Fleet'!$K$5:$K$36,INT(($B67/M$5))+1)+(($B67/M$5)-INT(($B67/M$5)))*(INDEX('D Fleet'!$K$5:$K$36,INT(($B67/M$5))+2)-INDEX('D Fleet'!$K$5:$K$36,INT(($B67/M$5))+1)),0)</f>
        <v/>
      </c>
      <c r="N67" s="261">
        <f>IFERROR(INDEX('D Fleet'!$D$5:$D$63,MATCH(N$3-$B67,'D Fleet'!$B$5:$B$63,0)),0)*IFERROR(INDEX('D Fleet'!$K$5:$K$36,INT(($B67/N$5))+1)+(($B67/N$5)-INT(($B67/N$5)))*(INDEX('D Fleet'!$K$5:$K$36,INT(($B67/N$5))+2)-INDEX('D Fleet'!$K$5:$K$36,INT(($B67/N$5))+1)),0)</f>
        <v/>
      </c>
      <c r="P67" s="261">
        <f>E67*$D67*'E1 Fleet'!$D$98</f>
        <v/>
      </c>
      <c r="Q67" s="261">
        <f>F67*$D67*'E1 Fleet'!$D$98</f>
        <v/>
      </c>
      <c r="R67" s="261">
        <f>G67*$D67*'E1 Fleet'!$D$98</f>
        <v/>
      </c>
      <c r="S67" s="261">
        <f>H67*$D67*'E1 Fleet'!$D$98</f>
        <v/>
      </c>
      <c r="T67" s="261">
        <f>I67*$D67*'E1 Fleet'!$D$98</f>
        <v/>
      </c>
      <c r="U67" s="261">
        <f>J67*$D67*'E1 Fleet'!$D$98</f>
        <v/>
      </c>
      <c r="V67" s="261">
        <f>K67*$D67*'E1 Fleet'!$D$98</f>
        <v/>
      </c>
      <c r="W67" s="261">
        <f>L67*$D67*'E1 Fleet'!$D$98</f>
        <v/>
      </c>
      <c r="X67" s="261">
        <f>M67*$D67*'E1 Fleet'!$D$98</f>
        <v/>
      </c>
      <c r="Y67" s="261">
        <f>N67*$D67*'E1 Fleet'!$D$98</f>
        <v/>
      </c>
    </row>
    <row r="68">
      <c r="A68" t="inlineStr">
        <is>
          <t>SUV</t>
        </is>
      </c>
      <c r="B68" s="331" t="n">
        <v>15</v>
      </c>
      <c r="C68" s="331" t="n">
        <v>3</v>
      </c>
      <c r="D68" s="266">
        <f>IF($B68=0,'E1 Fleet'!$D$93,1)*EXP(-'E1 Fleet'!$D$94*MAX($B68-6,0))</f>
        <v/>
      </c>
      <c r="E68" s="261">
        <f>IFERROR(INDEX('D Fleet'!$D$5:$D$63,MATCH(E$3-$B68,'D Fleet'!$B$5:$B$63,0)),0)*IFERROR(INDEX('D Fleet'!$K$5:$K$36,INT(($B68/E$5))+1)+(($B68/E$5)-INT(($B68/E$5)))*(INDEX('D Fleet'!$K$5:$K$36,INT(($B68/E$5))+2)-INDEX('D Fleet'!$K$5:$K$36,INT(($B68/E$5))+1)),0)</f>
        <v/>
      </c>
      <c r="F68" s="261">
        <f>IFERROR(INDEX('D Fleet'!$D$5:$D$63,MATCH(F$3-$B68,'D Fleet'!$B$5:$B$63,0)),0)*IFERROR(INDEX('D Fleet'!$K$5:$K$36,INT(($B68/F$5))+1)+(($B68/F$5)-INT(($B68/F$5)))*(INDEX('D Fleet'!$K$5:$K$36,INT(($B68/F$5))+2)-INDEX('D Fleet'!$K$5:$K$36,INT(($B68/F$5))+1)),0)</f>
        <v/>
      </c>
      <c r="G68" s="261">
        <f>IFERROR(INDEX('D Fleet'!$D$5:$D$63,MATCH(G$3-$B68,'D Fleet'!$B$5:$B$63,0)),0)*IFERROR(INDEX('D Fleet'!$K$5:$K$36,INT(($B68/G$5))+1)+(($B68/G$5)-INT(($B68/G$5)))*(INDEX('D Fleet'!$K$5:$K$36,INT(($B68/G$5))+2)-INDEX('D Fleet'!$K$5:$K$36,INT(($B68/G$5))+1)),0)</f>
        <v/>
      </c>
      <c r="H68" s="261">
        <f>IFERROR(INDEX('D Fleet'!$D$5:$D$63,MATCH(H$3-$B68,'D Fleet'!$B$5:$B$63,0)),0)*IFERROR(INDEX('D Fleet'!$K$5:$K$36,INT(($B68/H$5))+1)+(($B68/H$5)-INT(($B68/H$5)))*(INDEX('D Fleet'!$K$5:$K$36,INT(($B68/H$5))+2)-INDEX('D Fleet'!$K$5:$K$36,INT(($B68/H$5))+1)),0)</f>
        <v/>
      </c>
      <c r="I68" s="261">
        <f>IFERROR(INDEX('D Fleet'!$D$5:$D$63,MATCH(I$3-$B68,'D Fleet'!$B$5:$B$63,0)),0)*IFERROR(INDEX('D Fleet'!$K$5:$K$36,INT(($B68/I$5))+1)+(($B68/I$5)-INT(($B68/I$5)))*(INDEX('D Fleet'!$K$5:$K$36,INT(($B68/I$5))+2)-INDEX('D Fleet'!$K$5:$K$36,INT(($B68/I$5))+1)),0)</f>
        <v/>
      </c>
      <c r="J68" s="261">
        <f>IFERROR(INDEX('D Fleet'!$D$5:$D$63,MATCH(J$3-$B68,'D Fleet'!$B$5:$B$63,0)),0)*IFERROR(INDEX('D Fleet'!$K$5:$K$36,INT(($B68/J$5))+1)+(($B68/J$5)-INT(($B68/J$5)))*(INDEX('D Fleet'!$K$5:$K$36,INT(($B68/J$5))+2)-INDEX('D Fleet'!$K$5:$K$36,INT(($B68/J$5))+1)),0)</f>
        <v/>
      </c>
      <c r="K68" s="261">
        <f>IFERROR(INDEX('D Fleet'!$D$5:$D$63,MATCH(K$3-$B68,'D Fleet'!$B$5:$B$63,0)),0)*IFERROR(INDEX('D Fleet'!$K$5:$K$36,INT(($B68/K$5))+1)+(($B68/K$5)-INT(($B68/K$5)))*(INDEX('D Fleet'!$K$5:$K$36,INT(($B68/K$5))+2)-INDEX('D Fleet'!$K$5:$K$36,INT(($B68/K$5))+1)),0)</f>
        <v/>
      </c>
      <c r="L68" s="261">
        <f>IFERROR(INDEX('D Fleet'!$D$5:$D$63,MATCH(L$3-$B68,'D Fleet'!$B$5:$B$63,0)),0)*IFERROR(INDEX('D Fleet'!$K$5:$K$36,INT(($B68/L$5))+1)+(($B68/L$5)-INT(($B68/L$5)))*(INDEX('D Fleet'!$K$5:$K$36,INT(($B68/L$5))+2)-INDEX('D Fleet'!$K$5:$K$36,INT(($B68/L$5))+1)),0)</f>
        <v/>
      </c>
      <c r="M68" s="261">
        <f>IFERROR(INDEX('D Fleet'!$D$5:$D$63,MATCH(M$3-$B68,'D Fleet'!$B$5:$B$63,0)),0)*IFERROR(INDEX('D Fleet'!$K$5:$K$36,INT(($B68/M$5))+1)+(($B68/M$5)-INT(($B68/M$5)))*(INDEX('D Fleet'!$K$5:$K$36,INT(($B68/M$5))+2)-INDEX('D Fleet'!$K$5:$K$36,INT(($B68/M$5))+1)),0)</f>
        <v/>
      </c>
      <c r="N68" s="261">
        <f>IFERROR(INDEX('D Fleet'!$D$5:$D$63,MATCH(N$3-$B68,'D Fleet'!$B$5:$B$63,0)),0)*IFERROR(INDEX('D Fleet'!$K$5:$K$36,INT(($B68/N$5))+1)+(($B68/N$5)-INT(($B68/N$5)))*(INDEX('D Fleet'!$K$5:$K$36,INT(($B68/N$5))+2)-INDEX('D Fleet'!$K$5:$K$36,INT(($B68/N$5))+1)),0)</f>
        <v/>
      </c>
      <c r="P68" s="261">
        <f>E68*$D68*'E1 Fleet'!$D$98</f>
        <v/>
      </c>
      <c r="Q68" s="261">
        <f>F68*$D68*'E1 Fleet'!$D$98</f>
        <v/>
      </c>
      <c r="R68" s="261">
        <f>G68*$D68*'E1 Fleet'!$D$98</f>
        <v/>
      </c>
      <c r="S68" s="261">
        <f>H68*$D68*'E1 Fleet'!$D$98</f>
        <v/>
      </c>
      <c r="T68" s="261">
        <f>I68*$D68*'E1 Fleet'!$D$98</f>
        <v/>
      </c>
      <c r="U68" s="261">
        <f>J68*$D68*'E1 Fleet'!$D$98</f>
        <v/>
      </c>
      <c r="V68" s="261">
        <f>K68*$D68*'E1 Fleet'!$D$98</f>
        <v/>
      </c>
      <c r="W68" s="261">
        <f>L68*$D68*'E1 Fleet'!$D$98</f>
        <v/>
      </c>
      <c r="X68" s="261">
        <f>M68*$D68*'E1 Fleet'!$D$98</f>
        <v/>
      </c>
      <c r="Y68" s="261">
        <f>N68*$D68*'E1 Fleet'!$D$98</f>
        <v/>
      </c>
    </row>
    <row r="69">
      <c r="A69" t="inlineStr">
        <is>
          <t>SUV</t>
        </is>
      </c>
      <c r="B69" s="331" t="n">
        <v>16</v>
      </c>
      <c r="C69" s="331" t="n">
        <v>3</v>
      </c>
      <c r="D69" s="266">
        <f>IF($B69=0,'E1 Fleet'!$D$93,1)*EXP(-'E1 Fleet'!$D$94*MAX($B69-6,0))</f>
        <v/>
      </c>
      <c r="E69" s="261">
        <f>IFERROR(INDEX('D Fleet'!$D$5:$D$63,MATCH(E$3-$B69,'D Fleet'!$B$5:$B$63,0)),0)*IFERROR(INDEX('D Fleet'!$K$5:$K$36,INT(($B69/E$5))+1)+(($B69/E$5)-INT(($B69/E$5)))*(INDEX('D Fleet'!$K$5:$K$36,INT(($B69/E$5))+2)-INDEX('D Fleet'!$K$5:$K$36,INT(($B69/E$5))+1)),0)</f>
        <v/>
      </c>
      <c r="F69" s="261">
        <f>IFERROR(INDEX('D Fleet'!$D$5:$D$63,MATCH(F$3-$B69,'D Fleet'!$B$5:$B$63,0)),0)*IFERROR(INDEX('D Fleet'!$K$5:$K$36,INT(($B69/F$5))+1)+(($B69/F$5)-INT(($B69/F$5)))*(INDEX('D Fleet'!$K$5:$K$36,INT(($B69/F$5))+2)-INDEX('D Fleet'!$K$5:$K$36,INT(($B69/F$5))+1)),0)</f>
        <v/>
      </c>
      <c r="G69" s="261">
        <f>IFERROR(INDEX('D Fleet'!$D$5:$D$63,MATCH(G$3-$B69,'D Fleet'!$B$5:$B$63,0)),0)*IFERROR(INDEX('D Fleet'!$K$5:$K$36,INT(($B69/G$5))+1)+(($B69/G$5)-INT(($B69/G$5)))*(INDEX('D Fleet'!$K$5:$K$36,INT(($B69/G$5))+2)-INDEX('D Fleet'!$K$5:$K$36,INT(($B69/G$5))+1)),0)</f>
        <v/>
      </c>
      <c r="H69" s="261">
        <f>IFERROR(INDEX('D Fleet'!$D$5:$D$63,MATCH(H$3-$B69,'D Fleet'!$B$5:$B$63,0)),0)*IFERROR(INDEX('D Fleet'!$K$5:$K$36,INT(($B69/H$5))+1)+(($B69/H$5)-INT(($B69/H$5)))*(INDEX('D Fleet'!$K$5:$K$36,INT(($B69/H$5))+2)-INDEX('D Fleet'!$K$5:$K$36,INT(($B69/H$5))+1)),0)</f>
        <v/>
      </c>
      <c r="I69" s="261">
        <f>IFERROR(INDEX('D Fleet'!$D$5:$D$63,MATCH(I$3-$B69,'D Fleet'!$B$5:$B$63,0)),0)*IFERROR(INDEX('D Fleet'!$K$5:$K$36,INT(($B69/I$5))+1)+(($B69/I$5)-INT(($B69/I$5)))*(INDEX('D Fleet'!$K$5:$K$36,INT(($B69/I$5))+2)-INDEX('D Fleet'!$K$5:$K$36,INT(($B69/I$5))+1)),0)</f>
        <v/>
      </c>
      <c r="J69" s="261">
        <f>IFERROR(INDEX('D Fleet'!$D$5:$D$63,MATCH(J$3-$B69,'D Fleet'!$B$5:$B$63,0)),0)*IFERROR(INDEX('D Fleet'!$K$5:$K$36,INT(($B69/J$5))+1)+(($B69/J$5)-INT(($B69/J$5)))*(INDEX('D Fleet'!$K$5:$K$36,INT(($B69/J$5))+2)-INDEX('D Fleet'!$K$5:$K$36,INT(($B69/J$5))+1)),0)</f>
        <v/>
      </c>
      <c r="K69" s="261">
        <f>IFERROR(INDEX('D Fleet'!$D$5:$D$63,MATCH(K$3-$B69,'D Fleet'!$B$5:$B$63,0)),0)*IFERROR(INDEX('D Fleet'!$K$5:$K$36,INT(($B69/K$5))+1)+(($B69/K$5)-INT(($B69/K$5)))*(INDEX('D Fleet'!$K$5:$K$36,INT(($B69/K$5))+2)-INDEX('D Fleet'!$K$5:$K$36,INT(($B69/K$5))+1)),0)</f>
        <v/>
      </c>
      <c r="L69" s="261">
        <f>IFERROR(INDEX('D Fleet'!$D$5:$D$63,MATCH(L$3-$B69,'D Fleet'!$B$5:$B$63,0)),0)*IFERROR(INDEX('D Fleet'!$K$5:$K$36,INT(($B69/L$5))+1)+(($B69/L$5)-INT(($B69/L$5)))*(INDEX('D Fleet'!$K$5:$K$36,INT(($B69/L$5))+2)-INDEX('D Fleet'!$K$5:$K$36,INT(($B69/L$5))+1)),0)</f>
        <v/>
      </c>
      <c r="M69" s="261">
        <f>IFERROR(INDEX('D Fleet'!$D$5:$D$63,MATCH(M$3-$B69,'D Fleet'!$B$5:$B$63,0)),0)*IFERROR(INDEX('D Fleet'!$K$5:$K$36,INT(($B69/M$5))+1)+(($B69/M$5)-INT(($B69/M$5)))*(INDEX('D Fleet'!$K$5:$K$36,INT(($B69/M$5))+2)-INDEX('D Fleet'!$K$5:$K$36,INT(($B69/M$5))+1)),0)</f>
        <v/>
      </c>
      <c r="N69" s="261">
        <f>IFERROR(INDEX('D Fleet'!$D$5:$D$63,MATCH(N$3-$B69,'D Fleet'!$B$5:$B$63,0)),0)*IFERROR(INDEX('D Fleet'!$K$5:$K$36,INT(($B69/N$5))+1)+(($B69/N$5)-INT(($B69/N$5)))*(INDEX('D Fleet'!$K$5:$K$36,INT(($B69/N$5))+2)-INDEX('D Fleet'!$K$5:$K$36,INT(($B69/N$5))+1)),0)</f>
        <v/>
      </c>
      <c r="P69" s="261">
        <f>E69*$D69*'E1 Fleet'!$D$98</f>
        <v/>
      </c>
      <c r="Q69" s="261">
        <f>F69*$D69*'E1 Fleet'!$D$98</f>
        <v/>
      </c>
      <c r="R69" s="261">
        <f>G69*$D69*'E1 Fleet'!$D$98</f>
        <v/>
      </c>
      <c r="S69" s="261">
        <f>H69*$D69*'E1 Fleet'!$D$98</f>
        <v/>
      </c>
      <c r="T69" s="261">
        <f>I69*$D69*'E1 Fleet'!$D$98</f>
        <v/>
      </c>
      <c r="U69" s="261">
        <f>J69*$D69*'E1 Fleet'!$D$98</f>
        <v/>
      </c>
      <c r="V69" s="261">
        <f>K69*$D69*'E1 Fleet'!$D$98</f>
        <v/>
      </c>
      <c r="W69" s="261">
        <f>L69*$D69*'E1 Fleet'!$D$98</f>
        <v/>
      </c>
      <c r="X69" s="261">
        <f>M69*$D69*'E1 Fleet'!$D$98</f>
        <v/>
      </c>
      <c r="Y69" s="261">
        <f>N69*$D69*'E1 Fleet'!$D$98</f>
        <v/>
      </c>
    </row>
    <row r="70">
      <c r="A70" t="inlineStr">
        <is>
          <t>SUV</t>
        </is>
      </c>
      <c r="B70" s="331" t="n">
        <v>17</v>
      </c>
      <c r="C70" s="331" t="n">
        <v>3</v>
      </c>
      <c r="D70" s="266">
        <f>IF($B70=0,'E1 Fleet'!$D$93,1)*EXP(-'E1 Fleet'!$D$94*MAX($B70-6,0))</f>
        <v/>
      </c>
      <c r="E70" s="261">
        <f>IFERROR(INDEX('D Fleet'!$D$5:$D$63,MATCH(E$3-$B70,'D Fleet'!$B$5:$B$63,0)),0)*IFERROR(INDEX('D Fleet'!$K$5:$K$36,INT(($B70/E$5))+1)+(($B70/E$5)-INT(($B70/E$5)))*(INDEX('D Fleet'!$K$5:$K$36,INT(($B70/E$5))+2)-INDEX('D Fleet'!$K$5:$K$36,INT(($B70/E$5))+1)),0)</f>
        <v/>
      </c>
      <c r="F70" s="261">
        <f>IFERROR(INDEX('D Fleet'!$D$5:$D$63,MATCH(F$3-$B70,'D Fleet'!$B$5:$B$63,0)),0)*IFERROR(INDEX('D Fleet'!$K$5:$K$36,INT(($B70/F$5))+1)+(($B70/F$5)-INT(($B70/F$5)))*(INDEX('D Fleet'!$K$5:$K$36,INT(($B70/F$5))+2)-INDEX('D Fleet'!$K$5:$K$36,INT(($B70/F$5))+1)),0)</f>
        <v/>
      </c>
      <c r="G70" s="261">
        <f>IFERROR(INDEX('D Fleet'!$D$5:$D$63,MATCH(G$3-$B70,'D Fleet'!$B$5:$B$63,0)),0)*IFERROR(INDEX('D Fleet'!$K$5:$K$36,INT(($B70/G$5))+1)+(($B70/G$5)-INT(($B70/G$5)))*(INDEX('D Fleet'!$K$5:$K$36,INT(($B70/G$5))+2)-INDEX('D Fleet'!$K$5:$K$36,INT(($B70/G$5))+1)),0)</f>
        <v/>
      </c>
      <c r="H70" s="261">
        <f>IFERROR(INDEX('D Fleet'!$D$5:$D$63,MATCH(H$3-$B70,'D Fleet'!$B$5:$B$63,0)),0)*IFERROR(INDEX('D Fleet'!$K$5:$K$36,INT(($B70/H$5))+1)+(($B70/H$5)-INT(($B70/H$5)))*(INDEX('D Fleet'!$K$5:$K$36,INT(($B70/H$5))+2)-INDEX('D Fleet'!$K$5:$K$36,INT(($B70/H$5))+1)),0)</f>
        <v/>
      </c>
      <c r="I70" s="261">
        <f>IFERROR(INDEX('D Fleet'!$D$5:$D$63,MATCH(I$3-$B70,'D Fleet'!$B$5:$B$63,0)),0)*IFERROR(INDEX('D Fleet'!$K$5:$K$36,INT(($B70/I$5))+1)+(($B70/I$5)-INT(($B70/I$5)))*(INDEX('D Fleet'!$K$5:$K$36,INT(($B70/I$5))+2)-INDEX('D Fleet'!$K$5:$K$36,INT(($B70/I$5))+1)),0)</f>
        <v/>
      </c>
      <c r="J70" s="261">
        <f>IFERROR(INDEX('D Fleet'!$D$5:$D$63,MATCH(J$3-$B70,'D Fleet'!$B$5:$B$63,0)),0)*IFERROR(INDEX('D Fleet'!$K$5:$K$36,INT(($B70/J$5))+1)+(($B70/J$5)-INT(($B70/J$5)))*(INDEX('D Fleet'!$K$5:$K$36,INT(($B70/J$5))+2)-INDEX('D Fleet'!$K$5:$K$36,INT(($B70/J$5))+1)),0)</f>
        <v/>
      </c>
      <c r="K70" s="261">
        <f>IFERROR(INDEX('D Fleet'!$D$5:$D$63,MATCH(K$3-$B70,'D Fleet'!$B$5:$B$63,0)),0)*IFERROR(INDEX('D Fleet'!$K$5:$K$36,INT(($B70/K$5))+1)+(($B70/K$5)-INT(($B70/K$5)))*(INDEX('D Fleet'!$K$5:$K$36,INT(($B70/K$5))+2)-INDEX('D Fleet'!$K$5:$K$36,INT(($B70/K$5))+1)),0)</f>
        <v/>
      </c>
      <c r="L70" s="261">
        <f>IFERROR(INDEX('D Fleet'!$D$5:$D$63,MATCH(L$3-$B70,'D Fleet'!$B$5:$B$63,0)),0)*IFERROR(INDEX('D Fleet'!$K$5:$K$36,INT(($B70/L$5))+1)+(($B70/L$5)-INT(($B70/L$5)))*(INDEX('D Fleet'!$K$5:$K$36,INT(($B70/L$5))+2)-INDEX('D Fleet'!$K$5:$K$36,INT(($B70/L$5))+1)),0)</f>
        <v/>
      </c>
      <c r="M70" s="261">
        <f>IFERROR(INDEX('D Fleet'!$D$5:$D$63,MATCH(M$3-$B70,'D Fleet'!$B$5:$B$63,0)),0)*IFERROR(INDEX('D Fleet'!$K$5:$K$36,INT(($B70/M$5))+1)+(($B70/M$5)-INT(($B70/M$5)))*(INDEX('D Fleet'!$K$5:$K$36,INT(($B70/M$5))+2)-INDEX('D Fleet'!$K$5:$K$36,INT(($B70/M$5))+1)),0)</f>
        <v/>
      </c>
      <c r="N70" s="261">
        <f>IFERROR(INDEX('D Fleet'!$D$5:$D$63,MATCH(N$3-$B70,'D Fleet'!$B$5:$B$63,0)),0)*IFERROR(INDEX('D Fleet'!$K$5:$K$36,INT(($B70/N$5))+1)+(($B70/N$5)-INT(($B70/N$5)))*(INDEX('D Fleet'!$K$5:$K$36,INT(($B70/N$5))+2)-INDEX('D Fleet'!$K$5:$K$36,INT(($B70/N$5))+1)),0)</f>
        <v/>
      </c>
      <c r="P70" s="261">
        <f>E70*$D70*'E1 Fleet'!$D$98</f>
        <v/>
      </c>
      <c r="Q70" s="261">
        <f>F70*$D70*'E1 Fleet'!$D$98</f>
        <v/>
      </c>
      <c r="R70" s="261">
        <f>G70*$D70*'E1 Fleet'!$D$98</f>
        <v/>
      </c>
      <c r="S70" s="261">
        <f>H70*$D70*'E1 Fleet'!$D$98</f>
        <v/>
      </c>
      <c r="T70" s="261">
        <f>I70*$D70*'E1 Fleet'!$D$98</f>
        <v/>
      </c>
      <c r="U70" s="261">
        <f>J70*$D70*'E1 Fleet'!$D$98</f>
        <v/>
      </c>
      <c r="V70" s="261">
        <f>K70*$D70*'E1 Fleet'!$D$98</f>
        <v/>
      </c>
      <c r="W70" s="261">
        <f>L70*$D70*'E1 Fleet'!$D$98</f>
        <v/>
      </c>
      <c r="X70" s="261">
        <f>M70*$D70*'E1 Fleet'!$D$98</f>
        <v/>
      </c>
      <c r="Y70" s="261">
        <f>N70*$D70*'E1 Fleet'!$D$98</f>
        <v/>
      </c>
    </row>
    <row r="71">
      <c r="A71" t="inlineStr">
        <is>
          <t>SUV</t>
        </is>
      </c>
      <c r="B71" s="331" t="n">
        <v>18</v>
      </c>
      <c r="C71" s="331" t="n">
        <v>3</v>
      </c>
      <c r="D71" s="266">
        <f>IF($B71=0,'E1 Fleet'!$D$93,1)*EXP(-'E1 Fleet'!$D$94*MAX($B71-6,0))</f>
        <v/>
      </c>
      <c r="E71" s="261">
        <f>IFERROR(INDEX('D Fleet'!$D$5:$D$63,MATCH(E$3-$B71,'D Fleet'!$B$5:$B$63,0)),0)*IFERROR(INDEX('D Fleet'!$K$5:$K$36,INT(($B71/E$5))+1)+(($B71/E$5)-INT(($B71/E$5)))*(INDEX('D Fleet'!$K$5:$K$36,INT(($B71/E$5))+2)-INDEX('D Fleet'!$K$5:$K$36,INT(($B71/E$5))+1)),0)</f>
        <v/>
      </c>
      <c r="F71" s="261">
        <f>IFERROR(INDEX('D Fleet'!$D$5:$D$63,MATCH(F$3-$B71,'D Fleet'!$B$5:$B$63,0)),0)*IFERROR(INDEX('D Fleet'!$K$5:$K$36,INT(($B71/F$5))+1)+(($B71/F$5)-INT(($B71/F$5)))*(INDEX('D Fleet'!$K$5:$K$36,INT(($B71/F$5))+2)-INDEX('D Fleet'!$K$5:$K$36,INT(($B71/F$5))+1)),0)</f>
        <v/>
      </c>
      <c r="G71" s="261">
        <f>IFERROR(INDEX('D Fleet'!$D$5:$D$63,MATCH(G$3-$B71,'D Fleet'!$B$5:$B$63,0)),0)*IFERROR(INDEX('D Fleet'!$K$5:$K$36,INT(($B71/G$5))+1)+(($B71/G$5)-INT(($B71/G$5)))*(INDEX('D Fleet'!$K$5:$K$36,INT(($B71/G$5))+2)-INDEX('D Fleet'!$K$5:$K$36,INT(($B71/G$5))+1)),0)</f>
        <v/>
      </c>
      <c r="H71" s="261">
        <f>IFERROR(INDEX('D Fleet'!$D$5:$D$63,MATCH(H$3-$B71,'D Fleet'!$B$5:$B$63,0)),0)*IFERROR(INDEX('D Fleet'!$K$5:$K$36,INT(($B71/H$5))+1)+(($B71/H$5)-INT(($B71/H$5)))*(INDEX('D Fleet'!$K$5:$K$36,INT(($B71/H$5))+2)-INDEX('D Fleet'!$K$5:$K$36,INT(($B71/H$5))+1)),0)</f>
        <v/>
      </c>
      <c r="I71" s="261">
        <f>IFERROR(INDEX('D Fleet'!$D$5:$D$63,MATCH(I$3-$B71,'D Fleet'!$B$5:$B$63,0)),0)*IFERROR(INDEX('D Fleet'!$K$5:$K$36,INT(($B71/I$5))+1)+(($B71/I$5)-INT(($B71/I$5)))*(INDEX('D Fleet'!$K$5:$K$36,INT(($B71/I$5))+2)-INDEX('D Fleet'!$K$5:$K$36,INT(($B71/I$5))+1)),0)</f>
        <v/>
      </c>
      <c r="J71" s="261">
        <f>IFERROR(INDEX('D Fleet'!$D$5:$D$63,MATCH(J$3-$B71,'D Fleet'!$B$5:$B$63,0)),0)*IFERROR(INDEX('D Fleet'!$K$5:$K$36,INT(($B71/J$5))+1)+(($B71/J$5)-INT(($B71/J$5)))*(INDEX('D Fleet'!$K$5:$K$36,INT(($B71/J$5))+2)-INDEX('D Fleet'!$K$5:$K$36,INT(($B71/J$5))+1)),0)</f>
        <v/>
      </c>
      <c r="K71" s="261">
        <f>IFERROR(INDEX('D Fleet'!$D$5:$D$63,MATCH(K$3-$B71,'D Fleet'!$B$5:$B$63,0)),0)*IFERROR(INDEX('D Fleet'!$K$5:$K$36,INT(($B71/K$5))+1)+(($B71/K$5)-INT(($B71/K$5)))*(INDEX('D Fleet'!$K$5:$K$36,INT(($B71/K$5))+2)-INDEX('D Fleet'!$K$5:$K$36,INT(($B71/K$5))+1)),0)</f>
        <v/>
      </c>
      <c r="L71" s="261">
        <f>IFERROR(INDEX('D Fleet'!$D$5:$D$63,MATCH(L$3-$B71,'D Fleet'!$B$5:$B$63,0)),0)*IFERROR(INDEX('D Fleet'!$K$5:$K$36,INT(($B71/L$5))+1)+(($B71/L$5)-INT(($B71/L$5)))*(INDEX('D Fleet'!$K$5:$K$36,INT(($B71/L$5))+2)-INDEX('D Fleet'!$K$5:$K$36,INT(($B71/L$5))+1)),0)</f>
        <v/>
      </c>
      <c r="M71" s="261">
        <f>IFERROR(INDEX('D Fleet'!$D$5:$D$63,MATCH(M$3-$B71,'D Fleet'!$B$5:$B$63,0)),0)*IFERROR(INDEX('D Fleet'!$K$5:$K$36,INT(($B71/M$5))+1)+(($B71/M$5)-INT(($B71/M$5)))*(INDEX('D Fleet'!$K$5:$K$36,INT(($B71/M$5))+2)-INDEX('D Fleet'!$K$5:$K$36,INT(($B71/M$5))+1)),0)</f>
        <v/>
      </c>
      <c r="N71" s="261">
        <f>IFERROR(INDEX('D Fleet'!$D$5:$D$63,MATCH(N$3-$B71,'D Fleet'!$B$5:$B$63,0)),0)*IFERROR(INDEX('D Fleet'!$K$5:$K$36,INT(($B71/N$5))+1)+(($B71/N$5)-INT(($B71/N$5)))*(INDEX('D Fleet'!$K$5:$K$36,INT(($B71/N$5))+2)-INDEX('D Fleet'!$K$5:$K$36,INT(($B71/N$5))+1)),0)</f>
        <v/>
      </c>
      <c r="P71" s="261">
        <f>E71*$D71*'E1 Fleet'!$D$98</f>
        <v/>
      </c>
      <c r="Q71" s="261">
        <f>F71*$D71*'E1 Fleet'!$D$98</f>
        <v/>
      </c>
      <c r="R71" s="261">
        <f>G71*$D71*'E1 Fleet'!$D$98</f>
        <v/>
      </c>
      <c r="S71" s="261">
        <f>H71*$D71*'E1 Fleet'!$D$98</f>
        <v/>
      </c>
      <c r="T71" s="261">
        <f>I71*$D71*'E1 Fleet'!$D$98</f>
        <v/>
      </c>
      <c r="U71" s="261">
        <f>J71*$D71*'E1 Fleet'!$D$98</f>
        <v/>
      </c>
      <c r="V71" s="261">
        <f>K71*$D71*'E1 Fleet'!$D$98</f>
        <v/>
      </c>
      <c r="W71" s="261">
        <f>L71*$D71*'E1 Fleet'!$D$98</f>
        <v/>
      </c>
      <c r="X71" s="261">
        <f>M71*$D71*'E1 Fleet'!$D$98</f>
        <v/>
      </c>
      <c r="Y71" s="261">
        <f>N71*$D71*'E1 Fleet'!$D$98</f>
        <v/>
      </c>
    </row>
    <row r="72">
      <c r="A72" t="inlineStr">
        <is>
          <t>SUV</t>
        </is>
      </c>
      <c r="B72" s="331" t="n">
        <v>19</v>
      </c>
      <c r="C72" s="331" t="n">
        <v>3</v>
      </c>
      <c r="D72" s="266">
        <f>IF($B72=0,'E1 Fleet'!$D$93,1)*EXP(-'E1 Fleet'!$D$94*MAX($B72-6,0))</f>
        <v/>
      </c>
      <c r="E72" s="261">
        <f>IFERROR(INDEX('D Fleet'!$D$5:$D$63,MATCH(E$3-$B72,'D Fleet'!$B$5:$B$63,0)),0)*IFERROR(INDEX('D Fleet'!$K$5:$K$36,INT(($B72/E$5))+1)+(($B72/E$5)-INT(($B72/E$5)))*(INDEX('D Fleet'!$K$5:$K$36,INT(($B72/E$5))+2)-INDEX('D Fleet'!$K$5:$K$36,INT(($B72/E$5))+1)),0)</f>
        <v/>
      </c>
      <c r="F72" s="261">
        <f>IFERROR(INDEX('D Fleet'!$D$5:$D$63,MATCH(F$3-$B72,'D Fleet'!$B$5:$B$63,0)),0)*IFERROR(INDEX('D Fleet'!$K$5:$K$36,INT(($B72/F$5))+1)+(($B72/F$5)-INT(($B72/F$5)))*(INDEX('D Fleet'!$K$5:$K$36,INT(($B72/F$5))+2)-INDEX('D Fleet'!$K$5:$K$36,INT(($B72/F$5))+1)),0)</f>
        <v/>
      </c>
      <c r="G72" s="261">
        <f>IFERROR(INDEX('D Fleet'!$D$5:$D$63,MATCH(G$3-$B72,'D Fleet'!$B$5:$B$63,0)),0)*IFERROR(INDEX('D Fleet'!$K$5:$K$36,INT(($B72/G$5))+1)+(($B72/G$5)-INT(($B72/G$5)))*(INDEX('D Fleet'!$K$5:$K$36,INT(($B72/G$5))+2)-INDEX('D Fleet'!$K$5:$K$36,INT(($B72/G$5))+1)),0)</f>
        <v/>
      </c>
      <c r="H72" s="261">
        <f>IFERROR(INDEX('D Fleet'!$D$5:$D$63,MATCH(H$3-$B72,'D Fleet'!$B$5:$B$63,0)),0)*IFERROR(INDEX('D Fleet'!$K$5:$K$36,INT(($B72/H$5))+1)+(($B72/H$5)-INT(($B72/H$5)))*(INDEX('D Fleet'!$K$5:$K$36,INT(($B72/H$5))+2)-INDEX('D Fleet'!$K$5:$K$36,INT(($B72/H$5))+1)),0)</f>
        <v/>
      </c>
      <c r="I72" s="261">
        <f>IFERROR(INDEX('D Fleet'!$D$5:$D$63,MATCH(I$3-$B72,'D Fleet'!$B$5:$B$63,0)),0)*IFERROR(INDEX('D Fleet'!$K$5:$K$36,INT(($B72/I$5))+1)+(($B72/I$5)-INT(($B72/I$5)))*(INDEX('D Fleet'!$K$5:$K$36,INT(($B72/I$5))+2)-INDEX('D Fleet'!$K$5:$K$36,INT(($B72/I$5))+1)),0)</f>
        <v/>
      </c>
      <c r="J72" s="261">
        <f>IFERROR(INDEX('D Fleet'!$D$5:$D$63,MATCH(J$3-$B72,'D Fleet'!$B$5:$B$63,0)),0)*IFERROR(INDEX('D Fleet'!$K$5:$K$36,INT(($B72/J$5))+1)+(($B72/J$5)-INT(($B72/J$5)))*(INDEX('D Fleet'!$K$5:$K$36,INT(($B72/J$5))+2)-INDEX('D Fleet'!$K$5:$K$36,INT(($B72/J$5))+1)),0)</f>
        <v/>
      </c>
      <c r="K72" s="261">
        <f>IFERROR(INDEX('D Fleet'!$D$5:$D$63,MATCH(K$3-$B72,'D Fleet'!$B$5:$B$63,0)),0)*IFERROR(INDEX('D Fleet'!$K$5:$K$36,INT(($B72/K$5))+1)+(($B72/K$5)-INT(($B72/K$5)))*(INDEX('D Fleet'!$K$5:$K$36,INT(($B72/K$5))+2)-INDEX('D Fleet'!$K$5:$K$36,INT(($B72/K$5))+1)),0)</f>
        <v/>
      </c>
      <c r="L72" s="261">
        <f>IFERROR(INDEX('D Fleet'!$D$5:$D$63,MATCH(L$3-$B72,'D Fleet'!$B$5:$B$63,0)),0)*IFERROR(INDEX('D Fleet'!$K$5:$K$36,INT(($B72/L$5))+1)+(($B72/L$5)-INT(($B72/L$5)))*(INDEX('D Fleet'!$K$5:$K$36,INT(($B72/L$5))+2)-INDEX('D Fleet'!$K$5:$K$36,INT(($B72/L$5))+1)),0)</f>
        <v/>
      </c>
      <c r="M72" s="261">
        <f>IFERROR(INDEX('D Fleet'!$D$5:$D$63,MATCH(M$3-$B72,'D Fleet'!$B$5:$B$63,0)),0)*IFERROR(INDEX('D Fleet'!$K$5:$K$36,INT(($B72/M$5))+1)+(($B72/M$5)-INT(($B72/M$5)))*(INDEX('D Fleet'!$K$5:$K$36,INT(($B72/M$5))+2)-INDEX('D Fleet'!$K$5:$K$36,INT(($B72/M$5))+1)),0)</f>
        <v/>
      </c>
      <c r="N72" s="261">
        <f>IFERROR(INDEX('D Fleet'!$D$5:$D$63,MATCH(N$3-$B72,'D Fleet'!$B$5:$B$63,0)),0)*IFERROR(INDEX('D Fleet'!$K$5:$K$36,INT(($B72/N$5))+1)+(($B72/N$5)-INT(($B72/N$5)))*(INDEX('D Fleet'!$K$5:$K$36,INT(($B72/N$5))+2)-INDEX('D Fleet'!$K$5:$K$36,INT(($B72/N$5))+1)),0)</f>
        <v/>
      </c>
      <c r="P72" s="261">
        <f>E72*$D72*'E1 Fleet'!$D$98</f>
        <v/>
      </c>
      <c r="Q72" s="261">
        <f>F72*$D72*'E1 Fleet'!$D$98</f>
        <v/>
      </c>
      <c r="R72" s="261">
        <f>G72*$D72*'E1 Fleet'!$D$98</f>
        <v/>
      </c>
      <c r="S72" s="261">
        <f>H72*$D72*'E1 Fleet'!$D$98</f>
        <v/>
      </c>
      <c r="T72" s="261">
        <f>I72*$D72*'E1 Fleet'!$D$98</f>
        <v/>
      </c>
      <c r="U72" s="261">
        <f>J72*$D72*'E1 Fleet'!$D$98</f>
        <v/>
      </c>
      <c r="V72" s="261">
        <f>K72*$D72*'E1 Fleet'!$D$98</f>
        <v/>
      </c>
      <c r="W72" s="261">
        <f>L72*$D72*'E1 Fleet'!$D$98</f>
        <v/>
      </c>
      <c r="X72" s="261">
        <f>M72*$D72*'E1 Fleet'!$D$98</f>
        <v/>
      </c>
      <c r="Y72" s="261">
        <f>N72*$D72*'E1 Fleet'!$D$98</f>
        <v/>
      </c>
    </row>
    <row r="73">
      <c r="A73" t="inlineStr">
        <is>
          <t>SUV</t>
        </is>
      </c>
      <c r="B73" s="331" t="n">
        <v>20</v>
      </c>
      <c r="C73" s="331" t="n">
        <v>3</v>
      </c>
      <c r="D73" s="266">
        <f>IF($B73=0,'E1 Fleet'!$D$93,1)*EXP(-'E1 Fleet'!$D$94*MAX($B73-6,0))</f>
        <v/>
      </c>
      <c r="E73" s="261">
        <f>IFERROR(INDEX('D Fleet'!$D$5:$D$63,MATCH(E$3-$B73,'D Fleet'!$B$5:$B$63,0)),0)*IFERROR(INDEX('D Fleet'!$K$5:$K$36,INT(($B73/E$5))+1)+(($B73/E$5)-INT(($B73/E$5)))*(INDEX('D Fleet'!$K$5:$K$36,INT(($B73/E$5))+2)-INDEX('D Fleet'!$K$5:$K$36,INT(($B73/E$5))+1)),0)</f>
        <v/>
      </c>
      <c r="F73" s="261">
        <f>IFERROR(INDEX('D Fleet'!$D$5:$D$63,MATCH(F$3-$B73,'D Fleet'!$B$5:$B$63,0)),0)*IFERROR(INDEX('D Fleet'!$K$5:$K$36,INT(($B73/F$5))+1)+(($B73/F$5)-INT(($B73/F$5)))*(INDEX('D Fleet'!$K$5:$K$36,INT(($B73/F$5))+2)-INDEX('D Fleet'!$K$5:$K$36,INT(($B73/F$5))+1)),0)</f>
        <v/>
      </c>
      <c r="G73" s="261">
        <f>IFERROR(INDEX('D Fleet'!$D$5:$D$63,MATCH(G$3-$B73,'D Fleet'!$B$5:$B$63,0)),0)*IFERROR(INDEX('D Fleet'!$K$5:$K$36,INT(($B73/G$5))+1)+(($B73/G$5)-INT(($B73/G$5)))*(INDEX('D Fleet'!$K$5:$K$36,INT(($B73/G$5))+2)-INDEX('D Fleet'!$K$5:$K$36,INT(($B73/G$5))+1)),0)</f>
        <v/>
      </c>
      <c r="H73" s="261">
        <f>IFERROR(INDEX('D Fleet'!$D$5:$D$63,MATCH(H$3-$B73,'D Fleet'!$B$5:$B$63,0)),0)*IFERROR(INDEX('D Fleet'!$K$5:$K$36,INT(($B73/H$5))+1)+(($B73/H$5)-INT(($B73/H$5)))*(INDEX('D Fleet'!$K$5:$K$36,INT(($B73/H$5))+2)-INDEX('D Fleet'!$K$5:$K$36,INT(($B73/H$5))+1)),0)</f>
        <v/>
      </c>
      <c r="I73" s="261">
        <f>IFERROR(INDEX('D Fleet'!$D$5:$D$63,MATCH(I$3-$B73,'D Fleet'!$B$5:$B$63,0)),0)*IFERROR(INDEX('D Fleet'!$K$5:$K$36,INT(($B73/I$5))+1)+(($B73/I$5)-INT(($B73/I$5)))*(INDEX('D Fleet'!$K$5:$K$36,INT(($B73/I$5))+2)-INDEX('D Fleet'!$K$5:$K$36,INT(($B73/I$5))+1)),0)</f>
        <v/>
      </c>
      <c r="J73" s="261">
        <f>IFERROR(INDEX('D Fleet'!$D$5:$D$63,MATCH(J$3-$B73,'D Fleet'!$B$5:$B$63,0)),0)*IFERROR(INDEX('D Fleet'!$K$5:$K$36,INT(($B73/J$5))+1)+(($B73/J$5)-INT(($B73/J$5)))*(INDEX('D Fleet'!$K$5:$K$36,INT(($B73/J$5))+2)-INDEX('D Fleet'!$K$5:$K$36,INT(($B73/J$5))+1)),0)</f>
        <v/>
      </c>
      <c r="K73" s="261">
        <f>IFERROR(INDEX('D Fleet'!$D$5:$D$63,MATCH(K$3-$B73,'D Fleet'!$B$5:$B$63,0)),0)*IFERROR(INDEX('D Fleet'!$K$5:$K$36,INT(($B73/K$5))+1)+(($B73/K$5)-INT(($B73/K$5)))*(INDEX('D Fleet'!$K$5:$K$36,INT(($B73/K$5))+2)-INDEX('D Fleet'!$K$5:$K$36,INT(($B73/K$5))+1)),0)</f>
        <v/>
      </c>
      <c r="L73" s="261">
        <f>IFERROR(INDEX('D Fleet'!$D$5:$D$63,MATCH(L$3-$B73,'D Fleet'!$B$5:$B$63,0)),0)*IFERROR(INDEX('D Fleet'!$K$5:$K$36,INT(($B73/L$5))+1)+(($B73/L$5)-INT(($B73/L$5)))*(INDEX('D Fleet'!$K$5:$K$36,INT(($B73/L$5))+2)-INDEX('D Fleet'!$K$5:$K$36,INT(($B73/L$5))+1)),0)</f>
        <v/>
      </c>
      <c r="M73" s="261">
        <f>IFERROR(INDEX('D Fleet'!$D$5:$D$63,MATCH(M$3-$B73,'D Fleet'!$B$5:$B$63,0)),0)*IFERROR(INDEX('D Fleet'!$K$5:$K$36,INT(($B73/M$5))+1)+(($B73/M$5)-INT(($B73/M$5)))*(INDEX('D Fleet'!$K$5:$K$36,INT(($B73/M$5))+2)-INDEX('D Fleet'!$K$5:$K$36,INT(($B73/M$5))+1)),0)</f>
        <v/>
      </c>
      <c r="N73" s="261">
        <f>IFERROR(INDEX('D Fleet'!$D$5:$D$63,MATCH(N$3-$B73,'D Fleet'!$B$5:$B$63,0)),0)*IFERROR(INDEX('D Fleet'!$K$5:$K$36,INT(($B73/N$5))+1)+(($B73/N$5)-INT(($B73/N$5)))*(INDEX('D Fleet'!$K$5:$K$36,INT(($B73/N$5))+2)-INDEX('D Fleet'!$K$5:$K$36,INT(($B73/N$5))+1)),0)</f>
        <v/>
      </c>
      <c r="P73" s="261">
        <f>E73*$D73*'E1 Fleet'!$D$98</f>
        <v/>
      </c>
      <c r="Q73" s="261">
        <f>F73*$D73*'E1 Fleet'!$D$98</f>
        <v/>
      </c>
      <c r="R73" s="261">
        <f>G73*$D73*'E1 Fleet'!$D$98</f>
        <v/>
      </c>
      <c r="S73" s="261">
        <f>H73*$D73*'E1 Fleet'!$D$98</f>
        <v/>
      </c>
      <c r="T73" s="261">
        <f>I73*$D73*'E1 Fleet'!$D$98</f>
        <v/>
      </c>
      <c r="U73" s="261">
        <f>J73*$D73*'E1 Fleet'!$D$98</f>
        <v/>
      </c>
      <c r="V73" s="261">
        <f>K73*$D73*'E1 Fleet'!$D$98</f>
        <v/>
      </c>
      <c r="W73" s="261">
        <f>L73*$D73*'E1 Fleet'!$D$98</f>
        <v/>
      </c>
      <c r="X73" s="261">
        <f>M73*$D73*'E1 Fleet'!$D$98</f>
        <v/>
      </c>
      <c r="Y73" s="261">
        <f>N73*$D73*'E1 Fleet'!$D$98</f>
        <v/>
      </c>
    </row>
    <row r="74">
      <c r="A74" t="inlineStr">
        <is>
          <t>SUV</t>
        </is>
      </c>
      <c r="B74" s="331" t="n">
        <v>21</v>
      </c>
      <c r="C74" s="331" t="n">
        <v>3</v>
      </c>
      <c r="D74" s="266">
        <f>IF($B74=0,'E1 Fleet'!$D$93,1)*EXP(-'E1 Fleet'!$D$94*MAX($B74-6,0))</f>
        <v/>
      </c>
      <c r="E74" s="261">
        <f>IFERROR(INDEX('D Fleet'!$D$5:$D$63,MATCH(E$3-$B74,'D Fleet'!$B$5:$B$63,0)),0)*IFERROR(INDEX('D Fleet'!$K$5:$K$36,INT(($B74/E$5))+1)+(($B74/E$5)-INT(($B74/E$5)))*(INDEX('D Fleet'!$K$5:$K$36,INT(($B74/E$5))+2)-INDEX('D Fleet'!$K$5:$K$36,INT(($B74/E$5))+1)),0)</f>
        <v/>
      </c>
      <c r="F74" s="261">
        <f>IFERROR(INDEX('D Fleet'!$D$5:$D$63,MATCH(F$3-$B74,'D Fleet'!$B$5:$B$63,0)),0)*IFERROR(INDEX('D Fleet'!$K$5:$K$36,INT(($B74/F$5))+1)+(($B74/F$5)-INT(($B74/F$5)))*(INDEX('D Fleet'!$K$5:$K$36,INT(($B74/F$5))+2)-INDEX('D Fleet'!$K$5:$K$36,INT(($B74/F$5))+1)),0)</f>
        <v/>
      </c>
      <c r="G74" s="261">
        <f>IFERROR(INDEX('D Fleet'!$D$5:$D$63,MATCH(G$3-$B74,'D Fleet'!$B$5:$B$63,0)),0)*IFERROR(INDEX('D Fleet'!$K$5:$K$36,INT(($B74/G$5))+1)+(($B74/G$5)-INT(($B74/G$5)))*(INDEX('D Fleet'!$K$5:$K$36,INT(($B74/G$5))+2)-INDEX('D Fleet'!$K$5:$K$36,INT(($B74/G$5))+1)),0)</f>
        <v/>
      </c>
      <c r="H74" s="261">
        <f>IFERROR(INDEX('D Fleet'!$D$5:$D$63,MATCH(H$3-$B74,'D Fleet'!$B$5:$B$63,0)),0)*IFERROR(INDEX('D Fleet'!$K$5:$K$36,INT(($B74/H$5))+1)+(($B74/H$5)-INT(($B74/H$5)))*(INDEX('D Fleet'!$K$5:$K$36,INT(($B74/H$5))+2)-INDEX('D Fleet'!$K$5:$K$36,INT(($B74/H$5))+1)),0)</f>
        <v/>
      </c>
      <c r="I74" s="261">
        <f>IFERROR(INDEX('D Fleet'!$D$5:$D$63,MATCH(I$3-$B74,'D Fleet'!$B$5:$B$63,0)),0)*IFERROR(INDEX('D Fleet'!$K$5:$K$36,INT(($B74/I$5))+1)+(($B74/I$5)-INT(($B74/I$5)))*(INDEX('D Fleet'!$K$5:$K$36,INT(($B74/I$5))+2)-INDEX('D Fleet'!$K$5:$K$36,INT(($B74/I$5))+1)),0)</f>
        <v/>
      </c>
      <c r="J74" s="261">
        <f>IFERROR(INDEX('D Fleet'!$D$5:$D$63,MATCH(J$3-$B74,'D Fleet'!$B$5:$B$63,0)),0)*IFERROR(INDEX('D Fleet'!$K$5:$K$36,INT(($B74/J$5))+1)+(($B74/J$5)-INT(($B74/J$5)))*(INDEX('D Fleet'!$K$5:$K$36,INT(($B74/J$5))+2)-INDEX('D Fleet'!$K$5:$K$36,INT(($B74/J$5))+1)),0)</f>
        <v/>
      </c>
      <c r="K74" s="261">
        <f>IFERROR(INDEX('D Fleet'!$D$5:$D$63,MATCH(K$3-$B74,'D Fleet'!$B$5:$B$63,0)),0)*IFERROR(INDEX('D Fleet'!$K$5:$K$36,INT(($B74/K$5))+1)+(($B74/K$5)-INT(($B74/K$5)))*(INDEX('D Fleet'!$K$5:$K$36,INT(($B74/K$5))+2)-INDEX('D Fleet'!$K$5:$K$36,INT(($B74/K$5))+1)),0)</f>
        <v/>
      </c>
      <c r="L74" s="261">
        <f>IFERROR(INDEX('D Fleet'!$D$5:$D$63,MATCH(L$3-$B74,'D Fleet'!$B$5:$B$63,0)),0)*IFERROR(INDEX('D Fleet'!$K$5:$K$36,INT(($B74/L$5))+1)+(($B74/L$5)-INT(($B74/L$5)))*(INDEX('D Fleet'!$K$5:$K$36,INT(($B74/L$5))+2)-INDEX('D Fleet'!$K$5:$K$36,INT(($B74/L$5))+1)),0)</f>
        <v/>
      </c>
      <c r="M74" s="261">
        <f>IFERROR(INDEX('D Fleet'!$D$5:$D$63,MATCH(M$3-$B74,'D Fleet'!$B$5:$B$63,0)),0)*IFERROR(INDEX('D Fleet'!$K$5:$K$36,INT(($B74/M$5))+1)+(($B74/M$5)-INT(($B74/M$5)))*(INDEX('D Fleet'!$K$5:$K$36,INT(($B74/M$5))+2)-INDEX('D Fleet'!$K$5:$K$36,INT(($B74/M$5))+1)),0)</f>
        <v/>
      </c>
      <c r="N74" s="261">
        <f>IFERROR(INDEX('D Fleet'!$D$5:$D$63,MATCH(N$3-$B74,'D Fleet'!$B$5:$B$63,0)),0)*IFERROR(INDEX('D Fleet'!$K$5:$K$36,INT(($B74/N$5))+1)+(($B74/N$5)-INT(($B74/N$5)))*(INDEX('D Fleet'!$K$5:$K$36,INT(($B74/N$5))+2)-INDEX('D Fleet'!$K$5:$K$36,INT(($B74/N$5))+1)),0)</f>
        <v/>
      </c>
      <c r="P74" s="261">
        <f>E74*$D74*'E1 Fleet'!$D$98</f>
        <v/>
      </c>
      <c r="Q74" s="261">
        <f>F74*$D74*'E1 Fleet'!$D$98</f>
        <v/>
      </c>
      <c r="R74" s="261">
        <f>G74*$D74*'E1 Fleet'!$D$98</f>
        <v/>
      </c>
      <c r="S74" s="261">
        <f>H74*$D74*'E1 Fleet'!$D$98</f>
        <v/>
      </c>
      <c r="T74" s="261">
        <f>I74*$D74*'E1 Fleet'!$D$98</f>
        <v/>
      </c>
      <c r="U74" s="261">
        <f>J74*$D74*'E1 Fleet'!$D$98</f>
        <v/>
      </c>
      <c r="V74" s="261">
        <f>K74*$D74*'E1 Fleet'!$D$98</f>
        <v/>
      </c>
      <c r="W74" s="261">
        <f>L74*$D74*'E1 Fleet'!$D$98</f>
        <v/>
      </c>
      <c r="X74" s="261">
        <f>M74*$D74*'E1 Fleet'!$D$98</f>
        <v/>
      </c>
      <c r="Y74" s="261">
        <f>N74*$D74*'E1 Fleet'!$D$98</f>
        <v/>
      </c>
    </row>
    <row r="75">
      <c r="A75" t="inlineStr">
        <is>
          <t>SUV</t>
        </is>
      </c>
      <c r="B75" s="331" t="n">
        <v>22</v>
      </c>
      <c r="C75" s="331" t="n">
        <v>3</v>
      </c>
      <c r="D75" s="266">
        <f>IF($B75=0,'E1 Fleet'!$D$93,1)*EXP(-'E1 Fleet'!$D$94*MAX($B75-6,0))</f>
        <v/>
      </c>
      <c r="E75" s="261">
        <f>IFERROR(INDEX('D Fleet'!$D$5:$D$63,MATCH(E$3-$B75,'D Fleet'!$B$5:$B$63,0)),0)*IFERROR(INDEX('D Fleet'!$K$5:$K$36,INT(($B75/E$5))+1)+(($B75/E$5)-INT(($B75/E$5)))*(INDEX('D Fleet'!$K$5:$K$36,INT(($B75/E$5))+2)-INDEX('D Fleet'!$K$5:$K$36,INT(($B75/E$5))+1)),0)</f>
        <v/>
      </c>
      <c r="F75" s="261">
        <f>IFERROR(INDEX('D Fleet'!$D$5:$D$63,MATCH(F$3-$B75,'D Fleet'!$B$5:$B$63,0)),0)*IFERROR(INDEX('D Fleet'!$K$5:$K$36,INT(($B75/F$5))+1)+(($B75/F$5)-INT(($B75/F$5)))*(INDEX('D Fleet'!$K$5:$K$36,INT(($B75/F$5))+2)-INDEX('D Fleet'!$K$5:$K$36,INT(($B75/F$5))+1)),0)</f>
        <v/>
      </c>
      <c r="G75" s="261">
        <f>IFERROR(INDEX('D Fleet'!$D$5:$D$63,MATCH(G$3-$B75,'D Fleet'!$B$5:$B$63,0)),0)*IFERROR(INDEX('D Fleet'!$K$5:$K$36,INT(($B75/G$5))+1)+(($B75/G$5)-INT(($B75/G$5)))*(INDEX('D Fleet'!$K$5:$K$36,INT(($B75/G$5))+2)-INDEX('D Fleet'!$K$5:$K$36,INT(($B75/G$5))+1)),0)</f>
        <v/>
      </c>
      <c r="H75" s="261">
        <f>IFERROR(INDEX('D Fleet'!$D$5:$D$63,MATCH(H$3-$B75,'D Fleet'!$B$5:$B$63,0)),0)*IFERROR(INDEX('D Fleet'!$K$5:$K$36,INT(($B75/H$5))+1)+(($B75/H$5)-INT(($B75/H$5)))*(INDEX('D Fleet'!$K$5:$K$36,INT(($B75/H$5))+2)-INDEX('D Fleet'!$K$5:$K$36,INT(($B75/H$5))+1)),0)</f>
        <v/>
      </c>
      <c r="I75" s="261">
        <f>IFERROR(INDEX('D Fleet'!$D$5:$D$63,MATCH(I$3-$B75,'D Fleet'!$B$5:$B$63,0)),0)*IFERROR(INDEX('D Fleet'!$K$5:$K$36,INT(($B75/I$5))+1)+(($B75/I$5)-INT(($B75/I$5)))*(INDEX('D Fleet'!$K$5:$K$36,INT(($B75/I$5))+2)-INDEX('D Fleet'!$K$5:$K$36,INT(($B75/I$5))+1)),0)</f>
        <v/>
      </c>
      <c r="J75" s="261">
        <f>IFERROR(INDEX('D Fleet'!$D$5:$D$63,MATCH(J$3-$B75,'D Fleet'!$B$5:$B$63,0)),0)*IFERROR(INDEX('D Fleet'!$K$5:$K$36,INT(($B75/J$5))+1)+(($B75/J$5)-INT(($B75/J$5)))*(INDEX('D Fleet'!$K$5:$K$36,INT(($B75/J$5))+2)-INDEX('D Fleet'!$K$5:$K$36,INT(($B75/J$5))+1)),0)</f>
        <v/>
      </c>
      <c r="K75" s="261">
        <f>IFERROR(INDEX('D Fleet'!$D$5:$D$63,MATCH(K$3-$B75,'D Fleet'!$B$5:$B$63,0)),0)*IFERROR(INDEX('D Fleet'!$K$5:$K$36,INT(($B75/K$5))+1)+(($B75/K$5)-INT(($B75/K$5)))*(INDEX('D Fleet'!$K$5:$K$36,INT(($B75/K$5))+2)-INDEX('D Fleet'!$K$5:$K$36,INT(($B75/K$5))+1)),0)</f>
        <v/>
      </c>
      <c r="L75" s="261">
        <f>IFERROR(INDEX('D Fleet'!$D$5:$D$63,MATCH(L$3-$B75,'D Fleet'!$B$5:$B$63,0)),0)*IFERROR(INDEX('D Fleet'!$K$5:$K$36,INT(($B75/L$5))+1)+(($B75/L$5)-INT(($B75/L$5)))*(INDEX('D Fleet'!$K$5:$K$36,INT(($B75/L$5))+2)-INDEX('D Fleet'!$K$5:$K$36,INT(($B75/L$5))+1)),0)</f>
        <v/>
      </c>
      <c r="M75" s="261">
        <f>IFERROR(INDEX('D Fleet'!$D$5:$D$63,MATCH(M$3-$B75,'D Fleet'!$B$5:$B$63,0)),0)*IFERROR(INDEX('D Fleet'!$K$5:$K$36,INT(($B75/M$5))+1)+(($B75/M$5)-INT(($B75/M$5)))*(INDEX('D Fleet'!$K$5:$K$36,INT(($B75/M$5))+2)-INDEX('D Fleet'!$K$5:$K$36,INT(($B75/M$5))+1)),0)</f>
        <v/>
      </c>
      <c r="N75" s="261">
        <f>IFERROR(INDEX('D Fleet'!$D$5:$D$63,MATCH(N$3-$B75,'D Fleet'!$B$5:$B$63,0)),0)*IFERROR(INDEX('D Fleet'!$K$5:$K$36,INT(($B75/N$5))+1)+(($B75/N$5)-INT(($B75/N$5)))*(INDEX('D Fleet'!$K$5:$K$36,INT(($B75/N$5))+2)-INDEX('D Fleet'!$K$5:$K$36,INT(($B75/N$5))+1)),0)</f>
        <v/>
      </c>
      <c r="P75" s="261">
        <f>E75*$D75*'E1 Fleet'!$D$98</f>
        <v/>
      </c>
      <c r="Q75" s="261">
        <f>F75*$D75*'E1 Fleet'!$D$98</f>
        <v/>
      </c>
      <c r="R75" s="261">
        <f>G75*$D75*'E1 Fleet'!$D$98</f>
        <v/>
      </c>
      <c r="S75" s="261">
        <f>H75*$D75*'E1 Fleet'!$D$98</f>
        <v/>
      </c>
      <c r="T75" s="261">
        <f>I75*$D75*'E1 Fleet'!$D$98</f>
        <v/>
      </c>
      <c r="U75" s="261">
        <f>J75*$D75*'E1 Fleet'!$D$98</f>
        <v/>
      </c>
      <c r="V75" s="261">
        <f>K75*$D75*'E1 Fleet'!$D$98</f>
        <v/>
      </c>
      <c r="W75" s="261">
        <f>L75*$D75*'E1 Fleet'!$D$98</f>
        <v/>
      </c>
      <c r="X75" s="261">
        <f>M75*$D75*'E1 Fleet'!$D$98</f>
        <v/>
      </c>
      <c r="Y75" s="261">
        <f>N75*$D75*'E1 Fleet'!$D$98</f>
        <v/>
      </c>
    </row>
    <row r="76">
      <c r="A76" t="inlineStr">
        <is>
          <t>SUV</t>
        </is>
      </c>
      <c r="B76" s="331" t="n">
        <v>23</v>
      </c>
      <c r="C76" s="331" t="n">
        <v>3</v>
      </c>
      <c r="D76" s="266">
        <f>IF($B76=0,'E1 Fleet'!$D$93,1)*EXP(-'E1 Fleet'!$D$94*MAX($B76-6,0))</f>
        <v/>
      </c>
      <c r="E76" s="261">
        <f>IFERROR(INDEX('D Fleet'!$D$5:$D$63,MATCH(E$3-$B76,'D Fleet'!$B$5:$B$63,0)),0)*IFERROR(INDEX('D Fleet'!$K$5:$K$36,INT(($B76/E$5))+1)+(($B76/E$5)-INT(($B76/E$5)))*(INDEX('D Fleet'!$K$5:$K$36,INT(($B76/E$5))+2)-INDEX('D Fleet'!$K$5:$K$36,INT(($B76/E$5))+1)),0)</f>
        <v/>
      </c>
      <c r="F76" s="261">
        <f>IFERROR(INDEX('D Fleet'!$D$5:$D$63,MATCH(F$3-$B76,'D Fleet'!$B$5:$B$63,0)),0)*IFERROR(INDEX('D Fleet'!$K$5:$K$36,INT(($B76/F$5))+1)+(($B76/F$5)-INT(($B76/F$5)))*(INDEX('D Fleet'!$K$5:$K$36,INT(($B76/F$5))+2)-INDEX('D Fleet'!$K$5:$K$36,INT(($B76/F$5))+1)),0)</f>
        <v/>
      </c>
      <c r="G76" s="261">
        <f>IFERROR(INDEX('D Fleet'!$D$5:$D$63,MATCH(G$3-$B76,'D Fleet'!$B$5:$B$63,0)),0)*IFERROR(INDEX('D Fleet'!$K$5:$K$36,INT(($B76/G$5))+1)+(($B76/G$5)-INT(($B76/G$5)))*(INDEX('D Fleet'!$K$5:$K$36,INT(($B76/G$5))+2)-INDEX('D Fleet'!$K$5:$K$36,INT(($B76/G$5))+1)),0)</f>
        <v/>
      </c>
      <c r="H76" s="261">
        <f>IFERROR(INDEX('D Fleet'!$D$5:$D$63,MATCH(H$3-$B76,'D Fleet'!$B$5:$B$63,0)),0)*IFERROR(INDEX('D Fleet'!$K$5:$K$36,INT(($B76/H$5))+1)+(($B76/H$5)-INT(($B76/H$5)))*(INDEX('D Fleet'!$K$5:$K$36,INT(($B76/H$5))+2)-INDEX('D Fleet'!$K$5:$K$36,INT(($B76/H$5))+1)),0)</f>
        <v/>
      </c>
      <c r="I76" s="261">
        <f>IFERROR(INDEX('D Fleet'!$D$5:$D$63,MATCH(I$3-$B76,'D Fleet'!$B$5:$B$63,0)),0)*IFERROR(INDEX('D Fleet'!$K$5:$K$36,INT(($B76/I$5))+1)+(($B76/I$5)-INT(($B76/I$5)))*(INDEX('D Fleet'!$K$5:$K$36,INT(($B76/I$5))+2)-INDEX('D Fleet'!$K$5:$K$36,INT(($B76/I$5))+1)),0)</f>
        <v/>
      </c>
      <c r="J76" s="261">
        <f>IFERROR(INDEX('D Fleet'!$D$5:$D$63,MATCH(J$3-$B76,'D Fleet'!$B$5:$B$63,0)),0)*IFERROR(INDEX('D Fleet'!$K$5:$K$36,INT(($B76/J$5))+1)+(($B76/J$5)-INT(($B76/J$5)))*(INDEX('D Fleet'!$K$5:$K$36,INT(($B76/J$5))+2)-INDEX('D Fleet'!$K$5:$K$36,INT(($B76/J$5))+1)),0)</f>
        <v/>
      </c>
      <c r="K76" s="261">
        <f>IFERROR(INDEX('D Fleet'!$D$5:$D$63,MATCH(K$3-$B76,'D Fleet'!$B$5:$B$63,0)),0)*IFERROR(INDEX('D Fleet'!$K$5:$K$36,INT(($B76/K$5))+1)+(($B76/K$5)-INT(($B76/K$5)))*(INDEX('D Fleet'!$K$5:$K$36,INT(($B76/K$5))+2)-INDEX('D Fleet'!$K$5:$K$36,INT(($B76/K$5))+1)),0)</f>
        <v/>
      </c>
      <c r="L76" s="261">
        <f>IFERROR(INDEX('D Fleet'!$D$5:$D$63,MATCH(L$3-$B76,'D Fleet'!$B$5:$B$63,0)),0)*IFERROR(INDEX('D Fleet'!$K$5:$K$36,INT(($B76/L$5))+1)+(($B76/L$5)-INT(($B76/L$5)))*(INDEX('D Fleet'!$K$5:$K$36,INT(($B76/L$5))+2)-INDEX('D Fleet'!$K$5:$K$36,INT(($B76/L$5))+1)),0)</f>
        <v/>
      </c>
      <c r="M76" s="261">
        <f>IFERROR(INDEX('D Fleet'!$D$5:$D$63,MATCH(M$3-$B76,'D Fleet'!$B$5:$B$63,0)),0)*IFERROR(INDEX('D Fleet'!$K$5:$K$36,INT(($B76/M$5))+1)+(($B76/M$5)-INT(($B76/M$5)))*(INDEX('D Fleet'!$K$5:$K$36,INT(($B76/M$5))+2)-INDEX('D Fleet'!$K$5:$K$36,INT(($B76/M$5))+1)),0)</f>
        <v/>
      </c>
      <c r="N76" s="261">
        <f>IFERROR(INDEX('D Fleet'!$D$5:$D$63,MATCH(N$3-$B76,'D Fleet'!$B$5:$B$63,0)),0)*IFERROR(INDEX('D Fleet'!$K$5:$K$36,INT(($B76/N$5))+1)+(($B76/N$5)-INT(($B76/N$5)))*(INDEX('D Fleet'!$K$5:$K$36,INT(($B76/N$5))+2)-INDEX('D Fleet'!$K$5:$K$36,INT(($B76/N$5))+1)),0)</f>
        <v/>
      </c>
      <c r="P76" s="261">
        <f>E76*$D76*'E1 Fleet'!$D$98</f>
        <v/>
      </c>
      <c r="Q76" s="261">
        <f>F76*$D76*'E1 Fleet'!$D$98</f>
        <v/>
      </c>
      <c r="R76" s="261">
        <f>G76*$D76*'E1 Fleet'!$D$98</f>
        <v/>
      </c>
      <c r="S76" s="261">
        <f>H76*$D76*'E1 Fleet'!$D$98</f>
        <v/>
      </c>
      <c r="T76" s="261">
        <f>I76*$D76*'E1 Fleet'!$D$98</f>
        <v/>
      </c>
      <c r="U76" s="261">
        <f>J76*$D76*'E1 Fleet'!$D$98</f>
        <v/>
      </c>
      <c r="V76" s="261">
        <f>K76*$D76*'E1 Fleet'!$D$98</f>
        <v/>
      </c>
      <c r="W76" s="261">
        <f>L76*$D76*'E1 Fleet'!$D$98</f>
        <v/>
      </c>
      <c r="X76" s="261">
        <f>M76*$D76*'E1 Fleet'!$D$98</f>
        <v/>
      </c>
      <c r="Y76" s="261">
        <f>N76*$D76*'E1 Fleet'!$D$98</f>
        <v/>
      </c>
    </row>
    <row r="77">
      <c r="A77" t="inlineStr">
        <is>
          <t>SUV</t>
        </is>
      </c>
      <c r="B77" s="331" t="n">
        <v>24</v>
      </c>
      <c r="C77" s="331" t="n">
        <v>3</v>
      </c>
      <c r="D77" s="266">
        <f>IF($B77=0,'E1 Fleet'!$D$93,1)*EXP(-'E1 Fleet'!$D$94*MAX($B77-6,0))</f>
        <v/>
      </c>
      <c r="E77" s="261">
        <f>IFERROR(INDEX('D Fleet'!$D$5:$D$63,MATCH(E$3-$B77,'D Fleet'!$B$5:$B$63,0)),0)*IFERROR(INDEX('D Fleet'!$K$5:$K$36,INT(($B77/E$5))+1)+(($B77/E$5)-INT(($B77/E$5)))*(INDEX('D Fleet'!$K$5:$K$36,INT(($B77/E$5))+2)-INDEX('D Fleet'!$K$5:$K$36,INT(($B77/E$5))+1)),0)</f>
        <v/>
      </c>
      <c r="F77" s="261">
        <f>IFERROR(INDEX('D Fleet'!$D$5:$D$63,MATCH(F$3-$B77,'D Fleet'!$B$5:$B$63,0)),0)*IFERROR(INDEX('D Fleet'!$K$5:$K$36,INT(($B77/F$5))+1)+(($B77/F$5)-INT(($B77/F$5)))*(INDEX('D Fleet'!$K$5:$K$36,INT(($B77/F$5))+2)-INDEX('D Fleet'!$K$5:$K$36,INT(($B77/F$5))+1)),0)</f>
        <v/>
      </c>
      <c r="G77" s="261">
        <f>IFERROR(INDEX('D Fleet'!$D$5:$D$63,MATCH(G$3-$B77,'D Fleet'!$B$5:$B$63,0)),0)*IFERROR(INDEX('D Fleet'!$K$5:$K$36,INT(($B77/G$5))+1)+(($B77/G$5)-INT(($B77/G$5)))*(INDEX('D Fleet'!$K$5:$K$36,INT(($B77/G$5))+2)-INDEX('D Fleet'!$K$5:$K$36,INT(($B77/G$5))+1)),0)</f>
        <v/>
      </c>
      <c r="H77" s="261">
        <f>IFERROR(INDEX('D Fleet'!$D$5:$D$63,MATCH(H$3-$B77,'D Fleet'!$B$5:$B$63,0)),0)*IFERROR(INDEX('D Fleet'!$K$5:$K$36,INT(($B77/H$5))+1)+(($B77/H$5)-INT(($B77/H$5)))*(INDEX('D Fleet'!$K$5:$K$36,INT(($B77/H$5))+2)-INDEX('D Fleet'!$K$5:$K$36,INT(($B77/H$5))+1)),0)</f>
        <v/>
      </c>
      <c r="I77" s="261">
        <f>IFERROR(INDEX('D Fleet'!$D$5:$D$63,MATCH(I$3-$B77,'D Fleet'!$B$5:$B$63,0)),0)*IFERROR(INDEX('D Fleet'!$K$5:$K$36,INT(($B77/I$5))+1)+(($B77/I$5)-INT(($B77/I$5)))*(INDEX('D Fleet'!$K$5:$K$36,INT(($B77/I$5))+2)-INDEX('D Fleet'!$K$5:$K$36,INT(($B77/I$5))+1)),0)</f>
        <v/>
      </c>
      <c r="J77" s="261">
        <f>IFERROR(INDEX('D Fleet'!$D$5:$D$63,MATCH(J$3-$B77,'D Fleet'!$B$5:$B$63,0)),0)*IFERROR(INDEX('D Fleet'!$K$5:$K$36,INT(($B77/J$5))+1)+(($B77/J$5)-INT(($B77/J$5)))*(INDEX('D Fleet'!$K$5:$K$36,INT(($B77/J$5))+2)-INDEX('D Fleet'!$K$5:$K$36,INT(($B77/J$5))+1)),0)</f>
        <v/>
      </c>
      <c r="K77" s="261">
        <f>IFERROR(INDEX('D Fleet'!$D$5:$D$63,MATCH(K$3-$B77,'D Fleet'!$B$5:$B$63,0)),0)*IFERROR(INDEX('D Fleet'!$K$5:$K$36,INT(($B77/K$5))+1)+(($B77/K$5)-INT(($B77/K$5)))*(INDEX('D Fleet'!$K$5:$K$36,INT(($B77/K$5))+2)-INDEX('D Fleet'!$K$5:$K$36,INT(($B77/K$5))+1)),0)</f>
        <v/>
      </c>
      <c r="L77" s="261">
        <f>IFERROR(INDEX('D Fleet'!$D$5:$D$63,MATCH(L$3-$B77,'D Fleet'!$B$5:$B$63,0)),0)*IFERROR(INDEX('D Fleet'!$K$5:$K$36,INT(($B77/L$5))+1)+(($B77/L$5)-INT(($B77/L$5)))*(INDEX('D Fleet'!$K$5:$K$36,INT(($B77/L$5))+2)-INDEX('D Fleet'!$K$5:$K$36,INT(($B77/L$5))+1)),0)</f>
        <v/>
      </c>
      <c r="M77" s="261">
        <f>IFERROR(INDEX('D Fleet'!$D$5:$D$63,MATCH(M$3-$B77,'D Fleet'!$B$5:$B$63,0)),0)*IFERROR(INDEX('D Fleet'!$K$5:$K$36,INT(($B77/M$5))+1)+(($B77/M$5)-INT(($B77/M$5)))*(INDEX('D Fleet'!$K$5:$K$36,INT(($B77/M$5))+2)-INDEX('D Fleet'!$K$5:$K$36,INT(($B77/M$5))+1)),0)</f>
        <v/>
      </c>
      <c r="N77" s="261">
        <f>IFERROR(INDEX('D Fleet'!$D$5:$D$63,MATCH(N$3-$B77,'D Fleet'!$B$5:$B$63,0)),0)*IFERROR(INDEX('D Fleet'!$K$5:$K$36,INT(($B77/N$5))+1)+(($B77/N$5)-INT(($B77/N$5)))*(INDEX('D Fleet'!$K$5:$K$36,INT(($B77/N$5))+2)-INDEX('D Fleet'!$K$5:$K$36,INT(($B77/N$5))+1)),0)</f>
        <v/>
      </c>
      <c r="P77" s="261">
        <f>E77*$D77*'E1 Fleet'!$D$98</f>
        <v/>
      </c>
      <c r="Q77" s="261">
        <f>F77*$D77*'E1 Fleet'!$D$98</f>
        <v/>
      </c>
      <c r="R77" s="261">
        <f>G77*$D77*'E1 Fleet'!$D$98</f>
        <v/>
      </c>
      <c r="S77" s="261">
        <f>H77*$D77*'E1 Fleet'!$D$98</f>
        <v/>
      </c>
      <c r="T77" s="261">
        <f>I77*$D77*'E1 Fleet'!$D$98</f>
        <v/>
      </c>
      <c r="U77" s="261">
        <f>J77*$D77*'E1 Fleet'!$D$98</f>
        <v/>
      </c>
      <c r="V77" s="261">
        <f>K77*$D77*'E1 Fleet'!$D$98</f>
        <v/>
      </c>
      <c r="W77" s="261">
        <f>L77*$D77*'E1 Fleet'!$D$98</f>
        <v/>
      </c>
      <c r="X77" s="261">
        <f>M77*$D77*'E1 Fleet'!$D$98</f>
        <v/>
      </c>
      <c r="Y77" s="261">
        <f>N77*$D77*'E1 Fleet'!$D$98</f>
        <v/>
      </c>
    </row>
    <row r="78">
      <c r="A78" t="inlineStr">
        <is>
          <t>SUV</t>
        </is>
      </c>
      <c r="B78" s="331" t="n">
        <v>25</v>
      </c>
      <c r="C78" s="331" t="n">
        <v>3</v>
      </c>
      <c r="D78" s="266">
        <f>IF($B78=0,'E1 Fleet'!$D$93,1)*EXP(-'E1 Fleet'!$D$94*MAX($B78-6,0))</f>
        <v/>
      </c>
      <c r="E78" s="261">
        <f>IFERROR(INDEX('D Fleet'!$D$5:$D$63,MATCH(E$3-$B78,'D Fleet'!$B$5:$B$63,0)),0)*IFERROR(INDEX('D Fleet'!$K$5:$K$36,INT(($B78/E$5))+1)+(($B78/E$5)-INT(($B78/E$5)))*(INDEX('D Fleet'!$K$5:$K$36,INT(($B78/E$5))+2)-INDEX('D Fleet'!$K$5:$K$36,INT(($B78/E$5))+1)),0)</f>
        <v/>
      </c>
      <c r="F78" s="261">
        <f>IFERROR(INDEX('D Fleet'!$D$5:$D$63,MATCH(F$3-$B78,'D Fleet'!$B$5:$B$63,0)),0)*IFERROR(INDEX('D Fleet'!$K$5:$K$36,INT(($B78/F$5))+1)+(($B78/F$5)-INT(($B78/F$5)))*(INDEX('D Fleet'!$K$5:$K$36,INT(($B78/F$5))+2)-INDEX('D Fleet'!$K$5:$K$36,INT(($B78/F$5))+1)),0)</f>
        <v/>
      </c>
      <c r="G78" s="261">
        <f>IFERROR(INDEX('D Fleet'!$D$5:$D$63,MATCH(G$3-$B78,'D Fleet'!$B$5:$B$63,0)),0)*IFERROR(INDEX('D Fleet'!$K$5:$K$36,INT(($B78/G$5))+1)+(($B78/G$5)-INT(($B78/G$5)))*(INDEX('D Fleet'!$K$5:$K$36,INT(($B78/G$5))+2)-INDEX('D Fleet'!$K$5:$K$36,INT(($B78/G$5))+1)),0)</f>
        <v/>
      </c>
      <c r="H78" s="261">
        <f>IFERROR(INDEX('D Fleet'!$D$5:$D$63,MATCH(H$3-$B78,'D Fleet'!$B$5:$B$63,0)),0)*IFERROR(INDEX('D Fleet'!$K$5:$K$36,INT(($B78/H$5))+1)+(($B78/H$5)-INT(($B78/H$5)))*(INDEX('D Fleet'!$K$5:$K$36,INT(($B78/H$5))+2)-INDEX('D Fleet'!$K$5:$K$36,INT(($B78/H$5))+1)),0)</f>
        <v/>
      </c>
      <c r="I78" s="261">
        <f>IFERROR(INDEX('D Fleet'!$D$5:$D$63,MATCH(I$3-$B78,'D Fleet'!$B$5:$B$63,0)),0)*IFERROR(INDEX('D Fleet'!$K$5:$K$36,INT(($B78/I$5))+1)+(($B78/I$5)-INT(($B78/I$5)))*(INDEX('D Fleet'!$K$5:$K$36,INT(($B78/I$5))+2)-INDEX('D Fleet'!$K$5:$K$36,INT(($B78/I$5))+1)),0)</f>
        <v/>
      </c>
      <c r="J78" s="261">
        <f>IFERROR(INDEX('D Fleet'!$D$5:$D$63,MATCH(J$3-$B78,'D Fleet'!$B$5:$B$63,0)),0)*IFERROR(INDEX('D Fleet'!$K$5:$K$36,INT(($B78/J$5))+1)+(($B78/J$5)-INT(($B78/J$5)))*(INDEX('D Fleet'!$K$5:$K$36,INT(($B78/J$5))+2)-INDEX('D Fleet'!$K$5:$K$36,INT(($B78/J$5))+1)),0)</f>
        <v/>
      </c>
      <c r="K78" s="261">
        <f>IFERROR(INDEX('D Fleet'!$D$5:$D$63,MATCH(K$3-$B78,'D Fleet'!$B$5:$B$63,0)),0)*IFERROR(INDEX('D Fleet'!$K$5:$K$36,INT(($B78/K$5))+1)+(($B78/K$5)-INT(($B78/K$5)))*(INDEX('D Fleet'!$K$5:$K$36,INT(($B78/K$5))+2)-INDEX('D Fleet'!$K$5:$K$36,INT(($B78/K$5))+1)),0)</f>
        <v/>
      </c>
      <c r="L78" s="261">
        <f>IFERROR(INDEX('D Fleet'!$D$5:$D$63,MATCH(L$3-$B78,'D Fleet'!$B$5:$B$63,0)),0)*IFERROR(INDEX('D Fleet'!$K$5:$K$36,INT(($B78/L$5))+1)+(($B78/L$5)-INT(($B78/L$5)))*(INDEX('D Fleet'!$K$5:$K$36,INT(($B78/L$5))+2)-INDEX('D Fleet'!$K$5:$K$36,INT(($B78/L$5))+1)),0)</f>
        <v/>
      </c>
      <c r="M78" s="261">
        <f>IFERROR(INDEX('D Fleet'!$D$5:$D$63,MATCH(M$3-$B78,'D Fleet'!$B$5:$B$63,0)),0)*IFERROR(INDEX('D Fleet'!$K$5:$K$36,INT(($B78/M$5))+1)+(($B78/M$5)-INT(($B78/M$5)))*(INDEX('D Fleet'!$K$5:$K$36,INT(($B78/M$5))+2)-INDEX('D Fleet'!$K$5:$K$36,INT(($B78/M$5))+1)),0)</f>
        <v/>
      </c>
      <c r="N78" s="261">
        <f>IFERROR(INDEX('D Fleet'!$D$5:$D$63,MATCH(N$3-$B78,'D Fleet'!$B$5:$B$63,0)),0)*IFERROR(INDEX('D Fleet'!$K$5:$K$36,INT(($B78/N$5))+1)+(($B78/N$5)-INT(($B78/N$5)))*(INDEX('D Fleet'!$K$5:$K$36,INT(($B78/N$5))+2)-INDEX('D Fleet'!$K$5:$K$36,INT(($B78/N$5))+1)),0)</f>
        <v/>
      </c>
      <c r="P78" s="261">
        <f>E78*$D78*'E1 Fleet'!$D$98</f>
        <v/>
      </c>
      <c r="Q78" s="261">
        <f>F78*$D78*'E1 Fleet'!$D$98</f>
        <v/>
      </c>
      <c r="R78" s="261">
        <f>G78*$D78*'E1 Fleet'!$D$98</f>
        <v/>
      </c>
      <c r="S78" s="261">
        <f>H78*$D78*'E1 Fleet'!$D$98</f>
        <v/>
      </c>
      <c r="T78" s="261">
        <f>I78*$D78*'E1 Fleet'!$D$98</f>
        <v/>
      </c>
      <c r="U78" s="261">
        <f>J78*$D78*'E1 Fleet'!$D$98</f>
        <v/>
      </c>
      <c r="V78" s="261">
        <f>K78*$D78*'E1 Fleet'!$D$98</f>
        <v/>
      </c>
      <c r="W78" s="261">
        <f>L78*$D78*'E1 Fleet'!$D$98</f>
        <v/>
      </c>
      <c r="X78" s="261">
        <f>M78*$D78*'E1 Fleet'!$D$98</f>
        <v/>
      </c>
      <c r="Y78" s="261">
        <f>N78*$D78*'E1 Fleet'!$D$98</f>
        <v/>
      </c>
    </row>
    <row r="79">
      <c r="A79" t="inlineStr">
        <is>
          <t>SUV</t>
        </is>
      </c>
      <c r="B79" s="331" t="n">
        <v>26</v>
      </c>
      <c r="C79" s="331" t="n">
        <v>3</v>
      </c>
      <c r="D79" s="266">
        <f>IF($B79=0,'E1 Fleet'!$D$93,1)*EXP(-'E1 Fleet'!$D$94*MAX($B79-6,0))</f>
        <v/>
      </c>
      <c r="E79" s="261">
        <f>IFERROR(INDEX('D Fleet'!$D$5:$D$63,MATCH(E$3-$B79,'D Fleet'!$B$5:$B$63,0)),0)*IFERROR(INDEX('D Fleet'!$K$5:$K$36,INT(($B79/E$5))+1)+(($B79/E$5)-INT(($B79/E$5)))*(INDEX('D Fleet'!$K$5:$K$36,INT(($B79/E$5))+2)-INDEX('D Fleet'!$K$5:$K$36,INT(($B79/E$5))+1)),0)</f>
        <v/>
      </c>
      <c r="F79" s="261">
        <f>IFERROR(INDEX('D Fleet'!$D$5:$D$63,MATCH(F$3-$B79,'D Fleet'!$B$5:$B$63,0)),0)*IFERROR(INDEX('D Fleet'!$K$5:$K$36,INT(($B79/F$5))+1)+(($B79/F$5)-INT(($B79/F$5)))*(INDEX('D Fleet'!$K$5:$K$36,INT(($B79/F$5))+2)-INDEX('D Fleet'!$K$5:$K$36,INT(($B79/F$5))+1)),0)</f>
        <v/>
      </c>
      <c r="G79" s="261">
        <f>IFERROR(INDEX('D Fleet'!$D$5:$D$63,MATCH(G$3-$B79,'D Fleet'!$B$5:$B$63,0)),0)*IFERROR(INDEX('D Fleet'!$K$5:$K$36,INT(($B79/G$5))+1)+(($B79/G$5)-INT(($B79/G$5)))*(INDEX('D Fleet'!$K$5:$K$36,INT(($B79/G$5))+2)-INDEX('D Fleet'!$K$5:$K$36,INT(($B79/G$5))+1)),0)</f>
        <v/>
      </c>
      <c r="H79" s="261">
        <f>IFERROR(INDEX('D Fleet'!$D$5:$D$63,MATCH(H$3-$B79,'D Fleet'!$B$5:$B$63,0)),0)*IFERROR(INDEX('D Fleet'!$K$5:$K$36,INT(($B79/H$5))+1)+(($B79/H$5)-INT(($B79/H$5)))*(INDEX('D Fleet'!$K$5:$K$36,INT(($B79/H$5))+2)-INDEX('D Fleet'!$K$5:$K$36,INT(($B79/H$5))+1)),0)</f>
        <v/>
      </c>
      <c r="I79" s="261">
        <f>IFERROR(INDEX('D Fleet'!$D$5:$D$63,MATCH(I$3-$B79,'D Fleet'!$B$5:$B$63,0)),0)*IFERROR(INDEX('D Fleet'!$K$5:$K$36,INT(($B79/I$5))+1)+(($B79/I$5)-INT(($B79/I$5)))*(INDEX('D Fleet'!$K$5:$K$36,INT(($B79/I$5))+2)-INDEX('D Fleet'!$K$5:$K$36,INT(($B79/I$5))+1)),0)</f>
        <v/>
      </c>
      <c r="J79" s="261">
        <f>IFERROR(INDEX('D Fleet'!$D$5:$D$63,MATCH(J$3-$B79,'D Fleet'!$B$5:$B$63,0)),0)*IFERROR(INDEX('D Fleet'!$K$5:$K$36,INT(($B79/J$5))+1)+(($B79/J$5)-INT(($B79/J$5)))*(INDEX('D Fleet'!$K$5:$K$36,INT(($B79/J$5))+2)-INDEX('D Fleet'!$K$5:$K$36,INT(($B79/J$5))+1)),0)</f>
        <v/>
      </c>
      <c r="K79" s="261">
        <f>IFERROR(INDEX('D Fleet'!$D$5:$D$63,MATCH(K$3-$B79,'D Fleet'!$B$5:$B$63,0)),0)*IFERROR(INDEX('D Fleet'!$K$5:$K$36,INT(($B79/K$5))+1)+(($B79/K$5)-INT(($B79/K$5)))*(INDEX('D Fleet'!$K$5:$K$36,INT(($B79/K$5))+2)-INDEX('D Fleet'!$K$5:$K$36,INT(($B79/K$5))+1)),0)</f>
        <v/>
      </c>
      <c r="L79" s="261">
        <f>IFERROR(INDEX('D Fleet'!$D$5:$D$63,MATCH(L$3-$B79,'D Fleet'!$B$5:$B$63,0)),0)*IFERROR(INDEX('D Fleet'!$K$5:$K$36,INT(($B79/L$5))+1)+(($B79/L$5)-INT(($B79/L$5)))*(INDEX('D Fleet'!$K$5:$K$36,INT(($B79/L$5))+2)-INDEX('D Fleet'!$K$5:$K$36,INT(($B79/L$5))+1)),0)</f>
        <v/>
      </c>
      <c r="M79" s="261">
        <f>IFERROR(INDEX('D Fleet'!$D$5:$D$63,MATCH(M$3-$B79,'D Fleet'!$B$5:$B$63,0)),0)*IFERROR(INDEX('D Fleet'!$K$5:$K$36,INT(($B79/M$5))+1)+(($B79/M$5)-INT(($B79/M$5)))*(INDEX('D Fleet'!$K$5:$K$36,INT(($B79/M$5))+2)-INDEX('D Fleet'!$K$5:$K$36,INT(($B79/M$5))+1)),0)</f>
        <v/>
      </c>
      <c r="N79" s="261">
        <f>IFERROR(INDEX('D Fleet'!$D$5:$D$63,MATCH(N$3-$B79,'D Fleet'!$B$5:$B$63,0)),0)*IFERROR(INDEX('D Fleet'!$K$5:$K$36,INT(($B79/N$5))+1)+(($B79/N$5)-INT(($B79/N$5)))*(INDEX('D Fleet'!$K$5:$K$36,INT(($B79/N$5))+2)-INDEX('D Fleet'!$K$5:$K$36,INT(($B79/N$5))+1)),0)</f>
        <v/>
      </c>
      <c r="P79" s="261">
        <f>E79*$D79*'E1 Fleet'!$D$98</f>
        <v/>
      </c>
      <c r="Q79" s="261">
        <f>F79*$D79*'E1 Fleet'!$D$98</f>
        <v/>
      </c>
      <c r="R79" s="261">
        <f>G79*$D79*'E1 Fleet'!$D$98</f>
        <v/>
      </c>
      <c r="S79" s="261">
        <f>H79*$D79*'E1 Fleet'!$D$98</f>
        <v/>
      </c>
      <c r="T79" s="261">
        <f>I79*$D79*'E1 Fleet'!$D$98</f>
        <v/>
      </c>
      <c r="U79" s="261">
        <f>J79*$D79*'E1 Fleet'!$D$98</f>
        <v/>
      </c>
      <c r="V79" s="261">
        <f>K79*$D79*'E1 Fleet'!$D$98</f>
        <v/>
      </c>
      <c r="W79" s="261">
        <f>L79*$D79*'E1 Fleet'!$D$98</f>
        <v/>
      </c>
      <c r="X79" s="261">
        <f>M79*$D79*'E1 Fleet'!$D$98</f>
        <v/>
      </c>
      <c r="Y79" s="261">
        <f>N79*$D79*'E1 Fleet'!$D$98</f>
        <v/>
      </c>
    </row>
    <row r="80">
      <c r="A80" t="inlineStr">
        <is>
          <t>SUV</t>
        </is>
      </c>
      <c r="B80" s="331" t="n">
        <v>27</v>
      </c>
      <c r="C80" s="331" t="n">
        <v>3</v>
      </c>
      <c r="D80" s="266">
        <f>IF($B80=0,'E1 Fleet'!$D$93,1)*EXP(-'E1 Fleet'!$D$94*MAX($B80-6,0))</f>
        <v/>
      </c>
      <c r="E80" s="261">
        <f>IFERROR(INDEX('D Fleet'!$D$5:$D$63,MATCH(E$3-$B80,'D Fleet'!$B$5:$B$63,0)),0)*IFERROR(INDEX('D Fleet'!$K$5:$K$36,INT(($B80/E$5))+1)+(($B80/E$5)-INT(($B80/E$5)))*(INDEX('D Fleet'!$K$5:$K$36,INT(($B80/E$5))+2)-INDEX('D Fleet'!$K$5:$K$36,INT(($B80/E$5))+1)),0)</f>
        <v/>
      </c>
      <c r="F80" s="261">
        <f>IFERROR(INDEX('D Fleet'!$D$5:$D$63,MATCH(F$3-$B80,'D Fleet'!$B$5:$B$63,0)),0)*IFERROR(INDEX('D Fleet'!$K$5:$K$36,INT(($B80/F$5))+1)+(($B80/F$5)-INT(($B80/F$5)))*(INDEX('D Fleet'!$K$5:$K$36,INT(($B80/F$5))+2)-INDEX('D Fleet'!$K$5:$K$36,INT(($B80/F$5))+1)),0)</f>
        <v/>
      </c>
      <c r="G80" s="261">
        <f>IFERROR(INDEX('D Fleet'!$D$5:$D$63,MATCH(G$3-$B80,'D Fleet'!$B$5:$B$63,0)),0)*IFERROR(INDEX('D Fleet'!$K$5:$K$36,INT(($B80/G$5))+1)+(($B80/G$5)-INT(($B80/G$5)))*(INDEX('D Fleet'!$K$5:$K$36,INT(($B80/G$5))+2)-INDEX('D Fleet'!$K$5:$K$36,INT(($B80/G$5))+1)),0)</f>
        <v/>
      </c>
      <c r="H80" s="261">
        <f>IFERROR(INDEX('D Fleet'!$D$5:$D$63,MATCH(H$3-$B80,'D Fleet'!$B$5:$B$63,0)),0)*IFERROR(INDEX('D Fleet'!$K$5:$K$36,INT(($B80/H$5))+1)+(($B80/H$5)-INT(($B80/H$5)))*(INDEX('D Fleet'!$K$5:$K$36,INT(($B80/H$5))+2)-INDEX('D Fleet'!$K$5:$K$36,INT(($B80/H$5))+1)),0)</f>
        <v/>
      </c>
      <c r="I80" s="261">
        <f>IFERROR(INDEX('D Fleet'!$D$5:$D$63,MATCH(I$3-$B80,'D Fleet'!$B$5:$B$63,0)),0)*IFERROR(INDEX('D Fleet'!$K$5:$K$36,INT(($B80/I$5))+1)+(($B80/I$5)-INT(($B80/I$5)))*(INDEX('D Fleet'!$K$5:$K$36,INT(($B80/I$5))+2)-INDEX('D Fleet'!$K$5:$K$36,INT(($B80/I$5))+1)),0)</f>
        <v/>
      </c>
      <c r="J80" s="261">
        <f>IFERROR(INDEX('D Fleet'!$D$5:$D$63,MATCH(J$3-$B80,'D Fleet'!$B$5:$B$63,0)),0)*IFERROR(INDEX('D Fleet'!$K$5:$K$36,INT(($B80/J$5))+1)+(($B80/J$5)-INT(($B80/J$5)))*(INDEX('D Fleet'!$K$5:$K$36,INT(($B80/J$5))+2)-INDEX('D Fleet'!$K$5:$K$36,INT(($B80/J$5))+1)),0)</f>
        <v/>
      </c>
      <c r="K80" s="261">
        <f>IFERROR(INDEX('D Fleet'!$D$5:$D$63,MATCH(K$3-$B80,'D Fleet'!$B$5:$B$63,0)),0)*IFERROR(INDEX('D Fleet'!$K$5:$K$36,INT(($B80/K$5))+1)+(($B80/K$5)-INT(($B80/K$5)))*(INDEX('D Fleet'!$K$5:$K$36,INT(($B80/K$5))+2)-INDEX('D Fleet'!$K$5:$K$36,INT(($B80/K$5))+1)),0)</f>
        <v/>
      </c>
      <c r="L80" s="261">
        <f>IFERROR(INDEX('D Fleet'!$D$5:$D$63,MATCH(L$3-$B80,'D Fleet'!$B$5:$B$63,0)),0)*IFERROR(INDEX('D Fleet'!$K$5:$K$36,INT(($B80/L$5))+1)+(($B80/L$5)-INT(($B80/L$5)))*(INDEX('D Fleet'!$K$5:$K$36,INT(($B80/L$5))+2)-INDEX('D Fleet'!$K$5:$K$36,INT(($B80/L$5))+1)),0)</f>
        <v/>
      </c>
      <c r="M80" s="261">
        <f>IFERROR(INDEX('D Fleet'!$D$5:$D$63,MATCH(M$3-$B80,'D Fleet'!$B$5:$B$63,0)),0)*IFERROR(INDEX('D Fleet'!$K$5:$K$36,INT(($B80/M$5))+1)+(($B80/M$5)-INT(($B80/M$5)))*(INDEX('D Fleet'!$K$5:$K$36,INT(($B80/M$5))+2)-INDEX('D Fleet'!$K$5:$K$36,INT(($B80/M$5))+1)),0)</f>
        <v/>
      </c>
      <c r="N80" s="261">
        <f>IFERROR(INDEX('D Fleet'!$D$5:$D$63,MATCH(N$3-$B80,'D Fleet'!$B$5:$B$63,0)),0)*IFERROR(INDEX('D Fleet'!$K$5:$K$36,INT(($B80/N$5))+1)+(($B80/N$5)-INT(($B80/N$5)))*(INDEX('D Fleet'!$K$5:$K$36,INT(($B80/N$5))+2)-INDEX('D Fleet'!$K$5:$K$36,INT(($B80/N$5))+1)),0)</f>
        <v/>
      </c>
      <c r="P80" s="261">
        <f>E80*$D80*'E1 Fleet'!$D$98</f>
        <v/>
      </c>
      <c r="Q80" s="261">
        <f>F80*$D80*'E1 Fleet'!$D$98</f>
        <v/>
      </c>
      <c r="R80" s="261">
        <f>G80*$D80*'E1 Fleet'!$D$98</f>
        <v/>
      </c>
      <c r="S80" s="261">
        <f>H80*$D80*'E1 Fleet'!$D$98</f>
        <v/>
      </c>
      <c r="T80" s="261">
        <f>I80*$D80*'E1 Fleet'!$D$98</f>
        <v/>
      </c>
      <c r="U80" s="261">
        <f>J80*$D80*'E1 Fleet'!$D$98</f>
        <v/>
      </c>
      <c r="V80" s="261">
        <f>K80*$D80*'E1 Fleet'!$D$98</f>
        <v/>
      </c>
      <c r="W80" s="261">
        <f>L80*$D80*'E1 Fleet'!$D$98</f>
        <v/>
      </c>
      <c r="X80" s="261">
        <f>M80*$D80*'E1 Fleet'!$D$98</f>
        <v/>
      </c>
      <c r="Y80" s="261">
        <f>N80*$D80*'E1 Fleet'!$D$98</f>
        <v/>
      </c>
    </row>
    <row r="81">
      <c r="A81" t="inlineStr">
        <is>
          <t>SUV</t>
        </is>
      </c>
      <c r="B81" s="331" t="n">
        <v>28</v>
      </c>
      <c r="C81" s="331" t="n">
        <v>3</v>
      </c>
      <c r="D81" s="266">
        <f>IF($B81=0,'E1 Fleet'!$D$93,1)*EXP(-'E1 Fleet'!$D$94*MAX($B81-6,0))</f>
        <v/>
      </c>
      <c r="E81" s="261">
        <f>IFERROR(INDEX('D Fleet'!$D$5:$D$63,MATCH(E$3-$B81,'D Fleet'!$B$5:$B$63,0)),0)*IFERROR(INDEX('D Fleet'!$K$5:$K$36,INT(($B81/E$5))+1)+(($B81/E$5)-INT(($B81/E$5)))*(INDEX('D Fleet'!$K$5:$K$36,INT(($B81/E$5))+2)-INDEX('D Fleet'!$K$5:$K$36,INT(($B81/E$5))+1)),0)</f>
        <v/>
      </c>
      <c r="F81" s="261">
        <f>IFERROR(INDEX('D Fleet'!$D$5:$D$63,MATCH(F$3-$B81,'D Fleet'!$B$5:$B$63,0)),0)*IFERROR(INDEX('D Fleet'!$K$5:$K$36,INT(($B81/F$5))+1)+(($B81/F$5)-INT(($B81/F$5)))*(INDEX('D Fleet'!$K$5:$K$36,INT(($B81/F$5))+2)-INDEX('D Fleet'!$K$5:$K$36,INT(($B81/F$5))+1)),0)</f>
        <v/>
      </c>
      <c r="G81" s="261">
        <f>IFERROR(INDEX('D Fleet'!$D$5:$D$63,MATCH(G$3-$B81,'D Fleet'!$B$5:$B$63,0)),0)*IFERROR(INDEX('D Fleet'!$K$5:$K$36,INT(($B81/G$5))+1)+(($B81/G$5)-INT(($B81/G$5)))*(INDEX('D Fleet'!$K$5:$K$36,INT(($B81/G$5))+2)-INDEX('D Fleet'!$K$5:$K$36,INT(($B81/G$5))+1)),0)</f>
        <v/>
      </c>
      <c r="H81" s="261">
        <f>IFERROR(INDEX('D Fleet'!$D$5:$D$63,MATCH(H$3-$B81,'D Fleet'!$B$5:$B$63,0)),0)*IFERROR(INDEX('D Fleet'!$K$5:$K$36,INT(($B81/H$5))+1)+(($B81/H$5)-INT(($B81/H$5)))*(INDEX('D Fleet'!$K$5:$K$36,INT(($B81/H$5))+2)-INDEX('D Fleet'!$K$5:$K$36,INT(($B81/H$5))+1)),0)</f>
        <v/>
      </c>
      <c r="I81" s="261">
        <f>IFERROR(INDEX('D Fleet'!$D$5:$D$63,MATCH(I$3-$B81,'D Fleet'!$B$5:$B$63,0)),0)*IFERROR(INDEX('D Fleet'!$K$5:$K$36,INT(($B81/I$5))+1)+(($B81/I$5)-INT(($B81/I$5)))*(INDEX('D Fleet'!$K$5:$K$36,INT(($B81/I$5))+2)-INDEX('D Fleet'!$K$5:$K$36,INT(($B81/I$5))+1)),0)</f>
        <v/>
      </c>
      <c r="J81" s="261">
        <f>IFERROR(INDEX('D Fleet'!$D$5:$D$63,MATCH(J$3-$B81,'D Fleet'!$B$5:$B$63,0)),0)*IFERROR(INDEX('D Fleet'!$K$5:$K$36,INT(($B81/J$5))+1)+(($B81/J$5)-INT(($B81/J$5)))*(INDEX('D Fleet'!$K$5:$K$36,INT(($B81/J$5))+2)-INDEX('D Fleet'!$K$5:$K$36,INT(($B81/J$5))+1)),0)</f>
        <v/>
      </c>
      <c r="K81" s="261">
        <f>IFERROR(INDEX('D Fleet'!$D$5:$D$63,MATCH(K$3-$B81,'D Fleet'!$B$5:$B$63,0)),0)*IFERROR(INDEX('D Fleet'!$K$5:$K$36,INT(($B81/K$5))+1)+(($B81/K$5)-INT(($B81/K$5)))*(INDEX('D Fleet'!$K$5:$K$36,INT(($B81/K$5))+2)-INDEX('D Fleet'!$K$5:$K$36,INT(($B81/K$5))+1)),0)</f>
        <v/>
      </c>
      <c r="L81" s="261">
        <f>IFERROR(INDEX('D Fleet'!$D$5:$D$63,MATCH(L$3-$B81,'D Fleet'!$B$5:$B$63,0)),0)*IFERROR(INDEX('D Fleet'!$K$5:$K$36,INT(($B81/L$5))+1)+(($B81/L$5)-INT(($B81/L$5)))*(INDEX('D Fleet'!$K$5:$K$36,INT(($B81/L$5))+2)-INDEX('D Fleet'!$K$5:$K$36,INT(($B81/L$5))+1)),0)</f>
        <v/>
      </c>
      <c r="M81" s="261">
        <f>IFERROR(INDEX('D Fleet'!$D$5:$D$63,MATCH(M$3-$B81,'D Fleet'!$B$5:$B$63,0)),0)*IFERROR(INDEX('D Fleet'!$K$5:$K$36,INT(($B81/M$5))+1)+(($B81/M$5)-INT(($B81/M$5)))*(INDEX('D Fleet'!$K$5:$K$36,INT(($B81/M$5))+2)-INDEX('D Fleet'!$K$5:$K$36,INT(($B81/M$5))+1)),0)</f>
        <v/>
      </c>
      <c r="N81" s="261">
        <f>IFERROR(INDEX('D Fleet'!$D$5:$D$63,MATCH(N$3-$B81,'D Fleet'!$B$5:$B$63,0)),0)*IFERROR(INDEX('D Fleet'!$K$5:$K$36,INT(($B81/N$5))+1)+(($B81/N$5)-INT(($B81/N$5)))*(INDEX('D Fleet'!$K$5:$K$36,INT(($B81/N$5))+2)-INDEX('D Fleet'!$K$5:$K$36,INT(($B81/N$5))+1)),0)</f>
        <v/>
      </c>
      <c r="P81" s="261">
        <f>E81*$D81*'E1 Fleet'!$D$98</f>
        <v/>
      </c>
      <c r="Q81" s="261">
        <f>F81*$D81*'E1 Fleet'!$D$98</f>
        <v/>
      </c>
      <c r="R81" s="261">
        <f>G81*$D81*'E1 Fleet'!$D$98</f>
        <v/>
      </c>
      <c r="S81" s="261">
        <f>H81*$D81*'E1 Fleet'!$D$98</f>
        <v/>
      </c>
      <c r="T81" s="261">
        <f>I81*$D81*'E1 Fleet'!$D$98</f>
        <v/>
      </c>
      <c r="U81" s="261">
        <f>J81*$D81*'E1 Fleet'!$D$98</f>
        <v/>
      </c>
      <c r="V81" s="261">
        <f>K81*$D81*'E1 Fleet'!$D$98</f>
        <v/>
      </c>
      <c r="W81" s="261">
        <f>L81*$D81*'E1 Fleet'!$D$98</f>
        <v/>
      </c>
      <c r="X81" s="261">
        <f>M81*$D81*'E1 Fleet'!$D$98</f>
        <v/>
      </c>
      <c r="Y81" s="261">
        <f>N81*$D81*'E1 Fleet'!$D$98</f>
        <v/>
      </c>
    </row>
    <row r="82">
      <c r="A82" t="inlineStr">
        <is>
          <t>SUV</t>
        </is>
      </c>
      <c r="B82" s="331" t="n">
        <v>29</v>
      </c>
      <c r="C82" s="331" t="n">
        <v>3</v>
      </c>
      <c r="D82" s="266">
        <f>IF($B82=0,'E1 Fleet'!$D$93,1)*EXP(-'E1 Fleet'!$D$94*MAX($B82-6,0))</f>
        <v/>
      </c>
      <c r="E82" s="261">
        <f>IFERROR(INDEX('D Fleet'!$D$5:$D$63,MATCH(E$3-$B82,'D Fleet'!$B$5:$B$63,0)),0)*IFERROR(INDEX('D Fleet'!$K$5:$K$36,INT(($B82/E$5))+1)+(($B82/E$5)-INT(($B82/E$5)))*(INDEX('D Fleet'!$K$5:$K$36,INT(($B82/E$5))+2)-INDEX('D Fleet'!$K$5:$K$36,INT(($B82/E$5))+1)),0)</f>
        <v/>
      </c>
      <c r="F82" s="261">
        <f>IFERROR(INDEX('D Fleet'!$D$5:$D$63,MATCH(F$3-$B82,'D Fleet'!$B$5:$B$63,0)),0)*IFERROR(INDEX('D Fleet'!$K$5:$K$36,INT(($B82/F$5))+1)+(($B82/F$5)-INT(($B82/F$5)))*(INDEX('D Fleet'!$K$5:$K$36,INT(($B82/F$5))+2)-INDEX('D Fleet'!$K$5:$K$36,INT(($B82/F$5))+1)),0)</f>
        <v/>
      </c>
      <c r="G82" s="261">
        <f>IFERROR(INDEX('D Fleet'!$D$5:$D$63,MATCH(G$3-$B82,'D Fleet'!$B$5:$B$63,0)),0)*IFERROR(INDEX('D Fleet'!$K$5:$K$36,INT(($B82/G$5))+1)+(($B82/G$5)-INT(($B82/G$5)))*(INDEX('D Fleet'!$K$5:$K$36,INT(($B82/G$5))+2)-INDEX('D Fleet'!$K$5:$K$36,INT(($B82/G$5))+1)),0)</f>
        <v/>
      </c>
      <c r="H82" s="261">
        <f>IFERROR(INDEX('D Fleet'!$D$5:$D$63,MATCH(H$3-$B82,'D Fleet'!$B$5:$B$63,0)),0)*IFERROR(INDEX('D Fleet'!$K$5:$K$36,INT(($B82/H$5))+1)+(($B82/H$5)-INT(($B82/H$5)))*(INDEX('D Fleet'!$K$5:$K$36,INT(($B82/H$5))+2)-INDEX('D Fleet'!$K$5:$K$36,INT(($B82/H$5))+1)),0)</f>
        <v/>
      </c>
      <c r="I82" s="261">
        <f>IFERROR(INDEX('D Fleet'!$D$5:$D$63,MATCH(I$3-$B82,'D Fleet'!$B$5:$B$63,0)),0)*IFERROR(INDEX('D Fleet'!$K$5:$K$36,INT(($B82/I$5))+1)+(($B82/I$5)-INT(($B82/I$5)))*(INDEX('D Fleet'!$K$5:$K$36,INT(($B82/I$5))+2)-INDEX('D Fleet'!$K$5:$K$36,INT(($B82/I$5))+1)),0)</f>
        <v/>
      </c>
      <c r="J82" s="261">
        <f>IFERROR(INDEX('D Fleet'!$D$5:$D$63,MATCH(J$3-$B82,'D Fleet'!$B$5:$B$63,0)),0)*IFERROR(INDEX('D Fleet'!$K$5:$K$36,INT(($B82/J$5))+1)+(($B82/J$5)-INT(($B82/J$5)))*(INDEX('D Fleet'!$K$5:$K$36,INT(($B82/J$5))+2)-INDEX('D Fleet'!$K$5:$K$36,INT(($B82/J$5))+1)),0)</f>
        <v/>
      </c>
      <c r="K82" s="261">
        <f>IFERROR(INDEX('D Fleet'!$D$5:$D$63,MATCH(K$3-$B82,'D Fleet'!$B$5:$B$63,0)),0)*IFERROR(INDEX('D Fleet'!$K$5:$K$36,INT(($B82/K$5))+1)+(($B82/K$5)-INT(($B82/K$5)))*(INDEX('D Fleet'!$K$5:$K$36,INT(($B82/K$5))+2)-INDEX('D Fleet'!$K$5:$K$36,INT(($B82/K$5))+1)),0)</f>
        <v/>
      </c>
      <c r="L82" s="261">
        <f>IFERROR(INDEX('D Fleet'!$D$5:$D$63,MATCH(L$3-$B82,'D Fleet'!$B$5:$B$63,0)),0)*IFERROR(INDEX('D Fleet'!$K$5:$K$36,INT(($B82/L$5))+1)+(($B82/L$5)-INT(($B82/L$5)))*(INDEX('D Fleet'!$K$5:$K$36,INT(($B82/L$5))+2)-INDEX('D Fleet'!$K$5:$K$36,INT(($B82/L$5))+1)),0)</f>
        <v/>
      </c>
      <c r="M82" s="261">
        <f>IFERROR(INDEX('D Fleet'!$D$5:$D$63,MATCH(M$3-$B82,'D Fleet'!$B$5:$B$63,0)),0)*IFERROR(INDEX('D Fleet'!$K$5:$K$36,INT(($B82/M$5))+1)+(($B82/M$5)-INT(($B82/M$5)))*(INDEX('D Fleet'!$K$5:$K$36,INT(($B82/M$5))+2)-INDEX('D Fleet'!$K$5:$K$36,INT(($B82/M$5))+1)),0)</f>
        <v/>
      </c>
      <c r="N82" s="261">
        <f>IFERROR(INDEX('D Fleet'!$D$5:$D$63,MATCH(N$3-$B82,'D Fleet'!$B$5:$B$63,0)),0)*IFERROR(INDEX('D Fleet'!$K$5:$K$36,INT(($B82/N$5))+1)+(($B82/N$5)-INT(($B82/N$5)))*(INDEX('D Fleet'!$K$5:$K$36,INT(($B82/N$5))+2)-INDEX('D Fleet'!$K$5:$K$36,INT(($B82/N$5))+1)),0)</f>
        <v/>
      </c>
      <c r="P82" s="261">
        <f>E82*$D82*'E1 Fleet'!$D$98</f>
        <v/>
      </c>
      <c r="Q82" s="261">
        <f>F82*$D82*'E1 Fleet'!$D$98</f>
        <v/>
      </c>
      <c r="R82" s="261">
        <f>G82*$D82*'E1 Fleet'!$D$98</f>
        <v/>
      </c>
      <c r="S82" s="261">
        <f>H82*$D82*'E1 Fleet'!$D$98</f>
        <v/>
      </c>
      <c r="T82" s="261">
        <f>I82*$D82*'E1 Fleet'!$D$98</f>
        <v/>
      </c>
      <c r="U82" s="261">
        <f>J82*$D82*'E1 Fleet'!$D$98</f>
        <v/>
      </c>
      <c r="V82" s="261">
        <f>K82*$D82*'E1 Fleet'!$D$98</f>
        <v/>
      </c>
      <c r="W82" s="261">
        <f>L82*$D82*'E1 Fleet'!$D$98</f>
        <v/>
      </c>
      <c r="X82" s="261">
        <f>M82*$D82*'E1 Fleet'!$D$98</f>
        <v/>
      </c>
      <c r="Y82" s="261">
        <f>N82*$D82*'E1 Fleet'!$D$98</f>
        <v/>
      </c>
    </row>
    <row r="83">
      <c r="A83" t="inlineStr">
        <is>
          <t>SUV</t>
        </is>
      </c>
      <c r="B83" s="331" t="n">
        <v>30</v>
      </c>
      <c r="C83" s="331" t="n">
        <v>3</v>
      </c>
      <c r="D83" s="266">
        <f>IF($B83=0,'E1 Fleet'!$D$93,1)*EXP(-'E1 Fleet'!$D$94*MAX($B83-6,0))</f>
        <v/>
      </c>
      <c r="E83" s="261">
        <f>IFERROR(INDEX('D Fleet'!$D$5:$D$63,MATCH(E$3-$B83,'D Fleet'!$B$5:$B$63,0)),0)*IFERROR(INDEX('D Fleet'!$K$5:$K$36,INT(($B83/E$5))+1)+(($B83/E$5)-INT(($B83/E$5)))*(INDEX('D Fleet'!$K$5:$K$36,INT(($B83/E$5))+2)-INDEX('D Fleet'!$K$5:$K$36,INT(($B83/E$5))+1)),0)</f>
        <v/>
      </c>
      <c r="F83" s="261">
        <f>IFERROR(INDEX('D Fleet'!$D$5:$D$63,MATCH(F$3-$B83,'D Fleet'!$B$5:$B$63,0)),0)*IFERROR(INDEX('D Fleet'!$K$5:$K$36,INT(($B83/F$5))+1)+(($B83/F$5)-INT(($B83/F$5)))*(INDEX('D Fleet'!$K$5:$K$36,INT(($B83/F$5))+2)-INDEX('D Fleet'!$K$5:$K$36,INT(($B83/F$5))+1)),0)</f>
        <v/>
      </c>
      <c r="G83" s="261">
        <f>IFERROR(INDEX('D Fleet'!$D$5:$D$63,MATCH(G$3-$B83,'D Fleet'!$B$5:$B$63,0)),0)*IFERROR(INDEX('D Fleet'!$K$5:$K$36,INT(($B83/G$5))+1)+(($B83/G$5)-INT(($B83/G$5)))*(INDEX('D Fleet'!$K$5:$K$36,INT(($B83/G$5))+2)-INDEX('D Fleet'!$K$5:$K$36,INT(($B83/G$5))+1)),0)</f>
        <v/>
      </c>
      <c r="H83" s="261">
        <f>IFERROR(INDEX('D Fleet'!$D$5:$D$63,MATCH(H$3-$B83,'D Fleet'!$B$5:$B$63,0)),0)*IFERROR(INDEX('D Fleet'!$K$5:$K$36,INT(($B83/H$5))+1)+(($B83/H$5)-INT(($B83/H$5)))*(INDEX('D Fleet'!$K$5:$K$36,INT(($B83/H$5))+2)-INDEX('D Fleet'!$K$5:$K$36,INT(($B83/H$5))+1)),0)</f>
        <v/>
      </c>
      <c r="I83" s="261">
        <f>IFERROR(INDEX('D Fleet'!$D$5:$D$63,MATCH(I$3-$B83,'D Fleet'!$B$5:$B$63,0)),0)*IFERROR(INDEX('D Fleet'!$K$5:$K$36,INT(($B83/I$5))+1)+(($B83/I$5)-INT(($B83/I$5)))*(INDEX('D Fleet'!$K$5:$K$36,INT(($B83/I$5))+2)-INDEX('D Fleet'!$K$5:$K$36,INT(($B83/I$5))+1)),0)</f>
        <v/>
      </c>
      <c r="J83" s="261">
        <f>IFERROR(INDEX('D Fleet'!$D$5:$D$63,MATCH(J$3-$B83,'D Fleet'!$B$5:$B$63,0)),0)*IFERROR(INDEX('D Fleet'!$K$5:$K$36,INT(($B83/J$5))+1)+(($B83/J$5)-INT(($B83/J$5)))*(INDEX('D Fleet'!$K$5:$K$36,INT(($B83/J$5))+2)-INDEX('D Fleet'!$K$5:$K$36,INT(($B83/J$5))+1)),0)</f>
        <v/>
      </c>
      <c r="K83" s="261">
        <f>IFERROR(INDEX('D Fleet'!$D$5:$D$63,MATCH(K$3-$B83,'D Fleet'!$B$5:$B$63,0)),0)*IFERROR(INDEX('D Fleet'!$K$5:$K$36,INT(($B83/K$5))+1)+(($B83/K$5)-INT(($B83/K$5)))*(INDEX('D Fleet'!$K$5:$K$36,INT(($B83/K$5))+2)-INDEX('D Fleet'!$K$5:$K$36,INT(($B83/K$5))+1)),0)</f>
        <v/>
      </c>
      <c r="L83" s="261">
        <f>IFERROR(INDEX('D Fleet'!$D$5:$D$63,MATCH(L$3-$B83,'D Fleet'!$B$5:$B$63,0)),0)*IFERROR(INDEX('D Fleet'!$K$5:$K$36,INT(($B83/L$5))+1)+(($B83/L$5)-INT(($B83/L$5)))*(INDEX('D Fleet'!$K$5:$K$36,INT(($B83/L$5))+2)-INDEX('D Fleet'!$K$5:$K$36,INT(($B83/L$5))+1)),0)</f>
        <v/>
      </c>
      <c r="M83" s="261">
        <f>IFERROR(INDEX('D Fleet'!$D$5:$D$63,MATCH(M$3-$B83,'D Fleet'!$B$5:$B$63,0)),0)*IFERROR(INDEX('D Fleet'!$K$5:$K$36,INT(($B83/M$5))+1)+(($B83/M$5)-INT(($B83/M$5)))*(INDEX('D Fleet'!$K$5:$K$36,INT(($B83/M$5))+2)-INDEX('D Fleet'!$K$5:$K$36,INT(($B83/M$5))+1)),0)</f>
        <v/>
      </c>
      <c r="N83" s="261">
        <f>IFERROR(INDEX('D Fleet'!$D$5:$D$63,MATCH(N$3-$B83,'D Fleet'!$B$5:$B$63,0)),0)*IFERROR(INDEX('D Fleet'!$K$5:$K$36,INT(($B83/N$5))+1)+(($B83/N$5)-INT(($B83/N$5)))*(INDEX('D Fleet'!$K$5:$K$36,INT(($B83/N$5))+2)-INDEX('D Fleet'!$K$5:$K$36,INT(($B83/N$5))+1)),0)</f>
        <v/>
      </c>
      <c r="P83" s="261">
        <f>E83*$D83*'E1 Fleet'!$D$98</f>
        <v/>
      </c>
      <c r="Q83" s="261">
        <f>F83*$D83*'E1 Fleet'!$D$98</f>
        <v/>
      </c>
      <c r="R83" s="261">
        <f>G83*$D83*'E1 Fleet'!$D$98</f>
        <v/>
      </c>
      <c r="S83" s="261">
        <f>H83*$D83*'E1 Fleet'!$D$98</f>
        <v/>
      </c>
      <c r="T83" s="261">
        <f>I83*$D83*'E1 Fleet'!$D$98</f>
        <v/>
      </c>
      <c r="U83" s="261">
        <f>J83*$D83*'E1 Fleet'!$D$98</f>
        <v/>
      </c>
      <c r="V83" s="261">
        <f>K83*$D83*'E1 Fleet'!$D$98</f>
        <v/>
      </c>
      <c r="W83" s="261">
        <f>L83*$D83*'E1 Fleet'!$D$98</f>
        <v/>
      </c>
      <c r="X83" s="261">
        <f>M83*$D83*'E1 Fleet'!$D$98</f>
        <v/>
      </c>
      <c r="Y83" s="261">
        <f>N83*$D83*'E1 Fleet'!$D$98</f>
        <v/>
      </c>
    </row>
    <row r="84">
      <c r="A84" t="inlineStr">
        <is>
          <t>SUV</t>
        </is>
      </c>
      <c r="B84" s="331" t="n">
        <v>31</v>
      </c>
      <c r="C84" s="331" t="n">
        <v>3</v>
      </c>
      <c r="D84" s="266">
        <f>IF($B84=0,'E1 Fleet'!$D$93,1)*EXP(-'E1 Fleet'!$D$94*MAX($B84-6,0))</f>
        <v/>
      </c>
      <c r="E84" s="261">
        <f>IFERROR(INDEX('D Fleet'!$D$5:$D$63,MATCH(E$3-$B84,'D Fleet'!$B$5:$B$63,0)),0)*IFERROR(INDEX('D Fleet'!$K$5:$K$36,INT(($B84/E$5))+1)+(($B84/E$5)-INT(($B84/E$5)))*(INDEX('D Fleet'!$K$5:$K$36,INT(($B84/E$5))+2)-INDEX('D Fleet'!$K$5:$K$36,INT(($B84/E$5))+1)),0)</f>
        <v/>
      </c>
      <c r="F84" s="261">
        <f>IFERROR(INDEX('D Fleet'!$D$5:$D$63,MATCH(F$3-$B84,'D Fleet'!$B$5:$B$63,0)),0)*IFERROR(INDEX('D Fleet'!$K$5:$K$36,INT(($B84/F$5))+1)+(($B84/F$5)-INT(($B84/F$5)))*(INDEX('D Fleet'!$K$5:$K$36,INT(($B84/F$5))+2)-INDEX('D Fleet'!$K$5:$K$36,INT(($B84/F$5))+1)),0)</f>
        <v/>
      </c>
      <c r="G84" s="261">
        <f>IFERROR(INDEX('D Fleet'!$D$5:$D$63,MATCH(G$3-$B84,'D Fleet'!$B$5:$B$63,0)),0)*IFERROR(INDEX('D Fleet'!$K$5:$K$36,INT(($B84/G$5))+1)+(($B84/G$5)-INT(($B84/G$5)))*(INDEX('D Fleet'!$K$5:$K$36,INT(($B84/G$5))+2)-INDEX('D Fleet'!$K$5:$K$36,INT(($B84/G$5))+1)),0)</f>
        <v/>
      </c>
      <c r="H84" s="261">
        <f>IFERROR(INDEX('D Fleet'!$D$5:$D$63,MATCH(H$3-$B84,'D Fleet'!$B$5:$B$63,0)),0)*IFERROR(INDEX('D Fleet'!$K$5:$K$36,INT(($B84/H$5))+1)+(($B84/H$5)-INT(($B84/H$5)))*(INDEX('D Fleet'!$K$5:$K$36,INT(($B84/H$5))+2)-INDEX('D Fleet'!$K$5:$K$36,INT(($B84/H$5))+1)),0)</f>
        <v/>
      </c>
      <c r="I84" s="261">
        <f>IFERROR(INDEX('D Fleet'!$D$5:$D$63,MATCH(I$3-$B84,'D Fleet'!$B$5:$B$63,0)),0)*IFERROR(INDEX('D Fleet'!$K$5:$K$36,INT(($B84/I$5))+1)+(($B84/I$5)-INT(($B84/I$5)))*(INDEX('D Fleet'!$K$5:$K$36,INT(($B84/I$5))+2)-INDEX('D Fleet'!$K$5:$K$36,INT(($B84/I$5))+1)),0)</f>
        <v/>
      </c>
      <c r="J84" s="261">
        <f>IFERROR(INDEX('D Fleet'!$D$5:$D$63,MATCH(J$3-$B84,'D Fleet'!$B$5:$B$63,0)),0)*IFERROR(INDEX('D Fleet'!$K$5:$K$36,INT(($B84/J$5))+1)+(($B84/J$5)-INT(($B84/J$5)))*(INDEX('D Fleet'!$K$5:$K$36,INT(($B84/J$5))+2)-INDEX('D Fleet'!$K$5:$K$36,INT(($B84/J$5))+1)),0)</f>
        <v/>
      </c>
      <c r="K84" s="261">
        <f>IFERROR(INDEX('D Fleet'!$D$5:$D$63,MATCH(K$3-$B84,'D Fleet'!$B$5:$B$63,0)),0)*IFERROR(INDEX('D Fleet'!$K$5:$K$36,INT(($B84/K$5))+1)+(($B84/K$5)-INT(($B84/K$5)))*(INDEX('D Fleet'!$K$5:$K$36,INT(($B84/K$5))+2)-INDEX('D Fleet'!$K$5:$K$36,INT(($B84/K$5))+1)),0)</f>
        <v/>
      </c>
      <c r="L84" s="261">
        <f>IFERROR(INDEX('D Fleet'!$D$5:$D$63,MATCH(L$3-$B84,'D Fleet'!$B$5:$B$63,0)),0)*IFERROR(INDEX('D Fleet'!$K$5:$K$36,INT(($B84/L$5))+1)+(($B84/L$5)-INT(($B84/L$5)))*(INDEX('D Fleet'!$K$5:$K$36,INT(($B84/L$5))+2)-INDEX('D Fleet'!$K$5:$K$36,INT(($B84/L$5))+1)),0)</f>
        <v/>
      </c>
      <c r="M84" s="261">
        <f>IFERROR(INDEX('D Fleet'!$D$5:$D$63,MATCH(M$3-$B84,'D Fleet'!$B$5:$B$63,0)),0)*IFERROR(INDEX('D Fleet'!$K$5:$K$36,INT(($B84/M$5))+1)+(($B84/M$5)-INT(($B84/M$5)))*(INDEX('D Fleet'!$K$5:$K$36,INT(($B84/M$5))+2)-INDEX('D Fleet'!$K$5:$K$36,INT(($B84/M$5))+1)),0)</f>
        <v/>
      </c>
      <c r="N84" s="261">
        <f>IFERROR(INDEX('D Fleet'!$D$5:$D$63,MATCH(N$3-$B84,'D Fleet'!$B$5:$B$63,0)),0)*IFERROR(INDEX('D Fleet'!$K$5:$K$36,INT(($B84/N$5))+1)+(($B84/N$5)-INT(($B84/N$5)))*(INDEX('D Fleet'!$K$5:$K$36,INT(($B84/N$5))+2)-INDEX('D Fleet'!$K$5:$K$36,INT(($B84/N$5))+1)),0)</f>
        <v/>
      </c>
      <c r="P84" s="261">
        <f>E84*$D84*'E1 Fleet'!$D$98</f>
        <v/>
      </c>
      <c r="Q84" s="261">
        <f>F84*$D84*'E1 Fleet'!$D$98</f>
        <v/>
      </c>
      <c r="R84" s="261">
        <f>G84*$D84*'E1 Fleet'!$D$98</f>
        <v/>
      </c>
      <c r="S84" s="261">
        <f>H84*$D84*'E1 Fleet'!$D$98</f>
        <v/>
      </c>
      <c r="T84" s="261">
        <f>I84*$D84*'E1 Fleet'!$D$98</f>
        <v/>
      </c>
      <c r="U84" s="261">
        <f>J84*$D84*'E1 Fleet'!$D$98</f>
        <v/>
      </c>
      <c r="V84" s="261">
        <f>K84*$D84*'E1 Fleet'!$D$98</f>
        <v/>
      </c>
      <c r="W84" s="261">
        <f>L84*$D84*'E1 Fleet'!$D$98</f>
        <v/>
      </c>
      <c r="X84" s="261">
        <f>M84*$D84*'E1 Fleet'!$D$98</f>
        <v/>
      </c>
      <c r="Y84" s="261">
        <f>N84*$D84*'E1 Fleet'!$D$98</f>
        <v/>
      </c>
    </row>
    <row r="85">
      <c r="A85" t="inlineStr">
        <is>
          <t>SUV</t>
        </is>
      </c>
      <c r="B85" s="331" t="n">
        <v>32</v>
      </c>
      <c r="C85" s="331" t="n">
        <v>3</v>
      </c>
      <c r="D85" s="266">
        <f>IF($B85=0,'E1 Fleet'!$D$93,1)*EXP(-'E1 Fleet'!$D$94*MAX($B85-6,0))</f>
        <v/>
      </c>
      <c r="E85" s="261">
        <f>IFERROR(INDEX('D Fleet'!$D$5:$D$63,MATCH(E$3-$B85,'D Fleet'!$B$5:$B$63,0)),0)*IFERROR(INDEX('D Fleet'!$K$5:$K$36,INT(($B85/E$5))+1)+(($B85/E$5)-INT(($B85/E$5)))*(INDEX('D Fleet'!$K$5:$K$36,INT(($B85/E$5))+2)-INDEX('D Fleet'!$K$5:$K$36,INT(($B85/E$5))+1)),0)</f>
        <v/>
      </c>
      <c r="F85" s="261">
        <f>IFERROR(INDEX('D Fleet'!$D$5:$D$63,MATCH(F$3-$B85,'D Fleet'!$B$5:$B$63,0)),0)*IFERROR(INDEX('D Fleet'!$K$5:$K$36,INT(($B85/F$5))+1)+(($B85/F$5)-INT(($B85/F$5)))*(INDEX('D Fleet'!$K$5:$K$36,INT(($B85/F$5))+2)-INDEX('D Fleet'!$K$5:$K$36,INT(($B85/F$5))+1)),0)</f>
        <v/>
      </c>
      <c r="G85" s="261">
        <f>IFERROR(INDEX('D Fleet'!$D$5:$D$63,MATCH(G$3-$B85,'D Fleet'!$B$5:$B$63,0)),0)*IFERROR(INDEX('D Fleet'!$K$5:$K$36,INT(($B85/G$5))+1)+(($B85/G$5)-INT(($B85/G$5)))*(INDEX('D Fleet'!$K$5:$K$36,INT(($B85/G$5))+2)-INDEX('D Fleet'!$K$5:$K$36,INT(($B85/G$5))+1)),0)</f>
        <v/>
      </c>
      <c r="H85" s="261">
        <f>IFERROR(INDEX('D Fleet'!$D$5:$D$63,MATCH(H$3-$B85,'D Fleet'!$B$5:$B$63,0)),0)*IFERROR(INDEX('D Fleet'!$K$5:$K$36,INT(($B85/H$5))+1)+(($B85/H$5)-INT(($B85/H$5)))*(INDEX('D Fleet'!$K$5:$K$36,INT(($B85/H$5))+2)-INDEX('D Fleet'!$K$5:$K$36,INT(($B85/H$5))+1)),0)</f>
        <v/>
      </c>
      <c r="I85" s="261">
        <f>IFERROR(INDEX('D Fleet'!$D$5:$D$63,MATCH(I$3-$B85,'D Fleet'!$B$5:$B$63,0)),0)*IFERROR(INDEX('D Fleet'!$K$5:$K$36,INT(($B85/I$5))+1)+(($B85/I$5)-INT(($B85/I$5)))*(INDEX('D Fleet'!$K$5:$K$36,INT(($B85/I$5))+2)-INDEX('D Fleet'!$K$5:$K$36,INT(($B85/I$5))+1)),0)</f>
        <v/>
      </c>
      <c r="J85" s="261">
        <f>IFERROR(INDEX('D Fleet'!$D$5:$D$63,MATCH(J$3-$B85,'D Fleet'!$B$5:$B$63,0)),0)*IFERROR(INDEX('D Fleet'!$K$5:$K$36,INT(($B85/J$5))+1)+(($B85/J$5)-INT(($B85/J$5)))*(INDEX('D Fleet'!$K$5:$K$36,INT(($B85/J$5))+2)-INDEX('D Fleet'!$K$5:$K$36,INT(($B85/J$5))+1)),0)</f>
        <v/>
      </c>
      <c r="K85" s="261">
        <f>IFERROR(INDEX('D Fleet'!$D$5:$D$63,MATCH(K$3-$B85,'D Fleet'!$B$5:$B$63,0)),0)*IFERROR(INDEX('D Fleet'!$K$5:$K$36,INT(($B85/K$5))+1)+(($B85/K$5)-INT(($B85/K$5)))*(INDEX('D Fleet'!$K$5:$K$36,INT(($B85/K$5))+2)-INDEX('D Fleet'!$K$5:$K$36,INT(($B85/K$5))+1)),0)</f>
        <v/>
      </c>
      <c r="L85" s="261">
        <f>IFERROR(INDEX('D Fleet'!$D$5:$D$63,MATCH(L$3-$B85,'D Fleet'!$B$5:$B$63,0)),0)*IFERROR(INDEX('D Fleet'!$K$5:$K$36,INT(($B85/L$5))+1)+(($B85/L$5)-INT(($B85/L$5)))*(INDEX('D Fleet'!$K$5:$K$36,INT(($B85/L$5))+2)-INDEX('D Fleet'!$K$5:$K$36,INT(($B85/L$5))+1)),0)</f>
        <v/>
      </c>
      <c r="M85" s="261">
        <f>IFERROR(INDEX('D Fleet'!$D$5:$D$63,MATCH(M$3-$B85,'D Fleet'!$B$5:$B$63,0)),0)*IFERROR(INDEX('D Fleet'!$K$5:$K$36,INT(($B85/M$5))+1)+(($B85/M$5)-INT(($B85/M$5)))*(INDEX('D Fleet'!$K$5:$K$36,INT(($B85/M$5))+2)-INDEX('D Fleet'!$K$5:$K$36,INT(($B85/M$5))+1)),0)</f>
        <v/>
      </c>
      <c r="N85" s="261">
        <f>IFERROR(INDEX('D Fleet'!$D$5:$D$63,MATCH(N$3-$B85,'D Fleet'!$B$5:$B$63,0)),0)*IFERROR(INDEX('D Fleet'!$K$5:$K$36,INT(($B85/N$5))+1)+(($B85/N$5)-INT(($B85/N$5)))*(INDEX('D Fleet'!$K$5:$K$36,INT(($B85/N$5))+2)-INDEX('D Fleet'!$K$5:$K$36,INT(($B85/N$5))+1)),0)</f>
        <v/>
      </c>
      <c r="P85" s="261">
        <f>E85*$D85*'E1 Fleet'!$D$98</f>
        <v/>
      </c>
      <c r="Q85" s="261">
        <f>F85*$D85*'E1 Fleet'!$D$98</f>
        <v/>
      </c>
      <c r="R85" s="261">
        <f>G85*$D85*'E1 Fleet'!$D$98</f>
        <v/>
      </c>
      <c r="S85" s="261">
        <f>H85*$D85*'E1 Fleet'!$D$98</f>
        <v/>
      </c>
      <c r="T85" s="261">
        <f>I85*$D85*'E1 Fleet'!$D$98</f>
        <v/>
      </c>
      <c r="U85" s="261">
        <f>J85*$D85*'E1 Fleet'!$D$98</f>
        <v/>
      </c>
      <c r="V85" s="261">
        <f>K85*$D85*'E1 Fleet'!$D$98</f>
        <v/>
      </c>
      <c r="W85" s="261">
        <f>L85*$D85*'E1 Fleet'!$D$98</f>
        <v/>
      </c>
      <c r="X85" s="261">
        <f>M85*$D85*'E1 Fleet'!$D$98</f>
        <v/>
      </c>
      <c r="Y85" s="261">
        <f>N85*$D85*'E1 Fleet'!$D$98</f>
        <v/>
      </c>
    </row>
    <row r="86">
      <c r="A86" t="inlineStr">
        <is>
          <t>SUV</t>
        </is>
      </c>
      <c r="B86" s="331" t="n">
        <v>33</v>
      </c>
      <c r="C86" s="331" t="n">
        <v>3</v>
      </c>
      <c r="D86" s="266">
        <f>IF($B86=0,'E1 Fleet'!$D$93,1)*EXP(-'E1 Fleet'!$D$94*MAX($B86-6,0))</f>
        <v/>
      </c>
      <c r="E86" s="261">
        <f>IFERROR(INDEX('D Fleet'!$D$5:$D$63,MATCH(E$3-$B86,'D Fleet'!$B$5:$B$63,0)),0)*IFERROR(INDEX('D Fleet'!$K$5:$K$36,INT(($B86/E$5))+1)+(($B86/E$5)-INT(($B86/E$5)))*(INDEX('D Fleet'!$K$5:$K$36,INT(($B86/E$5))+2)-INDEX('D Fleet'!$K$5:$K$36,INT(($B86/E$5))+1)),0)</f>
        <v/>
      </c>
      <c r="F86" s="261">
        <f>IFERROR(INDEX('D Fleet'!$D$5:$D$63,MATCH(F$3-$B86,'D Fleet'!$B$5:$B$63,0)),0)*IFERROR(INDEX('D Fleet'!$K$5:$K$36,INT(($B86/F$5))+1)+(($B86/F$5)-INT(($B86/F$5)))*(INDEX('D Fleet'!$K$5:$K$36,INT(($B86/F$5))+2)-INDEX('D Fleet'!$K$5:$K$36,INT(($B86/F$5))+1)),0)</f>
        <v/>
      </c>
      <c r="G86" s="261">
        <f>IFERROR(INDEX('D Fleet'!$D$5:$D$63,MATCH(G$3-$B86,'D Fleet'!$B$5:$B$63,0)),0)*IFERROR(INDEX('D Fleet'!$K$5:$K$36,INT(($B86/G$5))+1)+(($B86/G$5)-INT(($B86/G$5)))*(INDEX('D Fleet'!$K$5:$K$36,INT(($B86/G$5))+2)-INDEX('D Fleet'!$K$5:$K$36,INT(($B86/G$5))+1)),0)</f>
        <v/>
      </c>
      <c r="H86" s="261">
        <f>IFERROR(INDEX('D Fleet'!$D$5:$D$63,MATCH(H$3-$B86,'D Fleet'!$B$5:$B$63,0)),0)*IFERROR(INDEX('D Fleet'!$K$5:$K$36,INT(($B86/H$5))+1)+(($B86/H$5)-INT(($B86/H$5)))*(INDEX('D Fleet'!$K$5:$K$36,INT(($B86/H$5))+2)-INDEX('D Fleet'!$K$5:$K$36,INT(($B86/H$5))+1)),0)</f>
        <v/>
      </c>
      <c r="I86" s="261">
        <f>IFERROR(INDEX('D Fleet'!$D$5:$D$63,MATCH(I$3-$B86,'D Fleet'!$B$5:$B$63,0)),0)*IFERROR(INDEX('D Fleet'!$K$5:$K$36,INT(($B86/I$5))+1)+(($B86/I$5)-INT(($B86/I$5)))*(INDEX('D Fleet'!$K$5:$K$36,INT(($B86/I$5))+2)-INDEX('D Fleet'!$K$5:$K$36,INT(($B86/I$5))+1)),0)</f>
        <v/>
      </c>
      <c r="J86" s="261">
        <f>IFERROR(INDEX('D Fleet'!$D$5:$D$63,MATCH(J$3-$B86,'D Fleet'!$B$5:$B$63,0)),0)*IFERROR(INDEX('D Fleet'!$K$5:$K$36,INT(($B86/J$5))+1)+(($B86/J$5)-INT(($B86/J$5)))*(INDEX('D Fleet'!$K$5:$K$36,INT(($B86/J$5))+2)-INDEX('D Fleet'!$K$5:$K$36,INT(($B86/J$5))+1)),0)</f>
        <v/>
      </c>
      <c r="K86" s="261">
        <f>IFERROR(INDEX('D Fleet'!$D$5:$D$63,MATCH(K$3-$B86,'D Fleet'!$B$5:$B$63,0)),0)*IFERROR(INDEX('D Fleet'!$K$5:$K$36,INT(($B86/K$5))+1)+(($B86/K$5)-INT(($B86/K$5)))*(INDEX('D Fleet'!$K$5:$K$36,INT(($B86/K$5))+2)-INDEX('D Fleet'!$K$5:$K$36,INT(($B86/K$5))+1)),0)</f>
        <v/>
      </c>
      <c r="L86" s="261">
        <f>IFERROR(INDEX('D Fleet'!$D$5:$D$63,MATCH(L$3-$B86,'D Fleet'!$B$5:$B$63,0)),0)*IFERROR(INDEX('D Fleet'!$K$5:$K$36,INT(($B86/L$5))+1)+(($B86/L$5)-INT(($B86/L$5)))*(INDEX('D Fleet'!$K$5:$K$36,INT(($B86/L$5))+2)-INDEX('D Fleet'!$K$5:$K$36,INT(($B86/L$5))+1)),0)</f>
        <v/>
      </c>
      <c r="M86" s="261">
        <f>IFERROR(INDEX('D Fleet'!$D$5:$D$63,MATCH(M$3-$B86,'D Fleet'!$B$5:$B$63,0)),0)*IFERROR(INDEX('D Fleet'!$K$5:$K$36,INT(($B86/M$5))+1)+(($B86/M$5)-INT(($B86/M$5)))*(INDEX('D Fleet'!$K$5:$K$36,INT(($B86/M$5))+2)-INDEX('D Fleet'!$K$5:$K$36,INT(($B86/M$5))+1)),0)</f>
        <v/>
      </c>
      <c r="N86" s="261">
        <f>IFERROR(INDEX('D Fleet'!$D$5:$D$63,MATCH(N$3-$B86,'D Fleet'!$B$5:$B$63,0)),0)*IFERROR(INDEX('D Fleet'!$K$5:$K$36,INT(($B86/N$5))+1)+(($B86/N$5)-INT(($B86/N$5)))*(INDEX('D Fleet'!$K$5:$K$36,INT(($B86/N$5))+2)-INDEX('D Fleet'!$K$5:$K$36,INT(($B86/N$5))+1)),0)</f>
        <v/>
      </c>
      <c r="P86" s="261">
        <f>E86*$D86*'E1 Fleet'!$D$98</f>
        <v/>
      </c>
      <c r="Q86" s="261">
        <f>F86*$D86*'E1 Fleet'!$D$98</f>
        <v/>
      </c>
      <c r="R86" s="261">
        <f>G86*$D86*'E1 Fleet'!$D$98</f>
        <v/>
      </c>
      <c r="S86" s="261">
        <f>H86*$D86*'E1 Fleet'!$D$98</f>
        <v/>
      </c>
      <c r="T86" s="261">
        <f>I86*$D86*'E1 Fleet'!$D$98</f>
        <v/>
      </c>
      <c r="U86" s="261">
        <f>J86*$D86*'E1 Fleet'!$D$98</f>
        <v/>
      </c>
      <c r="V86" s="261">
        <f>K86*$D86*'E1 Fleet'!$D$98</f>
        <v/>
      </c>
      <c r="W86" s="261">
        <f>L86*$D86*'E1 Fleet'!$D$98</f>
        <v/>
      </c>
      <c r="X86" s="261">
        <f>M86*$D86*'E1 Fleet'!$D$98</f>
        <v/>
      </c>
      <c r="Y86" s="261">
        <f>N86*$D86*'E1 Fleet'!$D$98</f>
        <v/>
      </c>
    </row>
    <row r="87">
      <c r="A87" t="inlineStr">
        <is>
          <t>SUV</t>
        </is>
      </c>
      <c r="B87" s="331" t="n">
        <v>34</v>
      </c>
      <c r="C87" s="331" t="n">
        <v>3</v>
      </c>
      <c r="D87" s="266">
        <f>IF($B87=0,'E1 Fleet'!$D$93,1)*EXP(-'E1 Fleet'!$D$94*MAX($B87-6,0))</f>
        <v/>
      </c>
      <c r="E87" s="261">
        <f>IFERROR(INDEX('D Fleet'!$D$5:$D$63,MATCH(E$3-$B87,'D Fleet'!$B$5:$B$63,0)),0)*IFERROR(INDEX('D Fleet'!$K$5:$K$36,INT(($B87/E$5))+1)+(($B87/E$5)-INT(($B87/E$5)))*(INDEX('D Fleet'!$K$5:$K$36,INT(($B87/E$5))+2)-INDEX('D Fleet'!$K$5:$K$36,INT(($B87/E$5))+1)),0)</f>
        <v/>
      </c>
      <c r="F87" s="261">
        <f>IFERROR(INDEX('D Fleet'!$D$5:$D$63,MATCH(F$3-$B87,'D Fleet'!$B$5:$B$63,0)),0)*IFERROR(INDEX('D Fleet'!$K$5:$K$36,INT(($B87/F$5))+1)+(($B87/F$5)-INT(($B87/F$5)))*(INDEX('D Fleet'!$K$5:$K$36,INT(($B87/F$5))+2)-INDEX('D Fleet'!$K$5:$K$36,INT(($B87/F$5))+1)),0)</f>
        <v/>
      </c>
      <c r="G87" s="261">
        <f>IFERROR(INDEX('D Fleet'!$D$5:$D$63,MATCH(G$3-$B87,'D Fleet'!$B$5:$B$63,0)),0)*IFERROR(INDEX('D Fleet'!$K$5:$K$36,INT(($B87/G$5))+1)+(($B87/G$5)-INT(($B87/G$5)))*(INDEX('D Fleet'!$K$5:$K$36,INT(($B87/G$5))+2)-INDEX('D Fleet'!$K$5:$K$36,INT(($B87/G$5))+1)),0)</f>
        <v/>
      </c>
      <c r="H87" s="261">
        <f>IFERROR(INDEX('D Fleet'!$D$5:$D$63,MATCH(H$3-$B87,'D Fleet'!$B$5:$B$63,0)),0)*IFERROR(INDEX('D Fleet'!$K$5:$K$36,INT(($B87/H$5))+1)+(($B87/H$5)-INT(($B87/H$5)))*(INDEX('D Fleet'!$K$5:$K$36,INT(($B87/H$5))+2)-INDEX('D Fleet'!$K$5:$K$36,INT(($B87/H$5))+1)),0)</f>
        <v/>
      </c>
      <c r="I87" s="261">
        <f>IFERROR(INDEX('D Fleet'!$D$5:$D$63,MATCH(I$3-$B87,'D Fleet'!$B$5:$B$63,0)),0)*IFERROR(INDEX('D Fleet'!$K$5:$K$36,INT(($B87/I$5))+1)+(($B87/I$5)-INT(($B87/I$5)))*(INDEX('D Fleet'!$K$5:$K$36,INT(($B87/I$5))+2)-INDEX('D Fleet'!$K$5:$K$36,INT(($B87/I$5))+1)),0)</f>
        <v/>
      </c>
      <c r="J87" s="261">
        <f>IFERROR(INDEX('D Fleet'!$D$5:$D$63,MATCH(J$3-$B87,'D Fleet'!$B$5:$B$63,0)),0)*IFERROR(INDEX('D Fleet'!$K$5:$K$36,INT(($B87/J$5))+1)+(($B87/J$5)-INT(($B87/J$5)))*(INDEX('D Fleet'!$K$5:$K$36,INT(($B87/J$5))+2)-INDEX('D Fleet'!$K$5:$K$36,INT(($B87/J$5))+1)),0)</f>
        <v/>
      </c>
      <c r="K87" s="261">
        <f>IFERROR(INDEX('D Fleet'!$D$5:$D$63,MATCH(K$3-$B87,'D Fleet'!$B$5:$B$63,0)),0)*IFERROR(INDEX('D Fleet'!$K$5:$K$36,INT(($B87/K$5))+1)+(($B87/K$5)-INT(($B87/K$5)))*(INDEX('D Fleet'!$K$5:$K$36,INT(($B87/K$5))+2)-INDEX('D Fleet'!$K$5:$K$36,INT(($B87/K$5))+1)),0)</f>
        <v/>
      </c>
      <c r="L87" s="261">
        <f>IFERROR(INDEX('D Fleet'!$D$5:$D$63,MATCH(L$3-$B87,'D Fleet'!$B$5:$B$63,0)),0)*IFERROR(INDEX('D Fleet'!$K$5:$K$36,INT(($B87/L$5))+1)+(($B87/L$5)-INT(($B87/L$5)))*(INDEX('D Fleet'!$K$5:$K$36,INT(($B87/L$5))+2)-INDEX('D Fleet'!$K$5:$K$36,INT(($B87/L$5))+1)),0)</f>
        <v/>
      </c>
      <c r="M87" s="261">
        <f>IFERROR(INDEX('D Fleet'!$D$5:$D$63,MATCH(M$3-$B87,'D Fleet'!$B$5:$B$63,0)),0)*IFERROR(INDEX('D Fleet'!$K$5:$K$36,INT(($B87/M$5))+1)+(($B87/M$5)-INT(($B87/M$5)))*(INDEX('D Fleet'!$K$5:$K$36,INT(($B87/M$5))+2)-INDEX('D Fleet'!$K$5:$K$36,INT(($B87/M$5))+1)),0)</f>
        <v/>
      </c>
      <c r="N87" s="261">
        <f>IFERROR(INDEX('D Fleet'!$D$5:$D$63,MATCH(N$3-$B87,'D Fleet'!$B$5:$B$63,0)),0)*IFERROR(INDEX('D Fleet'!$K$5:$K$36,INT(($B87/N$5))+1)+(($B87/N$5)-INT(($B87/N$5)))*(INDEX('D Fleet'!$K$5:$K$36,INT(($B87/N$5))+2)-INDEX('D Fleet'!$K$5:$K$36,INT(($B87/N$5))+1)),0)</f>
        <v/>
      </c>
      <c r="P87" s="261">
        <f>E87*$D87*'E1 Fleet'!$D$98</f>
        <v/>
      </c>
      <c r="Q87" s="261">
        <f>F87*$D87*'E1 Fleet'!$D$98</f>
        <v/>
      </c>
      <c r="R87" s="261">
        <f>G87*$D87*'E1 Fleet'!$D$98</f>
        <v/>
      </c>
      <c r="S87" s="261">
        <f>H87*$D87*'E1 Fleet'!$D$98</f>
        <v/>
      </c>
      <c r="T87" s="261">
        <f>I87*$D87*'E1 Fleet'!$D$98</f>
        <v/>
      </c>
      <c r="U87" s="261">
        <f>J87*$D87*'E1 Fleet'!$D$98</f>
        <v/>
      </c>
      <c r="V87" s="261">
        <f>K87*$D87*'E1 Fleet'!$D$98</f>
        <v/>
      </c>
      <c r="W87" s="261">
        <f>L87*$D87*'E1 Fleet'!$D$98</f>
        <v/>
      </c>
      <c r="X87" s="261">
        <f>M87*$D87*'E1 Fleet'!$D$98</f>
        <v/>
      </c>
      <c r="Y87" s="261">
        <f>N87*$D87*'E1 Fleet'!$D$98</f>
        <v/>
      </c>
    </row>
    <row r="88">
      <c r="A88" t="inlineStr">
        <is>
          <t>SUV</t>
        </is>
      </c>
      <c r="B88" s="331" t="n">
        <v>35</v>
      </c>
      <c r="C88" s="331" t="n">
        <v>3</v>
      </c>
      <c r="D88" s="266">
        <f>IF($B88=0,'E1 Fleet'!$D$93,1)*EXP(-'E1 Fleet'!$D$94*MAX($B88-6,0))</f>
        <v/>
      </c>
      <c r="E88" s="261">
        <f>IFERROR(INDEX('D Fleet'!$D$5:$D$63,MATCH(E$3-$B88,'D Fleet'!$B$5:$B$63,0)),0)*IFERROR(INDEX('D Fleet'!$K$5:$K$36,INT(($B88/E$5))+1)+(($B88/E$5)-INT(($B88/E$5)))*(INDEX('D Fleet'!$K$5:$K$36,INT(($B88/E$5))+2)-INDEX('D Fleet'!$K$5:$K$36,INT(($B88/E$5))+1)),0)</f>
        <v/>
      </c>
      <c r="F88" s="261">
        <f>IFERROR(INDEX('D Fleet'!$D$5:$D$63,MATCH(F$3-$B88,'D Fleet'!$B$5:$B$63,0)),0)*IFERROR(INDEX('D Fleet'!$K$5:$K$36,INT(($B88/F$5))+1)+(($B88/F$5)-INT(($B88/F$5)))*(INDEX('D Fleet'!$K$5:$K$36,INT(($B88/F$5))+2)-INDEX('D Fleet'!$K$5:$K$36,INT(($B88/F$5))+1)),0)</f>
        <v/>
      </c>
      <c r="G88" s="261">
        <f>IFERROR(INDEX('D Fleet'!$D$5:$D$63,MATCH(G$3-$B88,'D Fleet'!$B$5:$B$63,0)),0)*IFERROR(INDEX('D Fleet'!$K$5:$K$36,INT(($B88/G$5))+1)+(($B88/G$5)-INT(($B88/G$5)))*(INDEX('D Fleet'!$K$5:$K$36,INT(($B88/G$5))+2)-INDEX('D Fleet'!$K$5:$K$36,INT(($B88/G$5))+1)),0)</f>
        <v/>
      </c>
      <c r="H88" s="261">
        <f>IFERROR(INDEX('D Fleet'!$D$5:$D$63,MATCH(H$3-$B88,'D Fleet'!$B$5:$B$63,0)),0)*IFERROR(INDEX('D Fleet'!$K$5:$K$36,INT(($B88/H$5))+1)+(($B88/H$5)-INT(($B88/H$5)))*(INDEX('D Fleet'!$K$5:$K$36,INT(($B88/H$5))+2)-INDEX('D Fleet'!$K$5:$K$36,INT(($B88/H$5))+1)),0)</f>
        <v/>
      </c>
      <c r="I88" s="261">
        <f>IFERROR(INDEX('D Fleet'!$D$5:$D$63,MATCH(I$3-$B88,'D Fleet'!$B$5:$B$63,0)),0)*IFERROR(INDEX('D Fleet'!$K$5:$K$36,INT(($B88/I$5))+1)+(($B88/I$5)-INT(($B88/I$5)))*(INDEX('D Fleet'!$K$5:$K$36,INT(($B88/I$5))+2)-INDEX('D Fleet'!$K$5:$K$36,INT(($B88/I$5))+1)),0)</f>
        <v/>
      </c>
      <c r="J88" s="261">
        <f>IFERROR(INDEX('D Fleet'!$D$5:$D$63,MATCH(J$3-$B88,'D Fleet'!$B$5:$B$63,0)),0)*IFERROR(INDEX('D Fleet'!$K$5:$K$36,INT(($B88/J$5))+1)+(($B88/J$5)-INT(($B88/J$5)))*(INDEX('D Fleet'!$K$5:$K$36,INT(($B88/J$5))+2)-INDEX('D Fleet'!$K$5:$K$36,INT(($B88/J$5))+1)),0)</f>
        <v/>
      </c>
      <c r="K88" s="261">
        <f>IFERROR(INDEX('D Fleet'!$D$5:$D$63,MATCH(K$3-$B88,'D Fleet'!$B$5:$B$63,0)),0)*IFERROR(INDEX('D Fleet'!$K$5:$K$36,INT(($B88/K$5))+1)+(($B88/K$5)-INT(($B88/K$5)))*(INDEX('D Fleet'!$K$5:$K$36,INT(($B88/K$5))+2)-INDEX('D Fleet'!$K$5:$K$36,INT(($B88/K$5))+1)),0)</f>
        <v/>
      </c>
      <c r="L88" s="261">
        <f>IFERROR(INDEX('D Fleet'!$D$5:$D$63,MATCH(L$3-$B88,'D Fleet'!$B$5:$B$63,0)),0)*IFERROR(INDEX('D Fleet'!$K$5:$K$36,INT(($B88/L$5))+1)+(($B88/L$5)-INT(($B88/L$5)))*(INDEX('D Fleet'!$K$5:$K$36,INT(($B88/L$5))+2)-INDEX('D Fleet'!$K$5:$K$36,INT(($B88/L$5))+1)),0)</f>
        <v/>
      </c>
      <c r="M88" s="261">
        <f>IFERROR(INDEX('D Fleet'!$D$5:$D$63,MATCH(M$3-$B88,'D Fleet'!$B$5:$B$63,0)),0)*IFERROR(INDEX('D Fleet'!$K$5:$K$36,INT(($B88/M$5))+1)+(($B88/M$5)-INT(($B88/M$5)))*(INDEX('D Fleet'!$K$5:$K$36,INT(($B88/M$5))+2)-INDEX('D Fleet'!$K$5:$K$36,INT(($B88/M$5))+1)),0)</f>
        <v/>
      </c>
      <c r="N88" s="261">
        <f>IFERROR(INDEX('D Fleet'!$D$5:$D$63,MATCH(N$3-$B88,'D Fleet'!$B$5:$B$63,0)),0)*IFERROR(INDEX('D Fleet'!$K$5:$K$36,INT(($B88/N$5))+1)+(($B88/N$5)-INT(($B88/N$5)))*(INDEX('D Fleet'!$K$5:$K$36,INT(($B88/N$5))+2)-INDEX('D Fleet'!$K$5:$K$36,INT(($B88/N$5))+1)),0)</f>
        <v/>
      </c>
      <c r="P88" s="261">
        <f>E88*$D88*'E1 Fleet'!$D$98</f>
        <v/>
      </c>
      <c r="Q88" s="261">
        <f>F88*$D88*'E1 Fleet'!$D$98</f>
        <v/>
      </c>
      <c r="R88" s="261">
        <f>G88*$D88*'E1 Fleet'!$D$98</f>
        <v/>
      </c>
      <c r="S88" s="261">
        <f>H88*$D88*'E1 Fleet'!$D$98</f>
        <v/>
      </c>
      <c r="T88" s="261">
        <f>I88*$D88*'E1 Fleet'!$D$98</f>
        <v/>
      </c>
      <c r="U88" s="261">
        <f>J88*$D88*'E1 Fleet'!$D$98</f>
        <v/>
      </c>
      <c r="V88" s="261">
        <f>K88*$D88*'E1 Fleet'!$D$98</f>
        <v/>
      </c>
      <c r="W88" s="261">
        <f>L88*$D88*'E1 Fleet'!$D$98</f>
        <v/>
      </c>
      <c r="X88" s="261">
        <f>M88*$D88*'E1 Fleet'!$D$98</f>
        <v/>
      </c>
      <c r="Y88" s="261">
        <f>N88*$D88*'E1 Fleet'!$D$98</f>
        <v/>
      </c>
    </row>
    <row r="89">
      <c r="A89" t="inlineStr">
        <is>
          <t>SUV</t>
        </is>
      </c>
      <c r="B89" s="331" t="n">
        <v>36</v>
      </c>
      <c r="C89" s="331" t="n">
        <v>3</v>
      </c>
      <c r="D89" s="266">
        <f>IF($B89=0,'E1 Fleet'!$D$93,1)*EXP(-'E1 Fleet'!$D$94*MAX($B89-6,0))</f>
        <v/>
      </c>
      <c r="E89" s="261">
        <f>IFERROR(INDEX('D Fleet'!$D$5:$D$63,MATCH(E$3-$B89,'D Fleet'!$B$5:$B$63,0)),0)*IFERROR(INDEX('D Fleet'!$K$5:$K$36,INT(($B89/E$5))+1)+(($B89/E$5)-INT(($B89/E$5)))*(INDEX('D Fleet'!$K$5:$K$36,INT(($B89/E$5))+2)-INDEX('D Fleet'!$K$5:$K$36,INT(($B89/E$5))+1)),0)</f>
        <v/>
      </c>
      <c r="F89" s="261">
        <f>IFERROR(INDEX('D Fleet'!$D$5:$D$63,MATCH(F$3-$B89,'D Fleet'!$B$5:$B$63,0)),0)*IFERROR(INDEX('D Fleet'!$K$5:$K$36,INT(($B89/F$5))+1)+(($B89/F$5)-INT(($B89/F$5)))*(INDEX('D Fleet'!$K$5:$K$36,INT(($B89/F$5))+2)-INDEX('D Fleet'!$K$5:$K$36,INT(($B89/F$5))+1)),0)</f>
        <v/>
      </c>
      <c r="G89" s="261">
        <f>IFERROR(INDEX('D Fleet'!$D$5:$D$63,MATCH(G$3-$B89,'D Fleet'!$B$5:$B$63,0)),0)*IFERROR(INDEX('D Fleet'!$K$5:$K$36,INT(($B89/G$5))+1)+(($B89/G$5)-INT(($B89/G$5)))*(INDEX('D Fleet'!$K$5:$K$36,INT(($B89/G$5))+2)-INDEX('D Fleet'!$K$5:$K$36,INT(($B89/G$5))+1)),0)</f>
        <v/>
      </c>
      <c r="H89" s="261">
        <f>IFERROR(INDEX('D Fleet'!$D$5:$D$63,MATCH(H$3-$B89,'D Fleet'!$B$5:$B$63,0)),0)*IFERROR(INDEX('D Fleet'!$K$5:$K$36,INT(($B89/H$5))+1)+(($B89/H$5)-INT(($B89/H$5)))*(INDEX('D Fleet'!$K$5:$K$36,INT(($B89/H$5))+2)-INDEX('D Fleet'!$K$5:$K$36,INT(($B89/H$5))+1)),0)</f>
        <v/>
      </c>
      <c r="I89" s="261">
        <f>IFERROR(INDEX('D Fleet'!$D$5:$D$63,MATCH(I$3-$B89,'D Fleet'!$B$5:$B$63,0)),0)*IFERROR(INDEX('D Fleet'!$K$5:$K$36,INT(($B89/I$5))+1)+(($B89/I$5)-INT(($B89/I$5)))*(INDEX('D Fleet'!$K$5:$K$36,INT(($B89/I$5))+2)-INDEX('D Fleet'!$K$5:$K$36,INT(($B89/I$5))+1)),0)</f>
        <v/>
      </c>
      <c r="J89" s="261">
        <f>IFERROR(INDEX('D Fleet'!$D$5:$D$63,MATCH(J$3-$B89,'D Fleet'!$B$5:$B$63,0)),0)*IFERROR(INDEX('D Fleet'!$K$5:$K$36,INT(($B89/J$5))+1)+(($B89/J$5)-INT(($B89/J$5)))*(INDEX('D Fleet'!$K$5:$K$36,INT(($B89/J$5))+2)-INDEX('D Fleet'!$K$5:$K$36,INT(($B89/J$5))+1)),0)</f>
        <v/>
      </c>
      <c r="K89" s="261">
        <f>IFERROR(INDEX('D Fleet'!$D$5:$D$63,MATCH(K$3-$B89,'D Fleet'!$B$5:$B$63,0)),0)*IFERROR(INDEX('D Fleet'!$K$5:$K$36,INT(($B89/K$5))+1)+(($B89/K$5)-INT(($B89/K$5)))*(INDEX('D Fleet'!$K$5:$K$36,INT(($B89/K$5))+2)-INDEX('D Fleet'!$K$5:$K$36,INT(($B89/K$5))+1)),0)</f>
        <v/>
      </c>
      <c r="L89" s="261">
        <f>IFERROR(INDEX('D Fleet'!$D$5:$D$63,MATCH(L$3-$B89,'D Fleet'!$B$5:$B$63,0)),0)*IFERROR(INDEX('D Fleet'!$K$5:$K$36,INT(($B89/L$5))+1)+(($B89/L$5)-INT(($B89/L$5)))*(INDEX('D Fleet'!$K$5:$K$36,INT(($B89/L$5))+2)-INDEX('D Fleet'!$K$5:$K$36,INT(($B89/L$5))+1)),0)</f>
        <v/>
      </c>
      <c r="M89" s="261">
        <f>IFERROR(INDEX('D Fleet'!$D$5:$D$63,MATCH(M$3-$B89,'D Fleet'!$B$5:$B$63,0)),0)*IFERROR(INDEX('D Fleet'!$K$5:$K$36,INT(($B89/M$5))+1)+(($B89/M$5)-INT(($B89/M$5)))*(INDEX('D Fleet'!$K$5:$K$36,INT(($B89/M$5))+2)-INDEX('D Fleet'!$K$5:$K$36,INT(($B89/M$5))+1)),0)</f>
        <v/>
      </c>
      <c r="N89" s="261">
        <f>IFERROR(INDEX('D Fleet'!$D$5:$D$63,MATCH(N$3-$B89,'D Fleet'!$B$5:$B$63,0)),0)*IFERROR(INDEX('D Fleet'!$K$5:$K$36,INT(($B89/N$5))+1)+(($B89/N$5)-INT(($B89/N$5)))*(INDEX('D Fleet'!$K$5:$K$36,INT(($B89/N$5))+2)-INDEX('D Fleet'!$K$5:$K$36,INT(($B89/N$5))+1)),0)</f>
        <v/>
      </c>
      <c r="P89" s="261">
        <f>E89*$D89*'E1 Fleet'!$D$98</f>
        <v/>
      </c>
      <c r="Q89" s="261">
        <f>F89*$D89*'E1 Fleet'!$D$98</f>
        <v/>
      </c>
      <c r="R89" s="261">
        <f>G89*$D89*'E1 Fleet'!$D$98</f>
        <v/>
      </c>
      <c r="S89" s="261">
        <f>H89*$D89*'E1 Fleet'!$D$98</f>
        <v/>
      </c>
      <c r="T89" s="261">
        <f>I89*$D89*'E1 Fleet'!$D$98</f>
        <v/>
      </c>
      <c r="U89" s="261">
        <f>J89*$D89*'E1 Fleet'!$D$98</f>
        <v/>
      </c>
      <c r="V89" s="261">
        <f>K89*$D89*'E1 Fleet'!$D$98</f>
        <v/>
      </c>
      <c r="W89" s="261">
        <f>L89*$D89*'E1 Fleet'!$D$98</f>
        <v/>
      </c>
      <c r="X89" s="261">
        <f>M89*$D89*'E1 Fleet'!$D$98</f>
        <v/>
      </c>
      <c r="Y89" s="261">
        <f>N89*$D89*'E1 Fleet'!$D$98</f>
        <v/>
      </c>
    </row>
    <row r="90">
      <c r="A90" t="inlineStr">
        <is>
          <t>SUV</t>
        </is>
      </c>
      <c r="B90" s="331" t="n">
        <v>37</v>
      </c>
      <c r="C90" s="331" t="n">
        <v>3</v>
      </c>
      <c r="D90" s="266">
        <f>IF($B90=0,'E1 Fleet'!$D$93,1)*EXP(-'E1 Fleet'!$D$94*MAX($B90-6,0))</f>
        <v/>
      </c>
      <c r="E90" s="261">
        <f>IFERROR(INDEX('D Fleet'!$D$5:$D$63,MATCH(E$3-$B90,'D Fleet'!$B$5:$B$63,0)),0)*IFERROR(INDEX('D Fleet'!$K$5:$K$36,INT(($B90/E$5))+1)+(($B90/E$5)-INT(($B90/E$5)))*(INDEX('D Fleet'!$K$5:$K$36,INT(($B90/E$5))+2)-INDEX('D Fleet'!$K$5:$K$36,INT(($B90/E$5))+1)),0)</f>
        <v/>
      </c>
      <c r="F90" s="261">
        <f>IFERROR(INDEX('D Fleet'!$D$5:$D$63,MATCH(F$3-$B90,'D Fleet'!$B$5:$B$63,0)),0)*IFERROR(INDEX('D Fleet'!$K$5:$K$36,INT(($B90/F$5))+1)+(($B90/F$5)-INT(($B90/F$5)))*(INDEX('D Fleet'!$K$5:$K$36,INT(($B90/F$5))+2)-INDEX('D Fleet'!$K$5:$K$36,INT(($B90/F$5))+1)),0)</f>
        <v/>
      </c>
      <c r="G90" s="261">
        <f>IFERROR(INDEX('D Fleet'!$D$5:$D$63,MATCH(G$3-$B90,'D Fleet'!$B$5:$B$63,0)),0)*IFERROR(INDEX('D Fleet'!$K$5:$K$36,INT(($B90/G$5))+1)+(($B90/G$5)-INT(($B90/G$5)))*(INDEX('D Fleet'!$K$5:$K$36,INT(($B90/G$5))+2)-INDEX('D Fleet'!$K$5:$K$36,INT(($B90/G$5))+1)),0)</f>
        <v/>
      </c>
      <c r="H90" s="261">
        <f>IFERROR(INDEX('D Fleet'!$D$5:$D$63,MATCH(H$3-$B90,'D Fleet'!$B$5:$B$63,0)),0)*IFERROR(INDEX('D Fleet'!$K$5:$K$36,INT(($B90/H$5))+1)+(($B90/H$5)-INT(($B90/H$5)))*(INDEX('D Fleet'!$K$5:$K$36,INT(($B90/H$5))+2)-INDEX('D Fleet'!$K$5:$K$36,INT(($B90/H$5))+1)),0)</f>
        <v/>
      </c>
      <c r="I90" s="261">
        <f>IFERROR(INDEX('D Fleet'!$D$5:$D$63,MATCH(I$3-$B90,'D Fleet'!$B$5:$B$63,0)),0)*IFERROR(INDEX('D Fleet'!$K$5:$K$36,INT(($B90/I$5))+1)+(($B90/I$5)-INT(($B90/I$5)))*(INDEX('D Fleet'!$K$5:$K$36,INT(($B90/I$5))+2)-INDEX('D Fleet'!$K$5:$K$36,INT(($B90/I$5))+1)),0)</f>
        <v/>
      </c>
      <c r="J90" s="261">
        <f>IFERROR(INDEX('D Fleet'!$D$5:$D$63,MATCH(J$3-$B90,'D Fleet'!$B$5:$B$63,0)),0)*IFERROR(INDEX('D Fleet'!$K$5:$K$36,INT(($B90/J$5))+1)+(($B90/J$5)-INT(($B90/J$5)))*(INDEX('D Fleet'!$K$5:$K$36,INT(($B90/J$5))+2)-INDEX('D Fleet'!$K$5:$K$36,INT(($B90/J$5))+1)),0)</f>
        <v/>
      </c>
      <c r="K90" s="261">
        <f>IFERROR(INDEX('D Fleet'!$D$5:$D$63,MATCH(K$3-$B90,'D Fleet'!$B$5:$B$63,0)),0)*IFERROR(INDEX('D Fleet'!$K$5:$K$36,INT(($B90/K$5))+1)+(($B90/K$5)-INT(($B90/K$5)))*(INDEX('D Fleet'!$K$5:$K$36,INT(($B90/K$5))+2)-INDEX('D Fleet'!$K$5:$K$36,INT(($B90/K$5))+1)),0)</f>
        <v/>
      </c>
      <c r="L90" s="261">
        <f>IFERROR(INDEX('D Fleet'!$D$5:$D$63,MATCH(L$3-$B90,'D Fleet'!$B$5:$B$63,0)),0)*IFERROR(INDEX('D Fleet'!$K$5:$K$36,INT(($B90/L$5))+1)+(($B90/L$5)-INT(($B90/L$5)))*(INDEX('D Fleet'!$K$5:$K$36,INT(($B90/L$5))+2)-INDEX('D Fleet'!$K$5:$K$36,INT(($B90/L$5))+1)),0)</f>
        <v/>
      </c>
      <c r="M90" s="261">
        <f>IFERROR(INDEX('D Fleet'!$D$5:$D$63,MATCH(M$3-$B90,'D Fleet'!$B$5:$B$63,0)),0)*IFERROR(INDEX('D Fleet'!$K$5:$K$36,INT(($B90/M$5))+1)+(($B90/M$5)-INT(($B90/M$5)))*(INDEX('D Fleet'!$K$5:$K$36,INT(($B90/M$5))+2)-INDEX('D Fleet'!$K$5:$K$36,INT(($B90/M$5))+1)),0)</f>
        <v/>
      </c>
      <c r="N90" s="261">
        <f>IFERROR(INDEX('D Fleet'!$D$5:$D$63,MATCH(N$3-$B90,'D Fleet'!$B$5:$B$63,0)),0)*IFERROR(INDEX('D Fleet'!$K$5:$K$36,INT(($B90/N$5))+1)+(($B90/N$5)-INT(($B90/N$5)))*(INDEX('D Fleet'!$K$5:$K$36,INT(($B90/N$5))+2)-INDEX('D Fleet'!$K$5:$K$36,INT(($B90/N$5))+1)),0)</f>
        <v/>
      </c>
      <c r="P90" s="261">
        <f>E90*$D90*'E1 Fleet'!$D$98</f>
        <v/>
      </c>
      <c r="Q90" s="261">
        <f>F90*$D90*'E1 Fleet'!$D$98</f>
        <v/>
      </c>
      <c r="R90" s="261">
        <f>G90*$D90*'E1 Fleet'!$D$98</f>
        <v/>
      </c>
      <c r="S90" s="261">
        <f>H90*$D90*'E1 Fleet'!$D$98</f>
        <v/>
      </c>
      <c r="T90" s="261">
        <f>I90*$D90*'E1 Fleet'!$D$98</f>
        <v/>
      </c>
      <c r="U90" s="261">
        <f>J90*$D90*'E1 Fleet'!$D$98</f>
        <v/>
      </c>
      <c r="V90" s="261">
        <f>K90*$D90*'E1 Fleet'!$D$98</f>
        <v/>
      </c>
      <c r="W90" s="261">
        <f>L90*$D90*'E1 Fleet'!$D$98</f>
        <v/>
      </c>
      <c r="X90" s="261">
        <f>M90*$D90*'E1 Fleet'!$D$98</f>
        <v/>
      </c>
      <c r="Y90" s="261">
        <f>N90*$D90*'E1 Fleet'!$D$98</f>
        <v/>
      </c>
    </row>
    <row r="91">
      <c r="A91" t="inlineStr">
        <is>
          <t>SUV</t>
        </is>
      </c>
      <c r="B91" s="331" t="n">
        <v>38</v>
      </c>
      <c r="C91" s="331" t="n">
        <v>3</v>
      </c>
      <c r="D91" s="266">
        <f>IF($B91=0,'E1 Fleet'!$D$93,1)*EXP(-'E1 Fleet'!$D$94*MAX($B91-6,0))</f>
        <v/>
      </c>
      <c r="E91" s="261">
        <f>IFERROR(INDEX('D Fleet'!$D$5:$D$63,MATCH(E$3-$B91,'D Fleet'!$B$5:$B$63,0)),0)*IFERROR(INDEX('D Fleet'!$K$5:$K$36,INT(($B91/E$5))+1)+(($B91/E$5)-INT(($B91/E$5)))*(INDEX('D Fleet'!$K$5:$K$36,INT(($B91/E$5))+2)-INDEX('D Fleet'!$K$5:$K$36,INT(($B91/E$5))+1)),0)</f>
        <v/>
      </c>
      <c r="F91" s="261">
        <f>IFERROR(INDEX('D Fleet'!$D$5:$D$63,MATCH(F$3-$B91,'D Fleet'!$B$5:$B$63,0)),0)*IFERROR(INDEX('D Fleet'!$K$5:$K$36,INT(($B91/F$5))+1)+(($B91/F$5)-INT(($B91/F$5)))*(INDEX('D Fleet'!$K$5:$K$36,INT(($B91/F$5))+2)-INDEX('D Fleet'!$K$5:$K$36,INT(($B91/F$5))+1)),0)</f>
        <v/>
      </c>
      <c r="G91" s="261">
        <f>IFERROR(INDEX('D Fleet'!$D$5:$D$63,MATCH(G$3-$B91,'D Fleet'!$B$5:$B$63,0)),0)*IFERROR(INDEX('D Fleet'!$K$5:$K$36,INT(($B91/G$5))+1)+(($B91/G$5)-INT(($B91/G$5)))*(INDEX('D Fleet'!$K$5:$K$36,INT(($B91/G$5))+2)-INDEX('D Fleet'!$K$5:$K$36,INT(($B91/G$5))+1)),0)</f>
        <v/>
      </c>
      <c r="H91" s="261">
        <f>IFERROR(INDEX('D Fleet'!$D$5:$D$63,MATCH(H$3-$B91,'D Fleet'!$B$5:$B$63,0)),0)*IFERROR(INDEX('D Fleet'!$K$5:$K$36,INT(($B91/H$5))+1)+(($B91/H$5)-INT(($B91/H$5)))*(INDEX('D Fleet'!$K$5:$K$36,INT(($B91/H$5))+2)-INDEX('D Fleet'!$K$5:$K$36,INT(($B91/H$5))+1)),0)</f>
        <v/>
      </c>
      <c r="I91" s="261">
        <f>IFERROR(INDEX('D Fleet'!$D$5:$D$63,MATCH(I$3-$B91,'D Fleet'!$B$5:$B$63,0)),0)*IFERROR(INDEX('D Fleet'!$K$5:$K$36,INT(($B91/I$5))+1)+(($B91/I$5)-INT(($B91/I$5)))*(INDEX('D Fleet'!$K$5:$K$36,INT(($B91/I$5))+2)-INDEX('D Fleet'!$K$5:$K$36,INT(($B91/I$5))+1)),0)</f>
        <v/>
      </c>
      <c r="J91" s="261">
        <f>IFERROR(INDEX('D Fleet'!$D$5:$D$63,MATCH(J$3-$B91,'D Fleet'!$B$5:$B$63,0)),0)*IFERROR(INDEX('D Fleet'!$K$5:$K$36,INT(($B91/J$5))+1)+(($B91/J$5)-INT(($B91/J$5)))*(INDEX('D Fleet'!$K$5:$K$36,INT(($B91/J$5))+2)-INDEX('D Fleet'!$K$5:$K$36,INT(($B91/J$5))+1)),0)</f>
        <v/>
      </c>
      <c r="K91" s="261">
        <f>IFERROR(INDEX('D Fleet'!$D$5:$D$63,MATCH(K$3-$B91,'D Fleet'!$B$5:$B$63,0)),0)*IFERROR(INDEX('D Fleet'!$K$5:$K$36,INT(($B91/K$5))+1)+(($B91/K$5)-INT(($B91/K$5)))*(INDEX('D Fleet'!$K$5:$K$36,INT(($B91/K$5))+2)-INDEX('D Fleet'!$K$5:$K$36,INT(($B91/K$5))+1)),0)</f>
        <v/>
      </c>
      <c r="L91" s="261">
        <f>IFERROR(INDEX('D Fleet'!$D$5:$D$63,MATCH(L$3-$B91,'D Fleet'!$B$5:$B$63,0)),0)*IFERROR(INDEX('D Fleet'!$K$5:$K$36,INT(($B91/L$5))+1)+(($B91/L$5)-INT(($B91/L$5)))*(INDEX('D Fleet'!$K$5:$K$36,INT(($B91/L$5))+2)-INDEX('D Fleet'!$K$5:$K$36,INT(($B91/L$5))+1)),0)</f>
        <v/>
      </c>
      <c r="M91" s="261">
        <f>IFERROR(INDEX('D Fleet'!$D$5:$D$63,MATCH(M$3-$B91,'D Fleet'!$B$5:$B$63,0)),0)*IFERROR(INDEX('D Fleet'!$K$5:$K$36,INT(($B91/M$5))+1)+(($B91/M$5)-INT(($B91/M$5)))*(INDEX('D Fleet'!$K$5:$K$36,INT(($B91/M$5))+2)-INDEX('D Fleet'!$K$5:$K$36,INT(($B91/M$5))+1)),0)</f>
        <v/>
      </c>
      <c r="N91" s="261">
        <f>IFERROR(INDEX('D Fleet'!$D$5:$D$63,MATCH(N$3-$B91,'D Fleet'!$B$5:$B$63,0)),0)*IFERROR(INDEX('D Fleet'!$K$5:$K$36,INT(($B91/N$5))+1)+(($B91/N$5)-INT(($B91/N$5)))*(INDEX('D Fleet'!$K$5:$K$36,INT(($B91/N$5))+2)-INDEX('D Fleet'!$K$5:$K$36,INT(($B91/N$5))+1)),0)</f>
        <v/>
      </c>
      <c r="P91" s="261">
        <f>E91*$D91*'E1 Fleet'!$D$98</f>
        <v/>
      </c>
      <c r="Q91" s="261">
        <f>F91*$D91*'E1 Fleet'!$D$98</f>
        <v/>
      </c>
      <c r="R91" s="261">
        <f>G91*$D91*'E1 Fleet'!$D$98</f>
        <v/>
      </c>
      <c r="S91" s="261">
        <f>H91*$D91*'E1 Fleet'!$D$98</f>
        <v/>
      </c>
      <c r="T91" s="261">
        <f>I91*$D91*'E1 Fleet'!$D$98</f>
        <v/>
      </c>
      <c r="U91" s="261">
        <f>J91*$D91*'E1 Fleet'!$D$98</f>
        <v/>
      </c>
      <c r="V91" s="261">
        <f>K91*$D91*'E1 Fleet'!$D$98</f>
        <v/>
      </c>
      <c r="W91" s="261">
        <f>L91*$D91*'E1 Fleet'!$D$98</f>
        <v/>
      </c>
      <c r="X91" s="261">
        <f>M91*$D91*'E1 Fleet'!$D$98</f>
        <v/>
      </c>
      <c r="Y91" s="261">
        <f>N91*$D91*'E1 Fleet'!$D$98</f>
        <v/>
      </c>
    </row>
    <row r="92">
      <c r="A92" t="inlineStr">
        <is>
          <t>SUV</t>
        </is>
      </c>
      <c r="B92" s="331" t="n">
        <v>39</v>
      </c>
      <c r="C92" s="331" t="n">
        <v>3</v>
      </c>
      <c r="D92" s="266">
        <f>IF($B92=0,'E1 Fleet'!$D$93,1)*EXP(-'E1 Fleet'!$D$94*MAX($B92-6,0))</f>
        <v/>
      </c>
      <c r="E92" s="261">
        <f>IFERROR(INDEX('D Fleet'!$D$5:$D$63,MATCH(E$3-$B92,'D Fleet'!$B$5:$B$63,0)),0)*IFERROR(INDEX('D Fleet'!$K$5:$K$36,INT(($B92/E$5))+1)+(($B92/E$5)-INT(($B92/E$5)))*(INDEX('D Fleet'!$K$5:$K$36,INT(($B92/E$5))+2)-INDEX('D Fleet'!$K$5:$K$36,INT(($B92/E$5))+1)),0)</f>
        <v/>
      </c>
      <c r="F92" s="261">
        <f>IFERROR(INDEX('D Fleet'!$D$5:$D$63,MATCH(F$3-$B92,'D Fleet'!$B$5:$B$63,0)),0)*IFERROR(INDEX('D Fleet'!$K$5:$K$36,INT(($B92/F$5))+1)+(($B92/F$5)-INT(($B92/F$5)))*(INDEX('D Fleet'!$K$5:$K$36,INT(($B92/F$5))+2)-INDEX('D Fleet'!$K$5:$K$36,INT(($B92/F$5))+1)),0)</f>
        <v/>
      </c>
      <c r="G92" s="261">
        <f>IFERROR(INDEX('D Fleet'!$D$5:$D$63,MATCH(G$3-$B92,'D Fleet'!$B$5:$B$63,0)),0)*IFERROR(INDEX('D Fleet'!$K$5:$K$36,INT(($B92/G$5))+1)+(($B92/G$5)-INT(($B92/G$5)))*(INDEX('D Fleet'!$K$5:$K$36,INT(($B92/G$5))+2)-INDEX('D Fleet'!$K$5:$K$36,INT(($B92/G$5))+1)),0)</f>
        <v/>
      </c>
      <c r="H92" s="261">
        <f>IFERROR(INDEX('D Fleet'!$D$5:$D$63,MATCH(H$3-$B92,'D Fleet'!$B$5:$B$63,0)),0)*IFERROR(INDEX('D Fleet'!$K$5:$K$36,INT(($B92/H$5))+1)+(($B92/H$5)-INT(($B92/H$5)))*(INDEX('D Fleet'!$K$5:$K$36,INT(($B92/H$5))+2)-INDEX('D Fleet'!$K$5:$K$36,INT(($B92/H$5))+1)),0)</f>
        <v/>
      </c>
      <c r="I92" s="261">
        <f>IFERROR(INDEX('D Fleet'!$D$5:$D$63,MATCH(I$3-$B92,'D Fleet'!$B$5:$B$63,0)),0)*IFERROR(INDEX('D Fleet'!$K$5:$K$36,INT(($B92/I$5))+1)+(($B92/I$5)-INT(($B92/I$5)))*(INDEX('D Fleet'!$K$5:$K$36,INT(($B92/I$5))+2)-INDEX('D Fleet'!$K$5:$K$36,INT(($B92/I$5))+1)),0)</f>
        <v/>
      </c>
      <c r="J92" s="261">
        <f>IFERROR(INDEX('D Fleet'!$D$5:$D$63,MATCH(J$3-$B92,'D Fleet'!$B$5:$B$63,0)),0)*IFERROR(INDEX('D Fleet'!$K$5:$K$36,INT(($B92/J$5))+1)+(($B92/J$5)-INT(($B92/J$5)))*(INDEX('D Fleet'!$K$5:$K$36,INT(($B92/J$5))+2)-INDEX('D Fleet'!$K$5:$K$36,INT(($B92/J$5))+1)),0)</f>
        <v/>
      </c>
      <c r="K92" s="261">
        <f>IFERROR(INDEX('D Fleet'!$D$5:$D$63,MATCH(K$3-$B92,'D Fleet'!$B$5:$B$63,0)),0)*IFERROR(INDEX('D Fleet'!$K$5:$K$36,INT(($B92/K$5))+1)+(($B92/K$5)-INT(($B92/K$5)))*(INDEX('D Fleet'!$K$5:$K$36,INT(($B92/K$5))+2)-INDEX('D Fleet'!$K$5:$K$36,INT(($B92/K$5))+1)),0)</f>
        <v/>
      </c>
      <c r="L92" s="261">
        <f>IFERROR(INDEX('D Fleet'!$D$5:$D$63,MATCH(L$3-$B92,'D Fleet'!$B$5:$B$63,0)),0)*IFERROR(INDEX('D Fleet'!$K$5:$K$36,INT(($B92/L$5))+1)+(($B92/L$5)-INT(($B92/L$5)))*(INDEX('D Fleet'!$K$5:$K$36,INT(($B92/L$5))+2)-INDEX('D Fleet'!$K$5:$K$36,INT(($B92/L$5))+1)),0)</f>
        <v/>
      </c>
      <c r="M92" s="261">
        <f>IFERROR(INDEX('D Fleet'!$D$5:$D$63,MATCH(M$3-$B92,'D Fleet'!$B$5:$B$63,0)),0)*IFERROR(INDEX('D Fleet'!$K$5:$K$36,INT(($B92/M$5))+1)+(($B92/M$5)-INT(($B92/M$5)))*(INDEX('D Fleet'!$K$5:$K$36,INT(($B92/M$5))+2)-INDEX('D Fleet'!$K$5:$K$36,INT(($B92/M$5))+1)),0)</f>
        <v/>
      </c>
      <c r="N92" s="261">
        <f>IFERROR(INDEX('D Fleet'!$D$5:$D$63,MATCH(N$3-$B92,'D Fleet'!$B$5:$B$63,0)),0)*IFERROR(INDEX('D Fleet'!$K$5:$K$36,INT(($B92/N$5))+1)+(($B92/N$5)-INT(($B92/N$5)))*(INDEX('D Fleet'!$K$5:$K$36,INT(($B92/N$5))+2)-INDEX('D Fleet'!$K$5:$K$36,INT(($B92/N$5))+1)),0)</f>
        <v/>
      </c>
      <c r="P92" s="261">
        <f>E92*$D92*'E1 Fleet'!$D$98</f>
        <v/>
      </c>
      <c r="Q92" s="261">
        <f>F92*$D92*'E1 Fleet'!$D$98</f>
        <v/>
      </c>
      <c r="R92" s="261">
        <f>G92*$D92*'E1 Fleet'!$D$98</f>
        <v/>
      </c>
      <c r="S92" s="261">
        <f>H92*$D92*'E1 Fleet'!$D$98</f>
        <v/>
      </c>
      <c r="T92" s="261">
        <f>I92*$D92*'E1 Fleet'!$D$98</f>
        <v/>
      </c>
      <c r="U92" s="261">
        <f>J92*$D92*'E1 Fleet'!$D$98</f>
        <v/>
      </c>
      <c r="V92" s="261">
        <f>K92*$D92*'E1 Fleet'!$D$98</f>
        <v/>
      </c>
      <c r="W92" s="261">
        <f>L92*$D92*'E1 Fleet'!$D$98</f>
        <v/>
      </c>
      <c r="X92" s="261">
        <f>M92*$D92*'E1 Fleet'!$D$98</f>
        <v/>
      </c>
      <c r="Y92" s="261">
        <f>N92*$D92*'E1 Fleet'!$D$98</f>
        <v/>
      </c>
    </row>
    <row r="93">
      <c r="A93" t="inlineStr">
        <is>
          <t>SUV</t>
        </is>
      </c>
      <c r="B93" s="331" t="n">
        <v>40</v>
      </c>
      <c r="C93" s="331" t="n">
        <v>3</v>
      </c>
      <c r="D93" s="266">
        <f>IF($B93=0,'E1 Fleet'!$D$93,1)*EXP(-'E1 Fleet'!$D$94*MAX($B93-6,0))</f>
        <v/>
      </c>
      <c r="E93" s="261">
        <f>IFERROR(INDEX('D Fleet'!$D$5:$D$63,MATCH(E$3-$B93,'D Fleet'!$B$5:$B$63,0)),0)*IFERROR(INDEX('D Fleet'!$K$5:$K$36,INT(($B93/E$5))+1)+(($B93/E$5)-INT(($B93/E$5)))*(INDEX('D Fleet'!$K$5:$K$36,INT(($B93/E$5))+2)-INDEX('D Fleet'!$K$5:$K$36,INT(($B93/E$5))+1)),0)</f>
        <v/>
      </c>
      <c r="F93" s="261">
        <f>IFERROR(INDEX('D Fleet'!$D$5:$D$63,MATCH(F$3-$B93,'D Fleet'!$B$5:$B$63,0)),0)*IFERROR(INDEX('D Fleet'!$K$5:$K$36,INT(($B93/F$5))+1)+(($B93/F$5)-INT(($B93/F$5)))*(INDEX('D Fleet'!$K$5:$K$36,INT(($B93/F$5))+2)-INDEX('D Fleet'!$K$5:$K$36,INT(($B93/F$5))+1)),0)</f>
        <v/>
      </c>
      <c r="G93" s="261">
        <f>IFERROR(INDEX('D Fleet'!$D$5:$D$63,MATCH(G$3-$B93,'D Fleet'!$B$5:$B$63,0)),0)*IFERROR(INDEX('D Fleet'!$K$5:$K$36,INT(($B93/G$5))+1)+(($B93/G$5)-INT(($B93/G$5)))*(INDEX('D Fleet'!$K$5:$K$36,INT(($B93/G$5))+2)-INDEX('D Fleet'!$K$5:$K$36,INT(($B93/G$5))+1)),0)</f>
        <v/>
      </c>
      <c r="H93" s="261">
        <f>IFERROR(INDEX('D Fleet'!$D$5:$D$63,MATCH(H$3-$B93,'D Fleet'!$B$5:$B$63,0)),0)*IFERROR(INDEX('D Fleet'!$K$5:$K$36,INT(($B93/H$5))+1)+(($B93/H$5)-INT(($B93/H$5)))*(INDEX('D Fleet'!$K$5:$K$36,INT(($B93/H$5))+2)-INDEX('D Fleet'!$K$5:$K$36,INT(($B93/H$5))+1)),0)</f>
        <v/>
      </c>
      <c r="I93" s="261">
        <f>IFERROR(INDEX('D Fleet'!$D$5:$D$63,MATCH(I$3-$B93,'D Fleet'!$B$5:$B$63,0)),0)*IFERROR(INDEX('D Fleet'!$K$5:$K$36,INT(($B93/I$5))+1)+(($B93/I$5)-INT(($B93/I$5)))*(INDEX('D Fleet'!$K$5:$K$36,INT(($B93/I$5))+2)-INDEX('D Fleet'!$K$5:$K$36,INT(($B93/I$5))+1)),0)</f>
        <v/>
      </c>
      <c r="J93" s="261">
        <f>IFERROR(INDEX('D Fleet'!$D$5:$D$63,MATCH(J$3-$B93,'D Fleet'!$B$5:$B$63,0)),0)*IFERROR(INDEX('D Fleet'!$K$5:$K$36,INT(($B93/J$5))+1)+(($B93/J$5)-INT(($B93/J$5)))*(INDEX('D Fleet'!$K$5:$K$36,INT(($B93/J$5))+2)-INDEX('D Fleet'!$K$5:$K$36,INT(($B93/J$5))+1)),0)</f>
        <v/>
      </c>
      <c r="K93" s="261">
        <f>IFERROR(INDEX('D Fleet'!$D$5:$D$63,MATCH(K$3-$B93,'D Fleet'!$B$5:$B$63,0)),0)*IFERROR(INDEX('D Fleet'!$K$5:$K$36,INT(($B93/K$5))+1)+(($B93/K$5)-INT(($B93/K$5)))*(INDEX('D Fleet'!$K$5:$K$36,INT(($B93/K$5))+2)-INDEX('D Fleet'!$K$5:$K$36,INT(($B93/K$5))+1)),0)</f>
        <v/>
      </c>
      <c r="L93" s="261">
        <f>IFERROR(INDEX('D Fleet'!$D$5:$D$63,MATCH(L$3-$B93,'D Fleet'!$B$5:$B$63,0)),0)*IFERROR(INDEX('D Fleet'!$K$5:$K$36,INT(($B93/L$5))+1)+(($B93/L$5)-INT(($B93/L$5)))*(INDEX('D Fleet'!$K$5:$K$36,INT(($B93/L$5))+2)-INDEX('D Fleet'!$K$5:$K$36,INT(($B93/L$5))+1)),0)</f>
        <v/>
      </c>
      <c r="M93" s="261">
        <f>IFERROR(INDEX('D Fleet'!$D$5:$D$63,MATCH(M$3-$B93,'D Fleet'!$B$5:$B$63,0)),0)*IFERROR(INDEX('D Fleet'!$K$5:$K$36,INT(($B93/M$5))+1)+(($B93/M$5)-INT(($B93/M$5)))*(INDEX('D Fleet'!$K$5:$K$36,INT(($B93/M$5))+2)-INDEX('D Fleet'!$K$5:$K$36,INT(($B93/M$5))+1)),0)</f>
        <v/>
      </c>
      <c r="N93" s="261">
        <f>IFERROR(INDEX('D Fleet'!$D$5:$D$63,MATCH(N$3-$B93,'D Fleet'!$B$5:$B$63,0)),0)*IFERROR(INDEX('D Fleet'!$K$5:$K$36,INT(($B93/N$5))+1)+(($B93/N$5)-INT(($B93/N$5)))*(INDEX('D Fleet'!$K$5:$K$36,INT(($B93/N$5))+2)-INDEX('D Fleet'!$K$5:$K$36,INT(($B93/N$5))+1)),0)</f>
        <v/>
      </c>
      <c r="P93" s="261">
        <f>E93*$D93*'E1 Fleet'!$D$98</f>
        <v/>
      </c>
      <c r="Q93" s="261">
        <f>F93*$D93*'E1 Fleet'!$D$98</f>
        <v/>
      </c>
      <c r="R93" s="261">
        <f>G93*$D93*'E1 Fleet'!$D$98</f>
        <v/>
      </c>
      <c r="S93" s="261">
        <f>H93*$D93*'E1 Fleet'!$D$98</f>
        <v/>
      </c>
      <c r="T93" s="261">
        <f>I93*$D93*'E1 Fleet'!$D$98</f>
        <v/>
      </c>
      <c r="U93" s="261">
        <f>J93*$D93*'E1 Fleet'!$D$98</f>
        <v/>
      </c>
      <c r="V93" s="261">
        <f>K93*$D93*'E1 Fleet'!$D$98</f>
        <v/>
      </c>
      <c r="W93" s="261">
        <f>L93*$D93*'E1 Fleet'!$D$98</f>
        <v/>
      </c>
      <c r="X93" s="261">
        <f>M93*$D93*'E1 Fleet'!$D$98</f>
        <v/>
      </c>
      <c r="Y93" s="261">
        <f>N93*$D93*'E1 Fleet'!$D$98</f>
        <v/>
      </c>
    </row>
    <row r="94">
      <c r="A94" t="inlineStr">
        <is>
          <t>SUV</t>
        </is>
      </c>
      <c r="B94" s="331" t="n">
        <v>41</v>
      </c>
      <c r="C94" s="331" t="n">
        <v>3</v>
      </c>
      <c r="D94" s="266">
        <f>IF($B94=0,'E1 Fleet'!$D$93,1)*EXP(-'E1 Fleet'!$D$94*MAX($B94-6,0))</f>
        <v/>
      </c>
      <c r="E94" s="261">
        <f>IFERROR(INDEX('D Fleet'!$D$5:$D$63,MATCH(E$3-$B94,'D Fleet'!$B$5:$B$63,0)),0)*IFERROR(INDEX('D Fleet'!$K$5:$K$36,INT(($B94/E$5))+1)+(($B94/E$5)-INT(($B94/E$5)))*(INDEX('D Fleet'!$K$5:$K$36,INT(($B94/E$5))+2)-INDEX('D Fleet'!$K$5:$K$36,INT(($B94/E$5))+1)),0)</f>
        <v/>
      </c>
      <c r="F94" s="261">
        <f>IFERROR(INDEX('D Fleet'!$D$5:$D$63,MATCH(F$3-$B94,'D Fleet'!$B$5:$B$63,0)),0)*IFERROR(INDEX('D Fleet'!$K$5:$K$36,INT(($B94/F$5))+1)+(($B94/F$5)-INT(($B94/F$5)))*(INDEX('D Fleet'!$K$5:$K$36,INT(($B94/F$5))+2)-INDEX('D Fleet'!$K$5:$K$36,INT(($B94/F$5))+1)),0)</f>
        <v/>
      </c>
      <c r="G94" s="261">
        <f>IFERROR(INDEX('D Fleet'!$D$5:$D$63,MATCH(G$3-$B94,'D Fleet'!$B$5:$B$63,0)),0)*IFERROR(INDEX('D Fleet'!$K$5:$K$36,INT(($B94/G$5))+1)+(($B94/G$5)-INT(($B94/G$5)))*(INDEX('D Fleet'!$K$5:$K$36,INT(($B94/G$5))+2)-INDEX('D Fleet'!$K$5:$K$36,INT(($B94/G$5))+1)),0)</f>
        <v/>
      </c>
      <c r="H94" s="261">
        <f>IFERROR(INDEX('D Fleet'!$D$5:$D$63,MATCH(H$3-$B94,'D Fleet'!$B$5:$B$63,0)),0)*IFERROR(INDEX('D Fleet'!$K$5:$K$36,INT(($B94/H$5))+1)+(($B94/H$5)-INT(($B94/H$5)))*(INDEX('D Fleet'!$K$5:$K$36,INT(($B94/H$5))+2)-INDEX('D Fleet'!$K$5:$K$36,INT(($B94/H$5))+1)),0)</f>
        <v/>
      </c>
      <c r="I94" s="261">
        <f>IFERROR(INDEX('D Fleet'!$D$5:$D$63,MATCH(I$3-$B94,'D Fleet'!$B$5:$B$63,0)),0)*IFERROR(INDEX('D Fleet'!$K$5:$K$36,INT(($B94/I$5))+1)+(($B94/I$5)-INT(($B94/I$5)))*(INDEX('D Fleet'!$K$5:$K$36,INT(($B94/I$5))+2)-INDEX('D Fleet'!$K$5:$K$36,INT(($B94/I$5))+1)),0)</f>
        <v/>
      </c>
      <c r="J94" s="261">
        <f>IFERROR(INDEX('D Fleet'!$D$5:$D$63,MATCH(J$3-$B94,'D Fleet'!$B$5:$B$63,0)),0)*IFERROR(INDEX('D Fleet'!$K$5:$K$36,INT(($B94/J$5))+1)+(($B94/J$5)-INT(($B94/J$5)))*(INDEX('D Fleet'!$K$5:$K$36,INT(($B94/J$5))+2)-INDEX('D Fleet'!$K$5:$K$36,INT(($B94/J$5))+1)),0)</f>
        <v/>
      </c>
      <c r="K94" s="261">
        <f>IFERROR(INDEX('D Fleet'!$D$5:$D$63,MATCH(K$3-$B94,'D Fleet'!$B$5:$B$63,0)),0)*IFERROR(INDEX('D Fleet'!$K$5:$K$36,INT(($B94/K$5))+1)+(($B94/K$5)-INT(($B94/K$5)))*(INDEX('D Fleet'!$K$5:$K$36,INT(($B94/K$5))+2)-INDEX('D Fleet'!$K$5:$K$36,INT(($B94/K$5))+1)),0)</f>
        <v/>
      </c>
      <c r="L94" s="261">
        <f>IFERROR(INDEX('D Fleet'!$D$5:$D$63,MATCH(L$3-$B94,'D Fleet'!$B$5:$B$63,0)),0)*IFERROR(INDEX('D Fleet'!$K$5:$K$36,INT(($B94/L$5))+1)+(($B94/L$5)-INT(($B94/L$5)))*(INDEX('D Fleet'!$K$5:$K$36,INT(($B94/L$5))+2)-INDEX('D Fleet'!$K$5:$K$36,INT(($B94/L$5))+1)),0)</f>
        <v/>
      </c>
      <c r="M94" s="261">
        <f>IFERROR(INDEX('D Fleet'!$D$5:$D$63,MATCH(M$3-$B94,'D Fleet'!$B$5:$B$63,0)),0)*IFERROR(INDEX('D Fleet'!$K$5:$K$36,INT(($B94/M$5))+1)+(($B94/M$5)-INT(($B94/M$5)))*(INDEX('D Fleet'!$K$5:$K$36,INT(($B94/M$5))+2)-INDEX('D Fleet'!$K$5:$K$36,INT(($B94/M$5))+1)),0)</f>
        <v/>
      </c>
      <c r="N94" s="261">
        <f>IFERROR(INDEX('D Fleet'!$D$5:$D$63,MATCH(N$3-$B94,'D Fleet'!$B$5:$B$63,0)),0)*IFERROR(INDEX('D Fleet'!$K$5:$K$36,INT(($B94/N$5))+1)+(($B94/N$5)-INT(($B94/N$5)))*(INDEX('D Fleet'!$K$5:$K$36,INT(($B94/N$5))+2)-INDEX('D Fleet'!$K$5:$K$36,INT(($B94/N$5))+1)),0)</f>
        <v/>
      </c>
      <c r="P94" s="261">
        <f>E94*$D94*'E1 Fleet'!$D$98</f>
        <v/>
      </c>
      <c r="Q94" s="261">
        <f>F94*$D94*'E1 Fleet'!$D$98</f>
        <v/>
      </c>
      <c r="R94" s="261">
        <f>G94*$D94*'E1 Fleet'!$D$98</f>
        <v/>
      </c>
      <c r="S94" s="261">
        <f>H94*$D94*'E1 Fleet'!$D$98</f>
        <v/>
      </c>
      <c r="T94" s="261">
        <f>I94*$D94*'E1 Fleet'!$D$98</f>
        <v/>
      </c>
      <c r="U94" s="261">
        <f>J94*$D94*'E1 Fleet'!$D$98</f>
        <v/>
      </c>
      <c r="V94" s="261">
        <f>K94*$D94*'E1 Fleet'!$D$98</f>
        <v/>
      </c>
      <c r="W94" s="261">
        <f>L94*$D94*'E1 Fleet'!$D$98</f>
        <v/>
      </c>
      <c r="X94" s="261">
        <f>M94*$D94*'E1 Fleet'!$D$98</f>
        <v/>
      </c>
      <c r="Y94" s="261">
        <f>N94*$D94*'E1 Fleet'!$D$98</f>
        <v/>
      </c>
    </row>
    <row r="95">
      <c r="A95" t="inlineStr">
        <is>
          <t>SUV</t>
        </is>
      </c>
      <c r="B95" s="331" t="n">
        <v>42</v>
      </c>
      <c r="C95" s="331" t="n">
        <v>3</v>
      </c>
      <c r="D95" s="266">
        <f>IF($B95=0,'E1 Fleet'!$D$93,1)*EXP(-'E1 Fleet'!$D$94*MAX($B95-6,0))</f>
        <v/>
      </c>
      <c r="E95" s="261">
        <f>IFERROR(INDEX('D Fleet'!$D$5:$D$63,MATCH(E$3-$B95,'D Fleet'!$B$5:$B$63,0)),0)*IFERROR(INDEX('D Fleet'!$K$5:$K$36,INT(($B95/E$5))+1)+(($B95/E$5)-INT(($B95/E$5)))*(INDEX('D Fleet'!$K$5:$K$36,INT(($B95/E$5))+2)-INDEX('D Fleet'!$K$5:$K$36,INT(($B95/E$5))+1)),0)</f>
        <v/>
      </c>
      <c r="F95" s="261">
        <f>IFERROR(INDEX('D Fleet'!$D$5:$D$63,MATCH(F$3-$B95,'D Fleet'!$B$5:$B$63,0)),0)*IFERROR(INDEX('D Fleet'!$K$5:$K$36,INT(($B95/F$5))+1)+(($B95/F$5)-INT(($B95/F$5)))*(INDEX('D Fleet'!$K$5:$K$36,INT(($B95/F$5))+2)-INDEX('D Fleet'!$K$5:$K$36,INT(($B95/F$5))+1)),0)</f>
        <v/>
      </c>
      <c r="G95" s="261">
        <f>IFERROR(INDEX('D Fleet'!$D$5:$D$63,MATCH(G$3-$B95,'D Fleet'!$B$5:$B$63,0)),0)*IFERROR(INDEX('D Fleet'!$K$5:$K$36,INT(($B95/G$5))+1)+(($B95/G$5)-INT(($B95/G$5)))*(INDEX('D Fleet'!$K$5:$K$36,INT(($B95/G$5))+2)-INDEX('D Fleet'!$K$5:$K$36,INT(($B95/G$5))+1)),0)</f>
        <v/>
      </c>
      <c r="H95" s="261">
        <f>IFERROR(INDEX('D Fleet'!$D$5:$D$63,MATCH(H$3-$B95,'D Fleet'!$B$5:$B$63,0)),0)*IFERROR(INDEX('D Fleet'!$K$5:$K$36,INT(($B95/H$5))+1)+(($B95/H$5)-INT(($B95/H$5)))*(INDEX('D Fleet'!$K$5:$K$36,INT(($B95/H$5))+2)-INDEX('D Fleet'!$K$5:$K$36,INT(($B95/H$5))+1)),0)</f>
        <v/>
      </c>
      <c r="I95" s="261">
        <f>IFERROR(INDEX('D Fleet'!$D$5:$D$63,MATCH(I$3-$B95,'D Fleet'!$B$5:$B$63,0)),0)*IFERROR(INDEX('D Fleet'!$K$5:$K$36,INT(($B95/I$5))+1)+(($B95/I$5)-INT(($B95/I$5)))*(INDEX('D Fleet'!$K$5:$K$36,INT(($B95/I$5))+2)-INDEX('D Fleet'!$K$5:$K$36,INT(($B95/I$5))+1)),0)</f>
        <v/>
      </c>
      <c r="J95" s="261">
        <f>IFERROR(INDEX('D Fleet'!$D$5:$D$63,MATCH(J$3-$B95,'D Fleet'!$B$5:$B$63,0)),0)*IFERROR(INDEX('D Fleet'!$K$5:$K$36,INT(($B95/J$5))+1)+(($B95/J$5)-INT(($B95/J$5)))*(INDEX('D Fleet'!$K$5:$K$36,INT(($B95/J$5))+2)-INDEX('D Fleet'!$K$5:$K$36,INT(($B95/J$5))+1)),0)</f>
        <v/>
      </c>
      <c r="K95" s="261">
        <f>IFERROR(INDEX('D Fleet'!$D$5:$D$63,MATCH(K$3-$B95,'D Fleet'!$B$5:$B$63,0)),0)*IFERROR(INDEX('D Fleet'!$K$5:$K$36,INT(($B95/K$5))+1)+(($B95/K$5)-INT(($B95/K$5)))*(INDEX('D Fleet'!$K$5:$K$36,INT(($B95/K$5))+2)-INDEX('D Fleet'!$K$5:$K$36,INT(($B95/K$5))+1)),0)</f>
        <v/>
      </c>
      <c r="L95" s="261">
        <f>IFERROR(INDEX('D Fleet'!$D$5:$D$63,MATCH(L$3-$B95,'D Fleet'!$B$5:$B$63,0)),0)*IFERROR(INDEX('D Fleet'!$K$5:$K$36,INT(($B95/L$5))+1)+(($B95/L$5)-INT(($B95/L$5)))*(INDEX('D Fleet'!$K$5:$K$36,INT(($B95/L$5))+2)-INDEX('D Fleet'!$K$5:$K$36,INT(($B95/L$5))+1)),0)</f>
        <v/>
      </c>
      <c r="M95" s="261">
        <f>IFERROR(INDEX('D Fleet'!$D$5:$D$63,MATCH(M$3-$B95,'D Fleet'!$B$5:$B$63,0)),0)*IFERROR(INDEX('D Fleet'!$K$5:$K$36,INT(($B95/M$5))+1)+(($B95/M$5)-INT(($B95/M$5)))*(INDEX('D Fleet'!$K$5:$K$36,INT(($B95/M$5))+2)-INDEX('D Fleet'!$K$5:$K$36,INT(($B95/M$5))+1)),0)</f>
        <v/>
      </c>
      <c r="N95" s="261">
        <f>IFERROR(INDEX('D Fleet'!$D$5:$D$63,MATCH(N$3-$B95,'D Fleet'!$B$5:$B$63,0)),0)*IFERROR(INDEX('D Fleet'!$K$5:$K$36,INT(($B95/N$5))+1)+(($B95/N$5)-INT(($B95/N$5)))*(INDEX('D Fleet'!$K$5:$K$36,INT(($B95/N$5))+2)-INDEX('D Fleet'!$K$5:$K$36,INT(($B95/N$5))+1)),0)</f>
        <v/>
      </c>
      <c r="P95" s="261">
        <f>E95*$D95*'E1 Fleet'!$D$98</f>
        <v/>
      </c>
      <c r="Q95" s="261">
        <f>F95*$D95*'E1 Fleet'!$D$98</f>
        <v/>
      </c>
      <c r="R95" s="261">
        <f>G95*$D95*'E1 Fleet'!$D$98</f>
        <v/>
      </c>
      <c r="S95" s="261">
        <f>H95*$D95*'E1 Fleet'!$D$98</f>
        <v/>
      </c>
      <c r="T95" s="261">
        <f>I95*$D95*'E1 Fleet'!$D$98</f>
        <v/>
      </c>
      <c r="U95" s="261">
        <f>J95*$D95*'E1 Fleet'!$D$98</f>
        <v/>
      </c>
      <c r="V95" s="261">
        <f>K95*$D95*'E1 Fleet'!$D$98</f>
        <v/>
      </c>
      <c r="W95" s="261">
        <f>L95*$D95*'E1 Fleet'!$D$98</f>
        <v/>
      </c>
      <c r="X95" s="261">
        <f>M95*$D95*'E1 Fleet'!$D$98</f>
        <v/>
      </c>
      <c r="Y95" s="261">
        <f>N95*$D95*'E1 Fleet'!$D$98</f>
        <v/>
      </c>
    </row>
    <row r="96">
      <c r="A96" t="inlineStr">
        <is>
          <t>SUV</t>
        </is>
      </c>
      <c r="B96" s="331" t="n">
        <v>43</v>
      </c>
      <c r="C96" s="331" t="n">
        <v>3</v>
      </c>
      <c r="D96" s="266">
        <f>IF($B96=0,'E1 Fleet'!$D$93,1)*EXP(-'E1 Fleet'!$D$94*MAX($B96-6,0))</f>
        <v/>
      </c>
      <c r="E96" s="261">
        <f>IFERROR(INDEX('D Fleet'!$D$5:$D$63,MATCH(E$3-$B96,'D Fleet'!$B$5:$B$63,0)),0)*IFERROR(INDEX('D Fleet'!$K$5:$K$36,INT(($B96/E$5))+1)+(($B96/E$5)-INT(($B96/E$5)))*(INDEX('D Fleet'!$K$5:$K$36,INT(($B96/E$5))+2)-INDEX('D Fleet'!$K$5:$K$36,INT(($B96/E$5))+1)),0)</f>
        <v/>
      </c>
      <c r="F96" s="261">
        <f>IFERROR(INDEX('D Fleet'!$D$5:$D$63,MATCH(F$3-$B96,'D Fleet'!$B$5:$B$63,0)),0)*IFERROR(INDEX('D Fleet'!$K$5:$K$36,INT(($B96/F$5))+1)+(($B96/F$5)-INT(($B96/F$5)))*(INDEX('D Fleet'!$K$5:$K$36,INT(($B96/F$5))+2)-INDEX('D Fleet'!$K$5:$K$36,INT(($B96/F$5))+1)),0)</f>
        <v/>
      </c>
      <c r="G96" s="261">
        <f>IFERROR(INDEX('D Fleet'!$D$5:$D$63,MATCH(G$3-$B96,'D Fleet'!$B$5:$B$63,0)),0)*IFERROR(INDEX('D Fleet'!$K$5:$K$36,INT(($B96/G$5))+1)+(($B96/G$5)-INT(($B96/G$5)))*(INDEX('D Fleet'!$K$5:$K$36,INT(($B96/G$5))+2)-INDEX('D Fleet'!$K$5:$K$36,INT(($B96/G$5))+1)),0)</f>
        <v/>
      </c>
      <c r="H96" s="261">
        <f>IFERROR(INDEX('D Fleet'!$D$5:$D$63,MATCH(H$3-$B96,'D Fleet'!$B$5:$B$63,0)),0)*IFERROR(INDEX('D Fleet'!$K$5:$K$36,INT(($B96/H$5))+1)+(($B96/H$5)-INT(($B96/H$5)))*(INDEX('D Fleet'!$K$5:$K$36,INT(($B96/H$5))+2)-INDEX('D Fleet'!$K$5:$K$36,INT(($B96/H$5))+1)),0)</f>
        <v/>
      </c>
      <c r="I96" s="261">
        <f>IFERROR(INDEX('D Fleet'!$D$5:$D$63,MATCH(I$3-$B96,'D Fleet'!$B$5:$B$63,0)),0)*IFERROR(INDEX('D Fleet'!$K$5:$K$36,INT(($B96/I$5))+1)+(($B96/I$5)-INT(($B96/I$5)))*(INDEX('D Fleet'!$K$5:$K$36,INT(($B96/I$5))+2)-INDEX('D Fleet'!$K$5:$K$36,INT(($B96/I$5))+1)),0)</f>
        <v/>
      </c>
      <c r="J96" s="261">
        <f>IFERROR(INDEX('D Fleet'!$D$5:$D$63,MATCH(J$3-$B96,'D Fleet'!$B$5:$B$63,0)),0)*IFERROR(INDEX('D Fleet'!$K$5:$K$36,INT(($B96/J$5))+1)+(($B96/J$5)-INT(($B96/J$5)))*(INDEX('D Fleet'!$K$5:$K$36,INT(($B96/J$5))+2)-INDEX('D Fleet'!$K$5:$K$36,INT(($B96/J$5))+1)),0)</f>
        <v/>
      </c>
      <c r="K96" s="261">
        <f>IFERROR(INDEX('D Fleet'!$D$5:$D$63,MATCH(K$3-$B96,'D Fleet'!$B$5:$B$63,0)),0)*IFERROR(INDEX('D Fleet'!$K$5:$K$36,INT(($B96/K$5))+1)+(($B96/K$5)-INT(($B96/K$5)))*(INDEX('D Fleet'!$K$5:$K$36,INT(($B96/K$5))+2)-INDEX('D Fleet'!$K$5:$K$36,INT(($B96/K$5))+1)),0)</f>
        <v/>
      </c>
      <c r="L96" s="261">
        <f>IFERROR(INDEX('D Fleet'!$D$5:$D$63,MATCH(L$3-$B96,'D Fleet'!$B$5:$B$63,0)),0)*IFERROR(INDEX('D Fleet'!$K$5:$K$36,INT(($B96/L$5))+1)+(($B96/L$5)-INT(($B96/L$5)))*(INDEX('D Fleet'!$K$5:$K$36,INT(($B96/L$5))+2)-INDEX('D Fleet'!$K$5:$K$36,INT(($B96/L$5))+1)),0)</f>
        <v/>
      </c>
      <c r="M96" s="261">
        <f>IFERROR(INDEX('D Fleet'!$D$5:$D$63,MATCH(M$3-$B96,'D Fleet'!$B$5:$B$63,0)),0)*IFERROR(INDEX('D Fleet'!$K$5:$K$36,INT(($B96/M$5))+1)+(($B96/M$5)-INT(($B96/M$5)))*(INDEX('D Fleet'!$K$5:$K$36,INT(($B96/M$5))+2)-INDEX('D Fleet'!$K$5:$K$36,INT(($B96/M$5))+1)),0)</f>
        <v/>
      </c>
      <c r="N96" s="261">
        <f>IFERROR(INDEX('D Fleet'!$D$5:$D$63,MATCH(N$3-$B96,'D Fleet'!$B$5:$B$63,0)),0)*IFERROR(INDEX('D Fleet'!$K$5:$K$36,INT(($B96/N$5))+1)+(($B96/N$5)-INT(($B96/N$5)))*(INDEX('D Fleet'!$K$5:$K$36,INT(($B96/N$5))+2)-INDEX('D Fleet'!$K$5:$K$36,INT(($B96/N$5))+1)),0)</f>
        <v/>
      </c>
      <c r="P96" s="261">
        <f>E96*$D96*'E1 Fleet'!$D$98</f>
        <v/>
      </c>
      <c r="Q96" s="261">
        <f>F96*$D96*'E1 Fleet'!$D$98</f>
        <v/>
      </c>
      <c r="R96" s="261">
        <f>G96*$D96*'E1 Fleet'!$D$98</f>
        <v/>
      </c>
      <c r="S96" s="261">
        <f>H96*$D96*'E1 Fleet'!$D$98</f>
        <v/>
      </c>
      <c r="T96" s="261">
        <f>I96*$D96*'E1 Fleet'!$D$98</f>
        <v/>
      </c>
      <c r="U96" s="261">
        <f>J96*$D96*'E1 Fleet'!$D$98</f>
        <v/>
      </c>
      <c r="V96" s="261">
        <f>K96*$D96*'E1 Fleet'!$D$98</f>
        <v/>
      </c>
      <c r="W96" s="261">
        <f>L96*$D96*'E1 Fleet'!$D$98</f>
        <v/>
      </c>
      <c r="X96" s="261">
        <f>M96*$D96*'E1 Fleet'!$D$98</f>
        <v/>
      </c>
      <c r="Y96" s="261">
        <f>N96*$D96*'E1 Fleet'!$D$98</f>
        <v/>
      </c>
    </row>
    <row r="97">
      <c r="A97" t="inlineStr">
        <is>
          <t>SUV</t>
        </is>
      </c>
      <c r="B97" s="331" t="n">
        <v>44</v>
      </c>
      <c r="C97" s="331" t="n">
        <v>3</v>
      </c>
      <c r="D97" s="266">
        <f>IF($B97=0,'E1 Fleet'!$D$93,1)*EXP(-'E1 Fleet'!$D$94*MAX($B97-6,0))</f>
        <v/>
      </c>
      <c r="E97" s="261">
        <f>IFERROR(INDEX('D Fleet'!$D$5:$D$63,MATCH(E$3-$B97,'D Fleet'!$B$5:$B$63,0)),0)*IFERROR(INDEX('D Fleet'!$K$5:$K$36,INT(($B97/E$5))+1)+(($B97/E$5)-INT(($B97/E$5)))*(INDEX('D Fleet'!$K$5:$K$36,INT(($B97/E$5))+2)-INDEX('D Fleet'!$K$5:$K$36,INT(($B97/E$5))+1)),0)</f>
        <v/>
      </c>
      <c r="F97" s="261">
        <f>IFERROR(INDEX('D Fleet'!$D$5:$D$63,MATCH(F$3-$B97,'D Fleet'!$B$5:$B$63,0)),0)*IFERROR(INDEX('D Fleet'!$K$5:$K$36,INT(($B97/F$5))+1)+(($B97/F$5)-INT(($B97/F$5)))*(INDEX('D Fleet'!$K$5:$K$36,INT(($B97/F$5))+2)-INDEX('D Fleet'!$K$5:$K$36,INT(($B97/F$5))+1)),0)</f>
        <v/>
      </c>
      <c r="G97" s="261">
        <f>IFERROR(INDEX('D Fleet'!$D$5:$D$63,MATCH(G$3-$B97,'D Fleet'!$B$5:$B$63,0)),0)*IFERROR(INDEX('D Fleet'!$K$5:$K$36,INT(($B97/G$5))+1)+(($B97/G$5)-INT(($B97/G$5)))*(INDEX('D Fleet'!$K$5:$K$36,INT(($B97/G$5))+2)-INDEX('D Fleet'!$K$5:$K$36,INT(($B97/G$5))+1)),0)</f>
        <v/>
      </c>
      <c r="H97" s="261">
        <f>IFERROR(INDEX('D Fleet'!$D$5:$D$63,MATCH(H$3-$B97,'D Fleet'!$B$5:$B$63,0)),0)*IFERROR(INDEX('D Fleet'!$K$5:$K$36,INT(($B97/H$5))+1)+(($B97/H$5)-INT(($B97/H$5)))*(INDEX('D Fleet'!$K$5:$K$36,INT(($B97/H$5))+2)-INDEX('D Fleet'!$K$5:$K$36,INT(($B97/H$5))+1)),0)</f>
        <v/>
      </c>
      <c r="I97" s="261">
        <f>IFERROR(INDEX('D Fleet'!$D$5:$D$63,MATCH(I$3-$B97,'D Fleet'!$B$5:$B$63,0)),0)*IFERROR(INDEX('D Fleet'!$K$5:$K$36,INT(($B97/I$5))+1)+(($B97/I$5)-INT(($B97/I$5)))*(INDEX('D Fleet'!$K$5:$K$36,INT(($B97/I$5))+2)-INDEX('D Fleet'!$K$5:$K$36,INT(($B97/I$5))+1)),0)</f>
        <v/>
      </c>
      <c r="J97" s="261">
        <f>IFERROR(INDEX('D Fleet'!$D$5:$D$63,MATCH(J$3-$B97,'D Fleet'!$B$5:$B$63,0)),0)*IFERROR(INDEX('D Fleet'!$K$5:$K$36,INT(($B97/J$5))+1)+(($B97/J$5)-INT(($B97/J$5)))*(INDEX('D Fleet'!$K$5:$K$36,INT(($B97/J$5))+2)-INDEX('D Fleet'!$K$5:$K$36,INT(($B97/J$5))+1)),0)</f>
        <v/>
      </c>
      <c r="K97" s="261">
        <f>IFERROR(INDEX('D Fleet'!$D$5:$D$63,MATCH(K$3-$B97,'D Fleet'!$B$5:$B$63,0)),0)*IFERROR(INDEX('D Fleet'!$K$5:$K$36,INT(($B97/K$5))+1)+(($B97/K$5)-INT(($B97/K$5)))*(INDEX('D Fleet'!$K$5:$K$36,INT(($B97/K$5))+2)-INDEX('D Fleet'!$K$5:$K$36,INT(($B97/K$5))+1)),0)</f>
        <v/>
      </c>
      <c r="L97" s="261">
        <f>IFERROR(INDEX('D Fleet'!$D$5:$D$63,MATCH(L$3-$B97,'D Fleet'!$B$5:$B$63,0)),0)*IFERROR(INDEX('D Fleet'!$K$5:$K$36,INT(($B97/L$5))+1)+(($B97/L$5)-INT(($B97/L$5)))*(INDEX('D Fleet'!$K$5:$K$36,INT(($B97/L$5))+2)-INDEX('D Fleet'!$K$5:$K$36,INT(($B97/L$5))+1)),0)</f>
        <v/>
      </c>
      <c r="M97" s="261">
        <f>IFERROR(INDEX('D Fleet'!$D$5:$D$63,MATCH(M$3-$B97,'D Fleet'!$B$5:$B$63,0)),0)*IFERROR(INDEX('D Fleet'!$K$5:$K$36,INT(($B97/M$5))+1)+(($B97/M$5)-INT(($B97/M$5)))*(INDEX('D Fleet'!$K$5:$K$36,INT(($B97/M$5))+2)-INDEX('D Fleet'!$K$5:$K$36,INT(($B97/M$5))+1)),0)</f>
        <v/>
      </c>
      <c r="N97" s="261">
        <f>IFERROR(INDEX('D Fleet'!$D$5:$D$63,MATCH(N$3-$B97,'D Fleet'!$B$5:$B$63,0)),0)*IFERROR(INDEX('D Fleet'!$K$5:$K$36,INT(($B97/N$5))+1)+(($B97/N$5)-INT(($B97/N$5)))*(INDEX('D Fleet'!$K$5:$K$36,INT(($B97/N$5))+2)-INDEX('D Fleet'!$K$5:$K$36,INT(($B97/N$5))+1)),0)</f>
        <v/>
      </c>
      <c r="P97" s="261">
        <f>E97*$D97*'E1 Fleet'!$D$98</f>
        <v/>
      </c>
      <c r="Q97" s="261">
        <f>F97*$D97*'E1 Fleet'!$D$98</f>
        <v/>
      </c>
      <c r="R97" s="261">
        <f>G97*$D97*'E1 Fleet'!$D$98</f>
        <v/>
      </c>
      <c r="S97" s="261">
        <f>H97*$D97*'E1 Fleet'!$D$98</f>
        <v/>
      </c>
      <c r="T97" s="261">
        <f>I97*$D97*'E1 Fleet'!$D$98</f>
        <v/>
      </c>
      <c r="U97" s="261">
        <f>J97*$D97*'E1 Fleet'!$D$98</f>
        <v/>
      </c>
      <c r="V97" s="261">
        <f>K97*$D97*'E1 Fleet'!$D$98</f>
        <v/>
      </c>
      <c r="W97" s="261">
        <f>L97*$D97*'E1 Fleet'!$D$98</f>
        <v/>
      </c>
      <c r="X97" s="261">
        <f>M97*$D97*'E1 Fleet'!$D$98</f>
        <v/>
      </c>
      <c r="Y97" s="261">
        <f>N97*$D97*'E1 Fleet'!$D$98</f>
        <v/>
      </c>
    </row>
    <row r="98">
      <c r="A98" t="inlineStr">
        <is>
          <t>SUV</t>
        </is>
      </c>
      <c r="B98" s="331" t="n">
        <v>45</v>
      </c>
      <c r="C98" s="331" t="n">
        <v>3</v>
      </c>
      <c r="D98" s="266">
        <f>IF($B98=0,'E1 Fleet'!$D$93,1)*EXP(-'E1 Fleet'!$D$94*MAX($B98-6,0))</f>
        <v/>
      </c>
      <c r="E98" s="261">
        <f>IFERROR(INDEX('D Fleet'!$D$5:$D$63,MATCH(E$3-$B98,'D Fleet'!$B$5:$B$63,0)),0)*IFERROR(INDEX('D Fleet'!$K$5:$K$36,INT(($B98/E$5))+1)+(($B98/E$5)-INT(($B98/E$5)))*(INDEX('D Fleet'!$K$5:$K$36,INT(($B98/E$5))+2)-INDEX('D Fleet'!$K$5:$K$36,INT(($B98/E$5))+1)),0)</f>
        <v/>
      </c>
      <c r="F98" s="261">
        <f>IFERROR(INDEX('D Fleet'!$D$5:$D$63,MATCH(F$3-$B98,'D Fleet'!$B$5:$B$63,0)),0)*IFERROR(INDEX('D Fleet'!$K$5:$K$36,INT(($B98/F$5))+1)+(($B98/F$5)-INT(($B98/F$5)))*(INDEX('D Fleet'!$K$5:$K$36,INT(($B98/F$5))+2)-INDEX('D Fleet'!$K$5:$K$36,INT(($B98/F$5))+1)),0)</f>
        <v/>
      </c>
      <c r="G98" s="261">
        <f>IFERROR(INDEX('D Fleet'!$D$5:$D$63,MATCH(G$3-$B98,'D Fleet'!$B$5:$B$63,0)),0)*IFERROR(INDEX('D Fleet'!$K$5:$K$36,INT(($B98/G$5))+1)+(($B98/G$5)-INT(($B98/G$5)))*(INDEX('D Fleet'!$K$5:$K$36,INT(($B98/G$5))+2)-INDEX('D Fleet'!$K$5:$K$36,INT(($B98/G$5))+1)),0)</f>
        <v/>
      </c>
      <c r="H98" s="261">
        <f>IFERROR(INDEX('D Fleet'!$D$5:$D$63,MATCH(H$3-$B98,'D Fleet'!$B$5:$B$63,0)),0)*IFERROR(INDEX('D Fleet'!$K$5:$K$36,INT(($B98/H$5))+1)+(($B98/H$5)-INT(($B98/H$5)))*(INDEX('D Fleet'!$K$5:$K$36,INT(($B98/H$5))+2)-INDEX('D Fleet'!$K$5:$K$36,INT(($B98/H$5))+1)),0)</f>
        <v/>
      </c>
      <c r="I98" s="261">
        <f>IFERROR(INDEX('D Fleet'!$D$5:$D$63,MATCH(I$3-$B98,'D Fleet'!$B$5:$B$63,0)),0)*IFERROR(INDEX('D Fleet'!$K$5:$K$36,INT(($B98/I$5))+1)+(($B98/I$5)-INT(($B98/I$5)))*(INDEX('D Fleet'!$K$5:$K$36,INT(($B98/I$5))+2)-INDEX('D Fleet'!$K$5:$K$36,INT(($B98/I$5))+1)),0)</f>
        <v/>
      </c>
      <c r="J98" s="261">
        <f>IFERROR(INDEX('D Fleet'!$D$5:$D$63,MATCH(J$3-$B98,'D Fleet'!$B$5:$B$63,0)),0)*IFERROR(INDEX('D Fleet'!$K$5:$K$36,INT(($B98/J$5))+1)+(($B98/J$5)-INT(($B98/J$5)))*(INDEX('D Fleet'!$K$5:$K$36,INT(($B98/J$5))+2)-INDEX('D Fleet'!$K$5:$K$36,INT(($B98/J$5))+1)),0)</f>
        <v/>
      </c>
      <c r="K98" s="261">
        <f>IFERROR(INDEX('D Fleet'!$D$5:$D$63,MATCH(K$3-$B98,'D Fleet'!$B$5:$B$63,0)),0)*IFERROR(INDEX('D Fleet'!$K$5:$K$36,INT(($B98/K$5))+1)+(($B98/K$5)-INT(($B98/K$5)))*(INDEX('D Fleet'!$K$5:$K$36,INT(($B98/K$5))+2)-INDEX('D Fleet'!$K$5:$K$36,INT(($B98/K$5))+1)),0)</f>
        <v/>
      </c>
      <c r="L98" s="261">
        <f>IFERROR(INDEX('D Fleet'!$D$5:$D$63,MATCH(L$3-$B98,'D Fleet'!$B$5:$B$63,0)),0)*IFERROR(INDEX('D Fleet'!$K$5:$K$36,INT(($B98/L$5))+1)+(($B98/L$5)-INT(($B98/L$5)))*(INDEX('D Fleet'!$K$5:$K$36,INT(($B98/L$5))+2)-INDEX('D Fleet'!$K$5:$K$36,INT(($B98/L$5))+1)),0)</f>
        <v/>
      </c>
      <c r="M98" s="261">
        <f>IFERROR(INDEX('D Fleet'!$D$5:$D$63,MATCH(M$3-$B98,'D Fleet'!$B$5:$B$63,0)),0)*IFERROR(INDEX('D Fleet'!$K$5:$K$36,INT(($B98/M$5))+1)+(($B98/M$5)-INT(($B98/M$5)))*(INDEX('D Fleet'!$K$5:$K$36,INT(($B98/M$5))+2)-INDEX('D Fleet'!$K$5:$K$36,INT(($B98/M$5))+1)),0)</f>
        <v/>
      </c>
      <c r="N98" s="261">
        <f>IFERROR(INDEX('D Fleet'!$D$5:$D$63,MATCH(N$3-$B98,'D Fleet'!$B$5:$B$63,0)),0)*IFERROR(INDEX('D Fleet'!$K$5:$K$36,INT(($B98/N$5))+1)+(($B98/N$5)-INT(($B98/N$5)))*(INDEX('D Fleet'!$K$5:$K$36,INT(($B98/N$5))+2)-INDEX('D Fleet'!$K$5:$K$36,INT(($B98/N$5))+1)),0)</f>
        <v/>
      </c>
      <c r="P98" s="261">
        <f>E98*$D98*'E1 Fleet'!$D$98</f>
        <v/>
      </c>
      <c r="Q98" s="261">
        <f>F98*$D98*'E1 Fleet'!$D$98</f>
        <v/>
      </c>
      <c r="R98" s="261">
        <f>G98*$D98*'E1 Fleet'!$D$98</f>
        <v/>
      </c>
      <c r="S98" s="261">
        <f>H98*$D98*'E1 Fleet'!$D$98</f>
        <v/>
      </c>
      <c r="T98" s="261">
        <f>I98*$D98*'E1 Fleet'!$D$98</f>
        <v/>
      </c>
      <c r="U98" s="261">
        <f>J98*$D98*'E1 Fleet'!$D$98</f>
        <v/>
      </c>
      <c r="V98" s="261">
        <f>K98*$D98*'E1 Fleet'!$D$98</f>
        <v/>
      </c>
      <c r="W98" s="261">
        <f>L98*$D98*'E1 Fleet'!$D$98</f>
        <v/>
      </c>
      <c r="X98" s="261">
        <f>M98*$D98*'E1 Fleet'!$D$98</f>
        <v/>
      </c>
      <c r="Y98" s="261">
        <f>N98*$D98*'E1 Fleet'!$D$98</f>
        <v/>
      </c>
    </row>
    <row r="99">
      <c r="A99" t="inlineStr">
        <is>
          <t>Pickup</t>
        </is>
      </c>
      <c r="B99" s="331" t="n">
        <v>0</v>
      </c>
      <c r="C99" s="331" t="n">
        <v>0</v>
      </c>
      <c r="D99" s="266">
        <f>IF($B99=0,'E1 Fleet'!$D$93,1)*EXP(-'E1 Fleet'!$D$94*MAX($B99-6,0))</f>
        <v/>
      </c>
      <c r="E99" s="261">
        <f>IFERROR(INDEX('D Fleet'!$E$5:$E$63,MATCH(E$3-$B99,'D Fleet'!$B$5:$B$63,0)),0)*IFERROR(INDEX('D Fleet'!$K$5:$K$36,INT(($B99/E$5))+1)+(($B99/E$5)-INT(($B99/E$5)))*(INDEX('D Fleet'!$K$5:$K$36,INT(($B99/E$5))+2)-INDEX('D Fleet'!$K$5:$K$36,INT(($B99/E$5))+1)),0)</f>
        <v/>
      </c>
      <c r="F99" s="261">
        <f>IFERROR(INDEX('D Fleet'!$E$5:$E$63,MATCH(F$3-$B99,'D Fleet'!$B$5:$B$63,0)),0)*IFERROR(INDEX('D Fleet'!$K$5:$K$36,INT(($B99/F$5))+1)+(($B99/F$5)-INT(($B99/F$5)))*(INDEX('D Fleet'!$K$5:$K$36,INT(($B99/F$5))+2)-INDEX('D Fleet'!$K$5:$K$36,INT(($B99/F$5))+1)),0)</f>
        <v/>
      </c>
      <c r="G99" s="261">
        <f>IFERROR(INDEX('D Fleet'!$E$5:$E$63,MATCH(G$3-$B99,'D Fleet'!$B$5:$B$63,0)),0)*IFERROR(INDEX('D Fleet'!$K$5:$K$36,INT(($B99/G$5))+1)+(($B99/G$5)-INT(($B99/G$5)))*(INDEX('D Fleet'!$K$5:$K$36,INT(($B99/G$5))+2)-INDEX('D Fleet'!$K$5:$K$36,INT(($B99/G$5))+1)),0)</f>
        <v/>
      </c>
      <c r="H99" s="261">
        <f>IFERROR(INDEX('D Fleet'!$E$5:$E$63,MATCH(H$3-$B99,'D Fleet'!$B$5:$B$63,0)),0)*IFERROR(INDEX('D Fleet'!$K$5:$K$36,INT(($B99/H$5))+1)+(($B99/H$5)-INT(($B99/H$5)))*(INDEX('D Fleet'!$K$5:$K$36,INT(($B99/H$5))+2)-INDEX('D Fleet'!$K$5:$K$36,INT(($B99/H$5))+1)),0)</f>
        <v/>
      </c>
      <c r="I99" s="261">
        <f>IFERROR(INDEX('D Fleet'!$E$5:$E$63,MATCH(I$3-$B99,'D Fleet'!$B$5:$B$63,0)),0)*IFERROR(INDEX('D Fleet'!$K$5:$K$36,INT(($B99/I$5))+1)+(($B99/I$5)-INT(($B99/I$5)))*(INDEX('D Fleet'!$K$5:$K$36,INT(($B99/I$5))+2)-INDEX('D Fleet'!$K$5:$K$36,INT(($B99/I$5))+1)),0)</f>
        <v/>
      </c>
      <c r="J99" s="261">
        <f>IFERROR(INDEX('D Fleet'!$E$5:$E$63,MATCH(J$3-$B99,'D Fleet'!$B$5:$B$63,0)),0)*IFERROR(INDEX('D Fleet'!$K$5:$K$36,INT(($B99/J$5))+1)+(($B99/J$5)-INT(($B99/J$5)))*(INDEX('D Fleet'!$K$5:$K$36,INT(($B99/J$5))+2)-INDEX('D Fleet'!$K$5:$K$36,INT(($B99/J$5))+1)),0)</f>
        <v/>
      </c>
      <c r="K99" s="261">
        <f>IFERROR(INDEX('D Fleet'!$E$5:$E$63,MATCH(K$3-$B99,'D Fleet'!$B$5:$B$63,0)),0)*IFERROR(INDEX('D Fleet'!$K$5:$K$36,INT(($B99/K$5))+1)+(($B99/K$5)-INT(($B99/K$5)))*(INDEX('D Fleet'!$K$5:$K$36,INT(($B99/K$5))+2)-INDEX('D Fleet'!$K$5:$K$36,INT(($B99/K$5))+1)),0)</f>
        <v/>
      </c>
      <c r="L99" s="261">
        <f>IFERROR(INDEX('D Fleet'!$E$5:$E$63,MATCH(L$3-$B99,'D Fleet'!$B$5:$B$63,0)),0)*IFERROR(INDEX('D Fleet'!$K$5:$K$36,INT(($B99/L$5))+1)+(($B99/L$5)-INT(($B99/L$5)))*(INDEX('D Fleet'!$K$5:$K$36,INT(($B99/L$5))+2)-INDEX('D Fleet'!$K$5:$K$36,INT(($B99/L$5))+1)),0)</f>
        <v/>
      </c>
      <c r="M99" s="261">
        <f>IFERROR(INDEX('D Fleet'!$E$5:$E$63,MATCH(M$3-$B99,'D Fleet'!$B$5:$B$63,0)),0)*IFERROR(INDEX('D Fleet'!$K$5:$K$36,INT(($B99/M$5))+1)+(($B99/M$5)-INT(($B99/M$5)))*(INDEX('D Fleet'!$K$5:$K$36,INT(($B99/M$5))+2)-INDEX('D Fleet'!$K$5:$K$36,INT(($B99/M$5))+1)),0)</f>
        <v/>
      </c>
      <c r="N99" s="261">
        <f>IFERROR(INDEX('D Fleet'!$E$5:$E$63,MATCH(N$3-$B99,'D Fleet'!$B$5:$B$63,0)),0)*IFERROR(INDEX('D Fleet'!$K$5:$K$36,INT(($B99/N$5))+1)+(($B99/N$5)-INT(($B99/N$5)))*(INDEX('D Fleet'!$K$5:$K$36,INT(($B99/N$5))+2)-INDEX('D Fleet'!$K$5:$K$36,INT(($B99/N$5))+1)),0)</f>
        <v/>
      </c>
      <c r="P99" s="261">
        <f>E99*$D99*'E1 Fleet'!$D$99</f>
        <v/>
      </c>
      <c r="Q99" s="261">
        <f>F99*$D99*'E1 Fleet'!$D$99</f>
        <v/>
      </c>
      <c r="R99" s="261">
        <f>G99*$D99*'E1 Fleet'!$D$99</f>
        <v/>
      </c>
      <c r="S99" s="261">
        <f>H99*$D99*'E1 Fleet'!$D$99</f>
        <v/>
      </c>
      <c r="T99" s="261">
        <f>I99*$D99*'E1 Fleet'!$D$99</f>
        <v/>
      </c>
      <c r="U99" s="261">
        <f>J99*$D99*'E1 Fleet'!$D$99</f>
        <v/>
      </c>
      <c r="V99" s="261">
        <f>K99*$D99*'E1 Fleet'!$D$99</f>
        <v/>
      </c>
      <c r="W99" s="261">
        <f>L99*$D99*'E1 Fleet'!$D$99</f>
        <v/>
      </c>
      <c r="X99" s="261">
        <f>M99*$D99*'E1 Fleet'!$D$99</f>
        <v/>
      </c>
      <c r="Y99" s="261">
        <f>N99*$D99*'E1 Fleet'!$D$99</f>
        <v/>
      </c>
    </row>
    <row r="100">
      <c r="A100" t="inlineStr">
        <is>
          <t>Pickup</t>
        </is>
      </c>
      <c r="B100" s="331" t="n">
        <v>1</v>
      </c>
      <c r="C100" s="331" t="n">
        <v>1</v>
      </c>
      <c r="D100" s="266">
        <f>IF($B100=0,'E1 Fleet'!$D$93,1)*EXP(-'E1 Fleet'!$D$94*MAX($B100-6,0))</f>
        <v/>
      </c>
      <c r="E100" s="261">
        <f>IFERROR(INDEX('D Fleet'!$E$5:$E$63,MATCH(E$3-$B100,'D Fleet'!$B$5:$B$63,0)),0)*IFERROR(INDEX('D Fleet'!$K$5:$K$36,INT(($B100/E$5))+1)+(($B100/E$5)-INT(($B100/E$5)))*(INDEX('D Fleet'!$K$5:$K$36,INT(($B100/E$5))+2)-INDEX('D Fleet'!$K$5:$K$36,INT(($B100/E$5))+1)),0)</f>
        <v/>
      </c>
      <c r="F100" s="261">
        <f>IFERROR(INDEX('D Fleet'!$E$5:$E$63,MATCH(F$3-$B100,'D Fleet'!$B$5:$B$63,0)),0)*IFERROR(INDEX('D Fleet'!$K$5:$K$36,INT(($B100/F$5))+1)+(($B100/F$5)-INT(($B100/F$5)))*(INDEX('D Fleet'!$K$5:$K$36,INT(($B100/F$5))+2)-INDEX('D Fleet'!$K$5:$K$36,INT(($B100/F$5))+1)),0)</f>
        <v/>
      </c>
      <c r="G100" s="261">
        <f>IFERROR(INDEX('D Fleet'!$E$5:$E$63,MATCH(G$3-$B100,'D Fleet'!$B$5:$B$63,0)),0)*IFERROR(INDEX('D Fleet'!$K$5:$K$36,INT(($B100/G$5))+1)+(($B100/G$5)-INT(($B100/G$5)))*(INDEX('D Fleet'!$K$5:$K$36,INT(($B100/G$5))+2)-INDEX('D Fleet'!$K$5:$K$36,INT(($B100/G$5))+1)),0)</f>
        <v/>
      </c>
      <c r="H100" s="261">
        <f>IFERROR(INDEX('D Fleet'!$E$5:$E$63,MATCH(H$3-$B100,'D Fleet'!$B$5:$B$63,0)),0)*IFERROR(INDEX('D Fleet'!$K$5:$K$36,INT(($B100/H$5))+1)+(($B100/H$5)-INT(($B100/H$5)))*(INDEX('D Fleet'!$K$5:$K$36,INT(($B100/H$5))+2)-INDEX('D Fleet'!$K$5:$K$36,INT(($B100/H$5))+1)),0)</f>
        <v/>
      </c>
      <c r="I100" s="261">
        <f>IFERROR(INDEX('D Fleet'!$E$5:$E$63,MATCH(I$3-$B100,'D Fleet'!$B$5:$B$63,0)),0)*IFERROR(INDEX('D Fleet'!$K$5:$K$36,INT(($B100/I$5))+1)+(($B100/I$5)-INT(($B100/I$5)))*(INDEX('D Fleet'!$K$5:$K$36,INT(($B100/I$5))+2)-INDEX('D Fleet'!$K$5:$K$36,INT(($B100/I$5))+1)),0)</f>
        <v/>
      </c>
      <c r="J100" s="261">
        <f>IFERROR(INDEX('D Fleet'!$E$5:$E$63,MATCH(J$3-$B100,'D Fleet'!$B$5:$B$63,0)),0)*IFERROR(INDEX('D Fleet'!$K$5:$K$36,INT(($B100/J$5))+1)+(($B100/J$5)-INT(($B100/J$5)))*(INDEX('D Fleet'!$K$5:$K$36,INT(($B100/J$5))+2)-INDEX('D Fleet'!$K$5:$K$36,INT(($B100/J$5))+1)),0)</f>
        <v/>
      </c>
      <c r="K100" s="261">
        <f>IFERROR(INDEX('D Fleet'!$E$5:$E$63,MATCH(K$3-$B100,'D Fleet'!$B$5:$B$63,0)),0)*IFERROR(INDEX('D Fleet'!$K$5:$K$36,INT(($B100/K$5))+1)+(($B100/K$5)-INT(($B100/K$5)))*(INDEX('D Fleet'!$K$5:$K$36,INT(($B100/K$5))+2)-INDEX('D Fleet'!$K$5:$K$36,INT(($B100/K$5))+1)),0)</f>
        <v/>
      </c>
      <c r="L100" s="261">
        <f>IFERROR(INDEX('D Fleet'!$E$5:$E$63,MATCH(L$3-$B100,'D Fleet'!$B$5:$B$63,0)),0)*IFERROR(INDEX('D Fleet'!$K$5:$K$36,INT(($B100/L$5))+1)+(($B100/L$5)-INT(($B100/L$5)))*(INDEX('D Fleet'!$K$5:$K$36,INT(($B100/L$5))+2)-INDEX('D Fleet'!$K$5:$K$36,INT(($B100/L$5))+1)),0)</f>
        <v/>
      </c>
      <c r="M100" s="261">
        <f>IFERROR(INDEX('D Fleet'!$E$5:$E$63,MATCH(M$3-$B100,'D Fleet'!$B$5:$B$63,0)),0)*IFERROR(INDEX('D Fleet'!$K$5:$K$36,INT(($B100/M$5))+1)+(($B100/M$5)-INT(($B100/M$5)))*(INDEX('D Fleet'!$K$5:$K$36,INT(($B100/M$5))+2)-INDEX('D Fleet'!$K$5:$K$36,INT(($B100/M$5))+1)),0)</f>
        <v/>
      </c>
      <c r="N100" s="261">
        <f>IFERROR(INDEX('D Fleet'!$E$5:$E$63,MATCH(N$3-$B100,'D Fleet'!$B$5:$B$63,0)),0)*IFERROR(INDEX('D Fleet'!$K$5:$K$36,INT(($B100/N$5))+1)+(($B100/N$5)-INT(($B100/N$5)))*(INDEX('D Fleet'!$K$5:$K$36,INT(($B100/N$5))+2)-INDEX('D Fleet'!$K$5:$K$36,INT(($B100/N$5))+1)),0)</f>
        <v/>
      </c>
      <c r="P100" s="261">
        <f>E100*$D100*'E1 Fleet'!$D$99</f>
        <v/>
      </c>
      <c r="Q100" s="261">
        <f>F100*$D100*'E1 Fleet'!$D$99</f>
        <v/>
      </c>
      <c r="R100" s="261">
        <f>G100*$D100*'E1 Fleet'!$D$99</f>
        <v/>
      </c>
      <c r="S100" s="261">
        <f>H100*$D100*'E1 Fleet'!$D$99</f>
        <v/>
      </c>
      <c r="T100" s="261">
        <f>I100*$D100*'E1 Fleet'!$D$99</f>
        <v/>
      </c>
      <c r="U100" s="261">
        <f>J100*$D100*'E1 Fleet'!$D$99</f>
        <v/>
      </c>
      <c r="V100" s="261">
        <f>K100*$D100*'E1 Fleet'!$D$99</f>
        <v/>
      </c>
      <c r="W100" s="261">
        <f>L100*$D100*'E1 Fleet'!$D$99</f>
        <v/>
      </c>
      <c r="X100" s="261">
        <f>M100*$D100*'E1 Fleet'!$D$99</f>
        <v/>
      </c>
      <c r="Y100" s="261">
        <f>N100*$D100*'E1 Fleet'!$D$99</f>
        <v/>
      </c>
    </row>
    <row r="101">
      <c r="A101" t="inlineStr">
        <is>
          <t>Pickup</t>
        </is>
      </c>
      <c r="B101" s="331" t="n">
        <v>2</v>
      </c>
      <c r="C101" s="331" t="n">
        <v>1</v>
      </c>
      <c r="D101" s="266">
        <f>IF($B101=0,'E1 Fleet'!$D$93,1)*EXP(-'E1 Fleet'!$D$94*MAX($B101-6,0))</f>
        <v/>
      </c>
      <c r="E101" s="261">
        <f>IFERROR(INDEX('D Fleet'!$E$5:$E$63,MATCH(E$3-$B101,'D Fleet'!$B$5:$B$63,0)),0)*IFERROR(INDEX('D Fleet'!$K$5:$K$36,INT(($B101/E$5))+1)+(($B101/E$5)-INT(($B101/E$5)))*(INDEX('D Fleet'!$K$5:$K$36,INT(($B101/E$5))+2)-INDEX('D Fleet'!$K$5:$K$36,INT(($B101/E$5))+1)),0)</f>
        <v/>
      </c>
      <c r="F101" s="261">
        <f>IFERROR(INDEX('D Fleet'!$E$5:$E$63,MATCH(F$3-$B101,'D Fleet'!$B$5:$B$63,0)),0)*IFERROR(INDEX('D Fleet'!$K$5:$K$36,INT(($B101/F$5))+1)+(($B101/F$5)-INT(($B101/F$5)))*(INDEX('D Fleet'!$K$5:$K$36,INT(($B101/F$5))+2)-INDEX('D Fleet'!$K$5:$K$36,INT(($B101/F$5))+1)),0)</f>
        <v/>
      </c>
      <c r="G101" s="261">
        <f>IFERROR(INDEX('D Fleet'!$E$5:$E$63,MATCH(G$3-$B101,'D Fleet'!$B$5:$B$63,0)),0)*IFERROR(INDEX('D Fleet'!$K$5:$K$36,INT(($B101/G$5))+1)+(($B101/G$5)-INT(($B101/G$5)))*(INDEX('D Fleet'!$K$5:$K$36,INT(($B101/G$5))+2)-INDEX('D Fleet'!$K$5:$K$36,INT(($B101/G$5))+1)),0)</f>
        <v/>
      </c>
      <c r="H101" s="261">
        <f>IFERROR(INDEX('D Fleet'!$E$5:$E$63,MATCH(H$3-$B101,'D Fleet'!$B$5:$B$63,0)),0)*IFERROR(INDEX('D Fleet'!$K$5:$K$36,INT(($B101/H$5))+1)+(($B101/H$5)-INT(($B101/H$5)))*(INDEX('D Fleet'!$K$5:$K$36,INT(($B101/H$5))+2)-INDEX('D Fleet'!$K$5:$K$36,INT(($B101/H$5))+1)),0)</f>
        <v/>
      </c>
      <c r="I101" s="261">
        <f>IFERROR(INDEX('D Fleet'!$E$5:$E$63,MATCH(I$3-$B101,'D Fleet'!$B$5:$B$63,0)),0)*IFERROR(INDEX('D Fleet'!$K$5:$K$36,INT(($B101/I$5))+1)+(($B101/I$5)-INT(($B101/I$5)))*(INDEX('D Fleet'!$K$5:$K$36,INT(($B101/I$5))+2)-INDEX('D Fleet'!$K$5:$K$36,INT(($B101/I$5))+1)),0)</f>
        <v/>
      </c>
      <c r="J101" s="261">
        <f>IFERROR(INDEX('D Fleet'!$E$5:$E$63,MATCH(J$3-$B101,'D Fleet'!$B$5:$B$63,0)),0)*IFERROR(INDEX('D Fleet'!$K$5:$K$36,INT(($B101/J$5))+1)+(($B101/J$5)-INT(($B101/J$5)))*(INDEX('D Fleet'!$K$5:$K$36,INT(($B101/J$5))+2)-INDEX('D Fleet'!$K$5:$K$36,INT(($B101/J$5))+1)),0)</f>
        <v/>
      </c>
      <c r="K101" s="261">
        <f>IFERROR(INDEX('D Fleet'!$E$5:$E$63,MATCH(K$3-$B101,'D Fleet'!$B$5:$B$63,0)),0)*IFERROR(INDEX('D Fleet'!$K$5:$K$36,INT(($B101/K$5))+1)+(($B101/K$5)-INT(($B101/K$5)))*(INDEX('D Fleet'!$K$5:$K$36,INT(($B101/K$5))+2)-INDEX('D Fleet'!$K$5:$K$36,INT(($B101/K$5))+1)),0)</f>
        <v/>
      </c>
      <c r="L101" s="261">
        <f>IFERROR(INDEX('D Fleet'!$E$5:$E$63,MATCH(L$3-$B101,'D Fleet'!$B$5:$B$63,0)),0)*IFERROR(INDEX('D Fleet'!$K$5:$K$36,INT(($B101/L$5))+1)+(($B101/L$5)-INT(($B101/L$5)))*(INDEX('D Fleet'!$K$5:$K$36,INT(($B101/L$5))+2)-INDEX('D Fleet'!$K$5:$K$36,INT(($B101/L$5))+1)),0)</f>
        <v/>
      </c>
      <c r="M101" s="261">
        <f>IFERROR(INDEX('D Fleet'!$E$5:$E$63,MATCH(M$3-$B101,'D Fleet'!$B$5:$B$63,0)),0)*IFERROR(INDEX('D Fleet'!$K$5:$K$36,INT(($B101/M$5))+1)+(($B101/M$5)-INT(($B101/M$5)))*(INDEX('D Fleet'!$K$5:$K$36,INT(($B101/M$5))+2)-INDEX('D Fleet'!$K$5:$K$36,INT(($B101/M$5))+1)),0)</f>
        <v/>
      </c>
      <c r="N101" s="261">
        <f>IFERROR(INDEX('D Fleet'!$E$5:$E$63,MATCH(N$3-$B101,'D Fleet'!$B$5:$B$63,0)),0)*IFERROR(INDEX('D Fleet'!$K$5:$K$36,INT(($B101/N$5))+1)+(($B101/N$5)-INT(($B101/N$5)))*(INDEX('D Fleet'!$K$5:$K$36,INT(($B101/N$5))+2)-INDEX('D Fleet'!$K$5:$K$36,INT(($B101/N$5))+1)),0)</f>
        <v/>
      </c>
      <c r="P101" s="261">
        <f>E101*$D101*'E1 Fleet'!$D$99</f>
        <v/>
      </c>
      <c r="Q101" s="261">
        <f>F101*$D101*'E1 Fleet'!$D$99</f>
        <v/>
      </c>
      <c r="R101" s="261">
        <f>G101*$D101*'E1 Fleet'!$D$99</f>
        <v/>
      </c>
      <c r="S101" s="261">
        <f>H101*$D101*'E1 Fleet'!$D$99</f>
        <v/>
      </c>
      <c r="T101" s="261">
        <f>I101*$D101*'E1 Fleet'!$D$99</f>
        <v/>
      </c>
      <c r="U101" s="261">
        <f>J101*$D101*'E1 Fleet'!$D$99</f>
        <v/>
      </c>
      <c r="V101" s="261">
        <f>K101*$D101*'E1 Fleet'!$D$99</f>
        <v/>
      </c>
      <c r="W101" s="261">
        <f>L101*$D101*'E1 Fleet'!$D$99</f>
        <v/>
      </c>
      <c r="X101" s="261">
        <f>M101*$D101*'E1 Fleet'!$D$99</f>
        <v/>
      </c>
      <c r="Y101" s="261">
        <f>N101*$D101*'E1 Fleet'!$D$99</f>
        <v/>
      </c>
    </row>
    <row r="102">
      <c r="A102" t="inlineStr">
        <is>
          <t>Pickup</t>
        </is>
      </c>
      <c r="B102" s="331" t="n">
        <v>3</v>
      </c>
      <c r="C102" s="331" t="n">
        <v>1</v>
      </c>
      <c r="D102" s="266">
        <f>IF($B102=0,'E1 Fleet'!$D$93,1)*EXP(-'E1 Fleet'!$D$94*MAX($B102-6,0))</f>
        <v/>
      </c>
      <c r="E102" s="261">
        <f>IFERROR(INDEX('D Fleet'!$E$5:$E$63,MATCH(E$3-$B102,'D Fleet'!$B$5:$B$63,0)),0)*IFERROR(INDEX('D Fleet'!$K$5:$K$36,INT(($B102/E$5))+1)+(($B102/E$5)-INT(($B102/E$5)))*(INDEX('D Fleet'!$K$5:$K$36,INT(($B102/E$5))+2)-INDEX('D Fleet'!$K$5:$K$36,INT(($B102/E$5))+1)),0)</f>
        <v/>
      </c>
      <c r="F102" s="261">
        <f>IFERROR(INDEX('D Fleet'!$E$5:$E$63,MATCH(F$3-$B102,'D Fleet'!$B$5:$B$63,0)),0)*IFERROR(INDEX('D Fleet'!$K$5:$K$36,INT(($B102/F$5))+1)+(($B102/F$5)-INT(($B102/F$5)))*(INDEX('D Fleet'!$K$5:$K$36,INT(($B102/F$5))+2)-INDEX('D Fleet'!$K$5:$K$36,INT(($B102/F$5))+1)),0)</f>
        <v/>
      </c>
      <c r="G102" s="261">
        <f>IFERROR(INDEX('D Fleet'!$E$5:$E$63,MATCH(G$3-$B102,'D Fleet'!$B$5:$B$63,0)),0)*IFERROR(INDEX('D Fleet'!$K$5:$K$36,INT(($B102/G$5))+1)+(($B102/G$5)-INT(($B102/G$5)))*(INDEX('D Fleet'!$K$5:$K$36,INT(($B102/G$5))+2)-INDEX('D Fleet'!$K$5:$K$36,INT(($B102/G$5))+1)),0)</f>
        <v/>
      </c>
      <c r="H102" s="261">
        <f>IFERROR(INDEX('D Fleet'!$E$5:$E$63,MATCH(H$3-$B102,'D Fleet'!$B$5:$B$63,0)),0)*IFERROR(INDEX('D Fleet'!$K$5:$K$36,INT(($B102/H$5))+1)+(($B102/H$5)-INT(($B102/H$5)))*(INDEX('D Fleet'!$K$5:$K$36,INT(($B102/H$5))+2)-INDEX('D Fleet'!$K$5:$K$36,INT(($B102/H$5))+1)),0)</f>
        <v/>
      </c>
      <c r="I102" s="261">
        <f>IFERROR(INDEX('D Fleet'!$E$5:$E$63,MATCH(I$3-$B102,'D Fleet'!$B$5:$B$63,0)),0)*IFERROR(INDEX('D Fleet'!$K$5:$K$36,INT(($B102/I$5))+1)+(($B102/I$5)-INT(($B102/I$5)))*(INDEX('D Fleet'!$K$5:$K$36,INT(($B102/I$5))+2)-INDEX('D Fleet'!$K$5:$K$36,INT(($B102/I$5))+1)),0)</f>
        <v/>
      </c>
      <c r="J102" s="261">
        <f>IFERROR(INDEX('D Fleet'!$E$5:$E$63,MATCH(J$3-$B102,'D Fleet'!$B$5:$B$63,0)),0)*IFERROR(INDEX('D Fleet'!$K$5:$K$36,INT(($B102/J$5))+1)+(($B102/J$5)-INT(($B102/J$5)))*(INDEX('D Fleet'!$K$5:$K$36,INT(($B102/J$5))+2)-INDEX('D Fleet'!$K$5:$K$36,INT(($B102/J$5))+1)),0)</f>
        <v/>
      </c>
      <c r="K102" s="261">
        <f>IFERROR(INDEX('D Fleet'!$E$5:$E$63,MATCH(K$3-$B102,'D Fleet'!$B$5:$B$63,0)),0)*IFERROR(INDEX('D Fleet'!$K$5:$K$36,INT(($B102/K$5))+1)+(($B102/K$5)-INT(($B102/K$5)))*(INDEX('D Fleet'!$K$5:$K$36,INT(($B102/K$5))+2)-INDEX('D Fleet'!$K$5:$K$36,INT(($B102/K$5))+1)),0)</f>
        <v/>
      </c>
      <c r="L102" s="261">
        <f>IFERROR(INDEX('D Fleet'!$E$5:$E$63,MATCH(L$3-$B102,'D Fleet'!$B$5:$B$63,0)),0)*IFERROR(INDEX('D Fleet'!$K$5:$K$36,INT(($B102/L$5))+1)+(($B102/L$5)-INT(($B102/L$5)))*(INDEX('D Fleet'!$K$5:$K$36,INT(($B102/L$5))+2)-INDEX('D Fleet'!$K$5:$K$36,INT(($B102/L$5))+1)),0)</f>
        <v/>
      </c>
      <c r="M102" s="261">
        <f>IFERROR(INDEX('D Fleet'!$E$5:$E$63,MATCH(M$3-$B102,'D Fleet'!$B$5:$B$63,0)),0)*IFERROR(INDEX('D Fleet'!$K$5:$K$36,INT(($B102/M$5))+1)+(($B102/M$5)-INT(($B102/M$5)))*(INDEX('D Fleet'!$K$5:$K$36,INT(($B102/M$5))+2)-INDEX('D Fleet'!$K$5:$K$36,INT(($B102/M$5))+1)),0)</f>
        <v/>
      </c>
      <c r="N102" s="261">
        <f>IFERROR(INDEX('D Fleet'!$E$5:$E$63,MATCH(N$3-$B102,'D Fleet'!$B$5:$B$63,0)),0)*IFERROR(INDEX('D Fleet'!$K$5:$K$36,INT(($B102/N$5))+1)+(($B102/N$5)-INT(($B102/N$5)))*(INDEX('D Fleet'!$K$5:$K$36,INT(($B102/N$5))+2)-INDEX('D Fleet'!$K$5:$K$36,INT(($B102/N$5))+1)),0)</f>
        <v/>
      </c>
      <c r="P102" s="261">
        <f>E102*$D102*'E1 Fleet'!$D$99</f>
        <v/>
      </c>
      <c r="Q102" s="261">
        <f>F102*$D102*'E1 Fleet'!$D$99</f>
        <v/>
      </c>
      <c r="R102" s="261">
        <f>G102*$D102*'E1 Fleet'!$D$99</f>
        <v/>
      </c>
      <c r="S102" s="261">
        <f>H102*$D102*'E1 Fleet'!$D$99</f>
        <v/>
      </c>
      <c r="T102" s="261">
        <f>I102*$D102*'E1 Fleet'!$D$99</f>
        <v/>
      </c>
      <c r="U102" s="261">
        <f>J102*$D102*'E1 Fleet'!$D$99</f>
        <v/>
      </c>
      <c r="V102" s="261">
        <f>K102*$D102*'E1 Fleet'!$D$99</f>
        <v/>
      </c>
      <c r="W102" s="261">
        <f>L102*$D102*'E1 Fleet'!$D$99</f>
        <v/>
      </c>
      <c r="X102" s="261">
        <f>M102*$D102*'E1 Fleet'!$D$99</f>
        <v/>
      </c>
      <c r="Y102" s="261">
        <f>N102*$D102*'E1 Fleet'!$D$99</f>
        <v/>
      </c>
    </row>
    <row r="103">
      <c r="A103" t="inlineStr">
        <is>
          <t>Pickup</t>
        </is>
      </c>
      <c r="B103" s="331" t="n">
        <v>4</v>
      </c>
      <c r="C103" s="331" t="n">
        <v>2</v>
      </c>
      <c r="D103" s="266">
        <f>IF($B103=0,'E1 Fleet'!$D$93,1)*EXP(-'E1 Fleet'!$D$94*MAX($B103-6,0))</f>
        <v/>
      </c>
      <c r="E103" s="261">
        <f>IFERROR(INDEX('D Fleet'!$E$5:$E$63,MATCH(E$3-$B103,'D Fleet'!$B$5:$B$63,0)),0)*IFERROR(INDEX('D Fleet'!$K$5:$K$36,INT(($B103/E$5))+1)+(($B103/E$5)-INT(($B103/E$5)))*(INDEX('D Fleet'!$K$5:$K$36,INT(($B103/E$5))+2)-INDEX('D Fleet'!$K$5:$K$36,INT(($B103/E$5))+1)),0)</f>
        <v/>
      </c>
      <c r="F103" s="261">
        <f>IFERROR(INDEX('D Fleet'!$E$5:$E$63,MATCH(F$3-$B103,'D Fleet'!$B$5:$B$63,0)),0)*IFERROR(INDEX('D Fleet'!$K$5:$K$36,INT(($B103/F$5))+1)+(($B103/F$5)-INT(($B103/F$5)))*(INDEX('D Fleet'!$K$5:$K$36,INT(($B103/F$5))+2)-INDEX('D Fleet'!$K$5:$K$36,INT(($B103/F$5))+1)),0)</f>
        <v/>
      </c>
      <c r="G103" s="261">
        <f>IFERROR(INDEX('D Fleet'!$E$5:$E$63,MATCH(G$3-$B103,'D Fleet'!$B$5:$B$63,0)),0)*IFERROR(INDEX('D Fleet'!$K$5:$K$36,INT(($B103/G$5))+1)+(($B103/G$5)-INT(($B103/G$5)))*(INDEX('D Fleet'!$K$5:$K$36,INT(($B103/G$5))+2)-INDEX('D Fleet'!$K$5:$K$36,INT(($B103/G$5))+1)),0)</f>
        <v/>
      </c>
      <c r="H103" s="261">
        <f>IFERROR(INDEX('D Fleet'!$E$5:$E$63,MATCH(H$3-$B103,'D Fleet'!$B$5:$B$63,0)),0)*IFERROR(INDEX('D Fleet'!$K$5:$K$36,INT(($B103/H$5))+1)+(($B103/H$5)-INT(($B103/H$5)))*(INDEX('D Fleet'!$K$5:$K$36,INT(($B103/H$5))+2)-INDEX('D Fleet'!$K$5:$K$36,INT(($B103/H$5))+1)),0)</f>
        <v/>
      </c>
      <c r="I103" s="261">
        <f>IFERROR(INDEX('D Fleet'!$E$5:$E$63,MATCH(I$3-$B103,'D Fleet'!$B$5:$B$63,0)),0)*IFERROR(INDEX('D Fleet'!$K$5:$K$36,INT(($B103/I$5))+1)+(($B103/I$5)-INT(($B103/I$5)))*(INDEX('D Fleet'!$K$5:$K$36,INT(($B103/I$5))+2)-INDEX('D Fleet'!$K$5:$K$36,INT(($B103/I$5))+1)),0)</f>
        <v/>
      </c>
      <c r="J103" s="261">
        <f>IFERROR(INDEX('D Fleet'!$E$5:$E$63,MATCH(J$3-$B103,'D Fleet'!$B$5:$B$63,0)),0)*IFERROR(INDEX('D Fleet'!$K$5:$K$36,INT(($B103/J$5))+1)+(($B103/J$5)-INT(($B103/J$5)))*(INDEX('D Fleet'!$K$5:$K$36,INT(($B103/J$5))+2)-INDEX('D Fleet'!$K$5:$K$36,INT(($B103/J$5))+1)),0)</f>
        <v/>
      </c>
      <c r="K103" s="261">
        <f>IFERROR(INDEX('D Fleet'!$E$5:$E$63,MATCH(K$3-$B103,'D Fleet'!$B$5:$B$63,0)),0)*IFERROR(INDEX('D Fleet'!$K$5:$K$36,INT(($B103/K$5))+1)+(($B103/K$5)-INT(($B103/K$5)))*(INDEX('D Fleet'!$K$5:$K$36,INT(($B103/K$5))+2)-INDEX('D Fleet'!$K$5:$K$36,INT(($B103/K$5))+1)),0)</f>
        <v/>
      </c>
      <c r="L103" s="261">
        <f>IFERROR(INDEX('D Fleet'!$E$5:$E$63,MATCH(L$3-$B103,'D Fleet'!$B$5:$B$63,0)),0)*IFERROR(INDEX('D Fleet'!$K$5:$K$36,INT(($B103/L$5))+1)+(($B103/L$5)-INT(($B103/L$5)))*(INDEX('D Fleet'!$K$5:$K$36,INT(($B103/L$5))+2)-INDEX('D Fleet'!$K$5:$K$36,INT(($B103/L$5))+1)),0)</f>
        <v/>
      </c>
      <c r="M103" s="261">
        <f>IFERROR(INDEX('D Fleet'!$E$5:$E$63,MATCH(M$3-$B103,'D Fleet'!$B$5:$B$63,0)),0)*IFERROR(INDEX('D Fleet'!$K$5:$K$36,INT(($B103/M$5))+1)+(($B103/M$5)-INT(($B103/M$5)))*(INDEX('D Fleet'!$K$5:$K$36,INT(($B103/M$5))+2)-INDEX('D Fleet'!$K$5:$K$36,INT(($B103/M$5))+1)),0)</f>
        <v/>
      </c>
      <c r="N103" s="261">
        <f>IFERROR(INDEX('D Fleet'!$E$5:$E$63,MATCH(N$3-$B103,'D Fleet'!$B$5:$B$63,0)),0)*IFERROR(INDEX('D Fleet'!$K$5:$K$36,INT(($B103/N$5))+1)+(($B103/N$5)-INT(($B103/N$5)))*(INDEX('D Fleet'!$K$5:$K$36,INT(($B103/N$5))+2)-INDEX('D Fleet'!$K$5:$K$36,INT(($B103/N$5))+1)),0)</f>
        <v/>
      </c>
      <c r="P103" s="261">
        <f>E103*$D103*'E1 Fleet'!$D$99</f>
        <v/>
      </c>
      <c r="Q103" s="261">
        <f>F103*$D103*'E1 Fleet'!$D$99</f>
        <v/>
      </c>
      <c r="R103" s="261">
        <f>G103*$D103*'E1 Fleet'!$D$99</f>
        <v/>
      </c>
      <c r="S103" s="261">
        <f>H103*$D103*'E1 Fleet'!$D$99</f>
        <v/>
      </c>
      <c r="T103" s="261">
        <f>I103*$D103*'E1 Fleet'!$D$99</f>
        <v/>
      </c>
      <c r="U103" s="261">
        <f>J103*$D103*'E1 Fleet'!$D$99</f>
        <v/>
      </c>
      <c r="V103" s="261">
        <f>K103*$D103*'E1 Fleet'!$D$99</f>
        <v/>
      </c>
      <c r="W103" s="261">
        <f>L103*$D103*'E1 Fleet'!$D$99</f>
        <v/>
      </c>
      <c r="X103" s="261">
        <f>M103*$D103*'E1 Fleet'!$D$99</f>
        <v/>
      </c>
      <c r="Y103" s="261">
        <f>N103*$D103*'E1 Fleet'!$D$99</f>
        <v/>
      </c>
    </row>
    <row r="104">
      <c r="A104" t="inlineStr">
        <is>
          <t>Pickup</t>
        </is>
      </c>
      <c r="B104" s="331" t="n">
        <v>5</v>
      </c>
      <c r="C104" s="331" t="n">
        <v>2</v>
      </c>
      <c r="D104" s="266">
        <f>IF($B104=0,'E1 Fleet'!$D$93,1)*EXP(-'E1 Fleet'!$D$94*MAX($B104-6,0))</f>
        <v/>
      </c>
      <c r="E104" s="261">
        <f>IFERROR(INDEX('D Fleet'!$E$5:$E$63,MATCH(E$3-$B104,'D Fleet'!$B$5:$B$63,0)),0)*IFERROR(INDEX('D Fleet'!$K$5:$K$36,INT(($B104/E$5))+1)+(($B104/E$5)-INT(($B104/E$5)))*(INDEX('D Fleet'!$K$5:$K$36,INT(($B104/E$5))+2)-INDEX('D Fleet'!$K$5:$K$36,INT(($B104/E$5))+1)),0)</f>
        <v/>
      </c>
      <c r="F104" s="261">
        <f>IFERROR(INDEX('D Fleet'!$E$5:$E$63,MATCH(F$3-$B104,'D Fleet'!$B$5:$B$63,0)),0)*IFERROR(INDEX('D Fleet'!$K$5:$K$36,INT(($B104/F$5))+1)+(($B104/F$5)-INT(($B104/F$5)))*(INDEX('D Fleet'!$K$5:$K$36,INT(($B104/F$5))+2)-INDEX('D Fleet'!$K$5:$K$36,INT(($B104/F$5))+1)),0)</f>
        <v/>
      </c>
      <c r="G104" s="261">
        <f>IFERROR(INDEX('D Fleet'!$E$5:$E$63,MATCH(G$3-$B104,'D Fleet'!$B$5:$B$63,0)),0)*IFERROR(INDEX('D Fleet'!$K$5:$K$36,INT(($B104/G$5))+1)+(($B104/G$5)-INT(($B104/G$5)))*(INDEX('D Fleet'!$K$5:$K$36,INT(($B104/G$5))+2)-INDEX('D Fleet'!$K$5:$K$36,INT(($B104/G$5))+1)),0)</f>
        <v/>
      </c>
      <c r="H104" s="261">
        <f>IFERROR(INDEX('D Fleet'!$E$5:$E$63,MATCH(H$3-$B104,'D Fleet'!$B$5:$B$63,0)),0)*IFERROR(INDEX('D Fleet'!$K$5:$K$36,INT(($B104/H$5))+1)+(($B104/H$5)-INT(($B104/H$5)))*(INDEX('D Fleet'!$K$5:$K$36,INT(($B104/H$5))+2)-INDEX('D Fleet'!$K$5:$K$36,INT(($B104/H$5))+1)),0)</f>
        <v/>
      </c>
      <c r="I104" s="261">
        <f>IFERROR(INDEX('D Fleet'!$E$5:$E$63,MATCH(I$3-$B104,'D Fleet'!$B$5:$B$63,0)),0)*IFERROR(INDEX('D Fleet'!$K$5:$K$36,INT(($B104/I$5))+1)+(($B104/I$5)-INT(($B104/I$5)))*(INDEX('D Fleet'!$K$5:$K$36,INT(($B104/I$5))+2)-INDEX('D Fleet'!$K$5:$K$36,INT(($B104/I$5))+1)),0)</f>
        <v/>
      </c>
      <c r="J104" s="261">
        <f>IFERROR(INDEX('D Fleet'!$E$5:$E$63,MATCH(J$3-$B104,'D Fleet'!$B$5:$B$63,0)),0)*IFERROR(INDEX('D Fleet'!$K$5:$K$36,INT(($B104/J$5))+1)+(($B104/J$5)-INT(($B104/J$5)))*(INDEX('D Fleet'!$K$5:$K$36,INT(($B104/J$5))+2)-INDEX('D Fleet'!$K$5:$K$36,INT(($B104/J$5))+1)),0)</f>
        <v/>
      </c>
      <c r="K104" s="261">
        <f>IFERROR(INDEX('D Fleet'!$E$5:$E$63,MATCH(K$3-$B104,'D Fleet'!$B$5:$B$63,0)),0)*IFERROR(INDEX('D Fleet'!$K$5:$K$36,INT(($B104/K$5))+1)+(($B104/K$5)-INT(($B104/K$5)))*(INDEX('D Fleet'!$K$5:$K$36,INT(($B104/K$5))+2)-INDEX('D Fleet'!$K$5:$K$36,INT(($B104/K$5))+1)),0)</f>
        <v/>
      </c>
      <c r="L104" s="261">
        <f>IFERROR(INDEX('D Fleet'!$E$5:$E$63,MATCH(L$3-$B104,'D Fleet'!$B$5:$B$63,0)),0)*IFERROR(INDEX('D Fleet'!$K$5:$K$36,INT(($B104/L$5))+1)+(($B104/L$5)-INT(($B104/L$5)))*(INDEX('D Fleet'!$K$5:$K$36,INT(($B104/L$5))+2)-INDEX('D Fleet'!$K$5:$K$36,INT(($B104/L$5))+1)),0)</f>
        <v/>
      </c>
      <c r="M104" s="261">
        <f>IFERROR(INDEX('D Fleet'!$E$5:$E$63,MATCH(M$3-$B104,'D Fleet'!$B$5:$B$63,0)),0)*IFERROR(INDEX('D Fleet'!$K$5:$K$36,INT(($B104/M$5))+1)+(($B104/M$5)-INT(($B104/M$5)))*(INDEX('D Fleet'!$K$5:$K$36,INT(($B104/M$5))+2)-INDEX('D Fleet'!$K$5:$K$36,INT(($B104/M$5))+1)),0)</f>
        <v/>
      </c>
      <c r="N104" s="261">
        <f>IFERROR(INDEX('D Fleet'!$E$5:$E$63,MATCH(N$3-$B104,'D Fleet'!$B$5:$B$63,0)),0)*IFERROR(INDEX('D Fleet'!$K$5:$K$36,INT(($B104/N$5))+1)+(($B104/N$5)-INT(($B104/N$5)))*(INDEX('D Fleet'!$K$5:$K$36,INT(($B104/N$5))+2)-INDEX('D Fleet'!$K$5:$K$36,INT(($B104/N$5))+1)),0)</f>
        <v/>
      </c>
      <c r="P104" s="261">
        <f>E104*$D104*'E1 Fleet'!$D$99</f>
        <v/>
      </c>
      <c r="Q104" s="261">
        <f>F104*$D104*'E1 Fleet'!$D$99</f>
        <v/>
      </c>
      <c r="R104" s="261">
        <f>G104*$D104*'E1 Fleet'!$D$99</f>
        <v/>
      </c>
      <c r="S104" s="261">
        <f>H104*$D104*'E1 Fleet'!$D$99</f>
        <v/>
      </c>
      <c r="T104" s="261">
        <f>I104*$D104*'E1 Fleet'!$D$99</f>
        <v/>
      </c>
      <c r="U104" s="261">
        <f>J104*$D104*'E1 Fleet'!$D$99</f>
        <v/>
      </c>
      <c r="V104" s="261">
        <f>K104*$D104*'E1 Fleet'!$D$99</f>
        <v/>
      </c>
      <c r="W104" s="261">
        <f>L104*$D104*'E1 Fleet'!$D$99</f>
        <v/>
      </c>
      <c r="X104" s="261">
        <f>M104*$D104*'E1 Fleet'!$D$99</f>
        <v/>
      </c>
      <c r="Y104" s="261">
        <f>N104*$D104*'E1 Fleet'!$D$99</f>
        <v/>
      </c>
    </row>
    <row r="105">
      <c r="A105" t="inlineStr">
        <is>
          <t>Pickup</t>
        </is>
      </c>
      <c r="B105" s="331" t="n">
        <v>6</v>
      </c>
      <c r="C105" s="331" t="n">
        <v>2</v>
      </c>
      <c r="D105" s="266">
        <f>IF($B105=0,'E1 Fleet'!$D$93,1)*EXP(-'E1 Fleet'!$D$94*MAX($B105-6,0))</f>
        <v/>
      </c>
      <c r="E105" s="261">
        <f>IFERROR(INDEX('D Fleet'!$E$5:$E$63,MATCH(E$3-$B105,'D Fleet'!$B$5:$B$63,0)),0)*IFERROR(INDEX('D Fleet'!$K$5:$K$36,INT(($B105/E$5))+1)+(($B105/E$5)-INT(($B105/E$5)))*(INDEX('D Fleet'!$K$5:$K$36,INT(($B105/E$5))+2)-INDEX('D Fleet'!$K$5:$K$36,INT(($B105/E$5))+1)),0)</f>
        <v/>
      </c>
      <c r="F105" s="261">
        <f>IFERROR(INDEX('D Fleet'!$E$5:$E$63,MATCH(F$3-$B105,'D Fleet'!$B$5:$B$63,0)),0)*IFERROR(INDEX('D Fleet'!$K$5:$K$36,INT(($B105/F$5))+1)+(($B105/F$5)-INT(($B105/F$5)))*(INDEX('D Fleet'!$K$5:$K$36,INT(($B105/F$5))+2)-INDEX('D Fleet'!$K$5:$K$36,INT(($B105/F$5))+1)),0)</f>
        <v/>
      </c>
      <c r="G105" s="261">
        <f>IFERROR(INDEX('D Fleet'!$E$5:$E$63,MATCH(G$3-$B105,'D Fleet'!$B$5:$B$63,0)),0)*IFERROR(INDEX('D Fleet'!$K$5:$K$36,INT(($B105/G$5))+1)+(($B105/G$5)-INT(($B105/G$5)))*(INDEX('D Fleet'!$K$5:$K$36,INT(($B105/G$5))+2)-INDEX('D Fleet'!$K$5:$K$36,INT(($B105/G$5))+1)),0)</f>
        <v/>
      </c>
      <c r="H105" s="261">
        <f>IFERROR(INDEX('D Fleet'!$E$5:$E$63,MATCH(H$3-$B105,'D Fleet'!$B$5:$B$63,0)),0)*IFERROR(INDEX('D Fleet'!$K$5:$K$36,INT(($B105/H$5))+1)+(($B105/H$5)-INT(($B105/H$5)))*(INDEX('D Fleet'!$K$5:$K$36,INT(($B105/H$5))+2)-INDEX('D Fleet'!$K$5:$K$36,INT(($B105/H$5))+1)),0)</f>
        <v/>
      </c>
      <c r="I105" s="261">
        <f>IFERROR(INDEX('D Fleet'!$E$5:$E$63,MATCH(I$3-$B105,'D Fleet'!$B$5:$B$63,0)),0)*IFERROR(INDEX('D Fleet'!$K$5:$K$36,INT(($B105/I$5))+1)+(($B105/I$5)-INT(($B105/I$5)))*(INDEX('D Fleet'!$K$5:$K$36,INT(($B105/I$5))+2)-INDEX('D Fleet'!$K$5:$K$36,INT(($B105/I$5))+1)),0)</f>
        <v/>
      </c>
      <c r="J105" s="261">
        <f>IFERROR(INDEX('D Fleet'!$E$5:$E$63,MATCH(J$3-$B105,'D Fleet'!$B$5:$B$63,0)),0)*IFERROR(INDEX('D Fleet'!$K$5:$K$36,INT(($B105/J$5))+1)+(($B105/J$5)-INT(($B105/J$5)))*(INDEX('D Fleet'!$K$5:$K$36,INT(($B105/J$5))+2)-INDEX('D Fleet'!$K$5:$K$36,INT(($B105/J$5))+1)),0)</f>
        <v/>
      </c>
      <c r="K105" s="261">
        <f>IFERROR(INDEX('D Fleet'!$E$5:$E$63,MATCH(K$3-$B105,'D Fleet'!$B$5:$B$63,0)),0)*IFERROR(INDEX('D Fleet'!$K$5:$K$36,INT(($B105/K$5))+1)+(($B105/K$5)-INT(($B105/K$5)))*(INDEX('D Fleet'!$K$5:$K$36,INT(($B105/K$5))+2)-INDEX('D Fleet'!$K$5:$K$36,INT(($B105/K$5))+1)),0)</f>
        <v/>
      </c>
      <c r="L105" s="261">
        <f>IFERROR(INDEX('D Fleet'!$E$5:$E$63,MATCH(L$3-$B105,'D Fleet'!$B$5:$B$63,0)),0)*IFERROR(INDEX('D Fleet'!$K$5:$K$36,INT(($B105/L$5))+1)+(($B105/L$5)-INT(($B105/L$5)))*(INDEX('D Fleet'!$K$5:$K$36,INT(($B105/L$5))+2)-INDEX('D Fleet'!$K$5:$K$36,INT(($B105/L$5))+1)),0)</f>
        <v/>
      </c>
      <c r="M105" s="261">
        <f>IFERROR(INDEX('D Fleet'!$E$5:$E$63,MATCH(M$3-$B105,'D Fleet'!$B$5:$B$63,0)),0)*IFERROR(INDEX('D Fleet'!$K$5:$K$36,INT(($B105/M$5))+1)+(($B105/M$5)-INT(($B105/M$5)))*(INDEX('D Fleet'!$K$5:$K$36,INT(($B105/M$5))+2)-INDEX('D Fleet'!$K$5:$K$36,INT(($B105/M$5))+1)),0)</f>
        <v/>
      </c>
      <c r="N105" s="261">
        <f>IFERROR(INDEX('D Fleet'!$E$5:$E$63,MATCH(N$3-$B105,'D Fleet'!$B$5:$B$63,0)),0)*IFERROR(INDEX('D Fleet'!$K$5:$K$36,INT(($B105/N$5))+1)+(($B105/N$5)-INT(($B105/N$5)))*(INDEX('D Fleet'!$K$5:$K$36,INT(($B105/N$5))+2)-INDEX('D Fleet'!$K$5:$K$36,INT(($B105/N$5))+1)),0)</f>
        <v/>
      </c>
      <c r="P105" s="261">
        <f>E105*$D105*'E1 Fleet'!$D$99</f>
        <v/>
      </c>
      <c r="Q105" s="261">
        <f>F105*$D105*'E1 Fleet'!$D$99</f>
        <v/>
      </c>
      <c r="R105" s="261">
        <f>G105*$D105*'E1 Fleet'!$D$99</f>
        <v/>
      </c>
      <c r="S105" s="261">
        <f>H105*$D105*'E1 Fleet'!$D$99</f>
        <v/>
      </c>
      <c r="T105" s="261">
        <f>I105*$D105*'E1 Fleet'!$D$99</f>
        <v/>
      </c>
      <c r="U105" s="261">
        <f>J105*$D105*'E1 Fleet'!$D$99</f>
        <v/>
      </c>
      <c r="V105" s="261">
        <f>K105*$D105*'E1 Fleet'!$D$99</f>
        <v/>
      </c>
      <c r="W105" s="261">
        <f>L105*$D105*'E1 Fleet'!$D$99</f>
        <v/>
      </c>
      <c r="X105" s="261">
        <f>M105*$D105*'E1 Fleet'!$D$99</f>
        <v/>
      </c>
      <c r="Y105" s="261">
        <f>N105*$D105*'E1 Fleet'!$D$99</f>
        <v/>
      </c>
    </row>
    <row r="106">
      <c r="A106" t="inlineStr">
        <is>
          <t>Pickup</t>
        </is>
      </c>
      <c r="B106" s="331" t="n">
        <v>7</v>
      </c>
      <c r="C106" s="331" t="n">
        <v>3</v>
      </c>
      <c r="D106" s="266">
        <f>IF($B106=0,'E1 Fleet'!$D$93,1)*EXP(-'E1 Fleet'!$D$94*MAX($B106-6,0))</f>
        <v/>
      </c>
      <c r="E106" s="261">
        <f>IFERROR(INDEX('D Fleet'!$E$5:$E$63,MATCH(E$3-$B106,'D Fleet'!$B$5:$B$63,0)),0)*IFERROR(INDEX('D Fleet'!$K$5:$K$36,INT(($B106/E$5))+1)+(($B106/E$5)-INT(($B106/E$5)))*(INDEX('D Fleet'!$K$5:$K$36,INT(($B106/E$5))+2)-INDEX('D Fleet'!$K$5:$K$36,INT(($B106/E$5))+1)),0)</f>
        <v/>
      </c>
      <c r="F106" s="261">
        <f>IFERROR(INDEX('D Fleet'!$E$5:$E$63,MATCH(F$3-$B106,'D Fleet'!$B$5:$B$63,0)),0)*IFERROR(INDEX('D Fleet'!$K$5:$K$36,INT(($B106/F$5))+1)+(($B106/F$5)-INT(($B106/F$5)))*(INDEX('D Fleet'!$K$5:$K$36,INT(($B106/F$5))+2)-INDEX('D Fleet'!$K$5:$K$36,INT(($B106/F$5))+1)),0)</f>
        <v/>
      </c>
      <c r="G106" s="261">
        <f>IFERROR(INDEX('D Fleet'!$E$5:$E$63,MATCH(G$3-$B106,'D Fleet'!$B$5:$B$63,0)),0)*IFERROR(INDEX('D Fleet'!$K$5:$K$36,INT(($B106/G$5))+1)+(($B106/G$5)-INT(($B106/G$5)))*(INDEX('D Fleet'!$K$5:$K$36,INT(($B106/G$5))+2)-INDEX('D Fleet'!$K$5:$K$36,INT(($B106/G$5))+1)),0)</f>
        <v/>
      </c>
      <c r="H106" s="261">
        <f>IFERROR(INDEX('D Fleet'!$E$5:$E$63,MATCH(H$3-$B106,'D Fleet'!$B$5:$B$63,0)),0)*IFERROR(INDEX('D Fleet'!$K$5:$K$36,INT(($B106/H$5))+1)+(($B106/H$5)-INT(($B106/H$5)))*(INDEX('D Fleet'!$K$5:$K$36,INT(($B106/H$5))+2)-INDEX('D Fleet'!$K$5:$K$36,INT(($B106/H$5))+1)),0)</f>
        <v/>
      </c>
      <c r="I106" s="261">
        <f>IFERROR(INDEX('D Fleet'!$E$5:$E$63,MATCH(I$3-$B106,'D Fleet'!$B$5:$B$63,0)),0)*IFERROR(INDEX('D Fleet'!$K$5:$K$36,INT(($B106/I$5))+1)+(($B106/I$5)-INT(($B106/I$5)))*(INDEX('D Fleet'!$K$5:$K$36,INT(($B106/I$5))+2)-INDEX('D Fleet'!$K$5:$K$36,INT(($B106/I$5))+1)),0)</f>
        <v/>
      </c>
      <c r="J106" s="261">
        <f>IFERROR(INDEX('D Fleet'!$E$5:$E$63,MATCH(J$3-$B106,'D Fleet'!$B$5:$B$63,0)),0)*IFERROR(INDEX('D Fleet'!$K$5:$K$36,INT(($B106/J$5))+1)+(($B106/J$5)-INT(($B106/J$5)))*(INDEX('D Fleet'!$K$5:$K$36,INT(($B106/J$5))+2)-INDEX('D Fleet'!$K$5:$K$36,INT(($B106/J$5))+1)),0)</f>
        <v/>
      </c>
      <c r="K106" s="261">
        <f>IFERROR(INDEX('D Fleet'!$E$5:$E$63,MATCH(K$3-$B106,'D Fleet'!$B$5:$B$63,0)),0)*IFERROR(INDEX('D Fleet'!$K$5:$K$36,INT(($B106/K$5))+1)+(($B106/K$5)-INT(($B106/K$5)))*(INDEX('D Fleet'!$K$5:$K$36,INT(($B106/K$5))+2)-INDEX('D Fleet'!$K$5:$K$36,INT(($B106/K$5))+1)),0)</f>
        <v/>
      </c>
      <c r="L106" s="261">
        <f>IFERROR(INDEX('D Fleet'!$E$5:$E$63,MATCH(L$3-$B106,'D Fleet'!$B$5:$B$63,0)),0)*IFERROR(INDEX('D Fleet'!$K$5:$K$36,INT(($B106/L$5))+1)+(($B106/L$5)-INT(($B106/L$5)))*(INDEX('D Fleet'!$K$5:$K$36,INT(($B106/L$5))+2)-INDEX('D Fleet'!$K$5:$K$36,INT(($B106/L$5))+1)),0)</f>
        <v/>
      </c>
      <c r="M106" s="261">
        <f>IFERROR(INDEX('D Fleet'!$E$5:$E$63,MATCH(M$3-$B106,'D Fleet'!$B$5:$B$63,0)),0)*IFERROR(INDEX('D Fleet'!$K$5:$K$36,INT(($B106/M$5))+1)+(($B106/M$5)-INT(($B106/M$5)))*(INDEX('D Fleet'!$K$5:$K$36,INT(($B106/M$5))+2)-INDEX('D Fleet'!$K$5:$K$36,INT(($B106/M$5))+1)),0)</f>
        <v/>
      </c>
      <c r="N106" s="261">
        <f>IFERROR(INDEX('D Fleet'!$E$5:$E$63,MATCH(N$3-$B106,'D Fleet'!$B$5:$B$63,0)),0)*IFERROR(INDEX('D Fleet'!$K$5:$K$36,INT(($B106/N$5))+1)+(($B106/N$5)-INT(($B106/N$5)))*(INDEX('D Fleet'!$K$5:$K$36,INT(($B106/N$5))+2)-INDEX('D Fleet'!$K$5:$K$36,INT(($B106/N$5))+1)),0)</f>
        <v/>
      </c>
      <c r="P106" s="261">
        <f>E106*$D106*'E1 Fleet'!$D$99</f>
        <v/>
      </c>
      <c r="Q106" s="261">
        <f>F106*$D106*'E1 Fleet'!$D$99</f>
        <v/>
      </c>
      <c r="R106" s="261">
        <f>G106*$D106*'E1 Fleet'!$D$99</f>
        <v/>
      </c>
      <c r="S106" s="261">
        <f>H106*$D106*'E1 Fleet'!$D$99</f>
        <v/>
      </c>
      <c r="T106" s="261">
        <f>I106*$D106*'E1 Fleet'!$D$99</f>
        <v/>
      </c>
      <c r="U106" s="261">
        <f>J106*$D106*'E1 Fleet'!$D$99</f>
        <v/>
      </c>
      <c r="V106" s="261">
        <f>K106*$D106*'E1 Fleet'!$D$99</f>
        <v/>
      </c>
      <c r="W106" s="261">
        <f>L106*$D106*'E1 Fleet'!$D$99</f>
        <v/>
      </c>
      <c r="X106" s="261">
        <f>M106*$D106*'E1 Fleet'!$D$99</f>
        <v/>
      </c>
      <c r="Y106" s="261">
        <f>N106*$D106*'E1 Fleet'!$D$99</f>
        <v/>
      </c>
    </row>
    <row r="107">
      <c r="A107" t="inlineStr">
        <is>
          <t>Pickup</t>
        </is>
      </c>
      <c r="B107" s="331" t="n">
        <v>8</v>
      </c>
      <c r="C107" s="331" t="n">
        <v>3</v>
      </c>
      <c r="D107" s="266">
        <f>IF($B107=0,'E1 Fleet'!$D$93,1)*EXP(-'E1 Fleet'!$D$94*MAX($B107-6,0))</f>
        <v/>
      </c>
      <c r="E107" s="261">
        <f>IFERROR(INDEX('D Fleet'!$E$5:$E$63,MATCH(E$3-$B107,'D Fleet'!$B$5:$B$63,0)),0)*IFERROR(INDEX('D Fleet'!$K$5:$K$36,INT(($B107/E$5))+1)+(($B107/E$5)-INT(($B107/E$5)))*(INDEX('D Fleet'!$K$5:$K$36,INT(($B107/E$5))+2)-INDEX('D Fleet'!$K$5:$K$36,INT(($B107/E$5))+1)),0)</f>
        <v/>
      </c>
      <c r="F107" s="261">
        <f>IFERROR(INDEX('D Fleet'!$E$5:$E$63,MATCH(F$3-$B107,'D Fleet'!$B$5:$B$63,0)),0)*IFERROR(INDEX('D Fleet'!$K$5:$K$36,INT(($B107/F$5))+1)+(($B107/F$5)-INT(($B107/F$5)))*(INDEX('D Fleet'!$K$5:$K$36,INT(($B107/F$5))+2)-INDEX('D Fleet'!$K$5:$K$36,INT(($B107/F$5))+1)),0)</f>
        <v/>
      </c>
      <c r="G107" s="261">
        <f>IFERROR(INDEX('D Fleet'!$E$5:$E$63,MATCH(G$3-$B107,'D Fleet'!$B$5:$B$63,0)),0)*IFERROR(INDEX('D Fleet'!$K$5:$K$36,INT(($B107/G$5))+1)+(($B107/G$5)-INT(($B107/G$5)))*(INDEX('D Fleet'!$K$5:$K$36,INT(($B107/G$5))+2)-INDEX('D Fleet'!$K$5:$K$36,INT(($B107/G$5))+1)),0)</f>
        <v/>
      </c>
      <c r="H107" s="261">
        <f>IFERROR(INDEX('D Fleet'!$E$5:$E$63,MATCH(H$3-$B107,'D Fleet'!$B$5:$B$63,0)),0)*IFERROR(INDEX('D Fleet'!$K$5:$K$36,INT(($B107/H$5))+1)+(($B107/H$5)-INT(($B107/H$5)))*(INDEX('D Fleet'!$K$5:$K$36,INT(($B107/H$5))+2)-INDEX('D Fleet'!$K$5:$K$36,INT(($B107/H$5))+1)),0)</f>
        <v/>
      </c>
      <c r="I107" s="261">
        <f>IFERROR(INDEX('D Fleet'!$E$5:$E$63,MATCH(I$3-$B107,'D Fleet'!$B$5:$B$63,0)),0)*IFERROR(INDEX('D Fleet'!$K$5:$K$36,INT(($B107/I$5))+1)+(($B107/I$5)-INT(($B107/I$5)))*(INDEX('D Fleet'!$K$5:$K$36,INT(($B107/I$5))+2)-INDEX('D Fleet'!$K$5:$K$36,INT(($B107/I$5))+1)),0)</f>
        <v/>
      </c>
      <c r="J107" s="261">
        <f>IFERROR(INDEX('D Fleet'!$E$5:$E$63,MATCH(J$3-$B107,'D Fleet'!$B$5:$B$63,0)),0)*IFERROR(INDEX('D Fleet'!$K$5:$K$36,INT(($B107/J$5))+1)+(($B107/J$5)-INT(($B107/J$5)))*(INDEX('D Fleet'!$K$5:$K$36,INT(($B107/J$5))+2)-INDEX('D Fleet'!$K$5:$K$36,INT(($B107/J$5))+1)),0)</f>
        <v/>
      </c>
      <c r="K107" s="261">
        <f>IFERROR(INDEX('D Fleet'!$E$5:$E$63,MATCH(K$3-$B107,'D Fleet'!$B$5:$B$63,0)),0)*IFERROR(INDEX('D Fleet'!$K$5:$K$36,INT(($B107/K$5))+1)+(($B107/K$5)-INT(($B107/K$5)))*(INDEX('D Fleet'!$K$5:$K$36,INT(($B107/K$5))+2)-INDEX('D Fleet'!$K$5:$K$36,INT(($B107/K$5))+1)),0)</f>
        <v/>
      </c>
      <c r="L107" s="261">
        <f>IFERROR(INDEX('D Fleet'!$E$5:$E$63,MATCH(L$3-$B107,'D Fleet'!$B$5:$B$63,0)),0)*IFERROR(INDEX('D Fleet'!$K$5:$K$36,INT(($B107/L$5))+1)+(($B107/L$5)-INT(($B107/L$5)))*(INDEX('D Fleet'!$K$5:$K$36,INT(($B107/L$5))+2)-INDEX('D Fleet'!$K$5:$K$36,INT(($B107/L$5))+1)),0)</f>
        <v/>
      </c>
      <c r="M107" s="261">
        <f>IFERROR(INDEX('D Fleet'!$E$5:$E$63,MATCH(M$3-$B107,'D Fleet'!$B$5:$B$63,0)),0)*IFERROR(INDEX('D Fleet'!$K$5:$K$36,INT(($B107/M$5))+1)+(($B107/M$5)-INT(($B107/M$5)))*(INDEX('D Fleet'!$K$5:$K$36,INT(($B107/M$5))+2)-INDEX('D Fleet'!$K$5:$K$36,INT(($B107/M$5))+1)),0)</f>
        <v/>
      </c>
      <c r="N107" s="261">
        <f>IFERROR(INDEX('D Fleet'!$E$5:$E$63,MATCH(N$3-$B107,'D Fleet'!$B$5:$B$63,0)),0)*IFERROR(INDEX('D Fleet'!$K$5:$K$36,INT(($B107/N$5))+1)+(($B107/N$5)-INT(($B107/N$5)))*(INDEX('D Fleet'!$K$5:$K$36,INT(($B107/N$5))+2)-INDEX('D Fleet'!$K$5:$K$36,INT(($B107/N$5))+1)),0)</f>
        <v/>
      </c>
      <c r="P107" s="261">
        <f>E107*$D107*'E1 Fleet'!$D$99</f>
        <v/>
      </c>
      <c r="Q107" s="261">
        <f>F107*$D107*'E1 Fleet'!$D$99</f>
        <v/>
      </c>
      <c r="R107" s="261">
        <f>G107*$D107*'E1 Fleet'!$D$99</f>
        <v/>
      </c>
      <c r="S107" s="261">
        <f>H107*$D107*'E1 Fleet'!$D$99</f>
        <v/>
      </c>
      <c r="T107" s="261">
        <f>I107*$D107*'E1 Fleet'!$D$99</f>
        <v/>
      </c>
      <c r="U107" s="261">
        <f>J107*$D107*'E1 Fleet'!$D$99</f>
        <v/>
      </c>
      <c r="V107" s="261">
        <f>K107*$D107*'E1 Fleet'!$D$99</f>
        <v/>
      </c>
      <c r="W107" s="261">
        <f>L107*$D107*'E1 Fleet'!$D$99</f>
        <v/>
      </c>
      <c r="X107" s="261">
        <f>M107*$D107*'E1 Fleet'!$D$99</f>
        <v/>
      </c>
      <c r="Y107" s="261">
        <f>N107*$D107*'E1 Fleet'!$D$99</f>
        <v/>
      </c>
    </row>
    <row r="108">
      <c r="A108" t="inlineStr">
        <is>
          <t>Pickup</t>
        </is>
      </c>
      <c r="B108" s="331" t="n">
        <v>9</v>
      </c>
      <c r="C108" s="331" t="n">
        <v>3</v>
      </c>
      <c r="D108" s="266">
        <f>IF($B108=0,'E1 Fleet'!$D$93,1)*EXP(-'E1 Fleet'!$D$94*MAX($B108-6,0))</f>
        <v/>
      </c>
      <c r="E108" s="261">
        <f>IFERROR(INDEX('D Fleet'!$E$5:$E$63,MATCH(E$3-$B108,'D Fleet'!$B$5:$B$63,0)),0)*IFERROR(INDEX('D Fleet'!$K$5:$K$36,INT(($B108/E$5))+1)+(($B108/E$5)-INT(($B108/E$5)))*(INDEX('D Fleet'!$K$5:$K$36,INT(($B108/E$5))+2)-INDEX('D Fleet'!$K$5:$K$36,INT(($B108/E$5))+1)),0)</f>
        <v/>
      </c>
      <c r="F108" s="261">
        <f>IFERROR(INDEX('D Fleet'!$E$5:$E$63,MATCH(F$3-$B108,'D Fleet'!$B$5:$B$63,0)),0)*IFERROR(INDEX('D Fleet'!$K$5:$K$36,INT(($B108/F$5))+1)+(($B108/F$5)-INT(($B108/F$5)))*(INDEX('D Fleet'!$K$5:$K$36,INT(($B108/F$5))+2)-INDEX('D Fleet'!$K$5:$K$36,INT(($B108/F$5))+1)),0)</f>
        <v/>
      </c>
      <c r="G108" s="261">
        <f>IFERROR(INDEX('D Fleet'!$E$5:$E$63,MATCH(G$3-$B108,'D Fleet'!$B$5:$B$63,0)),0)*IFERROR(INDEX('D Fleet'!$K$5:$K$36,INT(($B108/G$5))+1)+(($B108/G$5)-INT(($B108/G$5)))*(INDEX('D Fleet'!$K$5:$K$36,INT(($B108/G$5))+2)-INDEX('D Fleet'!$K$5:$K$36,INT(($B108/G$5))+1)),0)</f>
        <v/>
      </c>
      <c r="H108" s="261">
        <f>IFERROR(INDEX('D Fleet'!$E$5:$E$63,MATCH(H$3-$B108,'D Fleet'!$B$5:$B$63,0)),0)*IFERROR(INDEX('D Fleet'!$K$5:$K$36,INT(($B108/H$5))+1)+(($B108/H$5)-INT(($B108/H$5)))*(INDEX('D Fleet'!$K$5:$K$36,INT(($B108/H$5))+2)-INDEX('D Fleet'!$K$5:$K$36,INT(($B108/H$5))+1)),0)</f>
        <v/>
      </c>
      <c r="I108" s="261">
        <f>IFERROR(INDEX('D Fleet'!$E$5:$E$63,MATCH(I$3-$B108,'D Fleet'!$B$5:$B$63,0)),0)*IFERROR(INDEX('D Fleet'!$K$5:$K$36,INT(($B108/I$5))+1)+(($B108/I$5)-INT(($B108/I$5)))*(INDEX('D Fleet'!$K$5:$K$36,INT(($B108/I$5))+2)-INDEX('D Fleet'!$K$5:$K$36,INT(($B108/I$5))+1)),0)</f>
        <v/>
      </c>
      <c r="J108" s="261">
        <f>IFERROR(INDEX('D Fleet'!$E$5:$E$63,MATCH(J$3-$B108,'D Fleet'!$B$5:$B$63,0)),0)*IFERROR(INDEX('D Fleet'!$K$5:$K$36,INT(($B108/J$5))+1)+(($B108/J$5)-INT(($B108/J$5)))*(INDEX('D Fleet'!$K$5:$K$36,INT(($B108/J$5))+2)-INDEX('D Fleet'!$K$5:$K$36,INT(($B108/J$5))+1)),0)</f>
        <v/>
      </c>
      <c r="K108" s="261">
        <f>IFERROR(INDEX('D Fleet'!$E$5:$E$63,MATCH(K$3-$B108,'D Fleet'!$B$5:$B$63,0)),0)*IFERROR(INDEX('D Fleet'!$K$5:$K$36,INT(($B108/K$5))+1)+(($B108/K$5)-INT(($B108/K$5)))*(INDEX('D Fleet'!$K$5:$K$36,INT(($B108/K$5))+2)-INDEX('D Fleet'!$K$5:$K$36,INT(($B108/K$5))+1)),0)</f>
        <v/>
      </c>
      <c r="L108" s="261">
        <f>IFERROR(INDEX('D Fleet'!$E$5:$E$63,MATCH(L$3-$B108,'D Fleet'!$B$5:$B$63,0)),0)*IFERROR(INDEX('D Fleet'!$K$5:$K$36,INT(($B108/L$5))+1)+(($B108/L$5)-INT(($B108/L$5)))*(INDEX('D Fleet'!$K$5:$K$36,INT(($B108/L$5))+2)-INDEX('D Fleet'!$K$5:$K$36,INT(($B108/L$5))+1)),0)</f>
        <v/>
      </c>
      <c r="M108" s="261">
        <f>IFERROR(INDEX('D Fleet'!$E$5:$E$63,MATCH(M$3-$B108,'D Fleet'!$B$5:$B$63,0)),0)*IFERROR(INDEX('D Fleet'!$K$5:$K$36,INT(($B108/M$5))+1)+(($B108/M$5)-INT(($B108/M$5)))*(INDEX('D Fleet'!$K$5:$K$36,INT(($B108/M$5))+2)-INDEX('D Fleet'!$K$5:$K$36,INT(($B108/M$5))+1)),0)</f>
        <v/>
      </c>
      <c r="N108" s="261">
        <f>IFERROR(INDEX('D Fleet'!$E$5:$E$63,MATCH(N$3-$B108,'D Fleet'!$B$5:$B$63,0)),0)*IFERROR(INDEX('D Fleet'!$K$5:$K$36,INT(($B108/N$5))+1)+(($B108/N$5)-INT(($B108/N$5)))*(INDEX('D Fleet'!$K$5:$K$36,INT(($B108/N$5))+2)-INDEX('D Fleet'!$K$5:$K$36,INT(($B108/N$5))+1)),0)</f>
        <v/>
      </c>
      <c r="P108" s="261">
        <f>E108*$D108*'E1 Fleet'!$D$99</f>
        <v/>
      </c>
      <c r="Q108" s="261">
        <f>F108*$D108*'E1 Fleet'!$D$99</f>
        <v/>
      </c>
      <c r="R108" s="261">
        <f>G108*$D108*'E1 Fleet'!$D$99</f>
        <v/>
      </c>
      <c r="S108" s="261">
        <f>H108*$D108*'E1 Fleet'!$D$99</f>
        <v/>
      </c>
      <c r="T108" s="261">
        <f>I108*$D108*'E1 Fleet'!$D$99</f>
        <v/>
      </c>
      <c r="U108" s="261">
        <f>J108*$D108*'E1 Fleet'!$D$99</f>
        <v/>
      </c>
      <c r="V108" s="261">
        <f>K108*$D108*'E1 Fleet'!$D$99</f>
        <v/>
      </c>
      <c r="W108" s="261">
        <f>L108*$D108*'E1 Fleet'!$D$99</f>
        <v/>
      </c>
      <c r="X108" s="261">
        <f>M108*$D108*'E1 Fleet'!$D$99</f>
        <v/>
      </c>
      <c r="Y108" s="261">
        <f>N108*$D108*'E1 Fleet'!$D$99</f>
        <v/>
      </c>
    </row>
    <row r="109">
      <c r="A109" t="inlineStr">
        <is>
          <t>Pickup</t>
        </is>
      </c>
      <c r="B109" s="331" t="n">
        <v>10</v>
      </c>
      <c r="C109" s="331" t="n">
        <v>3</v>
      </c>
      <c r="D109" s="266">
        <f>IF($B109=0,'E1 Fleet'!$D$93,1)*EXP(-'E1 Fleet'!$D$94*MAX($B109-6,0))</f>
        <v/>
      </c>
      <c r="E109" s="261">
        <f>IFERROR(INDEX('D Fleet'!$E$5:$E$63,MATCH(E$3-$B109,'D Fleet'!$B$5:$B$63,0)),0)*IFERROR(INDEX('D Fleet'!$K$5:$K$36,INT(($B109/E$5))+1)+(($B109/E$5)-INT(($B109/E$5)))*(INDEX('D Fleet'!$K$5:$K$36,INT(($B109/E$5))+2)-INDEX('D Fleet'!$K$5:$K$36,INT(($B109/E$5))+1)),0)</f>
        <v/>
      </c>
      <c r="F109" s="261">
        <f>IFERROR(INDEX('D Fleet'!$E$5:$E$63,MATCH(F$3-$B109,'D Fleet'!$B$5:$B$63,0)),0)*IFERROR(INDEX('D Fleet'!$K$5:$K$36,INT(($B109/F$5))+1)+(($B109/F$5)-INT(($B109/F$5)))*(INDEX('D Fleet'!$K$5:$K$36,INT(($B109/F$5))+2)-INDEX('D Fleet'!$K$5:$K$36,INT(($B109/F$5))+1)),0)</f>
        <v/>
      </c>
      <c r="G109" s="261">
        <f>IFERROR(INDEX('D Fleet'!$E$5:$E$63,MATCH(G$3-$B109,'D Fleet'!$B$5:$B$63,0)),0)*IFERROR(INDEX('D Fleet'!$K$5:$K$36,INT(($B109/G$5))+1)+(($B109/G$5)-INT(($B109/G$5)))*(INDEX('D Fleet'!$K$5:$K$36,INT(($B109/G$5))+2)-INDEX('D Fleet'!$K$5:$K$36,INT(($B109/G$5))+1)),0)</f>
        <v/>
      </c>
      <c r="H109" s="261">
        <f>IFERROR(INDEX('D Fleet'!$E$5:$E$63,MATCH(H$3-$B109,'D Fleet'!$B$5:$B$63,0)),0)*IFERROR(INDEX('D Fleet'!$K$5:$K$36,INT(($B109/H$5))+1)+(($B109/H$5)-INT(($B109/H$5)))*(INDEX('D Fleet'!$K$5:$K$36,INT(($B109/H$5))+2)-INDEX('D Fleet'!$K$5:$K$36,INT(($B109/H$5))+1)),0)</f>
        <v/>
      </c>
      <c r="I109" s="261">
        <f>IFERROR(INDEX('D Fleet'!$E$5:$E$63,MATCH(I$3-$B109,'D Fleet'!$B$5:$B$63,0)),0)*IFERROR(INDEX('D Fleet'!$K$5:$K$36,INT(($B109/I$5))+1)+(($B109/I$5)-INT(($B109/I$5)))*(INDEX('D Fleet'!$K$5:$K$36,INT(($B109/I$5))+2)-INDEX('D Fleet'!$K$5:$K$36,INT(($B109/I$5))+1)),0)</f>
        <v/>
      </c>
      <c r="J109" s="261">
        <f>IFERROR(INDEX('D Fleet'!$E$5:$E$63,MATCH(J$3-$B109,'D Fleet'!$B$5:$B$63,0)),0)*IFERROR(INDEX('D Fleet'!$K$5:$K$36,INT(($B109/J$5))+1)+(($B109/J$5)-INT(($B109/J$5)))*(INDEX('D Fleet'!$K$5:$K$36,INT(($B109/J$5))+2)-INDEX('D Fleet'!$K$5:$K$36,INT(($B109/J$5))+1)),0)</f>
        <v/>
      </c>
      <c r="K109" s="261">
        <f>IFERROR(INDEX('D Fleet'!$E$5:$E$63,MATCH(K$3-$B109,'D Fleet'!$B$5:$B$63,0)),0)*IFERROR(INDEX('D Fleet'!$K$5:$K$36,INT(($B109/K$5))+1)+(($B109/K$5)-INT(($B109/K$5)))*(INDEX('D Fleet'!$K$5:$K$36,INT(($B109/K$5))+2)-INDEX('D Fleet'!$K$5:$K$36,INT(($B109/K$5))+1)),0)</f>
        <v/>
      </c>
      <c r="L109" s="261">
        <f>IFERROR(INDEX('D Fleet'!$E$5:$E$63,MATCH(L$3-$B109,'D Fleet'!$B$5:$B$63,0)),0)*IFERROR(INDEX('D Fleet'!$K$5:$K$36,INT(($B109/L$5))+1)+(($B109/L$5)-INT(($B109/L$5)))*(INDEX('D Fleet'!$K$5:$K$36,INT(($B109/L$5))+2)-INDEX('D Fleet'!$K$5:$K$36,INT(($B109/L$5))+1)),0)</f>
        <v/>
      </c>
      <c r="M109" s="261">
        <f>IFERROR(INDEX('D Fleet'!$E$5:$E$63,MATCH(M$3-$B109,'D Fleet'!$B$5:$B$63,0)),0)*IFERROR(INDEX('D Fleet'!$K$5:$K$36,INT(($B109/M$5))+1)+(($B109/M$5)-INT(($B109/M$5)))*(INDEX('D Fleet'!$K$5:$K$36,INT(($B109/M$5))+2)-INDEX('D Fleet'!$K$5:$K$36,INT(($B109/M$5))+1)),0)</f>
        <v/>
      </c>
      <c r="N109" s="261">
        <f>IFERROR(INDEX('D Fleet'!$E$5:$E$63,MATCH(N$3-$B109,'D Fleet'!$B$5:$B$63,0)),0)*IFERROR(INDEX('D Fleet'!$K$5:$K$36,INT(($B109/N$5))+1)+(($B109/N$5)-INT(($B109/N$5)))*(INDEX('D Fleet'!$K$5:$K$36,INT(($B109/N$5))+2)-INDEX('D Fleet'!$K$5:$K$36,INT(($B109/N$5))+1)),0)</f>
        <v/>
      </c>
      <c r="P109" s="261">
        <f>E109*$D109*'E1 Fleet'!$D$99</f>
        <v/>
      </c>
      <c r="Q109" s="261">
        <f>F109*$D109*'E1 Fleet'!$D$99</f>
        <v/>
      </c>
      <c r="R109" s="261">
        <f>G109*$D109*'E1 Fleet'!$D$99</f>
        <v/>
      </c>
      <c r="S109" s="261">
        <f>H109*$D109*'E1 Fleet'!$D$99</f>
        <v/>
      </c>
      <c r="T109" s="261">
        <f>I109*$D109*'E1 Fleet'!$D$99</f>
        <v/>
      </c>
      <c r="U109" s="261">
        <f>J109*$D109*'E1 Fleet'!$D$99</f>
        <v/>
      </c>
      <c r="V109" s="261">
        <f>K109*$D109*'E1 Fleet'!$D$99</f>
        <v/>
      </c>
      <c r="W109" s="261">
        <f>L109*$D109*'E1 Fleet'!$D$99</f>
        <v/>
      </c>
      <c r="X109" s="261">
        <f>M109*$D109*'E1 Fleet'!$D$99</f>
        <v/>
      </c>
      <c r="Y109" s="261">
        <f>N109*$D109*'E1 Fleet'!$D$99</f>
        <v/>
      </c>
    </row>
    <row r="110">
      <c r="A110" t="inlineStr">
        <is>
          <t>Pickup</t>
        </is>
      </c>
      <c r="B110" s="331" t="n">
        <v>11</v>
      </c>
      <c r="C110" s="331" t="n">
        <v>3</v>
      </c>
      <c r="D110" s="266">
        <f>IF($B110=0,'E1 Fleet'!$D$93,1)*EXP(-'E1 Fleet'!$D$94*MAX($B110-6,0))</f>
        <v/>
      </c>
      <c r="E110" s="261">
        <f>IFERROR(INDEX('D Fleet'!$E$5:$E$63,MATCH(E$3-$B110,'D Fleet'!$B$5:$B$63,0)),0)*IFERROR(INDEX('D Fleet'!$K$5:$K$36,INT(($B110/E$5))+1)+(($B110/E$5)-INT(($B110/E$5)))*(INDEX('D Fleet'!$K$5:$K$36,INT(($B110/E$5))+2)-INDEX('D Fleet'!$K$5:$K$36,INT(($B110/E$5))+1)),0)</f>
        <v/>
      </c>
      <c r="F110" s="261">
        <f>IFERROR(INDEX('D Fleet'!$E$5:$E$63,MATCH(F$3-$B110,'D Fleet'!$B$5:$B$63,0)),0)*IFERROR(INDEX('D Fleet'!$K$5:$K$36,INT(($B110/F$5))+1)+(($B110/F$5)-INT(($B110/F$5)))*(INDEX('D Fleet'!$K$5:$K$36,INT(($B110/F$5))+2)-INDEX('D Fleet'!$K$5:$K$36,INT(($B110/F$5))+1)),0)</f>
        <v/>
      </c>
      <c r="G110" s="261">
        <f>IFERROR(INDEX('D Fleet'!$E$5:$E$63,MATCH(G$3-$B110,'D Fleet'!$B$5:$B$63,0)),0)*IFERROR(INDEX('D Fleet'!$K$5:$K$36,INT(($B110/G$5))+1)+(($B110/G$5)-INT(($B110/G$5)))*(INDEX('D Fleet'!$K$5:$K$36,INT(($B110/G$5))+2)-INDEX('D Fleet'!$K$5:$K$36,INT(($B110/G$5))+1)),0)</f>
        <v/>
      </c>
      <c r="H110" s="261">
        <f>IFERROR(INDEX('D Fleet'!$E$5:$E$63,MATCH(H$3-$B110,'D Fleet'!$B$5:$B$63,0)),0)*IFERROR(INDEX('D Fleet'!$K$5:$K$36,INT(($B110/H$5))+1)+(($B110/H$5)-INT(($B110/H$5)))*(INDEX('D Fleet'!$K$5:$K$36,INT(($B110/H$5))+2)-INDEX('D Fleet'!$K$5:$K$36,INT(($B110/H$5))+1)),0)</f>
        <v/>
      </c>
      <c r="I110" s="261">
        <f>IFERROR(INDEX('D Fleet'!$E$5:$E$63,MATCH(I$3-$B110,'D Fleet'!$B$5:$B$63,0)),0)*IFERROR(INDEX('D Fleet'!$K$5:$K$36,INT(($B110/I$5))+1)+(($B110/I$5)-INT(($B110/I$5)))*(INDEX('D Fleet'!$K$5:$K$36,INT(($B110/I$5))+2)-INDEX('D Fleet'!$K$5:$K$36,INT(($B110/I$5))+1)),0)</f>
        <v/>
      </c>
      <c r="J110" s="261">
        <f>IFERROR(INDEX('D Fleet'!$E$5:$E$63,MATCH(J$3-$B110,'D Fleet'!$B$5:$B$63,0)),0)*IFERROR(INDEX('D Fleet'!$K$5:$K$36,INT(($B110/J$5))+1)+(($B110/J$5)-INT(($B110/J$5)))*(INDEX('D Fleet'!$K$5:$K$36,INT(($B110/J$5))+2)-INDEX('D Fleet'!$K$5:$K$36,INT(($B110/J$5))+1)),0)</f>
        <v/>
      </c>
      <c r="K110" s="261">
        <f>IFERROR(INDEX('D Fleet'!$E$5:$E$63,MATCH(K$3-$B110,'D Fleet'!$B$5:$B$63,0)),0)*IFERROR(INDEX('D Fleet'!$K$5:$K$36,INT(($B110/K$5))+1)+(($B110/K$5)-INT(($B110/K$5)))*(INDEX('D Fleet'!$K$5:$K$36,INT(($B110/K$5))+2)-INDEX('D Fleet'!$K$5:$K$36,INT(($B110/K$5))+1)),0)</f>
        <v/>
      </c>
      <c r="L110" s="261">
        <f>IFERROR(INDEX('D Fleet'!$E$5:$E$63,MATCH(L$3-$B110,'D Fleet'!$B$5:$B$63,0)),0)*IFERROR(INDEX('D Fleet'!$K$5:$K$36,INT(($B110/L$5))+1)+(($B110/L$5)-INT(($B110/L$5)))*(INDEX('D Fleet'!$K$5:$K$36,INT(($B110/L$5))+2)-INDEX('D Fleet'!$K$5:$K$36,INT(($B110/L$5))+1)),0)</f>
        <v/>
      </c>
      <c r="M110" s="261">
        <f>IFERROR(INDEX('D Fleet'!$E$5:$E$63,MATCH(M$3-$B110,'D Fleet'!$B$5:$B$63,0)),0)*IFERROR(INDEX('D Fleet'!$K$5:$K$36,INT(($B110/M$5))+1)+(($B110/M$5)-INT(($B110/M$5)))*(INDEX('D Fleet'!$K$5:$K$36,INT(($B110/M$5))+2)-INDEX('D Fleet'!$K$5:$K$36,INT(($B110/M$5))+1)),0)</f>
        <v/>
      </c>
      <c r="N110" s="261">
        <f>IFERROR(INDEX('D Fleet'!$E$5:$E$63,MATCH(N$3-$B110,'D Fleet'!$B$5:$B$63,0)),0)*IFERROR(INDEX('D Fleet'!$K$5:$K$36,INT(($B110/N$5))+1)+(($B110/N$5)-INT(($B110/N$5)))*(INDEX('D Fleet'!$K$5:$K$36,INT(($B110/N$5))+2)-INDEX('D Fleet'!$K$5:$K$36,INT(($B110/N$5))+1)),0)</f>
        <v/>
      </c>
      <c r="P110" s="261">
        <f>E110*$D110*'E1 Fleet'!$D$99</f>
        <v/>
      </c>
      <c r="Q110" s="261">
        <f>F110*$D110*'E1 Fleet'!$D$99</f>
        <v/>
      </c>
      <c r="R110" s="261">
        <f>G110*$D110*'E1 Fleet'!$D$99</f>
        <v/>
      </c>
      <c r="S110" s="261">
        <f>H110*$D110*'E1 Fleet'!$D$99</f>
        <v/>
      </c>
      <c r="T110" s="261">
        <f>I110*$D110*'E1 Fleet'!$D$99</f>
        <v/>
      </c>
      <c r="U110" s="261">
        <f>J110*$D110*'E1 Fleet'!$D$99</f>
        <v/>
      </c>
      <c r="V110" s="261">
        <f>K110*$D110*'E1 Fleet'!$D$99</f>
        <v/>
      </c>
      <c r="W110" s="261">
        <f>L110*$D110*'E1 Fleet'!$D$99</f>
        <v/>
      </c>
      <c r="X110" s="261">
        <f>M110*$D110*'E1 Fleet'!$D$99</f>
        <v/>
      </c>
      <c r="Y110" s="261">
        <f>N110*$D110*'E1 Fleet'!$D$99</f>
        <v/>
      </c>
    </row>
    <row r="111">
      <c r="A111" t="inlineStr">
        <is>
          <t>Pickup</t>
        </is>
      </c>
      <c r="B111" s="331" t="n">
        <v>12</v>
      </c>
      <c r="C111" s="331" t="n">
        <v>3</v>
      </c>
      <c r="D111" s="266">
        <f>IF($B111=0,'E1 Fleet'!$D$93,1)*EXP(-'E1 Fleet'!$D$94*MAX($B111-6,0))</f>
        <v/>
      </c>
      <c r="E111" s="261">
        <f>IFERROR(INDEX('D Fleet'!$E$5:$E$63,MATCH(E$3-$B111,'D Fleet'!$B$5:$B$63,0)),0)*IFERROR(INDEX('D Fleet'!$K$5:$K$36,INT(($B111/E$5))+1)+(($B111/E$5)-INT(($B111/E$5)))*(INDEX('D Fleet'!$K$5:$K$36,INT(($B111/E$5))+2)-INDEX('D Fleet'!$K$5:$K$36,INT(($B111/E$5))+1)),0)</f>
        <v/>
      </c>
      <c r="F111" s="261">
        <f>IFERROR(INDEX('D Fleet'!$E$5:$E$63,MATCH(F$3-$B111,'D Fleet'!$B$5:$B$63,0)),0)*IFERROR(INDEX('D Fleet'!$K$5:$K$36,INT(($B111/F$5))+1)+(($B111/F$5)-INT(($B111/F$5)))*(INDEX('D Fleet'!$K$5:$K$36,INT(($B111/F$5))+2)-INDEX('D Fleet'!$K$5:$K$36,INT(($B111/F$5))+1)),0)</f>
        <v/>
      </c>
      <c r="G111" s="261">
        <f>IFERROR(INDEX('D Fleet'!$E$5:$E$63,MATCH(G$3-$B111,'D Fleet'!$B$5:$B$63,0)),0)*IFERROR(INDEX('D Fleet'!$K$5:$K$36,INT(($B111/G$5))+1)+(($B111/G$5)-INT(($B111/G$5)))*(INDEX('D Fleet'!$K$5:$K$36,INT(($B111/G$5))+2)-INDEX('D Fleet'!$K$5:$K$36,INT(($B111/G$5))+1)),0)</f>
        <v/>
      </c>
      <c r="H111" s="261">
        <f>IFERROR(INDEX('D Fleet'!$E$5:$E$63,MATCH(H$3-$B111,'D Fleet'!$B$5:$B$63,0)),0)*IFERROR(INDEX('D Fleet'!$K$5:$K$36,INT(($B111/H$5))+1)+(($B111/H$5)-INT(($B111/H$5)))*(INDEX('D Fleet'!$K$5:$K$36,INT(($B111/H$5))+2)-INDEX('D Fleet'!$K$5:$K$36,INT(($B111/H$5))+1)),0)</f>
        <v/>
      </c>
      <c r="I111" s="261">
        <f>IFERROR(INDEX('D Fleet'!$E$5:$E$63,MATCH(I$3-$B111,'D Fleet'!$B$5:$B$63,0)),0)*IFERROR(INDEX('D Fleet'!$K$5:$K$36,INT(($B111/I$5))+1)+(($B111/I$5)-INT(($B111/I$5)))*(INDEX('D Fleet'!$K$5:$K$36,INT(($B111/I$5))+2)-INDEX('D Fleet'!$K$5:$K$36,INT(($B111/I$5))+1)),0)</f>
        <v/>
      </c>
      <c r="J111" s="261">
        <f>IFERROR(INDEX('D Fleet'!$E$5:$E$63,MATCH(J$3-$B111,'D Fleet'!$B$5:$B$63,0)),0)*IFERROR(INDEX('D Fleet'!$K$5:$K$36,INT(($B111/J$5))+1)+(($B111/J$5)-INT(($B111/J$5)))*(INDEX('D Fleet'!$K$5:$K$36,INT(($B111/J$5))+2)-INDEX('D Fleet'!$K$5:$K$36,INT(($B111/J$5))+1)),0)</f>
        <v/>
      </c>
      <c r="K111" s="261">
        <f>IFERROR(INDEX('D Fleet'!$E$5:$E$63,MATCH(K$3-$B111,'D Fleet'!$B$5:$B$63,0)),0)*IFERROR(INDEX('D Fleet'!$K$5:$K$36,INT(($B111/K$5))+1)+(($B111/K$5)-INT(($B111/K$5)))*(INDEX('D Fleet'!$K$5:$K$36,INT(($B111/K$5))+2)-INDEX('D Fleet'!$K$5:$K$36,INT(($B111/K$5))+1)),0)</f>
        <v/>
      </c>
      <c r="L111" s="261">
        <f>IFERROR(INDEX('D Fleet'!$E$5:$E$63,MATCH(L$3-$B111,'D Fleet'!$B$5:$B$63,0)),0)*IFERROR(INDEX('D Fleet'!$K$5:$K$36,INT(($B111/L$5))+1)+(($B111/L$5)-INT(($B111/L$5)))*(INDEX('D Fleet'!$K$5:$K$36,INT(($B111/L$5))+2)-INDEX('D Fleet'!$K$5:$K$36,INT(($B111/L$5))+1)),0)</f>
        <v/>
      </c>
      <c r="M111" s="261">
        <f>IFERROR(INDEX('D Fleet'!$E$5:$E$63,MATCH(M$3-$B111,'D Fleet'!$B$5:$B$63,0)),0)*IFERROR(INDEX('D Fleet'!$K$5:$K$36,INT(($B111/M$5))+1)+(($B111/M$5)-INT(($B111/M$5)))*(INDEX('D Fleet'!$K$5:$K$36,INT(($B111/M$5))+2)-INDEX('D Fleet'!$K$5:$K$36,INT(($B111/M$5))+1)),0)</f>
        <v/>
      </c>
      <c r="N111" s="261">
        <f>IFERROR(INDEX('D Fleet'!$E$5:$E$63,MATCH(N$3-$B111,'D Fleet'!$B$5:$B$63,0)),0)*IFERROR(INDEX('D Fleet'!$K$5:$K$36,INT(($B111/N$5))+1)+(($B111/N$5)-INT(($B111/N$5)))*(INDEX('D Fleet'!$K$5:$K$36,INT(($B111/N$5))+2)-INDEX('D Fleet'!$K$5:$K$36,INT(($B111/N$5))+1)),0)</f>
        <v/>
      </c>
      <c r="P111" s="261">
        <f>E111*$D111*'E1 Fleet'!$D$99</f>
        <v/>
      </c>
      <c r="Q111" s="261">
        <f>F111*$D111*'E1 Fleet'!$D$99</f>
        <v/>
      </c>
      <c r="R111" s="261">
        <f>G111*$D111*'E1 Fleet'!$D$99</f>
        <v/>
      </c>
      <c r="S111" s="261">
        <f>H111*$D111*'E1 Fleet'!$D$99</f>
        <v/>
      </c>
      <c r="T111" s="261">
        <f>I111*$D111*'E1 Fleet'!$D$99</f>
        <v/>
      </c>
      <c r="U111" s="261">
        <f>J111*$D111*'E1 Fleet'!$D$99</f>
        <v/>
      </c>
      <c r="V111" s="261">
        <f>K111*$D111*'E1 Fleet'!$D$99</f>
        <v/>
      </c>
      <c r="W111" s="261">
        <f>L111*$D111*'E1 Fleet'!$D$99</f>
        <v/>
      </c>
      <c r="X111" s="261">
        <f>M111*$D111*'E1 Fleet'!$D$99</f>
        <v/>
      </c>
      <c r="Y111" s="261">
        <f>N111*$D111*'E1 Fleet'!$D$99</f>
        <v/>
      </c>
    </row>
    <row r="112">
      <c r="A112" t="inlineStr">
        <is>
          <t>Pickup</t>
        </is>
      </c>
      <c r="B112" s="331" t="n">
        <v>13</v>
      </c>
      <c r="C112" s="331" t="n">
        <v>3</v>
      </c>
      <c r="D112" s="266">
        <f>IF($B112=0,'E1 Fleet'!$D$93,1)*EXP(-'E1 Fleet'!$D$94*MAX($B112-6,0))</f>
        <v/>
      </c>
      <c r="E112" s="261">
        <f>IFERROR(INDEX('D Fleet'!$E$5:$E$63,MATCH(E$3-$B112,'D Fleet'!$B$5:$B$63,0)),0)*IFERROR(INDEX('D Fleet'!$K$5:$K$36,INT(($B112/E$5))+1)+(($B112/E$5)-INT(($B112/E$5)))*(INDEX('D Fleet'!$K$5:$K$36,INT(($B112/E$5))+2)-INDEX('D Fleet'!$K$5:$K$36,INT(($B112/E$5))+1)),0)</f>
        <v/>
      </c>
      <c r="F112" s="261">
        <f>IFERROR(INDEX('D Fleet'!$E$5:$E$63,MATCH(F$3-$B112,'D Fleet'!$B$5:$B$63,0)),0)*IFERROR(INDEX('D Fleet'!$K$5:$K$36,INT(($B112/F$5))+1)+(($B112/F$5)-INT(($B112/F$5)))*(INDEX('D Fleet'!$K$5:$K$36,INT(($B112/F$5))+2)-INDEX('D Fleet'!$K$5:$K$36,INT(($B112/F$5))+1)),0)</f>
        <v/>
      </c>
      <c r="G112" s="261">
        <f>IFERROR(INDEX('D Fleet'!$E$5:$E$63,MATCH(G$3-$B112,'D Fleet'!$B$5:$B$63,0)),0)*IFERROR(INDEX('D Fleet'!$K$5:$K$36,INT(($B112/G$5))+1)+(($B112/G$5)-INT(($B112/G$5)))*(INDEX('D Fleet'!$K$5:$K$36,INT(($B112/G$5))+2)-INDEX('D Fleet'!$K$5:$K$36,INT(($B112/G$5))+1)),0)</f>
        <v/>
      </c>
      <c r="H112" s="261">
        <f>IFERROR(INDEX('D Fleet'!$E$5:$E$63,MATCH(H$3-$B112,'D Fleet'!$B$5:$B$63,0)),0)*IFERROR(INDEX('D Fleet'!$K$5:$K$36,INT(($B112/H$5))+1)+(($B112/H$5)-INT(($B112/H$5)))*(INDEX('D Fleet'!$K$5:$K$36,INT(($B112/H$5))+2)-INDEX('D Fleet'!$K$5:$K$36,INT(($B112/H$5))+1)),0)</f>
        <v/>
      </c>
      <c r="I112" s="261">
        <f>IFERROR(INDEX('D Fleet'!$E$5:$E$63,MATCH(I$3-$B112,'D Fleet'!$B$5:$B$63,0)),0)*IFERROR(INDEX('D Fleet'!$K$5:$K$36,INT(($B112/I$5))+1)+(($B112/I$5)-INT(($B112/I$5)))*(INDEX('D Fleet'!$K$5:$K$36,INT(($B112/I$5))+2)-INDEX('D Fleet'!$K$5:$K$36,INT(($B112/I$5))+1)),0)</f>
        <v/>
      </c>
      <c r="J112" s="261">
        <f>IFERROR(INDEX('D Fleet'!$E$5:$E$63,MATCH(J$3-$B112,'D Fleet'!$B$5:$B$63,0)),0)*IFERROR(INDEX('D Fleet'!$K$5:$K$36,INT(($B112/J$5))+1)+(($B112/J$5)-INT(($B112/J$5)))*(INDEX('D Fleet'!$K$5:$K$36,INT(($B112/J$5))+2)-INDEX('D Fleet'!$K$5:$K$36,INT(($B112/J$5))+1)),0)</f>
        <v/>
      </c>
      <c r="K112" s="261">
        <f>IFERROR(INDEX('D Fleet'!$E$5:$E$63,MATCH(K$3-$B112,'D Fleet'!$B$5:$B$63,0)),0)*IFERROR(INDEX('D Fleet'!$K$5:$K$36,INT(($B112/K$5))+1)+(($B112/K$5)-INT(($B112/K$5)))*(INDEX('D Fleet'!$K$5:$K$36,INT(($B112/K$5))+2)-INDEX('D Fleet'!$K$5:$K$36,INT(($B112/K$5))+1)),0)</f>
        <v/>
      </c>
      <c r="L112" s="261">
        <f>IFERROR(INDEX('D Fleet'!$E$5:$E$63,MATCH(L$3-$B112,'D Fleet'!$B$5:$B$63,0)),0)*IFERROR(INDEX('D Fleet'!$K$5:$K$36,INT(($B112/L$5))+1)+(($B112/L$5)-INT(($B112/L$5)))*(INDEX('D Fleet'!$K$5:$K$36,INT(($B112/L$5))+2)-INDEX('D Fleet'!$K$5:$K$36,INT(($B112/L$5))+1)),0)</f>
        <v/>
      </c>
      <c r="M112" s="261">
        <f>IFERROR(INDEX('D Fleet'!$E$5:$E$63,MATCH(M$3-$B112,'D Fleet'!$B$5:$B$63,0)),0)*IFERROR(INDEX('D Fleet'!$K$5:$K$36,INT(($B112/M$5))+1)+(($B112/M$5)-INT(($B112/M$5)))*(INDEX('D Fleet'!$K$5:$K$36,INT(($B112/M$5))+2)-INDEX('D Fleet'!$K$5:$K$36,INT(($B112/M$5))+1)),0)</f>
        <v/>
      </c>
      <c r="N112" s="261">
        <f>IFERROR(INDEX('D Fleet'!$E$5:$E$63,MATCH(N$3-$B112,'D Fleet'!$B$5:$B$63,0)),0)*IFERROR(INDEX('D Fleet'!$K$5:$K$36,INT(($B112/N$5))+1)+(($B112/N$5)-INT(($B112/N$5)))*(INDEX('D Fleet'!$K$5:$K$36,INT(($B112/N$5))+2)-INDEX('D Fleet'!$K$5:$K$36,INT(($B112/N$5))+1)),0)</f>
        <v/>
      </c>
      <c r="P112" s="261">
        <f>E112*$D112*'E1 Fleet'!$D$99</f>
        <v/>
      </c>
      <c r="Q112" s="261">
        <f>F112*$D112*'E1 Fleet'!$D$99</f>
        <v/>
      </c>
      <c r="R112" s="261">
        <f>G112*$D112*'E1 Fleet'!$D$99</f>
        <v/>
      </c>
      <c r="S112" s="261">
        <f>H112*$D112*'E1 Fleet'!$D$99</f>
        <v/>
      </c>
      <c r="T112" s="261">
        <f>I112*$D112*'E1 Fleet'!$D$99</f>
        <v/>
      </c>
      <c r="U112" s="261">
        <f>J112*$D112*'E1 Fleet'!$D$99</f>
        <v/>
      </c>
      <c r="V112" s="261">
        <f>K112*$D112*'E1 Fleet'!$D$99</f>
        <v/>
      </c>
      <c r="W112" s="261">
        <f>L112*$D112*'E1 Fleet'!$D$99</f>
        <v/>
      </c>
      <c r="X112" s="261">
        <f>M112*$D112*'E1 Fleet'!$D$99</f>
        <v/>
      </c>
      <c r="Y112" s="261">
        <f>N112*$D112*'E1 Fleet'!$D$99</f>
        <v/>
      </c>
    </row>
    <row r="113">
      <c r="A113" t="inlineStr">
        <is>
          <t>Pickup</t>
        </is>
      </c>
      <c r="B113" s="331" t="n">
        <v>14</v>
      </c>
      <c r="C113" s="331" t="n">
        <v>3</v>
      </c>
      <c r="D113" s="266">
        <f>IF($B113=0,'E1 Fleet'!$D$93,1)*EXP(-'E1 Fleet'!$D$94*MAX($B113-6,0))</f>
        <v/>
      </c>
      <c r="E113" s="261">
        <f>IFERROR(INDEX('D Fleet'!$E$5:$E$63,MATCH(E$3-$B113,'D Fleet'!$B$5:$B$63,0)),0)*IFERROR(INDEX('D Fleet'!$K$5:$K$36,INT(($B113/E$5))+1)+(($B113/E$5)-INT(($B113/E$5)))*(INDEX('D Fleet'!$K$5:$K$36,INT(($B113/E$5))+2)-INDEX('D Fleet'!$K$5:$K$36,INT(($B113/E$5))+1)),0)</f>
        <v/>
      </c>
      <c r="F113" s="261">
        <f>IFERROR(INDEX('D Fleet'!$E$5:$E$63,MATCH(F$3-$B113,'D Fleet'!$B$5:$B$63,0)),0)*IFERROR(INDEX('D Fleet'!$K$5:$K$36,INT(($B113/F$5))+1)+(($B113/F$5)-INT(($B113/F$5)))*(INDEX('D Fleet'!$K$5:$K$36,INT(($B113/F$5))+2)-INDEX('D Fleet'!$K$5:$K$36,INT(($B113/F$5))+1)),0)</f>
        <v/>
      </c>
      <c r="G113" s="261">
        <f>IFERROR(INDEX('D Fleet'!$E$5:$E$63,MATCH(G$3-$B113,'D Fleet'!$B$5:$B$63,0)),0)*IFERROR(INDEX('D Fleet'!$K$5:$K$36,INT(($B113/G$5))+1)+(($B113/G$5)-INT(($B113/G$5)))*(INDEX('D Fleet'!$K$5:$K$36,INT(($B113/G$5))+2)-INDEX('D Fleet'!$K$5:$K$36,INT(($B113/G$5))+1)),0)</f>
        <v/>
      </c>
      <c r="H113" s="261">
        <f>IFERROR(INDEX('D Fleet'!$E$5:$E$63,MATCH(H$3-$B113,'D Fleet'!$B$5:$B$63,0)),0)*IFERROR(INDEX('D Fleet'!$K$5:$K$36,INT(($B113/H$5))+1)+(($B113/H$5)-INT(($B113/H$5)))*(INDEX('D Fleet'!$K$5:$K$36,INT(($B113/H$5))+2)-INDEX('D Fleet'!$K$5:$K$36,INT(($B113/H$5))+1)),0)</f>
        <v/>
      </c>
      <c r="I113" s="261">
        <f>IFERROR(INDEX('D Fleet'!$E$5:$E$63,MATCH(I$3-$B113,'D Fleet'!$B$5:$B$63,0)),0)*IFERROR(INDEX('D Fleet'!$K$5:$K$36,INT(($B113/I$5))+1)+(($B113/I$5)-INT(($B113/I$5)))*(INDEX('D Fleet'!$K$5:$K$36,INT(($B113/I$5))+2)-INDEX('D Fleet'!$K$5:$K$36,INT(($B113/I$5))+1)),0)</f>
        <v/>
      </c>
      <c r="J113" s="261">
        <f>IFERROR(INDEX('D Fleet'!$E$5:$E$63,MATCH(J$3-$B113,'D Fleet'!$B$5:$B$63,0)),0)*IFERROR(INDEX('D Fleet'!$K$5:$K$36,INT(($B113/J$5))+1)+(($B113/J$5)-INT(($B113/J$5)))*(INDEX('D Fleet'!$K$5:$K$36,INT(($B113/J$5))+2)-INDEX('D Fleet'!$K$5:$K$36,INT(($B113/J$5))+1)),0)</f>
        <v/>
      </c>
      <c r="K113" s="261">
        <f>IFERROR(INDEX('D Fleet'!$E$5:$E$63,MATCH(K$3-$B113,'D Fleet'!$B$5:$B$63,0)),0)*IFERROR(INDEX('D Fleet'!$K$5:$K$36,INT(($B113/K$5))+1)+(($B113/K$5)-INT(($B113/K$5)))*(INDEX('D Fleet'!$K$5:$K$36,INT(($B113/K$5))+2)-INDEX('D Fleet'!$K$5:$K$36,INT(($B113/K$5))+1)),0)</f>
        <v/>
      </c>
      <c r="L113" s="261">
        <f>IFERROR(INDEX('D Fleet'!$E$5:$E$63,MATCH(L$3-$B113,'D Fleet'!$B$5:$B$63,0)),0)*IFERROR(INDEX('D Fleet'!$K$5:$K$36,INT(($B113/L$5))+1)+(($B113/L$5)-INT(($B113/L$5)))*(INDEX('D Fleet'!$K$5:$K$36,INT(($B113/L$5))+2)-INDEX('D Fleet'!$K$5:$K$36,INT(($B113/L$5))+1)),0)</f>
        <v/>
      </c>
      <c r="M113" s="261">
        <f>IFERROR(INDEX('D Fleet'!$E$5:$E$63,MATCH(M$3-$B113,'D Fleet'!$B$5:$B$63,0)),0)*IFERROR(INDEX('D Fleet'!$K$5:$K$36,INT(($B113/M$5))+1)+(($B113/M$5)-INT(($B113/M$5)))*(INDEX('D Fleet'!$K$5:$K$36,INT(($B113/M$5))+2)-INDEX('D Fleet'!$K$5:$K$36,INT(($B113/M$5))+1)),0)</f>
        <v/>
      </c>
      <c r="N113" s="261">
        <f>IFERROR(INDEX('D Fleet'!$E$5:$E$63,MATCH(N$3-$B113,'D Fleet'!$B$5:$B$63,0)),0)*IFERROR(INDEX('D Fleet'!$K$5:$K$36,INT(($B113/N$5))+1)+(($B113/N$5)-INT(($B113/N$5)))*(INDEX('D Fleet'!$K$5:$K$36,INT(($B113/N$5))+2)-INDEX('D Fleet'!$K$5:$K$36,INT(($B113/N$5))+1)),0)</f>
        <v/>
      </c>
      <c r="P113" s="261">
        <f>E113*$D113*'E1 Fleet'!$D$99</f>
        <v/>
      </c>
      <c r="Q113" s="261">
        <f>F113*$D113*'E1 Fleet'!$D$99</f>
        <v/>
      </c>
      <c r="R113" s="261">
        <f>G113*$D113*'E1 Fleet'!$D$99</f>
        <v/>
      </c>
      <c r="S113" s="261">
        <f>H113*$D113*'E1 Fleet'!$D$99</f>
        <v/>
      </c>
      <c r="T113" s="261">
        <f>I113*$D113*'E1 Fleet'!$D$99</f>
        <v/>
      </c>
      <c r="U113" s="261">
        <f>J113*$D113*'E1 Fleet'!$D$99</f>
        <v/>
      </c>
      <c r="V113" s="261">
        <f>K113*$D113*'E1 Fleet'!$D$99</f>
        <v/>
      </c>
      <c r="W113" s="261">
        <f>L113*$D113*'E1 Fleet'!$D$99</f>
        <v/>
      </c>
      <c r="X113" s="261">
        <f>M113*$D113*'E1 Fleet'!$D$99</f>
        <v/>
      </c>
      <c r="Y113" s="261">
        <f>N113*$D113*'E1 Fleet'!$D$99</f>
        <v/>
      </c>
    </row>
    <row r="114">
      <c r="A114" t="inlineStr">
        <is>
          <t>Pickup</t>
        </is>
      </c>
      <c r="B114" s="331" t="n">
        <v>15</v>
      </c>
      <c r="C114" s="331" t="n">
        <v>3</v>
      </c>
      <c r="D114" s="266">
        <f>IF($B114=0,'E1 Fleet'!$D$93,1)*EXP(-'E1 Fleet'!$D$94*MAX($B114-6,0))</f>
        <v/>
      </c>
      <c r="E114" s="261">
        <f>IFERROR(INDEX('D Fleet'!$E$5:$E$63,MATCH(E$3-$B114,'D Fleet'!$B$5:$B$63,0)),0)*IFERROR(INDEX('D Fleet'!$K$5:$K$36,INT(($B114/E$5))+1)+(($B114/E$5)-INT(($B114/E$5)))*(INDEX('D Fleet'!$K$5:$K$36,INT(($B114/E$5))+2)-INDEX('D Fleet'!$K$5:$K$36,INT(($B114/E$5))+1)),0)</f>
        <v/>
      </c>
      <c r="F114" s="261">
        <f>IFERROR(INDEX('D Fleet'!$E$5:$E$63,MATCH(F$3-$B114,'D Fleet'!$B$5:$B$63,0)),0)*IFERROR(INDEX('D Fleet'!$K$5:$K$36,INT(($B114/F$5))+1)+(($B114/F$5)-INT(($B114/F$5)))*(INDEX('D Fleet'!$K$5:$K$36,INT(($B114/F$5))+2)-INDEX('D Fleet'!$K$5:$K$36,INT(($B114/F$5))+1)),0)</f>
        <v/>
      </c>
      <c r="G114" s="261">
        <f>IFERROR(INDEX('D Fleet'!$E$5:$E$63,MATCH(G$3-$B114,'D Fleet'!$B$5:$B$63,0)),0)*IFERROR(INDEX('D Fleet'!$K$5:$K$36,INT(($B114/G$5))+1)+(($B114/G$5)-INT(($B114/G$5)))*(INDEX('D Fleet'!$K$5:$K$36,INT(($B114/G$5))+2)-INDEX('D Fleet'!$K$5:$K$36,INT(($B114/G$5))+1)),0)</f>
        <v/>
      </c>
      <c r="H114" s="261">
        <f>IFERROR(INDEX('D Fleet'!$E$5:$E$63,MATCH(H$3-$B114,'D Fleet'!$B$5:$B$63,0)),0)*IFERROR(INDEX('D Fleet'!$K$5:$K$36,INT(($B114/H$5))+1)+(($B114/H$5)-INT(($B114/H$5)))*(INDEX('D Fleet'!$K$5:$K$36,INT(($B114/H$5))+2)-INDEX('D Fleet'!$K$5:$K$36,INT(($B114/H$5))+1)),0)</f>
        <v/>
      </c>
      <c r="I114" s="261">
        <f>IFERROR(INDEX('D Fleet'!$E$5:$E$63,MATCH(I$3-$B114,'D Fleet'!$B$5:$B$63,0)),0)*IFERROR(INDEX('D Fleet'!$K$5:$K$36,INT(($B114/I$5))+1)+(($B114/I$5)-INT(($B114/I$5)))*(INDEX('D Fleet'!$K$5:$K$36,INT(($B114/I$5))+2)-INDEX('D Fleet'!$K$5:$K$36,INT(($B114/I$5))+1)),0)</f>
        <v/>
      </c>
      <c r="J114" s="261">
        <f>IFERROR(INDEX('D Fleet'!$E$5:$E$63,MATCH(J$3-$B114,'D Fleet'!$B$5:$B$63,0)),0)*IFERROR(INDEX('D Fleet'!$K$5:$K$36,INT(($B114/J$5))+1)+(($B114/J$5)-INT(($B114/J$5)))*(INDEX('D Fleet'!$K$5:$K$36,INT(($B114/J$5))+2)-INDEX('D Fleet'!$K$5:$K$36,INT(($B114/J$5))+1)),0)</f>
        <v/>
      </c>
      <c r="K114" s="261">
        <f>IFERROR(INDEX('D Fleet'!$E$5:$E$63,MATCH(K$3-$B114,'D Fleet'!$B$5:$B$63,0)),0)*IFERROR(INDEX('D Fleet'!$K$5:$K$36,INT(($B114/K$5))+1)+(($B114/K$5)-INT(($B114/K$5)))*(INDEX('D Fleet'!$K$5:$K$36,INT(($B114/K$5))+2)-INDEX('D Fleet'!$K$5:$K$36,INT(($B114/K$5))+1)),0)</f>
        <v/>
      </c>
      <c r="L114" s="261">
        <f>IFERROR(INDEX('D Fleet'!$E$5:$E$63,MATCH(L$3-$B114,'D Fleet'!$B$5:$B$63,0)),0)*IFERROR(INDEX('D Fleet'!$K$5:$K$36,INT(($B114/L$5))+1)+(($B114/L$5)-INT(($B114/L$5)))*(INDEX('D Fleet'!$K$5:$K$36,INT(($B114/L$5))+2)-INDEX('D Fleet'!$K$5:$K$36,INT(($B114/L$5))+1)),0)</f>
        <v/>
      </c>
      <c r="M114" s="261">
        <f>IFERROR(INDEX('D Fleet'!$E$5:$E$63,MATCH(M$3-$B114,'D Fleet'!$B$5:$B$63,0)),0)*IFERROR(INDEX('D Fleet'!$K$5:$K$36,INT(($B114/M$5))+1)+(($B114/M$5)-INT(($B114/M$5)))*(INDEX('D Fleet'!$K$5:$K$36,INT(($B114/M$5))+2)-INDEX('D Fleet'!$K$5:$K$36,INT(($B114/M$5))+1)),0)</f>
        <v/>
      </c>
      <c r="N114" s="261">
        <f>IFERROR(INDEX('D Fleet'!$E$5:$E$63,MATCH(N$3-$B114,'D Fleet'!$B$5:$B$63,0)),0)*IFERROR(INDEX('D Fleet'!$K$5:$K$36,INT(($B114/N$5))+1)+(($B114/N$5)-INT(($B114/N$5)))*(INDEX('D Fleet'!$K$5:$K$36,INT(($B114/N$5))+2)-INDEX('D Fleet'!$K$5:$K$36,INT(($B114/N$5))+1)),0)</f>
        <v/>
      </c>
      <c r="P114" s="261">
        <f>E114*$D114*'E1 Fleet'!$D$99</f>
        <v/>
      </c>
      <c r="Q114" s="261">
        <f>F114*$D114*'E1 Fleet'!$D$99</f>
        <v/>
      </c>
      <c r="R114" s="261">
        <f>G114*$D114*'E1 Fleet'!$D$99</f>
        <v/>
      </c>
      <c r="S114" s="261">
        <f>H114*$D114*'E1 Fleet'!$D$99</f>
        <v/>
      </c>
      <c r="T114" s="261">
        <f>I114*$D114*'E1 Fleet'!$D$99</f>
        <v/>
      </c>
      <c r="U114" s="261">
        <f>J114*$D114*'E1 Fleet'!$D$99</f>
        <v/>
      </c>
      <c r="V114" s="261">
        <f>K114*$D114*'E1 Fleet'!$D$99</f>
        <v/>
      </c>
      <c r="W114" s="261">
        <f>L114*$D114*'E1 Fleet'!$D$99</f>
        <v/>
      </c>
      <c r="X114" s="261">
        <f>M114*$D114*'E1 Fleet'!$D$99</f>
        <v/>
      </c>
      <c r="Y114" s="261">
        <f>N114*$D114*'E1 Fleet'!$D$99</f>
        <v/>
      </c>
    </row>
    <row r="115">
      <c r="A115" t="inlineStr">
        <is>
          <t>Pickup</t>
        </is>
      </c>
      <c r="B115" s="331" t="n">
        <v>16</v>
      </c>
      <c r="C115" s="331" t="n">
        <v>3</v>
      </c>
      <c r="D115" s="266">
        <f>IF($B115=0,'E1 Fleet'!$D$93,1)*EXP(-'E1 Fleet'!$D$94*MAX($B115-6,0))</f>
        <v/>
      </c>
      <c r="E115" s="261">
        <f>IFERROR(INDEX('D Fleet'!$E$5:$E$63,MATCH(E$3-$B115,'D Fleet'!$B$5:$B$63,0)),0)*IFERROR(INDEX('D Fleet'!$K$5:$K$36,INT(($B115/E$5))+1)+(($B115/E$5)-INT(($B115/E$5)))*(INDEX('D Fleet'!$K$5:$K$36,INT(($B115/E$5))+2)-INDEX('D Fleet'!$K$5:$K$36,INT(($B115/E$5))+1)),0)</f>
        <v/>
      </c>
      <c r="F115" s="261">
        <f>IFERROR(INDEX('D Fleet'!$E$5:$E$63,MATCH(F$3-$B115,'D Fleet'!$B$5:$B$63,0)),0)*IFERROR(INDEX('D Fleet'!$K$5:$K$36,INT(($B115/F$5))+1)+(($B115/F$5)-INT(($B115/F$5)))*(INDEX('D Fleet'!$K$5:$K$36,INT(($B115/F$5))+2)-INDEX('D Fleet'!$K$5:$K$36,INT(($B115/F$5))+1)),0)</f>
        <v/>
      </c>
      <c r="G115" s="261">
        <f>IFERROR(INDEX('D Fleet'!$E$5:$E$63,MATCH(G$3-$B115,'D Fleet'!$B$5:$B$63,0)),0)*IFERROR(INDEX('D Fleet'!$K$5:$K$36,INT(($B115/G$5))+1)+(($B115/G$5)-INT(($B115/G$5)))*(INDEX('D Fleet'!$K$5:$K$36,INT(($B115/G$5))+2)-INDEX('D Fleet'!$K$5:$K$36,INT(($B115/G$5))+1)),0)</f>
        <v/>
      </c>
      <c r="H115" s="261">
        <f>IFERROR(INDEX('D Fleet'!$E$5:$E$63,MATCH(H$3-$B115,'D Fleet'!$B$5:$B$63,0)),0)*IFERROR(INDEX('D Fleet'!$K$5:$K$36,INT(($B115/H$5))+1)+(($B115/H$5)-INT(($B115/H$5)))*(INDEX('D Fleet'!$K$5:$K$36,INT(($B115/H$5))+2)-INDEX('D Fleet'!$K$5:$K$36,INT(($B115/H$5))+1)),0)</f>
        <v/>
      </c>
      <c r="I115" s="261">
        <f>IFERROR(INDEX('D Fleet'!$E$5:$E$63,MATCH(I$3-$B115,'D Fleet'!$B$5:$B$63,0)),0)*IFERROR(INDEX('D Fleet'!$K$5:$K$36,INT(($B115/I$5))+1)+(($B115/I$5)-INT(($B115/I$5)))*(INDEX('D Fleet'!$K$5:$K$36,INT(($B115/I$5))+2)-INDEX('D Fleet'!$K$5:$K$36,INT(($B115/I$5))+1)),0)</f>
        <v/>
      </c>
      <c r="J115" s="261">
        <f>IFERROR(INDEX('D Fleet'!$E$5:$E$63,MATCH(J$3-$B115,'D Fleet'!$B$5:$B$63,0)),0)*IFERROR(INDEX('D Fleet'!$K$5:$K$36,INT(($B115/J$5))+1)+(($B115/J$5)-INT(($B115/J$5)))*(INDEX('D Fleet'!$K$5:$K$36,INT(($B115/J$5))+2)-INDEX('D Fleet'!$K$5:$K$36,INT(($B115/J$5))+1)),0)</f>
        <v/>
      </c>
      <c r="K115" s="261">
        <f>IFERROR(INDEX('D Fleet'!$E$5:$E$63,MATCH(K$3-$B115,'D Fleet'!$B$5:$B$63,0)),0)*IFERROR(INDEX('D Fleet'!$K$5:$K$36,INT(($B115/K$5))+1)+(($B115/K$5)-INT(($B115/K$5)))*(INDEX('D Fleet'!$K$5:$K$36,INT(($B115/K$5))+2)-INDEX('D Fleet'!$K$5:$K$36,INT(($B115/K$5))+1)),0)</f>
        <v/>
      </c>
      <c r="L115" s="261">
        <f>IFERROR(INDEX('D Fleet'!$E$5:$E$63,MATCH(L$3-$B115,'D Fleet'!$B$5:$B$63,0)),0)*IFERROR(INDEX('D Fleet'!$K$5:$K$36,INT(($B115/L$5))+1)+(($B115/L$5)-INT(($B115/L$5)))*(INDEX('D Fleet'!$K$5:$K$36,INT(($B115/L$5))+2)-INDEX('D Fleet'!$K$5:$K$36,INT(($B115/L$5))+1)),0)</f>
        <v/>
      </c>
      <c r="M115" s="261">
        <f>IFERROR(INDEX('D Fleet'!$E$5:$E$63,MATCH(M$3-$B115,'D Fleet'!$B$5:$B$63,0)),0)*IFERROR(INDEX('D Fleet'!$K$5:$K$36,INT(($B115/M$5))+1)+(($B115/M$5)-INT(($B115/M$5)))*(INDEX('D Fleet'!$K$5:$K$36,INT(($B115/M$5))+2)-INDEX('D Fleet'!$K$5:$K$36,INT(($B115/M$5))+1)),0)</f>
        <v/>
      </c>
      <c r="N115" s="261">
        <f>IFERROR(INDEX('D Fleet'!$E$5:$E$63,MATCH(N$3-$B115,'D Fleet'!$B$5:$B$63,0)),0)*IFERROR(INDEX('D Fleet'!$K$5:$K$36,INT(($B115/N$5))+1)+(($B115/N$5)-INT(($B115/N$5)))*(INDEX('D Fleet'!$K$5:$K$36,INT(($B115/N$5))+2)-INDEX('D Fleet'!$K$5:$K$36,INT(($B115/N$5))+1)),0)</f>
        <v/>
      </c>
      <c r="P115" s="261">
        <f>E115*$D115*'E1 Fleet'!$D$99</f>
        <v/>
      </c>
      <c r="Q115" s="261">
        <f>F115*$D115*'E1 Fleet'!$D$99</f>
        <v/>
      </c>
      <c r="R115" s="261">
        <f>G115*$D115*'E1 Fleet'!$D$99</f>
        <v/>
      </c>
      <c r="S115" s="261">
        <f>H115*$D115*'E1 Fleet'!$D$99</f>
        <v/>
      </c>
      <c r="T115" s="261">
        <f>I115*$D115*'E1 Fleet'!$D$99</f>
        <v/>
      </c>
      <c r="U115" s="261">
        <f>J115*$D115*'E1 Fleet'!$D$99</f>
        <v/>
      </c>
      <c r="V115" s="261">
        <f>K115*$D115*'E1 Fleet'!$D$99</f>
        <v/>
      </c>
      <c r="W115" s="261">
        <f>L115*$D115*'E1 Fleet'!$D$99</f>
        <v/>
      </c>
      <c r="X115" s="261">
        <f>M115*$D115*'E1 Fleet'!$D$99</f>
        <v/>
      </c>
      <c r="Y115" s="261">
        <f>N115*$D115*'E1 Fleet'!$D$99</f>
        <v/>
      </c>
    </row>
    <row r="116">
      <c r="A116" t="inlineStr">
        <is>
          <t>Pickup</t>
        </is>
      </c>
      <c r="B116" s="331" t="n">
        <v>17</v>
      </c>
      <c r="C116" s="331" t="n">
        <v>3</v>
      </c>
      <c r="D116" s="266">
        <f>IF($B116=0,'E1 Fleet'!$D$93,1)*EXP(-'E1 Fleet'!$D$94*MAX($B116-6,0))</f>
        <v/>
      </c>
      <c r="E116" s="261">
        <f>IFERROR(INDEX('D Fleet'!$E$5:$E$63,MATCH(E$3-$B116,'D Fleet'!$B$5:$B$63,0)),0)*IFERROR(INDEX('D Fleet'!$K$5:$K$36,INT(($B116/E$5))+1)+(($B116/E$5)-INT(($B116/E$5)))*(INDEX('D Fleet'!$K$5:$K$36,INT(($B116/E$5))+2)-INDEX('D Fleet'!$K$5:$K$36,INT(($B116/E$5))+1)),0)</f>
        <v/>
      </c>
      <c r="F116" s="261">
        <f>IFERROR(INDEX('D Fleet'!$E$5:$E$63,MATCH(F$3-$B116,'D Fleet'!$B$5:$B$63,0)),0)*IFERROR(INDEX('D Fleet'!$K$5:$K$36,INT(($B116/F$5))+1)+(($B116/F$5)-INT(($B116/F$5)))*(INDEX('D Fleet'!$K$5:$K$36,INT(($B116/F$5))+2)-INDEX('D Fleet'!$K$5:$K$36,INT(($B116/F$5))+1)),0)</f>
        <v/>
      </c>
      <c r="G116" s="261">
        <f>IFERROR(INDEX('D Fleet'!$E$5:$E$63,MATCH(G$3-$B116,'D Fleet'!$B$5:$B$63,0)),0)*IFERROR(INDEX('D Fleet'!$K$5:$K$36,INT(($B116/G$5))+1)+(($B116/G$5)-INT(($B116/G$5)))*(INDEX('D Fleet'!$K$5:$K$36,INT(($B116/G$5))+2)-INDEX('D Fleet'!$K$5:$K$36,INT(($B116/G$5))+1)),0)</f>
        <v/>
      </c>
      <c r="H116" s="261">
        <f>IFERROR(INDEX('D Fleet'!$E$5:$E$63,MATCH(H$3-$B116,'D Fleet'!$B$5:$B$63,0)),0)*IFERROR(INDEX('D Fleet'!$K$5:$K$36,INT(($B116/H$5))+1)+(($B116/H$5)-INT(($B116/H$5)))*(INDEX('D Fleet'!$K$5:$K$36,INT(($B116/H$5))+2)-INDEX('D Fleet'!$K$5:$K$36,INT(($B116/H$5))+1)),0)</f>
        <v/>
      </c>
      <c r="I116" s="261">
        <f>IFERROR(INDEX('D Fleet'!$E$5:$E$63,MATCH(I$3-$B116,'D Fleet'!$B$5:$B$63,0)),0)*IFERROR(INDEX('D Fleet'!$K$5:$K$36,INT(($B116/I$5))+1)+(($B116/I$5)-INT(($B116/I$5)))*(INDEX('D Fleet'!$K$5:$K$36,INT(($B116/I$5))+2)-INDEX('D Fleet'!$K$5:$K$36,INT(($B116/I$5))+1)),0)</f>
        <v/>
      </c>
      <c r="J116" s="261">
        <f>IFERROR(INDEX('D Fleet'!$E$5:$E$63,MATCH(J$3-$B116,'D Fleet'!$B$5:$B$63,0)),0)*IFERROR(INDEX('D Fleet'!$K$5:$K$36,INT(($B116/J$5))+1)+(($B116/J$5)-INT(($B116/J$5)))*(INDEX('D Fleet'!$K$5:$K$36,INT(($B116/J$5))+2)-INDEX('D Fleet'!$K$5:$K$36,INT(($B116/J$5))+1)),0)</f>
        <v/>
      </c>
      <c r="K116" s="261">
        <f>IFERROR(INDEX('D Fleet'!$E$5:$E$63,MATCH(K$3-$B116,'D Fleet'!$B$5:$B$63,0)),0)*IFERROR(INDEX('D Fleet'!$K$5:$K$36,INT(($B116/K$5))+1)+(($B116/K$5)-INT(($B116/K$5)))*(INDEX('D Fleet'!$K$5:$K$36,INT(($B116/K$5))+2)-INDEX('D Fleet'!$K$5:$K$36,INT(($B116/K$5))+1)),0)</f>
        <v/>
      </c>
      <c r="L116" s="261">
        <f>IFERROR(INDEX('D Fleet'!$E$5:$E$63,MATCH(L$3-$B116,'D Fleet'!$B$5:$B$63,0)),0)*IFERROR(INDEX('D Fleet'!$K$5:$K$36,INT(($B116/L$5))+1)+(($B116/L$5)-INT(($B116/L$5)))*(INDEX('D Fleet'!$K$5:$K$36,INT(($B116/L$5))+2)-INDEX('D Fleet'!$K$5:$K$36,INT(($B116/L$5))+1)),0)</f>
        <v/>
      </c>
      <c r="M116" s="261">
        <f>IFERROR(INDEX('D Fleet'!$E$5:$E$63,MATCH(M$3-$B116,'D Fleet'!$B$5:$B$63,0)),0)*IFERROR(INDEX('D Fleet'!$K$5:$K$36,INT(($B116/M$5))+1)+(($B116/M$5)-INT(($B116/M$5)))*(INDEX('D Fleet'!$K$5:$K$36,INT(($B116/M$5))+2)-INDEX('D Fleet'!$K$5:$K$36,INT(($B116/M$5))+1)),0)</f>
        <v/>
      </c>
      <c r="N116" s="261">
        <f>IFERROR(INDEX('D Fleet'!$E$5:$E$63,MATCH(N$3-$B116,'D Fleet'!$B$5:$B$63,0)),0)*IFERROR(INDEX('D Fleet'!$K$5:$K$36,INT(($B116/N$5))+1)+(($B116/N$5)-INT(($B116/N$5)))*(INDEX('D Fleet'!$K$5:$K$36,INT(($B116/N$5))+2)-INDEX('D Fleet'!$K$5:$K$36,INT(($B116/N$5))+1)),0)</f>
        <v/>
      </c>
      <c r="P116" s="261">
        <f>E116*$D116*'E1 Fleet'!$D$99</f>
        <v/>
      </c>
      <c r="Q116" s="261">
        <f>F116*$D116*'E1 Fleet'!$D$99</f>
        <v/>
      </c>
      <c r="R116" s="261">
        <f>G116*$D116*'E1 Fleet'!$D$99</f>
        <v/>
      </c>
      <c r="S116" s="261">
        <f>H116*$D116*'E1 Fleet'!$D$99</f>
        <v/>
      </c>
      <c r="T116" s="261">
        <f>I116*$D116*'E1 Fleet'!$D$99</f>
        <v/>
      </c>
      <c r="U116" s="261">
        <f>J116*$D116*'E1 Fleet'!$D$99</f>
        <v/>
      </c>
      <c r="V116" s="261">
        <f>K116*$D116*'E1 Fleet'!$D$99</f>
        <v/>
      </c>
      <c r="W116" s="261">
        <f>L116*$D116*'E1 Fleet'!$D$99</f>
        <v/>
      </c>
      <c r="X116" s="261">
        <f>M116*$D116*'E1 Fleet'!$D$99</f>
        <v/>
      </c>
      <c r="Y116" s="261">
        <f>N116*$D116*'E1 Fleet'!$D$99</f>
        <v/>
      </c>
    </row>
    <row r="117">
      <c r="A117" t="inlineStr">
        <is>
          <t>Pickup</t>
        </is>
      </c>
      <c r="B117" s="331" t="n">
        <v>18</v>
      </c>
      <c r="C117" s="331" t="n">
        <v>3</v>
      </c>
      <c r="D117" s="266">
        <f>IF($B117=0,'E1 Fleet'!$D$93,1)*EXP(-'E1 Fleet'!$D$94*MAX($B117-6,0))</f>
        <v/>
      </c>
      <c r="E117" s="261">
        <f>IFERROR(INDEX('D Fleet'!$E$5:$E$63,MATCH(E$3-$B117,'D Fleet'!$B$5:$B$63,0)),0)*IFERROR(INDEX('D Fleet'!$K$5:$K$36,INT(($B117/E$5))+1)+(($B117/E$5)-INT(($B117/E$5)))*(INDEX('D Fleet'!$K$5:$K$36,INT(($B117/E$5))+2)-INDEX('D Fleet'!$K$5:$K$36,INT(($B117/E$5))+1)),0)</f>
        <v/>
      </c>
      <c r="F117" s="261">
        <f>IFERROR(INDEX('D Fleet'!$E$5:$E$63,MATCH(F$3-$B117,'D Fleet'!$B$5:$B$63,0)),0)*IFERROR(INDEX('D Fleet'!$K$5:$K$36,INT(($B117/F$5))+1)+(($B117/F$5)-INT(($B117/F$5)))*(INDEX('D Fleet'!$K$5:$K$36,INT(($B117/F$5))+2)-INDEX('D Fleet'!$K$5:$K$36,INT(($B117/F$5))+1)),0)</f>
        <v/>
      </c>
      <c r="G117" s="261">
        <f>IFERROR(INDEX('D Fleet'!$E$5:$E$63,MATCH(G$3-$B117,'D Fleet'!$B$5:$B$63,0)),0)*IFERROR(INDEX('D Fleet'!$K$5:$K$36,INT(($B117/G$5))+1)+(($B117/G$5)-INT(($B117/G$5)))*(INDEX('D Fleet'!$K$5:$K$36,INT(($B117/G$5))+2)-INDEX('D Fleet'!$K$5:$K$36,INT(($B117/G$5))+1)),0)</f>
        <v/>
      </c>
      <c r="H117" s="261">
        <f>IFERROR(INDEX('D Fleet'!$E$5:$E$63,MATCH(H$3-$B117,'D Fleet'!$B$5:$B$63,0)),0)*IFERROR(INDEX('D Fleet'!$K$5:$K$36,INT(($B117/H$5))+1)+(($B117/H$5)-INT(($B117/H$5)))*(INDEX('D Fleet'!$K$5:$K$36,INT(($B117/H$5))+2)-INDEX('D Fleet'!$K$5:$K$36,INT(($B117/H$5))+1)),0)</f>
        <v/>
      </c>
      <c r="I117" s="261">
        <f>IFERROR(INDEX('D Fleet'!$E$5:$E$63,MATCH(I$3-$B117,'D Fleet'!$B$5:$B$63,0)),0)*IFERROR(INDEX('D Fleet'!$K$5:$K$36,INT(($B117/I$5))+1)+(($B117/I$5)-INT(($B117/I$5)))*(INDEX('D Fleet'!$K$5:$K$36,INT(($B117/I$5))+2)-INDEX('D Fleet'!$K$5:$K$36,INT(($B117/I$5))+1)),0)</f>
        <v/>
      </c>
      <c r="J117" s="261">
        <f>IFERROR(INDEX('D Fleet'!$E$5:$E$63,MATCH(J$3-$B117,'D Fleet'!$B$5:$B$63,0)),0)*IFERROR(INDEX('D Fleet'!$K$5:$K$36,INT(($B117/J$5))+1)+(($B117/J$5)-INT(($B117/J$5)))*(INDEX('D Fleet'!$K$5:$K$36,INT(($B117/J$5))+2)-INDEX('D Fleet'!$K$5:$K$36,INT(($B117/J$5))+1)),0)</f>
        <v/>
      </c>
      <c r="K117" s="261">
        <f>IFERROR(INDEX('D Fleet'!$E$5:$E$63,MATCH(K$3-$B117,'D Fleet'!$B$5:$B$63,0)),0)*IFERROR(INDEX('D Fleet'!$K$5:$K$36,INT(($B117/K$5))+1)+(($B117/K$5)-INT(($B117/K$5)))*(INDEX('D Fleet'!$K$5:$K$36,INT(($B117/K$5))+2)-INDEX('D Fleet'!$K$5:$K$36,INT(($B117/K$5))+1)),0)</f>
        <v/>
      </c>
      <c r="L117" s="261">
        <f>IFERROR(INDEX('D Fleet'!$E$5:$E$63,MATCH(L$3-$B117,'D Fleet'!$B$5:$B$63,0)),0)*IFERROR(INDEX('D Fleet'!$K$5:$K$36,INT(($B117/L$5))+1)+(($B117/L$5)-INT(($B117/L$5)))*(INDEX('D Fleet'!$K$5:$K$36,INT(($B117/L$5))+2)-INDEX('D Fleet'!$K$5:$K$36,INT(($B117/L$5))+1)),0)</f>
        <v/>
      </c>
      <c r="M117" s="261">
        <f>IFERROR(INDEX('D Fleet'!$E$5:$E$63,MATCH(M$3-$B117,'D Fleet'!$B$5:$B$63,0)),0)*IFERROR(INDEX('D Fleet'!$K$5:$K$36,INT(($B117/M$5))+1)+(($B117/M$5)-INT(($B117/M$5)))*(INDEX('D Fleet'!$K$5:$K$36,INT(($B117/M$5))+2)-INDEX('D Fleet'!$K$5:$K$36,INT(($B117/M$5))+1)),0)</f>
        <v/>
      </c>
      <c r="N117" s="261">
        <f>IFERROR(INDEX('D Fleet'!$E$5:$E$63,MATCH(N$3-$B117,'D Fleet'!$B$5:$B$63,0)),0)*IFERROR(INDEX('D Fleet'!$K$5:$K$36,INT(($B117/N$5))+1)+(($B117/N$5)-INT(($B117/N$5)))*(INDEX('D Fleet'!$K$5:$K$36,INT(($B117/N$5))+2)-INDEX('D Fleet'!$K$5:$K$36,INT(($B117/N$5))+1)),0)</f>
        <v/>
      </c>
      <c r="P117" s="261">
        <f>E117*$D117*'E1 Fleet'!$D$99</f>
        <v/>
      </c>
      <c r="Q117" s="261">
        <f>F117*$D117*'E1 Fleet'!$D$99</f>
        <v/>
      </c>
      <c r="R117" s="261">
        <f>G117*$D117*'E1 Fleet'!$D$99</f>
        <v/>
      </c>
      <c r="S117" s="261">
        <f>H117*$D117*'E1 Fleet'!$D$99</f>
        <v/>
      </c>
      <c r="T117" s="261">
        <f>I117*$D117*'E1 Fleet'!$D$99</f>
        <v/>
      </c>
      <c r="U117" s="261">
        <f>J117*$D117*'E1 Fleet'!$D$99</f>
        <v/>
      </c>
      <c r="V117" s="261">
        <f>K117*$D117*'E1 Fleet'!$D$99</f>
        <v/>
      </c>
      <c r="W117" s="261">
        <f>L117*$D117*'E1 Fleet'!$D$99</f>
        <v/>
      </c>
      <c r="X117" s="261">
        <f>M117*$D117*'E1 Fleet'!$D$99</f>
        <v/>
      </c>
      <c r="Y117" s="261">
        <f>N117*$D117*'E1 Fleet'!$D$99</f>
        <v/>
      </c>
    </row>
    <row r="118">
      <c r="A118" t="inlineStr">
        <is>
          <t>Pickup</t>
        </is>
      </c>
      <c r="B118" s="331" t="n">
        <v>19</v>
      </c>
      <c r="C118" s="331" t="n">
        <v>3</v>
      </c>
      <c r="D118" s="266">
        <f>IF($B118=0,'E1 Fleet'!$D$93,1)*EXP(-'E1 Fleet'!$D$94*MAX($B118-6,0))</f>
        <v/>
      </c>
      <c r="E118" s="261">
        <f>IFERROR(INDEX('D Fleet'!$E$5:$E$63,MATCH(E$3-$B118,'D Fleet'!$B$5:$B$63,0)),0)*IFERROR(INDEX('D Fleet'!$K$5:$K$36,INT(($B118/E$5))+1)+(($B118/E$5)-INT(($B118/E$5)))*(INDEX('D Fleet'!$K$5:$K$36,INT(($B118/E$5))+2)-INDEX('D Fleet'!$K$5:$K$36,INT(($B118/E$5))+1)),0)</f>
        <v/>
      </c>
      <c r="F118" s="261">
        <f>IFERROR(INDEX('D Fleet'!$E$5:$E$63,MATCH(F$3-$B118,'D Fleet'!$B$5:$B$63,0)),0)*IFERROR(INDEX('D Fleet'!$K$5:$K$36,INT(($B118/F$5))+1)+(($B118/F$5)-INT(($B118/F$5)))*(INDEX('D Fleet'!$K$5:$K$36,INT(($B118/F$5))+2)-INDEX('D Fleet'!$K$5:$K$36,INT(($B118/F$5))+1)),0)</f>
        <v/>
      </c>
      <c r="G118" s="261">
        <f>IFERROR(INDEX('D Fleet'!$E$5:$E$63,MATCH(G$3-$B118,'D Fleet'!$B$5:$B$63,0)),0)*IFERROR(INDEX('D Fleet'!$K$5:$K$36,INT(($B118/G$5))+1)+(($B118/G$5)-INT(($B118/G$5)))*(INDEX('D Fleet'!$K$5:$K$36,INT(($B118/G$5))+2)-INDEX('D Fleet'!$K$5:$K$36,INT(($B118/G$5))+1)),0)</f>
        <v/>
      </c>
      <c r="H118" s="261">
        <f>IFERROR(INDEX('D Fleet'!$E$5:$E$63,MATCH(H$3-$B118,'D Fleet'!$B$5:$B$63,0)),0)*IFERROR(INDEX('D Fleet'!$K$5:$K$36,INT(($B118/H$5))+1)+(($B118/H$5)-INT(($B118/H$5)))*(INDEX('D Fleet'!$K$5:$K$36,INT(($B118/H$5))+2)-INDEX('D Fleet'!$K$5:$K$36,INT(($B118/H$5))+1)),0)</f>
        <v/>
      </c>
      <c r="I118" s="261">
        <f>IFERROR(INDEX('D Fleet'!$E$5:$E$63,MATCH(I$3-$B118,'D Fleet'!$B$5:$B$63,0)),0)*IFERROR(INDEX('D Fleet'!$K$5:$K$36,INT(($B118/I$5))+1)+(($B118/I$5)-INT(($B118/I$5)))*(INDEX('D Fleet'!$K$5:$K$36,INT(($B118/I$5))+2)-INDEX('D Fleet'!$K$5:$K$36,INT(($B118/I$5))+1)),0)</f>
        <v/>
      </c>
      <c r="J118" s="261">
        <f>IFERROR(INDEX('D Fleet'!$E$5:$E$63,MATCH(J$3-$B118,'D Fleet'!$B$5:$B$63,0)),0)*IFERROR(INDEX('D Fleet'!$K$5:$K$36,INT(($B118/J$5))+1)+(($B118/J$5)-INT(($B118/J$5)))*(INDEX('D Fleet'!$K$5:$K$36,INT(($B118/J$5))+2)-INDEX('D Fleet'!$K$5:$K$36,INT(($B118/J$5))+1)),0)</f>
        <v/>
      </c>
      <c r="K118" s="261">
        <f>IFERROR(INDEX('D Fleet'!$E$5:$E$63,MATCH(K$3-$B118,'D Fleet'!$B$5:$B$63,0)),0)*IFERROR(INDEX('D Fleet'!$K$5:$K$36,INT(($B118/K$5))+1)+(($B118/K$5)-INT(($B118/K$5)))*(INDEX('D Fleet'!$K$5:$K$36,INT(($B118/K$5))+2)-INDEX('D Fleet'!$K$5:$K$36,INT(($B118/K$5))+1)),0)</f>
        <v/>
      </c>
      <c r="L118" s="261">
        <f>IFERROR(INDEX('D Fleet'!$E$5:$E$63,MATCH(L$3-$B118,'D Fleet'!$B$5:$B$63,0)),0)*IFERROR(INDEX('D Fleet'!$K$5:$K$36,INT(($B118/L$5))+1)+(($B118/L$5)-INT(($B118/L$5)))*(INDEX('D Fleet'!$K$5:$K$36,INT(($B118/L$5))+2)-INDEX('D Fleet'!$K$5:$K$36,INT(($B118/L$5))+1)),0)</f>
        <v/>
      </c>
      <c r="M118" s="261">
        <f>IFERROR(INDEX('D Fleet'!$E$5:$E$63,MATCH(M$3-$B118,'D Fleet'!$B$5:$B$63,0)),0)*IFERROR(INDEX('D Fleet'!$K$5:$K$36,INT(($B118/M$5))+1)+(($B118/M$5)-INT(($B118/M$5)))*(INDEX('D Fleet'!$K$5:$K$36,INT(($B118/M$5))+2)-INDEX('D Fleet'!$K$5:$K$36,INT(($B118/M$5))+1)),0)</f>
        <v/>
      </c>
      <c r="N118" s="261">
        <f>IFERROR(INDEX('D Fleet'!$E$5:$E$63,MATCH(N$3-$B118,'D Fleet'!$B$5:$B$63,0)),0)*IFERROR(INDEX('D Fleet'!$K$5:$K$36,INT(($B118/N$5))+1)+(($B118/N$5)-INT(($B118/N$5)))*(INDEX('D Fleet'!$K$5:$K$36,INT(($B118/N$5))+2)-INDEX('D Fleet'!$K$5:$K$36,INT(($B118/N$5))+1)),0)</f>
        <v/>
      </c>
      <c r="P118" s="261">
        <f>E118*$D118*'E1 Fleet'!$D$99</f>
        <v/>
      </c>
      <c r="Q118" s="261">
        <f>F118*$D118*'E1 Fleet'!$D$99</f>
        <v/>
      </c>
      <c r="R118" s="261">
        <f>G118*$D118*'E1 Fleet'!$D$99</f>
        <v/>
      </c>
      <c r="S118" s="261">
        <f>H118*$D118*'E1 Fleet'!$D$99</f>
        <v/>
      </c>
      <c r="T118" s="261">
        <f>I118*$D118*'E1 Fleet'!$D$99</f>
        <v/>
      </c>
      <c r="U118" s="261">
        <f>J118*$D118*'E1 Fleet'!$D$99</f>
        <v/>
      </c>
      <c r="V118" s="261">
        <f>K118*$D118*'E1 Fleet'!$D$99</f>
        <v/>
      </c>
      <c r="W118" s="261">
        <f>L118*$D118*'E1 Fleet'!$D$99</f>
        <v/>
      </c>
      <c r="X118" s="261">
        <f>M118*$D118*'E1 Fleet'!$D$99</f>
        <v/>
      </c>
      <c r="Y118" s="261">
        <f>N118*$D118*'E1 Fleet'!$D$99</f>
        <v/>
      </c>
    </row>
    <row r="119">
      <c r="A119" t="inlineStr">
        <is>
          <t>Pickup</t>
        </is>
      </c>
      <c r="B119" s="331" t="n">
        <v>20</v>
      </c>
      <c r="C119" s="331" t="n">
        <v>3</v>
      </c>
      <c r="D119" s="266">
        <f>IF($B119=0,'E1 Fleet'!$D$93,1)*EXP(-'E1 Fleet'!$D$94*MAX($B119-6,0))</f>
        <v/>
      </c>
      <c r="E119" s="261">
        <f>IFERROR(INDEX('D Fleet'!$E$5:$E$63,MATCH(E$3-$B119,'D Fleet'!$B$5:$B$63,0)),0)*IFERROR(INDEX('D Fleet'!$K$5:$K$36,INT(($B119/E$5))+1)+(($B119/E$5)-INT(($B119/E$5)))*(INDEX('D Fleet'!$K$5:$K$36,INT(($B119/E$5))+2)-INDEX('D Fleet'!$K$5:$K$36,INT(($B119/E$5))+1)),0)</f>
        <v/>
      </c>
      <c r="F119" s="261">
        <f>IFERROR(INDEX('D Fleet'!$E$5:$E$63,MATCH(F$3-$B119,'D Fleet'!$B$5:$B$63,0)),0)*IFERROR(INDEX('D Fleet'!$K$5:$K$36,INT(($B119/F$5))+1)+(($B119/F$5)-INT(($B119/F$5)))*(INDEX('D Fleet'!$K$5:$K$36,INT(($B119/F$5))+2)-INDEX('D Fleet'!$K$5:$K$36,INT(($B119/F$5))+1)),0)</f>
        <v/>
      </c>
      <c r="G119" s="261">
        <f>IFERROR(INDEX('D Fleet'!$E$5:$E$63,MATCH(G$3-$B119,'D Fleet'!$B$5:$B$63,0)),0)*IFERROR(INDEX('D Fleet'!$K$5:$K$36,INT(($B119/G$5))+1)+(($B119/G$5)-INT(($B119/G$5)))*(INDEX('D Fleet'!$K$5:$K$36,INT(($B119/G$5))+2)-INDEX('D Fleet'!$K$5:$K$36,INT(($B119/G$5))+1)),0)</f>
        <v/>
      </c>
      <c r="H119" s="261">
        <f>IFERROR(INDEX('D Fleet'!$E$5:$E$63,MATCH(H$3-$B119,'D Fleet'!$B$5:$B$63,0)),0)*IFERROR(INDEX('D Fleet'!$K$5:$K$36,INT(($B119/H$5))+1)+(($B119/H$5)-INT(($B119/H$5)))*(INDEX('D Fleet'!$K$5:$K$36,INT(($B119/H$5))+2)-INDEX('D Fleet'!$K$5:$K$36,INT(($B119/H$5))+1)),0)</f>
        <v/>
      </c>
      <c r="I119" s="261">
        <f>IFERROR(INDEX('D Fleet'!$E$5:$E$63,MATCH(I$3-$B119,'D Fleet'!$B$5:$B$63,0)),0)*IFERROR(INDEX('D Fleet'!$K$5:$K$36,INT(($B119/I$5))+1)+(($B119/I$5)-INT(($B119/I$5)))*(INDEX('D Fleet'!$K$5:$K$36,INT(($B119/I$5))+2)-INDEX('D Fleet'!$K$5:$K$36,INT(($B119/I$5))+1)),0)</f>
        <v/>
      </c>
      <c r="J119" s="261">
        <f>IFERROR(INDEX('D Fleet'!$E$5:$E$63,MATCH(J$3-$B119,'D Fleet'!$B$5:$B$63,0)),0)*IFERROR(INDEX('D Fleet'!$K$5:$K$36,INT(($B119/J$5))+1)+(($B119/J$5)-INT(($B119/J$5)))*(INDEX('D Fleet'!$K$5:$K$36,INT(($B119/J$5))+2)-INDEX('D Fleet'!$K$5:$K$36,INT(($B119/J$5))+1)),0)</f>
        <v/>
      </c>
      <c r="K119" s="261">
        <f>IFERROR(INDEX('D Fleet'!$E$5:$E$63,MATCH(K$3-$B119,'D Fleet'!$B$5:$B$63,0)),0)*IFERROR(INDEX('D Fleet'!$K$5:$K$36,INT(($B119/K$5))+1)+(($B119/K$5)-INT(($B119/K$5)))*(INDEX('D Fleet'!$K$5:$K$36,INT(($B119/K$5))+2)-INDEX('D Fleet'!$K$5:$K$36,INT(($B119/K$5))+1)),0)</f>
        <v/>
      </c>
      <c r="L119" s="261">
        <f>IFERROR(INDEX('D Fleet'!$E$5:$E$63,MATCH(L$3-$B119,'D Fleet'!$B$5:$B$63,0)),0)*IFERROR(INDEX('D Fleet'!$K$5:$K$36,INT(($B119/L$5))+1)+(($B119/L$5)-INT(($B119/L$5)))*(INDEX('D Fleet'!$K$5:$K$36,INT(($B119/L$5))+2)-INDEX('D Fleet'!$K$5:$K$36,INT(($B119/L$5))+1)),0)</f>
        <v/>
      </c>
      <c r="M119" s="261">
        <f>IFERROR(INDEX('D Fleet'!$E$5:$E$63,MATCH(M$3-$B119,'D Fleet'!$B$5:$B$63,0)),0)*IFERROR(INDEX('D Fleet'!$K$5:$K$36,INT(($B119/M$5))+1)+(($B119/M$5)-INT(($B119/M$5)))*(INDEX('D Fleet'!$K$5:$K$36,INT(($B119/M$5))+2)-INDEX('D Fleet'!$K$5:$K$36,INT(($B119/M$5))+1)),0)</f>
        <v/>
      </c>
      <c r="N119" s="261">
        <f>IFERROR(INDEX('D Fleet'!$E$5:$E$63,MATCH(N$3-$B119,'D Fleet'!$B$5:$B$63,0)),0)*IFERROR(INDEX('D Fleet'!$K$5:$K$36,INT(($B119/N$5))+1)+(($B119/N$5)-INT(($B119/N$5)))*(INDEX('D Fleet'!$K$5:$K$36,INT(($B119/N$5))+2)-INDEX('D Fleet'!$K$5:$K$36,INT(($B119/N$5))+1)),0)</f>
        <v/>
      </c>
      <c r="P119" s="261">
        <f>E119*$D119*'E1 Fleet'!$D$99</f>
        <v/>
      </c>
      <c r="Q119" s="261">
        <f>F119*$D119*'E1 Fleet'!$D$99</f>
        <v/>
      </c>
      <c r="R119" s="261">
        <f>G119*$D119*'E1 Fleet'!$D$99</f>
        <v/>
      </c>
      <c r="S119" s="261">
        <f>H119*$D119*'E1 Fleet'!$D$99</f>
        <v/>
      </c>
      <c r="T119" s="261">
        <f>I119*$D119*'E1 Fleet'!$D$99</f>
        <v/>
      </c>
      <c r="U119" s="261">
        <f>J119*$D119*'E1 Fleet'!$D$99</f>
        <v/>
      </c>
      <c r="V119" s="261">
        <f>K119*$D119*'E1 Fleet'!$D$99</f>
        <v/>
      </c>
      <c r="W119" s="261">
        <f>L119*$D119*'E1 Fleet'!$D$99</f>
        <v/>
      </c>
      <c r="X119" s="261">
        <f>M119*$D119*'E1 Fleet'!$D$99</f>
        <v/>
      </c>
      <c r="Y119" s="261">
        <f>N119*$D119*'E1 Fleet'!$D$99</f>
        <v/>
      </c>
    </row>
    <row r="120">
      <c r="A120" t="inlineStr">
        <is>
          <t>Pickup</t>
        </is>
      </c>
      <c r="B120" s="331" t="n">
        <v>21</v>
      </c>
      <c r="C120" s="331" t="n">
        <v>3</v>
      </c>
      <c r="D120" s="266">
        <f>IF($B120=0,'E1 Fleet'!$D$93,1)*EXP(-'E1 Fleet'!$D$94*MAX($B120-6,0))</f>
        <v/>
      </c>
      <c r="E120" s="261">
        <f>IFERROR(INDEX('D Fleet'!$E$5:$E$63,MATCH(E$3-$B120,'D Fleet'!$B$5:$B$63,0)),0)*IFERROR(INDEX('D Fleet'!$K$5:$K$36,INT(($B120/E$5))+1)+(($B120/E$5)-INT(($B120/E$5)))*(INDEX('D Fleet'!$K$5:$K$36,INT(($B120/E$5))+2)-INDEX('D Fleet'!$K$5:$K$36,INT(($B120/E$5))+1)),0)</f>
        <v/>
      </c>
      <c r="F120" s="261">
        <f>IFERROR(INDEX('D Fleet'!$E$5:$E$63,MATCH(F$3-$B120,'D Fleet'!$B$5:$B$63,0)),0)*IFERROR(INDEX('D Fleet'!$K$5:$K$36,INT(($B120/F$5))+1)+(($B120/F$5)-INT(($B120/F$5)))*(INDEX('D Fleet'!$K$5:$K$36,INT(($B120/F$5))+2)-INDEX('D Fleet'!$K$5:$K$36,INT(($B120/F$5))+1)),0)</f>
        <v/>
      </c>
      <c r="G120" s="261">
        <f>IFERROR(INDEX('D Fleet'!$E$5:$E$63,MATCH(G$3-$B120,'D Fleet'!$B$5:$B$63,0)),0)*IFERROR(INDEX('D Fleet'!$K$5:$K$36,INT(($B120/G$5))+1)+(($B120/G$5)-INT(($B120/G$5)))*(INDEX('D Fleet'!$K$5:$K$36,INT(($B120/G$5))+2)-INDEX('D Fleet'!$K$5:$K$36,INT(($B120/G$5))+1)),0)</f>
        <v/>
      </c>
      <c r="H120" s="261">
        <f>IFERROR(INDEX('D Fleet'!$E$5:$E$63,MATCH(H$3-$B120,'D Fleet'!$B$5:$B$63,0)),0)*IFERROR(INDEX('D Fleet'!$K$5:$K$36,INT(($B120/H$5))+1)+(($B120/H$5)-INT(($B120/H$5)))*(INDEX('D Fleet'!$K$5:$K$36,INT(($B120/H$5))+2)-INDEX('D Fleet'!$K$5:$K$36,INT(($B120/H$5))+1)),0)</f>
        <v/>
      </c>
      <c r="I120" s="261">
        <f>IFERROR(INDEX('D Fleet'!$E$5:$E$63,MATCH(I$3-$B120,'D Fleet'!$B$5:$B$63,0)),0)*IFERROR(INDEX('D Fleet'!$K$5:$K$36,INT(($B120/I$5))+1)+(($B120/I$5)-INT(($B120/I$5)))*(INDEX('D Fleet'!$K$5:$K$36,INT(($B120/I$5))+2)-INDEX('D Fleet'!$K$5:$K$36,INT(($B120/I$5))+1)),0)</f>
        <v/>
      </c>
      <c r="J120" s="261">
        <f>IFERROR(INDEX('D Fleet'!$E$5:$E$63,MATCH(J$3-$B120,'D Fleet'!$B$5:$B$63,0)),0)*IFERROR(INDEX('D Fleet'!$K$5:$K$36,INT(($B120/J$5))+1)+(($B120/J$5)-INT(($B120/J$5)))*(INDEX('D Fleet'!$K$5:$K$36,INT(($B120/J$5))+2)-INDEX('D Fleet'!$K$5:$K$36,INT(($B120/J$5))+1)),0)</f>
        <v/>
      </c>
      <c r="K120" s="261">
        <f>IFERROR(INDEX('D Fleet'!$E$5:$E$63,MATCH(K$3-$B120,'D Fleet'!$B$5:$B$63,0)),0)*IFERROR(INDEX('D Fleet'!$K$5:$K$36,INT(($B120/K$5))+1)+(($B120/K$5)-INT(($B120/K$5)))*(INDEX('D Fleet'!$K$5:$K$36,INT(($B120/K$5))+2)-INDEX('D Fleet'!$K$5:$K$36,INT(($B120/K$5))+1)),0)</f>
        <v/>
      </c>
      <c r="L120" s="261">
        <f>IFERROR(INDEX('D Fleet'!$E$5:$E$63,MATCH(L$3-$B120,'D Fleet'!$B$5:$B$63,0)),0)*IFERROR(INDEX('D Fleet'!$K$5:$K$36,INT(($B120/L$5))+1)+(($B120/L$5)-INT(($B120/L$5)))*(INDEX('D Fleet'!$K$5:$K$36,INT(($B120/L$5))+2)-INDEX('D Fleet'!$K$5:$K$36,INT(($B120/L$5))+1)),0)</f>
        <v/>
      </c>
      <c r="M120" s="261">
        <f>IFERROR(INDEX('D Fleet'!$E$5:$E$63,MATCH(M$3-$B120,'D Fleet'!$B$5:$B$63,0)),0)*IFERROR(INDEX('D Fleet'!$K$5:$K$36,INT(($B120/M$5))+1)+(($B120/M$5)-INT(($B120/M$5)))*(INDEX('D Fleet'!$K$5:$K$36,INT(($B120/M$5))+2)-INDEX('D Fleet'!$K$5:$K$36,INT(($B120/M$5))+1)),0)</f>
        <v/>
      </c>
      <c r="N120" s="261">
        <f>IFERROR(INDEX('D Fleet'!$E$5:$E$63,MATCH(N$3-$B120,'D Fleet'!$B$5:$B$63,0)),0)*IFERROR(INDEX('D Fleet'!$K$5:$K$36,INT(($B120/N$5))+1)+(($B120/N$5)-INT(($B120/N$5)))*(INDEX('D Fleet'!$K$5:$K$36,INT(($B120/N$5))+2)-INDEX('D Fleet'!$K$5:$K$36,INT(($B120/N$5))+1)),0)</f>
        <v/>
      </c>
      <c r="P120" s="261">
        <f>E120*$D120*'E1 Fleet'!$D$99</f>
        <v/>
      </c>
      <c r="Q120" s="261">
        <f>F120*$D120*'E1 Fleet'!$D$99</f>
        <v/>
      </c>
      <c r="R120" s="261">
        <f>G120*$D120*'E1 Fleet'!$D$99</f>
        <v/>
      </c>
      <c r="S120" s="261">
        <f>H120*$D120*'E1 Fleet'!$D$99</f>
        <v/>
      </c>
      <c r="T120" s="261">
        <f>I120*$D120*'E1 Fleet'!$D$99</f>
        <v/>
      </c>
      <c r="U120" s="261">
        <f>J120*$D120*'E1 Fleet'!$D$99</f>
        <v/>
      </c>
      <c r="V120" s="261">
        <f>K120*$D120*'E1 Fleet'!$D$99</f>
        <v/>
      </c>
      <c r="W120" s="261">
        <f>L120*$D120*'E1 Fleet'!$D$99</f>
        <v/>
      </c>
      <c r="X120" s="261">
        <f>M120*$D120*'E1 Fleet'!$D$99</f>
        <v/>
      </c>
      <c r="Y120" s="261">
        <f>N120*$D120*'E1 Fleet'!$D$99</f>
        <v/>
      </c>
    </row>
    <row r="121">
      <c r="A121" t="inlineStr">
        <is>
          <t>Pickup</t>
        </is>
      </c>
      <c r="B121" s="331" t="n">
        <v>22</v>
      </c>
      <c r="C121" s="331" t="n">
        <v>3</v>
      </c>
      <c r="D121" s="266">
        <f>IF($B121=0,'E1 Fleet'!$D$93,1)*EXP(-'E1 Fleet'!$D$94*MAX($B121-6,0))</f>
        <v/>
      </c>
      <c r="E121" s="261">
        <f>IFERROR(INDEX('D Fleet'!$E$5:$E$63,MATCH(E$3-$B121,'D Fleet'!$B$5:$B$63,0)),0)*IFERROR(INDEX('D Fleet'!$K$5:$K$36,INT(($B121/E$5))+1)+(($B121/E$5)-INT(($B121/E$5)))*(INDEX('D Fleet'!$K$5:$K$36,INT(($B121/E$5))+2)-INDEX('D Fleet'!$K$5:$K$36,INT(($B121/E$5))+1)),0)</f>
        <v/>
      </c>
      <c r="F121" s="261">
        <f>IFERROR(INDEX('D Fleet'!$E$5:$E$63,MATCH(F$3-$B121,'D Fleet'!$B$5:$B$63,0)),0)*IFERROR(INDEX('D Fleet'!$K$5:$K$36,INT(($B121/F$5))+1)+(($B121/F$5)-INT(($B121/F$5)))*(INDEX('D Fleet'!$K$5:$K$36,INT(($B121/F$5))+2)-INDEX('D Fleet'!$K$5:$K$36,INT(($B121/F$5))+1)),0)</f>
        <v/>
      </c>
      <c r="G121" s="261">
        <f>IFERROR(INDEX('D Fleet'!$E$5:$E$63,MATCH(G$3-$B121,'D Fleet'!$B$5:$B$63,0)),0)*IFERROR(INDEX('D Fleet'!$K$5:$K$36,INT(($B121/G$5))+1)+(($B121/G$5)-INT(($B121/G$5)))*(INDEX('D Fleet'!$K$5:$K$36,INT(($B121/G$5))+2)-INDEX('D Fleet'!$K$5:$K$36,INT(($B121/G$5))+1)),0)</f>
        <v/>
      </c>
      <c r="H121" s="261">
        <f>IFERROR(INDEX('D Fleet'!$E$5:$E$63,MATCH(H$3-$B121,'D Fleet'!$B$5:$B$63,0)),0)*IFERROR(INDEX('D Fleet'!$K$5:$K$36,INT(($B121/H$5))+1)+(($B121/H$5)-INT(($B121/H$5)))*(INDEX('D Fleet'!$K$5:$K$36,INT(($B121/H$5))+2)-INDEX('D Fleet'!$K$5:$K$36,INT(($B121/H$5))+1)),0)</f>
        <v/>
      </c>
      <c r="I121" s="261">
        <f>IFERROR(INDEX('D Fleet'!$E$5:$E$63,MATCH(I$3-$B121,'D Fleet'!$B$5:$B$63,0)),0)*IFERROR(INDEX('D Fleet'!$K$5:$K$36,INT(($B121/I$5))+1)+(($B121/I$5)-INT(($B121/I$5)))*(INDEX('D Fleet'!$K$5:$K$36,INT(($B121/I$5))+2)-INDEX('D Fleet'!$K$5:$K$36,INT(($B121/I$5))+1)),0)</f>
        <v/>
      </c>
      <c r="J121" s="261">
        <f>IFERROR(INDEX('D Fleet'!$E$5:$E$63,MATCH(J$3-$B121,'D Fleet'!$B$5:$B$63,0)),0)*IFERROR(INDEX('D Fleet'!$K$5:$K$36,INT(($B121/J$5))+1)+(($B121/J$5)-INT(($B121/J$5)))*(INDEX('D Fleet'!$K$5:$K$36,INT(($B121/J$5))+2)-INDEX('D Fleet'!$K$5:$K$36,INT(($B121/J$5))+1)),0)</f>
        <v/>
      </c>
      <c r="K121" s="261">
        <f>IFERROR(INDEX('D Fleet'!$E$5:$E$63,MATCH(K$3-$B121,'D Fleet'!$B$5:$B$63,0)),0)*IFERROR(INDEX('D Fleet'!$K$5:$K$36,INT(($B121/K$5))+1)+(($B121/K$5)-INT(($B121/K$5)))*(INDEX('D Fleet'!$K$5:$K$36,INT(($B121/K$5))+2)-INDEX('D Fleet'!$K$5:$K$36,INT(($B121/K$5))+1)),0)</f>
        <v/>
      </c>
      <c r="L121" s="261">
        <f>IFERROR(INDEX('D Fleet'!$E$5:$E$63,MATCH(L$3-$B121,'D Fleet'!$B$5:$B$63,0)),0)*IFERROR(INDEX('D Fleet'!$K$5:$K$36,INT(($B121/L$5))+1)+(($B121/L$5)-INT(($B121/L$5)))*(INDEX('D Fleet'!$K$5:$K$36,INT(($B121/L$5))+2)-INDEX('D Fleet'!$K$5:$K$36,INT(($B121/L$5))+1)),0)</f>
        <v/>
      </c>
      <c r="M121" s="261">
        <f>IFERROR(INDEX('D Fleet'!$E$5:$E$63,MATCH(M$3-$B121,'D Fleet'!$B$5:$B$63,0)),0)*IFERROR(INDEX('D Fleet'!$K$5:$K$36,INT(($B121/M$5))+1)+(($B121/M$5)-INT(($B121/M$5)))*(INDEX('D Fleet'!$K$5:$K$36,INT(($B121/M$5))+2)-INDEX('D Fleet'!$K$5:$K$36,INT(($B121/M$5))+1)),0)</f>
        <v/>
      </c>
      <c r="N121" s="261">
        <f>IFERROR(INDEX('D Fleet'!$E$5:$E$63,MATCH(N$3-$B121,'D Fleet'!$B$5:$B$63,0)),0)*IFERROR(INDEX('D Fleet'!$K$5:$K$36,INT(($B121/N$5))+1)+(($B121/N$5)-INT(($B121/N$5)))*(INDEX('D Fleet'!$K$5:$K$36,INT(($B121/N$5))+2)-INDEX('D Fleet'!$K$5:$K$36,INT(($B121/N$5))+1)),0)</f>
        <v/>
      </c>
      <c r="P121" s="261">
        <f>E121*$D121*'E1 Fleet'!$D$99</f>
        <v/>
      </c>
      <c r="Q121" s="261">
        <f>F121*$D121*'E1 Fleet'!$D$99</f>
        <v/>
      </c>
      <c r="R121" s="261">
        <f>G121*$D121*'E1 Fleet'!$D$99</f>
        <v/>
      </c>
      <c r="S121" s="261">
        <f>H121*$D121*'E1 Fleet'!$D$99</f>
        <v/>
      </c>
      <c r="T121" s="261">
        <f>I121*$D121*'E1 Fleet'!$D$99</f>
        <v/>
      </c>
      <c r="U121" s="261">
        <f>J121*$D121*'E1 Fleet'!$D$99</f>
        <v/>
      </c>
      <c r="V121" s="261">
        <f>K121*$D121*'E1 Fleet'!$D$99</f>
        <v/>
      </c>
      <c r="W121" s="261">
        <f>L121*$D121*'E1 Fleet'!$D$99</f>
        <v/>
      </c>
      <c r="X121" s="261">
        <f>M121*$D121*'E1 Fleet'!$D$99</f>
        <v/>
      </c>
      <c r="Y121" s="261">
        <f>N121*$D121*'E1 Fleet'!$D$99</f>
        <v/>
      </c>
    </row>
    <row r="122">
      <c r="A122" t="inlineStr">
        <is>
          <t>Pickup</t>
        </is>
      </c>
      <c r="B122" s="331" t="n">
        <v>23</v>
      </c>
      <c r="C122" s="331" t="n">
        <v>3</v>
      </c>
      <c r="D122" s="266">
        <f>IF($B122=0,'E1 Fleet'!$D$93,1)*EXP(-'E1 Fleet'!$D$94*MAX($B122-6,0))</f>
        <v/>
      </c>
      <c r="E122" s="261">
        <f>IFERROR(INDEX('D Fleet'!$E$5:$E$63,MATCH(E$3-$B122,'D Fleet'!$B$5:$B$63,0)),0)*IFERROR(INDEX('D Fleet'!$K$5:$K$36,INT(($B122/E$5))+1)+(($B122/E$5)-INT(($B122/E$5)))*(INDEX('D Fleet'!$K$5:$K$36,INT(($B122/E$5))+2)-INDEX('D Fleet'!$K$5:$K$36,INT(($B122/E$5))+1)),0)</f>
        <v/>
      </c>
      <c r="F122" s="261">
        <f>IFERROR(INDEX('D Fleet'!$E$5:$E$63,MATCH(F$3-$B122,'D Fleet'!$B$5:$B$63,0)),0)*IFERROR(INDEX('D Fleet'!$K$5:$K$36,INT(($B122/F$5))+1)+(($B122/F$5)-INT(($B122/F$5)))*(INDEX('D Fleet'!$K$5:$K$36,INT(($B122/F$5))+2)-INDEX('D Fleet'!$K$5:$K$36,INT(($B122/F$5))+1)),0)</f>
        <v/>
      </c>
      <c r="G122" s="261">
        <f>IFERROR(INDEX('D Fleet'!$E$5:$E$63,MATCH(G$3-$B122,'D Fleet'!$B$5:$B$63,0)),0)*IFERROR(INDEX('D Fleet'!$K$5:$K$36,INT(($B122/G$5))+1)+(($B122/G$5)-INT(($B122/G$5)))*(INDEX('D Fleet'!$K$5:$K$36,INT(($B122/G$5))+2)-INDEX('D Fleet'!$K$5:$K$36,INT(($B122/G$5))+1)),0)</f>
        <v/>
      </c>
      <c r="H122" s="261">
        <f>IFERROR(INDEX('D Fleet'!$E$5:$E$63,MATCH(H$3-$B122,'D Fleet'!$B$5:$B$63,0)),0)*IFERROR(INDEX('D Fleet'!$K$5:$K$36,INT(($B122/H$5))+1)+(($B122/H$5)-INT(($B122/H$5)))*(INDEX('D Fleet'!$K$5:$K$36,INT(($B122/H$5))+2)-INDEX('D Fleet'!$K$5:$K$36,INT(($B122/H$5))+1)),0)</f>
        <v/>
      </c>
      <c r="I122" s="261">
        <f>IFERROR(INDEX('D Fleet'!$E$5:$E$63,MATCH(I$3-$B122,'D Fleet'!$B$5:$B$63,0)),0)*IFERROR(INDEX('D Fleet'!$K$5:$K$36,INT(($B122/I$5))+1)+(($B122/I$5)-INT(($B122/I$5)))*(INDEX('D Fleet'!$K$5:$K$36,INT(($B122/I$5))+2)-INDEX('D Fleet'!$K$5:$K$36,INT(($B122/I$5))+1)),0)</f>
        <v/>
      </c>
      <c r="J122" s="261">
        <f>IFERROR(INDEX('D Fleet'!$E$5:$E$63,MATCH(J$3-$B122,'D Fleet'!$B$5:$B$63,0)),0)*IFERROR(INDEX('D Fleet'!$K$5:$K$36,INT(($B122/J$5))+1)+(($B122/J$5)-INT(($B122/J$5)))*(INDEX('D Fleet'!$K$5:$K$36,INT(($B122/J$5))+2)-INDEX('D Fleet'!$K$5:$K$36,INT(($B122/J$5))+1)),0)</f>
        <v/>
      </c>
      <c r="K122" s="261">
        <f>IFERROR(INDEX('D Fleet'!$E$5:$E$63,MATCH(K$3-$B122,'D Fleet'!$B$5:$B$63,0)),0)*IFERROR(INDEX('D Fleet'!$K$5:$K$36,INT(($B122/K$5))+1)+(($B122/K$5)-INT(($B122/K$5)))*(INDEX('D Fleet'!$K$5:$K$36,INT(($B122/K$5))+2)-INDEX('D Fleet'!$K$5:$K$36,INT(($B122/K$5))+1)),0)</f>
        <v/>
      </c>
      <c r="L122" s="261">
        <f>IFERROR(INDEX('D Fleet'!$E$5:$E$63,MATCH(L$3-$B122,'D Fleet'!$B$5:$B$63,0)),0)*IFERROR(INDEX('D Fleet'!$K$5:$K$36,INT(($B122/L$5))+1)+(($B122/L$5)-INT(($B122/L$5)))*(INDEX('D Fleet'!$K$5:$K$36,INT(($B122/L$5))+2)-INDEX('D Fleet'!$K$5:$K$36,INT(($B122/L$5))+1)),0)</f>
        <v/>
      </c>
      <c r="M122" s="261">
        <f>IFERROR(INDEX('D Fleet'!$E$5:$E$63,MATCH(M$3-$B122,'D Fleet'!$B$5:$B$63,0)),0)*IFERROR(INDEX('D Fleet'!$K$5:$K$36,INT(($B122/M$5))+1)+(($B122/M$5)-INT(($B122/M$5)))*(INDEX('D Fleet'!$K$5:$K$36,INT(($B122/M$5))+2)-INDEX('D Fleet'!$K$5:$K$36,INT(($B122/M$5))+1)),0)</f>
        <v/>
      </c>
      <c r="N122" s="261">
        <f>IFERROR(INDEX('D Fleet'!$E$5:$E$63,MATCH(N$3-$B122,'D Fleet'!$B$5:$B$63,0)),0)*IFERROR(INDEX('D Fleet'!$K$5:$K$36,INT(($B122/N$5))+1)+(($B122/N$5)-INT(($B122/N$5)))*(INDEX('D Fleet'!$K$5:$K$36,INT(($B122/N$5))+2)-INDEX('D Fleet'!$K$5:$K$36,INT(($B122/N$5))+1)),0)</f>
        <v/>
      </c>
      <c r="P122" s="261">
        <f>E122*$D122*'E1 Fleet'!$D$99</f>
        <v/>
      </c>
      <c r="Q122" s="261">
        <f>F122*$D122*'E1 Fleet'!$D$99</f>
        <v/>
      </c>
      <c r="R122" s="261">
        <f>G122*$D122*'E1 Fleet'!$D$99</f>
        <v/>
      </c>
      <c r="S122" s="261">
        <f>H122*$D122*'E1 Fleet'!$D$99</f>
        <v/>
      </c>
      <c r="T122" s="261">
        <f>I122*$D122*'E1 Fleet'!$D$99</f>
        <v/>
      </c>
      <c r="U122" s="261">
        <f>J122*$D122*'E1 Fleet'!$D$99</f>
        <v/>
      </c>
      <c r="V122" s="261">
        <f>K122*$D122*'E1 Fleet'!$D$99</f>
        <v/>
      </c>
      <c r="W122" s="261">
        <f>L122*$D122*'E1 Fleet'!$D$99</f>
        <v/>
      </c>
      <c r="X122" s="261">
        <f>M122*$D122*'E1 Fleet'!$D$99</f>
        <v/>
      </c>
      <c r="Y122" s="261">
        <f>N122*$D122*'E1 Fleet'!$D$99</f>
        <v/>
      </c>
    </row>
    <row r="123">
      <c r="A123" t="inlineStr">
        <is>
          <t>Pickup</t>
        </is>
      </c>
      <c r="B123" s="331" t="n">
        <v>24</v>
      </c>
      <c r="C123" s="331" t="n">
        <v>3</v>
      </c>
      <c r="D123" s="266">
        <f>IF($B123=0,'E1 Fleet'!$D$93,1)*EXP(-'E1 Fleet'!$D$94*MAX($B123-6,0))</f>
        <v/>
      </c>
      <c r="E123" s="261">
        <f>IFERROR(INDEX('D Fleet'!$E$5:$E$63,MATCH(E$3-$B123,'D Fleet'!$B$5:$B$63,0)),0)*IFERROR(INDEX('D Fleet'!$K$5:$K$36,INT(($B123/E$5))+1)+(($B123/E$5)-INT(($B123/E$5)))*(INDEX('D Fleet'!$K$5:$K$36,INT(($B123/E$5))+2)-INDEX('D Fleet'!$K$5:$K$36,INT(($B123/E$5))+1)),0)</f>
        <v/>
      </c>
      <c r="F123" s="261">
        <f>IFERROR(INDEX('D Fleet'!$E$5:$E$63,MATCH(F$3-$B123,'D Fleet'!$B$5:$B$63,0)),0)*IFERROR(INDEX('D Fleet'!$K$5:$K$36,INT(($B123/F$5))+1)+(($B123/F$5)-INT(($B123/F$5)))*(INDEX('D Fleet'!$K$5:$K$36,INT(($B123/F$5))+2)-INDEX('D Fleet'!$K$5:$K$36,INT(($B123/F$5))+1)),0)</f>
        <v/>
      </c>
      <c r="G123" s="261">
        <f>IFERROR(INDEX('D Fleet'!$E$5:$E$63,MATCH(G$3-$B123,'D Fleet'!$B$5:$B$63,0)),0)*IFERROR(INDEX('D Fleet'!$K$5:$K$36,INT(($B123/G$5))+1)+(($B123/G$5)-INT(($B123/G$5)))*(INDEX('D Fleet'!$K$5:$K$36,INT(($B123/G$5))+2)-INDEX('D Fleet'!$K$5:$K$36,INT(($B123/G$5))+1)),0)</f>
        <v/>
      </c>
      <c r="H123" s="261">
        <f>IFERROR(INDEX('D Fleet'!$E$5:$E$63,MATCH(H$3-$B123,'D Fleet'!$B$5:$B$63,0)),0)*IFERROR(INDEX('D Fleet'!$K$5:$K$36,INT(($B123/H$5))+1)+(($B123/H$5)-INT(($B123/H$5)))*(INDEX('D Fleet'!$K$5:$K$36,INT(($B123/H$5))+2)-INDEX('D Fleet'!$K$5:$K$36,INT(($B123/H$5))+1)),0)</f>
        <v/>
      </c>
      <c r="I123" s="261">
        <f>IFERROR(INDEX('D Fleet'!$E$5:$E$63,MATCH(I$3-$B123,'D Fleet'!$B$5:$B$63,0)),0)*IFERROR(INDEX('D Fleet'!$K$5:$K$36,INT(($B123/I$5))+1)+(($B123/I$5)-INT(($B123/I$5)))*(INDEX('D Fleet'!$K$5:$K$36,INT(($B123/I$5))+2)-INDEX('D Fleet'!$K$5:$K$36,INT(($B123/I$5))+1)),0)</f>
        <v/>
      </c>
      <c r="J123" s="261">
        <f>IFERROR(INDEX('D Fleet'!$E$5:$E$63,MATCH(J$3-$B123,'D Fleet'!$B$5:$B$63,0)),0)*IFERROR(INDEX('D Fleet'!$K$5:$K$36,INT(($B123/J$5))+1)+(($B123/J$5)-INT(($B123/J$5)))*(INDEX('D Fleet'!$K$5:$K$36,INT(($B123/J$5))+2)-INDEX('D Fleet'!$K$5:$K$36,INT(($B123/J$5))+1)),0)</f>
        <v/>
      </c>
      <c r="K123" s="261">
        <f>IFERROR(INDEX('D Fleet'!$E$5:$E$63,MATCH(K$3-$B123,'D Fleet'!$B$5:$B$63,0)),0)*IFERROR(INDEX('D Fleet'!$K$5:$K$36,INT(($B123/K$5))+1)+(($B123/K$5)-INT(($B123/K$5)))*(INDEX('D Fleet'!$K$5:$K$36,INT(($B123/K$5))+2)-INDEX('D Fleet'!$K$5:$K$36,INT(($B123/K$5))+1)),0)</f>
        <v/>
      </c>
      <c r="L123" s="261">
        <f>IFERROR(INDEX('D Fleet'!$E$5:$E$63,MATCH(L$3-$B123,'D Fleet'!$B$5:$B$63,0)),0)*IFERROR(INDEX('D Fleet'!$K$5:$K$36,INT(($B123/L$5))+1)+(($B123/L$5)-INT(($B123/L$5)))*(INDEX('D Fleet'!$K$5:$K$36,INT(($B123/L$5))+2)-INDEX('D Fleet'!$K$5:$K$36,INT(($B123/L$5))+1)),0)</f>
        <v/>
      </c>
      <c r="M123" s="261">
        <f>IFERROR(INDEX('D Fleet'!$E$5:$E$63,MATCH(M$3-$B123,'D Fleet'!$B$5:$B$63,0)),0)*IFERROR(INDEX('D Fleet'!$K$5:$K$36,INT(($B123/M$5))+1)+(($B123/M$5)-INT(($B123/M$5)))*(INDEX('D Fleet'!$K$5:$K$36,INT(($B123/M$5))+2)-INDEX('D Fleet'!$K$5:$K$36,INT(($B123/M$5))+1)),0)</f>
        <v/>
      </c>
      <c r="N123" s="261">
        <f>IFERROR(INDEX('D Fleet'!$E$5:$E$63,MATCH(N$3-$B123,'D Fleet'!$B$5:$B$63,0)),0)*IFERROR(INDEX('D Fleet'!$K$5:$K$36,INT(($B123/N$5))+1)+(($B123/N$5)-INT(($B123/N$5)))*(INDEX('D Fleet'!$K$5:$K$36,INT(($B123/N$5))+2)-INDEX('D Fleet'!$K$5:$K$36,INT(($B123/N$5))+1)),0)</f>
        <v/>
      </c>
      <c r="P123" s="261">
        <f>E123*$D123*'E1 Fleet'!$D$99</f>
        <v/>
      </c>
      <c r="Q123" s="261">
        <f>F123*$D123*'E1 Fleet'!$D$99</f>
        <v/>
      </c>
      <c r="R123" s="261">
        <f>G123*$D123*'E1 Fleet'!$D$99</f>
        <v/>
      </c>
      <c r="S123" s="261">
        <f>H123*$D123*'E1 Fleet'!$D$99</f>
        <v/>
      </c>
      <c r="T123" s="261">
        <f>I123*$D123*'E1 Fleet'!$D$99</f>
        <v/>
      </c>
      <c r="U123" s="261">
        <f>J123*$D123*'E1 Fleet'!$D$99</f>
        <v/>
      </c>
      <c r="V123" s="261">
        <f>K123*$D123*'E1 Fleet'!$D$99</f>
        <v/>
      </c>
      <c r="W123" s="261">
        <f>L123*$D123*'E1 Fleet'!$D$99</f>
        <v/>
      </c>
      <c r="X123" s="261">
        <f>M123*$D123*'E1 Fleet'!$D$99</f>
        <v/>
      </c>
      <c r="Y123" s="261">
        <f>N123*$D123*'E1 Fleet'!$D$99</f>
        <v/>
      </c>
    </row>
    <row r="124">
      <c r="A124" t="inlineStr">
        <is>
          <t>Pickup</t>
        </is>
      </c>
      <c r="B124" s="331" t="n">
        <v>25</v>
      </c>
      <c r="C124" s="331" t="n">
        <v>3</v>
      </c>
      <c r="D124" s="266">
        <f>IF($B124=0,'E1 Fleet'!$D$93,1)*EXP(-'E1 Fleet'!$D$94*MAX($B124-6,0))</f>
        <v/>
      </c>
      <c r="E124" s="261">
        <f>IFERROR(INDEX('D Fleet'!$E$5:$E$63,MATCH(E$3-$B124,'D Fleet'!$B$5:$B$63,0)),0)*IFERROR(INDEX('D Fleet'!$K$5:$K$36,INT(($B124/E$5))+1)+(($B124/E$5)-INT(($B124/E$5)))*(INDEX('D Fleet'!$K$5:$K$36,INT(($B124/E$5))+2)-INDEX('D Fleet'!$K$5:$K$36,INT(($B124/E$5))+1)),0)</f>
        <v/>
      </c>
      <c r="F124" s="261">
        <f>IFERROR(INDEX('D Fleet'!$E$5:$E$63,MATCH(F$3-$B124,'D Fleet'!$B$5:$B$63,0)),0)*IFERROR(INDEX('D Fleet'!$K$5:$K$36,INT(($B124/F$5))+1)+(($B124/F$5)-INT(($B124/F$5)))*(INDEX('D Fleet'!$K$5:$K$36,INT(($B124/F$5))+2)-INDEX('D Fleet'!$K$5:$K$36,INT(($B124/F$5))+1)),0)</f>
        <v/>
      </c>
      <c r="G124" s="261">
        <f>IFERROR(INDEX('D Fleet'!$E$5:$E$63,MATCH(G$3-$B124,'D Fleet'!$B$5:$B$63,0)),0)*IFERROR(INDEX('D Fleet'!$K$5:$K$36,INT(($B124/G$5))+1)+(($B124/G$5)-INT(($B124/G$5)))*(INDEX('D Fleet'!$K$5:$K$36,INT(($B124/G$5))+2)-INDEX('D Fleet'!$K$5:$K$36,INT(($B124/G$5))+1)),0)</f>
        <v/>
      </c>
      <c r="H124" s="261">
        <f>IFERROR(INDEX('D Fleet'!$E$5:$E$63,MATCH(H$3-$B124,'D Fleet'!$B$5:$B$63,0)),0)*IFERROR(INDEX('D Fleet'!$K$5:$K$36,INT(($B124/H$5))+1)+(($B124/H$5)-INT(($B124/H$5)))*(INDEX('D Fleet'!$K$5:$K$36,INT(($B124/H$5))+2)-INDEX('D Fleet'!$K$5:$K$36,INT(($B124/H$5))+1)),0)</f>
        <v/>
      </c>
      <c r="I124" s="261">
        <f>IFERROR(INDEX('D Fleet'!$E$5:$E$63,MATCH(I$3-$B124,'D Fleet'!$B$5:$B$63,0)),0)*IFERROR(INDEX('D Fleet'!$K$5:$K$36,INT(($B124/I$5))+1)+(($B124/I$5)-INT(($B124/I$5)))*(INDEX('D Fleet'!$K$5:$K$36,INT(($B124/I$5))+2)-INDEX('D Fleet'!$K$5:$K$36,INT(($B124/I$5))+1)),0)</f>
        <v/>
      </c>
      <c r="J124" s="261">
        <f>IFERROR(INDEX('D Fleet'!$E$5:$E$63,MATCH(J$3-$B124,'D Fleet'!$B$5:$B$63,0)),0)*IFERROR(INDEX('D Fleet'!$K$5:$K$36,INT(($B124/J$5))+1)+(($B124/J$5)-INT(($B124/J$5)))*(INDEX('D Fleet'!$K$5:$K$36,INT(($B124/J$5))+2)-INDEX('D Fleet'!$K$5:$K$36,INT(($B124/J$5))+1)),0)</f>
        <v/>
      </c>
      <c r="K124" s="261">
        <f>IFERROR(INDEX('D Fleet'!$E$5:$E$63,MATCH(K$3-$B124,'D Fleet'!$B$5:$B$63,0)),0)*IFERROR(INDEX('D Fleet'!$K$5:$K$36,INT(($B124/K$5))+1)+(($B124/K$5)-INT(($B124/K$5)))*(INDEX('D Fleet'!$K$5:$K$36,INT(($B124/K$5))+2)-INDEX('D Fleet'!$K$5:$K$36,INT(($B124/K$5))+1)),0)</f>
        <v/>
      </c>
      <c r="L124" s="261">
        <f>IFERROR(INDEX('D Fleet'!$E$5:$E$63,MATCH(L$3-$B124,'D Fleet'!$B$5:$B$63,0)),0)*IFERROR(INDEX('D Fleet'!$K$5:$K$36,INT(($B124/L$5))+1)+(($B124/L$5)-INT(($B124/L$5)))*(INDEX('D Fleet'!$K$5:$K$36,INT(($B124/L$5))+2)-INDEX('D Fleet'!$K$5:$K$36,INT(($B124/L$5))+1)),0)</f>
        <v/>
      </c>
      <c r="M124" s="261">
        <f>IFERROR(INDEX('D Fleet'!$E$5:$E$63,MATCH(M$3-$B124,'D Fleet'!$B$5:$B$63,0)),0)*IFERROR(INDEX('D Fleet'!$K$5:$K$36,INT(($B124/M$5))+1)+(($B124/M$5)-INT(($B124/M$5)))*(INDEX('D Fleet'!$K$5:$K$36,INT(($B124/M$5))+2)-INDEX('D Fleet'!$K$5:$K$36,INT(($B124/M$5))+1)),0)</f>
        <v/>
      </c>
      <c r="N124" s="261">
        <f>IFERROR(INDEX('D Fleet'!$E$5:$E$63,MATCH(N$3-$B124,'D Fleet'!$B$5:$B$63,0)),0)*IFERROR(INDEX('D Fleet'!$K$5:$K$36,INT(($B124/N$5))+1)+(($B124/N$5)-INT(($B124/N$5)))*(INDEX('D Fleet'!$K$5:$K$36,INT(($B124/N$5))+2)-INDEX('D Fleet'!$K$5:$K$36,INT(($B124/N$5))+1)),0)</f>
        <v/>
      </c>
      <c r="P124" s="261">
        <f>E124*$D124*'E1 Fleet'!$D$99</f>
        <v/>
      </c>
      <c r="Q124" s="261">
        <f>F124*$D124*'E1 Fleet'!$D$99</f>
        <v/>
      </c>
      <c r="R124" s="261">
        <f>G124*$D124*'E1 Fleet'!$D$99</f>
        <v/>
      </c>
      <c r="S124" s="261">
        <f>H124*$D124*'E1 Fleet'!$D$99</f>
        <v/>
      </c>
      <c r="T124" s="261">
        <f>I124*$D124*'E1 Fleet'!$D$99</f>
        <v/>
      </c>
      <c r="U124" s="261">
        <f>J124*$D124*'E1 Fleet'!$D$99</f>
        <v/>
      </c>
      <c r="V124" s="261">
        <f>K124*$D124*'E1 Fleet'!$D$99</f>
        <v/>
      </c>
      <c r="W124" s="261">
        <f>L124*$D124*'E1 Fleet'!$D$99</f>
        <v/>
      </c>
      <c r="X124" s="261">
        <f>M124*$D124*'E1 Fleet'!$D$99</f>
        <v/>
      </c>
      <c r="Y124" s="261">
        <f>N124*$D124*'E1 Fleet'!$D$99</f>
        <v/>
      </c>
    </row>
    <row r="125">
      <c r="A125" t="inlineStr">
        <is>
          <t>Pickup</t>
        </is>
      </c>
      <c r="B125" s="331" t="n">
        <v>26</v>
      </c>
      <c r="C125" s="331" t="n">
        <v>3</v>
      </c>
      <c r="D125" s="266">
        <f>IF($B125=0,'E1 Fleet'!$D$93,1)*EXP(-'E1 Fleet'!$D$94*MAX($B125-6,0))</f>
        <v/>
      </c>
      <c r="E125" s="261">
        <f>IFERROR(INDEX('D Fleet'!$E$5:$E$63,MATCH(E$3-$B125,'D Fleet'!$B$5:$B$63,0)),0)*IFERROR(INDEX('D Fleet'!$K$5:$K$36,INT(($B125/E$5))+1)+(($B125/E$5)-INT(($B125/E$5)))*(INDEX('D Fleet'!$K$5:$K$36,INT(($B125/E$5))+2)-INDEX('D Fleet'!$K$5:$K$36,INT(($B125/E$5))+1)),0)</f>
        <v/>
      </c>
      <c r="F125" s="261">
        <f>IFERROR(INDEX('D Fleet'!$E$5:$E$63,MATCH(F$3-$B125,'D Fleet'!$B$5:$B$63,0)),0)*IFERROR(INDEX('D Fleet'!$K$5:$K$36,INT(($B125/F$5))+1)+(($B125/F$5)-INT(($B125/F$5)))*(INDEX('D Fleet'!$K$5:$K$36,INT(($B125/F$5))+2)-INDEX('D Fleet'!$K$5:$K$36,INT(($B125/F$5))+1)),0)</f>
        <v/>
      </c>
      <c r="G125" s="261">
        <f>IFERROR(INDEX('D Fleet'!$E$5:$E$63,MATCH(G$3-$B125,'D Fleet'!$B$5:$B$63,0)),0)*IFERROR(INDEX('D Fleet'!$K$5:$K$36,INT(($B125/G$5))+1)+(($B125/G$5)-INT(($B125/G$5)))*(INDEX('D Fleet'!$K$5:$K$36,INT(($B125/G$5))+2)-INDEX('D Fleet'!$K$5:$K$36,INT(($B125/G$5))+1)),0)</f>
        <v/>
      </c>
      <c r="H125" s="261">
        <f>IFERROR(INDEX('D Fleet'!$E$5:$E$63,MATCH(H$3-$B125,'D Fleet'!$B$5:$B$63,0)),0)*IFERROR(INDEX('D Fleet'!$K$5:$K$36,INT(($B125/H$5))+1)+(($B125/H$5)-INT(($B125/H$5)))*(INDEX('D Fleet'!$K$5:$K$36,INT(($B125/H$5))+2)-INDEX('D Fleet'!$K$5:$K$36,INT(($B125/H$5))+1)),0)</f>
        <v/>
      </c>
      <c r="I125" s="261">
        <f>IFERROR(INDEX('D Fleet'!$E$5:$E$63,MATCH(I$3-$B125,'D Fleet'!$B$5:$B$63,0)),0)*IFERROR(INDEX('D Fleet'!$K$5:$K$36,INT(($B125/I$5))+1)+(($B125/I$5)-INT(($B125/I$5)))*(INDEX('D Fleet'!$K$5:$K$36,INT(($B125/I$5))+2)-INDEX('D Fleet'!$K$5:$K$36,INT(($B125/I$5))+1)),0)</f>
        <v/>
      </c>
      <c r="J125" s="261">
        <f>IFERROR(INDEX('D Fleet'!$E$5:$E$63,MATCH(J$3-$B125,'D Fleet'!$B$5:$B$63,0)),0)*IFERROR(INDEX('D Fleet'!$K$5:$K$36,INT(($B125/J$5))+1)+(($B125/J$5)-INT(($B125/J$5)))*(INDEX('D Fleet'!$K$5:$K$36,INT(($B125/J$5))+2)-INDEX('D Fleet'!$K$5:$K$36,INT(($B125/J$5))+1)),0)</f>
        <v/>
      </c>
      <c r="K125" s="261">
        <f>IFERROR(INDEX('D Fleet'!$E$5:$E$63,MATCH(K$3-$B125,'D Fleet'!$B$5:$B$63,0)),0)*IFERROR(INDEX('D Fleet'!$K$5:$K$36,INT(($B125/K$5))+1)+(($B125/K$5)-INT(($B125/K$5)))*(INDEX('D Fleet'!$K$5:$K$36,INT(($B125/K$5))+2)-INDEX('D Fleet'!$K$5:$K$36,INT(($B125/K$5))+1)),0)</f>
        <v/>
      </c>
      <c r="L125" s="261">
        <f>IFERROR(INDEX('D Fleet'!$E$5:$E$63,MATCH(L$3-$B125,'D Fleet'!$B$5:$B$63,0)),0)*IFERROR(INDEX('D Fleet'!$K$5:$K$36,INT(($B125/L$5))+1)+(($B125/L$5)-INT(($B125/L$5)))*(INDEX('D Fleet'!$K$5:$K$36,INT(($B125/L$5))+2)-INDEX('D Fleet'!$K$5:$K$36,INT(($B125/L$5))+1)),0)</f>
        <v/>
      </c>
      <c r="M125" s="261">
        <f>IFERROR(INDEX('D Fleet'!$E$5:$E$63,MATCH(M$3-$B125,'D Fleet'!$B$5:$B$63,0)),0)*IFERROR(INDEX('D Fleet'!$K$5:$K$36,INT(($B125/M$5))+1)+(($B125/M$5)-INT(($B125/M$5)))*(INDEX('D Fleet'!$K$5:$K$36,INT(($B125/M$5))+2)-INDEX('D Fleet'!$K$5:$K$36,INT(($B125/M$5))+1)),0)</f>
        <v/>
      </c>
      <c r="N125" s="261">
        <f>IFERROR(INDEX('D Fleet'!$E$5:$E$63,MATCH(N$3-$B125,'D Fleet'!$B$5:$B$63,0)),0)*IFERROR(INDEX('D Fleet'!$K$5:$K$36,INT(($B125/N$5))+1)+(($B125/N$5)-INT(($B125/N$5)))*(INDEX('D Fleet'!$K$5:$K$36,INT(($B125/N$5))+2)-INDEX('D Fleet'!$K$5:$K$36,INT(($B125/N$5))+1)),0)</f>
        <v/>
      </c>
      <c r="P125" s="261">
        <f>E125*$D125*'E1 Fleet'!$D$99</f>
        <v/>
      </c>
      <c r="Q125" s="261">
        <f>F125*$D125*'E1 Fleet'!$D$99</f>
        <v/>
      </c>
      <c r="R125" s="261">
        <f>G125*$D125*'E1 Fleet'!$D$99</f>
        <v/>
      </c>
      <c r="S125" s="261">
        <f>H125*$D125*'E1 Fleet'!$D$99</f>
        <v/>
      </c>
      <c r="T125" s="261">
        <f>I125*$D125*'E1 Fleet'!$D$99</f>
        <v/>
      </c>
      <c r="U125" s="261">
        <f>J125*$D125*'E1 Fleet'!$D$99</f>
        <v/>
      </c>
      <c r="V125" s="261">
        <f>K125*$D125*'E1 Fleet'!$D$99</f>
        <v/>
      </c>
      <c r="W125" s="261">
        <f>L125*$D125*'E1 Fleet'!$D$99</f>
        <v/>
      </c>
      <c r="X125" s="261">
        <f>M125*$D125*'E1 Fleet'!$D$99</f>
        <v/>
      </c>
      <c r="Y125" s="261">
        <f>N125*$D125*'E1 Fleet'!$D$99</f>
        <v/>
      </c>
    </row>
    <row r="126">
      <c r="A126" t="inlineStr">
        <is>
          <t>Pickup</t>
        </is>
      </c>
      <c r="B126" s="331" t="n">
        <v>27</v>
      </c>
      <c r="C126" s="331" t="n">
        <v>3</v>
      </c>
      <c r="D126" s="266">
        <f>IF($B126=0,'E1 Fleet'!$D$93,1)*EXP(-'E1 Fleet'!$D$94*MAX($B126-6,0))</f>
        <v/>
      </c>
      <c r="E126" s="261">
        <f>IFERROR(INDEX('D Fleet'!$E$5:$E$63,MATCH(E$3-$B126,'D Fleet'!$B$5:$B$63,0)),0)*IFERROR(INDEX('D Fleet'!$K$5:$K$36,INT(($B126/E$5))+1)+(($B126/E$5)-INT(($B126/E$5)))*(INDEX('D Fleet'!$K$5:$K$36,INT(($B126/E$5))+2)-INDEX('D Fleet'!$K$5:$K$36,INT(($B126/E$5))+1)),0)</f>
        <v/>
      </c>
      <c r="F126" s="261">
        <f>IFERROR(INDEX('D Fleet'!$E$5:$E$63,MATCH(F$3-$B126,'D Fleet'!$B$5:$B$63,0)),0)*IFERROR(INDEX('D Fleet'!$K$5:$K$36,INT(($B126/F$5))+1)+(($B126/F$5)-INT(($B126/F$5)))*(INDEX('D Fleet'!$K$5:$K$36,INT(($B126/F$5))+2)-INDEX('D Fleet'!$K$5:$K$36,INT(($B126/F$5))+1)),0)</f>
        <v/>
      </c>
      <c r="G126" s="261">
        <f>IFERROR(INDEX('D Fleet'!$E$5:$E$63,MATCH(G$3-$B126,'D Fleet'!$B$5:$B$63,0)),0)*IFERROR(INDEX('D Fleet'!$K$5:$K$36,INT(($B126/G$5))+1)+(($B126/G$5)-INT(($B126/G$5)))*(INDEX('D Fleet'!$K$5:$K$36,INT(($B126/G$5))+2)-INDEX('D Fleet'!$K$5:$K$36,INT(($B126/G$5))+1)),0)</f>
        <v/>
      </c>
      <c r="H126" s="261">
        <f>IFERROR(INDEX('D Fleet'!$E$5:$E$63,MATCH(H$3-$B126,'D Fleet'!$B$5:$B$63,0)),0)*IFERROR(INDEX('D Fleet'!$K$5:$K$36,INT(($B126/H$5))+1)+(($B126/H$5)-INT(($B126/H$5)))*(INDEX('D Fleet'!$K$5:$K$36,INT(($B126/H$5))+2)-INDEX('D Fleet'!$K$5:$K$36,INT(($B126/H$5))+1)),0)</f>
        <v/>
      </c>
      <c r="I126" s="261">
        <f>IFERROR(INDEX('D Fleet'!$E$5:$E$63,MATCH(I$3-$B126,'D Fleet'!$B$5:$B$63,0)),0)*IFERROR(INDEX('D Fleet'!$K$5:$K$36,INT(($B126/I$5))+1)+(($B126/I$5)-INT(($B126/I$5)))*(INDEX('D Fleet'!$K$5:$K$36,INT(($B126/I$5))+2)-INDEX('D Fleet'!$K$5:$K$36,INT(($B126/I$5))+1)),0)</f>
        <v/>
      </c>
      <c r="J126" s="261">
        <f>IFERROR(INDEX('D Fleet'!$E$5:$E$63,MATCH(J$3-$B126,'D Fleet'!$B$5:$B$63,0)),0)*IFERROR(INDEX('D Fleet'!$K$5:$K$36,INT(($B126/J$5))+1)+(($B126/J$5)-INT(($B126/J$5)))*(INDEX('D Fleet'!$K$5:$K$36,INT(($B126/J$5))+2)-INDEX('D Fleet'!$K$5:$K$36,INT(($B126/J$5))+1)),0)</f>
        <v/>
      </c>
      <c r="K126" s="261">
        <f>IFERROR(INDEX('D Fleet'!$E$5:$E$63,MATCH(K$3-$B126,'D Fleet'!$B$5:$B$63,0)),0)*IFERROR(INDEX('D Fleet'!$K$5:$K$36,INT(($B126/K$5))+1)+(($B126/K$5)-INT(($B126/K$5)))*(INDEX('D Fleet'!$K$5:$K$36,INT(($B126/K$5))+2)-INDEX('D Fleet'!$K$5:$K$36,INT(($B126/K$5))+1)),0)</f>
        <v/>
      </c>
      <c r="L126" s="261">
        <f>IFERROR(INDEX('D Fleet'!$E$5:$E$63,MATCH(L$3-$B126,'D Fleet'!$B$5:$B$63,0)),0)*IFERROR(INDEX('D Fleet'!$K$5:$K$36,INT(($B126/L$5))+1)+(($B126/L$5)-INT(($B126/L$5)))*(INDEX('D Fleet'!$K$5:$K$36,INT(($B126/L$5))+2)-INDEX('D Fleet'!$K$5:$K$36,INT(($B126/L$5))+1)),0)</f>
        <v/>
      </c>
      <c r="M126" s="261">
        <f>IFERROR(INDEX('D Fleet'!$E$5:$E$63,MATCH(M$3-$B126,'D Fleet'!$B$5:$B$63,0)),0)*IFERROR(INDEX('D Fleet'!$K$5:$K$36,INT(($B126/M$5))+1)+(($B126/M$5)-INT(($B126/M$5)))*(INDEX('D Fleet'!$K$5:$K$36,INT(($B126/M$5))+2)-INDEX('D Fleet'!$K$5:$K$36,INT(($B126/M$5))+1)),0)</f>
        <v/>
      </c>
      <c r="N126" s="261">
        <f>IFERROR(INDEX('D Fleet'!$E$5:$E$63,MATCH(N$3-$B126,'D Fleet'!$B$5:$B$63,0)),0)*IFERROR(INDEX('D Fleet'!$K$5:$K$36,INT(($B126/N$5))+1)+(($B126/N$5)-INT(($B126/N$5)))*(INDEX('D Fleet'!$K$5:$K$36,INT(($B126/N$5))+2)-INDEX('D Fleet'!$K$5:$K$36,INT(($B126/N$5))+1)),0)</f>
        <v/>
      </c>
      <c r="P126" s="261">
        <f>E126*$D126*'E1 Fleet'!$D$99</f>
        <v/>
      </c>
      <c r="Q126" s="261">
        <f>F126*$D126*'E1 Fleet'!$D$99</f>
        <v/>
      </c>
      <c r="R126" s="261">
        <f>G126*$D126*'E1 Fleet'!$D$99</f>
        <v/>
      </c>
      <c r="S126" s="261">
        <f>H126*$D126*'E1 Fleet'!$D$99</f>
        <v/>
      </c>
      <c r="T126" s="261">
        <f>I126*$D126*'E1 Fleet'!$D$99</f>
        <v/>
      </c>
      <c r="U126" s="261">
        <f>J126*$D126*'E1 Fleet'!$D$99</f>
        <v/>
      </c>
      <c r="V126" s="261">
        <f>K126*$D126*'E1 Fleet'!$D$99</f>
        <v/>
      </c>
      <c r="W126" s="261">
        <f>L126*$D126*'E1 Fleet'!$D$99</f>
        <v/>
      </c>
      <c r="X126" s="261">
        <f>M126*$D126*'E1 Fleet'!$D$99</f>
        <v/>
      </c>
      <c r="Y126" s="261">
        <f>N126*$D126*'E1 Fleet'!$D$99</f>
        <v/>
      </c>
    </row>
    <row r="127">
      <c r="A127" t="inlineStr">
        <is>
          <t>Pickup</t>
        </is>
      </c>
      <c r="B127" s="331" t="n">
        <v>28</v>
      </c>
      <c r="C127" s="331" t="n">
        <v>3</v>
      </c>
      <c r="D127" s="266">
        <f>IF($B127=0,'E1 Fleet'!$D$93,1)*EXP(-'E1 Fleet'!$D$94*MAX($B127-6,0))</f>
        <v/>
      </c>
      <c r="E127" s="261">
        <f>IFERROR(INDEX('D Fleet'!$E$5:$E$63,MATCH(E$3-$B127,'D Fleet'!$B$5:$B$63,0)),0)*IFERROR(INDEX('D Fleet'!$K$5:$K$36,INT(($B127/E$5))+1)+(($B127/E$5)-INT(($B127/E$5)))*(INDEX('D Fleet'!$K$5:$K$36,INT(($B127/E$5))+2)-INDEX('D Fleet'!$K$5:$K$36,INT(($B127/E$5))+1)),0)</f>
        <v/>
      </c>
      <c r="F127" s="261">
        <f>IFERROR(INDEX('D Fleet'!$E$5:$E$63,MATCH(F$3-$B127,'D Fleet'!$B$5:$B$63,0)),0)*IFERROR(INDEX('D Fleet'!$K$5:$K$36,INT(($B127/F$5))+1)+(($B127/F$5)-INT(($B127/F$5)))*(INDEX('D Fleet'!$K$5:$K$36,INT(($B127/F$5))+2)-INDEX('D Fleet'!$K$5:$K$36,INT(($B127/F$5))+1)),0)</f>
        <v/>
      </c>
      <c r="G127" s="261">
        <f>IFERROR(INDEX('D Fleet'!$E$5:$E$63,MATCH(G$3-$B127,'D Fleet'!$B$5:$B$63,0)),0)*IFERROR(INDEX('D Fleet'!$K$5:$K$36,INT(($B127/G$5))+1)+(($B127/G$5)-INT(($B127/G$5)))*(INDEX('D Fleet'!$K$5:$K$36,INT(($B127/G$5))+2)-INDEX('D Fleet'!$K$5:$K$36,INT(($B127/G$5))+1)),0)</f>
        <v/>
      </c>
      <c r="H127" s="261">
        <f>IFERROR(INDEX('D Fleet'!$E$5:$E$63,MATCH(H$3-$B127,'D Fleet'!$B$5:$B$63,0)),0)*IFERROR(INDEX('D Fleet'!$K$5:$K$36,INT(($B127/H$5))+1)+(($B127/H$5)-INT(($B127/H$5)))*(INDEX('D Fleet'!$K$5:$K$36,INT(($B127/H$5))+2)-INDEX('D Fleet'!$K$5:$K$36,INT(($B127/H$5))+1)),0)</f>
        <v/>
      </c>
      <c r="I127" s="261">
        <f>IFERROR(INDEX('D Fleet'!$E$5:$E$63,MATCH(I$3-$B127,'D Fleet'!$B$5:$B$63,0)),0)*IFERROR(INDEX('D Fleet'!$K$5:$K$36,INT(($B127/I$5))+1)+(($B127/I$5)-INT(($B127/I$5)))*(INDEX('D Fleet'!$K$5:$K$36,INT(($B127/I$5))+2)-INDEX('D Fleet'!$K$5:$K$36,INT(($B127/I$5))+1)),0)</f>
        <v/>
      </c>
      <c r="J127" s="261">
        <f>IFERROR(INDEX('D Fleet'!$E$5:$E$63,MATCH(J$3-$B127,'D Fleet'!$B$5:$B$63,0)),0)*IFERROR(INDEX('D Fleet'!$K$5:$K$36,INT(($B127/J$5))+1)+(($B127/J$5)-INT(($B127/J$5)))*(INDEX('D Fleet'!$K$5:$K$36,INT(($B127/J$5))+2)-INDEX('D Fleet'!$K$5:$K$36,INT(($B127/J$5))+1)),0)</f>
        <v/>
      </c>
      <c r="K127" s="261">
        <f>IFERROR(INDEX('D Fleet'!$E$5:$E$63,MATCH(K$3-$B127,'D Fleet'!$B$5:$B$63,0)),0)*IFERROR(INDEX('D Fleet'!$K$5:$K$36,INT(($B127/K$5))+1)+(($B127/K$5)-INT(($B127/K$5)))*(INDEX('D Fleet'!$K$5:$K$36,INT(($B127/K$5))+2)-INDEX('D Fleet'!$K$5:$K$36,INT(($B127/K$5))+1)),0)</f>
        <v/>
      </c>
      <c r="L127" s="261">
        <f>IFERROR(INDEX('D Fleet'!$E$5:$E$63,MATCH(L$3-$B127,'D Fleet'!$B$5:$B$63,0)),0)*IFERROR(INDEX('D Fleet'!$K$5:$K$36,INT(($B127/L$5))+1)+(($B127/L$5)-INT(($B127/L$5)))*(INDEX('D Fleet'!$K$5:$K$36,INT(($B127/L$5))+2)-INDEX('D Fleet'!$K$5:$K$36,INT(($B127/L$5))+1)),0)</f>
        <v/>
      </c>
      <c r="M127" s="261">
        <f>IFERROR(INDEX('D Fleet'!$E$5:$E$63,MATCH(M$3-$B127,'D Fleet'!$B$5:$B$63,0)),0)*IFERROR(INDEX('D Fleet'!$K$5:$K$36,INT(($B127/M$5))+1)+(($B127/M$5)-INT(($B127/M$5)))*(INDEX('D Fleet'!$K$5:$K$36,INT(($B127/M$5))+2)-INDEX('D Fleet'!$K$5:$K$36,INT(($B127/M$5))+1)),0)</f>
        <v/>
      </c>
      <c r="N127" s="261">
        <f>IFERROR(INDEX('D Fleet'!$E$5:$E$63,MATCH(N$3-$B127,'D Fleet'!$B$5:$B$63,0)),0)*IFERROR(INDEX('D Fleet'!$K$5:$K$36,INT(($B127/N$5))+1)+(($B127/N$5)-INT(($B127/N$5)))*(INDEX('D Fleet'!$K$5:$K$36,INT(($B127/N$5))+2)-INDEX('D Fleet'!$K$5:$K$36,INT(($B127/N$5))+1)),0)</f>
        <v/>
      </c>
      <c r="P127" s="261">
        <f>E127*$D127*'E1 Fleet'!$D$99</f>
        <v/>
      </c>
      <c r="Q127" s="261">
        <f>F127*$D127*'E1 Fleet'!$D$99</f>
        <v/>
      </c>
      <c r="R127" s="261">
        <f>G127*$D127*'E1 Fleet'!$D$99</f>
        <v/>
      </c>
      <c r="S127" s="261">
        <f>H127*$D127*'E1 Fleet'!$D$99</f>
        <v/>
      </c>
      <c r="T127" s="261">
        <f>I127*$D127*'E1 Fleet'!$D$99</f>
        <v/>
      </c>
      <c r="U127" s="261">
        <f>J127*$D127*'E1 Fleet'!$D$99</f>
        <v/>
      </c>
      <c r="V127" s="261">
        <f>K127*$D127*'E1 Fleet'!$D$99</f>
        <v/>
      </c>
      <c r="W127" s="261">
        <f>L127*$D127*'E1 Fleet'!$D$99</f>
        <v/>
      </c>
      <c r="X127" s="261">
        <f>M127*$D127*'E1 Fleet'!$D$99</f>
        <v/>
      </c>
      <c r="Y127" s="261">
        <f>N127*$D127*'E1 Fleet'!$D$99</f>
        <v/>
      </c>
    </row>
    <row r="128">
      <c r="A128" t="inlineStr">
        <is>
          <t>Pickup</t>
        </is>
      </c>
      <c r="B128" s="331" t="n">
        <v>29</v>
      </c>
      <c r="C128" s="331" t="n">
        <v>3</v>
      </c>
      <c r="D128" s="266">
        <f>IF($B128=0,'E1 Fleet'!$D$93,1)*EXP(-'E1 Fleet'!$D$94*MAX($B128-6,0))</f>
        <v/>
      </c>
      <c r="E128" s="261">
        <f>IFERROR(INDEX('D Fleet'!$E$5:$E$63,MATCH(E$3-$B128,'D Fleet'!$B$5:$B$63,0)),0)*IFERROR(INDEX('D Fleet'!$K$5:$K$36,INT(($B128/E$5))+1)+(($B128/E$5)-INT(($B128/E$5)))*(INDEX('D Fleet'!$K$5:$K$36,INT(($B128/E$5))+2)-INDEX('D Fleet'!$K$5:$K$36,INT(($B128/E$5))+1)),0)</f>
        <v/>
      </c>
      <c r="F128" s="261">
        <f>IFERROR(INDEX('D Fleet'!$E$5:$E$63,MATCH(F$3-$B128,'D Fleet'!$B$5:$B$63,0)),0)*IFERROR(INDEX('D Fleet'!$K$5:$K$36,INT(($B128/F$5))+1)+(($B128/F$5)-INT(($B128/F$5)))*(INDEX('D Fleet'!$K$5:$K$36,INT(($B128/F$5))+2)-INDEX('D Fleet'!$K$5:$K$36,INT(($B128/F$5))+1)),0)</f>
        <v/>
      </c>
      <c r="G128" s="261">
        <f>IFERROR(INDEX('D Fleet'!$E$5:$E$63,MATCH(G$3-$B128,'D Fleet'!$B$5:$B$63,0)),0)*IFERROR(INDEX('D Fleet'!$K$5:$K$36,INT(($B128/G$5))+1)+(($B128/G$5)-INT(($B128/G$5)))*(INDEX('D Fleet'!$K$5:$K$36,INT(($B128/G$5))+2)-INDEX('D Fleet'!$K$5:$K$36,INT(($B128/G$5))+1)),0)</f>
        <v/>
      </c>
      <c r="H128" s="261">
        <f>IFERROR(INDEX('D Fleet'!$E$5:$E$63,MATCH(H$3-$B128,'D Fleet'!$B$5:$B$63,0)),0)*IFERROR(INDEX('D Fleet'!$K$5:$K$36,INT(($B128/H$5))+1)+(($B128/H$5)-INT(($B128/H$5)))*(INDEX('D Fleet'!$K$5:$K$36,INT(($B128/H$5))+2)-INDEX('D Fleet'!$K$5:$K$36,INT(($B128/H$5))+1)),0)</f>
        <v/>
      </c>
      <c r="I128" s="261">
        <f>IFERROR(INDEX('D Fleet'!$E$5:$E$63,MATCH(I$3-$B128,'D Fleet'!$B$5:$B$63,0)),0)*IFERROR(INDEX('D Fleet'!$K$5:$K$36,INT(($B128/I$5))+1)+(($B128/I$5)-INT(($B128/I$5)))*(INDEX('D Fleet'!$K$5:$K$36,INT(($B128/I$5))+2)-INDEX('D Fleet'!$K$5:$K$36,INT(($B128/I$5))+1)),0)</f>
        <v/>
      </c>
      <c r="J128" s="261">
        <f>IFERROR(INDEX('D Fleet'!$E$5:$E$63,MATCH(J$3-$B128,'D Fleet'!$B$5:$B$63,0)),0)*IFERROR(INDEX('D Fleet'!$K$5:$K$36,INT(($B128/J$5))+1)+(($B128/J$5)-INT(($B128/J$5)))*(INDEX('D Fleet'!$K$5:$K$36,INT(($B128/J$5))+2)-INDEX('D Fleet'!$K$5:$K$36,INT(($B128/J$5))+1)),0)</f>
        <v/>
      </c>
      <c r="K128" s="261">
        <f>IFERROR(INDEX('D Fleet'!$E$5:$E$63,MATCH(K$3-$B128,'D Fleet'!$B$5:$B$63,0)),0)*IFERROR(INDEX('D Fleet'!$K$5:$K$36,INT(($B128/K$5))+1)+(($B128/K$5)-INT(($B128/K$5)))*(INDEX('D Fleet'!$K$5:$K$36,INT(($B128/K$5))+2)-INDEX('D Fleet'!$K$5:$K$36,INT(($B128/K$5))+1)),0)</f>
        <v/>
      </c>
      <c r="L128" s="261">
        <f>IFERROR(INDEX('D Fleet'!$E$5:$E$63,MATCH(L$3-$B128,'D Fleet'!$B$5:$B$63,0)),0)*IFERROR(INDEX('D Fleet'!$K$5:$K$36,INT(($B128/L$5))+1)+(($B128/L$5)-INT(($B128/L$5)))*(INDEX('D Fleet'!$K$5:$K$36,INT(($B128/L$5))+2)-INDEX('D Fleet'!$K$5:$K$36,INT(($B128/L$5))+1)),0)</f>
        <v/>
      </c>
      <c r="M128" s="261">
        <f>IFERROR(INDEX('D Fleet'!$E$5:$E$63,MATCH(M$3-$B128,'D Fleet'!$B$5:$B$63,0)),0)*IFERROR(INDEX('D Fleet'!$K$5:$K$36,INT(($B128/M$5))+1)+(($B128/M$5)-INT(($B128/M$5)))*(INDEX('D Fleet'!$K$5:$K$36,INT(($B128/M$5))+2)-INDEX('D Fleet'!$K$5:$K$36,INT(($B128/M$5))+1)),0)</f>
        <v/>
      </c>
      <c r="N128" s="261">
        <f>IFERROR(INDEX('D Fleet'!$E$5:$E$63,MATCH(N$3-$B128,'D Fleet'!$B$5:$B$63,0)),0)*IFERROR(INDEX('D Fleet'!$K$5:$K$36,INT(($B128/N$5))+1)+(($B128/N$5)-INT(($B128/N$5)))*(INDEX('D Fleet'!$K$5:$K$36,INT(($B128/N$5))+2)-INDEX('D Fleet'!$K$5:$K$36,INT(($B128/N$5))+1)),0)</f>
        <v/>
      </c>
      <c r="P128" s="261">
        <f>E128*$D128*'E1 Fleet'!$D$99</f>
        <v/>
      </c>
      <c r="Q128" s="261">
        <f>F128*$D128*'E1 Fleet'!$D$99</f>
        <v/>
      </c>
      <c r="R128" s="261">
        <f>G128*$D128*'E1 Fleet'!$D$99</f>
        <v/>
      </c>
      <c r="S128" s="261">
        <f>H128*$D128*'E1 Fleet'!$D$99</f>
        <v/>
      </c>
      <c r="T128" s="261">
        <f>I128*$D128*'E1 Fleet'!$D$99</f>
        <v/>
      </c>
      <c r="U128" s="261">
        <f>J128*$D128*'E1 Fleet'!$D$99</f>
        <v/>
      </c>
      <c r="V128" s="261">
        <f>K128*$D128*'E1 Fleet'!$D$99</f>
        <v/>
      </c>
      <c r="W128" s="261">
        <f>L128*$D128*'E1 Fleet'!$D$99</f>
        <v/>
      </c>
      <c r="X128" s="261">
        <f>M128*$D128*'E1 Fleet'!$D$99</f>
        <v/>
      </c>
      <c r="Y128" s="261">
        <f>N128*$D128*'E1 Fleet'!$D$99</f>
        <v/>
      </c>
    </row>
    <row r="129">
      <c r="A129" t="inlineStr">
        <is>
          <t>Pickup</t>
        </is>
      </c>
      <c r="B129" s="331" t="n">
        <v>30</v>
      </c>
      <c r="C129" s="331" t="n">
        <v>3</v>
      </c>
      <c r="D129" s="266">
        <f>IF($B129=0,'E1 Fleet'!$D$93,1)*EXP(-'E1 Fleet'!$D$94*MAX($B129-6,0))</f>
        <v/>
      </c>
      <c r="E129" s="261">
        <f>IFERROR(INDEX('D Fleet'!$E$5:$E$63,MATCH(E$3-$B129,'D Fleet'!$B$5:$B$63,0)),0)*IFERROR(INDEX('D Fleet'!$K$5:$K$36,INT(($B129/E$5))+1)+(($B129/E$5)-INT(($B129/E$5)))*(INDEX('D Fleet'!$K$5:$K$36,INT(($B129/E$5))+2)-INDEX('D Fleet'!$K$5:$K$36,INT(($B129/E$5))+1)),0)</f>
        <v/>
      </c>
      <c r="F129" s="261">
        <f>IFERROR(INDEX('D Fleet'!$E$5:$E$63,MATCH(F$3-$B129,'D Fleet'!$B$5:$B$63,0)),0)*IFERROR(INDEX('D Fleet'!$K$5:$K$36,INT(($B129/F$5))+1)+(($B129/F$5)-INT(($B129/F$5)))*(INDEX('D Fleet'!$K$5:$K$36,INT(($B129/F$5))+2)-INDEX('D Fleet'!$K$5:$K$36,INT(($B129/F$5))+1)),0)</f>
        <v/>
      </c>
      <c r="G129" s="261">
        <f>IFERROR(INDEX('D Fleet'!$E$5:$E$63,MATCH(G$3-$B129,'D Fleet'!$B$5:$B$63,0)),0)*IFERROR(INDEX('D Fleet'!$K$5:$K$36,INT(($B129/G$5))+1)+(($B129/G$5)-INT(($B129/G$5)))*(INDEX('D Fleet'!$K$5:$K$36,INT(($B129/G$5))+2)-INDEX('D Fleet'!$K$5:$K$36,INT(($B129/G$5))+1)),0)</f>
        <v/>
      </c>
      <c r="H129" s="261">
        <f>IFERROR(INDEX('D Fleet'!$E$5:$E$63,MATCH(H$3-$B129,'D Fleet'!$B$5:$B$63,0)),0)*IFERROR(INDEX('D Fleet'!$K$5:$K$36,INT(($B129/H$5))+1)+(($B129/H$5)-INT(($B129/H$5)))*(INDEX('D Fleet'!$K$5:$K$36,INT(($B129/H$5))+2)-INDEX('D Fleet'!$K$5:$K$36,INT(($B129/H$5))+1)),0)</f>
        <v/>
      </c>
      <c r="I129" s="261">
        <f>IFERROR(INDEX('D Fleet'!$E$5:$E$63,MATCH(I$3-$B129,'D Fleet'!$B$5:$B$63,0)),0)*IFERROR(INDEX('D Fleet'!$K$5:$K$36,INT(($B129/I$5))+1)+(($B129/I$5)-INT(($B129/I$5)))*(INDEX('D Fleet'!$K$5:$K$36,INT(($B129/I$5))+2)-INDEX('D Fleet'!$K$5:$K$36,INT(($B129/I$5))+1)),0)</f>
        <v/>
      </c>
      <c r="J129" s="261">
        <f>IFERROR(INDEX('D Fleet'!$E$5:$E$63,MATCH(J$3-$B129,'D Fleet'!$B$5:$B$63,0)),0)*IFERROR(INDEX('D Fleet'!$K$5:$K$36,INT(($B129/J$5))+1)+(($B129/J$5)-INT(($B129/J$5)))*(INDEX('D Fleet'!$K$5:$K$36,INT(($B129/J$5))+2)-INDEX('D Fleet'!$K$5:$K$36,INT(($B129/J$5))+1)),0)</f>
        <v/>
      </c>
      <c r="K129" s="261">
        <f>IFERROR(INDEX('D Fleet'!$E$5:$E$63,MATCH(K$3-$B129,'D Fleet'!$B$5:$B$63,0)),0)*IFERROR(INDEX('D Fleet'!$K$5:$K$36,INT(($B129/K$5))+1)+(($B129/K$5)-INT(($B129/K$5)))*(INDEX('D Fleet'!$K$5:$K$36,INT(($B129/K$5))+2)-INDEX('D Fleet'!$K$5:$K$36,INT(($B129/K$5))+1)),0)</f>
        <v/>
      </c>
      <c r="L129" s="261">
        <f>IFERROR(INDEX('D Fleet'!$E$5:$E$63,MATCH(L$3-$B129,'D Fleet'!$B$5:$B$63,0)),0)*IFERROR(INDEX('D Fleet'!$K$5:$K$36,INT(($B129/L$5))+1)+(($B129/L$5)-INT(($B129/L$5)))*(INDEX('D Fleet'!$K$5:$K$36,INT(($B129/L$5))+2)-INDEX('D Fleet'!$K$5:$K$36,INT(($B129/L$5))+1)),0)</f>
        <v/>
      </c>
      <c r="M129" s="261">
        <f>IFERROR(INDEX('D Fleet'!$E$5:$E$63,MATCH(M$3-$B129,'D Fleet'!$B$5:$B$63,0)),0)*IFERROR(INDEX('D Fleet'!$K$5:$K$36,INT(($B129/M$5))+1)+(($B129/M$5)-INT(($B129/M$5)))*(INDEX('D Fleet'!$K$5:$K$36,INT(($B129/M$5))+2)-INDEX('D Fleet'!$K$5:$K$36,INT(($B129/M$5))+1)),0)</f>
        <v/>
      </c>
      <c r="N129" s="261">
        <f>IFERROR(INDEX('D Fleet'!$E$5:$E$63,MATCH(N$3-$B129,'D Fleet'!$B$5:$B$63,0)),0)*IFERROR(INDEX('D Fleet'!$K$5:$K$36,INT(($B129/N$5))+1)+(($B129/N$5)-INT(($B129/N$5)))*(INDEX('D Fleet'!$K$5:$K$36,INT(($B129/N$5))+2)-INDEX('D Fleet'!$K$5:$K$36,INT(($B129/N$5))+1)),0)</f>
        <v/>
      </c>
      <c r="P129" s="261">
        <f>E129*$D129*'E1 Fleet'!$D$99</f>
        <v/>
      </c>
      <c r="Q129" s="261">
        <f>F129*$D129*'E1 Fleet'!$D$99</f>
        <v/>
      </c>
      <c r="R129" s="261">
        <f>G129*$D129*'E1 Fleet'!$D$99</f>
        <v/>
      </c>
      <c r="S129" s="261">
        <f>H129*$D129*'E1 Fleet'!$D$99</f>
        <v/>
      </c>
      <c r="T129" s="261">
        <f>I129*$D129*'E1 Fleet'!$D$99</f>
        <v/>
      </c>
      <c r="U129" s="261">
        <f>J129*$D129*'E1 Fleet'!$D$99</f>
        <v/>
      </c>
      <c r="V129" s="261">
        <f>K129*$D129*'E1 Fleet'!$D$99</f>
        <v/>
      </c>
      <c r="W129" s="261">
        <f>L129*$D129*'E1 Fleet'!$D$99</f>
        <v/>
      </c>
      <c r="X129" s="261">
        <f>M129*$D129*'E1 Fleet'!$D$99</f>
        <v/>
      </c>
      <c r="Y129" s="261">
        <f>N129*$D129*'E1 Fleet'!$D$99</f>
        <v/>
      </c>
    </row>
    <row r="130">
      <c r="A130" t="inlineStr">
        <is>
          <t>Pickup</t>
        </is>
      </c>
      <c r="B130" s="331" t="n">
        <v>31</v>
      </c>
      <c r="C130" s="331" t="n">
        <v>3</v>
      </c>
      <c r="D130" s="266">
        <f>IF($B130=0,'E1 Fleet'!$D$93,1)*EXP(-'E1 Fleet'!$D$94*MAX($B130-6,0))</f>
        <v/>
      </c>
      <c r="E130" s="261">
        <f>IFERROR(INDEX('D Fleet'!$E$5:$E$63,MATCH(E$3-$B130,'D Fleet'!$B$5:$B$63,0)),0)*IFERROR(INDEX('D Fleet'!$K$5:$K$36,INT(($B130/E$5))+1)+(($B130/E$5)-INT(($B130/E$5)))*(INDEX('D Fleet'!$K$5:$K$36,INT(($B130/E$5))+2)-INDEX('D Fleet'!$K$5:$K$36,INT(($B130/E$5))+1)),0)</f>
        <v/>
      </c>
      <c r="F130" s="261">
        <f>IFERROR(INDEX('D Fleet'!$E$5:$E$63,MATCH(F$3-$B130,'D Fleet'!$B$5:$B$63,0)),0)*IFERROR(INDEX('D Fleet'!$K$5:$K$36,INT(($B130/F$5))+1)+(($B130/F$5)-INT(($B130/F$5)))*(INDEX('D Fleet'!$K$5:$K$36,INT(($B130/F$5))+2)-INDEX('D Fleet'!$K$5:$K$36,INT(($B130/F$5))+1)),0)</f>
        <v/>
      </c>
      <c r="G130" s="261">
        <f>IFERROR(INDEX('D Fleet'!$E$5:$E$63,MATCH(G$3-$B130,'D Fleet'!$B$5:$B$63,0)),0)*IFERROR(INDEX('D Fleet'!$K$5:$K$36,INT(($B130/G$5))+1)+(($B130/G$5)-INT(($B130/G$5)))*(INDEX('D Fleet'!$K$5:$K$36,INT(($B130/G$5))+2)-INDEX('D Fleet'!$K$5:$K$36,INT(($B130/G$5))+1)),0)</f>
        <v/>
      </c>
      <c r="H130" s="261">
        <f>IFERROR(INDEX('D Fleet'!$E$5:$E$63,MATCH(H$3-$B130,'D Fleet'!$B$5:$B$63,0)),0)*IFERROR(INDEX('D Fleet'!$K$5:$K$36,INT(($B130/H$5))+1)+(($B130/H$5)-INT(($B130/H$5)))*(INDEX('D Fleet'!$K$5:$K$36,INT(($B130/H$5))+2)-INDEX('D Fleet'!$K$5:$K$36,INT(($B130/H$5))+1)),0)</f>
        <v/>
      </c>
      <c r="I130" s="261">
        <f>IFERROR(INDEX('D Fleet'!$E$5:$E$63,MATCH(I$3-$B130,'D Fleet'!$B$5:$B$63,0)),0)*IFERROR(INDEX('D Fleet'!$K$5:$K$36,INT(($B130/I$5))+1)+(($B130/I$5)-INT(($B130/I$5)))*(INDEX('D Fleet'!$K$5:$K$36,INT(($B130/I$5))+2)-INDEX('D Fleet'!$K$5:$K$36,INT(($B130/I$5))+1)),0)</f>
        <v/>
      </c>
      <c r="J130" s="261">
        <f>IFERROR(INDEX('D Fleet'!$E$5:$E$63,MATCH(J$3-$B130,'D Fleet'!$B$5:$B$63,0)),0)*IFERROR(INDEX('D Fleet'!$K$5:$K$36,INT(($B130/J$5))+1)+(($B130/J$5)-INT(($B130/J$5)))*(INDEX('D Fleet'!$K$5:$K$36,INT(($B130/J$5))+2)-INDEX('D Fleet'!$K$5:$K$36,INT(($B130/J$5))+1)),0)</f>
        <v/>
      </c>
      <c r="K130" s="261">
        <f>IFERROR(INDEX('D Fleet'!$E$5:$E$63,MATCH(K$3-$B130,'D Fleet'!$B$5:$B$63,0)),0)*IFERROR(INDEX('D Fleet'!$K$5:$K$36,INT(($B130/K$5))+1)+(($B130/K$5)-INT(($B130/K$5)))*(INDEX('D Fleet'!$K$5:$K$36,INT(($B130/K$5))+2)-INDEX('D Fleet'!$K$5:$K$36,INT(($B130/K$5))+1)),0)</f>
        <v/>
      </c>
      <c r="L130" s="261">
        <f>IFERROR(INDEX('D Fleet'!$E$5:$E$63,MATCH(L$3-$B130,'D Fleet'!$B$5:$B$63,0)),0)*IFERROR(INDEX('D Fleet'!$K$5:$K$36,INT(($B130/L$5))+1)+(($B130/L$5)-INT(($B130/L$5)))*(INDEX('D Fleet'!$K$5:$K$36,INT(($B130/L$5))+2)-INDEX('D Fleet'!$K$5:$K$36,INT(($B130/L$5))+1)),0)</f>
        <v/>
      </c>
      <c r="M130" s="261">
        <f>IFERROR(INDEX('D Fleet'!$E$5:$E$63,MATCH(M$3-$B130,'D Fleet'!$B$5:$B$63,0)),0)*IFERROR(INDEX('D Fleet'!$K$5:$K$36,INT(($B130/M$5))+1)+(($B130/M$5)-INT(($B130/M$5)))*(INDEX('D Fleet'!$K$5:$K$36,INT(($B130/M$5))+2)-INDEX('D Fleet'!$K$5:$K$36,INT(($B130/M$5))+1)),0)</f>
        <v/>
      </c>
      <c r="N130" s="261">
        <f>IFERROR(INDEX('D Fleet'!$E$5:$E$63,MATCH(N$3-$B130,'D Fleet'!$B$5:$B$63,0)),0)*IFERROR(INDEX('D Fleet'!$K$5:$K$36,INT(($B130/N$5))+1)+(($B130/N$5)-INT(($B130/N$5)))*(INDEX('D Fleet'!$K$5:$K$36,INT(($B130/N$5))+2)-INDEX('D Fleet'!$K$5:$K$36,INT(($B130/N$5))+1)),0)</f>
        <v/>
      </c>
      <c r="P130" s="261">
        <f>E130*$D130*'E1 Fleet'!$D$99</f>
        <v/>
      </c>
      <c r="Q130" s="261">
        <f>F130*$D130*'E1 Fleet'!$D$99</f>
        <v/>
      </c>
      <c r="R130" s="261">
        <f>G130*$D130*'E1 Fleet'!$D$99</f>
        <v/>
      </c>
      <c r="S130" s="261">
        <f>H130*$D130*'E1 Fleet'!$D$99</f>
        <v/>
      </c>
      <c r="T130" s="261">
        <f>I130*$D130*'E1 Fleet'!$D$99</f>
        <v/>
      </c>
      <c r="U130" s="261">
        <f>J130*$D130*'E1 Fleet'!$D$99</f>
        <v/>
      </c>
      <c r="V130" s="261">
        <f>K130*$D130*'E1 Fleet'!$D$99</f>
        <v/>
      </c>
      <c r="W130" s="261">
        <f>L130*$D130*'E1 Fleet'!$D$99</f>
        <v/>
      </c>
      <c r="X130" s="261">
        <f>M130*$D130*'E1 Fleet'!$D$99</f>
        <v/>
      </c>
      <c r="Y130" s="261">
        <f>N130*$D130*'E1 Fleet'!$D$99</f>
        <v/>
      </c>
    </row>
    <row r="131">
      <c r="A131" t="inlineStr">
        <is>
          <t>Pickup</t>
        </is>
      </c>
      <c r="B131" s="331" t="n">
        <v>32</v>
      </c>
      <c r="C131" s="331" t="n">
        <v>3</v>
      </c>
      <c r="D131" s="266">
        <f>IF($B131=0,'E1 Fleet'!$D$93,1)*EXP(-'E1 Fleet'!$D$94*MAX($B131-6,0))</f>
        <v/>
      </c>
      <c r="E131" s="261">
        <f>IFERROR(INDEX('D Fleet'!$E$5:$E$63,MATCH(E$3-$B131,'D Fleet'!$B$5:$B$63,0)),0)*IFERROR(INDEX('D Fleet'!$K$5:$K$36,INT(($B131/E$5))+1)+(($B131/E$5)-INT(($B131/E$5)))*(INDEX('D Fleet'!$K$5:$K$36,INT(($B131/E$5))+2)-INDEX('D Fleet'!$K$5:$K$36,INT(($B131/E$5))+1)),0)</f>
        <v/>
      </c>
      <c r="F131" s="261">
        <f>IFERROR(INDEX('D Fleet'!$E$5:$E$63,MATCH(F$3-$B131,'D Fleet'!$B$5:$B$63,0)),0)*IFERROR(INDEX('D Fleet'!$K$5:$K$36,INT(($B131/F$5))+1)+(($B131/F$5)-INT(($B131/F$5)))*(INDEX('D Fleet'!$K$5:$K$36,INT(($B131/F$5))+2)-INDEX('D Fleet'!$K$5:$K$36,INT(($B131/F$5))+1)),0)</f>
        <v/>
      </c>
      <c r="G131" s="261">
        <f>IFERROR(INDEX('D Fleet'!$E$5:$E$63,MATCH(G$3-$B131,'D Fleet'!$B$5:$B$63,0)),0)*IFERROR(INDEX('D Fleet'!$K$5:$K$36,INT(($B131/G$5))+1)+(($B131/G$5)-INT(($B131/G$5)))*(INDEX('D Fleet'!$K$5:$K$36,INT(($B131/G$5))+2)-INDEX('D Fleet'!$K$5:$K$36,INT(($B131/G$5))+1)),0)</f>
        <v/>
      </c>
      <c r="H131" s="261">
        <f>IFERROR(INDEX('D Fleet'!$E$5:$E$63,MATCH(H$3-$B131,'D Fleet'!$B$5:$B$63,0)),0)*IFERROR(INDEX('D Fleet'!$K$5:$K$36,INT(($B131/H$5))+1)+(($B131/H$5)-INT(($B131/H$5)))*(INDEX('D Fleet'!$K$5:$K$36,INT(($B131/H$5))+2)-INDEX('D Fleet'!$K$5:$K$36,INT(($B131/H$5))+1)),0)</f>
        <v/>
      </c>
      <c r="I131" s="261">
        <f>IFERROR(INDEX('D Fleet'!$E$5:$E$63,MATCH(I$3-$B131,'D Fleet'!$B$5:$B$63,0)),0)*IFERROR(INDEX('D Fleet'!$K$5:$K$36,INT(($B131/I$5))+1)+(($B131/I$5)-INT(($B131/I$5)))*(INDEX('D Fleet'!$K$5:$K$36,INT(($B131/I$5))+2)-INDEX('D Fleet'!$K$5:$K$36,INT(($B131/I$5))+1)),0)</f>
        <v/>
      </c>
      <c r="J131" s="261">
        <f>IFERROR(INDEX('D Fleet'!$E$5:$E$63,MATCH(J$3-$B131,'D Fleet'!$B$5:$B$63,0)),0)*IFERROR(INDEX('D Fleet'!$K$5:$K$36,INT(($B131/J$5))+1)+(($B131/J$5)-INT(($B131/J$5)))*(INDEX('D Fleet'!$K$5:$K$36,INT(($B131/J$5))+2)-INDEX('D Fleet'!$K$5:$K$36,INT(($B131/J$5))+1)),0)</f>
        <v/>
      </c>
      <c r="K131" s="261">
        <f>IFERROR(INDEX('D Fleet'!$E$5:$E$63,MATCH(K$3-$B131,'D Fleet'!$B$5:$B$63,0)),0)*IFERROR(INDEX('D Fleet'!$K$5:$K$36,INT(($B131/K$5))+1)+(($B131/K$5)-INT(($B131/K$5)))*(INDEX('D Fleet'!$K$5:$K$36,INT(($B131/K$5))+2)-INDEX('D Fleet'!$K$5:$K$36,INT(($B131/K$5))+1)),0)</f>
        <v/>
      </c>
      <c r="L131" s="261">
        <f>IFERROR(INDEX('D Fleet'!$E$5:$E$63,MATCH(L$3-$B131,'D Fleet'!$B$5:$B$63,0)),0)*IFERROR(INDEX('D Fleet'!$K$5:$K$36,INT(($B131/L$5))+1)+(($B131/L$5)-INT(($B131/L$5)))*(INDEX('D Fleet'!$K$5:$K$36,INT(($B131/L$5))+2)-INDEX('D Fleet'!$K$5:$K$36,INT(($B131/L$5))+1)),0)</f>
        <v/>
      </c>
      <c r="M131" s="261">
        <f>IFERROR(INDEX('D Fleet'!$E$5:$E$63,MATCH(M$3-$B131,'D Fleet'!$B$5:$B$63,0)),0)*IFERROR(INDEX('D Fleet'!$K$5:$K$36,INT(($B131/M$5))+1)+(($B131/M$5)-INT(($B131/M$5)))*(INDEX('D Fleet'!$K$5:$K$36,INT(($B131/M$5))+2)-INDEX('D Fleet'!$K$5:$K$36,INT(($B131/M$5))+1)),0)</f>
        <v/>
      </c>
      <c r="N131" s="261">
        <f>IFERROR(INDEX('D Fleet'!$E$5:$E$63,MATCH(N$3-$B131,'D Fleet'!$B$5:$B$63,0)),0)*IFERROR(INDEX('D Fleet'!$K$5:$K$36,INT(($B131/N$5))+1)+(($B131/N$5)-INT(($B131/N$5)))*(INDEX('D Fleet'!$K$5:$K$36,INT(($B131/N$5))+2)-INDEX('D Fleet'!$K$5:$K$36,INT(($B131/N$5))+1)),0)</f>
        <v/>
      </c>
      <c r="P131" s="261">
        <f>E131*$D131*'E1 Fleet'!$D$99</f>
        <v/>
      </c>
      <c r="Q131" s="261">
        <f>F131*$D131*'E1 Fleet'!$D$99</f>
        <v/>
      </c>
      <c r="R131" s="261">
        <f>G131*$D131*'E1 Fleet'!$D$99</f>
        <v/>
      </c>
      <c r="S131" s="261">
        <f>H131*$D131*'E1 Fleet'!$D$99</f>
        <v/>
      </c>
      <c r="T131" s="261">
        <f>I131*$D131*'E1 Fleet'!$D$99</f>
        <v/>
      </c>
      <c r="U131" s="261">
        <f>J131*$D131*'E1 Fleet'!$D$99</f>
        <v/>
      </c>
      <c r="V131" s="261">
        <f>K131*$D131*'E1 Fleet'!$D$99</f>
        <v/>
      </c>
      <c r="W131" s="261">
        <f>L131*$D131*'E1 Fleet'!$D$99</f>
        <v/>
      </c>
      <c r="X131" s="261">
        <f>M131*$D131*'E1 Fleet'!$D$99</f>
        <v/>
      </c>
      <c r="Y131" s="261">
        <f>N131*$D131*'E1 Fleet'!$D$99</f>
        <v/>
      </c>
    </row>
    <row r="132">
      <c r="A132" t="inlineStr">
        <is>
          <t>Pickup</t>
        </is>
      </c>
      <c r="B132" s="331" t="n">
        <v>33</v>
      </c>
      <c r="C132" s="331" t="n">
        <v>3</v>
      </c>
      <c r="D132" s="266">
        <f>IF($B132=0,'E1 Fleet'!$D$93,1)*EXP(-'E1 Fleet'!$D$94*MAX($B132-6,0))</f>
        <v/>
      </c>
      <c r="E132" s="261">
        <f>IFERROR(INDEX('D Fleet'!$E$5:$E$63,MATCH(E$3-$B132,'D Fleet'!$B$5:$B$63,0)),0)*IFERROR(INDEX('D Fleet'!$K$5:$K$36,INT(($B132/E$5))+1)+(($B132/E$5)-INT(($B132/E$5)))*(INDEX('D Fleet'!$K$5:$K$36,INT(($B132/E$5))+2)-INDEX('D Fleet'!$K$5:$K$36,INT(($B132/E$5))+1)),0)</f>
        <v/>
      </c>
      <c r="F132" s="261">
        <f>IFERROR(INDEX('D Fleet'!$E$5:$E$63,MATCH(F$3-$B132,'D Fleet'!$B$5:$B$63,0)),0)*IFERROR(INDEX('D Fleet'!$K$5:$K$36,INT(($B132/F$5))+1)+(($B132/F$5)-INT(($B132/F$5)))*(INDEX('D Fleet'!$K$5:$K$36,INT(($B132/F$5))+2)-INDEX('D Fleet'!$K$5:$K$36,INT(($B132/F$5))+1)),0)</f>
        <v/>
      </c>
      <c r="G132" s="261">
        <f>IFERROR(INDEX('D Fleet'!$E$5:$E$63,MATCH(G$3-$B132,'D Fleet'!$B$5:$B$63,0)),0)*IFERROR(INDEX('D Fleet'!$K$5:$K$36,INT(($B132/G$5))+1)+(($B132/G$5)-INT(($B132/G$5)))*(INDEX('D Fleet'!$K$5:$K$36,INT(($B132/G$5))+2)-INDEX('D Fleet'!$K$5:$K$36,INT(($B132/G$5))+1)),0)</f>
        <v/>
      </c>
      <c r="H132" s="261">
        <f>IFERROR(INDEX('D Fleet'!$E$5:$E$63,MATCH(H$3-$B132,'D Fleet'!$B$5:$B$63,0)),0)*IFERROR(INDEX('D Fleet'!$K$5:$K$36,INT(($B132/H$5))+1)+(($B132/H$5)-INT(($B132/H$5)))*(INDEX('D Fleet'!$K$5:$K$36,INT(($B132/H$5))+2)-INDEX('D Fleet'!$K$5:$K$36,INT(($B132/H$5))+1)),0)</f>
        <v/>
      </c>
      <c r="I132" s="261">
        <f>IFERROR(INDEX('D Fleet'!$E$5:$E$63,MATCH(I$3-$B132,'D Fleet'!$B$5:$B$63,0)),0)*IFERROR(INDEX('D Fleet'!$K$5:$K$36,INT(($B132/I$5))+1)+(($B132/I$5)-INT(($B132/I$5)))*(INDEX('D Fleet'!$K$5:$K$36,INT(($B132/I$5))+2)-INDEX('D Fleet'!$K$5:$K$36,INT(($B132/I$5))+1)),0)</f>
        <v/>
      </c>
      <c r="J132" s="261">
        <f>IFERROR(INDEX('D Fleet'!$E$5:$E$63,MATCH(J$3-$B132,'D Fleet'!$B$5:$B$63,0)),0)*IFERROR(INDEX('D Fleet'!$K$5:$K$36,INT(($B132/J$5))+1)+(($B132/J$5)-INT(($B132/J$5)))*(INDEX('D Fleet'!$K$5:$K$36,INT(($B132/J$5))+2)-INDEX('D Fleet'!$K$5:$K$36,INT(($B132/J$5))+1)),0)</f>
        <v/>
      </c>
      <c r="K132" s="261">
        <f>IFERROR(INDEX('D Fleet'!$E$5:$E$63,MATCH(K$3-$B132,'D Fleet'!$B$5:$B$63,0)),0)*IFERROR(INDEX('D Fleet'!$K$5:$K$36,INT(($B132/K$5))+1)+(($B132/K$5)-INT(($B132/K$5)))*(INDEX('D Fleet'!$K$5:$K$36,INT(($B132/K$5))+2)-INDEX('D Fleet'!$K$5:$K$36,INT(($B132/K$5))+1)),0)</f>
        <v/>
      </c>
      <c r="L132" s="261">
        <f>IFERROR(INDEX('D Fleet'!$E$5:$E$63,MATCH(L$3-$B132,'D Fleet'!$B$5:$B$63,0)),0)*IFERROR(INDEX('D Fleet'!$K$5:$K$36,INT(($B132/L$5))+1)+(($B132/L$5)-INT(($B132/L$5)))*(INDEX('D Fleet'!$K$5:$K$36,INT(($B132/L$5))+2)-INDEX('D Fleet'!$K$5:$K$36,INT(($B132/L$5))+1)),0)</f>
        <v/>
      </c>
      <c r="M132" s="261">
        <f>IFERROR(INDEX('D Fleet'!$E$5:$E$63,MATCH(M$3-$B132,'D Fleet'!$B$5:$B$63,0)),0)*IFERROR(INDEX('D Fleet'!$K$5:$K$36,INT(($B132/M$5))+1)+(($B132/M$5)-INT(($B132/M$5)))*(INDEX('D Fleet'!$K$5:$K$36,INT(($B132/M$5))+2)-INDEX('D Fleet'!$K$5:$K$36,INT(($B132/M$5))+1)),0)</f>
        <v/>
      </c>
      <c r="N132" s="261">
        <f>IFERROR(INDEX('D Fleet'!$E$5:$E$63,MATCH(N$3-$B132,'D Fleet'!$B$5:$B$63,0)),0)*IFERROR(INDEX('D Fleet'!$K$5:$K$36,INT(($B132/N$5))+1)+(($B132/N$5)-INT(($B132/N$5)))*(INDEX('D Fleet'!$K$5:$K$36,INT(($B132/N$5))+2)-INDEX('D Fleet'!$K$5:$K$36,INT(($B132/N$5))+1)),0)</f>
        <v/>
      </c>
      <c r="P132" s="261">
        <f>E132*$D132*'E1 Fleet'!$D$99</f>
        <v/>
      </c>
      <c r="Q132" s="261">
        <f>F132*$D132*'E1 Fleet'!$D$99</f>
        <v/>
      </c>
      <c r="R132" s="261">
        <f>G132*$D132*'E1 Fleet'!$D$99</f>
        <v/>
      </c>
      <c r="S132" s="261">
        <f>H132*$D132*'E1 Fleet'!$D$99</f>
        <v/>
      </c>
      <c r="T132" s="261">
        <f>I132*$D132*'E1 Fleet'!$D$99</f>
        <v/>
      </c>
      <c r="U132" s="261">
        <f>J132*$D132*'E1 Fleet'!$D$99</f>
        <v/>
      </c>
      <c r="V132" s="261">
        <f>K132*$D132*'E1 Fleet'!$D$99</f>
        <v/>
      </c>
      <c r="W132" s="261">
        <f>L132*$D132*'E1 Fleet'!$D$99</f>
        <v/>
      </c>
      <c r="X132" s="261">
        <f>M132*$D132*'E1 Fleet'!$D$99</f>
        <v/>
      </c>
      <c r="Y132" s="261">
        <f>N132*$D132*'E1 Fleet'!$D$99</f>
        <v/>
      </c>
    </row>
    <row r="133">
      <c r="A133" t="inlineStr">
        <is>
          <t>Pickup</t>
        </is>
      </c>
      <c r="B133" s="331" t="n">
        <v>34</v>
      </c>
      <c r="C133" s="331" t="n">
        <v>3</v>
      </c>
      <c r="D133" s="266">
        <f>IF($B133=0,'E1 Fleet'!$D$93,1)*EXP(-'E1 Fleet'!$D$94*MAX($B133-6,0))</f>
        <v/>
      </c>
      <c r="E133" s="261">
        <f>IFERROR(INDEX('D Fleet'!$E$5:$E$63,MATCH(E$3-$B133,'D Fleet'!$B$5:$B$63,0)),0)*IFERROR(INDEX('D Fleet'!$K$5:$K$36,INT(($B133/E$5))+1)+(($B133/E$5)-INT(($B133/E$5)))*(INDEX('D Fleet'!$K$5:$K$36,INT(($B133/E$5))+2)-INDEX('D Fleet'!$K$5:$K$36,INT(($B133/E$5))+1)),0)</f>
        <v/>
      </c>
      <c r="F133" s="261">
        <f>IFERROR(INDEX('D Fleet'!$E$5:$E$63,MATCH(F$3-$B133,'D Fleet'!$B$5:$B$63,0)),0)*IFERROR(INDEX('D Fleet'!$K$5:$K$36,INT(($B133/F$5))+1)+(($B133/F$5)-INT(($B133/F$5)))*(INDEX('D Fleet'!$K$5:$K$36,INT(($B133/F$5))+2)-INDEX('D Fleet'!$K$5:$K$36,INT(($B133/F$5))+1)),0)</f>
        <v/>
      </c>
      <c r="G133" s="261">
        <f>IFERROR(INDEX('D Fleet'!$E$5:$E$63,MATCH(G$3-$B133,'D Fleet'!$B$5:$B$63,0)),0)*IFERROR(INDEX('D Fleet'!$K$5:$K$36,INT(($B133/G$5))+1)+(($B133/G$5)-INT(($B133/G$5)))*(INDEX('D Fleet'!$K$5:$K$36,INT(($B133/G$5))+2)-INDEX('D Fleet'!$K$5:$K$36,INT(($B133/G$5))+1)),0)</f>
        <v/>
      </c>
      <c r="H133" s="261">
        <f>IFERROR(INDEX('D Fleet'!$E$5:$E$63,MATCH(H$3-$B133,'D Fleet'!$B$5:$B$63,0)),0)*IFERROR(INDEX('D Fleet'!$K$5:$K$36,INT(($B133/H$5))+1)+(($B133/H$5)-INT(($B133/H$5)))*(INDEX('D Fleet'!$K$5:$K$36,INT(($B133/H$5))+2)-INDEX('D Fleet'!$K$5:$K$36,INT(($B133/H$5))+1)),0)</f>
        <v/>
      </c>
      <c r="I133" s="261">
        <f>IFERROR(INDEX('D Fleet'!$E$5:$E$63,MATCH(I$3-$B133,'D Fleet'!$B$5:$B$63,0)),0)*IFERROR(INDEX('D Fleet'!$K$5:$K$36,INT(($B133/I$5))+1)+(($B133/I$5)-INT(($B133/I$5)))*(INDEX('D Fleet'!$K$5:$K$36,INT(($B133/I$5))+2)-INDEX('D Fleet'!$K$5:$K$36,INT(($B133/I$5))+1)),0)</f>
        <v/>
      </c>
      <c r="J133" s="261">
        <f>IFERROR(INDEX('D Fleet'!$E$5:$E$63,MATCH(J$3-$B133,'D Fleet'!$B$5:$B$63,0)),0)*IFERROR(INDEX('D Fleet'!$K$5:$K$36,INT(($B133/J$5))+1)+(($B133/J$5)-INT(($B133/J$5)))*(INDEX('D Fleet'!$K$5:$K$36,INT(($B133/J$5))+2)-INDEX('D Fleet'!$K$5:$K$36,INT(($B133/J$5))+1)),0)</f>
        <v/>
      </c>
      <c r="K133" s="261">
        <f>IFERROR(INDEX('D Fleet'!$E$5:$E$63,MATCH(K$3-$B133,'D Fleet'!$B$5:$B$63,0)),0)*IFERROR(INDEX('D Fleet'!$K$5:$K$36,INT(($B133/K$5))+1)+(($B133/K$5)-INT(($B133/K$5)))*(INDEX('D Fleet'!$K$5:$K$36,INT(($B133/K$5))+2)-INDEX('D Fleet'!$K$5:$K$36,INT(($B133/K$5))+1)),0)</f>
        <v/>
      </c>
      <c r="L133" s="261">
        <f>IFERROR(INDEX('D Fleet'!$E$5:$E$63,MATCH(L$3-$B133,'D Fleet'!$B$5:$B$63,0)),0)*IFERROR(INDEX('D Fleet'!$K$5:$K$36,INT(($B133/L$5))+1)+(($B133/L$5)-INT(($B133/L$5)))*(INDEX('D Fleet'!$K$5:$K$36,INT(($B133/L$5))+2)-INDEX('D Fleet'!$K$5:$K$36,INT(($B133/L$5))+1)),0)</f>
        <v/>
      </c>
      <c r="M133" s="261">
        <f>IFERROR(INDEX('D Fleet'!$E$5:$E$63,MATCH(M$3-$B133,'D Fleet'!$B$5:$B$63,0)),0)*IFERROR(INDEX('D Fleet'!$K$5:$K$36,INT(($B133/M$5))+1)+(($B133/M$5)-INT(($B133/M$5)))*(INDEX('D Fleet'!$K$5:$K$36,INT(($B133/M$5))+2)-INDEX('D Fleet'!$K$5:$K$36,INT(($B133/M$5))+1)),0)</f>
        <v/>
      </c>
      <c r="N133" s="261">
        <f>IFERROR(INDEX('D Fleet'!$E$5:$E$63,MATCH(N$3-$B133,'D Fleet'!$B$5:$B$63,0)),0)*IFERROR(INDEX('D Fleet'!$K$5:$K$36,INT(($B133/N$5))+1)+(($B133/N$5)-INT(($B133/N$5)))*(INDEX('D Fleet'!$K$5:$K$36,INT(($B133/N$5))+2)-INDEX('D Fleet'!$K$5:$K$36,INT(($B133/N$5))+1)),0)</f>
        <v/>
      </c>
      <c r="P133" s="261">
        <f>E133*$D133*'E1 Fleet'!$D$99</f>
        <v/>
      </c>
      <c r="Q133" s="261">
        <f>F133*$D133*'E1 Fleet'!$D$99</f>
        <v/>
      </c>
      <c r="R133" s="261">
        <f>G133*$D133*'E1 Fleet'!$D$99</f>
        <v/>
      </c>
      <c r="S133" s="261">
        <f>H133*$D133*'E1 Fleet'!$D$99</f>
        <v/>
      </c>
      <c r="T133" s="261">
        <f>I133*$D133*'E1 Fleet'!$D$99</f>
        <v/>
      </c>
      <c r="U133" s="261">
        <f>J133*$D133*'E1 Fleet'!$D$99</f>
        <v/>
      </c>
      <c r="V133" s="261">
        <f>K133*$D133*'E1 Fleet'!$D$99</f>
        <v/>
      </c>
      <c r="W133" s="261">
        <f>L133*$D133*'E1 Fleet'!$D$99</f>
        <v/>
      </c>
      <c r="X133" s="261">
        <f>M133*$D133*'E1 Fleet'!$D$99</f>
        <v/>
      </c>
      <c r="Y133" s="261">
        <f>N133*$D133*'E1 Fleet'!$D$99</f>
        <v/>
      </c>
    </row>
    <row r="134">
      <c r="A134" t="inlineStr">
        <is>
          <t>Pickup</t>
        </is>
      </c>
      <c r="B134" s="331" t="n">
        <v>35</v>
      </c>
      <c r="C134" s="331" t="n">
        <v>3</v>
      </c>
      <c r="D134" s="266">
        <f>IF($B134=0,'E1 Fleet'!$D$93,1)*EXP(-'E1 Fleet'!$D$94*MAX($B134-6,0))</f>
        <v/>
      </c>
      <c r="E134" s="261">
        <f>IFERROR(INDEX('D Fleet'!$E$5:$E$63,MATCH(E$3-$B134,'D Fleet'!$B$5:$B$63,0)),0)*IFERROR(INDEX('D Fleet'!$K$5:$K$36,INT(($B134/E$5))+1)+(($B134/E$5)-INT(($B134/E$5)))*(INDEX('D Fleet'!$K$5:$K$36,INT(($B134/E$5))+2)-INDEX('D Fleet'!$K$5:$K$36,INT(($B134/E$5))+1)),0)</f>
        <v/>
      </c>
      <c r="F134" s="261">
        <f>IFERROR(INDEX('D Fleet'!$E$5:$E$63,MATCH(F$3-$B134,'D Fleet'!$B$5:$B$63,0)),0)*IFERROR(INDEX('D Fleet'!$K$5:$K$36,INT(($B134/F$5))+1)+(($B134/F$5)-INT(($B134/F$5)))*(INDEX('D Fleet'!$K$5:$K$36,INT(($B134/F$5))+2)-INDEX('D Fleet'!$K$5:$K$36,INT(($B134/F$5))+1)),0)</f>
        <v/>
      </c>
      <c r="G134" s="261">
        <f>IFERROR(INDEX('D Fleet'!$E$5:$E$63,MATCH(G$3-$B134,'D Fleet'!$B$5:$B$63,0)),0)*IFERROR(INDEX('D Fleet'!$K$5:$K$36,INT(($B134/G$5))+1)+(($B134/G$5)-INT(($B134/G$5)))*(INDEX('D Fleet'!$K$5:$K$36,INT(($B134/G$5))+2)-INDEX('D Fleet'!$K$5:$K$36,INT(($B134/G$5))+1)),0)</f>
        <v/>
      </c>
      <c r="H134" s="261">
        <f>IFERROR(INDEX('D Fleet'!$E$5:$E$63,MATCH(H$3-$B134,'D Fleet'!$B$5:$B$63,0)),0)*IFERROR(INDEX('D Fleet'!$K$5:$K$36,INT(($B134/H$5))+1)+(($B134/H$5)-INT(($B134/H$5)))*(INDEX('D Fleet'!$K$5:$K$36,INT(($B134/H$5))+2)-INDEX('D Fleet'!$K$5:$K$36,INT(($B134/H$5))+1)),0)</f>
        <v/>
      </c>
      <c r="I134" s="261">
        <f>IFERROR(INDEX('D Fleet'!$E$5:$E$63,MATCH(I$3-$B134,'D Fleet'!$B$5:$B$63,0)),0)*IFERROR(INDEX('D Fleet'!$K$5:$K$36,INT(($B134/I$5))+1)+(($B134/I$5)-INT(($B134/I$5)))*(INDEX('D Fleet'!$K$5:$K$36,INT(($B134/I$5))+2)-INDEX('D Fleet'!$K$5:$K$36,INT(($B134/I$5))+1)),0)</f>
        <v/>
      </c>
      <c r="J134" s="261">
        <f>IFERROR(INDEX('D Fleet'!$E$5:$E$63,MATCH(J$3-$B134,'D Fleet'!$B$5:$B$63,0)),0)*IFERROR(INDEX('D Fleet'!$K$5:$K$36,INT(($B134/J$5))+1)+(($B134/J$5)-INT(($B134/J$5)))*(INDEX('D Fleet'!$K$5:$K$36,INT(($B134/J$5))+2)-INDEX('D Fleet'!$K$5:$K$36,INT(($B134/J$5))+1)),0)</f>
        <v/>
      </c>
      <c r="K134" s="261">
        <f>IFERROR(INDEX('D Fleet'!$E$5:$E$63,MATCH(K$3-$B134,'D Fleet'!$B$5:$B$63,0)),0)*IFERROR(INDEX('D Fleet'!$K$5:$K$36,INT(($B134/K$5))+1)+(($B134/K$5)-INT(($B134/K$5)))*(INDEX('D Fleet'!$K$5:$K$36,INT(($B134/K$5))+2)-INDEX('D Fleet'!$K$5:$K$36,INT(($B134/K$5))+1)),0)</f>
        <v/>
      </c>
      <c r="L134" s="261">
        <f>IFERROR(INDEX('D Fleet'!$E$5:$E$63,MATCH(L$3-$B134,'D Fleet'!$B$5:$B$63,0)),0)*IFERROR(INDEX('D Fleet'!$K$5:$K$36,INT(($B134/L$5))+1)+(($B134/L$5)-INT(($B134/L$5)))*(INDEX('D Fleet'!$K$5:$K$36,INT(($B134/L$5))+2)-INDEX('D Fleet'!$K$5:$K$36,INT(($B134/L$5))+1)),0)</f>
        <v/>
      </c>
      <c r="M134" s="261">
        <f>IFERROR(INDEX('D Fleet'!$E$5:$E$63,MATCH(M$3-$B134,'D Fleet'!$B$5:$B$63,0)),0)*IFERROR(INDEX('D Fleet'!$K$5:$K$36,INT(($B134/M$5))+1)+(($B134/M$5)-INT(($B134/M$5)))*(INDEX('D Fleet'!$K$5:$K$36,INT(($B134/M$5))+2)-INDEX('D Fleet'!$K$5:$K$36,INT(($B134/M$5))+1)),0)</f>
        <v/>
      </c>
      <c r="N134" s="261">
        <f>IFERROR(INDEX('D Fleet'!$E$5:$E$63,MATCH(N$3-$B134,'D Fleet'!$B$5:$B$63,0)),0)*IFERROR(INDEX('D Fleet'!$K$5:$K$36,INT(($B134/N$5))+1)+(($B134/N$5)-INT(($B134/N$5)))*(INDEX('D Fleet'!$K$5:$K$36,INT(($B134/N$5))+2)-INDEX('D Fleet'!$K$5:$K$36,INT(($B134/N$5))+1)),0)</f>
        <v/>
      </c>
      <c r="P134" s="261">
        <f>E134*$D134*'E1 Fleet'!$D$99</f>
        <v/>
      </c>
      <c r="Q134" s="261">
        <f>F134*$D134*'E1 Fleet'!$D$99</f>
        <v/>
      </c>
      <c r="R134" s="261">
        <f>G134*$D134*'E1 Fleet'!$D$99</f>
        <v/>
      </c>
      <c r="S134" s="261">
        <f>H134*$D134*'E1 Fleet'!$D$99</f>
        <v/>
      </c>
      <c r="T134" s="261">
        <f>I134*$D134*'E1 Fleet'!$D$99</f>
        <v/>
      </c>
      <c r="U134" s="261">
        <f>J134*$D134*'E1 Fleet'!$D$99</f>
        <v/>
      </c>
      <c r="V134" s="261">
        <f>K134*$D134*'E1 Fleet'!$D$99</f>
        <v/>
      </c>
      <c r="W134" s="261">
        <f>L134*$D134*'E1 Fleet'!$D$99</f>
        <v/>
      </c>
      <c r="X134" s="261">
        <f>M134*$D134*'E1 Fleet'!$D$99</f>
        <v/>
      </c>
      <c r="Y134" s="261">
        <f>N134*$D134*'E1 Fleet'!$D$99</f>
        <v/>
      </c>
    </row>
    <row r="135">
      <c r="A135" t="inlineStr">
        <is>
          <t>Pickup</t>
        </is>
      </c>
      <c r="B135" s="331" t="n">
        <v>36</v>
      </c>
      <c r="C135" s="331" t="n">
        <v>3</v>
      </c>
      <c r="D135" s="266">
        <f>IF($B135=0,'E1 Fleet'!$D$93,1)*EXP(-'E1 Fleet'!$D$94*MAX($B135-6,0))</f>
        <v/>
      </c>
      <c r="E135" s="261">
        <f>IFERROR(INDEX('D Fleet'!$E$5:$E$63,MATCH(E$3-$B135,'D Fleet'!$B$5:$B$63,0)),0)*IFERROR(INDEX('D Fleet'!$K$5:$K$36,INT(($B135/E$5))+1)+(($B135/E$5)-INT(($B135/E$5)))*(INDEX('D Fleet'!$K$5:$K$36,INT(($B135/E$5))+2)-INDEX('D Fleet'!$K$5:$K$36,INT(($B135/E$5))+1)),0)</f>
        <v/>
      </c>
      <c r="F135" s="261">
        <f>IFERROR(INDEX('D Fleet'!$E$5:$E$63,MATCH(F$3-$B135,'D Fleet'!$B$5:$B$63,0)),0)*IFERROR(INDEX('D Fleet'!$K$5:$K$36,INT(($B135/F$5))+1)+(($B135/F$5)-INT(($B135/F$5)))*(INDEX('D Fleet'!$K$5:$K$36,INT(($B135/F$5))+2)-INDEX('D Fleet'!$K$5:$K$36,INT(($B135/F$5))+1)),0)</f>
        <v/>
      </c>
      <c r="G135" s="261">
        <f>IFERROR(INDEX('D Fleet'!$E$5:$E$63,MATCH(G$3-$B135,'D Fleet'!$B$5:$B$63,0)),0)*IFERROR(INDEX('D Fleet'!$K$5:$K$36,INT(($B135/G$5))+1)+(($B135/G$5)-INT(($B135/G$5)))*(INDEX('D Fleet'!$K$5:$K$36,INT(($B135/G$5))+2)-INDEX('D Fleet'!$K$5:$K$36,INT(($B135/G$5))+1)),0)</f>
        <v/>
      </c>
      <c r="H135" s="261">
        <f>IFERROR(INDEX('D Fleet'!$E$5:$E$63,MATCH(H$3-$B135,'D Fleet'!$B$5:$B$63,0)),0)*IFERROR(INDEX('D Fleet'!$K$5:$K$36,INT(($B135/H$5))+1)+(($B135/H$5)-INT(($B135/H$5)))*(INDEX('D Fleet'!$K$5:$K$36,INT(($B135/H$5))+2)-INDEX('D Fleet'!$K$5:$K$36,INT(($B135/H$5))+1)),0)</f>
        <v/>
      </c>
      <c r="I135" s="261">
        <f>IFERROR(INDEX('D Fleet'!$E$5:$E$63,MATCH(I$3-$B135,'D Fleet'!$B$5:$B$63,0)),0)*IFERROR(INDEX('D Fleet'!$K$5:$K$36,INT(($B135/I$5))+1)+(($B135/I$5)-INT(($B135/I$5)))*(INDEX('D Fleet'!$K$5:$K$36,INT(($B135/I$5))+2)-INDEX('D Fleet'!$K$5:$K$36,INT(($B135/I$5))+1)),0)</f>
        <v/>
      </c>
      <c r="J135" s="261">
        <f>IFERROR(INDEX('D Fleet'!$E$5:$E$63,MATCH(J$3-$B135,'D Fleet'!$B$5:$B$63,0)),0)*IFERROR(INDEX('D Fleet'!$K$5:$K$36,INT(($B135/J$5))+1)+(($B135/J$5)-INT(($B135/J$5)))*(INDEX('D Fleet'!$K$5:$K$36,INT(($B135/J$5))+2)-INDEX('D Fleet'!$K$5:$K$36,INT(($B135/J$5))+1)),0)</f>
        <v/>
      </c>
      <c r="K135" s="261">
        <f>IFERROR(INDEX('D Fleet'!$E$5:$E$63,MATCH(K$3-$B135,'D Fleet'!$B$5:$B$63,0)),0)*IFERROR(INDEX('D Fleet'!$K$5:$K$36,INT(($B135/K$5))+1)+(($B135/K$5)-INT(($B135/K$5)))*(INDEX('D Fleet'!$K$5:$K$36,INT(($B135/K$5))+2)-INDEX('D Fleet'!$K$5:$K$36,INT(($B135/K$5))+1)),0)</f>
        <v/>
      </c>
      <c r="L135" s="261">
        <f>IFERROR(INDEX('D Fleet'!$E$5:$E$63,MATCH(L$3-$B135,'D Fleet'!$B$5:$B$63,0)),0)*IFERROR(INDEX('D Fleet'!$K$5:$K$36,INT(($B135/L$5))+1)+(($B135/L$5)-INT(($B135/L$5)))*(INDEX('D Fleet'!$K$5:$K$36,INT(($B135/L$5))+2)-INDEX('D Fleet'!$K$5:$K$36,INT(($B135/L$5))+1)),0)</f>
        <v/>
      </c>
      <c r="M135" s="261">
        <f>IFERROR(INDEX('D Fleet'!$E$5:$E$63,MATCH(M$3-$B135,'D Fleet'!$B$5:$B$63,0)),0)*IFERROR(INDEX('D Fleet'!$K$5:$K$36,INT(($B135/M$5))+1)+(($B135/M$5)-INT(($B135/M$5)))*(INDEX('D Fleet'!$K$5:$K$36,INT(($B135/M$5))+2)-INDEX('D Fleet'!$K$5:$K$36,INT(($B135/M$5))+1)),0)</f>
        <v/>
      </c>
      <c r="N135" s="261">
        <f>IFERROR(INDEX('D Fleet'!$E$5:$E$63,MATCH(N$3-$B135,'D Fleet'!$B$5:$B$63,0)),0)*IFERROR(INDEX('D Fleet'!$K$5:$K$36,INT(($B135/N$5))+1)+(($B135/N$5)-INT(($B135/N$5)))*(INDEX('D Fleet'!$K$5:$K$36,INT(($B135/N$5))+2)-INDEX('D Fleet'!$K$5:$K$36,INT(($B135/N$5))+1)),0)</f>
        <v/>
      </c>
      <c r="P135" s="261">
        <f>E135*$D135*'E1 Fleet'!$D$99</f>
        <v/>
      </c>
      <c r="Q135" s="261">
        <f>F135*$D135*'E1 Fleet'!$D$99</f>
        <v/>
      </c>
      <c r="R135" s="261">
        <f>G135*$D135*'E1 Fleet'!$D$99</f>
        <v/>
      </c>
      <c r="S135" s="261">
        <f>H135*$D135*'E1 Fleet'!$D$99</f>
        <v/>
      </c>
      <c r="T135" s="261">
        <f>I135*$D135*'E1 Fleet'!$D$99</f>
        <v/>
      </c>
      <c r="U135" s="261">
        <f>J135*$D135*'E1 Fleet'!$D$99</f>
        <v/>
      </c>
      <c r="V135" s="261">
        <f>K135*$D135*'E1 Fleet'!$D$99</f>
        <v/>
      </c>
      <c r="W135" s="261">
        <f>L135*$D135*'E1 Fleet'!$D$99</f>
        <v/>
      </c>
      <c r="X135" s="261">
        <f>M135*$D135*'E1 Fleet'!$D$99</f>
        <v/>
      </c>
      <c r="Y135" s="261">
        <f>N135*$D135*'E1 Fleet'!$D$99</f>
        <v/>
      </c>
    </row>
    <row r="136">
      <c r="A136" t="inlineStr">
        <is>
          <t>Pickup</t>
        </is>
      </c>
      <c r="B136" s="331" t="n">
        <v>37</v>
      </c>
      <c r="C136" s="331" t="n">
        <v>3</v>
      </c>
      <c r="D136" s="266">
        <f>IF($B136=0,'E1 Fleet'!$D$93,1)*EXP(-'E1 Fleet'!$D$94*MAX($B136-6,0))</f>
        <v/>
      </c>
      <c r="E136" s="261">
        <f>IFERROR(INDEX('D Fleet'!$E$5:$E$63,MATCH(E$3-$B136,'D Fleet'!$B$5:$B$63,0)),0)*IFERROR(INDEX('D Fleet'!$K$5:$K$36,INT(($B136/E$5))+1)+(($B136/E$5)-INT(($B136/E$5)))*(INDEX('D Fleet'!$K$5:$K$36,INT(($B136/E$5))+2)-INDEX('D Fleet'!$K$5:$K$36,INT(($B136/E$5))+1)),0)</f>
        <v/>
      </c>
      <c r="F136" s="261">
        <f>IFERROR(INDEX('D Fleet'!$E$5:$E$63,MATCH(F$3-$B136,'D Fleet'!$B$5:$B$63,0)),0)*IFERROR(INDEX('D Fleet'!$K$5:$K$36,INT(($B136/F$5))+1)+(($B136/F$5)-INT(($B136/F$5)))*(INDEX('D Fleet'!$K$5:$K$36,INT(($B136/F$5))+2)-INDEX('D Fleet'!$K$5:$K$36,INT(($B136/F$5))+1)),0)</f>
        <v/>
      </c>
      <c r="G136" s="261">
        <f>IFERROR(INDEX('D Fleet'!$E$5:$E$63,MATCH(G$3-$B136,'D Fleet'!$B$5:$B$63,0)),0)*IFERROR(INDEX('D Fleet'!$K$5:$K$36,INT(($B136/G$5))+1)+(($B136/G$5)-INT(($B136/G$5)))*(INDEX('D Fleet'!$K$5:$K$36,INT(($B136/G$5))+2)-INDEX('D Fleet'!$K$5:$K$36,INT(($B136/G$5))+1)),0)</f>
        <v/>
      </c>
      <c r="H136" s="261">
        <f>IFERROR(INDEX('D Fleet'!$E$5:$E$63,MATCH(H$3-$B136,'D Fleet'!$B$5:$B$63,0)),0)*IFERROR(INDEX('D Fleet'!$K$5:$K$36,INT(($B136/H$5))+1)+(($B136/H$5)-INT(($B136/H$5)))*(INDEX('D Fleet'!$K$5:$K$36,INT(($B136/H$5))+2)-INDEX('D Fleet'!$K$5:$K$36,INT(($B136/H$5))+1)),0)</f>
        <v/>
      </c>
      <c r="I136" s="261">
        <f>IFERROR(INDEX('D Fleet'!$E$5:$E$63,MATCH(I$3-$B136,'D Fleet'!$B$5:$B$63,0)),0)*IFERROR(INDEX('D Fleet'!$K$5:$K$36,INT(($B136/I$5))+1)+(($B136/I$5)-INT(($B136/I$5)))*(INDEX('D Fleet'!$K$5:$K$36,INT(($B136/I$5))+2)-INDEX('D Fleet'!$K$5:$K$36,INT(($B136/I$5))+1)),0)</f>
        <v/>
      </c>
      <c r="J136" s="261">
        <f>IFERROR(INDEX('D Fleet'!$E$5:$E$63,MATCH(J$3-$B136,'D Fleet'!$B$5:$B$63,0)),0)*IFERROR(INDEX('D Fleet'!$K$5:$K$36,INT(($B136/J$5))+1)+(($B136/J$5)-INT(($B136/J$5)))*(INDEX('D Fleet'!$K$5:$K$36,INT(($B136/J$5))+2)-INDEX('D Fleet'!$K$5:$K$36,INT(($B136/J$5))+1)),0)</f>
        <v/>
      </c>
      <c r="K136" s="261">
        <f>IFERROR(INDEX('D Fleet'!$E$5:$E$63,MATCH(K$3-$B136,'D Fleet'!$B$5:$B$63,0)),0)*IFERROR(INDEX('D Fleet'!$K$5:$K$36,INT(($B136/K$5))+1)+(($B136/K$5)-INT(($B136/K$5)))*(INDEX('D Fleet'!$K$5:$K$36,INT(($B136/K$5))+2)-INDEX('D Fleet'!$K$5:$K$36,INT(($B136/K$5))+1)),0)</f>
        <v/>
      </c>
      <c r="L136" s="261">
        <f>IFERROR(INDEX('D Fleet'!$E$5:$E$63,MATCH(L$3-$B136,'D Fleet'!$B$5:$B$63,0)),0)*IFERROR(INDEX('D Fleet'!$K$5:$K$36,INT(($B136/L$5))+1)+(($B136/L$5)-INT(($B136/L$5)))*(INDEX('D Fleet'!$K$5:$K$36,INT(($B136/L$5))+2)-INDEX('D Fleet'!$K$5:$K$36,INT(($B136/L$5))+1)),0)</f>
        <v/>
      </c>
      <c r="M136" s="261">
        <f>IFERROR(INDEX('D Fleet'!$E$5:$E$63,MATCH(M$3-$B136,'D Fleet'!$B$5:$B$63,0)),0)*IFERROR(INDEX('D Fleet'!$K$5:$K$36,INT(($B136/M$5))+1)+(($B136/M$5)-INT(($B136/M$5)))*(INDEX('D Fleet'!$K$5:$K$36,INT(($B136/M$5))+2)-INDEX('D Fleet'!$K$5:$K$36,INT(($B136/M$5))+1)),0)</f>
        <v/>
      </c>
      <c r="N136" s="261">
        <f>IFERROR(INDEX('D Fleet'!$E$5:$E$63,MATCH(N$3-$B136,'D Fleet'!$B$5:$B$63,0)),0)*IFERROR(INDEX('D Fleet'!$K$5:$K$36,INT(($B136/N$5))+1)+(($B136/N$5)-INT(($B136/N$5)))*(INDEX('D Fleet'!$K$5:$K$36,INT(($B136/N$5))+2)-INDEX('D Fleet'!$K$5:$K$36,INT(($B136/N$5))+1)),0)</f>
        <v/>
      </c>
      <c r="P136" s="261">
        <f>E136*$D136*'E1 Fleet'!$D$99</f>
        <v/>
      </c>
      <c r="Q136" s="261">
        <f>F136*$D136*'E1 Fleet'!$D$99</f>
        <v/>
      </c>
      <c r="R136" s="261">
        <f>G136*$D136*'E1 Fleet'!$D$99</f>
        <v/>
      </c>
      <c r="S136" s="261">
        <f>H136*$D136*'E1 Fleet'!$D$99</f>
        <v/>
      </c>
      <c r="T136" s="261">
        <f>I136*$D136*'E1 Fleet'!$D$99</f>
        <v/>
      </c>
      <c r="U136" s="261">
        <f>J136*$D136*'E1 Fleet'!$D$99</f>
        <v/>
      </c>
      <c r="V136" s="261">
        <f>K136*$D136*'E1 Fleet'!$D$99</f>
        <v/>
      </c>
      <c r="W136" s="261">
        <f>L136*$D136*'E1 Fleet'!$D$99</f>
        <v/>
      </c>
      <c r="X136" s="261">
        <f>M136*$D136*'E1 Fleet'!$D$99</f>
        <v/>
      </c>
      <c r="Y136" s="261">
        <f>N136*$D136*'E1 Fleet'!$D$99</f>
        <v/>
      </c>
    </row>
    <row r="137">
      <c r="A137" t="inlineStr">
        <is>
          <t>Pickup</t>
        </is>
      </c>
      <c r="B137" s="331" t="n">
        <v>38</v>
      </c>
      <c r="C137" s="331" t="n">
        <v>3</v>
      </c>
      <c r="D137" s="266">
        <f>IF($B137=0,'E1 Fleet'!$D$93,1)*EXP(-'E1 Fleet'!$D$94*MAX($B137-6,0))</f>
        <v/>
      </c>
      <c r="E137" s="261">
        <f>IFERROR(INDEX('D Fleet'!$E$5:$E$63,MATCH(E$3-$B137,'D Fleet'!$B$5:$B$63,0)),0)*IFERROR(INDEX('D Fleet'!$K$5:$K$36,INT(($B137/E$5))+1)+(($B137/E$5)-INT(($B137/E$5)))*(INDEX('D Fleet'!$K$5:$K$36,INT(($B137/E$5))+2)-INDEX('D Fleet'!$K$5:$K$36,INT(($B137/E$5))+1)),0)</f>
        <v/>
      </c>
      <c r="F137" s="261">
        <f>IFERROR(INDEX('D Fleet'!$E$5:$E$63,MATCH(F$3-$B137,'D Fleet'!$B$5:$B$63,0)),0)*IFERROR(INDEX('D Fleet'!$K$5:$K$36,INT(($B137/F$5))+1)+(($B137/F$5)-INT(($B137/F$5)))*(INDEX('D Fleet'!$K$5:$K$36,INT(($B137/F$5))+2)-INDEX('D Fleet'!$K$5:$K$36,INT(($B137/F$5))+1)),0)</f>
        <v/>
      </c>
      <c r="G137" s="261">
        <f>IFERROR(INDEX('D Fleet'!$E$5:$E$63,MATCH(G$3-$B137,'D Fleet'!$B$5:$B$63,0)),0)*IFERROR(INDEX('D Fleet'!$K$5:$K$36,INT(($B137/G$5))+1)+(($B137/G$5)-INT(($B137/G$5)))*(INDEX('D Fleet'!$K$5:$K$36,INT(($B137/G$5))+2)-INDEX('D Fleet'!$K$5:$K$36,INT(($B137/G$5))+1)),0)</f>
        <v/>
      </c>
      <c r="H137" s="261">
        <f>IFERROR(INDEX('D Fleet'!$E$5:$E$63,MATCH(H$3-$B137,'D Fleet'!$B$5:$B$63,0)),0)*IFERROR(INDEX('D Fleet'!$K$5:$K$36,INT(($B137/H$5))+1)+(($B137/H$5)-INT(($B137/H$5)))*(INDEX('D Fleet'!$K$5:$K$36,INT(($B137/H$5))+2)-INDEX('D Fleet'!$K$5:$K$36,INT(($B137/H$5))+1)),0)</f>
        <v/>
      </c>
      <c r="I137" s="261">
        <f>IFERROR(INDEX('D Fleet'!$E$5:$E$63,MATCH(I$3-$B137,'D Fleet'!$B$5:$B$63,0)),0)*IFERROR(INDEX('D Fleet'!$K$5:$K$36,INT(($B137/I$5))+1)+(($B137/I$5)-INT(($B137/I$5)))*(INDEX('D Fleet'!$K$5:$K$36,INT(($B137/I$5))+2)-INDEX('D Fleet'!$K$5:$K$36,INT(($B137/I$5))+1)),0)</f>
        <v/>
      </c>
      <c r="J137" s="261">
        <f>IFERROR(INDEX('D Fleet'!$E$5:$E$63,MATCH(J$3-$B137,'D Fleet'!$B$5:$B$63,0)),0)*IFERROR(INDEX('D Fleet'!$K$5:$K$36,INT(($B137/J$5))+1)+(($B137/J$5)-INT(($B137/J$5)))*(INDEX('D Fleet'!$K$5:$K$36,INT(($B137/J$5))+2)-INDEX('D Fleet'!$K$5:$K$36,INT(($B137/J$5))+1)),0)</f>
        <v/>
      </c>
      <c r="K137" s="261">
        <f>IFERROR(INDEX('D Fleet'!$E$5:$E$63,MATCH(K$3-$B137,'D Fleet'!$B$5:$B$63,0)),0)*IFERROR(INDEX('D Fleet'!$K$5:$K$36,INT(($B137/K$5))+1)+(($B137/K$5)-INT(($B137/K$5)))*(INDEX('D Fleet'!$K$5:$K$36,INT(($B137/K$5))+2)-INDEX('D Fleet'!$K$5:$K$36,INT(($B137/K$5))+1)),0)</f>
        <v/>
      </c>
      <c r="L137" s="261">
        <f>IFERROR(INDEX('D Fleet'!$E$5:$E$63,MATCH(L$3-$B137,'D Fleet'!$B$5:$B$63,0)),0)*IFERROR(INDEX('D Fleet'!$K$5:$K$36,INT(($B137/L$5))+1)+(($B137/L$5)-INT(($B137/L$5)))*(INDEX('D Fleet'!$K$5:$K$36,INT(($B137/L$5))+2)-INDEX('D Fleet'!$K$5:$K$36,INT(($B137/L$5))+1)),0)</f>
        <v/>
      </c>
      <c r="M137" s="261">
        <f>IFERROR(INDEX('D Fleet'!$E$5:$E$63,MATCH(M$3-$B137,'D Fleet'!$B$5:$B$63,0)),0)*IFERROR(INDEX('D Fleet'!$K$5:$K$36,INT(($B137/M$5))+1)+(($B137/M$5)-INT(($B137/M$5)))*(INDEX('D Fleet'!$K$5:$K$36,INT(($B137/M$5))+2)-INDEX('D Fleet'!$K$5:$K$36,INT(($B137/M$5))+1)),0)</f>
        <v/>
      </c>
      <c r="N137" s="261">
        <f>IFERROR(INDEX('D Fleet'!$E$5:$E$63,MATCH(N$3-$B137,'D Fleet'!$B$5:$B$63,0)),0)*IFERROR(INDEX('D Fleet'!$K$5:$K$36,INT(($B137/N$5))+1)+(($B137/N$5)-INT(($B137/N$5)))*(INDEX('D Fleet'!$K$5:$K$36,INT(($B137/N$5))+2)-INDEX('D Fleet'!$K$5:$K$36,INT(($B137/N$5))+1)),0)</f>
        <v/>
      </c>
      <c r="P137" s="261">
        <f>E137*$D137*'E1 Fleet'!$D$99</f>
        <v/>
      </c>
      <c r="Q137" s="261">
        <f>F137*$D137*'E1 Fleet'!$D$99</f>
        <v/>
      </c>
      <c r="R137" s="261">
        <f>G137*$D137*'E1 Fleet'!$D$99</f>
        <v/>
      </c>
      <c r="S137" s="261">
        <f>H137*$D137*'E1 Fleet'!$D$99</f>
        <v/>
      </c>
      <c r="T137" s="261">
        <f>I137*$D137*'E1 Fleet'!$D$99</f>
        <v/>
      </c>
      <c r="U137" s="261">
        <f>J137*$D137*'E1 Fleet'!$D$99</f>
        <v/>
      </c>
      <c r="V137" s="261">
        <f>K137*$D137*'E1 Fleet'!$D$99</f>
        <v/>
      </c>
      <c r="W137" s="261">
        <f>L137*$D137*'E1 Fleet'!$D$99</f>
        <v/>
      </c>
      <c r="X137" s="261">
        <f>M137*$D137*'E1 Fleet'!$D$99</f>
        <v/>
      </c>
      <c r="Y137" s="261">
        <f>N137*$D137*'E1 Fleet'!$D$99</f>
        <v/>
      </c>
    </row>
    <row r="138">
      <c r="A138" t="inlineStr">
        <is>
          <t>Pickup</t>
        </is>
      </c>
      <c r="B138" s="331" t="n">
        <v>39</v>
      </c>
      <c r="C138" s="331" t="n">
        <v>3</v>
      </c>
      <c r="D138" s="266">
        <f>IF($B138=0,'E1 Fleet'!$D$93,1)*EXP(-'E1 Fleet'!$D$94*MAX($B138-6,0))</f>
        <v/>
      </c>
      <c r="E138" s="261">
        <f>IFERROR(INDEX('D Fleet'!$E$5:$E$63,MATCH(E$3-$B138,'D Fleet'!$B$5:$B$63,0)),0)*IFERROR(INDEX('D Fleet'!$K$5:$K$36,INT(($B138/E$5))+1)+(($B138/E$5)-INT(($B138/E$5)))*(INDEX('D Fleet'!$K$5:$K$36,INT(($B138/E$5))+2)-INDEX('D Fleet'!$K$5:$K$36,INT(($B138/E$5))+1)),0)</f>
        <v/>
      </c>
      <c r="F138" s="261">
        <f>IFERROR(INDEX('D Fleet'!$E$5:$E$63,MATCH(F$3-$B138,'D Fleet'!$B$5:$B$63,0)),0)*IFERROR(INDEX('D Fleet'!$K$5:$K$36,INT(($B138/F$5))+1)+(($B138/F$5)-INT(($B138/F$5)))*(INDEX('D Fleet'!$K$5:$K$36,INT(($B138/F$5))+2)-INDEX('D Fleet'!$K$5:$K$36,INT(($B138/F$5))+1)),0)</f>
        <v/>
      </c>
      <c r="G138" s="261">
        <f>IFERROR(INDEX('D Fleet'!$E$5:$E$63,MATCH(G$3-$B138,'D Fleet'!$B$5:$B$63,0)),0)*IFERROR(INDEX('D Fleet'!$K$5:$K$36,INT(($B138/G$5))+1)+(($B138/G$5)-INT(($B138/G$5)))*(INDEX('D Fleet'!$K$5:$K$36,INT(($B138/G$5))+2)-INDEX('D Fleet'!$K$5:$K$36,INT(($B138/G$5))+1)),0)</f>
        <v/>
      </c>
      <c r="H138" s="261">
        <f>IFERROR(INDEX('D Fleet'!$E$5:$E$63,MATCH(H$3-$B138,'D Fleet'!$B$5:$B$63,0)),0)*IFERROR(INDEX('D Fleet'!$K$5:$K$36,INT(($B138/H$5))+1)+(($B138/H$5)-INT(($B138/H$5)))*(INDEX('D Fleet'!$K$5:$K$36,INT(($B138/H$5))+2)-INDEX('D Fleet'!$K$5:$K$36,INT(($B138/H$5))+1)),0)</f>
        <v/>
      </c>
      <c r="I138" s="261">
        <f>IFERROR(INDEX('D Fleet'!$E$5:$E$63,MATCH(I$3-$B138,'D Fleet'!$B$5:$B$63,0)),0)*IFERROR(INDEX('D Fleet'!$K$5:$K$36,INT(($B138/I$5))+1)+(($B138/I$5)-INT(($B138/I$5)))*(INDEX('D Fleet'!$K$5:$K$36,INT(($B138/I$5))+2)-INDEX('D Fleet'!$K$5:$K$36,INT(($B138/I$5))+1)),0)</f>
        <v/>
      </c>
      <c r="J138" s="261">
        <f>IFERROR(INDEX('D Fleet'!$E$5:$E$63,MATCH(J$3-$B138,'D Fleet'!$B$5:$B$63,0)),0)*IFERROR(INDEX('D Fleet'!$K$5:$K$36,INT(($B138/J$5))+1)+(($B138/J$5)-INT(($B138/J$5)))*(INDEX('D Fleet'!$K$5:$K$36,INT(($B138/J$5))+2)-INDEX('D Fleet'!$K$5:$K$36,INT(($B138/J$5))+1)),0)</f>
        <v/>
      </c>
      <c r="K138" s="261">
        <f>IFERROR(INDEX('D Fleet'!$E$5:$E$63,MATCH(K$3-$B138,'D Fleet'!$B$5:$B$63,0)),0)*IFERROR(INDEX('D Fleet'!$K$5:$K$36,INT(($B138/K$5))+1)+(($B138/K$5)-INT(($B138/K$5)))*(INDEX('D Fleet'!$K$5:$K$36,INT(($B138/K$5))+2)-INDEX('D Fleet'!$K$5:$K$36,INT(($B138/K$5))+1)),0)</f>
        <v/>
      </c>
      <c r="L138" s="261">
        <f>IFERROR(INDEX('D Fleet'!$E$5:$E$63,MATCH(L$3-$B138,'D Fleet'!$B$5:$B$63,0)),0)*IFERROR(INDEX('D Fleet'!$K$5:$K$36,INT(($B138/L$5))+1)+(($B138/L$5)-INT(($B138/L$5)))*(INDEX('D Fleet'!$K$5:$K$36,INT(($B138/L$5))+2)-INDEX('D Fleet'!$K$5:$K$36,INT(($B138/L$5))+1)),0)</f>
        <v/>
      </c>
      <c r="M138" s="261">
        <f>IFERROR(INDEX('D Fleet'!$E$5:$E$63,MATCH(M$3-$B138,'D Fleet'!$B$5:$B$63,0)),0)*IFERROR(INDEX('D Fleet'!$K$5:$K$36,INT(($B138/M$5))+1)+(($B138/M$5)-INT(($B138/M$5)))*(INDEX('D Fleet'!$K$5:$K$36,INT(($B138/M$5))+2)-INDEX('D Fleet'!$K$5:$K$36,INT(($B138/M$5))+1)),0)</f>
        <v/>
      </c>
      <c r="N138" s="261">
        <f>IFERROR(INDEX('D Fleet'!$E$5:$E$63,MATCH(N$3-$B138,'D Fleet'!$B$5:$B$63,0)),0)*IFERROR(INDEX('D Fleet'!$K$5:$K$36,INT(($B138/N$5))+1)+(($B138/N$5)-INT(($B138/N$5)))*(INDEX('D Fleet'!$K$5:$K$36,INT(($B138/N$5))+2)-INDEX('D Fleet'!$K$5:$K$36,INT(($B138/N$5))+1)),0)</f>
        <v/>
      </c>
      <c r="P138" s="261">
        <f>E138*$D138*'E1 Fleet'!$D$99</f>
        <v/>
      </c>
      <c r="Q138" s="261">
        <f>F138*$D138*'E1 Fleet'!$D$99</f>
        <v/>
      </c>
      <c r="R138" s="261">
        <f>G138*$D138*'E1 Fleet'!$D$99</f>
        <v/>
      </c>
      <c r="S138" s="261">
        <f>H138*$D138*'E1 Fleet'!$D$99</f>
        <v/>
      </c>
      <c r="T138" s="261">
        <f>I138*$D138*'E1 Fleet'!$D$99</f>
        <v/>
      </c>
      <c r="U138" s="261">
        <f>J138*$D138*'E1 Fleet'!$D$99</f>
        <v/>
      </c>
      <c r="V138" s="261">
        <f>K138*$D138*'E1 Fleet'!$D$99</f>
        <v/>
      </c>
      <c r="W138" s="261">
        <f>L138*$D138*'E1 Fleet'!$D$99</f>
        <v/>
      </c>
      <c r="X138" s="261">
        <f>M138*$D138*'E1 Fleet'!$D$99</f>
        <v/>
      </c>
      <c r="Y138" s="261">
        <f>N138*$D138*'E1 Fleet'!$D$99</f>
        <v/>
      </c>
    </row>
    <row r="139">
      <c r="A139" t="inlineStr">
        <is>
          <t>Pickup</t>
        </is>
      </c>
      <c r="B139" s="331" t="n">
        <v>40</v>
      </c>
      <c r="C139" s="331" t="n">
        <v>3</v>
      </c>
      <c r="D139" s="266">
        <f>IF($B139=0,'E1 Fleet'!$D$93,1)*EXP(-'E1 Fleet'!$D$94*MAX($B139-6,0))</f>
        <v/>
      </c>
      <c r="E139" s="261">
        <f>IFERROR(INDEX('D Fleet'!$E$5:$E$63,MATCH(E$3-$B139,'D Fleet'!$B$5:$B$63,0)),0)*IFERROR(INDEX('D Fleet'!$K$5:$K$36,INT(($B139/E$5))+1)+(($B139/E$5)-INT(($B139/E$5)))*(INDEX('D Fleet'!$K$5:$K$36,INT(($B139/E$5))+2)-INDEX('D Fleet'!$K$5:$K$36,INT(($B139/E$5))+1)),0)</f>
        <v/>
      </c>
      <c r="F139" s="261">
        <f>IFERROR(INDEX('D Fleet'!$E$5:$E$63,MATCH(F$3-$B139,'D Fleet'!$B$5:$B$63,0)),0)*IFERROR(INDEX('D Fleet'!$K$5:$K$36,INT(($B139/F$5))+1)+(($B139/F$5)-INT(($B139/F$5)))*(INDEX('D Fleet'!$K$5:$K$36,INT(($B139/F$5))+2)-INDEX('D Fleet'!$K$5:$K$36,INT(($B139/F$5))+1)),0)</f>
        <v/>
      </c>
      <c r="G139" s="261">
        <f>IFERROR(INDEX('D Fleet'!$E$5:$E$63,MATCH(G$3-$B139,'D Fleet'!$B$5:$B$63,0)),0)*IFERROR(INDEX('D Fleet'!$K$5:$K$36,INT(($B139/G$5))+1)+(($B139/G$5)-INT(($B139/G$5)))*(INDEX('D Fleet'!$K$5:$K$36,INT(($B139/G$5))+2)-INDEX('D Fleet'!$K$5:$K$36,INT(($B139/G$5))+1)),0)</f>
        <v/>
      </c>
      <c r="H139" s="261">
        <f>IFERROR(INDEX('D Fleet'!$E$5:$E$63,MATCH(H$3-$B139,'D Fleet'!$B$5:$B$63,0)),0)*IFERROR(INDEX('D Fleet'!$K$5:$K$36,INT(($B139/H$5))+1)+(($B139/H$5)-INT(($B139/H$5)))*(INDEX('D Fleet'!$K$5:$K$36,INT(($B139/H$5))+2)-INDEX('D Fleet'!$K$5:$K$36,INT(($B139/H$5))+1)),0)</f>
        <v/>
      </c>
      <c r="I139" s="261">
        <f>IFERROR(INDEX('D Fleet'!$E$5:$E$63,MATCH(I$3-$B139,'D Fleet'!$B$5:$B$63,0)),0)*IFERROR(INDEX('D Fleet'!$K$5:$K$36,INT(($B139/I$5))+1)+(($B139/I$5)-INT(($B139/I$5)))*(INDEX('D Fleet'!$K$5:$K$36,INT(($B139/I$5))+2)-INDEX('D Fleet'!$K$5:$K$36,INT(($B139/I$5))+1)),0)</f>
        <v/>
      </c>
      <c r="J139" s="261">
        <f>IFERROR(INDEX('D Fleet'!$E$5:$E$63,MATCH(J$3-$B139,'D Fleet'!$B$5:$B$63,0)),0)*IFERROR(INDEX('D Fleet'!$K$5:$K$36,INT(($B139/J$5))+1)+(($B139/J$5)-INT(($B139/J$5)))*(INDEX('D Fleet'!$K$5:$K$36,INT(($B139/J$5))+2)-INDEX('D Fleet'!$K$5:$K$36,INT(($B139/J$5))+1)),0)</f>
        <v/>
      </c>
      <c r="K139" s="261">
        <f>IFERROR(INDEX('D Fleet'!$E$5:$E$63,MATCH(K$3-$B139,'D Fleet'!$B$5:$B$63,0)),0)*IFERROR(INDEX('D Fleet'!$K$5:$K$36,INT(($B139/K$5))+1)+(($B139/K$5)-INT(($B139/K$5)))*(INDEX('D Fleet'!$K$5:$K$36,INT(($B139/K$5))+2)-INDEX('D Fleet'!$K$5:$K$36,INT(($B139/K$5))+1)),0)</f>
        <v/>
      </c>
      <c r="L139" s="261">
        <f>IFERROR(INDEX('D Fleet'!$E$5:$E$63,MATCH(L$3-$B139,'D Fleet'!$B$5:$B$63,0)),0)*IFERROR(INDEX('D Fleet'!$K$5:$K$36,INT(($B139/L$5))+1)+(($B139/L$5)-INT(($B139/L$5)))*(INDEX('D Fleet'!$K$5:$K$36,INT(($B139/L$5))+2)-INDEX('D Fleet'!$K$5:$K$36,INT(($B139/L$5))+1)),0)</f>
        <v/>
      </c>
      <c r="M139" s="261">
        <f>IFERROR(INDEX('D Fleet'!$E$5:$E$63,MATCH(M$3-$B139,'D Fleet'!$B$5:$B$63,0)),0)*IFERROR(INDEX('D Fleet'!$K$5:$K$36,INT(($B139/M$5))+1)+(($B139/M$5)-INT(($B139/M$5)))*(INDEX('D Fleet'!$K$5:$K$36,INT(($B139/M$5))+2)-INDEX('D Fleet'!$K$5:$K$36,INT(($B139/M$5))+1)),0)</f>
        <v/>
      </c>
      <c r="N139" s="261">
        <f>IFERROR(INDEX('D Fleet'!$E$5:$E$63,MATCH(N$3-$B139,'D Fleet'!$B$5:$B$63,0)),0)*IFERROR(INDEX('D Fleet'!$K$5:$K$36,INT(($B139/N$5))+1)+(($B139/N$5)-INT(($B139/N$5)))*(INDEX('D Fleet'!$K$5:$K$36,INT(($B139/N$5))+2)-INDEX('D Fleet'!$K$5:$K$36,INT(($B139/N$5))+1)),0)</f>
        <v/>
      </c>
      <c r="P139" s="261">
        <f>E139*$D139*'E1 Fleet'!$D$99</f>
        <v/>
      </c>
      <c r="Q139" s="261">
        <f>F139*$D139*'E1 Fleet'!$D$99</f>
        <v/>
      </c>
      <c r="R139" s="261">
        <f>G139*$D139*'E1 Fleet'!$D$99</f>
        <v/>
      </c>
      <c r="S139" s="261">
        <f>H139*$D139*'E1 Fleet'!$D$99</f>
        <v/>
      </c>
      <c r="T139" s="261">
        <f>I139*$D139*'E1 Fleet'!$D$99</f>
        <v/>
      </c>
      <c r="U139" s="261">
        <f>J139*$D139*'E1 Fleet'!$D$99</f>
        <v/>
      </c>
      <c r="V139" s="261">
        <f>K139*$D139*'E1 Fleet'!$D$99</f>
        <v/>
      </c>
      <c r="W139" s="261">
        <f>L139*$D139*'E1 Fleet'!$D$99</f>
        <v/>
      </c>
      <c r="X139" s="261">
        <f>M139*$D139*'E1 Fleet'!$D$99</f>
        <v/>
      </c>
      <c r="Y139" s="261">
        <f>N139*$D139*'E1 Fleet'!$D$99</f>
        <v/>
      </c>
    </row>
    <row r="140">
      <c r="A140" t="inlineStr">
        <is>
          <t>Pickup</t>
        </is>
      </c>
      <c r="B140" s="331" t="n">
        <v>41</v>
      </c>
      <c r="C140" s="331" t="n">
        <v>3</v>
      </c>
      <c r="D140" s="266">
        <f>IF($B140=0,'E1 Fleet'!$D$93,1)*EXP(-'E1 Fleet'!$D$94*MAX($B140-6,0))</f>
        <v/>
      </c>
      <c r="E140" s="261">
        <f>IFERROR(INDEX('D Fleet'!$E$5:$E$63,MATCH(E$3-$B140,'D Fleet'!$B$5:$B$63,0)),0)*IFERROR(INDEX('D Fleet'!$K$5:$K$36,INT(($B140/E$5))+1)+(($B140/E$5)-INT(($B140/E$5)))*(INDEX('D Fleet'!$K$5:$K$36,INT(($B140/E$5))+2)-INDEX('D Fleet'!$K$5:$K$36,INT(($B140/E$5))+1)),0)</f>
        <v/>
      </c>
      <c r="F140" s="261">
        <f>IFERROR(INDEX('D Fleet'!$E$5:$E$63,MATCH(F$3-$B140,'D Fleet'!$B$5:$B$63,0)),0)*IFERROR(INDEX('D Fleet'!$K$5:$K$36,INT(($B140/F$5))+1)+(($B140/F$5)-INT(($B140/F$5)))*(INDEX('D Fleet'!$K$5:$K$36,INT(($B140/F$5))+2)-INDEX('D Fleet'!$K$5:$K$36,INT(($B140/F$5))+1)),0)</f>
        <v/>
      </c>
      <c r="G140" s="261">
        <f>IFERROR(INDEX('D Fleet'!$E$5:$E$63,MATCH(G$3-$B140,'D Fleet'!$B$5:$B$63,0)),0)*IFERROR(INDEX('D Fleet'!$K$5:$K$36,INT(($B140/G$5))+1)+(($B140/G$5)-INT(($B140/G$5)))*(INDEX('D Fleet'!$K$5:$K$36,INT(($B140/G$5))+2)-INDEX('D Fleet'!$K$5:$K$36,INT(($B140/G$5))+1)),0)</f>
        <v/>
      </c>
      <c r="H140" s="261">
        <f>IFERROR(INDEX('D Fleet'!$E$5:$E$63,MATCH(H$3-$B140,'D Fleet'!$B$5:$B$63,0)),0)*IFERROR(INDEX('D Fleet'!$K$5:$K$36,INT(($B140/H$5))+1)+(($B140/H$5)-INT(($B140/H$5)))*(INDEX('D Fleet'!$K$5:$K$36,INT(($B140/H$5))+2)-INDEX('D Fleet'!$K$5:$K$36,INT(($B140/H$5))+1)),0)</f>
        <v/>
      </c>
      <c r="I140" s="261">
        <f>IFERROR(INDEX('D Fleet'!$E$5:$E$63,MATCH(I$3-$B140,'D Fleet'!$B$5:$B$63,0)),0)*IFERROR(INDEX('D Fleet'!$K$5:$K$36,INT(($B140/I$5))+1)+(($B140/I$5)-INT(($B140/I$5)))*(INDEX('D Fleet'!$K$5:$K$36,INT(($B140/I$5))+2)-INDEX('D Fleet'!$K$5:$K$36,INT(($B140/I$5))+1)),0)</f>
        <v/>
      </c>
      <c r="J140" s="261">
        <f>IFERROR(INDEX('D Fleet'!$E$5:$E$63,MATCH(J$3-$B140,'D Fleet'!$B$5:$B$63,0)),0)*IFERROR(INDEX('D Fleet'!$K$5:$K$36,INT(($B140/J$5))+1)+(($B140/J$5)-INT(($B140/J$5)))*(INDEX('D Fleet'!$K$5:$K$36,INT(($B140/J$5))+2)-INDEX('D Fleet'!$K$5:$K$36,INT(($B140/J$5))+1)),0)</f>
        <v/>
      </c>
      <c r="K140" s="261">
        <f>IFERROR(INDEX('D Fleet'!$E$5:$E$63,MATCH(K$3-$B140,'D Fleet'!$B$5:$B$63,0)),0)*IFERROR(INDEX('D Fleet'!$K$5:$K$36,INT(($B140/K$5))+1)+(($B140/K$5)-INT(($B140/K$5)))*(INDEX('D Fleet'!$K$5:$K$36,INT(($B140/K$5))+2)-INDEX('D Fleet'!$K$5:$K$36,INT(($B140/K$5))+1)),0)</f>
        <v/>
      </c>
      <c r="L140" s="261">
        <f>IFERROR(INDEX('D Fleet'!$E$5:$E$63,MATCH(L$3-$B140,'D Fleet'!$B$5:$B$63,0)),0)*IFERROR(INDEX('D Fleet'!$K$5:$K$36,INT(($B140/L$5))+1)+(($B140/L$5)-INT(($B140/L$5)))*(INDEX('D Fleet'!$K$5:$K$36,INT(($B140/L$5))+2)-INDEX('D Fleet'!$K$5:$K$36,INT(($B140/L$5))+1)),0)</f>
        <v/>
      </c>
      <c r="M140" s="261">
        <f>IFERROR(INDEX('D Fleet'!$E$5:$E$63,MATCH(M$3-$B140,'D Fleet'!$B$5:$B$63,0)),0)*IFERROR(INDEX('D Fleet'!$K$5:$K$36,INT(($B140/M$5))+1)+(($B140/M$5)-INT(($B140/M$5)))*(INDEX('D Fleet'!$K$5:$K$36,INT(($B140/M$5))+2)-INDEX('D Fleet'!$K$5:$K$36,INT(($B140/M$5))+1)),0)</f>
        <v/>
      </c>
      <c r="N140" s="261">
        <f>IFERROR(INDEX('D Fleet'!$E$5:$E$63,MATCH(N$3-$B140,'D Fleet'!$B$5:$B$63,0)),0)*IFERROR(INDEX('D Fleet'!$K$5:$K$36,INT(($B140/N$5))+1)+(($B140/N$5)-INT(($B140/N$5)))*(INDEX('D Fleet'!$K$5:$K$36,INT(($B140/N$5))+2)-INDEX('D Fleet'!$K$5:$K$36,INT(($B140/N$5))+1)),0)</f>
        <v/>
      </c>
      <c r="P140" s="261">
        <f>E140*$D140*'E1 Fleet'!$D$99</f>
        <v/>
      </c>
      <c r="Q140" s="261">
        <f>F140*$D140*'E1 Fleet'!$D$99</f>
        <v/>
      </c>
      <c r="R140" s="261">
        <f>G140*$D140*'E1 Fleet'!$D$99</f>
        <v/>
      </c>
      <c r="S140" s="261">
        <f>H140*$D140*'E1 Fleet'!$D$99</f>
        <v/>
      </c>
      <c r="T140" s="261">
        <f>I140*$D140*'E1 Fleet'!$D$99</f>
        <v/>
      </c>
      <c r="U140" s="261">
        <f>J140*$D140*'E1 Fleet'!$D$99</f>
        <v/>
      </c>
      <c r="V140" s="261">
        <f>K140*$D140*'E1 Fleet'!$D$99</f>
        <v/>
      </c>
      <c r="W140" s="261">
        <f>L140*$D140*'E1 Fleet'!$D$99</f>
        <v/>
      </c>
      <c r="X140" s="261">
        <f>M140*$D140*'E1 Fleet'!$D$99</f>
        <v/>
      </c>
      <c r="Y140" s="261">
        <f>N140*$D140*'E1 Fleet'!$D$99</f>
        <v/>
      </c>
    </row>
    <row r="141">
      <c r="A141" t="inlineStr">
        <is>
          <t>Pickup</t>
        </is>
      </c>
      <c r="B141" s="331" t="n">
        <v>42</v>
      </c>
      <c r="C141" s="331" t="n">
        <v>3</v>
      </c>
      <c r="D141" s="266">
        <f>IF($B141=0,'E1 Fleet'!$D$93,1)*EXP(-'E1 Fleet'!$D$94*MAX($B141-6,0))</f>
        <v/>
      </c>
      <c r="E141" s="261">
        <f>IFERROR(INDEX('D Fleet'!$E$5:$E$63,MATCH(E$3-$B141,'D Fleet'!$B$5:$B$63,0)),0)*IFERROR(INDEX('D Fleet'!$K$5:$K$36,INT(($B141/E$5))+1)+(($B141/E$5)-INT(($B141/E$5)))*(INDEX('D Fleet'!$K$5:$K$36,INT(($B141/E$5))+2)-INDEX('D Fleet'!$K$5:$K$36,INT(($B141/E$5))+1)),0)</f>
        <v/>
      </c>
      <c r="F141" s="261">
        <f>IFERROR(INDEX('D Fleet'!$E$5:$E$63,MATCH(F$3-$B141,'D Fleet'!$B$5:$B$63,0)),0)*IFERROR(INDEX('D Fleet'!$K$5:$K$36,INT(($B141/F$5))+1)+(($B141/F$5)-INT(($B141/F$5)))*(INDEX('D Fleet'!$K$5:$K$36,INT(($B141/F$5))+2)-INDEX('D Fleet'!$K$5:$K$36,INT(($B141/F$5))+1)),0)</f>
        <v/>
      </c>
      <c r="G141" s="261">
        <f>IFERROR(INDEX('D Fleet'!$E$5:$E$63,MATCH(G$3-$B141,'D Fleet'!$B$5:$B$63,0)),0)*IFERROR(INDEX('D Fleet'!$K$5:$K$36,INT(($B141/G$5))+1)+(($B141/G$5)-INT(($B141/G$5)))*(INDEX('D Fleet'!$K$5:$K$36,INT(($B141/G$5))+2)-INDEX('D Fleet'!$K$5:$K$36,INT(($B141/G$5))+1)),0)</f>
        <v/>
      </c>
      <c r="H141" s="261">
        <f>IFERROR(INDEX('D Fleet'!$E$5:$E$63,MATCH(H$3-$B141,'D Fleet'!$B$5:$B$63,0)),0)*IFERROR(INDEX('D Fleet'!$K$5:$K$36,INT(($B141/H$5))+1)+(($B141/H$5)-INT(($B141/H$5)))*(INDEX('D Fleet'!$K$5:$K$36,INT(($B141/H$5))+2)-INDEX('D Fleet'!$K$5:$K$36,INT(($B141/H$5))+1)),0)</f>
        <v/>
      </c>
      <c r="I141" s="261">
        <f>IFERROR(INDEX('D Fleet'!$E$5:$E$63,MATCH(I$3-$B141,'D Fleet'!$B$5:$B$63,0)),0)*IFERROR(INDEX('D Fleet'!$K$5:$K$36,INT(($B141/I$5))+1)+(($B141/I$5)-INT(($B141/I$5)))*(INDEX('D Fleet'!$K$5:$K$36,INT(($B141/I$5))+2)-INDEX('D Fleet'!$K$5:$K$36,INT(($B141/I$5))+1)),0)</f>
        <v/>
      </c>
      <c r="J141" s="261">
        <f>IFERROR(INDEX('D Fleet'!$E$5:$E$63,MATCH(J$3-$B141,'D Fleet'!$B$5:$B$63,0)),0)*IFERROR(INDEX('D Fleet'!$K$5:$K$36,INT(($B141/J$5))+1)+(($B141/J$5)-INT(($B141/J$5)))*(INDEX('D Fleet'!$K$5:$K$36,INT(($B141/J$5))+2)-INDEX('D Fleet'!$K$5:$K$36,INT(($B141/J$5))+1)),0)</f>
        <v/>
      </c>
      <c r="K141" s="261">
        <f>IFERROR(INDEX('D Fleet'!$E$5:$E$63,MATCH(K$3-$B141,'D Fleet'!$B$5:$B$63,0)),0)*IFERROR(INDEX('D Fleet'!$K$5:$K$36,INT(($B141/K$5))+1)+(($B141/K$5)-INT(($B141/K$5)))*(INDEX('D Fleet'!$K$5:$K$36,INT(($B141/K$5))+2)-INDEX('D Fleet'!$K$5:$K$36,INT(($B141/K$5))+1)),0)</f>
        <v/>
      </c>
      <c r="L141" s="261">
        <f>IFERROR(INDEX('D Fleet'!$E$5:$E$63,MATCH(L$3-$B141,'D Fleet'!$B$5:$B$63,0)),0)*IFERROR(INDEX('D Fleet'!$K$5:$K$36,INT(($B141/L$5))+1)+(($B141/L$5)-INT(($B141/L$5)))*(INDEX('D Fleet'!$K$5:$K$36,INT(($B141/L$5))+2)-INDEX('D Fleet'!$K$5:$K$36,INT(($B141/L$5))+1)),0)</f>
        <v/>
      </c>
      <c r="M141" s="261">
        <f>IFERROR(INDEX('D Fleet'!$E$5:$E$63,MATCH(M$3-$B141,'D Fleet'!$B$5:$B$63,0)),0)*IFERROR(INDEX('D Fleet'!$K$5:$K$36,INT(($B141/M$5))+1)+(($B141/M$5)-INT(($B141/M$5)))*(INDEX('D Fleet'!$K$5:$K$36,INT(($B141/M$5))+2)-INDEX('D Fleet'!$K$5:$K$36,INT(($B141/M$5))+1)),0)</f>
        <v/>
      </c>
      <c r="N141" s="261">
        <f>IFERROR(INDEX('D Fleet'!$E$5:$E$63,MATCH(N$3-$B141,'D Fleet'!$B$5:$B$63,0)),0)*IFERROR(INDEX('D Fleet'!$K$5:$K$36,INT(($B141/N$5))+1)+(($B141/N$5)-INT(($B141/N$5)))*(INDEX('D Fleet'!$K$5:$K$36,INT(($B141/N$5))+2)-INDEX('D Fleet'!$K$5:$K$36,INT(($B141/N$5))+1)),0)</f>
        <v/>
      </c>
      <c r="P141" s="261">
        <f>E141*$D141*'E1 Fleet'!$D$99</f>
        <v/>
      </c>
      <c r="Q141" s="261">
        <f>F141*$D141*'E1 Fleet'!$D$99</f>
        <v/>
      </c>
      <c r="R141" s="261">
        <f>G141*$D141*'E1 Fleet'!$D$99</f>
        <v/>
      </c>
      <c r="S141" s="261">
        <f>H141*$D141*'E1 Fleet'!$D$99</f>
        <v/>
      </c>
      <c r="T141" s="261">
        <f>I141*$D141*'E1 Fleet'!$D$99</f>
        <v/>
      </c>
      <c r="U141" s="261">
        <f>J141*$D141*'E1 Fleet'!$D$99</f>
        <v/>
      </c>
      <c r="V141" s="261">
        <f>K141*$D141*'E1 Fleet'!$D$99</f>
        <v/>
      </c>
      <c r="W141" s="261">
        <f>L141*$D141*'E1 Fleet'!$D$99</f>
        <v/>
      </c>
      <c r="X141" s="261">
        <f>M141*$D141*'E1 Fleet'!$D$99</f>
        <v/>
      </c>
      <c r="Y141" s="261">
        <f>N141*$D141*'E1 Fleet'!$D$99</f>
        <v/>
      </c>
    </row>
    <row r="142">
      <c r="A142" t="inlineStr">
        <is>
          <t>Pickup</t>
        </is>
      </c>
      <c r="B142" s="331" t="n">
        <v>43</v>
      </c>
      <c r="C142" s="331" t="n">
        <v>3</v>
      </c>
      <c r="D142" s="266">
        <f>IF($B142=0,'E1 Fleet'!$D$93,1)*EXP(-'E1 Fleet'!$D$94*MAX($B142-6,0))</f>
        <v/>
      </c>
      <c r="E142" s="261">
        <f>IFERROR(INDEX('D Fleet'!$E$5:$E$63,MATCH(E$3-$B142,'D Fleet'!$B$5:$B$63,0)),0)*IFERROR(INDEX('D Fleet'!$K$5:$K$36,INT(($B142/E$5))+1)+(($B142/E$5)-INT(($B142/E$5)))*(INDEX('D Fleet'!$K$5:$K$36,INT(($B142/E$5))+2)-INDEX('D Fleet'!$K$5:$K$36,INT(($B142/E$5))+1)),0)</f>
        <v/>
      </c>
      <c r="F142" s="261">
        <f>IFERROR(INDEX('D Fleet'!$E$5:$E$63,MATCH(F$3-$B142,'D Fleet'!$B$5:$B$63,0)),0)*IFERROR(INDEX('D Fleet'!$K$5:$K$36,INT(($B142/F$5))+1)+(($B142/F$5)-INT(($B142/F$5)))*(INDEX('D Fleet'!$K$5:$K$36,INT(($B142/F$5))+2)-INDEX('D Fleet'!$K$5:$K$36,INT(($B142/F$5))+1)),0)</f>
        <v/>
      </c>
      <c r="G142" s="261">
        <f>IFERROR(INDEX('D Fleet'!$E$5:$E$63,MATCH(G$3-$B142,'D Fleet'!$B$5:$B$63,0)),0)*IFERROR(INDEX('D Fleet'!$K$5:$K$36,INT(($B142/G$5))+1)+(($B142/G$5)-INT(($B142/G$5)))*(INDEX('D Fleet'!$K$5:$K$36,INT(($B142/G$5))+2)-INDEX('D Fleet'!$K$5:$K$36,INT(($B142/G$5))+1)),0)</f>
        <v/>
      </c>
      <c r="H142" s="261">
        <f>IFERROR(INDEX('D Fleet'!$E$5:$E$63,MATCH(H$3-$B142,'D Fleet'!$B$5:$B$63,0)),0)*IFERROR(INDEX('D Fleet'!$K$5:$K$36,INT(($B142/H$5))+1)+(($B142/H$5)-INT(($B142/H$5)))*(INDEX('D Fleet'!$K$5:$K$36,INT(($B142/H$5))+2)-INDEX('D Fleet'!$K$5:$K$36,INT(($B142/H$5))+1)),0)</f>
        <v/>
      </c>
      <c r="I142" s="261">
        <f>IFERROR(INDEX('D Fleet'!$E$5:$E$63,MATCH(I$3-$B142,'D Fleet'!$B$5:$B$63,0)),0)*IFERROR(INDEX('D Fleet'!$K$5:$K$36,INT(($B142/I$5))+1)+(($B142/I$5)-INT(($B142/I$5)))*(INDEX('D Fleet'!$K$5:$K$36,INT(($B142/I$5))+2)-INDEX('D Fleet'!$K$5:$K$36,INT(($B142/I$5))+1)),0)</f>
        <v/>
      </c>
      <c r="J142" s="261">
        <f>IFERROR(INDEX('D Fleet'!$E$5:$E$63,MATCH(J$3-$B142,'D Fleet'!$B$5:$B$63,0)),0)*IFERROR(INDEX('D Fleet'!$K$5:$K$36,INT(($B142/J$5))+1)+(($B142/J$5)-INT(($B142/J$5)))*(INDEX('D Fleet'!$K$5:$K$36,INT(($B142/J$5))+2)-INDEX('D Fleet'!$K$5:$K$36,INT(($B142/J$5))+1)),0)</f>
        <v/>
      </c>
      <c r="K142" s="261">
        <f>IFERROR(INDEX('D Fleet'!$E$5:$E$63,MATCH(K$3-$B142,'D Fleet'!$B$5:$B$63,0)),0)*IFERROR(INDEX('D Fleet'!$K$5:$K$36,INT(($B142/K$5))+1)+(($B142/K$5)-INT(($B142/K$5)))*(INDEX('D Fleet'!$K$5:$K$36,INT(($B142/K$5))+2)-INDEX('D Fleet'!$K$5:$K$36,INT(($B142/K$5))+1)),0)</f>
        <v/>
      </c>
      <c r="L142" s="261">
        <f>IFERROR(INDEX('D Fleet'!$E$5:$E$63,MATCH(L$3-$B142,'D Fleet'!$B$5:$B$63,0)),0)*IFERROR(INDEX('D Fleet'!$K$5:$K$36,INT(($B142/L$5))+1)+(($B142/L$5)-INT(($B142/L$5)))*(INDEX('D Fleet'!$K$5:$K$36,INT(($B142/L$5))+2)-INDEX('D Fleet'!$K$5:$K$36,INT(($B142/L$5))+1)),0)</f>
        <v/>
      </c>
      <c r="M142" s="261">
        <f>IFERROR(INDEX('D Fleet'!$E$5:$E$63,MATCH(M$3-$B142,'D Fleet'!$B$5:$B$63,0)),0)*IFERROR(INDEX('D Fleet'!$K$5:$K$36,INT(($B142/M$5))+1)+(($B142/M$5)-INT(($B142/M$5)))*(INDEX('D Fleet'!$K$5:$K$36,INT(($B142/M$5))+2)-INDEX('D Fleet'!$K$5:$K$36,INT(($B142/M$5))+1)),0)</f>
        <v/>
      </c>
      <c r="N142" s="261">
        <f>IFERROR(INDEX('D Fleet'!$E$5:$E$63,MATCH(N$3-$B142,'D Fleet'!$B$5:$B$63,0)),0)*IFERROR(INDEX('D Fleet'!$K$5:$K$36,INT(($B142/N$5))+1)+(($B142/N$5)-INT(($B142/N$5)))*(INDEX('D Fleet'!$K$5:$K$36,INT(($B142/N$5))+2)-INDEX('D Fleet'!$K$5:$K$36,INT(($B142/N$5))+1)),0)</f>
        <v/>
      </c>
      <c r="P142" s="261">
        <f>E142*$D142*'E1 Fleet'!$D$99</f>
        <v/>
      </c>
      <c r="Q142" s="261">
        <f>F142*$D142*'E1 Fleet'!$D$99</f>
        <v/>
      </c>
      <c r="R142" s="261">
        <f>G142*$D142*'E1 Fleet'!$D$99</f>
        <v/>
      </c>
      <c r="S142" s="261">
        <f>H142*$D142*'E1 Fleet'!$D$99</f>
        <v/>
      </c>
      <c r="T142" s="261">
        <f>I142*$D142*'E1 Fleet'!$D$99</f>
        <v/>
      </c>
      <c r="U142" s="261">
        <f>J142*$D142*'E1 Fleet'!$D$99</f>
        <v/>
      </c>
      <c r="V142" s="261">
        <f>K142*$D142*'E1 Fleet'!$D$99</f>
        <v/>
      </c>
      <c r="W142" s="261">
        <f>L142*$D142*'E1 Fleet'!$D$99</f>
        <v/>
      </c>
      <c r="X142" s="261">
        <f>M142*$D142*'E1 Fleet'!$D$99</f>
        <v/>
      </c>
      <c r="Y142" s="261">
        <f>N142*$D142*'E1 Fleet'!$D$99</f>
        <v/>
      </c>
    </row>
    <row r="143">
      <c r="A143" t="inlineStr">
        <is>
          <t>Pickup</t>
        </is>
      </c>
      <c r="B143" s="331" t="n">
        <v>44</v>
      </c>
      <c r="C143" s="331" t="n">
        <v>3</v>
      </c>
      <c r="D143" s="266">
        <f>IF($B143=0,'E1 Fleet'!$D$93,1)*EXP(-'E1 Fleet'!$D$94*MAX($B143-6,0))</f>
        <v/>
      </c>
      <c r="E143" s="261">
        <f>IFERROR(INDEX('D Fleet'!$E$5:$E$63,MATCH(E$3-$B143,'D Fleet'!$B$5:$B$63,0)),0)*IFERROR(INDEX('D Fleet'!$K$5:$K$36,INT(($B143/E$5))+1)+(($B143/E$5)-INT(($B143/E$5)))*(INDEX('D Fleet'!$K$5:$K$36,INT(($B143/E$5))+2)-INDEX('D Fleet'!$K$5:$K$36,INT(($B143/E$5))+1)),0)</f>
        <v/>
      </c>
      <c r="F143" s="261">
        <f>IFERROR(INDEX('D Fleet'!$E$5:$E$63,MATCH(F$3-$B143,'D Fleet'!$B$5:$B$63,0)),0)*IFERROR(INDEX('D Fleet'!$K$5:$K$36,INT(($B143/F$5))+1)+(($B143/F$5)-INT(($B143/F$5)))*(INDEX('D Fleet'!$K$5:$K$36,INT(($B143/F$5))+2)-INDEX('D Fleet'!$K$5:$K$36,INT(($B143/F$5))+1)),0)</f>
        <v/>
      </c>
      <c r="G143" s="261">
        <f>IFERROR(INDEX('D Fleet'!$E$5:$E$63,MATCH(G$3-$B143,'D Fleet'!$B$5:$B$63,0)),0)*IFERROR(INDEX('D Fleet'!$K$5:$K$36,INT(($B143/G$5))+1)+(($B143/G$5)-INT(($B143/G$5)))*(INDEX('D Fleet'!$K$5:$K$36,INT(($B143/G$5))+2)-INDEX('D Fleet'!$K$5:$K$36,INT(($B143/G$5))+1)),0)</f>
        <v/>
      </c>
      <c r="H143" s="261">
        <f>IFERROR(INDEX('D Fleet'!$E$5:$E$63,MATCH(H$3-$B143,'D Fleet'!$B$5:$B$63,0)),0)*IFERROR(INDEX('D Fleet'!$K$5:$K$36,INT(($B143/H$5))+1)+(($B143/H$5)-INT(($B143/H$5)))*(INDEX('D Fleet'!$K$5:$K$36,INT(($B143/H$5))+2)-INDEX('D Fleet'!$K$5:$K$36,INT(($B143/H$5))+1)),0)</f>
        <v/>
      </c>
      <c r="I143" s="261">
        <f>IFERROR(INDEX('D Fleet'!$E$5:$E$63,MATCH(I$3-$B143,'D Fleet'!$B$5:$B$63,0)),0)*IFERROR(INDEX('D Fleet'!$K$5:$K$36,INT(($B143/I$5))+1)+(($B143/I$5)-INT(($B143/I$5)))*(INDEX('D Fleet'!$K$5:$K$36,INT(($B143/I$5))+2)-INDEX('D Fleet'!$K$5:$K$36,INT(($B143/I$5))+1)),0)</f>
        <v/>
      </c>
      <c r="J143" s="261">
        <f>IFERROR(INDEX('D Fleet'!$E$5:$E$63,MATCH(J$3-$B143,'D Fleet'!$B$5:$B$63,0)),0)*IFERROR(INDEX('D Fleet'!$K$5:$K$36,INT(($B143/J$5))+1)+(($B143/J$5)-INT(($B143/J$5)))*(INDEX('D Fleet'!$K$5:$K$36,INT(($B143/J$5))+2)-INDEX('D Fleet'!$K$5:$K$36,INT(($B143/J$5))+1)),0)</f>
        <v/>
      </c>
      <c r="K143" s="261">
        <f>IFERROR(INDEX('D Fleet'!$E$5:$E$63,MATCH(K$3-$B143,'D Fleet'!$B$5:$B$63,0)),0)*IFERROR(INDEX('D Fleet'!$K$5:$K$36,INT(($B143/K$5))+1)+(($B143/K$5)-INT(($B143/K$5)))*(INDEX('D Fleet'!$K$5:$K$36,INT(($B143/K$5))+2)-INDEX('D Fleet'!$K$5:$K$36,INT(($B143/K$5))+1)),0)</f>
        <v/>
      </c>
      <c r="L143" s="261">
        <f>IFERROR(INDEX('D Fleet'!$E$5:$E$63,MATCH(L$3-$B143,'D Fleet'!$B$5:$B$63,0)),0)*IFERROR(INDEX('D Fleet'!$K$5:$K$36,INT(($B143/L$5))+1)+(($B143/L$5)-INT(($B143/L$5)))*(INDEX('D Fleet'!$K$5:$K$36,INT(($B143/L$5))+2)-INDEX('D Fleet'!$K$5:$K$36,INT(($B143/L$5))+1)),0)</f>
        <v/>
      </c>
      <c r="M143" s="261">
        <f>IFERROR(INDEX('D Fleet'!$E$5:$E$63,MATCH(M$3-$B143,'D Fleet'!$B$5:$B$63,0)),0)*IFERROR(INDEX('D Fleet'!$K$5:$K$36,INT(($B143/M$5))+1)+(($B143/M$5)-INT(($B143/M$5)))*(INDEX('D Fleet'!$K$5:$K$36,INT(($B143/M$5))+2)-INDEX('D Fleet'!$K$5:$K$36,INT(($B143/M$5))+1)),0)</f>
        <v/>
      </c>
      <c r="N143" s="261">
        <f>IFERROR(INDEX('D Fleet'!$E$5:$E$63,MATCH(N$3-$B143,'D Fleet'!$B$5:$B$63,0)),0)*IFERROR(INDEX('D Fleet'!$K$5:$K$36,INT(($B143/N$5))+1)+(($B143/N$5)-INT(($B143/N$5)))*(INDEX('D Fleet'!$K$5:$K$36,INT(($B143/N$5))+2)-INDEX('D Fleet'!$K$5:$K$36,INT(($B143/N$5))+1)),0)</f>
        <v/>
      </c>
      <c r="P143" s="261">
        <f>E143*$D143*'E1 Fleet'!$D$99</f>
        <v/>
      </c>
      <c r="Q143" s="261">
        <f>F143*$D143*'E1 Fleet'!$D$99</f>
        <v/>
      </c>
      <c r="R143" s="261">
        <f>G143*$D143*'E1 Fleet'!$D$99</f>
        <v/>
      </c>
      <c r="S143" s="261">
        <f>H143*$D143*'E1 Fleet'!$D$99</f>
        <v/>
      </c>
      <c r="T143" s="261">
        <f>I143*$D143*'E1 Fleet'!$D$99</f>
        <v/>
      </c>
      <c r="U143" s="261">
        <f>J143*$D143*'E1 Fleet'!$D$99</f>
        <v/>
      </c>
      <c r="V143" s="261">
        <f>K143*$D143*'E1 Fleet'!$D$99</f>
        <v/>
      </c>
      <c r="W143" s="261">
        <f>L143*$D143*'E1 Fleet'!$D$99</f>
        <v/>
      </c>
      <c r="X143" s="261">
        <f>M143*$D143*'E1 Fleet'!$D$99</f>
        <v/>
      </c>
      <c r="Y143" s="261">
        <f>N143*$D143*'E1 Fleet'!$D$99</f>
        <v/>
      </c>
    </row>
    <row r="144">
      <c r="A144" t="inlineStr">
        <is>
          <t>Pickup</t>
        </is>
      </c>
      <c r="B144" s="331" t="n">
        <v>45</v>
      </c>
      <c r="C144" s="331" t="n">
        <v>3</v>
      </c>
      <c r="D144" s="266">
        <f>IF($B144=0,'E1 Fleet'!$D$93,1)*EXP(-'E1 Fleet'!$D$94*MAX($B144-6,0))</f>
        <v/>
      </c>
      <c r="E144" s="261">
        <f>IFERROR(INDEX('D Fleet'!$E$5:$E$63,MATCH(E$3-$B144,'D Fleet'!$B$5:$B$63,0)),0)*IFERROR(INDEX('D Fleet'!$K$5:$K$36,INT(($B144/E$5))+1)+(($B144/E$5)-INT(($B144/E$5)))*(INDEX('D Fleet'!$K$5:$K$36,INT(($B144/E$5))+2)-INDEX('D Fleet'!$K$5:$K$36,INT(($B144/E$5))+1)),0)</f>
        <v/>
      </c>
      <c r="F144" s="261">
        <f>IFERROR(INDEX('D Fleet'!$E$5:$E$63,MATCH(F$3-$B144,'D Fleet'!$B$5:$B$63,0)),0)*IFERROR(INDEX('D Fleet'!$K$5:$K$36,INT(($B144/F$5))+1)+(($B144/F$5)-INT(($B144/F$5)))*(INDEX('D Fleet'!$K$5:$K$36,INT(($B144/F$5))+2)-INDEX('D Fleet'!$K$5:$K$36,INT(($B144/F$5))+1)),0)</f>
        <v/>
      </c>
      <c r="G144" s="261">
        <f>IFERROR(INDEX('D Fleet'!$E$5:$E$63,MATCH(G$3-$B144,'D Fleet'!$B$5:$B$63,0)),0)*IFERROR(INDEX('D Fleet'!$K$5:$K$36,INT(($B144/G$5))+1)+(($B144/G$5)-INT(($B144/G$5)))*(INDEX('D Fleet'!$K$5:$K$36,INT(($B144/G$5))+2)-INDEX('D Fleet'!$K$5:$K$36,INT(($B144/G$5))+1)),0)</f>
        <v/>
      </c>
      <c r="H144" s="261">
        <f>IFERROR(INDEX('D Fleet'!$E$5:$E$63,MATCH(H$3-$B144,'D Fleet'!$B$5:$B$63,0)),0)*IFERROR(INDEX('D Fleet'!$K$5:$K$36,INT(($B144/H$5))+1)+(($B144/H$5)-INT(($B144/H$5)))*(INDEX('D Fleet'!$K$5:$K$36,INT(($B144/H$5))+2)-INDEX('D Fleet'!$K$5:$K$36,INT(($B144/H$5))+1)),0)</f>
        <v/>
      </c>
      <c r="I144" s="261">
        <f>IFERROR(INDEX('D Fleet'!$E$5:$E$63,MATCH(I$3-$B144,'D Fleet'!$B$5:$B$63,0)),0)*IFERROR(INDEX('D Fleet'!$K$5:$K$36,INT(($B144/I$5))+1)+(($B144/I$5)-INT(($B144/I$5)))*(INDEX('D Fleet'!$K$5:$K$36,INT(($B144/I$5))+2)-INDEX('D Fleet'!$K$5:$K$36,INT(($B144/I$5))+1)),0)</f>
        <v/>
      </c>
      <c r="J144" s="261">
        <f>IFERROR(INDEX('D Fleet'!$E$5:$E$63,MATCH(J$3-$B144,'D Fleet'!$B$5:$B$63,0)),0)*IFERROR(INDEX('D Fleet'!$K$5:$K$36,INT(($B144/J$5))+1)+(($B144/J$5)-INT(($B144/J$5)))*(INDEX('D Fleet'!$K$5:$K$36,INT(($B144/J$5))+2)-INDEX('D Fleet'!$K$5:$K$36,INT(($B144/J$5))+1)),0)</f>
        <v/>
      </c>
      <c r="K144" s="261">
        <f>IFERROR(INDEX('D Fleet'!$E$5:$E$63,MATCH(K$3-$B144,'D Fleet'!$B$5:$B$63,0)),0)*IFERROR(INDEX('D Fleet'!$K$5:$K$36,INT(($B144/K$5))+1)+(($B144/K$5)-INT(($B144/K$5)))*(INDEX('D Fleet'!$K$5:$K$36,INT(($B144/K$5))+2)-INDEX('D Fleet'!$K$5:$K$36,INT(($B144/K$5))+1)),0)</f>
        <v/>
      </c>
      <c r="L144" s="261">
        <f>IFERROR(INDEX('D Fleet'!$E$5:$E$63,MATCH(L$3-$B144,'D Fleet'!$B$5:$B$63,0)),0)*IFERROR(INDEX('D Fleet'!$K$5:$K$36,INT(($B144/L$5))+1)+(($B144/L$5)-INT(($B144/L$5)))*(INDEX('D Fleet'!$K$5:$K$36,INT(($B144/L$5))+2)-INDEX('D Fleet'!$K$5:$K$36,INT(($B144/L$5))+1)),0)</f>
        <v/>
      </c>
      <c r="M144" s="261">
        <f>IFERROR(INDEX('D Fleet'!$E$5:$E$63,MATCH(M$3-$B144,'D Fleet'!$B$5:$B$63,0)),0)*IFERROR(INDEX('D Fleet'!$K$5:$K$36,INT(($B144/M$5))+1)+(($B144/M$5)-INT(($B144/M$5)))*(INDEX('D Fleet'!$K$5:$K$36,INT(($B144/M$5))+2)-INDEX('D Fleet'!$K$5:$K$36,INT(($B144/M$5))+1)),0)</f>
        <v/>
      </c>
      <c r="N144" s="261">
        <f>IFERROR(INDEX('D Fleet'!$E$5:$E$63,MATCH(N$3-$B144,'D Fleet'!$B$5:$B$63,0)),0)*IFERROR(INDEX('D Fleet'!$K$5:$K$36,INT(($B144/N$5))+1)+(($B144/N$5)-INT(($B144/N$5)))*(INDEX('D Fleet'!$K$5:$K$36,INT(($B144/N$5))+2)-INDEX('D Fleet'!$K$5:$K$36,INT(($B144/N$5))+1)),0)</f>
        <v/>
      </c>
      <c r="P144" s="261">
        <f>E144*$D144*'E1 Fleet'!$D$99</f>
        <v/>
      </c>
      <c r="Q144" s="261">
        <f>F144*$D144*'E1 Fleet'!$D$99</f>
        <v/>
      </c>
      <c r="R144" s="261">
        <f>G144*$D144*'E1 Fleet'!$D$99</f>
        <v/>
      </c>
      <c r="S144" s="261">
        <f>H144*$D144*'E1 Fleet'!$D$99</f>
        <v/>
      </c>
      <c r="T144" s="261">
        <f>I144*$D144*'E1 Fleet'!$D$99</f>
        <v/>
      </c>
      <c r="U144" s="261">
        <f>J144*$D144*'E1 Fleet'!$D$99</f>
        <v/>
      </c>
      <c r="V144" s="261">
        <f>K144*$D144*'E1 Fleet'!$D$99</f>
        <v/>
      </c>
      <c r="W144" s="261">
        <f>L144*$D144*'E1 Fleet'!$D$99</f>
        <v/>
      </c>
      <c r="X144" s="261">
        <f>M144*$D144*'E1 Fleet'!$D$99</f>
        <v/>
      </c>
      <c r="Y144" s="261">
        <f>N144*$D144*'E1 Fleet'!$D$99</f>
        <v/>
      </c>
    </row>
    <row r="145">
      <c r="A145" t="inlineStr">
        <is>
          <t>Van</t>
        </is>
      </c>
      <c r="B145" s="331" t="n">
        <v>0</v>
      </c>
      <c r="C145" s="331" t="n">
        <v>0</v>
      </c>
      <c r="D145" s="266">
        <f>IF($B145=0,'E1 Fleet'!$D$93,1)*EXP(-'E1 Fleet'!$D$94*MAX($B145-6,0))</f>
        <v/>
      </c>
      <c r="E145" s="261">
        <f>IFERROR(INDEX('D Fleet'!$F$5:$F$63,MATCH(E$3-$B145,'D Fleet'!$B$5:$B$63,0)),0)*IFERROR(INDEX('D Fleet'!$K$5:$K$36,INT(($B145/E$5))+1)+(($B145/E$5)-INT(($B145/E$5)))*(INDEX('D Fleet'!$K$5:$K$36,INT(($B145/E$5))+2)-INDEX('D Fleet'!$K$5:$K$36,INT(($B145/E$5))+1)),0)</f>
        <v/>
      </c>
      <c r="F145" s="261">
        <f>IFERROR(INDEX('D Fleet'!$F$5:$F$63,MATCH(F$3-$B145,'D Fleet'!$B$5:$B$63,0)),0)*IFERROR(INDEX('D Fleet'!$K$5:$K$36,INT(($B145/F$5))+1)+(($B145/F$5)-INT(($B145/F$5)))*(INDEX('D Fleet'!$K$5:$K$36,INT(($B145/F$5))+2)-INDEX('D Fleet'!$K$5:$K$36,INT(($B145/F$5))+1)),0)</f>
        <v/>
      </c>
      <c r="G145" s="261">
        <f>IFERROR(INDEX('D Fleet'!$F$5:$F$63,MATCH(G$3-$B145,'D Fleet'!$B$5:$B$63,0)),0)*IFERROR(INDEX('D Fleet'!$K$5:$K$36,INT(($B145/G$5))+1)+(($B145/G$5)-INT(($B145/G$5)))*(INDEX('D Fleet'!$K$5:$K$36,INT(($B145/G$5))+2)-INDEX('D Fleet'!$K$5:$K$36,INT(($B145/G$5))+1)),0)</f>
        <v/>
      </c>
      <c r="H145" s="261">
        <f>IFERROR(INDEX('D Fleet'!$F$5:$F$63,MATCH(H$3-$B145,'D Fleet'!$B$5:$B$63,0)),0)*IFERROR(INDEX('D Fleet'!$K$5:$K$36,INT(($B145/H$5))+1)+(($B145/H$5)-INT(($B145/H$5)))*(INDEX('D Fleet'!$K$5:$K$36,INT(($B145/H$5))+2)-INDEX('D Fleet'!$K$5:$K$36,INT(($B145/H$5))+1)),0)</f>
        <v/>
      </c>
      <c r="I145" s="261">
        <f>IFERROR(INDEX('D Fleet'!$F$5:$F$63,MATCH(I$3-$B145,'D Fleet'!$B$5:$B$63,0)),0)*IFERROR(INDEX('D Fleet'!$K$5:$K$36,INT(($B145/I$5))+1)+(($B145/I$5)-INT(($B145/I$5)))*(INDEX('D Fleet'!$K$5:$K$36,INT(($B145/I$5))+2)-INDEX('D Fleet'!$K$5:$K$36,INT(($B145/I$5))+1)),0)</f>
        <v/>
      </c>
      <c r="J145" s="261">
        <f>IFERROR(INDEX('D Fleet'!$F$5:$F$63,MATCH(J$3-$B145,'D Fleet'!$B$5:$B$63,0)),0)*IFERROR(INDEX('D Fleet'!$K$5:$K$36,INT(($B145/J$5))+1)+(($B145/J$5)-INT(($B145/J$5)))*(INDEX('D Fleet'!$K$5:$K$36,INT(($B145/J$5))+2)-INDEX('D Fleet'!$K$5:$K$36,INT(($B145/J$5))+1)),0)</f>
        <v/>
      </c>
      <c r="K145" s="261">
        <f>IFERROR(INDEX('D Fleet'!$F$5:$F$63,MATCH(K$3-$B145,'D Fleet'!$B$5:$B$63,0)),0)*IFERROR(INDEX('D Fleet'!$K$5:$K$36,INT(($B145/K$5))+1)+(($B145/K$5)-INT(($B145/K$5)))*(INDEX('D Fleet'!$K$5:$K$36,INT(($B145/K$5))+2)-INDEX('D Fleet'!$K$5:$K$36,INT(($B145/K$5))+1)),0)</f>
        <v/>
      </c>
      <c r="L145" s="261">
        <f>IFERROR(INDEX('D Fleet'!$F$5:$F$63,MATCH(L$3-$B145,'D Fleet'!$B$5:$B$63,0)),0)*IFERROR(INDEX('D Fleet'!$K$5:$K$36,INT(($B145/L$5))+1)+(($B145/L$5)-INT(($B145/L$5)))*(INDEX('D Fleet'!$K$5:$K$36,INT(($B145/L$5))+2)-INDEX('D Fleet'!$K$5:$K$36,INT(($B145/L$5))+1)),0)</f>
        <v/>
      </c>
      <c r="M145" s="261">
        <f>IFERROR(INDEX('D Fleet'!$F$5:$F$63,MATCH(M$3-$B145,'D Fleet'!$B$5:$B$63,0)),0)*IFERROR(INDEX('D Fleet'!$K$5:$K$36,INT(($B145/M$5))+1)+(($B145/M$5)-INT(($B145/M$5)))*(INDEX('D Fleet'!$K$5:$K$36,INT(($B145/M$5))+2)-INDEX('D Fleet'!$K$5:$K$36,INT(($B145/M$5))+1)),0)</f>
        <v/>
      </c>
      <c r="N145" s="261">
        <f>IFERROR(INDEX('D Fleet'!$F$5:$F$63,MATCH(N$3-$B145,'D Fleet'!$B$5:$B$63,0)),0)*IFERROR(INDEX('D Fleet'!$K$5:$K$36,INT(($B145/N$5))+1)+(($B145/N$5)-INT(($B145/N$5)))*(INDEX('D Fleet'!$K$5:$K$36,INT(($B145/N$5))+2)-INDEX('D Fleet'!$K$5:$K$36,INT(($B145/N$5))+1)),0)</f>
        <v/>
      </c>
      <c r="P145" s="261">
        <f>E145*$D145*'E1 Fleet'!$D$100</f>
        <v/>
      </c>
      <c r="Q145" s="261">
        <f>F145*$D145*'E1 Fleet'!$D$100</f>
        <v/>
      </c>
      <c r="R145" s="261">
        <f>G145*$D145*'E1 Fleet'!$D$100</f>
        <v/>
      </c>
      <c r="S145" s="261">
        <f>H145*$D145*'E1 Fleet'!$D$100</f>
        <v/>
      </c>
      <c r="T145" s="261">
        <f>I145*$D145*'E1 Fleet'!$D$100</f>
        <v/>
      </c>
      <c r="U145" s="261">
        <f>J145*$D145*'E1 Fleet'!$D$100</f>
        <v/>
      </c>
      <c r="V145" s="261">
        <f>K145*$D145*'E1 Fleet'!$D$100</f>
        <v/>
      </c>
      <c r="W145" s="261">
        <f>L145*$D145*'E1 Fleet'!$D$100</f>
        <v/>
      </c>
      <c r="X145" s="261">
        <f>M145*$D145*'E1 Fleet'!$D$100</f>
        <v/>
      </c>
      <c r="Y145" s="261">
        <f>N145*$D145*'E1 Fleet'!$D$100</f>
        <v/>
      </c>
    </row>
    <row r="146">
      <c r="A146" t="inlineStr">
        <is>
          <t>Van</t>
        </is>
      </c>
      <c r="B146" s="331" t="n">
        <v>1</v>
      </c>
      <c r="C146" s="331" t="n">
        <v>1</v>
      </c>
      <c r="D146" s="266">
        <f>IF($B146=0,'E1 Fleet'!$D$93,1)*EXP(-'E1 Fleet'!$D$94*MAX($B146-6,0))</f>
        <v/>
      </c>
      <c r="E146" s="261">
        <f>IFERROR(INDEX('D Fleet'!$F$5:$F$63,MATCH(E$3-$B146,'D Fleet'!$B$5:$B$63,0)),0)*IFERROR(INDEX('D Fleet'!$K$5:$K$36,INT(($B146/E$5))+1)+(($B146/E$5)-INT(($B146/E$5)))*(INDEX('D Fleet'!$K$5:$K$36,INT(($B146/E$5))+2)-INDEX('D Fleet'!$K$5:$K$36,INT(($B146/E$5))+1)),0)</f>
        <v/>
      </c>
      <c r="F146" s="261">
        <f>IFERROR(INDEX('D Fleet'!$F$5:$F$63,MATCH(F$3-$B146,'D Fleet'!$B$5:$B$63,0)),0)*IFERROR(INDEX('D Fleet'!$K$5:$K$36,INT(($B146/F$5))+1)+(($B146/F$5)-INT(($B146/F$5)))*(INDEX('D Fleet'!$K$5:$K$36,INT(($B146/F$5))+2)-INDEX('D Fleet'!$K$5:$K$36,INT(($B146/F$5))+1)),0)</f>
        <v/>
      </c>
      <c r="G146" s="261">
        <f>IFERROR(INDEX('D Fleet'!$F$5:$F$63,MATCH(G$3-$B146,'D Fleet'!$B$5:$B$63,0)),0)*IFERROR(INDEX('D Fleet'!$K$5:$K$36,INT(($B146/G$5))+1)+(($B146/G$5)-INT(($B146/G$5)))*(INDEX('D Fleet'!$K$5:$K$36,INT(($B146/G$5))+2)-INDEX('D Fleet'!$K$5:$K$36,INT(($B146/G$5))+1)),0)</f>
        <v/>
      </c>
      <c r="H146" s="261">
        <f>IFERROR(INDEX('D Fleet'!$F$5:$F$63,MATCH(H$3-$B146,'D Fleet'!$B$5:$B$63,0)),0)*IFERROR(INDEX('D Fleet'!$K$5:$K$36,INT(($B146/H$5))+1)+(($B146/H$5)-INT(($B146/H$5)))*(INDEX('D Fleet'!$K$5:$K$36,INT(($B146/H$5))+2)-INDEX('D Fleet'!$K$5:$K$36,INT(($B146/H$5))+1)),0)</f>
        <v/>
      </c>
      <c r="I146" s="261">
        <f>IFERROR(INDEX('D Fleet'!$F$5:$F$63,MATCH(I$3-$B146,'D Fleet'!$B$5:$B$63,0)),0)*IFERROR(INDEX('D Fleet'!$K$5:$K$36,INT(($B146/I$5))+1)+(($B146/I$5)-INT(($B146/I$5)))*(INDEX('D Fleet'!$K$5:$K$36,INT(($B146/I$5))+2)-INDEX('D Fleet'!$K$5:$K$36,INT(($B146/I$5))+1)),0)</f>
        <v/>
      </c>
      <c r="J146" s="261">
        <f>IFERROR(INDEX('D Fleet'!$F$5:$F$63,MATCH(J$3-$B146,'D Fleet'!$B$5:$B$63,0)),0)*IFERROR(INDEX('D Fleet'!$K$5:$K$36,INT(($B146/J$5))+1)+(($B146/J$5)-INT(($B146/J$5)))*(INDEX('D Fleet'!$K$5:$K$36,INT(($B146/J$5))+2)-INDEX('D Fleet'!$K$5:$K$36,INT(($B146/J$5))+1)),0)</f>
        <v/>
      </c>
      <c r="K146" s="261">
        <f>IFERROR(INDEX('D Fleet'!$F$5:$F$63,MATCH(K$3-$B146,'D Fleet'!$B$5:$B$63,0)),0)*IFERROR(INDEX('D Fleet'!$K$5:$K$36,INT(($B146/K$5))+1)+(($B146/K$5)-INT(($B146/K$5)))*(INDEX('D Fleet'!$K$5:$K$36,INT(($B146/K$5))+2)-INDEX('D Fleet'!$K$5:$K$36,INT(($B146/K$5))+1)),0)</f>
        <v/>
      </c>
      <c r="L146" s="261">
        <f>IFERROR(INDEX('D Fleet'!$F$5:$F$63,MATCH(L$3-$B146,'D Fleet'!$B$5:$B$63,0)),0)*IFERROR(INDEX('D Fleet'!$K$5:$K$36,INT(($B146/L$5))+1)+(($B146/L$5)-INT(($B146/L$5)))*(INDEX('D Fleet'!$K$5:$K$36,INT(($B146/L$5))+2)-INDEX('D Fleet'!$K$5:$K$36,INT(($B146/L$5))+1)),0)</f>
        <v/>
      </c>
      <c r="M146" s="261">
        <f>IFERROR(INDEX('D Fleet'!$F$5:$F$63,MATCH(M$3-$B146,'D Fleet'!$B$5:$B$63,0)),0)*IFERROR(INDEX('D Fleet'!$K$5:$K$36,INT(($B146/M$5))+1)+(($B146/M$5)-INT(($B146/M$5)))*(INDEX('D Fleet'!$K$5:$K$36,INT(($B146/M$5))+2)-INDEX('D Fleet'!$K$5:$K$36,INT(($B146/M$5))+1)),0)</f>
        <v/>
      </c>
      <c r="N146" s="261">
        <f>IFERROR(INDEX('D Fleet'!$F$5:$F$63,MATCH(N$3-$B146,'D Fleet'!$B$5:$B$63,0)),0)*IFERROR(INDEX('D Fleet'!$K$5:$K$36,INT(($B146/N$5))+1)+(($B146/N$5)-INT(($B146/N$5)))*(INDEX('D Fleet'!$K$5:$K$36,INT(($B146/N$5))+2)-INDEX('D Fleet'!$K$5:$K$36,INT(($B146/N$5))+1)),0)</f>
        <v/>
      </c>
      <c r="P146" s="261">
        <f>E146*$D146*'E1 Fleet'!$D$100</f>
        <v/>
      </c>
      <c r="Q146" s="261">
        <f>F146*$D146*'E1 Fleet'!$D$100</f>
        <v/>
      </c>
      <c r="R146" s="261">
        <f>G146*$D146*'E1 Fleet'!$D$100</f>
        <v/>
      </c>
      <c r="S146" s="261">
        <f>H146*$D146*'E1 Fleet'!$D$100</f>
        <v/>
      </c>
      <c r="T146" s="261">
        <f>I146*$D146*'E1 Fleet'!$D$100</f>
        <v/>
      </c>
      <c r="U146" s="261">
        <f>J146*$D146*'E1 Fleet'!$D$100</f>
        <v/>
      </c>
      <c r="V146" s="261">
        <f>K146*$D146*'E1 Fleet'!$D$100</f>
        <v/>
      </c>
      <c r="W146" s="261">
        <f>L146*$D146*'E1 Fleet'!$D$100</f>
        <v/>
      </c>
      <c r="X146" s="261">
        <f>M146*$D146*'E1 Fleet'!$D$100</f>
        <v/>
      </c>
      <c r="Y146" s="261">
        <f>N146*$D146*'E1 Fleet'!$D$100</f>
        <v/>
      </c>
    </row>
    <row r="147">
      <c r="A147" t="inlineStr">
        <is>
          <t>Van</t>
        </is>
      </c>
      <c r="B147" s="331" t="n">
        <v>2</v>
      </c>
      <c r="C147" s="331" t="n">
        <v>1</v>
      </c>
      <c r="D147" s="266">
        <f>IF($B147=0,'E1 Fleet'!$D$93,1)*EXP(-'E1 Fleet'!$D$94*MAX($B147-6,0))</f>
        <v/>
      </c>
      <c r="E147" s="261">
        <f>IFERROR(INDEX('D Fleet'!$F$5:$F$63,MATCH(E$3-$B147,'D Fleet'!$B$5:$B$63,0)),0)*IFERROR(INDEX('D Fleet'!$K$5:$K$36,INT(($B147/E$5))+1)+(($B147/E$5)-INT(($B147/E$5)))*(INDEX('D Fleet'!$K$5:$K$36,INT(($B147/E$5))+2)-INDEX('D Fleet'!$K$5:$K$36,INT(($B147/E$5))+1)),0)</f>
        <v/>
      </c>
      <c r="F147" s="261">
        <f>IFERROR(INDEX('D Fleet'!$F$5:$F$63,MATCH(F$3-$B147,'D Fleet'!$B$5:$B$63,0)),0)*IFERROR(INDEX('D Fleet'!$K$5:$K$36,INT(($B147/F$5))+1)+(($B147/F$5)-INT(($B147/F$5)))*(INDEX('D Fleet'!$K$5:$K$36,INT(($B147/F$5))+2)-INDEX('D Fleet'!$K$5:$K$36,INT(($B147/F$5))+1)),0)</f>
        <v/>
      </c>
      <c r="G147" s="261">
        <f>IFERROR(INDEX('D Fleet'!$F$5:$F$63,MATCH(G$3-$B147,'D Fleet'!$B$5:$B$63,0)),0)*IFERROR(INDEX('D Fleet'!$K$5:$K$36,INT(($B147/G$5))+1)+(($B147/G$5)-INT(($B147/G$5)))*(INDEX('D Fleet'!$K$5:$K$36,INT(($B147/G$5))+2)-INDEX('D Fleet'!$K$5:$K$36,INT(($B147/G$5))+1)),0)</f>
        <v/>
      </c>
      <c r="H147" s="261">
        <f>IFERROR(INDEX('D Fleet'!$F$5:$F$63,MATCH(H$3-$B147,'D Fleet'!$B$5:$B$63,0)),0)*IFERROR(INDEX('D Fleet'!$K$5:$K$36,INT(($B147/H$5))+1)+(($B147/H$5)-INT(($B147/H$5)))*(INDEX('D Fleet'!$K$5:$K$36,INT(($B147/H$5))+2)-INDEX('D Fleet'!$K$5:$K$36,INT(($B147/H$5))+1)),0)</f>
        <v/>
      </c>
      <c r="I147" s="261">
        <f>IFERROR(INDEX('D Fleet'!$F$5:$F$63,MATCH(I$3-$B147,'D Fleet'!$B$5:$B$63,0)),0)*IFERROR(INDEX('D Fleet'!$K$5:$K$36,INT(($B147/I$5))+1)+(($B147/I$5)-INT(($B147/I$5)))*(INDEX('D Fleet'!$K$5:$K$36,INT(($B147/I$5))+2)-INDEX('D Fleet'!$K$5:$K$36,INT(($B147/I$5))+1)),0)</f>
        <v/>
      </c>
      <c r="J147" s="261">
        <f>IFERROR(INDEX('D Fleet'!$F$5:$F$63,MATCH(J$3-$B147,'D Fleet'!$B$5:$B$63,0)),0)*IFERROR(INDEX('D Fleet'!$K$5:$K$36,INT(($B147/J$5))+1)+(($B147/J$5)-INT(($B147/J$5)))*(INDEX('D Fleet'!$K$5:$K$36,INT(($B147/J$5))+2)-INDEX('D Fleet'!$K$5:$K$36,INT(($B147/J$5))+1)),0)</f>
        <v/>
      </c>
      <c r="K147" s="261">
        <f>IFERROR(INDEX('D Fleet'!$F$5:$F$63,MATCH(K$3-$B147,'D Fleet'!$B$5:$B$63,0)),0)*IFERROR(INDEX('D Fleet'!$K$5:$K$36,INT(($B147/K$5))+1)+(($B147/K$5)-INT(($B147/K$5)))*(INDEX('D Fleet'!$K$5:$K$36,INT(($B147/K$5))+2)-INDEX('D Fleet'!$K$5:$K$36,INT(($B147/K$5))+1)),0)</f>
        <v/>
      </c>
      <c r="L147" s="261">
        <f>IFERROR(INDEX('D Fleet'!$F$5:$F$63,MATCH(L$3-$B147,'D Fleet'!$B$5:$B$63,0)),0)*IFERROR(INDEX('D Fleet'!$K$5:$K$36,INT(($B147/L$5))+1)+(($B147/L$5)-INT(($B147/L$5)))*(INDEX('D Fleet'!$K$5:$K$36,INT(($B147/L$5))+2)-INDEX('D Fleet'!$K$5:$K$36,INT(($B147/L$5))+1)),0)</f>
        <v/>
      </c>
      <c r="M147" s="261">
        <f>IFERROR(INDEX('D Fleet'!$F$5:$F$63,MATCH(M$3-$B147,'D Fleet'!$B$5:$B$63,0)),0)*IFERROR(INDEX('D Fleet'!$K$5:$K$36,INT(($B147/M$5))+1)+(($B147/M$5)-INT(($B147/M$5)))*(INDEX('D Fleet'!$K$5:$K$36,INT(($B147/M$5))+2)-INDEX('D Fleet'!$K$5:$K$36,INT(($B147/M$5))+1)),0)</f>
        <v/>
      </c>
      <c r="N147" s="261">
        <f>IFERROR(INDEX('D Fleet'!$F$5:$F$63,MATCH(N$3-$B147,'D Fleet'!$B$5:$B$63,0)),0)*IFERROR(INDEX('D Fleet'!$K$5:$K$36,INT(($B147/N$5))+1)+(($B147/N$5)-INT(($B147/N$5)))*(INDEX('D Fleet'!$K$5:$K$36,INT(($B147/N$5))+2)-INDEX('D Fleet'!$K$5:$K$36,INT(($B147/N$5))+1)),0)</f>
        <v/>
      </c>
      <c r="P147" s="261">
        <f>E147*$D147*'E1 Fleet'!$D$100</f>
        <v/>
      </c>
      <c r="Q147" s="261">
        <f>F147*$D147*'E1 Fleet'!$D$100</f>
        <v/>
      </c>
      <c r="R147" s="261">
        <f>G147*$D147*'E1 Fleet'!$D$100</f>
        <v/>
      </c>
      <c r="S147" s="261">
        <f>H147*$D147*'E1 Fleet'!$D$100</f>
        <v/>
      </c>
      <c r="T147" s="261">
        <f>I147*$D147*'E1 Fleet'!$D$100</f>
        <v/>
      </c>
      <c r="U147" s="261">
        <f>J147*$D147*'E1 Fleet'!$D$100</f>
        <v/>
      </c>
      <c r="V147" s="261">
        <f>K147*$D147*'E1 Fleet'!$D$100</f>
        <v/>
      </c>
      <c r="W147" s="261">
        <f>L147*$D147*'E1 Fleet'!$D$100</f>
        <v/>
      </c>
      <c r="X147" s="261">
        <f>M147*$D147*'E1 Fleet'!$D$100</f>
        <v/>
      </c>
      <c r="Y147" s="261">
        <f>N147*$D147*'E1 Fleet'!$D$100</f>
        <v/>
      </c>
    </row>
    <row r="148">
      <c r="A148" t="inlineStr">
        <is>
          <t>Van</t>
        </is>
      </c>
      <c r="B148" s="331" t="n">
        <v>3</v>
      </c>
      <c r="C148" s="331" t="n">
        <v>1</v>
      </c>
      <c r="D148" s="266">
        <f>IF($B148=0,'E1 Fleet'!$D$93,1)*EXP(-'E1 Fleet'!$D$94*MAX($B148-6,0))</f>
        <v/>
      </c>
      <c r="E148" s="261">
        <f>IFERROR(INDEX('D Fleet'!$F$5:$F$63,MATCH(E$3-$B148,'D Fleet'!$B$5:$B$63,0)),0)*IFERROR(INDEX('D Fleet'!$K$5:$K$36,INT(($B148/E$5))+1)+(($B148/E$5)-INT(($B148/E$5)))*(INDEX('D Fleet'!$K$5:$K$36,INT(($B148/E$5))+2)-INDEX('D Fleet'!$K$5:$K$36,INT(($B148/E$5))+1)),0)</f>
        <v/>
      </c>
      <c r="F148" s="261">
        <f>IFERROR(INDEX('D Fleet'!$F$5:$F$63,MATCH(F$3-$B148,'D Fleet'!$B$5:$B$63,0)),0)*IFERROR(INDEX('D Fleet'!$K$5:$K$36,INT(($B148/F$5))+1)+(($B148/F$5)-INT(($B148/F$5)))*(INDEX('D Fleet'!$K$5:$K$36,INT(($B148/F$5))+2)-INDEX('D Fleet'!$K$5:$K$36,INT(($B148/F$5))+1)),0)</f>
        <v/>
      </c>
      <c r="G148" s="261">
        <f>IFERROR(INDEX('D Fleet'!$F$5:$F$63,MATCH(G$3-$B148,'D Fleet'!$B$5:$B$63,0)),0)*IFERROR(INDEX('D Fleet'!$K$5:$K$36,INT(($B148/G$5))+1)+(($B148/G$5)-INT(($B148/G$5)))*(INDEX('D Fleet'!$K$5:$K$36,INT(($B148/G$5))+2)-INDEX('D Fleet'!$K$5:$K$36,INT(($B148/G$5))+1)),0)</f>
        <v/>
      </c>
      <c r="H148" s="261">
        <f>IFERROR(INDEX('D Fleet'!$F$5:$F$63,MATCH(H$3-$B148,'D Fleet'!$B$5:$B$63,0)),0)*IFERROR(INDEX('D Fleet'!$K$5:$K$36,INT(($B148/H$5))+1)+(($B148/H$5)-INT(($B148/H$5)))*(INDEX('D Fleet'!$K$5:$K$36,INT(($B148/H$5))+2)-INDEX('D Fleet'!$K$5:$K$36,INT(($B148/H$5))+1)),0)</f>
        <v/>
      </c>
      <c r="I148" s="261">
        <f>IFERROR(INDEX('D Fleet'!$F$5:$F$63,MATCH(I$3-$B148,'D Fleet'!$B$5:$B$63,0)),0)*IFERROR(INDEX('D Fleet'!$K$5:$K$36,INT(($B148/I$5))+1)+(($B148/I$5)-INT(($B148/I$5)))*(INDEX('D Fleet'!$K$5:$K$36,INT(($B148/I$5))+2)-INDEX('D Fleet'!$K$5:$K$36,INT(($B148/I$5))+1)),0)</f>
        <v/>
      </c>
      <c r="J148" s="261">
        <f>IFERROR(INDEX('D Fleet'!$F$5:$F$63,MATCH(J$3-$B148,'D Fleet'!$B$5:$B$63,0)),0)*IFERROR(INDEX('D Fleet'!$K$5:$K$36,INT(($B148/J$5))+1)+(($B148/J$5)-INT(($B148/J$5)))*(INDEX('D Fleet'!$K$5:$K$36,INT(($B148/J$5))+2)-INDEX('D Fleet'!$K$5:$K$36,INT(($B148/J$5))+1)),0)</f>
        <v/>
      </c>
      <c r="K148" s="261">
        <f>IFERROR(INDEX('D Fleet'!$F$5:$F$63,MATCH(K$3-$B148,'D Fleet'!$B$5:$B$63,0)),0)*IFERROR(INDEX('D Fleet'!$K$5:$K$36,INT(($B148/K$5))+1)+(($B148/K$5)-INT(($B148/K$5)))*(INDEX('D Fleet'!$K$5:$K$36,INT(($B148/K$5))+2)-INDEX('D Fleet'!$K$5:$K$36,INT(($B148/K$5))+1)),0)</f>
        <v/>
      </c>
      <c r="L148" s="261">
        <f>IFERROR(INDEX('D Fleet'!$F$5:$F$63,MATCH(L$3-$B148,'D Fleet'!$B$5:$B$63,0)),0)*IFERROR(INDEX('D Fleet'!$K$5:$K$36,INT(($B148/L$5))+1)+(($B148/L$5)-INT(($B148/L$5)))*(INDEX('D Fleet'!$K$5:$K$36,INT(($B148/L$5))+2)-INDEX('D Fleet'!$K$5:$K$36,INT(($B148/L$5))+1)),0)</f>
        <v/>
      </c>
      <c r="M148" s="261">
        <f>IFERROR(INDEX('D Fleet'!$F$5:$F$63,MATCH(M$3-$B148,'D Fleet'!$B$5:$B$63,0)),0)*IFERROR(INDEX('D Fleet'!$K$5:$K$36,INT(($B148/M$5))+1)+(($B148/M$5)-INT(($B148/M$5)))*(INDEX('D Fleet'!$K$5:$K$36,INT(($B148/M$5))+2)-INDEX('D Fleet'!$K$5:$K$36,INT(($B148/M$5))+1)),0)</f>
        <v/>
      </c>
      <c r="N148" s="261">
        <f>IFERROR(INDEX('D Fleet'!$F$5:$F$63,MATCH(N$3-$B148,'D Fleet'!$B$5:$B$63,0)),0)*IFERROR(INDEX('D Fleet'!$K$5:$K$36,INT(($B148/N$5))+1)+(($B148/N$5)-INT(($B148/N$5)))*(INDEX('D Fleet'!$K$5:$K$36,INT(($B148/N$5))+2)-INDEX('D Fleet'!$K$5:$K$36,INT(($B148/N$5))+1)),0)</f>
        <v/>
      </c>
      <c r="P148" s="261">
        <f>E148*$D148*'E1 Fleet'!$D$100</f>
        <v/>
      </c>
      <c r="Q148" s="261">
        <f>F148*$D148*'E1 Fleet'!$D$100</f>
        <v/>
      </c>
      <c r="R148" s="261">
        <f>G148*$D148*'E1 Fleet'!$D$100</f>
        <v/>
      </c>
      <c r="S148" s="261">
        <f>H148*$D148*'E1 Fleet'!$D$100</f>
        <v/>
      </c>
      <c r="T148" s="261">
        <f>I148*$D148*'E1 Fleet'!$D$100</f>
        <v/>
      </c>
      <c r="U148" s="261">
        <f>J148*$D148*'E1 Fleet'!$D$100</f>
        <v/>
      </c>
      <c r="V148" s="261">
        <f>K148*$D148*'E1 Fleet'!$D$100</f>
        <v/>
      </c>
      <c r="W148" s="261">
        <f>L148*$D148*'E1 Fleet'!$D$100</f>
        <v/>
      </c>
      <c r="X148" s="261">
        <f>M148*$D148*'E1 Fleet'!$D$100</f>
        <v/>
      </c>
      <c r="Y148" s="261">
        <f>N148*$D148*'E1 Fleet'!$D$100</f>
        <v/>
      </c>
    </row>
    <row r="149">
      <c r="A149" t="inlineStr">
        <is>
          <t>Van</t>
        </is>
      </c>
      <c r="B149" s="331" t="n">
        <v>4</v>
      </c>
      <c r="C149" s="331" t="n">
        <v>2</v>
      </c>
      <c r="D149" s="266">
        <f>IF($B149=0,'E1 Fleet'!$D$93,1)*EXP(-'E1 Fleet'!$D$94*MAX($B149-6,0))</f>
        <v/>
      </c>
      <c r="E149" s="261">
        <f>IFERROR(INDEX('D Fleet'!$F$5:$F$63,MATCH(E$3-$B149,'D Fleet'!$B$5:$B$63,0)),0)*IFERROR(INDEX('D Fleet'!$K$5:$K$36,INT(($B149/E$5))+1)+(($B149/E$5)-INT(($B149/E$5)))*(INDEX('D Fleet'!$K$5:$K$36,INT(($B149/E$5))+2)-INDEX('D Fleet'!$K$5:$K$36,INT(($B149/E$5))+1)),0)</f>
        <v/>
      </c>
      <c r="F149" s="261">
        <f>IFERROR(INDEX('D Fleet'!$F$5:$F$63,MATCH(F$3-$B149,'D Fleet'!$B$5:$B$63,0)),0)*IFERROR(INDEX('D Fleet'!$K$5:$K$36,INT(($B149/F$5))+1)+(($B149/F$5)-INT(($B149/F$5)))*(INDEX('D Fleet'!$K$5:$K$36,INT(($B149/F$5))+2)-INDEX('D Fleet'!$K$5:$K$36,INT(($B149/F$5))+1)),0)</f>
        <v/>
      </c>
      <c r="G149" s="261">
        <f>IFERROR(INDEX('D Fleet'!$F$5:$F$63,MATCH(G$3-$B149,'D Fleet'!$B$5:$B$63,0)),0)*IFERROR(INDEX('D Fleet'!$K$5:$K$36,INT(($B149/G$5))+1)+(($B149/G$5)-INT(($B149/G$5)))*(INDEX('D Fleet'!$K$5:$K$36,INT(($B149/G$5))+2)-INDEX('D Fleet'!$K$5:$K$36,INT(($B149/G$5))+1)),0)</f>
        <v/>
      </c>
      <c r="H149" s="261">
        <f>IFERROR(INDEX('D Fleet'!$F$5:$F$63,MATCH(H$3-$B149,'D Fleet'!$B$5:$B$63,0)),0)*IFERROR(INDEX('D Fleet'!$K$5:$K$36,INT(($B149/H$5))+1)+(($B149/H$5)-INT(($B149/H$5)))*(INDEX('D Fleet'!$K$5:$K$36,INT(($B149/H$5))+2)-INDEX('D Fleet'!$K$5:$K$36,INT(($B149/H$5))+1)),0)</f>
        <v/>
      </c>
      <c r="I149" s="261">
        <f>IFERROR(INDEX('D Fleet'!$F$5:$F$63,MATCH(I$3-$B149,'D Fleet'!$B$5:$B$63,0)),0)*IFERROR(INDEX('D Fleet'!$K$5:$K$36,INT(($B149/I$5))+1)+(($B149/I$5)-INT(($B149/I$5)))*(INDEX('D Fleet'!$K$5:$K$36,INT(($B149/I$5))+2)-INDEX('D Fleet'!$K$5:$K$36,INT(($B149/I$5))+1)),0)</f>
        <v/>
      </c>
      <c r="J149" s="261">
        <f>IFERROR(INDEX('D Fleet'!$F$5:$F$63,MATCH(J$3-$B149,'D Fleet'!$B$5:$B$63,0)),0)*IFERROR(INDEX('D Fleet'!$K$5:$K$36,INT(($B149/J$5))+1)+(($B149/J$5)-INT(($B149/J$5)))*(INDEX('D Fleet'!$K$5:$K$36,INT(($B149/J$5))+2)-INDEX('D Fleet'!$K$5:$K$36,INT(($B149/J$5))+1)),0)</f>
        <v/>
      </c>
      <c r="K149" s="261">
        <f>IFERROR(INDEX('D Fleet'!$F$5:$F$63,MATCH(K$3-$B149,'D Fleet'!$B$5:$B$63,0)),0)*IFERROR(INDEX('D Fleet'!$K$5:$K$36,INT(($B149/K$5))+1)+(($B149/K$5)-INT(($B149/K$5)))*(INDEX('D Fleet'!$K$5:$K$36,INT(($B149/K$5))+2)-INDEX('D Fleet'!$K$5:$K$36,INT(($B149/K$5))+1)),0)</f>
        <v/>
      </c>
      <c r="L149" s="261">
        <f>IFERROR(INDEX('D Fleet'!$F$5:$F$63,MATCH(L$3-$B149,'D Fleet'!$B$5:$B$63,0)),0)*IFERROR(INDEX('D Fleet'!$K$5:$K$36,INT(($B149/L$5))+1)+(($B149/L$5)-INT(($B149/L$5)))*(INDEX('D Fleet'!$K$5:$K$36,INT(($B149/L$5))+2)-INDEX('D Fleet'!$K$5:$K$36,INT(($B149/L$5))+1)),0)</f>
        <v/>
      </c>
      <c r="M149" s="261">
        <f>IFERROR(INDEX('D Fleet'!$F$5:$F$63,MATCH(M$3-$B149,'D Fleet'!$B$5:$B$63,0)),0)*IFERROR(INDEX('D Fleet'!$K$5:$K$36,INT(($B149/M$5))+1)+(($B149/M$5)-INT(($B149/M$5)))*(INDEX('D Fleet'!$K$5:$K$36,INT(($B149/M$5))+2)-INDEX('D Fleet'!$K$5:$K$36,INT(($B149/M$5))+1)),0)</f>
        <v/>
      </c>
      <c r="N149" s="261">
        <f>IFERROR(INDEX('D Fleet'!$F$5:$F$63,MATCH(N$3-$B149,'D Fleet'!$B$5:$B$63,0)),0)*IFERROR(INDEX('D Fleet'!$K$5:$K$36,INT(($B149/N$5))+1)+(($B149/N$5)-INT(($B149/N$5)))*(INDEX('D Fleet'!$K$5:$K$36,INT(($B149/N$5))+2)-INDEX('D Fleet'!$K$5:$K$36,INT(($B149/N$5))+1)),0)</f>
        <v/>
      </c>
      <c r="P149" s="261">
        <f>E149*$D149*'E1 Fleet'!$D$100</f>
        <v/>
      </c>
      <c r="Q149" s="261">
        <f>F149*$D149*'E1 Fleet'!$D$100</f>
        <v/>
      </c>
      <c r="R149" s="261">
        <f>G149*$D149*'E1 Fleet'!$D$100</f>
        <v/>
      </c>
      <c r="S149" s="261">
        <f>H149*$D149*'E1 Fleet'!$D$100</f>
        <v/>
      </c>
      <c r="T149" s="261">
        <f>I149*$D149*'E1 Fleet'!$D$100</f>
        <v/>
      </c>
      <c r="U149" s="261">
        <f>J149*$D149*'E1 Fleet'!$D$100</f>
        <v/>
      </c>
      <c r="V149" s="261">
        <f>K149*$D149*'E1 Fleet'!$D$100</f>
        <v/>
      </c>
      <c r="W149" s="261">
        <f>L149*$D149*'E1 Fleet'!$D$100</f>
        <v/>
      </c>
      <c r="X149" s="261">
        <f>M149*$D149*'E1 Fleet'!$D$100</f>
        <v/>
      </c>
      <c r="Y149" s="261">
        <f>N149*$D149*'E1 Fleet'!$D$100</f>
        <v/>
      </c>
    </row>
    <row r="150">
      <c r="A150" t="inlineStr">
        <is>
          <t>Van</t>
        </is>
      </c>
      <c r="B150" s="331" t="n">
        <v>5</v>
      </c>
      <c r="C150" s="331" t="n">
        <v>2</v>
      </c>
      <c r="D150" s="266">
        <f>IF($B150=0,'E1 Fleet'!$D$93,1)*EXP(-'E1 Fleet'!$D$94*MAX($B150-6,0))</f>
        <v/>
      </c>
      <c r="E150" s="261">
        <f>IFERROR(INDEX('D Fleet'!$F$5:$F$63,MATCH(E$3-$B150,'D Fleet'!$B$5:$B$63,0)),0)*IFERROR(INDEX('D Fleet'!$K$5:$K$36,INT(($B150/E$5))+1)+(($B150/E$5)-INT(($B150/E$5)))*(INDEX('D Fleet'!$K$5:$K$36,INT(($B150/E$5))+2)-INDEX('D Fleet'!$K$5:$K$36,INT(($B150/E$5))+1)),0)</f>
        <v/>
      </c>
      <c r="F150" s="261">
        <f>IFERROR(INDEX('D Fleet'!$F$5:$F$63,MATCH(F$3-$B150,'D Fleet'!$B$5:$B$63,0)),0)*IFERROR(INDEX('D Fleet'!$K$5:$K$36,INT(($B150/F$5))+1)+(($B150/F$5)-INT(($B150/F$5)))*(INDEX('D Fleet'!$K$5:$K$36,INT(($B150/F$5))+2)-INDEX('D Fleet'!$K$5:$K$36,INT(($B150/F$5))+1)),0)</f>
        <v/>
      </c>
      <c r="G150" s="261">
        <f>IFERROR(INDEX('D Fleet'!$F$5:$F$63,MATCH(G$3-$B150,'D Fleet'!$B$5:$B$63,0)),0)*IFERROR(INDEX('D Fleet'!$K$5:$K$36,INT(($B150/G$5))+1)+(($B150/G$5)-INT(($B150/G$5)))*(INDEX('D Fleet'!$K$5:$K$36,INT(($B150/G$5))+2)-INDEX('D Fleet'!$K$5:$K$36,INT(($B150/G$5))+1)),0)</f>
        <v/>
      </c>
      <c r="H150" s="261">
        <f>IFERROR(INDEX('D Fleet'!$F$5:$F$63,MATCH(H$3-$B150,'D Fleet'!$B$5:$B$63,0)),0)*IFERROR(INDEX('D Fleet'!$K$5:$K$36,INT(($B150/H$5))+1)+(($B150/H$5)-INT(($B150/H$5)))*(INDEX('D Fleet'!$K$5:$K$36,INT(($B150/H$5))+2)-INDEX('D Fleet'!$K$5:$K$36,INT(($B150/H$5))+1)),0)</f>
        <v/>
      </c>
      <c r="I150" s="261">
        <f>IFERROR(INDEX('D Fleet'!$F$5:$F$63,MATCH(I$3-$B150,'D Fleet'!$B$5:$B$63,0)),0)*IFERROR(INDEX('D Fleet'!$K$5:$K$36,INT(($B150/I$5))+1)+(($B150/I$5)-INT(($B150/I$5)))*(INDEX('D Fleet'!$K$5:$K$36,INT(($B150/I$5))+2)-INDEX('D Fleet'!$K$5:$K$36,INT(($B150/I$5))+1)),0)</f>
        <v/>
      </c>
      <c r="J150" s="261">
        <f>IFERROR(INDEX('D Fleet'!$F$5:$F$63,MATCH(J$3-$B150,'D Fleet'!$B$5:$B$63,0)),0)*IFERROR(INDEX('D Fleet'!$K$5:$K$36,INT(($B150/J$5))+1)+(($B150/J$5)-INT(($B150/J$5)))*(INDEX('D Fleet'!$K$5:$K$36,INT(($B150/J$5))+2)-INDEX('D Fleet'!$K$5:$K$36,INT(($B150/J$5))+1)),0)</f>
        <v/>
      </c>
      <c r="K150" s="261">
        <f>IFERROR(INDEX('D Fleet'!$F$5:$F$63,MATCH(K$3-$B150,'D Fleet'!$B$5:$B$63,0)),0)*IFERROR(INDEX('D Fleet'!$K$5:$K$36,INT(($B150/K$5))+1)+(($B150/K$5)-INT(($B150/K$5)))*(INDEX('D Fleet'!$K$5:$K$36,INT(($B150/K$5))+2)-INDEX('D Fleet'!$K$5:$K$36,INT(($B150/K$5))+1)),0)</f>
        <v/>
      </c>
      <c r="L150" s="261">
        <f>IFERROR(INDEX('D Fleet'!$F$5:$F$63,MATCH(L$3-$B150,'D Fleet'!$B$5:$B$63,0)),0)*IFERROR(INDEX('D Fleet'!$K$5:$K$36,INT(($B150/L$5))+1)+(($B150/L$5)-INT(($B150/L$5)))*(INDEX('D Fleet'!$K$5:$K$36,INT(($B150/L$5))+2)-INDEX('D Fleet'!$K$5:$K$36,INT(($B150/L$5))+1)),0)</f>
        <v/>
      </c>
      <c r="M150" s="261">
        <f>IFERROR(INDEX('D Fleet'!$F$5:$F$63,MATCH(M$3-$B150,'D Fleet'!$B$5:$B$63,0)),0)*IFERROR(INDEX('D Fleet'!$K$5:$K$36,INT(($B150/M$5))+1)+(($B150/M$5)-INT(($B150/M$5)))*(INDEX('D Fleet'!$K$5:$K$36,INT(($B150/M$5))+2)-INDEX('D Fleet'!$K$5:$K$36,INT(($B150/M$5))+1)),0)</f>
        <v/>
      </c>
      <c r="N150" s="261">
        <f>IFERROR(INDEX('D Fleet'!$F$5:$F$63,MATCH(N$3-$B150,'D Fleet'!$B$5:$B$63,0)),0)*IFERROR(INDEX('D Fleet'!$K$5:$K$36,INT(($B150/N$5))+1)+(($B150/N$5)-INT(($B150/N$5)))*(INDEX('D Fleet'!$K$5:$K$36,INT(($B150/N$5))+2)-INDEX('D Fleet'!$K$5:$K$36,INT(($B150/N$5))+1)),0)</f>
        <v/>
      </c>
      <c r="P150" s="261">
        <f>E150*$D150*'E1 Fleet'!$D$100</f>
        <v/>
      </c>
      <c r="Q150" s="261">
        <f>F150*$D150*'E1 Fleet'!$D$100</f>
        <v/>
      </c>
      <c r="R150" s="261">
        <f>G150*$D150*'E1 Fleet'!$D$100</f>
        <v/>
      </c>
      <c r="S150" s="261">
        <f>H150*$D150*'E1 Fleet'!$D$100</f>
        <v/>
      </c>
      <c r="T150" s="261">
        <f>I150*$D150*'E1 Fleet'!$D$100</f>
        <v/>
      </c>
      <c r="U150" s="261">
        <f>J150*$D150*'E1 Fleet'!$D$100</f>
        <v/>
      </c>
      <c r="V150" s="261">
        <f>K150*$D150*'E1 Fleet'!$D$100</f>
        <v/>
      </c>
      <c r="W150" s="261">
        <f>L150*$D150*'E1 Fleet'!$D$100</f>
        <v/>
      </c>
      <c r="X150" s="261">
        <f>M150*$D150*'E1 Fleet'!$D$100</f>
        <v/>
      </c>
      <c r="Y150" s="261">
        <f>N150*$D150*'E1 Fleet'!$D$100</f>
        <v/>
      </c>
    </row>
    <row r="151">
      <c r="A151" t="inlineStr">
        <is>
          <t>Van</t>
        </is>
      </c>
      <c r="B151" s="331" t="n">
        <v>6</v>
      </c>
      <c r="C151" s="331" t="n">
        <v>2</v>
      </c>
      <c r="D151" s="266">
        <f>IF($B151=0,'E1 Fleet'!$D$93,1)*EXP(-'E1 Fleet'!$D$94*MAX($B151-6,0))</f>
        <v/>
      </c>
      <c r="E151" s="261">
        <f>IFERROR(INDEX('D Fleet'!$F$5:$F$63,MATCH(E$3-$B151,'D Fleet'!$B$5:$B$63,0)),0)*IFERROR(INDEX('D Fleet'!$K$5:$K$36,INT(($B151/E$5))+1)+(($B151/E$5)-INT(($B151/E$5)))*(INDEX('D Fleet'!$K$5:$K$36,INT(($B151/E$5))+2)-INDEX('D Fleet'!$K$5:$K$36,INT(($B151/E$5))+1)),0)</f>
        <v/>
      </c>
      <c r="F151" s="261">
        <f>IFERROR(INDEX('D Fleet'!$F$5:$F$63,MATCH(F$3-$B151,'D Fleet'!$B$5:$B$63,0)),0)*IFERROR(INDEX('D Fleet'!$K$5:$K$36,INT(($B151/F$5))+1)+(($B151/F$5)-INT(($B151/F$5)))*(INDEX('D Fleet'!$K$5:$K$36,INT(($B151/F$5))+2)-INDEX('D Fleet'!$K$5:$K$36,INT(($B151/F$5))+1)),0)</f>
        <v/>
      </c>
      <c r="G151" s="261">
        <f>IFERROR(INDEX('D Fleet'!$F$5:$F$63,MATCH(G$3-$B151,'D Fleet'!$B$5:$B$63,0)),0)*IFERROR(INDEX('D Fleet'!$K$5:$K$36,INT(($B151/G$5))+1)+(($B151/G$5)-INT(($B151/G$5)))*(INDEX('D Fleet'!$K$5:$K$36,INT(($B151/G$5))+2)-INDEX('D Fleet'!$K$5:$K$36,INT(($B151/G$5))+1)),0)</f>
        <v/>
      </c>
      <c r="H151" s="261">
        <f>IFERROR(INDEX('D Fleet'!$F$5:$F$63,MATCH(H$3-$B151,'D Fleet'!$B$5:$B$63,0)),0)*IFERROR(INDEX('D Fleet'!$K$5:$K$36,INT(($B151/H$5))+1)+(($B151/H$5)-INT(($B151/H$5)))*(INDEX('D Fleet'!$K$5:$K$36,INT(($B151/H$5))+2)-INDEX('D Fleet'!$K$5:$K$36,INT(($B151/H$5))+1)),0)</f>
        <v/>
      </c>
      <c r="I151" s="261">
        <f>IFERROR(INDEX('D Fleet'!$F$5:$F$63,MATCH(I$3-$B151,'D Fleet'!$B$5:$B$63,0)),0)*IFERROR(INDEX('D Fleet'!$K$5:$K$36,INT(($B151/I$5))+1)+(($B151/I$5)-INT(($B151/I$5)))*(INDEX('D Fleet'!$K$5:$K$36,INT(($B151/I$5))+2)-INDEX('D Fleet'!$K$5:$K$36,INT(($B151/I$5))+1)),0)</f>
        <v/>
      </c>
      <c r="J151" s="261">
        <f>IFERROR(INDEX('D Fleet'!$F$5:$F$63,MATCH(J$3-$B151,'D Fleet'!$B$5:$B$63,0)),0)*IFERROR(INDEX('D Fleet'!$K$5:$K$36,INT(($B151/J$5))+1)+(($B151/J$5)-INT(($B151/J$5)))*(INDEX('D Fleet'!$K$5:$K$36,INT(($B151/J$5))+2)-INDEX('D Fleet'!$K$5:$K$36,INT(($B151/J$5))+1)),0)</f>
        <v/>
      </c>
      <c r="K151" s="261">
        <f>IFERROR(INDEX('D Fleet'!$F$5:$F$63,MATCH(K$3-$B151,'D Fleet'!$B$5:$B$63,0)),0)*IFERROR(INDEX('D Fleet'!$K$5:$K$36,INT(($B151/K$5))+1)+(($B151/K$5)-INT(($B151/K$5)))*(INDEX('D Fleet'!$K$5:$K$36,INT(($B151/K$5))+2)-INDEX('D Fleet'!$K$5:$K$36,INT(($B151/K$5))+1)),0)</f>
        <v/>
      </c>
      <c r="L151" s="261">
        <f>IFERROR(INDEX('D Fleet'!$F$5:$F$63,MATCH(L$3-$B151,'D Fleet'!$B$5:$B$63,0)),0)*IFERROR(INDEX('D Fleet'!$K$5:$K$36,INT(($B151/L$5))+1)+(($B151/L$5)-INT(($B151/L$5)))*(INDEX('D Fleet'!$K$5:$K$36,INT(($B151/L$5))+2)-INDEX('D Fleet'!$K$5:$K$36,INT(($B151/L$5))+1)),0)</f>
        <v/>
      </c>
      <c r="M151" s="261">
        <f>IFERROR(INDEX('D Fleet'!$F$5:$F$63,MATCH(M$3-$B151,'D Fleet'!$B$5:$B$63,0)),0)*IFERROR(INDEX('D Fleet'!$K$5:$K$36,INT(($B151/M$5))+1)+(($B151/M$5)-INT(($B151/M$5)))*(INDEX('D Fleet'!$K$5:$K$36,INT(($B151/M$5))+2)-INDEX('D Fleet'!$K$5:$K$36,INT(($B151/M$5))+1)),0)</f>
        <v/>
      </c>
      <c r="N151" s="261">
        <f>IFERROR(INDEX('D Fleet'!$F$5:$F$63,MATCH(N$3-$B151,'D Fleet'!$B$5:$B$63,0)),0)*IFERROR(INDEX('D Fleet'!$K$5:$K$36,INT(($B151/N$5))+1)+(($B151/N$5)-INT(($B151/N$5)))*(INDEX('D Fleet'!$K$5:$K$36,INT(($B151/N$5))+2)-INDEX('D Fleet'!$K$5:$K$36,INT(($B151/N$5))+1)),0)</f>
        <v/>
      </c>
      <c r="P151" s="261">
        <f>E151*$D151*'E1 Fleet'!$D$100</f>
        <v/>
      </c>
      <c r="Q151" s="261">
        <f>F151*$D151*'E1 Fleet'!$D$100</f>
        <v/>
      </c>
      <c r="R151" s="261">
        <f>G151*$D151*'E1 Fleet'!$D$100</f>
        <v/>
      </c>
      <c r="S151" s="261">
        <f>H151*$D151*'E1 Fleet'!$D$100</f>
        <v/>
      </c>
      <c r="T151" s="261">
        <f>I151*$D151*'E1 Fleet'!$D$100</f>
        <v/>
      </c>
      <c r="U151" s="261">
        <f>J151*$D151*'E1 Fleet'!$D$100</f>
        <v/>
      </c>
      <c r="V151" s="261">
        <f>K151*$D151*'E1 Fleet'!$D$100</f>
        <v/>
      </c>
      <c r="W151" s="261">
        <f>L151*$D151*'E1 Fleet'!$D$100</f>
        <v/>
      </c>
      <c r="X151" s="261">
        <f>M151*$D151*'E1 Fleet'!$D$100</f>
        <v/>
      </c>
      <c r="Y151" s="261">
        <f>N151*$D151*'E1 Fleet'!$D$100</f>
        <v/>
      </c>
    </row>
    <row r="152">
      <c r="A152" t="inlineStr">
        <is>
          <t>Van</t>
        </is>
      </c>
      <c r="B152" s="331" t="n">
        <v>7</v>
      </c>
      <c r="C152" s="331" t="n">
        <v>3</v>
      </c>
      <c r="D152" s="266">
        <f>IF($B152=0,'E1 Fleet'!$D$93,1)*EXP(-'E1 Fleet'!$D$94*MAX($B152-6,0))</f>
        <v/>
      </c>
      <c r="E152" s="261">
        <f>IFERROR(INDEX('D Fleet'!$F$5:$F$63,MATCH(E$3-$B152,'D Fleet'!$B$5:$B$63,0)),0)*IFERROR(INDEX('D Fleet'!$K$5:$K$36,INT(($B152/E$5))+1)+(($B152/E$5)-INT(($B152/E$5)))*(INDEX('D Fleet'!$K$5:$K$36,INT(($B152/E$5))+2)-INDEX('D Fleet'!$K$5:$K$36,INT(($B152/E$5))+1)),0)</f>
        <v/>
      </c>
      <c r="F152" s="261">
        <f>IFERROR(INDEX('D Fleet'!$F$5:$F$63,MATCH(F$3-$B152,'D Fleet'!$B$5:$B$63,0)),0)*IFERROR(INDEX('D Fleet'!$K$5:$K$36,INT(($B152/F$5))+1)+(($B152/F$5)-INT(($B152/F$5)))*(INDEX('D Fleet'!$K$5:$K$36,INT(($B152/F$5))+2)-INDEX('D Fleet'!$K$5:$K$36,INT(($B152/F$5))+1)),0)</f>
        <v/>
      </c>
      <c r="G152" s="261">
        <f>IFERROR(INDEX('D Fleet'!$F$5:$F$63,MATCH(G$3-$B152,'D Fleet'!$B$5:$B$63,0)),0)*IFERROR(INDEX('D Fleet'!$K$5:$K$36,INT(($B152/G$5))+1)+(($B152/G$5)-INT(($B152/G$5)))*(INDEX('D Fleet'!$K$5:$K$36,INT(($B152/G$5))+2)-INDEX('D Fleet'!$K$5:$K$36,INT(($B152/G$5))+1)),0)</f>
        <v/>
      </c>
      <c r="H152" s="261">
        <f>IFERROR(INDEX('D Fleet'!$F$5:$F$63,MATCH(H$3-$B152,'D Fleet'!$B$5:$B$63,0)),0)*IFERROR(INDEX('D Fleet'!$K$5:$K$36,INT(($B152/H$5))+1)+(($B152/H$5)-INT(($B152/H$5)))*(INDEX('D Fleet'!$K$5:$K$36,INT(($B152/H$5))+2)-INDEX('D Fleet'!$K$5:$K$36,INT(($B152/H$5))+1)),0)</f>
        <v/>
      </c>
      <c r="I152" s="261">
        <f>IFERROR(INDEX('D Fleet'!$F$5:$F$63,MATCH(I$3-$B152,'D Fleet'!$B$5:$B$63,0)),0)*IFERROR(INDEX('D Fleet'!$K$5:$K$36,INT(($B152/I$5))+1)+(($B152/I$5)-INT(($B152/I$5)))*(INDEX('D Fleet'!$K$5:$K$36,INT(($B152/I$5))+2)-INDEX('D Fleet'!$K$5:$K$36,INT(($B152/I$5))+1)),0)</f>
        <v/>
      </c>
      <c r="J152" s="261">
        <f>IFERROR(INDEX('D Fleet'!$F$5:$F$63,MATCH(J$3-$B152,'D Fleet'!$B$5:$B$63,0)),0)*IFERROR(INDEX('D Fleet'!$K$5:$K$36,INT(($B152/J$5))+1)+(($B152/J$5)-INT(($B152/J$5)))*(INDEX('D Fleet'!$K$5:$K$36,INT(($B152/J$5))+2)-INDEX('D Fleet'!$K$5:$K$36,INT(($B152/J$5))+1)),0)</f>
        <v/>
      </c>
      <c r="K152" s="261">
        <f>IFERROR(INDEX('D Fleet'!$F$5:$F$63,MATCH(K$3-$B152,'D Fleet'!$B$5:$B$63,0)),0)*IFERROR(INDEX('D Fleet'!$K$5:$K$36,INT(($B152/K$5))+1)+(($B152/K$5)-INT(($B152/K$5)))*(INDEX('D Fleet'!$K$5:$K$36,INT(($B152/K$5))+2)-INDEX('D Fleet'!$K$5:$K$36,INT(($B152/K$5))+1)),0)</f>
        <v/>
      </c>
      <c r="L152" s="261">
        <f>IFERROR(INDEX('D Fleet'!$F$5:$F$63,MATCH(L$3-$B152,'D Fleet'!$B$5:$B$63,0)),0)*IFERROR(INDEX('D Fleet'!$K$5:$K$36,INT(($B152/L$5))+1)+(($B152/L$5)-INT(($B152/L$5)))*(INDEX('D Fleet'!$K$5:$K$36,INT(($B152/L$5))+2)-INDEX('D Fleet'!$K$5:$K$36,INT(($B152/L$5))+1)),0)</f>
        <v/>
      </c>
      <c r="M152" s="261">
        <f>IFERROR(INDEX('D Fleet'!$F$5:$F$63,MATCH(M$3-$B152,'D Fleet'!$B$5:$B$63,0)),0)*IFERROR(INDEX('D Fleet'!$K$5:$K$36,INT(($B152/M$5))+1)+(($B152/M$5)-INT(($B152/M$5)))*(INDEX('D Fleet'!$K$5:$K$36,INT(($B152/M$5))+2)-INDEX('D Fleet'!$K$5:$K$36,INT(($B152/M$5))+1)),0)</f>
        <v/>
      </c>
      <c r="N152" s="261">
        <f>IFERROR(INDEX('D Fleet'!$F$5:$F$63,MATCH(N$3-$B152,'D Fleet'!$B$5:$B$63,0)),0)*IFERROR(INDEX('D Fleet'!$K$5:$K$36,INT(($B152/N$5))+1)+(($B152/N$5)-INT(($B152/N$5)))*(INDEX('D Fleet'!$K$5:$K$36,INT(($B152/N$5))+2)-INDEX('D Fleet'!$K$5:$K$36,INT(($B152/N$5))+1)),0)</f>
        <v/>
      </c>
      <c r="P152" s="261">
        <f>E152*$D152*'E1 Fleet'!$D$100</f>
        <v/>
      </c>
      <c r="Q152" s="261">
        <f>F152*$D152*'E1 Fleet'!$D$100</f>
        <v/>
      </c>
      <c r="R152" s="261">
        <f>G152*$D152*'E1 Fleet'!$D$100</f>
        <v/>
      </c>
      <c r="S152" s="261">
        <f>H152*$D152*'E1 Fleet'!$D$100</f>
        <v/>
      </c>
      <c r="T152" s="261">
        <f>I152*$D152*'E1 Fleet'!$D$100</f>
        <v/>
      </c>
      <c r="U152" s="261">
        <f>J152*$D152*'E1 Fleet'!$D$100</f>
        <v/>
      </c>
      <c r="V152" s="261">
        <f>K152*$D152*'E1 Fleet'!$D$100</f>
        <v/>
      </c>
      <c r="W152" s="261">
        <f>L152*$D152*'E1 Fleet'!$D$100</f>
        <v/>
      </c>
      <c r="X152" s="261">
        <f>M152*$D152*'E1 Fleet'!$D$100</f>
        <v/>
      </c>
      <c r="Y152" s="261">
        <f>N152*$D152*'E1 Fleet'!$D$100</f>
        <v/>
      </c>
    </row>
    <row r="153">
      <c r="A153" t="inlineStr">
        <is>
          <t>Van</t>
        </is>
      </c>
      <c r="B153" s="331" t="n">
        <v>8</v>
      </c>
      <c r="C153" s="331" t="n">
        <v>3</v>
      </c>
      <c r="D153" s="266">
        <f>IF($B153=0,'E1 Fleet'!$D$93,1)*EXP(-'E1 Fleet'!$D$94*MAX($B153-6,0))</f>
        <v/>
      </c>
      <c r="E153" s="261">
        <f>IFERROR(INDEX('D Fleet'!$F$5:$F$63,MATCH(E$3-$B153,'D Fleet'!$B$5:$B$63,0)),0)*IFERROR(INDEX('D Fleet'!$K$5:$K$36,INT(($B153/E$5))+1)+(($B153/E$5)-INT(($B153/E$5)))*(INDEX('D Fleet'!$K$5:$K$36,INT(($B153/E$5))+2)-INDEX('D Fleet'!$K$5:$K$36,INT(($B153/E$5))+1)),0)</f>
        <v/>
      </c>
      <c r="F153" s="261">
        <f>IFERROR(INDEX('D Fleet'!$F$5:$F$63,MATCH(F$3-$B153,'D Fleet'!$B$5:$B$63,0)),0)*IFERROR(INDEX('D Fleet'!$K$5:$K$36,INT(($B153/F$5))+1)+(($B153/F$5)-INT(($B153/F$5)))*(INDEX('D Fleet'!$K$5:$K$36,INT(($B153/F$5))+2)-INDEX('D Fleet'!$K$5:$K$36,INT(($B153/F$5))+1)),0)</f>
        <v/>
      </c>
      <c r="G153" s="261">
        <f>IFERROR(INDEX('D Fleet'!$F$5:$F$63,MATCH(G$3-$B153,'D Fleet'!$B$5:$B$63,0)),0)*IFERROR(INDEX('D Fleet'!$K$5:$K$36,INT(($B153/G$5))+1)+(($B153/G$5)-INT(($B153/G$5)))*(INDEX('D Fleet'!$K$5:$K$36,INT(($B153/G$5))+2)-INDEX('D Fleet'!$K$5:$K$36,INT(($B153/G$5))+1)),0)</f>
        <v/>
      </c>
      <c r="H153" s="261">
        <f>IFERROR(INDEX('D Fleet'!$F$5:$F$63,MATCH(H$3-$B153,'D Fleet'!$B$5:$B$63,0)),0)*IFERROR(INDEX('D Fleet'!$K$5:$K$36,INT(($B153/H$5))+1)+(($B153/H$5)-INT(($B153/H$5)))*(INDEX('D Fleet'!$K$5:$K$36,INT(($B153/H$5))+2)-INDEX('D Fleet'!$K$5:$K$36,INT(($B153/H$5))+1)),0)</f>
        <v/>
      </c>
      <c r="I153" s="261">
        <f>IFERROR(INDEX('D Fleet'!$F$5:$F$63,MATCH(I$3-$B153,'D Fleet'!$B$5:$B$63,0)),0)*IFERROR(INDEX('D Fleet'!$K$5:$K$36,INT(($B153/I$5))+1)+(($B153/I$5)-INT(($B153/I$5)))*(INDEX('D Fleet'!$K$5:$K$36,INT(($B153/I$5))+2)-INDEX('D Fleet'!$K$5:$K$36,INT(($B153/I$5))+1)),0)</f>
        <v/>
      </c>
      <c r="J153" s="261">
        <f>IFERROR(INDEX('D Fleet'!$F$5:$F$63,MATCH(J$3-$B153,'D Fleet'!$B$5:$B$63,0)),0)*IFERROR(INDEX('D Fleet'!$K$5:$K$36,INT(($B153/J$5))+1)+(($B153/J$5)-INT(($B153/J$5)))*(INDEX('D Fleet'!$K$5:$K$36,INT(($B153/J$5))+2)-INDEX('D Fleet'!$K$5:$K$36,INT(($B153/J$5))+1)),0)</f>
        <v/>
      </c>
      <c r="K153" s="261">
        <f>IFERROR(INDEX('D Fleet'!$F$5:$F$63,MATCH(K$3-$B153,'D Fleet'!$B$5:$B$63,0)),0)*IFERROR(INDEX('D Fleet'!$K$5:$K$36,INT(($B153/K$5))+1)+(($B153/K$5)-INT(($B153/K$5)))*(INDEX('D Fleet'!$K$5:$K$36,INT(($B153/K$5))+2)-INDEX('D Fleet'!$K$5:$K$36,INT(($B153/K$5))+1)),0)</f>
        <v/>
      </c>
      <c r="L153" s="261">
        <f>IFERROR(INDEX('D Fleet'!$F$5:$F$63,MATCH(L$3-$B153,'D Fleet'!$B$5:$B$63,0)),0)*IFERROR(INDEX('D Fleet'!$K$5:$K$36,INT(($B153/L$5))+1)+(($B153/L$5)-INT(($B153/L$5)))*(INDEX('D Fleet'!$K$5:$K$36,INT(($B153/L$5))+2)-INDEX('D Fleet'!$K$5:$K$36,INT(($B153/L$5))+1)),0)</f>
        <v/>
      </c>
      <c r="M153" s="261">
        <f>IFERROR(INDEX('D Fleet'!$F$5:$F$63,MATCH(M$3-$B153,'D Fleet'!$B$5:$B$63,0)),0)*IFERROR(INDEX('D Fleet'!$K$5:$K$36,INT(($B153/M$5))+1)+(($B153/M$5)-INT(($B153/M$5)))*(INDEX('D Fleet'!$K$5:$K$36,INT(($B153/M$5))+2)-INDEX('D Fleet'!$K$5:$K$36,INT(($B153/M$5))+1)),0)</f>
        <v/>
      </c>
      <c r="N153" s="261">
        <f>IFERROR(INDEX('D Fleet'!$F$5:$F$63,MATCH(N$3-$B153,'D Fleet'!$B$5:$B$63,0)),0)*IFERROR(INDEX('D Fleet'!$K$5:$K$36,INT(($B153/N$5))+1)+(($B153/N$5)-INT(($B153/N$5)))*(INDEX('D Fleet'!$K$5:$K$36,INT(($B153/N$5))+2)-INDEX('D Fleet'!$K$5:$K$36,INT(($B153/N$5))+1)),0)</f>
        <v/>
      </c>
      <c r="P153" s="261">
        <f>E153*$D153*'E1 Fleet'!$D$100</f>
        <v/>
      </c>
      <c r="Q153" s="261">
        <f>F153*$D153*'E1 Fleet'!$D$100</f>
        <v/>
      </c>
      <c r="R153" s="261">
        <f>G153*$D153*'E1 Fleet'!$D$100</f>
        <v/>
      </c>
      <c r="S153" s="261">
        <f>H153*$D153*'E1 Fleet'!$D$100</f>
        <v/>
      </c>
      <c r="T153" s="261">
        <f>I153*$D153*'E1 Fleet'!$D$100</f>
        <v/>
      </c>
      <c r="U153" s="261">
        <f>J153*$D153*'E1 Fleet'!$D$100</f>
        <v/>
      </c>
      <c r="V153" s="261">
        <f>K153*$D153*'E1 Fleet'!$D$100</f>
        <v/>
      </c>
      <c r="W153" s="261">
        <f>L153*$D153*'E1 Fleet'!$D$100</f>
        <v/>
      </c>
      <c r="X153" s="261">
        <f>M153*$D153*'E1 Fleet'!$D$100</f>
        <v/>
      </c>
      <c r="Y153" s="261">
        <f>N153*$D153*'E1 Fleet'!$D$100</f>
        <v/>
      </c>
    </row>
    <row r="154">
      <c r="A154" t="inlineStr">
        <is>
          <t>Van</t>
        </is>
      </c>
      <c r="B154" s="331" t="n">
        <v>9</v>
      </c>
      <c r="C154" s="331" t="n">
        <v>3</v>
      </c>
      <c r="D154" s="266">
        <f>IF($B154=0,'E1 Fleet'!$D$93,1)*EXP(-'E1 Fleet'!$D$94*MAX($B154-6,0))</f>
        <v/>
      </c>
      <c r="E154" s="261">
        <f>IFERROR(INDEX('D Fleet'!$F$5:$F$63,MATCH(E$3-$B154,'D Fleet'!$B$5:$B$63,0)),0)*IFERROR(INDEX('D Fleet'!$K$5:$K$36,INT(($B154/E$5))+1)+(($B154/E$5)-INT(($B154/E$5)))*(INDEX('D Fleet'!$K$5:$K$36,INT(($B154/E$5))+2)-INDEX('D Fleet'!$K$5:$K$36,INT(($B154/E$5))+1)),0)</f>
        <v/>
      </c>
      <c r="F154" s="261">
        <f>IFERROR(INDEX('D Fleet'!$F$5:$F$63,MATCH(F$3-$B154,'D Fleet'!$B$5:$B$63,0)),0)*IFERROR(INDEX('D Fleet'!$K$5:$K$36,INT(($B154/F$5))+1)+(($B154/F$5)-INT(($B154/F$5)))*(INDEX('D Fleet'!$K$5:$K$36,INT(($B154/F$5))+2)-INDEX('D Fleet'!$K$5:$K$36,INT(($B154/F$5))+1)),0)</f>
        <v/>
      </c>
      <c r="G154" s="261">
        <f>IFERROR(INDEX('D Fleet'!$F$5:$F$63,MATCH(G$3-$B154,'D Fleet'!$B$5:$B$63,0)),0)*IFERROR(INDEX('D Fleet'!$K$5:$K$36,INT(($B154/G$5))+1)+(($B154/G$5)-INT(($B154/G$5)))*(INDEX('D Fleet'!$K$5:$K$36,INT(($B154/G$5))+2)-INDEX('D Fleet'!$K$5:$K$36,INT(($B154/G$5))+1)),0)</f>
        <v/>
      </c>
      <c r="H154" s="261">
        <f>IFERROR(INDEX('D Fleet'!$F$5:$F$63,MATCH(H$3-$B154,'D Fleet'!$B$5:$B$63,0)),0)*IFERROR(INDEX('D Fleet'!$K$5:$K$36,INT(($B154/H$5))+1)+(($B154/H$5)-INT(($B154/H$5)))*(INDEX('D Fleet'!$K$5:$K$36,INT(($B154/H$5))+2)-INDEX('D Fleet'!$K$5:$K$36,INT(($B154/H$5))+1)),0)</f>
        <v/>
      </c>
      <c r="I154" s="261">
        <f>IFERROR(INDEX('D Fleet'!$F$5:$F$63,MATCH(I$3-$B154,'D Fleet'!$B$5:$B$63,0)),0)*IFERROR(INDEX('D Fleet'!$K$5:$K$36,INT(($B154/I$5))+1)+(($B154/I$5)-INT(($B154/I$5)))*(INDEX('D Fleet'!$K$5:$K$36,INT(($B154/I$5))+2)-INDEX('D Fleet'!$K$5:$K$36,INT(($B154/I$5))+1)),0)</f>
        <v/>
      </c>
      <c r="J154" s="261">
        <f>IFERROR(INDEX('D Fleet'!$F$5:$F$63,MATCH(J$3-$B154,'D Fleet'!$B$5:$B$63,0)),0)*IFERROR(INDEX('D Fleet'!$K$5:$K$36,INT(($B154/J$5))+1)+(($B154/J$5)-INT(($B154/J$5)))*(INDEX('D Fleet'!$K$5:$K$36,INT(($B154/J$5))+2)-INDEX('D Fleet'!$K$5:$K$36,INT(($B154/J$5))+1)),0)</f>
        <v/>
      </c>
      <c r="K154" s="261">
        <f>IFERROR(INDEX('D Fleet'!$F$5:$F$63,MATCH(K$3-$B154,'D Fleet'!$B$5:$B$63,0)),0)*IFERROR(INDEX('D Fleet'!$K$5:$K$36,INT(($B154/K$5))+1)+(($B154/K$5)-INT(($B154/K$5)))*(INDEX('D Fleet'!$K$5:$K$36,INT(($B154/K$5))+2)-INDEX('D Fleet'!$K$5:$K$36,INT(($B154/K$5))+1)),0)</f>
        <v/>
      </c>
      <c r="L154" s="261">
        <f>IFERROR(INDEX('D Fleet'!$F$5:$F$63,MATCH(L$3-$B154,'D Fleet'!$B$5:$B$63,0)),0)*IFERROR(INDEX('D Fleet'!$K$5:$K$36,INT(($B154/L$5))+1)+(($B154/L$5)-INT(($B154/L$5)))*(INDEX('D Fleet'!$K$5:$K$36,INT(($B154/L$5))+2)-INDEX('D Fleet'!$K$5:$K$36,INT(($B154/L$5))+1)),0)</f>
        <v/>
      </c>
      <c r="M154" s="261">
        <f>IFERROR(INDEX('D Fleet'!$F$5:$F$63,MATCH(M$3-$B154,'D Fleet'!$B$5:$B$63,0)),0)*IFERROR(INDEX('D Fleet'!$K$5:$K$36,INT(($B154/M$5))+1)+(($B154/M$5)-INT(($B154/M$5)))*(INDEX('D Fleet'!$K$5:$K$36,INT(($B154/M$5))+2)-INDEX('D Fleet'!$K$5:$K$36,INT(($B154/M$5))+1)),0)</f>
        <v/>
      </c>
      <c r="N154" s="261">
        <f>IFERROR(INDEX('D Fleet'!$F$5:$F$63,MATCH(N$3-$B154,'D Fleet'!$B$5:$B$63,0)),0)*IFERROR(INDEX('D Fleet'!$K$5:$K$36,INT(($B154/N$5))+1)+(($B154/N$5)-INT(($B154/N$5)))*(INDEX('D Fleet'!$K$5:$K$36,INT(($B154/N$5))+2)-INDEX('D Fleet'!$K$5:$K$36,INT(($B154/N$5))+1)),0)</f>
        <v/>
      </c>
      <c r="P154" s="261">
        <f>E154*$D154*'E1 Fleet'!$D$100</f>
        <v/>
      </c>
      <c r="Q154" s="261">
        <f>F154*$D154*'E1 Fleet'!$D$100</f>
        <v/>
      </c>
      <c r="R154" s="261">
        <f>G154*$D154*'E1 Fleet'!$D$100</f>
        <v/>
      </c>
      <c r="S154" s="261">
        <f>H154*$D154*'E1 Fleet'!$D$100</f>
        <v/>
      </c>
      <c r="T154" s="261">
        <f>I154*$D154*'E1 Fleet'!$D$100</f>
        <v/>
      </c>
      <c r="U154" s="261">
        <f>J154*$D154*'E1 Fleet'!$D$100</f>
        <v/>
      </c>
      <c r="V154" s="261">
        <f>K154*$D154*'E1 Fleet'!$D$100</f>
        <v/>
      </c>
      <c r="W154" s="261">
        <f>L154*$D154*'E1 Fleet'!$D$100</f>
        <v/>
      </c>
      <c r="X154" s="261">
        <f>M154*$D154*'E1 Fleet'!$D$100</f>
        <v/>
      </c>
      <c r="Y154" s="261">
        <f>N154*$D154*'E1 Fleet'!$D$100</f>
        <v/>
      </c>
    </row>
    <row r="155">
      <c r="A155" t="inlineStr">
        <is>
          <t>Van</t>
        </is>
      </c>
      <c r="B155" s="331" t="n">
        <v>10</v>
      </c>
      <c r="C155" s="331" t="n">
        <v>3</v>
      </c>
      <c r="D155" s="266">
        <f>IF($B155=0,'E1 Fleet'!$D$93,1)*EXP(-'E1 Fleet'!$D$94*MAX($B155-6,0))</f>
        <v/>
      </c>
      <c r="E155" s="261">
        <f>IFERROR(INDEX('D Fleet'!$F$5:$F$63,MATCH(E$3-$B155,'D Fleet'!$B$5:$B$63,0)),0)*IFERROR(INDEX('D Fleet'!$K$5:$K$36,INT(($B155/E$5))+1)+(($B155/E$5)-INT(($B155/E$5)))*(INDEX('D Fleet'!$K$5:$K$36,INT(($B155/E$5))+2)-INDEX('D Fleet'!$K$5:$K$36,INT(($B155/E$5))+1)),0)</f>
        <v/>
      </c>
      <c r="F155" s="261">
        <f>IFERROR(INDEX('D Fleet'!$F$5:$F$63,MATCH(F$3-$B155,'D Fleet'!$B$5:$B$63,0)),0)*IFERROR(INDEX('D Fleet'!$K$5:$K$36,INT(($B155/F$5))+1)+(($B155/F$5)-INT(($B155/F$5)))*(INDEX('D Fleet'!$K$5:$K$36,INT(($B155/F$5))+2)-INDEX('D Fleet'!$K$5:$K$36,INT(($B155/F$5))+1)),0)</f>
        <v/>
      </c>
      <c r="G155" s="261">
        <f>IFERROR(INDEX('D Fleet'!$F$5:$F$63,MATCH(G$3-$B155,'D Fleet'!$B$5:$B$63,0)),0)*IFERROR(INDEX('D Fleet'!$K$5:$K$36,INT(($B155/G$5))+1)+(($B155/G$5)-INT(($B155/G$5)))*(INDEX('D Fleet'!$K$5:$K$36,INT(($B155/G$5))+2)-INDEX('D Fleet'!$K$5:$K$36,INT(($B155/G$5))+1)),0)</f>
        <v/>
      </c>
      <c r="H155" s="261">
        <f>IFERROR(INDEX('D Fleet'!$F$5:$F$63,MATCH(H$3-$B155,'D Fleet'!$B$5:$B$63,0)),0)*IFERROR(INDEX('D Fleet'!$K$5:$K$36,INT(($B155/H$5))+1)+(($B155/H$5)-INT(($B155/H$5)))*(INDEX('D Fleet'!$K$5:$K$36,INT(($B155/H$5))+2)-INDEX('D Fleet'!$K$5:$K$36,INT(($B155/H$5))+1)),0)</f>
        <v/>
      </c>
      <c r="I155" s="261">
        <f>IFERROR(INDEX('D Fleet'!$F$5:$F$63,MATCH(I$3-$B155,'D Fleet'!$B$5:$B$63,0)),0)*IFERROR(INDEX('D Fleet'!$K$5:$K$36,INT(($B155/I$5))+1)+(($B155/I$5)-INT(($B155/I$5)))*(INDEX('D Fleet'!$K$5:$K$36,INT(($B155/I$5))+2)-INDEX('D Fleet'!$K$5:$K$36,INT(($B155/I$5))+1)),0)</f>
        <v/>
      </c>
      <c r="J155" s="261">
        <f>IFERROR(INDEX('D Fleet'!$F$5:$F$63,MATCH(J$3-$B155,'D Fleet'!$B$5:$B$63,0)),0)*IFERROR(INDEX('D Fleet'!$K$5:$K$36,INT(($B155/J$5))+1)+(($B155/J$5)-INT(($B155/J$5)))*(INDEX('D Fleet'!$K$5:$K$36,INT(($B155/J$5))+2)-INDEX('D Fleet'!$K$5:$K$36,INT(($B155/J$5))+1)),0)</f>
        <v/>
      </c>
      <c r="K155" s="261">
        <f>IFERROR(INDEX('D Fleet'!$F$5:$F$63,MATCH(K$3-$B155,'D Fleet'!$B$5:$B$63,0)),0)*IFERROR(INDEX('D Fleet'!$K$5:$K$36,INT(($B155/K$5))+1)+(($B155/K$5)-INT(($B155/K$5)))*(INDEX('D Fleet'!$K$5:$K$36,INT(($B155/K$5))+2)-INDEX('D Fleet'!$K$5:$K$36,INT(($B155/K$5))+1)),0)</f>
        <v/>
      </c>
      <c r="L155" s="261">
        <f>IFERROR(INDEX('D Fleet'!$F$5:$F$63,MATCH(L$3-$B155,'D Fleet'!$B$5:$B$63,0)),0)*IFERROR(INDEX('D Fleet'!$K$5:$K$36,INT(($B155/L$5))+1)+(($B155/L$5)-INT(($B155/L$5)))*(INDEX('D Fleet'!$K$5:$K$36,INT(($B155/L$5))+2)-INDEX('D Fleet'!$K$5:$K$36,INT(($B155/L$5))+1)),0)</f>
        <v/>
      </c>
      <c r="M155" s="261">
        <f>IFERROR(INDEX('D Fleet'!$F$5:$F$63,MATCH(M$3-$B155,'D Fleet'!$B$5:$B$63,0)),0)*IFERROR(INDEX('D Fleet'!$K$5:$K$36,INT(($B155/M$5))+1)+(($B155/M$5)-INT(($B155/M$5)))*(INDEX('D Fleet'!$K$5:$K$36,INT(($B155/M$5))+2)-INDEX('D Fleet'!$K$5:$K$36,INT(($B155/M$5))+1)),0)</f>
        <v/>
      </c>
      <c r="N155" s="261">
        <f>IFERROR(INDEX('D Fleet'!$F$5:$F$63,MATCH(N$3-$B155,'D Fleet'!$B$5:$B$63,0)),0)*IFERROR(INDEX('D Fleet'!$K$5:$K$36,INT(($B155/N$5))+1)+(($B155/N$5)-INT(($B155/N$5)))*(INDEX('D Fleet'!$K$5:$K$36,INT(($B155/N$5))+2)-INDEX('D Fleet'!$K$5:$K$36,INT(($B155/N$5))+1)),0)</f>
        <v/>
      </c>
      <c r="P155" s="261">
        <f>E155*$D155*'E1 Fleet'!$D$100</f>
        <v/>
      </c>
      <c r="Q155" s="261">
        <f>F155*$D155*'E1 Fleet'!$D$100</f>
        <v/>
      </c>
      <c r="R155" s="261">
        <f>G155*$D155*'E1 Fleet'!$D$100</f>
        <v/>
      </c>
      <c r="S155" s="261">
        <f>H155*$D155*'E1 Fleet'!$D$100</f>
        <v/>
      </c>
      <c r="T155" s="261">
        <f>I155*$D155*'E1 Fleet'!$D$100</f>
        <v/>
      </c>
      <c r="U155" s="261">
        <f>J155*$D155*'E1 Fleet'!$D$100</f>
        <v/>
      </c>
      <c r="V155" s="261">
        <f>K155*$D155*'E1 Fleet'!$D$100</f>
        <v/>
      </c>
      <c r="W155" s="261">
        <f>L155*$D155*'E1 Fleet'!$D$100</f>
        <v/>
      </c>
      <c r="X155" s="261">
        <f>M155*$D155*'E1 Fleet'!$D$100</f>
        <v/>
      </c>
      <c r="Y155" s="261">
        <f>N155*$D155*'E1 Fleet'!$D$100</f>
        <v/>
      </c>
    </row>
    <row r="156">
      <c r="A156" t="inlineStr">
        <is>
          <t>Van</t>
        </is>
      </c>
      <c r="B156" s="331" t="n">
        <v>11</v>
      </c>
      <c r="C156" s="331" t="n">
        <v>3</v>
      </c>
      <c r="D156" s="266">
        <f>IF($B156=0,'E1 Fleet'!$D$93,1)*EXP(-'E1 Fleet'!$D$94*MAX($B156-6,0))</f>
        <v/>
      </c>
      <c r="E156" s="261">
        <f>IFERROR(INDEX('D Fleet'!$F$5:$F$63,MATCH(E$3-$B156,'D Fleet'!$B$5:$B$63,0)),0)*IFERROR(INDEX('D Fleet'!$K$5:$K$36,INT(($B156/E$5))+1)+(($B156/E$5)-INT(($B156/E$5)))*(INDEX('D Fleet'!$K$5:$K$36,INT(($B156/E$5))+2)-INDEX('D Fleet'!$K$5:$K$36,INT(($B156/E$5))+1)),0)</f>
        <v/>
      </c>
      <c r="F156" s="261">
        <f>IFERROR(INDEX('D Fleet'!$F$5:$F$63,MATCH(F$3-$B156,'D Fleet'!$B$5:$B$63,0)),0)*IFERROR(INDEX('D Fleet'!$K$5:$K$36,INT(($B156/F$5))+1)+(($B156/F$5)-INT(($B156/F$5)))*(INDEX('D Fleet'!$K$5:$K$36,INT(($B156/F$5))+2)-INDEX('D Fleet'!$K$5:$K$36,INT(($B156/F$5))+1)),0)</f>
        <v/>
      </c>
      <c r="G156" s="261">
        <f>IFERROR(INDEX('D Fleet'!$F$5:$F$63,MATCH(G$3-$B156,'D Fleet'!$B$5:$B$63,0)),0)*IFERROR(INDEX('D Fleet'!$K$5:$K$36,INT(($B156/G$5))+1)+(($B156/G$5)-INT(($B156/G$5)))*(INDEX('D Fleet'!$K$5:$K$36,INT(($B156/G$5))+2)-INDEX('D Fleet'!$K$5:$K$36,INT(($B156/G$5))+1)),0)</f>
        <v/>
      </c>
      <c r="H156" s="261">
        <f>IFERROR(INDEX('D Fleet'!$F$5:$F$63,MATCH(H$3-$B156,'D Fleet'!$B$5:$B$63,0)),0)*IFERROR(INDEX('D Fleet'!$K$5:$K$36,INT(($B156/H$5))+1)+(($B156/H$5)-INT(($B156/H$5)))*(INDEX('D Fleet'!$K$5:$K$36,INT(($B156/H$5))+2)-INDEX('D Fleet'!$K$5:$K$36,INT(($B156/H$5))+1)),0)</f>
        <v/>
      </c>
      <c r="I156" s="261">
        <f>IFERROR(INDEX('D Fleet'!$F$5:$F$63,MATCH(I$3-$B156,'D Fleet'!$B$5:$B$63,0)),0)*IFERROR(INDEX('D Fleet'!$K$5:$K$36,INT(($B156/I$5))+1)+(($B156/I$5)-INT(($B156/I$5)))*(INDEX('D Fleet'!$K$5:$K$36,INT(($B156/I$5))+2)-INDEX('D Fleet'!$K$5:$K$36,INT(($B156/I$5))+1)),0)</f>
        <v/>
      </c>
      <c r="J156" s="261">
        <f>IFERROR(INDEX('D Fleet'!$F$5:$F$63,MATCH(J$3-$B156,'D Fleet'!$B$5:$B$63,0)),0)*IFERROR(INDEX('D Fleet'!$K$5:$K$36,INT(($B156/J$5))+1)+(($B156/J$5)-INT(($B156/J$5)))*(INDEX('D Fleet'!$K$5:$K$36,INT(($B156/J$5))+2)-INDEX('D Fleet'!$K$5:$K$36,INT(($B156/J$5))+1)),0)</f>
        <v/>
      </c>
      <c r="K156" s="261">
        <f>IFERROR(INDEX('D Fleet'!$F$5:$F$63,MATCH(K$3-$B156,'D Fleet'!$B$5:$B$63,0)),0)*IFERROR(INDEX('D Fleet'!$K$5:$K$36,INT(($B156/K$5))+1)+(($B156/K$5)-INT(($B156/K$5)))*(INDEX('D Fleet'!$K$5:$K$36,INT(($B156/K$5))+2)-INDEX('D Fleet'!$K$5:$K$36,INT(($B156/K$5))+1)),0)</f>
        <v/>
      </c>
      <c r="L156" s="261">
        <f>IFERROR(INDEX('D Fleet'!$F$5:$F$63,MATCH(L$3-$B156,'D Fleet'!$B$5:$B$63,0)),0)*IFERROR(INDEX('D Fleet'!$K$5:$K$36,INT(($B156/L$5))+1)+(($B156/L$5)-INT(($B156/L$5)))*(INDEX('D Fleet'!$K$5:$K$36,INT(($B156/L$5))+2)-INDEX('D Fleet'!$K$5:$K$36,INT(($B156/L$5))+1)),0)</f>
        <v/>
      </c>
      <c r="M156" s="261">
        <f>IFERROR(INDEX('D Fleet'!$F$5:$F$63,MATCH(M$3-$B156,'D Fleet'!$B$5:$B$63,0)),0)*IFERROR(INDEX('D Fleet'!$K$5:$K$36,INT(($B156/M$5))+1)+(($B156/M$5)-INT(($B156/M$5)))*(INDEX('D Fleet'!$K$5:$K$36,INT(($B156/M$5))+2)-INDEX('D Fleet'!$K$5:$K$36,INT(($B156/M$5))+1)),0)</f>
        <v/>
      </c>
      <c r="N156" s="261">
        <f>IFERROR(INDEX('D Fleet'!$F$5:$F$63,MATCH(N$3-$B156,'D Fleet'!$B$5:$B$63,0)),0)*IFERROR(INDEX('D Fleet'!$K$5:$K$36,INT(($B156/N$5))+1)+(($B156/N$5)-INT(($B156/N$5)))*(INDEX('D Fleet'!$K$5:$K$36,INT(($B156/N$5))+2)-INDEX('D Fleet'!$K$5:$K$36,INT(($B156/N$5))+1)),0)</f>
        <v/>
      </c>
      <c r="P156" s="261">
        <f>E156*$D156*'E1 Fleet'!$D$100</f>
        <v/>
      </c>
      <c r="Q156" s="261">
        <f>F156*$D156*'E1 Fleet'!$D$100</f>
        <v/>
      </c>
      <c r="R156" s="261">
        <f>G156*$D156*'E1 Fleet'!$D$100</f>
        <v/>
      </c>
      <c r="S156" s="261">
        <f>H156*$D156*'E1 Fleet'!$D$100</f>
        <v/>
      </c>
      <c r="T156" s="261">
        <f>I156*$D156*'E1 Fleet'!$D$100</f>
        <v/>
      </c>
      <c r="U156" s="261">
        <f>J156*$D156*'E1 Fleet'!$D$100</f>
        <v/>
      </c>
      <c r="V156" s="261">
        <f>K156*$D156*'E1 Fleet'!$D$100</f>
        <v/>
      </c>
      <c r="W156" s="261">
        <f>L156*$D156*'E1 Fleet'!$D$100</f>
        <v/>
      </c>
      <c r="X156" s="261">
        <f>M156*$D156*'E1 Fleet'!$D$100</f>
        <v/>
      </c>
      <c r="Y156" s="261">
        <f>N156*$D156*'E1 Fleet'!$D$100</f>
        <v/>
      </c>
    </row>
    <row r="157">
      <c r="A157" t="inlineStr">
        <is>
          <t>Van</t>
        </is>
      </c>
      <c r="B157" s="331" t="n">
        <v>12</v>
      </c>
      <c r="C157" s="331" t="n">
        <v>3</v>
      </c>
      <c r="D157" s="266">
        <f>IF($B157=0,'E1 Fleet'!$D$93,1)*EXP(-'E1 Fleet'!$D$94*MAX($B157-6,0))</f>
        <v/>
      </c>
      <c r="E157" s="261">
        <f>IFERROR(INDEX('D Fleet'!$F$5:$F$63,MATCH(E$3-$B157,'D Fleet'!$B$5:$B$63,0)),0)*IFERROR(INDEX('D Fleet'!$K$5:$K$36,INT(($B157/E$5))+1)+(($B157/E$5)-INT(($B157/E$5)))*(INDEX('D Fleet'!$K$5:$K$36,INT(($B157/E$5))+2)-INDEX('D Fleet'!$K$5:$K$36,INT(($B157/E$5))+1)),0)</f>
        <v/>
      </c>
      <c r="F157" s="261">
        <f>IFERROR(INDEX('D Fleet'!$F$5:$F$63,MATCH(F$3-$B157,'D Fleet'!$B$5:$B$63,0)),0)*IFERROR(INDEX('D Fleet'!$K$5:$K$36,INT(($B157/F$5))+1)+(($B157/F$5)-INT(($B157/F$5)))*(INDEX('D Fleet'!$K$5:$K$36,INT(($B157/F$5))+2)-INDEX('D Fleet'!$K$5:$K$36,INT(($B157/F$5))+1)),0)</f>
        <v/>
      </c>
      <c r="G157" s="261">
        <f>IFERROR(INDEX('D Fleet'!$F$5:$F$63,MATCH(G$3-$B157,'D Fleet'!$B$5:$B$63,0)),0)*IFERROR(INDEX('D Fleet'!$K$5:$K$36,INT(($B157/G$5))+1)+(($B157/G$5)-INT(($B157/G$5)))*(INDEX('D Fleet'!$K$5:$K$36,INT(($B157/G$5))+2)-INDEX('D Fleet'!$K$5:$K$36,INT(($B157/G$5))+1)),0)</f>
        <v/>
      </c>
      <c r="H157" s="261">
        <f>IFERROR(INDEX('D Fleet'!$F$5:$F$63,MATCH(H$3-$B157,'D Fleet'!$B$5:$B$63,0)),0)*IFERROR(INDEX('D Fleet'!$K$5:$K$36,INT(($B157/H$5))+1)+(($B157/H$5)-INT(($B157/H$5)))*(INDEX('D Fleet'!$K$5:$K$36,INT(($B157/H$5))+2)-INDEX('D Fleet'!$K$5:$K$36,INT(($B157/H$5))+1)),0)</f>
        <v/>
      </c>
      <c r="I157" s="261">
        <f>IFERROR(INDEX('D Fleet'!$F$5:$F$63,MATCH(I$3-$B157,'D Fleet'!$B$5:$B$63,0)),0)*IFERROR(INDEX('D Fleet'!$K$5:$K$36,INT(($B157/I$5))+1)+(($B157/I$5)-INT(($B157/I$5)))*(INDEX('D Fleet'!$K$5:$K$36,INT(($B157/I$5))+2)-INDEX('D Fleet'!$K$5:$K$36,INT(($B157/I$5))+1)),0)</f>
        <v/>
      </c>
      <c r="J157" s="261">
        <f>IFERROR(INDEX('D Fleet'!$F$5:$F$63,MATCH(J$3-$B157,'D Fleet'!$B$5:$B$63,0)),0)*IFERROR(INDEX('D Fleet'!$K$5:$K$36,INT(($B157/J$5))+1)+(($B157/J$5)-INT(($B157/J$5)))*(INDEX('D Fleet'!$K$5:$K$36,INT(($B157/J$5))+2)-INDEX('D Fleet'!$K$5:$K$36,INT(($B157/J$5))+1)),0)</f>
        <v/>
      </c>
      <c r="K157" s="261">
        <f>IFERROR(INDEX('D Fleet'!$F$5:$F$63,MATCH(K$3-$B157,'D Fleet'!$B$5:$B$63,0)),0)*IFERROR(INDEX('D Fleet'!$K$5:$K$36,INT(($B157/K$5))+1)+(($B157/K$5)-INT(($B157/K$5)))*(INDEX('D Fleet'!$K$5:$K$36,INT(($B157/K$5))+2)-INDEX('D Fleet'!$K$5:$K$36,INT(($B157/K$5))+1)),0)</f>
        <v/>
      </c>
      <c r="L157" s="261">
        <f>IFERROR(INDEX('D Fleet'!$F$5:$F$63,MATCH(L$3-$B157,'D Fleet'!$B$5:$B$63,0)),0)*IFERROR(INDEX('D Fleet'!$K$5:$K$36,INT(($B157/L$5))+1)+(($B157/L$5)-INT(($B157/L$5)))*(INDEX('D Fleet'!$K$5:$K$36,INT(($B157/L$5))+2)-INDEX('D Fleet'!$K$5:$K$36,INT(($B157/L$5))+1)),0)</f>
        <v/>
      </c>
      <c r="M157" s="261">
        <f>IFERROR(INDEX('D Fleet'!$F$5:$F$63,MATCH(M$3-$B157,'D Fleet'!$B$5:$B$63,0)),0)*IFERROR(INDEX('D Fleet'!$K$5:$K$36,INT(($B157/M$5))+1)+(($B157/M$5)-INT(($B157/M$5)))*(INDEX('D Fleet'!$K$5:$K$36,INT(($B157/M$5))+2)-INDEX('D Fleet'!$K$5:$K$36,INT(($B157/M$5))+1)),0)</f>
        <v/>
      </c>
      <c r="N157" s="261">
        <f>IFERROR(INDEX('D Fleet'!$F$5:$F$63,MATCH(N$3-$B157,'D Fleet'!$B$5:$B$63,0)),0)*IFERROR(INDEX('D Fleet'!$K$5:$K$36,INT(($B157/N$5))+1)+(($B157/N$5)-INT(($B157/N$5)))*(INDEX('D Fleet'!$K$5:$K$36,INT(($B157/N$5))+2)-INDEX('D Fleet'!$K$5:$K$36,INT(($B157/N$5))+1)),0)</f>
        <v/>
      </c>
      <c r="P157" s="261">
        <f>E157*$D157*'E1 Fleet'!$D$100</f>
        <v/>
      </c>
      <c r="Q157" s="261">
        <f>F157*$D157*'E1 Fleet'!$D$100</f>
        <v/>
      </c>
      <c r="R157" s="261">
        <f>G157*$D157*'E1 Fleet'!$D$100</f>
        <v/>
      </c>
      <c r="S157" s="261">
        <f>H157*$D157*'E1 Fleet'!$D$100</f>
        <v/>
      </c>
      <c r="T157" s="261">
        <f>I157*$D157*'E1 Fleet'!$D$100</f>
        <v/>
      </c>
      <c r="U157" s="261">
        <f>J157*$D157*'E1 Fleet'!$D$100</f>
        <v/>
      </c>
      <c r="V157" s="261">
        <f>K157*$D157*'E1 Fleet'!$D$100</f>
        <v/>
      </c>
      <c r="W157" s="261">
        <f>L157*$D157*'E1 Fleet'!$D$100</f>
        <v/>
      </c>
      <c r="X157" s="261">
        <f>M157*$D157*'E1 Fleet'!$D$100</f>
        <v/>
      </c>
      <c r="Y157" s="261">
        <f>N157*$D157*'E1 Fleet'!$D$100</f>
        <v/>
      </c>
    </row>
    <row r="158">
      <c r="A158" t="inlineStr">
        <is>
          <t>Van</t>
        </is>
      </c>
      <c r="B158" s="331" t="n">
        <v>13</v>
      </c>
      <c r="C158" s="331" t="n">
        <v>3</v>
      </c>
      <c r="D158" s="266">
        <f>IF($B158=0,'E1 Fleet'!$D$93,1)*EXP(-'E1 Fleet'!$D$94*MAX($B158-6,0))</f>
        <v/>
      </c>
      <c r="E158" s="261">
        <f>IFERROR(INDEX('D Fleet'!$F$5:$F$63,MATCH(E$3-$B158,'D Fleet'!$B$5:$B$63,0)),0)*IFERROR(INDEX('D Fleet'!$K$5:$K$36,INT(($B158/E$5))+1)+(($B158/E$5)-INT(($B158/E$5)))*(INDEX('D Fleet'!$K$5:$K$36,INT(($B158/E$5))+2)-INDEX('D Fleet'!$K$5:$K$36,INT(($B158/E$5))+1)),0)</f>
        <v/>
      </c>
      <c r="F158" s="261">
        <f>IFERROR(INDEX('D Fleet'!$F$5:$F$63,MATCH(F$3-$B158,'D Fleet'!$B$5:$B$63,0)),0)*IFERROR(INDEX('D Fleet'!$K$5:$K$36,INT(($B158/F$5))+1)+(($B158/F$5)-INT(($B158/F$5)))*(INDEX('D Fleet'!$K$5:$K$36,INT(($B158/F$5))+2)-INDEX('D Fleet'!$K$5:$K$36,INT(($B158/F$5))+1)),0)</f>
        <v/>
      </c>
      <c r="G158" s="261">
        <f>IFERROR(INDEX('D Fleet'!$F$5:$F$63,MATCH(G$3-$B158,'D Fleet'!$B$5:$B$63,0)),0)*IFERROR(INDEX('D Fleet'!$K$5:$K$36,INT(($B158/G$5))+1)+(($B158/G$5)-INT(($B158/G$5)))*(INDEX('D Fleet'!$K$5:$K$36,INT(($B158/G$5))+2)-INDEX('D Fleet'!$K$5:$K$36,INT(($B158/G$5))+1)),0)</f>
        <v/>
      </c>
      <c r="H158" s="261">
        <f>IFERROR(INDEX('D Fleet'!$F$5:$F$63,MATCH(H$3-$B158,'D Fleet'!$B$5:$B$63,0)),0)*IFERROR(INDEX('D Fleet'!$K$5:$K$36,INT(($B158/H$5))+1)+(($B158/H$5)-INT(($B158/H$5)))*(INDEX('D Fleet'!$K$5:$K$36,INT(($B158/H$5))+2)-INDEX('D Fleet'!$K$5:$K$36,INT(($B158/H$5))+1)),0)</f>
        <v/>
      </c>
      <c r="I158" s="261">
        <f>IFERROR(INDEX('D Fleet'!$F$5:$F$63,MATCH(I$3-$B158,'D Fleet'!$B$5:$B$63,0)),0)*IFERROR(INDEX('D Fleet'!$K$5:$K$36,INT(($B158/I$5))+1)+(($B158/I$5)-INT(($B158/I$5)))*(INDEX('D Fleet'!$K$5:$K$36,INT(($B158/I$5))+2)-INDEX('D Fleet'!$K$5:$K$36,INT(($B158/I$5))+1)),0)</f>
        <v/>
      </c>
      <c r="J158" s="261">
        <f>IFERROR(INDEX('D Fleet'!$F$5:$F$63,MATCH(J$3-$B158,'D Fleet'!$B$5:$B$63,0)),0)*IFERROR(INDEX('D Fleet'!$K$5:$K$36,INT(($B158/J$5))+1)+(($B158/J$5)-INT(($B158/J$5)))*(INDEX('D Fleet'!$K$5:$K$36,INT(($B158/J$5))+2)-INDEX('D Fleet'!$K$5:$K$36,INT(($B158/J$5))+1)),0)</f>
        <v/>
      </c>
      <c r="K158" s="261">
        <f>IFERROR(INDEX('D Fleet'!$F$5:$F$63,MATCH(K$3-$B158,'D Fleet'!$B$5:$B$63,0)),0)*IFERROR(INDEX('D Fleet'!$K$5:$K$36,INT(($B158/K$5))+1)+(($B158/K$5)-INT(($B158/K$5)))*(INDEX('D Fleet'!$K$5:$K$36,INT(($B158/K$5))+2)-INDEX('D Fleet'!$K$5:$K$36,INT(($B158/K$5))+1)),0)</f>
        <v/>
      </c>
      <c r="L158" s="261">
        <f>IFERROR(INDEX('D Fleet'!$F$5:$F$63,MATCH(L$3-$B158,'D Fleet'!$B$5:$B$63,0)),0)*IFERROR(INDEX('D Fleet'!$K$5:$K$36,INT(($B158/L$5))+1)+(($B158/L$5)-INT(($B158/L$5)))*(INDEX('D Fleet'!$K$5:$K$36,INT(($B158/L$5))+2)-INDEX('D Fleet'!$K$5:$K$36,INT(($B158/L$5))+1)),0)</f>
        <v/>
      </c>
      <c r="M158" s="261">
        <f>IFERROR(INDEX('D Fleet'!$F$5:$F$63,MATCH(M$3-$B158,'D Fleet'!$B$5:$B$63,0)),0)*IFERROR(INDEX('D Fleet'!$K$5:$K$36,INT(($B158/M$5))+1)+(($B158/M$5)-INT(($B158/M$5)))*(INDEX('D Fleet'!$K$5:$K$36,INT(($B158/M$5))+2)-INDEX('D Fleet'!$K$5:$K$36,INT(($B158/M$5))+1)),0)</f>
        <v/>
      </c>
      <c r="N158" s="261">
        <f>IFERROR(INDEX('D Fleet'!$F$5:$F$63,MATCH(N$3-$B158,'D Fleet'!$B$5:$B$63,0)),0)*IFERROR(INDEX('D Fleet'!$K$5:$K$36,INT(($B158/N$5))+1)+(($B158/N$5)-INT(($B158/N$5)))*(INDEX('D Fleet'!$K$5:$K$36,INT(($B158/N$5))+2)-INDEX('D Fleet'!$K$5:$K$36,INT(($B158/N$5))+1)),0)</f>
        <v/>
      </c>
      <c r="P158" s="261">
        <f>E158*$D158*'E1 Fleet'!$D$100</f>
        <v/>
      </c>
      <c r="Q158" s="261">
        <f>F158*$D158*'E1 Fleet'!$D$100</f>
        <v/>
      </c>
      <c r="R158" s="261">
        <f>G158*$D158*'E1 Fleet'!$D$100</f>
        <v/>
      </c>
      <c r="S158" s="261">
        <f>H158*$D158*'E1 Fleet'!$D$100</f>
        <v/>
      </c>
      <c r="T158" s="261">
        <f>I158*$D158*'E1 Fleet'!$D$100</f>
        <v/>
      </c>
      <c r="U158" s="261">
        <f>J158*$D158*'E1 Fleet'!$D$100</f>
        <v/>
      </c>
      <c r="V158" s="261">
        <f>K158*$D158*'E1 Fleet'!$D$100</f>
        <v/>
      </c>
      <c r="W158" s="261">
        <f>L158*$D158*'E1 Fleet'!$D$100</f>
        <v/>
      </c>
      <c r="X158" s="261">
        <f>M158*$D158*'E1 Fleet'!$D$100</f>
        <v/>
      </c>
      <c r="Y158" s="261">
        <f>N158*$D158*'E1 Fleet'!$D$100</f>
        <v/>
      </c>
    </row>
    <row r="159">
      <c r="A159" t="inlineStr">
        <is>
          <t>Van</t>
        </is>
      </c>
      <c r="B159" s="331" t="n">
        <v>14</v>
      </c>
      <c r="C159" s="331" t="n">
        <v>3</v>
      </c>
      <c r="D159" s="266">
        <f>IF($B159=0,'E1 Fleet'!$D$93,1)*EXP(-'E1 Fleet'!$D$94*MAX($B159-6,0))</f>
        <v/>
      </c>
      <c r="E159" s="261">
        <f>IFERROR(INDEX('D Fleet'!$F$5:$F$63,MATCH(E$3-$B159,'D Fleet'!$B$5:$B$63,0)),0)*IFERROR(INDEX('D Fleet'!$K$5:$K$36,INT(($B159/E$5))+1)+(($B159/E$5)-INT(($B159/E$5)))*(INDEX('D Fleet'!$K$5:$K$36,INT(($B159/E$5))+2)-INDEX('D Fleet'!$K$5:$K$36,INT(($B159/E$5))+1)),0)</f>
        <v/>
      </c>
      <c r="F159" s="261">
        <f>IFERROR(INDEX('D Fleet'!$F$5:$F$63,MATCH(F$3-$B159,'D Fleet'!$B$5:$B$63,0)),0)*IFERROR(INDEX('D Fleet'!$K$5:$K$36,INT(($B159/F$5))+1)+(($B159/F$5)-INT(($B159/F$5)))*(INDEX('D Fleet'!$K$5:$K$36,INT(($B159/F$5))+2)-INDEX('D Fleet'!$K$5:$K$36,INT(($B159/F$5))+1)),0)</f>
        <v/>
      </c>
      <c r="G159" s="261">
        <f>IFERROR(INDEX('D Fleet'!$F$5:$F$63,MATCH(G$3-$B159,'D Fleet'!$B$5:$B$63,0)),0)*IFERROR(INDEX('D Fleet'!$K$5:$K$36,INT(($B159/G$5))+1)+(($B159/G$5)-INT(($B159/G$5)))*(INDEX('D Fleet'!$K$5:$K$36,INT(($B159/G$5))+2)-INDEX('D Fleet'!$K$5:$K$36,INT(($B159/G$5))+1)),0)</f>
        <v/>
      </c>
      <c r="H159" s="261">
        <f>IFERROR(INDEX('D Fleet'!$F$5:$F$63,MATCH(H$3-$B159,'D Fleet'!$B$5:$B$63,0)),0)*IFERROR(INDEX('D Fleet'!$K$5:$K$36,INT(($B159/H$5))+1)+(($B159/H$5)-INT(($B159/H$5)))*(INDEX('D Fleet'!$K$5:$K$36,INT(($B159/H$5))+2)-INDEX('D Fleet'!$K$5:$K$36,INT(($B159/H$5))+1)),0)</f>
        <v/>
      </c>
      <c r="I159" s="261">
        <f>IFERROR(INDEX('D Fleet'!$F$5:$F$63,MATCH(I$3-$B159,'D Fleet'!$B$5:$B$63,0)),0)*IFERROR(INDEX('D Fleet'!$K$5:$K$36,INT(($B159/I$5))+1)+(($B159/I$5)-INT(($B159/I$5)))*(INDEX('D Fleet'!$K$5:$K$36,INT(($B159/I$5))+2)-INDEX('D Fleet'!$K$5:$K$36,INT(($B159/I$5))+1)),0)</f>
        <v/>
      </c>
      <c r="J159" s="261">
        <f>IFERROR(INDEX('D Fleet'!$F$5:$F$63,MATCH(J$3-$B159,'D Fleet'!$B$5:$B$63,0)),0)*IFERROR(INDEX('D Fleet'!$K$5:$K$36,INT(($B159/J$5))+1)+(($B159/J$5)-INT(($B159/J$5)))*(INDEX('D Fleet'!$K$5:$K$36,INT(($B159/J$5))+2)-INDEX('D Fleet'!$K$5:$K$36,INT(($B159/J$5))+1)),0)</f>
        <v/>
      </c>
      <c r="K159" s="261">
        <f>IFERROR(INDEX('D Fleet'!$F$5:$F$63,MATCH(K$3-$B159,'D Fleet'!$B$5:$B$63,0)),0)*IFERROR(INDEX('D Fleet'!$K$5:$K$36,INT(($B159/K$5))+1)+(($B159/K$5)-INT(($B159/K$5)))*(INDEX('D Fleet'!$K$5:$K$36,INT(($B159/K$5))+2)-INDEX('D Fleet'!$K$5:$K$36,INT(($B159/K$5))+1)),0)</f>
        <v/>
      </c>
      <c r="L159" s="261">
        <f>IFERROR(INDEX('D Fleet'!$F$5:$F$63,MATCH(L$3-$B159,'D Fleet'!$B$5:$B$63,0)),0)*IFERROR(INDEX('D Fleet'!$K$5:$K$36,INT(($B159/L$5))+1)+(($B159/L$5)-INT(($B159/L$5)))*(INDEX('D Fleet'!$K$5:$K$36,INT(($B159/L$5))+2)-INDEX('D Fleet'!$K$5:$K$36,INT(($B159/L$5))+1)),0)</f>
        <v/>
      </c>
      <c r="M159" s="261">
        <f>IFERROR(INDEX('D Fleet'!$F$5:$F$63,MATCH(M$3-$B159,'D Fleet'!$B$5:$B$63,0)),0)*IFERROR(INDEX('D Fleet'!$K$5:$K$36,INT(($B159/M$5))+1)+(($B159/M$5)-INT(($B159/M$5)))*(INDEX('D Fleet'!$K$5:$K$36,INT(($B159/M$5))+2)-INDEX('D Fleet'!$K$5:$K$36,INT(($B159/M$5))+1)),0)</f>
        <v/>
      </c>
      <c r="N159" s="261">
        <f>IFERROR(INDEX('D Fleet'!$F$5:$F$63,MATCH(N$3-$B159,'D Fleet'!$B$5:$B$63,0)),0)*IFERROR(INDEX('D Fleet'!$K$5:$K$36,INT(($B159/N$5))+1)+(($B159/N$5)-INT(($B159/N$5)))*(INDEX('D Fleet'!$K$5:$K$36,INT(($B159/N$5))+2)-INDEX('D Fleet'!$K$5:$K$36,INT(($B159/N$5))+1)),0)</f>
        <v/>
      </c>
      <c r="P159" s="261">
        <f>E159*$D159*'E1 Fleet'!$D$100</f>
        <v/>
      </c>
      <c r="Q159" s="261">
        <f>F159*$D159*'E1 Fleet'!$D$100</f>
        <v/>
      </c>
      <c r="R159" s="261">
        <f>G159*$D159*'E1 Fleet'!$D$100</f>
        <v/>
      </c>
      <c r="S159" s="261">
        <f>H159*$D159*'E1 Fleet'!$D$100</f>
        <v/>
      </c>
      <c r="T159" s="261">
        <f>I159*$D159*'E1 Fleet'!$D$100</f>
        <v/>
      </c>
      <c r="U159" s="261">
        <f>J159*$D159*'E1 Fleet'!$D$100</f>
        <v/>
      </c>
      <c r="V159" s="261">
        <f>K159*$D159*'E1 Fleet'!$D$100</f>
        <v/>
      </c>
      <c r="W159" s="261">
        <f>L159*$D159*'E1 Fleet'!$D$100</f>
        <v/>
      </c>
      <c r="X159" s="261">
        <f>M159*$D159*'E1 Fleet'!$D$100</f>
        <v/>
      </c>
      <c r="Y159" s="261">
        <f>N159*$D159*'E1 Fleet'!$D$100</f>
        <v/>
      </c>
    </row>
    <row r="160">
      <c r="A160" t="inlineStr">
        <is>
          <t>Van</t>
        </is>
      </c>
      <c r="B160" s="331" t="n">
        <v>15</v>
      </c>
      <c r="C160" s="331" t="n">
        <v>3</v>
      </c>
      <c r="D160" s="266">
        <f>IF($B160=0,'E1 Fleet'!$D$93,1)*EXP(-'E1 Fleet'!$D$94*MAX($B160-6,0))</f>
        <v/>
      </c>
      <c r="E160" s="261">
        <f>IFERROR(INDEX('D Fleet'!$F$5:$F$63,MATCH(E$3-$B160,'D Fleet'!$B$5:$B$63,0)),0)*IFERROR(INDEX('D Fleet'!$K$5:$K$36,INT(($B160/E$5))+1)+(($B160/E$5)-INT(($B160/E$5)))*(INDEX('D Fleet'!$K$5:$K$36,INT(($B160/E$5))+2)-INDEX('D Fleet'!$K$5:$K$36,INT(($B160/E$5))+1)),0)</f>
        <v/>
      </c>
      <c r="F160" s="261">
        <f>IFERROR(INDEX('D Fleet'!$F$5:$F$63,MATCH(F$3-$B160,'D Fleet'!$B$5:$B$63,0)),0)*IFERROR(INDEX('D Fleet'!$K$5:$K$36,INT(($B160/F$5))+1)+(($B160/F$5)-INT(($B160/F$5)))*(INDEX('D Fleet'!$K$5:$K$36,INT(($B160/F$5))+2)-INDEX('D Fleet'!$K$5:$K$36,INT(($B160/F$5))+1)),0)</f>
        <v/>
      </c>
      <c r="G160" s="261">
        <f>IFERROR(INDEX('D Fleet'!$F$5:$F$63,MATCH(G$3-$B160,'D Fleet'!$B$5:$B$63,0)),0)*IFERROR(INDEX('D Fleet'!$K$5:$K$36,INT(($B160/G$5))+1)+(($B160/G$5)-INT(($B160/G$5)))*(INDEX('D Fleet'!$K$5:$K$36,INT(($B160/G$5))+2)-INDEX('D Fleet'!$K$5:$K$36,INT(($B160/G$5))+1)),0)</f>
        <v/>
      </c>
      <c r="H160" s="261">
        <f>IFERROR(INDEX('D Fleet'!$F$5:$F$63,MATCH(H$3-$B160,'D Fleet'!$B$5:$B$63,0)),0)*IFERROR(INDEX('D Fleet'!$K$5:$K$36,INT(($B160/H$5))+1)+(($B160/H$5)-INT(($B160/H$5)))*(INDEX('D Fleet'!$K$5:$K$36,INT(($B160/H$5))+2)-INDEX('D Fleet'!$K$5:$K$36,INT(($B160/H$5))+1)),0)</f>
        <v/>
      </c>
      <c r="I160" s="261">
        <f>IFERROR(INDEX('D Fleet'!$F$5:$F$63,MATCH(I$3-$B160,'D Fleet'!$B$5:$B$63,0)),0)*IFERROR(INDEX('D Fleet'!$K$5:$K$36,INT(($B160/I$5))+1)+(($B160/I$5)-INT(($B160/I$5)))*(INDEX('D Fleet'!$K$5:$K$36,INT(($B160/I$5))+2)-INDEX('D Fleet'!$K$5:$K$36,INT(($B160/I$5))+1)),0)</f>
        <v/>
      </c>
      <c r="J160" s="261">
        <f>IFERROR(INDEX('D Fleet'!$F$5:$F$63,MATCH(J$3-$B160,'D Fleet'!$B$5:$B$63,0)),0)*IFERROR(INDEX('D Fleet'!$K$5:$K$36,INT(($B160/J$5))+1)+(($B160/J$5)-INT(($B160/J$5)))*(INDEX('D Fleet'!$K$5:$K$36,INT(($B160/J$5))+2)-INDEX('D Fleet'!$K$5:$K$36,INT(($B160/J$5))+1)),0)</f>
        <v/>
      </c>
      <c r="K160" s="261">
        <f>IFERROR(INDEX('D Fleet'!$F$5:$F$63,MATCH(K$3-$B160,'D Fleet'!$B$5:$B$63,0)),0)*IFERROR(INDEX('D Fleet'!$K$5:$K$36,INT(($B160/K$5))+1)+(($B160/K$5)-INT(($B160/K$5)))*(INDEX('D Fleet'!$K$5:$K$36,INT(($B160/K$5))+2)-INDEX('D Fleet'!$K$5:$K$36,INT(($B160/K$5))+1)),0)</f>
        <v/>
      </c>
      <c r="L160" s="261">
        <f>IFERROR(INDEX('D Fleet'!$F$5:$F$63,MATCH(L$3-$B160,'D Fleet'!$B$5:$B$63,0)),0)*IFERROR(INDEX('D Fleet'!$K$5:$K$36,INT(($B160/L$5))+1)+(($B160/L$5)-INT(($B160/L$5)))*(INDEX('D Fleet'!$K$5:$K$36,INT(($B160/L$5))+2)-INDEX('D Fleet'!$K$5:$K$36,INT(($B160/L$5))+1)),0)</f>
        <v/>
      </c>
      <c r="M160" s="261">
        <f>IFERROR(INDEX('D Fleet'!$F$5:$F$63,MATCH(M$3-$B160,'D Fleet'!$B$5:$B$63,0)),0)*IFERROR(INDEX('D Fleet'!$K$5:$K$36,INT(($B160/M$5))+1)+(($B160/M$5)-INT(($B160/M$5)))*(INDEX('D Fleet'!$K$5:$K$36,INT(($B160/M$5))+2)-INDEX('D Fleet'!$K$5:$K$36,INT(($B160/M$5))+1)),0)</f>
        <v/>
      </c>
      <c r="N160" s="261">
        <f>IFERROR(INDEX('D Fleet'!$F$5:$F$63,MATCH(N$3-$B160,'D Fleet'!$B$5:$B$63,0)),0)*IFERROR(INDEX('D Fleet'!$K$5:$K$36,INT(($B160/N$5))+1)+(($B160/N$5)-INT(($B160/N$5)))*(INDEX('D Fleet'!$K$5:$K$36,INT(($B160/N$5))+2)-INDEX('D Fleet'!$K$5:$K$36,INT(($B160/N$5))+1)),0)</f>
        <v/>
      </c>
      <c r="P160" s="261">
        <f>E160*$D160*'E1 Fleet'!$D$100</f>
        <v/>
      </c>
      <c r="Q160" s="261">
        <f>F160*$D160*'E1 Fleet'!$D$100</f>
        <v/>
      </c>
      <c r="R160" s="261">
        <f>G160*$D160*'E1 Fleet'!$D$100</f>
        <v/>
      </c>
      <c r="S160" s="261">
        <f>H160*$D160*'E1 Fleet'!$D$100</f>
        <v/>
      </c>
      <c r="T160" s="261">
        <f>I160*$D160*'E1 Fleet'!$D$100</f>
        <v/>
      </c>
      <c r="U160" s="261">
        <f>J160*$D160*'E1 Fleet'!$D$100</f>
        <v/>
      </c>
      <c r="V160" s="261">
        <f>K160*$D160*'E1 Fleet'!$D$100</f>
        <v/>
      </c>
      <c r="W160" s="261">
        <f>L160*$D160*'E1 Fleet'!$D$100</f>
        <v/>
      </c>
      <c r="X160" s="261">
        <f>M160*$D160*'E1 Fleet'!$D$100</f>
        <v/>
      </c>
      <c r="Y160" s="261">
        <f>N160*$D160*'E1 Fleet'!$D$100</f>
        <v/>
      </c>
    </row>
    <row r="161">
      <c r="A161" t="inlineStr">
        <is>
          <t>Van</t>
        </is>
      </c>
      <c r="B161" s="331" t="n">
        <v>16</v>
      </c>
      <c r="C161" s="331" t="n">
        <v>3</v>
      </c>
      <c r="D161" s="266">
        <f>IF($B161=0,'E1 Fleet'!$D$93,1)*EXP(-'E1 Fleet'!$D$94*MAX($B161-6,0))</f>
        <v/>
      </c>
      <c r="E161" s="261">
        <f>IFERROR(INDEX('D Fleet'!$F$5:$F$63,MATCH(E$3-$B161,'D Fleet'!$B$5:$B$63,0)),0)*IFERROR(INDEX('D Fleet'!$K$5:$K$36,INT(($B161/E$5))+1)+(($B161/E$5)-INT(($B161/E$5)))*(INDEX('D Fleet'!$K$5:$K$36,INT(($B161/E$5))+2)-INDEX('D Fleet'!$K$5:$K$36,INT(($B161/E$5))+1)),0)</f>
        <v/>
      </c>
      <c r="F161" s="261">
        <f>IFERROR(INDEX('D Fleet'!$F$5:$F$63,MATCH(F$3-$B161,'D Fleet'!$B$5:$B$63,0)),0)*IFERROR(INDEX('D Fleet'!$K$5:$K$36,INT(($B161/F$5))+1)+(($B161/F$5)-INT(($B161/F$5)))*(INDEX('D Fleet'!$K$5:$K$36,INT(($B161/F$5))+2)-INDEX('D Fleet'!$K$5:$K$36,INT(($B161/F$5))+1)),0)</f>
        <v/>
      </c>
      <c r="G161" s="261">
        <f>IFERROR(INDEX('D Fleet'!$F$5:$F$63,MATCH(G$3-$B161,'D Fleet'!$B$5:$B$63,0)),0)*IFERROR(INDEX('D Fleet'!$K$5:$K$36,INT(($B161/G$5))+1)+(($B161/G$5)-INT(($B161/G$5)))*(INDEX('D Fleet'!$K$5:$K$36,INT(($B161/G$5))+2)-INDEX('D Fleet'!$K$5:$K$36,INT(($B161/G$5))+1)),0)</f>
        <v/>
      </c>
      <c r="H161" s="261">
        <f>IFERROR(INDEX('D Fleet'!$F$5:$F$63,MATCH(H$3-$B161,'D Fleet'!$B$5:$B$63,0)),0)*IFERROR(INDEX('D Fleet'!$K$5:$K$36,INT(($B161/H$5))+1)+(($B161/H$5)-INT(($B161/H$5)))*(INDEX('D Fleet'!$K$5:$K$36,INT(($B161/H$5))+2)-INDEX('D Fleet'!$K$5:$K$36,INT(($B161/H$5))+1)),0)</f>
        <v/>
      </c>
      <c r="I161" s="261">
        <f>IFERROR(INDEX('D Fleet'!$F$5:$F$63,MATCH(I$3-$B161,'D Fleet'!$B$5:$B$63,0)),0)*IFERROR(INDEX('D Fleet'!$K$5:$K$36,INT(($B161/I$5))+1)+(($B161/I$5)-INT(($B161/I$5)))*(INDEX('D Fleet'!$K$5:$K$36,INT(($B161/I$5))+2)-INDEX('D Fleet'!$K$5:$K$36,INT(($B161/I$5))+1)),0)</f>
        <v/>
      </c>
      <c r="J161" s="261">
        <f>IFERROR(INDEX('D Fleet'!$F$5:$F$63,MATCH(J$3-$B161,'D Fleet'!$B$5:$B$63,0)),0)*IFERROR(INDEX('D Fleet'!$K$5:$K$36,INT(($B161/J$5))+1)+(($B161/J$5)-INT(($B161/J$5)))*(INDEX('D Fleet'!$K$5:$K$36,INT(($B161/J$5))+2)-INDEX('D Fleet'!$K$5:$K$36,INT(($B161/J$5))+1)),0)</f>
        <v/>
      </c>
      <c r="K161" s="261">
        <f>IFERROR(INDEX('D Fleet'!$F$5:$F$63,MATCH(K$3-$B161,'D Fleet'!$B$5:$B$63,0)),0)*IFERROR(INDEX('D Fleet'!$K$5:$K$36,INT(($B161/K$5))+1)+(($B161/K$5)-INT(($B161/K$5)))*(INDEX('D Fleet'!$K$5:$K$36,INT(($B161/K$5))+2)-INDEX('D Fleet'!$K$5:$K$36,INT(($B161/K$5))+1)),0)</f>
        <v/>
      </c>
      <c r="L161" s="261">
        <f>IFERROR(INDEX('D Fleet'!$F$5:$F$63,MATCH(L$3-$B161,'D Fleet'!$B$5:$B$63,0)),0)*IFERROR(INDEX('D Fleet'!$K$5:$K$36,INT(($B161/L$5))+1)+(($B161/L$5)-INT(($B161/L$5)))*(INDEX('D Fleet'!$K$5:$K$36,INT(($B161/L$5))+2)-INDEX('D Fleet'!$K$5:$K$36,INT(($B161/L$5))+1)),0)</f>
        <v/>
      </c>
      <c r="M161" s="261">
        <f>IFERROR(INDEX('D Fleet'!$F$5:$F$63,MATCH(M$3-$B161,'D Fleet'!$B$5:$B$63,0)),0)*IFERROR(INDEX('D Fleet'!$K$5:$K$36,INT(($B161/M$5))+1)+(($B161/M$5)-INT(($B161/M$5)))*(INDEX('D Fleet'!$K$5:$K$36,INT(($B161/M$5))+2)-INDEX('D Fleet'!$K$5:$K$36,INT(($B161/M$5))+1)),0)</f>
        <v/>
      </c>
      <c r="N161" s="261">
        <f>IFERROR(INDEX('D Fleet'!$F$5:$F$63,MATCH(N$3-$B161,'D Fleet'!$B$5:$B$63,0)),0)*IFERROR(INDEX('D Fleet'!$K$5:$K$36,INT(($B161/N$5))+1)+(($B161/N$5)-INT(($B161/N$5)))*(INDEX('D Fleet'!$K$5:$K$36,INT(($B161/N$5))+2)-INDEX('D Fleet'!$K$5:$K$36,INT(($B161/N$5))+1)),0)</f>
        <v/>
      </c>
      <c r="P161" s="261">
        <f>E161*$D161*'E1 Fleet'!$D$100</f>
        <v/>
      </c>
      <c r="Q161" s="261">
        <f>F161*$D161*'E1 Fleet'!$D$100</f>
        <v/>
      </c>
      <c r="R161" s="261">
        <f>G161*$D161*'E1 Fleet'!$D$100</f>
        <v/>
      </c>
      <c r="S161" s="261">
        <f>H161*$D161*'E1 Fleet'!$D$100</f>
        <v/>
      </c>
      <c r="T161" s="261">
        <f>I161*$D161*'E1 Fleet'!$D$100</f>
        <v/>
      </c>
      <c r="U161" s="261">
        <f>J161*$D161*'E1 Fleet'!$D$100</f>
        <v/>
      </c>
      <c r="V161" s="261">
        <f>K161*$D161*'E1 Fleet'!$D$100</f>
        <v/>
      </c>
      <c r="W161" s="261">
        <f>L161*$D161*'E1 Fleet'!$D$100</f>
        <v/>
      </c>
      <c r="X161" s="261">
        <f>M161*$D161*'E1 Fleet'!$D$100</f>
        <v/>
      </c>
      <c r="Y161" s="261">
        <f>N161*$D161*'E1 Fleet'!$D$100</f>
        <v/>
      </c>
    </row>
    <row r="162">
      <c r="A162" t="inlineStr">
        <is>
          <t>Van</t>
        </is>
      </c>
      <c r="B162" s="331" t="n">
        <v>17</v>
      </c>
      <c r="C162" s="331" t="n">
        <v>3</v>
      </c>
      <c r="D162" s="266">
        <f>IF($B162=0,'E1 Fleet'!$D$93,1)*EXP(-'E1 Fleet'!$D$94*MAX($B162-6,0))</f>
        <v/>
      </c>
      <c r="E162" s="261">
        <f>IFERROR(INDEX('D Fleet'!$F$5:$F$63,MATCH(E$3-$B162,'D Fleet'!$B$5:$B$63,0)),0)*IFERROR(INDEX('D Fleet'!$K$5:$K$36,INT(($B162/E$5))+1)+(($B162/E$5)-INT(($B162/E$5)))*(INDEX('D Fleet'!$K$5:$K$36,INT(($B162/E$5))+2)-INDEX('D Fleet'!$K$5:$K$36,INT(($B162/E$5))+1)),0)</f>
        <v/>
      </c>
      <c r="F162" s="261">
        <f>IFERROR(INDEX('D Fleet'!$F$5:$F$63,MATCH(F$3-$B162,'D Fleet'!$B$5:$B$63,0)),0)*IFERROR(INDEX('D Fleet'!$K$5:$K$36,INT(($B162/F$5))+1)+(($B162/F$5)-INT(($B162/F$5)))*(INDEX('D Fleet'!$K$5:$K$36,INT(($B162/F$5))+2)-INDEX('D Fleet'!$K$5:$K$36,INT(($B162/F$5))+1)),0)</f>
        <v/>
      </c>
      <c r="G162" s="261">
        <f>IFERROR(INDEX('D Fleet'!$F$5:$F$63,MATCH(G$3-$B162,'D Fleet'!$B$5:$B$63,0)),0)*IFERROR(INDEX('D Fleet'!$K$5:$K$36,INT(($B162/G$5))+1)+(($B162/G$5)-INT(($B162/G$5)))*(INDEX('D Fleet'!$K$5:$K$36,INT(($B162/G$5))+2)-INDEX('D Fleet'!$K$5:$K$36,INT(($B162/G$5))+1)),0)</f>
        <v/>
      </c>
      <c r="H162" s="261">
        <f>IFERROR(INDEX('D Fleet'!$F$5:$F$63,MATCH(H$3-$B162,'D Fleet'!$B$5:$B$63,0)),0)*IFERROR(INDEX('D Fleet'!$K$5:$K$36,INT(($B162/H$5))+1)+(($B162/H$5)-INT(($B162/H$5)))*(INDEX('D Fleet'!$K$5:$K$36,INT(($B162/H$5))+2)-INDEX('D Fleet'!$K$5:$K$36,INT(($B162/H$5))+1)),0)</f>
        <v/>
      </c>
      <c r="I162" s="261">
        <f>IFERROR(INDEX('D Fleet'!$F$5:$F$63,MATCH(I$3-$B162,'D Fleet'!$B$5:$B$63,0)),0)*IFERROR(INDEX('D Fleet'!$K$5:$K$36,INT(($B162/I$5))+1)+(($B162/I$5)-INT(($B162/I$5)))*(INDEX('D Fleet'!$K$5:$K$36,INT(($B162/I$5))+2)-INDEX('D Fleet'!$K$5:$K$36,INT(($B162/I$5))+1)),0)</f>
        <v/>
      </c>
      <c r="J162" s="261">
        <f>IFERROR(INDEX('D Fleet'!$F$5:$F$63,MATCH(J$3-$B162,'D Fleet'!$B$5:$B$63,0)),0)*IFERROR(INDEX('D Fleet'!$K$5:$K$36,INT(($B162/J$5))+1)+(($B162/J$5)-INT(($B162/J$5)))*(INDEX('D Fleet'!$K$5:$K$36,INT(($B162/J$5))+2)-INDEX('D Fleet'!$K$5:$K$36,INT(($B162/J$5))+1)),0)</f>
        <v/>
      </c>
      <c r="K162" s="261">
        <f>IFERROR(INDEX('D Fleet'!$F$5:$F$63,MATCH(K$3-$B162,'D Fleet'!$B$5:$B$63,0)),0)*IFERROR(INDEX('D Fleet'!$K$5:$K$36,INT(($B162/K$5))+1)+(($B162/K$5)-INT(($B162/K$5)))*(INDEX('D Fleet'!$K$5:$K$36,INT(($B162/K$5))+2)-INDEX('D Fleet'!$K$5:$K$36,INT(($B162/K$5))+1)),0)</f>
        <v/>
      </c>
      <c r="L162" s="261">
        <f>IFERROR(INDEX('D Fleet'!$F$5:$F$63,MATCH(L$3-$B162,'D Fleet'!$B$5:$B$63,0)),0)*IFERROR(INDEX('D Fleet'!$K$5:$K$36,INT(($B162/L$5))+1)+(($B162/L$5)-INT(($B162/L$5)))*(INDEX('D Fleet'!$K$5:$K$36,INT(($B162/L$5))+2)-INDEX('D Fleet'!$K$5:$K$36,INT(($B162/L$5))+1)),0)</f>
        <v/>
      </c>
      <c r="M162" s="261">
        <f>IFERROR(INDEX('D Fleet'!$F$5:$F$63,MATCH(M$3-$B162,'D Fleet'!$B$5:$B$63,0)),0)*IFERROR(INDEX('D Fleet'!$K$5:$K$36,INT(($B162/M$5))+1)+(($B162/M$5)-INT(($B162/M$5)))*(INDEX('D Fleet'!$K$5:$K$36,INT(($B162/M$5))+2)-INDEX('D Fleet'!$K$5:$K$36,INT(($B162/M$5))+1)),0)</f>
        <v/>
      </c>
      <c r="N162" s="261">
        <f>IFERROR(INDEX('D Fleet'!$F$5:$F$63,MATCH(N$3-$B162,'D Fleet'!$B$5:$B$63,0)),0)*IFERROR(INDEX('D Fleet'!$K$5:$K$36,INT(($B162/N$5))+1)+(($B162/N$5)-INT(($B162/N$5)))*(INDEX('D Fleet'!$K$5:$K$36,INT(($B162/N$5))+2)-INDEX('D Fleet'!$K$5:$K$36,INT(($B162/N$5))+1)),0)</f>
        <v/>
      </c>
      <c r="P162" s="261">
        <f>E162*$D162*'E1 Fleet'!$D$100</f>
        <v/>
      </c>
      <c r="Q162" s="261">
        <f>F162*$D162*'E1 Fleet'!$D$100</f>
        <v/>
      </c>
      <c r="R162" s="261">
        <f>G162*$D162*'E1 Fleet'!$D$100</f>
        <v/>
      </c>
      <c r="S162" s="261">
        <f>H162*$D162*'E1 Fleet'!$D$100</f>
        <v/>
      </c>
      <c r="T162" s="261">
        <f>I162*$D162*'E1 Fleet'!$D$100</f>
        <v/>
      </c>
      <c r="U162" s="261">
        <f>J162*$D162*'E1 Fleet'!$D$100</f>
        <v/>
      </c>
      <c r="V162" s="261">
        <f>K162*$D162*'E1 Fleet'!$D$100</f>
        <v/>
      </c>
      <c r="W162" s="261">
        <f>L162*$D162*'E1 Fleet'!$D$100</f>
        <v/>
      </c>
      <c r="X162" s="261">
        <f>M162*$D162*'E1 Fleet'!$D$100</f>
        <v/>
      </c>
      <c r="Y162" s="261">
        <f>N162*$D162*'E1 Fleet'!$D$100</f>
        <v/>
      </c>
    </row>
    <row r="163">
      <c r="A163" t="inlineStr">
        <is>
          <t>Van</t>
        </is>
      </c>
      <c r="B163" s="331" t="n">
        <v>18</v>
      </c>
      <c r="C163" s="331" t="n">
        <v>3</v>
      </c>
      <c r="D163" s="266">
        <f>IF($B163=0,'E1 Fleet'!$D$93,1)*EXP(-'E1 Fleet'!$D$94*MAX($B163-6,0))</f>
        <v/>
      </c>
      <c r="E163" s="261">
        <f>IFERROR(INDEX('D Fleet'!$F$5:$F$63,MATCH(E$3-$B163,'D Fleet'!$B$5:$B$63,0)),0)*IFERROR(INDEX('D Fleet'!$K$5:$K$36,INT(($B163/E$5))+1)+(($B163/E$5)-INT(($B163/E$5)))*(INDEX('D Fleet'!$K$5:$K$36,INT(($B163/E$5))+2)-INDEX('D Fleet'!$K$5:$K$36,INT(($B163/E$5))+1)),0)</f>
        <v/>
      </c>
      <c r="F163" s="261">
        <f>IFERROR(INDEX('D Fleet'!$F$5:$F$63,MATCH(F$3-$B163,'D Fleet'!$B$5:$B$63,0)),0)*IFERROR(INDEX('D Fleet'!$K$5:$K$36,INT(($B163/F$5))+1)+(($B163/F$5)-INT(($B163/F$5)))*(INDEX('D Fleet'!$K$5:$K$36,INT(($B163/F$5))+2)-INDEX('D Fleet'!$K$5:$K$36,INT(($B163/F$5))+1)),0)</f>
        <v/>
      </c>
      <c r="G163" s="261">
        <f>IFERROR(INDEX('D Fleet'!$F$5:$F$63,MATCH(G$3-$B163,'D Fleet'!$B$5:$B$63,0)),0)*IFERROR(INDEX('D Fleet'!$K$5:$K$36,INT(($B163/G$5))+1)+(($B163/G$5)-INT(($B163/G$5)))*(INDEX('D Fleet'!$K$5:$K$36,INT(($B163/G$5))+2)-INDEX('D Fleet'!$K$5:$K$36,INT(($B163/G$5))+1)),0)</f>
        <v/>
      </c>
      <c r="H163" s="261">
        <f>IFERROR(INDEX('D Fleet'!$F$5:$F$63,MATCH(H$3-$B163,'D Fleet'!$B$5:$B$63,0)),0)*IFERROR(INDEX('D Fleet'!$K$5:$K$36,INT(($B163/H$5))+1)+(($B163/H$5)-INT(($B163/H$5)))*(INDEX('D Fleet'!$K$5:$K$36,INT(($B163/H$5))+2)-INDEX('D Fleet'!$K$5:$K$36,INT(($B163/H$5))+1)),0)</f>
        <v/>
      </c>
      <c r="I163" s="261">
        <f>IFERROR(INDEX('D Fleet'!$F$5:$F$63,MATCH(I$3-$B163,'D Fleet'!$B$5:$B$63,0)),0)*IFERROR(INDEX('D Fleet'!$K$5:$K$36,INT(($B163/I$5))+1)+(($B163/I$5)-INT(($B163/I$5)))*(INDEX('D Fleet'!$K$5:$K$36,INT(($B163/I$5))+2)-INDEX('D Fleet'!$K$5:$K$36,INT(($B163/I$5))+1)),0)</f>
        <v/>
      </c>
      <c r="J163" s="261">
        <f>IFERROR(INDEX('D Fleet'!$F$5:$F$63,MATCH(J$3-$B163,'D Fleet'!$B$5:$B$63,0)),0)*IFERROR(INDEX('D Fleet'!$K$5:$K$36,INT(($B163/J$5))+1)+(($B163/J$5)-INT(($B163/J$5)))*(INDEX('D Fleet'!$K$5:$K$36,INT(($B163/J$5))+2)-INDEX('D Fleet'!$K$5:$K$36,INT(($B163/J$5))+1)),0)</f>
        <v/>
      </c>
      <c r="K163" s="261">
        <f>IFERROR(INDEX('D Fleet'!$F$5:$F$63,MATCH(K$3-$B163,'D Fleet'!$B$5:$B$63,0)),0)*IFERROR(INDEX('D Fleet'!$K$5:$K$36,INT(($B163/K$5))+1)+(($B163/K$5)-INT(($B163/K$5)))*(INDEX('D Fleet'!$K$5:$K$36,INT(($B163/K$5))+2)-INDEX('D Fleet'!$K$5:$K$36,INT(($B163/K$5))+1)),0)</f>
        <v/>
      </c>
      <c r="L163" s="261">
        <f>IFERROR(INDEX('D Fleet'!$F$5:$F$63,MATCH(L$3-$B163,'D Fleet'!$B$5:$B$63,0)),0)*IFERROR(INDEX('D Fleet'!$K$5:$K$36,INT(($B163/L$5))+1)+(($B163/L$5)-INT(($B163/L$5)))*(INDEX('D Fleet'!$K$5:$K$36,INT(($B163/L$5))+2)-INDEX('D Fleet'!$K$5:$K$36,INT(($B163/L$5))+1)),0)</f>
        <v/>
      </c>
      <c r="M163" s="261">
        <f>IFERROR(INDEX('D Fleet'!$F$5:$F$63,MATCH(M$3-$B163,'D Fleet'!$B$5:$B$63,0)),0)*IFERROR(INDEX('D Fleet'!$K$5:$K$36,INT(($B163/M$5))+1)+(($B163/M$5)-INT(($B163/M$5)))*(INDEX('D Fleet'!$K$5:$K$36,INT(($B163/M$5))+2)-INDEX('D Fleet'!$K$5:$K$36,INT(($B163/M$5))+1)),0)</f>
        <v/>
      </c>
      <c r="N163" s="261">
        <f>IFERROR(INDEX('D Fleet'!$F$5:$F$63,MATCH(N$3-$B163,'D Fleet'!$B$5:$B$63,0)),0)*IFERROR(INDEX('D Fleet'!$K$5:$K$36,INT(($B163/N$5))+1)+(($B163/N$5)-INT(($B163/N$5)))*(INDEX('D Fleet'!$K$5:$K$36,INT(($B163/N$5))+2)-INDEX('D Fleet'!$K$5:$K$36,INT(($B163/N$5))+1)),0)</f>
        <v/>
      </c>
      <c r="P163" s="261">
        <f>E163*$D163*'E1 Fleet'!$D$100</f>
        <v/>
      </c>
      <c r="Q163" s="261">
        <f>F163*$D163*'E1 Fleet'!$D$100</f>
        <v/>
      </c>
      <c r="R163" s="261">
        <f>G163*$D163*'E1 Fleet'!$D$100</f>
        <v/>
      </c>
      <c r="S163" s="261">
        <f>H163*$D163*'E1 Fleet'!$D$100</f>
        <v/>
      </c>
      <c r="T163" s="261">
        <f>I163*$D163*'E1 Fleet'!$D$100</f>
        <v/>
      </c>
      <c r="U163" s="261">
        <f>J163*$D163*'E1 Fleet'!$D$100</f>
        <v/>
      </c>
      <c r="V163" s="261">
        <f>K163*$D163*'E1 Fleet'!$D$100</f>
        <v/>
      </c>
      <c r="W163" s="261">
        <f>L163*$D163*'E1 Fleet'!$D$100</f>
        <v/>
      </c>
      <c r="X163" s="261">
        <f>M163*$D163*'E1 Fleet'!$D$100</f>
        <v/>
      </c>
      <c r="Y163" s="261">
        <f>N163*$D163*'E1 Fleet'!$D$100</f>
        <v/>
      </c>
    </row>
    <row r="164">
      <c r="A164" t="inlineStr">
        <is>
          <t>Van</t>
        </is>
      </c>
      <c r="B164" s="331" t="n">
        <v>19</v>
      </c>
      <c r="C164" s="331" t="n">
        <v>3</v>
      </c>
      <c r="D164" s="266">
        <f>IF($B164=0,'E1 Fleet'!$D$93,1)*EXP(-'E1 Fleet'!$D$94*MAX($B164-6,0))</f>
        <v/>
      </c>
      <c r="E164" s="261">
        <f>IFERROR(INDEX('D Fleet'!$F$5:$F$63,MATCH(E$3-$B164,'D Fleet'!$B$5:$B$63,0)),0)*IFERROR(INDEX('D Fleet'!$K$5:$K$36,INT(($B164/E$5))+1)+(($B164/E$5)-INT(($B164/E$5)))*(INDEX('D Fleet'!$K$5:$K$36,INT(($B164/E$5))+2)-INDEX('D Fleet'!$K$5:$K$36,INT(($B164/E$5))+1)),0)</f>
        <v/>
      </c>
      <c r="F164" s="261">
        <f>IFERROR(INDEX('D Fleet'!$F$5:$F$63,MATCH(F$3-$B164,'D Fleet'!$B$5:$B$63,0)),0)*IFERROR(INDEX('D Fleet'!$K$5:$K$36,INT(($B164/F$5))+1)+(($B164/F$5)-INT(($B164/F$5)))*(INDEX('D Fleet'!$K$5:$K$36,INT(($B164/F$5))+2)-INDEX('D Fleet'!$K$5:$K$36,INT(($B164/F$5))+1)),0)</f>
        <v/>
      </c>
      <c r="G164" s="261">
        <f>IFERROR(INDEX('D Fleet'!$F$5:$F$63,MATCH(G$3-$B164,'D Fleet'!$B$5:$B$63,0)),0)*IFERROR(INDEX('D Fleet'!$K$5:$K$36,INT(($B164/G$5))+1)+(($B164/G$5)-INT(($B164/G$5)))*(INDEX('D Fleet'!$K$5:$K$36,INT(($B164/G$5))+2)-INDEX('D Fleet'!$K$5:$K$36,INT(($B164/G$5))+1)),0)</f>
        <v/>
      </c>
      <c r="H164" s="261">
        <f>IFERROR(INDEX('D Fleet'!$F$5:$F$63,MATCH(H$3-$B164,'D Fleet'!$B$5:$B$63,0)),0)*IFERROR(INDEX('D Fleet'!$K$5:$K$36,INT(($B164/H$5))+1)+(($B164/H$5)-INT(($B164/H$5)))*(INDEX('D Fleet'!$K$5:$K$36,INT(($B164/H$5))+2)-INDEX('D Fleet'!$K$5:$K$36,INT(($B164/H$5))+1)),0)</f>
        <v/>
      </c>
      <c r="I164" s="261">
        <f>IFERROR(INDEX('D Fleet'!$F$5:$F$63,MATCH(I$3-$B164,'D Fleet'!$B$5:$B$63,0)),0)*IFERROR(INDEX('D Fleet'!$K$5:$K$36,INT(($B164/I$5))+1)+(($B164/I$5)-INT(($B164/I$5)))*(INDEX('D Fleet'!$K$5:$K$36,INT(($B164/I$5))+2)-INDEX('D Fleet'!$K$5:$K$36,INT(($B164/I$5))+1)),0)</f>
        <v/>
      </c>
      <c r="J164" s="261">
        <f>IFERROR(INDEX('D Fleet'!$F$5:$F$63,MATCH(J$3-$B164,'D Fleet'!$B$5:$B$63,0)),0)*IFERROR(INDEX('D Fleet'!$K$5:$K$36,INT(($B164/J$5))+1)+(($B164/J$5)-INT(($B164/J$5)))*(INDEX('D Fleet'!$K$5:$K$36,INT(($B164/J$5))+2)-INDEX('D Fleet'!$K$5:$K$36,INT(($B164/J$5))+1)),0)</f>
        <v/>
      </c>
      <c r="K164" s="261">
        <f>IFERROR(INDEX('D Fleet'!$F$5:$F$63,MATCH(K$3-$B164,'D Fleet'!$B$5:$B$63,0)),0)*IFERROR(INDEX('D Fleet'!$K$5:$K$36,INT(($B164/K$5))+1)+(($B164/K$5)-INT(($B164/K$5)))*(INDEX('D Fleet'!$K$5:$K$36,INT(($B164/K$5))+2)-INDEX('D Fleet'!$K$5:$K$36,INT(($B164/K$5))+1)),0)</f>
        <v/>
      </c>
      <c r="L164" s="261">
        <f>IFERROR(INDEX('D Fleet'!$F$5:$F$63,MATCH(L$3-$B164,'D Fleet'!$B$5:$B$63,0)),0)*IFERROR(INDEX('D Fleet'!$K$5:$K$36,INT(($B164/L$5))+1)+(($B164/L$5)-INT(($B164/L$5)))*(INDEX('D Fleet'!$K$5:$K$36,INT(($B164/L$5))+2)-INDEX('D Fleet'!$K$5:$K$36,INT(($B164/L$5))+1)),0)</f>
        <v/>
      </c>
      <c r="M164" s="261">
        <f>IFERROR(INDEX('D Fleet'!$F$5:$F$63,MATCH(M$3-$B164,'D Fleet'!$B$5:$B$63,0)),0)*IFERROR(INDEX('D Fleet'!$K$5:$K$36,INT(($B164/M$5))+1)+(($B164/M$5)-INT(($B164/M$5)))*(INDEX('D Fleet'!$K$5:$K$36,INT(($B164/M$5))+2)-INDEX('D Fleet'!$K$5:$K$36,INT(($B164/M$5))+1)),0)</f>
        <v/>
      </c>
      <c r="N164" s="261">
        <f>IFERROR(INDEX('D Fleet'!$F$5:$F$63,MATCH(N$3-$B164,'D Fleet'!$B$5:$B$63,0)),0)*IFERROR(INDEX('D Fleet'!$K$5:$K$36,INT(($B164/N$5))+1)+(($B164/N$5)-INT(($B164/N$5)))*(INDEX('D Fleet'!$K$5:$K$36,INT(($B164/N$5))+2)-INDEX('D Fleet'!$K$5:$K$36,INT(($B164/N$5))+1)),0)</f>
        <v/>
      </c>
      <c r="P164" s="261">
        <f>E164*$D164*'E1 Fleet'!$D$100</f>
        <v/>
      </c>
      <c r="Q164" s="261">
        <f>F164*$D164*'E1 Fleet'!$D$100</f>
        <v/>
      </c>
      <c r="R164" s="261">
        <f>G164*$D164*'E1 Fleet'!$D$100</f>
        <v/>
      </c>
      <c r="S164" s="261">
        <f>H164*$D164*'E1 Fleet'!$D$100</f>
        <v/>
      </c>
      <c r="T164" s="261">
        <f>I164*$D164*'E1 Fleet'!$D$100</f>
        <v/>
      </c>
      <c r="U164" s="261">
        <f>J164*$D164*'E1 Fleet'!$D$100</f>
        <v/>
      </c>
      <c r="V164" s="261">
        <f>K164*$D164*'E1 Fleet'!$D$100</f>
        <v/>
      </c>
      <c r="W164" s="261">
        <f>L164*$D164*'E1 Fleet'!$D$100</f>
        <v/>
      </c>
      <c r="X164" s="261">
        <f>M164*$D164*'E1 Fleet'!$D$100</f>
        <v/>
      </c>
      <c r="Y164" s="261">
        <f>N164*$D164*'E1 Fleet'!$D$100</f>
        <v/>
      </c>
    </row>
    <row r="165">
      <c r="A165" t="inlineStr">
        <is>
          <t>Van</t>
        </is>
      </c>
      <c r="B165" s="331" t="n">
        <v>20</v>
      </c>
      <c r="C165" s="331" t="n">
        <v>3</v>
      </c>
      <c r="D165" s="266">
        <f>IF($B165=0,'E1 Fleet'!$D$93,1)*EXP(-'E1 Fleet'!$D$94*MAX($B165-6,0))</f>
        <v/>
      </c>
      <c r="E165" s="261">
        <f>IFERROR(INDEX('D Fleet'!$F$5:$F$63,MATCH(E$3-$B165,'D Fleet'!$B$5:$B$63,0)),0)*IFERROR(INDEX('D Fleet'!$K$5:$K$36,INT(($B165/E$5))+1)+(($B165/E$5)-INT(($B165/E$5)))*(INDEX('D Fleet'!$K$5:$K$36,INT(($B165/E$5))+2)-INDEX('D Fleet'!$K$5:$K$36,INT(($B165/E$5))+1)),0)</f>
        <v/>
      </c>
      <c r="F165" s="261">
        <f>IFERROR(INDEX('D Fleet'!$F$5:$F$63,MATCH(F$3-$B165,'D Fleet'!$B$5:$B$63,0)),0)*IFERROR(INDEX('D Fleet'!$K$5:$K$36,INT(($B165/F$5))+1)+(($B165/F$5)-INT(($B165/F$5)))*(INDEX('D Fleet'!$K$5:$K$36,INT(($B165/F$5))+2)-INDEX('D Fleet'!$K$5:$K$36,INT(($B165/F$5))+1)),0)</f>
        <v/>
      </c>
      <c r="G165" s="261">
        <f>IFERROR(INDEX('D Fleet'!$F$5:$F$63,MATCH(G$3-$B165,'D Fleet'!$B$5:$B$63,0)),0)*IFERROR(INDEX('D Fleet'!$K$5:$K$36,INT(($B165/G$5))+1)+(($B165/G$5)-INT(($B165/G$5)))*(INDEX('D Fleet'!$K$5:$K$36,INT(($B165/G$5))+2)-INDEX('D Fleet'!$K$5:$K$36,INT(($B165/G$5))+1)),0)</f>
        <v/>
      </c>
      <c r="H165" s="261">
        <f>IFERROR(INDEX('D Fleet'!$F$5:$F$63,MATCH(H$3-$B165,'D Fleet'!$B$5:$B$63,0)),0)*IFERROR(INDEX('D Fleet'!$K$5:$K$36,INT(($B165/H$5))+1)+(($B165/H$5)-INT(($B165/H$5)))*(INDEX('D Fleet'!$K$5:$K$36,INT(($B165/H$5))+2)-INDEX('D Fleet'!$K$5:$K$36,INT(($B165/H$5))+1)),0)</f>
        <v/>
      </c>
      <c r="I165" s="261">
        <f>IFERROR(INDEX('D Fleet'!$F$5:$F$63,MATCH(I$3-$B165,'D Fleet'!$B$5:$B$63,0)),0)*IFERROR(INDEX('D Fleet'!$K$5:$K$36,INT(($B165/I$5))+1)+(($B165/I$5)-INT(($B165/I$5)))*(INDEX('D Fleet'!$K$5:$K$36,INT(($B165/I$5))+2)-INDEX('D Fleet'!$K$5:$K$36,INT(($B165/I$5))+1)),0)</f>
        <v/>
      </c>
      <c r="J165" s="261">
        <f>IFERROR(INDEX('D Fleet'!$F$5:$F$63,MATCH(J$3-$B165,'D Fleet'!$B$5:$B$63,0)),0)*IFERROR(INDEX('D Fleet'!$K$5:$K$36,INT(($B165/J$5))+1)+(($B165/J$5)-INT(($B165/J$5)))*(INDEX('D Fleet'!$K$5:$K$36,INT(($B165/J$5))+2)-INDEX('D Fleet'!$K$5:$K$36,INT(($B165/J$5))+1)),0)</f>
        <v/>
      </c>
      <c r="K165" s="261">
        <f>IFERROR(INDEX('D Fleet'!$F$5:$F$63,MATCH(K$3-$B165,'D Fleet'!$B$5:$B$63,0)),0)*IFERROR(INDEX('D Fleet'!$K$5:$K$36,INT(($B165/K$5))+1)+(($B165/K$5)-INT(($B165/K$5)))*(INDEX('D Fleet'!$K$5:$K$36,INT(($B165/K$5))+2)-INDEX('D Fleet'!$K$5:$K$36,INT(($B165/K$5))+1)),0)</f>
        <v/>
      </c>
      <c r="L165" s="261">
        <f>IFERROR(INDEX('D Fleet'!$F$5:$F$63,MATCH(L$3-$B165,'D Fleet'!$B$5:$B$63,0)),0)*IFERROR(INDEX('D Fleet'!$K$5:$K$36,INT(($B165/L$5))+1)+(($B165/L$5)-INT(($B165/L$5)))*(INDEX('D Fleet'!$K$5:$K$36,INT(($B165/L$5))+2)-INDEX('D Fleet'!$K$5:$K$36,INT(($B165/L$5))+1)),0)</f>
        <v/>
      </c>
      <c r="M165" s="261">
        <f>IFERROR(INDEX('D Fleet'!$F$5:$F$63,MATCH(M$3-$B165,'D Fleet'!$B$5:$B$63,0)),0)*IFERROR(INDEX('D Fleet'!$K$5:$K$36,INT(($B165/M$5))+1)+(($B165/M$5)-INT(($B165/M$5)))*(INDEX('D Fleet'!$K$5:$K$36,INT(($B165/M$5))+2)-INDEX('D Fleet'!$K$5:$K$36,INT(($B165/M$5))+1)),0)</f>
        <v/>
      </c>
      <c r="N165" s="261">
        <f>IFERROR(INDEX('D Fleet'!$F$5:$F$63,MATCH(N$3-$B165,'D Fleet'!$B$5:$B$63,0)),0)*IFERROR(INDEX('D Fleet'!$K$5:$K$36,INT(($B165/N$5))+1)+(($B165/N$5)-INT(($B165/N$5)))*(INDEX('D Fleet'!$K$5:$K$36,INT(($B165/N$5))+2)-INDEX('D Fleet'!$K$5:$K$36,INT(($B165/N$5))+1)),0)</f>
        <v/>
      </c>
      <c r="P165" s="261">
        <f>E165*$D165*'E1 Fleet'!$D$100</f>
        <v/>
      </c>
      <c r="Q165" s="261">
        <f>F165*$D165*'E1 Fleet'!$D$100</f>
        <v/>
      </c>
      <c r="R165" s="261">
        <f>G165*$D165*'E1 Fleet'!$D$100</f>
        <v/>
      </c>
      <c r="S165" s="261">
        <f>H165*$D165*'E1 Fleet'!$D$100</f>
        <v/>
      </c>
      <c r="T165" s="261">
        <f>I165*$D165*'E1 Fleet'!$D$100</f>
        <v/>
      </c>
      <c r="U165" s="261">
        <f>J165*$D165*'E1 Fleet'!$D$100</f>
        <v/>
      </c>
      <c r="V165" s="261">
        <f>K165*$D165*'E1 Fleet'!$D$100</f>
        <v/>
      </c>
      <c r="W165" s="261">
        <f>L165*$D165*'E1 Fleet'!$D$100</f>
        <v/>
      </c>
      <c r="X165" s="261">
        <f>M165*$D165*'E1 Fleet'!$D$100</f>
        <v/>
      </c>
      <c r="Y165" s="261">
        <f>N165*$D165*'E1 Fleet'!$D$100</f>
        <v/>
      </c>
    </row>
    <row r="166">
      <c r="A166" t="inlineStr">
        <is>
          <t>Van</t>
        </is>
      </c>
      <c r="B166" s="331" t="n">
        <v>21</v>
      </c>
      <c r="C166" s="331" t="n">
        <v>3</v>
      </c>
      <c r="D166" s="266">
        <f>IF($B166=0,'E1 Fleet'!$D$93,1)*EXP(-'E1 Fleet'!$D$94*MAX($B166-6,0))</f>
        <v/>
      </c>
      <c r="E166" s="261">
        <f>IFERROR(INDEX('D Fleet'!$F$5:$F$63,MATCH(E$3-$B166,'D Fleet'!$B$5:$B$63,0)),0)*IFERROR(INDEX('D Fleet'!$K$5:$K$36,INT(($B166/E$5))+1)+(($B166/E$5)-INT(($B166/E$5)))*(INDEX('D Fleet'!$K$5:$K$36,INT(($B166/E$5))+2)-INDEX('D Fleet'!$K$5:$K$36,INT(($B166/E$5))+1)),0)</f>
        <v/>
      </c>
      <c r="F166" s="261">
        <f>IFERROR(INDEX('D Fleet'!$F$5:$F$63,MATCH(F$3-$B166,'D Fleet'!$B$5:$B$63,0)),0)*IFERROR(INDEX('D Fleet'!$K$5:$K$36,INT(($B166/F$5))+1)+(($B166/F$5)-INT(($B166/F$5)))*(INDEX('D Fleet'!$K$5:$K$36,INT(($B166/F$5))+2)-INDEX('D Fleet'!$K$5:$K$36,INT(($B166/F$5))+1)),0)</f>
        <v/>
      </c>
      <c r="G166" s="261">
        <f>IFERROR(INDEX('D Fleet'!$F$5:$F$63,MATCH(G$3-$B166,'D Fleet'!$B$5:$B$63,0)),0)*IFERROR(INDEX('D Fleet'!$K$5:$K$36,INT(($B166/G$5))+1)+(($B166/G$5)-INT(($B166/G$5)))*(INDEX('D Fleet'!$K$5:$K$36,INT(($B166/G$5))+2)-INDEX('D Fleet'!$K$5:$K$36,INT(($B166/G$5))+1)),0)</f>
        <v/>
      </c>
      <c r="H166" s="261">
        <f>IFERROR(INDEX('D Fleet'!$F$5:$F$63,MATCH(H$3-$B166,'D Fleet'!$B$5:$B$63,0)),0)*IFERROR(INDEX('D Fleet'!$K$5:$K$36,INT(($B166/H$5))+1)+(($B166/H$5)-INT(($B166/H$5)))*(INDEX('D Fleet'!$K$5:$K$36,INT(($B166/H$5))+2)-INDEX('D Fleet'!$K$5:$K$36,INT(($B166/H$5))+1)),0)</f>
        <v/>
      </c>
      <c r="I166" s="261">
        <f>IFERROR(INDEX('D Fleet'!$F$5:$F$63,MATCH(I$3-$B166,'D Fleet'!$B$5:$B$63,0)),0)*IFERROR(INDEX('D Fleet'!$K$5:$K$36,INT(($B166/I$5))+1)+(($B166/I$5)-INT(($B166/I$5)))*(INDEX('D Fleet'!$K$5:$K$36,INT(($B166/I$5))+2)-INDEX('D Fleet'!$K$5:$K$36,INT(($B166/I$5))+1)),0)</f>
        <v/>
      </c>
      <c r="J166" s="261">
        <f>IFERROR(INDEX('D Fleet'!$F$5:$F$63,MATCH(J$3-$B166,'D Fleet'!$B$5:$B$63,0)),0)*IFERROR(INDEX('D Fleet'!$K$5:$K$36,INT(($B166/J$5))+1)+(($B166/J$5)-INT(($B166/J$5)))*(INDEX('D Fleet'!$K$5:$K$36,INT(($B166/J$5))+2)-INDEX('D Fleet'!$K$5:$K$36,INT(($B166/J$5))+1)),0)</f>
        <v/>
      </c>
      <c r="K166" s="261">
        <f>IFERROR(INDEX('D Fleet'!$F$5:$F$63,MATCH(K$3-$B166,'D Fleet'!$B$5:$B$63,0)),0)*IFERROR(INDEX('D Fleet'!$K$5:$K$36,INT(($B166/K$5))+1)+(($B166/K$5)-INT(($B166/K$5)))*(INDEX('D Fleet'!$K$5:$K$36,INT(($B166/K$5))+2)-INDEX('D Fleet'!$K$5:$K$36,INT(($B166/K$5))+1)),0)</f>
        <v/>
      </c>
      <c r="L166" s="261">
        <f>IFERROR(INDEX('D Fleet'!$F$5:$F$63,MATCH(L$3-$B166,'D Fleet'!$B$5:$B$63,0)),0)*IFERROR(INDEX('D Fleet'!$K$5:$K$36,INT(($B166/L$5))+1)+(($B166/L$5)-INT(($B166/L$5)))*(INDEX('D Fleet'!$K$5:$K$36,INT(($B166/L$5))+2)-INDEX('D Fleet'!$K$5:$K$36,INT(($B166/L$5))+1)),0)</f>
        <v/>
      </c>
      <c r="M166" s="261">
        <f>IFERROR(INDEX('D Fleet'!$F$5:$F$63,MATCH(M$3-$B166,'D Fleet'!$B$5:$B$63,0)),0)*IFERROR(INDEX('D Fleet'!$K$5:$K$36,INT(($B166/M$5))+1)+(($B166/M$5)-INT(($B166/M$5)))*(INDEX('D Fleet'!$K$5:$K$36,INT(($B166/M$5))+2)-INDEX('D Fleet'!$K$5:$K$36,INT(($B166/M$5))+1)),0)</f>
        <v/>
      </c>
      <c r="N166" s="261">
        <f>IFERROR(INDEX('D Fleet'!$F$5:$F$63,MATCH(N$3-$B166,'D Fleet'!$B$5:$B$63,0)),0)*IFERROR(INDEX('D Fleet'!$K$5:$K$36,INT(($B166/N$5))+1)+(($B166/N$5)-INT(($B166/N$5)))*(INDEX('D Fleet'!$K$5:$K$36,INT(($B166/N$5))+2)-INDEX('D Fleet'!$K$5:$K$36,INT(($B166/N$5))+1)),0)</f>
        <v/>
      </c>
      <c r="P166" s="261">
        <f>E166*$D166*'E1 Fleet'!$D$100</f>
        <v/>
      </c>
      <c r="Q166" s="261">
        <f>F166*$D166*'E1 Fleet'!$D$100</f>
        <v/>
      </c>
      <c r="R166" s="261">
        <f>G166*$D166*'E1 Fleet'!$D$100</f>
        <v/>
      </c>
      <c r="S166" s="261">
        <f>H166*$D166*'E1 Fleet'!$D$100</f>
        <v/>
      </c>
      <c r="T166" s="261">
        <f>I166*$D166*'E1 Fleet'!$D$100</f>
        <v/>
      </c>
      <c r="U166" s="261">
        <f>J166*$D166*'E1 Fleet'!$D$100</f>
        <v/>
      </c>
      <c r="V166" s="261">
        <f>K166*$D166*'E1 Fleet'!$D$100</f>
        <v/>
      </c>
      <c r="W166" s="261">
        <f>L166*$D166*'E1 Fleet'!$D$100</f>
        <v/>
      </c>
      <c r="X166" s="261">
        <f>M166*$D166*'E1 Fleet'!$D$100</f>
        <v/>
      </c>
      <c r="Y166" s="261">
        <f>N166*$D166*'E1 Fleet'!$D$100</f>
        <v/>
      </c>
    </row>
    <row r="167">
      <c r="A167" t="inlineStr">
        <is>
          <t>Van</t>
        </is>
      </c>
      <c r="B167" s="331" t="n">
        <v>22</v>
      </c>
      <c r="C167" s="331" t="n">
        <v>3</v>
      </c>
      <c r="D167" s="266">
        <f>IF($B167=0,'E1 Fleet'!$D$93,1)*EXP(-'E1 Fleet'!$D$94*MAX($B167-6,0))</f>
        <v/>
      </c>
      <c r="E167" s="261">
        <f>IFERROR(INDEX('D Fleet'!$F$5:$F$63,MATCH(E$3-$B167,'D Fleet'!$B$5:$B$63,0)),0)*IFERROR(INDEX('D Fleet'!$K$5:$K$36,INT(($B167/E$5))+1)+(($B167/E$5)-INT(($B167/E$5)))*(INDEX('D Fleet'!$K$5:$K$36,INT(($B167/E$5))+2)-INDEX('D Fleet'!$K$5:$K$36,INT(($B167/E$5))+1)),0)</f>
        <v/>
      </c>
      <c r="F167" s="261">
        <f>IFERROR(INDEX('D Fleet'!$F$5:$F$63,MATCH(F$3-$B167,'D Fleet'!$B$5:$B$63,0)),0)*IFERROR(INDEX('D Fleet'!$K$5:$K$36,INT(($B167/F$5))+1)+(($B167/F$5)-INT(($B167/F$5)))*(INDEX('D Fleet'!$K$5:$K$36,INT(($B167/F$5))+2)-INDEX('D Fleet'!$K$5:$K$36,INT(($B167/F$5))+1)),0)</f>
        <v/>
      </c>
      <c r="G167" s="261">
        <f>IFERROR(INDEX('D Fleet'!$F$5:$F$63,MATCH(G$3-$B167,'D Fleet'!$B$5:$B$63,0)),0)*IFERROR(INDEX('D Fleet'!$K$5:$K$36,INT(($B167/G$5))+1)+(($B167/G$5)-INT(($B167/G$5)))*(INDEX('D Fleet'!$K$5:$K$36,INT(($B167/G$5))+2)-INDEX('D Fleet'!$K$5:$K$36,INT(($B167/G$5))+1)),0)</f>
        <v/>
      </c>
      <c r="H167" s="261">
        <f>IFERROR(INDEX('D Fleet'!$F$5:$F$63,MATCH(H$3-$B167,'D Fleet'!$B$5:$B$63,0)),0)*IFERROR(INDEX('D Fleet'!$K$5:$K$36,INT(($B167/H$5))+1)+(($B167/H$5)-INT(($B167/H$5)))*(INDEX('D Fleet'!$K$5:$K$36,INT(($B167/H$5))+2)-INDEX('D Fleet'!$K$5:$K$36,INT(($B167/H$5))+1)),0)</f>
        <v/>
      </c>
      <c r="I167" s="261">
        <f>IFERROR(INDEX('D Fleet'!$F$5:$F$63,MATCH(I$3-$B167,'D Fleet'!$B$5:$B$63,0)),0)*IFERROR(INDEX('D Fleet'!$K$5:$K$36,INT(($B167/I$5))+1)+(($B167/I$5)-INT(($B167/I$5)))*(INDEX('D Fleet'!$K$5:$K$36,INT(($B167/I$5))+2)-INDEX('D Fleet'!$K$5:$K$36,INT(($B167/I$5))+1)),0)</f>
        <v/>
      </c>
      <c r="J167" s="261">
        <f>IFERROR(INDEX('D Fleet'!$F$5:$F$63,MATCH(J$3-$B167,'D Fleet'!$B$5:$B$63,0)),0)*IFERROR(INDEX('D Fleet'!$K$5:$K$36,INT(($B167/J$5))+1)+(($B167/J$5)-INT(($B167/J$5)))*(INDEX('D Fleet'!$K$5:$K$36,INT(($B167/J$5))+2)-INDEX('D Fleet'!$K$5:$K$36,INT(($B167/J$5))+1)),0)</f>
        <v/>
      </c>
      <c r="K167" s="261">
        <f>IFERROR(INDEX('D Fleet'!$F$5:$F$63,MATCH(K$3-$B167,'D Fleet'!$B$5:$B$63,0)),0)*IFERROR(INDEX('D Fleet'!$K$5:$K$36,INT(($B167/K$5))+1)+(($B167/K$5)-INT(($B167/K$5)))*(INDEX('D Fleet'!$K$5:$K$36,INT(($B167/K$5))+2)-INDEX('D Fleet'!$K$5:$K$36,INT(($B167/K$5))+1)),0)</f>
        <v/>
      </c>
      <c r="L167" s="261">
        <f>IFERROR(INDEX('D Fleet'!$F$5:$F$63,MATCH(L$3-$B167,'D Fleet'!$B$5:$B$63,0)),0)*IFERROR(INDEX('D Fleet'!$K$5:$K$36,INT(($B167/L$5))+1)+(($B167/L$5)-INT(($B167/L$5)))*(INDEX('D Fleet'!$K$5:$K$36,INT(($B167/L$5))+2)-INDEX('D Fleet'!$K$5:$K$36,INT(($B167/L$5))+1)),0)</f>
        <v/>
      </c>
      <c r="M167" s="261">
        <f>IFERROR(INDEX('D Fleet'!$F$5:$F$63,MATCH(M$3-$B167,'D Fleet'!$B$5:$B$63,0)),0)*IFERROR(INDEX('D Fleet'!$K$5:$K$36,INT(($B167/M$5))+1)+(($B167/M$5)-INT(($B167/M$5)))*(INDEX('D Fleet'!$K$5:$K$36,INT(($B167/M$5))+2)-INDEX('D Fleet'!$K$5:$K$36,INT(($B167/M$5))+1)),0)</f>
        <v/>
      </c>
      <c r="N167" s="261">
        <f>IFERROR(INDEX('D Fleet'!$F$5:$F$63,MATCH(N$3-$B167,'D Fleet'!$B$5:$B$63,0)),0)*IFERROR(INDEX('D Fleet'!$K$5:$K$36,INT(($B167/N$5))+1)+(($B167/N$5)-INT(($B167/N$5)))*(INDEX('D Fleet'!$K$5:$K$36,INT(($B167/N$5))+2)-INDEX('D Fleet'!$K$5:$K$36,INT(($B167/N$5))+1)),0)</f>
        <v/>
      </c>
      <c r="P167" s="261">
        <f>E167*$D167*'E1 Fleet'!$D$100</f>
        <v/>
      </c>
      <c r="Q167" s="261">
        <f>F167*$D167*'E1 Fleet'!$D$100</f>
        <v/>
      </c>
      <c r="R167" s="261">
        <f>G167*$D167*'E1 Fleet'!$D$100</f>
        <v/>
      </c>
      <c r="S167" s="261">
        <f>H167*$D167*'E1 Fleet'!$D$100</f>
        <v/>
      </c>
      <c r="T167" s="261">
        <f>I167*$D167*'E1 Fleet'!$D$100</f>
        <v/>
      </c>
      <c r="U167" s="261">
        <f>J167*$D167*'E1 Fleet'!$D$100</f>
        <v/>
      </c>
      <c r="V167" s="261">
        <f>K167*$D167*'E1 Fleet'!$D$100</f>
        <v/>
      </c>
      <c r="W167" s="261">
        <f>L167*$D167*'E1 Fleet'!$D$100</f>
        <v/>
      </c>
      <c r="X167" s="261">
        <f>M167*$D167*'E1 Fleet'!$D$100</f>
        <v/>
      </c>
      <c r="Y167" s="261">
        <f>N167*$D167*'E1 Fleet'!$D$100</f>
        <v/>
      </c>
    </row>
    <row r="168">
      <c r="A168" t="inlineStr">
        <is>
          <t>Van</t>
        </is>
      </c>
      <c r="B168" s="331" t="n">
        <v>23</v>
      </c>
      <c r="C168" s="331" t="n">
        <v>3</v>
      </c>
      <c r="D168" s="266">
        <f>IF($B168=0,'E1 Fleet'!$D$93,1)*EXP(-'E1 Fleet'!$D$94*MAX($B168-6,0))</f>
        <v/>
      </c>
      <c r="E168" s="261">
        <f>IFERROR(INDEX('D Fleet'!$F$5:$F$63,MATCH(E$3-$B168,'D Fleet'!$B$5:$B$63,0)),0)*IFERROR(INDEX('D Fleet'!$K$5:$K$36,INT(($B168/E$5))+1)+(($B168/E$5)-INT(($B168/E$5)))*(INDEX('D Fleet'!$K$5:$K$36,INT(($B168/E$5))+2)-INDEX('D Fleet'!$K$5:$K$36,INT(($B168/E$5))+1)),0)</f>
        <v/>
      </c>
      <c r="F168" s="261">
        <f>IFERROR(INDEX('D Fleet'!$F$5:$F$63,MATCH(F$3-$B168,'D Fleet'!$B$5:$B$63,0)),0)*IFERROR(INDEX('D Fleet'!$K$5:$K$36,INT(($B168/F$5))+1)+(($B168/F$5)-INT(($B168/F$5)))*(INDEX('D Fleet'!$K$5:$K$36,INT(($B168/F$5))+2)-INDEX('D Fleet'!$K$5:$K$36,INT(($B168/F$5))+1)),0)</f>
        <v/>
      </c>
      <c r="G168" s="261">
        <f>IFERROR(INDEX('D Fleet'!$F$5:$F$63,MATCH(G$3-$B168,'D Fleet'!$B$5:$B$63,0)),0)*IFERROR(INDEX('D Fleet'!$K$5:$K$36,INT(($B168/G$5))+1)+(($B168/G$5)-INT(($B168/G$5)))*(INDEX('D Fleet'!$K$5:$K$36,INT(($B168/G$5))+2)-INDEX('D Fleet'!$K$5:$K$36,INT(($B168/G$5))+1)),0)</f>
        <v/>
      </c>
      <c r="H168" s="261">
        <f>IFERROR(INDEX('D Fleet'!$F$5:$F$63,MATCH(H$3-$B168,'D Fleet'!$B$5:$B$63,0)),0)*IFERROR(INDEX('D Fleet'!$K$5:$K$36,INT(($B168/H$5))+1)+(($B168/H$5)-INT(($B168/H$5)))*(INDEX('D Fleet'!$K$5:$K$36,INT(($B168/H$5))+2)-INDEX('D Fleet'!$K$5:$K$36,INT(($B168/H$5))+1)),0)</f>
        <v/>
      </c>
      <c r="I168" s="261">
        <f>IFERROR(INDEX('D Fleet'!$F$5:$F$63,MATCH(I$3-$B168,'D Fleet'!$B$5:$B$63,0)),0)*IFERROR(INDEX('D Fleet'!$K$5:$K$36,INT(($B168/I$5))+1)+(($B168/I$5)-INT(($B168/I$5)))*(INDEX('D Fleet'!$K$5:$K$36,INT(($B168/I$5))+2)-INDEX('D Fleet'!$K$5:$K$36,INT(($B168/I$5))+1)),0)</f>
        <v/>
      </c>
      <c r="J168" s="261">
        <f>IFERROR(INDEX('D Fleet'!$F$5:$F$63,MATCH(J$3-$B168,'D Fleet'!$B$5:$B$63,0)),0)*IFERROR(INDEX('D Fleet'!$K$5:$K$36,INT(($B168/J$5))+1)+(($B168/J$5)-INT(($B168/J$5)))*(INDEX('D Fleet'!$K$5:$K$36,INT(($B168/J$5))+2)-INDEX('D Fleet'!$K$5:$K$36,INT(($B168/J$5))+1)),0)</f>
        <v/>
      </c>
      <c r="K168" s="261">
        <f>IFERROR(INDEX('D Fleet'!$F$5:$F$63,MATCH(K$3-$B168,'D Fleet'!$B$5:$B$63,0)),0)*IFERROR(INDEX('D Fleet'!$K$5:$K$36,INT(($B168/K$5))+1)+(($B168/K$5)-INT(($B168/K$5)))*(INDEX('D Fleet'!$K$5:$K$36,INT(($B168/K$5))+2)-INDEX('D Fleet'!$K$5:$K$36,INT(($B168/K$5))+1)),0)</f>
        <v/>
      </c>
      <c r="L168" s="261">
        <f>IFERROR(INDEX('D Fleet'!$F$5:$F$63,MATCH(L$3-$B168,'D Fleet'!$B$5:$B$63,0)),0)*IFERROR(INDEX('D Fleet'!$K$5:$K$36,INT(($B168/L$5))+1)+(($B168/L$5)-INT(($B168/L$5)))*(INDEX('D Fleet'!$K$5:$K$36,INT(($B168/L$5))+2)-INDEX('D Fleet'!$K$5:$K$36,INT(($B168/L$5))+1)),0)</f>
        <v/>
      </c>
      <c r="M168" s="261">
        <f>IFERROR(INDEX('D Fleet'!$F$5:$F$63,MATCH(M$3-$B168,'D Fleet'!$B$5:$B$63,0)),0)*IFERROR(INDEX('D Fleet'!$K$5:$K$36,INT(($B168/M$5))+1)+(($B168/M$5)-INT(($B168/M$5)))*(INDEX('D Fleet'!$K$5:$K$36,INT(($B168/M$5))+2)-INDEX('D Fleet'!$K$5:$K$36,INT(($B168/M$5))+1)),0)</f>
        <v/>
      </c>
      <c r="N168" s="261">
        <f>IFERROR(INDEX('D Fleet'!$F$5:$F$63,MATCH(N$3-$B168,'D Fleet'!$B$5:$B$63,0)),0)*IFERROR(INDEX('D Fleet'!$K$5:$K$36,INT(($B168/N$5))+1)+(($B168/N$5)-INT(($B168/N$5)))*(INDEX('D Fleet'!$K$5:$K$36,INT(($B168/N$5))+2)-INDEX('D Fleet'!$K$5:$K$36,INT(($B168/N$5))+1)),0)</f>
        <v/>
      </c>
      <c r="P168" s="261">
        <f>E168*$D168*'E1 Fleet'!$D$100</f>
        <v/>
      </c>
      <c r="Q168" s="261">
        <f>F168*$D168*'E1 Fleet'!$D$100</f>
        <v/>
      </c>
      <c r="R168" s="261">
        <f>G168*$D168*'E1 Fleet'!$D$100</f>
        <v/>
      </c>
      <c r="S168" s="261">
        <f>H168*$D168*'E1 Fleet'!$D$100</f>
        <v/>
      </c>
      <c r="T168" s="261">
        <f>I168*$D168*'E1 Fleet'!$D$100</f>
        <v/>
      </c>
      <c r="U168" s="261">
        <f>J168*$D168*'E1 Fleet'!$D$100</f>
        <v/>
      </c>
      <c r="V168" s="261">
        <f>K168*$D168*'E1 Fleet'!$D$100</f>
        <v/>
      </c>
      <c r="W168" s="261">
        <f>L168*$D168*'E1 Fleet'!$D$100</f>
        <v/>
      </c>
      <c r="X168" s="261">
        <f>M168*$D168*'E1 Fleet'!$D$100</f>
        <v/>
      </c>
      <c r="Y168" s="261">
        <f>N168*$D168*'E1 Fleet'!$D$100</f>
        <v/>
      </c>
    </row>
    <row r="169">
      <c r="A169" t="inlineStr">
        <is>
          <t>Van</t>
        </is>
      </c>
      <c r="B169" s="331" t="n">
        <v>24</v>
      </c>
      <c r="C169" s="331" t="n">
        <v>3</v>
      </c>
      <c r="D169" s="266">
        <f>IF($B169=0,'E1 Fleet'!$D$93,1)*EXP(-'E1 Fleet'!$D$94*MAX($B169-6,0))</f>
        <v/>
      </c>
      <c r="E169" s="261">
        <f>IFERROR(INDEX('D Fleet'!$F$5:$F$63,MATCH(E$3-$B169,'D Fleet'!$B$5:$B$63,0)),0)*IFERROR(INDEX('D Fleet'!$K$5:$K$36,INT(($B169/E$5))+1)+(($B169/E$5)-INT(($B169/E$5)))*(INDEX('D Fleet'!$K$5:$K$36,INT(($B169/E$5))+2)-INDEX('D Fleet'!$K$5:$K$36,INT(($B169/E$5))+1)),0)</f>
        <v/>
      </c>
      <c r="F169" s="261">
        <f>IFERROR(INDEX('D Fleet'!$F$5:$F$63,MATCH(F$3-$B169,'D Fleet'!$B$5:$B$63,0)),0)*IFERROR(INDEX('D Fleet'!$K$5:$K$36,INT(($B169/F$5))+1)+(($B169/F$5)-INT(($B169/F$5)))*(INDEX('D Fleet'!$K$5:$K$36,INT(($B169/F$5))+2)-INDEX('D Fleet'!$K$5:$K$36,INT(($B169/F$5))+1)),0)</f>
        <v/>
      </c>
      <c r="G169" s="261">
        <f>IFERROR(INDEX('D Fleet'!$F$5:$F$63,MATCH(G$3-$B169,'D Fleet'!$B$5:$B$63,0)),0)*IFERROR(INDEX('D Fleet'!$K$5:$K$36,INT(($B169/G$5))+1)+(($B169/G$5)-INT(($B169/G$5)))*(INDEX('D Fleet'!$K$5:$K$36,INT(($B169/G$5))+2)-INDEX('D Fleet'!$K$5:$K$36,INT(($B169/G$5))+1)),0)</f>
        <v/>
      </c>
      <c r="H169" s="261">
        <f>IFERROR(INDEX('D Fleet'!$F$5:$F$63,MATCH(H$3-$B169,'D Fleet'!$B$5:$B$63,0)),0)*IFERROR(INDEX('D Fleet'!$K$5:$K$36,INT(($B169/H$5))+1)+(($B169/H$5)-INT(($B169/H$5)))*(INDEX('D Fleet'!$K$5:$K$36,INT(($B169/H$5))+2)-INDEX('D Fleet'!$K$5:$K$36,INT(($B169/H$5))+1)),0)</f>
        <v/>
      </c>
      <c r="I169" s="261">
        <f>IFERROR(INDEX('D Fleet'!$F$5:$F$63,MATCH(I$3-$B169,'D Fleet'!$B$5:$B$63,0)),0)*IFERROR(INDEX('D Fleet'!$K$5:$K$36,INT(($B169/I$5))+1)+(($B169/I$5)-INT(($B169/I$5)))*(INDEX('D Fleet'!$K$5:$K$36,INT(($B169/I$5))+2)-INDEX('D Fleet'!$K$5:$K$36,INT(($B169/I$5))+1)),0)</f>
        <v/>
      </c>
      <c r="J169" s="261">
        <f>IFERROR(INDEX('D Fleet'!$F$5:$F$63,MATCH(J$3-$B169,'D Fleet'!$B$5:$B$63,0)),0)*IFERROR(INDEX('D Fleet'!$K$5:$K$36,INT(($B169/J$5))+1)+(($B169/J$5)-INT(($B169/J$5)))*(INDEX('D Fleet'!$K$5:$K$36,INT(($B169/J$5))+2)-INDEX('D Fleet'!$K$5:$K$36,INT(($B169/J$5))+1)),0)</f>
        <v/>
      </c>
      <c r="K169" s="261">
        <f>IFERROR(INDEX('D Fleet'!$F$5:$F$63,MATCH(K$3-$B169,'D Fleet'!$B$5:$B$63,0)),0)*IFERROR(INDEX('D Fleet'!$K$5:$K$36,INT(($B169/K$5))+1)+(($B169/K$5)-INT(($B169/K$5)))*(INDEX('D Fleet'!$K$5:$K$36,INT(($B169/K$5))+2)-INDEX('D Fleet'!$K$5:$K$36,INT(($B169/K$5))+1)),0)</f>
        <v/>
      </c>
      <c r="L169" s="261">
        <f>IFERROR(INDEX('D Fleet'!$F$5:$F$63,MATCH(L$3-$B169,'D Fleet'!$B$5:$B$63,0)),0)*IFERROR(INDEX('D Fleet'!$K$5:$K$36,INT(($B169/L$5))+1)+(($B169/L$5)-INT(($B169/L$5)))*(INDEX('D Fleet'!$K$5:$K$36,INT(($B169/L$5))+2)-INDEX('D Fleet'!$K$5:$K$36,INT(($B169/L$5))+1)),0)</f>
        <v/>
      </c>
      <c r="M169" s="261">
        <f>IFERROR(INDEX('D Fleet'!$F$5:$F$63,MATCH(M$3-$B169,'D Fleet'!$B$5:$B$63,0)),0)*IFERROR(INDEX('D Fleet'!$K$5:$K$36,INT(($B169/M$5))+1)+(($B169/M$5)-INT(($B169/M$5)))*(INDEX('D Fleet'!$K$5:$K$36,INT(($B169/M$5))+2)-INDEX('D Fleet'!$K$5:$K$36,INT(($B169/M$5))+1)),0)</f>
        <v/>
      </c>
      <c r="N169" s="261">
        <f>IFERROR(INDEX('D Fleet'!$F$5:$F$63,MATCH(N$3-$B169,'D Fleet'!$B$5:$B$63,0)),0)*IFERROR(INDEX('D Fleet'!$K$5:$K$36,INT(($B169/N$5))+1)+(($B169/N$5)-INT(($B169/N$5)))*(INDEX('D Fleet'!$K$5:$K$36,INT(($B169/N$5))+2)-INDEX('D Fleet'!$K$5:$K$36,INT(($B169/N$5))+1)),0)</f>
        <v/>
      </c>
      <c r="P169" s="261">
        <f>E169*$D169*'E1 Fleet'!$D$100</f>
        <v/>
      </c>
      <c r="Q169" s="261">
        <f>F169*$D169*'E1 Fleet'!$D$100</f>
        <v/>
      </c>
      <c r="R169" s="261">
        <f>G169*$D169*'E1 Fleet'!$D$100</f>
        <v/>
      </c>
      <c r="S169" s="261">
        <f>H169*$D169*'E1 Fleet'!$D$100</f>
        <v/>
      </c>
      <c r="T169" s="261">
        <f>I169*$D169*'E1 Fleet'!$D$100</f>
        <v/>
      </c>
      <c r="U169" s="261">
        <f>J169*$D169*'E1 Fleet'!$D$100</f>
        <v/>
      </c>
      <c r="V169" s="261">
        <f>K169*$D169*'E1 Fleet'!$D$100</f>
        <v/>
      </c>
      <c r="W169" s="261">
        <f>L169*$D169*'E1 Fleet'!$D$100</f>
        <v/>
      </c>
      <c r="X169" s="261">
        <f>M169*$D169*'E1 Fleet'!$D$100</f>
        <v/>
      </c>
      <c r="Y169" s="261">
        <f>N169*$D169*'E1 Fleet'!$D$100</f>
        <v/>
      </c>
    </row>
    <row r="170">
      <c r="A170" t="inlineStr">
        <is>
          <t>Van</t>
        </is>
      </c>
      <c r="B170" s="331" t="n">
        <v>25</v>
      </c>
      <c r="C170" s="331" t="n">
        <v>3</v>
      </c>
      <c r="D170" s="266">
        <f>IF($B170=0,'E1 Fleet'!$D$93,1)*EXP(-'E1 Fleet'!$D$94*MAX($B170-6,0))</f>
        <v/>
      </c>
      <c r="E170" s="261">
        <f>IFERROR(INDEX('D Fleet'!$F$5:$F$63,MATCH(E$3-$B170,'D Fleet'!$B$5:$B$63,0)),0)*IFERROR(INDEX('D Fleet'!$K$5:$K$36,INT(($B170/E$5))+1)+(($B170/E$5)-INT(($B170/E$5)))*(INDEX('D Fleet'!$K$5:$K$36,INT(($B170/E$5))+2)-INDEX('D Fleet'!$K$5:$K$36,INT(($B170/E$5))+1)),0)</f>
        <v/>
      </c>
      <c r="F170" s="261">
        <f>IFERROR(INDEX('D Fleet'!$F$5:$F$63,MATCH(F$3-$B170,'D Fleet'!$B$5:$B$63,0)),0)*IFERROR(INDEX('D Fleet'!$K$5:$K$36,INT(($B170/F$5))+1)+(($B170/F$5)-INT(($B170/F$5)))*(INDEX('D Fleet'!$K$5:$K$36,INT(($B170/F$5))+2)-INDEX('D Fleet'!$K$5:$K$36,INT(($B170/F$5))+1)),0)</f>
        <v/>
      </c>
      <c r="G170" s="261">
        <f>IFERROR(INDEX('D Fleet'!$F$5:$F$63,MATCH(G$3-$B170,'D Fleet'!$B$5:$B$63,0)),0)*IFERROR(INDEX('D Fleet'!$K$5:$K$36,INT(($B170/G$5))+1)+(($B170/G$5)-INT(($B170/G$5)))*(INDEX('D Fleet'!$K$5:$K$36,INT(($B170/G$5))+2)-INDEX('D Fleet'!$K$5:$K$36,INT(($B170/G$5))+1)),0)</f>
        <v/>
      </c>
      <c r="H170" s="261">
        <f>IFERROR(INDEX('D Fleet'!$F$5:$F$63,MATCH(H$3-$B170,'D Fleet'!$B$5:$B$63,0)),0)*IFERROR(INDEX('D Fleet'!$K$5:$K$36,INT(($B170/H$5))+1)+(($B170/H$5)-INT(($B170/H$5)))*(INDEX('D Fleet'!$K$5:$K$36,INT(($B170/H$5))+2)-INDEX('D Fleet'!$K$5:$K$36,INT(($B170/H$5))+1)),0)</f>
        <v/>
      </c>
      <c r="I170" s="261">
        <f>IFERROR(INDEX('D Fleet'!$F$5:$F$63,MATCH(I$3-$B170,'D Fleet'!$B$5:$B$63,0)),0)*IFERROR(INDEX('D Fleet'!$K$5:$K$36,INT(($B170/I$5))+1)+(($B170/I$5)-INT(($B170/I$5)))*(INDEX('D Fleet'!$K$5:$K$36,INT(($B170/I$5))+2)-INDEX('D Fleet'!$K$5:$K$36,INT(($B170/I$5))+1)),0)</f>
        <v/>
      </c>
      <c r="J170" s="261">
        <f>IFERROR(INDEX('D Fleet'!$F$5:$F$63,MATCH(J$3-$B170,'D Fleet'!$B$5:$B$63,0)),0)*IFERROR(INDEX('D Fleet'!$K$5:$K$36,INT(($B170/J$5))+1)+(($B170/J$5)-INT(($B170/J$5)))*(INDEX('D Fleet'!$K$5:$K$36,INT(($B170/J$5))+2)-INDEX('D Fleet'!$K$5:$K$36,INT(($B170/J$5))+1)),0)</f>
        <v/>
      </c>
      <c r="K170" s="261">
        <f>IFERROR(INDEX('D Fleet'!$F$5:$F$63,MATCH(K$3-$B170,'D Fleet'!$B$5:$B$63,0)),0)*IFERROR(INDEX('D Fleet'!$K$5:$K$36,INT(($B170/K$5))+1)+(($B170/K$5)-INT(($B170/K$5)))*(INDEX('D Fleet'!$K$5:$K$36,INT(($B170/K$5))+2)-INDEX('D Fleet'!$K$5:$K$36,INT(($B170/K$5))+1)),0)</f>
        <v/>
      </c>
      <c r="L170" s="261">
        <f>IFERROR(INDEX('D Fleet'!$F$5:$F$63,MATCH(L$3-$B170,'D Fleet'!$B$5:$B$63,0)),0)*IFERROR(INDEX('D Fleet'!$K$5:$K$36,INT(($B170/L$5))+1)+(($B170/L$5)-INT(($B170/L$5)))*(INDEX('D Fleet'!$K$5:$K$36,INT(($B170/L$5))+2)-INDEX('D Fleet'!$K$5:$K$36,INT(($B170/L$5))+1)),0)</f>
        <v/>
      </c>
      <c r="M170" s="261">
        <f>IFERROR(INDEX('D Fleet'!$F$5:$F$63,MATCH(M$3-$B170,'D Fleet'!$B$5:$B$63,0)),0)*IFERROR(INDEX('D Fleet'!$K$5:$K$36,INT(($B170/M$5))+1)+(($B170/M$5)-INT(($B170/M$5)))*(INDEX('D Fleet'!$K$5:$K$36,INT(($B170/M$5))+2)-INDEX('D Fleet'!$K$5:$K$36,INT(($B170/M$5))+1)),0)</f>
        <v/>
      </c>
      <c r="N170" s="261">
        <f>IFERROR(INDEX('D Fleet'!$F$5:$F$63,MATCH(N$3-$B170,'D Fleet'!$B$5:$B$63,0)),0)*IFERROR(INDEX('D Fleet'!$K$5:$K$36,INT(($B170/N$5))+1)+(($B170/N$5)-INT(($B170/N$5)))*(INDEX('D Fleet'!$K$5:$K$36,INT(($B170/N$5))+2)-INDEX('D Fleet'!$K$5:$K$36,INT(($B170/N$5))+1)),0)</f>
        <v/>
      </c>
      <c r="P170" s="261">
        <f>E170*$D170*'E1 Fleet'!$D$100</f>
        <v/>
      </c>
      <c r="Q170" s="261">
        <f>F170*$D170*'E1 Fleet'!$D$100</f>
        <v/>
      </c>
      <c r="R170" s="261">
        <f>G170*$D170*'E1 Fleet'!$D$100</f>
        <v/>
      </c>
      <c r="S170" s="261">
        <f>H170*$D170*'E1 Fleet'!$D$100</f>
        <v/>
      </c>
      <c r="T170" s="261">
        <f>I170*$D170*'E1 Fleet'!$D$100</f>
        <v/>
      </c>
      <c r="U170" s="261">
        <f>J170*$D170*'E1 Fleet'!$D$100</f>
        <v/>
      </c>
      <c r="V170" s="261">
        <f>K170*$D170*'E1 Fleet'!$D$100</f>
        <v/>
      </c>
      <c r="W170" s="261">
        <f>L170*$D170*'E1 Fleet'!$D$100</f>
        <v/>
      </c>
      <c r="X170" s="261">
        <f>M170*$D170*'E1 Fleet'!$D$100</f>
        <v/>
      </c>
      <c r="Y170" s="261">
        <f>N170*$D170*'E1 Fleet'!$D$100</f>
        <v/>
      </c>
    </row>
    <row r="171">
      <c r="A171" t="inlineStr">
        <is>
          <t>Van</t>
        </is>
      </c>
      <c r="B171" s="331" t="n">
        <v>26</v>
      </c>
      <c r="C171" s="331" t="n">
        <v>3</v>
      </c>
      <c r="D171" s="266">
        <f>IF($B171=0,'E1 Fleet'!$D$93,1)*EXP(-'E1 Fleet'!$D$94*MAX($B171-6,0))</f>
        <v/>
      </c>
      <c r="E171" s="261">
        <f>IFERROR(INDEX('D Fleet'!$F$5:$F$63,MATCH(E$3-$B171,'D Fleet'!$B$5:$B$63,0)),0)*IFERROR(INDEX('D Fleet'!$K$5:$K$36,INT(($B171/E$5))+1)+(($B171/E$5)-INT(($B171/E$5)))*(INDEX('D Fleet'!$K$5:$K$36,INT(($B171/E$5))+2)-INDEX('D Fleet'!$K$5:$K$36,INT(($B171/E$5))+1)),0)</f>
        <v/>
      </c>
      <c r="F171" s="261">
        <f>IFERROR(INDEX('D Fleet'!$F$5:$F$63,MATCH(F$3-$B171,'D Fleet'!$B$5:$B$63,0)),0)*IFERROR(INDEX('D Fleet'!$K$5:$K$36,INT(($B171/F$5))+1)+(($B171/F$5)-INT(($B171/F$5)))*(INDEX('D Fleet'!$K$5:$K$36,INT(($B171/F$5))+2)-INDEX('D Fleet'!$K$5:$K$36,INT(($B171/F$5))+1)),0)</f>
        <v/>
      </c>
      <c r="G171" s="261">
        <f>IFERROR(INDEX('D Fleet'!$F$5:$F$63,MATCH(G$3-$B171,'D Fleet'!$B$5:$B$63,0)),0)*IFERROR(INDEX('D Fleet'!$K$5:$K$36,INT(($B171/G$5))+1)+(($B171/G$5)-INT(($B171/G$5)))*(INDEX('D Fleet'!$K$5:$K$36,INT(($B171/G$5))+2)-INDEX('D Fleet'!$K$5:$K$36,INT(($B171/G$5))+1)),0)</f>
        <v/>
      </c>
      <c r="H171" s="261">
        <f>IFERROR(INDEX('D Fleet'!$F$5:$F$63,MATCH(H$3-$B171,'D Fleet'!$B$5:$B$63,0)),0)*IFERROR(INDEX('D Fleet'!$K$5:$K$36,INT(($B171/H$5))+1)+(($B171/H$5)-INT(($B171/H$5)))*(INDEX('D Fleet'!$K$5:$K$36,INT(($B171/H$5))+2)-INDEX('D Fleet'!$K$5:$K$36,INT(($B171/H$5))+1)),0)</f>
        <v/>
      </c>
      <c r="I171" s="261">
        <f>IFERROR(INDEX('D Fleet'!$F$5:$F$63,MATCH(I$3-$B171,'D Fleet'!$B$5:$B$63,0)),0)*IFERROR(INDEX('D Fleet'!$K$5:$K$36,INT(($B171/I$5))+1)+(($B171/I$5)-INT(($B171/I$5)))*(INDEX('D Fleet'!$K$5:$K$36,INT(($B171/I$5))+2)-INDEX('D Fleet'!$K$5:$K$36,INT(($B171/I$5))+1)),0)</f>
        <v/>
      </c>
      <c r="J171" s="261">
        <f>IFERROR(INDEX('D Fleet'!$F$5:$F$63,MATCH(J$3-$B171,'D Fleet'!$B$5:$B$63,0)),0)*IFERROR(INDEX('D Fleet'!$K$5:$K$36,INT(($B171/J$5))+1)+(($B171/J$5)-INT(($B171/J$5)))*(INDEX('D Fleet'!$K$5:$K$36,INT(($B171/J$5))+2)-INDEX('D Fleet'!$K$5:$K$36,INT(($B171/J$5))+1)),0)</f>
        <v/>
      </c>
      <c r="K171" s="261">
        <f>IFERROR(INDEX('D Fleet'!$F$5:$F$63,MATCH(K$3-$B171,'D Fleet'!$B$5:$B$63,0)),0)*IFERROR(INDEX('D Fleet'!$K$5:$K$36,INT(($B171/K$5))+1)+(($B171/K$5)-INT(($B171/K$5)))*(INDEX('D Fleet'!$K$5:$K$36,INT(($B171/K$5))+2)-INDEX('D Fleet'!$K$5:$K$36,INT(($B171/K$5))+1)),0)</f>
        <v/>
      </c>
      <c r="L171" s="261">
        <f>IFERROR(INDEX('D Fleet'!$F$5:$F$63,MATCH(L$3-$B171,'D Fleet'!$B$5:$B$63,0)),0)*IFERROR(INDEX('D Fleet'!$K$5:$K$36,INT(($B171/L$5))+1)+(($B171/L$5)-INT(($B171/L$5)))*(INDEX('D Fleet'!$K$5:$K$36,INT(($B171/L$5))+2)-INDEX('D Fleet'!$K$5:$K$36,INT(($B171/L$5))+1)),0)</f>
        <v/>
      </c>
      <c r="M171" s="261">
        <f>IFERROR(INDEX('D Fleet'!$F$5:$F$63,MATCH(M$3-$B171,'D Fleet'!$B$5:$B$63,0)),0)*IFERROR(INDEX('D Fleet'!$K$5:$K$36,INT(($B171/M$5))+1)+(($B171/M$5)-INT(($B171/M$5)))*(INDEX('D Fleet'!$K$5:$K$36,INT(($B171/M$5))+2)-INDEX('D Fleet'!$K$5:$K$36,INT(($B171/M$5))+1)),0)</f>
        <v/>
      </c>
      <c r="N171" s="261">
        <f>IFERROR(INDEX('D Fleet'!$F$5:$F$63,MATCH(N$3-$B171,'D Fleet'!$B$5:$B$63,0)),0)*IFERROR(INDEX('D Fleet'!$K$5:$K$36,INT(($B171/N$5))+1)+(($B171/N$5)-INT(($B171/N$5)))*(INDEX('D Fleet'!$K$5:$K$36,INT(($B171/N$5))+2)-INDEX('D Fleet'!$K$5:$K$36,INT(($B171/N$5))+1)),0)</f>
        <v/>
      </c>
      <c r="P171" s="261">
        <f>E171*$D171*'E1 Fleet'!$D$100</f>
        <v/>
      </c>
      <c r="Q171" s="261">
        <f>F171*$D171*'E1 Fleet'!$D$100</f>
        <v/>
      </c>
      <c r="R171" s="261">
        <f>G171*$D171*'E1 Fleet'!$D$100</f>
        <v/>
      </c>
      <c r="S171" s="261">
        <f>H171*$D171*'E1 Fleet'!$D$100</f>
        <v/>
      </c>
      <c r="T171" s="261">
        <f>I171*$D171*'E1 Fleet'!$D$100</f>
        <v/>
      </c>
      <c r="U171" s="261">
        <f>J171*$D171*'E1 Fleet'!$D$100</f>
        <v/>
      </c>
      <c r="V171" s="261">
        <f>K171*$D171*'E1 Fleet'!$D$100</f>
        <v/>
      </c>
      <c r="W171" s="261">
        <f>L171*$D171*'E1 Fleet'!$D$100</f>
        <v/>
      </c>
      <c r="X171" s="261">
        <f>M171*$D171*'E1 Fleet'!$D$100</f>
        <v/>
      </c>
      <c r="Y171" s="261">
        <f>N171*$D171*'E1 Fleet'!$D$100</f>
        <v/>
      </c>
    </row>
    <row r="172">
      <c r="A172" t="inlineStr">
        <is>
          <t>Van</t>
        </is>
      </c>
      <c r="B172" s="331" t="n">
        <v>27</v>
      </c>
      <c r="C172" s="331" t="n">
        <v>3</v>
      </c>
      <c r="D172" s="266">
        <f>IF($B172=0,'E1 Fleet'!$D$93,1)*EXP(-'E1 Fleet'!$D$94*MAX($B172-6,0))</f>
        <v/>
      </c>
      <c r="E172" s="261">
        <f>IFERROR(INDEX('D Fleet'!$F$5:$F$63,MATCH(E$3-$B172,'D Fleet'!$B$5:$B$63,0)),0)*IFERROR(INDEX('D Fleet'!$K$5:$K$36,INT(($B172/E$5))+1)+(($B172/E$5)-INT(($B172/E$5)))*(INDEX('D Fleet'!$K$5:$K$36,INT(($B172/E$5))+2)-INDEX('D Fleet'!$K$5:$K$36,INT(($B172/E$5))+1)),0)</f>
        <v/>
      </c>
      <c r="F172" s="261">
        <f>IFERROR(INDEX('D Fleet'!$F$5:$F$63,MATCH(F$3-$B172,'D Fleet'!$B$5:$B$63,0)),0)*IFERROR(INDEX('D Fleet'!$K$5:$K$36,INT(($B172/F$5))+1)+(($B172/F$5)-INT(($B172/F$5)))*(INDEX('D Fleet'!$K$5:$K$36,INT(($B172/F$5))+2)-INDEX('D Fleet'!$K$5:$K$36,INT(($B172/F$5))+1)),0)</f>
        <v/>
      </c>
      <c r="G172" s="261">
        <f>IFERROR(INDEX('D Fleet'!$F$5:$F$63,MATCH(G$3-$B172,'D Fleet'!$B$5:$B$63,0)),0)*IFERROR(INDEX('D Fleet'!$K$5:$K$36,INT(($B172/G$5))+1)+(($B172/G$5)-INT(($B172/G$5)))*(INDEX('D Fleet'!$K$5:$K$36,INT(($B172/G$5))+2)-INDEX('D Fleet'!$K$5:$K$36,INT(($B172/G$5))+1)),0)</f>
        <v/>
      </c>
      <c r="H172" s="261">
        <f>IFERROR(INDEX('D Fleet'!$F$5:$F$63,MATCH(H$3-$B172,'D Fleet'!$B$5:$B$63,0)),0)*IFERROR(INDEX('D Fleet'!$K$5:$K$36,INT(($B172/H$5))+1)+(($B172/H$5)-INT(($B172/H$5)))*(INDEX('D Fleet'!$K$5:$K$36,INT(($B172/H$5))+2)-INDEX('D Fleet'!$K$5:$K$36,INT(($B172/H$5))+1)),0)</f>
        <v/>
      </c>
      <c r="I172" s="261">
        <f>IFERROR(INDEX('D Fleet'!$F$5:$F$63,MATCH(I$3-$B172,'D Fleet'!$B$5:$B$63,0)),0)*IFERROR(INDEX('D Fleet'!$K$5:$K$36,INT(($B172/I$5))+1)+(($B172/I$5)-INT(($B172/I$5)))*(INDEX('D Fleet'!$K$5:$K$36,INT(($B172/I$5))+2)-INDEX('D Fleet'!$K$5:$K$36,INT(($B172/I$5))+1)),0)</f>
        <v/>
      </c>
      <c r="J172" s="261">
        <f>IFERROR(INDEX('D Fleet'!$F$5:$F$63,MATCH(J$3-$B172,'D Fleet'!$B$5:$B$63,0)),0)*IFERROR(INDEX('D Fleet'!$K$5:$K$36,INT(($B172/J$5))+1)+(($B172/J$5)-INT(($B172/J$5)))*(INDEX('D Fleet'!$K$5:$K$36,INT(($B172/J$5))+2)-INDEX('D Fleet'!$K$5:$K$36,INT(($B172/J$5))+1)),0)</f>
        <v/>
      </c>
      <c r="K172" s="261">
        <f>IFERROR(INDEX('D Fleet'!$F$5:$F$63,MATCH(K$3-$B172,'D Fleet'!$B$5:$B$63,0)),0)*IFERROR(INDEX('D Fleet'!$K$5:$K$36,INT(($B172/K$5))+1)+(($B172/K$5)-INT(($B172/K$5)))*(INDEX('D Fleet'!$K$5:$K$36,INT(($B172/K$5))+2)-INDEX('D Fleet'!$K$5:$K$36,INT(($B172/K$5))+1)),0)</f>
        <v/>
      </c>
      <c r="L172" s="261">
        <f>IFERROR(INDEX('D Fleet'!$F$5:$F$63,MATCH(L$3-$B172,'D Fleet'!$B$5:$B$63,0)),0)*IFERROR(INDEX('D Fleet'!$K$5:$K$36,INT(($B172/L$5))+1)+(($B172/L$5)-INT(($B172/L$5)))*(INDEX('D Fleet'!$K$5:$K$36,INT(($B172/L$5))+2)-INDEX('D Fleet'!$K$5:$K$36,INT(($B172/L$5))+1)),0)</f>
        <v/>
      </c>
      <c r="M172" s="261">
        <f>IFERROR(INDEX('D Fleet'!$F$5:$F$63,MATCH(M$3-$B172,'D Fleet'!$B$5:$B$63,0)),0)*IFERROR(INDEX('D Fleet'!$K$5:$K$36,INT(($B172/M$5))+1)+(($B172/M$5)-INT(($B172/M$5)))*(INDEX('D Fleet'!$K$5:$K$36,INT(($B172/M$5))+2)-INDEX('D Fleet'!$K$5:$K$36,INT(($B172/M$5))+1)),0)</f>
        <v/>
      </c>
      <c r="N172" s="261">
        <f>IFERROR(INDEX('D Fleet'!$F$5:$F$63,MATCH(N$3-$B172,'D Fleet'!$B$5:$B$63,0)),0)*IFERROR(INDEX('D Fleet'!$K$5:$K$36,INT(($B172/N$5))+1)+(($B172/N$5)-INT(($B172/N$5)))*(INDEX('D Fleet'!$K$5:$K$36,INT(($B172/N$5))+2)-INDEX('D Fleet'!$K$5:$K$36,INT(($B172/N$5))+1)),0)</f>
        <v/>
      </c>
      <c r="P172" s="261">
        <f>E172*$D172*'E1 Fleet'!$D$100</f>
        <v/>
      </c>
      <c r="Q172" s="261">
        <f>F172*$D172*'E1 Fleet'!$D$100</f>
        <v/>
      </c>
      <c r="R172" s="261">
        <f>G172*$D172*'E1 Fleet'!$D$100</f>
        <v/>
      </c>
      <c r="S172" s="261">
        <f>H172*$D172*'E1 Fleet'!$D$100</f>
        <v/>
      </c>
      <c r="T172" s="261">
        <f>I172*$D172*'E1 Fleet'!$D$100</f>
        <v/>
      </c>
      <c r="U172" s="261">
        <f>J172*$D172*'E1 Fleet'!$D$100</f>
        <v/>
      </c>
      <c r="V172" s="261">
        <f>K172*$D172*'E1 Fleet'!$D$100</f>
        <v/>
      </c>
      <c r="W172" s="261">
        <f>L172*$D172*'E1 Fleet'!$D$100</f>
        <v/>
      </c>
      <c r="X172" s="261">
        <f>M172*$D172*'E1 Fleet'!$D$100</f>
        <v/>
      </c>
      <c r="Y172" s="261">
        <f>N172*$D172*'E1 Fleet'!$D$100</f>
        <v/>
      </c>
    </row>
    <row r="173">
      <c r="A173" t="inlineStr">
        <is>
          <t>Van</t>
        </is>
      </c>
      <c r="B173" s="331" t="n">
        <v>28</v>
      </c>
      <c r="C173" s="331" t="n">
        <v>3</v>
      </c>
      <c r="D173" s="266">
        <f>IF($B173=0,'E1 Fleet'!$D$93,1)*EXP(-'E1 Fleet'!$D$94*MAX($B173-6,0))</f>
        <v/>
      </c>
      <c r="E173" s="261">
        <f>IFERROR(INDEX('D Fleet'!$F$5:$F$63,MATCH(E$3-$B173,'D Fleet'!$B$5:$B$63,0)),0)*IFERROR(INDEX('D Fleet'!$K$5:$K$36,INT(($B173/E$5))+1)+(($B173/E$5)-INT(($B173/E$5)))*(INDEX('D Fleet'!$K$5:$K$36,INT(($B173/E$5))+2)-INDEX('D Fleet'!$K$5:$K$36,INT(($B173/E$5))+1)),0)</f>
        <v/>
      </c>
      <c r="F173" s="261">
        <f>IFERROR(INDEX('D Fleet'!$F$5:$F$63,MATCH(F$3-$B173,'D Fleet'!$B$5:$B$63,0)),0)*IFERROR(INDEX('D Fleet'!$K$5:$K$36,INT(($B173/F$5))+1)+(($B173/F$5)-INT(($B173/F$5)))*(INDEX('D Fleet'!$K$5:$K$36,INT(($B173/F$5))+2)-INDEX('D Fleet'!$K$5:$K$36,INT(($B173/F$5))+1)),0)</f>
        <v/>
      </c>
      <c r="G173" s="261">
        <f>IFERROR(INDEX('D Fleet'!$F$5:$F$63,MATCH(G$3-$B173,'D Fleet'!$B$5:$B$63,0)),0)*IFERROR(INDEX('D Fleet'!$K$5:$K$36,INT(($B173/G$5))+1)+(($B173/G$5)-INT(($B173/G$5)))*(INDEX('D Fleet'!$K$5:$K$36,INT(($B173/G$5))+2)-INDEX('D Fleet'!$K$5:$K$36,INT(($B173/G$5))+1)),0)</f>
        <v/>
      </c>
      <c r="H173" s="261">
        <f>IFERROR(INDEX('D Fleet'!$F$5:$F$63,MATCH(H$3-$B173,'D Fleet'!$B$5:$B$63,0)),0)*IFERROR(INDEX('D Fleet'!$K$5:$K$36,INT(($B173/H$5))+1)+(($B173/H$5)-INT(($B173/H$5)))*(INDEX('D Fleet'!$K$5:$K$36,INT(($B173/H$5))+2)-INDEX('D Fleet'!$K$5:$K$36,INT(($B173/H$5))+1)),0)</f>
        <v/>
      </c>
      <c r="I173" s="261">
        <f>IFERROR(INDEX('D Fleet'!$F$5:$F$63,MATCH(I$3-$B173,'D Fleet'!$B$5:$B$63,0)),0)*IFERROR(INDEX('D Fleet'!$K$5:$K$36,INT(($B173/I$5))+1)+(($B173/I$5)-INT(($B173/I$5)))*(INDEX('D Fleet'!$K$5:$K$36,INT(($B173/I$5))+2)-INDEX('D Fleet'!$K$5:$K$36,INT(($B173/I$5))+1)),0)</f>
        <v/>
      </c>
      <c r="J173" s="261">
        <f>IFERROR(INDEX('D Fleet'!$F$5:$F$63,MATCH(J$3-$B173,'D Fleet'!$B$5:$B$63,0)),0)*IFERROR(INDEX('D Fleet'!$K$5:$K$36,INT(($B173/J$5))+1)+(($B173/J$5)-INT(($B173/J$5)))*(INDEX('D Fleet'!$K$5:$K$36,INT(($B173/J$5))+2)-INDEX('D Fleet'!$K$5:$K$36,INT(($B173/J$5))+1)),0)</f>
        <v/>
      </c>
      <c r="K173" s="261">
        <f>IFERROR(INDEX('D Fleet'!$F$5:$F$63,MATCH(K$3-$B173,'D Fleet'!$B$5:$B$63,0)),0)*IFERROR(INDEX('D Fleet'!$K$5:$K$36,INT(($B173/K$5))+1)+(($B173/K$5)-INT(($B173/K$5)))*(INDEX('D Fleet'!$K$5:$K$36,INT(($B173/K$5))+2)-INDEX('D Fleet'!$K$5:$K$36,INT(($B173/K$5))+1)),0)</f>
        <v/>
      </c>
      <c r="L173" s="261">
        <f>IFERROR(INDEX('D Fleet'!$F$5:$F$63,MATCH(L$3-$B173,'D Fleet'!$B$5:$B$63,0)),0)*IFERROR(INDEX('D Fleet'!$K$5:$K$36,INT(($B173/L$5))+1)+(($B173/L$5)-INT(($B173/L$5)))*(INDEX('D Fleet'!$K$5:$K$36,INT(($B173/L$5))+2)-INDEX('D Fleet'!$K$5:$K$36,INT(($B173/L$5))+1)),0)</f>
        <v/>
      </c>
      <c r="M173" s="261">
        <f>IFERROR(INDEX('D Fleet'!$F$5:$F$63,MATCH(M$3-$B173,'D Fleet'!$B$5:$B$63,0)),0)*IFERROR(INDEX('D Fleet'!$K$5:$K$36,INT(($B173/M$5))+1)+(($B173/M$5)-INT(($B173/M$5)))*(INDEX('D Fleet'!$K$5:$K$36,INT(($B173/M$5))+2)-INDEX('D Fleet'!$K$5:$K$36,INT(($B173/M$5))+1)),0)</f>
        <v/>
      </c>
      <c r="N173" s="261">
        <f>IFERROR(INDEX('D Fleet'!$F$5:$F$63,MATCH(N$3-$B173,'D Fleet'!$B$5:$B$63,0)),0)*IFERROR(INDEX('D Fleet'!$K$5:$K$36,INT(($B173/N$5))+1)+(($B173/N$5)-INT(($B173/N$5)))*(INDEX('D Fleet'!$K$5:$K$36,INT(($B173/N$5))+2)-INDEX('D Fleet'!$K$5:$K$36,INT(($B173/N$5))+1)),0)</f>
        <v/>
      </c>
      <c r="P173" s="261">
        <f>E173*$D173*'E1 Fleet'!$D$100</f>
        <v/>
      </c>
      <c r="Q173" s="261">
        <f>F173*$D173*'E1 Fleet'!$D$100</f>
        <v/>
      </c>
      <c r="R173" s="261">
        <f>G173*$D173*'E1 Fleet'!$D$100</f>
        <v/>
      </c>
      <c r="S173" s="261">
        <f>H173*$D173*'E1 Fleet'!$D$100</f>
        <v/>
      </c>
      <c r="T173" s="261">
        <f>I173*$D173*'E1 Fleet'!$D$100</f>
        <v/>
      </c>
      <c r="U173" s="261">
        <f>J173*$D173*'E1 Fleet'!$D$100</f>
        <v/>
      </c>
      <c r="V173" s="261">
        <f>K173*$D173*'E1 Fleet'!$D$100</f>
        <v/>
      </c>
      <c r="W173" s="261">
        <f>L173*$D173*'E1 Fleet'!$D$100</f>
        <v/>
      </c>
      <c r="X173" s="261">
        <f>M173*$D173*'E1 Fleet'!$D$100</f>
        <v/>
      </c>
      <c r="Y173" s="261">
        <f>N173*$D173*'E1 Fleet'!$D$100</f>
        <v/>
      </c>
    </row>
    <row r="174">
      <c r="A174" t="inlineStr">
        <is>
          <t>Van</t>
        </is>
      </c>
      <c r="B174" s="331" t="n">
        <v>29</v>
      </c>
      <c r="C174" s="331" t="n">
        <v>3</v>
      </c>
      <c r="D174" s="266">
        <f>IF($B174=0,'E1 Fleet'!$D$93,1)*EXP(-'E1 Fleet'!$D$94*MAX($B174-6,0))</f>
        <v/>
      </c>
      <c r="E174" s="261">
        <f>IFERROR(INDEX('D Fleet'!$F$5:$F$63,MATCH(E$3-$B174,'D Fleet'!$B$5:$B$63,0)),0)*IFERROR(INDEX('D Fleet'!$K$5:$K$36,INT(($B174/E$5))+1)+(($B174/E$5)-INT(($B174/E$5)))*(INDEX('D Fleet'!$K$5:$K$36,INT(($B174/E$5))+2)-INDEX('D Fleet'!$K$5:$K$36,INT(($B174/E$5))+1)),0)</f>
        <v/>
      </c>
      <c r="F174" s="261">
        <f>IFERROR(INDEX('D Fleet'!$F$5:$F$63,MATCH(F$3-$B174,'D Fleet'!$B$5:$B$63,0)),0)*IFERROR(INDEX('D Fleet'!$K$5:$K$36,INT(($B174/F$5))+1)+(($B174/F$5)-INT(($B174/F$5)))*(INDEX('D Fleet'!$K$5:$K$36,INT(($B174/F$5))+2)-INDEX('D Fleet'!$K$5:$K$36,INT(($B174/F$5))+1)),0)</f>
        <v/>
      </c>
      <c r="G174" s="261">
        <f>IFERROR(INDEX('D Fleet'!$F$5:$F$63,MATCH(G$3-$B174,'D Fleet'!$B$5:$B$63,0)),0)*IFERROR(INDEX('D Fleet'!$K$5:$K$36,INT(($B174/G$5))+1)+(($B174/G$5)-INT(($B174/G$5)))*(INDEX('D Fleet'!$K$5:$K$36,INT(($B174/G$5))+2)-INDEX('D Fleet'!$K$5:$K$36,INT(($B174/G$5))+1)),0)</f>
        <v/>
      </c>
      <c r="H174" s="261">
        <f>IFERROR(INDEX('D Fleet'!$F$5:$F$63,MATCH(H$3-$B174,'D Fleet'!$B$5:$B$63,0)),0)*IFERROR(INDEX('D Fleet'!$K$5:$K$36,INT(($B174/H$5))+1)+(($B174/H$5)-INT(($B174/H$5)))*(INDEX('D Fleet'!$K$5:$K$36,INT(($B174/H$5))+2)-INDEX('D Fleet'!$K$5:$K$36,INT(($B174/H$5))+1)),0)</f>
        <v/>
      </c>
      <c r="I174" s="261">
        <f>IFERROR(INDEX('D Fleet'!$F$5:$F$63,MATCH(I$3-$B174,'D Fleet'!$B$5:$B$63,0)),0)*IFERROR(INDEX('D Fleet'!$K$5:$K$36,INT(($B174/I$5))+1)+(($B174/I$5)-INT(($B174/I$5)))*(INDEX('D Fleet'!$K$5:$K$36,INT(($B174/I$5))+2)-INDEX('D Fleet'!$K$5:$K$36,INT(($B174/I$5))+1)),0)</f>
        <v/>
      </c>
      <c r="J174" s="261">
        <f>IFERROR(INDEX('D Fleet'!$F$5:$F$63,MATCH(J$3-$B174,'D Fleet'!$B$5:$B$63,0)),0)*IFERROR(INDEX('D Fleet'!$K$5:$K$36,INT(($B174/J$5))+1)+(($B174/J$5)-INT(($B174/J$5)))*(INDEX('D Fleet'!$K$5:$K$36,INT(($B174/J$5))+2)-INDEX('D Fleet'!$K$5:$K$36,INT(($B174/J$5))+1)),0)</f>
        <v/>
      </c>
      <c r="K174" s="261">
        <f>IFERROR(INDEX('D Fleet'!$F$5:$F$63,MATCH(K$3-$B174,'D Fleet'!$B$5:$B$63,0)),0)*IFERROR(INDEX('D Fleet'!$K$5:$K$36,INT(($B174/K$5))+1)+(($B174/K$5)-INT(($B174/K$5)))*(INDEX('D Fleet'!$K$5:$K$36,INT(($B174/K$5))+2)-INDEX('D Fleet'!$K$5:$K$36,INT(($B174/K$5))+1)),0)</f>
        <v/>
      </c>
      <c r="L174" s="261">
        <f>IFERROR(INDEX('D Fleet'!$F$5:$F$63,MATCH(L$3-$B174,'D Fleet'!$B$5:$B$63,0)),0)*IFERROR(INDEX('D Fleet'!$K$5:$K$36,INT(($B174/L$5))+1)+(($B174/L$5)-INT(($B174/L$5)))*(INDEX('D Fleet'!$K$5:$K$36,INT(($B174/L$5))+2)-INDEX('D Fleet'!$K$5:$K$36,INT(($B174/L$5))+1)),0)</f>
        <v/>
      </c>
      <c r="M174" s="261">
        <f>IFERROR(INDEX('D Fleet'!$F$5:$F$63,MATCH(M$3-$B174,'D Fleet'!$B$5:$B$63,0)),0)*IFERROR(INDEX('D Fleet'!$K$5:$K$36,INT(($B174/M$5))+1)+(($B174/M$5)-INT(($B174/M$5)))*(INDEX('D Fleet'!$K$5:$K$36,INT(($B174/M$5))+2)-INDEX('D Fleet'!$K$5:$K$36,INT(($B174/M$5))+1)),0)</f>
        <v/>
      </c>
      <c r="N174" s="261">
        <f>IFERROR(INDEX('D Fleet'!$F$5:$F$63,MATCH(N$3-$B174,'D Fleet'!$B$5:$B$63,0)),0)*IFERROR(INDEX('D Fleet'!$K$5:$K$36,INT(($B174/N$5))+1)+(($B174/N$5)-INT(($B174/N$5)))*(INDEX('D Fleet'!$K$5:$K$36,INT(($B174/N$5))+2)-INDEX('D Fleet'!$K$5:$K$36,INT(($B174/N$5))+1)),0)</f>
        <v/>
      </c>
      <c r="P174" s="261">
        <f>E174*$D174*'E1 Fleet'!$D$100</f>
        <v/>
      </c>
      <c r="Q174" s="261">
        <f>F174*$D174*'E1 Fleet'!$D$100</f>
        <v/>
      </c>
      <c r="R174" s="261">
        <f>G174*$D174*'E1 Fleet'!$D$100</f>
        <v/>
      </c>
      <c r="S174" s="261">
        <f>H174*$D174*'E1 Fleet'!$D$100</f>
        <v/>
      </c>
      <c r="T174" s="261">
        <f>I174*$D174*'E1 Fleet'!$D$100</f>
        <v/>
      </c>
      <c r="U174" s="261">
        <f>J174*$D174*'E1 Fleet'!$D$100</f>
        <v/>
      </c>
      <c r="V174" s="261">
        <f>K174*$D174*'E1 Fleet'!$D$100</f>
        <v/>
      </c>
      <c r="W174" s="261">
        <f>L174*$D174*'E1 Fleet'!$D$100</f>
        <v/>
      </c>
      <c r="X174" s="261">
        <f>M174*$D174*'E1 Fleet'!$D$100</f>
        <v/>
      </c>
      <c r="Y174" s="261">
        <f>N174*$D174*'E1 Fleet'!$D$100</f>
        <v/>
      </c>
    </row>
    <row r="175">
      <c r="A175" t="inlineStr">
        <is>
          <t>Van</t>
        </is>
      </c>
      <c r="B175" s="331" t="n">
        <v>30</v>
      </c>
      <c r="C175" s="331" t="n">
        <v>3</v>
      </c>
      <c r="D175" s="266">
        <f>IF($B175=0,'E1 Fleet'!$D$93,1)*EXP(-'E1 Fleet'!$D$94*MAX($B175-6,0))</f>
        <v/>
      </c>
      <c r="E175" s="261">
        <f>IFERROR(INDEX('D Fleet'!$F$5:$F$63,MATCH(E$3-$B175,'D Fleet'!$B$5:$B$63,0)),0)*IFERROR(INDEX('D Fleet'!$K$5:$K$36,INT(($B175/E$5))+1)+(($B175/E$5)-INT(($B175/E$5)))*(INDEX('D Fleet'!$K$5:$K$36,INT(($B175/E$5))+2)-INDEX('D Fleet'!$K$5:$K$36,INT(($B175/E$5))+1)),0)</f>
        <v/>
      </c>
      <c r="F175" s="261">
        <f>IFERROR(INDEX('D Fleet'!$F$5:$F$63,MATCH(F$3-$B175,'D Fleet'!$B$5:$B$63,0)),0)*IFERROR(INDEX('D Fleet'!$K$5:$K$36,INT(($B175/F$5))+1)+(($B175/F$5)-INT(($B175/F$5)))*(INDEX('D Fleet'!$K$5:$K$36,INT(($B175/F$5))+2)-INDEX('D Fleet'!$K$5:$K$36,INT(($B175/F$5))+1)),0)</f>
        <v/>
      </c>
      <c r="G175" s="261">
        <f>IFERROR(INDEX('D Fleet'!$F$5:$F$63,MATCH(G$3-$B175,'D Fleet'!$B$5:$B$63,0)),0)*IFERROR(INDEX('D Fleet'!$K$5:$K$36,INT(($B175/G$5))+1)+(($B175/G$5)-INT(($B175/G$5)))*(INDEX('D Fleet'!$K$5:$K$36,INT(($B175/G$5))+2)-INDEX('D Fleet'!$K$5:$K$36,INT(($B175/G$5))+1)),0)</f>
        <v/>
      </c>
      <c r="H175" s="261">
        <f>IFERROR(INDEX('D Fleet'!$F$5:$F$63,MATCH(H$3-$B175,'D Fleet'!$B$5:$B$63,0)),0)*IFERROR(INDEX('D Fleet'!$K$5:$K$36,INT(($B175/H$5))+1)+(($B175/H$5)-INT(($B175/H$5)))*(INDEX('D Fleet'!$K$5:$K$36,INT(($B175/H$5))+2)-INDEX('D Fleet'!$K$5:$K$36,INT(($B175/H$5))+1)),0)</f>
        <v/>
      </c>
      <c r="I175" s="261">
        <f>IFERROR(INDEX('D Fleet'!$F$5:$F$63,MATCH(I$3-$B175,'D Fleet'!$B$5:$B$63,0)),0)*IFERROR(INDEX('D Fleet'!$K$5:$K$36,INT(($B175/I$5))+1)+(($B175/I$5)-INT(($B175/I$5)))*(INDEX('D Fleet'!$K$5:$K$36,INT(($B175/I$5))+2)-INDEX('D Fleet'!$K$5:$K$36,INT(($B175/I$5))+1)),0)</f>
        <v/>
      </c>
      <c r="J175" s="261">
        <f>IFERROR(INDEX('D Fleet'!$F$5:$F$63,MATCH(J$3-$B175,'D Fleet'!$B$5:$B$63,0)),0)*IFERROR(INDEX('D Fleet'!$K$5:$K$36,INT(($B175/J$5))+1)+(($B175/J$5)-INT(($B175/J$5)))*(INDEX('D Fleet'!$K$5:$K$36,INT(($B175/J$5))+2)-INDEX('D Fleet'!$K$5:$K$36,INT(($B175/J$5))+1)),0)</f>
        <v/>
      </c>
      <c r="K175" s="261">
        <f>IFERROR(INDEX('D Fleet'!$F$5:$F$63,MATCH(K$3-$B175,'D Fleet'!$B$5:$B$63,0)),0)*IFERROR(INDEX('D Fleet'!$K$5:$K$36,INT(($B175/K$5))+1)+(($B175/K$5)-INT(($B175/K$5)))*(INDEX('D Fleet'!$K$5:$K$36,INT(($B175/K$5))+2)-INDEX('D Fleet'!$K$5:$K$36,INT(($B175/K$5))+1)),0)</f>
        <v/>
      </c>
      <c r="L175" s="261">
        <f>IFERROR(INDEX('D Fleet'!$F$5:$F$63,MATCH(L$3-$B175,'D Fleet'!$B$5:$B$63,0)),0)*IFERROR(INDEX('D Fleet'!$K$5:$K$36,INT(($B175/L$5))+1)+(($B175/L$5)-INT(($B175/L$5)))*(INDEX('D Fleet'!$K$5:$K$36,INT(($B175/L$5))+2)-INDEX('D Fleet'!$K$5:$K$36,INT(($B175/L$5))+1)),0)</f>
        <v/>
      </c>
      <c r="M175" s="261">
        <f>IFERROR(INDEX('D Fleet'!$F$5:$F$63,MATCH(M$3-$B175,'D Fleet'!$B$5:$B$63,0)),0)*IFERROR(INDEX('D Fleet'!$K$5:$K$36,INT(($B175/M$5))+1)+(($B175/M$5)-INT(($B175/M$5)))*(INDEX('D Fleet'!$K$5:$K$36,INT(($B175/M$5))+2)-INDEX('D Fleet'!$K$5:$K$36,INT(($B175/M$5))+1)),0)</f>
        <v/>
      </c>
      <c r="N175" s="261">
        <f>IFERROR(INDEX('D Fleet'!$F$5:$F$63,MATCH(N$3-$B175,'D Fleet'!$B$5:$B$63,0)),0)*IFERROR(INDEX('D Fleet'!$K$5:$K$36,INT(($B175/N$5))+1)+(($B175/N$5)-INT(($B175/N$5)))*(INDEX('D Fleet'!$K$5:$K$36,INT(($B175/N$5))+2)-INDEX('D Fleet'!$K$5:$K$36,INT(($B175/N$5))+1)),0)</f>
        <v/>
      </c>
      <c r="P175" s="261">
        <f>E175*$D175*'E1 Fleet'!$D$100</f>
        <v/>
      </c>
      <c r="Q175" s="261">
        <f>F175*$D175*'E1 Fleet'!$D$100</f>
        <v/>
      </c>
      <c r="R175" s="261">
        <f>G175*$D175*'E1 Fleet'!$D$100</f>
        <v/>
      </c>
      <c r="S175" s="261">
        <f>H175*$D175*'E1 Fleet'!$D$100</f>
        <v/>
      </c>
      <c r="T175" s="261">
        <f>I175*$D175*'E1 Fleet'!$D$100</f>
        <v/>
      </c>
      <c r="U175" s="261">
        <f>J175*$D175*'E1 Fleet'!$D$100</f>
        <v/>
      </c>
      <c r="V175" s="261">
        <f>K175*$D175*'E1 Fleet'!$D$100</f>
        <v/>
      </c>
      <c r="W175" s="261">
        <f>L175*$D175*'E1 Fleet'!$D$100</f>
        <v/>
      </c>
      <c r="X175" s="261">
        <f>M175*$D175*'E1 Fleet'!$D$100</f>
        <v/>
      </c>
      <c r="Y175" s="261">
        <f>N175*$D175*'E1 Fleet'!$D$100</f>
        <v/>
      </c>
    </row>
    <row r="176">
      <c r="A176" t="inlineStr">
        <is>
          <t>Van</t>
        </is>
      </c>
      <c r="B176" s="331" t="n">
        <v>31</v>
      </c>
      <c r="C176" s="331" t="n">
        <v>3</v>
      </c>
      <c r="D176" s="266">
        <f>IF($B176=0,'E1 Fleet'!$D$93,1)*EXP(-'E1 Fleet'!$D$94*MAX($B176-6,0))</f>
        <v/>
      </c>
      <c r="E176" s="261">
        <f>IFERROR(INDEX('D Fleet'!$F$5:$F$63,MATCH(E$3-$B176,'D Fleet'!$B$5:$B$63,0)),0)*IFERROR(INDEX('D Fleet'!$K$5:$K$36,INT(($B176/E$5))+1)+(($B176/E$5)-INT(($B176/E$5)))*(INDEX('D Fleet'!$K$5:$K$36,INT(($B176/E$5))+2)-INDEX('D Fleet'!$K$5:$K$36,INT(($B176/E$5))+1)),0)</f>
        <v/>
      </c>
      <c r="F176" s="261">
        <f>IFERROR(INDEX('D Fleet'!$F$5:$F$63,MATCH(F$3-$B176,'D Fleet'!$B$5:$B$63,0)),0)*IFERROR(INDEX('D Fleet'!$K$5:$K$36,INT(($B176/F$5))+1)+(($B176/F$5)-INT(($B176/F$5)))*(INDEX('D Fleet'!$K$5:$K$36,INT(($B176/F$5))+2)-INDEX('D Fleet'!$K$5:$K$36,INT(($B176/F$5))+1)),0)</f>
        <v/>
      </c>
      <c r="G176" s="261">
        <f>IFERROR(INDEX('D Fleet'!$F$5:$F$63,MATCH(G$3-$B176,'D Fleet'!$B$5:$B$63,0)),0)*IFERROR(INDEX('D Fleet'!$K$5:$K$36,INT(($B176/G$5))+1)+(($B176/G$5)-INT(($B176/G$5)))*(INDEX('D Fleet'!$K$5:$K$36,INT(($B176/G$5))+2)-INDEX('D Fleet'!$K$5:$K$36,INT(($B176/G$5))+1)),0)</f>
        <v/>
      </c>
      <c r="H176" s="261">
        <f>IFERROR(INDEX('D Fleet'!$F$5:$F$63,MATCH(H$3-$B176,'D Fleet'!$B$5:$B$63,0)),0)*IFERROR(INDEX('D Fleet'!$K$5:$K$36,INT(($B176/H$5))+1)+(($B176/H$5)-INT(($B176/H$5)))*(INDEX('D Fleet'!$K$5:$K$36,INT(($B176/H$5))+2)-INDEX('D Fleet'!$K$5:$K$36,INT(($B176/H$5))+1)),0)</f>
        <v/>
      </c>
      <c r="I176" s="261">
        <f>IFERROR(INDEX('D Fleet'!$F$5:$F$63,MATCH(I$3-$B176,'D Fleet'!$B$5:$B$63,0)),0)*IFERROR(INDEX('D Fleet'!$K$5:$K$36,INT(($B176/I$5))+1)+(($B176/I$5)-INT(($B176/I$5)))*(INDEX('D Fleet'!$K$5:$K$36,INT(($B176/I$5))+2)-INDEX('D Fleet'!$K$5:$K$36,INT(($B176/I$5))+1)),0)</f>
        <v/>
      </c>
      <c r="J176" s="261">
        <f>IFERROR(INDEX('D Fleet'!$F$5:$F$63,MATCH(J$3-$B176,'D Fleet'!$B$5:$B$63,0)),0)*IFERROR(INDEX('D Fleet'!$K$5:$K$36,INT(($B176/J$5))+1)+(($B176/J$5)-INT(($B176/J$5)))*(INDEX('D Fleet'!$K$5:$K$36,INT(($B176/J$5))+2)-INDEX('D Fleet'!$K$5:$K$36,INT(($B176/J$5))+1)),0)</f>
        <v/>
      </c>
      <c r="K176" s="261">
        <f>IFERROR(INDEX('D Fleet'!$F$5:$F$63,MATCH(K$3-$B176,'D Fleet'!$B$5:$B$63,0)),0)*IFERROR(INDEX('D Fleet'!$K$5:$K$36,INT(($B176/K$5))+1)+(($B176/K$5)-INT(($B176/K$5)))*(INDEX('D Fleet'!$K$5:$K$36,INT(($B176/K$5))+2)-INDEX('D Fleet'!$K$5:$K$36,INT(($B176/K$5))+1)),0)</f>
        <v/>
      </c>
      <c r="L176" s="261">
        <f>IFERROR(INDEX('D Fleet'!$F$5:$F$63,MATCH(L$3-$B176,'D Fleet'!$B$5:$B$63,0)),0)*IFERROR(INDEX('D Fleet'!$K$5:$K$36,INT(($B176/L$5))+1)+(($B176/L$5)-INT(($B176/L$5)))*(INDEX('D Fleet'!$K$5:$K$36,INT(($B176/L$5))+2)-INDEX('D Fleet'!$K$5:$K$36,INT(($B176/L$5))+1)),0)</f>
        <v/>
      </c>
      <c r="M176" s="261">
        <f>IFERROR(INDEX('D Fleet'!$F$5:$F$63,MATCH(M$3-$B176,'D Fleet'!$B$5:$B$63,0)),0)*IFERROR(INDEX('D Fleet'!$K$5:$K$36,INT(($B176/M$5))+1)+(($B176/M$5)-INT(($B176/M$5)))*(INDEX('D Fleet'!$K$5:$K$36,INT(($B176/M$5))+2)-INDEX('D Fleet'!$K$5:$K$36,INT(($B176/M$5))+1)),0)</f>
        <v/>
      </c>
      <c r="N176" s="261">
        <f>IFERROR(INDEX('D Fleet'!$F$5:$F$63,MATCH(N$3-$B176,'D Fleet'!$B$5:$B$63,0)),0)*IFERROR(INDEX('D Fleet'!$K$5:$K$36,INT(($B176/N$5))+1)+(($B176/N$5)-INT(($B176/N$5)))*(INDEX('D Fleet'!$K$5:$K$36,INT(($B176/N$5))+2)-INDEX('D Fleet'!$K$5:$K$36,INT(($B176/N$5))+1)),0)</f>
        <v/>
      </c>
      <c r="P176" s="261">
        <f>E176*$D176*'E1 Fleet'!$D$100</f>
        <v/>
      </c>
      <c r="Q176" s="261">
        <f>F176*$D176*'E1 Fleet'!$D$100</f>
        <v/>
      </c>
      <c r="R176" s="261">
        <f>G176*$D176*'E1 Fleet'!$D$100</f>
        <v/>
      </c>
      <c r="S176" s="261">
        <f>H176*$D176*'E1 Fleet'!$D$100</f>
        <v/>
      </c>
      <c r="T176" s="261">
        <f>I176*$D176*'E1 Fleet'!$D$100</f>
        <v/>
      </c>
      <c r="U176" s="261">
        <f>J176*$D176*'E1 Fleet'!$D$100</f>
        <v/>
      </c>
      <c r="V176" s="261">
        <f>K176*$D176*'E1 Fleet'!$D$100</f>
        <v/>
      </c>
      <c r="W176" s="261">
        <f>L176*$D176*'E1 Fleet'!$D$100</f>
        <v/>
      </c>
      <c r="X176" s="261">
        <f>M176*$D176*'E1 Fleet'!$D$100</f>
        <v/>
      </c>
      <c r="Y176" s="261">
        <f>N176*$D176*'E1 Fleet'!$D$100</f>
        <v/>
      </c>
    </row>
    <row r="177">
      <c r="A177" t="inlineStr">
        <is>
          <t>Van</t>
        </is>
      </c>
      <c r="B177" s="331" t="n">
        <v>32</v>
      </c>
      <c r="C177" s="331" t="n">
        <v>3</v>
      </c>
      <c r="D177" s="266">
        <f>IF($B177=0,'E1 Fleet'!$D$93,1)*EXP(-'E1 Fleet'!$D$94*MAX($B177-6,0))</f>
        <v/>
      </c>
      <c r="E177" s="261">
        <f>IFERROR(INDEX('D Fleet'!$F$5:$F$63,MATCH(E$3-$B177,'D Fleet'!$B$5:$B$63,0)),0)*IFERROR(INDEX('D Fleet'!$K$5:$K$36,INT(($B177/E$5))+1)+(($B177/E$5)-INT(($B177/E$5)))*(INDEX('D Fleet'!$K$5:$K$36,INT(($B177/E$5))+2)-INDEX('D Fleet'!$K$5:$K$36,INT(($B177/E$5))+1)),0)</f>
        <v/>
      </c>
      <c r="F177" s="261">
        <f>IFERROR(INDEX('D Fleet'!$F$5:$F$63,MATCH(F$3-$B177,'D Fleet'!$B$5:$B$63,0)),0)*IFERROR(INDEX('D Fleet'!$K$5:$K$36,INT(($B177/F$5))+1)+(($B177/F$5)-INT(($B177/F$5)))*(INDEX('D Fleet'!$K$5:$K$36,INT(($B177/F$5))+2)-INDEX('D Fleet'!$K$5:$K$36,INT(($B177/F$5))+1)),0)</f>
        <v/>
      </c>
      <c r="G177" s="261">
        <f>IFERROR(INDEX('D Fleet'!$F$5:$F$63,MATCH(G$3-$B177,'D Fleet'!$B$5:$B$63,0)),0)*IFERROR(INDEX('D Fleet'!$K$5:$K$36,INT(($B177/G$5))+1)+(($B177/G$5)-INT(($B177/G$5)))*(INDEX('D Fleet'!$K$5:$K$36,INT(($B177/G$5))+2)-INDEX('D Fleet'!$K$5:$K$36,INT(($B177/G$5))+1)),0)</f>
        <v/>
      </c>
      <c r="H177" s="261">
        <f>IFERROR(INDEX('D Fleet'!$F$5:$F$63,MATCH(H$3-$B177,'D Fleet'!$B$5:$B$63,0)),0)*IFERROR(INDEX('D Fleet'!$K$5:$K$36,INT(($B177/H$5))+1)+(($B177/H$5)-INT(($B177/H$5)))*(INDEX('D Fleet'!$K$5:$K$36,INT(($B177/H$5))+2)-INDEX('D Fleet'!$K$5:$K$36,INT(($B177/H$5))+1)),0)</f>
        <v/>
      </c>
      <c r="I177" s="261">
        <f>IFERROR(INDEX('D Fleet'!$F$5:$F$63,MATCH(I$3-$B177,'D Fleet'!$B$5:$B$63,0)),0)*IFERROR(INDEX('D Fleet'!$K$5:$K$36,INT(($B177/I$5))+1)+(($B177/I$5)-INT(($B177/I$5)))*(INDEX('D Fleet'!$K$5:$K$36,INT(($B177/I$5))+2)-INDEX('D Fleet'!$K$5:$K$36,INT(($B177/I$5))+1)),0)</f>
        <v/>
      </c>
      <c r="J177" s="261">
        <f>IFERROR(INDEX('D Fleet'!$F$5:$F$63,MATCH(J$3-$B177,'D Fleet'!$B$5:$B$63,0)),0)*IFERROR(INDEX('D Fleet'!$K$5:$K$36,INT(($B177/J$5))+1)+(($B177/J$5)-INT(($B177/J$5)))*(INDEX('D Fleet'!$K$5:$K$36,INT(($B177/J$5))+2)-INDEX('D Fleet'!$K$5:$K$36,INT(($B177/J$5))+1)),0)</f>
        <v/>
      </c>
      <c r="K177" s="261">
        <f>IFERROR(INDEX('D Fleet'!$F$5:$F$63,MATCH(K$3-$B177,'D Fleet'!$B$5:$B$63,0)),0)*IFERROR(INDEX('D Fleet'!$K$5:$K$36,INT(($B177/K$5))+1)+(($B177/K$5)-INT(($B177/K$5)))*(INDEX('D Fleet'!$K$5:$K$36,INT(($B177/K$5))+2)-INDEX('D Fleet'!$K$5:$K$36,INT(($B177/K$5))+1)),0)</f>
        <v/>
      </c>
      <c r="L177" s="261">
        <f>IFERROR(INDEX('D Fleet'!$F$5:$F$63,MATCH(L$3-$B177,'D Fleet'!$B$5:$B$63,0)),0)*IFERROR(INDEX('D Fleet'!$K$5:$K$36,INT(($B177/L$5))+1)+(($B177/L$5)-INT(($B177/L$5)))*(INDEX('D Fleet'!$K$5:$K$36,INT(($B177/L$5))+2)-INDEX('D Fleet'!$K$5:$K$36,INT(($B177/L$5))+1)),0)</f>
        <v/>
      </c>
      <c r="M177" s="261">
        <f>IFERROR(INDEX('D Fleet'!$F$5:$F$63,MATCH(M$3-$B177,'D Fleet'!$B$5:$B$63,0)),0)*IFERROR(INDEX('D Fleet'!$K$5:$K$36,INT(($B177/M$5))+1)+(($B177/M$5)-INT(($B177/M$5)))*(INDEX('D Fleet'!$K$5:$K$36,INT(($B177/M$5))+2)-INDEX('D Fleet'!$K$5:$K$36,INT(($B177/M$5))+1)),0)</f>
        <v/>
      </c>
      <c r="N177" s="261">
        <f>IFERROR(INDEX('D Fleet'!$F$5:$F$63,MATCH(N$3-$B177,'D Fleet'!$B$5:$B$63,0)),0)*IFERROR(INDEX('D Fleet'!$K$5:$K$36,INT(($B177/N$5))+1)+(($B177/N$5)-INT(($B177/N$5)))*(INDEX('D Fleet'!$K$5:$K$36,INT(($B177/N$5))+2)-INDEX('D Fleet'!$K$5:$K$36,INT(($B177/N$5))+1)),0)</f>
        <v/>
      </c>
      <c r="P177" s="261">
        <f>E177*$D177*'E1 Fleet'!$D$100</f>
        <v/>
      </c>
      <c r="Q177" s="261">
        <f>F177*$D177*'E1 Fleet'!$D$100</f>
        <v/>
      </c>
      <c r="R177" s="261">
        <f>G177*$D177*'E1 Fleet'!$D$100</f>
        <v/>
      </c>
      <c r="S177" s="261">
        <f>H177*$D177*'E1 Fleet'!$D$100</f>
        <v/>
      </c>
      <c r="T177" s="261">
        <f>I177*$D177*'E1 Fleet'!$D$100</f>
        <v/>
      </c>
      <c r="U177" s="261">
        <f>J177*$D177*'E1 Fleet'!$D$100</f>
        <v/>
      </c>
      <c r="V177" s="261">
        <f>K177*$D177*'E1 Fleet'!$D$100</f>
        <v/>
      </c>
      <c r="W177" s="261">
        <f>L177*$D177*'E1 Fleet'!$D$100</f>
        <v/>
      </c>
      <c r="X177" s="261">
        <f>M177*$D177*'E1 Fleet'!$D$100</f>
        <v/>
      </c>
      <c r="Y177" s="261">
        <f>N177*$D177*'E1 Fleet'!$D$100</f>
        <v/>
      </c>
    </row>
    <row r="178">
      <c r="A178" t="inlineStr">
        <is>
          <t>Van</t>
        </is>
      </c>
      <c r="B178" s="331" t="n">
        <v>33</v>
      </c>
      <c r="C178" s="331" t="n">
        <v>3</v>
      </c>
      <c r="D178" s="266">
        <f>IF($B178=0,'E1 Fleet'!$D$93,1)*EXP(-'E1 Fleet'!$D$94*MAX($B178-6,0))</f>
        <v/>
      </c>
      <c r="E178" s="261">
        <f>IFERROR(INDEX('D Fleet'!$F$5:$F$63,MATCH(E$3-$B178,'D Fleet'!$B$5:$B$63,0)),0)*IFERROR(INDEX('D Fleet'!$K$5:$K$36,INT(($B178/E$5))+1)+(($B178/E$5)-INT(($B178/E$5)))*(INDEX('D Fleet'!$K$5:$K$36,INT(($B178/E$5))+2)-INDEX('D Fleet'!$K$5:$K$36,INT(($B178/E$5))+1)),0)</f>
        <v/>
      </c>
      <c r="F178" s="261">
        <f>IFERROR(INDEX('D Fleet'!$F$5:$F$63,MATCH(F$3-$B178,'D Fleet'!$B$5:$B$63,0)),0)*IFERROR(INDEX('D Fleet'!$K$5:$K$36,INT(($B178/F$5))+1)+(($B178/F$5)-INT(($B178/F$5)))*(INDEX('D Fleet'!$K$5:$K$36,INT(($B178/F$5))+2)-INDEX('D Fleet'!$K$5:$K$36,INT(($B178/F$5))+1)),0)</f>
        <v/>
      </c>
      <c r="G178" s="261">
        <f>IFERROR(INDEX('D Fleet'!$F$5:$F$63,MATCH(G$3-$B178,'D Fleet'!$B$5:$B$63,0)),0)*IFERROR(INDEX('D Fleet'!$K$5:$K$36,INT(($B178/G$5))+1)+(($B178/G$5)-INT(($B178/G$5)))*(INDEX('D Fleet'!$K$5:$K$36,INT(($B178/G$5))+2)-INDEX('D Fleet'!$K$5:$K$36,INT(($B178/G$5))+1)),0)</f>
        <v/>
      </c>
      <c r="H178" s="261">
        <f>IFERROR(INDEX('D Fleet'!$F$5:$F$63,MATCH(H$3-$B178,'D Fleet'!$B$5:$B$63,0)),0)*IFERROR(INDEX('D Fleet'!$K$5:$K$36,INT(($B178/H$5))+1)+(($B178/H$5)-INT(($B178/H$5)))*(INDEX('D Fleet'!$K$5:$K$36,INT(($B178/H$5))+2)-INDEX('D Fleet'!$K$5:$K$36,INT(($B178/H$5))+1)),0)</f>
        <v/>
      </c>
      <c r="I178" s="261">
        <f>IFERROR(INDEX('D Fleet'!$F$5:$F$63,MATCH(I$3-$B178,'D Fleet'!$B$5:$B$63,0)),0)*IFERROR(INDEX('D Fleet'!$K$5:$K$36,INT(($B178/I$5))+1)+(($B178/I$5)-INT(($B178/I$5)))*(INDEX('D Fleet'!$K$5:$K$36,INT(($B178/I$5))+2)-INDEX('D Fleet'!$K$5:$K$36,INT(($B178/I$5))+1)),0)</f>
        <v/>
      </c>
      <c r="J178" s="261">
        <f>IFERROR(INDEX('D Fleet'!$F$5:$F$63,MATCH(J$3-$B178,'D Fleet'!$B$5:$B$63,0)),0)*IFERROR(INDEX('D Fleet'!$K$5:$K$36,INT(($B178/J$5))+1)+(($B178/J$5)-INT(($B178/J$5)))*(INDEX('D Fleet'!$K$5:$K$36,INT(($B178/J$5))+2)-INDEX('D Fleet'!$K$5:$K$36,INT(($B178/J$5))+1)),0)</f>
        <v/>
      </c>
      <c r="K178" s="261">
        <f>IFERROR(INDEX('D Fleet'!$F$5:$F$63,MATCH(K$3-$B178,'D Fleet'!$B$5:$B$63,0)),0)*IFERROR(INDEX('D Fleet'!$K$5:$K$36,INT(($B178/K$5))+1)+(($B178/K$5)-INT(($B178/K$5)))*(INDEX('D Fleet'!$K$5:$K$36,INT(($B178/K$5))+2)-INDEX('D Fleet'!$K$5:$K$36,INT(($B178/K$5))+1)),0)</f>
        <v/>
      </c>
      <c r="L178" s="261">
        <f>IFERROR(INDEX('D Fleet'!$F$5:$F$63,MATCH(L$3-$B178,'D Fleet'!$B$5:$B$63,0)),0)*IFERROR(INDEX('D Fleet'!$K$5:$K$36,INT(($B178/L$5))+1)+(($B178/L$5)-INT(($B178/L$5)))*(INDEX('D Fleet'!$K$5:$K$36,INT(($B178/L$5))+2)-INDEX('D Fleet'!$K$5:$K$36,INT(($B178/L$5))+1)),0)</f>
        <v/>
      </c>
      <c r="M178" s="261">
        <f>IFERROR(INDEX('D Fleet'!$F$5:$F$63,MATCH(M$3-$B178,'D Fleet'!$B$5:$B$63,0)),0)*IFERROR(INDEX('D Fleet'!$K$5:$K$36,INT(($B178/M$5))+1)+(($B178/M$5)-INT(($B178/M$5)))*(INDEX('D Fleet'!$K$5:$K$36,INT(($B178/M$5))+2)-INDEX('D Fleet'!$K$5:$K$36,INT(($B178/M$5))+1)),0)</f>
        <v/>
      </c>
      <c r="N178" s="261">
        <f>IFERROR(INDEX('D Fleet'!$F$5:$F$63,MATCH(N$3-$B178,'D Fleet'!$B$5:$B$63,0)),0)*IFERROR(INDEX('D Fleet'!$K$5:$K$36,INT(($B178/N$5))+1)+(($B178/N$5)-INT(($B178/N$5)))*(INDEX('D Fleet'!$K$5:$K$36,INT(($B178/N$5))+2)-INDEX('D Fleet'!$K$5:$K$36,INT(($B178/N$5))+1)),0)</f>
        <v/>
      </c>
      <c r="P178" s="261">
        <f>E178*$D178*'E1 Fleet'!$D$100</f>
        <v/>
      </c>
      <c r="Q178" s="261">
        <f>F178*$D178*'E1 Fleet'!$D$100</f>
        <v/>
      </c>
      <c r="R178" s="261">
        <f>G178*$D178*'E1 Fleet'!$D$100</f>
        <v/>
      </c>
      <c r="S178" s="261">
        <f>H178*$D178*'E1 Fleet'!$D$100</f>
        <v/>
      </c>
      <c r="T178" s="261">
        <f>I178*$D178*'E1 Fleet'!$D$100</f>
        <v/>
      </c>
      <c r="U178" s="261">
        <f>J178*$D178*'E1 Fleet'!$D$100</f>
        <v/>
      </c>
      <c r="V178" s="261">
        <f>K178*$D178*'E1 Fleet'!$D$100</f>
        <v/>
      </c>
      <c r="W178" s="261">
        <f>L178*$D178*'E1 Fleet'!$D$100</f>
        <v/>
      </c>
      <c r="X178" s="261">
        <f>M178*$D178*'E1 Fleet'!$D$100</f>
        <v/>
      </c>
      <c r="Y178" s="261">
        <f>N178*$D178*'E1 Fleet'!$D$100</f>
        <v/>
      </c>
    </row>
    <row r="179">
      <c r="A179" t="inlineStr">
        <is>
          <t>Van</t>
        </is>
      </c>
      <c r="B179" s="331" t="n">
        <v>34</v>
      </c>
      <c r="C179" s="331" t="n">
        <v>3</v>
      </c>
      <c r="D179" s="266">
        <f>IF($B179=0,'E1 Fleet'!$D$93,1)*EXP(-'E1 Fleet'!$D$94*MAX($B179-6,0))</f>
        <v/>
      </c>
      <c r="E179" s="261">
        <f>IFERROR(INDEX('D Fleet'!$F$5:$F$63,MATCH(E$3-$B179,'D Fleet'!$B$5:$B$63,0)),0)*IFERROR(INDEX('D Fleet'!$K$5:$K$36,INT(($B179/E$5))+1)+(($B179/E$5)-INT(($B179/E$5)))*(INDEX('D Fleet'!$K$5:$K$36,INT(($B179/E$5))+2)-INDEX('D Fleet'!$K$5:$K$36,INT(($B179/E$5))+1)),0)</f>
        <v/>
      </c>
      <c r="F179" s="261">
        <f>IFERROR(INDEX('D Fleet'!$F$5:$F$63,MATCH(F$3-$B179,'D Fleet'!$B$5:$B$63,0)),0)*IFERROR(INDEX('D Fleet'!$K$5:$K$36,INT(($B179/F$5))+1)+(($B179/F$5)-INT(($B179/F$5)))*(INDEX('D Fleet'!$K$5:$K$36,INT(($B179/F$5))+2)-INDEX('D Fleet'!$K$5:$K$36,INT(($B179/F$5))+1)),0)</f>
        <v/>
      </c>
      <c r="G179" s="261">
        <f>IFERROR(INDEX('D Fleet'!$F$5:$F$63,MATCH(G$3-$B179,'D Fleet'!$B$5:$B$63,0)),0)*IFERROR(INDEX('D Fleet'!$K$5:$K$36,INT(($B179/G$5))+1)+(($B179/G$5)-INT(($B179/G$5)))*(INDEX('D Fleet'!$K$5:$K$36,INT(($B179/G$5))+2)-INDEX('D Fleet'!$K$5:$K$36,INT(($B179/G$5))+1)),0)</f>
        <v/>
      </c>
      <c r="H179" s="261">
        <f>IFERROR(INDEX('D Fleet'!$F$5:$F$63,MATCH(H$3-$B179,'D Fleet'!$B$5:$B$63,0)),0)*IFERROR(INDEX('D Fleet'!$K$5:$K$36,INT(($B179/H$5))+1)+(($B179/H$5)-INT(($B179/H$5)))*(INDEX('D Fleet'!$K$5:$K$36,INT(($B179/H$5))+2)-INDEX('D Fleet'!$K$5:$K$36,INT(($B179/H$5))+1)),0)</f>
        <v/>
      </c>
      <c r="I179" s="261">
        <f>IFERROR(INDEX('D Fleet'!$F$5:$F$63,MATCH(I$3-$B179,'D Fleet'!$B$5:$B$63,0)),0)*IFERROR(INDEX('D Fleet'!$K$5:$K$36,INT(($B179/I$5))+1)+(($B179/I$5)-INT(($B179/I$5)))*(INDEX('D Fleet'!$K$5:$K$36,INT(($B179/I$5))+2)-INDEX('D Fleet'!$K$5:$K$36,INT(($B179/I$5))+1)),0)</f>
        <v/>
      </c>
      <c r="J179" s="261">
        <f>IFERROR(INDEX('D Fleet'!$F$5:$F$63,MATCH(J$3-$B179,'D Fleet'!$B$5:$B$63,0)),0)*IFERROR(INDEX('D Fleet'!$K$5:$K$36,INT(($B179/J$5))+1)+(($B179/J$5)-INT(($B179/J$5)))*(INDEX('D Fleet'!$K$5:$K$36,INT(($B179/J$5))+2)-INDEX('D Fleet'!$K$5:$K$36,INT(($B179/J$5))+1)),0)</f>
        <v/>
      </c>
      <c r="K179" s="261">
        <f>IFERROR(INDEX('D Fleet'!$F$5:$F$63,MATCH(K$3-$B179,'D Fleet'!$B$5:$B$63,0)),0)*IFERROR(INDEX('D Fleet'!$K$5:$K$36,INT(($B179/K$5))+1)+(($B179/K$5)-INT(($B179/K$5)))*(INDEX('D Fleet'!$K$5:$K$36,INT(($B179/K$5))+2)-INDEX('D Fleet'!$K$5:$K$36,INT(($B179/K$5))+1)),0)</f>
        <v/>
      </c>
      <c r="L179" s="261">
        <f>IFERROR(INDEX('D Fleet'!$F$5:$F$63,MATCH(L$3-$B179,'D Fleet'!$B$5:$B$63,0)),0)*IFERROR(INDEX('D Fleet'!$K$5:$K$36,INT(($B179/L$5))+1)+(($B179/L$5)-INT(($B179/L$5)))*(INDEX('D Fleet'!$K$5:$K$36,INT(($B179/L$5))+2)-INDEX('D Fleet'!$K$5:$K$36,INT(($B179/L$5))+1)),0)</f>
        <v/>
      </c>
      <c r="M179" s="261">
        <f>IFERROR(INDEX('D Fleet'!$F$5:$F$63,MATCH(M$3-$B179,'D Fleet'!$B$5:$B$63,0)),0)*IFERROR(INDEX('D Fleet'!$K$5:$K$36,INT(($B179/M$5))+1)+(($B179/M$5)-INT(($B179/M$5)))*(INDEX('D Fleet'!$K$5:$K$36,INT(($B179/M$5))+2)-INDEX('D Fleet'!$K$5:$K$36,INT(($B179/M$5))+1)),0)</f>
        <v/>
      </c>
      <c r="N179" s="261">
        <f>IFERROR(INDEX('D Fleet'!$F$5:$F$63,MATCH(N$3-$B179,'D Fleet'!$B$5:$B$63,0)),0)*IFERROR(INDEX('D Fleet'!$K$5:$K$36,INT(($B179/N$5))+1)+(($B179/N$5)-INT(($B179/N$5)))*(INDEX('D Fleet'!$K$5:$K$36,INT(($B179/N$5))+2)-INDEX('D Fleet'!$K$5:$K$36,INT(($B179/N$5))+1)),0)</f>
        <v/>
      </c>
      <c r="P179" s="261">
        <f>E179*$D179*'E1 Fleet'!$D$100</f>
        <v/>
      </c>
      <c r="Q179" s="261">
        <f>F179*$D179*'E1 Fleet'!$D$100</f>
        <v/>
      </c>
      <c r="R179" s="261">
        <f>G179*$D179*'E1 Fleet'!$D$100</f>
        <v/>
      </c>
      <c r="S179" s="261">
        <f>H179*$D179*'E1 Fleet'!$D$100</f>
        <v/>
      </c>
      <c r="T179" s="261">
        <f>I179*$D179*'E1 Fleet'!$D$100</f>
        <v/>
      </c>
      <c r="U179" s="261">
        <f>J179*$D179*'E1 Fleet'!$D$100</f>
        <v/>
      </c>
      <c r="V179" s="261">
        <f>K179*$D179*'E1 Fleet'!$D$100</f>
        <v/>
      </c>
      <c r="W179" s="261">
        <f>L179*$D179*'E1 Fleet'!$D$100</f>
        <v/>
      </c>
      <c r="X179" s="261">
        <f>M179*$D179*'E1 Fleet'!$D$100</f>
        <v/>
      </c>
      <c r="Y179" s="261">
        <f>N179*$D179*'E1 Fleet'!$D$100</f>
        <v/>
      </c>
    </row>
    <row r="180">
      <c r="A180" t="inlineStr">
        <is>
          <t>Van</t>
        </is>
      </c>
      <c r="B180" s="331" t="n">
        <v>35</v>
      </c>
      <c r="C180" s="331" t="n">
        <v>3</v>
      </c>
      <c r="D180" s="266">
        <f>IF($B180=0,'E1 Fleet'!$D$93,1)*EXP(-'E1 Fleet'!$D$94*MAX($B180-6,0))</f>
        <v/>
      </c>
      <c r="E180" s="261">
        <f>IFERROR(INDEX('D Fleet'!$F$5:$F$63,MATCH(E$3-$B180,'D Fleet'!$B$5:$B$63,0)),0)*IFERROR(INDEX('D Fleet'!$K$5:$K$36,INT(($B180/E$5))+1)+(($B180/E$5)-INT(($B180/E$5)))*(INDEX('D Fleet'!$K$5:$K$36,INT(($B180/E$5))+2)-INDEX('D Fleet'!$K$5:$K$36,INT(($B180/E$5))+1)),0)</f>
        <v/>
      </c>
      <c r="F180" s="261">
        <f>IFERROR(INDEX('D Fleet'!$F$5:$F$63,MATCH(F$3-$B180,'D Fleet'!$B$5:$B$63,0)),0)*IFERROR(INDEX('D Fleet'!$K$5:$K$36,INT(($B180/F$5))+1)+(($B180/F$5)-INT(($B180/F$5)))*(INDEX('D Fleet'!$K$5:$K$36,INT(($B180/F$5))+2)-INDEX('D Fleet'!$K$5:$K$36,INT(($B180/F$5))+1)),0)</f>
        <v/>
      </c>
      <c r="G180" s="261">
        <f>IFERROR(INDEX('D Fleet'!$F$5:$F$63,MATCH(G$3-$B180,'D Fleet'!$B$5:$B$63,0)),0)*IFERROR(INDEX('D Fleet'!$K$5:$K$36,INT(($B180/G$5))+1)+(($B180/G$5)-INT(($B180/G$5)))*(INDEX('D Fleet'!$K$5:$K$36,INT(($B180/G$5))+2)-INDEX('D Fleet'!$K$5:$K$36,INT(($B180/G$5))+1)),0)</f>
        <v/>
      </c>
      <c r="H180" s="261">
        <f>IFERROR(INDEX('D Fleet'!$F$5:$F$63,MATCH(H$3-$B180,'D Fleet'!$B$5:$B$63,0)),0)*IFERROR(INDEX('D Fleet'!$K$5:$K$36,INT(($B180/H$5))+1)+(($B180/H$5)-INT(($B180/H$5)))*(INDEX('D Fleet'!$K$5:$K$36,INT(($B180/H$5))+2)-INDEX('D Fleet'!$K$5:$K$36,INT(($B180/H$5))+1)),0)</f>
        <v/>
      </c>
      <c r="I180" s="261">
        <f>IFERROR(INDEX('D Fleet'!$F$5:$F$63,MATCH(I$3-$B180,'D Fleet'!$B$5:$B$63,0)),0)*IFERROR(INDEX('D Fleet'!$K$5:$K$36,INT(($B180/I$5))+1)+(($B180/I$5)-INT(($B180/I$5)))*(INDEX('D Fleet'!$K$5:$K$36,INT(($B180/I$5))+2)-INDEX('D Fleet'!$K$5:$K$36,INT(($B180/I$5))+1)),0)</f>
        <v/>
      </c>
      <c r="J180" s="261">
        <f>IFERROR(INDEX('D Fleet'!$F$5:$F$63,MATCH(J$3-$B180,'D Fleet'!$B$5:$B$63,0)),0)*IFERROR(INDEX('D Fleet'!$K$5:$K$36,INT(($B180/J$5))+1)+(($B180/J$5)-INT(($B180/J$5)))*(INDEX('D Fleet'!$K$5:$K$36,INT(($B180/J$5))+2)-INDEX('D Fleet'!$K$5:$K$36,INT(($B180/J$5))+1)),0)</f>
        <v/>
      </c>
      <c r="K180" s="261">
        <f>IFERROR(INDEX('D Fleet'!$F$5:$F$63,MATCH(K$3-$B180,'D Fleet'!$B$5:$B$63,0)),0)*IFERROR(INDEX('D Fleet'!$K$5:$K$36,INT(($B180/K$5))+1)+(($B180/K$5)-INT(($B180/K$5)))*(INDEX('D Fleet'!$K$5:$K$36,INT(($B180/K$5))+2)-INDEX('D Fleet'!$K$5:$K$36,INT(($B180/K$5))+1)),0)</f>
        <v/>
      </c>
      <c r="L180" s="261">
        <f>IFERROR(INDEX('D Fleet'!$F$5:$F$63,MATCH(L$3-$B180,'D Fleet'!$B$5:$B$63,0)),0)*IFERROR(INDEX('D Fleet'!$K$5:$K$36,INT(($B180/L$5))+1)+(($B180/L$5)-INT(($B180/L$5)))*(INDEX('D Fleet'!$K$5:$K$36,INT(($B180/L$5))+2)-INDEX('D Fleet'!$K$5:$K$36,INT(($B180/L$5))+1)),0)</f>
        <v/>
      </c>
      <c r="M180" s="261">
        <f>IFERROR(INDEX('D Fleet'!$F$5:$F$63,MATCH(M$3-$B180,'D Fleet'!$B$5:$B$63,0)),0)*IFERROR(INDEX('D Fleet'!$K$5:$K$36,INT(($B180/M$5))+1)+(($B180/M$5)-INT(($B180/M$5)))*(INDEX('D Fleet'!$K$5:$K$36,INT(($B180/M$5))+2)-INDEX('D Fleet'!$K$5:$K$36,INT(($B180/M$5))+1)),0)</f>
        <v/>
      </c>
      <c r="N180" s="261">
        <f>IFERROR(INDEX('D Fleet'!$F$5:$F$63,MATCH(N$3-$B180,'D Fleet'!$B$5:$B$63,0)),0)*IFERROR(INDEX('D Fleet'!$K$5:$K$36,INT(($B180/N$5))+1)+(($B180/N$5)-INT(($B180/N$5)))*(INDEX('D Fleet'!$K$5:$K$36,INT(($B180/N$5))+2)-INDEX('D Fleet'!$K$5:$K$36,INT(($B180/N$5))+1)),0)</f>
        <v/>
      </c>
      <c r="P180" s="261">
        <f>E180*$D180*'E1 Fleet'!$D$100</f>
        <v/>
      </c>
      <c r="Q180" s="261">
        <f>F180*$D180*'E1 Fleet'!$D$100</f>
        <v/>
      </c>
      <c r="R180" s="261">
        <f>G180*$D180*'E1 Fleet'!$D$100</f>
        <v/>
      </c>
      <c r="S180" s="261">
        <f>H180*$D180*'E1 Fleet'!$D$100</f>
        <v/>
      </c>
      <c r="T180" s="261">
        <f>I180*$D180*'E1 Fleet'!$D$100</f>
        <v/>
      </c>
      <c r="U180" s="261">
        <f>J180*$D180*'E1 Fleet'!$D$100</f>
        <v/>
      </c>
      <c r="V180" s="261">
        <f>K180*$D180*'E1 Fleet'!$D$100</f>
        <v/>
      </c>
      <c r="W180" s="261">
        <f>L180*$D180*'E1 Fleet'!$D$100</f>
        <v/>
      </c>
      <c r="X180" s="261">
        <f>M180*$D180*'E1 Fleet'!$D$100</f>
        <v/>
      </c>
      <c r="Y180" s="261">
        <f>N180*$D180*'E1 Fleet'!$D$100</f>
        <v/>
      </c>
    </row>
    <row r="181">
      <c r="A181" t="inlineStr">
        <is>
          <t>Van</t>
        </is>
      </c>
      <c r="B181" s="331" t="n">
        <v>36</v>
      </c>
      <c r="C181" s="331" t="n">
        <v>3</v>
      </c>
      <c r="D181" s="266">
        <f>IF($B181=0,'E1 Fleet'!$D$93,1)*EXP(-'E1 Fleet'!$D$94*MAX($B181-6,0))</f>
        <v/>
      </c>
      <c r="E181" s="261">
        <f>IFERROR(INDEX('D Fleet'!$F$5:$F$63,MATCH(E$3-$B181,'D Fleet'!$B$5:$B$63,0)),0)*IFERROR(INDEX('D Fleet'!$K$5:$K$36,INT(($B181/E$5))+1)+(($B181/E$5)-INT(($B181/E$5)))*(INDEX('D Fleet'!$K$5:$K$36,INT(($B181/E$5))+2)-INDEX('D Fleet'!$K$5:$K$36,INT(($B181/E$5))+1)),0)</f>
        <v/>
      </c>
      <c r="F181" s="261">
        <f>IFERROR(INDEX('D Fleet'!$F$5:$F$63,MATCH(F$3-$B181,'D Fleet'!$B$5:$B$63,0)),0)*IFERROR(INDEX('D Fleet'!$K$5:$K$36,INT(($B181/F$5))+1)+(($B181/F$5)-INT(($B181/F$5)))*(INDEX('D Fleet'!$K$5:$K$36,INT(($B181/F$5))+2)-INDEX('D Fleet'!$K$5:$K$36,INT(($B181/F$5))+1)),0)</f>
        <v/>
      </c>
      <c r="G181" s="261">
        <f>IFERROR(INDEX('D Fleet'!$F$5:$F$63,MATCH(G$3-$B181,'D Fleet'!$B$5:$B$63,0)),0)*IFERROR(INDEX('D Fleet'!$K$5:$K$36,INT(($B181/G$5))+1)+(($B181/G$5)-INT(($B181/G$5)))*(INDEX('D Fleet'!$K$5:$K$36,INT(($B181/G$5))+2)-INDEX('D Fleet'!$K$5:$K$36,INT(($B181/G$5))+1)),0)</f>
        <v/>
      </c>
      <c r="H181" s="261">
        <f>IFERROR(INDEX('D Fleet'!$F$5:$F$63,MATCH(H$3-$B181,'D Fleet'!$B$5:$B$63,0)),0)*IFERROR(INDEX('D Fleet'!$K$5:$K$36,INT(($B181/H$5))+1)+(($B181/H$5)-INT(($B181/H$5)))*(INDEX('D Fleet'!$K$5:$K$36,INT(($B181/H$5))+2)-INDEX('D Fleet'!$K$5:$K$36,INT(($B181/H$5))+1)),0)</f>
        <v/>
      </c>
      <c r="I181" s="261">
        <f>IFERROR(INDEX('D Fleet'!$F$5:$F$63,MATCH(I$3-$B181,'D Fleet'!$B$5:$B$63,0)),0)*IFERROR(INDEX('D Fleet'!$K$5:$K$36,INT(($B181/I$5))+1)+(($B181/I$5)-INT(($B181/I$5)))*(INDEX('D Fleet'!$K$5:$K$36,INT(($B181/I$5))+2)-INDEX('D Fleet'!$K$5:$K$36,INT(($B181/I$5))+1)),0)</f>
        <v/>
      </c>
      <c r="J181" s="261">
        <f>IFERROR(INDEX('D Fleet'!$F$5:$F$63,MATCH(J$3-$B181,'D Fleet'!$B$5:$B$63,0)),0)*IFERROR(INDEX('D Fleet'!$K$5:$K$36,INT(($B181/J$5))+1)+(($B181/J$5)-INT(($B181/J$5)))*(INDEX('D Fleet'!$K$5:$K$36,INT(($B181/J$5))+2)-INDEX('D Fleet'!$K$5:$K$36,INT(($B181/J$5))+1)),0)</f>
        <v/>
      </c>
      <c r="K181" s="261">
        <f>IFERROR(INDEX('D Fleet'!$F$5:$F$63,MATCH(K$3-$B181,'D Fleet'!$B$5:$B$63,0)),0)*IFERROR(INDEX('D Fleet'!$K$5:$K$36,INT(($B181/K$5))+1)+(($B181/K$5)-INT(($B181/K$5)))*(INDEX('D Fleet'!$K$5:$K$36,INT(($B181/K$5))+2)-INDEX('D Fleet'!$K$5:$K$36,INT(($B181/K$5))+1)),0)</f>
        <v/>
      </c>
      <c r="L181" s="261">
        <f>IFERROR(INDEX('D Fleet'!$F$5:$F$63,MATCH(L$3-$B181,'D Fleet'!$B$5:$B$63,0)),0)*IFERROR(INDEX('D Fleet'!$K$5:$K$36,INT(($B181/L$5))+1)+(($B181/L$5)-INT(($B181/L$5)))*(INDEX('D Fleet'!$K$5:$K$36,INT(($B181/L$5))+2)-INDEX('D Fleet'!$K$5:$K$36,INT(($B181/L$5))+1)),0)</f>
        <v/>
      </c>
      <c r="M181" s="261">
        <f>IFERROR(INDEX('D Fleet'!$F$5:$F$63,MATCH(M$3-$B181,'D Fleet'!$B$5:$B$63,0)),0)*IFERROR(INDEX('D Fleet'!$K$5:$K$36,INT(($B181/M$5))+1)+(($B181/M$5)-INT(($B181/M$5)))*(INDEX('D Fleet'!$K$5:$K$36,INT(($B181/M$5))+2)-INDEX('D Fleet'!$K$5:$K$36,INT(($B181/M$5))+1)),0)</f>
        <v/>
      </c>
      <c r="N181" s="261">
        <f>IFERROR(INDEX('D Fleet'!$F$5:$F$63,MATCH(N$3-$B181,'D Fleet'!$B$5:$B$63,0)),0)*IFERROR(INDEX('D Fleet'!$K$5:$K$36,INT(($B181/N$5))+1)+(($B181/N$5)-INT(($B181/N$5)))*(INDEX('D Fleet'!$K$5:$K$36,INT(($B181/N$5))+2)-INDEX('D Fleet'!$K$5:$K$36,INT(($B181/N$5))+1)),0)</f>
        <v/>
      </c>
      <c r="P181" s="261">
        <f>E181*$D181*'E1 Fleet'!$D$100</f>
        <v/>
      </c>
      <c r="Q181" s="261">
        <f>F181*$D181*'E1 Fleet'!$D$100</f>
        <v/>
      </c>
      <c r="R181" s="261">
        <f>G181*$D181*'E1 Fleet'!$D$100</f>
        <v/>
      </c>
      <c r="S181" s="261">
        <f>H181*$D181*'E1 Fleet'!$D$100</f>
        <v/>
      </c>
      <c r="T181" s="261">
        <f>I181*$D181*'E1 Fleet'!$D$100</f>
        <v/>
      </c>
      <c r="U181" s="261">
        <f>J181*$D181*'E1 Fleet'!$D$100</f>
        <v/>
      </c>
      <c r="V181" s="261">
        <f>K181*$D181*'E1 Fleet'!$D$100</f>
        <v/>
      </c>
      <c r="W181" s="261">
        <f>L181*$D181*'E1 Fleet'!$D$100</f>
        <v/>
      </c>
      <c r="X181" s="261">
        <f>M181*$D181*'E1 Fleet'!$D$100</f>
        <v/>
      </c>
      <c r="Y181" s="261">
        <f>N181*$D181*'E1 Fleet'!$D$100</f>
        <v/>
      </c>
    </row>
    <row r="182">
      <c r="A182" t="inlineStr">
        <is>
          <t>Van</t>
        </is>
      </c>
      <c r="B182" s="331" t="n">
        <v>37</v>
      </c>
      <c r="C182" s="331" t="n">
        <v>3</v>
      </c>
      <c r="D182" s="266">
        <f>IF($B182=0,'E1 Fleet'!$D$93,1)*EXP(-'E1 Fleet'!$D$94*MAX($B182-6,0))</f>
        <v/>
      </c>
      <c r="E182" s="261">
        <f>IFERROR(INDEX('D Fleet'!$F$5:$F$63,MATCH(E$3-$B182,'D Fleet'!$B$5:$B$63,0)),0)*IFERROR(INDEX('D Fleet'!$K$5:$K$36,INT(($B182/E$5))+1)+(($B182/E$5)-INT(($B182/E$5)))*(INDEX('D Fleet'!$K$5:$K$36,INT(($B182/E$5))+2)-INDEX('D Fleet'!$K$5:$K$36,INT(($B182/E$5))+1)),0)</f>
        <v/>
      </c>
      <c r="F182" s="261">
        <f>IFERROR(INDEX('D Fleet'!$F$5:$F$63,MATCH(F$3-$B182,'D Fleet'!$B$5:$B$63,0)),0)*IFERROR(INDEX('D Fleet'!$K$5:$K$36,INT(($B182/F$5))+1)+(($B182/F$5)-INT(($B182/F$5)))*(INDEX('D Fleet'!$K$5:$K$36,INT(($B182/F$5))+2)-INDEX('D Fleet'!$K$5:$K$36,INT(($B182/F$5))+1)),0)</f>
        <v/>
      </c>
      <c r="G182" s="261">
        <f>IFERROR(INDEX('D Fleet'!$F$5:$F$63,MATCH(G$3-$B182,'D Fleet'!$B$5:$B$63,0)),0)*IFERROR(INDEX('D Fleet'!$K$5:$K$36,INT(($B182/G$5))+1)+(($B182/G$5)-INT(($B182/G$5)))*(INDEX('D Fleet'!$K$5:$K$36,INT(($B182/G$5))+2)-INDEX('D Fleet'!$K$5:$K$36,INT(($B182/G$5))+1)),0)</f>
        <v/>
      </c>
      <c r="H182" s="261">
        <f>IFERROR(INDEX('D Fleet'!$F$5:$F$63,MATCH(H$3-$B182,'D Fleet'!$B$5:$B$63,0)),0)*IFERROR(INDEX('D Fleet'!$K$5:$K$36,INT(($B182/H$5))+1)+(($B182/H$5)-INT(($B182/H$5)))*(INDEX('D Fleet'!$K$5:$K$36,INT(($B182/H$5))+2)-INDEX('D Fleet'!$K$5:$K$36,INT(($B182/H$5))+1)),0)</f>
        <v/>
      </c>
      <c r="I182" s="261">
        <f>IFERROR(INDEX('D Fleet'!$F$5:$F$63,MATCH(I$3-$B182,'D Fleet'!$B$5:$B$63,0)),0)*IFERROR(INDEX('D Fleet'!$K$5:$K$36,INT(($B182/I$5))+1)+(($B182/I$5)-INT(($B182/I$5)))*(INDEX('D Fleet'!$K$5:$K$36,INT(($B182/I$5))+2)-INDEX('D Fleet'!$K$5:$K$36,INT(($B182/I$5))+1)),0)</f>
        <v/>
      </c>
      <c r="J182" s="261">
        <f>IFERROR(INDEX('D Fleet'!$F$5:$F$63,MATCH(J$3-$B182,'D Fleet'!$B$5:$B$63,0)),0)*IFERROR(INDEX('D Fleet'!$K$5:$K$36,INT(($B182/J$5))+1)+(($B182/J$5)-INT(($B182/J$5)))*(INDEX('D Fleet'!$K$5:$K$36,INT(($B182/J$5))+2)-INDEX('D Fleet'!$K$5:$K$36,INT(($B182/J$5))+1)),0)</f>
        <v/>
      </c>
      <c r="K182" s="261">
        <f>IFERROR(INDEX('D Fleet'!$F$5:$F$63,MATCH(K$3-$B182,'D Fleet'!$B$5:$B$63,0)),0)*IFERROR(INDEX('D Fleet'!$K$5:$K$36,INT(($B182/K$5))+1)+(($B182/K$5)-INT(($B182/K$5)))*(INDEX('D Fleet'!$K$5:$K$36,INT(($B182/K$5))+2)-INDEX('D Fleet'!$K$5:$K$36,INT(($B182/K$5))+1)),0)</f>
        <v/>
      </c>
      <c r="L182" s="261">
        <f>IFERROR(INDEX('D Fleet'!$F$5:$F$63,MATCH(L$3-$B182,'D Fleet'!$B$5:$B$63,0)),0)*IFERROR(INDEX('D Fleet'!$K$5:$K$36,INT(($B182/L$5))+1)+(($B182/L$5)-INT(($B182/L$5)))*(INDEX('D Fleet'!$K$5:$K$36,INT(($B182/L$5))+2)-INDEX('D Fleet'!$K$5:$K$36,INT(($B182/L$5))+1)),0)</f>
        <v/>
      </c>
      <c r="M182" s="261">
        <f>IFERROR(INDEX('D Fleet'!$F$5:$F$63,MATCH(M$3-$B182,'D Fleet'!$B$5:$B$63,0)),0)*IFERROR(INDEX('D Fleet'!$K$5:$K$36,INT(($B182/M$5))+1)+(($B182/M$5)-INT(($B182/M$5)))*(INDEX('D Fleet'!$K$5:$K$36,INT(($B182/M$5))+2)-INDEX('D Fleet'!$K$5:$K$36,INT(($B182/M$5))+1)),0)</f>
        <v/>
      </c>
      <c r="N182" s="261">
        <f>IFERROR(INDEX('D Fleet'!$F$5:$F$63,MATCH(N$3-$B182,'D Fleet'!$B$5:$B$63,0)),0)*IFERROR(INDEX('D Fleet'!$K$5:$K$36,INT(($B182/N$5))+1)+(($B182/N$5)-INT(($B182/N$5)))*(INDEX('D Fleet'!$K$5:$K$36,INT(($B182/N$5))+2)-INDEX('D Fleet'!$K$5:$K$36,INT(($B182/N$5))+1)),0)</f>
        <v/>
      </c>
      <c r="P182" s="261">
        <f>E182*$D182*'E1 Fleet'!$D$100</f>
        <v/>
      </c>
      <c r="Q182" s="261">
        <f>F182*$D182*'E1 Fleet'!$D$100</f>
        <v/>
      </c>
      <c r="R182" s="261">
        <f>G182*$D182*'E1 Fleet'!$D$100</f>
        <v/>
      </c>
      <c r="S182" s="261">
        <f>H182*$D182*'E1 Fleet'!$D$100</f>
        <v/>
      </c>
      <c r="T182" s="261">
        <f>I182*$D182*'E1 Fleet'!$D$100</f>
        <v/>
      </c>
      <c r="U182" s="261">
        <f>J182*$D182*'E1 Fleet'!$D$100</f>
        <v/>
      </c>
      <c r="V182" s="261">
        <f>K182*$D182*'E1 Fleet'!$D$100</f>
        <v/>
      </c>
      <c r="W182" s="261">
        <f>L182*$D182*'E1 Fleet'!$D$100</f>
        <v/>
      </c>
      <c r="X182" s="261">
        <f>M182*$D182*'E1 Fleet'!$D$100</f>
        <v/>
      </c>
      <c r="Y182" s="261">
        <f>N182*$D182*'E1 Fleet'!$D$100</f>
        <v/>
      </c>
    </row>
    <row r="183">
      <c r="A183" t="inlineStr">
        <is>
          <t>Van</t>
        </is>
      </c>
      <c r="B183" s="331" t="n">
        <v>38</v>
      </c>
      <c r="C183" s="331" t="n">
        <v>3</v>
      </c>
      <c r="D183" s="266">
        <f>IF($B183=0,'E1 Fleet'!$D$93,1)*EXP(-'E1 Fleet'!$D$94*MAX($B183-6,0))</f>
        <v/>
      </c>
      <c r="E183" s="261">
        <f>IFERROR(INDEX('D Fleet'!$F$5:$F$63,MATCH(E$3-$B183,'D Fleet'!$B$5:$B$63,0)),0)*IFERROR(INDEX('D Fleet'!$K$5:$K$36,INT(($B183/E$5))+1)+(($B183/E$5)-INT(($B183/E$5)))*(INDEX('D Fleet'!$K$5:$K$36,INT(($B183/E$5))+2)-INDEX('D Fleet'!$K$5:$K$36,INT(($B183/E$5))+1)),0)</f>
        <v/>
      </c>
      <c r="F183" s="261">
        <f>IFERROR(INDEX('D Fleet'!$F$5:$F$63,MATCH(F$3-$B183,'D Fleet'!$B$5:$B$63,0)),0)*IFERROR(INDEX('D Fleet'!$K$5:$K$36,INT(($B183/F$5))+1)+(($B183/F$5)-INT(($B183/F$5)))*(INDEX('D Fleet'!$K$5:$K$36,INT(($B183/F$5))+2)-INDEX('D Fleet'!$K$5:$K$36,INT(($B183/F$5))+1)),0)</f>
        <v/>
      </c>
      <c r="G183" s="261">
        <f>IFERROR(INDEX('D Fleet'!$F$5:$F$63,MATCH(G$3-$B183,'D Fleet'!$B$5:$B$63,0)),0)*IFERROR(INDEX('D Fleet'!$K$5:$K$36,INT(($B183/G$5))+1)+(($B183/G$5)-INT(($B183/G$5)))*(INDEX('D Fleet'!$K$5:$K$36,INT(($B183/G$5))+2)-INDEX('D Fleet'!$K$5:$K$36,INT(($B183/G$5))+1)),0)</f>
        <v/>
      </c>
      <c r="H183" s="261">
        <f>IFERROR(INDEX('D Fleet'!$F$5:$F$63,MATCH(H$3-$B183,'D Fleet'!$B$5:$B$63,0)),0)*IFERROR(INDEX('D Fleet'!$K$5:$K$36,INT(($B183/H$5))+1)+(($B183/H$5)-INT(($B183/H$5)))*(INDEX('D Fleet'!$K$5:$K$36,INT(($B183/H$5))+2)-INDEX('D Fleet'!$K$5:$K$36,INT(($B183/H$5))+1)),0)</f>
        <v/>
      </c>
      <c r="I183" s="261">
        <f>IFERROR(INDEX('D Fleet'!$F$5:$F$63,MATCH(I$3-$B183,'D Fleet'!$B$5:$B$63,0)),0)*IFERROR(INDEX('D Fleet'!$K$5:$K$36,INT(($B183/I$5))+1)+(($B183/I$5)-INT(($B183/I$5)))*(INDEX('D Fleet'!$K$5:$K$36,INT(($B183/I$5))+2)-INDEX('D Fleet'!$K$5:$K$36,INT(($B183/I$5))+1)),0)</f>
        <v/>
      </c>
      <c r="J183" s="261">
        <f>IFERROR(INDEX('D Fleet'!$F$5:$F$63,MATCH(J$3-$B183,'D Fleet'!$B$5:$B$63,0)),0)*IFERROR(INDEX('D Fleet'!$K$5:$K$36,INT(($B183/J$5))+1)+(($B183/J$5)-INT(($B183/J$5)))*(INDEX('D Fleet'!$K$5:$K$36,INT(($B183/J$5))+2)-INDEX('D Fleet'!$K$5:$K$36,INT(($B183/J$5))+1)),0)</f>
        <v/>
      </c>
      <c r="K183" s="261">
        <f>IFERROR(INDEX('D Fleet'!$F$5:$F$63,MATCH(K$3-$B183,'D Fleet'!$B$5:$B$63,0)),0)*IFERROR(INDEX('D Fleet'!$K$5:$K$36,INT(($B183/K$5))+1)+(($B183/K$5)-INT(($B183/K$5)))*(INDEX('D Fleet'!$K$5:$K$36,INT(($B183/K$5))+2)-INDEX('D Fleet'!$K$5:$K$36,INT(($B183/K$5))+1)),0)</f>
        <v/>
      </c>
      <c r="L183" s="261">
        <f>IFERROR(INDEX('D Fleet'!$F$5:$F$63,MATCH(L$3-$B183,'D Fleet'!$B$5:$B$63,0)),0)*IFERROR(INDEX('D Fleet'!$K$5:$K$36,INT(($B183/L$5))+1)+(($B183/L$5)-INT(($B183/L$5)))*(INDEX('D Fleet'!$K$5:$K$36,INT(($B183/L$5))+2)-INDEX('D Fleet'!$K$5:$K$36,INT(($B183/L$5))+1)),0)</f>
        <v/>
      </c>
      <c r="M183" s="261">
        <f>IFERROR(INDEX('D Fleet'!$F$5:$F$63,MATCH(M$3-$B183,'D Fleet'!$B$5:$B$63,0)),0)*IFERROR(INDEX('D Fleet'!$K$5:$K$36,INT(($B183/M$5))+1)+(($B183/M$5)-INT(($B183/M$5)))*(INDEX('D Fleet'!$K$5:$K$36,INT(($B183/M$5))+2)-INDEX('D Fleet'!$K$5:$K$36,INT(($B183/M$5))+1)),0)</f>
        <v/>
      </c>
      <c r="N183" s="261">
        <f>IFERROR(INDEX('D Fleet'!$F$5:$F$63,MATCH(N$3-$B183,'D Fleet'!$B$5:$B$63,0)),0)*IFERROR(INDEX('D Fleet'!$K$5:$K$36,INT(($B183/N$5))+1)+(($B183/N$5)-INT(($B183/N$5)))*(INDEX('D Fleet'!$K$5:$K$36,INT(($B183/N$5))+2)-INDEX('D Fleet'!$K$5:$K$36,INT(($B183/N$5))+1)),0)</f>
        <v/>
      </c>
      <c r="P183" s="261">
        <f>E183*$D183*'E1 Fleet'!$D$100</f>
        <v/>
      </c>
      <c r="Q183" s="261">
        <f>F183*$D183*'E1 Fleet'!$D$100</f>
        <v/>
      </c>
      <c r="R183" s="261">
        <f>G183*$D183*'E1 Fleet'!$D$100</f>
        <v/>
      </c>
      <c r="S183" s="261">
        <f>H183*$D183*'E1 Fleet'!$D$100</f>
        <v/>
      </c>
      <c r="T183" s="261">
        <f>I183*$D183*'E1 Fleet'!$D$100</f>
        <v/>
      </c>
      <c r="U183" s="261">
        <f>J183*$D183*'E1 Fleet'!$D$100</f>
        <v/>
      </c>
      <c r="V183" s="261">
        <f>K183*$D183*'E1 Fleet'!$D$100</f>
        <v/>
      </c>
      <c r="W183" s="261">
        <f>L183*$D183*'E1 Fleet'!$D$100</f>
        <v/>
      </c>
      <c r="X183" s="261">
        <f>M183*$D183*'E1 Fleet'!$D$100</f>
        <v/>
      </c>
      <c r="Y183" s="261">
        <f>N183*$D183*'E1 Fleet'!$D$100</f>
        <v/>
      </c>
    </row>
    <row r="184">
      <c r="A184" t="inlineStr">
        <is>
          <t>Van</t>
        </is>
      </c>
      <c r="B184" s="331" t="n">
        <v>39</v>
      </c>
      <c r="C184" s="331" t="n">
        <v>3</v>
      </c>
      <c r="D184" s="266">
        <f>IF($B184=0,'E1 Fleet'!$D$93,1)*EXP(-'E1 Fleet'!$D$94*MAX($B184-6,0))</f>
        <v/>
      </c>
      <c r="E184" s="261">
        <f>IFERROR(INDEX('D Fleet'!$F$5:$F$63,MATCH(E$3-$B184,'D Fleet'!$B$5:$B$63,0)),0)*IFERROR(INDEX('D Fleet'!$K$5:$K$36,INT(($B184/E$5))+1)+(($B184/E$5)-INT(($B184/E$5)))*(INDEX('D Fleet'!$K$5:$K$36,INT(($B184/E$5))+2)-INDEX('D Fleet'!$K$5:$K$36,INT(($B184/E$5))+1)),0)</f>
        <v/>
      </c>
      <c r="F184" s="261">
        <f>IFERROR(INDEX('D Fleet'!$F$5:$F$63,MATCH(F$3-$B184,'D Fleet'!$B$5:$B$63,0)),0)*IFERROR(INDEX('D Fleet'!$K$5:$K$36,INT(($B184/F$5))+1)+(($B184/F$5)-INT(($B184/F$5)))*(INDEX('D Fleet'!$K$5:$K$36,INT(($B184/F$5))+2)-INDEX('D Fleet'!$K$5:$K$36,INT(($B184/F$5))+1)),0)</f>
        <v/>
      </c>
      <c r="G184" s="261">
        <f>IFERROR(INDEX('D Fleet'!$F$5:$F$63,MATCH(G$3-$B184,'D Fleet'!$B$5:$B$63,0)),0)*IFERROR(INDEX('D Fleet'!$K$5:$K$36,INT(($B184/G$5))+1)+(($B184/G$5)-INT(($B184/G$5)))*(INDEX('D Fleet'!$K$5:$K$36,INT(($B184/G$5))+2)-INDEX('D Fleet'!$K$5:$K$36,INT(($B184/G$5))+1)),0)</f>
        <v/>
      </c>
      <c r="H184" s="261">
        <f>IFERROR(INDEX('D Fleet'!$F$5:$F$63,MATCH(H$3-$B184,'D Fleet'!$B$5:$B$63,0)),0)*IFERROR(INDEX('D Fleet'!$K$5:$K$36,INT(($B184/H$5))+1)+(($B184/H$5)-INT(($B184/H$5)))*(INDEX('D Fleet'!$K$5:$K$36,INT(($B184/H$5))+2)-INDEX('D Fleet'!$K$5:$K$36,INT(($B184/H$5))+1)),0)</f>
        <v/>
      </c>
      <c r="I184" s="261">
        <f>IFERROR(INDEX('D Fleet'!$F$5:$F$63,MATCH(I$3-$B184,'D Fleet'!$B$5:$B$63,0)),0)*IFERROR(INDEX('D Fleet'!$K$5:$K$36,INT(($B184/I$5))+1)+(($B184/I$5)-INT(($B184/I$5)))*(INDEX('D Fleet'!$K$5:$K$36,INT(($B184/I$5))+2)-INDEX('D Fleet'!$K$5:$K$36,INT(($B184/I$5))+1)),0)</f>
        <v/>
      </c>
      <c r="J184" s="261">
        <f>IFERROR(INDEX('D Fleet'!$F$5:$F$63,MATCH(J$3-$B184,'D Fleet'!$B$5:$B$63,0)),0)*IFERROR(INDEX('D Fleet'!$K$5:$K$36,INT(($B184/J$5))+1)+(($B184/J$5)-INT(($B184/J$5)))*(INDEX('D Fleet'!$K$5:$K$36,INT(($B184/J$5))+2)-INDEX('D Fleet'!$K$5:$K$36,INT(($B184/J$5))+1)),0)</f>
        <v/>
      </c>
      <c r="K184" s="261">
        <f>IFERROR(INDEX('D Fleet'!$F$5:$F$63,MATCH(K$3-$B184,'D Fleet'!$B$5:$B$63,0)),0)*IFERROR(INDEX('D Fleet'!$K$5:$K$36,INT(($B184/K$5))+1)+(($B184/K$5)-INT(($B184/K$5)))*(INDEX('D Fleet'!$K$5:$K$36,INT(($B184/K$5))+2)-INDEX('D Fleet'!$K$5:$K$36,INT(($B184/K$5))+1)),0)</f>
        <v/>
      </c>
      <c r="L184" s="261">
        <f>IFERROR(INDEX('D Fleet'!$F$5:$F$63,MATCH(L$3-$B184,'D Fleet'!$B$5:$B$63,0)),0)*IFERROR(INDEX('D Fleet'!$K$5:$K$36,INT(($B184/L$5))+1)+(($B184/L$5)-INT(($B184/L$5)))*(INDEX('D Fleet'!$K$5:$K$36,INT(($B184/L$5))+2)-INDEX('D Fleet'!$K$5:$K$36,INT(($B184/L$5))+1)),0)</f>
        <v/>
      </c>
      <c r="M184" s="261">
        <f>IFERROR(INDEX('D Fleet'!$F$5:$F$63,MATCH(M$3-$B184,'D Fleet'!$B$5:$B$63,0)),0)*IFERROR(INDEX('D Fleet'!$K$5:$K$36,INT(($B184/M$5))+1)+(($B184/M$5)-INT(($B184/M$5)))*(INDEX('D Fleet'!$K$5:$K$36,INT(($B184/M$5))+2)-INDEX('D Fleet'!$K$5:$K$36,INT(($B184/M$5))+1)),0)</f>
        <v/>
      </c>
      <c r="N184" s="261">
        <f>IFERROR(INDEX('D Fleet'!$F$5:$F$63,MATCH(N$3-$B184,'D Fleet'!$B$5:$B$63,0)),0)*IFERROR(INDEX('D Fleet'!$K$5:$K$36,INT(($B184/N$5))+1)+(($B184/N$5)-INT(($B184/N$5)))*(INDEX('D Fleet'!$K$5:$K$36,INT(($B184/N$5))+2)-INDEX('D Fleet'!$K$5:$K$36,INT(($B184/N$5))+1)),0)</f>
        <v/>
      </c>
      <c r="P184" s="261">
        <f>E184*$D184*'E1 Fleet'!$D$100</f>
        <v/>
      </c>
      <c r="Q184" s="261">
        <f>F184*$D184*'E1 Fleet'!$D$100</f>
        <v/>
      </c>
      <c r="R184" s="261">
        <f>G184*$D184*'E1 Fleet'!$D$100</f>
        <v/>
      </c>
      <c r="S184" s="261">
        <f>H184*$D184*'E1 Fleet'!$D$100</f>
        <v/>
      </c>
      <c r="T184" s="261">
        <f>I184*$D184*'E1 Fleet'!$D$100</f>
        <v/>
      </c>
      <c r="U184" s="261">
        <f>J184*$D184*'E1 Fleet'!$D$100</f>
        <v/>
      </c>
      <c r="V184" s="261">
        <f>K184*$D184*'E1 Fleet'!$D$100</f>
        <v/>
      </c>
      <c r="W184" s="261">
        <f>L184*$D184*'E1 Fleet'!$D$100</f>
        <v/>
      </c>
      <c r="X184" s="261">
        <f>M184*$D184*'E1 Fleet'!$D$100</f>
        <v/>
      </c>
      <c r="Y184" s="261">
        <f>N184*$D184*'E1 Fleet'!$D$100</f>
        <v/>
      </c>
    </row>
    <row r="185">
      <c r="A185" t="inlineStr">
        <is>
          <t>Van</t>
        </is>
      </c>
      <c r="B185" s="331" t="n">
        <v>40</v>
      </c>
      <c r="C185" s="331" t="n">
        <v>3</v>
      </c>
      <c r="D185" s="266">
        <f>IF($B185=0,'E1 Fleet'!$D$93,1)*EXP(-'E1 Fleet'!$D$94*MAX($B185-6,0))</f>
        <v/>
      </c>
      <c r="E185" s="261">
        <f>IFERROR(INDEX('D Fleet'!$F$5:$F$63,MATCH(E$3-$B185,'D Fleet'!$B$5:$B$63,0)),0)*IFERROR(INDEX('D Fleet'!$K$5:$K$36,INT(($B185/E$5))+1)+(($B185/E$5)-INT(($B185/E$5)))*(INDEX('D Fleet'!$K$5:$K$36,INT(($B185/E$5))+2)-INDEX('D Fleet'!$K$5:$K$36,INT(($B185/E$5))+1)),0)</f>
        <v/>
      </c>
      <c r="F185" s="261">
        <f>IFERROR(INDEX('D Fleet'!$F$5:$F$63,MATCH(F$3-$B185,'D Fleet'!$B$5:$B$63,0)),0)*IFERROR(INDEX('D Fleet'!$K$5:$K$36,INT(($B185/F$5))+1)+(($B185/F$5)-INT(($B185/F$5)))*(INDEX('D Fleet'!$K$5:$K$36,INT(($B185/F$5))+2)-INDEX('D Fleet'!$K$5:$K$36,INT(($B185/F$5))+1)),0)</f>
        <v/>
      </c>
      <c r="G185" s="261">
        <f>IFERROR(INDEX('D Fleet'!$F$5:$F$63,MATCH(G$3-$B185,'D Fleet'!$B$5:$B$63,0)),0)*IFERROR(INDEX('D Fleet'!$K$5:$K$36,INT(($B185/G$5))+1)+(($B185/G$5)-INT(($B185/G$5)))*(INDEX('D Fleet'!$K$5:$K$36,INT(($B185/G$5))+2)-INDEX('D Fleet'!$K$5:$K$36,INT(($B185/G$5))+1)),0)</f>
        <v/>
      </c>
      <c r="H185" s="261">
        <f>IFERROR(INDEX('D Fleet'!$F$5:$F$63,MATCH(H$3-$B185,'D Fleet'!$B$5:$B$63,0)),0)*IFERROR(INDEX('D Fleet'!$K$5:$K$36,INT(($B185/H$5))+1)+(($B185/H$5)-INT(($B185/H$5)))*(INDEX('D Fleet'!$K$5:$K$36,INT(($B185/H$5))+2)-INDEX('D Fleet'!$K$5:$K$36,INT(($B185/H$5))+1)),0)</f>
        <v/>
      </c>
      <c r="I185" s="261">
        <f>IFERROR(INDEX('D Fleet'!$F$5:$F$63,MATCH(I$3-$B185,'D Fleet'!$B$5:$B$63,0)),0)*IFERROR(INDEX('D Fleet'!$K$5:$K$36,INT(($B185/I$5))+1)+(($B185/I$5)-INT(($B185/I$5)))*(INDEX('D Fleet'!$K$5:$K$36,INT(($B185/I$5))+2)-INDEX('D Fleet'!$K$5:$K$36,INT(($B185/I$5))+1)),0)</f>
        <v/>
      </c>
      <c r="J185" s="261">
        <f>IFERROR(INDEX('D Fleet'!$F$5:$F$63,MATCH(J$3-$B185,'D Fleet'!$B$5:$B$63,0)),0)*IFERROR(INDEX('D Fleet'!$K$5:$K$36,INT(($B185/J$5))+1)+(($B185/J$5)-INT(($B185/J$5)))*(INDEX('D Fleet'!$K$5:$K$36,INT(($B185/J$5))+2)-INDEX('D Fleet'!$K$5:$K$36,INT(($B185/J$5))+1)),0)</f>
        <v/>
      </c>
      <c r="K185" s="261">
        <f>IFERROR(INDEX('D Fleet'!$F$5:$F$63,MATCH(K$3-$B185,'D Fleet'!$B$5:$B$63,0)),0)*IFERROR(INDEX('D Fleet'!$K$5:$K$36,INT(($B185/K$5))+1)+(($B185/K$5)-INT(($B185/K$5)))*(INDEX('D Fleet'!$K$5:$K$36,INT(($B185/K$5))+2)-INDEX('D Fleet'!$K$5:$K$36,INT(($B185/K$5))+1)),0)</f>
        <v/>
      </c>
      <c r="L185" s="261">
        <f>IFERROR(INDEX('D Fleet'!$F$5:$F$63,MATCH(L$3-$B185,'D Fleet'!$B$5:$B$63,0)),0)*IFERROR(INDEX('D Fleet'!$K$5:$K$36,INT(($B185/L$5))+1)+(($B185/L$5)-INT(($B185/L$5)))*(INDEX('D Fleet'!$K$5:$K$36,INT(($B185/L$5))+2)-INDEX('D Fleet'!$K$5:$K$36,INT(($B185/L$5))+1)),0)</f>
        <v/>
      </c>
      <c r="M185" s="261">
        <f>IFERROR(INDEX('D Fleet'!$F$5:$F$63,MATCH(M$3-$B185,'D Fleet'!$B$5:$B$63,0)),0)*IFERROR(INDEX('D Fleet'!$K$5:$K$36,INT(($B185/M$5))+1)+(($B185/M$5)-INT(($B185/M$5)))*(INDEX('D Fleet'!$K$5:$K$36,INT(($B185/M$5))+2)-INDEX('D Fleet'!$K$5:$K$36,INT(($B185/M$5))+1)),0)</f>
        <v/>
      </c>
      <c r="N185" s="261">
        <f>IFERROR(INDEX('D Fleet'!$F$5:$F$63,MATCH(N$3-$B185,'D Fleet'!$B$5:$B$63,0)),0)*IFERROR(INDEX('D Fleet'!$K$5:$K$36,INT(($B185/N$5))+1)+(($B185/N$5)-INT(($B185/N$5)))*(INDEX('D Fleet'!$K$5:$K$36,INT(($B185/N$5))+2)-INDEX('D Fleet'!$K$5:$K$36,INT(($B185/N$5))+1)),0)</f>
        <v/>
      </c>
      <c r="P185" s="261">
        <f>E185*$D185*'E1 Fleet'!$D$100</f>
        <v/>
      </c>
      <c r="Q185" s="261">
        <f>F185*$D185*'E1 Fleet'!$D$100</f>
        <v/>
      </c>
      <c r="R185" s="261">
        <f>G185*$D185*'E1 Fleet'!$D$100</f>
        <v/>
      </c>
      <c r="S185" s="261">
        <f>H185*$D185*'E1 Fleet'!$D$100</f>
        <v/>
      </c>
      <c r="T185" s="261">
        <f>I185*$D185*'E1 Fleet'!$D$100</f>
        <v/>
      </c>
      <c r="U185" s="261">
        <f>J185*$D185*'E1 Fleet'!$D$100</f>
        <v/>
      </c>
      <c r="V185" s="261">
        <f>K185*$D185*'E1 Fleet'!$D$100</f>
        <v/>
      </c>
      <c r="W185" s="261">
        <f>L185*$D185*'E1 Fleet'!$D$100</f>
        <v/>
      </c>
      <c r="X185" s="261">
        <f>M185*$D185*'E1 Fleet'!$D$100</f>
        <v/>
      </c>
      <c r="Y185" s="261">
        <f>N185*$D185*'E1 Fleet'!$D$100</f>
        <v/>
      </c>
    </row>
    <row r="186">
      <c r="A186" t="inlineStr">
        <is>
          <t>Van</t>
        </is>
      </c>
      <c r="B186" s="331" t="n">
        <v>41</v>
      </c>
      <c r="C186" s="331" t="n">
        <v>3</v>
      </c>
      <c r="D186" s="266">
        <f>IF($B186=0,'E1 Fleet'!$D$93,1)*EXP(-'E1 Fleet'!$D$94*MAX($B186-6,0))</f>
        <v/>
      </c>
      <c r="E186" s="261">
        <f>IFERROR(INDEX('D Fleet'!$F$5:$F$63,MATCH(E$3-$B186,'D Fleet'!$B$5:$B$63,0)),0)*IFERROR(INDEX('D Fleet'!$K$5:$K$36,INT(($B186/E$5))+1)+(($B186/E$5)-INT(($B186/E$5)))*(INDEX('D Fleet'!$K$5:$K$36,INT(($B186/E$5))+2)-INDEX('D Fleet'!$K$5:$K$36,INT(($B186/E$5))+1)),0)</f>
        <v/>
      </c>
      <c r="F186" s="261">
        <f>IFERROR(INDEX('D Fleet'!$F$5:$F$63,MATCH(F$3-$B186,'D Fleet'!$B$5:$B$63,0)),0)*IFERROR(INDEX('D Fleet'!$K$5:$K$36,INT(($B186/F$5))+1)+(($B186/F$5)-INT(($B186/F$5)))*(INDEX('D Fleet'!$K$5:$K$36,INT(($B186/F$5))+2)-INDEX('D Fleet'!$K$5:$K$36,INT(($B186/F$5))+1)),0)</f>
        <v/>
      </c>
      <c r="G186" s="261">
        <f>IFERROR(INDEX('D Fleet'!$F$5:$F$63,MATCH(G$3-$B186,'D Fleet'!$B$5:$B$63,0)),0)*IFERROR(INDEX('D Fleet'!$K$5:$K$36,INT(($B186/G$5))+1)+(($B186/G$5)-INT(($B186/G$5)))*(INDEX('D Fleet'!$K$5:$K$36,INT(($B186/G$5))+2)-INDEX('D Fleet'!$K$5:$K$36,INT(($B186/G$5))+1)),0)</f>
        <v/>
      </c>
      <c r="H186" s="261">
        <f>IFERROR(INDEX('D Fleet'!$F$5:$F$63,MATCH(H$3-$B186,'D Fleet'!$B$5:$B$63,0)),0)*IFERROR(INDEX('D Fleet'!$K$5:$K$36,INT(($B186/H$5))+1)+(($B186/H$5)-INT(($B186/H$5)))*(INDEX('D Fleet'!$K$5:$K$36,INT(($B186/H$5))+2)-INDEX('D Fleet'!$K$5:$K$36,INT(($B186/H$5))+1)),0)</f>
        <v/>
      </c>
      <c r="I186" s="261">
        <f>IFERROR(INDEX('D Fleet'!$F$5:$F$63,MATCH(I$3-$B186,'D Fleet'!$B$5:$B$63,0)),0)*IFERROR(INDEX('D Fleet'!$K$5:$K$36,INT(($B186/I$5))+1)+(($B186/I$5)-INT(($B186/I$5)))*(INDEX('D Fleet'!$K$5:$K$36,INT(($B186/I$5))+2)-INDEX('D Fleet'!$K$5:$K$36,INT(($B186/I$5))+1)),0)</f>
        <v/>
      </c>
      <c r="J186" s="261">
        <f>IFERROR(INDEX('D Fleet'!$F$5:$F$63,MATCH(J$3-$B186,'D Fleet'!$B$5:$B$63,0)),0)*IFERROR(INDEX('D Fleet'!$K$5:$K$36,INT(($B186/J$5))+1)+(($B186/J$5)-INT(($B186/J$5)))*(INDEX('D Fleet'!$K$5:$K$36,INT(($B186/J$5))+2)-INDEX('D Fleet'!$K$5:$K$36,INT(($B186/J$5))+1)),0)</f>
        <v/>
      </c>
      <c r="K186" s="261">
        <f>IFERROR(INDEX('D Fleet'!$F$5:$F$63,MATCH(K$3-$B186,'D Fleet'!$B$5:$B$63,0)),0)*IFERROR(INDEX('D Fleet'!$K$5:$K$36,INT(($B186/K$5))+1)+(($B186/K$5)-INT(($B186/K$5)))*(INDEX('D Fleet'!$K$5:$K$36,INT(($B186/K$5))+2)-INDEX('D Fleet'!$K$5:$K$36,INT(($B186/K$5))+1)),0)</f>
        <v/>
      </c>
      <c r="L186" s="261">
        <f>IFERROR(INDEX('D Fleet'!$F$5:$F$63,MATCH(L$3-$B186,'D Fleet'!$B$5:$B$63,0)),0)*IFERROR(INDEX('D Fleet'!$K$5:$K$36,INT(($B186/L$5))+1)+(($B186/L$5)-INT(($B186/L$5)))*(INDEX('D Fleet'!$K$5:$K$36,INT(($B186/L$5))+2)-INDEX('D Fleet'!$K$5:$K$36,INT(($B186/L$5))+1)),0)</f>
        <v/>
      </c>
      <c r="M186" s="261">
        <f>IFERROR(INDEX('D Fleet'!$F$5:$F$63,MATCH(M$3-$B186,'D Fleet'!$B$5:$B$63,0)),0)*IFERROR(INDEX('D Fleet'!$K$5:$K$36,INT(($B186/M$5))+1)+(($B186/M$5)-INT(($B186/M$5)))*(INDEX('D Fleet'!$K$5:$K$36,INT(($B186/M$5))+2)-INDEX('D Fleet'!$K$5:$K$36,INT(($B186/M$5))+1)),0)</f>
        <v/>
      </c>
      <c r="N186" s="261">
        <f>IFERROR(INDEX('D Fleet'!$F$5:$F$63,MATCH(N$3-$B186,'D Fleet'!$B$5:$B$63,0)),0)*IFERROR(INDEX('D Fleet'!$K$5:$K$36,INT(($B186/N$5))+1)+(($B186/N$5)-INT(($B186/N$5)))*(INDEX('D Fleet'!$K$5:$K$36,INT(($B186/N$5))+2)-INDEX('D Fleet'!$K$5:$K$36,INT(($B186/N$5))+1)),0)</f>
        <v/>
      </c>
      <c r="P186" s="261">
        <f>E186*$D186*'E1 Fleet'!$D$100</f>
        <v/>
      </c>
      <c r="Q186" s="261">
        <f>F186*$D186*'E1 Fleet'!$D$100</f>
        <v/>
      </c>
      <c r="R186" s="261">
        <f>G186*$D186*'E1 Fleet'!$D$100</f>
        <v/>
      </c>
      <c r="S186" s="261">
        <f>H186*$D186*'E1 Fleet'!$D$100</f>
        <v/>
      </c>
      <c r="T186" s="261">
        <f>I186*$D186*'E1 Fleet'!$D$100</f>
        <v/>
      </c>
      <c r="U186" s="261">
        <f>J186*$D186*'E1 Fleet'!$D$100</f>
        <v/>
      </c>
      <c r="V186" s="261">
        <f>K186*$D186*'E1 Fleet'!$D$100</f>
        <v/>
      </c>
      <c r="W186" s="261">
        <f>L186*$D186*'E1 Fleet'!$D$100</f>
        <v/>
      </c>
      <c r="X186" s="261">
        <f>M186*$D186*'E1 Fleet'!$D$100</f>
        <v/>
      </c>
      <c r="Y186" s="261">
        <f>N186*$D186*'E1 Fleet'!$D$100</f>
        <v/>
      </c>
    </row>
    <row r="187">
      <c r="A187" t="inlineStr">
        <is>
          <t>Van</t>
        </is>
      </c>
      <c r="B187" s="331" t="n">
        <v>42</v>
      </c>
      <c r="C187" s="331" t="n">
        <v>3</v>
      </c>
      <c r="D187" s="266">
        <f>IF($B187=0,'E1 Fleet'!$D$93,1)*EXP(-'E1 Fleet'!$D$94*MAX($B187-6,0))</f>
        <v/>
      </c>
      <c r="E187" s="261">
        <f>IFERROR(INDEX('D Fleet'!$F$5:$F$63,MATCH(E$3-$B187,'D Fleet'!$B$5:$B$63,0)),0)*IFERROR(INDEX('D Fleet'!$K$5:$K$36,INT(($B187/E$5))+1)+(($B187/E$5)-INT(($B187/E$5)))*(INDEX('D Fleet'!$K$5:$K$36,INT(($B187/E$5))+2)-INDEX('D Fleet'!$K$5:$K$36,INT(($B187/E$5))+1)),0)</f>
        <v/>
      </c>
      <c r="F187" s="261">
        <f>IFERROR(INDEX('D Fleet'!$F$5:$F$63,MATCH(F$3-$B187,'D Fleet'!$B$5:$B$63,0)),0)*IFERROR(INDEX('D Fleet'!$K$5:$K$36,INT(($B187/F$5))+1)+(($B187/F$5)-INT(($B187/F$5)))*(INDEX('D Fleet'!$K$5:$K$36,INT(($B187/F$5))+2)-INDEX('D Fleet'!$K$5:$K$36,INT(($B187/F$5))+1)),0)</f>
        <v/>
      </c>
      <c r="G187" s="261">
        <f>IFERROR(INDEX('D Fleet'!$F$5:$F$63,MATCH(G$3-$B187,'D Fleet'!$B$5:$B$63,0)),0)*IFERROR(INDEX('D Fleet'!$K$5:$K$36,INT(($B187/G$5))+1)+(($B187/G$5)-INT(($B187/G$5)))*(INDEX('D Fleet'!$K$5:$K$36,INT(($B187/G$5))+2)-INDEX('D Fleet'!$K$5:$K$36,INT(($B187/G$5))+1)),0)</f>
        <v/>
      </c>
      <c r="H187" s="261">
        <f>IFERROR(INDEX('D Fleet'!$F$5:$F$63,MATCH(H$3-$B187,'D Fleet'!$B$5:$B$63,0)),0)*IFERROR(INDEX('D Fleet'!$K$5:$K$36,INT(($B187/H$5))+1)+(($B187/H$5)-INT(($B187/H$5)))*(INDEX('D Fleet'!$K$5:$K$36,INT(($B187/H$5))+2)-INDEX('D Fleet'!$K$5:$K$36,INT(($B187/H$5))+1)),0)</f>
        <v/>
      </c>
      <c r="I187" s="261">
        <f>IFERROR(INDEX('D Fleet'!$F$5:$F$63,MATCH(I$3-$B187,'D Fleet'!$B$5:$B$63,0)),0)*IFERROR(INDEX('D Fleet'!$K$5:$K$36,INT(($B187/I$5))+1)+(($B187/I$5)-INT(($B187/I$5)))*(INDEX('D Fleet'!$K$5:$K$36,INT(($B187/I$5))+2)-INDEX('D Fleet'!$K$5:$K$36,INT(($B187/I$5))+1)),0)</f>
        <v/>
      </c>
      <c r="J187" s="261">
        <f>IFERROR(INDEX('D Fleet'!$F$5:$F$63,MATCH(J$3-$B187,'D Fleet'!$B$5:$B$63,0)),0)*IFERROR(INDEX('D Fleet'!$K$5:$K$36,INT(($B187/J$5))+1)+(($B187/J$5)-INT(($B187/J$5)))*(INDEX('D Fleet'!$K$5:$K$36,INT(($B187/J$5))+2)-INDEX('D Fleet'!$K$5:$K$36,INT(($B187/J$5))+1)),0)</f>
        <v/>
      </c>
      <c r="K187" s="261">
        <f>IFERROR(INDEX('D Fleet'!$F$5:$F$63,MATCH(K$3-$B187,'D Fleet'!$B$5:$B$63,0)),0)*IFERROR(INDEX('D Fleet'!$K$5:$K$36,INT(($B187/K$5))+1)+(($B187/K$5)-INT(($B187/K$5)))*(INDEX('D Fleet'!$K$5:$K$36,INT(($B187/K$5))+2)-INDEX('D Fleet'!$K$5:$K$36,INT(($B187/K$5))+1)),0)</f>
        <v/>
      </c>
      <c r="L187" s="261">
        <f>IFERROR(INDEX('D Fleet'!$F$5:$F$63,MATCH(L$3-$B187,'D Fleet'!$B$5:$B$63,0)),0)*IFERROR(INDEX('D Fleet'!$K$5:$K$36,INT(($B187/L$5))+1)+(($B187/L$5)-INT(($B187/L$5)))*(INDEX('D Fleet'!$K$5:$K$36,INT(($B187/L$5))+2)-INDEX('D Fleet'!$K$5:$K$36,INT(($B187/L$5))+1)),0)</f>
        <v/>
      </c>
      <c r="M187" s="261">
        <f>IFERROR(INDEX('D Fleet'!$F$5:$F$63,MATCH(M$3-$B187,'D Fleet'!$B$5:$B$63,0)),0)*IFERROR(INDEX('D Fleet'!$K$5:$K$36,INT(($B187/M$5))+1)+(($B187/M$5)-INT(($B187/M$5)))*(INDEX('D Fleet'!$K$5:$K$36,INT(($B187/M$5))+2)-INDEX('D Fleet'!$K$5:$K$36,INT(($B187/M$5))+1)),0)</f>
        <v/>
      </c>
      <c r="N187" s="261">
        <f>IFERROR(INDEX('D Fleet'!$F$5:$F$63,MATCH(N$3-$B187,'D Fleet'!$B$5:$B$63,0)),0)*IFERROR(INDEX('D Fleet'!$K$5:$K$36,INT(($B187/N$5))+1)+(($B187/N$5)-INT(($B187/N$5)))*(INDEX('D Fleet'!$K$5:$K$36,INT(($B187/N$5))+2)-INDEX('D Fleet'!$K$5:$K$36,INT(($B187/N$5))+1)),0)</f>
        <v/>
      </c>
      <c r="P187" s="261">
        <f>E187*$D187*'E1 Fleet'!$D$100</f>
        <v/>
      </c>
      <c r="Q187" s="261">
        <f>F187*$D187*'E1 Fleet'!$D$100</f>
        <v/>
      </c>
      <c r="R187" s="261">
        <f>G187*$D187*'E1 Fleet'!$D$100</f>
        <v/>
      </c>
      <c r="S187" s="261">
        <f>H187*$D187*'E1 Fleet'!$D$100</f>
        <v/>
      </c>
      <c r="T187" s="261">
        <f>I187*$D187*'E1 Fleet'!$D$100</f>
        <v/>
      </c>
      <c r="U187" s="261">
        <f>J187*$D187*'E1 Fleet'!$D$100</f>
        <v/>
      </c>
      <c r="V187" s="261">
        <f>K187*$D187*'E1 Fleet'!$D$100</f>
        <v/>
      </c>
      <c r="W187" s="261">
        <f>L187*$D187*'E1 Fleet'!$D$100</f>
        <v/>
      </c>
      <c r="X187" s="261">
        <f>M187*$D187*'E1 Fleet'!$D$100</f>
        <v/>
      </c>
      <c r="Y187" s="261">
        <f>N187*$D187*'E1 Fleet'!$D$100</f>
        <v/>
      </c>
    </row>
    <row r="188">
      <c r="A188" t="inlineStr">
        <is>
          <t>Van</t>
        </is>
      </c>
      <c r="B188" s="331" t="n">
        <v>43</v>
      </c>
      <c r="C188" s="331" t="n">
        <v>3</v>
      </c>
      <c r="D188" s="266">
        <f>IF($B188=0,'E1 Fleet'!$D$93,1)*EXP(-'E1 Fleet'!$D$94*MAX($B188-6,0))</f>
        <v/>
      </c>
      <c r="E188" s="261">
        <f>IFERROR(INDEX('D Fleet'!$F$5:$F$63,MATCH(E$3-$B188,'D Fleet'!$B$5:$B$63,0)),0)*IFERROR(INDEX('D Fleet'!$K$5:$K$36,INT(($B188/E$5))+1)+(($B188/E$5)-INT(($B188/E$5)))*(INDEX('D Fleet'!$K$5:$K$36,INT(($B188/E$5))+2)-INDEX('D Fleet'!$K$5:$K$36,INT(($B188/E$5))+1)),0)</f>
        <v/>
      </c>
      <c r="F188" s="261">
        <f>IFERROR(INDEX('D Fleet'!$F$5:$F$63,MATCH(F$3-$B188,'D Fleet'!$B$5:$B$63,0)),0)*IFERROR(INDEX('D Fleet'!$K$5:$K$36,INT(($B188/F$5))+1)+(($B188/F$5)-INT(($B188/F$5)))*(INDEX('D Fleet'!$K$5:$K$36,INT(($B188/F$5))+2)-INDEX('D Fleet'!$K$5:$K$36,INT(($B188/F$5))+1)),0)</f>
        <v/>
      </c>
      <c r="G188" s="261">
        <f>IFERROR(INDEX('D Fleet'!$F$5:$F$63,MATCH(G$3-$B188,'D Fleet'!$B$5:$B$63,0)),0)*IFERROR(INDEX('D Fleet'!$K$5:$K$36,INT(($B188/G$5))+1)+(($B188/G$5)-INT(($B188/G$5)))*(INDEX('D Fleet'!$K$5:$K$36,INT(($B188/G$5))+2)-INDEX('D Fleet'!$K$5:$K$36,INT(($B188/G$5))+1)),0)</f>
        <v/>
      </c>
      <c r="H188" s="261">
        <f>IFERROR(INDEX('D Fleet'!$F$5:$F$63,MATCH(H$3-$B188,'D Fleet'!$B$5:$B$63,0)),0)*IFERROR(INDEX('D Fleet'!$K$5:$K$36,INT(($B188/H$5))+1)+(($B188/H$5)-INT(($B188/H$5)))*(INDEX('D Fleet'!$K$5:$K$36,INT(($B188/H$5))+2)-INDEX('D Fleet'!$K$5:$K$36,INT(($B188/H$5))+1)),0)</f>
        <v/>
      </c>
      <c r="I188" s="261">
        <f>IFERROR(INDEX('D Fleet'!$F$5:$F$63,MATCH(I$3-$B188,'D Fleet'!$B$5:$B$63,0)),0)*IFERROR(INDEX('D Fleet'!$K$5:$K$36,INT(($B188/I$5))+1)+(($B188/I$5)-INT(($B188/I$5)))*(INDEX('D Fleet'!$K$5:$K$36,INT(($B188/I$5))+2)-INDEX('D Fleet'!$K$5:$K$36,INT(($B188/I$5))+1)),0)</f>
        <v/>
      </c>
      <c r="J188" s="261">
        <f>IFERROR(INDEX('D Fleet'!$F$5:$F$63,MATCH(J$3-$B188,'D Fleet'!$B$5:$B$63,0)),0)*IFERROR(INDEX('D Fleet'!$K$5:$K$36,INT(($B188/J$5))+1)+(($B188/J$5)-INT(($B188/J$5)))*(INDEX('D Fleet'!$K$5:$K$36,INT(($B188/J$5))+2)-INDEX('D Fleet'!$K$5:$K$36,INT(($B188/J$5))+1)),0)</f>
        <v/>
      </c>
      <c r="K188" s="261">
        <f>IFERROR(INDEX('D Fleet'!$F$5:$F$63,MATCH(K$3-$B188,'D Fleet'!$B$5:$B$63,0)),0)*IFERROR(INDEX('D Fleet'!$K$5:$K$36,INT(($B188/K$5))+1)+(($B188/K$5)-INT(($B188/K$5)))*(INDEX('D Fleet'!$K$5:$K$36,INT(($B188/K$5))+2)-INDEX('D Fleet'!$K$5:$K$36,INT(($B188/K$5))+1)),0)</f>
        <v/>
      </c>
      <c r="L188" s="261">
        <f>IFERROR(INDEX('D Fleet'!$F$5:$F$63,MATCH(L$3-$B188,'D Fleet'!$B$5:$B$63,0)),0)*IFERROR(INDEX('D Fleet'!$K$5:$K$36,INT(($B188/L$5))+1)+(($B188/L$5)-INT(($B188/L$5)))*(INDEX('D Fleet'!$K$5:$K$36,INT(($B188/L$5))+2)-INDEX('D Fleet'!$K$5:$K$36,INT(($B188/L$5))+1)),0)</f>
        <v/>
      </c>
      <c r="M188" s="261">
        <f>IFERROR(INDEX('D Fleet'!$F$5:$F$63,MATCH(M$3-$B188,'D Fleet'!$B$5:$B$63,0)),0)*IFERROR(INDEX('D Fleet'!$K$5:$K$36,INT(($B188/M$5))+1)+(($B188/M$5)-INT(($B188/M$5)))*(INDEX('D Fleet'!$K$5:$K$36,INT(($B188/M$5))+2)-INDEX('D Fleet'!$K$5:$K$36,INT(($B188/M$5))+1)),0)</f>
        <v/>
      </c>
      <c r="N188" s="261">
        <f>IFERROR(INDEX('D Fleet'!$F$5:$F$63,MATCH(N$3-$B188,'D Fleet'!$B$5:$B$63,0)),0)*IFERROR(INDEX('D Fleet'!$K$5:$K$36,INT(($B188/N$5))+1)+(($B188/N$5)-INT(($B188/N$5)))*(INDEX('D Fleet'!$K$5:$K$36,INT(($B188/N$5))+2)-INDEX('D Fleet'!$K$5:$K$36,INT(($B188/N$5))+1)),0)</f>
        <v/>
      </c>
      <c r="P188" s="261">
        <f>E188*$D188*'E1 Fleet'!$D$100</f>
        <v/>
      </c>
      <c r="Q188" s="261">
        <f>F188*$D188*'E1 Fleet'!$D$100</f>
        <v/>
      </c>
      <c r="R188" s="261">
        <f>G188*$D188*'E1 Fleet'!$D$100</f>
        <v/>
      </c>
      <c r="S188" s="261">
        <f>H188*$D188*'E1 Fleet'!$D$100</f>
        <v/>
      </c>
      <c r="T188" s="261">
        <f>I188*$D188*'E1 Fleet'!$D$100</f>
        <v/>
      </c>
      <c r="U188" s="261">
        <f>J188*$D188*'E1 Fleet'!$D$100</f>
        <v/>
      </c>
      <c r="V188" s="261">
        <f>K188*$D188*'E1 Fleet'!$D$100</f>
        <v/>
      </c>
      <c r="W188" s="261">
        <f>L188*$D188*'E1 Fleet'!$D$100</f>
        <v/>
      </c>
      <c r="X188" s="261">
        <f>M188*$D188*'E1 Fleet'!$D$100</f>
        <v/>
      </c>
      <c r="Y188" s="261">
        <f>N188*$D188*'E1 Fleet'!$D$100</f>
        <v/>
      </c>
    </row>
    <row r="189">
      <c r="A189" t="inlineStr">
        <is>
          <t>Van</t>
        </is>
      </c>
      <c r="B189" s="331" t="n">
        <v>44</v>
      </c>
      <c r="C189" s="331" t="n">
        <v>3</v>
      </c>
      <c r="D189" s="266">
        <f>IF($B189=0,'E1 Fleet'!$D$93,1)*EXP(-'E1 Fleet'!$D$94*MAX($B189-6,0))</f>
        <v/>
      </c>
      <c r="E189" s="261">
        <f>IFERROR(INDEX('D Fleet'!$F$5:$F$63,MATCH(E$3-$B189,'D Fleet'!$B$5:$B$63,0)),0)*IFERROR(INDEX('D Fleet'!$K$5:$K$36,INT(($B189/E$5))+1)+(($B189/E$5)-INT(($B189/E$5)))*(INDEX('D Fleet'!$K$5:$K$36,INT(($B189/E$5))+2)-INDEX('D Fleet'!$K$5:$K$36,INT(($B189/E$5))+1)),0)</f>
        <v/>
      </c>
      <c r="F189" s="261">
        <f>IFERROR(INDEX('D Fleet'!$F$5:$F$63,MATCH(F$3-$B189,'D Fleet'!$B$5:$B$63,0)),0)*IFERROR(INDEX('D Fleet'!$K$5:$K$36,INT(($B189/F$5))+1)+(($B189/F$5)-INT(($B189/F$5)))*(INDEX('D Fleet'!$K$5:$K$36,INT(($B189/F$5))+2)-INDEX('D Fleet'!$K$5:$K$36,INT(($B189/F$5))+1)),0)</f>
        <v/>
      </c>
      <c r="G189" s="261">
        <f>IFERROR(INDEX('D Fleet'!$F$5:$F$63,MATCH(G$3-$B189,'D Fleet'!$B$5:$B$63,0)),0)*IFERROR(INDEX('D Fleet'!$K$5:$K$36,INT(($B189/G$5))+1)+(($B189/G$5)-INT(($B189/G$5)))*(INDEX('D Fleet'!$K$5:$K$36,INT(($B189/G$5))+2)-INDEX('D Fleet'!$K$5:$K$36,INT(($B189/G$5))+1)),0)</f>
        <v/>
      </c>
      <c r="H189" s="261">
        <f>IFERROR(INDEX('D Fleet'!$F$5:$F$63,MATCH(H$3-$B189,'D Fleet'!$B$5:$B$63,0)),0)*IFERROR(INDEX('D Fleet'!$K$5:$K$36,INT(($B189/H$5))+1)+(($B189/H$5)-INT(($B189/H$5)))*(INDEX('D Fleet'!$K$5:$K$36,INT(($B189/H$5))+2)-INDEX('D Fleet'!$K$5:$K$36,INT(($B189/H$5))+1)),0)</f>
        <v/>
      </c>
      <c r="I189" s="261">
        <f>IFERROR(INDEX('D Fleet'!$F$5:$F$63,MATCH(I$3-$B189,'D Fleet'!$B$5:$B$63,0)),0)*IFERROR(INDEX('D Fleet'!$K$5:$K$36,INT(($B189/I$5))+1)+(($B189/I$5)-INT(($B189/I$5)))*(INDEX('D Fleet'!$K$5:$K$36,INT(($B189/I$5))+2)-INDEX('D Fleet'!$K$5:$K$36,INT(($B189/I$5))+1)),0)</f>
        <v/>
      </c>
      <c r="J189" s="261">
        <f>IFERROR(INDEX('D Fleet'!$F$5:$F$63,MATCH(J$3-$B189,'D Fleet'!$B$5:$B$63,0)),0)*IFERROR(INDEX('D Fleet'!$K$5:$K$36,INT(($B189/J$5))+1)+(($B189/J$5)-INT(($B189/J$5)))*(INDEX('D Fleet'!$K$5:$K$36,INT(($B189/J$5))+2)-INDEX('D Fleet'!$K$5:$K$36,INT(($B189/J$5))+1)),0)</f>
        <v/>
      </c>
      <c r="K189" s="261">
        <f>IFERROR(INDEX('D Fleet'!$F$5:$F$63,MATCH(K$3-$B189,'D Fleet'!$B$5:$B$63,0)),0)*IFERROR(INDEX('D Fleet'!$K$5:$K$36,INT(($B189/K$5))+1)+(($B189/K$5)-INT(($B189/K$5)))*(INDEX('D Fleet'!$K$5:$K$36,INT(($B189/K$5))+2)-INDEX('D Fleet'!$K$5:$K$36,INT(($B189/K$5))+1)),0)</f>
        <v/>
      </c>
      <c r="L189" s="261">
        <f>IFERROR(INDEX('D Fleet'!$F$5:$F$63,MATCH(L$3-$B189,'D Fleet'!$B$5:$B$63,0)),0)*IFERROR(INDEX('D Fleet'!$K$5:$K$36,INT(($B189/L$5))+1)+(($B189/L$5)-INT(($B189/L$5)))*(INDEX('D Fleet'!$K$5:$K$36,INT(($B189/L$5))+2)-INDEX('D Fleet'!$K$5:$K$36,INT(($B189/L$5))+1)),0)</f>
        <v/>
      </c>
      <c r="M189" s="261">
        <f>IFERROR(INDEX('D Fleet'!$F$5:$F$63,MATCH(M$3-$B189,'D Fleet'!$B$5:$B$63,0)),0)*IFERROR(INDEX('D Fleet'!$K$5:$K$36,INT(($B189/M$5))+1)+(($B189/M$5)-INT(($B189/M$5)))*(INDEX('D Fleet'!$K$5:$K$36,INT(($B189/M$5))+2)-INDEX('D Fleet'!$K$5:$K$36,INT(($B189/M$5))+1)),0)</f>
        <v/>
      </c>
      <c r="N189" s="261">
        <f>IFERROR(INDEX('D Fleet'!$F$5:$F$63,MATCH(N$3-$B189,'D Fleet'!$B$5:$B$63,0)),0)*IFERROR(INDEX('D Fleet'!$K$5:$K$36,INT(($B189/N$5))+1)+(($B189/N$5)-INT(($B189/N$5)))*(INDEX('D Fleet'!$K$5:$K$36,INT(($B189/N$5))+2)-INDEX('D Fleet'!$K$5:$K$36,INT(($B189/N$5))+1)),0)</f>
        <v/>
      </c>
      <c r="P189" s="261">
        <f>E189*$D189*'E1 Fleet'!$D$100</f>
        <v/>
      </c>
      <c r="Q189" s="261">
        <f>F189*$D189*'E1 Fleet'!$D$100</f>
        <v/>
      </c>
      <c r="R189" s="261">
        <f>G189*$D189*'E1 Fleet'!$D$100</f>
        <v/>
      </c>
      <c r="S189" s="261">
        <f>H189*$D189*'E1 Fleet'!$D$100</f>
        <v/>
      </c>
      <c r="T189" s="261">
        <f>I189*$D189*'E1 Fleet'!$D$100</f>
        <v/>
      </c>
      <c r="U189" s="261">
        <f>J189*$D189*'E1 Fleet'!$D$100</f>
        <v/>
      </c>
      <c r="V189" s="261">
        <f>K189*$D189*'E1 Fleet'!$D$100</f>
        <v/>
      </c>
      <c r="W189" s="261">
        <f>L189*$D189*'E1 Fleet'!$D$100</f>
        <v/>
      </c>
      <c r="X189" s="261">
        <f>M189*$D189*'E1 Fleet'!$D$100</f>
        <v/>
      </c>
      <c r="Y189" s="261">
        <f>N189*$D189*'E1 Fleet'!$D$100</f>
        <v/>
      </c>
    </row>
    <row r="190">
      <c r="A190" t="inlineStr">
        <is>
          <t>Van</t>
        </is>
      </c>
      <c r="B190" s="331" t="n">
        <v>45</v>
      </c>
      <c r="C190" s="331" t="n">
        <v>3</v>
      </c>
      <c r="D190" s="266">
        <f>IF($B190=0,'E1 Fleet'!$D$93,1)*EXP(-'E1 Fleet'!$D$94*MAX($B190-6,0))</f>
        <v/>
      </c>
      <c r="E190" s="261">
        <f>IFERROR(INDEX('D Fleet'!$F$5:$F$63,MATCH(E$3-$B190,'D Fleet'!$B$5:$B$63,0)),0)*IFERROR(INDEX('D Fleet'!$K$5:$K$36,INT(($B190/E$5))+1)+(($B190/E$5)-INT(($B190/E$5)))*(INDEX('D Fleet'!$K$5:$K$36,INT(($B190/E$5))+2)-INDEX('D Fleet'!$K$5:$K$36,INT(($B190/E$5))+1)),0)</f>
        <v/>
      </c>
      <c r="F190" s="261">
        <f>IFERROR(INDEX('D Fleet'!$F$5:$F$63,MATCH(F$3-$B190,'D Fleet'!$B$5:$B$63,0)),0)*IFERROR(INDEX('D Fleet'!$K$5:$K$36,INT(($B190/F$5))+1)+(($B190/F$5)-INT(($B190/F$5)))*(INDEX('D Fleet'!$K$5:$K$36,INT(($B190/F$5))+2)-INDEX('D Fleet'!$K$5:$K$36,INT(($B190/F$5))+1)),0)</f>
        <v/>
      </c>
      <c r="G190" s="261">
        <f>IFERROR(INDEX('D Fleet'!$F$5:$F$63,MATCH(G$3-$B190,'D Fleet'!$B$5:$B$63,0)),0)*IFERROR(INDEX('D Fleet'!$K$5:$K$36,INT(($B190/G$5))+1)+(($B190/G$5)-INT(($B190/G$5)))*(INDEX('D Fleet'!$K$5:$K$36,INT(($B190/G$5))+2)-INDEX('D Fleet'!$K$5:$K$36,INT(($B190/G$5))+1)),0)</f>
        <v/>
      </c>
      <c r="H190" s="261">
        <f>IFERROR(INDEX('D Fleet'!$F$5:$F$63,MATCH(H$3-$B190,'D Fleet'!$B$5:$B$63,0)),0)*IFERROR(INDEX('D Fleet'!$K$5:$K$36,INT(($B190/H$5))+1)+(($B190/H$5)-INT(($B190/H$5)))*(INDEX('D Fleet'!$K$5:$K$36,INT(($B190/H$5))+2)-INDEX('D Fleet'!$K$5:$K$36,INT(($B190/H$5))+1)),0)</f>
        <v/>
      </c>
      <c r="I190" s="261">
        <f>IFERROR(INDEX('D Fleet'!$F$5:$F$63,MATCH(I$3-$B190,'D Fleet'!$B$5:$B$63,0)),0)*IFERROR(INDEX('D Fleet'!$K$5:$K$36,INT(($B190/I$5))+1)+(($B190/I$5)-INT(($B190/I$5)))*(INDEX('D Fleet'!$K$5:$K$36,INT(($B190/I$5))+2)-INDEX('D Fleet'!$K$5:$K$36,INT(($B190/I$5))+1)),0)</f>
        <v/>
      </c>
      <c r="J190" s="261">
        <f>IFERROR(INDEX('D Fleet'!$F$5:$F$63,MATCH(J$3-$B190,'D Fleet'!$B$5:$B$63,0)),0)*IFERROR(INDEX('D Fleet'!$K$5:$K$36,INT(($B190/J$5))+1)+(($B190/J$5)-INT(($B190/J$5)))*(INDEX('D Fleet'!$K$5:$K$36,INT(($B190/J$5))+2)-INDEX('D Fleet'!$K$5:$K$36,INT(($B190/J$5))+1)),0)</f>
        <v/>
      </c>
      <c r="K190" s="261">
        <f>IFERROR(INDEX('D Fleet'!$F$5:$F$63,MATCH(K$3-$B190,'D Fleet'!$B$5:$B$63,0)),0)*IFERROR(INDEX('D Fleet'!$K$5:$K$36,INT(($B190/K$5))+1)+(($B190/K$5)-INT(($B190/K$5)))*(INDEX('D Fleet'!$K$5:$K$36,INT(($B190/K$5))+2)-INDEX('D Fleet'!$K$5:$K$36,INT(($B190/K$5))+1)),0)</f>
        <v/>
      </c>
      <c r="L190" s="261">
        <f>IFERROR(INDEX('D Fleet'!$F$5:$F$63,MATCH(L$3-$B190,'D Fleet'!$B$5:$B$63,0)),0)*IFERROR(INDEX('D Fleet'!$K$5:$K$36,INT(($B190/L$5))+1)+(($B190/L$5)-INT(($B190/L$5)))*(INDEX('D Fleet'!$K$5:$K$36,INT(($B190/L$5))+2)-INDEX('D Fleet'!$K$5:$K$36,INT(($B190/L$5))+1)),0)</f>
        <v/>
      </c>
      <c r="M190" s="261">
        <f>IFERROR(INDEX('D Fleet'!$F$5:$F$63,MATCH(M$3-$B190,'D Fleet'!$B$5:$B$63,0)),0)*IFERROR(INDEX('D Fleet'!$K$5:$K$36,INT(($B190/M$5))+1)+(($B190/M$5)-INT(($B190/M$5)))*(INDEX('D Fleet'!$K$5:$K$36,INT(($B190/M$5))+2)-INDEX('D Fleet'!$K$5:$K$36,INT(($B190/M$5))+1)),0)</f>
        <v/>
      </c>
      <c r="N190" s="261">
        <f>IFERROR(INDEX('D Fleet'!$F$5:$F$63,MATCH(N$3-$B190,'D Fleet'!$B$5:$B$63,0)),0)*IFERROR(INDEX('D Fleet'!$K$5:$K$36,INT(($B190/N$5))+1)+(($B190/N$5)-INT(($B190/N$5)))*(INDEX('D Fleet'!$K$5:$K$36,INT(($B190/N$5))+2)-INDEX('D Fleet'!$K$5:$K$36,INT(($B190/N$5))+1)),0)</f>
        <v/>
      </c>
      <c r="P190" s="261">
        <f>E190*$D190*'E1 Fleet'!$D$100</f>
        <v/>
      </c>
      <c r="Q190" s="261">
        <f>F190*$D190*'E1 Fleet'!$D$100</f>
        <v/>
      </c>
      <c r="R190" s="261">
        <f>G190*$D190*'E1 Fleet'!$D$100</f>
        <v/>
      </c>
      <c r="S190" s="261">
        <f>H190*$D190*'E1 Fleet'!$D$100</f>
        <v/>
      </c>
      <c r="T190" s="261">
        <f>I190*$D190*'E1 Fleet'!$D$100</f>
        <v/>
      </c>
      <c r="U190" s="261">
        <f>J190*$D190*'E1 Fleet'!$D$100</f>
        <v/>
      </c>
      <c r="V190" s="261">
        <f>K190*$D190*'E1 Fleet'!$D$100</f>
        <v/>
      </c>
      <c r="W190" s="261">
        <f>L190*$D190*'E1 Fleet'!$D$100</f>
        <v/>
      </c>
      <c r="X190" s="261">
        <f>M190*$D190*'E1 Fleet'!$D$100</f>
        <v/>
      </c>
      <c r="Y190" s="261">
        <f>N190*$D190*'E1 Fleet'!$D$100</f>
        <v/>
      </c>
    </row>
  </sheetData>
  <pageMargins left="0.75" right="0.75" top="1" bottom="1" header="0.5" footer="0.5"/>
</worksheet>
</file>

<file path=xl/worksheets/sheet12.xml><?xml version="1.0" encoding="utf-8"?>
<worksheet xmlns="http://schemas.openxmlformats.org/spreadsheetml/2006/main">
  <sheetPr>
    <tabColor rgb="FF7030A0"/>
    <outlinePr summaryBelow="1" summaryRight="1"/>
    <pageSetUpPr/>
  </sheetPr>
  <dimension ref="B1:U131"/>
  <sheetViews>
    <sheetView showGridLines="0" zoomScale="90" workbookViewId="0">
      <pane xSplit="3" ySplit="5" topLeftCell="D6"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2.5" customWidth="1" style="392" min="1" max="1"/>
    <col width="56" customWidth="1" style="392" min="2" max="2"/>
    <col width="8" customWidth="1" style="392" min="3" max="3"/>
    <col width="13" customWidth="1" style="392" min="4" max="18"/>
    <col width="48" customWidth="1" style="392" min="19" max="19"/>
    <col width="46" customWidth="1" style="392" min="21" max="21"/>
  </cols>
  <sheetData>
    <row r="1" ht="17" customHeight="1" s="392">
      <c r="B1" s="269" t="inlineStr">
        <is>
          <t>E2 Claims &amp; Totals — insured claims and total losses by body × age band, by fiscal quarter</t>
        </is>
      </c>
      <c r="C1" s="270" t="n"/>
      <c r="D1" s="270" t="n"/>
      <c r="E1" s="270" t="n"/>
      <c r="F1" s="270" t="n"/>
      <c r="G1" s="270" t="n"/>
      <c r="H1" s="270" t="n"/>
      <c r="I1" s="270" t="n"/>
      <c r="J1" s="270" t="n"/>
      <c r="K1" s="270" t="n"/>
      <c r="L1" s="270" t="n"/>
      <c r="M1" s="270" t="n"/>
      <c r="N1" s="270" t="n"/>
      <c r="O1" s="270" t="n"/>
      <c r="P1" s="270" t="n"/>
      <c r="Q1" s="270" t="n"/>
      <c r="R1" s="270" t="n"/>
      <c r="S1" s="270" t="n"/>
    </row>
    <row r="2">
      <c r="B2" s="252" t="inlineStr">
        <is>
          <t>Claims(cell, q) = Σ_CY w(q, CY) × Fleet(cell, CY) × R(age) × body factor;  Totals(cell, q) = Claims × TLF(cell);  Pool = Σ cells × routing.  Appendix A, Eq. 3–4.</t>
        </is>
      </c>
    </row>
    <row r="4">
      <c r="C4" s="277" t="inlineStr">
        <is>
          <t>Units</t>
        </is>
      </c>
      <c r="D4" s="405" t="inlineStr">
        <is>
          <t>Historicals</t>
        </is>
      </c>
      <c r="E4" s="377" t="n"/>
      <c r="F4" s="377" t="n"/>
      <c r="G4" s="377" t="n"/>
      <c r="H4" s="405" t="inlineStr">
        <is>
          <t>Projected</t>
        </is>
      </c>
      <c r="I4" s="377" t="n"/>
      <c r="J4" s="377" t="n"/>
      <c r="K4" s="377" t="n"/>
      <c r="L4" s="377" t="n"/>
      <c r="M4" s="377" t="n"/>
      <c r="N4" s="377" t="n"/>
      <c r="O4" s="377" t="n"/>
      <c r="S4" s="278" t="inlineStr">
        <is>
          <t>Notes / sources</t>
        </is>
      </c>
    </row>
    <row r="5">
      <c r="B5" s="246" t="inlineStr">
        <is>
          <t>A. Fiscal-quarter fleet interpolation weights by calendar year</t>
        </is>
      </c>
      <c r="C5" s="247" t="n"/>
      <c r="D5" s="248" t="inlineStr">
        <is>
          <t>FQ1 FY26A</t>
        </is>
      </c>
      <c r="E5" s="248" t="inlineStr">
        <is>
          <t>FQ2 FY26A</t>
        </is>
      </c>
      <c r="F5" s="248" t="inlineStr">
        <is>
          <t>FQ3 FY26A</t>
        </is>
      </c>
      <c r="G5" s="248" t="inlineStr">
        <is>
          <t>FQ4 FY26A</t>
        </is>
      </c>
      <c r="H5" s="248" t="inlineStr">
        <is>
          <t>FQ1 FY27E</t>
        </is>
      </c>
      <c r="I5" s="248" t="inlineStr">
        <is>
          <t>FQ2 FY27E</t>
        </is>
      </c>
      <c r="J5" s="248" t="inlineStr">
        <is>
          <t>FQ3 FY27E</t>
        </is>
      </c>
      <c r="K5" s="248" t="inlineStr">
        <is>
          <t>FQ4 FY27E</t>
        </is>
      </c>
      <c r="L5" s="248" t="inlineStr">
        <is>
          <t>FQ1 FY28E</t>
        </is>
      </c>
      <c r="M5" s="248" t="inlineStr">
        <is>
          <t>FQ2 FY28E</t>
        </is>
      </c>
      <c r="N5" s="248" t="inlineStr">
        <is>
          <t>FQ3 FY28E</t>
        </is>
      </c>
      <c r="O5" s="248" t="inlineStr">
        <is>
          <t>FQ4 FY28E</t>
        </is>
      </c>
      <c r="P5" s="248" t="inlineStr">
        <is>
          <t>FY26A</t>
        </is>
      </c>
      <c r="Q5" s="248" t="inlineStr">
        <is>
          <t>FY27E</t>
        </is>
      </c>
      <c r="R5" s="248" t="inlineStr">
        <is>
          <t>FY28E</t>
        </is>
      </c>
      <c r="S5" s="247" t="n"/>
    </row>
    <row r="6">
      <c r="B6" s="274" t="inlineStr">
        <is>
          <t>Rule: average over the quarter's three month-midpoints of a linear interpolation between year-end fleets</t>
        </is>
      </c>
      <c r="S6" s="252" t="inlineStr">
        <is>
          <t>MEASURED by rule (scripts/cprt_model/common.py cy_weights); reproduces linked_service_revenue inputs.json periods[].weights</t>
        </is>
      </c>
    </row>
    <row r="7">
      <c r="B7" s="328" t="inlineStr">
        <is>
          <t xml:space="preserve">   weight on CY2023 year-end fleet</t>
        </is>
      </c>
      <c r="C7" s="279" t="inlineStr">
        <is>
          <t>share</t>
        </is>
      </c>
      <c r="D7" s="458" t="n">
        <v>0</v>
      </c>
      <c r="E7" s="458" t="n">
        <v>0</v>
      </c>
      <c r="F7" s="458" t="n">
        <v>0</v>
      </c>
      <c r="G7" s="458" t="n">
        <v>0</v>
      </c>
      <c r="H7" s="458" t="n">
        <v>0</v>
      </c>
      <c r="I7" s="458" t="n">
        <v>0</v>
      </c>
      <c r="J7" s="458" t="n">
        <v>0</v>
      </c>
      <c r="K7" s="458" t="n">
        <v>0</v>
      </c>
      <c r="L7" s="458" t="n">
        <v>0</v>
      </c>
      <c r="M7" s="458" t="n">
        <v>0</v>
      </c>
      <c r="N7" s="458" t="n">
        <v>0</v>
      </c>
      <c r="O7" s="458" t="n">
        <v>0</v>
      </c>
      <c r="P7" s="282" t="inlineStr">
        <is>
          <t>–</t>
        </is>
      </c>
      <c r="Q7" s="282" t="inlineStr">
        <is>
          <t>–</t>
        </is>
      </c>
      <c r="R7" s="282" t="inlineStr">
        <is>
          <t>–</t>
        </is>
      </c>
    </row>
    <row r="8">
      <c r="B8" s="328" t="inlineStr">
        <is>
          <t xml:space="preserve">   weight on CY2024 year-end fleet</t>
        </is>
      </c>
      <c r="C8" s="279" t="inlineStr">
        <is>
          <t>share</t>
        </is>
      </c>
      <c r="D8" s="458" t="n">
        <v>0.291667</v>
      </c>
      <c r="E8" s="458" t="n">
        <v>0.055556</v>
      </c>
      <c r="F8" s="458" t="n">
        <v>0</v>
      </c>
      <c r="G8" s="458" t="n">
        <v>0</v>
      </c>
      <c r="H8" s="458" t="n">
        <v>0</v>
      </c>
      <c r="I8" s="458" t="n">
        <v>0</v>
      </c>
      <c r="J8" s="458" t="n">
        <v>0</v>
      </c>
      <c r="K8" s="458" t="n">
        <v>0</v>
      </c>
      <c r="L8" s="458" t="n">
        <v>0</v>
      </c>
      <c r="M8" s="458" t="n">
        <v>0</v>
      </c>
      <c r="N8" s="458" t="n">
        <v>0</v>
      </c>
      <c r="O8" s="458" t="n">
        <v>0</v>
      </c>
      <c r="P8" s="282" t="inlineStr">
        <is>
          <t>–</t>
        </is>
      </c>
      <c r="Q8" s="282" t="inlineStr">
        <is>
          <t>–</t>
        </is>
      </c>
      <c r="R8" s="282" t="inlineStr">
        <is>
          <t>–</t>
        </is>
      </c>
    </row>
    <row r="9">
      <c r="B9" s="328" t="inlineStr">
        <is>
          <t xml:space="preserve">   weight on CY2025 year-end fleet</t>
        </is>
      </c>
      <c r="C9" s="279" t="inlineStr">
        <is>
          <t>share</t>
        </is>
      </c>
      <c r="D9" s="458" t="n">
        <v>0.708333</v>
      </c>
      <c r="E9" s="458" t="n">
        <v>0.930556</v>
      </c>
      <c r="F9" s="458" t="n">
        <v>0.791667</v>
      </c>
      <c r="G9" s="458" t="n">
        <v>0.541667</v>
      </c>
      <c r="H9" s="458" t="n">
        <v>0.291667</v>
      </c>
      <c r="I9" s="458" t="n">
        <v>0.055556</v>
      </c>
      <c r="J9" s="458" t="n">
        <v>0</v>
      </c>
      <c r="K9" s="458" t="n">
        <v>0</v>
      </c>
      <c r="L9" s="458" t="n">
        <v>0</v>
      </c>
      <c r="M9" s="458" t="n">
        <v>0</v>
      </c>
      <c r="N9" s="458" t="n">
        <v>0</v>
      </c>
      <c r="O9" s="458" t="n">
        <v>0</v>
      </c>
      <c r="P9" s="282" t="inlineStr">
        <is>
          <t>–</t>
        </is>
      </c>
      <c r="Q9" s="282" t="inlineStr">
        <is>
          <t>–</t>
        </is>
      </c>
      <c r="R9" s="282" t="inlineStr">
        <is>
          <t>–</t>
        </is>
      </c>
    </row>
    <row r="10">
      <c r="B10" s="328" t="inlineStr">
        <is>
          <t xml:space="preserve">   weight on CY2026 year-end fleet</t>
        </is>
      </c>
      <c r="C10" s="279" t="inlineStr">
        <is>
          <t>share</t>
        </is>
      </c>
      <c r="D10" s="458" t="n">
        <v>0</v>
      </c>
      <c r="E10" s="458" t="n">
        <v>0.013889</v>
      </c>
      <c r="F10" s="458" t="n">
        <v>0.208333</v>
      </c>
      <c r="G10" s="458" t="n">
        <v>0.458333</v>
      </c>
      <c r="H10" s="458" t="n">
        <v>0.708333</v>
      </c>
      <c r="I10" s="458" t="n">
        <v>0.930556</v>
      </c>
      <c r="J10" s="458" t="n">
        <v>0.791667</v>
      </c>
      <c r="K10" s="458" t="n">
        <v>0.541667</v>
      </c>
      <c r="L10" s="458" t="n">
        <v>0.291667</v>
      </c>
      <c r="M10" s="458" t="n">
        <v>0.055556</v>
      </c>
      <c r="N10" s="458" t="n">
        <v>0</v>
      </c>
      <c r="O10" s="458" t="n">
        <v>0</v>
      </c>
      <c r="P10" s="282" t="inlineStr">
        <is>
          <t>–</t>
        </is>
      </c>
      <c r="Q10" s="282" t="inlineStr">
        <is>
          <t>–</t>
        </is>
      </c>
      <c r="R10" s="282" t="inlineStr">
        <is>
          <t>–</t>
        </is>
      </c>
    </row>
    <row r="11">
      <c r="B11" s="328" t="inlineStr">
        <is>
          <t xml:space="preserve">   weight on CY2027 year-end fleet</t>
        </is>
      </c>
      <c r="C11" s="279" t="inlineStr">
        <is>
          <t>share</t>
        </is>
      </c>
      <c r="D11" s="458" t="n">
        <v>0</v>
      </c>
      <c r="E11" s="458" t="n">
        <v>0</v>
      </c>
      <c r="F11" s="458" t="n">
        <v>0</v>
      </c>
      <c r="G11" s="458" t="n">
        <v>0</v>
      </c>
      <c r="H11" s="458" t="n">
        <v>0</v>
      </c>
      <c r="I11" s="458" t="n">
        <v>0.013889</v>
      </c>
      <c r="J11" s="458" t="n">
        <v>0.208333</v>
      </c>
      <c r="K11" s="458" t="n">
        <v>0.458333</v>
      </c>
      <c r="L11" s="458" t="n">
        <v>0.708333</v>
      </c>
      <c r="M11" s="458" t="n">
        <v>0.930556</v>
      </c>
      <c r="N11" s="458" t="n">
        <v>0.791667</v>
      </c>
      <c r="O11" s="458" t="n">
        <v>0.541667</v>
      </c>
      <c r="P11" s="282" t="inlineStr">
        <is>
          <t>–</t>
        </is>
      </c>
      <c r="Q11" s="282" t="inlineStr">
        <is>
          <t>–</t>
        </is>
      </c>
      <c r="R11" s="282" t="inlineStr">
        <is>
          <t>–</t>
        </is>
      </c>
    </row>
    <row r="12">
      <c r="B12" s="328" t="inlineStr">
        <is>
          <t xml:space="preserve">   weight on CY2028 year-end fleet</t>
        </is>
      </c>
      <c r="C12" s="279" t="inlineStr">
        <is>
          <t>share</t>
        </is>
      </c>
      <c r="D12" s="458" t="n">
        <v>0</v>
      </c>
      <c r="E12" s="458" t="n">
        <v>0</v>
      </c>
      <c r="F12" s="458" t="n">
        <v>0</v>
      </c>
      <c r="G12" s="458" t="n">
        <v>0</v>
      </c>
      <c r="H12" s="458" t="n">
        <v>0</v>
      </c>
      <c r="I12" s="458" t="n">
        <v>0</v>
      </c>
      <c r="J12" s="458" t="n">
        <v>0</v>
      </c>
      <c r="K12" s="458" t="n">
        <v>0</v>
      </c>
      <c r="L12" s="458" t="n">
        <v>0</v>
      </c>
      <c r="M12" s="458" t="n">
        <v>0.013889</v>
      </c>
      <c r="N12" s="458" t="n">
        <v>0.208333</v>
      </c>
      <c r="O12" s="458" t="n">
        <v>0.458333</v>
      </c>
      <c r="P12" s="282" t="inlineStr">
        <is>
          <t>–</t>
        </is>
      </c>
      <c r="Q12" s="282" t="inlineStr">
        <is>
          <t>–</t>
        </is>
      </c>
      <c r="R12" s="282" t="inlineStr">
        <is>
          <t>–</t>
        </is>
      </c>
    </row>
    <row r="13">
      <c r="B13" s="274" t="inlineStr">
        <is>
          <t xml:space="preserve">   check: weights sum to one</t>
        </is>
      </c>
      <c r="D13" s="459">
        <f>SUM(D7:D12)</f>
        <v/>
      </c>
      <c r="E13" s="459">
        <f>SUM(E7:E12)</f>
        <v/>
      </c>
      <c r="F13" s="459">
        <f>SUM(F7:F12)</f>
        <v/>
      </c>
      <c r="G13" s="459">
        <f>SUM(G7:G12)</f>
        <v/>
      </c>
      <c r="H13" s="459">
        <f>SUM(H7:H12)</f>
        <v/>
      </c>
      <c r="I13" s="459">
        <f>SUM(I7:I12)</f>
        <v/>
      </c>
      <c r="J13" s="459">
        <f>SUM(J7:J12)</f>
        <v/>
      </c>
      <c r="K13" s="459">
        <f>SUM(K7:K12)</f>
        <v/>
      </c>
      <c r="L13" s="459">
        <f>SUM(L7:L12)</f>
        <v/>
      </c>
      <c r="M13" s="459">
        <f>SUM(M7:M12)</f>
        <v/>
      </c>
      <c r="N13" s="459">
        <f>SUM(N7:N12)</f>
        <v/>
      </c>
      <c r="O13" s="459">
        <f>SUM(O7:O12)</f>
        <v/>
      </c>
      <c r="P13" s="282" t="inlineStr">
        <is>
          <t>–</t>
        </is>
      </c>
      <c r="Q13" s="282" t="inlineStr">
        <is>
          <t>–</t>
        </is>
      </c>
      <c r="R13" s="282" t="inlineStr">
        <is>
          <t>–</t>
        </is>
      </c>
    </row>
    <row r="15">
      <c r="B15" s="271" t="inlineStr">
        <is>
          <t>B. Claims mass by body × age band (relative claims; thousands-equivalent) — composition from E1, level is an index</t>
        </is>
      </c>
      <c r="C15" s="272" t="n"/>
      <c r="D15" s="272" t="n"/>
      <c r="E15" s="272" t="n"/>
      <c r="F15" s="272" t="n"/>
      <c r="G15" s="272" t="n"/>
      <c r="H15" s="272" t="n"/>
      <c r="I15" s="272" t="n"/>
      <c r="J15" s="272" t="n"/>
      <c r="K15" s="272" t="n"/>
      <c r="L15" s="272" t="n"/>
      <c r="M15" s="272" t="n"/>
      <c r="N15" s="272" t="n"/>
      <c r="O15" s="272" t="n"/>
      <c r="P15" s="272" t="n"/>
      <c r="Q15" s="272" t="n"/>
      <c r="R15" s="272" t="n"/>
      <c r="S15" s="272" t="n"/>
    </row>
    <row r="16">
      <c r="B16" s="254" t="inlineStr">
        <is>
          <t>Car — 0 (current or newer)</t>
        </is>
      </c>
      <c r="C16" s="279" t="inlineStr">
        <is>
          <t>index</t>
        </is>
      </c>
      <c r="D16" s="259">
        <f>(D$7*$D$86+D$8*$E$86+D$9*$F$86+D$10*$G$86+D$11*$H$86+D$12*$I$86)*$D$80</f>
        <v/>
      </c>
      <c r="E16" s="259">
        <f>(E$7*$D$86+E$8*$E$86+E$9*$F$86+E$10*$G$86+E$11*$H$86+E$12*$I$86)*$D$80</f>
        <v/>
      </c>
      <c r="F16" s="259">
        <f>(F$7*$D$86+F$8*$E$86+F$9*$F$86+F$10*$G$86+F$11*$H$86+F$12*$I$86)*$D$80</f>
        <v/>
      </c>
      <c r="G16" s="259">
        <f>(G$7*$D$86+G$8*$E$86+G$9*$F$86+G$10*$G$86+G$11*$H$86+G$12*$I$86)*$D$80</f>
        <v/>
      </c>
      <c r="H16" s="259">
        <f>(H$7*$D$86+H$8*$E$86+H$9*$F$86+H$10*$G$86+H$11*$H$86+H$12*$I$86)*$D$80</f>
        <v/>
      </c>
      <c r="I16" s="259">
        <f>(I$7*$D$86+I$8*$E$86+I$9*$F$86+I$10*$G$86+I$11*$H$86+I$12*$I$86)*$D$80</f>
        <v/>
      </c>
      <c r="J16" s="259">
        <f>(J$7*$D$86+J$8*$E$86+J$9*$F$86+J$10*$G$86+J$11*$H$86+J$12*$I$86)*$D$80</f>
        <v/>
      </c>
      <c r="K16" s="259">
        <f>(K$7*$D$86+K$8*$E$86+K$9*$F$86+K$10*$G$86+K$11*$H$86+K$12*$I$86)*$D$80</f>
        <v/>
      </c>
      <c r="L16" s="259">
        <f>(L$7*$D$86+L$8*$E$86+L$9*$F$86+L$10*$G$86+L$11*$H$86+L$12*$I$86)*$D$80</f>
        <v/>
      </c>
      <c r="M16" s="259">
        <f>(M$7*$D$86+M$8*$E$86+M$9*$F$86+M$10*$G$86+M$11*$H$86+M$12*$I$86)*$D$80</f>
        <v/>
      </c>
      <c r="N16" s="259">
        <f>(N$7*$D$86+N$8*$E$86+N$9*$F$86+N$10*$G$86+N$11*$H$86+N$12*$I$86)*$D$80</f>
        <v/>
      </c>
      <c r="O16" s="259">
        <f>(O$7*$D$86+O$8*$E$86+O$9*$F$86+O$10*$G$86+O$11*$H$86+O$12*$I$86)*$D$80</f>
        <v/>
      </c>
      <c r="P16" s="259">
        <f>SUM(D16:G16)</f>
        <v/>
      </c>
      <c r="Q16" s="259">
        <f>SUM(H16:K16)</f>
        <v/>
      </c>
      <c r="R16" s="259">
        <f>SUM(L16:O16)</f>
        <v/>
      </c>
    </row>
    <row r="17">
      <c r="B17" s="328" t="inlineStr">
        <is>
          <t>Car — 1–3 years</t>
        </is>
      </c>
      <c r="C17" s="279" t="inlineStr">
        <is>
          <t>index</t>
        </is>
      </c>
      <c r="D17" s="259">
        <f>(D$7*$D$87+D$8*$E$87+D$9*$F$87+D$10*$G$87+D$11*$H$87+D$12*$I$87)*$D$80</f>
        <v/>
      </c>
      <c r="E17" s="259">
        <f>(E$7*$D$87+E$8*$E$87+E$9*$F$87+E$10*$G$87+E$11*$H$87+E$12*$I$87)*$D$80</f>
        <v/>
      </c>
      <c r="F17" s="259">
        <f>(F$7*$D$87+F$8*$E$87+F$9*$F$87+F$10*$G$87+F$11*$H$87+F$12*$I$87)*$D$80</f>
        <v/>
      </c>
      <c r="G17" s="259">
        <f>(G$7*$D$87+G$8*$E$87+G$9*$F$87+G$10*$G$87+G$11*$H$87+G$12*$I$87)*$D$80</f>
        <v/>
      </c>
      <c r="H17" s="259">
        <f>(H$7*$D$87+H$8*$E$87+H$9*$F$87+H$10*$G$87+H$11*$H$87+H$12*$I$87)*$D$80</f>
        <v/>
      </c>
      <c r="I17" s="259">
        <f>(I$7*$D$87+I$8*$E$87+I$9*$F$87+I$10*$G$87+I$11*$H$87+I$12*$I$87)*$D$80</f>
        <v/>
      </c>
      <c r="J17" s="259">
        <f>(J$7*$D$87+J$8*$E$87+J$9*$F$87+J$10*$G$87+J$11*$H$87+J$12*$I$87)*$D$80</f>
        <v/>
      </c>
      <c r="K17" s="259">
        <f>(K$7*$D$87+K$8*$E$87+K$9*$F$87+K$10*$G$87+K$11*$H$87+K$12*$I$87)*$D$80</f>
        <v/>
      </c>
      <c r="L17" s="259">
        <f>(L$7*$D$87+L$8*$E$87+L$9*$F$87+L$10*$G$87+L$11*$H$87+L$12*$I$87)*$D$80</f>
        <v/>
      </c>
      <c r="M17" s="259">
        <f>(M$7*$D$87+M$8*$E$87+M$9*$F$87+M$10*$G$87+M$11*$H$87+M$12*$I$87)*$D$80</f>
        <v/>
      </c>
      <c r="N17" s="259">
        <f>(N$7*$D$87+N$8*$E$87+N$9*$F$87+N$10*$G$87+N$11*$H$87+N$12*$I$87)*$D$80</f>
        <v/>
      </c>
      <c r="O17" s="259">
        <f>(O$7*$D$87+O$8*$E$87+O$9*$F$87+O$10*$G$87+O$11*$H$87+O$12*$I$87)*$D$80</f>
        <v/>
      </c>
      <c r="P17" s="259">
        <f>SUM(D17:G17)</f>
        <v/>
      </c>
      <c r="Q17" s="259">
        <f>SUM(H17:K17)</f>
        <v/>
      </c>
      <c r="R17" s="259">
        <f>SUM(L17:O17)</f>
        <v/>
      </c>
    </row>
    <row r="18">
      <c r="B18" s="328" t="inlineStr">
        <is>
          <t>Car — 4–6 years</t>
        </is>
      </c>
      <c r="C18" s="279" t="inlineStr">
        <is>
          <t>index</t>
        </is>
      </c>
      <c r="D18" s="259">
        <f>(D$7*$D$88+D$8*$E$88+D$9*$F$88+D$10*$G$88+D$11*$H$88+D$12*$I$88)*$D$80</f>
        <v/>
      </c>
      <c r="E18" s="259">
        <f>(E$7*$D$88+E$8*$E$88+E$9*$F$88+E$10*$G$88+E$11*$H$88+E$12*$I$88)*$D$80</f>
        <v/>
      </c>
      <c r="F18" s="259">
        <f>(F$7*$D$88+F$8*$E$88+F$9*$F$88+F$10*$G$88+F$11*$H$88+F$12*$I$88)*$D$80</f>
        <v/>
      </c>
      <c r="G18" s="259">
        <f>(G$7*$D$88+G$8*$E$88+G$9*$F$88+G$10*$G$88+G$11*$H$88+G$12*$I$88)*$D$80</f>
        <v/>
      </c>
      <c r="H18" s="259">
        <f>(H$7*$D$88+H$8*$E$88+H$9*$F$88+H$10*$G$88+H$11*$H$88+H$12*$I$88)*$D$80</f>
        <v/>
      </c>
      <c r="I18" s="259">
        <f>(I$7*$D$88+I$8*$E$88+I$9*$F$88+I$10*$G$88+I$11*$H$88+I$12*$I$88)*$D$80</f>
        <v/>
      </c>
      <c r="J18" s="259">
        <f>(J$7*$D$88+J$8*$E$88+J$9*$F$88+J$10*$G$88+J$11*$H$88+J$12*$I$88)*$D$80</f>
        <v/>
      </c>
      <c r="K18" s="259">
        <f>(K$7*$D$88+K$8*$E$88+K$9*$F$88+K$10*$G$88+K$11*$H$88+K$12*$I$88)*$D$80</f>
        <v/>
      </c>
      <c r="L18" s="259">
        <f>(L$7*$D$88+L$8*$E$88+L$9*$F$88+L$10*$G$88+L$11*$H$88+L$12*$I$88)*$D$80</f>
        <v/>
      </c>
      <c r="M18" s="259">
        <f>(M$7*$D$88+M$8*$E$88+M$9*$F$88+M$10*$G$88+M$11*$H$88+M$12*$I$88)*$D$80</f>
        <v/>
      </c>
      <c r="N18" s="259">
        <f>(N$7*$D$88+N$8*$E$88+N$9*$F$88+N$10*$G$88+N$11*$H$88+N$12*$I$88)*$D$80</f>
        <v/>
      </c>
      <c r="O18" s="259">
        <f>(O$7*$D$88+O$8*$E$88+O$9*$F$88+O$10*$G$88+O$11*$H$88+O$12*$I$88)*$D$80</f>
        <v/>
      </c>
      <c r="P18" s="259">
        <f>SUM(D18:G18)</f>
        <v/>
      </c>
      <c r="Q18" s="259">
        <f>SUM(H18:K18)</f>
        <v/>
      </c>
      <c r="R18" s="259">
        <f>SUM(L18:O18)</f>
        <v/>
      </c>
    </row>
    <row r="19">
      <c r="B19" s="328" t="inlineStr">
        <is>
          <t>Car — 7+ years</t>
        </is>
      </c>
      <c r="C19" s="279" t="inlineStr">
        <is>
          <t>index</t>
        </is>
      </c>
      <c r="D19" s="259">
        <f>(D$7*$D$89+D$8*$E$89+D$9*$F$89+D$10*$G$89+D$11*$H$89+D$12*$I$89)*$D$80</f>
        <v/>
      </c>
      <c r="E19" s="259">
        <f>(E$7*$D$89+E$8*$E$89+E$9*$F$89+E$10*$G$89+E$11*$H$89+E$12*$I$89)*$D$80</f>
        <v/>
      </c>
      <c r="F19" s="259">
        <f>(F$7*$D$89+F$8*$E$89+F$9*$F$89+F$10*$G$89+F$11*$H$89+F$12*$I$89)*$D$80</f>
        <v/>
      </c>
      <c r="G19" s="259">
        <f>(G$7*$D$89+G$8*$E$89+G$9*$F$89+G$10*$G$89+G$11*$H$89+G$12*$I$89)*$D$80</f>
        <v/>
      </c>
      <c r="H19" s="259">
        <f>(H$7*$D$89+H$8*$E$89+H$9*$F$89+H$10*$G$89+H$11*$H$89+H$12*$I$89)*$D$80</f>
        <v/>
      </c>
      <c r="I19" s="259">
        <f>(I$7*$D$89+I$8*$E$89+I$9*$F$89+I$10*$G$89+I$11*$H$89+I$12*$I$89)*$D$80</f>
        <v/>
      </c>
      <c r="J19" s="259">
        <f>(J$7*$D$89+J$8*$E$89+J$9*$F$89+J$10*$G$89+J$11*$H$89+J$12*$I$89)*$D$80</f>
        <v/>
      </c>
      <c r="K19" s="259">
        <f>(K$7*$D$89+K$8*$E$89+K$9*$F$89+K$10*$G$89+K$11*$H$89+K$12*$I$89)*$D$80</f>
        <v/>
      </c>
      <c r="L19" s="259">
        <f>(L$7*$D$89+L$8*$E$89+L$9*$F$89+L$10*$G$89+L$11*$H$89+L$12*$I$89)*$D$80</f>
        <v/>
      </c>
      <c r="M19" s="259">
        <f>(M$7*$D$89+M$8*$E$89+M$9*$F$89+M$10*$G$89+M$11*$H$89+M$12*$I$89)*$D$80</f>
        <v/>
      </c>
      <c r="N19" s="259">
        <f>(N$7*$D$89+N$8*$E$89+N$9*$F$89+N$10*$G$89+N$11*$H$89+N$12*$I$89)*$D$80</f>
        <v/>
      </c>
      <c r="O19" s="259">
        <f>(O$7*$D$89+O$8*$E$89+O$9*$F$89+O$10*$G$89+O$11*$H$89+O$12*$I$89)*$D$80</f>
        <v/>
      </c>
      <c r="P19" s="259">
        <f>SUM(D19:G19)</f>
        <v/>
      </c>
      <c r="Q19" s="259">
        <f>SUM(H19:K19)</f>
        <v/>
      </c>
      <c r="R19" s="259">
        <f>SUM(L19:O19)</f>
        <v/>
      </c>
    </row>
    <row r="20">
      <c r="B20" s="254" t="inlineStr">
        <is>
          <t>Utility vehicle (SUV) — 0 (current or newer)</t>
        </is>
      </c>
      <c r="C20" s="279" t="inlineStr">
        <is>
          <t>index</t>
        </is>
      </c>
      <c r="D20" s="259">
        <f>(D$7*$D$90+D$8*$E$90+D$9*$F$90+D$10*$G$90+D$11*$H$90+D$12*$I$90)*$D$80</f>
        <v/>
      </c>
      <c r="E20" s="259">
        <f>(E$7*$D$90+E$8*$E$90+E$9*$F$90+E$10*$G$90+E$11*$H$90+E$12*$I$90)*$D$80</f>
        <v/>
      </c>
      <c r="F20" s="259">
        <f>(F$7*$D$90+F$8*$E$90+F$9*$F$90+F$10*$G$90+F$11*$H$90+F$12*$I$90)*$D$80</f>
        <v/>
      </c>
      <c r="G20" s="259">
        <f>(G$7*$D$90+G$8*$E$90+G$9*$F$90+G$10*$G$90+G$11*$H$90+G$12*$I$90)*$D$80</f>
        <v/>
      </c>
      <c r="H20" s="259">
        <f>(H$7*$D$90+H$8*$E$90+H$9*$F$90+H$10*$G$90+H$11*$H$90+H$12*$I$90)*$D$80</f>
        <v/>
      </c>
      <c r="I20" s="259">
        <f>(I$7*$D$90+I$8*$E$90+I$9*$F$90+I$10*$G$90+I$11*$H$90+I$12*$I$90)*$D$80</f>
        <v/>
      </c>
      <c r="J20" s="259">
        <f>(J$7*$D$90+J$8*$E$90+J$9*$F$90+J$10*$G$90+J$11*$H$90+J$12*$I$90)*$D$80</f>
        <v/>
      </c>
      <c r="K20" s="259">
        <f>(K$7*$D$90+K$8*$E$90+K$9*$F$90+K$10*$G$90+K$11*$H$90+K$12*$I$90)*$D$80</f>
        <v/>
      </c>
      <c r="L20" s="259">
        <f>(L$7*$D$90+L$8*$E$90+L$9*$F$90+L$10*$G$90+L$11*$H$90+L$12*$I$90)*$D$80</f>
        <v/>
      </c>
      <c r="M20" s="259">
        <f>(M$7*$D$90+M$8*$E$90+M$9*$F$90+M$10*$G$90+M$11*$H$90+M$12*$I$90)*$D$80</f>
        <v/>
      </c>
      <c r="N20" s="259">
        <f>(N$7*$D$90+N$8*$E$90+N$9*$F$90+N$10*$G$90+N$11*$H$90+N$12*$I$90)*$D$80</f>
        <v/>
      </c>
      <c r="O20" s="259">
        <f>(O$7*$D$90+O$8*$E$90+O$9*$F$90+O$10*$G$90+O$11*$H$90+O$12*$I$90)*$D$80</f>
        <v/>
      </c>
      <c r="P20" s="259">
        <f>SUM(D20:G20)</f>
        <v/>
      </c>
      <c r="Q20" s="259">
        <f>SUM(H20:K20)</f>
        <v/>
      </c>
      <c r="R20" s="259">
        <f>SUM(L20:O20)</f>
        <v/>
      </c>
    </row>
    <row r="21">
      <c r="B21" s="328" t="inlineStr">
        <is>
          <t>Utility vehicle (SUV) — 1–3 years</t>
        </is>
      </c>
      <c r="C21" s="279" t="inlineStr">
        <is>
          <t>index</t>
        </is>
      </c>
      <c r="D21" s="259">
        <f>(D$7*$D$91+D$8*$E$91+D$9*$F$91+D$10*$G$91+D$11*$H$91+D$12*$I$91)*$D$80</f>
        <v/>
      </c>
      <c r="E21" s="259">
        <f>(E$7*$D$91+E$8*$E$91+E$9*$F$91+E$10*$G$91+E$11*$H$91+E$12*$I$91)*$D$80</f>
        <v/>
      </c>
      <c r="F21" s="259">
        <f>(F$7*$D$91+F$8*$E$91+F$9*$F$91+F$10*$G$91+F$11*$H$91+F$12*$I$91)*$D$80</f>
        <v/>
      </c>
      <c r="G21" s="259">
        <f>(G$7*$D$91+G$8*$E$91+G$9*$F$91+G$10*$G$91+G$11*$H$91+G$12*$I$91)*$D$80</f>
        <v/>
      </c>
      <c r="H21" s="259">
        <f>(H$7*$D$91+H$8*$E$91+H$9*$F$91+H$10*$G$91+H$11*$H$91+H$12*$I$91)*$D$80</f>
        <v/>
      </c>
      <c r="I21" s="259">
        <f>(I$7*$D$91+I$8*$E$91+I$9*$F$91+I$10*$G$91+I$11*$H$91+I$12*$I$91)*$D$80</f>
        <v/>
      </c>
      <c r="J21" s="259">
        <f>(J$7*$D$91+J$8*$E$91+J$9*$F$91+J$10*$G$91+J$11*$H$91+J$12*$I$91)*$D$80</f>
        <v/>
      </c>
      <c r="K21" s="259">
        <f>(K$7*$D$91+K$8*$E$91+K$9*$F$91+K$10*$G$91+K$11*$H$91+K$12*$I$91)*$D$80</f>
        <v/>
      </c>
      <c r="L21" s="259">
        <f>(L$7*$D$91+L$8*$E$91+L$9*$F$91+L$10*$G$91+L$11*$H$91+L$12*$I$91)*$D$80</f>
        <v/>
      </c>
      <c r="M21" s="259">
        <f>(M$7*$D$91+M$8*$E$91+M$9*$F$91+M$10*$G$91+M$11*$H$91+M$12*$I$91)*$D$80</f>
        <v/>
      </c>
      <c r="N21" s="259">
        <f>(N$7*$D$91+N$8*$E$91+N$9*$F$91+N$10*$G$91+N$11*$H$91+N$12*$I$91)*$D$80</f>
        <v/>
      </c>
      <c r="O21" s="259">
        <f>(O$7*$D$91+O$8*$E$91+O$9*$F$91+O$10*$G$91+O$11*$H$91+O$12*$I$91)*$D$80</f>
        <v/>
      </c>
      <c r="P21" s="259">
        <f>SUM(D21:G21)</f>
        <v/>
      </c>
      <c r="Q21" s="259">
        <f>SUM(H21:K21)</f>
        <v/>
      </c>
      <c r="R21" s="259">
        <f>SUM(L21:O21)</f>
        <v/>
      </c>
    </row>
    <row r="22">
      <c r="B22" s="328" t="inlineStr">
        <is>
          <t>Utility vehicle (SUV) — 4–6 years</t>
        </is>
      </c>
      <c r="C22" s="279" t="inlineStr">
        <is>
          <t>index</t>
        </is>
      </c>
      <c r="D22" s="259">
        <f>(D$7*$D$92+D$8*$E$92+D$9*$F$92+D$10*$G$92+D$11*$H$92+D$12*$I$92)*$D$80</f>
        <v/>
      </c>
      <c r="E22" s="259">
        <f>(E$7*$D$92+E$8*$E$92+E$9*$F$92+E$10*$G$92+E$11*$H$92+E$12*$I$92)*$D$80</f>
        <v/>
      </c>
      <c r="F22" s="259">
        <f>(F$7*$D$92+F$8*$E$92+F$9*$F$92+F$10*$G$92+F$11*$H$92+F$12*$I$92)*$D$80</f>
        <v/>
      </c>
      <c r="G22" s="259">
        <f>(G$7*$D$92+G$8*$E$92+G$9*$F$92+G$10*$G$92+G$11*$H$92+G$12*$I$92)*$D$80</f>
        <v/>
      </c>
      <c r="H22" s="259">
        <f>(H$7*$D$92+H$8*$E$92+H$9*$F$92+H$10*$G$92+H$11*$H$92+H$12*$I$92)*$D$80</f>
        <v/>
      </c>
      <c r="I22" s="259">
        <f>(I$7*$D$92+I$8*$E$92+I$9*$F$92+I$10*$G$92+I$11*$H$92+I$12*$I$92)*$D$80</f>
        <v/>
      </c>
      <c r="J22" s="259">
        <f>(J$7*$D$92+J$8*$E$92+J$9*$F$92+J$10*$G$92+J$11*$H$92+J$12*$I$92)*$D$80</f>
        <v/>
      </c>
      <c r="K22" s="259">
        <f>(K$7*$D$92+K$8*$E$92+K$9*$F$92+K$10*$G$92+K$11*$H$92+K$12*$I$92)*$D$80</f>
        <v/>
      </c>
      <c r="L22" s="259">
        <f>(L$7*$D$92+L$8*$E$92+L$9*$F$92+L$10*$G$92+L$11*$H$92+L$12*$I$92)*$D$80</f>
        <v/>
      </c>
      <c r="M22" s="259">
        <f>(M$7*$D$92+M$8*$E$92+M$9*$F$92+M$10*$G$92+M$11*$H$92+M$12*$I$92)*$D$80</f>
        <v/>
      </c>
      <c r="N22" s="259">
        <f>(N$7*$D$92+N$8*$E$92+N$9*$F$92+N$10*$G$92+N$11*$H$92+N$12*$I$92)*$D$80</f>
        <v/>
      </c>
      <c r="O22" s="259">
        <f>(O$7*$D$92+O$8*$E$92+O$9*$F$92+O$10*$G$92+O$11*$H$92+O$12*$I$92)*$D$80</f>
        <v/>
      </c>
      <c r="P22" s="259">
        <f>SUM(D22:G22)</f>
        <v/>
      </c>
      <c r="Q22" s="259">
        <f>SUM(H22:K22)</f>
        <v/>
      </c>
      <c r="R22" s="259">
        <f>SUM(L22:O22)</f>
        <v/>
      </c>
    </row>
    <row r="23">
      <c r="B23" s="328" t="inlineStr">
        <is>
          <t>Utility vehicle (SUV) — 7+ years</t>
        </is>
      </c>
      <c r="C23" s="279" t="inlineStr">
        <is>
          <t>index</t>
        </is>
      </c>
      <c r="D23" s="259">
        <f>(D$7*$D$93+D$8*$E$93+D$9*$F$93+D$10*$G$93+D$11*$H$93+D$12*$I$93)*$D$80</f>
        <v/>
      </c>
      <c r="E23" s="259">
        <f>(E$7*$D$93+E$8*$E$93+E$9*$F$93+E$10*$G$93+E$11*$H$93+E$12*$I$93)*$D$80</f>
        <v/>
      </c>
      <c r="F23" s="259">
        <f>(F$7*$D$93+F$8*$E$93+F$9*$F$93+F$10*$G$93+F$11*$H$93+F$12*$I$93)*$D$80</f>
        <v/>
      </c>
      <c r="G23" s="259">
        <f>(G$7*$D$93+G$8*$E$93+G$9*$F$93+G$10*$G$93+G$11*$H$93+G$12*$I$93)*$D$80</f>
        <v/>
      </c>
      <c r="H23" s="259">
        <f>(H$7*$D$93+H$8*$E$93+H$9*$F$93+H$10*$G$93+H$11*$H$93+H$12*$I$93)*$D$80</f>
        <v/>
      </c>
      <c r="I23" s="259">
        <f>(I$7*$D$93+I$8*$E$93+I$9*$F$93+I$10*$G$93+I$11*$H$93+I$12*$I$93)*$D$80</f>
        <v/>
      </c>
      <c r="J23" s="259">
        <f>(J$7*$D$93+J$8*$E$93+J$9*$F$93+J$10*$G$93+J$11*$H$93+J$12*$I$93)*$D$80</f>
        <v/>
      </c>
      <c r="K23" s="259">
        <f>(K$7*$D$93+K$8*$E$93+K$9*$F$93+K$10*$G$93+K$11*$H$93+K$12*$I$93)*$D$80</f>
        <v/>
      </c>
      <c r="L23" s="259">
        <f>(L$7*$D$93+L$8*$E$93+L$9*$F$93+L$10*$G$93+L$11*$H$93+L$12*$I$93)*$D$80</f>
        <v/>
      </c>
      <c r="M23" s="259">
        <f>(M$7*$D$93+M$8*$E$93+M$9*$F$93+M$10*$G$93+M$11*$H$93+M$12*$I$93)*$D$80</f>
        <v/>
      </c>
      <c r="N23" s="259">
        <f>(N$7*$D$93+N$8*$E$93+N$9*$F$93+N$10*$G$93+N$11*$H$93+N$12*$I$93)*$D$80</f>
        <v/>
      </c>
      <c r="O23" s="259">
        <f>(O$7*$D$93+O$8*$E$93+O$9*$F$93+O$10*$G$93+O$11*$H$93+O$12*$I$93)*$D$80</f>
        <v/>
      </c>
      <c r="P23" s="259">
        <f>SUM(D23:G23)</f>
        <v/>
      </c>
      <c r="Q23" s="259">
        <f>SUM(H23:K23)</f>
        <v/>
      </c>
      <c r="R23" s="259">
        <f>SUM(L23:O23)</f>
        <v/>
      </c>
    </row>
    <row r="24">
      <c r="B24" s="254" t="inlineStr">
        <is>
          <t>Pickup — 0 (current or newer)</t>
        </is>
      </c>
      <c r="C24" s="279" t="inlineStr">
        <is>
          <t>index</t>
        </is>
      </c>
      <c r="D24" s="259">
        <f>(D$7*$D$94+D$8*$E$94+D$9*$F$94+D$10*$G$94+D$11*$H$94+D$12*$I$94)*$D$80</f>
        <v/>
      </c>
      <c r="E24" s="259">
        <f>(E$7*$D$94+E$8*$E$94+E$9*$F$94+E$10*$G$94+E$11*$H$94+E$12*$I$94)*$D$80</f>
        <v/>
      </c>
      <c r="F24" s="259">
        <f>(F$7*$D$94+F$8*$E$94+F$9*$F$94+F$10*$G$94+F$11*$H$94+F$12*$I$94)*$D$80</f>
        <v/>
      </c>
      <c r="G24" s="259">
        <f>(G$7*$D$94+G$8*$E$94+G$9*$F$94+G$10*$G$94+G$11*$H$94+G$12*$I$94)*$D$80</f>
        <v/>
      </c>
      <c r="H24" s="259">
        <f>(H$7*$D$94+H$8*$E$94+H$9*$F$94+H$10*$G$94+H$11*$H$94+H$12*$I$94)*$D$80</f>
        <v/>
      </c>
      <c r="I24" s="259">
        <f>(I$7*$D$94+I$8*$E$94+I$9*$F$94+I$10*$G$94+I$11*$H$94+I$12*$I$94)*$D$80</f>
        <v/>
      </c>
      <c r="J24" s="259">
        <f>(J$7*$D$94+J$8*$E$94+J$9*$F$94+J$10*$G$94+J$11*$H$94+J$12*$I$94)*$D$80</f>
        <v/>
      </c>
      <c r="K24" s="259">
        <f>(K$7*$D$94+K$8*$E$94+K$9*$F$94+K$10*$G$94+K$11*$H$94+K$12*$I$94)*$D$80</f>
        <v/>
      </c>
      <c r="L24" s="259">
        <f>(L$7*$D$94+L$8*$E$94+L$9*$F$94+L$10*$G$94+L$11*$H$94+L$12*$I$94)*$D$80</f>
        <v/>
      </c>
      <c r="M24" s="259">
        <f>(M$7*$D$94+M$8*$E$94+M$9*$F$94+M$10*$G$94+M$11*$H$94+M$12*$I$94)*$D$80</f>
        <v/>
      </c>
      <c r="N24" s="259">
        <f>(N$7*$D$94+N$8*$E$94+N$9*$F$94+N$10*$G$94+N$11*$H$94+N$12*$I$94)*$D$80</f>
        <v/>
      </c>
      <c r="O24" s="259">
        <f>(O$7*$D$94+O$8*$E$94+O$9*$F$94+O$10*$G$94+O$11*$H$94+O$12*$I$94)*$D$80</f>
        <v/>
      </c>
      <c r="P24" s="259">
        <f>SUM(D24:G24)</f>
        <v/>
      </c>
      <c r="Q24" s="259">
        <f>SUM(H24:K24)</f>
        <v/>
      </c>
      <c r="R24" s="259">
        <f>SUM(L24:O24)</f>
        <v/>
      </c>
    </row>
    <row r="25">
      <c r="B25" s="328" t="inlineStr">
        <is>
          <t>Pickup — 1–3 years</t>
        </is>
      </c>
      <c r="C25" s="279" t="inlineStr">
        <is>
          <t>index</t>
        </is>
      </c>
      <c r="D25" s="259">
        <f>(D$7*$D$95+D$8*$E$95+D$9*$F$95+D$10*$G$95+D$11*$H$95+D$12*$I$95)*$D$80</f>
        <v/>
      </c>
      <c r="E25" s="259">
        <f>(E$7*$D$95+E$8*$E$95+E$9*$F$95+E$10*$G$95+E$11*$H$95+E$12*$I$95)*$D$80</f>
        <v/>
      </c>
      <c r="F25" s="259">
        <f>(F$7*$D$95+F$8*$E$95+F$9*$F$95+F$10*$G$95+F$11*$H$95+F$12*$I$95)*$D$80</f>
        <v/>
      </c>
      <c r="G25" s="259">
        <f>(G$7*$D$95+G$8*$E$95+G$9*$F$95+G$10*$G$95+G$11*$H$95+G$12*$I$95)*$D$80</f>
        <v/>
      </c>
      <c r="H25" s="259">
        <f>(H$7*$D$95+H$8*$E$95+H$9*$F$95+H$10*$G$95+H$11*$H$95+H$12*$I$95)*$D$80</f>
        <v/>
      </c>
      <c r="I25" s="259">
        <f>(I$7*$D$95+I$8*$E$95+I$9*$F$95+I$10*$G$95+I$11*$H$95+I$12*$I$95)*$D$80</f>
        <v/>
      </c>
      <c r="J25" s="259">
        <f>(J$7*$D$95+J$8*$E$95+J$9*$F$95+J$10*$G$95+J$11*$H$95+J$12*$I$95)*$D$80</f>
        <v/>
      </c>
      <c r="K25" s="259">
        <f>(K$7*$D$95+K$8*$E$95+K$9*$F$95+K$10*$G$95+K$11*$H$95+K$12*$I$95)*$D$80</f>
        <v/>
      </c>
      <c r="L25" s="259">
        <f>(L$7*$D$95+L$8*$E$95+L$9*$F$95+L$10*$G$95+L$11*$H$95+L$12*$I$95)*$D$80</f>
        <v/>
      </c>
      <c r="M25" s="259">
        <f>(M$7*$D$95+M$8*$E$95+M$9*$F$95+M$10*$G$95+M$11*$H$95+M$12*$I$95)*$D$80</f>
        <v/>
      </c>
      <c r="N25" s="259">
        <f>(N$7*$D$95+N$8*$E$95+N$9*$F$95+N$10*$G$95+N$11*$H$95+N$12*$I$95)*$D$80</f>
        <v/>
      </c>
      <c r="O25" s="259">
        <f>(O$7*$D$95+O$8*$E$95+O$9*$F$95+O$10*$G$95+O$11*$H$95+O$12*$I$95)*$D$80</f>
        <v/>
      </c>
      <c r="P25" s="259">
        <f>SUM(D25:G25)</f>
        <v/>
      </c>
      <c r="Q25" s="259">
        <f>SUM(H25:K25)</f>
        <v/>
      </c>
      <c r="R25" s="259">
        <f>SUM(L25:O25)</f>
        <v/>
      </c>
    </row>
    <row r="26">
      <c r="B26" s="328" t="inlineStr">
        <is>
          <t>Pickup — 4–6 years</t>
        </is>
      </c>
      <c r="C26" s="279" t="inlineStr">
        <is>
          <t>index</t>
        </is>
      </c>
      <c r="D26" s="259">
        <f>(D$7*$D$96+D$8*$E$96+D$9*$F$96+D$10*$G$96+D$11*$H$96+D$12*$I$96)*$D$80</f>
        <v/>
      </c>
      <c r="E26" s="259">
        <f>(E$7*$D$96+E$8*$E$96+E$9*$F$96+E$10*$G$96+E$11*$H$96+E$12*$I$96)*$D$80</f>
        <v/>
      </c>
      <c r="F26" s="259">
        <f>(F$7*$D$96+F$8*$E$96+F$9*$F$96+F$10*$G$96+F$11*$H$96+F$12*$I$96)*$D$80</f>
        <v/>
      </c>
      <c r="G26" s="259">
        <f>(G$7*$D$96+G$8*$E$96+G$9*$F$96+G$10*$G$96+G$11*$H$96+G$12*$I$96)*$D$80</f>
        <v/>
      </c>
      <c r="H26" s="259">
        <f>(H$7*$D$96+H$8*$E$96+H$9*$F$96+H$10*$G$96+H$11*$H$96+H$12*$I$96)*$D$80</f>
        <v/>
      </c>
      <c r="I26" s="259">
        <f>(I$7*$D$96+I$8*$E$96+I$9*$F$96+I$10*$G$96+I$11*$H$96+I$12*$I$96)*$D$80</f>
        <v/>
      </c>
      <c r="J26" s="259">
        <f>(J$7*$D$96+J$8*$E$96+J$9*$F$96+J$10*$G$96+J$11*$H$96+J$12*$I$96)*$D$80</f>
        <v/>
      </c>
      <c r="K26" s="259">
        <f>(K$7*$D$96+K$8*$E$96+K$9*$F$96+K$10*$G$96+K$11*$H$96+K$12*$I$96)*$D$80</f>
        <v/>
      </c>
      <c r="L26" s="259">
        <f>(L$7*$D$96+L$8*$E$96+L$9*$F$96+L$10*$G$96+L$11*$H$96+L$12*$I$96)*$D$80</f>
        <v/>
      </c>
      <c r="M26" s="259">
        <f>(M$7*$D$96+M$8*$E$96+M$9*$F$96+M$10*$G$96+M$11*$H$96+M$12*$I$96)*$D$80</f>
        <v/>
      </c>
      <c r="N26" s="259">
        <f>(N$7*$D$96+N$8*$E$96+N$9*$F$96+N$10*$G$96+N$11*$H$96+N$12*$I$96)*$D$80</f>
        <v/>
      </c>
      <c r="O26" s="259">
        <f>(O$7*$D$96+O$8*$E$96+O$9*$F$96+O$10*$G$96+O$11*$H$96+O$12*$I$96)*$D$80</f>
        <v/>
      </c>
      <c r="P26" s="259">
        <f>SUM(D26:G26)</f>
        <v/>
      </c>
      <c r="Q26" s="259">
        <f>SUM(H26:K26)</f>
        <v/>
      </c>
      <c r="R26" s="259">
        <f>SUM(L26:O26)</f>
        <v/>
      </c>
    </row>
    <row r="27">
      <c r="B27" s="328" t="inlineStr">
        <is>
          <t>Pickup — 7+ years</t>
        </is>
      </c>
      <c r="C27" s="279" t="inlineStr">
        <is>
          <t>index</t>
        </is>
      </c>
      <c r="D27" s="259">
        <f>(D$7*$D$97+D$8*$E$97+D$9*$F$97+D$10*$G$97+D$11*$H$97+D$12*$I$97)*$D$80</f>
        <v/>
      </c>
      <c r="E27" s="259">
        <f>(E$7*$D$97+E$8*$E$97+E$9*$F$97+E$10*$G$97+E$11*$H$97+E$12*$I$97)*$D$80</f>
        <v/>
      </c>
      <c r="F27" s="259">
        <f>(F$7*$D$97+F$8*$E$97+F$9*$F$97+F$10*$G$97+F$11*$H$97+F$12*$I$97)*$D$80</f>
        <v/>
      </c>
      <c r="G27" s="259">
        <f>(G$7*$D$97+G$8*$E$97+G$9*$F$97+G$10*$G$97+G$11*$H$97+G$12*$I$97)*$D$80</f>
        <v/>
      </c>
      <c r="H27" s="259">
        <f>(H$7*$D$97+H$8*$E$97+H$9*$F$97+H$10*$G$97+H$11*$H$97+H$12*$I$97)*$D$80</f>
        <v/>
      </c>
      <c r="I27" s="259">
        <f>(I$7*$D$97+I$8*$E$97+I$9*$F$97+I$10*$G$97+I$11*$H$97+I$12*$I$97)*$D$80</f>
        <v/>
      </c>
      <c r="J27" s="259">
        <f>(J$7*$D$97+J$8*$E$97+J$9*$F$97+J$10*$G$97+J$11*$H$97+J$12*$I$97)*$D$80</f>
        <v/>
      </c>
      <c r="K27" s="259">
        <f>(K$7*$D$97+K$8*$E$97+K$9*$F$97+K$10*$G$97+K$11*$H$97+K$12*$I$97)*$D$80</f>
        <v/>
      </c>
      <c r="L27" s="259">
        <f>(L$7*$D$97+L$8*$E$97+L$9*$F$97+L$10*$G$97+L$11*$H$97+L$12*$I$97)*$D$80</f>
        <v/>
      </c>
      <c r="M27" s="259">
        <f>(M$7*$D$97+M$8*$E$97+M$9*$F$97+M$10*$G$97+M$11*$H$97+M$12*$I$97)*$D$80</f>
        <v/>
      </c>
      <c r="N27" s="259">
        <f>(N$7*$D$97+N$8*$E$97+N$9*$F$97+N$10*$G$97+N$11*$H$97+N$12*$I$97)*$D$80</f>
        <v/>
      </c>
      <c r="O27" s="259">
        <f>(O$7*$D$97+O$8*$E$97+O$9*$F$97+O$10*$G$97+O$11*$H$97+O$12*$I$97)*$D$80</f>
        <v/>
      </c>
      <c r="P27" s="259">
        <f>SUM(D27:G27)</f>
        <v/>
      </c>
      <c r="Q27" s="259">
        <f>SUM(H27:K27)</f>
        <v/>
      </c>
      <c r="R27" s="259">
        <f>SUM(L27:O27)</f>
        <v/>
      </c>
    </row>
    <row r="28">
      <c r="B28" s="254" t="inlineStr">
        <is>
          <t>Van / minivan — 0 (current or newer)</t>
        </is>
      </c>
      <c r="C28" s="279" t="inlineStr">
        <is>
          <t>index</t>
        </is>
      </c>
      <c r="D28" s="259">
        <f>(D$7*$D$98+D$8*$E$98+D$9*$F$98+D$10*$G$98+D$11*$H$98+D$12*$I$98)*$D$80</f>
        <v/>
      </c>
      <c r="E28" s="259">
        <f>(E$7*$D$98+E$8*$E$98+E$9*$F$98+E$10*$G$98+E$11*$H$98+E$12*$I$98)*$D$80</f>
        <v/>
      </c>
      <c r="F28" s="259">
        <f>(F$7*$D$98+F$8*$E$98+F$9*$F$98+F$10*$G$98+F$11*$H$98+F$12*$I$98)*$D$80</f>
        <v/>
      </c>
      <c r="G28" s="259">
        <f>(G$7*$D$98+G$8*$E$98+G$9*$F$98+G$10*$G$98+G$11*$H$98+G$12*$I$98)*$D$80</f>
        <v/>
      </c>
      <c r="H28" s="259">
        <f>(H$7*$D$98+H$8*$E$98+H$9*$F$98+H$10*$G$98+H$11*$H$98+H$12*$I$98)*$D$80</f>
        <v/>
      </c>
      <c r="I28" s="259">
        <f>(I$7*$D$98+I$8*$E$98+I$9*$F$98+I$10*$G$98+I$11*$H$98+I$12*$I$98)*$D$80</f>
        <v/>
      </c>
      <c r="J28" s="259">
        <f>(J$7*$D$98+J$8*$E$98+J$9*$F$98+J$10*$G$98+J$11*$H$98+J$12*$I$98)*$D$80</f>
        <v/>
      </c>
      <c r="K28" s="259">
        <f>(K$7*$D$98+K$8*$E$98+K$9*$F$98+K$10*$G$98+K$11*$H$98+K$12*$I$98)*$D$80</f>
        <v/>
      </c>
      <c r="L28" s="259">
        <f>(L$7*$D$98+L$8*$E$98+L$9*$F$98+L$10*$G$98+L$11*$H$98+L$12*$I$98)*$D$80</f>
        <v/>
      </c>
      <c r="M28" s="259">
        <f>(M$7*$D$98+M$8*$E$98+M$9*$F$98+M$10*$G$98+M$11*$H$98+M$12*$I$98)*$D$80</f>
        <v/>
      </c>
      <c r="N28" s="259">
        <f>(N$7*$D$98+N$8*$E$98+N$9*$F$98+N$10*$G$98+N$11*$H$98+N$12*$I$98)*$D$80</f>
        <v/>
      </c>
      <c r="O28" s="259">
        <f>(O$7*$D$98+O$8*$E$98+O$9*$F$98+O$10*$G$98+O$11*$H$98+O$12*$I$98)*$D$80</f>
        <v/>
      </c>
      <c r="P28" s="259">
        <f>SUM(D28:G28)</f>
        <v/>
      </c>
      <c r="Q28" s="259">
        <f>SUM(H28:K28)</f>
        <v/>
      </c>
      <c r="R28" s="259">
        <f>SUM(L28:O28)</f>
        <v/>
      </c>
    </row>
    <row r="29">
      <c r="B29" s="328" t="inlineStr">
        <is>
          <t>Van / minivan — 1–3 years</t>
        </is>
      </c>
      <c r="C29" s="279" t="inlineStr">
        <is>
          <t>index</t>
        </is>
      </c>
      <c r="D29" s="259">
        <f>(D$7*$D$99+D$8*$E$99+D$9*$F$99+D$10*$G$99+D$11*$H$99+D$12*$I$99)*$D$80</f>
        <v/>
      </c>
      <c r="E29" s="259">
        <f>(E$7*$D$99+E$8*$E$99+E$9*$F$99+E$10*$G$99+E$11*$H$99+E$12*$I$99)*$D$80</f>
        <v/>
      </c>
      <c r="F29" s="259">
        <f>(F$7*$D$99+F$8*$E$99+F$9*$F$99+F$10*$G$99+F$11*$H$99+F$12*$I$99)*$D$80</f>
        <v/>
      </c>
      <c r="G29" s="259">
        <f>(G$7*$D$99+G$8*$E$99+G$9*$F$99+G$10*$G$99+G$11*$H$99+G$12*$I$99)*$D$80</f>
        <v/>
      </c>
      <c r="H29" s="259">
        <f>(H$7*$D$99+H$8*$E$99+H$9*$F$99+H$10*$G$99+H$11*$H$99+H$12*$I$99)*$D$80</f>
        <v/>
      </c>
      <c r="I29" s="259">
        <f>(I$7*$D$99+I$8*$E$99+I$9*$F$99+I$10*$G$99+I$11*$H$99+I$12*$I$99)*$D$80</f>
        <v/>
      </c>
      <c r="J29" s="259">
        <f>(J$7*$D$99+J$8*$E$99+J$9*$F$99+J$10*$G$99+J$11*$H$99+J$12*$I$99)*$D$80</f>
        <v/>
      </c>
      <c r="K29" s="259">
        <f>(K$7*$D$99+K$8*$E$99+K$9*$F$99+K$10*$G$99+K$11*$H$99+K$12*$I$99)*$D$80</f>
        <v/>
      </c>
      <c r="L29" s="259">
        <f>(L$7*$D$99+L$8*$E$99+L$9*$F$99+L$10*$G$99+L$11*$H$99+L$12*$I$99)*$D$80</f>
        <v/>
      </c>
      <c r="M29" s="259">
        <f>(M$7*$D$99+M$8*$E$99+M$9*$F$99+M$10*$G$99+M$11*$H$99+M$12*$I$99)*$D$80</f>
        <v/>
      </c>
      <c r="N29" s="259">
        <f>(N$7*$D$99+N$8*$E$99+N$9*$F$99+N$10*$G$99+N$11*$H$99+N$12*$I$99)*$D$80</f>
        <v/>
      </c>
      <c r="O29" s="259">
        <f>(O$7*$D$99+O$8*$E$99+O$9*$F$99+O$10*$G$99+O$11*$H$99+O$12*$I$99)*$D$80</f>
        <v/>
      </c>
      <c r="P29" s="259">
        <f>SUM(D29:G29)</f>
        <v/>
      </c>
      <c r="Q29" s="259">
        <f>SUM(H29:K29)</f>
        <v/>
      </c>
      <c r="R29" s="259">
        <f>SUM(L29:O29)</f>
        <v/>
      </c>
    </row>
    <row r="30">
      <c r="B30" s="328" t="inlineStr">
        <is>
          <t>Van / minivan — 4–6 years</t>
        </is>
      </c>
      <c r="C30" s="279" t="inlineStr">
        <is>
          <t>index</t>
        </is>
      </c>
      <c r="D30" s="259">
        <f>(D$7*$D$100+D$8*$E$100+D$9*$F$100+D$10*$G$100+D$11*$H$100+D$12*$I$100)*$D$80</f>
        <v/>
      </c>
      <c r="E30" s="259">
        <f>(E$7*$D$100+E$8*$E$100+E$9*$F$100+E$10*$G$100+E$11*$H$100+E$12*$I$100)*$D$80</f>
        <v/>
      </c>
      <c r="F30" s="259">
        <f>(F$7*$D$100+F$8*$E$100+F$9*$F$100+F$10*$G$100+F$11*$H$100+F$12*$I$100)*$D$80</f>
        <v/>
      </c>
      <c r="G30" s="259">
        <f>(G$7*$D$100+G$8*$E$100+G$9*$F$100+G$10*$G$100+G$11*$H$100+G$12*$I$100)*$D$80</f>
        <v/>
      </c>
      <c r="H30" s="259">
        <f>(H$7*$D$100+H$8*$E$100+H$9*$F$100+H$10*$G$100+H$11*$H$100+H$12*$I$100)*$D$80</f>
        <v/>
      </c>
      <c r="I30" s="259">
        <f>(I$7*$D$100+I$8*$E$100+I$9*$F$100+I$10*$G$100+I$11*$H$100+I$12*$I$100)*$D$80</f>
        <v/>
      </c>
      <c r="J30" s="259">
        <f>(J$7*$D$100+J$8*$E$100+J$9*$F$100+J$10*$G$100+J$11*$H$100+J$12*$I$100)*$D$80</f>
        <v/>
      </c>
      <c r="K30" s="259">
        <f>(K$7*$D$100+K$8*$E$100+K$9*$F$100+K$10*$G$100+K$11*$H$100+K$12*$I$100)*$D$80</f>
        <v/>
      </c>
      <c r="L30" s="259">
        <f>(L$7*$D$100+L$8*$E$100+L$9*$F$100+L$10*$G$100+L$11*$H$100+L$12*$I$100)*$D$80</f>
        <v/>
      </c>
      <c r="M30" s="259">
        <f>(M$7*$D$100+M$8*$E$100+M$9*$F$100+M$10*$G$100+M$11*$H$100+M$12*$I$100)*$D$80</f>
        <v/>
      </c>
      <c r="N30" s="259">
        <f>(N$7*$D$100+N$8*$E$100+N$9*$F$100+N$10*$G$100+N$11*$H$100+N$12*$I$100)*$D$80</f>
        <v/>
      </c>
      <c r="O30" s="259">
        <f>(O$7*$D$100+O$8*$E$100+O$9*$F$100+O$10*$G$100+O$11*$H$100+O$12*$I$100)*$D$80</f>
        <v/>
      </c>
      <c r="P30" s="259">
        <f>SUM(D30:G30)</f>
        <v/>
      </c>
      <c r="Q30" s="259">
        <f>SUM(H30:K30)</f>
        <v/>
      </c>
      <c r="R30" s="259">
        <f>SUM(L30:O30)</f>
        <v/>
      </c>
    </row>
    <row r="31">
      <c r="B31" s="328" t="inlineStr">
        <is>
          <t>Van / minivan — 7+ years</t>
        </is>
      </c>
      <c r="C31" s="279" t="inlineStr">
        <is>
          <t>index</t>
        </is>
      </c>
      <c r="D31" s="259">
        <f>(D$7*$D$101+D$8*$E$101+D$9*$F$101+D$10*$G$101+D$11*$H$101+D$12*$I$101)*$D$80</f>
        <v/>
      </c>
      <c r="E31" s="259">
        <f>(E$7*$D$101+E$8*$E$101+E$9*$F$101+E$10*$G$101+E$11*$H$101+E$12*$I$101)*$D$80</f>
        <v/>
      </c>
      <c r="F31" s="259">
        <f>(F$7*$D$101+F$8*$E$101+F$9*$F$101+F$10*$G$101+F$11*$H$101+F$12*$I$101)*$D$80</f>
        <v/>
      </c>
      <c r="G31" s="259">
        <f>(G$7*$D$101+G$8*$E$101+G$9*$F$101+G$10*$G$101+G$11*$H$101+G$12*$I$101)*$D$80</f>
        <v/>
      </c>
      <c r="H31" s="259">
        <f>(H$7*$D$101+H$8*$E$101+H$9*$F$101+H$10*$G$101+H$11*$H$101+H$12*$I$101)*$D$80</f>
        <v/>
      </c>
      <c r="I31" s="259">
        <f>(I$7*$D$101+I$8*$E$101+I$9*$F$101+I$10*$G$101+I$11*$H$101+I$12*$I$101)*$D$80</f>
        <v/>
      </c>
      <c r="J31" s="259">
        <f>(J$7*$D$101+J$8*$E$101+J$9*$F$101+J$10*$G$101+J$11*$H$101+J$12*$I$101)*$D$80</f>
        <v/>
      </c>
      <c r="K31" s="259">
        <f>(K$7*$D$101+K$8*$E$101+K$9*$F$101+K$10*$G$101+K$11*$H$101+K$12*$I$101)*$D$80</f>
        <v/>
      </c>
      <c r="L31" s="259">
        <f>(L$7*$D$101+L$8*$E$101+L$9*$F$101+L$10*$G$101+L$11*$H$101+L$12*$I$101)*$D$80</f>
        <v/>
      </c>
      <c r="M31" s="259">
        <f>(M$7*$D$101+M$8*$E$101+M$9*$F$101+M$10*$G$101+M$11*$H$101+M$12*$I$101)*$D$80</f>
        <v/>
      </c>
      <c r="N31" s="259">
        <f>(N$7*$D$101+N$8*$E$101+N$9*$F$101+N$10*$G$101+N$11*$H$101+N$12*$I$101)*$D$80</f>
        <v/>
      </c>
      <c r="O31" s="259">
        <f>(O$7*$D$101+O$8*$E$101+O$9*$F$101+O$10*$G$101+O$11*$H$101+O$12*$I$101)*$D$80</f>
        <v/>
      </c>
      <c r="P31" s="259">
        <f>SUM(D31:G31)</f>
        <v/>
      </c>
      <c r="Q31" s="259">
        <f>SUM(H31:K31)</f>
        <v/>
      </c>
      <c r="R31" s="259">
        <f>SUM(L31:O31)</f>
        <v/>
      </c>
    </row>
    <row r="32">
      <c r="B32" s="249" t="inlineStr">
        <is>
          <t>Total claims mass (× claims multiplier)</t>
        </is>
      </c>
      <c r="C32" s="279" t="inlineStr">
        <is>
          <t>index</t>
        </is>
      </c>
      <c r="D32" s="326">
        <f>SUM(D16:D31)</f>
        <v/>
      </c>
      <c r="E32" s="326">
        <f>SUM(E16:E31)</f>
        <v/>
      </c>
      <c r="F32" s="326">
        <f>SUM(F16:F31)</f>
        <v/>
      </c>
      <c r="G32" s="326">
        <f>SUM(G16:G31)</f>
        <v/>
      </c>
      <c r="H32" s="326">
        <f>SUM(H16:H31)</f>
        <v/>
      </c>
      <c r="I32" s="326">
        <f>SUM(I16:I31)</f>
        <v/>
      </c>
      <c r="J32" s="326">
        <f>SUM(J16:J31)</f>
        <v/>
      </c>
      <c r="K32" s="326">
        <f>SUM(K16:K31)</f>
        <v/>
      </c>
      <c r="L32" s="326">
        <f>SUM(L16:L31)</f>
        <v/>
      </c>
      <c r="M32" s="326">
        <f>SUM(M16:M31)</f>
        <v/>
      </c>
      <c r="N32" s="326">
        <f>SUM(N16:N31)</f>
        <v/>
      </c>
      <c r="O32" s="326">
        <f>SUM(O16:O31)</f>
        <v/>
      </c>
      <c r="P32" s="260">
        <f>SUM(D32:G32)</f>
        <v/>
      </c>
      <c r="Q32" s="260">
        <f>SUM(H32:K32)</f>
        <v/>
      </c>
      <c r="R32" s="260">
        <f>SUM(L32:O32)</f>
        <v/>
      </c>
    </row>
    <row r="33">
      <c r="B33" s="274" t="inlineStr">
        <is>
          <t xml:space="preserve">   y/y</t>
        </is>
      </c>
      <c r="C33" s="279" t="inlineStr">
        <is>
          <t>%</t>
        </is>
      </c>
      <c r="D33" s="282" t="inlineStr">
        <is>
          <t>–</t>
        </is>
      </c>
      <c r="E33" s="282" t="inlineStr">
        <is>
          <t>–</t>
        </is>
      </c>
      <c r="F33" s="282" t="inlineStr">
        <is>
          <t>–</t>
        </is>
      </c>
      <c r="G33" s="282" t="inlineStr">
        <is>
          <t>–</t>
        </is>
      </c>
      <c r="H33" s="327">
        <f>H32/D32-1</f>
        <v/>
      </c>
      <c r="I33" s="327">
        <f>I32/E32-1</f>
        <v/>
      </c>
      <c r="J33" s="327">
        <f>J32/F32-1</f>
        <v/>
      </c>
      <c r="K33" s="327">
        <f>K32/G32-1</f>
        <v/>
      </c>
      <c r="L33" s="327">
        <f>L32/H32-1</f>
        <v/>
      </c>
      <c r="M33" s="327">
        <f>M32/I32-1</f>
        <v/>
      </c>
      <c r="N33" s="327">
        <f>N32/J32-1</f>
        <v/>
      </c>
      <c r="O33" s="327">
        <f>O32/K32-1</f>
        <v/>
      </c>
      <c r="P33" s="282" t="inlineStr">
        <is>
          <t>–</t>
        </is>
      </c>
      <c r="Q33" s="327">
        <f>Q32/P32-1</f>
        <v/>
      </c>
      <c r="R33" s="327">
        <f>R32/Q32-1</f>
        <v/>
      </c>
    </row>
    <row r="35">
      <c r="B35" s="271" t="inlineStr">
        <is>
          <t>C. Total-loss frequency by cell: CCC 2025 calibrated level (D Engine), held flat; the thesis-B shift is applied in Scenarios so it is never counted twice</t>
        </is>
      </c>
      <c r="C35" s="272" t="n"/>
      <c r="D35" s="272" t="n"/>
      <c r="E35" s="272" t="n"/>
      <c r="F35" s="272" t="n"/>
      <c r="G35" s="272" t="n"/>
      <c r="H35" s="272" t="n"/>
      <c r="I35" s="272" t="n"/>
      <c r="J35" s="272" t="n"/>
      <c r="K35" s="272" t="n"/>
      <c r="L35" s="272" t="n"/>
      <c r="M35" s="272" t="n"/>
      <c r="N35" s="272" t="n"/>
      <c r="O35" s="272" t="n"/>
      <c r="P35" s="272" t="n"/>
      <c r="Q35" s="272" t="n"/>
      <c r="R35" s="272" t="n"/>
      <c r="S35" s="272" t="n"/>
    </row>
    <row r="36">
      <c r="B36" s="254" t="inlineStr">
        <is>
          <t>Car — 0 (current or newer)</t>
        </is>
      </c>
      <c r="C36" s="279" t="inlineStr">
        <is>
          <t>%</t>
        </is>
      </c>
      <c r="D36" s="273">
        <f>SUMIFS('D Engine'!$F$129:$F$144,'D Engine'!$B$129:$B$144,"Car",'D Engine'!$C$129:$C$144,0)</f>
        <v/>
      </c>
      <c r="E36" s="273">
        <f>SUMIFS('D Engine'!$F$129:$F$144,'D Engine'!$B$129:$B$144,"Car",'D Engine'!$C$129:$C$144,0)</f>
        <v/>
      </c>
      <c r="F36" s="273">
        <f>SUMIFS('D Engine'!$F$129:$F$144,'D Engine'!$B$129:$B$144,"Car",'D Engine'!$C$129:$C$144,0)</f>
        <v/>
      </c>
      <c r="G36" s="273">
        <f>SUMIFS('D Engine'!$F$129:$F$144,'D Engine'!$B$129:$B$144,"Car",'D Engine'!$C$129:$C$144,0)</f>
        <v/>
      </c>
      <c r="H36" s="273">
        <f>SUMIFS('D Engine'!$F$129:$F$144,'D Engine'!$B$129:$B$144,"Car",'D Engine'!$C$129:$C$144,0)</f>
        <v/>
      </c>
      <c r="I36" s="273">
        <f>SUMIFS('D Engine'!$F$129:$F$144,'D Engine'!$B$129:$B$144,"Car",'D Engine'!$C$129:$C$144,0)</f>
        <v/>
      </c>
      <c r="J36" s="273">
        <f>SUMIFS('D Engine'!$F$129:$F$144,'D Engine'!$B$129:$B$144,"Car",'D Engine'!$C$129:$C$144,0)</f>
        <v/>
      </c>
      <c r="K36" s="273">
        <f>SUMIFS('D Engine'!$F$129:$F$144,'D Engine'!$B$129:$B$144,"Car",'D Engine'!$C$129:$C$144,0)</f>
        <v/>
      </c>
      <c r="L36" s="273">
        <f>SUMIFS('D Engine'!$F$129:$F$144,'D Engine'!$B$129:$B$144,"Car",'D Engine'!$C$129:$C$144,0)</f>
        <v/>
      </c>
      <c r="M36" s="273">
        <f>SUMIFS('D Engine'!$F$129:$F$144,'D Engine'!$B$129:$B$144,"Car",'D Engine'!$C$129:$C$144,0)</f>
        <v/>
      </c>
      <c r="N36" s="273">
        <f>SUMIFS('D Engine'!$F$129:$F$144,'D Engine'!$B$129:$B$144,"Car",'D Engine'!$C$129:$C$144,0)</f>
        <v/>
      </c>
      <c r="O36" s="273">
        <f>SUMIFS('D Engine'!$F$129:$F$144,'D Engine'!$B$129:$B$144,"Car",'D Engine'!$C$129:$C$144,0)</f>
        <v/>
      </c>
      <c r="P36" s="282" t="inlineStr">
        <is>
          <t>–</t>
        </is>
      </c>
      <c r="Q36" s="282" t="inlineStr">
        <is>
          <t>–</t>
        </is>
      </c>
      <c r="R36" s="282" t="inlineStr">
        <is>
          <t>–</t>
        </is>
      </c>
      <c r="S36" s="252" t="inlineStr">
        <is>
          <t>D Engine calibration cells: calibrated_tlf (CALIBRATED to the 2025 CCC cell, VERIFIED source)</t>
        </is>
      </c>
    </row>
    <row r="37">
      <c r="B37" s="328" t="inlineStr">
        <is>
          <t>Car — 1–3 years</t>
        </is>
      </c>
      <c r="C37" s="279" t="inlineStr">
        <is>
          <t>%</t>
        </is>
      </c>
      <c r="D37" s="273">
        <f>SUMIFS('D Engine'!$F$129:$F$144,'D Engine'!$B$129:$B$144,"Car",'D Engine'!$C$129:$C$144,1)</f>
        <v/>
      </c>
      <c r="E37" s="273">
        <f>SUMIFS('D Engine'!$F$129:$F$144,'D Engine'!$B$129:$B$144,"Car",'D Engine'!$C$129:$C$144,1)</f>
        <v/>
      </c>
      <c r="F37" s="273">
        <f>SUMIFS('D Engine'!$F$129:$F$144,'D Engine'!$B$129:$B$144,"Car",'D Engine'!$C$129:$C$144,1)</f>
        <v/>
      </c>
      <c r="G37" s="273">
        <f>SUMIFS('D Engine'!$F$129:$F$144,'D Engine'!$B$129:$B$144,"Car",'D Engine'!$C$129:$C$144,1)</f>
        <v/>
      </c>
      <c r="H37" s="273">
        <f>SUMIFS('D Engine'!$F$129:$F$144,'D Engine'!$B$129:$B$144,"Car",'D Engine'!$C$129:$C$144,1)</f>
        <v/>
      </c>
      <c r="I37" s="273">
        <f>SUMIFS('D Engine'!$F$129:$F$144,'D Engine'!$B$129:$B$144,"Car",'D Engine'!$C$129:$C$144,1)</f>
        <v/>
      </c>
      <c r="J37" s="273">
        <f>SUMIFS('D Engine'!$F$129:$F$144,'D Engine'!$B$129:$B$144,"Car",'D Engine'!$C$129:$C$144,1)</f>
        <v/>
      </c>
      <c r="K37" s="273">
        <f>SUMIFS('D Engine'!$F$129:$F$144,'D Engine'!$B$129:$B$144,"Car",'D Engine'!$C$129:$C$144,1)</f>
        <v/>
      </c>
      <c r="L37" s="273">
        <f>SUMIFS('D Engine'!$F$129:$F$144,'D Engine'!$B$129:$B$144,"Car",'D Engine'!$C$129:$C$144,1)</f>
        <v/>
      </c>
      <c r="M37" s="273">
        <f>SUMIFS('D Engine'!$F$129:$F$144,'D Engine'!$B$129:$B$144,"Car",'D Engine'!$C$129:$C$144,1)</f>
        <v/>
      </c>
      <c r="N37" s="273">
        <f>SUMIFS('D Engine'!$F$129:$F$144,'D Engine'!$B$129:$B$144,"Car",'D Engine'!$C$129:$C$144,1)</f>
        <v/>
      </c>
      <c r="O37" s="273">
        <f>SUMIFS('D Engine'!$F$129:$F$144,'D Engine'!$B$129:$B$144,"Car",'D Engine'!$C$129:$C$144,1)</f>
        <v/>
      </c>
      <c r="P37" s="282" t="inlineStr">
        <is>
          <t>–</t>
        </is>
      </c>
      <c r="Q37" s="282" t="inlineStr">
        <is>
          <t>–</t>
        </is>
      </c>
      <c r="R37" s="282" t="inlineStr">
        <is>
          <t>–</t>
        </is>
      </c>
    </row>
    <row r="38">
      <c r="B38" s="328" t="inlineStr">
        <is>
          <t>Car — 4–6 years</t>
        </is>
      </c>
      <c r="C38" s="279" t="inlineStr">
        <is>
          <t>%</t>
        </is>
      </c>
      <c r="D38" s="273">
        <f>SUMIFS('D Engine'!$F$129:$F$144,'D Engine'!$B$129:$B$144,"Car",'D Engine'!$C$129:$C$144,2)</f>
        <v/>
      </c>
      <c r="E38" s="273">
        <f>SUMIFS('D Engine'!$F$129:$F$144,'D Engine'!$B$129:$B$144,"Car",'D Engine'!$C$129:$C$144,2)</f>
        <v/>
      </c>
      <c r="F38" s="273">
        <f>SUMIFS('D Engine'!$F$129:$F$144,'D Engine'!$B$129:$B$144,"Car",'D Engine'!$C$129:$C$144,2)</f>
        <v/>
      </c>
      <c r="G38" s="273">
        <f>SUMIFS('D Engine'!$F$129:$F$144,'D Engine'!$B$129:$B$144,"Car",'D Engine'!$C$129:$C$144,2)</f>
        <v/>
      </c>
      <c r="H38" s="273">
        <f>SUMIFS('D Engine'!$F$129:$F$144,'D Engine'!$B$129:$B$144,"Car",'D Engine'!$C$129:$C$144,2)</f>
        <v/>
      </c>
      <c r="I38" s="273">
        <f>SUMIFS('D Engine'!$F$129:$F$144,'D Engine'!$B$129:$B$144,"Car",'D Engine'!$C$129:$C$144,2)</f>
        <v/>
      </c>
      <c r="J38" s="273">
        <f>SUMIFS('D Engine'!$F$129:$F$144,'D Engine'!$B$129:$B$144,"Car",'D Engine'!$C$129:$C$144,2)</f>
        <v/>
      </c>
      <c r="K38" s="273">
        <f>SUMIFS('D Engine'!$F$129:$F$144,'D Engine'!$B$129:$B$144,"Car",'D Engine'!$C$129:$C$144,2)</f>
        <v/>
      </c>
      <c r="L38" s="273">
        <f>SUMIFS('D Engine'!$F$129:$F$144,'D Engine'!$B$129:$B$144,"Car",'D Engine'!$C$129:$C$144,2)</f>
        <v/>
      </c>
      <c r="M38" s="273">
        <f>SUMIFS('D Engine'!$F$129:$F$144,'D Engine'!$B$129:$B$144,"Car",'D Engine'!$C$129:$C$144,2)</f>
        <v/>
      </c>
      <c r="N38" s="273">
        <f>SUMIFS('D Engine'!$F$129:$F$144,'D Engine'!$B$129:$B$144,"Car",'D Engine'!$C$129:$C$144,2)</f>
        <v/>
      </c>
      <c r="O38" s="273">
        <f>SUMIFS('D Engine'!$F$129:$F$144,'D Engine'!$B$129:$B$144,"Car",'D Engine'!$C$129:$C$144,2)</f>
        <v/>
      </c>
      <c r="P38" s="282" t="inlineStr">
        <is>
          <t>–</t>
        </is>
      </c>
      <c r="Q38" s="282" t="inlineStr">
        <is>
          <t>–</t>
        </is>
      </c>
      <c r="R38" s="282" t="inlineStr">
        <is>
          <t>–</t>
        </is>
      </c>
    </row>
    <row r="39">
      <c r="B39" s="328" t="inlineStr">
        <is>
          <t>Car — 7+ years</t>
        </is>
      </c>
      <c r="C39" s="279" t="inlineStr">
        <is>
          <t>%</t>
        </is>
      </c>
      <c r="D39" s="273">
        <f>SUMIFS('D Engine'!$F$129:$F$144,'D Engine'!$B$129:$B$144,"Car",'D Engine'!$C$129:$C$144,3)</f>
        <v/>
      </c>
      <c r="E39" s="273">
        <f>SUMIFS('D Engine'!$F$129:$F$144,'D Engine'!$B$129:$B$144,"Car",'D Engine'!$C$129:$C$144,3)</f>
        <v/>
      </c>
      <c r="F39" s="273">
        <f>SUMIFS('D Engine'!$F$129:$F$144,'D Engine'!$B$129:$B$144,"Car",'D Engine'!$C$129:$C$144,3)</f>
        <v/>
      </c>
      <c r="G39" s="273">
        <f>SUMIFS('D Engine'!$F$129:$F$144,'D Engine'!$B$129:$B$144,"Car",'D Engine'!$C$129:$C$144,3)</f>
        <v/>
      </c>
      <c r="H39" s="273">
        <f>SUMIFS('D Engine'!$F$129:$F$144,'D Engine'!$B$129:$B$144,"Car",'D Engine'!$C$129:$C$144,3)</f>
        <v/>
      </c>
      <c r="I39" s="273">
        <f>SUMIFS('D Engine'!$F$129:$F$144,'D Engine'!$B$129:$B$144,"Car",'D Engine'!$C$129:$C$144,3)</f>
        <v/>
      </c>
      <c r="J39" s="273">
        <f>SUMIFS('D Engine'!$F$129:$F$144,'D Engine'!$B$129:$B$144,"Car",'D Engine'!$C$129:$C$144,3)</f>
        <v/>
      </c>
      <c r="K39" s="273">
        <f>SUMIFS('D Engine'!$F$129:$F$144,'D Engine'!$B$129:$B$144,"Car",'D Engine'!$C$129:$C$144,3)</f>
        <v/>
      </c>
      <c r="L39" s="273">
        <f>SUMIFS('D Engine'!$F$129:$F$144,'D Engine'!$B$129:$B$144,"Car",'D Engine'!$C$129:$C$144,3)</f>
        <v/>
      </c>
      <c r="M39" s="273">
        <f>SUMIFS('D Engine'!$F$129:$F$144,'D Engine'!$B$129:$B$144,"Car",'D Engine'!$C$129:$C$144,3)</f>
        <v/>
      </c>
      <c r="N39" s="273">
        <f>SUMIFS('D Engine'!$F$129:$F$144,'D Engine'!$B$129:$B$144,"Car",'D Engine'!$C$129:$C$144,3)</f>
        <v/>
      </c>
      <c r="O39" s="273">
        <f>SUMIFS('D Engine'!$F$129:$F$144,'D Engine'!$B$129:$B$144,"Car",'D Engine'!$C$129:$C$144,3)</f>
        <v/>
      </c>
      <c r="P39" s="282" t="inlineStr">
        <is>
          <t>–</t>
        </is>
      </c>
      <c r="Q39" s="282" t="inlineStr">
        <is>
          <t>–</t>
        </is>
      </c>
      <c r="R39" s="282" t="inlineStr">
        <is>
          <t>–</t>
        </is>
      </c>
    </row>
    <row r="40">
      <c r="B40" s="254" t="inlineStr">
        <is>
          <t>Utility vehicle (SUV) — 0 (current or newer)</t>
        </is>
      </c>
      <c r="C40" s="279" t="inlineStr">
        <is>
          <t>%</t>
        </is>
      </c>
      <c r="D40" s="273">
        <f>SUMIFS('D Engine'!$F$129:$F$144,'D Engine'!$B$129:$B$144,"Utility Vehicle",'D Engine'!$C$129:$C$144,0)</f>
        <v/>
      </c>
      <c r="E40" s="273">
        <f>SUMIFS('D Engine'!$F$129:$F$144,'D Engine'!$B$129:$B$144,"Utility Vehicle",'D Engine'!$C$129:$C$144,0)</f>
        <v/>
      </c>
      <c r="F40" s="273">
        <f>SUMIFS('D Engine'!$F$129:$F$144,'D Engine'!$B$129:$B$144,"Utility Vehicle",'D Engine'!$C$129:$C$144,0)</f>
        <v/>
      </c>
      <c r="G40" s="273">
        <f>SUMIFS('D Engine'!$F$129:$F$144,'D Engine'!$B$129:$B$144,"Utility Vehicle",'D Engine'!$C$129:$C$144,0)</f>
        <v/>
      </c>
      <c r="H40" s="273">
        <f>SUMIFS('D Engine'!$F$129:$F$144,'D Engine'!$B$129:$B$144,"Utility Vehicle",'D Engine'!$C$129:$C$144,0)</f>
        <v/>
      </c>
      <c r="I40" s="273">
        <f>SUMIFS('D Engine'!$F$129:$F$144,'D Engine'!$B$129:$B$144,"Utility Vehicle",'D Engine'!$C$129:$C$144,0)</f>
        <v/>
      </c>
      <c r="J40" s="273">
        <f>SUMIFS('D Engine'!$F$129:$F$144,'D Engine'!$B$129:$B$144,"Utility Vehicle",'D Engine'!$C$129:$C$144,0)</f>
        <v/>
      </c>
      <c r="K40" s="273">
        <f>SUMIFS('D Engine'!$F$129:$F$144,'D Engine'!$B$129:$B$144,"Utility Vehicle",'D Engine'!$C$129:$C$144,0)</f>
        <v/>
      </c>
      <c r="L40" s="273">
        <f>SUMIFS('D Engine'!$F$129:$F$144,'D Engine'!$B$129:$B$144,"Utility Vehicle",'D Engine'!$C$129:$C$144,0)</f>
        <v/>
      </c>
      <c r="M40" s="273">
        <f>SUMIFS('D Engine'!$F$129:$F$144,'D Engine'!$B$129:$B$144,"Utility Vehicle",'D Engine'!$C$129:$C$144,0)</f>
        <v/>
      </c>
      <c r="N40" s="273">
        <f>SUMIFS('D Engine'!$F$129:$F$144,'D Engine'!$B$129:$B$144,"Utility Vehicle",'D Engine'!$C$129:$C$144,0)</f>
        <v/>
      </c>
      <c r="O40" s="273">
        <f>SUMIFS('D Engine'!$F$129:$F$144,'D Engine'!$B$129:$B$144,"Utility Vehicle",'D Engine'!$C$129:$C$144,0)</f>
        <v/>
      </c>
      <c r="P40" s="282" t="inlineStr">
        <is>
          <t>–</t>
        </is>
      </c>
      <c r="Q40" s="282" t="inlineStr">
        <is>
          <t>–</t>
        </is>
      </c>
      <c r="R40" s="282" t="inlineStr">
        <is>
          <t>–</t>
        </is>
      </c>
    </row>
    <row r="41">
      <c r="B41" s="328" t="inlineStr">
        <is>
          <t>Utility vehicle (SUV) — 1–3 years</t>
        </is>
      </c>
      <c r="C41" s="279" t="inlineStr">
        <is>
          <t>%</t>
        </is>
      </c>
      <c r="D41" s="273">
        <f>SUMIFS('D Engine'!$F$129:$F$144,'D Engine'!$B$129:$B$144,"Utility Vehicle",'D Engine'!$C$129:$C$144,1)</f>
        <v/>
      </c>
      <c r="E41" s="273">
        <f>SUMIFS('D Engine'!$F$129:$F$144,'D Engine'!$B$129:$B$144,"Utility Vehicle",'D Engine'!$C$129:$C$144,1)</f>
        <v/>
      </c>
      <c r="F41" s="273">
        <f>SUMIFS('D Engine'!$F$129:$F$144,'D Engine'!$B$129:$B$144,"Utility Vehicle",'D Engine'!$C$129:$C$144,1)</f>
        <v/>
      </c>
      <c r="G41" s="273">
        <f>SUMIFS('D Engine'!$F$129:$F$144,'D Engine'!$B$129:$B$144,"Utility Vehicle",'D Engine'!$C$129:$C$144,1)</f>
        <v/>
      </c>
      <c r="H41" s="273">
        <f>SUMIFS('D Engine'!$F$129:$F$144,'D Engine'!$B$129:$B$144,"Utility Vehicle",'D Engine'!$C$129:$C$144,1)</f>
        <v/>
      </c>
      <c r="I41" s="273">
        <f>SUMIFS('D Engine'!$F$129:$F$144,'D Engine'!$B$129:$B$144,"Utility Vehicle",'D Engine'!$C$129:$C$144,1)</f>
        <v/>
      </c>
      <c r="J41" s="273">
        <f>SUMIFS('D Engine'!$F$129:$F$144,'D Engine'!$B$129:$B$144,"Utility Vehicle",'D Engine'!$C$129:$C$144,1)</f>
        <v/>
      </c>
      <c r="K41" s="273">
        <f>SUMIFS('D Engine'!$F$129:$F$144,'D Engine'!$B$129:$B$144,"Utility Vehicle",'D Engine'!$C$129:$C$144,1)</f>
        <v/>
      </c>
      <c r="L41" s="273">
        <f>SUMIFS('D Engine'!$F$129:$F$144,'D Engine'!$B$129:$B$144,"Utility Vehicle",'D Engine'!$C$129:$C$144,1)</f>
        <v/>
      </c>
      <c r="M41" s="273">
        <f>SUMIFS('D Engine'!$F$129:$F$144,'D Engine'!$B$129:$B$144,"Utility Vehicle",'D Engine'!$C$129:$C$144,1)</f>
        <v/>
      </c>
      <c r="N41" s="273">
        <f>SUMIFS('D Engine'!$F$129:$F$144,'D Engine'!$B$129:$B$144,"Utility Vehicle",'D Engine'!$C$129:$C$144,1)</f>
        <v/>
      </c>
      <c r="O41" s="273">
        <f>SUMIFS('D Engine'!$F$129:$F$144,'D Engine'!$B$129:$B$144,"Utility Vehicle",'D Engine'!$C$129:$C$144,1)</f>
        <v/>
      </c>
      <c r="P41" s="282" t="inlineStr">
        <is>
          <t>–</t>
        </is>
      </c>
      <c r="Q41" s="282" t="inlineStr">
        <is>
          <t>–</t>
        </is>
      </c>
      <c r="R41" s="282" t="inlineStr">
        <is>
          <t>–</t>
        </is>
      </c>
    </row>
    <row r="42">
      <c r="B42" s="328" t="inlineStr">
        <is>
          <t>Utility vehicle (SUV) — 4–6 years</t>
        </is>
      </c>
      <c r="C42" s="279" t="inlineStr">
        <is>
          <t>%</t>
        </is>
      </c>
      <c r="D42" s="273">
        <f>SUMIFS('D Engine'!$F$129:$F$144,'D Engine'!$B$129:$B$144,"Utility Vehicle",'D Engine'!$C$129:$C$144,2)</f>
        <v/>
      </c>
      <c r="E42" s="273">
        <f>SUMIFS('D Engine'!$F$129:$F$144,'D Engine'!$B$129:$B$144,"Utility Vehicle",'D Engine'!$C$129:$C$144,2)</f>
        <v/>
      </c>
      <c r="F42" s="273">
        <f>SUMIFS('D Engine'!$F$129:$F$144,'D Engine'!$B$129:$B$144,"Utility Vehicle",'D Engine'!$C$129:$C$144,2)</f>
        <v/>
      </c>
      <c r="G42" s="273">
        <f>SUMIFS('D Engine'!$F$129:$F$144,'D Engine'!$B$129:$B$144,"Utility Vehicle",'D Engine'!$C$129:$C$144,2)</f>
        <v/>
      </c>
      <c r="H42" s="273">
        <f>SUMIFS('D Engine'!$F$129:$F$144,'D Engine'!$B$129:$B$144,"Utility Vehicle",'D Engine'!$C$129:$C$144,2)</f>
        <v/>
      </c>
      <c r="I42" s="273">
        <f>SUMIFS('D Engine'!$F$129:$F$144,'D Engine'!$B$129:$B$144,"Utility Vehicle",'D Engine'!$C$129:$C$144,2)</f>
        <v/>
      </c>
      <c r="J42" s="273">
        <f>SUMIFS('D Engine'!$F$129:$F$144,'D Engine'!$B$129:$B$144,"Utility Vehicle",'D Engine'!$C$129:$C$144,2)</f>
        <v/>
      </c>
      <c r="K42" s="273">
        <f>SUMIFS('D Engine'!$F$129:$F$144,'D Engine'!$B$129:$B$144,"Utility Vehicle",'D Engine'!$C$129:$C$144,2)</f>
        <v/>
      </c>
      <c r="L42" s="273">
        <f>SUMIFS('D Engine'!$F$129:$F$144,'D Engine'!$B$129:$B$144,"Utility Vehicle",'D Engine'!$C$129:$C$144,2)</f>
        <v/>
      </c>
      <c r="M42" s="273">
        <f>SUMIFS('D Engine'!$F$129:$F$144,'D Engine'!$B$129:$B$144,"Utility Vehicle",'D Engine'!$C$129:$C$144,2)</f>
        <v/>
      </c>
      <c r="N42" s="273">
        <f>SUMIFS('D Engine'!$F$129:$F$144,'D Engine'!$B$129:$B$144,"Utility Vehicle",'D Engine'!$C$129:$C$144,2)</f>
        <v/>
      </c>
      <c r="O42" s="273">
        <f>SUMIFS('D Engine'!$F$129:$F$144,'D Engine'!$B$129:$B$144,"Utility Vehicle",'D Engine'!$C$129:$C$144,2)</f>
        <v/>
      </c>
      <c r="P42" s="282" t="inlineStr">
        <is>
          <t>–</t>
        </is>
      </c>
      <c r="Q42" s="282" t="inlineStr">
        <is>
          <t>–</t>
        </is>
      </c>
      <c r="R42" s="282" t="inlineStr">
        <is>
          <t>–</t>
        </is>
      </c>
    </row>
    <row r="43">
      <c r="B43" s="328" t="inlineStr">
        <is>
          <t>Utility vehicle (SUV) — 7+ years</t>
        </is>
      </c>
      <c r="C43" s="279" t="inlineStr">
        <is>
          <t>%</t>
        </is>
      </c>
      <c r="D43" s="273">
        <f>SUMIFS('D Engine'!$F$129:$F$144,'D Engine'!$B$129:$B$144,"Utility Vehicle",'D Engine'!$C$129:$C$144,3)</f>
        <v/>
      </c>
      <c r="E43" s="273">
        <f>SUMIFS('D Engine'!$F$129:$F$144,'D Engine'!$B$129:$B$144,"Utility Vehicle",'D Engine'!$C$129:$C$144,3)</f>
        <v/>
      </c>
      <c r="F43" s="273">
        <f>SUMIFS('D Engine'!$F$129:$F$144,'D Engine'!$B$129:$B$144,"Utility Vehicle",'D Engine'!$C$129:$C$144,3)</f>
        <v/>
      </c>
      <c r="G43" s="273">
        <f>SUMIFS('D Engine'!$F$129:$F$144,'D Engine'!$B$129:$B$144,"Utility Vehicle",'D Engine'!$C$129:$C$144,3)</f>
        <v/>
      </c>
      <c r="H43" s="273">
        <f>SUMIFS('D Engine'!$F$129:$F$144,'D Engine'!$B$129:$B$144,"Utility Vehicle",'D Engine'!$C$129:$C$144,3)</f>
        <v/>
      </c>
      <c r="I43" s="273">
        <f>SUMIFS('D Engine'!$F$129:$F$144,'D Engine'!$B$129:$B$144,"Utility Vehicle",'D Engine'!$C$129:$C$144,3)</f>
        <v/>
      </c>
      <c r="J43" s="273">
        <f>SUMIFS('D Engine'!$F$129:$F$144,'D Engine'!$B$129:$B$144,"Utility Vehicle",'D Engine'!$C$129:$C$144,3)</f>
        <v/>
      </c>
      <c r="K43" s="273">
        <f>SUMIFS('D Engine'!$F$129:$F$144,'D Engine'!$B$129:$B$144,"Utility Vehicle",'D Engine'!$C$129:$C$144,3)</f>
        <v/>
      </c>
      <c r="L43" s="273">
        <f>SUMIFS('D Engine'!$F$129:$F$144,'D Engine'!$B$129:$B$144,"Utility Vehicle",'D Engine'!$C$129:$C$144,3)</f>
        <v/>
      </c>
      <c r="M43" s="273">
        <f>SUMIFS('D Engine'!$F$129:$F$144,'D Engine'!$B$129:$B$144,"Utility Vehicle",'D Engine'!$C$129:$C$144,3)</f>
        <v/>
      </c>
      <c r="N43" s="273">
        <f>SUMIFS('D Engine'!$F$129:$F$144,'D Engine'!$B$129:$B$144,"Utility Vehicle",'D Engine'!$C$129:$C$144,3)</f>
        <v/>
      </c>
      <c r="O43" s="273">
        <f>SUMIFS('D Engine'!$F$129:$F$144,'D Engine'!$B$129:$B$144,"Utility Vehicle",'D Engine'!$C$129:$C$144,3)</f>
        <v/>
      </c>
      <c r="P43" s="282" t="inlineStr">
        <is>
          <t>–</t>
        </is>
      </c>
      <c r="Q43" s="282" t="inlineStr">
        <is>
          <t>–</t>
        </is>
      </c>
      <c r="R43" s="282" t="inlineStr">
        <is>
          <t>–</t>
        </is>
      </c>
    </row>
    <row r="44">
      <c r="B44" s="254" t="inlineStr">
        <is>
          <t>Pickup — 0 (current or newer)</t>
        </is>
      </c>
      <c r="C44" s="279" t="inlineStr">
        <is>
          <t>%</t>
        </is>
      </c>
      <c r="D44" s="273">
        <f>SUMIFS('D Engine'!$F$129:$F$144,'D Engine'!$B$129:$B$144,"Pickup",'D Engine'!$C$129:$C$144,0)</f>
        <v/>
      </c>
      <c r="E44" s="273">
        <f>SUMIFS('D Engine'!$F$129:$F$144,'D Engine'!$B$129:$B$144,"Pickup",'D Engine'!$C$129:$C$144,0)</f>
        <v/>
      </c>
      <c r="F44" s="273">
        <f>SUMIFS('D Engine'!$F$129:$F$144,'D Engine'!$B$129:$B$144,"Pickup",'D Engine'!$C$129:$C$144,0)</f>
        <v/>
      </c>
      <c r="G44" s="273">
        <f>SUMIFS('D Engine'!$F$129:$F$144,'D Engine'!$B$129:$B$144,"Pickup",'D Engine'!$C$129:$C$144,0)</f>
        <v/>
      </c>
      <c r="H44" s="273">
        <f>SUMIFS('D Engine'!$F$129:$F$144,'D Engine'!$B$129:$B$144,"Pickup",'D Engine'!$C$129:$C$144,0)</f>
        <v/>
      </c>
      <c r="I44" s="273">
        <f>SUMIFS('D Engine'!$F$129:$F$144,'D Engine'!$B$129:$B$144,"Pickup",'D Engine'!$C$129:$C$144,0)</f>
        <v/>
      </c>
      <c r="J44" s="273">
        <f>SUMIFS('D Engine'!$F$129:$F$144,'D Engine'!$B$129:$B$144,"Pickup",'D Engine'!$C$129:$C$144,0)</f>
        <v/>
      </c>
      <c r="K44" s="273">
        <f>SUMIFS('D Engine'!$F$129:$F$144,'D Engine'!$B$129:$B$144,"Pickup",'D Engine'!$C$129:$C$144,0)</f>
        <v/>
      </c>
      <c r="L44" s="273">
        <f>SUMIFS('D Engine'!$F$129:$F$144,'D Engine'!$B$129:$B$144,"Pickup",'D Engine'!$C$129:$C$144,0)</f>
        <v/>
      </c>
      <c r="M44" s="273">
        <f>SUMIFS('D Engine'!$F$129:$F$144,'D Engine'!$B$129:$B$144,"Pickup",'D Engine'!$C$129:$C$144,0)</f>
        <v/>
      </c>
      <c r="N44" s="273">
        <f>SUMIFS('D Engine'!$F$129:$F$144,'D Engine'!$B$129:$B$144,"Pickup",'D Engine'!$C$129:$C$144,0)</f>
        <v/>
      </c>
      <c r="O44" s="273">
        <f>SUMIFS('D Engine'!$F$129:$F$144,'D Engine'!$B$129:$B$144,"Pickup",'D Engine'!$C$129:$C$144,0)</f>
        <v/>
      </c>
      <c r="P44" s="282" t="inlineStr">
        <is>
          <t>–</t>
        </is>
      </c>
      <c r="Q44" s="282" t="inlineStr">
        <is>
          <t>–</t>
        </is>
      </c>
      <c r="R44" s="282" t="inlineStr">
        <is>
          <t>–</t>
        </is>
      </c>
    </row>
    <row r="45">
      <c r="B45" s="328" t="inlineStr">
        <is>
          <t>Pickup — 1–3 years</t>
        </is>
      </c>
      <c r="C45" s="279" t="inlineStr">
        <is>
          <t>%</t>
        </is>
      </c>
      <c r="D45" s="273">
        <f>SUMIFS('D Engine'!$F$129:$F$144,'D Engine'!$B$129:$B$144,"Pickup",'D Engine'!$C$129:$C$144,1)</f>
        <v/>
      </c>
      <c r="E45" s="273">
        <f>SUMIFS('D Engine'!$F$129:$F$144,'D Engine'!$B$129:$B$144,"Pickup",'D Engine'!$C$129:$C$144,1)</f>
        <v/>
      </c>
      <c r="F45" s="273">
        <f>SUMIFS('D Engine'!$F$129:$F$144,'D Engine'!$B$129:$B$144,"Pickup",'D Engine'!$C$129:$C$144,1)</f>
        <v/>
      </c>
      <c r="G45" s="273">
        <f>SUMIFS('D Engine'!$F$129:$F$144,'D Engine'!$B$129:$B$144,"Pickup",'D Engine'!$C$129:$C$144,1)</f>
        <v/>
      </c>
      <c r="H45" s="273">
        <f>SUMIFS('D Engine'!$F$129:$F$144,'D Engine'!$B$129:$B$144,"Pickup",'D Engine'!$C$129:$C$144,1)</f>
        <v/>
      </c>
      <c r="I45" s="273">
        <f>SUMIFS('D Engine'!$F$129:$F$144,'D Engine'!$B$129:$B$144,"Pickup",'D Engine'!$C$129:$C$144,1)</f>
        <v/>
      </c>
      <c r="J45" s="273">
        <f>SUMIFS('D Engine'!$F$129:$F$144,'D Engine'!$B$129:$B$144,"Pickup",'D Engine'!$C$129:$C$144,1)</f>
        <v/>
      </c>
      <c r="K45" s="273">
        <f>SUMIFS('D Engine'!$F$129:$F$144,'D Engine'!$B$129:$B$144,"Pickup",'D Engine'!$C$129:$C$144,1)</f>
        <v/>
      </c>
      <c r="L45" s="273">
        <f>SUMIFS('D Engine'!$F$129:$F$144,'D Engine'!$B$129:$B$144,"Pickup",'D Engine'!$C$129:$C$144,1)</f>
        <v/>
      </c>
      <c r="M45" s="273">
        <f>SUMIFS('D Engine'!$F$129:$F$144,'D Engine'!$B$129:$B$144,"Pickup",'D Engine'!$C$129:$C$144,1)</f>
        <v/>
      </c>
      <c r="N45" s="273">
        <f>SUMIFS('D Engine'!$F$129:$F$144,'D Engine'!$B$129:$B$144,"Pickup",'D Engine'!$C$129:$C$144,1)</f>
        <v/>
      </c>
      <c r="O45" s="273">
        <f>SUMIFS('D Engine'!$F$129:$F$144,'D Engine'!$B$129:$B$144,"Pickup",'D Engine'!$C$129:$C$144,1)</f>
        <v/>
      </c>
      <c r="P45" s="282" t="inlineStr">
        <is>
          <t>–</t>
        </is>
      </c>
      <c r="Q45" s="282" t="inlineStr">
        <is>
          <t>–</t>
        </is>
      </c>
      <c r="R45" s="282" t="inlineStr">
        <is>
          <t>–</t>
        </is>
      </c>
    </row>
    <row r="46">
      <c r="B46" s="328" t="inlineStr">
        <is>
          <t>Pickup — 4–6 years</t>
        </is>
      </c>
      <c r="C46" s="279" t="inlineStr">
        <is>
          <t>%</t>
        </is>
      </c>
      <c r="D46" s="273">
        <f>SUMIFS('D Engine'!$F$129:$F$144,'D Engine'!$B$129:$B$144,"Pickup",'D Engine'!$C$129:$C$144,2)</f>
        <v/>
      </c>
      <c r="E46" s="273">
        <f>SUMIFS('D Engine'!$F$129:$F$144,'D Engine'!$B$129:$B$144,"Pickup",'D Engine'!$C$129:$C$144,2)</f>
        <v/>
      </c>
      <c r="F46" s="273">
        <f>SUMIFS('D Engine'!$F$129:$F$144,'D Engine'!$B$129:$B$144,"Pickup",'D Engine'!$C$129:$C$144,2)</f>
        <v/>
      </c>
      <c r="G46" s="273">
        <f>SUMIFS('D Engine'!$F$129:$F$144,'D Engine'!$B$129:$B$144,"Pickup",'D Engine'!$C$129:$C$144,2)</f>
        <v/>
      </c>
      <c r="H46" s="273">
        <f>SUMIFS('D Engine'!$F$129:$F$144,'D Engine'!$B$129:$B$144,"Pickup",'D Engine'!$C$129:$C$144,2)</f>
        <v/>
      </c>
      <c r="I46" s="273">
        <f>SUMIFS('D Engine'!$F$129:$F$144,'D Engine'!$B$129:$B$144,"Pickup",'D Engine'!$C$129:$C$144,2)</f>
        <v/>
      </c>
      <c r="J46" s="273">
        <f>SUMIFS('D Engine'!$F$129:$F$144,'D Engine'!$B$129:$B$144,"Pickup",'D Engine'!$C$129:$C$144,2)</f>
        <v/>
      </c>
      <c r="K46" s="273">
        <f>SUMIFS('D Engine'!$F$129:$F$144,'D Engine'!$B$129:$B$144,"Pickup",'D Engine'!$C$129:$C$144,2)</f>
        <v/>
      </c>
      <c r="L46" s="273">
        <f>SUMIFS('D Engine'!$F$129:$F$144,'D Engine'!$B$129:$B$144,"Pickup",'D Engine'!$C$129:$C$144,2)</f>
        <v/>
      </c>
      <c r="M46" s="273">
        <f>SUMIFS('D Engine'!$F$129:$F$144,'D Engine'!$B$129:$B$144,"Pickup",'D Engine'!$C$129:$C$144,2)</f>
        <v/>
      </c>
      <c r="N46" s="273">
        <f>SUMIFS('D Engine'!$F$129:$F$144,'D Engine'!$B$129:$B$144,"Pickup",'D Engine'!$C$129:$C$144,2)</f>
        <v/>
      </c>
      <c r="O46" s="273">
        <f>SUMIFS('D Engine'!$F$129:$F$144,'D Engine'!$B$129:$B$144,"Pickup",'D Engine'!$C$129:$C$144,2)</f>
        <v/>
      </c>
      <c r="P46" s="282" t="inlineStr">
        <is>
          <t>–</t>
        </is>
      </c>
      <c r="Q46" s="282" t="inlineStr">
        <is>
          <t>–</t>
        </is>
      </c>
      <c r="R46" s="282" t="inlineStr">
        <is>
          <t>–</t>
        </is>
      </c>
    </row>
    <row r="47">
      <c r="B47" s="328" t="inlineStr">
        <is>
          <t>Pickup — 7+ years</t>
        </is>
      </c>
      <c r="C47" s="279" t="inlineStr">
        <is>
          <t>%</t>
        </is>
      </c>
      <c r="D47" s="273">
        <f>SUMIFS('D Engine'!$F$129:$F$144,'D Engine'!$B$129:$B$144,"Pickup",'D Engine'!$C$129:$C$144,3)</f>
        <v/>
      </c>
      <c r="E47" s="273">
        <f>SUMIFS('D Engine'!$F$129:$F$144,'D Engine'!$B$129:$B$144,"Pickup",'D Engine'!$C$129:$C$144,3)</f>
        <v/>
      </c>
      <c r="F47" s="273">
        <f>SUMIFS('D Engine'!$F$129:$F$144,'D Engine'!$B$129:$B$144,"Pickup",'D Engine'!$C$129:$C$144,3)</f>
        <v/>
      </c>
      <c r="G47" s="273">
        <f>SUMIFS('D Engine'!$F$129:$F$144,'D Engine'!$B$129:$B$144,"Pickup",'D Engine'!$C$129:$C$144,3)</f>
        <v/>
      </c>
      <c r="H47" s="273">
        <f>SUMIFS('D Engine'!$F$129:$F$144,'D Engine'!$B$129:$B$144,"Pickup",'D Engine'!$C$129:$C$144,3)</f>
        <v/>
      </c>
      <c r="I47" s="273">
        <f>SUMIFS('D Engine'!$F$129:$F$144,'D Engine'!$B$129:$B$144,"Pickup",'D Engine'!$C$129:$C$144,3)</f>
        <v/>
      </c>
      <c r="J47" s="273">
        <f>SUMIFS('D Engine'!$F$129:$F$144,'D Engine'!$B$129:$B$144,"Pickup",'D Engine'!$C$129:$C$144,3)</f>
        <v/>
      </c>
      <c r="K47" s="273">
        <f>SUMIFS('D Engine'!$F$129:$F$144,'D Engine'!$B$129:$B$144,"Pickup",'D Engine'!$C$129:$C$144,3)</f>
        <v/>
      </c>
      <c r="L47" s="273">
        <f>SUMIFS('D Engine'!$F$129:$F$144,'D Engine'!$B$129:$B$144,"Pickup",'D Engine'!$C$129:$C$144,3)</f>
        <v/>
      </c>
      <c r="M47" s="273">
        <f>SUMIFS('D Engine'!$F$129:$F$144,'D Engine'!$B$129:$B$144,"Pickup",'D Engine'!$C$129:$C$144,3)</f>
        <v/>
      </c>
      <c r="N47" s="273">
        <f>SUMIFS('D Engine'!$F$129:$F$144,'D Engine'!$B$129:$B$144,"Pickup",'D Engine'!$C$129:$C$144,3)</f>
        <v/>
      </c>
      <c r="O47" s="273">
        <f>SUMIFS('D Engine'!$F$129:$F$144,'D Engine'!$B$129:$B$144,"Pickup",'D Engine'!$C$129:$C$144,3)</f>
        <v/>
      </c>
      <c r="P47" s="282" t="inlineStr">
        <is>
          <t>–</t>
        </is>
      </c>
      <c r="Q47" s="282" t="inlineStr">
        <is>
          <t>–</t>
        </is>
      </c>
      <c r="R47" s="282" t="inlineStr">
        <is>
          <t>–</t>
        </is>
      </c>
    </row>
    <row r="48">
      <c r="B48" s="254" t="inlineStr">
        <is>
          <t>Van / minivan — 0 (current or newer)</t>
        </is>
      </c>
      <c r="C48" s="279" t="inlineStr">
        <is>
          <t>%</t>
        </is>
      </c>
      <c r="D48" s="273">
        <f>SUMIFS('D Engine'!$F$129:$F$144,'D Engine'!$B$129:$B$144,"Van",'D Engine'!$C$129:$C$144,0)</f>
        <v/>
      </c>
      <c r="E48" s="273">
        <f>SUMIFS('D Engine'!$F$129:$F$144,'D Engine'!$B$129:$B$144,"Van",'D Engine'!$C$129:$C$144,0)</f>
        <v/>
      </c>
      <c r="F48" s="273">
        <f>SUMIFS('D Engine'!$F$129:$F$144,'D Engine'!$B$129:$B$144,"Van",'D Engine'!$C$129:$C$144,0)</f>
        <v/>
      </c>
      <c r="G48" s="273">
        <f>SUMIFS('D Engine'!$F$129:$F$144,'D Engine'!$B$129:$B$144,"Van",'D Engine'!$C$129:$C$144,0)</f>
        <v/>
      </c>
      <c r="H48" s="273">
        <f>SUMIFS('D Engine'!$F$129:$F$144,'D Engine'!$B$129:$B$144,"Van",'D Engine'!$C$129:$C$144,0)</f>
        <v/>
      </c>
      <c r="I48" s="273">
        <f>SUMIFS('D Engine'!$F$129:$F$144,'D Engine'!$B$129:$B$144,"Van",'D Engine'!$C$129:$C$144,0)</f>
        <v/>
      </c>
      <c r="J48" s="273">
        <f>SUMIFS('D Engine'!$F$129:$F$144,'D Engine'!$B$129:$B$144,"Van",'D Engine'!$C$129:$C$144,0)</f>
        <v/>
      </c>
      <c r="K48" s="273">
        <f>SUMIFS('D Engine'!$F$129:$F$144,'D Engine'!$B$129:$B$144,"Van",'D Engine'!$C$129:$C$144,0)</f>
        <v/>
      </c>
      <c r="L48" s="273">
        <f>SUMIFS('D Engine'!$F$129:$F$144,'D Engine'!$B$129:$B$144,"Van",'D Engine'!$C$129:$C$144,0)</f>
        <v/>
      </c>
      <c r="M48" s="273">
        <f>SUMIFS('D Engine'!$F$129:$F$144,'D Engine'!$B$129:$B$144,"Van",'D Engine'!$C$129:$C$144,0)</f>
        <v/>
      </c>
      <c r="N48" s="273">
        <f>SUMIFS('D Engine'!$F$129:$F$144,'D Engine'!$B$129:$B$144,"Van",'D Engine'!$C$129:$C$144,0)</f>
        <v/>
      </c>
      <c r="O48" s="273">
        <f>SUMIFS('D Engine'!$F$129:$F$144,'D Engine'!$B$129:$B$144,"Van",'D Engine'!$C$129:$C$144,0)</f>
        <v/>
      </c>
      <c r="P48" s="282" t="inlineStr">
        <is>
          <t>–</t>
        </is>
      </c>
      <c r="Q48" s="282" t="inlineStr">
        <is>
          <t>–</t>
        </is>
      </c>
      <c r="R48" s="282" t="inlineStr">
        <is>
          <t>–</t>
        </is>
      </c>
    </row>
    <row r="49">
      <c r="B49" s="328" t="inlineStr">
        <is>
          <t>Van / minivan — 1–3 years</t>
        </is>
      </c>
      <c r="C49" s="279" t="inlineStr">
        <is>
          <t>%</t>
        </is>
      </c>
      <c r="D49" s="273">
        <f>SUMIFS('D Engine'!$F$129:$F$144,'D Engine'!$B$129:$B$144,"Van",'D Engine'!$C$129:$C$144,1)</f>
        <v/>
      </c>
      <c r="E49" s="273">
        <f>SUMIFS('D Engine'!$F$129:$F$144,'D Engine'!$B$129:$B$144,"Van",'D Engine'!$C$129:$C$144,1)</f>
        <v/>
      </c>
      <c r="F49" s="273">
        <f>SUMIFS('D Engine'!$F$129:$F$144,'D Engine'!$B$129:$B$144,"Van",'D Engine'!$C$129:$C$144,1)</f>
        <v/>
      </c>
      <c r="G49" s="273">
        <f>SUMIFS('D Engine'!$F$129:$F$144,'D Engine'!$B$129:$B$144,"Van",'D Engine'!$C$129:$C$144,1)</f>
        <v/>
      </c>
      <c r="H49" s="273">
        <f>SUMIFS('D Engine'!$F$129:$F$144,'D Engine'!$B$129:$B$144,"Van",'D Engine'!$C$129:$C$144,1)</f>
        <v/>
      </c>
      <c r="I49" s="273">
        <f>SUMIFS('D Engine'!$F$129:$F$144,'D Engine'!$B$129:$B$144,"Van",'D Engine'!$C$129:$C$144,1)</f>
        <v/>
      </c>
      <c r="J49" s="273">
        <f>SUMIFS('D Engine'!$F$129:$F$144,'D Engine'!$B$129:$B$144,"Van",'D Engine'!$C$129:$C$144,1)</f>
        <v/>
      </c>
      <c r="K49" s="273">
        <f>SUMIFS('D Engine'!$F$129:$F$144,'D Engine'!$B$129:$B$144,"Van",'D Engine'!$C$129:$C$144,1)</f>
        <v/>
      </c>
      <c r="L49" s="273">
        <f>SUMIFS('D Engine'!$F$129:$F$144,'D Engine'!$B$129:$B$144,"Van",'D Engine'!$C$129:$C$144,1)</f>
        <v/>
      </c>
      <c r="M49" s="273">
        <f>SUMIFS('D Engine'!$F$129:$F$144,'D Engine'!$B$129:$B$144,"Van",'D Engine'!$C$129:$C$144,1)</f>
        <v/>
      </c>
      <c r="N49" s="273">
        <f>SUMIFS('D Engine'!$F$129:$F$144,'D Engine'!$B$129:$B$144,"Van",'D Engine'!$C$129:$C$144,1)</f>
        <v/>
      </c>
      <c r="O49" s="273">
        <f>SUMIFS('D Engine'!$F$129:$F$144,'D Engine'!$B$129:$B$144,"Van",'D Engine'!$C$129:$C$144,1)</f>
        <v/>
      </c>
      <c r="P49" s="282" t="inlineStr">
        <is>
          <t>–</t>
        </is>
      </c>
      <c r="Q49" s="282" t="inlineStr">
        <is>
          <t>–</t>
        </is>
      </c>
      <c r="R49" s="282" t="inlineStr">
        <is>
          <t>–</t>
        </is>
      </c>
    </row>
    <row r="50">
      <c r="B50" s="328" t="inlineStr">
        <is>
          <t>Van / minivan — 4–6 years</t>
        </is>
      </c>
      <c r="C50" s="279" t="inlineStr">
        <is>
          <t>%</t>
        </is>
      </c>
      <c r="D50" s="273">
        <f>SUMIFS('D Engine'!$F$129:$F$144,'D Engine'!$B$129:$B$144,"Van",'D Engine'!$C$129:$C$144,2)</f>
        <v/>
      </c>
      <c r="E50" s="273">
        <f>SUMIFS('D Engine'!$F$129:$F$144,'D Engine'!$B$129:$B$144,"Van",'D Engine'!$C$129:$C$144,2)</f>
        <v/>
      </c>
      <c r="F50" s="273">
        <f>SUMIFS('D Engine'!$F$129:$F$144,'D Engine'!$B$129:$B$144,"Van",'D Engine'!$C$129:$C$144,2)</f>
        <v/>
      </c>
      <c r="G50" s="273">
        <f>SUMIFS('D Engine'!$F$129:$F$144,'D Engine'!$B$129:$B$144,"Van",'D Engine'!$C$129:$C$144,2)</f>
        <v/>
      </c>
      <c r="H50" s="273">
        <f>SUMIFS('D Engine'!$F$129:$F$144,'D Engine'!$B$129:$B$144,"Van",'D Engine'!$C$129:$C$144,2)</f>
        <v/>
      </c>
      <c r="I50" s="273">
        <f>SUMIFS('D Engine'!$F$129:$F$144,'D Engine'!$B$129:$B$144,"Van",'D Engine'!$C$129:$C$144,2)</f>
        <v/>
      </c>
      <c r="J50" s="273">
        <f>SUMIFS('D Engine'!$F$129:$F$144,'D Engine'!$B$129:$B$144,"Van",'D Engine'!$C$129:$C$144,2)</f>
        <v/>
      </c>
      <c r="K50" s="273">
        <f>SUMIFS('D Engine'!$F$129:$F$144,'D Engine'!$B$129:$B$144,"Van",'D Engine'!$C$129:$C$144,2)</f>
        <v/>
      </c>
      <c r="L50" s="273">
        <f>SUMIFS('D Engine'!$F$129:$F$144,'D Engine'!$B$129:$B$144,"Van",'D Engine'!$C$129:$C$144,2)</f>
        <v/>
      </c>
      <c r="M50" s="273">
        <f>SUMIFS('D Engine'!$F$129:$F$144,'D Engine'!$B$129:$B$144,"Van",'D Engine'!$C$129:$C$144,2)</f>
        <v/>
      </c>
      <c r="N50" s="273">
        <f>SUMIFS('D Engine'!$F$129:$F$144,'D Engine'!$B$129:$B$144,"Van",'D Engine'!$C$129:$C$144,2)</f>
        <v/>
      </c>
      <c r="O50" s="273">
        <f>SUMIFS('D Engine'!$F$129:$F$144,'D Engine'!$B$129:$B$144,"Van",'D Engine'!$C$129:$C$144,2)</f>
        <v/>
      </c>
      <c r="P50" s="282" t="inlineStr">
        <is>
          <t>–</t>
        </is>
      </c>
      <c r="Q50" s="282" t="inlineStr">
        <is>
          <t>–</t>
        </is>
      </c>
      <c r="R50" s="282" t="inlineStr">
        <is>
          <t>–</t>
        </is>
      </c>
    </row>
    <row r="51">
      <c r="B51" s="328" t="inlineStr">
        <is>
          <t>Van / minivan — 7+ years</t>
        </is>
      </c>
      <c r="C51" s="279" t="inlineStr">
        <is>
          <t>%</t>
        </is>
      </c>
      <c r="D51" s="273">
        <f>SUMIFS('D Engine'!$F$129:$F$144,'D Engine'!$B$129:$B$144,"Van",'D Engine'!$C$129:$C$144,3)</f>
        <v/>
      </c>
      <c r="E51" s="273">
        <f>SUMIFS('D Engine'!$F$129:$F$144,'D Engine'!$B$129:$B$144,"Van",'D Engine'!$C$129:$C$144,3)</f>
        <v/>
      </c>
      <c r="F51" s="273">
        <f>SUMIFS('D Engine'!$F$129:$F$144,'D Engine'!$B$129:$B$144,"Van",'D Engine'!$C$129:$C$144,3)</f>
        <v/>
      </c>
      <c r="G51" s="273">
        <f>SUMIFS('D Engine'!$F$129:$F$144,'D Engine'!$B$129:$B$144,"Van",'D Engine'!$C$129:$C$144,3)</f>
        <v/>
      </c>
      <c r="H51" s="273">
        <f>SUMIFS('D Engine'!$F$129:$F$144,'D Engine'!$B$129:$B$144,"Van",'D Engine'!$C$129:$C$144,3)</f>
        <v/>
      </c>
      <c r="I51" s="273">
        <f>SUMIFS('D Engine'!$F$129:$F$144,'D Engine'!$B$129:$B$144,"Van",'D Engine'!$C$129:$C$144,3)</f>
        <v/>
      </c>
      <c r="J51" s="273">
        <f>SUMIFS('D Engine'!$F$129:$F$144,'D Engine'!$B$129:$B$144,"Van",'D Engine'!$C$129:$C$144,3)</f>
        <v/>
      </c>
      <c r="K51" s="273">
        <f>SUMIFS('D Engine'!$F$129:$F$144,'D Engine'!$B$129:$B$144,"Van",'D Engine'!$C$129:$C$144,3)</f>
        <v/>
      </c>
      <c r="L51" s="273">
        <f>SUMIFS('D Engine'!$F$129:$F$144,'D Engine'!$B$129:$B$144,"Van",'D Engine'!$C$129:$C$144,3)</f>
        <v/>
      </c>
      <c r="M51" s="273">
        <f>SUMIFS('D Engine'!$F$129:$F$144,'D Engine'!$B$129:$B$144,"Van",'D Engine'!$C$129:$C$144,3)</f>
        <v/>
      </c>
      <c r="N51" s="273">
        <f>SUMIFS('D Engine'!$F$129:$F$144,'D Engine'!$B$129:$B$144,"Van",'D Engine'!$C$129:$C$144,3)</f>
        <v/>
      </c>
      <c r="O51" s="273">
        <f>SUMIFS('D Engine'!$F$129:$F$144,'D Engine'!$B$129:$B$144,"Van",'D Engine'!$C$129:$C$144,3)</f>
        <v/>
      </c>
      <c r="P51" s="282" t="inlineStr">
        <is>
          <t>–</t>
        </is>
      </c>
      <c r="Q51" s="282" t="inlineStr">
        <is>
          <t>–</t>
        </is>
      </c>
      <c r="R51" s="282" t="inlineStr">
        <is>
          <t>–</t>
        </is>
      </c>
    </row>
    <row r="54">
      <c r="B54" s="271" t="inlineStr">
        <is>
          <t>D. Total losses by cell = claims mass × TLF</t>
        </is>
      </c>
      <c r="C54" s="272" t="n"/>
      <c r="D54" s="272" t="n"/>
      <c r="E54" s="272" t="n"/>
      <c r="F54" s="272" t="n"/>
      <c r="G54" s="272" t="n"/>
      <c r="H54" s="272" t="n"/>
      <c r="I54" s="272" t="n"/>
      <c r="J54" s="272" t="n"/>
      <c r="K54" s="272" t="n"/>
      <c r="L54" s="272" t="n"/>
      <c r="M54" s="272" t="n"/>
      <c r="N54" s="272" t="n"/>
      <c r="O54" s="272" t="n"/>
      <c r="P54" s="272" t="n"/>
      <c r="Q54" s="272" t="n"/>
      <c r="R54" s="272" t="n"/>
      <c r="S54" s="272" t="n"/>
    </row>
    <row r="55">
      <c r="B55" s="254" t="inlineStr">
        <is>
          <t>Car — 0 (current or newer)</t>
        </is>
      </c>
      <c r="C55" s="279" t="inlineStr">
        <is>
          <t>index</t>
        </is>
      </c>
      <c r="D55" s="259">
        <f>D16*D36</f>
        <v/>
      </c>
      <c r="E55" s="259">
        <f>E16*E36</f>
        <v/>
      </c>
      <c r="F55" s="259">
        <f>F16*F36</f>
        <v/>
      </c>
      <c r="G55" s="259">
        <f>G16*G36</f>
        <v/>
      </c>
      <c r="H55" s="259">
        <f>H16*H36</f>
        <v/>
      </c>
      <c r="I55" s="259">
        <f>I16*I36</f>
        <v/>
      </c>
      <c r="J55" s="259">
        <f>J16*J36</f>
        <v/>
      </c>
      <c r="K55" s="259">
        <f>K16*K36</f>
        <v/>
      </c>
      <c r="L55" s="259">
        <f>L16*L36</f>
        <v/>
      </c>
      <c r="M55" s="259">
        <f>M16*M36</f>
        <v/>
      </c>
      <c r="N55" s="259">
        <f>N16*N36</f>
        <v/>
      </c>
      <c r="O55" s="259">
        <f>O16*O36</f>
        <v/>
      </c>
      <c r="P55" s="259">
        <f>SUM(D55:G55)</f>
        <v/>
      </c>
      <c r="Q55" s="259">
        <f>SUM(H55:K55)</f>
        <v/>
      </c>
      <c r="R55" s="259">
        <f>SUM(L55:O55)</f>
        <v/>
      </c>
    </row>
    <row r="56">
      <c r="B56" s="328" t="inlineStr">
        <is>
          <t>Car — 1–3 years</t>
        </is>
      </c>
      <c r="C56" s="279" t="inlineStr">
        <is>
          <t>index</t>
        </is>
      </c>
      <c r="D56" s="259">
        <f>D17*D37</f>
        <v/>
      </c>
      <c r="E56" s="259">
        <f>E17*E37</f>
        <v/>
      </c>
      <c r="F56" s="259">
        <f>F17*F37</f>
        <v/>
      </c>
      <c r="G56" s="259">
        <f>G17*G37</f>
        <v/>
      </c>
      <c r="H56" s="259">
        <f>H17*H37</f>
        <v/>
      </c>
      <c r="I56" s="259">
        <f>I17*I37</f>
        <v/>
      </c>
      <c r="J56" s="259">
        <f>J17*J37</f>
        <v/>
      </c>
      <c r="K56" s="259">
        <f>K17*K37</f>
        <v/>
      </c>
      <c r="L56" s="259">
        <f>L17*L37</f>
        <v/>
      </c>
      <c r="M56" s="259">
        <f>M17*M37</f>
        <v/>
      </c>
      <c r="N56" s="259">
        <f>N17*N37</f>
        <v/>
      </c>
      <c r="O56" s="259">
        <f>O17*O37</f>
        <v/>
      </c>
      <c r="P56" s="259">
        <f>SUM(D56:G56)</f>
        <v/>
      </c>
      <c r="Q56" s="259">
        <f>SUM(H56:K56)</f>
        <v/>
      </c>
      <c r="R56" s="259">
        <f>SUM(L56:O56)</f>
        <v/>
      </c>
    </row>
    <row r="57">
      <c r="B57" s="328" t="inlineStr">
        <is>
          <t>Car — 4–6 years</t>
        </is>
      </c>
      <c r="C57" s="279" t="inlineStr">
        <is>
          <t>index</t>
        </is>
      </c>
      <c r="D57" s="259">
        <f>D18*D38</f>
        <v/>
      </c>
      <c r="E57" s="259">
        <f>E18*E38</f>
        <v/>
      </c>
      <c r="F57" s="259">
        <f>F18*F38</f>
        <v/>
      </c>
      <c r="G57" s="259">
        <f>G18*G38</f>
        <v/>
      </c>
      <c r="H57" s="259">
        <f>H18*H38</f>
        <v/>
      </c>
      <c r="I57" s="259">
        <f>I18*I38</f>
        <v/>
      </c>
      <c r="J57" s="259">
        <f>J18*J38</f>
        <v/>
      </c>
      <c r="K57" s="259">
        <f>K18*K38</f>
        <v/>
      </c>
      <c r="L57" s="259">
        <f>L18*L38</f>
        <v/>
      </c>
      <c r="M57" s="259">
        <f>M18*M38</f>
        <v/>
      </c>
      <c r="N57" s="259">
        <f>N18*N38</f>
        <v/>
      </c>
      <c r="O57" s="259">
        <f>O18*O38</f>
        <v/>
      </c>
      <c r="P57" s="259">
        <f>SUM(D57:G57)</f>
        <v/>
      </c>
      <c r="Q57" s="259">
        <f>SUM(H57:K57)</f>
        <v/>
      </c>
      <c r="R57" s="259">
        <f>SUM(L57:O57)</f>
        <v/>
      </c>
    </row>
    <row r="58">
      <c r="B58" s="328" t="inlineStr">
        <is>
          <t>Car — 7+ years</t>
        </is>
      </c>
      <c r="C58" s="279" t="inlineStr">
        <is>
          <t>index</t>
        </is>
      </c>
      <c r="D58" s="259">
        <f>D19*D39</f>
        <v/>
      </c>
      <c r="E58" s="259">
        <f>E19*E39</f>
        <v/>
      </c>
      <c r="F58" s="259">
        <f>F19*F39</f>
        <v/>
      </c>
      <c r="G58" s="259">
        <f>G19*G39</f>
        <v/>
      </c>
      <c r="H58" s="259">
        <f>H19*H39</f>
        <v/>
      </c>
      <c r="I58" s="259">
        <f>I19*I39</f>
        <v/>
      </c>
      <c r="J58" s="259">
        <f>J19*J39</f>
        <v/>
      </c>
      <c r="K58" s="259">
        <f>K19*K39</f>
        <v/>
      </c>
      <c r="L58" s="259">
        <f>L19*L39</f>
        <v/>
      </c>
      <c r="M58" s="259">
        <f>M19*M39</f>
        <v/>
      </c>
      <c r="N58" s="259">
        <f>N19*N39</f>
        <v/>
      </c>
      <c r="O58" s="259">
        <f>O19*O39</f>
        <v/>
      </c>
      <c r="P58" s="259">
        <f>SUM(D58:G58)</f>
        <v/>
      </c>
      <c r="Q58" s="259">
        <f>SUM(H58:K58)</f>
        <v/>
      </c>
      <c r="R58" s="259">
        <f>SUM(L58:O58)</f>
        <v/>
      </c>
    </row>
    <row r="59">
      <c r="B59" s="254" t="inlineStr">
        <is>
          <t>Utility vehicle (SUV) — 0 (current or newer)</t>
        </is>
      </c>
      <c r="C59" s="279" t="inlineStr">
        <is>
          <t>index</t>
        </is>
      </c>
      <c r="D59" s="259">
        <f>D20*D40</f>
        <v/>
      </c>
      <c r="E59" s="259">
        <f>E20*E40</f>
        <v/>
      </c>
      <c r="F59" s="259">
        <f>F20*F40</f>
        <v/>
      </c>
      <c r="G59" s="259">
        <f>G20*G40</f>
        <v/>
      </c>
      <c r="H59" s="259">
        <f>H20*H40</f>
        <v/>
      </c>
      <c r="I59" s="259">
        <f>I20*I40</f>
        <v/>
      </c>
      <c r="J59" s="259">
        <f>J20*J40</f>
        <v/>
      </c>
      <c r="K59" s="259">
        <f>K20*K40</f>
        <v/>
      </c>
      <c r="L59" s="259">
        <f>L20*L40</f>
        <v/>
      </c>
      <c r="M59" s="259">
        <f>M20*M40</f>
        <v/>
      </c>
      <c r="N59" s="259">
        <f>N20*N40</f>
        <v/>
      </c>
      <c r="O59" s="259">
        <f>O20*O40</f>
        <v/>
      </c>
      <c r="P59" s="259">
        <f>SUM(D59:G59)</f>
        <v/>
      </c>
      <c r="Q59" s="259">
        <f>SUM(H59:K59)</f>
        <v/>
      </c>
      <c r="R59" s="259">
        <f>SUM(L59:O59)</f>
        <v/>
      </c>
    </row>
    <row r="60">
      <c r="B60" s="328" t="inlineStr">
        <is>
          <t>Utility vehicle (SUV) — 1–3 years</t>
        </is>
      </c>
      <c r="C60" s="279" t="inlineStr">
        <is>
          <t>index</t>
        </is>
      </c>
      <c r="D60" s="259">
        <f>D21*D41</f>
        <v/>
      </c>
      <c r="E60" s="259">
        <f>E21*E41</f>
        <v/>
      </c>
      <c r="F60" s="259">
        <f>F21*F41</f>
        <v/>
      </c>
      <c r="G60" s="259">
        <f>G21*G41</f>
        <v/>
      </c>
      <c r="H60" s="259">
        <f>H21*H41</f>
        <v/>
      </c>
      <c r="I60" s="259">
        <f>I21*I41</f>
        <v/>
      </c>
      <c r="J60" s="259">
        <f>J21*J41</f>
        <v/>
      </c>
      <c r="K60" s="259">
        <f>K21*K41</f>
        <v/>
      </c>
      <c r="L60" s="259">
        <f>L21*L41</f>
        <v/>
      </c>
      <c r="M60" s="259">
        <f>M21*M41</f>
        <v/>
      </c>
      <c r="N60" s="259">
        <f>N21*N41</f>
        <v/>
      </c>
      <c r="O60" s="259">
        <f>O21*O41</f>
        <v/>
      </c>
      <c r="P60" s="259">
        <f>SUM(D60:G60)</f>
        <v/>
      </c>
      <c r="Q60" s="259">
        <f>SUM(H60:K60)</f>
        <v/>
      </c>
      <c r="R60" s="259">
        <f>SUM(L60:O60)</f>
        <v/>
      </c>
    </row>
    <row r="61">
      <c r="B61" s="328" t="inlineStr">
        <is>
          <t>Utility vehicle (SUV) — 4–6 years</t>
        </is>
      </c>
      <c r="C61" s="279" t="inlineStr">
        <is>
          <t>index</t>
        </is>
      </c>
      <c r="D61" s="259">
        <f>D22*D42</f>
        <v/>
      </c>
      <c r="E61" s="259">
        <f>E22*E42</f>
        <v/>
      </c>
      <c r="F61" s="259">
        <f>F22*F42</f>
        <v/>
      </c>
      <c r="G61" s="259">
        <f>G22*G42</f>
        <v/>
      </c>
      <c r="H61" s="259">
        <f>H22*H42</f>
        <v/>
      </c>
      <c r="I61" s="259">
        <f>I22*I42</f>
        <v/>
      </c>
      <c r="J61" s="259">
        <f>J22*J42</f>
        <v/>
      </c>
      <c r="K61" s="259">
        <f>K22*K42</f>
        <v/>
      </c>
      <c r="L61" s="259">
        <f>L22*L42</f>
        <v/>
      </c>
      <c r="M61" s="259">
        <f>M22*M42</f>
        <v/>
      </c>
      <c r="N61" s="259">
        <f>N22*N42</f>
        <v/>
      </c>
      <c r="O61" s="259">
        <f>O22*O42</f>
        <v/>
      </c>
      <c r="P61" s="259">
        <f>SUM(D61:G61)</f>
        <v/>
      </c>
      <c r="Q61" s="259">
        <f>SUM(H61:K61)</f>
        <v/>
      </c>
      <c r="R61" s="259">
        <f>SUM(L61:O61)</f>
        <v/>
      </c>
    </row>
    <row r="62">
      <c r="B62" s="328" t="inlineStr">
        <is>
          <t>Utility vehicle (SUV) — 7+ years</t>
        </is>
      </c>
      <c r="C62" s="279" t="inlineStr">
        <is>
          <t>index</t>
        </is>
      </c>
      <c r="D62" s="259">
        <f>D23*D43</f>
        <v/>
      </c>
      <c r="E62" s="259">
        <f>E23*E43</f>
        <v/>
      </c>
      <c r="F62" s="259">
        <f>F23*F43</f>
        <v/>
      </c>
      <c r="G62" s="259">
        <f>G23*G43</f>
        <v/>
      </c>
      <c r="H62" s="259">
        <f>H23*H43</f>
        <v/>
      </c>
      <c r="I62" s="259">
        <f>I23*I43</f>
        <v/>
      </c>
      <c r="J62" s="259">
        <f>J23*J43</f>
        <v/>
      </c>
      <c r="K62" s="259">
        <f>K23*K43</f>
        <v/>
      </c>
      <c r="L62" s="259">
        <f>L23*L43</f>
        <v/>
      </c>
      <c r="M62" s="259">
        <f>M23*M43</f>
        <v/>
      </c>
      <c r="N62" s="259">
        <f>N23*N43</f>
        <v/>
      </c>
      <c r="O62" s="259">
        <f>O23*O43</f>
        <v/>
      </c>
      <c r="P62" s="259">
        <f>SUM(D62:G62)</f>
        <v/>
      </c>
      <c r="Q62" s="259">
        <f>SUM(H62:K62)</f>
        <v/>
      </c>
      <c r="R62" s="259">
        <f>SUM(L62:O62)</f>
        <v/>
      </c>
    </row>
    <row r="63">
      <c r="B63" s="254" t="inlineStr">
        <is>
          <t>Pickup — 0 (current or newer)</t>
        </is>
      </c>
      <c r="C63" s="279" t="inlineStr">
        <is>
          <t>index</t>
        </is>
      </c>
      <c r="D63" s="259">
        <f>D24*D44</f>
        <v/>
      </c>
      <c r="E63" s="259">
        <f>E24*E44</f>
        <v/>
      </c>
      <c r="F63" s="259">
        <f>F24*F44</f>
        <v/>
      </c>
      <c r="G63" s="259">
        <f>G24*G44</f>
        <v/>
      </c>
      <c r="H63" s="259">
        <f>H24*H44</f>
        <v/>
      </c>
      <c r="I63" s="259">
        <f>I24*I44</f>
        <v/>
      </c>
      <c r="J63" s="259">
        <f>J24*J44</f>
        <v/>
      </c>
      <c r="K63" s="259">
        <f>K24*K44</f>
        <v/>
      </c>
      <c r="L63" s="259">
        <f>L24*L44</f>
        <v/>
      </c>
      <c r="M63" s="259">
        <f>M24*M44</f>
        <v/>
      </c>
      <c r="N63" s="259">
        <f>N24*N44</f>
        <v/>
      </c>
      <c r="O63" s="259">
        <f>O24*O44</f>
        <v/>
      </c>
      <c r="P63" s="259">
        <f>SUM(D63:G63)</f>
        <v/>
      </c>
      <c r="Q63" s="259">
        <f>SUM(H63:K63)</f>
        <v/>
      </c>
      <c r="R63" s="259">
        <f>SUM(L63:O63)</f>
        <v/>
      </c>
    </row>
    <row r="64">
      <c r="B64" s="328" t="inlineStr">
        <is>
          <t>Pickup — 1–3 years</t>
        </is>
      </c>
      <c r="C64" s="279" t="inlineStr">
        <is>
          <t>index</t>
        </is>
      </c>
      <c r="D64" s="259">
        <f>D25*D45</f>
        <v/>
      </c>
      <c r="E64" s="259">
        <f>E25*E45</f>
        <v/>
      </c>
      <c r="F64" s="259">
        <f>F25*F45</f>
        <v/>
      </c>
      <c r="G64" s="259">
        <f>G25*G45</f>
        <v/>
      </c>
      <c r="H64" s="259">
        <f>H25*H45</f>
        <v/>
      </c>
      <c r="I64" s="259">
        <f>I25*I45</f>
        <v/>
      </c>
      <c r="J64" s="259">
        <f>J25*J45</f>
        <v/>
      </c>
      <c r="K64" s="259">
        <f>K25*K45</f>
        <v/>
      </c>
      <c r="L64" s="259">
        <f>L25*L45</f>
        <v/>
      </c>
      <c r="M64" s="259">
        <f>M25*M45</f>
        <v/>
      </c>
      <c r="N64" s="259">
        <f>N25*N45</f>
        <v/>
      </c>
      <c r="O64" s="259">
        <f>O25*O45</f>
        <v/>
      </c>
      <c r="P64" s="259">
        <f>SUM(D64:G64)</f>
        <v/>
      </c>
      <c r="Q64" s="259">
        <f>SUM(H64:K64)</f>
        <v/>
      </c>
      <c r="R64" s="259">
        <f>SUM(L64:O64)</f>
        <v/>
      </c>
    </row>
    <row r="65">
      <c r="B65" s="328" t="inlineStr">
        <is>
          <t>Pickup — 4–6 years</t>
        </is>
      </c>
      <c r="C65" s="279" t="inlineStr">
        <is>
          <t>index</t>
        </is>
      </c>
      <c r="D65" s="259">
        <f>D26*D46</f>
        <v/>
      </c>
      <c r="E65" s="259">
        <f>E26*E46</f>
        <v/>
      </c>
      <c r="F65" s="259">
        <f>F26*F46</f>
        <v/>
      </c>
      <c r="G65" s="259">
        <f>G26*G46</f>
        <v/>
      </c>
      <c r="H65" s="259">
        <f>H26*H46</f>
        <v/>
      </c>
      <c r="I65" s="259">
        <f>I26*I46</f>
        <v/>
      </c>
      <c r="J65" s="259">
        <f>J26*J46</f>
        <v/>
      </c>
      <c r="K65" s="259">
        <f>K26*K46</f>
        <v/>
      </c>
      <c r="L65" s="259">
        <f>L26*L46</f>
        <v/>
      </c>
      <c r="M65" s="259">
        <f>M26*M46</f>
        <v/>
      </c>
      <c r="N65" s="259">
        <f>N26*N46</f>
        <v/>
      </c>
      <c r="O65" s="259">
        <f>O26*O46</f>
        <v/>
      </c>
      <c r="P65" s="259">
        <f>SUM(D65:G65)</f>
        <v/>
      </c>
      <c r="Q65" s="259">
        <f>SUM(H65:K65)</f>
        <v/>
      </c>
      <c r="R65" s="259">
        <f>SUM(L65:O65)</f>
        <v/>
      </c>
    </row>
    <row r="66">
      <c r="B66" s="328" t="inlineStr">
        <is>
          <t>Pickup — 7+ years</t>
        </is>
      </c>
      <c r="C66" s="279" t="inlineStr">
        <is>
          <t>index</t>
        </is>
      </c>
      <c r="D66" s="259">
        <f>D27*D47</f>
        <v/>
      </c>
      <c r="E66" s="259">
        <f>E27*E47</f>
        <v/>
      </c>
      <c r="F66" s="259">
        <f>F27*F47</f>
        <v/>
      </c>
      <c r="G66" s="259">
        <f>G27*G47</f>
        <v/>
      </c>
      <c r="H66" s="259">
        <f>H27*H47</f>
        <v/>
      </c>
      <c r="I66" s="259">
        <f>I27*I47</f>
        <v/>
      </c>
      <c r="J66" s="259">
        <f>J27*J47</f>
        <v/>
      </c>
      <c r="K66" s="259">
        <f>K27*K47</f>
        <v/>
      </c>
      <c r="L66" s="259">
        <f>L27*L47</f>
        <v/>
      </c>
      <c r="M66" s="259">
        <f>M27*M47</f>
        <v/>
      </c>
      <c r="N66" s="259">
        <f>N27*N47</f>
        <v/>
      </c>
      <c r="O66" s="259">
        <f>O27*O47</f>
        <v/>
      </c>
      <c r="P66" s="259">
        <f>SUM(D66:G66)</f>
        <v/>
      </c>
      <c r="Q66" s="259">
        <f>SUM(H66:K66)</f>
        <v/>
      </c>
      <c r="R66" s="259">
        <f>SUM(L66:O66)</f>
        <v/>
      </c>
    </row>
    <row r="67">
      <c r="B67" s="254" t="inlineStr">
        <is>
          <t>Van / minivan — 0 (current or newer)</t>
        </is>
      </c>
      <c r="C67" s="279" t="inlineStr">
        <is>
          <t>index</t>
        </is>
      </c>
      <c r="D67" s="259">
        <f>D28*D48</f>
        <v/>
      </c>
      <c r="E67" s="259">
        <f>E28*E48</f>
        <v/>
      </c>
      <c r="F67" s="259">
        <f>F28*F48</f>
        <v/>
      </c>
      <c r="G67" s="259">
        <f>G28*G48</f>
        <v/>
      </c>
      <c r="H67" s="259">
        <f>H28*H48</f>
        <v/>
      </c>
      <c r="I67" s="259">
        <f>I28*I48</f>
        <v/>
      </c>
      <c r="J67" s="259">
        <f>J28*J48</f>
        <v/>
      </c>
      <c r="K67" s="259">
        <f>K28*K48</f>
        <v/>
      </c>
      <c r="L67" s="259">
        <f>L28*L48</f>
        <v/>
      </c>
      <c r="M67" s="259">
        <f>M28*M48</f>
        <v/>
      </c>
      <c r="N67" s="259">
        <f>N28*N48</f>
        <v/>
      </c>
      <c r="O67" s="259">
        <f>O28*O48</f>
        <v/>
      </c>
      <c r="P67" s="259">
        <f>SUM(D67:G67)</f>
        <v/>
      </c>
      <c r="Q67" s="259">
        <f>SUM(H67:K67)</f>
        <v/>
      </c>
      <c r="R67" s="259">
        <f>SUM(L67:O67)</f>
        <v/>
      </c>
    </row>
    <row r="68">
      <c r="B68" s="328" t="inlineStr">
        <is>
          <t>Van / minivan — 1–3 years</t>
        </is>
      </c>
      <c r="C68" s="279" t="inlineStr">
        <is>
          <t>index</t>
        </is>
      </c>
      <c r="D68" s="259">
        <f>D29*D49</f>
        <v/>
      </c>
      <c r="E68" s="259">
        <f>E29*E49</f>
        <v/>
      </c>
      <c r="F68" s="259">
        <f>F29*F49</f>
        <v/>
      </c>
      <c r="G68" s="259">
        <f>G29*G49</f>
        <v/>
      </c>
      <c r="H68" s="259">
        <f>H29*H49</f>
        <v/>
      </c>
      <c r="I68" s="259">
        <f>I29*I49</f>
        <v/>
      </c>
      <c r="J68" s="259">
        <f>J29*J49</f>
        <v/>
      </c>
      <c r="K68" s="259">
        <f>K29*K49</f>
        <v/>
      </c>
      <c r="L68" s="259">
        <f>L29*L49</f>
        <v/>
      </c>
      <c r="M68" s="259">
        <f>M29*M49</f>
        <v/>
      </c>
      <c r="N68" s="259">
        <f>N29*N49</f>
        <v/>
      </c>
      <c r="O68" s="259">
        <f>O29*O49</f>
        <v/>
      </c>
      <c r="P68" s="259">
        <f>SUM(D68:G68)</f>
        <v/>
      </c>
      <c r="Q68" s="259">
        <f>SUM(H68:K68)</f>
        <v/>
      </c>
      <c r="R68" s="259">
        <f>SUM(L68:O68)</f>
        <v/>
      </c>
    </row>
    <row r="69">
      <c r="B69" s="328" t="inlineStr">
        <is>
          <t>Van / minivan — 4–6 years</t>
        </is>
      </c>
      <c r="C69" s="279" t="inlineStr">
        <is>
          <t>index</t>
        </is>
      </c>
      <c r="D69" s="259">
        <f>D30*D50</f>
        <v/>
      </c>
      <c r="E69" s="259">
        <f>E30*E50</f>
        <v/>
      </c>
      <c r="F69" s="259">
        <f>F30*F50</f>
        <v/>
      </c>
      <c r="G69" s="259">
        <f>G30*G50</f>
        <v/>
      </c>
      <c r="H69" s="259">
        <f>H30*H50</f>
        <v/>
      </c>
      <c r="I69" s="259">
        <f>I30*I50</f>
        <v/>
      </c>
      <c r="J69" s="259">
        <f>J30*J50</f>
        <v/>
      </c>
      <c r="K69" s="259">
        <f>K30*K50</f>
        <v/>
      </c>
      <c r="L69" s="259">
        <f>L30*L50</f>
        <v/>
      </c>
      <c r="M69" s="259">
        <f>M30*M50</f>
        <v/>
      </c>
      <c r="N69" s="259">
        <f>N30*N50</f>
        <v/>
      </c>
      <c r="O69" s="259">
        <f>O30*O50</f>
        <v/>
      </c>
      <c r="P69" s="259">
        <f>SUM(D69:G69)</f>
        <v/>
      </c>
      <c r="Q69" s="259">
        <f>SUM(H69:K69)</f>
        <v/>
      </c>
      <c r="R69" s="259">
        <f>SUM(L69:O69)</f>
        <v/>
      </c>
    </row>
    <row r="70">
      <c r="B70" s="328" t="inlineStr">
        <is>
          <t>Van / minivan — 7+ years</t>
        </is>
      </c>
      <c r="C70" s="279" t="inlineStr">
        <is>
          <t>index</t>
        </is>
      </c>
      <c r="D70" s="259">
        <f>D31*D51</f>
        <v/>
      </c>
      <c r="E70" s="259">
        <f>E31*E51</f>
        <v/>
      </c>
      <c r="F70" s="259">
        <f>F31*F51</f>
        <v/>
      </c>
      <c r="G70" s="259">
        <f>G31*G51</f>
        <v/>
      </c>
      <c r="H70" s="259">
        <f>H31*H51</f>
        <v/>
      </c>
      <c r="I70" s="259">
        <f>I31*I51</f>
        <v/>
      </c>
      <c r="J70" s="259">
        <f>J31*J51</f>
        <v/>
      </c>
      <c r="K70" s="259">
        <f>K31*K51</f>
        <v/>
      </c>
      <c r="L70" s="259">
        <f>L31*L51</f>
        <v/>
      </c>
      <c r="M70" s="259">
        <f>M31*M51</f>
        <v/>
      </c>
      <c r="N70" s="259">
        <f>N31*N51</f>
        <v/>
      </c>
      <c r="O70" s="259">
        <f>O31*O51</f>
        <v/>
      </c>
      <c r="P70" s="259">
        <f>SUM(D70:G70)</f>
        <v/>
      </c>
      <c r="Q70" s="259">
        <f>SUM(H70:K70)</f>
        <v/>
      </c>
      <c r="R70" s="259">
        <f>SUM(L70:O70)</f>
        <v/>
      </c>
    </row>
    <row r="71">
      <c r="B71" s="249" t="inlineStr">
        <is>
          <t>Total-loss pool reaching the insurance auction channel (× routing × (1 + extra CAT))</t>
        </is>
      </c>
      <c r="C71" s="279" t="inlineStr">
        <is>
          <t>index</t>
        </is>
      </c>
      <c r="D71" s="326">
        <f>SUM(D55:D70)*$D$82*(1+$D$83)</f>
        <v/>
      </c>
      <c r="E71" s="326">
        <f>SUM(E55:E70)*$D$82*(1+$D$83)</f>
        <v/>
      </c>
      <c r="F71" s="326">
        <f>SUM(F55:F70)*$D$82*(1+$D$83)</f>
        <v/>
      </c>
      <c r="G71" s="326">
        <f>SUM(G55:G70)*$D$82*(1+$D$83)</f>
        <v/>
      </c>
      <c r="H71" s="326">
        <f>SUM(H55:H70)*$D$82*(1+$D$83)</f>
        <v/>
      </c>
      <c r="I71" s="326">
        <f>SUM(I55:I70)*$D$82*(1+$D$83)</f>
        <v/>
      </c>
      <c r="J71" s="326">
        <f>SUM(J55:J70)*$D$82*(1+$D$83)</f>
        <v/>
      </c>
      <c r="K71" s="326">
        <f>SUM(K55:K70)*$D$82*(1+$D$83)</f>
        <v/>
      </c>
      <c r="L71" s="326">
        <f>SUM(L55:L70)*$D$82*(1+$D$83)</f>
        <v/>
      </c>
      <c r="M71" s="326">
        <f>SUM(M55:M70)*$D$82*(1+$D$83)</f>
        <v/>
      </c>
      <c r="N71" s="326">
        <f>SUM(N55:N70)*$D$82*(1+$D$83)</f>
        <v/>
      </c>
      <c r="O71" s="326">
        <f>SUM(O55:O70)*$D$82*(1+$D$83)</f>
        <v/>
      </c>
      <c r="P71" s="260">
        <f>SUM(D71:G71)</f>
        <v/>
      </c>
      <c r="Q71" s="260">
        <f>SUM(H71:K71)</f>
        <v/>
      </c>
      <c r="R71" s="260">
        <f>SUM(L71:O71)</f>
        <v/>
      </c>
    </row>
    <row r="72">
      <c r="B72" s="274" t="inlineStr">
        <is>
          <t xml:space="preserve">   y/y</t>
        </is>
      </c>
      <c r="C72" s="279" t="inlineStr">
        <is>
          <t>%</t>
        </is>
      </c>
      <c r="D72" s="282" t="inlineStr">
        <is>
          <t>–</t>
        </is>
      </c>
      <c r="E72" s="282" t="inlineStr">
        <is>
          <t>–</t>
        </is>
      </c>
      <c r="F72" s="282" t="inlineStr">
        <is>
          <t>–</t>
        </is>
      </c>
      <c r="G72" s="282" t="inlineStr">
        <is>
          <t>–</t>
        </is>
      </c>
      <c r="H72" s="327">
        <f>H71/D71-1</f>
        <v/>
      </c>
      <c r="I72" s="327">
        <f>I71/E71-1</f>
        <v/>
      </c>
      <c r="J72" s="327">
        <f>J71/F71-1</f>
        <v/>
      </c>
      <c r="K72" s="327">
        <f>K71/G71-1</f>
        <v/>
      </c>
      <c r="L72" s="327">
        <f>L71/H71-1</f>
        <v/>
      </c>
      <c r="M72" s="327">
        <f>M71/I71-1</f>
        <v/>
      </c>
      <c r="N72" s="327">
        <f>N71/J71-1</f>
        <v/>
      </c>
      <c r="O72" s="327">
        <f>O71/K71-1</f>
        <v/>
      </c>
      <c r="P72" s="282" t="inlineStr">
        <is>
          <t>–</t>
        </is>
      </c>
      <c r="Q72" s="327">
        <f>Q71/P71-1</f>
        <v/>
      </c>
      <c r="R72" s="327">
        <f>R71/Q71-1</f>
        <v/>
      </c>
    </row>
    <row r="73">
      <c r="B73" s="274" t="inlineStr">
        <is>
          <t xml:space="preserve">   aggregate total-loss frequency (pool ÷ claims)</t>
        </is>
      </c>
      <c r="C73" s="279" t="inlineStr">
        <is>
          <t>%</t>
        </is>
      </c>
      <c r="D73" s="327">
        <f>D71/D32/$D$82/(1+$D$83)</f>
        <v/>
      </c>
      <c r="E73" s="327">
        <f>E71/E32/$D$82/(1+$D$83)</f>
        <v/>
      </c>
      <c r="F73" s="327">
        <f>F71/F32/$D$82/(1+$D$83)</f>
        <v/>
      </c>
      <c r="G73" s="327">
        <f>G71/G32/$D$82/(1+$D$83)</f>
        <v/>
      </c>
      <c r="H73" s="327">
        <f>H71/H32/$D$82/(1+$D$83)</f>
        <v/>
      </c>
      <c r="I73" s="327">
        <f>I71/I32/$D$82/(1+$D$83)</f>
        <v/>
      </c>
      <c r="J73" s="327">
        <f>J71/J32/$D$82/(1+$D$83)</f>
        <v/>
      </c>
      <c r="K73" s="327">
        <f>K71/K32/$D$82/(1+$D$83)</f>
        <v/>
      </c>
      <c r="L73" s="327">
        <f>L71/L32/$D$82/(1+$D$83)</f>
        <v/>
      </c>
      <c r="M73" s="327">
        <f>M71/M32/$D$82/(1+$D$83)</f>
        <v/>
      </c>
      <c r="N73" s="327">
        <f>N71/N32/$D$82/(1+$D$83)</f>
        <v/>
      </c>
      <c r="O73" s="327">
        <f>O71/O32/$D$82/(1+$D$83)</f>
        <v/>
      </c>
      <c r="P73" s="327">
        <f>P71/P32/$D$82/(1+$D$83)</f>
        <v/>
      </c>
      <c r="Q73" s="327">
        <f>Q71/Q32/$D$82/(1+$D$83)</f>
        <v/>
      </c>
      <c r="R73" s="327">
        <f>R71/R32/$D$82/(1+$D$83)</f>
        <v/>
      </c>
      <c r="S73" s="252" t="inlineStr">
        <is>
          <t>Check: CCC-cell-weighted 2025 level is 23.1% (model/ccc_age_body annual_derived.csv); CCC headline all-loss TLF 2025 is 23.9% (different population)</t>
        </is>
      </c>
    </row>
    <row r="75">
      <c r="B75" s="249" t="inlineStr">
        <is>
          <t>Pool ratio to the same quarter a year earlier  (→ Scenarios: units chain)</t>
        </is>
      </c>
      <c r="C75" s="279" t="inlineStr">
        <is>
          <t>x</t>
        </is>
      </c>
      <c r="D75" s="282" t="inlineStr">
        <is>
          <t>–</t>
        </is>
      </c>
      <c r="E75" s="282" t="inlineStr">
        <is>
          <t>–</t>
        </is>
      </c>
      <c r="F75" s="282" t="inlineStr">
        <is>
          <t>–</t>
        </is>
      </c>
      <c r="G75" s="282" t="inlineStr">
        <is>
          <t>–</t>
        </is>
      </c>
      <c r="H75" s="460">
        <f>H71/D71</f>
        <v/>
      </c>
      <c r="I75" s="460">
        <f>I71/E71</f>
        <v/>
      </c>
      <c r="J75" s="460">
        <f>J71/F71</f>
        <v/>
      </c>
      <c r="K75" s="460">
        <f>K71/G71</f>
        <v/>
      </c>
      <c r="L75" s="460">
        <f>L71/H71</f>
        <v/>
      </c>
      <c r="M75" s="460">
        <f>M71/I71</f>
        <v/>
      </c>
      <c r="N75" s="460">
        <f>N71/J71</f>
        <v/>
      </c>
      <c r="O75" s="460">
        <f>O71/K71</f>
        <v/>
      </c>
      <c r="P75" s="282" t="inlineStr">
        <is>
          <t>–</t>
        </is>
      </c>
      <c r="Q75" s="282" t="inlineStr">
        <is>
          <t>–</t>
        </is>
      </c>
      <c r="R75" s="282" t="inlineStr">
        <is>
          <t>–</t>
        </is>
      </c>
    </row>
    <row r="77">
      <c r="B77" s="252" t="inlineStr">
        <is>
          <t>Feeds →  Scenarios (pool ratio, row 75); E5 (aggregate TLF, diagnostic only)</t>
        </is>
      </c>
    </row>
    <row r="79">
      <c r="B79" s="246" t="inlineStr">
        <is>
          <t>Inputs</t>
        </is>
      </c>
      <c r="C79" s="247" t="n"/>
      <c r="D79" s="248" t="inlineStr">
        <is>
          <t>Value</t>
        </is>
      </c>
      <c r="E79" s="248" t="inlineStr">
        <is>
          <t>Label</t>
        </is>
      </c>
      <c r="F79" s="247" t="n"/>
      <c r="G79" s="247" t="n"/>
      <c r="H79" s="247" t="n"/>
      <c r="I79" s="247" t="n"/>
      <c r="J79" s="247" t="n"/>
      <c r="K79" s="247" t="n"/>
      <c r="L79" s="247" t="n"/>
      <c r="M79" s="247" t="n"/>
      <c r="N79" s="247" t="n"/>
      <c r="O79" s="247" t="n"/>
      <c r="P79" s="247" t="n"/>
      <c r="Q79" s="247" t="n"/>
      <c r="R79" s="247" t="n"/>
      <c r="S79" s="247" t="n"/>
    </row>
    <row r="80">
      <c r="B80" s="254" t="inlineStr">
        <is>
          <t>Claims multiplier (relative combined claims propensity)</t>
        </is>
      </c>
      <c r="D80" s="330" t="n">
        <v>1</v>
      </c>
      <c r="E80" s="252" t="inlineStr">
        <is>
          <t>ASSUMED</t>
        </is>
      </c>
      <c r="F80" s="282" t="inlineStr">
        <is>
          <t>–</t>
        </is>
      </c>
      <c r="G80" s="282" t="inlineStr">
        <is>
          <t>–</t>
        </is>
      </c>
      <c r="H80" s="282" t="inlineStr">
        <is>
          <t>–</t>
        </is>
      </c>
      <c r="I80" s="282" t="inlineStr">
        <is>
          <t>–</t>
        </is>
      </c>
      <c r="J80" s="282" t="inlineStr">
        <is>
          <t>–</t>
        </is>
      </c>
      <c r="K80" s="282" t="inlineStr">
        <is>
          <t>–</t>
        </is>
      </c>
      <c r="L80" s="282" t="inlineStr">
        <is>
          <t>–</t>
        </is>
      </c>
      <c r="M80" s="282" t="inlineStr">
        <is>
          <t>–</t>
        </is>
      </c>
      <c r="N80" s="282" t="inlineStr">
        <is>
          <t>–</t>
        </is>
      </c>
      <c r="O80" s="282" t="inlineStr">
        <is>
          <t>–</t>
        </is>
      </c>
      <c r="P80" s="282" t="inlineStr">
        <is>
          <t>–</t>
        </is>
      </c>
      <c r="Q80" s="282" t="inlineStr">
        <is>
          <t>–</t>
        </is>
      </c>
      <c r="R80" s="282" t="inlineStr">
        <is>
          <t>–</t>
        </is>
      </c>
      <c r="S80" s="252" t="inlineStr">
        <is>
          <t>Neutral default; the 0.98 stress has no empirical anchor (driver_register.json)</t>
        </is>
      </c>
    </row>
    <row r="81">
      <c r="B81" s="254" t="inlineStr">
        <is>
          <t>Paired repairable non-filing term (deductible shift)</t>
        </is>
      </c>
      <c r="D81" s="330" t="n">
        <v>0</v>
      </c>
      <c r="E81" s="252" t="inlineStr">
        <is>
          <t>ASSUMED</t>
        </is>
      </c>
      <c r="F81" s="282" t="inlineStr">
        <is>
          <t>–</t>
        </is>
      </c>
      <c r="G81" s="282" t="inlineStr">
        <is>
          <t>–</t>
        </is>
      </c>
      <c r="H81" s="282" t="inlineStr">
        <is>
          <t>–</t>
        </is>
      </c>
      <c r="I81" s="282" t="inlineStr">
        <is>
          <t>–</t>
        </is>
      </c>
      <c r="J81" s="282" t="inlineStr">
        <is>
          <t>–</t>
        </is>
      </c>
      <c r="K81" s="282" t="inlineStr">
        <is>
          <t>–</t>
        </is>
      </c>
      <c r="L81" s="282" t="inlineStr">
        <is>
          <t>–</t>
        </is>
      </c>
      <c r="M81" s="282" t="inlineStr">
        <is>
          <t>–</t>
        </is>
      </c>
      <c r="N81" s="282" t="inlineStr">
        <is>
          <t>–</t>
        </is>
      </c>
      <c r="O81" s="282" t="inlineStr">
        <is>
          <t>–</t>
        </is>
      </c>
      <c r="P81" s="282" t="inlineStr">
        <is>
          <t>–</t>
        </is>
      </c>
      <c r="Q81" s="282" t="inlineStr">
        <is>
          <t>–</t>
        </is>
      </c>
      <c r="R81" s="282" t="inlineStr">
        <is>
          <t>–</t>
        </is>
      </c>
      <c r="S81" s="252" t="inlineStr">
        <is>
          <t>Placeholder; CCC deductible-share series could bound it. Not yet wired</t>
        </is>
      </c>
    </row>
    <row r="82">
      <c r="B82" s="254" t="inlineStr">
        <is>
          <t>Routing fraction of total losses to the insurance auction channel</t>
        </is>
      </c>
      <c r="D82" s="330" t="n">
        <v>1</v>
      </c>
      <c r="E82" s="252" t="inlineStr">
        <is>
          <t>ASSUMED</t>
        </is>
      </c>
      <c r="F82" s="282" t="inlineStr">
        <is>
          <t>–</t>
        </is>
      </c>
      <c r="G82" s="282" t="inlineStr">
        <is>
          <t>–</t>
        </is>
      </c>
      <c r="H82" s="282" t="inlineStr">
        <is>
          <t>–</t>
        </is>
      </c>
      <c r="I82" s="282" t="inlineStr">
        <is>
          <t>–</t>
        </is>
      </c>
      <c r="J82" s="282" t="inlineStr">
        <is>
          <t>–</t>
        </is>
      </c>
      <c r="K82" s="282" t="inlineStr">
        <is>
          <t>–</t>
        </is>
      </c>
      <c r="L82" s="282" t="inlineStr">
        <is>
          <t>–</t>
        </is>
      </c>
      <c r="M82" s="282" t="inlineStr">
        <is>
          <t>–</t>
        </is>
      </c>
      <c r="N82" s="282" t="inlineStr">
        <is>
          <t>–</t>
        </is>
      </c>
      <c r="O82" s="282" t="inlineStr">
        <is>
          <t>–</t>
        </is>
      </c>
      <c r="P82" s="282" t="inlineStr">
        <is>
          <t>–</t>
        </is>
      </c>
      <c r="Q82" s="282" t="inlineStr">
        <is>
          <t>–</t>
        </is>
      </c>
      <c r="R82" s="282" t="inlineStr">
        <is>
          <t>–</t>
        </is>
      </c>
      <c r="S82" s="252" t="inlineStr">
        <is>
          <t>Convention; dismantlers may buy directly from insurers (10-K)</t>
        </is>
      </c>
    </row>
    <row r="83">
      <c r="B83" s="254" t="inlineStr">
        <is>
          <t>Extra catastrophe unit fraction</t>
        </is>
      </c>
      <c r="D83" s="330" t="n">
        <v>0</v>
      </c>
      <c r="E83" s="252" t="inlineStr">
        <is>
          <t>ASSUMED</t>
        </is>
      </c>
      <c r="F83" s="282" t="inlineStr">
        <is>
          <t>–</t>
        </is>
      </c>
      <c r="G83" s="282" t="inlineStr">
        <is>
          <t>–</t>
        </is>
      </c>
      <c r="H83" s="282" t="inlineStr">
        <is>
          <t>–</t>
        </is>
      </c>
      <c r="I83" s="282" t="inlineStr">
        <is>
          <t>–</t>
        </is>
      </c>
      <c r="J83" s="282" t="inlineStr">
        <is>
          <t>–</t>
        </is>
      </c>
      <c r="K83" s="282" t="inlineStr">
        <is>
          <t>–</t>
        </is>
      </c>
      <c r="L83" s="282" t="inlineStr">
        <is>
          <t>–</t>
        </is>
      </c>
      <c r="M83" s="282" t="inlineStr">
        <is>
          <t>–</t>
        </is>
      </c>
      <c r="N83" s="282" t="inlineStr">
        <is>
          <t>–</t>
        </is>
      </c>
      <c r="O83" s="282" t="inlineStr">
        <is>
          <t>–</t>
        </is>
      </c>
      <c r="P83" s="282" t="inlineStr">
        <is>
          <t>–</t>
        </is>
      </c>
      <c r="Q83" s="282" t="inlineStr">
        <is>
          <t>–</t>
        </is>
      </c>
      <c r="R83" s="282" t="inlineStr">
        <is>
          <t>–</t>
        </is>
      </c>
      <c r="S83" s="252" t="inlineStr">
        <is>
          <t>Convention; FY25 hurricane units handled in history</t>
        </is>
      </c>
    </row>
    <row r="85">
      <c r="B85" s="271" t="inlineStr">
        <is>
          <t>Helper: claims mass by cell and calendar year (fleet × R(age) × body factor, from E1a; thousands-equivalent)</t>
        </is>
      </c>
      <c r="C85" s="272" t="n"/>
      <c r="D85" s="271" t="inlineStr">
        <is>
          <t>CY2023</t>
        </is>
      </c>
      <c r="E85" s="271" t="inlineStr">
        <is>
          <t>CY2024</t>
        </is>
      </c>
      <c r="F85" s="271" t="inlineStr">
        <is>
          <t>CY2025</t>
        </is>
      </c>
      <c r="G85" s="271" t="inlineStr">
        <is>
          <t>CY2026</t>
        </is>
      </c>
      <c r="H85" s="271" t="inlineStr">
        <is>
          <t>CY2027</t>
        </is>
      </c>
      <c r="I85" s="271" t="inlineStr">
        <is>
          <t>CY2028</t>
        </is>
      </c>
      <c r="J85" s="272" t="n"/>
      <c r="K85" s="272" t="n"/>
      <c r="L85" s="272" t="n"/>
      <c r="M85" s="272" t="n"/>
      <c r="N85" s="272" t="n"/>
      <c r="O85" s="272" t="n"/>
      <c r="P85" s="272" t="n"/>
      <c r="Q85" s="272" t="n"/>
      <c r="R85" s="272" t="n"/>
      <c r="S85" s="272" t="n"/>
    </row>
    <row r="86">
      <c r="B86" s="254" t="inlineStr">
        <is>
          <t>Car — 0 (current or newer)</t>
        </is>
      </c>
      <c r="D86" s="261">
        <f>SUMIFS('E1a Fleet (roll)'!T$7:T$190,'E1a Fleet (roll)'!$A$7:$A$190,"Car",'E1a Fleet (roll)'!$C$7:$C$190,0)</f>
        <v/>
      </c>
      <c r="E86" s="261">
        <f>SUMIFS('E1a Fleet (roll)'!U$7:U$190,'E1a Fleet (roll)'!$A$7:$A$190,"Car",'E1a Fleet (roll)'!$C$7:$C$190,0)</f>
        <v/>
      </c>
      <c r="F86" s="261">
        <f>SUMIFS('E1a Fleet (roll)'!V$7:V$190,'E1a Fleet (roll)'!$A$7:$A$190,"Car",'E1a Fleet (roll)'!$C$7:$C$190,0)</f>
        <v/>
      </c>
      <c r="G86" s="261">
        <f>SUMIFS('E1a Fleet (roll)'!W$7:W$190,'E1a Fleet (roll)'!$A$7:$A$190,"Car",'E1a Fleet (roll)'!$C$7:$C$190,0)</f>
        <v/>
      </c>
      <c r="H86" s="261">
        <f>SUMIFS('E1a Fleet (roll)'!X$7:X$190,'E1a Fleet (roll)'!$A$7:$A$190,"Car",'E1a Fleet (roll)'!$C$7:$C$190,0)</f>
        <v/>
      </c>
      <c r="I86" s="261">
        <f>SUMIFS('E1a Fleet (roll)'!Y$7:Y$190,'E1a Fleet (roll)'!$A$7:$A$190,"Car",'E1a Fleet (roll)'!$C$7:$C$190,0)</f>
        <v/>
      </c>
      <c r="J86" s="282" t="inlineStr">
        <is>
          <t>–</t>
        </is>
      </c>
      <c r="K86" s="282" t="inlineStr">
        <is>
          <t>–</t>
        </is>
      </c>
      <c r="L86" s="282" t="inlineStr">
        <is>
          <t>–</t>
        </is>
      </c>
      <c r="M86" s="282" t="inlineStr">
        <is>
          <t>–</t>
        </is>
      </c>
      <c r="N86" s="282" t="inlineStr">
        <is>
          <t>–</t>
        </is>
      </c>
      <c r="O86" s="282" t="inlineStr">
        <is>
          <t>–</t>
        </is>
      </c>
      <c r="P86" s="282" t="inlineStr">
        <is>
          <t>–</t>
        </is>
      </c>
      <c r="Q86" s="282" t="inlineStr">
        <is>
          <t>–</t>
        </is>
      </c>
      <c r="R86" s="282" t="inlineStr">
        <is>
          <t>–</t>
        </is>
      </c>
    </row>
    <row r="87">
      <c r="B87" s="328" t="inlineStr">
        <is>
          <t>Car — 1–3 years</t>
        </is>
      </c>
      <c r="D87" s="261">
        <f>SUMIFS('E1a Fleet (roll)'!T$7:T$190,'E1a Fleet (roll)'!$A$7:$A$190,"Car",'E1a Fleet (roll)'!$C$7:$C$190,1)</f>
        <v/>
      </c>
      <c r="E87" s="261">
        <f>SUMIFS('E1a Fleet (roll)'!U$7:U$190,'E1a Fleet (roll)'!$A$7:$A$190,"Car",'E1a Fleet (roll)'!$C$7:$C$190,1)</f>
        <v/>
      </c>
      <c r="F87" s="261">
        <f>SUMIFS('E1a Fleet (roll)'!V$7:V$190,'E1a Fleet (roll)'!$A$7:$A$190,"Car",'E1a Fleet (roll)'!$C$7:$C$190,1)</f>
        <v/>
      </c>
      <c r="G87" s="261">
        <f>SUMIFS('E1a Fleet (roll)'!W$7:W$190,'E1a Fleet (roll)'!$A$7:$A$190,"Car",'E1a Fleet (roll)'!$C$7:$C$190,1)</f>
        <v/>
      </c>
      <c r="H87" s="261">
        <f>SUMIFS('E1a Fleet (roll)'!X$7:X$190,'E1a Fleet (roll)'!$A$7:$A$190,"Car",'E1a Fleet (roll)'!$C$7:$C$190,1)</f>
        <v/>
      </c>
      <c r="I87" s="261">
        <f>SUMIFS('E1a Fleet (roll)'!Y$7:Y$190,'E1a Fleet (roll)'!$A$7:$A$190,"Car",'E1a Fleet (roll)'!$C$7:$C$190,1)</f>
        <v/>
      </c>
      <c r="J87" s="282" t="inlineStr">
        <is>
          <t>–</t>
        </is>
      </c>
      <c r="K87" s="282" t="inlineStr">
        <is>
          <t>–</t>
        </is>
      </c>
      <c r="L87" s="282" t="inlineStr">
        <is>
          <t>–</t>
        </is>
      </c>
      <c r="M87" s="282" t="inlineStr">
        <is>
          <t>–</t>
        </is>
      </c>
      <c r="N87" s="282" t="inlineStr">
        <is>
          <t>–</t>
        </is>
      </c>
      <c r="O87" s="282" t="inlineStr">
        <is>
          <t>–</t>
        </is>
      </c>
      <c r="P87" s="282" t="inlineStr">
        <is>
          <t>–</t>
        </is>
      </c>
      <c r="Q87" s="282" t="inlineStr">
        <is>
          <t>–</t>
        </is>
      </c>
      <c r="R87" s="282" t="inlineStr">
        <is>
          <t>–</t>
        </is>
      </c>
    </row>
    <row r="88">
      <c r="B88" s="328" t="inlineStr">
        <is>
          <t>Car — 4–6 years</t>
        </is>
      </c>
      <c r="D88" s="261">
        <f>SUMIFS('E1a Fleet (roll)'!T$7:T$190,'E1a Fleet (roll)'!$A$7:$A$190,"Car",'E1a Fleet (roll)'!$C$7:$C$190,2)</f>
        <v/>
      </c>
      <c r="E88" s="261">
        <f>SUMIFS('E1a Fleet (roll)'!U$7:U$190,'E1a Fleet (roll)'!$A$7:$A$190,"Car",'E1a Fleet (roll)'!$C$7:$C$190,2)</f>
        <v/>
      </c>
      <c r="F88" s="261">
        <f>SUMIFS('E1a Fleet (roll)'!V$7:V$190,'E1a Fleet (roll)'!$A$7:$A$190,"Car",'E1a Fleet (roll)'!$C$7:$C$190,2)</f>
        <v/>
      </c>
      <c r="G88" s="261">
        <f>SUMIFS('E1a Fleet (roll)'!W$7:W$190,'E1a Fleet (roll)'!$A$7:$A$190,"Car",'E1a Fleet (roll)'!$C$7:$C$190,2)</f>
        <v/>
      </c>
      <c r="H88" s="261">
        <f>SUMIFS('E1a Fleet (roll)'!X$7:X$190,'E1a Fleet (roll)'!$A$7:$A$190,"Car",'E1a Fleet (roll)'!$C$7:$C$190,2)</f>
        <v/>
      </c>
      <c r="I88" s="261">
        <f>SUMIFS('E1a Fleet (roll)'!Y$7:Y$190,'E1a Fleet (roll)'!$A$7:$A$190,"Car",'E1a Fleet (roll)'!$C$7:$C$190,2)</f>
        <v/>
      </c>
      <c r="J88" s="282" t="inlineStr">
        <is>
          <t>–</t>
        </is>
      </c>
      <c r="K88" s="282" t="inlineStr">
        <is>
          <t>–</t>
        </is>
      </c>
      <c r="L88" s="282" t="inlineStr">
        <is>
          <t>–</t>
        </is>
      </c>
      <c r="M88" s="282" t="inlineStr">
        <is>
          <t>–</t>
        </is>
      </c>
      <c r="N88" s="282" t="inlineStr">
        <is>
          <t>–</t>
        </is>
      </c>
      <c r="O88" s="282" t="inlineStr">
        <is>
          <t>–</t>
        </is>
      </c>
      <c r="P88" s="282" t="inlineStr">
        <is>
          <t>–</t>
        </is>
      </c>
      <c r="Q88" s="282" t="inlineStr">
        <is>
          <t>–</t>
        </is>
      </c>
      <c r="R88" s="282" t="inlineStr">
        <is>
          <t>–</t>
        </is>
      </c>
    </row>
    <row r="89">
      <c r="B89" s="328" t="inlineStr">
        <is>
          <t>Car — 7+ years</t>
        </is>
      </c>
      <c r="D89" s="261">
        <f>SUMIFS('E1a Fleet (roll)'!T$7:T$190,'E1a Fleet (roll)'!$A$7:$A$190,"Car",'E1a Fleet (roll)'!$C$7:$C$190,3)</f>
        <v/>
      </c>
      <c r="E89" s="261">
        <f>SUMIFS('E1a Fleet (roll)'!U$7:U$190,'E1a Fleet (roll)'!$A$7:$A$190,"Car",'E1a Fleet (roll)'!$C$7:$C$190,3)</f>
        <v/>
      </c>
      <c r="F89" s="261">
        <f>SUMIFS('E1a Fleet (roll)'!V$7:V$190,'E1a Fleet (roll)'!$A$7:$A$190,"Car",'E1a Fleet (roll)'!$C$7:$C$190,3)</f>
        <v/>
      </c>
      <c r="G89" s="261">
        <f>SUMIFS('E1a Fleet (roll)'!W$7:W$190,'E1a Fleet (roll)'!$A$7:$A$190,"Car",'E1a Fleet (roll)'!$C$7:$C$190,3)</f>
        <v/>
      </c>
      <c r="H89" s="261">
        <f>SUMIFS('E1a Fleet (roll)'!X$7:X$190,'E1a Fleet (roll)'!$A$7:$A$190,"Car",'E1a Fleet (roll)'!$C$7:$C$190,3)</f>
        <v/>
      </c>
      <c r="I89" s="261">
        <f>SUMIFS('E1a Fleet (roll)'!Y$7:Y$190,'E1a Fleet (roll)'!$A$7:$A$190,"Car",'E1a Fleet (roll)'!$C$7:$C$190,3)</f>
        <v/>
      </c>
      <c r="J89" s="282" t="inlineStr">
        <is>
          <t>–</t>
        </is>
      </c>
      <c r="K89" s="282" t="inlineStr">
        <is>
          <t>–</t>
        </is>
      </c>
      <c r="L89" s="282" t="inlineStr">
        <is>
          <t>–</t>
        </is>
      </c>
      <c r="M89" s="282" t="inlineStr">
        <is>
          <t>–</t>
        </is>
      </c>
      <c r="N89" s="282" t="inlineStr">
        <is>
          <t>–</t>
        </is>
      </c>
      <c r="O89" s="282" t="inlineStr">
        <is>
          <t>–</t>
        </is>
      </c>
      <c r="P89" s="282" t="inlineStr">
        <is>
          <t>–</t>
        </is>
      </c>
      <c r="Q89" s="282" t="inlineStr">
        <is>
          <t>–</t>
        </is>
      </c>
      <c r="R89" s="282" t="inlineStr">
        <is>
          <t>–</t>
        </is>
      </c>
    </row>
    <row r="90">
      <c r="B90" s="254" t="inlineStr">
        <is>
          <t>Utility vehicle (SUV) — 0 (current or newer)</t>
        </is>
      </c>
      <c r="D90" s="261">
        <f>SUMIFS('E1a Fleet (roll)'!T$7:T$190,'E1a Fleet (roll)'!$A$7:$A$190,"SUV",'E1a Fleet (roll)'!$C$7:$C$190,0)</f>
        <v/>
      </c>
      <c r="E90" s="261">
        <f>SUMIFS('E1a Fleet (roll)'!U$7:U$190,'E1a Fleet (roll)'!$A$7:$A$190,"SUV",'E1a Fleet (roll)'!$C$7:$C$190,0)</f>
        <v/>
      </c>
      <c r="F90" s="261">
        <f>SUMIFS('E1a Fleet (roll)'!V$7:V$190,'E1a Fleet (roll)'!$A$7:$A$190,"SUV",'E1a Fleet (roll)'!$C$7:$C$190,0)</f>
        <v/>
      </c>
      <c r="G90" s="261">
        <f>SUMIFS('E1a Fleet (roll)'!W$7:W$190,'E1a Fleet (roll)'!$A$7:$A$190,"SUV",'E1a Fleet (roll)'!$C$7:$C$190,0)</f>
        <v/>
      </c>
      <c r="H90" s="261">
        <f>SUMIFS('E1a Fleet (roll)'!X$7:X$190,'E1a Fleet (roll)'!$A$7:$A$190,"SUV",'E1a Fleet (roll)'!$C$7:$C$190,0)</f>
        <v/>
      </c>
      <c r="I90" s="261">
        <f>SUMIFS('E1a Fleet (roll)'!Y$7:Y$190,'E1a Fleet (roll)'!$A$7:$A$190,"SUV",'E1a Fleet (roll)'!$C$7:$C$190,0)</f>
        <v/>
      </c>
      <c r="J90" s="282" t="inlineStr">
        <is>
          <t>–</t>
        </is>
      </c>
      <c r="K90" s="282" t="inlineStr">
        <is>
          <t>–</t>
        </is>
      </c>
      <c r="L90" s="282" t="inlineStr">
        <is>
          <t>–</t>
        </is>
      </c>
      <c r="M90" s="282" t="inlineStr">
        <is>
          <t>–</t>
        </is>
      </c>
      <c r="N90" s="282" t="inlineStr">
        <is>
          <t>–</t>
        </is>
      </c>
      <c r="O90" s="282" t="inlineStr">
        <is>
          <t>–</t>
        </is>
      </c>
      <c r="P90" s="282" t="inlineStr">
        <is>
          <t>–</t>
        </is>
      </c>
      <c r="Q90" s="282" t="inlineStr">
        <is>
          <t>–</t>
        </is>
      </c>
      <c r="R90" s="282" t="inlineStr">
        <is>
          <t>–</t>
        </is>
      </c>
    </row>
    <row r="91">
      <c r="B91" s="328" t="inlineStr">
        <is>
          <t>Utility vehicle (SUV) — 1–3 years</t>
        </is>
      </c>
      <c r="D91" s="261">
        <f>SUMIFS('E1a Fleet (roll)'!T$7:T$190,'E1a Fleet (roll)'!$A$7:$A$190,"SUV",'E1a Fleet (roll)'!$C$7:$C$190,1)</f>
        <v/>
      </c>
      <c r="E91" s="261">
        <f>SUMIFS('E1a Fleet (roll)'!U$7:U$190,'E1a Fleet (roll)'!$A$7:$A$190,"SUV",'E1a Fleet (roll)'!$C$7:$C$190,1)</f>
        <v/>
      </c>
      <c r="F91" s="261">
        <f>SUMIFS('E1a Fleet (roll)'!V$7:V$190,'E1a Fleet (roll)'!$A$7:$A$190,"SUV",'E1a Fleet (roll)'!$C$7:$C$190,1)</f>
        <v/>
      </c>
      <c r="G91" s="261">
        <f>SUMIFS('E1a Fleet (roll)'!W$7:W$190,'E1a Fleet (roll)'!$A$7:$A$190,"SUV",'E1a Fleet (roll)'!$C$7:$C$190,1)</f>
        <v/>
      </c>
      <c r="H91" s="261">
        <f>SUMIFS('E1a Fleet (roll)'!X$7:X$190,'E1a Fleet (roll)'!$A$7:$A$190,"SUV",'E1a Fleet (roll)'!$C$7:$C$190,1)</f>
        <v/>
      </c>
      <c r="I91" s="261">
        <f>SUMIFS('E1a Fleet (roll)'!Y$7:Y$190,'E1a Fleet (roll)'!$A$7:$A$190,"SUV",'E1a Fleet (roll)'!$C$7:$C$190,1)</f>
        <v/>
      </c>
      <c r="J91" s="282" t="inlineStr">
        <is>
          <t>–</t>
        </is>
      </c>
      <c r="K91" s="282" t="inlineStr">
        <is>
          <t>–</t>
        </is>
      </c>
      <c r="L91" s="282" t="inlineStr">
        <is>
          <t>–</t>
        </is>
      </c>
      <c r="M91" s="282" t="inlineStr">
        <is>
          <t>–</t>
        </is>
      </c>
      <c r="N91" s="282" t="inlineStr">
        <is>
          <t>–</t>
        </is>
      </c>
      <c r="O91" s="282" t="inlineStr">
        <is>
          <t>–</t>
        </is>
      </c>
      <c r="P91" s="282" t="inlineStr">
        <is>
          <t>–</t>
        </is>
      </c>
      <c r="Q91" s="282" t="inlineStr">
        <is>
          <t>–</t>
        </is>
      </c>
      <c r="R91" s="282" t="inlineStr">
        <is>
          <t>–</t>
        </is>
      </c>
    </row>
    <row r="92">
      <c r="B92" s="328" t="inlineStr">
        <is>
          <t>Utility vehicle (SUV) — 4–6 years</t>
        </is>
      </c>
      <c r="D92" s="261">
        <f>SUMIFS('E1a Fleet (roll)'!T$7:T$190,'E1a Fleet (roll)'!$A$7:$A$190,"SUV",'E1a Fleet (roll)'!$C$7:$C$190,2)</f>
        <v/>
      </c>
      <c r="E92" s="261">
        <f>SUMIFS('E1a Fleet (roll)'!U$7:U$190,'E1a Fleet (roll)'!$A$7:$A$190,"SUV",'E1a Fleet (roll)'!$C$7:$C$190,2)</f>
        <v/>
      </c>
      <c r="F92" s="261">
        <f>SUMIFS('E1a Fleet (roll)'!V$7:V$190,'E1a Fleet (roll)'!$A$7:$A$190,"SUV",'E1a Fleet (roll)'!$C$7:$C$190,2)</f>
        <v/>
      </c>
      <c r="G92" s="261">
        <f>SUMIFS('E1a Fleet (roll)'!W$7:W$190,'E1a Fleet (roll)'!$A$7:$A$190,"SUV",'E1a Fleet (roll)'!$C$7:$C$190,2)</f>
        <v/>
      </c>
      <c r="H92" s="261">
        <f>SUMIFS('E1a Fleet (roll)'!X$7:X$190,'E1a Fleet (roll)'!$A$7:$A$190,"SUV",'E1a Fleet (roll)'!$C$7:$C$190,2)</f>
        <v/>
      </c>
      <c r="I92" s="261">
        <f>SUMIFS('E1a Fleet (roll)'!Y$7:Y$190,'E1a Fleet (roll)'!$A$7:$A$190,"SUV",'E1a Fleet (roll)'!$C$7:$C$190,2)</f>
        <v/>
      </c>
      <c r="J92" s="282" t="inlineStr">
        <is>
          <t>–</t>
        </is>
      </c>
      <c r="K92" s="282" t="inlineStr">
        <is>
          <t>–</t>
        </is>
      </c>
      <c r="L92" s="282" t="inlineStr">
        <is>
          <t>–</t>
        </is>
      </c>
      <c r="M92" s="282" t="inlineStr">
        <is>
          <t>–</t>
        </is>
      </c>
      <c r="N92" s="282" t="inlineStr">
        <is>
          <t>–</t>
        </is>
      </c>
      <c r="O92" s="282" t="inlineStr">
        <is>
          <t>–</t>
        </is>
      </c>
      <c r="P92" s="282" t="inlineStr">
        <is>
          <t>–</t>
        </is>
      </c>
      <c r="Q92" s="282" t="inlineStr">
        <is>
          <t>–</t>
        </is>
      </c>
      <c r="R92" s="282" t="inlineStr">
        <is>
          <t>–</t>
        </is>
      </c>
    </row>
    <row r="93">
      <c r="B93" s="328" t="inlineStr">
        <is>
          <t>Utility vehicle (SUV) — 7+ years</t>
        </is>
      </c>
      <c r="D93" s="261">
        <f>SUMIFS('E1a Fleet (roll)'!T$7:T$190,'E1a Fleet (roll)'!$A$7:$A$190,"SUV",'E1a Fleet (roll)'!$C$7:$C$190,3)</f>
        <v/>
      </c>
      <c r="E93" s="261">
        <f>SUMIFS('E1a Fleet (roll)'!U$7:U$190,'E1a Fleet (roll)'!$A$7:$A$190,"SUV",'E1a Fleet (roll)'!$C$7:$C$190,3)</f>
        <v/>
      </c>
      <c r="F93" s="261">
        <f>SUMIFS('E1a Fleet (roll)'!V$7:V$190,'E1a Fleet (roll)'!$A$7:$A$190,"SUV",'E1a Fleet (roll)'!$C$7:$C$190,3)</f>
        <v/>
      </c>
      <c r="G93" s="261">
        <f>SUMIFS('E1a Fleet (roll)'!W$7:W$190,'E1a Fleet (roll)'!$A$7:$A$190,"SUV",'E1a Fleet (roll)'!$C$7:$C$190,3)</f>
        <v/>
      </c>
      <c r="H93" s="261">
        <f>SUMIFS('E1a Fleet (roll)'!X$7:X$190,'E1a Fleet (roll)'!$A$7:$A$190,"SUV",'E1a Fleet (roll)'!$C$7:$C$190,3)</f>
        <v/>
      </c>
      <c r="I93" s="261">
        <f>SUMIFS('E1a Fleet (roll)'!Y$7:Y$190,'E1a Fleet (roll)'!$A$7:$A$190,"SUV",'E1a Fleet (roll)'!$C$7:$C$190,3)</f>
        <v/>
      </c>
      <c r="J93" s="282" t="inlineStr">
        <is>
          <t>–</t>
        </is>
      </c>
      <c r="K93" s="282" t="inlineStr">
        <is>
          <t>–</t>
        </is>
      </c>
      <c r="L93" s="282" t="inlineStr">
        <is>
          <t>–</t>
        </is>
      </c>
      <c r="M93" s="282" t="inlineStr">
        <is>
          <t>–</t>
        </is>
      </c>
      <c r="N93" s="282" t="inlineStr">
        <is>
          <t>–</t>
        </is>
      </c>
      <c r="O93" s="282" t="inlineStr">
        <is>
          <t>–</t>
        </is>
      </c>
      <c r="P93" s="282" t="inlineStr">
        <is>
          <t>–</t>
        </is>
      </c>
      <c r="Q93" s="282" t="inlineStr">
        <is>
          <t>–</t>
        </is>
      </c>
      <c r="R93" s="282" t="inlineStr">
        <is>
          <t>–</t>
        </is>
      </c>
    </row>
    <row r="94">
      <c r="B94" s="254" t="inlineStr">
        <is>
          <t>Pickup — 0 (current or newer)</t>
        </is>
      </c>
      <c r="D94" s="261">
        <f>SUMIFS('E1a Fleet (roll)'!T$7:T$190,'E1a Fleet (roll)'!$A$7:$A$190,"Pickup",'E1a Fleet (roll)'!$C$7:$C$190,0)</f>
        <v/>
      </c>
      <c r="E94" s="261">
        <f>SUMIFS('E1a Fleet (roll)'!U$7:U$190,'E1a Fleet (roll)'!$A$7:$A$190,"Pickup",'E1a Fleet (roll)'!$C$7:$C$190,0)</f>
        <v/>
      </c>
      <c r="F94" s="261">
        <f>SUMIFS('E1a Fleet (roll)'!V$7:V$190,'E1a Fleet (roll)'!$A$7:$A$190,"Pickup",'E1a Fleet (roll)'!$C$7:$C$190,0)</f>
        <v/>
      </c>
      <c r="G94" s="261">
        <f>SUMIFS('E1a Fleet (roll)'!W$7:W$190,'E1a Fleet (roll)'!$A$7:$A$190,"Pickup",'E1a Fleet (roll)'!$C$7:$C$190,0)</f>
        <v/>
      </c>
      <c r="H94" s="261">
        <f>SUMIFS('E1a Fleet (roll)'!X$7:X$190,'E1a Fleet (roll)'!$A$7:$A$190,"Pickup",'E1a Fleet (roll)'!$C$7:$C$190,0)</f>
        <v/>
      </c>
      <c r="I94" s="261">
        <f>SUMIFS('E1a Fleet (roll)'!Y$7:Y$190,'E1a Fleet (roll)'!$A$7:$A$190,"Pickup",'E1a Fleet (roll)'!$C$7:$C$190,0)</f>
        <v/>
      </c>
      <c r="J94" s="282" t="inlineStr">
        <is>
          <t>–</t>
        </is>
      </c>
      <c r="K94" s="282" t="inlineStr">
        <is>
          <t>–</t>
        </is>
      </c>
      <c r="L94" s="282" t="inlineStr">
        <is>
          <t>–</t>
        </is>
      </c>
      <c r="M94" s="282" t="inlineStr">
        <is>
          <t>–</t>
        </is>
      </c>
      <c r="N94" s="282" t="inlineStr">
        <is>
          <t>–</t>
        </is>
      </c>
      <c r="O94" s="282" t="inlineStr">
        <is>
          <t>–</t>
        </is>
      </c>
      <c r="P94" s="282" t="inlineStr">
        <is>
          <t>–</t>
        </is>
      </c>
      <c r="Q94" s="282" t="inlineStr">
        <is>
          <t>–</t>
        </is>
      </c>
      <c r="R94" s="282" t="inlineStr">
        <is>
          <t>–</t>
        </is>
      </c>
    </row>
    <row r="95">
      <c r="B95" s="328" t="inlineStr">
        <is>
          <t>Pickup — 1–3 years</t>
        </is>
      </c>
      <c r="D95" s="261">
        <f>SUMIFS('E1a Fleet (roll)'!T$7:T$190,'E1a Fleet (roll)'!$A$7:$A$190,"Pickup",'E1a Fleet (roll)'!$C$7:$C$190,1)</f>
        <v/>
      </c>
      <c r="E95" s="261">
        <f>SUMIFS('E1a Fleet (roll)'!U$7:U$190,'E1a Fleet (roll)'!$A$7:$A$190,"Pickup",'E1a Fleet (roll)'!$C$7:$C$190,1)</f>
        <v/>
      </c>
      <c r="F95" s="261">
        <f>SUMIFS('E1a Fleet (roll)'!V$7:V$190,'E1a Fleet (roll)'!$A$7:$A$190,"Pickup",'E1a Fleet (roll)'!$C$7:$C$190,1)</f>
        <v/>
      </c>
      <c r="G95" s="261">
        <f>SUMIFS('E1a Fleet (roll)'!W$7:W$190,'E1a Fleet (roll)'!$A$7:$A$190,"Pickup",'E1a Fleet (roll)'!$C$7:$C$190,1)</f>
        <v/>
      </c>
      <c r="H95" s="261">
        <f>SUMIFS('E1a Fleet (roll)'!X$7:X$190,'E1a Fleet (roll)'!$A$7:$A$190,"Pickup",'E1a Fleet (roll)'!$C$7:$C$190,1)</f>
        <v/>
      </c>
      <c r="I95" s="261">
        <f>SUMIFS('E1a Fleet (roll)'!Y$7:Y$190,'E1a Fleet (roll)'!$A$7:$A$190,"Pickup",'E1a Fleet (roll)'!$C$7:$C$190,1)</f>
        <v/>
      </c>
      <c r="J95" s="282" t="inlineStr">
        <is>
          <t>–</t>
        </is>
      </c>
      <c r="K95" s="282" t="inlineStr">
        <is>
          <t>–</t>
        </is>
      </c>
      <c r="L95" s="282" t="inlineStr">
        <is>
          <t>–</t>
        </is>
      </c>
      <c r="M95" s="282" t="inlineStr">
        <is>
          <t>–</t>
        </is>
      </c>
      <c r="N95" s="282" t="inlineStr">
        <is>
          <t>–</t>
        </is>
      </c>
      <c r="O95" s="282" t="inlineStr">
        <is>
          <t>–</t>
        </is>
      </c>
      <c r="P95" s="282" t="inlineStr">
        <is>
          <t>–</t>
        </is>
      </c>
      <c r="Q95" s="282" t="inlineStr">
        <is>
          <t>–</t>
        </is>
      </c>
      <c r="R95" s="282" t="inlineStr">
        <is>
          <t>–</t>
        </is>
      </c>
    </row>
    <row r="96">
      <c r="B96" s="328" t="inlineStr">
        <is>
          <t>Pickup — 4–6 years</t>
        </is>
      </c>
      <c r="D96" s="261">
        <f>SUMIFS('E1a Fleet (roll)'!T$7:T$190,'E1a Fleet (roll)'!$A$7:$A$190,"Pickup",'E1a Fleet (roll)'!$C$7:$C$190,2)</f>
        <v/>
      </c>
      <c r="E96" s="261">
        <f>SUMIFS('E1a Fleet (roll)'!U$7:U$190,'E1a Fleet (roll)'!$A$7:$A$190,"Pickup",'E1a Fleet (roll)'!$C$7:$C$190,2)</f>
        <v/>
      </c>
      <c r="F96" s="261">
        <f>SUMIFS('E1a Fleet (roll)'!V$7:V$190,'E1a Fleet (roll)'!$A$7:$A$190,"Pickup",'E1a Fleet (roll)'!$C$7:$C$190,2)</f>
        <v/>
      </c>
      <c r="G96" s="261">
        <f>SUMIFS('E1a Fleet (roll)'!W$7:W$190,'E1a Fleet (roll)'!$A$7:$A$190,"Pickup",'E1a Fleet (roll)'!$C$7:$C$190,2)</f>
        <v/>
      </c>
      <c r="H96" s="261">
        <f>SUMIFS('E1a Fleet (roll)'!X$7:X$190,'E1a Fleet (roll)'!$A$7:$A$190,"Pickup",'E1a Fleet (roll)'!$C$7:$C$190,2)</f>
        <v/>
      </c>
      <c r="I96" s="261">
        <f>SUMIFS('E1a Fleet (roll)'!Y$7:Y$190,'E1a Fleet (roll)'!$A$7:$A$190,"Pickup",'E1a Fleet (roll)'!$C$7:$C$190,2)</f>
        <v/>
      </c>
      <c r="J96" s="282" t="inlineStr">
        <is>
          <t>–</t>
        </is>
      </c>
      <c r="K96" s="282" t="inlineStr">
        <is>
          <t>–</t>
        </is>
      </c>
      <c r="L96" s="282" t="inlineStr">
        <is>
          <t>–</t>
        </is>
      </c>
      <c r="M96" s="282" t="inlineStr">
        <is>
          <t>–</t>
        </is>
      </c>
      <c r="N96" s="282" t="inlineStr">
        <is>
          <t>–</t>
        </is>
      </c>
      <c r="O96" s="282" t="inlineStr">
        <is>
          <t>–</t>
        </is>
      </c>
      <c r="P96" s="282" t="inlineStr">
        <is>
          <t>–</t>
        </is>
      </c>
      <c r="Q96" s="282" t="inlineStr">
        <is>
          <t>–</t>
        </is>
      </c>
      <c r="R96" s="282" t="inlineStr">
        <is>
          <t>–</t>
        </is>
      </c>
    </row>
    <row r="97">
      <c r="B97" s="328" t="inlineStr">
        <is>
          <t>Pickup — 7+ years</t>
        </is>
      </c>
      <c r="D97" s="261">
        <f>SUMIFS('E1a Fleet (roll)'!T$7:T$190,'E1a Fleet (roll)'!$A$7:$A$190,"Pickup",'E1a Fleet (roll)'!$C$7:$C$190,3)</f>
        <v/>
      </c>
      <c r="E97" s="261">
        <f>SUMIFS('E1a Fleet (roll)'!U$7:U$190,'E1a Fleet (roll)'!$A$7:$A$190,"Pickup",'E1a Fleet (roll)'!$C$7:$C$190,3)</f>
        <v/>
      </c>
      <c r="F97" s="261">
        <f>SUMIFS('E1a Fleet (roll)'!V$7:V$190,'E1a Fleet (roll)'!$A$7:$A$190,"Pickup",'E1a Fleet (roll)'!$C$7:$C$190,3)</f>
        <v/>
      </c>
      <c r="G97" s="261">
        <f>SUMIFS('E1a Fleet (roll)'!W$7:W$190,'E1a Fleet (roll)'!$A$7:$A$190,"Pickup",'E1a Fleet (roll)'!$C$7:$C$190,3)</f>
        <v/>
      </c>
      <c r="H97" s="261">
        <f>SUMIFS('E1a Fleet (roll)'!X$7:X$190,'E1a Fleet (roll)'!$A$7:$A$190,"Pickup",'E1a Fleet (roll)'!$C$7:$C$190,3)</f>
        <v/>
      </c>
      <c r="I97" s="261">
        <f>SUMIFS('E1a Fleet (roll)'!Y$7:Y$190,'E1a Fleet (roll)'!$A$7:$A$190,"Pickup",'E1a Fleet (roll)'!$C$7:$C$190,3)</f>
        <v/>
      </c>
      <c r="J97" s="282" t="inlineStr">
        <is>
          <t>–</t>
        </is>
      </c>
      <c r="K97" s="282" t="inlineStr">
        <is>
          <t>–</t>
        </is>
      </c>
      <c r="L97" s="282" t="inlineStr">
        <is>
          <t>–</t>
        </is>
      </c>
      <c r="M97" s="282" t="inlineStr">
        <is>
          <t>–</t>
        </is>
      </c>
      <c r="N97" s="282" t="inlineStr">
        <is>
          <t>–</t>
        </is>
      </c>
      <c r="O97" s="282" t="inlineStr">
        <is>
          <t>–</t>
        </is>
      </c>
      <c r="P97" s="282" t="inlineStr">
        <is>
          <t>–</t>
        </is>
      </c>
      <c r="Q97" s="282" t="inlineStr">
        <is>
          <t>–</t>
        </is>
      </c>
      <c r="R97" s="282" t="inlineStr">
        <is>
          <t>–</t>
        </is>
      </c>
    </row>
    <row r="98">
      <c r="B98" s="254" t="inlineStr">
        <is>
          <t>Van / minivan — 0 (current or newer)</t>
        </is>
      </c>
      <c r="D98" s="261">
        <f>SUMIFS('E1a Fleet (roll)'!T$7:T$190,'E1a Fleet (roll)'!$A$7:$A$190,"Van",'E1a Fleet (roll)'!$C$7:$C$190,0)</f>
        <v/>
      </c>
      <c r="E98" s="261">
        <f>SUMIFS('E1a Fleet (roll)'!U$7:U$190,'E1a Fleet (roll)'!$A$7:$A$190,"Van",'E1a Fleet (roll)'!$C$7:$C$190,0)</f>
        <v/>
      </c>
      <c r="F98" s="261">
        <f>SUMIFS('E1a Fleet (roll)'!V$7:V$190,'E1a Fleet (roll)'!$A$7:$A$190,"Van",'E1a Fleet (roll)'!$C$7:$C$190,0)</f>
        <v/>
      </c>
      <c r="G98" s="261">
        <f>SUMIFS('E1a Fleet (roll)'!W$7:W$190,'E1a Fleet (roll)'!$A$7:$A$190,"Van",'E1a Fleet (roll)'!$C$7:$C$190,0)</f>
        <v/>
      </c>
      <c r="H98" s="261">
        <f>SUMIFS('E1a Fleet (roll)'!X$7:X$190,'E1a Fleet (roll)'!$A$7:$A$190,"Van",'E1a Fleet (roll)'!$C$7:$C$190,0)</f>
        <v/>
      </c>
      <c r="I98" s="261">
        <f>SUMIFS('E1a Fleet (roll)'!Y$7:Y$190,'E1a Fleet (roll)'!$A$7:$A$190,"Van",'E1a Fleet (roll)'!$C$7:$C$190,0)</f>
        <v/>
      </c>
      <c r="J98" s="282" t="inlineStr">
        <is>
          <t>–</t>
        </is>
      </c>
      <c r="K98" s="282" t="inlineStr">
        <is>
          <t>–</t>
        </is>
      </c>
      <c r="L98" s="282" t="inlineStr">
        <is>
          <t>–</t>
        </is>
      </c>
      <c r="M98" s="282" t="inlineStr">
        <is>
          <t>–</t>
        </is>
      </c>
      <c r="N98" s="282" t="inlineStr">
        <is>
          <t>–</t>
        </is>
      </c>
      <c r="O98" s="282" t="inlineStr">
        <is>
          <t>–</t>
        </is>
      </c>
      <c r="P98" s="282" t="inlineStr">
        <is>
          <t>–</t>
        </is>
      </c>
      <c r="Q98" s="282" t="inlineStr">
        <is>
          <t>–</t>
        </is>
      </c>
      <c r="R98" s="282" t="inlineStr">
        <is>
          <t>–</t>
        </is>
      </c>
    </row>
    <row r="99">
      <c r="B99" s="328" t="inlineStr">
        <is>
          <t>Van / minivan — 1–3 years</t>
        </is>
      </c>
      <c r="D99" s="261">
        <f>SUMIFS('E1a Fleet (roll)'!T$7:T$190,'E1a Fleet (roll)'!$A$7:$A$190,"Van",'E1a Fleet (roll)'!$C$7:$C$190,1)</f>
        <v/>
      </c>
      <c r="E99" s="261">
        <f>SUMIFS('E1a Fleet (roll)'!U$7:U$190,'E1a Fleet (roll)'!$A$7:$A$190,"Van",'E1a Fleet (roll)'!$C$7:$C$190,1)</f>
        <v/>
      </c>
      <c r="F99" s="261">
        <f>SUMIFS('E1a Fleet (roll)'!V$7:V$190,'E1a Fleet (roll)'!$A$7:$A$190,"Van",'E1a Fleet (roll)'!$C$7:$C$190,1)</f>
        <v/>
      </c>
      <c r="G99" s="261">
        <f>SUMIFS('E1a Fleet (roll)'!W$7:W$190,'E1a Fleet (roll)'!$A$7:$A$190,"Van",'E1a Fleet (roll)'!$C$7:$C$190,1)</f>
        <v/>
      </c>
      <c r="H99" s="261">
        <f>SUMIFS('E1a Fleet (roll)'!X$7:X$190,'E1a Fleet (roll)'!$A$7:$A$190,"Van",'E1a Fleet (roll)'!$C$7:$C$190,1)</f>
        <v/>
      </c>
      <c r="I99" s="261">
        <f>SUMIFS('E1a Fleet (roll)'!Y$7:Y$190,'E1a Fleet (roll)'!$A$7:$A$190,"Van",'E1a Fleet (roll)'!$C$7:$C$190,1)</f>
        <v/>
      </c>
      <c r="J99" s="282" t="inlineStr">
        <is>
          <t>–</t>
        </is>
      </c>
      <c r="K99" s="282" t="inlineStr">
        <is>
          <t>–</t>
        </is>
      </c>
      <c r="L99" s="282" t="inlineStr">
        <is>
          <t>–</t>
        </is>
      </c>
      <c r="M99" s="282" t="inlineStr">
        <is>
          <t>–</t>
        </is>
      </c>
      <c r="N99" s="282" t="inlineStr">
        <is>
          <t>–</t>
        </is>
      </c>
      <c r="O99" s="282" t="inlineStr">
        <is>
          <t>–</t>
        </is>
      </c>
      <c r="P99" s="282" t="inlineStr">
        <is>
          <t>–</t>
        </is>
      </c>
      <c r="Q99" s="282" t="inlineStr">
        <is>
          <t>–</t>
        </is>
      </c>
      <c r="R99" s="282" t="inlineStr">
        <is>
          <t>–</t>
        </is>
      </c>
    </row>
    <row r="100">
      <c r="B100" s="328" t="inlineStr">
        <is>
          <t>Van / minivan — 4–6 years</t>
        </is>
      </c>
      <c r="D100" s="261">
        <f>SUMIFS('E1a Fleet (roll)'!T$7:T$190,'E1a Fleet (roll)'!$A$7:$A$190,"Van",'E1a Fleet (roll)'!$C$7:$C$190,2)</f>
        <v/>
      </c>
      <c r="E100" s="261">
        <f>SUMIFS('E1a Fleet (roll)'!U$7:U$190,'E1a Fleet (roll)'!$A$7:$A$190,"Van",'E1a Fleet (roll)'!$C$7:$C$190,2)</f>
        <v/>
      </c>
      <c r="F100" s="261">
        <f>SUMIFS('E1a Fleet (roll)'!V$7:V$190,'E1a Fleet (roll)'!$A$7:$A$190,"Van",'E1a Fleet (roll)'!$C$7:$C$190,2)</f>
        <v/>
      </c>
      <c r="G100" s="261">
        <f>SUMIFS('E1a Fleet (roll)'!W$7:W$190,'E1a Fleet (roll)'!$A$7:$A$190,"Van",'E1a Fleet (roll)'!$C$7:$C$190,2)</f>
        <v/>
      </c>
      <c r="H100" s="261">
        <f>SUMIFS('E1a Fleet (roll)'!X$7:X$190,'E1a Fleet (roll)'!$A$7:$A$190,"Van",'E1a Fleet (roll)'!$C$7:$C$190,2)</f>
        <v/>
      </c>
      <c r="I100" s="261">
        <f>SUMIFS('E1a Fleet (roll)'!Y$7:Y$190,'E1a Fleet (roll)'!$A$7:$A$190,"Van",'E1a Fleet (roll)'!$C$7:$C$190,2)</f>
        <v/>
      </c>
      <c r="J100" s="282" t="inlineStr">
        <is>
          <t>–</t>
        </is>
      </c>
      <c r="K100" s="282" t="inlineStr">
        <is>
          <t>–</t>
        </is>
      </c>
      <c r="L100" s="282" t="inlineStr">
        <is>
          <t>–</t>
        </is>
      </c>
      <c r="M100" s="282" t="inlineStr">
        <is>
          <t>–</t>
        </is>
      </c>
      <c r="N100" s="282" t="inlineStr">
        <is>
          <t>–</t>
        </is>
      </c>
      <c r="O100" s="282" t="inlineStr">
        <is>
          <t>–</t>
        </is>
      </c>
      <c r="P100" s="282" t="inlineStr">
        <is>
          <t>–</t>
        </is>
      </c>
      <c r="Q100" s="282" t="inlineStr">
        <is>
          <t>–</t>
        </is>
      </c>
      <c r="R100" s="282" t="inlineStr">
        <is>
          <t>–</t>
        </is>
      </c>
    </row>
    <row r="101">
      <c r="B101" s="328" t="inlineStr">
        <is>
          <t>Van / minivan — 7+ years</t>
        </is>
      </c>
      <c r="D101" s="261">
        <f>SUMIFS('E1a Fleet (roll)'!T$7:T$190,'E1a Fleet (roll)'!$A$7:$A$190,"Van",'E1a Fleet (roll)'!$C$7:$C$190,3)</f>
        <v/>
      </c>
      <c r="E101" s="261">
        <f>SUMIFS('E1a Fleet (roll)'!U$7:U$190,'E1a Fleet (roll)'!$A$7:$A$190,"Van",'E1a Fleet (roll)'!$C$7:$C$190,3)</f>
        <v/>
      </c>
      <c r="F101" s="261">
        <f>SUMIFS('E1a Fleet (roll)'!V$7:V$190,'E1a Fleet (roll)'!$A$7:$A$190,"Van",'E1a Fleet (roll)'!$C$7:$C$190,3)</f>
        <v/>
      </c>
      <c r="G101" s="261">
        <f>SUMIFS('E1a Fleet (roll)'!W$7:W$190,'E1a Fleet (roll)'!$A$7:$A$190,"Van",'E1a Fleet (roll)'!$C$7:$C$190,3)</f>
        <v/>
      </c>
      <c r="H101" s="261">
        <f>SUMIFS('E1a Fleet (roll)'!X$7:X$190,'E1a Fleet (roll)'!$A$7:$A$190,"Van",'E1a Fleet (roll)'!$C$7:$C$190,3)</f>
        <v/>
      </c>
      <c r="I101" s="261">
        <f>SUMIFS('E1a Fleet (roll)'!Y$7:Y$190,'E1a Fleet (roll)'!$A$7:$A$190,"Van",'E1a Fleet (roll)'!$C$7:$C$190,3)</f>
        <v/>
      </c>
      <c r="J101" s="282" t="inlineStr">
        <is>
          <t>–</t>
        </is>
      </c>
      <c r="K101" s="282" t="inlineStr">
        <is>
          <t>–</t>
        </is>
      </c>
      <c r="L101" s="282" t="inlineStr">
        <is>
          <t>–</t>
        </is>
      </c>
      <c r="M101" s="282" t="inlineStr">
        <is>
          <t>–</t>
        </is>
      </c>
      <c r="N101" s="282" t="inlineStr">
        <is>
          <t>–</t>
        </is>
      </c>
      <c r="O101" s="282" t="inlineStr">
        <is>
          <t>–</t>
        </is>
      </c>
      <c r="P101" s="282" t="inlineStr">
        <is>
          <t>–</t>
        </is>
      </c>
      <c r="Q101" s="282" t="inlineStr">
        <is>
          <t>–</t>
        </is>
      </c>
      <c r="R101" s="282" t="inlineStr">
        <is>
          <t>–</t>
        </is>
      </c>
    </row>
    <row r="103">
      <c r="B103" s="271" t="inlineStr">
        <is>
          <t>F. Coverage &amp; filing (thesis 1): physical-damage coverage index, premium burden, and forward coverage paths</t>
        </is>
      </c>
      <c r="C103" s="272" t="n"/>
      <c r="D103" s="272" t="n"/>
      <c r="E103" s="272" t="n"/>
      <c r="F103" s="272" t="n"/>
      <c r="G103" s="272" t="n"/>
      <c r="H103" s="272" t="n"/>
      <c r="I103" s="272" t="n"/>
      <c r="J103" s="272" t="n"/>
      <c r="K103" s="272" t="n"/>
      <c r="L103" s="272" t="n"/>
      <c r="M103" s="272" t="n"/>
      <c r="N103" s="272" t="n"/>
      <c r="O103" s="272" t="n"/>
      <c r="P103" s="272" t="n"/>
      <c r="Q103" s="272" t="n"/>
      <c r="R103" s="272" t="n"/>
      <c r="S103" s="272" t="n"/>
    </row>
    <row r="104">
      <c r="B104" s="249" t="inlineStr">
        <is>
          <t>Calendar year</t>
        </is>
      </c>
      <c r="D104" s="335" t="n">
        <v>2017</v>
      </c>
      <c r="E104" s="335" t="n">
        <v>2018</v>
      </c>
      <c r="F104" s="335" t="n">
        <v>2019</v>
      </c>
      <c r="G104" s="335" t="n">
        <v>2020</v>
      </c>
      <c r="H104" s="335" t="n">
        <v>2021</v>
      </c>
      <c r="I104" s="335" t="n">
        <v>2022</v>
      </c>
      <c r="J104" s="335" t="n">
        <v>2023</v>
      </c>
      <c r="K104" s="335" t="n">
        <v>2024</v>
      </c>
      <c r="L104" s="335" t="n">
        <v>2025</v>
      </c>
      <c r="M104" s="335" t="n">
        <v>2026</v>
      </c>
      <c r="N104" s="335" t="n">
        <v>2027</v>
      </c>
      <c r="O104" s="335" t="n">
        <v>2028</v>
      </c>
      <c r="P104" s="282" t="inlineStr">
        <is>
          <t>–</t>
        </is>
      </c>
      <c r="Q104" s="282" t="inlineStr">
        <is>
          <t>–</t>
        </is>
      </c>
      <c r="R104" s="282" t="inlineStr">
        <is>
          <t>–</t>
        </is>
      </c>
    </row>
    <row r="105">
      <c r="B105" s="254" t="inlineStr">
        <is>
          <t>Uninsured-motorist rate (IRC; endpoints verified, path interpolated)</t>
        </is>
      </c>
      <c r="C105" s="279" t="inlineStr">
        <is>
          <t>%</t>
        </is>
      </c>
      <c r="D105" s="273">
        <f>'D Coverage'!D8</f>
        <v/>
      </c>
      <c r="E105" s="273">
        <f>'D Coverage'!$D$8+('D Coverage'!$J$8-'D Coverage'!$D$8)*(2018-2017)/6</f>
        <v/>
      </c>
      <c r="F105" s="273">
        <f>'D Coverage'!$D$8+('D Coverage'!$J$8-'D Coverage'!$D$8)*(2019-2017)/6</f>
        <v/>
      </c>
      <c r="G105" s="273">
        <f>'D Coverage'!$D$8+('D Coverage'!$J$8-'D Coverage'!$D$8)*(2020-2017)/6</f>
        <v/>
      </c>
      <c r="H105" s="273">
        <f>'D Coverage'!$D$8+('D Coverage'!$J$8-'D Coverage'!$D$8)*(2021-2017)/6</f>
        <v/>
      </c>
      <c r="I105" s="273">
        <f>'D Coverage'!$D$8+('D Coverage'!$J$8-'D Coverage'!$D$8)*(2022-2017)/6</f>
        <v/>
      </c>
      <c r="J105" s="273">
        <f>'D Coverage'!J8</f>
        <v/>
      </c>
      <c r="K105" s="273">
        <f>'D Coverage'!J8</f>
        <v/>
      </c>
      <c r="L105" s="273">
        <f>'D Coverage'!J8</f>
        <v/>
      </c>
      <c r="M105" s="273">
        <f>'D Coverage'!J8</f>
        <v/>
      </c>
      <c r="N105" s="282" t="inlineStr">
        <is>
          <t>–</t>
        </is>
      </c>
      <c r="O105" s="282" t="inlineStr">
        <is>
          <t>–</t>
        </is>
      </c>
      <c r="P105" s="282" t="inlineStr">
        <is>
          <t>–</t>
        </is>
      </c>
      <c r="Q105" s="282" t="inlineStr">
        <is>
          <t>–</t>
        </is>
      </c>
      <c r="R105" s="282" t="inlineStr">
        <is>
          <t>–</t>
        </is>
      </c>
      <c r="S105" s="252" t="inlineStr">
        <is>
          <t>UNVERIFIED path: linear between 2017 and 2023; 2024–26 held at 2023 (IRC notes UM "continues to tick upward")</t>
        </is>
      </c>
    </row>
    <row r="106">
      <c r="B106" s="254" t="inlineStr">
        <is>
          <t>Share of insured drivers with collision coverage (NAIC via III: 76% 2021, 77% 2022, 77% 2023)</t>
        </is>
      </c>
      <c r="C106" s="279" t="inlineStr">
        <is>
          <t>%</t>
        </is>
      </c>
      <c r="D106" s="273">
        <f>'D Coverage'!$H$9</f>
        <v/>
      </c>
      <c r="E106" s="273">
        <f>'D Coverage'!$H$9</f>
        <v/>
      </c>
      <c r="F106" s="273">
        <f>'D Coverage'!$H$9</f>
        <v/>
      </c>
      <c r="G106" s="273">
        <f>'D Coverage'!$H$9</f>
        <v/>
      </c>
      <c r="H106" s="273">
        <f>'D Coverage'!$H$9</f>
        <v/>
      </c>
      <c r="I106" s="273">
        <f>'D Coverage'!$I$9</f>
        <v/>
      </c>
      <c r="J106" s="273">
        <f>'D Coverage'!$J$9</f>
        <v/>
      </c>
      <c r="K106" s="273">
        <f>'D Coverage'!$J$9</f>
        <v/>
      </c>
      <c r="L106" s="273">
        <f>'D Coverage'!$J$9</f>
        <v/>
      </c>
      <c r="M106" s="273">
        <f>'D Coverage'!$J$9</f>
        <v/>
      </c>
      <c r="N106" s="282" t="inlineStr">
        <is>
          <t>–</t>
        </is>
      </c>
      <c r="O106" s="282" t="inlineStr">
        <is>
          <t>–</t>
        </is>
      </c>
      <c r="P106" s="282" t="inlineStr">
        <is>
          <t>–</t>
        </is>
      </c>
      <c r="Q106" s="282" t="inlineStr">
        <is>
          <t>–</t>
        </is>
      </c>
      <c r="R106" s="282" t="inlineStr">
        <is>
          <t>–</t>
        </is>
      </c>
      <c r="S106" s="252" t="inlineStr">
        <is>
          <t>2017–2020 held at the 2021 value and 2024–26 at the 2023 value (archive pages before 2024 were rate-limited). Collision take-up did not fall through the premium spike, so the index decline comes from the uninsured leg</t>
        </is>
      </c>
    </row>
    <row r="107">
      <c r="B107" s="249" t="inlineStr">
        <is>
          <t>Physical-damage coverage index  (1 − uninsured) × collision share, 2025 = 1</t>
        </is>
      </c>
      <c r="C107" s="279" t="inlineStr">
        <is>
          <t>x</t>
        </is>
      </c>
      <c r="D107" s="460">
        <f>(1-D105)*D106/((1-$L$105)*$L$106)</f>
        <v/>
      </c>
      <c r="E107" s="460">
        <f>(1-E105)*E106/((1-$L$105)*$L$106)</f>
        <v/>
      </c>
      <c r="F107" s="460">
        <f>(1-F105)*F106/((1-$L$105)*$L$106)</f>
        <v/>
      </c>
      <c r="G107" s="460">
        <f>(1-G105)*G106/((1-$L$105)*$L$106)</f>
        <v/>
      </c>
      <c r="H107" s="460">
        <f>(1-H105)*H106/((1-$L$105)*$L$106)</f>
        <v/>
      </c>
      <c r="I107" s="460">
        <f>(1-I105)*I106/((1-$L$105)*$L$106)</f>
        <v/>
      </c>
      <c r="J107" s="460">
        <f>(1-J105)*J106/((1-$L$105)*$L$106)</f>
        <v/>
      </c>
      <c r="K107" s="460">
        <f>(1-K105)*K106/((1-$L$105)*$L$106)</f>
        <v/>
      </c>
      <c r="L107" s="460">
        <f>(1-L105)*L106/((1-$L$105)*$L$106)</f>
        <v/>
      </c>
      <c r="M107" s="460">
        <f>(1-M105)*M106/((1-$L$105)*$L$106)</f>
        <v/>
      </c>
      <c r="N107" s="460">
        <f>$M$107</f>
        <v/>
      </c>
      <c r="O107" s="460">
        <f>$M$107</f>
        <v/>
      </c>
      <c r="P107" s="252" t="inlineStr">
        <is>
          <t>sticky path shown for 2027–28 (flat); the premium-response and recovery paths are the quarterly ratios in rows 117–118</t>
        </is>
      </c>
      <c r="Q107" s="282" t="inlineStr">
        <is>
          <t>–</t>
        </is>
      </c>
      <c r="R107" s="282" t="inlineStr">
        <is>
          <t>–</t>
        </is>
      </c>
    </row>
    <row r="108">
      <c r="B108" s="254" t="inlineStr">
        <is>
          <t>Premium burden: insurance CPI ÷ average hourly earnings, 2025 = 1</t>
        </is>
      </c>
      <c r="C108" s="279" t="inlineStr">
        <is>
          <t>x</t>
        </is>
      </c>
      <c r="D108" s="461">
        <f>('D Coverage'!D5/'D Coverage'!D7)/('D Coverage'!$L$5/'D Coverage'!$L$7)</f>
        <v/>
      </c>
      <c r="E108" s="461">
        <f>('D Coverage'!E5/'D Coverage'!E7)/('D Coverage'!$L$5/'D Coverage'!$L$7)</f>
        <v/>
      </c>
      <c r="F108" s="461">
        <f>('D Coverage'!F5/'D Coverage'!F7)/('D Coverage'!$L$5/'D Coverage'!$L$7)</f>
        <v/>
      </c>
      <c r="G108" s="461">
        <f>('D Coverage'!G5/'D Coverage'!G7)/('D Coverage'!$L$5/'D Coverage'!$L$7)</f>
        <v/>
      </c>
      <c r="H108" s="461">
        <f>('D Coverage'!H5/'D Coverage'!H7)/('D Coverage'!$L$5/'D Coverage'!$L$7)</f>
        <v/>
      </c>
      <c r="I108" s="461">
        <f>('D Coverage'!I5/'D Coverage'!I7)/('D Coverage'!$L$5/'D Coverage'!$L$7)</f>
        <v/>
      </c>
      <c r="J108" s="461">
        <f>('D Coverage'!J5/'D Coverage'!J7)/('D Coverage'!$L$5/'D Coverage'!$L$7)</f>
        <v/>
      </c>
      <c r="K108" s="461">
        <f>('D Coverage'!K5/'D Coverage'!K7)/('D Coverage'!$L$5/'D Coverage'!$L$7)</f>
        <v/>
      </c>
      <c r="L108" s="461">
        <f>('D Coverage'!L5/'D Coverage'!L7)/('D Coverage'!$L$5/'D Coverage'!$L$7)</f>
        <v/>
      </c>
      <c r="M108" s="461">
        <f>('D Coverage'!M5/'D Coverage'!M7)/('D Coverage'!$L$5/'D Coverage'!$L$7)</f>
        <v/>
      </c>
      <c r="N108" s="282" t="inlineStr">
        <is>
          <t>–</t>
        </is>
      </c>
      <c r="O108" s="282" t="inlineStr">
        <is>
          <t>–</t>
        </is>
      </c>
      <c r="P108" s="282" t="inlineStr">
        <is>
          <t>–</t>
        </is>
      </c>
      <c r="Q108" s="282" t="inlineStr">
        <is>
          <t>–</t>
        </is>
      </c>
      <c r="R108" s="282" t="inlineStr">
        <is>
          <t>–</t>
        </is>
      </c>
    </row>
    <row r="109">
      <c r="B109" s="274" t="inlineStr">
        <is>
          <t xml:space="preserve">   premium burden y/y</t>
        </is>
      </c>
      <c r="C109" s="279" t="inlineStr">
        <is>
          <t>%</t>
        </is>
      </c>
      <c r="D109" s="282" t="inlineStr">
        <is>
          <t>–</t>
        </is>
      </c>
      <c r="E109" s="327">
        <f>E108/D108-1</f>
        <v/>
      </c>
      <c r="F109" s="327">
        <f>F108/E108-1</f>
        <v/>
      </c>
      <c r="G109" s="327">
        <f>G108/F108-1</f>
        <v/>
      </c>
      <c r="H109" s="327">
        <f>H108/G108-1</f>
        <v/>
      </c>
      <c r="I109" s="327">
        <f>I108/H108-1</f>
        <v/>
      </c>
      <c r="J109" s="327">
        <f>J108/I108-1</f>
        <v/>
      </c>
      <c r="K109" s="327">
        <f>K108/J108-1</f>
        <v/>
      </c>
      <c r="L109" s="327">
        <f>L108/K108-1</f>
        <v/>
      </c>
      <c r="M109" s="327">
        <f>M108/L108-1</f>
        <v/>
      </c>
      <c r="N109" s="282" t="inlineStr">
        <is>
          <t>–</t>
        </is>
      </c>
      <c r="O109" s="282" t="inlineStr">
        <is>
          <t>–</t>
        </is>
      </c>
      <c r="P109" s="282" t="inlineStr">
        <is>
          <t>–</t>
        </is>
      </c>
      <c r="Q109" s="282" t="inlineStr">
        <is>
          <t>–</t>
        </is>
      </c>
      <c r="R109" s="282" t="inlineStr">
        <is>
          <t>–</t>
        </is>
      </c>
    </row>
    <row r="110">
      <c r="B110" s="254" t="inlineStr">
        <is>
          <t>Two-point coverage response ε = −ln(C₂₀₂₃ ÷ C₂₀₁₇) ÷ ln(B₂₀₂₃ ÷ B₂₀₁₇)</t>
        </is>
      </c>
      <c r="C110" s="279" t="inlineStr">
        <is>
          <t>x</t>
        </is>
      </c>
      <c r="D110" s="265">
        <f>-LN(J107/D107)/LN(J108/D108)</f>
        <v/>
      </c>
      <c r="E110" s="282" t="inlineStr">
        <is>
          <t>–</t>
        </is>
      </c>
      <c r="F110" s="282" t="inlineStr">
        <is>
          <t>–</t>
        </is>
      </c>
      <c r="G110" s="282" t="inlineStr">
        <is>
          <t>–</t>
        </is>
      </c>
      <c r="H110" s="282" t="inlineStr">
        <is>
          <t>–</t>
        </is>
      </c>
      <c r="I110" s="282" t="inlineStr">
        <is>
          <t>–</t>
        </is>
      </c>
      <c r="J110" s="282" t="inlineStr">
        <is>
          <t>–</t>
        </is>
      </c>
      <c r="K110" s="282" t="inlineStr">
        <is>
          <t>–</t>
        </is>
      </c>
      <c r="L110" s="282" t="inlineStr">
        <is>
          <t>–</t>
        </is>
      </c>
      <c r="M110" s="282" t="inlineStr">
        <is>
          <t>–</t>
        </is>
      </c>
      <c r="N110" s="282" t="inlineStr">
        <is>
          <t>–</t>
        </is>
      </c>
      <c r="O110" s="282" t="inlineStr">
        <is>
          <t>–</t>
        </is>
      </c>
      <c r="P110" s="282" t="inlineStr">
        <is>
          <t>–</t>
        </is>
      </c>
      <c r="Q110" s="282" t="inlineStr">
        <is>
          <t>–</t>
        </is>
      </c>
      <c r="R110" s="282" t="inlineStr">
        <is>
          <t>–</t>
        </is>
      </c>
      <c r="S110" s="252" t="inlineStr">
        <is>
          <t>UNVERIFIED: two observations only; sign and scale indicative. Used solely in the premium-response path below</t>
        </is>
      </c>
    </row>
    <row r="111">
      <c r="B111" s="274" t="inlineStr">
        <is>
          <t>Context: CCC total claim volume y/y (2024, 2025) and ex-comprehensive</t>
        </is>
      </c>
      <c r="C111" s="279" t="inlineStr">
        <is>
          <t>%</t>
        </is>
      </c>
      <c r="D111" s="282" t="inlineStr">
        <is>
          <t>–</t>
        </is>
      </c>
      <c r="E111" s="282" t="inlineStr">
        <is>
          <t>–</t>
        </is>
      </c>
      <c r="F111" s="282" t="inlineStr">
        <is>
          <t>–</t>
        </is>
      </c>
      <c r="G111" s="282" t="inlineStr">
        <is>
          <t>–</t>
        </is>
      </c>
      <c r="H111" s="282" t="inlineStr">
        <is>
          <t>–</t>
        </is>
      </c>
      <c r="I111" s="282" t="inlineStr">
        <is>
          <t>–</t>
        </is>
      </c>
      <c r="J111" s="282" t="inlineStr">
        <is>
          <t>–</t>
        </is>
      </c>
      <c r="K111" s="273">
        <f>'D Coverage'!K10</f>
        <v/>
      </c>
      <c r="L111" s="273">
        <f>'D Coverage'!L10</f>
        <v/>
      </c>
      <c r="M111" s="282" t="inlineStr">
        <is>
          <t>–</t>
        </is>
      </c>
      <c r="N111" s="282" t="inlineStr">
        <is>
          <t>–</t>
        </is>
      </c>
      <c r="O111" s="282" t="inlineStr">
        <is>
          <t>–</t>
        </is>
      </c>
      <c r="P111" s="282" t="inlineStr">
        <is>
          <t>–</t>
        </is>
      </c>
      <c r="Q111" s="282" t="inlineStr">
        <is>
          <t>–</t>
        </is>
      </c>
      <c r="R111" s="282" t="inlineStr">
        <is>
          <t>–</t>
        </is>
      </c>
      <c r="S111" s="252" t="inlineStr">
        <is>
          <t>Coverage explains only part of the claim-volume decline; frequency and non-filing explain the rest</t>
        </is>
      </c>
    </row>
    <row r="112">
      <c r="B112" s="274" t="inlineStr">
        <is>
          <t xml:space="preserve">   ex-comprehensive</t>
        </is>
      </c>
      <c r="C112" s="279" t="inlineStr">
        <is>
          <t>%</t>
        </is>
      </c>
      <c r="D112" s="282" t="inlineStr">
        <is>
          <t>–</t>
        </is>
      </c>
      <c r="E112" s="282" t="inlineStr">
        <is>
          <t>–</t>
        </is>
      </c>
      <c r="F112" s="282" t="inlineStr">
        <is>
          <t>–</t>
        </is>
      </c>
      <c r="G112" s="282" t="inlineStr">
        <is>
          <t>–</t>
        </is>
      </c>
      <c r="H112" s="282" t="inlineStr">
        <is>
          <t>–</t>
        </is>
      </c>
      <c r="I112" s="282" t="inlineStr">
        <is>
          <t>–</t>
        </is>
      </c>
      <c r="J112" s="282" t="inlineStr">
        <is>
          <t>–</t>
        </is>
      </c>
      <c r="K112" s="273">
        <f>'D Coverage'!K11</f>
        <v/>
      </c>
      <c r="L112" s="273">
        <f>'D Coverage'!L11</f>
        <v/>
      </c>
      <c r="M112" s="282" t="inlineStr">
        <is>
          <t>–</t>
        </is>
      </c>
      <c r="N112" s="282" t="inlineStr">
        <is>
          <t>–</t>
        </is>
      </c>
      <c r="O112" s="282" t="inlineStr">
        <is>
          <t>–</t>
        </is>
      </c>
      <c r="P112" s="282" t="inlineStr">
        <is>
          <t>–</t>
        </is>
      </c>
      <c r="Q112" s="282" t="inlineStr">
        <is>
          <t>–</t>
        </is>
      </c>
      <c r="R112" s="282" t="inlineStr">
        <is>
          <t>–</t>
        </is>
      </c>
    </row>
    <row r="114">
      <c r="B114" s="271" t="inlineStr">
        <is>
          <t>Forward coverage ratios to the same quarter a year earlier, by path  (→ Scenarios units chain)</t>
        </is>
      </c>
      <c r="C114" s="272" t="n"/>
      <c r="D114" s="272" t="n"/>
      <c r="E114" s="272" t="n"/>
      <c r="F114" s="272" t="n"/>
      <c r="G114" s="272" t="n"/>
      <c r="H114" s="272" t="n"/>
      <c r="I114" s="272" t="n"/>
      <c r="J114" s="272" t="n"/>
      <c r="K114" s="272" t="n"/>
      <c r="L114" s="272" t="n"/>
      <c r="M114" s="272" t="n"/>
      <c r="N114" s="272" t="n"/>
      <c r="O114" s="272" t="n"/>
      <c r="P114" s="272" t="n"/>
      <c r="Q114" s="272" t="n"/>
      <c r="R114" s="272" t="n"/>
      <c r="S114" s="272" t="n"/>
    </row>
    <row r="115">
      <c r="B115" s="249" t="inlineStr">
        <is>
          <t>Path</t>
        </is>
      </c>
      <c r="D115" s="249" t="inlineStr">
        <is>
          <t>FQ1 FY26A</t>
        </is>
      </c>
      <c r="E115" s="249" t="inlineStr">
        <is>
          <t>FQ2 FY26A</t>
        </is>
      </c>
      <c r="F115" s="249" t="inlineStr">
        <is>
          <t>FQ3 FY26A</t>
        </is>
      </c>
      <c r="G115" s="249" t="inlineStr">
        <is>
          <t>FQ4 FY26A</t>
        </is>
      </c>
      <c r="H115" s="249" t="inlineStr">
        <is>
          <t>FQ1 FY27E</t>
        </is>
      </c>
      <c r="I115" s="249" t="inlineStr">
        <is>
          <t>FQ2 FY27E</t>
        </is>
      </c>
      <c r="J115" s="249" t="inlineStr">
        <is>
          <t>FQ3 FY27E</t>
        </is>
      </c>
      <c r="K115" s="249" t="inlineStr">
        <is>
          <t>FQ4 FY27E</t>
        </is>
      </c>
      <c r="L115" s="249" t="inlineStr">
        <is>
          <t>FQ1 FY28E</t>
        </is>
      </c>
      <c r="M115" s="249" t="inlineStr">
        <is>
          <t>FQ2 FY28E</t>
        </is>
      </c>
      <c r="N115" s="249" t="inlineStr">
        <is>
          <t>FQ3 FY28E</t>
        </is>
      </c>
      <c r="O115" s="249" t="inlineStr">
        <is>
          <t>FQ4 FY28E</t>
        </is>
      </c>
      <c r="P115" s="282" t="inlineStr">
        <is>
          <t>–</t>
        </is>
      </c>
      <c r="Q115" s="282" t="inlineStr">
        <is>
          <t>–</t>
        </is>
      </c>
      <c r="R115" s="282" t="inlineStr">
        <is>
          <t>–</t>
        </is>
      </c>
    </row>
    <row r="116">
      <c r="B116" s="249" t="inlineStr">
        <is>
          <t>Sticky (thesis 1): coverage stays at the 2025 level</t>
        </is>
      </c>
      <c r="C116" s="279" t="inlineStr">
        <is>
          <t>x</t>
        </is>
      </c>
      <c r="D116" s="282" t="inlineStr">
        <is>
          <t>–</t>
        </is>
      </c>
      <c r="E116" s="282" t="inlineStr">
        <is>
          <t>–</t>
        </is>
      </c>
      <c r="F116" s="282" t="inlineStr">
        <is>
          <t>–</t>
        </is>
      </c>
      <c r="G116" s="282" t="inlineStr">
        <is>
          <t>–</t>
        </is>
      </c>
      <c r="H116" s="462" t="n">
        <v>1</v>
      </c>
      <c r="I116" s="462" t="n">
        <v>1</v>
      </c>
      <c r="J116" s="462" t="n">
        <v>1</v>
      </c>
      <c r="K116" s="462" t="n">
        <v>1</v>
      </c>
      <c r="L116" s="462" t="n">
        <v>1</v>
      </c>
      <c r="M116" s="462" t="n">
        <v>1</v>
      </c>
      <c r="N116" s="462" t="n">
        <v>1</v>
      </c>
      <c r="O116" s="462" t="n">
        <v>1</v>
      </c>
      <c r="P116" s="282" t="inlineStr">
        <is>
          <t>–</t>
        </is>
      </c>
      <c r="Q116" s="282" t="inlineStr">
        <is>
          <t>–</t>
        </is>
      </c>
      <c r="R116" s="282" t="inlineStr">
        <is>
          <t>–</t>
        </is>
      </c>
      <c r="S116" s="252" t="inlineStr">
        <is>
          <t>The thesis: lapsed physical-damage coverage does not return because price and friction (lapse surcharges) have not improved</t>
        </is>
      </c>
    </row>
    <row r="117">
      <c r="B117" s="249" t="inlineStr">
        <is>
          <t>Premium-response (threshold): no recovery while the burden is at or above its 2023 level; below it, ratio = (B_q ÷ B_{q−4})^(−ε)</t>
        </is>
      </c>
      <c r="C117" s="279" t="inlineStr">
        <is>
          <t>x</t>
        </is>
      </c>
      <c r="D117" s="282" t="inlineStr">
        <is>
          <t>–</t>
        </is>
      </c>
      <c r="E117" s="282" t="inlineStr">
        <is>
          <t>–</t>
        </is>
      </c>
      <c r="F117" s="282" t="inlineStr">
        <is>
          <t>–</t>
        </is>
      </c>
      <c r="G117" s="282" t="inlineStr">
        <is>
          <t>–</t>
        </is>
      </c>
      <c r="H117" s="460">
        <f>IF(H119&gt;=$J$108,1,(H119/$M$108)^(-$D$110))</f>
        <v/>
      </c>
      <c r="I117" s="460">
        <f>IF(I119&gt;=$J$108,1,(I119/$M$108)^(-$D$110))</f>
        <v/>
      </c>
      <c r="J117" s="460">
        <f>IF(J119&gt;=$J$108,1,(J119/$M$108)^(-$D$110))</f>
        <v/>
      </c>
      <c r="K117" s="460">
        <f>IF(K119&gt;=$J$108,1,(K119/$M$108)^(-$D$110))</f>
        <v/>
      </c>
      <c r="L117" s="460">
        <f>IF(L119&gt;=$J$108,1,(L119/H119)^(-$D$110))</f>
        <v/>
      </c>
      <c r="M117" s="460">
        <f>IF(M119&gt;=$J$108,1,(M119/I119)^(-$D$110))</f>
        <v/>
      </c>
      <c r="N117" s="460">
        <f>IF(N119&gt;=$J$108,1,(N119/J119)^(-$D$110))</f>
        <v/>
      </c>
      <c r="O117" s="460">
        <f>IF(O119&gt;=$J$108,1,(O119/K119)^(-$D$110))</f>
        <v/>
      </c>
      <c r="P117" s="282" t="inlineStr">
        <is>
          <t>–</t>
        </is>
      </c>
      <c r="Q117" s="282" t="inlineStr">
        <is>
          <t>–</t>
        </is>
      </c>
      <c r="R117" s="282" t="inlineStr">
        <is>
          <t>–</t>
        </is>
      </c>
      <c r="S117" s="252" t="inlineStr">
        <is>
          <t>Mechanistic bull path with hysteresis: coverage returns only once premiums relative to pay fall back below the level at which households left (2023 = 0.867)</t>
        </is>
      </c>
    </row>
    <row r="118">
      <c r="B118" s="249" t="inlineStr">
        <is>
          <t>Street-implied recovery: FY27 ratio reverse-solved so case 0 reaches JPM $4,061m; FY28 held</t>
        </is>
      </c>
      <c r="C118" s="279" t="inlineStr">
        <is>
          <t>x</t>
        </is>
      </c>
      <c r="D118" s="282" t="inlineStr">
        <is>
          <t>–</t>
        </is>
      </c>
      <c r="E118" s="282" t="inlineStr">
        <is>
          <t>–</t>
        </is>
      </c>
      <c r="F118" s="282" t="inlineStr">
        <is>
          <t>–</t>
        </is>
      </c>
      <c r="G118" s="282" t="inlineStr">
        <is>
          <t>–</t>
        </is>
      </c>
      <c r="H118" s="460">
        <f>1+$D$126</f>
        <v/>
      </c>
      <c r="I118" s="460">
        <f>1+$D$126</f>
        <v/>
      </c>
      <c r="J118" s="460">
        <f>1+$D$126</f>
        <v/>
      </c>
      <c r="K118" s="460">
        <f>1+$D$126</f>
        <v/>
      </c>
      <c r="L118" s="462" t="n">
        <v>1</v>
      </c>
      <c r="M118" s="462" t="n">
        <v>1</v>
      </c>
      <c r="N118" s="462" t="n">
        <v>1</v>
      </c>
      <c r="O118" s="462" t="n">
        <v>1</v>
      </c>
      <c r="P118" s="282" t="inlineStr">
        <is>
          <t>–</t>
        </is>
      </c>
      <c r="Q118" s="282" t="inlineStr">
        <is>
          <t>–</t>
        </is>
      </c>
      <c r="R118" s="282" t="inlineStr">
        <is>
          <t>–</t>
        </is>
      </c>
      <c r="S118" s="252" t="inlineStr">
        <is>
          <t>r = (JPM − case 1 legacy FY27) ÷ case 1 US insurance service FY27 (identity; RPU unchanged)</t>
        </is>
      </c>
    </row>
    <row r="119">
      <c r="B119" s="254" t="inlineStr">
        <is>
          <t>Premium burden path (2025 = 1): FY27 = 2026 × (1 + premium growth − earnings growth); FY28 steps again</t>
        </is>
      </c>
      <c r="C119" s="279" t="inlineStr">
        <is>
          <t>x</t>
        </is>
      </c>
      <c r="D119" s="282" t="inlineStr">
        <is>
          <t>–</t>
        </is>
      </c>
      <c r="E119" s="282" t="inlineStr">
        <is>
          <t>–</t>
        </is>
      </c>
      <c r="F119" s="282" t="inlineStr">
        <is>
          <t>–</t>
        </is>
      </c>
      <c r="G119" s="282" t="inlineStr">
        <is>
          <t>–</t>
        </is>
      </c>
      <c r="H119" s="463">
        <f>$M$108*(1+$D$123-$D$124)</f>
        <v/>
      </c>
      <c r="I119" s="463">
        <f>$M$108*(1+$D$123-$D$124)</f>
        <v/>
      </c>
      <c r="J119" s="463">
        <f>$M$108*(1+$D$123-$D$124)</f>
        <v/>
      </c>
      <c r="K119" s="463">
        <f>$M$108*(1+$D$123-$D$124)</f>
        <v/>
      </c>
      <c r="L119" s="463">
        <f>H119*(1+$D$125-$D$124)</f>
        <v/>
      </c>
      <c r="M119" s="463">
        <f>I119*(1+$D$125-$D$124)</f>
        <v/>
      </c>
      <c r="N119" s="463">
        <f>J119*(1+$D$125-$D$124)</f>
        <v/>
      </c>
      <c r="O119" s="463">
        <f>K119*(1+$D$125-$D$124)</f>
        <v/>
      </c>
      <c r="P119" s="282" t="inlineStr">
        <is>
          <t>–</t>
        </is>
      </c>
      <c r="Q119" s="282" t="inlineStr">
        <is>
          <t>–</t>
        </is>
      </c>
      <c r="R119" s="282" t="inlineStr">
        <is>
          <t>–</t>
        </is>
      </c>
      <c r="S119" s="252" t="inlineStr">
        <is>
          <t>Inputs rows 123–125; selector row 127 chooses the BLS observed trend or the S&amp;P-consistent path</t>
        </is>
      </c>
    </row>
    <row r="120">
      <c r="B120" s="274" t="inlineStr">
        <is>
          <t xml:space="preserve">   below the 2023 level? (1 = yes)</t>
        </is>
      </c>
      <c r="C120" s="279" t="inlineStr">
        <is>
          <t>flag</t>
        </is>
      </c>
      <c r="D120" s="282" t="inlineStr">
        <is>
          <t>–</t>
        </is>
      </c>
      <c r="E120" s="282" t="inlineStr">
        <is>
          <t>–</t>
        </is>
      </c>
      <c r="F120" s="282" t="inlineStr">
        <is>
          <t>–</t>
        </is>
      </c>
      <c r="G120" s="282" t="inlineStr">
        <is>
          <t>–</t>
        </is>
      </c>
      <c r="H120" s="292">
        <f>IF(H119&lt;$J$108,1,0)</f>
        <v/>
      </c>
      <c r="I120" s="292">
        <f>IF(I119&lt;$J$108,1,0)</f>
        <v/>
      </c>
      <c r="J120" s="292">
        <f>IF(J119&lt;$J$108,1,0)</f>
        <v/>
      </c>
      <c r="K120" s="292">
        <f>IF(K119&lt;$J$108,1,0)</f>
        <v/>
      </c>
      <c r="L120" s="292">
        <f>IF(L119&lt;$J$108,1,0)</f>
        <v/>
      </c>
      <c r="M120" s="292">
        <f>IF(M119&lt;$J$108,1,0)</f>
        <v/>
      </c>
      <c r="N120" s="292">
        <f>IF(N119&lt;$J$108,1,0)</f>
        <v/>
      </c>
      <c r="O120" s="292">
        <f>IF(O119&lt;$J$108,1,0)</f>
        <v/>
      </c>
      <c r="P120" s="282" t="inlineStr">
        <is>
          <t>–</t>
        </is>
      </c>
      <c r="Q120" s="282" t="inlineStr">
        <is>
          <t>–</t>
        </is>
      </c>
      <c r="R120" s="282" t="inlineStr">
        <is>
          <t>–</t>
        </is>
      </c>
    </row>
    <row r="122">
      <c r="B122" s="246" t="inlineStr">
        <is>
          <t>Coverage inputs</t>
        </is>
      </c>
      <c r="C122" s="247" t="n"/>
      <c r="D122" s="248" t="inlineStr">
        <is>
          <t>Value</t>
        </is>
      </c>
      <c r="E122" s="248" t="inlineStr">
        <is>
          <t>Label</t>
        </is>
      </c>
      <c r="F122" s="247" t="n"/>
      <c r="G122" s="247" t="n"/>
      <c r="H122" s="247" t="n"/>
      <c r="I122" s="247" t="n"/>
      <c r="J122" s="247" t="n"/>
      <c r="K122" s="247" t="n"/>
      <c r="L122" s="247" t="n"/>
      <c r="M122" s="247" t="n"/>
      <c r="N122" s="247" t="n"/>
      <c r="O122" s="247" t="n"/>
      <c r="P122" s="247" t="n"/>
      <c r="Q122" s="247" t="n"/>
      <c r="R122" s="247" t="n"/>
      <c r="S122" s="247" t="n"/>
    </row>
    <row r="123">
      <c r="B123" s="254" t="inlineStr">
        <is>
          <t>Premium growth, FY27 (selected path)</t>
        </is>
      </c>
      <c r="D123" s="283">
        <f>IF($F$127=1,$D$128,$D$129)</f>
        <v/>
      </c>
      <c r="E123" s="252" t="inlineStr">
        <is>
          <t>selected</t>
        </is>
      </c>
      <c r="F123" s="282" t="inlineStr">
        <is>
          <t>–</t>
        </is>
      </c>
      <c r="G123" s="282" t="inlineStr">
        <is>
          <t>–</t>
        </is>
      </c>
      <c r="H123" s="282" t="inlineStr">
        <is>
          <t>–</t>
        </is>
      </c>
      <c r="I123" s="282" t="inlineStr">
        <is>
          <t>–</t>
        </is>
      </c>
      <c r="J123" s="282" t="inlineStr">
        <is>
          <t>–</t>
        </is>
      </c>
      <c r="K123" s="282" t="inlineStr">
        <is>
          <t>–</t>
        </is>
      </c>
      <c r="L123" s="282" t="inlineStr">
        <is>
          <t>–</t>
        </is>
      </c>
      <c r="M123" s="282" t="inlineStr">
        <is>
          <t>–</t>
        </is>
      </c>
      <c r="N123" s="282" t="inlineStr">
        <is>
          <t>–</t>
        </is>
      </c>
      <c r="O123" s="282" t="inlineStr">
        <is>
          <t>–</t>
        </is>
      </c>
      <c r="P123" s="282" t="inlineStr">
        <is>
          <t>–</t>
        </is>
      </c>
      <c r="Q123" s="282" t="inlineStr">
        <is>
          <t>–</t>
        </is>
      </c>
      <c r="R123" s="282" t="inlineStr">
        <is>
          <t>–</t>
        </is>
      </c>
      <c r="S123" s="252" t="inlineStr">
        <is>
          <t>Row 127 selects: 1 = BLS observed trend (row 128); 2 = S&amp;P-consistent path (rows 129–130)</t>
        </is>
      </c>
      <c r="U123" s="252" t="inlineStr">
        <is>
          <t>Premium-path options (list source for D127)</t>
        </is>
      </c>
    </row>
    <row r="124">
      <c r="B124" s="254" t="inlineStr">
        <is>
          <t>Earnings growth, FY27 and FY28 (CES average hourly earnings, latest year y/y)</t>
        </is>
      </c>
      <c r="D124" s="273">
        <f>'D Coverage'!M7/'D Coverage'!L7-1</f>
        <v/>
      </c>
      <c r="E124" s="252" t="inlineStr">
        <is>
          <t>VERIFIED</t>
        </is>
      </c>
      <c r="F124" s="282" t="inlineStr">
        <is>
          <t>–</t>
        </is>
      </c>
      <c r="G124" s="282" t="inlineStr">
        <is>
          <t>–</t>
        </is>
      </c>
      <c r="H124" s="282" t="inlineStr">
        <is>
          <t>–</t>
        </is>
      </c>
      <c r="I124" s="282" t="inlineStr">
        <is>
          <t>–</t>
        </is>
      </c>
      <c r="J124" s="282" t="inlineStr">
        <is>
          <t>–</t>
        </is>
      </c>
      <c r="K124" s="282" t="inlineStr">
        <is>
          <t>–</t>
        </is>
      </c>
      <c r="L124" s="282" t="inlineStr">
        <is>
          <t>–</t>
        </is>
      </c>
      <c r="M124" s="282" t="inlineStr">
        <is>
          <t>–</t>
        </is>
      </c>
      <c r="N124" s="282" t="inlineStr">
        <is>
          <t>–</t>
        </is>
      </c>
      <c r="O124" s="282" t="inlineStr">
        <is>
          <t>–</t>
        </is>
      </c>
      <c r="P124" s="282" t="inlineStr">
        <is>
          <t>–</t>
        </is>
      </c>
      <c r="Q124" s="282" t="inlineStr">
        <is>
          <t>–</t>
        </is>
      </c>
      <c r="R124" s="282" t="inlineStr">
        <is>
          <t>–</t>
        </is>
      </c>
      <c r="S124" s="252" t="inlineStr">
        <is>
          <t>raw/bls CES0500000003</t>
        </is>
      </c>
      <c r="U124" s="252" t="inlineStr">
        <is>
          <t>1 · BLS trend</t>
        </is>
      </c>
    </row>
    <row r="125">
      <c r="B125" s="254" t="inlineStr">
        <is>
          <t>Premium growth, FY28 (selected path)</t>
        </is>
      </c>
      <c r="D125" s="283">
        <f>IF($F$127=1,$D$128,$D$130)</f>
        <v/>
      </c>
      <c r="E125" s="252" t="inlineStr">
        <is>
          <t>selected</t>
        </is>
      </c>
      <c r="F125" s="282" t="inlineStr">
        <is>
          <t>–</t>
        </is>
      </c>
      <c r="G125" s="282" t="inlineStr">
        <is>
          <t>–</t>
        </is>
      </c>
      <c r="H125" s="282" t="inlineStr">
        <is>
          <t>–</t>
        </is>
      </c>
      <c r="I125" s="282" t="inlineStr">
        <is>
          <t>–</t>
        </is>
      </c>
      <c r="J125" s="282" t="inlineStr">
        <is>
          <t>–</t>
        </is>
      </c>
      <c r="K125" s="282" t="inlineStr">
        <is>
          <t>–</t>
        </is>
      </c>
      <c r="L125" s="282" t="inlineStr">
        <is>
          <t>–</t>
        </is>
      </c>
      <c r="M125" s="282" t="inlineStr">
        <is>
          <t>–</t>
        </is>
      </c>
      <c r="N125" s="282" t="inlineStr">
        <is>
          <t>–</t>
        </is>
      </c>
      <c r="O125" s="282" t="inlineStr">
        <is>
          <t>–</t>
        </is>
      </c>
      <c r="P125" s="282" t="inlineStr">
        <is>
          <t>–</t>
        </is>
      </c>
      <c r="Q125" s="282" t="inlineStr">
        <is>
          <t>–</t>
        </is>
      </c>
      <c r="R125" s="282" t="inlineStr">
        <is>
          <t>–</t>
        </is>
      </c>
      <c r="S125" s="252" t="inlineStr">
        <is>
          <t>BLS trend continued, or the S&amp;P-consistent FY28 step</t>
        </is>
      </c>
      <c r="U125" s="252" t="inlineStr">
        <is>
          <t>2 · S&amp;P path</t>
        </is>
      </c>
    </row>
    <row r="126">
      <c r="B126" s="254" t="inlineStr">
        <is>
          <t>r: Street-implied FY27 coverage recovery (reverse-solved, live)</t>
        </is>
      </c>
      <c r="D126" s="339">
        <f>(Scenarios!$D$108-Scenarios!Q29)/Scenarios!Q26</f>
        <v/>
      </c>
      <c r="E126" s="252" t="inlineStr">
        <is>
          <t>MEASURED</t>
        </is>
      </c>
      <c r="F126" s="282" t="inlineStr">
        <is>
          <t>–</t>
        </is>
      </c>
      <c r="G126" s="282" t="inlineStr">
        <is>
          <t>–</t>
        </is>
      </c>
      <c r="H126" s="282" t="inlineStr">
        <is>
          <t>–</t>
        </is>
      </c>
      <c r="I126" s="282" t="inlineStr">
        <is>
          <t>–</t>
        </is>
      </c>
      <c r="J126" s="282" t="inlineStr">
        <is>
          <t>–</t>
        </is>
      </c>
      <c r="K126" s="282" t="inlineStr">
        <is>
          <t>–</t>
        </is>
      </c>
      <c r="L126" s="282" t="inlineStr">
        <is>
          <t>–</t>
        </is>
      </c>
      <c r="M126" s="282" t="inlineStr">
        <is>
          <t>–</t>
        </is>
      </c>
      <c r="N126" s="282" t="inlineStr">
        <is>
          <t>–</t>
        </is>
      </c>
      <c r="O126" s="282" t="inlineStr">
        <is>
          <t>–</t>
        </is>
      </c>
      <c r="P126" s="282" t="inlineStr">
        <is>
          <t>–</t>
        </is>
      </c>
      <c r="Q126" s="282" t="inlineStr">
        <is>
          <t>–</t>
        </is>
      </c>
      <c r="R126" s="282" t="inlineStr">
        <is>
          <t>–</t>
        </is>
      </c>
      <c r="S126" s="252" t="inlineStr">
        <is>
          <t>Identity from Scenarios case 1 and the JPM benchmark; recomputes with every input change</t>
        </is>
      </c>
    </row>
    <row r="127">
      <c r="B127" s="254" t="inlineStr">
        <is>
          <t>Premium path selector (click D127 to choose; index in F127): BLS observed trend or S&amp;P-consistent</t>
        </is>
      </c>
      <c r="D127" s="340" t="inlineStr">
        <is>
          <t>1 · BLS trend</t>
        </is>
      </c>
      <c r="E127" s="252" t="inlineStr">
        <is>
          <t>TOGGLE</t>
        </is>
      </c>
      <c r="F127" s="292">
        <f>MATCH(D127,$U$124:$U$125,0)</f>
        <v/>
      </c>
      <c r="G127" s="282" t="inlineStr">
        <is>
          <t>–</t>
        </is>
      </c>
      <c r="H127" s="282" t="inlineStr">
        <is>
          <t>–</t>
        </is>
      </c>
      <c r="I127" s="282" t="inlineStr">
        <is>
          <t>–</t>
        </is>
      </c>
      <c r="J127" s="282" t="inlineStr">
        <is>
          <t>–</t>
        </is>
      </c>
      <c r="K127" s="282" t="inlineStr">
        <is>
          <t>–</t>
        </is>
      </c>
      <c r="L127" s="282" t="inlineStr">
        <is>
          <t>–</t>
        </is>
      </c>
      <c r="M127" s="282" t="inlineStr">
        <is>
          <t>–</t>
        </is>
      </c>
      <c r="N127" s="282" t="inlineStr">
        <is>
          <t>–</t>
        </is>
      </c>
      <c r="O127" s="282" t="inlineStr">
        <is>
          <t>–</t>
        </is>
      </c>
      <c r="P127" s="282" t="inlineStr">
        <is>
          <t>–</t>
        </is>
      </c>
      <c r="Q127" s="282" t="inlineStr">
        <is>
          <t>–</t>
        </is>
      </c>
      <c r="R127" s="282" t="inlineStr">
        <is>
          <t>–</t>
        </is>
      </c>
      <c r="S127" s="252" t="inlineStr">
        <is>
          <t>Both paths shown on Key Drivers</t>
        </is>
      </c>
    </row>
    <row r="128">
      <c r="B128" s="254" t="inlineStr">
        <is>
          <t>BLS CPI motor vehicle insurance, latest month y/y (Aug 2026)</t>
        </is>
      </c>
      <c r="D128" s="273">
        <f>'D Coverage'!Q17</f>
        <v/>
      </c>
      <c r="E128" s="252" t="inlineStr">
        <is>
          <t>VERIFIED</t>
        </is>
      </c>
      <c r="F128" s="282" t="inlineStr">
        <is>
          <t>–</t>
        </is>
      </c>
      <c r="G128" s="282" t="inlineStr">
        <is>
          <t>–</t>
        </is>
      </c>
      <c r="H128" s="282" t="inlineStr">
        <is>
          <t>–</t>
        </is>
      </c>
      <c r="I128" s="282" t="inlineStr">
        <is>
          <t>–</t>
        </is>
      </c>
      <c r="J128" s="282" t="inlineStr">
        <is>
          <t>–</t>
        </is>
      </c>
      <c r="K128" s="282" t="inlineStr">
        <is>
          <t>–</t>
        </is>
      </c>
      <c r="L128" s="282" t="inlineStr">
        <is>
          <t>–</t>
        </is>
      </c>
      <c r="M128" s="282" t="inlineStr">
        <is>
          <t>–</t>
        </is>
      </c>
      <c r="N128" s="282" t="inlineStr">
        <is>
          <t>–</t>
        </is>
      </c>
      <c r="O128" s="282" t="inlineStr">
        <is>
          <t>–</t>
        </is>
      </c>
      <c r="P128" s="282" t="inlineStr">
        <is>
          <t>–</t>
        </is>
      </c>
      <c r="Q128" s="282" t="inlineStr">
        <is>
          <t>–</t>
        </is>
      </c>
      <c r="R128" s="282" t="inlineStr">
        <is>
          <t>–</t>
        </is>
      </c>
      <c r="S128" s="252" t="inlineStr">
        <is>
          <t>raw/bls CUUR0000SETE</t>
        </is>
      </c>
    </row>
    <row r="129">
      <c r="B129" s="254" t="inlineStr">
        <is>
          <t>S&amp;P-consistent premium growth, FY27</t>
        </is>
      </c>
      <c r="D129" s="303" t="n">
        <v>0</v>
      </c>
      <c r="E129" s="252" t="inlineStr">
        <is>
          <t>ASSUMED</t>
        </is>
      </c>
      <c r="F129" s="282" t="inlineStr">
        <is>
          <t>–</t>
        </is>
      </c>
      <c r="G129" s="282" t="inlineStr">
        <is>
          <t>–</t>
        </is>
      </c>
      <c r="H129" s="282" t="inlineStr">
        <is>
          <t>–</t>
        </is>
      </c>
      <c r="I129" s="282" t="inlineStr">
        <is>
          <t>–</t>
        </is>
      </c>
      <c r="J129" s="282" t="inlineStr">
        <is>
          <t>–</t>
        </is>
      </c>
      <c r="K129" s="282" t="inlineStr">
        <is>
          <t>–</t>
        </is>
      </c>
      <c r="L129" s="282" t="inlineStr">
        <is>
          <t>–</t>
        </is>
      </c>
      <c r="M129" s="282" t="inlineStr">
        <is>
          <t>–</t>
        </is>
      </c>
      <c r="N129" s="282" t="inlineStr">
        <is>
          <t>–</t>
        </is>
      </c>
      <c r="O129" s="282" t="inlineStr">
        <is>
          <t>–</t>
        </is>
      </c>
      <c r="P129" s="282" t="inlineStr">
        <is>
          <t>–</t>
        </is>
      </c>
      <c r="Q129" s="282" t="inlineStr">
        <is>
          <t>–</t>
        </is>
      </c>
      <c r="R129" s="282" t="inlineStr">
        <is>
          <t>–</t>
        </is>
      </c>
      <c r="S129" s="252" t="inlineStr">
        <is>
          <t>S&amp;P (Dec 2025): 2026 private auto pricing with "rate decreases matching rate increases"; no percentage published. Flat is our reading, not an S&amp;P number</t>
        </is>
      </c>
    </row>
    <row r="130">
      <c r="B130" s="254" t="inlineStr">
        <is>
          <t>S&amp;P-consistent premium growth, FY28</t>
        </is>
      </c>
      <c r="D130" s="303" t="n">
        <v>0.03</v>
      </c>
      <c r="E130" s="252" t="inlineStr">
        <is>
          <t>ASSUMED</t>
        </is>
      </c>
      <c r="F130" s="282" t="inlineStr">
        <is>
          <t>–</t>
        </is>
      </c>
      <c r="G130" s="282" t="inlineStr">
        <is>
          <t>–</t>
        </is>
      </c>
      <c r="H130" s="282" t="inlineStr">
        <is>
          <t>–</t>
        </is>
      </c>
      <c r="I130" s="282" t="inlineStr">
        <is>
          <t>–</t>
        </is>
      </c>
      <c r="J130" s="282" t="inlineStr">
        <is>
          <t>–</t>
        </is>
      </c>
      <c r="K130" s="282" t="inlineStr">
        <is>
          <t>–</t>
        </is>
      </c>
      <c r="L130" s="282" t="inlineStr">
        <is>
          <t>–</t>
        </is>
      </c>
      <c r="M130" s="282" t="inlineStr">
        <is>
          <t>–</t>
        </is>
      </c>
      <c r="N130" s="282" t="inlineStr">
        <is>
          <t>–</t>
        </is>
      </c>
      <c r="O130" s="282" t="inlineStr">
        <is>
          <t>–</t>
        </is>
      </c>
      <c r="P130" s="282" t="inlineStr">
        <is>
          <t>–</t>
        </is>
      </c>
      <c r="Q130" s="282" t="inlineStr">
        <is>
          <t>–</t>
        </is>
      </c>
      <c r="R130" s="282" t="inlineStr">
        <is>
          <t>–</t>
        </is>
      </c>
      <c r="S130" s="252" t="inlineStr">
        <is>
          <t>S&amp;P projects auto combined ratios rising to 98.9 in 2027 and above 100 in 2028, implying renewed rate increases; +3% is our reading of that path, not an S&amp;P number</t>
        </is>
      </c>
    </row>
    <row r="131">
      <c r="B131" s="254" t="inlineStr">
        <is>
          <t>First quarter in which the burden falls below its 2023 level (selected path)</t>
        </is>
      </c>
      <c r="D131" s="341">
        <f>IFERROR(INDEX($D$115:$O$115,MATCH(1,$D$120:$O$120,0)),"beyond FQ4 FY28")</f>
        <v/>
      </c>
      <c r="E131" s="252" t="inlineStr">
        <is>
          <t>MEASURED</t>
        </is>
      </c>
      <c r="F131" s="282" t="inlineStr">
        <is>
          <t>–</t>
        </is>
      </c>
      <c r="G131" s="282" t="inlineStr">
        <is>
          <t>–</t>
        </is>
      </c>
      <c r="H131" s="282" t="inlineStr">
        <is>
          <t>–</t>
        </is>
      </c>
      <c r="I131" s="282" t="inlineStr">
        <is>
          <t>–</t>
        </is>
      </c>
      <c r="J131" s="282" t="inlineStr">
        <is>
          <t>–</t>
        </is>
      </c>
      <c r="K131" s="282" t="inlineStr">
        <is>
          <t>–</t>
        </is>
      </c>
      <c r="L131" s="282" t="inlineStr">
        <is>
          <t>–</t>
        </is>
      </c>
      <c r="M131" s="282" t="inlineStr">
        <is>
          <t>–</t>
        </is>
      </c>
      <c r="N131" s="282" t="inlineStr">
        <is>
          <t>–</t>
        </is>
      </c>
      <c r="O131" s="282" t="inlineStr">
        <is>
          <t>–</t>
        </is>
      </c>
      <c r="P131" s="282" t="inlineStr">
        <is>
          <t>–</t>
        </is>
      </c>
      <c r="Q131" s="282" t="inlineStr">
        <is>
          <t>–</t>
        </is>
      </c>
      <c r="R131" s="282" t="inlineStr">
        <is>
          <t>–</t>
        </is>
      </c>
      <c r="S131" s="252" t="inlineStr">
        <is>
          <t>Row 120 flags; the date the bull mechanism could start, on the selected path</t>
        </is>
      </c>
    </row>
  </sheetData>
  <mergeCells count="2">
    <mergeCell ref="H4:O4"/>
    <mergeCell ref="D4:G4"/>
  </mergeCells>
  <dataValidations count="1">
    <dataValidation sqref="D127" showDropDown="0" showInputMessage="1" showErrorMessage="1" allowBlank="0" errorTitle="Selector" error="Choose a value from the list" promptTitle="Selector" prompt="Click the arrow and choose a case" type="list">
      <formula1>$U$124:$U$125</formula1>
    </dataValidation>
  </dataValidations>
  <pageMargins left="0.75" right="0.75" top="1" bottom="1" header="0.5" footer="0.5"/>
</worksheet>
</file>

<file path=xl/worksheets/sheet13.xml><?xml version="1.0" encoding="utf-8"?>
<worksheet xmlns="http://schemas.openxmlformats.org/spreadsheetml/2006/main">
  <sheetPr>
    <tabColor rgb="FF7030A0"/>
    <outlinePr summaryBelow="1" summaryRight="1"/>
    <pageSetUpPr/>
  </sheetPr>
  <dimension ref="B1:S96"/>
  <sheetViews>
    <sheetView showGridLines="0" zoomScale="90" workbookViewId="0">
      <pane xSplit="3" ySplit="5" topLeftCell="D6"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2.5" customWidth="1" style="392" min="1" max="1"/>
    <col width="56" customWidth="1" style="392" min="2" max="2"/>
    <col width="8" customWidth="1" style="392" min="3" max="3"/>
    <col width="13" customWidth="1" style="392" min="4" max="18"/>
    <col width="48" customWidth="1" style="392" min="19" max="19"/>
  </cols>
  <sheetData>
    <row r="1" ht="17" customHeight="1" s="392">
      <c r="B1" s="269" t="inlineStr">
        <is>
          <t>E3 Carriers — carrier weights, Copart allocation paths and seller terms (thesis A)</t>
        </is>
      </c>
      <c r="C1" s="270" t="n"/>
      <c r="D1" s="270" t="n"/>
      <c r="E1" s="270" t="n"/>
      <c r="F1" s="270" t="n"/>
      <c r="G1" s="270" t="n"/>
      <c r="H1" s="270" t="n"/>
      <c r="I1" s="270" t="n"/>
      <c r="J1" s="270" t="n"/>
      <c r="K1" s="270" t="n"/>
      <c r="L1" s="270" t="n"/>
      <c r="M1" s="270" t="n"/>
      <c r="N1" s="270" t="n"/>
      <c r="O1" s="270" t="n"/>
      <c r="P1" s="270" t="n"/>
      <c r="Q1" s="270" t="n"/>
      <c r="R1" s="270" t="n"/>
      <c r="S1" s="270" t="n"/>
    </row>
    <row r="2">
      <c r="B2" s="252" t="inlineStr">
        <is>
          <t>Copart share S(q) = Σ_i w_i × a_i(q);  units chain uses S(q) ÷ S(q−4).  Known Progressive runoff is always on; thesis A adds events and drift via toggles.  Appendix A, Eq. 7.</t>
        </is>
      </c>
    </row>
    <row r="4">
      <c r="C4" s="277" t="inlineStr">
        <is>
          <t>Units</t>
        </is>
      </c>
      <c r="D4" s="405" t="inlineStr">
        <is>
          <t>Historicals</t>
        </is>
      </c>
      <c r="E4" s="377" t="n"/>
      <c r="F4" s="377" t="n"/>
      <c r="G4" s="377" t="n"/>
      <c r="H4" s="405" t="inlineStr">
        <is>
          <t>Projected</t>
        </is>
      </c>
      <c r="I4" s="377" t="n"/>
      <c r="J4" s="377" t="n"/>
      <c r="K4" s="377" t="n"/>
      <c r="L4" s="377" t="n"/>
      <c r="M4" s="377" t="n"/>
      <c r="N4" s="377" t="n"/>
      <c r="O4" s="377" t="n"/>
      <c r="S4" s="278" t="inlineStr">
        <is>
          <t>Notes / sources</t>
        </is>
      </c>
    </row>
    <row r="5">
      <c r="B5" s="246" t="inlineStr">
        <is>
          <t>A. Carrier weights: share of the insured total-loss pool (frozen at FQ4 FY26)</t>
        </is>
      </c>
      <c r="C5" s="247" t="n"/>
      <c r="D5" s="248" t="inlineStr">
        <is>
          <t>FQ1 FY26A</t>
        </is>
      </c>
      <c r="E5" s="248" t="inlineStr">
        <is>
          <t>FQ2 FY26A</t>
        </is>
      </c>
      <c r="F5" s="248" t="inlineStr">
        <is>
          <t>FQ3 FY26A</t>
        </is>
      </c>
      <c r="G5" s="248" t="inlineStr">
        <is>
          <t>FQ4 FY26A</t>
        </is>
      </c>
      <c r="H5" s="248" t="inlineStr">
        <is>
          <t>FQ1 FY27E</t>
        </is>
      </c>
      <c r="I5" s="248" t="inlineStr">
        <is>
          <t>FQ2 FY27E</t>
        </is>
      </c>
      <c r="J5" s="248" t="inlineStr">
        <is>
          <t>FQ3 FY27E</t>
        </is>
      </c>
      <c r="K5" s="248" t="inlineStr">
        <is>
          <t>FQ4 FY27E</t>
        </is>
      </c>
      <c r="L5" s="248" t="inlineStr">
        <is>
          <t>FQ1 FY28E</t>
        </is>
      </c>
      <c r="M5" s="248" t="inlineStr">
        <is>
          <t>FQ2 FY28E</t>
        </is>
      </c>
      <c r="N5" s="248" t="inlineStr">
        <is>
          <t>FQ3 FY28E</t>
        </is>
      </c>
      <c r="O5" s="248" t="inlineStr">
        <is>
          <t>FQ4 FY28E</t>
        </is>
      </c>
      <c r="P5" s="248" t="inlineStr">
        <is>
          <t>FY26A</t>
        </is>
      </c>
      <c r="Q5" s="248" t="inlineStr">
        <is>
          <t>FY27E</t>
        </is>
      </c>
      <c r="R5" s="248" t="inlineStr">
        <is>
          <t>FY28E</t>
        </is>
      </c>
      <c r="S5" s="247" t="n"/>
    </row>
    <row r="6">
      <c r="B6" s="254" t="inlineStr">
        <is>
          <t>State Farm</t>
        </is>
      </c>
      <c r="C6" s="279" t="inlineStr">
        <is>
          <t>share</t>
        </is>
      </c>
      <c r="D6" s="461">
        <f>'D Carriers'!$F$5</f>
        <v/>
      </c>
      <c r="E6" s="461">
        <f>'D Carriers'!$F$5</f>
        <v/>
      </c>
      <c r="F6" s="461">
        <f>'D Carriers'!$F$5</f>
        <v/>
      </c>
      <c r="G6" s="461">
        <f>'D Carriers'!$F$5</f>
        <v/>
      </c>
      <c r="H6" s="461">
        <f>'D Carriers'!$F$5</f>
        <v/>
      </c>
      <c r="I6" s="461">
        <f>'D Carriers'!$F$5</f>
        <v/>
      </c>
      <c r="J6" s="461">
        <f>'D Carriers'!$F$5</f>
        <v/>
      </c>
      <c r="K6" s="461">
        <f>'D Carriers'!$F$5</f>
        <v/>
      </c>
      <c r="L6" s="461">
        <f>'D Carriers'!$F$5</f>
        <v/>
      </c>
      <c r="M6" s="461">
        <f>'D Carriers'!$F$5</f>
        <v/>
      </c>
      <c r="N6" s="461">
        <f>'D Carriers'!$F$5</f>
        <v/>
      </c>
      <c r="O6" s="461">
        <f>'D Carriers'!$F$5</f>
        <v/>
      </c>
      <c r="P6" s="282" t="inlineStr">
        <is>
          <t>–</t>
        </is>
      </c>
      <c r="Q6" s="282" t="inlineStr">
        <is>
          <t>–</t>
        </is>
      </c>
      <c r="R6" s="282" t="inlineStr">
        <is>
          <t>–</t>
        </is>
      </c>
      <c r="S6" s="252" t="inlineStr">
        <is>
          <t>D Carriers (UNVERIFIED premium-share proxy; frozen per carrier test 28 Sep)</t>
        </is>
      </c>
    </row>
    <row r="7">
      <c r="B7" s="254" t="inlineStr">
        <is>
          <t>Progressive</t>
        </is>
      </c>
      <c r="C7" s="279" t="inlineStr">
        <is>
          <t>share</t>
        </is>
      </c>
      <c r="D7" s="461">
        <f>'D Carriers'!$F$6</f>
        <v/>
      </c>
      <c r="E7" s="461">
        <f>'D Carriers'!$F$6</f>
        <v/>
      </c>
      <c r="F7" s="461">
        <f>'D Carriers'!$F$6</f>
        <v/>
      </c>
      <c r="G7" s="461">
        <f>'D Carriers'!$F$6</f>
        <v/>
      </c>
      <c r="H7" s="461">
        <f>'D Carriers'!$F$6</f>
        <v/>
      </c>
      <c r="I7" s="461">
        <f>'D Carriers'!$F$6</f>
        <v/>
      </c>
      <c r="J7" s="461">
        <f>'D Carriers'!$F$6</f>
        <v/>
      </c>
      <c r="K7" s="461">
        <f>'D Carriers'!$F$6</f>
        <v/>
      </c>
      <c r="L7" s="461">
        <f>'D Carriers'!$F$6</f>
        <v/>
      </c>
      <c r="M7" s="461">
        <f>'D Carriers'!$F$6</f>
        <v/>
      </c>
      <c r="N7" s="461">
        <f>'D Carriers'!$F$6</f>
        <v/>
      </c>
      <c r="O7" s="461">
        <f>'D Carriers'!$F$6</f>
        <v/>
      </c>
      <c r="P7" s="282" t="inlineStr">
        <is>
          <t>–</t>
        </is>
      </c>
      <c r="Q7" s="282" t="inlineStr">
        <is>
          <t>–</t>
        </is>
      </c>
      <c r="R7" s="282" t="inlineStr">
        <is>
          <t>–</t>
        </is>
      </c>
    </row>
    <row r="8">
      <c r="B8" s="254" t="inlineStr">
        <is>
          <t>GEICO</t>
        </is>
      </c>
      <c r="C8" s="279" t="inlineStr">
        <is>
          <t>share</t>
        </is>
      </c>
      <c r="D8" s="461">
        <f>'D Carriers'!$F$7</f>
        <v/>
      </c>
      <c r="E8" s="461">
        <f>'D Carriers'!$F$7</f>
        <v/>
      </c>
      <c r="F8" s="461">
        <f>'D Carriers'!$F$7</f>
        <v/>
      </c>
      <c r="G8" s="461">
        <f>'D Carriers'!$F$7</f>
        <v/>
      </c>
      <c r="H8" s="461">
        <f>'D Carriers'!$F$7</f>
        <v/>
      </c>
      <c r="I8" s="461">
        <f>'D Carriers'!$F$7</f>
        <v/>
      </c>
      <c r="J8" s="461">
        <f>'D Carriers'!$F$7</f>
        <v/>
      </c>
      <c r="K8" s="461">
        <f>'D Carriers'!$F$7</f>
        <v/>
      </c>
      <c r="L8" s="461">
        <f>'D Carriers'!$F$7</f>
        <v/>
      </c>
      <c r="M8" s="461">
        <f>'D Carriers'!$F$7</f>
        <v/>
      </c>
      <c r="N8" s="461">
        <f>'D Carriers'!$F$7</f>
        <v/>
      </c>
      <c r="O8" s="461">
        <f>'D Carriers'!$F$7</f>
        <v/>
      </c>
      <c r="P8" s="282" t="inlineStr">
        <is>
          <t>–</t>
        </is>
      </c>
      <c r="Q8" s="282" t="inlineStr">
        <is>
          <t>–</t>
        </is>
      </c>
      <c r="R8" s="282" t="inlineStr">
        <is>
          <t>–</t>
        </is>
      </c>
    </row>
    <row r="9">
      <c r="B9" s="254" t="inlineStr">
        <is>
          <t>Allstate</t>
        </is>
      </c>
      <c r="C9" s="279" t="inlineStr">
        <is>
          <t>share</t>
        </is>
      </c>
      <c r="D9" s="461">
        <f>'D Carriers'!$F$8</f>
        <v/>
      </c>
      <c r="E9" s="461">
        <f>'D Carriers'!$F$8</f>
        <v/>
      </c>
      <c r="F9" s="461">
        <f>'D Carriers'!$F$8</f>
        <v/>
      </c>
      <c r="G9" s="461">
        <f>'D Carriers'!$F$8</f>
        <v/>
      </c>
      <c r="H9" s="461">
        <f>'D Carriers'!$F$8</f>
        <v/>
      </c>
      <c r="I9" s="461">
        <f>'D Carriers'!$F$8</f>
        <v/>
      </c>
      <c r="J9" s="461">
        <f>'D Carriers'!$F$8</f>
        <v/>
      </c>
      <c r="K9" s="461">
        <f>'D Carriers'!$F$8</f>
        <v/>
      </c>
      <c r="L9" s="461">
        <f>'D Carriers'!$F$8</f>
        <v/>
      </c>
      <c r="M9" s="461">
        <f>'D Carriers'!$F$8</f>
        <v/>
      </c>
      <c r="N9" s="461">
        <f>'D Carriers'!$F$8</f>
        <v/>
      </c>
      <c r="O9" s="461">
        <f>'D Carriers'!$F$8</f>
        <v/>
      </c>
      <c r="P9" s="282" t="inlineStr">
        <is>
          <t>–</t>
        </is>
      </c>
      <c r="Q9" s="282" t="inlineStr">
        <is>
          <t>–</t>
        </is>
      </c>
      <c r="R9" s="282" t="inlineStr">
        <is>
          <t>–</t>
        </is>
      </c>
    </row>
    <row r="10">
      <c r="B10" s="254" t="inlineStr">
        <is>
          <t>USAA</t>
        </is>
      </c>
      <c r="C10" s="279" t="inlineStr">
        <is>
          <t>share</t>
        </is>
      </c>
      <c r="D10" s="461">
        <f>'D Carriers'!$F$9</f>
        <v/>
      </c>
      <c r="E10" s="461">
        <f>'D Carriers'!$F$9</f>
        <v/>
      </c>
      <c r="F10" s="461">
        <f>'D Carriers'!$F$9</f>
        <v/>
      </c>
      <c r="G10" s="461">
        <f>'D Carriers'!$F$9</f>
        <v/>
      </c>
      <c r="H10" s="461">
        <f>'D Carriers'!$F$9</f>
        <v/>
      </c>
      <c r="I10" s="461">
        <f>'D Carriers'!$F$9</f>
        <v/>
      </c>
      <c r="J10" s="461">
        <f>'D Carriers'!$F$9</f>
        <v/>
      </c>
      <c r="K10" s="461">
        <f>'D Carriers'!$F$9</f>
        <v/>
      </c>
      <c r="L10" s="461">
        <f>'D Carriers'!$F$9</f>
        <v/>
      </c>
      <c r="M10" s="461">
        <f>'D Carriers'!$F$9</f>
        <v/>
      </c>
      <c r="N10" s="461">
        <f>'D Carriers'!$F$9</f>
        <v/>
      </c>
      <c r="O10" s="461">
        <f>'D Carriers'!$F$9</f>
        <v/>
      </c>
      <c r="P10" s="282" t="inlineStr">
        <is>
          <t>–</t>
        </is>
      </c>
      <c r="Q10" s="282" t="inlineStr">
        <is>
          <t>–</t>
        </is>
      </c>
      <c r="R10" s="282" t="inlineStr">
        <is>
          <t>–</t>
        </is>
      </c>
    </row>
    <row r="11">
      <c r="B11" s="254" t="inlineStr">
        <is>
          <t>Farmers</t>
        </is>
      </c>
      <c r="C11" s="279" t="inlineStr">
        <is>
          <t>share</t>
        </is>
      </c>
      <c r="D11" s="461">
        <f>'D Carriers'!$F$10</f>
        <v/>
      </c>
      <c r="E11" s="461">
        <f>'D Carriers'!$F$10</f>
        <v/>
      </c>
      <c r="F11" s="461">
        <f>'D Carriers'!$F$10</f>
        <v/>
      </c>
      <c r="G11" s="461">
        <f>'D Carriers'!$F$10</f>
        <v/>
      </c>
      <c r="H11" s="461">
        <f>'D Carriers'!$F$10</f>
        <v/>
      </c>
      <c r="I11" s="461">
        <f>'D Carriers'!$F$10</f>
        <v/>
      </c>
      <c r="J11" s="461">
        <f>'D Carriers'!$F$10</f>
        <v/>
      </c>
      <c r="K11" s="461">
        <f>'D Carriers'!$F$10</f>
        <v/>
      </c>
      <c r="L11" s="461">
        <f>'D Carriers'!$F$10</f>
        <v/>
      </c>
      <c r="M11" s="461">
        <f>'D Carriers'!$F$10</f>
        <v/>
      </c>
      <c r="N11" s="461">
        <f>'D Carriers'!$F$10</f>
        <v/>
      </c>
      <c r="O11" s="461">
        <f>'D Carriers'!$F$10</f>
        <v/>
      </c>
      <c r="P11" s="282" t="inlineStr">
        <is>
          <t>–</t>
        </is>
      </c>
      <c r="Q11" s="282" t="inlineStr">
        <is>
          <t>–</t>
        </is>
      </c>
      <c r="R11" s="282" t="inlineStr">
        <is>
          <t>–</t>
        </is>
      </c>
    </row>
    <row r="12">
      <c r="B12" s="254" t="inlineStr">
        <is>
          <t>Liberty Mutual</t>
        </is>
      </c>
      <c r="C12" s="279" t="inlineStr">
        <is>
          <t>share</t>
        </is>
      </c>
      <c r="D12" s="461">
        <f>'D Carriers'!$F$11</f>
        <v/>
      </c>
      <c r="E12" s="461">
        <f>'D Carriers'!$F$11</f>
        <v/>
      </c>
      <c r="F12" s="461">
        <f>'D Carriers'!$F$11</f>
        <v/>
      </c>
      <c r="G12" s="461">
        <f>'D Carriers'!$F$11</f>
        <v/>
      </c>
      <c r="H12" s="461">
        <f>'D Carriers'!$F$11</f>
        <v/>
      </c>
      <c r="I12" s="461">
        <f>'D Carriers'!$F$11</f>
        <v/>
      </c>
      <c r="J12" s="461">
        <f>'D Carriers'!$F$11</f>
        <v/>
      </c>
      <c r="K12" s="461">
        <f>'D Carriers'!$F$11</f>
        <v/>
      </c>
      <c r="L12" s="461">
        <f>'D Carriers'!$F$11</f>
        <v/>
      </c>
      <c r="M12" s="461">
        <f>'D Carriers'!$F$11</f>
        <v/>
      </c>
      <c r="N12" s="461">
        <f>'D Carriers'!$F$11</f>
        <v/>
      </c>
      <c r="O12" s="461">
        <f>'D Carriers'!$F$11</f>
        <v/>
      </c>
      <c r="P12" s="282" t="inlineStr">
        <is>
          <t>–</t>
        </is>
      </c>
      <c r="Q12" s="282" t="inlineStr">
        <is>
          <t>–</t>
        </is>
      </c>
      <c r="R12" s="282" t="inlineStr">
        <is>
          <t>–</t>
        </is>
      </c>
    </row>
    <row r="13">
      <c r="B13" s="254" t="inlineStr">
        <is>
          <t>Travelers</t>
        </is>
      </c>
      <c r="C13" s="279" t="inlineStr">
        <is>
          <t>share</t>
        </is>
      </c>
      <c r="D13" s="461">
        <f>'D Carriers'!$F$12</f>
        <v/>
      </c>
      <c r="E13" s="461">
        <f>'D Carriers'!$F$12</f>
        <v/>
      </c>
      <c r="F13" s="461">
        <f>'D Carriers'!$F$12</f>
        <v/>
      </c>
      <c r="G13" s="461">
        <f>'D Carriers'!$F$12</f>
        <v/>
      </c>
      <c r="H13" s="461">
        <f>'D Carriers'!$F$12</f>
        <v/>
      </c>
      <c r="I13" s="461">
        <f>'D Carriers'!$F$12</f>
        <v/>
      </c>
      <c r="J13" s="461">
        <f>'D Carriers'!$F$12</f>
        <v/>
      </c>
      <c r="K13" s="461">
        <f>'D Carriers'!$F$12</f>
        <v/>
      </c>
      <c r="L13" s="461">
        <f>'D Carriers'!$F$12</f>
        <v/>
      </c>
      <c r="M13" s="461">
        <f>'D Carriers'!$F$12</f>
        <v/>
      </c>
      <c r="N13" s="461">
        <f>'D Carriers'!$F$12</f>
        <v/>
      </c>
      <c r="O13" s="461">
        <f>'D Carriers'!$F$12</f>
        <v/>
      </c>
      <c r="P13" s="282" t="inlineStr">
        <is>
          <t>–</t>
        </is>
      </c>
      <c r="Q13" s="282" t="inlineStr">
        <is>
          <t>–</t>
        </is>
      </c>
      <c r="R13" s="282" t="inlineStr">
        <is>
          <t>–</t>
        </is>
      </c>
    </row>
    <row r="14">
      <c r="B14" s="254" t="inlineStr">
        <is>
          <t>Nationwide</t>
        </is>
      </c>
      <c r="C14" s="279" t="inlineStr">
        <is>
          <t>share</t>
        </is>
      </c>
      <c r="D14" s="461">
        <f>'D Carriers'!$F$13</f>
        <v/>
      </c>
      <c r="E14" s="461">
        <f>'D Carriers'!$F$13</f>
        <v/>
      </c>
      <c r="F14" s="461">
        <f>'D Carriers'!$F$13</f>
        <v/>
      </c>
      <c r="G14" s="461">
        <f>'D Carriers'!$F$13</f>
        <v/>
      </c>
      <c r="H14" s="461">
        <f>'D Carriers'!$F$13</f>
        <v/>
      </c>
      <c r="I14" s="461">
        <f>'D Carriers'!$F$13</f>
        <v/>
      </c>
      <c r="J14" s="461">
        <f>'D Carriers'!$F$13</f>
        <v/>
      </c>
      <c r="K14" s="461">
        <f>'D Carriers'!$F$13</f>
        <v/>
      </c>
      <c r="L14" s="461">
        <f>'D Carriers'!$F$13</f>
        <v/>
      </c>
      <c r="M14" s="461">
        <f>'D Carriers'!$F$13</f>
        <v/>
      </c>
      <c r="N14" s="461">
        <f>'D Carriers'!$F$13</f>
        <v/>
      </c>
      <c r="O14" s="461">
        <f>'D Carriers'!$F$13</f>
        <v/>
      </c>
      <c r="P14" s="282" t="inlineStr">
        <is>
          <t>–</t>
        </is>
      </c>
      <c r="Q14" s="282" t="inlineStr">
        <is>
          <t>–</t>
        </is>
      </c>
      <c r="R14" s="282" t="inlineStr">
        <is>
          <t>–</t>
        </is>
      </c>
    </row>
    <row r="15">
      <c r="B15" s="254" t="inlineStr">
        <is>
          <t>Other (Erie, AAA, AmFam, regionals)</t>
        </is>
      </c>
      <c r="C15" s="279" t="inlineStr">
        <is>
          <t>share</t>
        </is>
      </c>
      <c r="D15" s="461">
        <f>'D Carriers'!$F$14</f>
        <v/>
      </c>
      <c r="E15" s="461">
        <f>'D Carriers'!$F$14</f>
        <v/>
      </c>
      <c r="F15" s="461">
        <f>'D Carriers'!$F$14</f>
        <v/>
      </c>
      <c r="G15" s="461">
        <f>'D Carriers'!$F$14</f>
        <v/>
      </c>
      <c r="H15" s="461">
        <f>'D Carriers'!$F$14</f>
        <v/>
      </c>
      <c r="I15" s="461">
        <f>'D Carriers'!$F$14</f>
        <v/>
      </c>
      <c r="J15" s="461">
        <f>'D Carriers'!$F$14</f>
        <v/>
      </c>
      <c r="K15" s="461">
        <f>'D Carriers'!$F$14</f>
        <v/>
      </c>
      <c r="L15" s="461">
        <f>'D Carriers'!$F$14</f>
        <v/>
      </c>
      <c r="M15" s="461">
        <f>'D Carriers'!$F$14</f>
        <v/>
      </c>
      <c r="N15" s="461">
        <f>'D Carriers'!$F$14</f>
        <v/>
      </c>
      <c r="O15" s="461">
        <f>'D Carriers'!$F$14</f>
        <v/>
      </c>
      <c r="P15" s="282" t="inlineStr">
        <is>
          <t>–</t>
        </is>
      </c>
      <c r="Q15" s="282" t="inlineStr">
        <is>
          <t>–</t>
        </is>
      </c>
      <c r="R15" s="282" t="inlineStr">
        <is>
          <t>–</t>
        </is>
      </c>
    </row>
    <row r="16">
      <c r="B16" s="274" t="inlineStr">
        <is>
          <t xml:space="preserve">   check: weights sum to one</t>
        </is>
      </c>
      <c r="D16" s="459">
        <f>SUM(D6:D15)</f>
        <v/>
      </c>
      <c r="E16" s="459">
        <f>SUM(E6:E15)</f>
        <v/>
      </c>
      <c r="F16" s="459">
        <f>SUM(F6:F15)</f>
        <v/>
      </c>
      <c r="G16" s="459">
        <f>SUM(G6:G15)</f>
        <v/>
      </c>
      <c r="H16" s="459">
        <f>SUM(H6:H15)</f>
        <v/>
      </c>
      <c r="I16" s="459">
        <f>SUM(I6:I15)</f>
        <v/>
      </c>
      <c r="J16" s="459">
        <f>SUM(J6:J15)</f>
        <v/>
      </c>
      <c r="K16" s="459">
        <f>SUM(K6:K15)</f>
        <v/>
      </c>
      <c r="L16" s="459">
        <f>SUM(L6:L15)</f>
        <v/>
      </c>
      <c r="M16" s="459">
        <f>SUM(M6:M15)</f>
        <v/>
      </c>
      <c r="N16" s="459">
        <f>SUM(N6:N15)</f>
        <v/>
      </c>
      <c r="O16" s="459">
        <f>SUM(O6:O15)</f>
        <v/>
      </c>
      <c r="P16" s="282" t="inlineStr">
        <is>
          <t>–</t>
        </is>
      </c>
      <c r="Q16" s="282" t="inlineStr">
        <is>
          <t>–</t>
        </is>
      </c>
      <c r="R16" s="282" t="inlineStr">
        <is>
          <t>–</t>
        </is>
      </c>
    </row>
    <row r="18">
      <c r="B18" s="271" t="inlineStr">
        <is>
          <t>B. Copart allocation by carrier — base: FY26 inherited reconstruction; from FQ1 FY27 Progressive follows its runoff path and every other carrier is frozen at FQ4 FY26</t>
        </is>
      </c>
      <c r="C18" s="272" t="n"/>
      <c r="D18" s="272" t="n"/>
      <c r="E18" s="272" t="n"/>
      <c r="F18" s="272" t="n"/>
      <c r="G18" s="272" t="n"/>
      <c r="H18" s="272" t="n"/>
      <c r="I18" s="272" t="n"/>
      <c r="J18" s="272" t="n"/>
      <c r="K18" s="272" t="n"/>
      <c r="L18" s="272" t="n"/>
      <c r="M18" s="272" t="n"/>
      <c r="N18" s="272" t="n"/>
      <c r="O18" s="272" t="n"/>
      <c r="P18" s="272" t="n"/>
      <c r="Q18" s="272" t="n"/>
      <c r="R18" s="272" t="n"/>
      <c r="S18" s="272" t="n"/>
    </row>
    <row r="19">
      <c r="B19" s="254" t="inlineStr">
        <is>
          <t>State Farm</t>
        </is>
      </c>
      <c r="C19" s="279" t="inlineStr">
        <is>
          <t>share</t>
        </is>
      </c>
      <c r="D19" s="266">
        <f>'D Carriers'!$C$18</f>
        <v/>
      </c>
      <c r="E19" s="266">
        <f>'D Carriers'!$D$18</f>
        <v/>
      </c>
      <c r="F19" s="266">
        <f>'D Carriers'!$E$18</f>
        <v/>
      </c>
      <c r="G19" s="266">
        <f>'D Carriers'!$F$18</f>
        <v/>
      </c>
      <c r="H19" s="266">
        <f>'D Carriers'!$F$18</f>
        <v/>
      </c>
      <c r="I19" s="266">
        <f>'D Carriers'!$F$18</f>
        <v/>
      </c>
      <c r="J19" s="266">
        <f>'D Carriers'!$F$18</f>
        <v/>
      </c>
      <c r="K19" s="266">
        <f>'D Carriers'!$F$18</f>
        <v/>
      </c>
      <c r="L19" s="266">
        <f>'D Carriers'!$F$18</f>
        <v/>
      </c>
      <c r="M19" s="266">
        <f>'D Carriers'!$F$18</f>
        <v/>
      </c>
      <c r="N19" s="266">
        <f>'D Carriers'!$F$18</f>
        <v/>
      </c>
      <c r="O19" s="266">
        <f>'D Carriers'!$F$18</f>
        <v/>
      </c>
      <c r="P19" s="282" t="inlineStr">
        <is>
          <t>–</t>
        </is>
      </c>
      <c r="Q19" s="282" t="inlineStr">
        <is>
          <t>–</t>
        </is>
      </c>
      <c r="R19" s="282" t="inlineStr">
        <is>
          <t>–</t>
        </is>
      </c>
    </row>
    <row r="20">
      <c r="B20" s="254" t="inlineStr">
        <is>
          <t>Progressive</t>
        </is>
      </c>
      <c r="C20" s="279" t="inlineStr">
        <is>
          <t>share</t>
        </is>
      </c>
      <c r="D20" s="266">
        <f>'D Carriers'!$C$19</f>
        <v/>
      </c>
      <c r="E20" s="266">
        <f>'D Carriers'!$D$19</f>
        <v/>
      </c>
      <c r="F20" s="266">
        <f>'D Carriers'!$E$19</f>
        <v/>
      </c>
      <c r="G20" s="266">
        <f>'D Carriers'!$F$19</f>
        <v/>
      </c>
      <c r="H20" s="266">
        <f>'D Carriers'!$G$19</f>
        <v/>
      </c>
      <c r="I20" s="266">
        <f>'D Carriers'!$H$19</f>
        <v/>
      </c>
      <c r="J20" s="266">
        <f>'D Carriers'!$I$19</f>
        <v/>
      </c>
      <c r="K20" s="266">
        <f>'D Carriers'!$J$19</f>
        <v/>
      </c>
      <c r="L20" s="266">
        <f>'D Carriers'!$J$19</f>
        <v/>
      </c>
      <c r="M20" s="266">
        <f>'D Carriers'!$J$19</f>
        <v/>
      </c>
      <c r="N20" s="266">
        <f>'D Carriers'!$J$19</f>
        <v/>
      </c>
      <c r="O20" s="266">
        <f>'D Carriers'!$J$19</f>
        <v/>
      </c>
      <c r="P20" s="282" t="inlineStr">
        <is>
          <t>–</t>
        </is>
      </c>
      <c r="Q20" s="282" t="inlineStr">
        <is>
          <t>–</t>
        </is>
      </c>
      <c r="R20" s="282" t="inlineStr">
        <is>
          <t>–</t>
        </is>
      </c>
      <c r="S20" s="252" t="inlineStr">
        <is>
          <t>Progressive: inherited runoff (FITTED to the FQ4 FY26 print), then flat</t>
        </is>
      </c>
    </row>
    <row r="21">
      <c r="B21" s="254" t="inlineStr">
        <is>
          <t>GEICO</t>
        </is>
      </c>
      <c r="C21" s="279" t="inlineStr">
        <is>
          <t>share</t>
        </is>
      </c>
      <c r="D21" s="266">
        <f>'D Carriers'!$C$20</f>
        <v/>
      </c>
      <c r="E21" s="266">
        <f>'D Carriers'!$D$20</f>
        <v/>
      </c>
      <c r="F21" s="266">
        <f>'D Carriers'!$E$20</f>
        <v/>
      </c>
      <c r="G21" s="266">
        <f>'D Carriers'!$F$20</f>
        <v/>
      </c>
      <c r="H21" s="266">
        <f>'D Carriers'!$F$20</f>
        <v/>
      </c>
      <c r="I21" s="266">
        <f>'D Carriers'!$F$20</f>
        <v/>
      </c>
      <c r="J21" s="266">
        <f>'D Carriers'!$F$20</f>
        <v/>
      </c>
      <c r="K21" s="266">
        <f>'D Carriers'!$F$20</f>
        <v/>
      </c>
      <c r="L21" s="266">
        <f>'D Carriers'!$F$20</f>
        <v/>
      </c>
      <c r="M21" s="266">
        <f>'D Carriers'!$F$20</f>
        <v/>
      </c>
      <c r="N21" s="266">
        <f>'D Carriers'!$F$20</f>
        <v/>
      </c>
      <c r="O21" s="266">
        <f>'D Carriers'!$F$20</f>
        <v/>
      </c>
      <c r="P21" s="282" t="inlineStr">
        <is>
          <t>–</t>
        </is>
      </c>
      <c r="Q21" s="282" t="inlineStr">
        <is>
          <t>–</t>
        </is>
      </c>
      <c r="R21" s="282" t="inlineStr">
        <is>
          <t>–</t>
        </is>
      </c>
    </row>
    <row r="22">
      <c r="B22" s="254" t="inlineStr">
        <is>
          <t>Allstate</t>
        </is>
      </c>
      <c r="C22" s="279" t="inlineStr">
        <is>
          <t>share</t>
        </is>
      </c>
      <c r="D22" s="266">
        <f>'D Carriers'!$C$21</f>
        <v/>
      </c>
      <c r="E22" s="266">
        <f>'D Carriers'!$D$21</f>
        <v/>
      </c>
      <c r="F22" s="266">
        <f>'D Carriers'!$E$21</f>
        <v/>
      </c>
      <c r="G22" s="266">
        <f>'D Carriers'!$F$21</f>
        <v/>
      </c>
      <c r="H22" s="266">
        <f>'D Carriers'!$F$21</f>
        <v/>
      </c>
      <c r="I22" s="266">
        <f>'D Carriers'!$F$21</f>
        <v/>
      </c>
      <c r="J22" s="266">
        <f>'D Carriers'!$F$21</f>
        <v/>
      </c>
      <c r="K22" s="266">
        <f>'D Carriers'!$F$21</f>
        <v/>
      </c>
      <c r="L22" s="266">
        <f>'D Carriers'!$F$21</f>
        <v/>
      </c>
      <c r="M22" s="266">
        <f>'D Carriers'!$F$21</f>
        <v/>
      </c>
      <c r="N22" s="266">
        <f>'D Carriers'!$F$21</f>
        <v/>
      </c>
      <c r="O22" s="266">
        <f>'D Carriers'!$F$21</f>
        <v/>
      </c>
      <c r="P22" s="282" t="inlineStr">
        <is>
          <t>–</t>
        </is>
      </c>
      <c r="Q22" s="282" t="inlineStr">
        <is>
          <t>–</t>
        </is>
      </c>
      <c r="R22" s="282" t="inlineStr">
        <is>
          <t>–</t>
        </is>
      </c>
    </row>
    <row r="23">
      <c r="B23" s="254" t="inlineStr">
        <is>
          <t>USAA</t>
        </is>
      </c>
      <c r="C23" s="279" t="inlineStr">
        <is>
          <t>share</t>
        </is>
      </c>
      <c r="D23" s="266">
        <f>'D Carriers'!$C$22</f>
        <v/>
      </c>
      <c r="E23" s="266">
        <f>'D Carriers'!$D$22</f>
        <v/>
      </c>
      <c r="F23" s="266">
        <f>'D Carriers'!$E$22</f>
        <v/>
      </c>
      <c r="G23" s="266">
        <f>'D Carriers'!$F$22</f>
        <v/>
      </c>
      <c r="H23" s="266">
        <f>'D Carriers'!$F$22</f>
        <v/>
      </c>
      <c r="I23" s="266">
        <f>'D Carriers'!$F$22</f>
        <v/>
      </c>
      <c r="J23" s="266">
        <f>'D Carriers'!$F$22</f>
        <v/>
      </c>
      <c r="K23" s="266">
        <f>'D Carriers'!$F$22</f>
        <v/>
      </c>
      <c r="L23" s="266">
        <f>'D Carriers'!$F$22</f>
        <v/>
      </c>
      <c r="M23" s="266">
        <f>'D Carriers'!$F$22</f>
        <v/>
      </c>
      <c r="N23" s="266">
        <f>'D Carriers'!$F$22</f>
        <v/>
      </c>
      <c r="O23" s="266">
        <f>'D Carriers'!$F$22</f>
        <v/>
      </c>
      <c r="P23" s="282" t="inlineStr">
        <is>
          <t>–</t>
        </is>
      </c>
      <c r="Q23" s="282" t="inlineStr">
        <is>
          <t>–</t>
        </is>
      </c>
      <c r="R23" s="282" t="inlineStr">
        <is>
          <t>–</t>
        </is>
      </c>
    </row>
    <row r="24">
      <c r="B24" s="254" t="inlineStr">
        <is>
          <t>Farmers</t>
        </is>
      </c>
      <c r="C24" s="279" t="inlineStr">
        <is>
          <t>share</t>
        </is>
      </c>
      <c r="D24" s="266">
        <f>'D Carriers'!$C$23</f>
        <v/>
      </c>
      <c r="E24" s="266">
        <f>'D Carriers'!$D$23</f>
        <v/>
      </c>
      <c r="F24" s="266">
        <f>'D Carriers'!$E$23</f>
        <v/>
      </c>
      <c r="G24" s="266">
        <f>'D Carriers'!$F$23</f>
        <v/>
      </c>
      <c r="H24" s="266">
        <f>'D Carriers'!$F$23</f>
        <v/>
      </c>
      <c r="I24" s="266">
        <f>'D Carriers'!$F$23</f>
        <v/>
      </c>
      <c r="J24" s="266">
        <f>'D Carriers'!$F$23</f>
        <v/>
      </c>
      <c r="K24" s="266">
        <f>'D Carriers'!$F$23</f>
        <v/>
      </c>
      <c r="L24" s="266">
        <f>'D Carriers'!$F$23</f>
        <v/>
      </c>
      <c r="M24" s="266">
        <f>'D Carriers'!$F$23</f>
        <v/>
      </c>
      <c r="N24" s="266">
        <f>'D Carriers'!$F$23</f>
        <v/>
      </c>
      <c r="O24" s="266">
        <f>'D Carriers'!$F$23</f>
        <v/>
      </c>
      <c r="P24" s="282" t="inlineStr">
        <is>
          <t>–</t>
        </is>
      </c>
      <c r="Q24" s="282" t="inlineStr">
        <is>
          <t>–</t>
        </is>
      </c>
      <c r="R24" s="282" t="inlineStr">
        <is>
          <t>–</t>
        </is>
      </c>
    </row>
    <row r="25">
      <c r="B25" s="254" t="inlineStr">
        <is>
          <t>Liberty Mutual</t>
        </is>
      </c>
      <c r="C25" s="279" t="inlineStr">
        <is>
          <t>share</t>
        </is>
      </c>
      <c r="D25" s="266">
        <f>'D Carriers'!$C$24</f>
        <v/>
      </c>
      <c r="E25" s="266">
        <f>'D Carriers'!$D$24</f>
        <v/>
      </c>
      <c r="F25" s="266">
        <f>'D Carriers'!$E$24</f>
        <v/>
      </c>
      <c r="G25" s="266">
        <f>'D Carriers'!$F$24</f>
        <v/>
      </c>
      <c r="H25" s="266">
        <f>'D Carriers'!$F$24</f>
        <v/>
      </c>
      <c r="I25" s="266">
        <f>'D Carriers'!$F$24</f>
        <v/>
      </c>
      <c r="J25" s="266">
        <f>'D Carriers'!$F$24</f>
        <v/>
      </c>
      <c r="K25" s="266">
        <f>'D Carriers'!$F$24</f>
        <v/>
      </c>
      <c r="L25" s="266">
        <f>'D Carriers'!$F$24</f>
        <v/>
      </c>
      <c r="M25" s="266">
        <f>'D Carriers'!$F$24</f>
        <v/>
      </c>
      <c r="N25" s="266">
        <f>'D Carriers'!$F$24</f>
        <v/>
      </c>
      <c r="O25" s="266">
        <f>'D Carriers'!$F$24</f>
        <v/>
      </c>
      <c r="P25" s="282" t="inlineStr">
        <is>
          <t>–</t>
        </is>
      </c>
      <c r="Q25" s="282" t="inlineStr">
        <is>
          <t>–</t>
        </is>
      </c>
      <c r="R25" s="282" t="inlineStr">
        <is>
          <t>–</t>
        </is>
      </c>
    </row>
    <row r="26">
      <c r="B26" s="254" t="inlineStr">
        <is>
          <t>Travelers</t>
        </is>
      </c>
      <c r="C26" s="279" t="inlineStr">
        <is>
          <t>share</t>
        </is>
      </c>
      <c r="D26" s="266">
        <f>'D Carriers'!$C$25</f>
        <v/>
      </c>
      <c r="E26" s="266">
        <f>'D Carriers'!$D$25</f>
        <v/>
      </c>
      <c r="F26" s="266">
        <f>'D Carriers'!$E$25</f>
        <v/>
      </c>
      <c r="G26" s="266">
        <f>'D Carriers'!$F$25</f>
        <v/>
      </c>
      <c r="H26" s="266">
        <f>'D Carriers'!$F$25</f>
        <v/>
      </c>
      <c r="I26" s="266">
        <f>'D Carriers'!$F$25</f>
        <v/>
      </c>
      <c r="J26" s="266">
        <f>'D Carriers'!$F$25</f>
        <v/>
      </c>
      <c r="K26" s="266">
        <f>'D Carriers'!$F$25</f>
        <v/>
      </c>
      <c r="L26" s="266">
        <f>'D Carriers'!$F$25</f>
        <v/>
      </c>
      <c r="M26" s="266">
        <f>'D Carriers'!$F$25</f>
        <v/>
      </c>
      <c r="N26" s="266">
        <f>'D Carriers'!$F$25</f>
        <v/>
      </c>
      <c r="O26" s="266">
        <f>'D Carriers'!$F$25</f>
        <v/>
      </c>
      <c r="P26" s="282" t="inlineStr">
        <is>
          <t>–</t>
        </is>
      </c>
      <c r="Q26" s="282" t="inlineStr">
        <is>
          <t>–</t>
        </is>
      </c>
      <c r="R26" s="282" t="inlineStr">
        <is>
          <t>–</t>
        </is>
      </c>
    </row>
    <row r="27">
      <c r="B27" s="254" t="inlineStr">
        <is>
          <t>Nationwide</t>
        </is>
      </c>
      <c r="C27" s="279" t="inlineStr">
        <is>
          <t>share</t>
        </is>
      </c>
      <c r="D27" s="266">
        <f>'D Carriers'!$C$26</f>
        <v/>
      </c>
      <c r="E27" s="266">
        <f>'D Carriers'!$D$26</f>
        <v/>
      </c>
      <c r="F27" s="266">
        <f>'D Carriers'!$E$26</f>
        <v/>
      </c>
      <c r="G27" s="266">
        <f>'D Carriers'!$F$26</f>
        <v/>
      </c>
      <c r="H27" s="266">
        <f>'D Carriers'!$F$26</f>
        <v/>
      </c>
      <c r="I27" s="266">
        <f>'D Carriers'!$F$26</f>
        <v/>
      </c>
      <c r="J27" s="266">
        <f>'D Carriers'!$F$26</f>
        <v/>
      </c>
      <c r="K27" s="266">
        <f>'D Carriers'!$F$26</f>
        <v/>
      </c>
      <c r="L27" s="266">
        <f>'D Carriers'!$F$26</f>
        <v/>
      </c>
      <c r="M27" s="266">
        <f>'D Carriers'!$F$26</f>
        <v/>
      </c>
      <c r="N27" s="266">
        <f>'D Carriers'!$F$26</f>
        <v/>
      </c>
      <c r="O27" s="266">
        <f>'D Carriers'!$F$26</f>
        <v/>
      </c>
      <c r="P27" s="282" t="inlineStr">
        <is>
          <t>–</t>
        </is>
      </c>
      <c r="Q27" s="282" t="inlineStr">
        <is>
          <t>–</t>
        </is>
      </c>
      <c r="R27" s="282" t="inlineStr">
        <is>
          <t>–</t>
        </is>
      </c>
    </row>
    <row r="28">
      <c r="B28" s="254" t="inlineStr">
        <is>
          <t>Other (Erie, AAA, AmFam, regionals)</t>
        </is>
      </c>
      <c r="C28" s="279" t="inlineStr">
        <is>
          <t>share</t>
        </is>
      </c>
      <c r="D28" s="266">
        <f>'D Carriers'!$C$27</f>
        <v/>
      </c>
      <c r="E28" s="266">
        <f>'D Carriers'!$D$27</f>
        <v/>
      </c>
      <c r="F28" s="266">
        <f>'D Carriers'!$E$27</f>
        <v/>
      </c>
      <c r="G28" s="266">
        <f>'D Carriers'!$F$27</f>
        <v/>
      </c>
      <c r="H28" s="266">
        <f>'D Carriers'!$F$27</f>
        <v/>
      </c>
      <c r="I28" s="266">
        <f>'D Carriers'!$F$27</f>
        <v/>
      </c>
      <c r="J28" s="266">
        <f>'D Carriers'!$F$27</f>
        <v/>
      </c>
      <c r="K28" s="266">
        <f>'D Carriers'!$F$27</f>
        <v/>
      </c>
      <c r="L28" s="266">
        <f>'D Carriers'!$F$27</f>
        <v/>
      </c>
      <c r="M28" s="266">
        <f>'D Carriers'!$F$27</f>
        <v/>
      </c>
      <c r="N28" s="266">
        <f>'D Carriers'!$F$27</f>
        <v/>
      </c>
      <c r="O28" s="266">
        <f>'D Carriers'!$F$27</f>
        <v/>
      </c>
      <c r="P28" s="282" t="inlineStr">
        <is>
          <t>–</t>
        </is>
      </c>
      <c r="Q28" s="282" t="inlineStr">
        <is>
          <t>–</t>
        </is>
      </c>
      <c r="R28" s="282" t="inlineStr">
        <is>
          <t>–</t>
        </is>
      </c>
    </row>
    <row r="30">
      <c r="B30" s="271" t="inlineStr">
        <is>
          <t>C. Allocation with thesis-A additions — events switch a carrier to its inherited event path; drift subtracts points per quarter from FQ1 FY27</t>
        </is>
      </c>
      <c r="C30" s="272" t="n"/>
      <c r="D30" s="272" t="n"/>
      <c r="E30" s="272" t="n"/>
      <c r="F30" s="272" t="n"/>
      <c r="G30" s="272" t="n"/>
      <c r="H30" s="272" t="n"/>
      <c r="I30" s="272" t="n"/>
      <c r="J30" s="272" t="n"/>
      <c r="K30" s="272" t="n"/>
      <c r="L30" s="272" t="n"/>
      <c r="M30" s="272" t="n"/>
      <c r="N30" s="272" t="n"/>
      <c r="O30" s="272" t="n"/>
      <c r="P30" s="272" t="n"/>
      <c r="Q30" s="272" t="n"/>
      <c r="R30" s="272" t="n"/>
      <c r="S30" s="272" t="n"/>
    </row>
    <row r="31">
      <c r="B31" s="254" t="inlineStr">
        <is>
          <t>State Farm</t>
        </is>
      </c>
      <c r="C31" s="279" t="inlineStr">
        <is>
          <t>share</t>
        </is>
      </c>
      <c r="D31" s="265">
        <f>D19</f>
        <v/>
      </c>
      <c r="E31" s="265">
        <f>E19</f>
        <v/>
      </c>
      <c r="F31" s="265">
        <f>F19</f>
        <v/>
      </c>
      <c r="G31" s="265">
        <f>G19</f>
        <v/>
      </c>
      <c r="H31" s="266">
        <f>MAX(0,IF($D$67*$D$64=1,'D Carriers'!$G$18,H19)-$D$69*1*$D$64)</f>
        <v/>
      </c>
      <c r="I31" s="266">
        <f>MAX(0,IF($D$67*$D$64=1,'D Carriers'!$H$18,I19)-$D$69*2*$D$64)</f>
        <v/>
      </c>
      <c r="J31" s="266">
        <f>MAX(0,IF($D$67*$D$64=1,'D Carriers'!$I$18,J19)-$D$69*3*$D$64)</f>
        <v/>
      </c>
      <c r="K31" s="266">
        <f>MAX(0,IF($D$67*$D$64=1,'D Carriers'!$J$18,K19)-$D$69*4*$D$64)</f>
        <v/>
      </c>
      <c r="L31" s="266">
        <f>MAX(0,IF($D$67*$D$64=1,'D Carriers'!$J$18,L19)-$D$69*5*$D$64)</f>
        <v/>
      </c>
      <c r="M31" s="266">
        <f>MAX(0,IF($D$67*$D$64=1,'D Carriers'!$J$18,M19)-$D$69*6*$D$64)</f>
        <v/>
      </c>
      <c r="N31" s="266">
        <f>MAX(0,IF($D$67*$D$64=1,'D Carriers'!$J$18,N19)-$D$69*7*$D$64)</f>
        <v/>
      </c>
      <c r="O31" s="266">
        <f>MAX(0,IF($D$67*$D$64=1,'D Carriers'!$J$18,O19)-$D$69*8*$D$64)</f>
        <v/>
      </c>
      <c r="P31" s="282" t="inlineStr">
        <is>
          <t>–</t>
        </is>
      </c>
      <c r="Q31" s="282" t="inlineStr">
        <is>
          <t>–</t>
        </is>
      </c>
      <c r="R31" s="282" t="inlineStr">
        <is>
          <t>–</t>
        </is>
      </c>
    </row>
    <row r="32">
      <c r="B32" s="254" t="inlineStr">
        <is>
          <t>Progressive</t>
        </is>
      </c>
      <c r="C32" s="279" t="inlineStr">
        <is>
          <t>share</t>
        </is>
      </c>
      <c r="D32" s="265">
        <f>D20</f>
        <v/>
      </c>
      <c r="E32" s="265">
        <f>E20</f>
        <v/>
      </c>
      <c r="F32" s="265">
        <f>F20</f>
        <v/>
      </c>
      <c r="G32" s="265">
        <f>G20</f>
        <v/>
      </c>
      <c r="H32" s="265">
        <f>MAX(0,H20-$D$70*1*$D$64)</f>
        <v/>
      </c>
      <c r="I32" s="265">
        <f>MAX(0,I20-$D$70*2*$D$64)</f>
        <v/>
      </c>
      <c r="J32" s="265">
        <f>MAX(0,J20-$D$70*3*$D$64)</f>
        <v/>
      </c>
      <c r="K32" s="265">
        <f>MAX(0,K20-$D$70*4*$D$64)</f>
        <v/>
      </c>
      <c r="L32" s="265">
        <f>MAX(0,L20-$D$70*5*$D$64)</f>
        <v/>
      </c>
      <c r="M32" s="265">
        <f>MAX(0,M20-$D$70*6*$D$64)</f>
        <v/>
      </c>
      <c r="N32" s="265">
        <f>MAX(0,N20-$D$70*7*$D$64)</f>
        <v/>
      </c>
      <c r="O32" s="265">
        <f>MAX(0,O20-$D$70*8*$D$64)</f>
        <v/>
      </c>
      <c r="P32" s="282" t="inlineStr">
        <is>
          <t>–</t>
        </is>
      </c>
      <c r="Q32" s="282" t="inlineStr">
        <is>
          <t>–</t>
        </is>
      </c>
      <c r="R32" s="282" t="inlineStr">
        <is>
          <t>–</t>
        </is>
      </c>
    </row>
    <row r="33">
      <c r="B33" s="254" t="inlineStr">
        <is>
          <t>GEICO</t>
        </is>
      </c>
      <c r="C33" s="279" t="inlineStr">
        <is>
          <t>share</t>
        </is>
      </c>
      <c r="D33" s="265">
        <f>D21</f>
        <v/>
      </c>
      <c r="E33" s="265">
        <f>E21</f>
        <v/>
      </c>
      <c r="F33" s="265">
        <f>F21</f>
        <v/>
      </c>
      <c r="G33" s="265">
        <f>G21</f>
        <v/>
      </c>
      <c r="H33" s="266">
        <f>MAX(0,IF($D$66*$D$64=1,'D Carriers'!$G$20,H21)-$D$69*1*$D$64)</f>
        <v/>
      </c>
      <c r="I33" s="266">
        <f>MAX(0,IF($D$66*$D$64=1,'D Carriers'!$H$20,I21)-$D$69*2*$D$64)</f>
        <v/>
      </c>
      <c r="J33" s="266">
        <f>MAX(0,IF($D$66*$D$64=1,'D Carriers'!$I$20,J21)-$D$69*3*$D$64)</f>
        <v/>
      </c>
      <c r="K33" s="266">
        <f>MAX(0,IF($D$66*$D$64=1,'D Carriers'!$J$20,K21)-$D$69*4*$D$64)</f>
        <v/>
      </c>
      <c r="L33" s="266">
        <f>MAX(0,IF($D$66*$D$64=1,'D Carriers'!$J$20,L21)-$D$69*5*$D$64)</f>
        <v/>
      </c>
      <c r="M33" s="266">
        <f>MAX(0,IF($D$66*$D$64=1,'D Carriers'!$J$20,M21)-$D$69*6*$D$64)</f>
        <v/>
      </c>
      <c r="N33" s="266">
        <f>MAX(0,IF($D$66*$D$64=1,'D Carriers'!$J$20,N21)-$D$69*7*$D$64)</f>
        <v/>
      </c>
      <c r="O33" s="266">
        <f>MAX(0,IF($D$66*$D$64=1,'D Carriers'!$J$20,O21)-$D$69*8*$D$64)</f>
        <v/>
      </c>
      <c r="P33" s="282" t="inlineStr">
        <is>
          <t>–</t>
        </is>
      </c>
      <c r="Q33" s="282" t="inlineStr">
        <is>
          <t>–</t>
        </is>
      </c>
      <c r="R33" s="282" t="inlineStr">
        <is>
          <t>–</t>
        </is>
      </c>
    </row>
    <row r="34">
      <c r="B34" s="254" t="inlineStr">
        <is>
          <t>Allstate</t>
        </is>
      </c>
      <c r="C34" s="279" t="inlineStr">
        <is>
          <t>share</t>
        </is>
      </c>
      <c r="D34" s="265">
        <f>D22</f>
        <v/>
      </c>
      <c r="E34" s="265">
        <f>E22</f>
        <v/>
      </c>
      <c r="F34" s="265">
        <f>F22</f>
        <v/>
      </c>
      <c r="G34" s="265">
        <f>G22</f>
        <v/>
      </c>
      <c r="H34" s="265">
        <f>MAX(0,H22-$D$69*1*$D$64)</f>
        <v/>
      </c>
      <c r="I34" s="265">
        <f>MAX(0,I22-$D$69*2*$D$64)</f>
        <v/>
      </c>
      <c r="J34" s="265">
        <f>MAX(0,J22-$D$69*3*$D$64)</f>
        <v/>
      </c>
      <c r="K34" s="265">
        <f>MAX(0,K22-$D$69*4*$D$64)</f>
        <v/>
      </c>
      <c r="L34" s="265">
        <f>MAX(0,L22-$D$69*5*$D$64)</f>
        <v/>
      </c>
      <c r="M34" s="265">
        <f>MAX(0,M22-$D$69*6*$D$64)</f>
        <v/>
      </c>
      <c r="N34" s="265">
        <f>MAX(0,N22-$D$69*7*$D$64)</f>
        <v/>
      </c>
      <c r="O34" s="265">
        <f>MAX(0,O22-$D$69*8*$D$64)</f>
        <v/>
      </c>
      <c r="P34" s="282" t="inlineStr">
        <is>
          <t>–</t>
        </is>
      </c>
      <c r="Q34" s="282" t="inlineStr">
        <is>
          <t>–</t>
        </is>
      </c>
      <c r="R34" s="282" t="inlineStr">
        <is>
          <t>–</t>
        </is>
      </c>
    </row>
    <row r="35">
      <c r="B35" s="254" t="inlineStr">
        <is>
          <t>USAA</t>
        </is>
      </c>
      <c r="C35" s="279" t="inlineStr">
        <is>
          <t>share</t>
        </is>
      </c>
      <c r="D35" s="265">
        <f>D23</f>
        <v/>
      </c>
      <c r="E35" s="265">
        <f>E23</f>
        <v/>
      </c>
      <c r="F35" s="265">
        <f>F23</f>
        <v/>
      </c>
      <c r="G35" s="265">
        <f>G23</f>
        <v/>
      </c>
      <c r="H35" s="265">
        <f>MAX(0,H23-$D$69*1*$D$64)</f>
        <v/>
      </c>
      <c r="I35" s="265">
        <f>MAX(0,I23-$D$69*2*$D$64)</f>
        <v/>
      </c>
      <c r="J35" s="265">
        <f>MAX(0,J23-$D$69*3*$D$64)</f>
        <v/>
      </c>
      <c r="K35" s="265">
        <f>MAX(0,K23-$D$69*4*$D$64)</f>
        <v/>
      </c>
      <c r="L35" s="265">
        <f>MAX(0,L23-$D$69*5*$D$64)</f>
        <v/>
      </c>
      <c r="M35" s="265">
        <f>MAX(0,M23-$D$69*6*$D$64)</f>
        <v/>
      </c>
      <c r="N35" s="265">
        <f>MAX(0,N23-$D$69*7*$D$64)</f>
        <v/>
      </c>
      <c r="O35" s="265">
        <f>MAX(0,O23-$D$69*8*$D$64)</f>
        <v/>
      </c>
      <c r="P35" s="282" t="inlineStr">
        <is>
          <t>–</t>
        </is>
      </c>
      <c r="Q35" s="282" t="inlineStr">
        <is>
          <t>–</t>
        </is>
      </c>
      <c r="R35" s="282" t="inlineStr">
        <is>
          <t>–</t>
        </is>
      </c>
    </row>
    <row r="36">
      <c r="B36" s="254" t="inlineStr">
        <is>
          <t>Farmers</t>
        </is>
      </c>
      <c r="C36" s="279" t="inlineStr">
        <is>
          <t>share</t>
        </is>
      </c>
      <c r="D36" s="265">
        <f>D24</f>
        <v/>
      </c>
      <c r="E36" s="265">
        <f>E24</f>
        <v/>
      </c>
      <c r="F36" s="265">
        <f>F24</f>
        <v/>
      </c>
      <c r="G36" s="265">
        <f>G24</f>
        <v/>
      </c>
      <c r="H36" s="265">
        <f>MAX(0,H24-$D$69*1*$D$64)</f>
        <v/>
      </c>
      <c r="I36" s="265">
        <f>MAX(0,I24-$D$69*2*$D$64)</f>
        <v/>
      </c>
      <c r="J36" s="265">
        <f>MAX(0,J24-$D$69*3*$D$64)</f>
        <v/>
      </c>
      <c r="K36" s="265">
        <f>MAX(0,K24-$D$69*4*$D$64)</f>
        <v/>
      </c>
      <c r="L36" s="265">
        <f>MAX(0,L24-$D$69*5*$D$64)</f>
        <v/>
      </c>
      <c r="M36" s="265">
        <f>MAX(0,M24-$D$69*6*$D$64)</f>
        <v/>
      </c>
      <c r="N36" s="265">
        <f>MAX(0,N24-$D$69*7*$D$64)</f>
        <v/>
      </c>
      <c r="O36" s="265">
        <f>MAX(0,O24-$D$69*8*$D$64)</f>
        <v/>
      </c>
      <c r="P36" s="282" t="inlineStr">
        <is>
          <t>–</t>
        </is>
      </c>
      <c r="Q36" s="282" t="inlineStr">
        <is>
          <t>–</t>
        </is>
      </c>
      <c r="R36" s="282" t="inlineStr">
        <is>
          <t>–</t>
        </is>
      </c>
    </row>
    <row r="37">
      <c r="B37" s="254" t="inlineStr">
        <is>
          <t>Liberty Mutual</t>
        </is>
      </c>
      <c r="C37" s="279" t="inlineStr">
        <is>
          <t>share</t>
        </is>
      </c>
      <c r="D37" s="265">
        <f>D25</f>
        <v/>
      </c>
      <c r="E37" s="265">
        <f>E25</f>
        <v/>
      </c>
      <c r="F37" s="265">
        <f>F25</f>
        <v/>
      </c>
      <c r="G37" s="265">
        <f>G25</f>
        <v/>
      </c>
      <c r="H37" s="265">
        <f>MAX(0,H25-$D$69*1*$D$64)</f>
        <v/>
      </c>
      <c r="I37" s="265">
        <f>MAX(0,I25-$D$69*2*$D$64)</f>
        <v/>
      </c>
      <c r="J37" s="265">
        <f>MAX(0,J25-$D$69*3*$D$64)</f>
        <v/>
      </c>
      <c r="K37" s="265">
        <f>MAX(0,K25-$D$69*4*$D$64)</f>
        <v/>
      </c>
      <c r="L37" s="265">
        <f>MAX(0,L25-$D$69*5*$D$64)</f>
        <v/>
      </c>
      <c r="M37" s="265">
        <f>MAX(0,M25-$D$69*6*$D$64)</f>
        <v/>
      </c>
      <c r="N37" s="265">
        <f>MAX(0,N25-$D$69*7*$D$64)</f>
        <v/>
      </c>
      <c r="O37" s="265">
        <f>MAX(0,O25-$D$69*8*$D$64)</f>
        <v/>
      </c>
      <c r="P37" s="282" t="inlineStr">
        <is>
          <t>–</t>
        </is>
      </c>
      <c r="Q37" s="282" t="inlineStr">
        <is>
          <t>–</t>
        </is>
      </c>
      <c r="R37" s="282" t="inlineStr">
        <is>
          <t>–</t>
        </is>
      </c>
    </row>
    <row r="38">
      <c r="B38" s="254" t="inlineStr">
        <is>
          <t>Travelers</t>
        </is>
      </c>
      <c r="C38" s="279" t="inlineStr">
        <is>
          <t>share</t>
        </is>
      </c>
      <c r="D38" s="265">
        <f>D26</f>
        <v/>
      </c>
      <c r="E38" s="265">
        <f>E26</f>
        <v/>
      </c>
      <c r="F38" s="265">
        <f>F26</f>
        <v/>
      </c>
      <c r="G38" s="265">
        <f>G26</f>
        <v/>
      </c>
      <c r="H38" s="265">
        <f>MAX(0,H26-$D$69*1*$D$64)</f>
        <v/>
      </c>
      <c r="I38" s="265">
        <f>MAX(0,I26-$D$69*2*$D$64)</f>
        <v/>
      </c>
      <c r="J38" s="265">
        <f>MAX(0,J26-$D$69*3*$D$64)</f>
        <v/>
      </c>
      <c r="K38" s="265">
        <f>MAX(0,K26-$D$69*4*$D$64)</f>
        <v/>
      </c>
      <c r="L38" s="265">
        <f>MAX(0,L26-$D$69*5*$D$64)</f>
        <v/>
      </c>
      <c r="M38" s="265">
        <f>MAX(0,M26-$D$69*6*$D$64)</f>
        <v/>
      </c>
      <c r="N38" s="265">
        <f>MAX(0,N26-$D$69*7*$D$64)</f>
        <v/>
      </c>
      <c r="O38" s="265">
        <f>MAX(0,O26-$D$69*8*$D$64)</f>
        <v/>
      </c>
      <c r="P38" s="282" t="inlineStr">
        <is>
          <t>–</t>
        </is>
      </c>
      <c r="Q38" s="282" t="inlineStr">
        <is>
          <t>–</t>
        </is>
      </c>
      <c r="R38" s="282" t="inlineStr">
        <is>
          <t>–</t>
        </is>
      </c>
    </row>
    <row r="39">
      <c r="B39" s="254" t="inlineStr">
        <is>
          <t>Nationwide</t>
        </is>
      </c>
      <c r="C39" s="279" t="inlineStr">
        <is>
          <t>share</t>
        </is>
      </c>
      <c r="D39" s="265">
        <f>D27</f>
        <v/>
      </c>
      <c r="E39" s="265">
        <f>E27</f>
        <v/>
      </c>
      <c r="F39" s="265">
        <f>F27</f>
        <v/>
      </c>
      <c r="G39" s="265">
        <f>G27</f>
        <v/>
      </c>
      <c r="H39" s="265">
        <f>MAX(0,H27-$D$69*1*$D$64)</f>
        <v/>
      </c>
      <c r="I39" s="265">
        <f>MAX(0,I27-$D$69*2*$D$64)</f>
        <v/>
      </c>
      <c r="J39" s="265">
        <f>MAX(0,J27-$D$69*3*$D$64)</f>
        <v/>
      </c>
      <c r="K39" s="265">
        <f>MAX(0,K27-$D$69*4*$D$64)</f>
        <v/>
      </c>
      <c r="L39" s="265">
        <f>MAX(0,L27-$D$69*5*$D$64)</f>
        <v/>
      </c>
      <c r="M39" s="265">
        <f>MAX(0,M27-$D$69*6*$D$64)</f>
        <v/>
      </c>
      <c r="N39" s="265">
        <f>MAX(0,N27-$D$69*7*$D$64)</f>
        <v/>
      </c>
      <c r="O39" s="265">
        <f>MAX(0,O27-$D$69*8*$D$64)</f>
        <v/>
      </c>
      <c r="P39" s="282" t="inlineStr">
        <is>
          <t>–</t>
        </is>
      </c>
      <c r="Q39" s="282" t="inlineStr">
        <is>
          <t>–</t>
        </is>
      </c>
      <c r="R39" s="282" t="inlineStr">
        <is>
          <t>–</t>
        </is>
      </c>
    </row>
    <row r="40">
      <c r="B40" s="254" t="inlineStr">
        <is>
          <t>Other (Erie, AAA, AmFam, regionals)</t>
        </is>
      </c>
      <c r="C40" s="279" t="inlineStr">
        <is>
          <t>share</t>
        </is>
      </c>
      <c r="D40" s="265">
        <f>D28</f>
        <v/>
      </c>
      <c r="E40" s="265">
        <f>E28</f>
        <v/>
      </c>
      <c r="F40" s="265">
        <f>F28</f>
        <v/>
      </c>
      <c r="G40" s="265">
        <f>G28</f>
        <v/>
      </c>
      <c r="H40" s="266">
        <f>MAX(0,IF($D$68*$D$64=1,'D Carriers'!$G$27,H28)-$D$69*1*$D$64)</f>
        <v/>
      </c>
      <c r="I40" s="266">
        <f>MAX(0,IF($D$68*$D$64=1,'D Carriers'!$H$27,I28)-$D$69*2*$D$64)</f>
        <v/>
      </c>
      <c r="J40" s="266">
        <f>MAX(0,IF($D$68*$D$64=1,'D Carriers'!$I$27,J28)-$D$69*3*$D$64)</f>
        <v/>
      </c>
      <c r="K40" s="266">
        <f>MAX(0,IF($D$68*$D$64=1,'D Carriers'!$J$27,K28)-$D$69*4*$D$64)</f>
        <v/>
      </c>
      <c r="L40" s="266">
        <f>MAX(0,IF($D$68*$D$64=1,'D Carriers'!$J$27,L28)-$D$69*5*$D$64)</f>
        <v/>
      </c>
      <c r="M40" s="266">
        <f>MAX(0,IF($D$68*$D$64=1,'D Carriers'!$J$27,M28)-$D$69*6*$D$64)</f>
        <v/>
      </c>
      <c r="N40" s="266">
        <f>MAX(0,IF($D$68*$D$64=1,'D Carriers'!$J$27,N28)-$D$69*7*$D$64)</f>
        <v/>
      </c>
      <c r="O40" s="266">
        <f>MAX(0,IF($D$68*$D$64=1,'D Carriers'!$J$27,O28)-$D$69*8*$D$64)</f>
        <v/>
      </c>
      <c r="P40" s="282" t="inlineStr">
        <is>
          <t>–</t>
        </is>
      </c>
      <c r="Q40" s="282" t="inlineStr">
        <is>
          <t>–</t>
        </is>
      </c>
      <c r="R40" s="282" t="inlineStr">
        <is>
          <t>–</t>
        </is>
      </c>
    </row>
    <row r="42">
      <c r="B42" s="271" t="inlineStr">
        <is>
          <t>D. Aggregate Copart share of the insured total-loss pool</t>
        </is>
      </c>
      <c r="C42" s="272" t="n"/>
      <c r="D42" s="272" t="n"/>
      <c r="E42" s="272" t="n"/>
      <c r="F42" s="272" t="n"/>
      <c r="G42" s="272" t="n"/>
      <c r="H42" s="272" t="n"/>
      <c r="I42" s="272" t="n"/>
      <c r="J42" s="272" t="n"/>
      <c r="K42" s="272" t="n"/>
      <c r="L42" s="272" t="n"/>
      <c r="M42" s="272" t="n"/>
      <c r="N42" s="272" t="n"/>
      <c r="O42" s="272" t="n"/>
      <c r="P42" s="272" t="n"/>
      <c r="Q42" s="272" t="n"/>
      <c r="R42" s="272" t="n"/>
      <c r="S42" s="272" t="n"/>
    </row>
    <row r="43">
      <c r="B43" s="249" t="inlineStr">
        <is>
          <t>Share, base (known runoff only)</t>
        </is>
      </c>
      <c r="C43" s="279" t="inlineStr">
        <is>
          <t>%</t>
        </is>
      </c>
      <c r="D43" s="255">
        <f>SUMPRODUCT(D6:D15,D19:D28)</f>
        <v/>
      </c>
      <c r="E43" s="255">
        <f>SUMPRODUCT(E6:E15,E19:E28)</f>
        <v/>
      </c>
      <c r="F43" s="255">
        <f>SUMPRODUCT(F6:F15,F19:F28)</f>
        <v/>
      </c>
      <c r="G43" s="255">
        <f>SUMPRODUCT(G6:G15,G19:G28)</f>
        <v/>
      </c>
      <c r="H43" s="255">
        <f>SUMPRODUCT(H6:H15,H19:H28)</f>
        <v/>
      </c>
      <c r="I43" s="255">
        <f>SUMPRODUCT(I6:I15,I19:I28)</f>
        <v/>
      </c>
      <c r="J43" s="255">
        <f>SUMPRODUCT(J6:J15,J19:J28)</f>
        <v/>
      </c>
      <c r="K43" s="255">
        <f>SUMPRODUCT(K6:K15,K19:K28)</f>
        <v/>
      </c>
      <c r="L43" s="255">
        <f>SUMPRODUCT(L6:L15,L19:L28)</f>
        <v/>
      </c>
      <c r="M43" s="255">
        <f>SUMPRODUCT(M6:M15,M19:M28)</f>
        <v/>
      </c>
      <c r="N43" s="255">
        <f>SUMPRODUCT(N6:N15,N19:N28)</f>
        <v/>
      </c>
      <c r="O43" s="255">
        <f>SUMPRODUCT(O6:O15,O19:O28)</f>
        <v/>
      </c>
      <c r="P43" s="327">
        <f>AVERAGE(D43:G43)</f>
        <v/>
      </c>
      <c r="Q43" s="327">
        <f>AVERAGE(H43:K43)</f>
        <v/>
      </c>
      <c r="R43" s="327">
        <f>AVERAGE(L43:O43)</f>
        <v/>
      </c>
    </row>
    <row r="44">
      <c r="B44" s="249" t="inlineStr">
        <is>
          <t>Share, with thesis-A additions</t>
        </is>
      </c>
      <c r="C44" s="279" t="inlineStr">
        <is>
          <t>%</t>
        </is>
      </c>
      <c r="D44" s="255">
        <f>SUMPRODUCT(D6:D15,D31:D40)</f>
        <v/>
      </c>
      <c r="E44" s="255">
        <f>SUMPRODUCT(E6:E15,E31:E40)</f>
        <v/>
      </c>
      <c r="F44" s="255">
        <f>SUMPRODUCT(F6:F15,F31:F40)</f>
        <v/>
      </c>
      <c r="G44" s="255">
        <f>SUMPRODUCT(G6:G15,G31:G40)</f>
        <v/>
      </c>
      <c r="H44" s="255">
        <f>SUMPRODUCT(H6:H15,H31:H40)</f>
        <v/>
      </c>
      <c r="I44" s="255">
        <f>SUMPRODUCT(I6:I15,I31:I40)</f>
        <v/>
      </c>
      <c r="J44" s="255">
        <f>SUMPRODUCT(J6:J15,J31:J40)</f>
        <v/>
      </c>
      <c r="K44" s="255">
        <f>SUMPRODUCT(K6:K15,K31:K40)</f>
        <v/>
      </c>
      <c r="L44" s="255">
        <f>SUMPRODUCT(L6:L15,L31:L40)</f>
        <v/>
      </c>
      <c r="M44" s="255">
        <f>SUMPRODUCT(M6:M15,M31:M40)</f>
        <v/>
      </c>
      <c r="N44" s="255">
        <f>SUMPRODUCT(N6:N15,N31:N40)</f>
        <v/>
      </c>
      <c r="O44" s="255">
        <f>SUMPRODUCT(O6:O15,O31:O40)</f>
        <v/>
      </c>
      <c r="P44" s="327">
        <f>AVERAGE(D44:G44)</f>
        <v/>
      </c>
      <c r="Q44" s="327">
        <f>AVERAGE(H44:K44)</f>
        <v/>
      </c>
      <c r="R44" s="327">
        <f>AVERAGE(L44:O44)</f>
        <v/>
      </c>
    </row>
    <row r="45">
      <c r="B45" s="274" t="inlineStr">
        <is>
          <t>Reference: Copart share of duopoly listed US inventory, 4 clean nights 11–27 Sep 2026</t>
        </is>
      </c>
      <c r="C45" s="279" t="inlineStr">
        <is>
          <t>%</t>
        </is>
      </c>
      <c r="D45" s="282" t="inlineStr">
        <is>
          <t>–</t>
        </is>
      </c>
      <c r="E45" s="282" t="inlineStr">
        <is>
          <t>–</t>
        </is>
      </c>
      <c r="F45" s="282" t="inlineStr">
        <is>
          <t>–</t>
        </is>
      </c>
      <c r="G45" s="273">
        <f>'D Facts'!$D$22</f>
        <v/>
      </c>
      <c r="H45" s="282" t="inlineStr">
        <is>
          <t>–</t>
        </is>
      </c>
      <c r="I45" s="282" t="inlineStr">
        <is>
          <t>–</t>
        </is>
      </c>
      <c r="J45" s="282" t="inlineStr">
        <is>
          <t>–</t>
        </is>
      </c>
      <c r="K45" s="282" t="inlineStr">
        <is>
          <t>–</t>
        </is>
      </c>
      <c r="L45" s="282" t="inlineStr">
        <is>
          <t>–</t>
        </is>
      </c>
      <c r="M45" s="282" t="inlineStr">
        <is>
          <t>–</t>
        </is>
      </c>
      <c r="N45" s="282" t="inlineStr">
        <is>
          <t>–</t>
        </is>
      </c>
      <c r="O45" s="282" t="inlineStr">
        <is>
          <t>–</t>
        </is>
      </c>
      <c r="P45" s="282" t="inlineStr">
        <is>
          <t>–</t>
        </is>
      </c>
      <c r="Q45" s="282" t="inlineStr">
        <is>
          <t>–</t>
        </is>
      </c>
      <c r="R45" s="282" t="inlineStr">
        <is>
          <t>–</t>
        </is>
      </c>
      <c r="S45" s="252" t="inlineStr">
        <is>
          <t>MEASURED, data/csv/duopoly_daily.csv usable=1; listed inventory, not assignments. Mean 57.2%, range 56.8–57.6%</t>
        </is>
      </c>
    </row>
    <row r="48">
      <c r="B48" s="249" t="inlineStr">
        <is>
          <t>Share ratio to same quarter a year earlier, base  (→ Scenarios)</t>
        </is>
      </c>
      <c r="C48" s="279" t="inlineStr">
        <is>
          <t>x</t>
        </is>
      </c>
      <c r="D48" s="282" t="inlineStr">
        <is>
          <t>–</t>
        </is>
      </c>
      <c r="E48" s="282" t="inlineStr">
        <is>
          <t>–</t>
        </is>
      </c>
      <c r="F48" s="282" t="inlineStr">
        <is>
          <t>–</t>
        </is>
      </c>
      <c r="G48" s="282" t="inlineStr">
        <is>
          <t>–</t>
        </is>
      </c>
      <c r="H48" s="460">
        <f>H43/D43</f>
        <v/>
      </c>
      <c r="I48" s="460">
        <f>I43/E43</f>
        <v/>
      </c>
      <c r="J48" s="460">
        <f>J43/F43</f>
        <v/>
      </c>
      <c r="K48" s="460">
        <f>K43/G43</f>
        <v/>
      </c>
      <c r="L48" s="460">
        <f>L43/H43</f>
        <v/>
      </c>
      <c r="M48" s="460">
        <f>M43/I43</f>
        <v/>
      </c>
      <c r="N48" s="460">
        <f>N43/J43</f>
        <v/>
      </c>
      <c r="O48" s="460">
        <f>O43/K43</f>
        <v/>
      </c>
      <c r="P48" s="282" t="inlineStr">
        <is>
          <t>–</t>
        </is>
      </c>
      <c r="Q48" s="282" t="inlineStr">
        <is>
          <t>–</t>
        </is>
      </c>
      <c r="R48" s="282" t="inlineStr">
        <is>
          <t>–</t>
        </is>
      </c>
    </row>
    <row r="49">
      <c r="B49" s="249" t="inlineStr">
        <is>
          <t>Share ratio to same quarter a year earlier, thesis A  (→ Scenarios)</t>
        </is>
      </c>
      <c r="C49" s="279" t="inlineStr">
        <is>
          <t>x</t>
        </is>
      </c>
      <c r="D49" s="282" t="inlineStr">
        <is>
          <t>–</t>
        </is>
      </c>
      <c r="E49" s="282" t="inlineStr">
        <is>
          <t>–</t>
        </is>
      </c>
      <c r="F49" s="282" t="inlineStr">
        <is>
          <t>–</t>
        </is>
      </c>
      <c r="G49" s="282" t="inlineStr">
        <is>
          <t>–</t>
        </is>
      </c>
      <c r="H49" s="460">
        <f>H44/D43</f>
        <v/>
      </c>
      <c r="I49" s="460">
        <f>I44/E43</f>
        <v/>
      </c>
      <c r="J49" s="460">
        <f>J44/F43</f>
        <v/>
      </c>
      <c r="K49" s="460">
        <f>K44/G43</f>
        <v/>
      </c>
      <c r="L49" s="460">
        <f>L44/H43</f>
        <v/>
      </c>
      <c r="M49" s="460">
        <f>M44/I43</f>
        <v/>
      </c>
      <c r="N49" s="460">
        <f>N44/J43</f>
        <v/>
      </c>
      <c r="O49" s="460">
        <f>O44/K43</f>
        <v/>
      </c>
      <c r="P49" s="282" t="inlineStr">
        <is>
          <t>–</t>
        </is>
      </c>
      <c r="Q49" s="282" t="inlineStr">
        <is>
          <t>–</t>
        </is>
      </c>
      <c r="R49" s="282" t="inlineStr">
        <is>
          <t>–</t>
        </is>
      </c>
    </row>
    <row r="51">
      <c r="B51" s="271" t="inlineStr">
        <is>
          <t>E. Seller terms (commission as a share of the vehicle's sale price)</t>
        </is>
      </c>
      <c r="C51" s="272" t="n"/>
      <c r="D51" s="272" t="n"/>
      <c r="E51" s="272" t="n"/>
      <c r="F51" s="272" t="n"/>
      <c r="G51" s="272" t="n"/>
      <c r="H51" s="272" t="n"/>
      <c r="I51" s="272" t="n"/>
      <c r="J51" s="272" t="n"/>
      <c r="K51" s="272" t="n"/>
      <c r="L51" s="272" t="n"/>
      <c r="M51" s="272" t="n"/>
      <c r="N51" s="272" t="n"/>
      <c r="O51" s="272" t="n"/>
      <c r="P51" s="272" t="n"/>
      <c r="Q51" s="272" t="n"/>
      <c r="R51" s="272" t="n"/>
      <c r="S51" s="272" t="n"/>
    </row>
    <row r="52">
      <c r="B52" s="254" t="inlineStr">
        <is>
          <t>Base seller commission rate</t>
        </is>
      </c>
      <c r="C52" s="279" t="inlineStr">
        <is>
          <t>%</t>
        </is>
      </c>
      <c r="D52" s="283">
        <f>$D$71</f>
        <v/>
      </c>
      <c r="E52" s="283">
        <f>$D$71</f>
        <v/>
      </c>
      <c r="F52" s="283">
        <f>$D$71</f>
        <v/>
      </c>
      <c r="G52" s="283">
        <f>$D$71</f>
        <v/>
      </c>
      <c r="H52" s="283">
        <f>$D$71</f>
        <v/>
      </c>
      <c r="I52" s="283">
        <f>$D$71</f>
        <v/>
      </c>
      <c r="J52" s="283">
        <f>$D$71</f>
        <v/>
      </c>
      <c r="K52" s="283">
        <f>$D$71</f>
        <v/>
      </c>
      <c r="L52" s="283">
        <f>$D$71</f>
        <v/>
      </c>
      <c r="M52" s="283">
        <f>$D$71</f>
        <v/>
      </c>
      <c r="N52" s="283">
        <f>$D$71</f>
        <v/>
      </c>
      <c r="O52" s="283">
        <f>$D$71</f>
        <v/>
      </c>
      <c r="P52" s="282" t="inlineStr">
        <is>
          <t>–</t>
        </is>
      </c>
      <c r="Q52" s="282" t="inlineStr">
        <is>
          <t>–</t>
        </is>
      </c>
      <c r="R52" s="282" t="inlineStr">
        <is>
          <t>–</t>
        </is>
      </c>
      <c r="S52" s="252" t="inlineStr">
        <is>
          <t>UNVERIFIED analyst assumption (Barclays 25 Aug 2026 Figure 1 uses 4%); not a contract term</t>
        </is>
      </c>
    </row>
    <row r="53">
      <c r="B53" s="254" t="inlineStr">
        <is>
          <t>Concession on a contested account (share of the commission)</t>
        </is>
      </c>
      <c r="C53" s="279" t="inlineStr">
        <is>
          <t>%</t>
        </is>
      </c>
      <c r="D53" s="283">
        <f>$D$72</f>
        <v/>
      </c>
      <c r="E53" s="283">
        <f>$D$72</f>
        <v/>
      </c>
      <c r="F53" s="283">
        <f>$D$72</f>
        <v/>
      </c>
      <c r="G53" s="283">
        <f>$D$72</f>
        <v/>
      </c>
      <c r="H53" s="283">
        <f>$D$72</f>
        <v/>
      </c>
      <c r="I53" s="283">
        <f>$D$72</f>
        <v/>
      </c>
      <c r="J53" s="283">
        <f>$D$72</f>
        <v/>
      </c>
      <c r="K53" s="283">
        <f>$D$72</f>
        <v/>
      </c>
      <c r="L53" s="283">
        <f>$D$72</f>
        <v/>
      </c>
      <c r="M53" s="283">
        <f>$D$72</f>
        <v/>
      </c>
      <c r="N53" s="283">
        <f>$D$72</f>
        <v/>
      </c>
      <c r="O53" s="283">
        <f>$D$72</f>
        <v/>
      </c>
      <c r="P53" s="282" t="inlineStr">
        <is>
          <t>–</t>
        </is>
      </c>
      <c r="Q53" s="282" t="inlineStr">
        <is>
          <t>–</t>
        </is>
      </c>
      <c r="R53" s="282" t="inlineStr">
        <is>
          <t>–</t>
        </is>
      </c>
      <c r="S53" s="252" t="inlineStr">
        <is>
          <t>UNVERIFIED (Barclays illustration, 20%)</t>
        </is>
      </c>
    </row>
    <row r="54">
      <c r="B54" s="254" t="inlineStr">
        <is>
          <t>Share of Copart insurance volume on concession terms (thesis A)</t>
        </is>
      </c>
      <c r="C54" s="279" t="inlineStr">
        <is>
          <t>%</t>
        </is>
      </c>
      <c r="D54" s="283">
        <f>IF(2026&gt;=2027,$D$73*$D$64,0)</f>
        <v/>
      </c>
      <c r="E54" s="283">
        <f>IF(2026&gt;=2027,$D$73*$D$64,0)</f>
        <v/>
      </c>
      <c r="F54" s="283">
        <f>IF(2026&gt;=2027,$D$73*$D$64,0)</f>
        <v/>
      </c>
      <c r="G54" s="283">
        <f>IF(2026&gt;=2027,$D$73*$D$64,0)</f>
        <v/>
      </c>
      <c r="H54" s="283">
        <f>IF(2027&gt;=2027,$D$73*$D$64,0)</f>
        <v/>
      </c>
      <c r="I54" s="283">
        <f>IF(2027&gt;=2027,$D$73*$D$64,0)</f>
        <v/>
      </c>
      <c r="J54" s="283">
        <f>IF(2027&gt;=2027,$D$73*$D$64,0)</f>
        <v/>
      </c>
      <c r="K54" s="283">
        <f>IF(2027&gt;=2027,$D$73*$D$64,0)</f>
        <v/>
      </c>
      <c r="L54" s="283">
        <f>IF(2028&gt;=2027,$D$73*$D$64,0)</f>
        <v/>
      </c>
      <c r="M54" s="283">
        <f>IF(2028&gt;=2027,$D$73*$D$64,0)</f>
        <v/>
      </c>
      <c r="N54" s="283">
        <f>IF(2028&gt;=2027,$D$73*$D$64,0)</f>
        <v/>
      </c>
      <c r="O54" s="283">
        <f>IF(2028&gt;=2027,$D$73*$D$64,0)</f>
        <v/>
      </c>
      <c r="P54" s="282" t="inlineStr">
        <is>
          <t>–</t>
        </is>
      </c>
      <c r="Q54" s="282" t="inlineStr">
        <is>
          <t>–</t>
        </is>
      </c>
      <c r="R54" s="282" t="inlineStr">
        <is>
          <t>–</t>
        </is>
      </c>
      <c r="S54" s="252" t="inlineStr">
        <is>
          <t>ASSUMED; 0 in base</t>
        </is>
      </c>
    </row>
    <row r="55">
      <c r="B55" s="249" t="inlineStr">
        <is>
          <t>Effective seller commission rate, base  (→ E5)</t>
        </is>
      </c>
      <c r="C55" s="279" t="inlineStr">
        <is>
          <t>%</t>
        </is>
      </c>
      <c r="D55" s="323">
        <f>D52</f>
        <v/>
      </c>
      <c r="E55" s="323">
        <f>E52</f>
        <v/>
      </c>
      <c r="F55" s="323">
        <f>F52</f>
        <v/>
      </c>
      <c r="G55" s="323">
        <f>G52</f>
        <v/>
      </c>
      <c r="H55" s="323">
        <f>H52</f>
        <v/>
      </c>
      <c r="I55" s="323">
        <f>I52</f>
        <v/>
      </c>
      <c r="J55" s="323">
        <f>J52</f>
        <v/>
      </c>
      <c r="K55" s="323">
        <f>K52</f>
        <v/>
      </c>
      <c r="L55" s="323">
        <f>L52</f>
        <v/>
      </c>
      <c r="M55" s="323">
        <f>M52</f>
        <v/>
      </c>
      <c r="N55" s="323">
        <f>N52</f>
        <v/>
      </c>
      <c r="O55" s="323">
        <f>O52</f>
        <v/>
      </c>
      <c r="P55" s="282" t="inlineStr">
        <is>
          <t>–</t>
        </is>
      </c>
      <c r="Q55" s="282" t="inlineStr">
        <is>
          <t>–</t>
        </is>
      </c>
      <c r="R55" s="282" t="inlineStr">
        <is>
          <t>–</t>
        </is>
      </c>
    </row>
    <row r="56">
      <c r="B56" s="249" t="inlineStr">
        <is>
          <t>Effective seller commission rate, thesis A  (→ E5)</t>
        </is>
      </c>
      <c r="C56" s="279" t="inlineStr">
        <is>
          <t>%</t>
        </is>
      </c>
      <c r="D56" s="323">
        <f>D52*(1-D53*D54)</f>
        <v/>
      </c>
      <c r="E56" s="323">
        <f>E52*(1-E53*E54)</f>
        <v/>
      </c>
      <c r="F56" s="323">
        <f>F52*(1-F53*F54)</f>
        <v/>
      </c>
      <c r="G56" s="323">
        <f>G52*(1-G53*G54)</f>
        <v/>
      </c>
      <c r="H56" s="323">
        <f>H52*(1-H53*H54)</f>
        <v/>
      </c>
      <c r="I56" s="323">
        <f>I52*(1-I53*I54)</f>
        <v/>
      </c>
      <c r="J56" s="323">
        <f>J52*(1-J53*J54)</f>
        <v/>
      </c>
      <c r="K56" s="323">
        <f>K52*(1-K53*K54)</f>
        <v/>
      </c>
      <c r="L56" s="323">
        <f>L52*(1-L53*L54)</f>
        <v/>
      </c>
      <c r="M56" s="323">
        <f>M52*(1-M53*M54)</f>
        <v/>
      </c>
      <c r="N56" s="323">
        <f>N52*(1-N53*N54)</f>
        <v/>
      </c>
      <c r="O56" s="323">
        <f>O52*(1-O53*O54)</f>
        <v/>
      </c>
      <c r="P56" s="282" t="inlineStr">
        <is>
          <t>–</t>
        </is>
      </c>
      <c r="Q56" s="282" t="inlineStr">
        <is>
          <t>–</t>
        </is>
      </c>
      <c r="R56" s="282" t="inlineStr">
        <is>
          <t>–</t>
        </is>
      </c>
    </row>
    <row r="58">
      <c r="B58" s="252" t="inlineStr">
        <is>
          <t>Feeds →  Scenarios (share ratios rows 48–49); E5 Prices &amp; Fees (seller rates rows 55–56)</t>
        </is>
      </c>
    </row>
    <row r="63">
      <c r="B63" s="246" t="inlineStr">
        <is>
          <t>Inputs and toggles</t>
        </is>
      </c>
      <c r="C63" s="247" t="n"/>
      <c r="D63" s="248" t="inlineStr">
        <is>
          <t>Value</t>
        </is>
      </c>
      <c r="E63" s="248" t="inlineStr">
        <is>
          <t>Label</t>
        </is>
      </c>
      <c r="F63" s="247" t="n"/>
      <c r="G63" s="247" t="n"/>
      <c r="H63" s="247" t="n"/>
      <c r="I63" s="247" t="n"/>
      <c r="J63" s="247" t="n"/>
      <c r="K63" s="247" t="n"/>
      <c r="L63" s="247" t="n"/>
      <c r="M63" s="247" t="n"/>
      <c r="N63" s="247" t="n"/>
      <c r="O63" s="247" t="n"/>
      <c r="P63" s="247" t="n"/>
      <c r="Q63" s="247" t="n"/>
      <c r="R63" s="247" t="n"/>
      <c r="S63" s="247" t="n"/>
    </row>
    <row r="64">
      <c r="B64" s="254" t="inlineStr">
        <is>
          <t>Thesis A master toggle (1 = additions on; Scenarios reads both states, so leave at 1)</t>
        </is>
      </c>
      <c r="D64" s="342" t="n">
        <v>1</v>
      </c>
      <c r="E64" s="252" t="inlineStr">
        <is>
          <t>TOGGLE</t>
        </is>
      </c>
      <c r="F64" s="282" t="inlineStr">
        <is>
          <t>–</t>
        </is>
      </c>
      <c r="G64" s="282" t="inlineStr">
        <is>
          <t>–</t>
        </is>
      </c>
      <c r="H64" s="282" t="inlineStr">
        <is>
          <t>–</t>
        </is>
      </c>
      <c r="I64" s="282" t="inlineStr">
        <is>
          <t>–</t>
        </is>
      </c>
      <c r="J64" s="282" t="inlineStr">
        <is>
          <t>–</t>
        </is>
      </c>
      <c r="K64" s="282" t="inlineStr">
        <is>
          <t>–</t>
        </is>
      </c>
      <c r="L64" s="282" t="inlineStr">
        <is>
          <t>–</t>
        </is>
      </c>
      <c r="M64" s="282" t="inlineStr">
        <is>
          <t>–</t>
        </is>
      </c>
      <c r="N64" s="282" t="inlineStr">
        <is>
          <t>–</t>
        </is>
      </c>
      <c r="O64" s="282" t="inlineStr">
        <is>
          <t>–</t>
        </is>
      </c>
      <c r="P64" s="282" t="inlineStr">
        <is>
          <t>–</t>
        </is>
      </c>
      <c r="Q64" s="282" t="inlineStr">
        <is>
          <t>–</t>
        </is>
      </c>
      <c r="R64" s="282" t="inlineStr">
        <is>
          <t>–</t>
        </is>
      </c>
      <c r="S64" s="252" t="inlineStr">
        <is>
          <t>Structural switch; Scenarios selects base or thesis-A rows itself</t>
        </is>
      </c>
    </row>
    <row r="66">
      <c r="B66" s="254" t="inlineStr">
        <is>
          <t>GEICO allocation event (inherited: allocation 0.83 → 0.90, a gain for Copart)</t>
        </is>
      </c>
      <c r="D66" s="342" t="n">
        <v>0</v>
      </c>
      <c r="E66" s="252" t="inlineStr">
        <is>
          <t>ASSUMED</t>
        </is>
      </c>
      <c r="F66" s="282" t="inlineStr">
        <is>
          <t>–</t>
        </is>
      </c>
      <c r="G66" s="282" t="inlineStr">
        <is>
          <t>–</t>
        </is>
      </c>
      <c r="H66" s="282" t="inlineStr">
        <is>
          <t>–</t>
        </is>
      </c>
      <c r="I66" s="282" t="inlineStr">
        <is>
          <t>–</t>
        </is>
      </c>
      <c r="J66" s="282" t="inlineStr">
        <is>
          <t>–</t>
        </is>
      </c>
      <c r="K66" s="282" t="inlineStr">
        <is>
          <t>–</t>
        </is>
      </c>
      <c r="L66" s="282" t="inlineStr">
        <is>
          <t>–</t>
        </is>
      </c>
      <c r="M66" s="282" t="inlineStr">
        <is>
          <t>–</t>
        </is>
      </c>
      <c r="N66" s="282" t="inlineStr">
        <is>
          <t>–</t>
        </is>
      </c>
      <c r="O66" s="282" t="inlineStr">
        <is>
          <t>–</t>
        </is>
      </c>
      <c r="P66" s="282" t="inlineStr">
        <is>
          <t>–</t>
        </is>
      </c>
      <c r="Q66" s="282" t="inlineStr">
        <is>
          <t>–</t>
        </is>
      </c>
      <c r="R66" s="282" t="inlineStr">
        <is>
          <t>–</t>
        </is>
      </c>
      <c r="S66" s="252" t="inlineStr">
        <is>
          <t>Share build U5: 60% judgmental probability; off by default in the bear variant</t>
        </is>
      </c>
    </row>
    <row r="67">
      <c r="B67" s="254" t="inlineStr">
        <is>
          <t>State Farm adverse event (inherited: 0.50 → 0.4775 by FQ4 FY27)</t>
        </is>
      </c>
      <c r="D67" s="342" t="n">
        <v>1</v>
      </c>
      <c r="E67" s="252" t="inlineStr">
        <is>
          <t>ASSUMED</t>
        </is>
      </c>
      <c r="F67" s="282" t="inlineStr">
        <is>
          <t>–</t>
        </is>
      </c>
      <c r="G67" s="282" t="inlineStr">
        <is>
          <t>–</t>
        </is>
      </c>
      <c r="H67" s="282" t="inlineStr">
        <is>
          <t>–</t>
        </is>
      </c>
      <c r="I67" s="282" t="inlineStr">
        <is>
          <t>–</t>
        </is>
      </c>
      <c r="J67" s="282" t="inlineStr">
        <is>
          <t>–</t>
        </is>
      </c>
      <c r="K67" s="282" t="inlineStr">
        <is>
          <t>–</t>
        </is>
      </c>
      <c r="L67" s="282" t="inlineStr">
        <is>
          <t>–</t>
        </is>
      </c>
      <c r="M67" s="282" t="inlineStr">
        <is>
          <t>–</t>
        </is>
      </c>
      <c r="N67" s="282" t="inlineStr">
        <is>
          <t>–</t>
        </is>
      </c>
      <c r="O67" s="282" t="inlineStr">
        <is>
          <t>–</t>
        </is>
      </c>
      <c r="P67" s="282" t="inlineStr">
        <is>
          <t>–</t>
        </is>
      </c>
      <c r="Q67" s="282" t="inlineStr">
        <is>
          <t>–</t>
        </is>
      </c>
      <c r="R67" s="282" t="inlineStr">
        <is>
          <t>–</t>
        </is>
      </c>
      <c r="S67" s="252" t="inlineStr">
        <is>
          <t>Share build U7: 45% judgmental; shown as realised case, not probability-weighted</t>
        </is>
      </c>
    </row>
    <row r="68">
      <c r="B68" s="254" t="inlineStr">
        <is>
          <t>Other-carrier drift event (inherited: 0.50 → 0.4775)</t>
        </is>
      </c>
      <c r="D68" s="342" t="n">
        <v>1</v>
      </c>
      <c r="E68" s="252" t="inlineStr">
        <is>
          <t>ASSUMED</t>
        </is>
      </c>
      <c r="F68" s="282" t="inlineStr">
        <is>
          <t>–</t>
        </is>
      </c>
      <c r="G68" s="282" t="inlineStr">
        <is>
          <t>–</t>
        </is>
      </c>
      <c r="H68" s="282" t="inlineStr">
        <is>
          <t>–</t>
        </is>
      </c>
      <c r="I68" s="282" t="inlineStr">
        <is>
          <t>–</t>
        </is>
      </c>
      <c r="J68" s="282" t="inlineStr">
        <is>
          <t>–</t>
        </is>
      </c>
      <c r="K68" s="282" t="inlineStr">
        <is>
          <t>–</t>
        </is>
      </c>
      <c r="L68" s="282" t="inlineStr">
        <is>
          <t>–</t>
        </is>
      </c>
      <c r="M68" s="282" t="inlineStr">
        <is>
          <t>–</t>
        </is>
      </c>
      <c r="N68" s="282" t="inlineStr">
        <is>
          <t>–</t>
        </is>
      </c>
      <c r="O68" s="282" t="inlineStr">
        <is>
          <t>–</t>
        </is>
      </c>
      <c r="P68" s="282" t="inlineStr">
        <is>
          <t>–</t>
        </is>
      </c>
      <c r="Q68" s="282" t="inlineStr">
        <is>
          <t>–</t>
        </is>
      </c>
      <c r="R68" s="282" t="inlineStr">
        <is>
          <t>–</t>
        </is>
      </c>
      <c r="S68" s="252" t="inlineStr">
        <is>
          <t>Share build Events row 15; regional anecdote on a 24% bucket</t>
        </is>
      </c>
    </row>
    <row r="69">
      <c r="B69" s="254" t="inlineStr">
        <is>
          <t>Additional allocation drift, non-Progressive carriers (points per quarter from FQ1 FY27)</t>
        </is>
      </c>
      <c r="D69" s="330" t="n">
        <v>0</v>
      </c>
      <c r="E69" s="252" t="inlineStr">
        <is>
          <t>ASSUMED</t>
        </is>
      </c>
      <c r="F69" s="282" t="inlineStr">
        <is>
          <t>–</t>
        </is>
      </c>
      <c r="G69" s="282" t="inlineStr">
        <is>
          <t>–</t>
        </is>
      </c>
      <c r="H69" s="282" t="inlineStr">
        <is>
          <t>–</t>
        </is>
      </c>
      <c r="I69" s="282" t="inlineStr">
        <is>
          <t>–</t>
        </is>
      </c>
      <c r="J69" s="282" t="inlineStr">
        <is>
          <t>–</t>
        </is>
      </c>
      <c r="K69" s="282" t="inlineStr">
        <is>
          <t>–</t>
        </is>
      </c>
      <c r="L69" s="282" t="inlineStr">
        <is>
          <t>–</t>
        </is>
      </c>
      <c r="M69" s="282" t="inlineStr">
        <is>
          <t>–</t>
        </is>
      </c>
      <c r="N69" s="282" t="inlineStr">
        <is>
          <t>–</t>
        </is>
      </c>
      <c r="O69" s="282" t="inlineStr">
        <is>
          <t>–</t>
        </is>
      </c>
      <c r="P69" s="282" t="inlineStr">
        <is>
          <t>–</t>
        </is>
      </c>
      <c r="Q69" s="282" t="inlineStr">
        <is>
          <t>–</t>
        </is>
      </c>
      <c r="R69" s="282" t="inlineStr">
        <is>
          <t>–</t>
        </is>
      </c>
      <c r="S69" s="252" t="inlineStr">
        <is>
          <t>No evidence; 0 by default. Use only as a labelled stress</t>
        </is>
      </c>
    </row>
    <row r="70">
      <c r="B70" s="254" t="inlineStr">
        <is>
          <t>Additional Progressive decline (points per quarter from FQ1 FY27)</t>
        </is>
      </c>
      <c r="D70" s="330" t="n">
        <v>0</v>
      </c>
      <c r="E70" s="252" t="inlineStr">
        <is>
          <t>ASSUMED</t>
        </is>
      </c>
      <c r="F70" s="282" t="inlineStr">
        <is>
          <t>–</t>
        </is>
      </c>
      <c r="G70" s="282" t="inlineStr">
        <is>
          <t>–</t>
        </is>
      </c>
      <c r="H70" s="282" t="inlineStr">
        <is>
          <t>–</t>
        </is>
      </c>
      <c r="I70" s="282" t="inlineStr">
        <is>
          <t>–</t>
        </is>
      </c>
      <c r="J70" s="282" t="inlineStr">
        <is>
          <t>–</t>
        </is>
      </c>
      <c r="K70" s="282" t="inlineStr">
        <is>
          <t>–</t>
        </is>
      </c>
      <c r="L70" s="282" t="inlineStr">
        <is>
          <t>–</t>
        </is>
      </c>
      <c r="M70" s="282" t="inlineStr">
        <is>
          <t>–</t>
        </is>
      </c>
      <c r="N70" s="282" t="inlineStr">
        <is>
          <t>–</t>
        </is>
      </c>
      <c r="O70" s="282" t="inlineStr">
        <is>
          <t>–</t>
        </is>
      </c>
      <c r="P70" s="282" t="inlineStr">
        <is>
          <t>–</t>
        </is>
      </c>
      <c r="Q70" s="282" t="inlineStr">
        <is>
          <t>–</t>
        </is>
      </c>
      <c r="R70" s="282" t="inlineStr">
        <is>
          <t>–</t>
        </is>
      </c>
      <c r="S70" s="252" t="inlineStr">
        <is>
          <t>The inherited path already reaches 5%</t>
        </is>
      </c>
    </row>
    <row r="71">
      <c r="B71" s="254" t="inlineStr">
        <is>
          <t>Base seller commission rate</t>
        </is>
      </c>
      <c r="D71" s="266">
        <f>'D Facts'!$D$42</f>
        <v/>
      </c>
      <c r="E71" s="252" t="inlineStr">
        <is>
          <t>UNVERIFIED</t>
        </is>
      </c>
      <c r="F71" s="282" t="inlineStr">
        <is>
          <t>–</t>
        </is>
      </c>
      <c r="G71" s="282" t="inlineStr">
        <is>
          <t>–</t>
        </is>
      </c>
      <c r="H71" s="282" t="inlineStr">
        <is>
          <t>–</t>
        </is>
      </c>
      <c r="I71" s="282" t="inlineStr">
        <is>
          <t>–</t>
        </is>
      </c>
      <c r="J71" s="282" t="inlineStr">
        <is>
          <t>–</t>
        </is>
      </c>
      <c r="K71" s="282" t="inlineStr">
        <is>
          <t>–</t>
        </is>
      </c>
      <c r="L71" s="282" t="inlineStr">
        <is>
          <t>–</t>
        </is>
      </c>
      <c r="M71" s="282" t="inlineStr">
        <is>
          <t>–</t>
        </is>
      </c>
      <c r="N71" s="282" t="inlineStr">
        <is>
          <t>–</t>
        </is>
      </c>
      <c r="O71" s="282" t="inlineStr">
        <is>
          <t>–</t>
        </is>
      </c>
      <c r="P71" s="282" t="inlineStr">
        <is>
          <t>–</t>
        </is>
      </c>
      <c r="Q71" s="282" t="inlineStr">
        <is>
          <t>–</t>
        </is>
      </c>
      <c r="R71" s="282" t="inlineStr">
        <is>
          <t>–</t>
        </is>
      </c>
      <c r="S71" s="252" t="inlineStr">
        <is>
          <t>Barclays 25 Aug 2026 Figure 1 (licensed, local)</t>
        </is>
      </c>
    </row>
    <row r="72">
      <c r="B72" s="254" t="inlineStr">
        <is>
          <t>Concession, share of commission</t>
        </is>
      </c>
      <c r="D72" s="266">
        <f>'D Facts'!$D$43</f>
        <v/>
      </c>
      <c r="E72" s="252" t="inlineStr">
        <is>
          <t>UNVERIFIED</t>
        </is>
      </c>
      <c r="F72" s="282" t="inlineStr">
        <is>
          <t>–</t>
        </is>
      </c>
      <c r="G72" s="282" t="inlineStr">
        <is>
          <t>–</t>
        </is>
      </c>
      <c r="H72" s="282" t="inlineStr">
        <is>
          <t>–</t>
        </is>
      </c>
      <c r="I72" s="282" t="inlineStr">
        <is>
          <t>–</t>
        </is>
      </c>
      <c r="J72" s="282" t="inlineStr">
        <is>
          <t>–</t>
        </is>
      </c>
      <c r="K72" s="282" t="inlineStr">
        <is>
          <t>–</t>
        </is>
      </c>
      <c r="L72" s="282" t="inlineStr">
        <is>
          <t>–</t>
        </is>
      </c>
      <c r="M72" s="282" t="inlineStr">
        <is>
          <t>–</t>
        </is>
      </c>
      <c r="N72" s="282" t="inlineStr">
        <is>
          <t>–</t>
        </is>
      </c>
      <c r="O72" s="282" t="inlineStr">
        <is>
          <t>–</t>
        </is>
      </c>
      <c r="P72" s="282" t="inlineStr">
        <is>
          <t>–</t>
        </is>
      </c>
      <c r="Q72" s="282" t="inlineStr">
        <is>
          <t>–</t>
        </is>
      </c>
      <c r="R72" s="282" t="inlineStr">
        <is>
          <t>–</t>
        </is>
      </c>
      <c r="S72" s="252" t="inlineStr">
        <is>
          <t>Barclays 25 Aug 2026 Figure 1</t>
        </is>
      </c>
    </row>
    <row r="73">
      <c r="B73" s="254" t="inlineStr">
        <is>
          <t>Share of volume on concession terms when thesis A is on</t>
        </is>
      </c>
      <c r="D73" s="330" t="n">
        <v>0</v>
      </c>
      <c r="E73" s="252" t="inlineStr">
        <is>
          <t>ASSUMED</t>
        </is>
      </c>
      <c r="F73" s="282" t="inlineStr">
        <is>
          <t>–</t>
        </is>
      </c>
      <c r="G73" s="282" t="inlineStr">
        <is>
          <t>–</t>
        </is>
      </c>
      <c r="H73" s="282" t="inlineStr">
        <is>
          <t>–</t>
        </is>
      </c>
      <c r="I73" s="282" t="inlineStr">
        <is>
          <t>–</t>
        </is>
      </c>
      <c r="J73" s="282" t="inlineStr">
        <is>
          <t>–</t>
        </is>
      </c>
      <c r="K73" s="282" t="inlineStr">
        <is>
          <t>–</t>
        </is>
      </c>
      <c r="L73" s="282" t="inlineStr">
        <is>
          <t>–</t>
        </is>
      </c>
      <c r="M73" s="282" t="inlineStr">
        <is>
          <t>–</t>
        </is>
      </c>
      <c r="N73" s="282" t="inlineStr">
        <is>
          <t>–</t>
        </is>
      </c>
      <c r="O73" s="282" t="inlineStr">
        <is>
          <t>–</t>
        </is>
      </c>
      <c r="P73" s="282" t="inlineStr">
        <is>
          <t>–</t>
        </is>
      </c>
      <c r="Q73" s="282" t="inlineStr">
        <is>
          <t>–</t>
        </is>
      </c>
      <c r="R73" s="282" t="inlineStr">
        <is>
          <t>–</t>
        </is>
      </c>
      <c r="S73" s="252" t="inlineStr">
        <is>
          <t>Set in Scenarios; 0 means no retained-account repricing</t>
        </is>
      </c>
    </row>
    <row r="76">
      <c r="B76" s="271" t="inlineStr">
        <is>
          <t>F. Probability-weighted carrier moves (memo basis): expected move = size × probability; the inherited D Carriers paths are these expected moves</t>
        </is>
      </c>
      <c r="C76" s="272" t="n"/>
      <c r="D76" s="271" t="inlineStr">
        <is>
          <t>Move (pts)</t>
        </is>
      </c>
      <c r="E76" s="271" t="inlineStr">
        <is>
          <t>Probability</t>
        </is>
      </c>
      <c r="F76" s="271" t="inlineStr">
        <is>
          <t>Expected (pts)</t>
        </is>
      </c>
      <c r="G76" s="271" t="inlineStr">
        <is>
          <t>Path check (pts)</t>
        </is>
      </c>
      <c r="H76" s="271" t="inlineStr">
        <is>
          <t>Start</t>
        </is>
      </c>
      <c r="I76" s="271" t="inlineStr">
        <is>
          <t>Ramp (qtrs)</t>
        </is>
      </c>
      <c r="J76" s="272" t="n"/>
      <c r="K76" s="272" t="n"/>
      <c r="L76" s="272" t="n"/>
      <c r="M76" s="272" t="n"/>
      <c r="N76" s="272" t="n"/>
      <c r="O76" s="272" t="n"/>
      <c r="P76" s="272" t="n"/>
      <c r="Q76" s="272" t="n"/>
      <c r="R76" s="272" t="n"/>
      <c r="S76" s="272" t="n"/>
    </row>
    <row r="77">
      <c r="B77" s="254" t="inlineStr">
        <is>
          <t>State Farm — adverse shift to IAA</t>
        </is>
      </c>
      <c r="D77" s="266">
        <f>-'D Facts'!$D$51</f>
        <v/>
      </c>
      <c r="E77" s="273">
        <f>'D Facts'!$D$48</f>
        <v/>
      </c>
      <c r="F77" s="463">
        <f>D77*E77</f>
        <v/>
      </c>
      <c r="G77" s="461">
        <f>'D Carriers'!$J$18-'D Carriers'!$C$18</f>
        <v/>
      </c>
      <c r="H77" s="254" t="inlineStr">
        <is>
          <t>FQ3 FY27</t>
        </is>
      </c>
      <c r="I77" s="464" t="n">
        <v>2</v>
      </c>
      <c r="J77" s="282" t="inlineStr">
        <is>
          <t>–</t>
        </is>
      </c>
      <c r="K77" s="282" t="inlineStr">
        <is>
          <t>–</t>
        </is>
      </c>
      <c r="L77" s="282" t="inlineStr">
        <is>
          <t>–</t>
        </is>
      </c>
      <c r="M77" s="282" t="inlineStr">
        <is>
          <t>–</t>
        </is>
      </c>
      <c r="N77" s="282" t="inlineStr">
        <is>
          <t>–</t>
        </is>
      </c>
      <c r="O77" s="282" t="inlineStr">
        <is>
          <t>–</t>
        </is>
      </c>
      <c r="P77" s="282" t="inlineStr">
        <is>
          <t>–</t>
        </is>
      </c>
      <c r="Q77" s="282" t="inlineStr">
        <is>
          <t>–</t>
        </is>
      </c>
      <c r="R77" s="282" t="inlineStr">
        <is>
          <t>–</t>
        </is>
      </c>
      <c r="S77" s="252" t="inlineStr">
        <is>
          <t>UNVERIFIED (expert, dated): share build U7 = 45%; Downloads build: RFP out since ~2025, Illinois pilot of ~500 cars to IAA (experts Jan–Aug 2026); sizing from historical 10–20 pt moves over four quarters (share-build precedents, not yet re-read)</t>
        </is>
      </c>
    </row>
    <row r="78">
      <c r="B78" s="254" t="inlineStr">
        <is>
          <t>Other (Erie, AAA, AmFam, regionals) — adverse drift</t>
        </is>
      </c>
      <c r="D78" s="266">
        <f>-'D Facts'!$D$51</f>
        <v/>
      </c>
      <c r="E78" s="273">
        <f>'D Facts'!$D$49</f>
        <v/>
      </c>
      <c r="F78" s="463">
        <f>D78*E78</f>
        <v/>
      </c>
      <c r="G78" s="461">
        <f>'D Carriers'!$J$27-'D Carriers'!$C$27</f>
        <v/>
      </c>
      <c r="H78" s="254" t="inlineStr">
        <is>
          <t>FQ1 FY27</t>
        </is>
      </c>
      <c r="I78" s="464" t="n">
        <v>4</v>
      </c>
      <c r="J78" s="282" t="inlineStr">
        <is>
          <t>–</t>
        </is>
      </c>
      <c r="K78" s="282" t="inlineStr">
        <is>
          <t>–</t>
        </is>
      </c>
      <c r="L78" s="282" t="inlineStr">
        <is>
          <t>–</t>
        </is>
      </c>
      <c r="M78" s="282" t="inlineStr">
        <is>
          <t>–</t>
        </is>
      </c>
      <c r="N78" s="282" t="inlineStr">
        <is>
          <t>–</t>
        </is>
      </c>
      <c r="O78" s="282" t="inlineStr">
        <is>
          <t>–</t>
        </is>
      </c>
      <c r="P78" s="282" t="inlineStr">
        <is>
          <t>–</t>
        </is>
      </c>
      <c r="Q78" s="282" t="inlineStr">
        <is>
          <t>–</t>
        </is>
      </c>
      <c r="R78" s="282" t="inlineStr">
        <is>
          <t>–</t>
        </is>
      </c>
      <c r="S78" s="252" t="inlineStr">
        <is>
          <t>UNVERIFIED (expert, dated): share build Events row 15; YipitData shows IAA additions high in Pennsylvania where Erie is #3; regional anecdote applied to a 24% bucket</t>
        </is>
      </c>
    </row>
    <row r="79">
      <c r="B79" s="254" t="inlineStr">
        <is>
          <t>GEICO — win for Copart (0.83 → 0.95 if realised)</t>
        </is>
      </c>
      <c r="D79" s="330" t="n">
        <v>0.12</v>
      </c>
      <c r="E79" s="273">
        <f>'D Facts'!$D$50</f>
        <v/>
      </c>
      <c r="F79" s="463">
        <f>D79*E79</f>
        <v/>
      </c>
      <c r="G79" s="461">
        <f>'D Carriers'!$J$20-'D Carriers'!$C$20</f>
        <v/>
      </c>
      <c r="H79" s="254" t="inlineStr">
        <is>
          <t>FQ4 FY26</t>
        </is>
      </c>
      <c r="I79" s="464" t="n">
        <v>3</v>
      </c>
      <c r="J79" s="282" t="inlineStr">
        <is>
          <t>–</t>
        </is>
      </c>
      <c r="K79" s="282" t="inlineStr">
        <is>
          <t>–</t>
        </is>
      </c>
      <c r="L79" s="282" t="inlineStr">
        <is>
          <t>–</t>
        </is>
      </c>
      <c r="M79" s="282" t="inlineStr">
        <is>
          <t>–</t>
        </is>
      </c>
      <c r="N79" s="282" t="inlineStr">
        <is>
          <t>–</t>
        </is>
      </c>
      <c r="O79" s="282" t="inlineStr">
        <is>
          <t>–</t>
        </is>
      </c>
      <c r="P79" s="282" t="inlineStr">
        <is>
          <t>–</t>
        </is>
      </c>
      <c r="Q79" s="282" t="inlineStr">
        <is>
          <t>–</t>
        </is>
      </c>
      <c r="R79" s="282" t="inlineStr">
        <is>
          <t>–</t>
        </is>
      </c>
      <c r="S79" s="252" t="inlineStr">
        <is>
          <t>UNVERIFIED (expert, dated): share build U5 = 60%; expert (Jul 2025) put the GEICO RFP 1–2 years out. Off in the bear variant by default</t>
        </is>
      </c>
    </row>
    <row r="80">
      <c r="B80" s="254" t="inlineStr">
        <is>
          <t>Progressive — realised loss (0.25 → 0.05)</t>
        </is>
      </c>
      <c r="D80" s="330" t="n">
        <v>-0.2</v>
      </c>
      <c r="E80" s="344" t="n">
        <v>1</v>
      </c>
      <c r="F80" s="463">
        <f>D80*E80</f>
        <v/>
      </c>
      <c r="G80" s="461">
        <f>'D Carriers'!$J$19-'D Carriers'!$C$19</f>
        <v/>
      </c>
      <c r="H80" s="254" t="inlineStr">
        <is>
          <t>FQ3 FY26</t>
        </is>
      </c>
      <c r="I80" s="464" t="n">
        <v>2.2</v>
      </c>
      <c r="J80" s="282" t="inlineStr">
        <is>
          <t>–</t>
        </is>
      </c>
      <c r="K80" s="282" t="inlineStr">
        <is>
          <t>–</t>
        </is>
      </c>
      <c r="L80" s="282" t="inlineStr">
        <is>
          <t>–</t>
        </is>
      </c>
      <c r="M80" s="282" t="inlineStr">
        <is>
          <t>–</t>
        </is>
      </c>
      <c r="N80" s="282" t="inlineStr">
        <is>
          <t>–</t>
        </is>
      </c>
      <c r="O80" s="282" t="inlineStr">
        <is>
          <t>–</t>
        </is>
      </c>
      <c r="P80" s="282" t="inlineStr">
        <is>
          <t>–</t>
        </is>
      </c>
      <c r="Q80" s="282" t="inlineStr">
        <is>
          <t>–</t>
        </is>
      </c>
      <c r="R80" s="282" t="inlineStr">
        <is>
          <t>–</t>
        </is>
      </c>
      <c r="S80" s="252" t="inlineStr">
        <is>
          <t>FITTED to the FQ4 FY26 print (carrier test); IAA agreement in principle Feb 2026, executed May 2026, all 50 states (Downloads build, UNVERIFIED expert); Copart call: assignments +2.3% ex one customer (VERIFIED)</t>
        </is>
      </c>
    </row>
    <row r="82">
      <c r="B82" s="249" t="inlineStr">
        <is>
          <t>Derived: the Progressive move's effect on FQ4 FY26 revenue (replaces the memo's asserted 5.2%)</t>
        </is>
      </c>
    </row>
    <row r="83">
      <c r="B83" s="274" t="inlineStr">
        <is>
          <t xml:space="preserve">   Copart share y/y FQ4 FY26 (carrier test) × insurance share of US service × US share of global service = % of global service revenue; × service share of total = % of total revenue</t>
        </is>
      </c>
      <c r="C83" s="345">
        <f>'D Facts'!$D$21</f>
        <v/>
      </c>
      <c r="D83" s="346">
        <f>C83*'E5 Prices &amp; Fees'!$D$39*('D Reported'!$D$26+'D Reported'!$D$27+'D Reported'!$D$28+'D Reported'!$D$29)/('D Reported'!$D$26+'D Reported'!$D$27+'D Reported'!$D$28+'D Reported'!$D$29+'D Reported'!$E$26+'D Reported'!$E$27+'D Reported'!$E$28+'D Reported'!$E$29)</f>
        <v/>
      </c>
      <c r="E83" s="346">
        <f>D83*('D Reported'!$D$26+'D Reported'!$D$27+'D Reported'!$D$28+'D Reported'!$D$29+'D Reported'!$E$26+'D Reported'!$E$27+'D Reported'!$E$28+'D Reported'!$E$29)/('D Reported'!$D$26+'D Reported'!$D$27+'D Reported'!$D$28+'D Reported'!$D$29+'D Reported'!$E$26+'D Reported'!$E$27+'D Reported'!$E$28+'D Reported'!$E$29+'D Reported'!$F$26+'D Reported'!$G$26+'D Reported'!$F$27+'D Reported'!$G$27+'D Reported'!$F$28+'D Reported'!$G$28+'D Reported'!$F$29+'D Reported'!$G$29)</f>
        <v/>
      </c>
      <c r="F83" s="252" t="inlineStr">
        <is>
          <t>← % of service revenue; % of total revenue</t>
        </is>
      </c>
      <c r="G83" s="282" t="inlineStr">
        <is>
          <t>–</t>
        </is>
      </c>
      <c r="H83" s="282" t="inlineStr">
        <is>
          <t>–</t>
        </is>
      </c>
      <c r="I83" s="282" t="inlineStr">
        <is>
          <t>–</t>
        </is>
      </c>
      <c r="J83" s="282" t="inlineStr">
        <is>
          <t>–</t>
        </is>
      </c>
      <c r="K83" s="282" t="inlineStr">
        <is>
          <t>–</t>
        </is>
      </c>
      <c r="L83" s="282" t="inlineStr">
        <is>
          <t>–</t>
        </is>
      </c>
      <c r="M83" s="282" t="inlineStr">
        <is>
          <t>–</t>
        </is>
      </c>
      <c r="N83" s="282" t="inlineStr">
        <is>
          <t>–</t>
        </is>
      </c>
      <c r="O83" s="282" t="inlineStr">
        <is>
          <t>–</t>
        </is>
      </c>
      <c r="P83" s="282" t="inlineStr">
        <is>
          <t>–</t>
        </is>
      </c>
      <c r="Q83" s="282" t="inlineStr">
        <is>
          <t>–</t>
        </is>
      </c>
      <c r="R83" s="282" t="inlineStr">
        <is>
          <t>–</t>
        </is>
      </c>
      <c r="S83" s="252" t="inlineStr">
        <is>
          <t>MEASURED chain: −6.508% share y/y (docs/carrier_test_2026-09-28/results.json, reconstructed, not disclosed) × E5 insurance share × 8-K FY26 US service ÷ global service × service ÷ total revenue</t>
        </is>
      </c>
    </row>
    <row r="85">
      <c r="B85" s="271" t="inlineStr">
        <is>
          <t>G. Parity evidence (documentation for thesis 3; Copart value, IAA / RB Global value, label, source in Notes)</t>
        </is>
      </c>
      <c r="C85" s="272" t="n"/>
      <c r="D85" s="271" t="inlineStr">
        <is>
          <t>Copart</t>
        </is>
      </c>
      <c r="E85" s="271" t="inlineStr">
        <is>
          <t>IAA / RB Global</t>
        </is>
      </c>
      <c r="F85" s="271" t="inlineStr">
        <is>
          <t>Label</t>
        </is>
      </c>
      <c r="G85" s="272" t="n"/>
      <c r="H85" s="272" t="n"/>
      <c r="I85" s="272" t="n"/>
      <c r="J85" s="272" t="n"/>
      <c r="K85" s="272" t="n"/>
      <c r="L85" s="272" t="n"/>
      <c r="M85" s="272" t="n"/>
      <c r="N85" s="272" t="n"/>
      <c r="O85" s="272" t="n"/>
      <c r="P85" s="272" t="n"/>
      <c r="Q85" s="272" t="n"/>
      <c r="R85" s="272" t="n"/>
      <c r="S85" s="272" t="n"/>
    </row>
    <row r="86">
      <c r="B86" s="254" t="inlineStr">
        <is>
          <t>Operating acreage (owned + leased)</t>
        </is>
      </c>
      <c r="D86" s="282" t="inlineStr">
        <is>
          <t>–</t>
        </is>
      </c>
      <c r="E86" s="261">
        <f>'D Facts'!$D$13</f>
        <v/>
      </c>
      <c r="F86" s="252" t="inlineStr">
        <is>
          <t>VERIFIED (IAA) / NOT FOUND (Copart)</t>
        </is>
      </c>
      <c r="G86" s="282" t="inlineStr">
        <is>
          <t>–</t>
        </is>
      </c>
      <c r="H86" s="282" t="inlineStr">
        <is>
          <t>–</t>
        </is>
      </c>
      <c r="I86" s="282" t="inlineStr">
        <is>
          <t>–</t>
        </is>
      </c>
      <c r="J86" s="282" t="inlineStr">
        <is>
          <t>–</t>
        </is>
      </c>
      <c r="K86" s="282" t="inlineStr">
        <is>
          <t>–</t>
        </is>
      </c>
      <c r="L86" s="282" t="inlineStr">
        <is>
          <t>–</t>
        </is>
      </c>
      <c r="M86" s="282" t="inlineStr">
        <is>
          <t>–</t>
        </is>
      </c>
      <c r="N86" s="282" t="inlineStr">
        <is>
          <t>–</t>
        </is>
      </c>
      <c r="O86" s="282" t="inlineStr">
        <is>
          <t>–</t>
        </is>
      </c>
      <c r="P86" s="282" t="inlineStr">
        <is>
          <t>–</t>
        </is>
      </c>
      <c r="Q86" s="282" t="inlineStr">
        <is>
          <t>–</t>
        </is>
      </c>
      <c r="R86" s="282" t="inlineStr">
        <is>
          <t>–</t>
        </is>
      </c>
      <c r="S86" s="252" t="inlineStr">
        <is>
          <t>RB Global FY2025 10-K properties table: 6,143 owned + 8,660 leased acres, 333 locations (US 250 locations, 4,431 + 7,769 acres). Copart discloses no acreage in the FY25 or FY26 10-K or any of 17 calls; the memo's 19.1k acres needs a citation</t>
        </is>
      </c>
    </row>
    <row r="87">
      <c r="B87" s="254" t="inlineStr">
        <is>
          <t>Operating locations</t>
        </is>
      </c>
      <c r="D87" s="261">
        <f>'D Facts'!$D$10</f>
        <v/>
      </c>
      <c r="E87" s="261">
        <f>'D Facts'!$D$14</f>
        <v/>
      </c>
      <c r="F87" s="252" t="inlineStr">
        <is>
          <t>VERIFIED</t>
        </is>
      </c>
      <c r="G87" s="282" t="inlineStr">
        <is>
          <t>–</t>
        </is>
      </c>
      <c r="H87" s="282" t="inlineStr">
        <is>
          <t>–</t>
        </is>
      </c>
      <c r="I87" s="282" t="inlineStr">
        <is>
          <t>–</t>
        </is>
      </c>
      <c r="J87" s="282" t="inlineStr">
        <is>
          <t>–</t>
        </is>
      </c>
      <c r="K87" s="282" t="inlineStr">
        <is>
          <t>–</t>
        </is>
      </c>
      <c r="L87" s="282" t="inlineStr">
        <is>
          <t>–</t>
        </is>
      </c>
      <c r="M87" s="282" t="inlineStr">
        <is>
          <t>–</t>
        </is>
      </c>
      <c r="N87" s="282" t="inlineStr">
        <is>
          <t>–</t>
        </is>
      </c>
      <c r="O87" s="282" t="inlineStr">
        <is>
          <t>–</t>
        </is>
      </c>
      <c r="P87" s="282" t="inlineStr">
        <is>
          <t>–</t>
        </is>
      </c>
      <c r="Q87" s="282" t="inlineStr">
        <is>
          <t>–</t>
        </is>
      </c>
      <c r="R87" s="282" t="inlineStr">
        <is>
          <t>–</t>
        </is>
      </c>
      <c r="S87" s="252" t="inlineStr">
        <is>
          <t>Copart FY2026 10-K Item 2 (281 in FY25); RB Global FY2025 10-K</t>
        </is>
      </c>
    </row>
    <row r="88">
      <c r="B88" s="254" t="inlineStr">
        <is>
          <t>Catastrophe option acreage</t>
        </is>
      </c>
      <c r="D88" s="282" t="inlineStr">
        <is>
          <t>–</t>
        </is>
      </c>
      <c r="E88" s="261">
        <f>'D Facts'!$D$15</f>
        <v/>
      </c>
      <c r="F88" s="252" t="inlineStr">
        <is>
          <t>VERIFIED (IAA)</t>
        </is>
      </c>
      <c r="G88" s="282" t="inlineStr">
        <is>
          <t>–</t>
        </is>
      </c>
      <c r="H88" s="282" t="inlineStr">
        <is>
          <t>–</t>
        </is>
      </c>
      <c r="I88" s="282" t="inlineStr">
        <is>
          <t>–</t>
        </is>
      </c>
      <c r="J88" s="282" t="inlineStr">
        <is>
          <t>–</t>
        </is>
      </c>
      <c r="K88" s="282" t="inlineStr">
        <is>
          <t>–</t>
        </is>
      </c>
      <c r="L88" s="282" t="inlineStr">
        <is>
          <t>–</t>
        </is>
      </c>
      <c r="M88" s="282" t="inlineStr">
        <is>
          <t>–</t>
        </is>
      </c>
      <c r="N88" s="282" t="inlineStr">
        <is>
          <t>–</t>
        </is>
      </c>
      <c r="O88" s="282" t="inlineStr">
        <is>
          <t>–</t>
        </is>
      </c>
      <c r="P88" s="282" t="inlineStr">
        <is>
          <t>–</t>
        </is>
      </c>
      <c r="Q88" s="282" t="inlineStr">
        <is>
          <t>–</t>
        </is>
      </c>
      <c r="R88" s="282" t="inlineStr">
        <is>
          <t>–</t>
        </is>
      </c>
      <c r="S88" s="252" t="inlineStr">
        <is>
          <t>RB Global FY2025 10-K: agreements to lease and use &gt;1,800 acres in catastrophes; Copart describes CAT capacity qualitatively</t>
        </is>
      </c>
    </row>
    <row r="89">
      <c r="B89" s="254" t="inlineStr">
        <is>
          <t>Average days on lot (cycle time)</t>
        </is>
      </c>
      <c r="D89" s="261">
        <f>'D Facts'!$D$46</f>
        <v/>
      </c>
      <c r="E89" s="261">
        <f>'D Facts'!$D$47</f>
        <v/>
      </c>
      <c r="F89" s="252" t="inlineStr">
        <is>
          <t>UNVERIFIED</t>
        </is>
      </c>
      <c r="G89" s="282" t="inlineStr">
        <is>
          <t>–</t>
        </is>
      </c>
      <c r="H89" s="282" t="inlineStr">
        <is>
          <t>–</t>
        </is>
      </c>
      <c r="I89" s="282" t="inlineStr">
        <is>
          <t>–</t>
        </is>
      </c>
      <c r="J89" s="282" t="inlineStr">
        <is>
          <t>–</t>
        </is>
      </c>
      <c r="K89" s="282" t="inlineStr">
        <is>
          <t>–</t>
        </is>
      </c>
      <c r="L89" s="282" t="inlineStr">
        <is>
          <t>–</t>
        </is>
      </c>
      <c r="M89" s="282" t="inlineStr">
        <is>
          <t>–</t>
        </is>
      </c>
      <c r="N89" s="282" t="inlineStr">
        <is>
          <t>–</t>
        </is>
      </c>
      <c r="O89" s="282" t="inlineStr">
        <is>
          <t>–</t>
        </is>
      </c>
      <c r="P89" s="282" t="inlineStr">
        <is>
          <t>–</t>
        </is>
      </c>
      <c r="Q89" s="282" t="inlineStr">
        <is>
          <t>–</t>
        </is>
      </c>
      <c r="R89" s="282" t="inlineStr">
        <is>
          <t>–</t>
        </is>
      </c>
      <c r="S89" s="252" t="inlineStr">
        <is>
          <t>Expert calls: former SVP GEICO (Sep 2026), former VP GEICO (Feb 2025) as cited in the memo; no filing measures this</t>
        </is>
      </c>
    </row>
    <row r="90">
      <c r="B90" s="254" t="inlineStr">
        <is>
          <t>Gross margin, FQ4 FY26 (Copart) vs FQ4 FY25</t>
        </is>
      </c>
      <c r="D90" s="273">
        <f>'D Facts'!$D$7</f>
        <v/>
      </c>
      <c r="E90" s="273">
        <f>'D Facts'!$D$8</f>
        <v/>
      </c>
      <c r="F90" s="252" t="inlineStr">
        <is>
          <t>VERIFIED / UNVERIFIED</t>
        </is>
      </c>
      <c r="G90" s="282" t="inlineStr">
        <is>
          <t>–</t>
        </is>
      </c>
      <c r="H90" s="282" t="inlineStr">
        <is>
          <t>–</t>
        </is>
      </c>
      <c r="I90" s="282" t="inlineStr">
        <is>
          <t>–</t>
        </is>
      </c>
      <c r="J90" s="282" t="inlineStr">
        <is>
          <t>–</t>
        </is>
      </c>
      <c r="K90" s="282" t="inlineStr">
        <is>
          <t>–</t>
        </is>
      </c>
      <c r="L90" s="282" t="inlineStr">
        <is>
          <t>–</t>
        </is>
      </c>
      <c r="M90" s="282" t="inlineStr">
        <is>
          <t>–</t>
        </is>
      </c>
      <c r="N90" s="282" t="inlineStr">
        <is>
          <t>–</t>
        </is>
      </c>
      <c r="O90" s="282" t="inlineStr">
        <is>
          <t>–</t>
        </is>
      </c>
      <c r="P90" s="282" t="inlineStr">
        <is>
          <t>–</t>
        </is>
      </c>
      <c r="Q90" s="282" t="inlineStr">
        <is>
          <t>–</t>
        </is>
      </c>
      <c r="R90" s="282" t="inlineStr">
        <is>
          <t>–</t>
        </is>
      </c>
      <c r="S90" s="252" t="inlineStr">
        <is>
          <t>Copart FQ4 FY26 call: 41.8% (VERIFIED, transcript line ~176); 45.3% FQ4 FY25 per memo, to be confirmed from raw/sec/8k/er_2025-09-04</t>
        </is>
      </c>
    </row>
    <row r="91">
      <c r="B91" s="254" t="inlineStr">
        <is>
          <t>Seller contract terms</t>
        </is>
      </c>
      <c r="D91" s="282" t="inlineStr">
        <is>
          <t>–</t>
        </is>
      </c>
      <c r="E91" s="282" t="inlineStr">
        <is>
          <t>–</t>
        </is>
      </c>
      <c r="F91" s="252" t="inlineStr">
        <is>
          <t>VERIFIED</t>
        </is>
      </c>
      <c r="G91" s="282" t="inlineStr">
        <is>
          <t>–</t>
        </is>
      </c>
      <c r="H91" s="282" t="inlineStr">
        <is>
          <t>–</t>
        </is>
      </c>
      <c r="I91" s="282" t="inlineStr">
        <is>
          <t>–</t>
        </is>
      </c>
      <c r="J91" s="282" t="inlineStr">
        <is>
          <t>–</t>
        </is>
      </c>
      <c r="K91" s="282" t="inlineStr">
        <is>
          <t>–</t>
        </is>
      </c>
      <c r="L91" s="282" t="inlineStr">
        <is>
          <t>–</t>
        </is>
      </c>
      <c r="M91" s="282" t="inlineStr">
        <is>
          <t>–</t>
        </is>
      </c>
      <c r="N91" s="282" t="inlineStr">
        <is>
          <t>–</t>
        </is>
      </c>
      <c r="O91" s="282" t="inlineStr">
        <is>
          <t>–</t>
        </is>
      </c>
      <c r="P91" s="282" t="inlineStr">
        <is>
          <t>–</t>
        </is>
      </c>
      <c r="Q91" s="282" t="inlineStr">
        <is>
          <t>–</t>
        </is>
      </c>
      <c r="R91" s="282" t="inlineStr">
        <is>
          <t>–</t>
        </is>
      </c>
      <c r="S91" s="252" t="inlineStr">
        <is>
          <t>RB Global 10-K: insurance-supplier agreements cancellable by either party on 30–90 days' notice. Copart FY2026 10-K (new sentence): certain seller arrangements are non-exclusive and may be terminated or modified on limited notice or without cause</t>
        </is>
      </c>
    </row>
    <row r="92">
      <c r="B92" s="254" t="inlineStr">
        <is>
          <t>Supplier concentration</t>
        </is>
      </c>
      <c r="D92" s="273">
        <f>'D Facts'!$D$12</f>
        <v/>
      </c>
      <c r="E92" s="273">
        <f>'D Facts'!$D$16</f>
        <v/>
      </c>
      <c r="F92" s="252" t="inlineStr">
        <is>
          <t>VERIFIED</t>
        </is>
      </c>
      <c r="G92" s="282" t="inlineStr">
        <is>
          <t>–</t>
        </is>
      </c>
      <c r="H92" s="282" t="inlineStr">
        <is>
          <t>–</t>
        </is>
      </c>
      <c r="I92" s="282" t="inlineStr">
        <is>
          <t>–</t>
        </is>
      </c>
      <c r="J92" s="282" t="inlineStr">
        <is>
          <t>–</t>
        </is>
      </c>
      <c r="K92" s="282" t="inlineStr">
        <is>
          <t>–</t>
        </is>
      </c>
      <c r="L92" s="282" t="inlineStr">
        <is>
          <t>–</t>
        </is>
      </c>
      <c r="M92" s="282" t="inlineStr">
        <is>
          <t>–</t>
        </is>
      </c>
      <c r="N92" s="282" t="inlineStr">
        <is>
          <t>–</t>
        </is>
      </c>
      <c r="O92" s="282" t="inlineStr">
        <is>
          <t>–</t>
        </is>
      </c>
      <c r="P92" s="282" t="inlineStr">
        <is>
          <t>–</t>
        </is>
      </c>
      <c r="Q92" s="282" t="inlineStr">
        <is>
          <t>–</t>
        </is>
      </c>
      <c r="R92" s="282" t="inlineStr">
        <is>
          <t>–</t>
        </is>
      </c>
      <c r="S92" s="252" t="inlineStr">
        <is>
          <t>Copart 10-K: no customer &gt;10% of revenue (shown as the 10% threshold). RB Global 10-K: top three vehicle suppliers ≈ 23% of FY2025 consolidated revenue</t>
        </is>
      </c>
    </row>
    <row r="93">
      <c r="B93" s="254" t="inlineStr">
        <is>
          <t>Progressive link to RB Global board</t>
        </is>
      </c>
      <c r="D93" s="282" t="inlineStr">
        <is>
          <t>–</t>
        </is>
      </c>
      <c r="E93" s="261">
        <f>'D Facts'!$D$20</f>
        <v/>
      </c>
      <c r="F93" s="252" t="inlineStr">
        <is>
          <t>VERIFIED</t>
        </is>
      </c>
      <c r="G93" s="282" t="inlineStr">
        <is>
          <t>–</t>
        </is>
      </c>
      <c r="H93" s="282" t="inlineStr">
        <is>
          <t>–</t>
        </is>
      </c>
      <c r="I93" s="282" t="inlineStr">
        <is>
          <t>–</t>
        </is>
      </c>
      <c r="J93" s="282" t="inlineStr">
        <is>
          <t>–</t>
        </is>
      </c>
      <c r="K93" s="282" t="inlineStr">
        <is>
          <t>–</t>
        </is>
      </c>
      <c r="L93" s="282" t="inlineStr">
        <is>
          <t>–</t>
        </is>
      </c>
      <c r="M93" s="282" t="inlineStr">
        <is>
          <t>–</t>
        </is>
      </c>
      <c r="N93" s="282" t="inlineStr">
        <is>
          <t>–</t>
        </is>
      </c>
      <c r="O93" s="282" t="inlineStr">
        <is>
          <t>–</t>
        </is>
      </c>
      <c r="P93" s="282" t="inlineStr">
        <is>
          <t>–</t>
        </is>
      </c>
      <c r="Q93" s="282" t="inlineStr">
        <is>
          <t>–</t>
        </is>
      </c>
      <c r="R93" s="282" t="inlineStr">
        <is>
          <t>–</t>
        </is>
      </c>
      <c r="S93" s="252" t="inlineStr">
        <is>
          <t>RB Global 2026 proxy: director Michael Sieger, appointed 2023, three decades at Progressive (a former executive, not a Progressive representative)</t>
        </is>
      </c>
    </row>
    <row r="94">
      <c r="B94" s="254" t="inlineStr">
        <is>
          <t>Automotive volume growth, latest quarter</t>
        </is>
      </c>
      <c r="D94" s="273">
        <f>'D Facts'!$D$9</f>
        <v/>
      </c>
      <c r="E94" s="273">
        <f>'D Facts'!$D$17</f>
        <v/>
      </c>
      <c r="F94" s="252" t="inlineStr">
        <is>
          <t>VERIFIED</t>
        </is>
      </c>
      <c r="G94" s="282" t="inlineStr">
        <is>
          <t>–</t>
        </is>
      </c>
      <c r="H94" s="282" t="inlineStr">
        <is>
          <t>–</t>
        </is>
      </c>
      <c r="I94" s="282" t="inlineStr">
        <is>
          <t>–</t>
        </is>
      </c>
      <c r="J94" s="282" t="inlineStr">
        <is>
          <t>–</t>
        </is>
      </c>
      <c r="K94" s="282" t="inlineStr">
        <is>
          <t>–</t>
        </is>
      </c>
      <c r="L94" s="282" t="inlineStr">
        <is>
          <t>–</t>
        </is>
      </c>
      <c r="M94" s="282" t="inlineStr">
        <is>
          <t>–</t>
        </is>
      </c>
      <c r="N94" s="282" t="inlineStr">
        <is>
          <t>–</t>
        </is>
      </c>
      <c r="O94" s="282" t="inlineStr">
        <is>
          <t>–</t>
        </is>
      </c>
      <c r="P94" s="282" t="inlineStr">
        <is>
          <t>–</t>
        </is>
      </c>
      <c r="Q94" s="282" t="inlineStr">
        <is>
          <t>–</t>
        </is>
      </c>
      <c r="R94" s="282" t="inlineStr">
        <is>
          <t>–</t>
        </is>
      </c>
      <c r="S94" s="252" t="inlineStr">
        <is>
          <t>Copart FQ4 FY26 US insurance units −7.5% (call); RB Global Q2 2026 automotive lots +11% (10-Q), GTV per lot ≈ $3,717 (+2.5%), seller revenue −1% from automotive price incentives</t>
        </is>
      </c>
    </row>
    <row r="95">
      <c r="B95" s="254" t="inlineStr">
        <is>
          <t>Progressive allocation Copart : IAA</t>
        </is>
      </c>
      <c r="D95" s="273">
        <f>'D Facts'!$D$45</f>
        <v/>
      </c>
      <c r="E95" s="273">
        <f>1-'D Facts'!$D$45</f>
        <v/>
      </c>
      <c r="F95" s="252" t="inlineStr">
        <is>
          <t>UNVERIFIED</t>
        </is>
      </c>
      <c r="G95" s="282" t="inlineStr">
        <is>
          <t>–</t>
        </is>
      </c>
      <c r="H95" s="282" t="inlineStr">
        <is>
          <t>–</t>
        </is>
      </c>
      <c r="I95" s="282" t="inlineStr">
        <is>
          <t>–</t>
        </is>
      </c>
      <c r="J95" s="282" t="inlineStr">
        <is>
          <t>–</t>
        </is>
      </c>
      <c r="K95" s="282" t="inlineStr">
        <is>
          <t>–</t>
        </is>
      </c>
      <c r="L95" s="282" t="inlineStr">
        <is>
          <t>–</t>
        </is>
      </c>
      <c r="M95" s="282" t="inlineStr">
        <is>
          <t>–</t>
        </is>
      </c>
      <c r="N95" s="282" t="inlineStr">
        <is>
          <t>–</t>
        </is>
      </c>
      <c r="O95" s="282" t="inlineStr">
        <is>
          <t>–</t>
        </is>
      </c>
      <c r="P95" s="282" t="inlineStr">
        <is>
          <t>–</t>
        </is>
      </c>
      <c r="Q95" s="282" t="inlineStr">
        <is>
          <t>–</t>
        </is>
      </c>
      <c r="R95" s="282" t="inlineStr">
        <is>
          <t>–</t>
        </is>
      </c>
      <c r="S95" s="252" t="inlineStr">
        <is>
          <t>Expert calls (Downloads build Contract_Calendar); Copart has never named the carrier</t>
        </is>
      </c>
    </row>
    <row r="96">
      <c r="B96" s="254" t="inlineStr">
        <is>
          <t>Dated contract items (expert, UNVERIFIED)</t>
        </is>
      </c>
      <c r="D96" s="282" t="inlineStr">
        <is>
          <t>–</t>
        </is>
      </c>
      <c r="E96" s="282" t="inlineStr">
        <is>
          <t>–</t>
        </is>
      </c>
      <c r="F96" s="252" t="inlineStr">
        <is>
          <t>UNVERIFIED</t>
        </is>
      </c>
      <c r="G96" s="282" t="inlineStr">
        <is>
          <t>–</t>
        </is>
      </c>
      <c r="H96" s="282" t="inlineStr">
        <is>
          <t>–</t>
        </is>
      </c>
      <c r="I96" s="282" t="inlineStr">
        <is>
          <t>–</t>
        </is>
      </c>
      <c r="J96" s="282" t="inlineStr">
        <is>
          <t>–</t>
        </is>
      </c>
      <c r="K96" s="282" t="inlineStr">
        <is>
          <t>–</t>
        </is>
      </c>
      <c r="L96" s="282" t="inlineStr">
        <is>
          <t>–</t>
        </is>
      </c>
      <c r="M96" s="282" t="inlineStr">
        <is>
          <t>–</t>
        </is>
      </c>
      <c r="N96" s="282" t="inlineStr">
        <is>
          <t>–</t>
        </is>
      </c>
      <c r="O96" s="282" t="inlineStr">
        <is>
          <t>–</t>
        </is>
      </c>
      <c r="P96" s="282" t="inlineStr">
        <is>
          <t>–</t>
        </is>
      </c>
      <c r="Q96" s="282" t="inlineStr">
        <is>
          <t>–</t>
        </is>
      </c>
      <c r="R96" s="282" t="inlineStr">
        <is>
          <t>–</t>
        </is>
      </c>
      <c r="S96" s="252" t="inlineStr">
        <is>
          <t>State Farm RFP since ~2025 and Illinois pilot; GEICO RFP window 2026–27 (Jul 2025); Liberty Mutual standard 3-year master agreements (Jul 2025); Erie/regionals shifting (YipitData); RB Global Q2 2026 call paraphrase on contracts coming up over three years — all from ~/Downloads/CPRT_share_loss_build.xlsx</t>
        </is>
      </c>
    </row>
  </sheetData>
  <mergeCells count="2">
    <mergeCell ref="H4:O4"/>
    <mergeCell ref="D4:G4"/>
  </mergeCells>
  <dataValidations count="1">
    <dataValidation sqref="D64 D66 D67 D68 E80" showDropDown="0" showInputMessage="0" showErrorMessage="1" allowBlank="0" error="Choose 0 or 1" type="list">
      <formula1>"0,1"</formula1>
    </dataValidation>
  </dataValidations>
  <pageMargins left="0.75" right="0.75" top="1" bottom="1" header="0.5" footer="0.5"/>
</worksheet>
</file>

<file path=xl/worksheets/sheet14.xml><?xml version="1.0" encoding="utf-8"?>
<worksheet xmlns="http://schemas.openxmlformats.org/spreadsheetml/2006/main">
  <sheetPr>
    <tabColor rgb="FF7030A0"/>
    <outlinePr summaryBelow="1" summaryRight="1"/>
    <pageSetUpPr/>
  </sheetPr>
  <dimension ref="B1:U68"/>
  <sheetViews>
    <sheetView showGridLines="0" zoomScale="90" workbookViewId="0">
      <pane xSplit="3" ySplit="5" topLeftCell="D6"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2.5" customWidth="1" style="392" min="1" max="1"/>
    <col width="56" customWidth="1" style="392" min="2" max="2"/>
    <col width="8" customWidth="1" style="392" min="3" max="3"/>
    <col width="13" customWidth="1" style="392" min="4" max="18"/>
    <col width="48" customWidth="1" style="392" min="19" max="19"/>
    <col width="46" customWidth="1" style="392" min="21" max="21"/>
  </cols>
  <sheetData>
    <row r="1" ht="17" customHeight="1" s="392">
      <c r="B1" s="269" t="inlineStr">
        <is>
          <t>E4 Aftermarket — repair-parts substitution to units and prices (thesis B)</t>
        </is>
      </c>
      <c r="C1" s="270" t="n"/>
      <c r="D1" s="270" t="n"/>
      <c r="E1" s="270" t="n"/>
      <c r="F1" s="270" t="n"/>
      <c r="G1" s="270" t="n"/>
      <c r="H1" s="270" t="n"/>
      <c r="I1" s="270" t="n"/>
      <c r="J1" s="270" t="n"/>
      <c r="K1" s="270" t="n"/>
      <c r="L1" s="270" t="n"/>
      <c r="M1" s="270" t="n"/>
      <c r="N1" s="270" t="n"/>
      <c r="O1" s="270" t="n"/>
      <c r="P1" s="270" t="n"/>
      <c r="Q1" s="270" t="n"/>
      <c r="R1" s="270" t="n"/>
      <c r="S1" s="270" t="n"/>
    </row>
    <row r="2">
      <c r="B2" s="252" t="inlineStr">
        <is>
          <t>Bill saving = e × [Σ_s (q_s + Δq_s) p_s ÷ Σ_s q_s p_s − 1];  Δ total-loss units = η × bill saving;  Δ price scaled from the engine's endpoint.  Every coefficient here is ASSUMED or ENGINE-derived.  Appendix A, Eq. 6.</t>
        </is>
      </c>
    </row>
    <row r="4">
      <c r="C4" s="277" t="inlineStr">
        <is>
          <t>Units</t>
        </is>
      </c>
      <c r="D4" s="405" t="inlineStr">
        <is>
          <t>Historicals</t>
        </is>
      </c>
      <c r="E4" s="377" t="n"/>
      <c r="F4" s="377" t="n"/>
      <c r="G4" s="377" t="n"/>
      <c r="H4" s="405" t="inlineStr">
        <is>
          <t>Projected</t>
        </is>
      </c>
      <c r="I4" s="377" t="n"/>
      <c r="J4" s="377" t="n"/>
      <c r="K4" s="377" t="n"/>
      <c r="L4" s="377" t="n"/>
      <c r="M4" s="377" t="n"/>
      <c r="N4" s="377" t="n"/>
      <c r="O4" s="377" t="n"/>
      <c r="S4" s="278" t="inlineStr">
        <is>
          <t>Notes / sources</t>
        </is>
      </c>
    </row>
    <row r="5">
      <c r="B5" s="246" t="inlineStr">
        <is>
          <t>A. Sourcing path: cumulative shift of eligible-basket quantity into aftermarket (points of the basket)</t>
        </is>
      </c>
      <c r="C5" s="247" t="n"/>
      <c r="D5" s="248" t="inlineStr">
        <is>
          <t>FQ1 FY26A</t>
        </is>
      </c>
      <c r="E5" s="248" t="inlineStr">
        <is>
          <t>FQ2 FY26A</t>
        </is>
      </c>
      <c r="F5" s="248" t="inlineStr">
        <is>
          <t>FQ3 FY26A</t>
        </is>
      </c>
      <c r="G5" s="248" t="inlineStr">
        <is>
          <t>FQ4 FY26A</t>
        </is>
      </c>
      <c r="H5" s="248" t="inlineStr">
        <is>
          <t>FQ1 FY27E</t>
        </is>
      </c>
      <c r="I5" s="248" t="inlineStr">
        <is>
          <t>FQ2 FY27E</t>
        </is>
      </c>
      <c r="J5" s="248" t="inlineStr">
        <is>
          <t>FQ3 FY27E</t>
        </is>
      </c>
      <c r="K5" s="248" t="inlineStr">
        <is>
          <t>FQ4 FY27E</t>
        </is>
      </c>
      <c r="L5" s="248" t="inlineStr">
        <is>
          <t>FQ1 FY28E</t>
        </is>
      </c>
      <c r="M5" s="248" t="inlineStr">
        <is>
          <t>FQ2 FY28E</t>
        </is>
      </c>
      <c r="N5" s="248" t="inlineStr">
        <is>
          <t>FQ3 FY28E</t>
        </is>
      </c>
      <c r="O5" s="248" t="inlineStr">
        <is>
          <t>FQ4 FY28E</t>
        </is>
      </c>
      <c r="P5" s="248" t="inlineStr">
        <is>
          <t>FY26A</t>
        </is>
      </c>
      <c r="Q5" s="248" t="inlineStr">
        <is>
          <t>FY27E</t>
        </is>
      </c>
      <c r="R5" s="248" t="inlineStr">
        <is>
          <t>FY28E</t>
        </is>
      </c>
      <c r="S5" s="247" t="n"/>
    </row>
    <row r="7">
      <c r="B7" s="254" t="inlineStr">
        <is>
          <t>OEM → aftermarket</t>
        </is>
      </c>
      <c r="C7" s="279" t="inlineStr">
        <is>
          <t>pts</t>
        </is>
      </c>
      <c r="D7" s="463">
        <f>IF($F$64=1,$D$65*0,$D$54*MIN(0,4))</f>
        <v/>
      </c>
      <c r="E7" s="463">
        <f>IF($F$64=1,$D$65*0,$D$54*MIN(0,4))</f>
        <v/>
      </c>
      <c r="F7" s="463">
        <f>IF($F$64=1,$D$65*0,$D$54*MIN(0,4))</f>
        <v/>
      </c>
      <c r="G7" s="463">
        <f>IF($F$64=1,$D$65*0,$D$54*MIN(0,4))</f>
        <v/>
      </c>
      <c r="H7" s="463">
        <f>IF($F$64=1,$D$65*1,$D$54*MIN(1,4))</f>
        <v/>
      </c>
      <c r="I7" s="463">
        <f>IF($F$64=1,$D$65*2,$D$54*MIN(2,4))</f>
        <v/>
      </c>
      <c r="J7" s="463">
        <f>IF($F$64=1,$D$65*3,$D$54*MIN(3,4))</f>
        <v/>
      </c>
      <c r="K7" s="463">
        <f>IF($F$64=1,$D$65*4,$D$54*MIN(4,4))</f>
        <v/>
      </c>
      <c r="L7" s="463">
        <f>IF($F$64=1,$D$65*5,$D$54*MIN(5,4)*$D$56)</f>
        <v/>
      </c>
      <c r="M7" s="463">
        <f>IF($F$64=1,$D$65*6,$D$54*MIN(6,4)*$D$56)</f>
        <v/>
      </c>
      <c r="N7" s="463">
        <f>IF($F$64=1,$D$65*7,$D$54*MIN(7,4)*$D$56)</f>
        <v/>
      </c>
      <c r="O7" s="463">
        <f>IF($F$64=1,$D$65*8,$D$54*MIN(8,4)*$D$56)</f>
        <v/>
      </c>
      <c r="P7" s="282" t="inlineStr">
        <is>
          <t>–</t>
        </is>
      </c>
      <c r="Q7" s="282" t="inlineStr">
        <is>
          <t>–</t>
        </is>
      </c>
      <c r="R7" s="282" t="inlineStr">
        <is>
          <t>–</t>
        </is>
      </c>
      <c r="S7" s="252" t="inlineStr">
        <is>
          <t>Path selector (Inputs row 64): 1 = observed CCC trend, aftermarket dollar share +1.7 pts a year (21.0% → 22.7%, 2024→25, VERIFIED) continued; 2 = memo stress, 1 pt a quarter to a 4-pt endpoint (ASSUMED)</t>
        </is>
      </c>
    </row>
    <row r="8">
      <c r="B8" s="254" t="inlineStr">
        <is>
          <t>Recycled → aftermarket</t>
        </is>
      </c>
      <c r="C8" s="279" t="inlineStr">
        <is>
          <t>pts</t>
        </is>
      </c>
      <c r="D8" s="463">
        <f>IF($F$64=1,$D$66*0,$D$55*MIN(0,4))</f>
        <v/>
      </c>
      <c r="E8" s="463">
        <f>IF($F$64=1,$D$66*0,$D$55*MIN(0,4))</f>
        <v/>
      </c>
      <c r="F8" s="463">
        <f>IF($F$64=1,$D$66*0,$D$55*MIN(0,4))</f>
        <v/>
      </c>
      <c r="G8" s="463">
        <f>IF($F$64=1,$D$66*0,$D$55*MIN(0,4))</f>
        <v/>
      </c>
      <c r="H8" s="463">
        <f>IF($F$64=1,$D$66*1,$D$55*MIN(1,4))</f>
        <v/>
      </c>
      <c r="I8" s="463">
        <f>IF($F$64=1,$D$66*2,$D$55*MIN(2,4))</f>
        <v/>
      </c>
      <c r="J8" s="463">
        <f>IF($F$64=1,$D$66*3,$D$55*MIN(3,4))</f>
        <v/>
      </c>
      <c r="K8" s="463">
        <f>IF($F$64=1,$D$66*4,$D$55*MIN(4,4))</f>
        <v/>
      </c>
      <c r="L8" s="463">
        <f>IF($F$64=1,$D$66*5,$D$55*MIN(5,4)*$D$56)</f>
        <v/>
      </c>
      <c r="M8" s="463">
        <f>IF($F$64=1,$D$66*6,$D$55*MIN(6,4)*$D$56)</f>
        <v/>
      </c>
      <c r="N8" s="463">
        <f>IF($F$64=1,$D$66*7,$D$55*MIN(7,4)*$D$56)</f>
        <v/>
      </c>
      <c r="O8" s="463">
        <f>IF($F$64=1,$D$66*8,$D$55*MIN(8,4)*$D$56)</f>
        <v/>
      </c>
      <c r="P8" s="282" t="inlineStr">
        <is>
          <t>–</t>
        </is>
      </c>
      <c r="Q8" s="282" t="inlineStr">
        <is>
          <t>–</t>
        </is>
      </c>
      <c r="R8" s="282" t="inlineStr">
        <is>
          <t>–</t>
        </is>
      </c>
      <c r="S8" s="252" t="inlineStr">
        <is>
          <t>Observed: recycled dollar share fell 0.2 pt a year (10.7% → 10.5%, CCC, VERIFIED) continued; stress: 0.375 pt a quarter (ASSUMED). LKQ FY2025 10-K: most recycled inventory comes from third-party salvage auctions and limited salvage supply could raise its costs over time (VERIFIED counter-evidence)</t>
        </is>
      </c>
    </row>
    <row r="9">
      <c r="B9" s="254" t="inlineStr">
        <is>
          <t>Aftermarket price relative to OEM, drifting: p_AM × (1 + drift)^(years since FQ4 FY26)</t>
        </is>
      </c>
      <c r="C9" s="279" t="inlineStr">
        <is>
          <t>x</t>
        </is>
      </c>
      <c r="D9" s="265">
        <f>$D$50*(1+$D$68)^(0/4)</f>
        <v/>
      </c>
      <c r="E9" s="265">
        <f>$D$50*(1+$D$68)^(0/4)</f>
        <v/>
      </c>
      <c r="F9" s="265">
        <f>$D$50*(1+$D$68)^(0/4)</f>
        <v/>
      </c>
      <c r="G9" s="265">
        <f>$D$50*(1+$D$68)^(0/4)</f>
        <v/>
      </c>
      <c r="H9" s="265">
        <f>$D$50*(1+$D$68)^(1/4)</f>
        <v/>
      </c>
      <c r="I9" s="265">
        <f>$D$50*(1+$D$68)^(2/4)</f>
        <v/>
      </c>
      <c r="J9" s="265">
        <f>$D$50*(1+$D$68)^(3/4)</f>
        <v/>
      </c>
      <c r="K9" s="265">
        <f>$D$50*(1+$D$68)^(4/4)</f>
        <v/>
      </c>
      <c r="L9" s="265">
        <f>$D$50*(1+$D$68)^(5/4)</f>
        <v/>
      </c>
      <c r="M9" s="265">
        <f>$D$50*(1+$D$68)^(6/4)</f>
        <v/>
      </c>
      <c r="N9" s="265">
        <f>$D$50*(1+$D$68)^(7/4)</f>
        <v/>
      </c>
      <c r="O9" s="265">
        <f>$D$50*(1+$D$68)^(8/4)</f>
        <v/>
      </c>
      <c r="P9" s="282" t="inlineStr">
        <is>
          <t>–</t>
        </is>
      </c>
      <c r="Q9" s="282" t="inlineStr">
        <is>
          <t>–</t>
        </is>
      </c>
      <c r="R9" s="282" t="inlineStr">
        <is>
          <t>–</t>
        </is>
      </c>
      <c r="S9" s="252" t="inlineStr">
        <is>
          <t>Drift = −(OEM inflation − aftermarket inflation) from PartsTrader (Inputs row 68); recycled stays at its anchor because it is priced off the OE list</t>
        </is>
      </c>
    </row>
    <row r="10">
      <c r="B10" s="271" t="inlineStr">
        <is>
          <t>B. Repair-cost channel</t>
        </is>
      </c>
      <c r="C10" s="272" t="n"/>
      <c r="D10" s="272" t="n"/>
      <c r="E10" s="272" t="n"/>
      <c r="F10" s="272" t="n"/>
      <c r="G10" s="272" t="n"/>
      <c r="H10" s="272" t="n"/>
      <c r="I10" s="272" t="n"/>
      <c r="J10" s="272" t="n"/>
      <c r="K10" s="272" t="n"/>
      <c r="L10" s="272" t="n"/>
      <c r="M10" s="272" t="n"/>
      <c r="N10" s="272" t="n"/>
      <c r="O10" s="272" t="n"/>
      <c r="P10" s="272" t="n"/>
      <c r="Q10" s="272" t="n"/>
      <c r="R10" s="272" t="n"/>
      <c r="S10" s="272" t="n"/>
    </row>
    <row r="11">
      <c r="B11" s="254" t="inlineStr">
        <is>
          <t>Eligible-basket cost index, before the shift  (Σ q_s p_s)</t>
        </is>
      </c>
      <c r="C11" s="279" t="inlineStr">
        <is>
          <t>x</t>
        </is>
      </c>
      <c r="D11" s="463">
        <f>$D$46*$D$49+$D$47*$D$50+$D$48*$D$51</f>
        <v/>
      </c>
      <c r="E11" s="463">
        <f>$D$46*$D$49+$D$47*$D$50+$D$48*$D$51</f>
        <v/>
      </c>
      <c r="F11" s="463">
        <f>$D$46*$D$49+$D$47*$D$50+$D$48*$D$51</f>
        <v/>
      </c>
      <c r="G11" s="463">
        <f>$D$46*$D$49+$D$47*$D$50+$D$48*$D$51</f>
        <v/>
      </c>
      <c r="H11" s="463">
        <f>$D$46*$D$49+$D$47*$D$50+$D$48*$D$51</f>
        <v/>
      </c>
      <c r="I11" s="463">
        <f>$D$46*$D$49+$D$47*$D$50+$D$48*$D$51</f>
        <v/>
      </c>
      <c r="J11" s="463">
        <f>$D$46*$D$49+$D$47*$D$50+$D$48*$D$51</f>
        <v/>
      </c>
      <c r="K11" s="463">
        <f>$D$46*$D$49+$D$47*$D$50+$D$48*$D$51</f>
        <v/>
      </c>
      <c r="L11" s="463">
        <f>$D$46*$D$49+$D$47*$D$50+$D$48*$D$51</f>
        <v/>
      </c>
      <c r="M11" s="463">
        <f>$D$46*$D$49+$D$47*$D$50+$D$48*$D$51</f>
        <v/>
      </c>
      <c r="N11" s="463">
        <f>$D$46*$D$49+$D$47*$D$50+$D$48*$D$51</f>
        <v/>
      </c>
      <c r="O11" s="463">
        <f>$D$46*$D$49+$D$47*$D$50+$D$48*$D$51</f>
        <v/>
      </c>
      <c r="P11" s="282" t="inlineStr">
        <is>
          <t>–</t>
        </is>
      </c>
      <c r="Q11" s="282" t="inlineStr">
        <is>
          <t>–</t>
        </is>
      </c>
      <c r="R11" s="282" t="inlineStr">
        <is>
          <t>–</t>
        </is>
      </c>
    </row>
    <row r="12">
      <c r="B12" s="254" t="inlineStr">
        <is>
          <t>Eligible-basket cost index, after the shift</t>
        </is>
      </c>
      <c r="C12" s="279" t="inlineStr">
        <is>
          <t>x</t>
        </is>
      </c>
      <c r="D12" s="463">
        <f>($D$46-D7)*$D$49+($D$47+D7+D8)*D9+($D$48-D8)*$D$51</f>
        <v/>
      </c>
      <c r="E12" s="463">
        <f>($D$46-E7)*$D$49+($D$47+E7+E8)*E9+($D$48-E8)*$D$51</f>
        <v/>
      </c>
      <c r="F12" s="463">
        <f>($D$46-F7)*$D$49+($D$47+F7+F8)*F9+($D$48-F8)*$D$51</f>
        <v/>
      </c>
      <c r="G12" s="463">
        <f>($D$46-G7)*$D$49+($D$47+G7+G8)*G9+($D$48-G8)*$D$51</f>
        <v/>
      </c>
      <c r="H12" s="463">
        <f>($D$46-H7)*$D$49+($D$47+H7+H8)*H9+($D$48-H8)*$D$51</f>
        <v/>
      </c>
      <c r="I12" s="463">
        <f>($D$46-I7)*$D$49+($D$47+I7+I8)*I9+($D$48-I8)*$D$51</f>
        <v/>
      </c>
      <c r="J12" s="463">
        <f>($D$46-J7)*$D$49+($D$47+J7+J8)*J9+($D$48-J8)*$D$51</f>
        <v/>
      </c>
      <c r="K12" s="463">
        <f>($D$46-K7)*$D$49+($D$47+K7+K8)*K9+($D$48-K8)*$D$51</f>
        <v/>
      </c>
      <c r="L12" s="463">
        <f>($D$46-L7)*$D$49+($D$47+L7+L8)*L9+($D$48-L8)*$D$51</f>
        <v/>
      </c>
      <c r="M12" s="463">
        <f>($D$46-M7)*$D$49+($D$47+M7+M8)*M9+($D$48-M8)*$D$51</f>
        <v/>
      </c>
      <c r="N12" s="463">
        <f>($D$46-N7)*$D$49+($D$47+N7+N8)*N9+($D$48-N8)*$D$51</f>
        <v/>
      </c>
      <c r="O12" s="463">
        <f>($D$46-O7)*$D$49+($D$47+O7+O8)*O9+($D$48-O8)*$D$51</f>
        <v/>
      </c>
      <c r="P12" s="282" t="inlineStr">
        <is>
          <t>–</t>
        </is>
      </c>
      <c r="Q12" s="282" t="inlineStr">
        <is>
          <t>–</t>
        </is>
      </c>
      <c r="R12" s="282" t="inlineStr">
        <is>
          <t>–</t>
        </is>
      </c>
    </row>
    <row r="13">
      <c r="B13" s="274" t="inlineStr">
        <is>
          <t xml:space="preserve">   basket relative cost change</t>
        </is>
      </c>
      <c r="C13" s="279" t="inlineStr">
        <is>
          <t>%</t>
        </is>
      </c>
      <c r="D13" s="347">
        <f>D12/D11-1</f>
        <v/>
      </c>
      <c r="E13" s="347">
        <f>E12/E11-1</f>
        <v/>
      </c>
      <c r="F13" s="347">
        <f>F12/F11-1</f>
        <v/>
      </c>
      <c r="G13" s="347">
        <f>G12/G11-1</f>
        <v/>
      </c>
      <c r="H13" s="347">
        <f>H12/H11-1</f>
        <v/>
      </c>
      <c r="I13" s="347">
        <f>I12/I11-1</f>
        <v/>
      </c>
      <c r="J13" s="347">
        <f>J12/J11-1</f>
        <v/>
      </c>
      <c r="K13" s="347">
        <f>K12/K11-1</f>
        <v/>
      </c>
      <c r="L13" s="347">
        <f>L12/L11-1</f>
        <v/>
      </c>
      <c r="M13" s="347">
        <f>M12/M11-1</f>
        <v/>
      </c>
      <c r="N13" s="347">
        <f>N12/N11-1</f>
        <v/>
      </c>
      <c r="O13" s="347">
        <f>O12/O11-1</f>
        <v/>
      </c>
      <c r="P13" s="282" t="inlineStr">
        <is>
          <t>–</t>
        </is>
      </c>
      <c r="Q13" s="282" t="inlineStr">
        <is>
          <t>–</t>
        </is>
      </c>
      <c r="R13" s="282" t="inlineStr">
        <is>
          <t>–</t>
        </is>
      </c>
    </row>
    <row r="14">
      <c r="B14" s="249" t="inlineStr">
        <is>
          <t>Complete repair-bill change  (× eligible share e)</t>
        </is>
      </c>
      <c r="C14" s="279" t="inlineStr">
        <is>
          <t>%</t>
        </is>
      </c>
      <c r="D14" s="323">
        <f>$D$45*D13</f>
        <v/>
      </c>
      <c r="E14" s="323">
        <f>$D$45*E13</f>
        <v/>
      </c>
      <c r="F14" s="323">
        <f>$D$45*F13</f>
        <v/>
      </c>
      <c r="G14" s="323">
        <f>$D$45*G13</f>
        <v/>
      </c>
      <c r="H14" s="323">
        <f>$D$45*H13</f>
        <v/>
      </c>
      <c r="I14" s="323">
        <f>$D$45*I13</f>
        <v/>
      </c>
      <c r="J14" s="323">
        <f>$D$45*J13</f>
        <v/>
      </c>
      <c r="K14" s="323">
        <f>$D$45*K13</f>
        <v/>
      </c>
      <c r="L14" s="323">
        <f>$D$45*L13</f>
        <v/>
      </c>
      <c r="M14" s="323">
        <f>$D$45*M13</f>
        <v/>
      </c>
      <c r="N14" s="323">
        <f>$D$45*N13</f>
        <v/>
      </c>
      <c r="O14" s="323">
        <f>$D$45*O13</f>
        <v/>
      </c>
      <c r="P14" s="282" t="inlineStr">
        <is>
          <t>–</t>
        </is>
      </c>
      <c r="Q14" s="282" t="inlineStr">
        <is>
          <t>–</t>
        </is>
      </c>
      <c r="R14" s="282" t="inlineStr">
        <is>
          <t>–</t>
        </is>
      </c>
    </row>
    <row r="15">
      <c r="B15" s="249" t="inlineStr">
        <is>
          <t>Change in total-loss units, relative  (η × bill change)</t>
        </is>
      </c>
      <c r="C15" s="279" t="inlineStr">
        <is>
          <t>%</t>
        </is>
      </c>
      <c r="D15" s="323">
        <f>$D$61*D14</f>
        <v/>
      </c>
      <c r="E15" s="323">
        <f>$D$61*E14</f>
        <v/>
      </c>
      <c r="F15" s="323">
        <f>$D$61*F14</f>
        <v/>
      </c>
      <c r="G15" s="323">
        <f>$D$61*G14</f>
        <v/>
      </c>
      <c r="H15" s="323">
        <f>$D$61*H14</f>
        <v/>
      </c>
      <c r="I15" s="323">
        <f>$D$61*I14</f>
        <v/>
      </c>
      <c r="J15" s="323">
        <f>$D$61*J14</f>
        <v/>
      </c>
      <c r="K15" s="323">
        <f>$D$61*K14</f>
        <v/>
      </c>
      <c r="L15" s="323">
        <f>$D$61*L14</f>
        <v/>
      </c>
      <c r="M15" s="323">
        <f>$D$61*M14</f>
        <v/>
      </c>
      <c r="N15" s="323">
        <f>$D$61*N14</f>
        <v/>
      </c>
      <c r="O15" s="323">
        <f>$D$61*O14</f>
        <v/>
      </c>
      <c r="P15" s="282" t="inlineStr">
        <is>
          <t>–</t>
        </is>
      </c>
      <c r="Q15" s="282" t="inlineStr">
        <is>
          <t>–</t>
        </is>
      </c>
      <c r="R15" s="282" t="inlineStr">
        <is>
          <t>–</t>
        </is>
      </c>
      <c r="S15" s="252" t="inlineStr">
        <is>
          <t>η is the engine's implied selection response per 1% of bill: FY unit delta ÷ repair change in the larger-shift case (ENGINE-derived, Inputs row 61)</t>
        </is>
      </c>
    </row>
    <row r="17">
      <c r="B17" s="271" t="inlineStr">
        <is>
          <t>C. Donor-bid channel (recycled displacement → dismantler bids → marginal auction price)</t>
        </is>
      </c>
      <c r="C17" s="272" t="n"/>
      <c r="D17" s="272" t="n"/>
      <c r="E17" s="272" t="n"/>
      <c r="F17" s="272" t="n"/>
      <c r="G17" s="272" t="n"/>
      <c r="H17" s="272" t="n"/>
      <c r="I17" s="272" t="n"/>
      <c r="J17" s="272" t="n"/>
      <c r="K17" s="272" t="n"/>
      <c r="L17" s="272" t="n"/>
      <c r="M17" s="272" t="n"/>
      <c r="N17" s="272" t="n"/>
      <c r="O17" s="272" t="n"/>
      <c r="P17" s="272" t="n"/>
      <c r="Q17" s="272" t="n"/>
      <c r="R17" s="272" t="n"/>
      <c r="S17" s="272" t="n"/>
    </row>
    <row r="18">
      <c r="B18" s="254" t="inlineStr">
        <is>
          <t>Recycled quantity displaced, relative to the recycled share</t>
        </is>
      </c>
      <c r="C18" s="279" t="inlineStr">
        <is>
          <t>%</t>
        </is>
      </c>
      <c r="D18" s="308">
        <f>D8/$D$48</f>
        <v/>
      </c>
      <c r="E18" s="308">
        <f>E8/$D$48</f>
        <v/>
      </c>
      <c r="F18" s="308">
        <f>F8/$D$48</f>
        <v/>
      </c>
      <c r="G18" s="308">
        <f>G8/$D$48</f>
        <v/>
      </c>
      <c r="H18" s="308">
        <f>H8/$D$48</f>
        <v/>
      </c>
      <c r="I18" s="308">
        <f>I8/$D$48</f>
        <v/>
      </c>
      <c r="J18" s="308">
        <f>J8/$D$48</f>
        <v/>
      </c>
      <c r="K18" s="308">
        <f>K8/$D$48</f>
        <v/>
      </c>
      <c r="L18" s="308">
        <f>L8/$D$48</f>
        <v/>
      </c>
      <c r="M18" s="308">
        <f>M8/$D$48</f>
        <v/>
      </c>
      <c r="N18" s="308">
        <f>N8/$D$48</f>
        <v/>
      </c>
      <c r="O18" s="308">
        <f>O8/$D$48</f>
        <v/>
      </c>
      <c r="P18" s="282" t="inlineStr">
        <is>
          <t>–</t>
        </is>
      </c>
      <c r="Q18" s="282" t="inlineStr">
        <is>
          <t>–</t>
        </is>
      </c>
      <c r="R18" s="282" t="inlineStr">
        <is>
          <t>–</t>
        </is>
      </c>
    </row>
    <row r="19">
      <c r="B19" s="274" t="inlineStr">
        <is>
          <t>Recycler-only bid change  (−τ × κ × x × displacement; reduced form)</t>
        </is>
      </c>
      <c r="C19" s="279" t="inlineStr">
        <is>
          <t>%</t>
        </is>
      </c>
      <c r="D19" s="347">
        <f>-$D$52*$D$53*$D$57*D18</f>
        <v/>
      </c>
      <c r="E19" s="347">
        <f>-$D$52*$D$53*$D$57*E18</f>
        <v/>
      </c>
      <c r="F19" s="347">
        <f>-$D$52*$D$53*$D$57*F18</f>
        <v/>
      </c>
      <c r="G19" s="347">
        <f>-$D$52*$D$53*$D$57*G18</f>
        <v/>
      </c>
      <c r="H19" s="347">
        <f>-$D$52*$D$53*$D$57*H18</f>
        <v/>
      </c>
      <c r="I19" s="347">
        <f>-$D$52*$D$53*$D$57*I18</f>
        <v/>
      </c>
      <c r="J19" s="347">
        <f>-$D$52*$D$53*$D$57*J18</f>
        <v/>
      </c>
      <c r="K19" s="347">
        <f>-$D$52*$D$53*$D$57*K18</f>
        <v/>
      </c>
      <c r="L19" s="347">
        <f>-$D$52*$D$53*$D$57*L18</f>
        <v/>
      </c>
      <c r="M19" s="347">
        <f>-$D$52*$D$53*$D$57*M18</f>
        <v/>
      </c>
      <c r="N19" s="347">
        <f>-$D$52*$D$53*$D$57*N18</f>
        <v/>
      </c>
      <c r="O19" s="347">
        <f>-$D$52*$D$53*$D$57*O18</f>
        <v/>
      </c>
      <c r="P19" s="282" t="inlineStr">
        <is>
          <t>–</t>
        </is>
      </c>
      <c r="Q19" s="282" t="inlineStr">
        <is>
          <t>–</t>
        </is>
      </c>
      <c r="R19" s="282" t="inlineStr">
        <is>
          <t>–</t>
        </is>
      </c>
      <c r="S19" s="252" t="inlineStr">
        <is>
          <t>Intuition row only; the engine also includes rebuilder benefit and donor scarcity</t>
        </is>
      </c>
    </row>
    <row r="20">
      <c r="B20" s="254" t="inlineStr">
        <is>
          <t>Engine net auction-price change at the 5.5-point endpoint (fixed selection)</t>
        </is>
      </c>
      <c r="C20" s="279" t="inlineStr">
        <is>
          <t>%</t>
        </is>
      </c>
      <c r="D20" s="268">
        <f>SUMIFS('D Engine'!$D$98:$D$102,'D Engine'!$B$98:$B$102,"ccc_larger_shift")</f>
        <v/>
      </c>
      <c r="E20" s="268">
        <f>SUMIFS('D Engine'!$D$98:$D$102,'D Engine'!$B$98:$B$102,"ccc_larger_shift")</f>
        <v/>
      </c>
      <c r="F20" s="268">
        <f>SUMIFS('D Engine'!$D$98:$D$102,'D Engine'!$B$98:$B$102,"ccc_larger_shift")</f>
        <v/>
      </c>
      <c r="G20" s="268">
        <f>SUMIFS('D Engine'!$D$98:$D$102,'D Engine'!$B$98:$B$102,"ccc_larger_shift")</f>
        <v/>
      </c>
      <c r="H20" s="268">
        <f>SUMIFS('D Engine'!$D$98:$D$102,'D Engine'!$B$98:$B$102,"ccc_larger_shift")</f>
        <v/>
      </c>
      <c r="I20" s="268">
        <f>SUMIFS('D Engine'!$D$98:$D$102,'D Engine'!$B$98:$B$102,"ccc_larger_shift")</f>
        <v/>
      </c>
      <c r="J20" s="268">
        <f>SUMIFS('D Engine'!$D$98:$D$102,'D Engine'!$B$98:$B$102,"ccc_larger_shift")</f>
        <v/>
      </c>
      <c r="K20" s="268">
        <f>SUMIFS('D Engine'!$D$98:$D$102,'D Engine'!$B$98:$B$102,"ccc_larger_shift")</f>
        <v/>
      </c>
      <c r="L20" s="268">
        <f>SUMIFS('D Engine'!$D$98:$D$102,'D Engine'!$B$98:$B$102,"ccc_larger_shift")</f>
        <v/>
      </c>
      <c r="M20" s="268">
        <f>SUMIFS('D Engine'!$D$98:$D$102,'D Engine'!$B$98:$B$102,"ccc_larger_shift")</f>
        <v/>
      </c>
      <c r="N20" s="268">
        <f>SUMIFS('D Engine'!$D$98:$D$102,'D Engine'!$B$98:$B$102,"ccc_larger_shift")</f>
        <v/>
      </c>
      <c r="O20" s="268">
        <f>SUMIFS('D Engine'!$D$98:$D$102,'D Engine'!$B$98:$B$102,"ccc_larger_shift")</f>
        <v/>
      </c>
      <c r="P20" s="282" t="inlineStr">
        <is>
          <t>–</t>
        </is>
      </c>
      <c r="Q20" s="282" t="inlineStr">
        <is>
          <t>–</t>
        </is>
      </c>
      <c r="R20" s="282" t="inlineStr">
        <is>
          <t>–</t>
        </is>
      </c>
      <c r="S20" s="252" t="inlineStr">
        <is>
          <t>ENGINE: D Engine CCC scenario summary, ccc_larger_shift auction_price_change_at_fixed_selection</t>
        </is>
      </c>
    </row>
    <row r="21">
      <c r="B21" s="249" t="inlineStr">
        <is>
          <t>Auction-price change, scaled to the quarter's displacement</t>
        </is>
      </c>
      <c r="C21" s="279" t="inlineStr">
        <is>
          <t>%</t>
        </is>
      </c>
      <c r="D21" s="323">
        <f>D20*D18/($D$58/$D$48)</f>
        <v/>
      </c>
      <c r="E21" s="323">
        <f>E20*E18/($D$58/$D$48)</f>
        <v/>
      </c>
      <c r="F21" s="323">
        <f>F20*F18/($D$58/$D$48)</f>
        <v/>
      </c>
      <c r="G21" s="323">
        <f>G20*G18/($D$58/$D$48)</f>
        <v/>
      </c>
      <c r="H21" s="323">
        <f>H20*H18/($D$58/$D$48)</f>
        <v/>
      </c>
      <c r="I21" s="323">
        <f>I20*I18/($D$58/$D$48)</f>
        <v/>
      </c>
      <c r="J21" s="323">
        <f>J20*J18/($D$58/$D$48)</f>
        <v/>
      </c>
      <c r="K21" s="323">
        <f>K20*K18/($D$58/$D$48)</f>
        <v/>
      </c>
      <c r="L21" s="323">
        <f>L20*L18/($D$58/$D$48)</f>
        <v/>
      </c>
      <c r="M21" s="323">
        <f>M20*M18/($D$58/$D$48)</f>
        <v/>
      </c>
      <c r="N21" s="323">
        <f>N20*N18/($D$58/$D$48)</f>
        <v/>
      </c>
      <c r="O21" s="323">
        <f>O20*O18/($D$58/$D$48)</f>
        <v/>
      </c>
      <c r="P21" s="282" t="inlineStr">
        <is>
          <t>–</t>
        </is>
      </c>
      <c r="Q21" s="282" t="inlineStr">
        <is>
          <t>–</t>
        </is>
      </c>
      <c r="R21" s="282" t="inlineStr">
        <is>
          <t>–</t>
        </is>
      </c>
      <c r="S21" s="252" t="inlineStr">
        <is>
          <t>ASSUMED linear scaling from the endpoint</t>
        </is>
      </c>
    </row>
    <row r="23">
      <c r="B23" s="271" t="inlineStr">
        <is>
          <t>D. Parity with the Python engine (1 Oct package): aftermarket added to the saved reference, FY27 quarters</t>
        </is>
      </c>
      <c r="C23" s="272" t="n"/>
      <c r="D23" s="272" t="n"/>
      <c r="E23" s="272" t="n"/>
      <c r="F23" s="272" t="n"/>
      <c r="G23" s="272" t="n"/>
      <c r="H23" s="272" t="n"/>
      <c r="I23" s="272" t="n"/>
      <c r="J23" s="272" t="n"/>
      <c r="K23" s="272" t="n"/>
      <c r="L23" s="272" t="n"/>
      <c r="M23" s="272" t="n"/>
      <c r="N23" s="272" t="n"/>
      <c r="O23" s="272" t="n"/>
      <c r="P23" s="272" t="n"/>
      <c r="Q23" s="272" t="n"/>
      <c r="R23" s="272" t="n"/>
      <c r="S23" s="272" t="n"/>
    </row>
    <row r="24">
      <c r="B24" s="254" t="inlineStr">
        <is>
          <t>Engine service revenue, reference (mask 10 = premium recovery + fleet mix)</t>
        </is>
      </c>
      <c r="C24" s="279" t="inlineStr">
        <is>
          <t>$M</t>
        </is>
      </c>
      <c r="D24" s="282" t="inlineStr">
        <is>
          <t>–</t>
        </is>
      </c>
      <c r="E24" s="282" t="inlineStr">
        <is>
          <t>–</t>
        </is>
      </c>
      <c r="F24" s="282" t="inlineStr">
        <is>
          <t>–</t>
        </is>
      </c>
      <c r="G24" s="282" t="inlineStr">
        <is>
          <t>–</t>
        </is>
      </c>
      <c r="H24" s="276">
        <f>SUMIFS('D Engine'!$E$31:$E$94,'D Engine'!$B$31:$B$94,10,'D Engine'!$D$31:$D$94,"FY2027Q1")</f>
        <v/>
      </c>
      <c r="I24" s="276">
        <f>SUMIFS('D Engine'!$E$31:$E$94,'D Engine'!$B$31:$B$94,10,'D Engine'!$D$31:$D$94,"FY2027Q2")</f>
        <v/>
      </c>
      <c r="J24" s="276">
        <f>SUMIFS('D Engine'!$E$31:$E$94,'D Engine'!$B$31:$B$94,10,'D Engine'!$D$31:$D$94,"FY2027Q3")</f>
        <v/>
      </c>
      <c r="K24" s="276">
        <f>SUMIFS('D Engine'!$E$31:$E$94,'D Engine'!$B$31:$B$94,10,'D Engine'!$D$31:$D$94,"FY2027Q4")</f>
        <v/>
      </c>
      <c r="L24" s="282" t="inlineStr">
        <is>
          <t>–</t>
        </is>
      </c>
      <c r="M24" s="282" t="inlineStr">
        <is>
          <t>–</t>
        </is>
      </c>
      <c r="N24" s="282" t="inlineStr">
        <is>
          <t>–</t>
        </is>
      </c>
      <c r="O24" s="282" t="inlineStr">
        <is>
          <t>–</t>
        </is>
      </c>
      <c r="P24" s="282" t="inlineStr">
        <is>
          <t>–</t>
        </is>
      </c>
      <c r="Q24" s="282" t="inlineStr">
        <is>
          <t>–</t>
        </is>
      </c>
      <c r="R24" s="282" t="inlineStr">
        <is>
          <t>–</t>
        </is>
      </c>
    </row>
    <row r="25">
      <c r="B25" s="254" t="inlineStr">
        <is>
          <t>Engine service revenue, reference + aftermarket (mask 14)</t>
        </is>
      </c>
      <c r="C25" s="279" t="inlineStr">
        <is>
          <t>$M</t>
        </is>
      </c>
      <c r="D25" s="282" t="inlineStr">
        <is>
          <t>–</t>
        </is>
      </c>
      <c r="E25" s="282" t="inlineStr">
        <is>
          <t>–</t>
        </is>
      </c>
      <c r="F25" s="282" t="inlineStr">
        <is>
          <t>–</t>
        </is>
      </c>
      <c r="G25" s="282" t="inlineStr">
        <is>
          <t>–</t>
        </is>
      </c>
      <c r="H25" s="276">
        <f>SUMIFS('D Engine'!$E$31:$E$94,'D Engine'!$B$31:$B$94,14,'D Engine'!$D$31:$D$94,"FY2027Q1")</f>
        <v/>
      </c>
      <c r="I25" s="276">
        <f>SUMIFS('D Engine'!$E$31:$E$94,'D Engine'!$B$31:$B$94,14,'D Engine'!$D$31:$D$94,"FY2027Q2")</f>
        <v/>
      </c>
      <c r="J25" s="276">
        <f>SUMIFS('D Engine'!$E$31:$E$94,'D Engine'!$B$31:$B$94,14,'D Engine'!$D$31:$D$94,"FY2027Q3")</f>
        <v/>
      </c>
      <c r="K25" s="276">
        <f>SUMIFS('D Engine'!$E$31:$E$94,'D Engine'!$B$31:$B$94,14,'D Engine'!$D$31:$D$94,"FY2027Q4")</f>
        <v/>
      </c>
      <c r="L25" s="282" t="inlineStr">
        <is>
          <t>–</t>
        </is>
      </c>
      <c r="M25" s="282" t="inlineStr">
        <is>
          <t>–</t>
        </is>
      </c>
      <c r="N25" s="282" t="inlineStr">
        <is>
          <t>–</t>
        </is>
      </c>
      <c r="O25" s="282" t="inlineStr">
        <is>
          <t>–</t>
        </is>
      </c>
      <c r="P25" s="282" t="inlineStr">
        <is>
          <t>–</t>
        </is>
      </c>
      <c r="Q25" s="282" t="inlineStr">
        <is>
          <t>–</t>
        </is>
      </c>
      <c r="R25" s="282" t="inlineStr">
        <is>
          <t>–</t>
        </is>
      </c>
    </row>
    <row r="26">
      <c r="B26" s="249" t="inlineStr">
        <is>
          <t>Engine Δ service revenue from aftermarket</t>
        </is>
      </c>
      <c r="C26" s="279" t="inlineStr">
        <is>
          <t>$M</t>
        </is>
      </c>
      <c r="D26" s="282" t="inlineStr">
        <is>
          <t>–</t>
        </is>
      </c>
      <c r="E26" s="282" t="inlineStr">
        <is>
          <t>–</t>
        </is>
      </c>
      <c r="F26" s="282" t="inlineStr">
        <is>
          <t>–</t>
        </is>
      </c>
      <c r="G26" s="282" t="inlineStr">
        <is>
          <t>–</t>
        </is>
      </c>
      <c r="H26" s="287">
        <f>H25-H24</f>
        <v/>
      </c>
      <c r="I26" s="287">
        <f>I25-I24</f>
        <v/>
      </c>
      <c r="J26" s="287">
        <f>J25-J24</f>
        <v/>
      </c>
      <c r="K26" s="287">
        <f>K25-K24</f>
        <v/>
      </c>
      <c r="L26" s="282" t="inlineStr">
        <is>
          <t>–</t>
        </is>
      </c>
      <c r="M26" s="282" t="inlineStr">
        <is>
          <t>–</t>
        </is>
      </c>
      <c r="N26" s="282" t="inlineStr">
        <is>
          <t>–</t>
        </is>
      </c>
      <c r="O26" s="282" t="inlineStr">
        <is>
          <t>–</t>
        </is>
      </c>
      <c r="P26" s="282" t="inlineStr">
        <is>
          <t>–</t>
        </is>
      </c>
      <c r="Q26" s="287">
        <f>SUM(H26:K26)</f>
        <v/>
      </c>
      <c r="R26" s="282" t="inlineStr">
        <is>
          <t>–</t>
        </is>
      </c>
    </row>
    <row r="28">
      <c r="B28" s="274" t="inlineStr">
        <is>
          <t>Countercase to keep visible: zero recycled displacement (set Inputs row 55 to 0) removes the price channel and most of the paired downside; OEM-only displacement raised RPU slightly in the engine</t>
        </is>
      </c>
    </row>
    <row r="30">
      <c r="B30" s="254" t="inlineStr">
        <is>
          <t>Parity: the engine's assumed basket (65/25/10; prices 1/0.50/0.60; e 40%) at the 5.5-pt endpoint reproduces its documented 1.03% bill saving</t>
        </is>
      </c>
      <c r="C30" s="279" t="inlineStr">
        <is>
          <t>%</t>
        </is>
      </c>
      <c r="D30" s="323">
        <f>0.4*(((0.65-0.04)*1+(0.25+0.04+0.015)*0.5+(0.1-0.015)*0.6)/(0.65*1+0.25*0.5+0.1*0.6)-1)</f>
        <v/>
      </c>
      <c r="E30" s="308">
        <f>D30*$D$61</f>
        <v/>
      </c>
      <c r="F30" s="252" t="inlineStr">
        <is>
          <t>← bill change; unit change (η × bill change) vs engine −2.06%</t>
        </is>
      </c>
      <c r="G30" s="282" t="inlineStr">
        <is>
          <t>–</t>
        </is>
      </c>
      <c r="H30" s="282" t="inlineStr">
        <is>
          <t>–</t>
        </is>
      </c>
      <c r="I30" s="282" t="inlineStr">
        <is>
          <t>–</t>
        </is>
      </c>
      <c r="J30" s="282" t="inlineStr">
        <is>
          <t>–</t>
        </is>
      </c>
      <c r="K30" s="282" t="inlineStr">
        <is>
          <t>–</t>
        </is>
      </c>
      <c r="L30" s="282" t="inlineStr">
        <is>
          <t>–</t>
        </is>
      </c>
      <c r="M30" s="282" t="inlineStr">
        <is>
          <t>–</t>
        </is>
      </c>
      <c r="N30" s="282" t="inlineStr">
        <is>
          <t>–</t>
        </is>
      </c>
      <c r="O30" s="282" t="inlineStr">
        <is>
          <t>–</t>
        </is>
      </c>
      <c r="P30" s="282" t="inlineStr">
        <is>
          <t>–</t>
        </is>
      </c>
      <c r="Q30" s="282" t="inlineStr">
        <is>
          <t>–</t>
        </is>
      </c>
      <c r="R30" s="282" t="inlineStr">
        <is>
          <t>–</t>
        </is>
      </c>
      <c r="S30" s="252" t="inlineStr">
        <is>
          <t>ENGINE identity check of the formula structure with the engine's own inputs (model/aftermarket_bridge README)</t>
        </is>
      </c>
    </row>
    <row r="31">
      <c r="B31" s="254" t="inlineStr">
        <is>
          <t>Sourced basket at the same 5.5-pt stress endpoint (CCC dollar shares, Mitchell price, no drift)</t>
        </is>
      </c>
      <c r="C31" s="279" t="inlineStr">
        <is>
          <t>%</t>
        </is>
      </c>
      <c r="D31" s="323">
        <f>$D$45*((($D$46-4*$D$54)*$D$49+($D$47+4*$D$54+4*$D$55)*$D$50+($D$48-4*$D$55)*$D$51)/($D$46*$D$49+$D$47*$D$50+$D$48*$D$51)-1)</f>
        <v/>
      </c>
      <c r="E31" s="308">
        <f>D31*$D$61</f>
        <v/>
      </c>
      <c r="F31" s="282" t="inlineStr">
        <is>
          <t>–</t>
        </is>
      </c>
      <c r="G31" s="282" t="inlineStr">
        <is>
          <t>–</t>
        </is>
      </c>
      <c r="H31" s="282" t="inlineStr">
        <is>
          <t>–</t>
        </is>
      </c>
      <c r="I31" s="282" t="inlineStr">
        <is>
          <t>–</t>
        </is>
      </c>
      <c r="J31" s="282" t="inlineStr">
        <is>
          <t>–</t>
        </is>
      </c>
      <c r="K31" s="282" t="inlineStr">
        <is>
          <t>–</t>
        </is>
      </c>
      <c r="L31" s="282" t="inlineStr">
        <is>
          <t>–</t>
        </is>
      </c>
      <c r="M31" s="282" t="inlineStr">
        <is>
          <t>–</t>
        </is>
      </c>
      <c r="N31" s="282" t="inlineStr">
        <is>
          <t>–</t>
        </is>
      </c>
      <c r="O31" s="282" t="inlineStr">
        <is>
          <t>–</t>
        </is>
      </c>
      <c r="P31" s="282" t="inlineStr">
        <is>
          <t>–</t>
        </is>
      </c>
      <c r="Q31" s="282" t="inlineStr">
        <is>
          <t>–</t>
        </is>
      </c>
      <c r="R31" s="282" t="inlineStr">
        <is>
          <t>–</t>
        </is>
      </c>
      <c r="S31" s="252" t="inlineStr">
        <is>
          <t>The memo's stress case at anchor prices; with recycled equal to aftermarket the recycled→aftermarket slice is cost-neutral, so the saving is the OEM→aftermarket slice only</t>
        </is>
      </c>
    </row>
    <row r="38">
      <c r="B38" s="271" t="inlineStr">
        <is>
          <t>Outputs → other tabs (thesis B effects, always computed; Scenarios switches them on or off)</t>
        </is>
      </c>
      <c r="C38" s="272" t="n"/>
      <c r="D38" s="272" t="n"/>
      <c r="E38" s="272" t="n"/>
      <c r="F38" s="272" t="n"/>
      <c r="G38" s="272" t="n"/>
      <c r="H38" s="272" t="n"/>
      <c r="I38" s="272" t="n"/>
      <c r="J38" s="272" t="n"/>
      <c r="K38" s="272" t="n"/>
      <c r="L38" s="272" t="n"/>
      <c r="M38" s="272" t="n"/>
      <c r="N38" s="272" t="n"/>
      <c r="O38" s="272" t="n"/>
      <c r="P38" s="272" t="n"/>
      <c r="Q38" s="272" t="n"/>
      <c r="R38" s="272" t="n"/>
      <c r="S38" s="272" t="n"/>
    </row>
    <row r="40">
      <c r="B40" s="249" t="inlineStr">
        <is>
          <t>Δ total-loss units, relative  (→ E2 TLF cells, → Scenarios)</t>
        </is>
      </c>
      <c r="C40" s="279" t="inlineStr">
        <is>
          <t>%</t>
        </is>
      </c>
      <c r="D40" s="323">
        <f>D15</f>
        <v/>
      </c>
      <c r="E40" s="323">
        <f>E15</f>
        <v/>
      </c>
      <c r="F40" s="323">
        <f>F15</f>
        <v/>
      </c>
      <c r="G40" s="323">
        <f>G15</f>
        <v/>
      </c>
      <c r="H40" s="323">
        <f>H15</f>
        <v/>
      </c>
      <c r="I40" s="323">
        <f>I15</f>
        <v/>
      </c>
      <c r="J40" s="323">
        <f>J15</f>
        <v/>
      </c>
      <c r="K40" s="323">
        <f>K15</f>
        <v/>
      </c>
      <c r="L40" s="323">
        <f>L15</f>
        <v/>
      </c>
      <c r="M40" s="323">
        <f>M15</f>
        <v/>
      </c>
      <c r="N40" s="323">
        <f>N15</f>
        <v/>
      </c>
      <c r="O40" s="323">
        <f>O15</f>
        <v/>
      </c>
      <c r="P40" s="282" t="inlineStr">
        <is>
          <t>–</t>
        </is>
      </c>
      <c r="Q40" s="282" t="inlineStr">
        <is>
          <t>–</t>
        </is>
      </c>
      <c r="R40" s="282" t="inlineStr">
        <is>
          <t>–</t>
        </is>
      </c>
    </row>
    <row r="41">
      <c r="B41" s="249" t="inlineStr">
        <is>
          <t>Δ auction price, relative  (→ Scenarios ASP)</t>
        </is>
      </c>
      <c r="C41" s="279" t="inlineStr">
        <is>
          <t>%</t>
        </is>
      </c>
      <c r="D41" s="323">
        <f>D21</f>
        <v/>
      </c>
      <c r="E41" s="323">
        <f>E21</f>
        <v/>
      </c>
      <c r="F41" s="323">
        <f>F21</f>
        <v/>
      </c>
      <c r="G41" s="323">
        <f>G21</f>
        <v/>
      </c>
      <c r="H41" s="323">
        <f>H21</f>
        <v/>
      </c>
      <c r="I41" s="323">
        <f>I21</f>
        <v/>
      </c>
      <c r="J41" s="323">
        <f>J21</f>
        <v/>
      </c>
      <c r="K41" s="323">
        <f>K21</f>
        <v/>
      </c>
      <c r="L41" s="323">
        <f>L21</f>
        <v/>
      </c>
      <c r="M41" s="323">
        <f>M21</f>
        <v/>
      </c>
      <c r="N41" s="323">
        <f>N21</f>
        <v/>
      </c>
      <c r="O41" s="323">
        <f>O21</f>
        <v/>
      </c>
      <c r="P41" s="282" t="inlineStr">
        <is>
          <t>–</t>
        </is>
      </c>
      <c r="Q41" s="282" t="inlineStr">
        <is>
          <t>–</t>
        </is>
      </c>
      <c r="R41" s="282" t="inlineStr">
        <is>
          <t>–</t>
        </is>
      </c>
    </row>
    <row r="44">
      <c r="B44" s="246" t="inlineStr">
        <is>
          <t>Inputs</t>
        </is>
      </c>
      <c r="C44" s="247" t="n"/>
      <c r="D44" s="248" t="inlineStr">
        <is>
          <t>Value</t>
        </is>
      </c>
      <c r="E44" s="248" t="inlineStr">
        <is>
          <t>Label</t>
        </is>
      </c>
      <c r="F44" s="247" t="n"/>
      <c r="G44" s="247" t="n"/>
      <c r="H44" s="247" t="n"/>
      <c r="I44" s="247" t="n"/>
      <c r="J44" s="247" t="n"/>
      <c r="K44" s="247" t="n"/>
      <c r="L44" s="247" t="n"/>
      <c r="M44" s="247" t="n"/>
      <c r="N44" s="247" t="n"/>
      <c r="O44" s="247" t="n"/>
      <c r="P44" s="247" t="n"/>
      <c r="Q44" s="247" t="n"/>
      <c r="R44" s="247" t="n"/>
      <c r="S44" s="247" t="n"/>
    </row>
    <row r="45">
      <c r="B45" s="254" t="inlineStr">
        <is>
          <t>e: parts share of the complete repair bill (all replacement parts)</t>
        </is>
      </c>
      <c r="D45" s="461">
        <f>('D Facts'!$D$28+'D Facts'!$D$29)/2</f>
        <v/>
      </c>
      <c r="E45" s="252" t="inlineStr">
        <is>
          <t>VERIFIED range</t>
        </is>
      </c>
      <c r="F45" s="282" t="inlineStr">
        <is>
          <t>–</t>
        </is>
      </c>
      <c r="G45" s="282" t="inlineStr">
        <is>
          <t>–</t>
        </is>
      </c>
      <c r="H45" s="282" t="inlineStr">
        <is>
          <t>–</t>
        </is>
      </c>
      <c r="I45" s="282" t="inlineStr">
        <is>
          <t>–</t>
        </is>
      </c>
      <c r="J45" s="282" t="inlineStr">
        <is>
          <t>–</t>
        </is>
      </c>
      <c r="K45" s="282" t="inlineStr">
        <is>
          <t>–</t>
        </is>
      </c>
      <c r="L45" s="282" t="inlineStr">
        <is>
          <t>–</t>
        </is>
      </c>
      <c r="M45" s="282" t="inlineStr">
        <is>
          <t>–</t>
        </is>
      </c>
      <c r="N45" s="282" t="inlineStr">
        <is>
          <t>–</t>
        </is>
      </c>
      <c r="O45" s="282" t="inlineStr">
        <is>
          <t>–</t>
        </is>
      </c>
      <c r="P45" s="282" t="inlineStr">
        <is>
          <t>–</t>
        </is>
      </c>
      <c r="Q45" s="282" t="inlineStr">
        <is>
          <t>–</t>
        </is>
      </c>
      <c r="R45" s="282" t="inlineStr">
        <is>
          <t>–</t>
        </is>
      </c>
      <c r="S45" s="252" t="inlineStr">
        <is>
          <t>CCC Crash Course: parts 36–44% of the bill by vehicle age (docs/aftermarket_parameter_audit); 40% is the midpoint. Treats all replacement-part dollars as the basket</t>
        </is>
      </c>
    </row>
    <row r="46">
      <c r="B46" s="254" t="inlineStr">
        <is>
          <t>q_OEM: OEM share of replacement-part dollars, 2025</t>
        </is>
      </c>
      <c r="D46" s="461">
        <f>'D Facts'!$D$27</f>
        <v/>
      </c>
      <c r="E46" s="252" t="inlineStr">
        <is>
          <t>VERIFIED</t>
        </is>
      </c>
      <c r="F46" s="282" t="inlineStr">
        <is>
          <t>–</t>
        </is>
      </c>
      <c r="G46" s="282" t="inlineStr">
        <is>
          <t>–</t>
        </is>
      </c>
      <c r="H46" s="282" t="inlineStr">
        <is>
          <t>–</t>
        </is>
      </c>
      <c r="I46" s="282" t="inlineStr">
        <is>
          <t>–</t>
        </is>
      </c>
      <c r="J46" s="282" t="inlineStr">
        <is>
          <t>–</t>
        </is>
      </c>
      <c r="K46" s="282" t="inlineStr">
        <is>
          <t>–</t>
        </is>
      </c>
      <c r="L46" s="282" t="inlineStr">
        <is>
          <t>–</t>
        </is>
      </c>
      <c r="M46" s="282" t="inlineStr">
        <is>
          <t>–</t>
        </is>
      </c>
      <c r="N46" s="282" t="inlineStr">
        <is>
          <t>–</t>
        </is>
      </c>
      <c r="O46" s="282" t="inlineStr">
        <is>
          <t>–</t>
        </is>
      </c>
      <c r="P46" s="282" t="inlineStr">
        <is>
          <t>–</t>
        </is>
      </c>
      <c r="Q46" s="282" t="inlineStr">
        <is>
          <t>–</t>
        </is>
      </c>
      <c r="R46" s="282" t="inlineStr">
        <is>
          <t>–</t>
        </is>
      </c>
      <c r="S46" s="252" t="inlineStr">
        <is>
          <t>CCC Crash Course 2026: 1 − 22.7% − 10.5% (dollar shares; counts differ slightly, see docs/bidmate_adoption)</t>
        </is>
      </c>
    </row>
    <row r="47">
      <c r="B47" s="254" t="inlineStr">
        <is>
          <t>q_AM: aftermarket share of replacement-part dollars, 2025</t>
        </is>
      </c>
      <c r="D47" s="461">
        <f>'D Facts'!$D$23</f>
        <v/>
      </c>
      <c r="E47" s="252" t="inlineStr">
        <is>
          <t>VERIFIED</t>
        </is>
      </c>
      <c r="F47" s="282" t="inlineStr">
        <is>
          <t>–</t>
        </is>
      </c>
      <c r="G47" s="282" t="inlineStr">
        <is>
          <t>–</t>
        </is>
      </c>
      <c r="H47" s="282" t="inlineStr">
        <is>
          <t>–</t>
        </is>
      </c>
      <c r="I47" s="282" t="inlineStr">
        <is>
          <t>–</t>
        </is>
      </c>
      <c r="J47" s="282" t="inlineStr">
        <is>
          <t>–</t>
        </is>
      </c>
      <c r="K47" s="282" t="inlineStr">
        <is>
          <t>–</t>
        </is>
      </c>
      <c r="L47" s="282" t="inlineStr">
        <is>
          <t>–</t>
        </is>
      </c>
      <c r="M47" s="282" t="inlineStr">
        <is>
          <t>–</t>
        </is>
      </c>
      <c r="N47" s="282" t="inlineStr">
        <is>
          <t>–</t>
        </is>
      </c>
      <c r="O47" s="282" t="inlineStr">
        <is>
          <t>–</t>
        </is>
      </c>
      <c r="P47" s="282" t="inlineStr">
        <is>
          <t>–</t>
        </is>
      </c>
      <c r="Q47" s="282" t="inlineStr">
        <is>
          <t>–</t>
        </is>
      </c>
      <c r="R47" s="282" t="inlineStr">
        <is>
          <t>–</t>
        </is>
      </c>
      <c r="S47" s="252" t="inlineStr">
        <is>
          <t>CCC Crash Course 2026, 22.7% (21.0% in 2024)</t>
        </is>
      </c>
    </row>
    <row r="48">
      <c r="B48" s="254" t="inlineStr">
        <is>
          <t>q_rec: recycled share of replacement-part dollars, 2025</t>
        </is>
      </c>
      <c r="D48" s="461">
        <f>'D Facts'!$D$25</f>
        <v/>
      </c>
      <c r="E48" s="252" t="inlineStr">
        <is>
          <t>VERIFIED</t>
        </is>
      </c>
      <c r="F48" s="282" t="inlineStr">
        <is>
          <t>–</t>
        </is>
      </c>
      <c r="G48" s="282" t="inlineStr">
        <is>
          <t>–</t>
        </is>
      </c>
      <c r="H48" s="282" t="inlineStr">
        <is>
          <t>–</t>
        </is>
      </c>
      <c r="I48" s="282" t="inlineStr">
        <is>
          <t>–</t>
        </is>
      </c>
      <c r="J48" s="282" t="inlineStr">
        <is>
          <t>–</t>
        </is>
      </c>
      <c r="K48" s="282" t="inlineStr">
        <is>
          <t>–</t>
        </is>
      </c>
      <c r="L48" s="282" t="inlineStr">
        <is>
          <t>–</t>
        </is>
      </c>
      <c r="M48" s="282" t="inlineStr">
        <is>
          <t>–</t>
        </is>
      </c>
      <c r="N48" s="282" t="inlineStr">
        <is>
          <t>–</t>
        </is>
      </c>
      <c r="O48" s="282" t="inlineStr">
        <is>
          <t>–</t>
        </is>
      </c>
      <c r="P48" s="282" t="inlineStr">
        <is>
          <t>–</t>
        </is>
      </c>
      <c r="Q48" s="282" t="inlineStr">
        <is>
          <t>–</t>
        </is>
      </c>
      <c r="R48" s="282" t="inlineStr">
        <is>
          <t>–</t>
        </is>
      </c>
      <c r="S48" s="252" t="inlineStr">
        <is>
          <t>CCC Crash Course 2026, 10.5% (10.7% in 2024)</t>
        </is>
      </c>
    </row>
    <row r="49">
      <c r="B49" s="254" t="inlineStr">
        <is>
          <t>p_OEM: relative price</t>
        </is>
      </c>
      <c r="D49" s="458" t="n">
        <v>1</v>
      </c>
      <c r="E49" s="252" t="inlineStr">
        <is>
          <t>ASSUMED</t>
        </is>
      </c>
      <c r="F49" s="282" t="inlineStr">
        <is>
          <t>–</t>
        </is>
      </c>
      <c r="G49" s="282" t="inlineStr">
        <is>
          <t>–</t>
        </is>
      </c>
      <c r="H49" s="282" t="inlineStr">
        <is>
          <t>–</t>
        </is>
      </c>
      <c r="I49" s="282" t="inlineStr">
        <is>
          <t>–</t>
        </is>
      </c>
      <c r="J49" s="282" t="inlineStr">
        <is>
          <t>–</t>
        </is>
      </c>
      <c r="K49" s="282" t="inlineStr">
        <is>
          <t>–</t>
        </is>
      </c>
      <c r="L49" s="282" t="inlineStr">
        <is>
          <t>–</t>
        </is>
      </c>
      <c r="M49" s="282" t="inlineStr">
        <is>
          <t>–</t>
        </is>
      </c>
      <c r="N49" s="282" t="inlineStr">
        <is>
          <t>–</t>
        </is>
      </c>
      <c r="O49" s="282" t="inlineStr">
        <is>
          <t>–</t>
        </is>
      </c>
      <c r="P49" s="282" t="inlineStr">
        <is>
          <t>–</t>
        </is>
      </c>
      <c r="Q49" s="282" t="inlineStr">
        <is>
          <t>–</t>
        </is>
      </c>
      <c r="R49" s="282" t="inlineStr">
        <is>
          <t>–</t>
        </is>
      </c>
      <c r="S49" s="252" t="inlineStr">
        <is>
          <t>Numeraire</t>
        </is>
      </c>
    </row>
    <row r="50">
      <c r="B50" s="254" t="inlineStr">
        <is>
          <t>p_AM: aftermarket price relative to OEM</t>
        </is>
      </c>
      <c r="D50" s="461">
        <f>1-'D Facts'!$D$30</f>
        <v/>
      </c>
      <c r="E50" s="252" t="inlineStr">
        <is>
          <t>VERIFIED (historical)</t>
        </is>
      </c>
      <c r="F50" s="282" t="inlineStr">
        <is>
          <t>–</t>
        </is>
      </c>
      <c r="G50" s="282" t="inlineStr">
        <is>
          <t>–</t>
        </is>
      </c>
      <c r="H50" s="282" t="inlineStr">
        <is>
          <t>–</t>
        </is>
      </c>
      <c r="I50" s="282" t="inlineStr">
        <is>
          <t>–</t>
        </is>
      </c>
      <c r="J50" s="282" t="inlineStr">
        <is>
          <t>–</t>
        </is>
      </c>
      <c r="K50" s="282" t="inlineStr">
        <is>
          <t>–</t>
        </is>
      </c>
      <c r="L50" s="282" t="inlineStr">
        <is>
          <t>–</t>
        </is>
      </c>
      <c r="M50" s="282" t="inlineStr">
        <is>
          <t>–</t>
        </is>
      </c>
      <c r="N50" s="282" t="inlineStr">
        <is>
          <t>–</t>
        </is>
      </c>
      <c r="O50" s="282" t="inlineStr">
        <is>
          <t>–</t>
        </is>
      </c>
      <c r="P50" s="282" t="inlineStr">
        <is>
          <t>–</t>
        </is>
      </c>
      <c r="Q50" s="282" t="inlineStr">
        <is>
          <t>–</t>
        </is>
      </c>
      <c r="R50" s="282" t="inlineStr">
        <is>
          <t>–</t>
        </is>
      </c>
      <c r="S50" s="252" t="inlineStr">
        <is>
          <t>Mitchell Q2 2017 Industry Trends Report pp. 8–10: 2016 six-component discounts 23.3% domestic, 29.9% Asian, 27.7% European; mean 27% (raw cache; docs/aftermarket_transition_evidence). Current catalogue ~0.50 is a stress (MapleV 2026, vendor-selected)</t>
        </is>
      </c>
    </row>
    <row r="51">
      <c r="B51" s="254" t="inlineStr">
        <is>
          <t>p_rec: recycled price relative to OEM at the anchor (set equal to aftermarket)</t>
        </is>
      </c>
      <c r="D51" s="463">
        <f>D50</f>
        <v/>
      </c>
      <c r="E51" s="252" t="inlineStr">
        <is>
          <t>ASSUMED (neutral)</t>
        </is>
      </c>
      <c r="F51" s="282" t="inlineStr">
        <is>
          <t>–</t>
        </is>
      </c>
      <c r="G51" s="282" t="inlineStr">
        <is>
          <t>–</t>
        </is>
      </c>
      <c r="H51" s="282" t="inlineStr">
        <is>
          <t>–</t>
        </is>
      </c>
      <c r="I51" s="282" t="inlineStr">
        <is>
          <t>–</t>
        </is>
      </c>
      <c r="J51" s="282" t="inlineStr">
        <is>
          <t>–</t>
        </is>
      </c>
      <c r="K51" s="282" t="inlineStr">
        <is>
          <t>–</t>
        </is>
      </c>
      <c r="L51" s="282" t="inlineStr">
        <is>
          <t>–</t>
        </is>
      </c>
      <c r="M51" s="282" t="inlineStr">
        <is>
          <t>–</t>
        </is>
      </c>
      <c r="N51" s="282" t="inlineStr">
        <is>
          <t>–</t>
        </is>
      </c>
      <c r="O51" s="282" t="inlineStr">
        <is>
          <t>–</t>
        </is>
      </c>
      <c r="P51" s="282" t="inlineStr">
        <is>
          <t>–</t>
        </is>
      </c>
      <c r="Q51" s="282" t="inlineStr">
        <is>
          <t>–</t>
        </is>
      </c>
      <c r="R51" s="282" t="inlineStr">
        <is>
          <t>–</t>
        </is>
      </c>
      <c r="S51" s="252" t="inlineStr">
        <is>
          <t>No matched national dataset: trade sources put recycled 25–50% below OEM and aftermarket 20–50% below; equal at the anchor is the neutral choice. Recycled is priced off the OE list (PartsTrader), so it does not drift</t>
        </is>
      </c>
    </row>
    <row r="52">
      <c r="B52" s="254" t="inlineStr">
        <is>
          <t>x: donor contribution exposed to collision-part substitution</t>
        </is>
      </c>
      <c r="D52" s="458" t="n">
        <v>0.25</v>
      </c>
      <c r="E52" s="252" t="inlineStr">
        <is>
          <t>ASSUMED</t>
        </is>
      </c>
      <c r="F52" s="282" t="inlineStr">
        <is>
          <t>–</t>
        </is>
      </c>
      <c r="G52" s="282" t="inlineStr">
        <is>
          <t>–</t>
        </is>
      </c>
      <c r="H52" s="282" t="inlineStr">
        <is>
          <t>–</t>
        </is>
      </c>
      <c r="I52" s="282" t="inlineStr">
        <is>
          <t>–</t>
        </is>
      </c>
      <c r="J52" s="282" t="inlineStr">
        <is>
          <t>–</t>
        </is>
      </c>
      <c r="K52" s="282" t="inlineStr">
        <is>
          <t>–</t>
        </is>
      </c>
      <c r="L52" s="282" t="inlineStr">
        <is>
          <t>–</t>
        </is>
      </c>
      <c r="M52" s="282" t="inlineStr">
        <is>
          <t>–</t>
        </is>
      </c>
      <c r="N52" s="282" t="inlineStr">
        <is>
          <t>–</t>
        </is>
      </c>
      <c r="O52" s="282" t="inlineStr">
        <is>
          <t>–</t>
        </is>
      </c>
      <c r="P52" s="282" t="inlineStr">
        <is>
          <t>–</t>
        </is>
      </c>
      <c r="Q52" s="282" t="inlineStr">
        <is>
          <t>–</t>
        </is>
      </c>
      <c r="R52" s="282" t="inlineStr">
        <is>
          <t>–</t>
        </is>
      </c>
      <c r="S52" s="252" t="inlineStr">
        <is>
          <t>No supporting record (FORWARD_ASSUMPTIONS.md)</t>
        </is>
      </c>
    </row>
    <row r="53">
      <c r="B53" s="254" t="inlineStr">
        <is>
          <t>κ: contribution-to-hammer bid ratio</t>
        </is>
      </c>
      <c r="D53" s="458" t="n">
        <v>1.5</v>
      </c>
      <c r="E53" s="252" t="inlineStr">
        <is>
          <t>ASSUMED</t>
        </is>
      </c>
      <c r="F53" s="282" t="inlineStr">
        <is>
          <t>–</t>
        </is>
      </c>
      <c r="G53" s="282" t="inlineStr">
        <is>
          <t>–</t>
        </is>
      </c>
      <c r="H53" s="282" t="inlineStr">
        <is>
          <t>–</t>
        </is>
      </c>
      <c r="I53" s="282" t="inlineStr">
        <is>
          <t>–</t>
        </is>
      </c>
      <c r="J53" s="282" t="inlineStr">
        <is>
          <t>–</t>
        </is>
      </c>
      <c r="K53" s="282" t="inlineStr">
        <is>
          <t>–</t>
        </is>
      </c>
      <c r="L53" s="282" t="inlineStr">
        <is>
          <t>–</t>
        </is>
      </c>
      <c r="M53" s="282" t="inlineStr">
        <is>
          <t>–</t>
        </is>
      </c>
      <c r="N53" s="282" t="inlineStr">
        <is>
          <t>–</t>
        </is>
      </c>
      <c r="O53" s="282" t="inlineStr">
        <is>
          <t>–</t>
        </is>
      </c>
      <c r="P53" s="282" t="inlineStr">
        <is>
          <t>–</t>
        </is>
      </c>
      <c r="Q53" s="282" t="inlineStr">
        <is>
          <t>–</t>
        </is>
      </c>
      <c r="R53" s="282" t="inlineStr">
        <is>
          <t>–</t>
        </is>
      </c>
      <c r="S53" s="252" t="inlineStr">
        <is>
          <t>Sturgeon 2018 margins make the scale interpretable, not the value</t>
        </is>
      </c>
    </row>
    <row r="54">
      <c r="B54" s="254" t="inlineStr">
        <is>
          <t>Stress path: OEM → aftermarket shift per quarter through FY27 (points)</t>
        </is>
      </c>
      <c r="D54" s="458" t="n">
        <v>0.01</v>
      </c>
      <c r="E54" s="252" t="inlineStr">
        <is>
          <t>ASSUMED</t>
        </is>
      </c>
      <c r="F54" s="282" t="inlineStr">
        <is>
          <t>–</t>
        </is>
      </c>
      <c r="G54" s="282" t="inlineStr">
        <is>
          <t>–</t>
        </is>
      </c>
      <c r="H54" s="282" t="inlineStr">
        <is>
          <t>–</t>
        </is>
      </c>
      <c r="I54" s="282" t="inlineStr">
        <is>
          <t>–</t>
        </is>
      </c>
      <c r="J54" s="282" t="inlineStr">
        <is>
          <t>–</t>
        </is>
      </c>
      <c r="K54" s="282" t="inlineStr">
        <is>
          <t>–</t>
        </is>
      </c>
      <c r="L54" s="282" t="inlineStr">
        <is>
          <t>–</t>
        </is>
      </c>
      <c r="M54" s="282" t="inlineStr">
        <is>
          <t>–</t>
        </is>
      </c>
      <c r="N54" s="282" t="inlineStr">
        <is>
          <t>–</t>
        </is>
      </c>
      <c r="O54" s="282" t="inlineStr">
        <is>
          <t>–</t>
        </is>
      </c>
      <c r="P54" s="282" t="inlineStr">
        <is>
          <t>–</t>
        </is>
      </c>
      <c r="Q54" s="282" t="inlineStr">
        <is>
          <t>–</t>
        </is>
      </c>
      <c r="R54" s="282" t="inlineStr">
        <is>
          <t>–</t>
        </is>
      </c>
      <c r="S54" s="252" t="inlineStr">
        <is>
          <t>model/thesis_audit_2026-10-01/assumptions.json (memo stress; 5.5-pt endpoint)</t>
        </is>
      </c>
    </row>
    <row r="55">
      <c r="B55" s="254" t="inlineStr">
        <is>
          <t>Stress path: recycled → aftermarket shift per quarter (points)</t>
        </is>
      </c>
      <c r="D55" s="458" t="n">
        <v>0.00375</v>
      </c>
      <c r="E55" s="252" t="inlineStr">
        <is>
          <t>ASSUMED</t>
        </is>
      </c>
      <c r="F55" s="282" t="inlineStr">
        <is>
          <t>–</t>
        </is>
      </c>
      <c r="G55" s="282" t="inlineStr">
        <is>
          <t>–</t>
        </is>
      </c>
      <c r="H55" s="282" t="inlineStr">
        <is>
          <t>–</t>
        </is>
      </c>
      <c r="I55" s="282" t="inlineStr">
        <is>
          <t>–</t>
        </is>
      </c>
      <c r="J55" s="282" t="inlineStr">
        <is>
          <t>–</t>
        </is>
      </c>
      <c r="K55" s="282" t="inlineStr">
        <is>
          <t>–</t>
        </is>
      </c>
      <c r="L55" s="282" t="inlineStr">
        <is>
          <t>–</t>
        </is>
      </c>
      <c r="M55" s="282" t="inlineStr">
        <is>
          <t>–</t>
        </is>
      </c>
      <c r="N55" s="282" t="inlineStr">
        <is>
          <t>–</t>
        </is>
      </c>
      <c r="O55" s="282" t="inlineStr">
        <is>
          <t>–</t>
        </is>
      </c>
      <c r="P55" s="282" t="inlineStr">
        <is>
          <t>–</t>
        </is>
      </c>
      <c r="Q55" s="282" t="inlineStr">
        <is>
          <t>–</t>
        </is>
      </c>
      <c r="R55" s="282" t="inlineStr">
        <is>
          <t>–</t>
        </is>
      </c>
      <c r="S55" s="252" t="inlineStr">
        <is>
          <t>same</t>
        </is>
      </c>
    </row>
    <row r="56">
      <c r="B56" s="254" t="inlineStr">
        <is>
          <t>Stress path: hold FY27 endpoint through FY28 (1) or revert (0)</t>
        </is>
      </c>
      <c r="D56" s="342" t="n">
        <v>1</v>
      </c>
      <c r="E56" s="252" t="inlineStr">
        <is>
          <t>TOGGLE</t>
        </is>
      </c>
      <c r="F56" s="282" t="inlineStr">
        <is>
          <t>–</t>
        </is>
      </c>
      <c r="G56" s="282" t="inlineStr">
        <is>
          <t>–</t>
        </is>
      </c>
      <c r="H56" s="282" t="inlineStr">
        <is>
          <t>–</t>
        </is>
      </c>
      <c r="I56" s="282" t="inlineStr">
        <is>
          <t>–</t>
        </is>
      </c>
      <c r="J56" s="282" t="inlineStr">
        <is>
          <t>–</t>
        </is>
      </c>
      <c r="K56" s="282" t="inlineStr">
        <is>
          <t>–</t>
        </is>
      </c>
      <c r="L56" s="282" t="inlineStr">
        <is>
          <t>–</t>
        </is>
      </c>
      <c r="M56" s="282" t="inlineStr">
        <is>
          <t>–</t>
        </is>
      </c>
      <c r="N56" s="282" t="inlineStr">
        <is>
          <t>–</t>
        </is>
      </c>
      <c r="O56" s="282" t="inlineStr">
        <is>
          <t>–</t>
        </is>
      </c>
      <c r="P56" s="282" t="inlineStr">
        <is>
          <t>–</t>
        </is>
      </c>
      <c r="Q56" s="282" t="inlineStr">
        <is>
          <t>–</t>
        </is>
      </c>
      <c r="R56" s="282" t="inlineStr">
        <is>
          <t>–</t>
        </is>
      </c>
      <c r="S56" s="252" t="inlineStr">
        <is>
          <t>Convention for the stress path only</t>
        </is>
      </c>
    </row>
    <row r="57">
      <c r="B57" s="254" t="inlineStr">
        <is>
          <t>τ: recycler bid transmission to the marginal price</t>
        </is>
      </c>
      <c r="D57" s="458" t="n">
        <v>0.5</v>
      </c>
      <c r="E57" s="252" t="inlineStr">
        <is>
          <t>ASSUMED</t>
        </is>
      </c>
      <c r="F57" s="282" t="inlineStr">
        <is>
          <t>–</t>
        </is>
      </c>
      <c r="G57" s="282" t="inlineStr">
        <is>
          <t>–</t>
        </is>
      </c>
      <c r="H57" s="282" t="inlineStr">
        <is>
          <t>–</t>
        </is>
      </c>
      <c r="I57" s="282" t="inlineStr">
        <is>
          <t>–</t>
        </is>
      </c>
      <c r="J57" s="282" t="inlineStr">
        <is>
          <t>–</t>
        </is>
      </c>
      <c r="K57" s="282" t="inlineStr">
        <is>
          <t>–</t>
        </is>
      </c>
      <c r="L57" s="282" t="inlineStr">
        <is>
          <t>–</t>
        </is>
      </c>
      <c r="M57" s="282" t="inlineStr">
        <is>
          <t>–</t>
        </is>
      </c>
      <c r="N57" s="282" t="inlineStr">
        <is>
          <t>–</t>
        </is>
      </c>
      <c r="O57" s="282" t="inlineStr">
        <is>
          <t>–</t>
        </is>
      </c>
      <c r="P57" s="282" t="inlineStr">
        <is>
          <t>–</t>
        </is>
      </c>
      <c r="Q57" s="282" t="inlineStr">
        <is>
          <t>–</t>
        </is>
      </c>
      <c r="R57" s="282" t="inlineStr">
        <is>
          <t>–</t>
        </is>
      </c>
      <c r="S57" s="252" t="inlineStr">
        <is>
          <t>The 10% case removes most of the price effect (AUDIT.md)</t>
        </is>
      </c>
    </row>
    <row r="58">
      <c r="B58" s="254" t="inlineStr">
        <is>
          <t>Endpoint recycled displacement used by the engine (points)</t>
        </is>
      </c>
      <c r="D58" s="458" t="n">
        <v>0.015</v>
      </c>
      <c r="E58" s="252" t="inlineStr">
        <is>
          <t>ASSUMED</t>
        </is>
      </c>
      <c r="F58" s="282" t="inlineStr">
        <is>
          <t>–</t>
        </is>
      </c>
      <c r="G58" s="282" t="inlineStr">
        <is>
          <t>–</t>
        </is>
      </c>
      <c r="H58" s="282" t="inlineStr">
        <is>
          <t>–</t>
        </is>
      </c>
      <c r="I58" s="282" t="inlineStr">
        <is>
          <t>–</t>
        </is>
      </c>
      <c r="J58" s="282" t="inlineStr">
        <is>
          <t>–</t>
        </is>
      </c>
      <c r="K58" s="282" t="inlineStr">
        <is>
          <t>–</t>
        </is>
      </c>
      <c r="L58" s="282" t="inlineStr">
        <is>
          <t>–</t>
        </is>
      </c>
      <c r="M58" s="282" t="inlineStr">
        <is>
          <t>–</t>
        </is>
      </c>
      <c r="N58" s="282" t="inlineStr">
        <is>
          <t>–</t>
        </is>
      </c>
      <c r="O58" s="282" t="inlineStr">
        <is>
          <t>–</t>
        </is>
      </c>
      <c r="P58" s="282" t="inlineStr">
        <is>
          <t>–</t>
        </is>
      </c>
      <c r="Q58" s="282" t="inlineStr">
        <is>
          <t>–</t>
        </is>
      </c>
      <c r="R58" s="282" t="inlineStr">
        <is>
          <t>–</t>
        </is>
      </c>
      <c r="S58" s="252" t="inlineStr">
        <is>
          <t>ccc_larger_shift case</t>
        </is>
      </c>
    </row>
    <row r="60">
      <c r="U60" s="252" t="inlineStr">
        <is>
          <t>Sourcing-path options (list source for D64)</t>
        </is>
      </c>
    </row>
    <row r="61">
      <c r="B61" s="254" t="inlineStr">
        <is>
          <t>η: selection response, Δ units per unit of bill change (ENGINE-derived: ccc_larger_shift unit delta ÷ repair change)</t>
        </is>
      </c>
      <c r="D61" s="266">
        <f>SUMIFS('D Engine'!$F$98:$F$102,'D Engine'!$B$98:$B$102,"ccc_larger_shift")/SUMIFS('D Engine'!$C$98:$C$102,'D Engine'!$B$98:$B$102,"ccc_larger_shift")</f>
        <v/>
      </c>
      <c r="E61" s="252" t="inlineStr">
        <is>
          <t>ENGINE</t>
        </is>
      </c>
      <c r="F61" s="282" t="inlineStr">
        <is>
          <t>–</t>
        </is>
      </c>
      <c r="G61" s="282" t="inlineStr">
        <is>
          <t>–</t>
        </is>
      </c>
      <c r="H61" s="282" t="inlineStr">
        <is>
          <t>–</t>
        </is>
      </c>
      <c r="I61" s="282" t="inlineStr">
        <is>
          <t>–</t>
        </is>
      </c>
      <c r="J61" s="282" t="inlineStr">
        <is>
          <t>–</t>
        </is>
      </c>
      <c r="K61" s="282" t="inlineStr">
        <is>
          <t>–</t>
        </is>
      </c>
      <c r="L61" s="282" t="inlineStr">
        <is>
          <t>–</t>
        </is>
      </c>
      <c r="M61" s="282" t="inlineStr">
        <is>
          <t>–</t>
        </is>
      </c>
      <c r="N61" s="282" t="inlineStr">
        <is>
          <t>–</t>
        </is>
      </c>
      <c r="O61" s="282" t="inlineStr">
        <is>
          <t>–</t>
        </is>
      </c>
      <c r="P61" s="282" t="inlineStr">
        <is>
          <t>–</t>
        </is>
      </c>
      <c r="Q61" s="282" t="inlineStr">
        <is>
          <t>–</t>
        </is>
      </c>
      <c r="R61" s="282" t="inlineStr">
        <is>
          <t>–</t>
        </is>
      </c>
      <c r="S61" s="252" t="inlineStr">
        <is>
          <t>D Engine CCC scenario summary; the engine's derivative is calibrated to levels only (AUDIT.md priority 1)</t>
        </is>
      </c>
      <c r="U61" s="252" t="inlineStr">
        <is>
          <t>1 · CCC trend</t>
        </is>
      </c>
    </row>
    <row r="62">
      <c r="U62" s="252" t="inlineStr">
        <is>
          <t>2 · Memo stress</t>
        </is>
      </c>
    </row>
    <row r="64">
      <c r="B64" s="254" t="inlineStr">
        <is>
          <t>Sourcing path selector (click D64 to choose; index in F64): observed CCC trend continued, or memo stress (5.5 pts by FQ4 FY27)</t>
        </is>
      </c>
      <c r="D64" s="368" t="inlineStr">
        <is>
          <t>1 · CCC trend</t>
        </is>
      </c>
      <c r="E64" s="252" t="inlineStr">
        <is>
          <t>TOGGLE</t>
        </is>
      </c>
      <c r="F64" s="292">
        <f>MATCH(D64,$U$61:$U$62,0)</f>
        <v/>
      </c>
      <c r="G64" s="282" t="inlineStr">
        <is>
          <t>–</t>
        </is>
      </c>
      <c r="H64" s="282" t="inlineStr">
        <is>
          <t>–</t>
        </is>
      </c>
      <c r="I64" s="282" t="inlineStr">
        <is>
          <t>–</t>
        </is>
      </c>
      <c r="J64" s="282" t="inlineStr">
        <is>
          <t>–</t>
        </is>
      </c>
      <c r="K64" s="282" t="inlineStr">
        <is>
          <t>–</t>
        </is>
      </c>
      <c r="L64" s="282" t="inlineStr">
        <is>
          <t>–</t>
        </is>
      </c>
      <c r="M64" s="282" t="inlineStr">
        <is>
          <t>–</t>
        </is>
      </c>
      <c r="N64" s="282" t="inlineStr">
        <is>
          <t>–</t>
        </is>
      </c>
      <c r="O64" s="282" t="inlineStr">
        <is>
          <t>–</t>
        </is>
      </c>
      <c r="P64" s="282" t="inlineStr">
        <is>
          <t>–</t>
        </is>
      </c>
      <c r="Q64" s="282" t="inlineStr">
        <is>
          <t>–</t>
        </is>
      </c>
      <c r="R64" s="282" t="inlineStr">
        <is>
          <t>–</t>
        </is>
      </c>
      <c r="S64" s="252" t="inlineStr">
        <is>
          <t>Default is the evidence; the stress is shown for the memo's larger case</t>
        </is>
      </c>
    </row>
    <row r="65">
      <c r="B65" s="254" t="inlineStr">
        <is>
          <t>Observed path: aftermarket dollar-share gain per quarter (points)</t>
        </is>
      </c>
      <c r="D65" s="461">
        <f>('D Facts'!$D$23-'D Facts'!$D$24)/4</f>
        <v/>
      </c>
      <c r="E65" s="252" t="inlineStr">
        <is>
          <t>VERIFIED (trend)</t>
        </is>
      </c>
      <c r="F65" s="282" t="inlineStr">
        <is>
          <t>–</t>
        </is>
      </c>
      <c r="G65" s="282" t="inlineStr">
        <is>
          <t>–</t>
        </is>
      </c>
      <c r="H65" s="282" t="inlineStr">
        <is>
          <t>–</t>
        </is>
      </c>
      <c r="I65" s="282" t="inlineStr">
        <is>
          <t>–</t>
        </is>
      </c>
      <c r="J65" s="282" t="inlineStr">
        <is>
          <t>–</t>
        </is>
      </c>
      <c r="K65" s="282" t="inlineStr">
        <is>
          <t>–</t>
        </is>
      </c>
      <c r="L65" s="282" t="inlineStr">
        <is>
          <t>–</t>
        </is>
      </c>
      <c r="M65" s="282" t="inlineStr">
        <is>
          <t>–</t>
        </is>
      </c>
      <c r="N65" s="282" t="inlineStr">
        <is>
          <t>–</t>
        </is>
      </c>
      <c r="O65" s="282" t="inlineStr">
        <is>
          <t>–</t>
        </is>
      </c>
      <c r="P65" s="282" t="inlineStr">
        <is>
          <t>–</t>
        </is>
      </c>
      <c r="Q65" s="282" t="inlineStr">
        <is>
          <t>–</t>
        </is>
      </c>
      <c r="R65" s="282" t="inlineStr">
        <is>
          <t>–</t>
        </is>
      </c>
      <c r="S65" s="252" t="inlineStr">
        <is>
          <t>CCC 2024→25 +1.7 pts a year ÷ 4; a one-year trend, so a continuation assumption</t>
        </is>
      </c>
    </row>
    <row r="66">
      <c r="B66" s="254" t="inlineStr">
        <is>
          <t>Observed path: recycled dollar-share loss per quarter (points)</t>
        </is>
      </c>
      <c r="D66" s="461">
        <f>('D Facts'!$D$26-'D Facts'!$D$25)/4</f>
        <v/>
      </c>
      <c r="E66" s="252" t="inlineStr">
        <is>
          <t>VERIFIED (trend)</t>
        </is>
      </c>
      <c r="F66" s="282" t="inlineStr">
        <is>
          <t>–</t>
        </is>
      </c>
      <c r="G66" s="282" t="inlineStr">
        <is>
          <t>–</t>
        </is>
      </c>
      <c r="H66" s="282" t="inlineStr">
        <is>
          <t>–</t>
        </is>
      </c>
      <c r="I66" s="282" t="inlineStr">
        <is>
          <t>–</t>
        </is>
      </c>
      <c r="J66" s="282" t="inlineStr">
        <is>
          <t>–</t>
        </is>
      </c>
      <c r="K66" s="282" t="inlineStr">
        <is>
          <t>–</t>
        </is>
      </c>
      <c r="L66" s="282" t="inlineStr">
        <is>
          <t>–</t>
        </is>
      </c>
      <c r="M66" s="282" t="inlineStr">
        <is>
          <t>–</t>
        </is>
      </c>
      <c r="N66" s="282" t="inlineStr">
        <is>
          <t>–</t>
        </is>
      </c>
      <c r="O66" s="282" t="inlineStr">
        <is>
          <t>–</t>
        </is>
      </c>
      <c r="P66" s="282" t="inlineStr">
        <is>
          <t>–</t>
        </is>
      </c>
      <c r="Q66" s="282" t="inlineStr">
        <is>
          <t>–</t>
        </is>
      </c>
      <c r="R66" s="282" t="inlineStr">
        <is>
          <t>–</t>
        </is>
      </c>
      <c r="S66" s="252" t="inlineStr">
        <is>
          <t>CCC 2024→25 −0.2 pt a year ÷ 4</t>
        </is>
      </c>
    </row>
    <row r="67">
      <c r="B67" s="254" t="inlineStr">
        <is>
          <t>Tariff effect: additional aftermarket share suppressed by the Taiwan parts tariff (points, FY27 endpoint)</t>
        </is>
      </c>
      <c r="D67" s="458" t="n">
        <v>0</v>
      </c>
      <c r="E67" s="252" t="inlineStr">
        <is>
          <t>ASSUMED</t>
        </is>
      </c>
      <c r="F67" s="282" t="inlineStr">
        <is>
          <t>–</t>
        </is>
      </c>
      <c r="G67" s="282" t="inlineStr">
        <is>
          <t>–</t>
        </is>
      </c>
      <c r="H67" s="282" t="inlineStr">
        <is>
          <t>–</t>
        </is>
      </c>
      <c r="I67" s="282" t="inlineStr">
        <is>
          <t>–</t>
        </is>
      </c>
      <c r="J67" s="282" t="inlineStr">
        <is>
          <t>–</t>
        </is>
      </c>
      <c r="K67" s="282" t="inlineStr">
        <is>
          <t>–</t>
        </is>
      </c>
      <c r="L67" s="282" t="inlineStr">
        <is>
          <t>–</t>
        </is>
      </c>
      <c r="M67" s="282" t="inlineStr">
        <is>
          <t>–</t>
        </is>
      </c>
      <c r="N67" s="282" t="inlineStr">
        <is>
          <t>–</t>
        </is>
      </c>
      <c r="O67" s="282" t="inlineStr">
        <is>
          <t>–</t>
        </is>
      </c>
      <c r="P67" s="282" t="inlineStr">
        <is>
          <t>–</t>
        </is>
      </c>
      <c r="Q67" s="282" t="inlineStr">
        <is>
          <t>–</t>
        </is>
      </c>
      <c r="R67" s="282" t="inlineStr">
        <is>
          <t>–</t>
        </is>
      </c>
      <c r="S67" s="252" t="inlineStr">
        <is>
          <t>Memo: 0.84–1.69 pts with a price-response coefficient of 2; coefficient unsourced, so 0 by default. The other session verified a 1 May 2025 implementation for qualifying categories only</t>
        </is>
      </c>
    </row>
    <row r="68">
      <c r="B68" s="254" t="inlineStr">
        <is>
          <t>Aftermarket relative-price drift per year  (−(OEM inflation − aftermarket inflation), PartsTrader Apr 2025–Mar 2026)</t>
        </is>
      </c>
      <c r="D68" s="461">
        <f>-('D Facts'!$D$32-'D Facts'!$D$33)</f>
        <v/>
      </c>
      <c r="E68" s="252" t="inlineStr">
        <is>
          <t>VERIFIED (trend, one year)</t>
        </is>
      </c>
      <c r="F68" s="282" t="inlineStr">
        <is>
          <t>–</t>
        </is>
      </c>
      <c r="G68" s="282" t="inlineStr">
        <is>
          <t>–</t>
        </is>
      </c>
      <c r="H68" s="282" t="inlineStr">
        <is>
          <t>–</t>
        </is>
      </c>
      <c r="I68" s="282" t="inlineStr">
        <is>
          <t>–</t>
        </is>
      </c>
      <c r="J68" s="282" t="inlineStr">
        <is>
          <t>–</t>
        </is>
      </c>
      <c r="K68" s="282" t="inlineStr">
        <is>
          <t>–</t>
        </is>
      </c>
      <c r="L68" s="282" t="inlineStr">
        <is>
          <t>–</t>
        </is>
      </c>
      <c r="M68" s="282" t="inlineStr">
        <is>
          <t>–</t>
        </is>
      </c>
      <c r="N68" s="282" t="inlineStr">
        <is>
          <t>–</t>
        </is>
      </c>
      <c r="O68" s="282" t="inlineStr">
        <is>
          <t>–</t>
        </is>
      </c>
      <c r="P68" s="282" t="inlineStr">
        <is>
          <t>–</t>
        </is>
      </c>
      <c r="Q68" s="282" t="inlineStr">
        <is>
          <t>–</t>
        </is>
      </c>
      <c r="R68" s="282" t="inlineStr">
        <is>
          <t>–</t>
        </is>
      </c>
      <c r="S68" s="252" t="inlineStr">
        <is>
          <t>Aftermarket flat under tariffs while OEM and recycled (priced off OE) rose 4.3%; continued through FY28 as an assumption. Incremental to a reference that holds general repair cost neutral</t>
        </is>
      </c>
    </row>
  </sheetData>
  <mergeCells count="2">
    <mergeCell ref="H4:O4"/>
    <mergeCell ref="D4:G4"/>
  </mergeCells>
  <dataValidations count="2">
    <dataValidation sqref="D64" showDropDown="0" showInputMessage="1" showErrorMessage="1" allowBlank="0" errorTitle="Selector" error="Choose a value from the list" promptTitle="Selector" prompt="Click the arrow and choose a case" type="list">
      <formula1>$U$61:$U$62</formula1>
    </dataValidation>
    <dataValidation sqref="D56" showDropDown="0" showInputMessage="0" showErrorMessage="1" allowBlank="0" error="Choose 0 or 1" type="list">
      <formula1>"0,1"</formula1>
    </dataValidation>
  </dataValidations>
  <pageMargins left="0.75" right="0.75" top="1" bottom="1" header="0.5" footer="0.5"/>
</worksheet>
</file>

<file path=xl/worksheets/sheet15.xml><?xml version="1.0" encoding="utf-8"?>
<worksheet xmlns="http://schemas.openxmlformats.org/spreadsheetml/2006/main">
  <sheetPr>
    <tabColor rgb="FF7030A0"/>
    <outlinePr summaryBelow="1" summaryRight="1"/>
    <pageSetUpPr/>
  </sheetPr>
  <dimension ref="B1:S51"/>
  <sheetViews>
    <sheetView showGridLines="0" zoomScale="90" workbookViewId="0">
      <pane xSplit="3" ySplit="5" topLeftCell="D6"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2.5" customWidth="1" style="392" min="1" max="1"/>
    <col width="56" customWidth="1" style="392" min="2" max="2"/>
    <col width="8" customWidth="1" style="392" min="3" max="3"/>
    <col width="13" customWidth="1" style="392" min="4" max="18"/>
    <col width="48" customWidth="1" style="392" min="19" max="19"/>
  </cols>
  <sheetData>
    <row r="1" ht="17" customHeight="1" s="392">
      <c r="B1" s="269" t="inlineStr">
        <is>
          <t>E5 Prices &amp; Fees — vehicle prices, fee economics and the historical ledger</t>
        </is>
      </c>
      <c r="C1" s="270" t="n"/>
      <c r="D1" s="270" t="n"/>
      <c r="E1" s="270" t="n"/>
      <c r="F1" s="270" t="n"/>
      <c r="G1" s="270" t="n"/>
      <c r="H1" s="270" t="n"/>
      <c r="I1" s="270" t="n"/>
      <c r="J1" s="270" t="n"/>
      <c r="K1" s="270" t="n"/>
      <c r="L1" s="270" t="n"/>
      <c r="M1" s="270" t="n"/>
      <c r="N1" s="270" t="n"/>
      <c r="O1" s="270" t="n"/>
      <c r="P1" s="270" t="n"/>
      <c r="Q1" s="270" t="n"/>
      <c r="R1" s="270" t="n"/>
      <c r="S1" s="270" t="n"/>
    </row>
    <row r="2">
      <c r="B2" s="252" t="inlineStr">
        <is>
          <t>All-in RPU = buyer fee(ASP) + seller rate × ASP + fixed fees + attached services;  buyer fee(ASP) = β × (ASP ÷ ASP₀)^ε.  Ledger: FY26 US service $ × insurance share ÷ all-in RPU = implied units.  Appendix A, Eq. 5.</t>
        </is>
      </c>
    </row>
    <row r="4">
      <c r="C4" s="277" t="inlineStr">
        <is>
          <t>Units</t>
        </is>
      </c>
      <c r="D4" s="405" t="inlineStr">
        <is>
          <t>Historicals</t>
        </is>
      </c>
      <c r="E4" s="377" t="n"/>
      <c r="F4" s="377" t="n"/>
      <c r="G4" s="377" t="n"/>
      <c r="H4" s="405" t="inlineStr">
        <is>
          <t>Projected</t>
        </is>
      </c>
      <c r="I4" s="377" t="n"/>
      <c r="J4" s="377" t="n"/>
      <c r="K4" s="377" t="n"/>
      <c r="L4" s="377" t="n"/>
      <c r="M4" s="377" t="n"/>
      <c r="N4" s="377" t="n"/>
      <c r="O4" s="377" t="n"/>
      <c r="S4" s="278" t="inlineStr">
        <is>
          <t>Notes / sources</t>
        </is>
      </c>
    </row>
    <row r="5">
      <c r="B5" s="246" t="inlineStr">
        <is>
          <t>A. Historical ledger, FY26 (reported dollars; the split and the units are inferred, not disclosed)</t>
        </is>
      </c>
      <c r="C5" s="247" t="n"/>
      <c r="D5" s="248" t="inlineStr">
        <is>
          <t>FQ1 FY26A</t>
        </is>
      </c>
      <c r="E5" s="248" t="inlineStr">
        <is>
          <t>FQ2 FY26A</t>
        </is>
      </c>
      <c r="F5" s="248" t="inlineStr">
        <is>
          <t>FQ3 FY26A</t>
        </is>
      </c>
      <c r="G5" s="248" t="inlineStr">
        <is>
          <t>FQ4 FY26A</t>
        </is>
      </c>
      <c r="H5" s="248" t="inlineStr">
        <is>
          <t>FQ1 FY27E</t>
        </is>
      </c>
      <c r="I5" s="248" t="inlineStr">
        <is>
          <t>FQ2 FY27E</t>
        </is>
      </c>
      <c r="J5" s="248" t="inlineStr">
        <is>
          <t>FQ3 FY27E</t>
        </is>
      </c>
      <c r="K5" s="248" t="inlineStr">
        <is>
          <t>FQ4 FY27E</t>
        </is>
      </c>
      <c r="L5" s="248" t="inlineStr">
        <is>
          <t>FQ1 FY28E</t>
        </is>
      </c>
      <c r="M5" s="248" t="inlineStr">
        <is>
          <t>FQ2 FY28E</t>
        </is>
      </c>
      <c r="N5" s="248" t="inlineStr">
        <is>
          <t>FQ3 FY28E</t>
        </is>
      </c>
      <c r="O5" s="248" t="inlineStr">
        <is>
          <t>FQ4 FY28E</t>
        </is>
      </c>
      <c r="P5" s="248" t="inlineStr">
        <is>
          <t>FY26A</t>
        </is>
      </c>
      <c r="Q5" s="248" t="inlineStr">
        <is>
          <t>FY27E</t>
        </is>
      </c>
      <c r="R5" s="248" t="inlineStr">
        <is>
          <t>FY28E</t>
        </is>
      </c>
      <c r="S5" s="247" t="n"/>
    </row>
    <row r="6">
      <c r="B6" s="254" t="inlineStr">
        <is>
          <t>US service revenue (8-K)</t>
        </is>
      </c>
      <c r="C6" s="279" t="inlineStr">
        <is>
          <t>$M</t>
        </is>
      </c>
      <c r="D6" s="276">
        <f>'D Reported'!$D$26</f>
        <v/>
      </c>
      <c r="E6" s="276">
        <f>'D Reported'!$D$27</f>
        <v/>
      </c>
      <c r="F6" s="276">
        <f>'D Reported'!$D$28</f>
        <v/>
      </c>
      <c r="G6" s="276">
        <f>'D Reported'!$D$29</f>
        <v/>
      </c>
      <c r="H6" s="282" t="inlineStr">
        <is>
          <t>–</t>
        </is>
      </c>
      <c r="I6" s="282" t="inlineStr">
        <is>
          <t>–</t>
        </is>
      </c>
      <c r="J6" s="282" t="inlineStr">
        <is>
          <t>–</t>
        </is>
      </c>
      <c r="K6" s="282" t="inlineStr">
        <is>
          <t>–</t>
        </is>
      </c>
      <c r="L6" s="282" t="inlineStr">
        <is>
          <t>–</t>
        </is>
      </c>
      <c r="M6" s="282" t="inlineStr">
        <is>
          <t>–</t>
        </is>
      </c>
      <c r="N6" s="282" t="inlineStr">
        <is>
          <t>–</t>
        </is>
      </c>
      <c r="O6" s="282" t="inlineStr">
        <is>
          <t>–</t>
        </is>
      </c>
      <c r="P6" s="288">
        <f>SUM(D6:G6)</f>
        <v/>
      </c>
      <c r="Q6" s="282" t="inlineStr">
        <is>
          <t>–</t>
        </is>
      </c>
      <c r="R6" s="282" t="inlineStr">
        <is>
          <t>–</t>
        </is>
      </c>
      <c r="S6" s="252" t="inlineStr">
        <is>
          <t>VERIFIED: D Reported geography table (raw/sec/8k)</t>
        </is>
      </c>
    </row>
    <row r="7">
      <c r="B7" s="254" t="inlineStr">
        <is>
          <t>Insurance share of US service dollars</t>
        </is>
      </c>
      <c r="C7" s="279" t="inlineStr">
        <is>
          <t>%</t>
        </is>
      </c>
      <c r="D7" s="283">
        <f>$D$39</f>
        <v/>
      </c>
      <c r="E7" s="283">
        <f>$D$39</f>
        <v/>
      </c>
      <c r="F7" s="283">
        <f>$D$39</f>
        <v/>
      </c>
      <c r="G7" s="283">
        <f>$D$39</f>
        <v/>
      </c>
      <c r="H7" s="282" t="inlineStr">
        <is>
          <t>–</t>
        </is>
      </c>
      <c r="I7" s="282" t="inlineStr">
        <is>
          <t>–</t>
        </is>
      </c>
      <c r="J7" s="282" t="inlineStr">
        <is>
          <t>–</t>
        </is>
      </c>
      <c r="K7" s="282" t="inlineStr">
        <is>
          <t>–</t>
        </is>
      </c>
      <c r="L7" s="282" t="inlineStr">
        <is>
          <t>–</t>
        </is>
      </c>
      <c r="M7" s="282" t="inlineStr">
        <is>
          <t>–</t>
        </is>
      </c>
      <c r="N7" s="282" t="inlineStr">
        <is>
          <t>–</t>
        </is>
      </c>
      <c r="O7" s="282" t="inlineStr">
        <is>
          <t>–</t>
        </is>
      </c>
      <c r="P7" s="282" t="inlineStr">
        <is>
          <t>–</t>
        </is>
      </c>
      <c r="Q7" s="282" t="inlineStr">
        <is>
          <t>–</t>
        </is>
      </c>
      <c r="R7" s="282" t="inlineStr">
        <is>
          <t>–</t>
        </is>
      </c>
      <c r="S7" s="252" t="inlineStr">
        <is>
          <t>ASSUMED 90% (80% alternative); 10-K FY26: insurers supplied 79% of vehicles processed globally — different denominator</t>
        </is>
      </c>
    </row>
    <row r="8">
      <c r="B8" s="249" t="inlineStr">
        <is>
          <t>US insurance service revenue</t>
        </is>
      </c>
      <c r="C8" s="279" t="inlineStr">
        <is>
          <t>$M</t>
        </is>
      </c>
      <c r="D8" s="287">
        <f>D6*D7</f>
        <v/>
      </c>
      <c r="E8" s="287">
        <f>E6*E7</f>
        <v/>
      </c>
      <c r="F8" s="287">
        <f>F6*F7</f>
        <v/>
      </c>
      <c r="G8" s="287">
        <f>G6*G7</f>
        <v/>
      </c>
      <c r="H8" s="282" t="inlineStr">
        <is>
          <t>–</t>
        </is>
      </c>
      <c r="I8" s="282" t="inlineStr">
        <is>
          <t>–</t>
        </is>
      </c>
      <c r="J8" s="282" t="inlineStr">
        <is>
          <t>–</t>
        </is>
      </c>
      <c r="K8" s="282" t="inlineStr">
        <is>
          <t>–</t>
        </is>
      </c>
      <c r="L8" s="282" t="inlineStr">
        <is>
          <t>–</t>
        </is>
      </c>
      <c r="M8" s="282" t="inlineStr">
        <is>
          <t>–</t>
        </is>
      </c>
      <c r="N8" s="282" t="inlineStr">
        <is>
          <t>–</t>
        </is>
      </c>
      <c r="O8" s="282" t="inlineStr">
        <is>
          <t>–</t>
        </is>
      </c>
      <c r="P8" s="287">
        <f>SUM(D8:G8)</f>
        <v/>
      </c>
      <c r="Q8" s="282" t="inlineStr">
        <is>
          <t>–</t>
        </is>
      </c>
      <c r="R8" s="282" t="inlineStr">
        <is>
          <t>–</t>
        </is>
      </c>
    </row>
    <row r="9">
      <c r="B9" s="254" t="inlineStr">
        <is>
          <t>Attached services per sale (title + delivery)</t>
        </is>
      </c>
      <c r="C9" s="279" t="inlineStr">
        <is>
          <t>$</t>
        </is>
      </c>
      <c r="D9" s="423">
        <f>$D$40*$D$41+$D$42*$D$43</f>
        <v/>
      </c>
      <c r="E9" s="423">
        <f>$D$40*$D$41+$D$42*$D$43</f>
        <v/>
      </c>
      <c r="F9" s="423">
        <f>$D$40*$D$41+$D$42*$D$43</f>
        <v/>
      </c>
      <c r="G9" s="423">
        <f>$D$40*$D$41+$D$42*$D$43</f>
        <v/>
      </c>
      <c r="H9" s="282" t="inlineStr">
        <is>
          <t>–</t>
        </is>
      </c>
      <c r="I9" s="282" t="inlineStr">
        <is>
          <t>–</t>
        </is>
      </c>
      <c r="J9" s="282" t="inlineStr">
        <is>
          <t>–</t>
        </is>
      </c>
      <c r="K9" s="282" t="inlineStr">
        <is>
          <t>–</t>
        </is>
      </c>
      <c r="L9" s="282" t="inlineStr">
        <is>
          <t>–</t>
        </is>
      </c>
      <c r="M9" s="282" t="inlineStr">
        <is>
          <t>–</t>
        </is>
      </c>
      <c r="N9" s="282" t="inlineStr">
        <is>
          <t>–</t>
        </is>
      </c>
      <c r="O9" s="282" t="inlineStr">
        <is>
          <t>–</t>
        </is>
      </c>
      <c r="P9" s="282" t="inlineStr">
        <is>
          <t>–</t>
        </is>
      </c>
      <c r="Q9" s="282" t="inlineStr">
        <is>
          <t>–</t>
        </is>
      </c>
      <c r="R9" s="282" t="inlineStr">
        <is>
          <t>–</t>
        </is>
      </c>
      <c r="S9" s="252" t="inlineStr">
        <is>
          <t>ASSUMED 50% × $50 + 10% × $300 = $55; undisclosed products</t>
        </is>
      </c>
    </row>
    <row r="10">
      <c r="B10" s="254" t="inlineStr">
        <is>
          <t>Core RPU at the FY26 price level</t>
        </is>
      </c>
      <c r="C10" s="279" t="inlineStr">
        <is>
          <t>$</t>
        </is>
      </c>
      <c r="D10" s="423">
        <f>D23</f>
        <v/>
      </c>
      <c r="E10" s="423">
        <f>E23</f>
        <v/>
      </c>
      <c r="F10" s="423">
        <f>F23</f>
        <v/>
      </c>
      <c r="G10" s="423">
        <f>G23</f>
        <v/>
      </c>
      <c r="H10" s="282" t="inlineStr">
        <is>
          <t>–</t>
        </is>
      </c>
      <c r="I10" s="282" t="inlineStr">
        <is>
          <t>–</t>
        </is>
      </c>
      <c r="J10" s="282" t="inlineStr">
        <is>
          <t>–</t>
        </is>
      </c>
      <c r="K10" s="282" t="inlineStr">
        <is>
          <t>–</t>
        </is>
      </c>
      <c r="L10" s="282" t="inlineStr">
        <is>
          <t>–</t>
        </is>
      </c>
      <c r="M10" s="282" t="inlineStr">
        <is>
          <t>–</t>
        </is>
      </c>
      <c r="N10" s="282" t="inlineStr">
        <is>
          <t>–</t>
        </is>
      </c>
      <c r="O10" s="282" t="inlineStr">
        <is>
          <t>–</t>
        </is>
      </c>
      <c r="P10" s="282" t="inlineStr">
        <is>
          <t>–</t>
        </is>
      </c>
      <c r="Q10" s="282" t="inlineStr">
        <is>
          <t>–</t>
        </is>
      </c>
      <c r="R10" s="282" t="inlineStr">
        <is>
          <t>–</t>
        </is>
      </c>
    </row>
    <row r="11">
      <c r="B11" s="249" t="inlineStr">
        <is>
          <t>Implied US insurance units</t>
        </is>
      </c>
      <c r="C11" s="279" t="inlineStr">
        <is>
          <t>000s</t>
        </is>
      </c>
      <c r="D11" s="260">
        <f>D8*1000/(D10+D9)</f>
        <v/>
      </c>
      <c r="E11" s="260">
        <f>E8*1000/(E10+E9)</f>
        <v/>
      </c>
      <c r="F11" s="260">
        <f>F8*1000/(F10+F9)</f>
        <v/>
      </c>
      <c r="G11" s="260">
        <f>G8*1000/(G10+G9)</f>
        <v/>
      </c>
      <c r="H11" s="282" t="inlineStr">
        <is>
          <t>–</t>
        </is>
      </c>
      <c r="I11" s="282" t="inlineStr">
        <is>
          <t>–</t>
        </is>
      </c>
      <c r="J11" s="282" t="inlineStr">
        <is>
          <t>–</t>
        </is>
      </c>
      <c r="K11" s="282" t="inlineStr">
        <is>
          <t>–</t>
        </is>
      </c>
      <c r="L11" s="282" t="inlineStr">
        <is>
          <t>–</t>
        </is>
      </c>
      <c r="M11" s="282" t="inlineStr">
        <is>
          <t>–</t>
        </is>
      </c>
      <c r="N11" s="282" t="inlineStr">
        <is>
          <t>–</t>
        </is>
      </c>
      <c r="O11" s="282" t="inlineStr">
        <is>
          <t>–</t>
        </is>
      </c>
      <c r="P11" s="260">
        <f>SUM(D11:G11)</f>
        <v/>
      </c>
      <c r="Q11" s="282" t="inlineStr">
        <is>
          <t>–</t>
        </is>
      </c>
      <c r="R11" s="282" t="inlineStr">
        <is>
          <t>–</t>
        </is>
      </c>
      <c r="S11" s="252" t="inlineStr">
        <is>
          <t>Inferred by identity; labelled MODELED, not disclosed</t>
        </is>
      </c>
    </row>
    <row r="12">
      <c r="B12" s="274" t="inlineStr">
        <is>
          <t xml:space="preserve">   y/y (diagnostic; FY27+ comes from Scenarios)</t>
        </is>
      </c>
      <c r="C12" s="279" t="inlineStr">
        <is>
          <t>%</t>
        </is>
      </c>
    </row>
    <row r="14">
      <c r="B14" s="271" t="inlineStr">
        <is>
          <t>B. Vehicle prices: US insurance ASP, base path (continuation; thesis B price change applied in Scenarios)</t>
        </is>
      </c>
      <c r="C14" s="272" t="n"/>
      <c r="D14" s="272" t="n"/>
      <c r="E14" s="272" t="n"/>
      <c r="F14" s="272" t="n"/>
      <c r="G14" s="272" t="n"/>
      <c r="H14" s="272" t="n"/>
      <c r="I14" s="272" t="n"/>
      <c r="J14" s="272" t="n"/>
      <c r="K14" s="272" t="n"/>
      <c r="L14" s="272" t="n"/>
      <c r="M14" s="272" t="n"/>
      <c r="N14" s="272" t="n"/>
      <c r="O14" s="272" t="n"/>
      <c r="P14" s="272" t="n"/>
      <c r="Q14" s="272" t="n"/>
      <c r="R14" s="272" t="n"/>
      <c r="S14" s="272" t="n"/>
    </row>
    <row r="15">
      <c r="B15" s="249" t="inlineStr">
        <is>
          <t>US insurance ASP, base path</t>
        </is>
      </c>
      <c r="C15" s="279" t="inlineStr">
        <is>
          <t>$</t>
        </is>
      </c>
      <c r="D15" s="423">
        <f>$D$45</f>
        <v/>
      </c>
      <c r="E15" s="423">
        <f>$D$45</f>
        <v/>
      </c>
      <c r="F15" s="423">
        <f>$D$45</f>
        <v/>
      </c>
      <c r="G15" s="423">
        <f>$D$45</f>
        <v/>
      </c>
      <c r="H15" s="465">
        <f>D15*(1+$D$44)</f>
        <v/>
      </c>
      <c r="I15" s="465">
        <f>E15*(1+$D$44)</f>
        <v/>
      </c>
      <c r="J15" s="465">
        <f>F15*(1+$D$44)</f>
        <v/>
      </c>
      <c r="K15" s="465">
        <f>G15*(1+$D$44)</f>
        <v/>
      </c>
      <c r="L15" s="465">
        <f>H15*(1+$D$44)</f>
        <v/>
      </c>
      <c r="M15" s="465">
        <f>I15*(1+$D$44)</f>
        <v/>
      </c>
      <c r="N15" s="465">
        <f>J15*(1+$D$44)</f>
        <v/>
      </c>
      <c r="O15" s="465">
        <f>K15*(1+$D$44)</f>
        <v/>
      </c>
      <c r="P15" s="282" t="inlineStr">
        <is>
          <t>–</t>
        </is>
      </c>
      <c r="Q15" s="282" t="inlineStr">
        <is>
          <t>–</t>
        </is>
      </c>
      <c r="R15" s="282" t="inlineStr">
        <is>
          <t>–</t>
        </is>
      </c>
      <c r="S15" s="252" t="inlineStr">
        <is>
          <t>FY26 level is the engine's modeled selected-vehicle price (ENGINE, $3,041), held flat within FY26; FY27+ grows at the input rate</t>
        </is>
      </c>
    </row>
    <row r="16">
      <c r="B16" s="274" t="inlineStr">
        <is>
          <t xml:space="preserve">   y/y</t>
        </is>
      </c>
      <c r="C16" s="279" t="inlineStr">
        <is>
          <t>%</t>
        </is>
      </c>
      <c r="D16" s="282" t="inlineStr">
        <is>
          <t>–</t>
        </is>
      </c>
      <c r="E16" s="282" t="inlineStr">
        <is>
          <t>–</t>
        </is>
      </c>
      <c r="F16" s="282" t="inlineStr">
        <is>
          <t>–</t>
        </is>
      </c>
      <c r="G16" s="282" t="inlineStr">
        <is>
          <t>–</t>
        </is>
      </c>
      <c r="H16" s="327">
        <f>H15/D15-1</f>
        <v/>
      </c>
      <c r="I16" s="327">
        <f>I15/E15-1</f>
        <v/>
      </c>
      <c r="J16" s="327">
        <f>J15/F15-1</f>
        <v/>
      </c>
      <c r="K16" s="327">
        <f>K15/G15-1</f>
        <v/>
      </c>
      <c r="L16" s="327">
        <f>L15/H15-1</f>
        <v/>
      </c>
      <c r="M16" s="327">
        <f>M15/I15-1</f>
        <v/>
      </c>
      <c r="N16" s="327">
        <f>N15/J15-1</f>
        <v/>
      </c>
      <c r="O16" s="327">
        <f>O15/K15-1</f>
        <v/>
      </c>
      <c r="P16" s="282" t="inlineStr">
        <is>
          <t>–</t>
        </is>
      </c>
      <c r="Q16" s="282" t="inlineStr">
        <is>
          <t>–</t>
        </is>
      </c>
      <c r="R16" s="282" t="inlineStr">
        <is>
          <t>–</t>
        </is>
      </c>
    </row>
    <row r="17">
      <c r="B17" s="274" t="inlineStr">
        <is>
          <t>Reference: disclosed US insurance ASP y/y (FQ4 FY26 +3.7%; Manheim +2.8%)</t>
        </is>
      </c>
      <c r="C17" s="279" t="inlineStr">
        <is>
          <t>%</t>
        </is>
      </c>
      <c r="D17" s="282" t="inlineStr">
        <is>
          <t>–</t>
        </is>
      </c>
      <c r="E17" s="252" t="inlineStr">
        <is>
          <t>Manheim →</t>
        </is>
      </c>
      <c r="F17" s="273">
        <f>'D Facts'!$D$6</f>
        <v/>
      </c>
      <c r="G17" s="273">
        <f>'D Facts'!$D$5</f>
        <v/>
      </c>
      <c r="H17" s="282" t="inlineStr">
        <is>
          <t>–</t>
        </is>
      </c>
      <c r="I17" s="282" t="inlineStr">
        <is>
          <t>–</t>
        </is>
      </c>
      <c r="J17" s="282" t="inlineStr">
        <is>
          <t>–</t>
        </is>
      </c>
      <c r="K17" s="282" t="inlineStr">
        <is>
          <t>–</t>
        </is>
      </c>
      <c r="L17" s="282" t="inlineStr">
        <is>
          <t>–</t>
        </is>
      </c>
      <c r="M17" s="282" t="inlineStr">
        <is>
          <t>–</t>
        </is>
      </c>
      <c r="N17" s="282" t="inlineStr">
        <is>
          <t>–</t>
        </is>
      </c>
      <c r="O17" s="282" t="inlineStr">
        <is>
          <t>–</t>
        </is>
      </c>
      <c r="P17" s="282" t="inlineStr">
        <is>
          <t>–</t>
        </is>
      </c>
      <c r="Q17" s="282" t="inlineStr">
        <is>
          <t>–</t>
        </is>
      </c>
      <c r="R17" s="282" t="inlineStr">
        <is>
          <t>–</t>
        </is>
      </c>
      <c r="S17" s="252" t="inlineStr">
        <is>
          <t>VERIFIED, call 10 Sep 2026</t>
        </is>
      </c>
    </row>
    <row r="19">
      <c r="B19" s="271" t="inlineStr">
        <is>
          <t>C. Fee economics per sold insurance vehicle (posted grid summarised by an elasticity; grid itself on D Fees)</t>
        </is>
      </c>
      <c r="C19" s="272" t="n"/>
      <c r="D19" s="272" t="n"/>
      <c r="E19" s="272" t="n"/>
      <c r="F19" s="272" t="n"/>
      <c r="G19" s="272" t="n"/>
      <c r="H19" s="272" t="n"/>
      <c r="I19" s="272" t="n"/>
      <c r="J19" s="272" t="n"/>
      <c r="K19" s="272" t="n"/>
      <c r="L19" s="272" t="n"/>
      <c r="M19" s="272" t="n"/>
      <c r="N19" s="272" t="n"/>
      <c r="O19" s="272" t="n"/>
      <c r="P19" s="272" t="n"/>
      <c r="Q19" s="272" t="n"/>
      <c r="R19" s="272" t="n"/>
      <c r="S19" s="272" t="n"/>
    </row>
    <row r="20">
      <c r="B20" s="254" t="inlineStr">
        <is>
          <t>Buyer variable fee  β × (ASP ÷ ASP₀)^ε_b</t>
        </is>
      </c>
      <c r="C20" s="279" t="inlineStr">
        <is>
          <t>$</t>
        </is>
      </c>
      <c r="D20" s="423">
        <f>$D$50*(D15/$D$45)^$D$51</f>
        <v/>
      </c>
      <c r="E20" s="423">
        <f>$D$50*(E15/$D$45)^$D$51</f>
        <v/>
      </c>
      <c r="F20" s="423">
        <f>$D$50*(F15/$D$45)^$D$51</f>
        <v/>
      </c>
      <c r="G20" s="423">
        <f>$D$50*(G15/$D$45)^$D$51</f>
        <v/>
      </c>
      <c r="H20" s="423">
        <f>$D$50*(H15/$D$45)^$D$51</f>
        <v/>
      </c>
      <c r="I20" s="423">
        <f>$D$50*(I15/$D$45)^$D$51</f>
        <v/>
      </c>
      <c r="J20" s="423">
        <f>$D$50*(J15/$D$45)^$D$51</f>
        <v/>
      </c>
      <c r="K20" s="423">
        <f>$D$50*(K15/$D$45)^$D$51</f>
        <v/>
      </c>
      <c r="L20" s="423">
        <f>$D$50*(L15/$D$45)^$D$51</f>
        <v/>
      </c>
      <c r="M20" s="423">
        <f>$D$50*(M15/$D$45)^$D$51</f>
        <v/>
      </c>
      <c r="N20" s="423">
        <f>$D$50*(N15/$D$45)^$D$51</f>
        <v/>
      </c>
      <c r="O20" s="423">
        <f>$D$50*(O15/$D$45)^$D$51</f>
        <v/>
      </c>
      <c r="P20" s="282" t="inlineStr">
        <is>
          <t>–</t>
        </is>
      </c>
      <c r="Q20" s="282" t="inlineStr">
        <is>
          <t>–</t>
        </is>
      </c>
      <c r="R20" s="282" t="inlineStr">
        <is>
          <t>–</t>
        </is>
      </c>
      <c r="S20" s="252" t="inlineStr">
        <is>
          <t>β and ε_b derived from the engine's 1,024-node fee integration (Inputs rows 46–51)</t>
        </is>
      </c>
    </row>
    <row r="21">
      <c r="B21" s="254" t="inlineStr">
        <is>
          <t>Seller commission  (rate from E3, base)</t>
        </is>
      </c>
      <c r="C21" s="279" t="inlineStr">
        <is>
          <t>$</t>
        </is>
      </c>
      <c r="D21" s="416">
        <f>'E3 Carriers'!D$55*D15</f>
        <v/>
      </c>
      <c r="E21" s="416">
        <f>'E3 Carriers'!E$55*E15</f>
        <v/>
      </c>
      <c r="F21" s="416">
        <f>'E3 Carriers'!F$55*F15</f>
        <v/>
      </c>
      <c r="G21" s="416">
        <f>'E3 Carriers'!G$55*G15</f>
        <v/>
      </c>
      <c r="H21" s="416">
        <f>'E3 Carriers'!H$55*H15</f>
        <v/>
      </c>
      <c r="I21" s="416">
        <f>'E3 Carriers'!I$55*I15</f>
        <v/>
      </c>
      <c r="J21" s="416">
        <f>'E3 Carriers'!J$55*J15</f>
        <v/>
      </c>
      <c r="K21" s="416">
        <f>'E3 Carriers'!K$55*K15</f>
        <v/>
      </c>
      <c r="L21" s="416">
        <f>'E3 Carriers'!L$55*L15</f>
        <v/>
      </c>
      <c r="M21" s="416">
        <f>'E3 Carriers'!M$55*M15</f>
        <v/>
      </c>
      <c r="N21" s="416">
        <f>'E3 Carriers'!N$55*N15</f>
        <v/>
      </c>
      <c r="O21" s="416">
        <f>'E3 Carriers'!O$55*O15</f>
        <v/>
      </c>
      <c r="P21" s="282" t="inlineStr">
        <is>
          <t>–</t>
        </is>
      </c>
      <c r="Q21" s="282" t="inlineStr">
        <is>
          <t>–</t>
        </is>
      </c>
      <c r="R21" s="282" t="inlineStr">
        <is>
          <t>–</t>
        </is>
      </c>
    </row>
    <row r="22">
      <c r="B22" s="254" t="inlineStr">
        <is>
          <t>Fixed buyer fees (gate, environmental)</t>
        </is>
      </c>
      <c r="C22" s="279" t="inlineStr">
        <is>
          <t>$</t>
        </is>
      </c>
      <c r="D22" s="423">
        <f>$D$48</f>
        <v/>
      </c>
      <c r="E22" s="423">
        <f>$D$48</f>
        <v/>
      </c>
      <c r="F22" s="423">
        <f>$D$48</f>
        <v/>
      </c>
      <c r="G22" s="423">
        <f>$D$48</f>
        <v/>
      </c>
      <c r="H22" s="423">
        <f>$D$48</f>
        <v/>
      </c>
      <c r="I22" s="423">
        <f>$D$48</f>
        <v/>
      </c>
      <c r="J22" s="423">
        <f>$D$48</f>
        <v/>
      </c>
      <c r="K22" s="423">
        <f>$D$48</f>
        <v/>
      </c>
      <c r="L22" s="423">
        <f>$D$48</f>
        <v/>
      </c>
      <c r="M22" s="423">
        <f>$D$48</f>
        <v/>
      </c>
      <c r="N22" s="423">
        <f>$D$48</f>
        <v/>
      </c>
      <c r="O22" s="423">
        <f>$D$48</f>
        <v/>
      </c>
      <c r="P22" s="282" t="inlineStr">
        <is>
          <t>–</t>
        </is>
      </c>
      <c r="Q22" s="282" t="inlineStr">
        <is>
          <t>–</t>
        </is>
      </c>
      <c r="R22" s="282" t="inlineStr">
        <is>
          <t>–</t>
        </is>
      </c>
      <c r="S22" s="252" t="inlineStr">
        <is>
          <t>ASSUMED $110 inherited; posted fixed fees on D Fees show gate $79/$95 — to be reconciled</t>
        </is>
      </c>
    </row>
    <row r="23">
      <c r="B23" s="249" t="inlineStr">
        <is>
          <t>Core RPU</t>
        </is>
      </c>
      <c r="C23" s="279" t="inlineStr">
        <is>
          <t>$</t>
        </is>
      </c>
      <c r="D23" s="465">
        <f>D20+D21+D22</f>
        <v/>
      </c>
      <c r="E23" s="465">
        <f>E20+E21+E22</f>
        <v/>
      </c>
      <c r="F23" s="465">
        <f>F20+F21+F22</f>
        <v/>
      </c>
      <c r="G23" s="465">
        <f>G20+G21+G22</f>
        <v/>
      </c>
      <c r="H23" s="465">
        <f>H20+H21+H22</f>
        <v/>
      </c>
      <c r="I23" s="465">
        <f>I20+I21+I22</f>
        <v/>
      </c>
      <c r="J23" s="465">
        <f>J20+J21+J22</f>
        <v/>
      </c>
      <c r="K23" s="465">
        <f>K20+K21+K22</f>
        <v/>
      </c>
      <c r="L23" s="465">
        <f>L20+L21+L22</f>
        <v/>
      </c>
      <c r="M23" s="465">
        <f>M20+M21+M22</f>
        <v/>
      </c>
      <c r="N23" s="465">
        <f>N20+N21+N22</f>
        <v/>
      </c>
      <c r="O23" s="465">
        <f>O20+O21+O22</f>
        <v/>
      </c>
      <c r="P23" s="282" t="inlineStr">
        <is>
          <t>–</t>
        </is>
      </c>
      <c r="Q23" s="282" t="inlineStr">
        <is>
          <t>–</t>
        </is>
      </c>
      <c r="R23" s="282" t="inlineStr">
        <is>
          <t>–</t>
        </is>
      </c>
    </row>
    <row r="24">
      <c r="B24" s="254" t="inlineStr">
        <is>
          <t>Attached services per sale</t>
        </is>
      </c>
      <c r="C24" s="279" t="inlineStr">
        <is>
          <t>$</t>
        </is>
      </c>
      <c r="D24" s="423">
        <f>$D$40*$D$41+$D$42*$D$43</f>
        <v/>
      </c>
      <c r="E24" s="423">
        <f>$D$40*$D$41+$D$42*$D$43</f>
        <v/>
      </c>
      <c r="F24" s="423">
        <f>$D$40*$D$41+$D$42*$D$43</f>
        <v/>
      </c>
      <c r="G24" s="423">
        <f>$D$40*$D$41+$D$42*$D$43</f>
        <v/>
      </c>
      <c r="H24" s="423">
        <f>$D$40*$D$41+$D$42*$D$43</f>
        <v/>
      </c>
      <c r="I24" s="423">
        <f>$D$40*$D$41+$D$42*$D$43</f>
        <v/>
      </c>
      <c r="J24" s="423">
        <f>$D$40*$D$41+$D$42*$D$43</f>
        <v/>
      </c>
      <c r="K24" s="423">
        <f>$D$40*$D$41+$D$42*$D$43</f>
        <v/>
      </c>
      <c r="L24" s="423">
        <f>$D$40*$D$41+$D$42*$D$43</f>
        <v/>
      </c>
      <c r="M24" s="423">
        <f>$D$40*$D$41+$D$42*$D$43</f>
        <v/>
      </c>
      <c r="N24" s="423">
        <f>$D$40*$D$41+$D$42*$D$43</f>
        <v/>
      </c>
      <c r="O24" s="423">
        <f>$D$40*$D$41+$D$42*$D$43</f>
        <v/>
      </c>
      <c r="P24" s="282" t="inlineStr">
        <is>
          <t>–</t>
        </is>
      </c>
      <c r="Q24" s="282" t="inlineStr">
        <is>
          <t>–</t>
        </is>
      </c>
      <c r="R24" s="282" t="inlineStr">
        <is>
          <t>–</t>
        </is>
      </c>
    </row>
    <row r="25">
      <c r="B25" s="249" t="inlineStr">
        <is>
          <t>All-in insurance RPU, base</t>
        </is>
      </c>
      <c r="C25" s="279" t="inlineStr">
        <is>
          <t>$</t>
        </is>
      </c>
      <c r="D25" s="465">
        <f>D23+D24</f>
        <v/>
      </c>
      <c r="E25" s="465">
        <f>E23+E24</f>
        <v/>
      </c>
      <c r="F25" s="465">
        <f>F23+F24</f>
        <v/>
      </c>
      <c r="G25" s="465">
        <f>G23+G24</f>
        <v/>
      </c>
      <c r="H25" s="465">
        <f>H23+H24</f>
        <v/>
      </c>
      <c r="I25" s="465">
        <f>I23+I24</f>
        <v/>
      </c>
      <c r="J25" s="465">
        <f>J23+J24</f>
        <v/>
      </c>
      <c r="K25" s="465">
        <f>K23+K24</f>
        <v/>
      </c>
      <c r="L25" s="465">
        <f>L23+L24</f>
        <v/>
      </c>
      <c r="M25" s="465">
        <f>M23+M24</f>
        <v/>
      </c>
      <c r="N25" s="465">
        <f>N23+N24</f>
        <v/>
      </c>
      <c r="O25" s="465">
        <f>O23+O24</f>
        <v/>
      </c>
      <c r="P25" s="282" t="inlineStr">
        <is>
          <t>–</t>
        </is>
      </c>
      <c r="Q25" s="282" t="inlineStr">
        <is>
          <t>–</t>
        </is>
      </c>
      <c r="R25" s="282" t="inlineStr">
        <is>
          <t>–</t>
        </is>
      </c>
    </row>
    <row r="26">
      <c r="B26" s="274" t="inlineStr">
        <is>
          <t xml:space="preserve">   y/y</t>
        </is>
      </c>
      <c r="C26" s="279" t="inlineStr">
        <is>
          <t>%</t>
        </is>
      </c>
      <c r="D26" s="282" t="inlineStr">
        <is>
          <t>–</t>
        </is>
      </c>
      <c r="E26" s="282" t="inlineStr">
        <is>
          <t>–</t>
        </is>
      </c>
      <c r="F26" s="282" t="inlineStr">
        <is>
          <t>–</t>
        </is>
      </c>
      <c r="G26" s="282" t="inlineStr">
        <is>
          <t>–</t>
        </is>
      </c>
      <c r="H26" s="327">
        <f>H25/D25-1</f>
        <v/>
      </c>
      <c r="I26" s="327">
        <f>I25/E25-1</f>
        <v/>
      </c>
      <c r="J26" s="327">
        <f>J25/F25-1</f>
        <v/>
      </c>
      <c r="K26" s="327">
        <f>K25/G25-1</f>
        <v/>
      </c>
      <c r="L26" s="327">
        <f>L25/H25-1</f>
        <v/>
      </c>
      <c r="M26" s="327">
        <f>M25/I25-1</f>
        <v/>
      </c>
      <c r="N26" s="327">
        <f>N25/J25-1</f>
        <v/>
      </c>
      <c r="O26" s="327">
        <f>O25/K25-1</f>
        <v/>
      </c>
      <c r="P26" s="282" t="inlineStr">
        <is>
          <t>–</t>
        </is>
      </c>
      <c r="Q26" s="282" t="inlineStr">
        <is>
          <t>–</t>
        </is>
      </c>
      <c r="R26" s="282" t="inlineStr">
        <is>
          <t>–</t>
        </is>
      </c>
    </row>
    <row r="28">
      <c r="B28" s="252" t="inlineStr">
        <is>
          <t>Feeds →  Scenarios (FY26 units row 11; ASP path row 15; fee parameters Inputs rows 45–51; attached services row 24)</t>
        </is>
      </c>
    </row>
    <row r="38">
      <c r="B38" s="246" t="inlineStr">
        <is>
          <t>Inputs</t>
        </is>
      </c>
      <c r="C38" s="247" t="n"/>
      <c r="D38" s="248" t="inlineStr">
        <is>
          <t>Value</t>
        </is>
      </c>
      <c r="E38" s="248" t="inlineStr">
        <is>
          <t>Label</t>
        </is>
      </c>
      <c r="F38" s="247" t="n"/>
      <c r="G38" s="247" t="n"/>
      <c r="H38" s="247" t="n"/>
      <c r="I38" s="247" t="n"/>
      <c r="J38" s="247" t="n"/>
      <c r="K38" s="247" t="n"/>
      <c r="L38" s="247" t="n"/>
      <c r="M38" s="247" t="n"/>
      <c r="N38" s="247" t="n"/>
      <c r="O38" s="247" t="n"/>
      <c r="P38" s="247" t="n"/>
      <c r="Q38" s="247" t="n"/>
      <c r="R38" s="247" t="n"/>
      <c r="S38" s="247" t="n"/>
    </row>
    <row r="39">
      <c r="B39" s="254" t="inlineStr">
        <is>
          <t>Insurance share of US service dollars</t>
        </is>
      </c>
      <c r="D39" s="349" t="n">
        <v>0.9</v>
      </c>
      <c r="E39" s="252" t="inlineStr">
        <is>
          <t>ASSUMED</t>
        </is>
      </c>
      <c r="F39" s="282" t="inlineStr">
        <is>
          <t>–</t>
        </is>
      </c>
      <c r="G39" s="282" t="inlineStr">
        <is>
          <t>–</t>
        </is>
      </c>
      <c r="H39" s="282" t="inlineStr">
        <is>
          <t>–</t>
        </is>
      </c>
      <c r="I39" s="282" t="inlineStr">
        <is>
          <t>–</t>
        </is>
      </c>
      <c r="J39" s="282" t="inlineStr">
        <is>
          <t>–</t>
        </is>
      </c>
      <c r="K39" s="282" t="inlineStr">
        <is>
          <t>–</t>
        </is>
      </c>
      <c r="L39" s="282" t="inlineStr">
        <is>
          <t>–</t>
        </is>
      </c>
      <c r="M39" s="282" t="inlineStr">
        <is>
          <t>–</t>
        </is>
      </c>
      <c r="N39" s="282" t="inlineStr">
        <is>
          <t>–</t>
        </is>
      </c>
      <c r="O39" s="282" t="inlineStr">
        <is>
          <t>–</t>
        </is>
      </c>
      <c r="P39" s="282" t="inlineStr">
        <is>
          <t>–</t>
        </is>
      </c>
      <c r="Q39" s="282" t="inlineStr">
        <is>
          <t>–</t>
        </is>
      </c>
      <c r="R39" s="282" t="inlineStr">
        <is>
          <t>–</t>
        </is>
      </c>
      <c r="S39" s="252" t="inlineStr">
        <is>
          <t>0.80 alternative; carry both</t>
        </is>
      </c>
    </row>
    <row r="40">
      <c r="B40" s="254" t="inlineStr">
        <is>
          <t>Title service: adoption (share of sales)</t>
        </is>
      </c>
      <c r="D40" s="330" t="n">
        <v>0.5</v>
      </c>
      <c r="E40" s="252" t="inlineStr">
        <is>
          <t>ASSUMED</t>
        </is>
      </c>
      <c r="F40" s="282" t="inlineStr">
        <is>
          <t>–</t>
        </is>
      </c>
      <c r="G40" s="282" t="inlineStr">
        <is>
          <t>–</t>
        </is>
      </c>
      <c r="H40" s="282" t="inlineStr">
        <is>
          <t>–</t>
        </is>
      </c>
      <c r="I40" s="282" t="inlineStr">
        <is>
          <t>–</t>
        </is>
      </c>
      <c r="J40" s="282" t="inlineStr">
        <is>
          <t>–</t>
        </is>
      </c>
      <c r="K40" s="282" t="inlineStr">
        <is>
          <t>–</t>
        </is>
      </c>
      <c r="L40" s="282" t="inlineStr">
        <is>
          <t>–</t>
        </is>
      </c>
      <c r="M40" s="282" t="inlineStr">
        <is>
          <t>–</t>
        </is>
      </c>
      <c r="N40" s="282" t="inlineStr">
        <is>
          <t>–</t>
        </is>
      </c>
      <c r="O40" s="282" t="inlineStr">
        <is>
          <t>–</t>
        </is>
      </c>
      <c r="P40" s="282" t="inlineStr">
        <is>
          <t>–</t>
        </is>
      </c>
      <c r="Q40" s="282" t="inlineStr">
        <is>
          <t>–</t>
        </is>
      </c>
      <c r="R40" s="282" t="inlineStr">
        <is>
          <t>–</t>
        </is>
      </c>
      <c r="S40" s="252" t="inlineStr">
        <is>
          <t>Undisclosed</t>
        </is>
      </c>
    </row>
    <row r="41">
      <c r="B41" s="254" t="inlineStr">
        <is>
          <t>Title service: charge per job</t>
        </is>
      </c>
      <c r="D41" s="466" t="n">
        <v>50</v>
      </c>
      <c r="E41" s="252" t="inlineStr">
        <is>
          <t>ASSUMED</t>
        </is>
      </c>
      <c r="F41" s="282" t="inlineStr">
        <is>
          <t>–</t>
        </is>
      </c>
      <c r="G41" s="282" t="inlineStr">
        <is>
          <t>–</t>
        </is>
      </c>
      <c r="H41" s="282" t="inlineStr">
        <is>
          <t>–</t>
        </is>
      </c>
      <c r="I41" s="282" t="inlineStr">
        <is>
          <t>–</t>
        </is>
      </c>
      <c r="J41" s="282" t="inlineStr">
        <is>
          <t>–</t>
        </is>
      </c>
      <c r="K41" s="282" t="inlineStr">
        <is>
          <t>–</t>
        </is>
      </c>
      <c r="L41" s="282" t="inlineStr">
        <is>
          <t>–</t>
        </is>
      </c>
      <c r="M41" s="282" t="inlineStr">
        <is>
          <t>–</t>
        </is>
      </c>
      <c r="N41" s="282" t="inlineStr">
        <is>
          <t>–</t>
        </is>
      </c>
      <c r="O41" s="282" t="inlineStr">
        <is>
          <t>–</t>
        </is>
      </c>
      <c r="P41" s="282" t="inlineStr">
        <is>
          <t>–</t>
        </is>
      </c>
      <c r="Q41" s="282" t="inlineStr">
        <is>
          <t>–</t>
        </is>
      </c>
      <c r="R41" s="282" t="inlineStr">
        <is>
          <t>–</t>
        </is>
      </c>
      <c r="S41" s="252" t="inlineStr">
        <is>
          <t>Inherited with the adoption rate above; product price undisclosed</t>
        </is>
      </c>
    </row>
    <row r="42">
      <c r="B42" s="254" t="inlineStr">
        <is>
          <t>Delivery service: adoption</t>
        </is>
      </c>
      <c r="D42" s="330" t="n">
        <v>0.1</v>
      </c>
      <c r="E42" s="252" t="inlineStr">
        <is>
          <t>ASSUMED</t>
        </is>
      </c>
      <c r="F42" s="282" t="inlineStr">
        <is>
          <t>–</t>
        </is>
      </c>
      <c r="G42" s="282" t="inlineStr">
        <is>
          <t>–</t>
        </is>
      </c>
      <c r="H42" s="282" t="inlineStr">
        <is>
          <t>–</t>
        </is>
      </c>
      <c r="I42" s="282" t="inlineStr">
        <is>
          <t>–</t>
        </is>
      </c>
      <c r="J42" s="282" t="inlineStr">
        <is>
          <t>–</t>
        </is>
      </c>
      <c r="K42" s="282" t="inlineStr">
        <is>
          <t>–</t>
        </is>
      </c>
      <c r="L42" s="282" t="inlineStr">
        <is>
          <t>–</t>
        </is>
      </c>
      <c r="M42" s="282" t="inlineStr">
        <is>
          <t>–</t>
        </is>
      </c>
      <c r="N42" s="282" t="inlineStr">
        <is>
          <t>–</t>
        </is>
      </c>
      <c r="O42" s="282" t="inlineStr">
        <is>
          <t>–</t>
        </is>
      </c>
      <c r="P42" s="282" t="inlineStr">
        <is>
          <t>–</t>
        </is>
      </c>
      <c r="Q42" s="282" t="inlineStr">
        <is>
          <t>–</t>
        </is>
      </c>
      <c r="R42" s="282" t="inlineStr">
        <is>
          <t>–</t>
        </is>
      </c>
      <c r="S42" s="252" t="inlineStr">
        <is>
          <t>Undisclosed; gross/net unknown</t>
        </is>
      </c>
    </row>
    <row r="43">
      <c r="B43" s="254" t="inlineStr">
        <is>
          <t>Delivery service: charge per job</t>
        </is>
      </c>
      <c r="D43" s="466" t="n">
        <v>300</v>
      </c>
      <c r="E43" s="252" t="inlineStr">
        <is>
          <t>ASSUMED</t>
        </is>
      </c>
      <c r="F43" s="282" t="inlineStr">
        <is>
          <t>–</t>
        </is>
      </c>
      <c r="G43" s="282" t="inlineStr">
        <is>
          <t>–</t>
        </is>
      </c>
      <c r="H43" s="282" t="inlineStr">
        <is>
          <t>–</t>
        </is>
      </c>
      <c r="I43" s="282" t="inlineStr">
        <is>
          <t>–</t>
        </is>
      </c>
      <c r="J43" s="282" t="inlineStr">
        <is>
          <t>–</t>
        </is>
      </c>
      <c r="K43" s="282" t="inlineStr">
        <is>
          <t>–</t>
        </is>
      </c>
      <c r="L43" s="282" t="inlineStr">
        <is>
          <t>–</t>
        </is>
      </c>
      <c r="M43" s="282" t="inlineStr">
        <is>
          <t>–</t>
        </is>
      </c>
      <c r="N43" s="282" t="inlineStr">
        <is>
          <t>–</t>
        </is>
      </c>
      <c r="O43" s="282" t="inlineStr">
        <is>
          <t>–</t>
        </is>
      </c>
      <c r="P43" s="282" t="inlineStr">
        <is>
          <t>–</t>
        </is>
      </c>
      <c r="Q43" s="282" t="inlineStr">
        <is>
          <t>–</t>
        </is>
      </c>
      <c r="R43" s="282" t="inlineStr">
        <is>
          <t>–</t>
        </is>
      </c>
      <c r="S43" s="252" t="inlineStr">
        <is>
          <t>Inherited; gross charge per delivered vehicle, product price undisclosed</t>
        </is>
      </c>
    </row>
    <row r="44">
      <c r="B44" s="254" t="inlineStr">
        <is>
          <t>US insurance ASP growth, FY27+ (continuation)</t>
        </is>
      </c>
      <c r="D44" s="330" t="n">
        <v>0.037</v>
      </c>
      <c r="E44" s="252" t="inlineStr">
        <is>
          <t>ASSUMED</t>
        </is>
      </c>
      <c r="F44" s="282" t="inlineStr">
        <is>
          <t>–</t>
        </is>
      </c>
      <c r="G44" s="282" t="inlineStr">
        <is>
          <t>–</t>
        </is>
      </c>
      <c r="H44" s="282" t="inlineStr">
        <is>
          <t>–</t>
        </is>
      </c>
      <c r="I44" s="282" t="inlineStr">
        <is>
          <t>–</t>
        </is>
      </c>
      <c r="J44" s="282" t="inlineStr">
        <is>
          <t>–</t>
        </is>
      </c>
      <c r="K44" s="282" t="inlineStr">
        <is>
          <t>–</t>
        </is>
      </c>
      <c r="L44" s="282" t="inlineStr">
        <is>
          <t>–</t>
        </is>
      </c>
      <c r="M44" s="282" t="inlineStr">
        <is>
          <t>–</t>
        </is>
      </c>
      <c r="N44" s="282" t="inlineStr">
        <is>
          <t>–</t>
        </is>
      </c>
      <c r="O44" s="282" t="inlineStr">
        <is>
          <t>–</t>
        </is>
      </c>
      <c r="P44" s="282" t="inlineStr">
        <is>
          <t>–</t>
        </is>
      </c>
      <c r="Q44" s="282" t="inlineStr">
        <is>
          <t>–</t>
        </is>
      </c>
      <c r="R44" s="282" t="inlineStr">
        <is>
          <t>–</t>
        </is>
      </c>
      <c r="S44" s="252" t="inlineStr">
        <is>
          <t>FQ4 FY26 disclosed +3.7% continued; not guidance (6% alternative)</t>
        </is>
      </c>
    </row>
    <row r="45">
      <c r="B45" s="254" t="inlineStr">
        <is>
          <t>ASP₀: modeled selected-vehicle price at the FY26 anchor</t>
        </is>
      </c>
      <c r="D45" s="275">
        <f>'D Facts'!$D$36</f>
        <v/>
      </c>
      <c r="E45" s="252" t="inlineStr">
        <is>
          <t>ENGINE</t>
        </is>
      </c>
      <c r="F45" s="282" t="inlineStr">
        <is>
          <t>–</t>
        </is>
      </c>
      <c r="G45" s="282" t="inlineStr">
        <is>
          <t>–</t>
        </is>
      </c>
      <c r="H45" s="282" t="inlineStr">
        <is>
          <t>–</t>
        </is>
      </c>
      <c r="I45" s="282" t="inlineStr">
        <is>
          <t>–</t>
        </is>
      </c>
      <c r="J45" s="282" t="inlineStr">
        <is>
          <t>–</t>
        </is>
      </c>
      <c r="K45" s="282" t="inlineStr">
        <is>
          <t>–</t>
        </is>
      </c>
      <c r="L45" s="282" t="inlineStr">
        <is>
          <t>–</t>
        </is>
      </c>
      <c r="M45" s="282" t="inlineStr">
        <is>
          <t>–</t>
        </is>
      </c>
      <c r="N45" s="282" t="inlineStr">
        <is>
          <t>–</t>
        </is>
      </c>
      <c r="O45" s="282" t="inlineStr">
        <is>
          <t>–</t>
        </is>
      </c>
      <c r="P45" s="282" t="inlineStr">
        <is>
          <t>–</t>
        </is>
      </c>
      <c r="Q45" s="282" t="inlineStr">
        <is>
          <t>–</t>
        </is>
      </c>
      <c r="R45" s="282" t="inlineStr">
        <is>
          <t>–</t>
        </is>
      </c>
      <c r="S45" s="252" t="inlineStr">
        <is>
          <t>age_constrained_engine_results.json baseline_core.ASP</t>
        </is>
      </c>
    </row>
    <row r="46">
      <c r="B46" s="254" t="inlineStr">
        <is>
          <t>Core RPU at the anchor (buyer fees + seller commission + fixed fees)</t>
        </is>
      </c>
      <c r="D46" s="275">
        <f>'D Facts'!$D$37</f>
        <v/>
      </c>
      <c r="E46" s="252" t="inlineStr">
        <is>
          <t>ENGINE</t>
        </is>
      </c>
      <c r="F46" s="282" t="inlineStr">
        <is>
          <t>–</t>
        </is>
      </c>
      <c r="G46" s="282" t="inlineStr">
        <is>
          <t>–</t>
        </is>
      </c>
      <c r="H46" s="282" t="inlineStr">
        <is>
          <t>–</t>
        </is>
      </c>
      <c r="I46" s="282" t="inlineStr">
        <is>
          <t>–</t>
        </is>
      </c>
      <c r="J46" s="282" t="inlineStr">
        <is>
          <t>–</t>
        </is>
      </c>
      <c r="K46" s="282" t="inlineStr">
        <is>
          <t>–</t>
        </is>
      </c>
      <c r="L46" s="282" t="inlineStr">
        <is>
          <t>–</t>
        </is>
      </c>
      <c r="M46" s="282" t="inlineStr">
        <is>
          <t>–</t>
        </is>
      </c>
      <c r="N46" s="282" t="inlineStr">
        <is>
          <t>–</t>
        </is>
      </c>
      <c r="O46" s="282" t="inlineStr">
        <is>
          <t>–</t>
        </is>
      </c>
      <c r="P46" s="282" t="inlineStr">
        <is>
          <t>–</t>
        </is>
      </c>
      <c r="Q46" s="282" t="inlineStr">
        <is>
          <t>–</t>
        </is>
      </c>
      <c r="R46" s="282" t="inlineStr">
        <is>
          <t>–</t>
        </is>
      </c>
      <c r="S46" s="252" t="inlineStr">
        <is>
          <t>baseline_core.core_RPU</t>
        </is>
      </c>
    </row>
    <row r="47">
      <c r="B47" s="254" t="inlineStr">
        <is>
          <t>Seller commission rate embedded in the anchor</t>
        </is>
      </c>
      <c r="D47" s="330" t="n">
        <v>0.04</v>
      </c>
      <c r="E47" s="252" t="inlineStr">
        <is>
          <t>ASSUMED</t>
        </is>
      </c>
      <c r="F47" s="282" t="inlineStr">
        <is>
          <t>–</t>
        </is>
      </c>
      <c r="G47" s="282" t="inlineStr">
        <is>
          <t>–</t>
        </is>
      </c>
      <c r="H47" s="282" t="inlineStr">
        <is>
          <t>–</t>
        </is>
      </c>
      <c r="I47" s="282" t="inlineStr">
        <is>
          <t>–</t>
        </is>
      </c>
      <c r="J47" s="282" t="inlineStr">
        <is>
          <t>–</t>
        </is>
      </c>
      <c r="K47" s="282" t="inlineStr">
        <is>
          <t>–</t>
        </is>
      </c>
      <c r="L47" s="282" t="inlineStr">
        <is>
          <t>–</t>
        </is>
      </c>
      <c r="M47" s="282" t="inlineStr">
        <is>
          <t>–</t>
        </is>
      </c>
      <c r="N47" s="282" t="inlineStr">
        <is>
          <t>–</t>
        </is>
      </c>
      <c r="O47" s="282" t="inlineStr">
        <is>
          <t>–</t>
        </is>
      </c>
      <c r="P47" s="282" t="inlineStr">
        <is>
          <t>–</t>
        </is>
      </c>
      <c r="Q47" s="282" t="inlineStr">
        <is>
          <t>–</t>
        </is>
      </c>
      <c r="R47" s="282" t="inlineStr">
        <is>
          <t>–</t>
        </is>
      </c>
      <c r="S47" s="252" t="inlineStr">
        <is>
          <t>driver_register buyer_and_seller_fees</t>
        </is>
      </c>
    </row>
    <row r="48">
      <c r="B48" s="254" t="inlineStr">
        <is>
          <t>Fixed buyer fees embedded in the anchor</t>
        </is>
      </c>
      <c r="D48" s="466" t="n">
        <v>110</v>
      </c>
      <c r="E48" s="252" t="inlineStr">
        <is>
          <t>ASSUMED</t>
        </is>
      </c>
      <c r="F48" s="282" t="inlineStr">
        <is>
          <t>–</t>
        </is>
      </c>
      <c r="G48" s="282" t="inlineStr">
        <is>
          <t>–</t>
        </is>
      </c>
      <c r="H48" s="282" t="inlineStr">
        <is>
          <t>–</t>
        </is>
      </c>
      <c r="I48" s="282" t="inlineStr">
        <is>
          <t>–</t>
        </is>
      </c>
      <c r="J48" s="282" t="inlineStr">
        <is>
          <t>–</t>
        </is>
      </c>
      <c r="K48" s="282" t="inlineStr">
        <is>
          <t>–</t>
        </is>
      </c>
      <c r="L48" s="282" t="inlineStr">
        <is>
          <t>–</t>
        </is>
      </c>
      <c r="M48" s="282" t="inlineStr">
        <is>
          <t>–</t>
        </is>
      </c>
      <c r="N48" s="282" t="inlineStr">
        <is>
          <t>–</t>
        </is>
      </c>
      <c r="O48" s="282" t="inlineStr">
        <is>
          <t>–</t>
        </is>
      </c>
      <c r="P48" s="282" t="inlineStr">
        <is>
          <t>–</t>
        </is>
      </c>
      <c r="Q48" s="282" t="inlineStr">
        <is>
          <t>–</t>
        </is>
      </c>
      <c r="R48" s="282" t="inlineStr">
        <is>
          <t>–</t>
        </is>
      </c>
      <c r="S48" s="252" t="inlineStr">
        <is>
          <t>Inherited; contradicts posted $79/$95 gate fee — flagged in source trace</t>
        </is>
      </c>
    </row>
    <row r="49">
      <c r="B49" s="254" t="inlineStr">
        <is>
          <t>Core-RPU elasticity to ASP from the engine's +5% value test  (ln(1 + ΔRPU) ÷ ln(1 + ΔASP))</t>
        </is>
      </c>
      <c r="D49" s="266">
        <f>LN(1+'D Facts'!$D$39)/LN(1+'D Facts'!$D$38)</f>
        <v/>
      </c>
      <c r="E49" s="252" t="inlineStr">
        <is>
          <t>ENGINE</t>
        </is>
      </c>
      <c r="F49" s="282" t="inlineStr">
        <is>
          <t>–</t>
        </is>
      </c>
      <c r="G49" s="282" t="inlineStr">
        <is>
          <t>–</t>
        </is>
      </c>
      <c r="H49" s="282" t="inlineStr">
        <is>
          <t>–</t>
        </is>
      </c>
      <c r="I49" s="282" t="inlineStr">
        <is>
          <t>–</t>
        </is>
      </c>
      <c r="J49" s="282" t="inlineStr">
        <is>
          <t>–</t>
        </is>
      </c>
      <c r="K49" s="282" t="inlineStr">
        <is>
          <t>–</t>
        </is>
      </c>
      <c r="L49" s="282" t="inlineStr">
        <is>
          <t>–</t>
        </is>
      </c>
      <c r="M49" s="282" t="inlineStr">
        <is>
          <t>–</t>
        </is>
      </c>
      <c r="N49" s="282" t="inlineStr">
        <is>
          <t>–</t>
        </is>
      </c>
      <c r="O49" s="282" t="inlineStr">
        <is>
          <t>–</t>
        </is>
      </c>
      <c r="P49" s="282" t="inlineStr">
        <is>
          <t>–</t>
        </is>
      </c>
      <c r="Q49" s="282" t="inlineStr">
        <is>
          <t>–</t>
        </is>
      </c>
      <c r="R49" s="282" t="inlineStr">
        <is>
          <t>–</t>
        </is>
      </c>
      <c r="S49" s="252" t="inlineStr">
        <is>
          <t>age_constrained_engine_results.json scenario_changes value_plus_5pct</t>
        </is>
      </c>
    </row>
    <row r="50">
      <c r="B50" s="254" t="inlineStr">
        <is>
          <t>β: buyer variable fee at the anchor  (core − seller − fixed)</t>
        </is>
      </c>
      <c r="D50" s="265">
        <f>D46-D47*D45-D48</f>
        <v/>
      </c>
      <c r="E50" s="252" t="inlineStr">
        <is>
          <t>ENGINE</t>
        </is>
      </c>
      <c r="F50" s="282" t="inlineStr">
        <is>
          <t>–</t>
        </is>
      </c>
      <c r="G50" s="282" t="inlineStr">
        <is>
          <t>–</t>
        </is>
      </c>
      <c r="H50" s="282" t="inlineStr">
        <is>
          <t>–</t>
        </is>
      </c>
      <c r="I50" s="282" t="inlineStr">
        <is>
          <t>–</t>
        </is>
      </c>
      <c r="J50" s="282" t="inlineStr">
        <is>
          <t>–</t>
        </is>
      </c>
      <c r="K50" s="282" t="inlineStr">
        <is>
          <t>–</t>
        </is>
      </c>
      <c r="L50" s="282" t="inlineStr">
        <is>
          <t>–</t>
        </is>
      </c>
      <c r="M50" s="282" t="inlineStr">
        <is>
          <t>–</t>
        </is>
      </c>
      <c r="N50" s="282" t="inlineStr">
        <is>
          <t>–</t>
        </is>
      </c>
      <c r="O50" s="282" t="inlineStr">
        <is>
          <t>–</t>
        </is>
      </c>
      <c r="P50" s="282" t="inlineStr">
        <is>
          <t>–</t>
        </is>
      </c>
      <c r="Q50" s="282" t="inlineStr">
        <is>
          <t>–</t>
        </is>
      </c>
      <c r="R50" s="282" t="inlineStr">
        <is>
          <t>–</t>
        </is>
      </c>
      <c r="S50" s="252" t="inlineStr">
        <is>
          <t>Identity</t>
        </is>
      </c>
    </row>
    <row r="51">
      <c r="B51" s="254" t="inlineStr">
        <is>
          <t>ε_b: buyer-fee elasticity to ASP  ((ε_core × core − seller$) ÷ β)</t>
        </is>
      </c>
      <c r="D51" s="265">
        <f>(D49*D46-D47*D45)/D50</f>
        <v/>
      </c>
      <c r="E51" s="252" t="inlineStr">
        <is>
          <t>ENGINE</t>
        </is>
      </c>
      <c r="F51" s="282" t="inlineStr">
        <is>
          <t>–</t>
        </is>
      </c>
      <c r="G51" s="282" t="inlineStr">
        <is>
          <t>–</t>
        </is>
      </c>
      <c r="H51" s="282" t="inlineStr">
        <is>
          <t>–</t>
        </is>
      </c>
      <c r="I51" s="282" t="inlineStr">
        <is>
          <t>–</t>
        </is>
      </c>
      <c r="J51" s="282" t="inlineStr">
        <is>
          <t>–</t>
        </is>
      </c>
      <c r="K51" s="282" t="inlineStr">
        <is>
          <t>–</t>
        </is>
      </c>
      <c r="L51" s="282" t="inlineStr">
        <is>
          <t>–</t>
        </is>
      </c>
      <c r="M51" s="282" t="inlineStr">
        <is>
          <t>–</t>
        </is>
      </c>
      <c r="N51" s="282" t="inlineStr">
        <is>
          <t>–</t>
        </is>
      </c>
      <c r="O51" s="282" t="inlineStr">
        <is>
          <t>–</t>
        </is>
      </c>
      <c r="P51" s="282" t="inlineStr">
        <is>
          <t>–</t>
        </is>
      </c>
      <c r="Q51" s="282" t="inlineStr">
        <is>
          <t>–</t>
        </is>
      </c>
      <c r="R51" s="282" t="inlineStr">
        <is>
          <t>–</t>
        </is>
      </c>
      <c r="S51" s="252" t="inlineStr">
        <is>
          <t>Identity; the stepwise grid is summarised by one elasticity between ±5% of the anchor</t>
        </is>
      </c>
    </row>
  </sheetData>
  <mergeCells count="2">
    <mergeCell ref="H4:O4"/>
    <mergeCell ref="D4:G4"/>
  </mergeCells>
  <pageMargins left="0.75" right="0.75" top="1" bottom="1" header="0.5" footer="0.5"/>
</worksheet>
</file>

<file path=xl/worksheets/sheet16.xml><?xml version="1.0" encoding="utf-8"?>
<worksheet xmlns="http://schemas.openxmlformats.org/spreadsheetml/2006/main">
  <sheetPr>
    <tabColor rgb="FF7030A0"/>
    <outlinePr summaryBelow="1" summaryRight="1"/>
    <pageSetUpPr/>
  </sheetPr>
  <dimension ref="B1:S35"/>
  <sheetViews>
    <sheetView showGridLines="0" zoomScale="90" workbookViewId="0">
      <pane xSplit="3" ySplit="5" topLeftCell="D6"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2.5" customWidth="1" style="392" min="1" max="1"/>
    <col width="56" customWidth="1" style="392" min="2" max="2"/>
    <col width="8" customWidth="1" style="392" min="3" max="3"/>
    <col width="13" customWidth="1" style="392" min="4" max="18"/>
    <col width="48" customWidth="1" style="392" min="19" max="19"/>
  </cols>
  <sheetData>
    <row r="1" ht="17" customHeight="1" s="392">
      <c r="B1" s="269" t="inlineStr">
        <is>
          <t>E6 Other Branches — US non-insurance, international, purchased vehicles, ACV</t>
        </is>
      </c>
      <c r="C1" s="270" t="n"/>
      <c r="D1" s="270" t="n"/>
      <c r="E1" s="270" t="n"/>
      <c r="F1" s="270" t="n"/>
      <c r="G1" s="270" t="n"/>
      <c r="H1" s="270" t="n"/>
      <c r="I1" s="270" t="n"/>
      <c r="J1" s="270" t="n"/>
      <c r="K1" s="270" t="n"/>
      <c r="L1" s="270" t="n"/>
      <c r="M1" s="270" t="n"/>
      <c r="N1" s="270" t="n"/>
      <c r="O1" s="270" t="n"/>
      <c r="P1" s="270" t="n"/>
      <c r="Q1" s="270" t="n"/>
      <c r="R1" s="270" t="n"/>
      <c r="S1" s="270" t="n"/>
    </row>
    <row r="2">
      <c r="B2" s="252" t="inlineStr">
        <is>
          <t>Each branch = FY26 reported dollars × explicit growth inputs. International RPU +3.5% is the FQ4 FY26 disclosure continued; everything else is flat unless an input says otherwise.</t>
        </is>
      </c>
    </row>
    <row r="4">
      <c r="C4" s="277" t="inlineStr">
        <is>
          <t>Units</t>
        </is>
      </c>
      <c r="D4" s="405" t="inlineStr">
        <is>
          <t>Historicals</t>
        </is>
      </c>
      <c r="E4" s="377" t="n"/>
      <c r="F4" s="377" t="n"/>
      <c r="G4" s="377" t="n"/>
      <c r="H4" s="405" t="inlineStr">
        <is>
          <t>Projected</t>
        </is>
      </c>
      <c r="I4" s="377" t="n"/>
      <c r="J4" s="377" t="n"/>
      <c r="K4" s="377" t="n"/>
      <c r="L4" s="377" t="n"/>
      <c r="M4" s="377" t="n"/>
      <c r="N4" s="377" t="n"/>
      <c r="O4" s="377" t="n"/>
      <c r="S4" s="278" t="inlineStr">
        <is>
          <t>Notes / sources</t>
        </is>
      </c>
    </row>
    <row r="5">
      <c r="B5" s="246" t="inlineStr">
        <is>
          <t>A. US non-insurance service revenue (dealer, BluCar, Copart Direct consignment fees)</t>
        </is>
      </c>
      <c r="C5" s="247" t="n"/>
      <c r="D5" s="248" t="inlineStr">
        <is>
          <t>FQ1 FY26A</t>
        </is>
      </c>
      <c r="E5" s="248" t="inlineStr">
        <is>
          <t>FQ2 FY26A</t>
        </is>
      </c>
      <c r="F5" s="248" t="inlineStr">
        <is>
          <t>FQ3 FY26A</t>
        </is>
      </c>
      <c r="G5" s="248" t="inlineStr">
        <is>
          <t>FQ4 FY26A</t>
        </is>
      </c>
      <c r="H5" s="248" t="inlineStr">
        <is>
          <t>FQ1 FY27E</t>
        </is>
      </c>
      <c r="I5" s="248" t="inlineStr">
        <is>
          <t>FQ2 FY27E</t>
        </is>
      </c>
      <c r="J5" s="248" t="inlineStr">
        <is>
          <t>FQ3 FY27E</t>
        </is>
      </c>
      <c r="K5" s="248" t="inlineStr">
        <is>
          <t>FQ4 FY27E</t>
        </is>
      </c>
      <c r="L5" s="248" t="inlineStr">
        <is>
          <t>FQ1 FY28E</t>
        </is>
      </c>
      <c r="M5" s="248" t="inlineStr">
        <is>
          <t>FQ2 FY28E</t>
        </is>
      </c>
      <c r="N5" s="248" t="inlineStr">
        <is>
          <t>FQ3 FY28E</t>
        </is>
      </c>
      <c r="O5" s="248" t="inlineStr">
        <is>
          <t>FQ4 FY28E</t>
        </is>
      </c>
      <c r="P5" s="248" t="inlineStr">
        <is>
          <t>FY26A</t>
        </is>
      </c>
      <c r="Q5" s="248" t="inlineStr">
        <is>
          <t>FY27E</t>
        </is>
      </c>
      <c r="R5" s="248" t="inlineStr">
        <is>
          <t>FY28E</t>
        </is>
      </c>
      <c r="S5" s="247" t="n"/>
    </row>
    <row r="6">
      <c r="B6" s="254" t="inlineStr">
        <is>
          <t>US service revenue (8-K)</t>
        </is>
      </c>
      <c r="C6" s="279" t="inlineStr">
        <is>
          <t>$M</t>
        </is>
      </c>
      <c r="D6" s="276">
        <f>'D Reported'!$D$26</f>
        <v/>
      </c>
      <c r="E6" s="276">
        <f>'D Reported'!$D$27</f>
        <v/>
      </c>
      <c r="F6" s="276">
        <f>'D Reported'!$D$28</f>
        <v/>
      </c>
      <c r="G6" s="276">
        <f>'D Reported'!$D$29</f>
        <v/>
      </c>
      <c r="H6" s="282" t="inlineStr">
        <is>
          <t>–</t>
        </is>
      </c>
      <c r="I6" s="282" t="inlineStr">
        <is>
          <t>–</t>
        </is>
      </c>
      <c r="J6" s="282" t="inlineStr">
        <is>
          <t>–</t>
        </is>
      </c>
      <c r="K6" s="282" t="inlineStr">
        <is>
          <t>–</t>
        </is>
      </c>
      <c r="L6" s="282" t="inlineStr">
        <is>
          <t>–</t>
        </is>
      </c>
      <c r="M6" s="282" t="inlineStr">
        <is>
          <t>–</t>
        </is>
      </c>
      <c r="N6" s="282" t="inlineStr">
        <is>
          <t>–</t>
        </is>
      </c>
      <c r="O6" s="282" t="inlineStr">
        <is>
          <t>–</t>
        </is>
      </c>
      <c r="P6" s="282" t="inlineStr">
        <is>
          <t>–</t>
        </is>
      </c>
      <c r="Q6" s="282" t="inlineStr">
        <is>
          <t>–</t>
        </is>
      </c>
      <c r="R6" s="282" t="inlineStr">
        <is>
          <t>–</t>
        </is>
      </c>
    </row>
    <row r="7">
      <c r="B7" s="254" t="inlineStr">
        <is>
          <t>Non-insurance share of US service dollars  (1 − insurance share)</t>
        </is>
      </c>
      <c r="C7" s="279" t="inlineStr">
        <is>
          <t>%</t>
        </is>
      </c>
      <c r="D7" s="273">
        <f>1-'E5 Prices &amp; Fees'!$D$39</f>
        <v/>
      </c>
      <c r="E7" s="273">
        <f>1-'E5 Prices &amp; Fees'!$D$39</f>
        <v/>
      </c>
      <c r="F7" s="273">
        <f>1-'E5 Prices &amp; Fees'!$D$39</f>
        <v/>
      </c>
      <c r="G7" s="273">
        <f>1-'E5 Prices &amp; Fees'!$D$39</f>
        <v/>
      </c>
      <c r="H7" s="282" t="inlineStr">
        <is>
          <t>–</t>
        </is>
      </c>
      <c r="I7" s="282" t="inlineStr">
        <is>
          <t>–</t>
        </is>
      </c>
      <c r="J7" s="282" t="inlineStr">
        <is>
          <t>–</t>
        </is>
      </c>
      <c r="K7" s="282" t="inlineStr">
        <is>
          <t>–</t>
        </is>
      </c>
      <c r="L7" s="282" t="inlineStr">
        <is>
          <t>–</t>
        </is>
      </c>
      <c r="M7" s="282" t="inlineStr">
        <is>
          <t>–</t>
        </is>
      </c>
      <c r="N7" s="282" t="inlineStr">
        <is>
          <t>–</t>
        </is>
      </c>
      <c r="O7" s="282" t="inlineStr">
        <is>
          <t>–</t>
        </is>
      </c>
      <c r="P7" s="282" t="inlineStr">
        <is>
          <t>–</t>
        </is>
      </c>
      <c r="Q7" s="282" t="inlineStr">
        <is>
          <t>–</t>
        </is>
      </c>
      <c r="R7" s="282" t="inlineStr">
        <is>
          <t>–</t>
        </is>
      </c>
    </row>
    <row r="8">
      <c r="B8" s="249" t="inlineStr">
        <is>
          <t>US non-insurance service revenue</t>
        </is>
      </c>
      <c r="C8" s="279" t="inlineStr">
        <is>
          <t>$M</t>
        </is>
      </c>
      <c r="D8" s="287">
        <f>D6*D7</f>
        <v/>
      </c>
      <c r="E8" s="287">
        <f>E6*E7</f>
        <v/>
      </c>
      <c r="F8" s="287">
        <f>F6*F7</f>
        <v/>
      </c>
      <c r="G8" s="287">
        <f>G6*G7</f>
        <v/>
      </c>
      <c r="H8" s="287">
        <f>D8*(1+$D$30)</f>
        <v/>
      </c>
      <c r="I8" s="287">
        <f>E8*(1+$D$30)</f>
        <v/>
      </c>
      <c r="J8" s="287">
        <f>F8*(1+$D$30)</f>
        <v/>
      </c>
      <c r="K8" s="287">
        <f>G8*(1+$D$30)</f>
        <v/>
      </c>
      <c r="L8" s="287">
        <f>H8*(1+$D$30)</f>
        <v/>
      </c>
      <c r="M8" s="287">
        <f>I8*(1+$D$30)</f>
        <v/>
      </c>
      <c r="N8" s="287">
        <f>J8*(1+$D$30)</f>
        <v/>
      </c>
      <c r="O8" s="287">
        <f>K8*(1+$D$30)</f>
        <v/>
      </c>
      <c r="P8" s="287">
        <f>SUM(D8:G8)</f>
        <v/>
      </c>
      <c r="Q8" s="287">
        <f>SUM(H8:K8)</f>
        <v/>
      </c>
      <c r="R8" s="287">
        <f>SUM(L8:O8)</f>
        <v/>
      </c>
      <c r="S8" s="252" t="inlineStr">
        <is>
          <t>FY26 = residual of the ledger split (ASSUMED 10%); FY27+ grows at the input rate</t>
        </is>
      </c>
    </row>
    <row r="9">
      <c r="B9" s="274" t="inlineStr">
        <is>
          <t xml:space="preserve">   y/y</t>
        </is>
      </c>
      <c r="C9" s="279" t="inlineStr">
        <is>
          <t>%</t>
        </is>
      </c>
      <c r="D9" s="282" t="inlineStr">
        <is>
          <t>–</t>
        </is>
      </c>
      <c r="E9" s="282" t="inlineStr">
        <is>
          <t>–</t>
        </is>
      </c>
      <c r="F9" s="282" t="inlineStr">
        <is>
          <t>–</t>
        </is>
      </c>
      <c r="G9" s="282" t="inlineStr">
        <is>
          <t>–</t>
        </is>
      </c>
      <c r="H9" s="327">
        <f>H8/D8-1</f>
        <v/>
      </c>
      <c r="I9" s="327">
        <f>I8/E8-1</f>
        <v/>
      </c>
      <c r="J9" s="327">
        <f>J8/F8-1</f>
        <v/>
      </c>
      <c r="K9" s="327">
        <f>K8/G8-1</f>
        <v/>
      </c>
      <c r="L9" s="327">
        <f>L8/H8-1</f>
        <v/>
      </c>
      <c r="M9" s="327">
        <f>M8/I8-1</f>
        <v/>
      </c>
      <c r="N9" s="327">
        <f>N8/J8-1</f>
        <v/>
      </c>
      <c r="O9" s="327">
        <f>O8/K8-1</f>
        <v/>
      </c>
      <c r="P9" s="282" t="inlineStr">
        <is>
          <t>–</t>
        </is>
      </c>
      <c r="Q9" s="282" t="inlineStr">
        <is>
          <t>–</t>
        </is>
      </c>
      <c r="R9" s="282" t="inlineStr">
        <is>
          <t>–</t>
        </is>
      </c>
    </row>
    <row r="11">
      <c r="B11" s="271" t="inlineStr">
        <is>
          <t>B. International service revenue</t>
        </is>
      </c>
      <c r="C11" s="272" t="n"/>
      <c r="D11" s="272" t="n"/>
      <c r="E11" s="272" t="n"/>
      <c r="F11" s="272" t="n"/>
      <c r="G11" s="272" t="n"/>
      <c r="H11" s="272" t="n"/>
      <c r="I11" s="272" t="n"/>
      <c r="J11" s="272" t="n"/>
      <c r="K11" s="272" t="n"/>
      <c r="L11" s="272" t="n"/>
      <c r="M11" s="272" t="n"/>
      <c r="N11" s="272" t="n"/>
      <c r="O11" s="272" t="n"/>
      <c r="P11" s="272" t="n"/>
      <c r="Q11" s="272" t="n"/>
      <c r="R11" s="272" t="n"/>
      <c r="S11" s="272" t="n"/>
    </row>
    <row r="12">
      <c r="B12" s="249" t="inlineStr">
        <is>
          <t>International service revenue</t>
        </is>
      </c>
      <c r="C12" s="279" t="inlineStr">
        <is>
          <t>$M</t>
        </is>
      </c>
      <c r="D12" s="280">
        <f>'D Reported'!$E$26</f>
        <v/>
      </c>
      <c r="E12" s="280">
        <f>'D Reported'!$E$27</f>
        <v/>
      </c>
      <c r="F12" s="280">
        <f>'D Reported'!$E$28</f>
        <v/>
      </c>
      <c r="G12" s="280">
        <f>'D Reported'!$E$29</f>
        <v/>
      </c>
      <c r="H12" s="287">
        <f>D12*(1+$D$31*$D$33)*(1+$D$32*$D$33)</f>
        <v/>
      </c>
      <c r="I12" s="287">
        <f>E12*(1+$D$31*$D$33)*(1+$D$32*$D$33)</f>
        <v/>
      </c>
      <c r="J12" s="287">
        <f>F12*(1+$D$31*$D$33)*(1+$D$32*$D$33)</f>
        <v/>
      </c>
      <c r="K12" s="287">
        <f>G12*(1+$D$31*$D$33)*(1+$D$32*$D$33)</f>
        <v/>
      </c>
      <c r="L12" s="287">
        <f>H12*(1+$D$31*$D$33)*(1+$D$32*$D$33)</f>
        <v/>
      </c>
      <c r="M12" s="287">
        <f>I12*(1+$D$31*$D$33)*(1+$D$32*$D$33)</f>
        <v/>
      </c>
      <c r="N12" s="287">
        <f>J12*(1+$D$31*$D$33)*(1+$D$32*$D$33)</f>
        <v/>
      </c>
      <c r="O12" s="287">
        <f>K12*(1+$D$31*$D$33)*(1+$D$32*$D$33)</f>
        <v/>
      </c>
      <c r="P12" s="287">
        <f>SUM(D12:G12)</f>
        <v/>
      </c>
      <c r="Q12" s="287">
        <f>SUM(H12:K12)</f>
        <v/>
      </c>
      <c r="R12" s="287">
        <f>SUM(L12:O12)</f>
        <v/>
      </c>
      <c r="S12" s="252" t="inlineStr">
        <is>
          <t>FY26 VERIFIED (8-K); FY27+ = prior year × (1 + unit growth) × (1 + RPU growth)</t>
        </is>
      </c>
    </row>
    <row r="13">
      <c r="B13" s="274" t="inlineStr">
        <is>
          <t xml:space="preserve">   y/y</t>
        </is>
      </c>
      <c r="C13" s="279" t="inlineStr">
        <is>
          <t>%</t>
        </is>
      </c>
      <c r="D13" s="282" t="inlineStr">
        <is>
          <t>–</t>
        </is>
      </c>
      <c r="E13" s="282" t="inlineStr">
        <is>
          <t>–</t>
        </is>
      </c>
      <c r="F13" s="282" t="inlineStr">
        <is>
          <t>–</t>
        </is>
      </c>
      <c r="G13" s="282" t="inlineStr">
        <is>
          <t>–</t>
        </is>
      </c>
      <c r="H13" s="327">
        <f>H12/D12-1</f>
        <v/>
      </c>
      <c r="I13" s="327">
        <f>I12/E12-1</f>
        <v/>
      </c>
      <c r="J13" s="327">
        <f>J12/F12-1</f>
        <v/>
      </c>
      <c r="K13" s="327">
        <f>K12/G12-1</f>
        <v/>
      </c>
      <c r="L13" s="327">
        <f>L12/H12-1</f>
        <v/>
      </c>
      <c r="M13" s="327">
        <f>M12/I12-1</f>
        <v/>
      </c>
      <c r="N13" s="327">
        <f>N12/J12-1</f>
        <v/>
      </c>
      <c r="O13" s="327">
        <f>O12/K12-1</f>
        <v/>
      </c>
      <c r="P13" s="282" t="inlineStr">
        <is>
          <t>–</t>
        </is>
      </c>
      <c r="Q13" s="282" t="inlineStr">
        <is>
          <t>–</t>
        </is>
      </c>
      <c r="R13" s="282" t="inlineStr">
        <is>
          <t>–</t>
        </is>
      </c>
    </row>
    <row r="15">
      <c r="B15" s="271" t="inlineStr">
        <is>
          <t>C. Purchased-vehicle revenue (Copart owns the car; comparison overlay, not legacy service)</t>
        </is>
      </c>
      <c r="C15" s="272" t="n"/>
      <c r="D15" s="272" t="n"/>
      <c r="E15" s="272" t="n"/>
      <c r="F15" s="272" t="n"/>
      <c r="G15" s="272" t="n"/>
      <c r="H15" s="272" t="n"/>
      <c r="I15" s="272" t="n"/>
      <c r="J15" s="272" t="n"/>
      <c r="K15" s="272" t="n"/>
      <c r="L15" s="272" t="n"/>
      <c r="M15" s="272" t="n"/>
      <c r="N15" s="272" t="n"/>
      <c r="O15" s="272" t="n"/>
      <c r="P15" s="272" t="n"/>
      <c r="Q15" s="272" t="n"/>
      <c r="R15" s="272" t="n"/>
      <c r="S15" s="272" t="n"/>
    </row>
    <row r="16">
      <c r="B16" s="249" t="inlineStr">
        <is>
          <t>Purchased-vehicle revenue, US + international</t>
        </is>
      </c>
      <c r="C16" s="279" t="inlineStr">
        <is>
          <t>$M</t>
        </is>
      </c>
      <c r="D16" s="280">
        <f>'D Reported'!$F$26+'D Reported'!$G$26</f>
        <v/>
      </c>
      <c r="E16" s="280">
        <f>'D Reported'!$F$27+'D Reported'!$G$27</f>
        <v/>
      </c>
      <c r="F16" s="280">
        <f>'D Reported'!$F$28+'D Reported'!$G$28</f>
        <v/>
      </c>
      <c r="G16" s="280">
        <f>'D Reported'!$F$29+'D Reported'!$G$29</f>
        <v/>
      </c>
      <c r="H16" s="287">
        <f>D16*(1+$D$34)</f>
        <v/>
      </c>
      <c r="I16" s="287">
        <f>E16*(1+$D$34)</f>
        <v/>
      </c>
      <c r="J16" s="287">
        <f>F16*(1+$D$34)</f>
        <v/>
      </c>
      <c r="K16" s="287">
        <f>G16*(1+$D$34)</f>
        <v/>
      </c>
      <c r="L16" s="287">
        <f>H16*(1+$D$34)</f>
        <v/>
      </c>
      <c r="M16" s="287">
        <f>I16*(1+$D$34)</f>
        <v/>
      </c>
      <c r="N16" s="287">
        <f>J16*(1+$D$34)</f>
        <v/>
      </c>
      <c r="O16" s="287">
        <f>K16*(1+$D$34)</f>
        <v/>
      </c>
      <c r="P16" s="287">
        <f>SUM(D16:G16)</f>
        <v/>
      </c>
      <c r="Q16" s="287">
        <f>SUM(H16:K16)</f>
        <v/>
      </c>
      <c r="R16" s="287">
        <f>SUM(L16:O16)</f>
        <v/>
      </c>
      <c r="S16" s="252" t="inlineStr">
        <is>
          <t>FY26 VERIFIED (8-K); forward flat by default; JPM FY27 expects $721m (licensed benchmark)</t>
        </is>
      </c>
    </row>
    <row r="18">
      <c r="B18" s="271" t="inlineStr">
        <is>
          <t>D. ACV Auctions acquisition (gated; excluded by default so the perimeter matches the JPM ex-ACV benchmark)</t>
        </is>
      </c>
      <c r="C18" s="272" t="n"/>
      <c r="D18" s="272" t="n"/>
      <c r="E18" s="272" t="n"/>
      <c r="F18" s="272" t="n"/>
      <c r="G18" s="272" t="n"/>
      <c r="H18" s="272" t="n"/>
      <c r="I18" s="272" t="n"/>
      <c r="J18" s="272" t="n"/>
      <c r="K18" s="272" t="n"/>
      <c r="L18" s="272" t="n"/>
      <c r="M18" s="272" t="n"/>
      <c r="N18" s="272" t="n"/>
      <c r="O18" s="272" t="n"/>
      <c r="P18" s="272" t="n"/>
      <c r="Q18" s="272" t="n"/>
      <c r="R18" s="272" t="n"/>
      <c r="S18" s="272" t="n"/>
    </row>
    <row r="19">
      <c r="B19" s="249" t="inlineStr">
        <is>
          <t>Acquired service revenue recognised</t>
        </is>
      </c>
      <c r="C19" s="279" t="inlineStr">
        <is>
          <t>$M</t>
        </is>
      </c>
      <c r="D19" s="287">
        <f>0*$D$35</f>
        <v/>
      </c>
      <c r="E19" s="287">
        <f>0*$D$35</f>
        <v/>
      </c>
      <c r="F19" s="287">
        <f>0*$D$35</f>
        <v/>
      </c>
      <c r="G19" s="287">
        <f>0*$D$35</f>
        <v/>
      </c>
      <c r="H19" s="287">
        <f>0*$D$35</f>
        <v/>
      </c>
      <c r="I19" s="287">
        <f>0*$D$35</f>
        <v/>
      </c>
      <c r="J19" s="287">
        <f>0*$D$35</f>
        <v/>
      </c>
      <c r="K19" s="287">
        <f>0*$D$35</f>
        <v/>
      </c>
      <c r="L19" s="287">
        <f>0*$D$35</f>
        <v/>
      </c>
      <c r="M19" s="287">
        <f>0*$D$35</f>
        <v/>
      </c>
      <c r="N19" s="287">
        <f>0*$D$35</f>
        <v/>
      </c>
      <c r="O19" s="287">
        <f>0*$D$35</f>
        <v/>
      </c>
      <c r="P19" s="282" t="inlineStr">
        <is>
          <t>–</t>
        </is>
      </c>
      <c r="Q19" s="282" t="inlineStr">
        <is>
          <t>–</t>
        </is>
      </c>
      <c r="R19" s="282" t="inlineStr">
        <is>
          <t>–</t>
        </is>
      </c>
      <c r="S19" s="252" t="inlineStr">
        <is>
          <t>UNKNOWN; tender documents on disk (raw/sec/acv) give timing, not revenue. Keep 0 unless classified</t>
        </is>
      </c>
    </row>
    <row r="22">
      <c r="B22" s="252" t="inlineStr">
        <is>
          <t>Feeds →  Scenarios (rows 8, 12, 16, 19)</t>
        </is>
      </c>
    </row>
    <row r="29">
      <c r="B29" s="246" t="inlineStr">
        <is>
          <t>Inputs</t>
        </is>
      </c>
      <c r="C29" s="247" t="n"/>
      <c r="D29" s="248" t="inlineStr">
        <is>
          <t>Value</t>
        </is>
      </c>
      <c r="E29" s="248" t="inlineStr">
        <is>
          <t>Label</t>
        </is>
      </c>
      <c r="F29" s="247" t="n"/>
      <c r="G29" s="247" t="n"/>
      <c r="H29" s="247" t="n"/>
      <c r="I29" s="247" t="n"/>
      <c r="J29" s="247" t="n"/>
      <c r="K29" s="247" t="n"/>
      <c r="L29" s="247" t="n"/>
      <c r="M29" s="247" t="n"/>
      <c r="N29" s="247" t="n"/>
      <c r="O29" s="247" t="n"/>
      <c r="P29" s="247" t="n"/>
      <c r="Q29" s="247" t="n"/>
      <c r="R29" s="247" t="n"/>
      <c r="S29" s="247" t="n"/>
    </row>
    <row r="30">
      <c r="B30" s="254" t="inlineStr">
        <is>
          <t>US non-insurance service growth, y/y</t>
        </is>
      </c>
      <c r="D30" s="330" t="n">
        <v>0</v>
      </c>
      <c r="E30" s="252" t="inlineStr">
        <is>
          <t>ASSUMED</t>
        </is>
      </c>
      <c r="F30" s="282" t="inlineStr">
        <is>
          <t>–</t>
        </is>
      </c>
      <c r="G30" s="282" t="inlineStr">
        <is>
          <t>–</t>
        </is>
      </c>
      <c r="H30" s="282" t="inlineStr">
        <is>
          <t>–</t>
        </is>
      </c>
      <c r="I30" s="282" t="inlineStr">
        <is>
          <t>–</t>
        </is>
      </c>
      <c r="J30" s="282" t="inlineStr">
        <is>
          <t>–</t>
        </is>
      </c>
      <c r="K30" s="282" t="inlineStr">
        <is>
          <t>–</t>
        </is>
      </c>
      <c r="L30" s="282" t="inlineStr">
        <is>
          <t>–</t>
        </is>
      </c>
      <c r="M30" s="282" t="inlineStr">
        <is>
          <t>–</t>
        </is>
      </c>
      <c r="N30" s="282" t="inlineStr">
        <is>
          <t>–</t>
        </is>
      </c>
      <c r="O30" s="282" t="inlineStr">
        <is>
          <t>–</t>
        </is>
      </c>
      <c r="P30" s="282" t="inlineStr">
        <is>
          <t>–</t>
        </is>
      </c>
      <c r="Q30" s="282" t="inlineStr">
        <is>
          <t>–</t>
        </is>
      </c>
      <c r="R30" s="282" t="inlineStr">
        <is>
          <t>–</t>
        </is>
      </c>
      <c r="S30" s="252" t="inlineStr">
        <is>
          <t>Flat convention; FQ4 FY26 non-insurance units +0.2% with dealer +5.8%, BluCar +20%, Direct −11.7% (call)</t>
        </is>
      </c>
    </row>
    <row r="31">
      <c r="B31" s="254" t="inlineStr">
        <is>
          <t>International fee-unit growth, y/y</t>
        </is>
      </c>
      <c r="D31" s="330" t="n">
        <v>0.116</v>
      </c>
      <c r="E31" s="252" t="inlineStr">
        <is>
          <t>ASSUMED</t>
        </is>
      </c>
      <c r="F31" s="282" t="inlineStr">
        <is>
          <t>–</t>
        </is>
      </c>
      <c r="G31" s="282" t="inlineStr">
        <is>
          <t>–</t>
        </is>
      </c>
      <c r="H31" s="282" t="inlineStr">
        <is>
          <t>–</t>
        </is>
      </c>
      <c r="I31" s="282" t="inlineStr">
        <is>
          <t>–</t>
        </is>
      </c>
      <c r="J31" s="282" t="inlineStr">
        <is>
          <t>–</t>
        </is>
      </c>
      <c r="K31" s="282" t="inlineStr">
        <is>
          <t>–</t>
        </is>
      </c>
      <c r="L31" s="282" t="inlineStr">
        <is>
          <t>–</t>
        </is>
      </c>
      <c r="M31" s="282" t="inlineStr">
        <is>
          <t>–</t>
        </is>
      </c>
      <c r="N31" s="282" t="inlineStr">
        <is>
          <t>–</t>
        </is>
      </c>
      <c r="O31" s="282" t="inlineStr">
        <is>
          <t>–</t>
        </is>
      </c>
      <c r="P31" s="282" t="inlineStr">
        <is>
          <t>–</t>
        </is>
      </c>
      <c r="Q31" s="282" t="inlineStr">
        <is>
          <t>–</t>
        </is>
      </c>
      <c r="R31" s="282" t="inlineStr">
        <is>
          <t>–</t>
        </is>
      </c>
      <c r="S31" s="252" t="inlineStr">
        <is>
          <t>Derived FQ4 FY26: service +15.5% ÷ 1.035 − 1 (MEASURED by identity), continued as an assumption</t>
        </is>
      </c>
    </row>
    <row r="32">
      <c r="B32" s="254" t="inlineStr">
        <is>
          <t>International fee RPU growth, y/y</t>
        </is>
      </c>
      <c r="D32" s="330" t="n">
        <v>0.035</v>
      </c>
      <c r="E32" s="252" t="inlineStr">
        <is>
          <t>ASSUMED</t>
        </is>
      </c>
      <c r="F32" s="282" t="inlineStr">
        <is>
          <t>–</t>
        </is>
      </c>
      <c r="G32" s="282" t="inlineStr">
        <is>
          <t>–</t>
        </is>
      </c>
      <c r="H32" s="282" t="inlineStr">
        <is>
          <t>–</t>
        </is>
      </c>
      <c r="I32" s="282" t="inlineStr">
        <is>
          <t>–</t>
        </is>
      </c>
      <c r="J32" s="282" t="inlineStr">
        <is>
          <t>–</t>
        </is>
      </c>
      <c r="K32" s="282" t="inlineStr">
        <is>
          <t>–</t>
        </is>
      </c>
      <c r="L32" s="282" t="inlineStr">
        <is>
          <t>–</t>
        </is>
      </c>
      <c r="M32" s="282" t="inlineStr">
        <is>
          <t>–</t>
        </is>
      </c>
      <c r="N32" s="282" t="inlineStr">
        <is>
          <t>–</t>
        </is>
      </c>
      <c r="O32" s="282" t="inlineStr">
        <is>
          <t>–</t>
        </is>
      </c>
      <c r="P32" s="282" t="inlineStr">
        <is>
          <t>–</t>
        </is>
      </c>
      <c r="Q32" s="282" t="inlineStr">
        <is>
          <t>–</t>
        </is>
      </c>
      <c r="R32" s="282" t="inlineStr">
        <is>
          <t>–</t>
        </is>
      </c>
      <c r="S32" s="252" t="inlineStr">
        <is>
          <t>FQ4 FY26 disclosed +3.5% (VERIFIED), continued</t>
        </is>
      </c>
    </row>
    <row r="33">
      <c r="B33" s="254" t="inlineStr">
        <is>
          <t>International continuation toggle (1 = continue; 0 = flat)</t>
        </is>
      </c>
      <c r="D33" s="342" t="n">
        <v>1</v>
      </c>
      <c r="E33" s="252" t="inlineStr">
        <is>
          <t>TOGGLE</t>
        </is>
      </c>
      <c r="F33" s="282" t="inlineStr">
        <is>
          <t>–</t>
        </is>
      </c>
      <c r="G33" s="282" t="inlineStr">
        <is>
          <t>–</t>
        </is>
      </c>
      <c r="H33" s="282" t="inlineStr">
        <is>
          <t>–</t>
        </is>
      </c>
      <c r="I33" s="282" t="inlineStr">
        <is>
          <t>–</t>
        </is>
      </c>
      <c r="J33" s="282" t="inlineStr">
        <is>
          <t>–</t>
        </is>
      </c>
      <c r="K33" s="282" t="inlineStr">
        <is>
          <t>–</t>
        </is>
      </c>
      <c r="L33" s="282" t="inlineStr">
        <is>
          <t>–</t>
        </is>
      </c>
      <c r="M33" s="282" t="inlineStr">
        <is>
          <t>–</t>
        </is>
      </c>
      <c r="N33" s="282" t="inlineStr">
        <is>
          <t>–</t>
        </is>
      </c>
      <c r="O33" s="282" t="inlineStr">
        <is>
          <t>–</t>
        </is>
      </c>
      <c r="P33" s="282" t="inlineStr">
        <is>
          <t>–</t>
        </is>
      </c>
      <c r="Q33" s="282" t="inlineStr">
        <is>
          <t>–</t>
        </is>
      </c>
      <c r="R33" s="282" t="inlineStr">
        <is>
          <t>–</t>
        </is>
      </c>
      <c r="S33" s="252" t="inlineStr">
        <is>
          <t>Worth about $90m a year</t>
        </is>
      </c>
    </row>
    <row r="34">
      <c r="B34" s="254" t="inlineStr">
        <is>
          <t>Purchased-vehicle revenue growth, y/y</t>
        </is>
      </c>
      <c r="D34" s="330" t="n">
        <v>0</v>
      </c>
      <c r="E34" s="252" t="inlineStr">
        <is>
          <t>ASSUMED</t>
        </is>
      </c>
      <c r="F34" s="282" t="inlineStr">
        <is>
          <t>–</t>
        </is>
      </c>
      <c r="G34" s="282" t="inlineStr">
        <is>
          <t>–</t>
        </is>
      </c>
      <c r="H34" s="282" t="inlineStr">
        <is>
          <t>–</t>
        </is>
      </c>
      <c r="I34" s="282" t="inlineStr">
        <is>
          <t>–</t>
        </is>
      </c>
      <c r="J34" s="282" t="inlineStr">
        <is>
          <t>–</t>
        </is>
      </c>
      <c r="K34" s="282" t="inlineStr">
        <is>
          <t>–</t>
        </is>
      </c>
      <c r="L34" s="282" t="inlineStr">
        <is>
          <t>–</t>
        </is>
      </c>
      <c r="M34" s="282" t="inlineStr">
        <is>
          <t>–</t>
        </is>
      </c>
      <c r="N34" s="282" t="inlineStr">
        <is>
          <t>–</t>
        </is>
      </c>
      <c r="O34" s="282" t="inlineStr">
        <is>
          <t>–</t>
        </is>
      </c>
      <c r="P34" s="282" t="inlineStr">
        <is>
          <t>–</t>
        </is>
      </c>
      <c r="Q34" s="282" t="inlineStr">
        <is>
          <t>–</t>
        </is>
      </c>
      <c r="R34" s="282" t="inlineStr">
        <is>
          <t>–</t>
        </is>
      </c>
      <c r="S34" s="252" t="inlineStr">
        <is>
          <t>Flat convention</t>
        </is>
      </c>
    </row>
    <row r="35">
      <c r="B35" s="254" t="inlineStr">
        <is>
          <t>ACV included (1) or excluded (0)</t>
        </is>
      </c>
      <c r="D35" s="342" t="n">
        <v>0</v>
      </c>
      <c r="E35" s="252" t="inlineStr">
        <is>
          <t>TOGGLE</t>
        </is>
      </c>
      <c r="F35" s="282" t="inlineStr">
        <is>
          <t>–</t>
        </is>
      </c>
      <c r="G35" s="282" t="inlineStr">
        <is>
          <t>–</t>
        </is>
      </c>
      <c r="H35" s="282" t="inlineStr">
        <is>
          <t>–</t>
        </is>
      </c>
      <c r="I35" s="282" t="inlineStr">
        <is>
          <t>–</t>
        </is>
      </c>
      <c r="J35" s="282" t="inlineStr">
        <is>
          <t>–</t>
        </is>
      </c>
      <c r="K35" s="282" t="inlineStr">
        <is>
          <t>–</t>
        </is>
      </c>
      <c r="L35" s="282" t="inlineStr">
        <is>
          <t>–</t>
        </is>
      </c>
      <c r="M35" s="282" t="inlineStr">
        <is>
          <t>–</t>
        </is>
      </c>
      <c r="N35" s="282" t="inlineStr">
        <is>
          <t>–</t>
        </is>
      </c>
      <c r="O35" s="282" t="inlineStr">
        <is>
          <t>–</t>
        </is>
      </c>
      <c r="P35" s="282" t="inlineStr">
        <is>
          <t>–</t>
        </is>
      </c>
      <c r="Q35" s="282" t="inlineStr">
        <is>
          <t>–</t>
        </is>
      </c>
      <c r="R35" s="282" t="inlineStr">
        <is>
          <t>–</t>
        </is>
      </c>
      <c r="S35" s="252" t="inlineStr">
        <is>
          <t>Perimeter gate</t>
        </is>
      </c>
    </row>
  </sheetData>
  <mergeCells count="2">
    <mergeCell ref="H4:O4"/>
    <mergeCell ref="D4:G4"/>
  </mergeCells>
  <dataValidations count="1">
    <dataValidation sqref="D33 D35" showDropDown="0" showInputMessage="0" showErrorMessage="1" allowBlank="0" error="Choose 0 or 1" type="list">
      <formula1>"0,1"</formula1>
    </dataValidation>
  </dataValidations>
  <pageMargins left="0.75" right="0.75" top="1" bottom="1" header="0.5" footer="0.5"/>
</worksheet>
</file>

<file path=xl/worksheets/sheet17.xml><?xml version="1.0" encoding="utf-8"?>
<worksheet xmlns="http://schemas.openxmlformats.org/spreadsheetml/2006/main">
  <sheetPr>
    <tabColor rgb="FF0E2841"/>
    <outlinePr summaryBelow="1" summaryRight="1"/>
    <pageSetUpPr/>
  </sheetPr>
  <dimension ref="A1:A1"/>
  <sheetViews>
    <sheetView workbookViewId="0">
      <selection activeCell="A1" sqref="A1"/>
    </sheetView>
  </sheetViews>
  <sheetFormatPr baseColWidth="10" defaultRowHeight="15"/>
  <sheetData/>
  <pageMargins left="0.7" right="0.7" top="0.75" bottom="0.75" header="0.3" footer="0.3"/>
</worksheet>
</file>

<file path=xl/worksheets/sheet18.xml><?xml version="1.0" encoding="utf-8"?>
<worksheet xmlns="http://schemas.openxmlformats.org/spreadsheetml/2006/main">
  <sheetPr>
    <tabColor rgb="FF0E2841"/>
    <outlinePr summaryBelow="1" summaryRight="1"/>
    <pageSetUpPr/>
  </sheetPr>
  <dimension ref="B1:S130"/>
  <sheetViews>
    <sheetView showGridLines="0" zoomScale="90" workbookViewId="0">
      <pane xSplit="3" ySplit="5" topLeftCell="D6"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2.5" customWidth="1" style="392" min="1" max="1"/>
    <col width="56" customWidth="1" style="392" min="2" max="2"/>
    <col width="8" customWidth="1" style="392" min="3" max="3"/>
    <col width="13" customWidth="1" style="392" min="4" max="18"/>
    <col width="48" customWidth="1" style="392" min="19" max="19"/>
  </cols>
  <sheetData>
    <row r="1" ht="17" customHeight="1" s="392">
      <c r="B1" s="269" t="inlineStr">
        <is>
          <t>Scenarios — the two theses on one common base</t>
        </is>
      </c>
      <c r="C1" s="270" t="n"/>
      <c r="D1" s="270" t="n"/>
      <c r="E1" s="270" t="n"/>
      <c r="F1" s="270" t="n"/>
      <c r="G1" s="270" t="n"/>
      <c r="H1" s="270" t="n"/>
      <c r="I1" s="270" t="n"/>
      <c r="J1" s="270" t="n"/>
      <c r="K1" s="270" t="n"/>
      <c r="L1" s="270" t="n"/>
      <c r="M1" s="270" t="n"/>
      <c r="N1" s="270" t="n"/>
      <c r="O1" s="270" t="n"/>
      <c r="P1" s="270" t="n"/>
      <c r="Q1" s="270" t="n"/>
      <c r="R1" s="270" t="n"/>
      <c r="S1" s="270" t="n"/>
    </row>
    <row r="2">
      <c r="B2" s="252" t="inlineStr">
        <is>
          <t>Units_q = Units_{q−4} × pool ratio (E2) × share ratio (E3, base or A) × (1 + b·Δunits (E4));  ASP_q = ASP₀ (1+g)^t × (1 + b·Δprice);  RPU from E5 parameters with the case's seller rate.  Four common-base cases with exact interaction; never quote the own-reference delta as a Street miss.</t>
        </is>
      </c>
    </row>
    <row r="3">
      <c r="B3" s="249" t="inlineStr">
        <is>
          <t>Selected case index (choose the case from the dropdown on RPM D3)</t>
        </is>
      </c>
      <c r="D3" s="275">
        <f>RPM!$I$3</f>
        <v/>
      </c>
      <c r="E3" s="267">
        <f>RPM!$D$3</f>
        <v/>
      </c>
    </row>
    <row r="4">
      <c r="C4" s="277" t="inlineStr">
        <is>
          <t>Units</t>
        </is>
      </c>
      <c r="D4" s="405" t="inlineStr">
        <is>
          <t>Historicals</t>
        </is>
      </c>
      <c r="E4" s="377" t="n"/>
      <c r="F4" s="377" t="n"/>
      <c r="G4" s="377" t="n"/>
      <c r="H4" s="405" t="inlineStr">
        <is>
          <t>Projected</t>
        </is>
      </c>
      <c r="I4" s="377" t="n"/>
      <c r="J4" s="377" t="n"/>
      <c r="K4" s="377" t="n"/>
      <c r="L4" s="377" t="n"/>
      <c r="M4" s="377" t="n"/>
      <c r="N4" s="377" t="n"/>
      <c r="O4" s="377" t="n"/>
      <c r="S4" s="278" t="inlineStr">
        <is>
          <t>Notes / sources</t>
        </is>
      </c>
    </row>
    <row r="5">
      <c r="B5" s="246" t="inlineStr">
        <is>
          <t>Cases (each block is a complete quarterly path)</t>
        </is>
      </c>
      <c r="C5" s="247" t="n"/>
      <c r="D5" s="248" t="inlineStr">
        <is>
          <t>FQ1 FY26A</t>
        </is>
      </c>
      <c r="E5" s="248" t="inlineStr">
        <is>
          <t>FQ2 FY26A</t>
        </is>
      </c>
      <c r="F5" s="248" t="inlineStr">
        <is>
          <t>FQ3 FY26A</t>
        </is>
      </c>
      <c r="G5" s="248" t="inlineStr">
        <is>
          <t>FQ4 FY26A</t>
        </is>
      </c>
      <c r="H5" s="248" t="inlineStr">
        <is>
          <t>FQ1 FY27E</t>
        </is>
      </c>
      <c r="I5" s="248" t="inlineStr">
        <is>
          <t>FQ2 FY27E</t>
        </is>
      </c>
      <c r="J5" s="248" t="inlineStr">
        <is>
          <t>FQ3 FY27E</t>
        </is>
      </c>
      <c r="K5" s="248" t="inlineStr">
        <is>
          <t>FQ4 FY27E</t>
        </is>
      </c>
      <c r="L5" s="248" t="inlineStr">
        <is>
          <t>FQ1 FY28E</t>
        </is>
      </c>
      <c r="M5" s="248" t="inlineStr">
        <is>
          <t>FQ2 FY28E</t>
        </is>
      </c>
      <c r="N5" s="248" t="inlineStr">
        <is>
          <t>FQ3 FY28E</t>
        </is>
      </c>
      <c r="O5" s="248" t="inlineStr">
        <is>
          <t>FQ4 FY28E</t>
        </is>
      </c>
      <c r="P5" s="248" t="inlineStr">
        <is>
          <t>FY26A</t>
        </is>
      </c>
      <c r="Q5" s="248" t="inlineStr">
        <is>
          <t>FY27E</t>
        </is>
      </c>
      <c r="R5" s="248" t="inlineStr">
        <is>
          <t>FY28E</t>
        </is>
      </c>
      <c r="S5" s="247" t="n"/>
    </row>
    <row r="7">
      <c r="B7" s="271" t="inlineStr">
        <is>
          <t>Case 1 — Case 0 — Street-implied: known runoff, coverage recovery reverse-solved to JPM FY27</t>
        </is>
      </c>
      <c r="C7" s="272" t="n"/>
      <c r="D7" s="272" t="n"/>
      <c r="E7" s="272" t="n"/>
      <c r="F7" s="272" t="n"/>
      <c r="G7" s="272" t="n"/>
      <c r="H7" s="272" t="n"/>
      <c r="I7" s="272" t="n"/>
      <c r="J7" s="272" t="n"/>
      <c r="K7" s="272" t="n"/>
      <c r="L7" s="272" t="n"/>
      <c r="M7" s="272" t="n"/>
      <c r="N7" s="272" t="n"/>
      <c r="O7" s="272" t="n"/>
      <c r="P7" s="272" t="n"/>
      <c r="Q7" s="272" t="n"/>
      <c r="R7" s="272" t="n"/>
      <c r="S7" s="272" t="n"/>
    </row>
    <row r="8">
      <c r="B8" s="249" t="inlineStr">
        <is>
          <t>Insurance units</t>
        </is>
      </c>
      <c r="C8" s="279" t="inlineStr">
        <is>
          <t>000s</t>
        </is>
      </c>
      <c r="D8" s="319">
        <f>'E5 Prices &amp; Fees'!D11</f>
        <v/>
      </c>
      <c r="E8" s="319">
        <f>'E5 Prices &amp; Fees'!E11</f>
        <v/>
      </c>
      <c r="F8" s="319">
        <f>'E5 Prices &amp; Fees'!F11</f>
        <v/>
      </c>
      <c r="G8" s="319">
        <f>'E5 Prices &amp; Fees'!G11</f>
        <v/>
      </c>
      <c r="H8" s="319">
        <f>D8*'E2 Claims &amp; Totals'!H$75*IF($D$101=1,'E3 Carriers'!H$49,'E3 Carriers'!H$48)*(1+$E$101*'E4 Aftermarket'!H$40)*CHOOSE($H$101,'E2 Claims &amp; Totals'!H$116,'E2 Claims &amp; Totals'!H$117,'E2 Claims &amp; Totals'!H$118)</f>
        <v/>
      </c>
      <c r="I8" s="319">
        <f>E8*'E2 Claims &amp; Totals'!I$75*IF($D$101=1,'E3 Carriers'!I$49,'E3 Carriers'!I$48)*(1+$E$101*'E4 Aftermarket'!I$40)*CHOOSE($H$101,'E2 Claims &amp; Totals'!I$116,'E2 Claims &amp; Totals'!I$117,'E2 Claims &amp; Totals'!I$118)</f>
        <v/>
      </c>
      <c r="J8" s="319">
        <f>F8*'E2 Claims &amp; Totals'!J$75*IF($D$101=1,'E3 Carriers'!J$49,'E3 Carriers'!J$48)*(1+$E$101*'E4 Aftermarket'!J$40)*CHOOSE($H$101,'E2 Claims &amp; Totals'!J$116,'E2 Claims &amp; Totals'!J$117,'E2 Claims &amp; Totals'!J$118)</f>
        <v/>
      </c>
      <c r="K8" s="319">
        <f>G8*'E2 Claims &amp; Totals'!K$75*IF($D$101=1,'E3 Carriers'!K$49,'E3 Carriers'!K$48)*(1+$E$101*'E4 Aftermarket'!K$40)*CHOOSE($H$101,'E2 Claims &amp; Totals'!K$116,'E2 Claims &amp; Totals'!K$117,'E2 Claims &amp; Totals'!K$118)</f>
        <v/>
      </c>
      <c r="L8" s="319">
        <f>H8*'E2 Claims &amp; Totals'!L$75*IF($D$101=1,'E3 Carriers'!L$49,'E3 Carriers'!L$48)*(1+$E$101*'E4 Aftermarket'!L$40)*CHOOSE($H$101,'E2 Claims &amp; Totals'!L$116,'E2 Claims &amp; Totals'!L$117,'E2 Claims &amp; Totals'!L$118)</f>
        <v/>
      </c>
      <c r="M8" s="319">
        <f>I8*'E2 Claims &amp; Totals'!M$75*IF($D$101=1,'E3 Carriers'!M$49,'E3 Carriers'!M$48)*(1+$E$101*'E4 Aftermarket'!M$40)*CHOOSE($H$101,'E2 Claims &amp; Totals'!M$116,'E2 Claims &amp; Totals'!M$117,'E2 Claims &amp; Totals'!M$118)</f>
        <v/>
      </c>
      <c r="N8" s="319">
        <f>J8*'E2 Claims &amp; Totals'!N$75*IF($D$101=1,'E3 Carriers'!N$49,'E3 Carriers'!N$48)*(1+$E$101*'E4 Aftermarket'!N$40)*CHOOSE($H$101,'E2 Claims &amp; Totals'!N$116,'E2 Claims &amp; Totals'!N$117,'E2 Claims &amp; Totals'!N$118)</f>
        <v/>
      </c>
      <c r="O8" s="319">
        <f>K8*'E2 Claims &amp; Totals'!O$75*IF($D$101=1,'E3 Carriers'!O$49,'E3 Carriers'!O$48)*(1+$E$101*'E4 Aftermarket'!O$40)*CHOOSE($H$101,'E2 Claims &amp; Totals'!O$116,'E2 Claims &amp; Totals'!O$117,'E2 Claims &amp; Totals'!O$118)</f>
        <v/>
      </c>
      <c r="P8" s="260">
        <f>SUM(D8:G8)</f>
        <v/>
      </c>
      <c r="Q8" s="260">
        <f>SUM(H8:K8)</f>
        <v/>
      </c>
      <c r="R8" s="260">
        <f>SUM(L8:O8)</f>
        <v/>
      </c>
    </row>
    <row r="9">
      <c r="B9" s="281" t="inlineStr">
        <is>
          <t>y/y</t>
        </is>
      </c>
      <c r="C9" s="279" t="inlineStr">
        <is>
          <t>%</t>
        </is>
      </c>
      <c r="D9" s="282" t="inlineStr">
        <is>
          <t>–</t>
        </is>
      </c>
      <c r="E9" s="282" t="inlineStr">
        <is>
          <t>–</t>
        </is>
      </c>
      <c r="F9" s="282" t="inlineStr">
        <is>
          <t>–</t>
        </is>
      </c>
      <c r="G9" s="282" t="inlineStr">
        <is>
          <t>–</t>
        </is>
      </c>
      <c r="H9" s="327">
        <f>H8/D8-1</f>
        <v/>
      </c>
      <c r="I9" s="327">
        <f>I8/E8-1</f>
        <v/>
      </c>
      <c r="J9" s="327">
        <f>J8/F8-1</f>
        <v/>
      </c>
      <c r="K9" s="327">
        <f>K8/G8-1</f>
        <v/>
      </c>
      <c r="L9" s="327">
        <f>L8/H8-1</f>
        <v/>
      </c>
      <c r="M9" s="327">
        <f>M8/I8-1</f>
        <v/>
      </c>
      <c r="N9" s="327">
        <f>N8/J8-1</f>
        <v/>
      </c>
      <c r="O9" s="327">
        <f>O8/K8-1</f>
        <v/>
      </c>
      <c r="P9" s="282" t="inlineStr">
        <is>
          <t>–</t>
        </is>
      </c>
      <c r="Q9" s="327">
        <f>Q8/P8-1</f>
        <v/>
      </c>
      <c r="R9" s="327">
        <f>R8/Q8-1</f>
        <v/>
      </c>
    </row>
    <row r="10">
      <c r="B10" s="254" t="inlineStr">
        <is>
          <t>US insurance ASP</t>
        </is>
      </c>
      <c r="C10" s="279" t="inlineStr">
        <is>
          <t>$</t>
        </is>
      </c>
      <c r="D10" s="416">
        <f>'E5 Prices &amp; Fees'!$D$45</f>
        <v/>
      </c>
      <c r="E10" s="416">
        <f>'E5 Prices &amp; Fees'!$D$45</f>
        <v/>
      </c>
      <c r="F10" s="416">
        <f>'E5 Prices &amp; Fees'!$D$45</f>
        <v/>
      </c>
      <c r="G10" s="416">
        <f>'E5 Prices &amp; Fees'!$D$45</f>
        <v/>
      </c>
      <c r="H10" s="416">
        <f>'E5 Prices &amp; Fees'!$D$45*(1+$F$101)^1*(1+$E$101*'E4 Aftermarket'!H$41)</f>
        <v/>
      </c>
      <c r="I10" s="416">
        <f>'E5 Prices &amp; Fees'!$D$45*(1+$F$101)^1*(1+$E$101*'E4 Aftermarket'!I$41)</f>
        <v/>
      </c>
      <c r="J10" s="416">
        <f>'E5 Prices &amp; Fees'!$D$45*(1+$F$101)^1*(1+$E$101*'E4 Aftermarket'!J$41)</f>
        <v/>
      </c>
      <c r="K10" s="416">
        <f>'E5 Prices &amp; Fees'!$D$45*(1+$F$101)^1*(1+$E$101*'E4 Aftermarket'!K$41)</f>
        <v/>
      </c>
      <c r="L10" s="416">
        <f>'E5 Prices &amp; Fees'!$D$45*(1+$F$101)^2*(1+$E$101*'E4 Aftermarket'!L$41)</f>
        <v/>
      </c>
      <c r="M10" s="416">
        <f>'E5 Prices &amp; Fees'!$D$45*(1+$F$101)^2*(1+$E$101*'E4 Aftermarket'!M$41)</f>
        <v/>
      </c>
      <c r="N10" s="416">
        <f>'E5 Prices &amp; Fees'!$D$45*(1+$F$101)^2*(1+$E$101*'E4 Aftermarket'!N$41)</f>
        <v/>
      </c>
      <c r="O10" s="416">
        <f>'E5 Prices &amp; Fees'!$D$45*(1+$F$101)^2*(1+$E$101*'E4 Aftermarket'!O$41)</f>
        <v/>
      </c>
      <c r="P10" s="423">
        <f>AVERAGE(D10:G10)</f>
        <v/>
      </c>
      <c r="Q10" s="423">
        <f>AVERAGE(H10:K10)</f>
        <v/>
      </c>
      <c r="R10" s="423">
        <f>AVERAGE(L10:O10)</f>
        <v/>
      </c>
    </row>
    <row r="11">
      <c r="B11" s="254" t="inlineStr">
        <is>
          <t>Core RPU</t>
        </is>
      </c>
      <c r="C11" s="279" t="inlineStr">
        <is>
          <t>$</t>
        </is>
      </c>
      <c r="D11" s="416">
        <f>'E5 Prices &amp; Fees'!$D$50*(D10/'E5 Prices &amp; Fees'!$D$45)^'E5 Prices &amp; Fees'!$D$51+IF($D$101=1,'E3 Carriers'!D$56,'E3 Carriers'!D$55)*D10+'E5 Prices &amp; Fees'!$D$48</f>
        <v/>
      </c>
      <c r="E11" s="416">
        <f>'E5 Prices &amp; Fees'!$D$50*(E10/'E5 Prices &amp; Fees'!$D$45)^'E5 Prices &amp; Fees'!$D$51+IF($D$101=1,'E3 Carriers'!E$56,'E3 Carriers'!E$55)*E10+'E5 Prices &amp; Fees'!$D$48</f>
        <v/>
      </c>
      <c r="F11" s="416">
        <f>'E5 Prices &amp; Fees'!$D$50*(F10/'E5 Prices &amp; Fees'!$D$45)^'E5 Prices &amp; Fees'!$D$51+IF($D$101=1,'E3 Carriers'!F$56,'E3 Carriers'!F$55)*F10+'E5 Prices &amp; Fees'!$D$48</f>
        <v/>
      </c>
      <c r="G11" s="416">
        <f>'E5 Prices &amp; Fees'!$D$50*(G10/'E5 Prices &amp; Fees'!$D$45)^'E5 Prices &amp; Fees'!$D$51+IF($D$101=1,'E3 Carriers'!G$56,'E3 Carriers'!G$55)*G10+'E5 Prices &amp; Fees'!$D$48</f>
        <v/>
      </c>
      <c r="H11" s="416">
        <f>'E5 Prices &amp; Fees'!$D$50*(H10/'E5 Prices &amp; Fees'!$D$45)^'E5 Prices &amp; Fees'!$D$51+IF($D$101=1,'E3 Carriers'!H$56,'E3 Carriers'!H$55)*H10+'E5 Prices &amp; Fees'!$D$48</f>
        <v/>
      </c>
      <c r="I11" s="416">
        <f>'E5 Prices &amp; Fees'!$D$50*(I10/'E5 Prices &amp; Fees'!$D$45)^'E5 Prices &amp; Fees'!$D$51+IF($D$101=1,'E3 Carriers'!I$56,'E3 Carriers'!I$55)*I10+'E5 Prices &amp; Fees'!$D$48</f>
        <v/>
      </c>
      <c r="J11" s="416">
        <f>'E5 Prices &amp; Fees'!$D$50*(J10/'E5 Prices &amp; Fees'!$D$45)^'E5 Prices &amp; Fees'!$D$51+IF($D$101=1,'E3 Carriers'!J$56,'E3 Carriers'!J$55)*J10+'E5 Prices &amp; Fees'!$D$48</f>
        <v/>
      </c>
      <c r="K11" s="416">
        <f>'E5 Prices &amp; Fees'!$D$50*(K10/'E5 Prices &amp; Fees'!$D$45)^'E5 Prices &amp; Fees'!$D$51+IF($D$101=1,'E3 Carriers'!K$56,'E3 Carriers'!K$55)*K10+'E5 Prices &amp; Fees'!$D$48</f>
        <v/>
      </c>
      <c r="L11" s="416">
        <f>'E5 Prices &amp; Fees'!$D$50*(L10/'E5 Prices &amp; Fees'!$D$45)^'E5 Prices &amp; Fees'!$D$51+IF($D$101=1,'E3 Carriers'!L$56,'E3 Carriers'!L$55)*L10+'E5 Prices &amp; Fees'!$D$48</f>
        <v/>
      </c>
      <c r="M11" s="416">
        <f>'E5 Prices &amp; Fees'!$D$50*(M10/'E5 Prices &amp; Fees'!$D$45)^'E5 Prices &amp; Fees'!$D$51+IF($D$101=1,'E3 Carriers'!M$56,'E3 Carriers'!M$55)*M10+'E5 Prices &amp; Fees'!$D$48</f>
        <v/>
      </c>
      <c r="N11" s="416">
        <f>'E5 Prices &amp; Fees'!$D$50*(N10/'E5 Prices &amp; Fees'!$D$45)^'E5 Prices &amp; Fees'!$D$51+IF($D$101=1,'E3 Carriers'!N$56,'E3 Carriers'!N$55)*N10+'E5 Prices &amp; Fees'!$D$48</f>
        <v/>
      </c>
      <c r="O11" s="416">
        <f>'E5 Prices &amp; Fees'!$D$50*(O10/'E5 Prices &amp; Fees'!$D$45)^'E5 Prices &amp; Fees'!$D$51+IF($D$101=1,'E3 Carriers'!O$56,'E3 Carriers'!O$55)*O10+'E5 Prices &amp; Fees'!$D$48</f>
        <v/>
      </c>
      <c r="P11" s="282" t="inlineStr">
        <is>
          <t>–</t>
        </is>
      </c>
      <c r="Q11" s="282" t="inlineStr">
        <is>
          <t>–</t>
        </is>
      </c>
      <c r="R11" s="282" t="inlineStr">
        <is>
          <t>–</t>
        </is>
      </c>
    </row>
    <row r="12">
      <c r="B12" s="254" t="inlineStr">
        <is>
          <t>All-in insurance RPU</t>
        </is>
      </c>
      <c r="C12" s="279" t="inlineStr">
        <is>
          <t>$</t>
        </is>
      </c>
      <c r="D12" s="416">
        <f>D11+'E5 Prices &amp; Fees'!D24</f>
        <v/>
      </c>
      <c r="E12" s="416">
        <f>E11+'E5 Prices &amp; Fees'!E24</f>
        <v/>
      </c>
      <c r="F12" s="416">
        <f>F11+'E5 Prices &amp; Fees'!F24</f>
        <v/>
      </c>
      <c r="G12" s="416">
        <f>G11+'E5 Prices &amp; Fees'!G24</f>
        <v/>
      </c>
      <c r="H12" s="416">
        <f>H11+'E5 Prices &amp; Fees'!H24</f>
        <v/>
      </c>
      <c r="I12" s="416">
        <f>I11+'E5 Prices &amp; Fees'!I24</f>
        <v/>
      </c>
      <c r="J12" s="416">
        <f>J11+'E5 Prices &amp; Fees'!J24</f>
        <v/>
      </c>
      <c r="K12" s="416">
        <f>K11+'E5 Prices &amp; Fees'!K24</f>
        <v/>
      </c>
      <c r="L12" s="416">
        <f>L11+'E5 Prices &amp; Fees'!L24</f>
        <v/>
      </c>
      <c r="M12" s="416">
        <f>M11+'E5 Prices &amp; Fees'!M24</f>
        <v/>
      </c>
      <c r="N12" s="416">
        <f>N11+'E5 Prices &amp; Fees'!N24</f>
        <v/>
      </c>
      <c r="O12" s="416">
        <f>O11+'E5 Prices &amp; Fees'!O24</f>
        <v/>
      </c>
      <c r="P12" s="423">
        <f>P13*1000/P8</f>
        <v/>
      </c>
      <c r="Q12" s="423">
        <f>Q13*1000/Q8</f>
        <v/>
      </c>
      <c r="R12" s="423">
        <f>R13*1000/R8</f>
        <v/>
      </c>
    </row>
    <row r="13">
      <c r="B13" s="254" t="inlineStr">
        <is>
          <t>US insurance service revenue</t>
        </is>
      </c>
      <c r="C13" s="279" t="inlineStr">
        <is>
          <t>$M</t>
        </is>
      </c>
      <c r="D13" s="288">
        <f>D8*D12/1000</f>
        <v/>
      </c>
      <c r="E13" s="288">
        <f>E8*E12/1000</f>
        <v/>
      </c>
      <c r="F13" s="288">
        <f>F8*F12/1000</f>
        <v/>
      </c>
      <c r="G13" s="288">
        <f>G8*G12/1000</f>
        <v/>
      </c>
      <c r="H13" s="288">
        <f>H8*H12/1000</f>
        <v/>
      </c>
      <c r="I13" s="288">
        <f>I8*I12/1000</f>
        <v/>
      </c>
      <c r="J13" s="288">
        <f>J8*J12/1000</f>
        <v/>
      </c>
      <c r="K13" s="288">
        <f>K8*K12/1000</f>
        <v/>
      </c>
      <c r="L13" s="288">
        <f>L8*L12/1000</f>
        <v/>
      </c>
      <c r="M13" s="288">
        <f>M8*M12/1000</f>
        <v/>
      </c>
      <c r="N13" s="288">
        <f>N8*N12/1000</f>
        <v/>
      </c>
      <c r="O13" s="288">
        <f>O8*O12/1000</f>
        <v/>
      </c>
      <c r="P13" s="288">
        <f>SUM(D13:G13)</f>
        <v/>
      </c>
      <c r="Q13" s="288">
        <f>SUM(H13:K13)</f>
        <v/>
      </c>
      <c r="R13" s="288">
        <f>SUM(L13:O13)</f>
        <v/>
      </c>
    </row>
    <row r="14">
      <c r="B14" s="254" t="inlineStr">
        <is>
          <t>US non-insurance service revenue</t>
        </is>
      </c>
      <c r="C14" s="279" t="inlineStr">
        <is>
          <t>$M</t>
        </is>
      </c>
      <c r="D14" s="276">
        <f>'E6 Other Branches'!D8</f>
        <v/>
      </c>
      <c r="E14" s="276">
        <f>'E6 Other Branches'!E8</f>
        <v/>
      </c>
      <c r="F14" s="276">
        <f>'E6 Other Branches'!F8</f>
        <v/>
      </c>
      <c r="G14" s="276">
        <f>'E6 Other Branches'!G8</f>
        <v/>
      </c>
      <c r="H14" s="276">
        <f>'E6 Other Branches'!H8</f>
        <v/>
      </c>
      <c r="I14" s="276">
        <f>'E6 Other Branches'!I8</f>
        <v/>
      </c>
      <c r="J14" s="276">
        <f>'E6 Other Branches'!J8</f>
        <v/>
      </c>
      <c r="K14" s="276">
        <f>'E6 Other Branches'!K8</f>
        <v/>
      </c>
      <c r="L14" s="276">
        <f>'E6 Other Branches'!L8</f>
        <v/>
      </c>
      <c r="M14" s="276">
        <f>'E6 Other Branches'!M8</f>
        <v/>
      </c>
      <c r="N14" s="276">
        <f>'E6 Other Branches'!N8</f>
        <v/>
      </c>
      <c r="O14" s="276">
        <f>'E6 Other Branches'!O8</f>
        <v/>
      </c>
      <c r="P14" s="288">
        <f>SUM(D14:G14)</f>
        <v/>
      </c>
      <c r="Q14" s="288">
        <f>SUM(H14:K14)</f>
        <v/>
      </c>
      <c r="R14" s="288">
        <f>SUM(L14:O14)</f>
        <v/>
      </c>
    </row>
    <row r="15">
      <c r="B15" s="254" t="inlineStr">
        <is>
          <t>International service revenue</t>
        </is>
      </c>
      <c r="C15" s="279" t="inlineStr">
        <is>
          <t>$M</t>
        </is>
      </c>
      <c r="D15" s="276">
        <f>'E6 Other Branches'!D12</f>
        <v/>
      </c>
      <c r="E15" s="276">
        <f>'E6 Other Branches'!E12</f>
        <v/>
      </c>
      <c r="F15" s="276">
        <f>'E6 Other Branches'!F12</f>
        <v/>
      </c>
      <c r="G15" s="276">
        <f>'E6 Other Branches'!G12</f>
        <v/>
      </c>
      <c r="H15" s="276">
        <f>'E6 Other Branches'!H12</f>
        <v/>
      </c>
      <c r="I15" s="276">
        <f>'E6 Other Branches'!I12</f>
        <v/>
      </c>
      <c r="J15" s="276">
        <f>'E6 Other Branches'!J12</f>
        <v/>
      </c>
      <c r="K15" s="276">
        <f>'E6 Other Branches'!K12</f>
        <v/>
      </c>
      <c r="L15" s="276">
        <f>'E6 Other Branches'!L12</f>
        <v/>
      </c>
      <c r="M15" s="276">
        <f>'E6 Other Branches'!M12</f>
        <v/>
      </c>
      <c r="N15" s="276">
        <f>'E6 Other Branches'!N12</f>
        <v/>
      </c>
      <c r="O15" s="276">
        <f>'E6 Other Branches'!O12</f>
        <v/>
      </c>
      <c r="P15" s="288">
        <f>SUM(D15:G15)</f>
        <v/>
      </c>
      <c r="Q15" s="288">
        <f>SUM(H15:K15)</f>
        <v/>
      </c>
      <c r="R15" s="288">
        <f>SUM(L15:O15)</f>
        <v/>
      </c>
    </row>
    <row r="16">
      <c r="B16" s="249" t="inlineStr">
        <is>
          <t>Legacy service revenue</t>
        </is>
      </c>
      <c r="C16" s="279" t="inlineStr">
        <is>
          <t>$M</t>
        </is>
      </c>
      <c r="D16" s="351">
        <f>D13+D14+D15</f>
        <v/>
      </c>
      <c r="E16" s="351">
        <f>E13+E14+E15</f>
        <v/>
      </c>
      <c r="F16" s="351">
        <f>F13+F14+F15</f>
        <v/>
      </c>
      <c r="G16" s="351">
        <f>G13+G14+G15</f>
        <v/>
      </c>
      <c r="H16" s="351">
        <f>H13+H14+H15</f>
        <v/>
      </c>
      <c r="I16" s="351">
        <f>I13+I14+I15</f>
        <v/>
      </c>
      <c r="J16" s="351">
        <f>J13+J14+J15</f>
        <v/>
      </c>
      <c r="K16" s="351">
        <f>K13+K14+K15</f>
        <v/>
      </c>
      <c r="L16" s="351">
        <f>L13+L14+L15</f>
        <v/>
      </c>
      <c r="M16" s="351">
        <f>M13+M14+M15</f>
        <v/>
      </c>
      <c r="N16" s="351">
        <f>N13+N14+N15</f>
        <v/>
      </c>
      <c r="O16" s="351">
        <f>O13+O14+O15</f>
        <v/>
      </c>
      <c r="P16" s="287">
        <f>SUM(D16:G16)</f>
        <v/>
      </c>
      <c r="Q16" s="287">
        <f>SUM(H16:K16)</f>
        <v/>
      </c>
      <c r="R16" s="287">
        <f>SUM(L16:O16)</f>
        <v/>
      </c>
    </row>
    <row r="17">
      <c r="B17" s="254" t="inlineStr">
        <is>
          <t>Purchased-vehicle revenue</t>
        </is>
      </c>
      <c r="C17" s="279" t="inlineStr">
        <is>
          <t>$M</t>
        </is>
      </c>
      <c r="D17" s="276">
        <f>'E6 Other Branches'!D16</f>
        <v/>
      </c>
      <c r="E17" s="276">
        <f>'E6 Other Branches'!E16</f>
        <v/>
      </c>
      <c r="F17" s="276">
        <f>'E6 Other Branches'!F16</f>
        <v/>
      </c>
      <c r="G17" s="276">
        <f>'E6 Other Branches'!G16</f>
        <v/>
      </c>
      <c r="H17" s="276">
        <f>'E6 Other Branches'!H16</f>
        <v/>
      </c>
      <c r="I17" s="276">
        <f>'E6 Other Branches'!I16</f>
        <v/>
      </c>
      <c r="J17" s="276">
        <f>'E6 Other Branches'!J16</f>
        <v/>
      </c>
      <c r="K17" s="276">
        <f>'E6 Other Branches'!K16</f>
        <v/>
      </c>
      <c r="L17" s="276">
        <f>'E6 Other Branches'!L16</f>
        <v/>
      </c>
      <c r="M17" s="276">
        <f>'E6 Other Branches'!M16</f>
        <v/>
      </c>
      <c r="N17" s="276">
        <f>'E6 Other Branches'!N16</f>
        <v/>
      </c>
      <c r="O17" s="276">
        <f>'E6 Other Branches'!O16</f>
        <v/>
      </c>
      <c r="P17" s="288">
        <f>SUM(D17:G17)</f>
        <v/>
      </c>
      <c r="Q17" s="288">
        <f>SUM(H17:K17)</f>
        <v/>
      </c>
      <c r="R17" s="288">
        <f>SUM(L17:O17)</f>
        <v/>
      </c>
    </row>
    <row r="18">
      <c r="B18" s="249" t="inlineStr">
        <is>
          <t>Total revenue (legacy + purchased + ACV)</t>
        </is>
      </c>
      <c r="C18" s="279" t="inlineStr">
        <is>
          <t>$M</t>
        </is>
      </c>
      <c r="D18" s="280">
        <f>D16+D17+'E6 Other Branches'!D19</f>
        <v/>
      </c>
      <c r="E18" s="280">
        <f>E16+E17+'E6 Other Branches'!E19</f>
        <v/>
      </c>
      <c r="F18" s="280">
        <f>F16+F17+'E6 Other Branches'!F19</f>
        <v/>
      </c>
      <c r="G18" s="280">
        <f>G16+G17+'E6 Other Branches'!G19</f>
        <v/>
      </c>
      <c r="H18" s="280">
        <f>H16+H17+'E6 Other Branches'!H19</f>
        <v/>
      </c>
      <c r="I18" s="280">
        <f>I16+I17+'E6 Other Branches'!I19</f>
        <v/>
      </c>
      <c r="J18" s="280">
        <f>J16+J17+'E6 Other Branches'!J19</f>
        <v/>
      </c>
      <c r="K18" s="280">
        <f>K16+K17+'E6 Other Branches'!K19</f>
        <v/>
      </c>
      <c r="L18" s="280">
        <f>L16+L17+'E6 Other Branches'!L19</f>
        <v/>
      </c>
      <c r="M18" s="280">
        <f>M16+M17+'E6 Other Branches'!M19</f>
        <v/>
      </c>
      <c r="N18" s="280">
        <f>N16+N17+'E6 Other Branches'!N19</f>
        <v/>
      </c>
      <c r="O18" s="280">
        <f>O16+O17+'E6 Other Branches'!O19</f>
        <v/>
      </c>
      <c r="P18" s="287">
        <f>SUM(D18:G18)</f>
        <v/>
      </c>
      <c r="Q18" s="287">
        <f>SUM(H18:K18)</f>
        <v/>
      </c>
      <c r="R18" s="287">
        <f>SUM(L18:O18)</f>
        <v/>
      </c>
    </row>
    <row r="20">
      <c r="B20" s="271" t="inlineStr">
        <is>
          <t>Case 2 — Case 1 — Known facts / thesis 1 sticky: runoff laps, coverage flat, no other thesis</t>
        </is>
      </c>
      <c r="C20" s="272" t="n"/>
      <c r="D20" s="272" t="n"/>
      <c r="E20" s="272" t="n"/>
      <c r="F20" s="272" t="n"/>
      <c r="G20" s="272" t="n"/>
      <c r="H20" s="272" t="n"/>
      <c r="I20" s="272" t="n"/>
      <c r="J20" s="272" t="n"/>
      <c r="K20" s="272" t="n"/>
      <c r="L20" s="272" t="n"/>
      <c r="M20" s="272" t="n"/>
      <c r="N20" s="272" t="n"/>
      <c r="O20" s="272" t="n"/>
      <c r="P20" s="272" t="n"/>
      <c r="Q20" s="272" t="n"/>
      <c r="R20" s="272" t="n"/>
      <c r="S20" s="272" t="n"/>
    </row>
    <row r="21">
      <c r="B21" s="249" t="inlineStr">
        <is>
          <t>Insurance units</t>
        </is>
      </c>
      <c r="C21" s="279" t="inlineStr">
        <is>
          <t>000s</t>
        </is>
      </c>
      <c r="D21" s="319">
        <f>'E5 Prices &amp; Fees'!D11</f>
        <v/>
      </c>
      <c r="E21" s="319">
        <f>'E5 Prices &amp; Fees'!E11</f>
        <v/>
      </c>
      <c r="F21" s="319">
        <f>'E5 Prices &amp; Fees'!F11</f>
        <v/>
      </c>
      <c r="G21" s="319">
        <f>'E5 Prices &amp; Fees'!G11</f>
        <v/>
      </c>
      <c r="H21" s="319">
        <f>D21*'E2 Claims &amp; Totals'!H$75*IF($D$102=1,'E3 Carriers'!H$49,'E3 Carriers'!H$48)*(1+$E$102*'E4 Aftermarket'!H$40)*CHOOSE($H$102,'E2 Claims &amp; Totals'!H$116,'E2 Claims &amp; Totals'!H$117,'E2 Claims &amp; Totals'!H$118)</f>
        <v/>
      </c>
      <c r="I21" s="319">
        <f>E21*'E2 Claims &amp; Totals'!I$75*IF($D$102=1,'E3 Carriers'!I$49,'E3 Carriers'!I$48)*(1+$E$102*'E4 Aftermarket'!I$40)*CHOOSE($H$102,'E2 Claims &amp; Totals'!I$116,'E2 Claims &amp; Totals'!I$117,'E2 Claims &amp; Totals'!I$118)</f>
        <v/>
      </c>
      <c r="J21" s="319">
        <f>F21*'E2 Claims &amp; Totals'!J$75*IF($D$102=1,'E3 Carriers'!J$49,'E3 Carriers'!J$48)*(1+$E$102*'E4 Aftermarket'!J$40)*CHOOSE($H$102,'E2 Claims &amp; Totals'!J$116,'E2 Claims &amp; Totals'!J$117,'E2 Claims &amp; Totals'!J$118)</f>
        <v/>
      </c>
      <c r="K21" s="319">
        <f>G21*'E2 Claims &amp; Totals'!K$75*IF($D$102=1,'E3 Carriers'!K$49,'E3 Carriers'!K$48)*(1+$E$102*'E4 Aftermarket'!K$40)*CHOOSE($H$102,'E2 Claims &amp; Totals'!K$116,'E2 Claims &amp; Totals'!K$117,'E2 Claims &amp; Totals'!K$118)</f>
        <v/>
      </c>
      <c r="L21" s="319">
        <f>H21*'E2 Claims &amp; Totals'!L$75*IF($D$102=1,'E3 Carriers'!L$49,'E3 Carriers'!L$48)*(1+$E$102*'E4 Aftermarket'!L$40)*CHOOSE($H$102,'E2 Claims &amp; Totals'!L$116,'E2 Claims &amp; Totals'!L$117,'E2 Claims &amp; Totals'!L$118)</f>
        <v/>
      </c>
      <c r="M21" s="319">
        <f>I21*'E2 Claims &amp; Totals'!M$75*IF($D$102=1,'E3 Carriers'!M$49,'E3 Carriers'!M$48)*(1+$E$102*'E4 Aftermarket'!M$40)*CHOOSE($H$102,'E2 Claims &amp; Totals'!M$116,'E2 Claims &amp; Totals'!M$117,'E2 Claims &amp; Totals'!M$118)</f>
        <v/>
      </c>
      <c r="N21" s="319">
        <f>J21*'E2 Claims &amp; Totals'!N$75*IF($D$102=1,'E3 Carriers'!N$49,'E3 Carriers'!N$48)*(1+$E$102*'E4 Aftermarket'!N$40)*CHOOSE($H$102,'E2 Claims &amp; Totals'!N$116,'E2 Claims &amp; Totals'!N$117,'E2 Claims &amp; Totals'!N$118)</f>
        <v/>
      </c>
      <c r="O21" s="319">
        <f>K21*'E2 Claims &amp; Totals'!O$75*IF($D$102=1,'E3 Carriers'!O$49,'E3 Carriers'!O$48)*(1+$E$102*'E4 Aftermarket'!O$40)*CHOOSE($H$102,'E2 Claims &amp; Totals'!O$116,'E2 Claims &amp; Totals'!O$117,'E2 Claims &amp; Totals'!O$118)</f>
        <v/>
      </c>
      <c r="P21" s="260">
        <f>SUM(D21:G21)</f>
        <v/>
      </c>
      <c r="Q21" s="260">
        <f>SUM(H21:K21)</f>
        <v/>
      </c>
      <c r="R21" s="260">
        <f>SUM(L21:O21)</f>
        <v/>
      </c>
    </row>
    <row r="22">
      <c r="B22" s="281" t="inlineStr">
        <is>
          <t>y/y</t>
        </is>
      </c>
      <c r="C22" s="279" t="inlineStr">
        <is>
          <t>%</t>
        </is>
      </c>
      <c r="D22" s="282" t="inlineStr">
        <is>
          <t>–</t>
        </is>
      </c>
      <c r="E22" s="282" t="inlineStr">
        <is>
          <t>–</t>
        </is>
      </c>
      <c r="F22" s="282" t="inlineStr">
        <is>
          <t>–</t>
        </is>
      </c>
      <c r="G22" s="282" t="inlineStr">
        <is>
          <t>–</t>
        </is>
      </c>
      <c r="H22" s="327">
        <f>H21/D21-1</f>
        <v/>
      </c>
      <c r="I22" s="327">
        <f>I21/E21-1</f>
        <v/>
      </c>
      <c r="J22" s="327">
        <f>J21/F21-1</f>
        <v/>
      </c>
      <c r="K22" s="327">
        <f>K21/G21-1</f>
        <v/>
      </c>
      <c r="L22" s="327">
        <f>L21/H21-1</f>
        <v/>
      </c>
      <c r="M22" s="327">
        <f>M21/I21-1</f>
        <v/>
      </c>
      <c r="N22" s="327">
        <f>N21/J21-1</f>
        <v/>
      </c>
      <c r="O22" s="327">
        <f>O21/K21-1</f>
        <v/>
      </c>
      <c r="P22" s="282" t="inlineStr">
        <is>
          <t>–</t>
        </is>
      </c>
      <c r="Q22" s="327">
        <f>Q21/P21-1</f>
        <v/>
      </c>
      <c r="R22" s="327">
        <f>R21/Q21-1</f>
        <v/>
      </c>
    </row>
    <row r="23">
      <c r="B23" s="254" t="inlineStr">
        <is>
          <t>US insurance ASP</t>
        </is>
      </c>
      <c r="C23" s="279" t="inlineStr">
        <is>
          <t>$</t>
        </is>
      </c>
      <c r="D23" s="416">
        <f>'E5 Prices &amp; Fees'!$D$45</f>
        <v/>
      </c>
      <c r="E23" s="416">
        <f>'E5 Prices &amp; Fees'!$D$45</f>
        <v/>
      </c>
      <c r="F23" s="416">
        <f>'E5 Prices &amp; Fees'!$D$45</f>
        <v/>
      </c>
      <c r="G23" s="416">
        <f>'E5 Prices &amp; Fees'!$D$45</f>
        <v/>
      </c>
      <c r="H23" s="416">
        <f>'E5 Prices &amp; Fees'!$D$45*(1+$F$102)^1*(1+$E$102*'E4 Aftermarket'!H$41)</f>
        <v/>
      </c>
      <c r="I23" s="416">
        <f>'E5 Prices &amp; Fees'!$D$45*(1+$F$102)^1*(1+$E$102*'E4 Aftermarket'!I$41)</f>
        <v/>
      </c>
      <c r="J23" s="416">
        <f>'E5 Prices &amp; Fees'!$D$45*(1+$F$102)^1*(1+$E$102*'E4 Aftermarket'!J$41)</f>
        <v/>
      </c>
      <c r="K23" s="416">
        <f>'E5 Prices &amp; Fees'!$D$45*(1+$F$102)^1*(1+$E$102*'E4 Aftermarket'!K$41)</f>
        <v/>
      </c>
      <c r="L23" s="416">
        <f>'E5 Prices &amp; Fees'!$D$45*(1+$F$102)^2*(1+$E$102*'E4 Aftermarket'!L$41)</f>
        <v/>
      </c>
      <c r="M23" s="416">
        <f>'E5 Prices &amp; Fees'!$D$45*(1+$F$102)^2*(1+$E$102*'E4 Aftermarket'!M$41)</f>
        <v/>
      </c>
      <c r="N23" s="416">
        <f>'E5 Prices &amp; Fees'!$D$45*(1+$F$102)^2*(1+$E$102*'E4 Aftermarket'!N$41)</f>
        <v/>
      </c>
      <c r="O23" s="416">
        <f>'E5 Prices &amp; Fees'!$D$45*(1+$F$102)^2*(1+$E$102*'E4 Aftermarket'!O$41)</f>
        <v/>
      </c>
      <c r="P23" s="423">
        <f>AVERAGE(D23:G23)</f>
        <v/>
      </c>
      <c r="Q23" s="423">
        <f>AVERAGE(H23:K23)</f>
        <v/>
      </c>
      <c r="R23" s="423">
        <f>AVERAGE(L23:O23)</f>
        <v/>
      </c>
    </row>
    <row r="24">
      <c r="B24" s="254" t="inlineStr">
        <is>
          <t>Core RPU</t>
        </is>
      </c>
      <c r="C24" s="279" t="inlineStr">
        <is>
          <t>$</t>
        </is>
      </c>
      <c r="D24" s="416">
        <f>'E5 Prices &amp; Fees'!$D$50*(D23/'E5 Prices &amp; Fees'!$D$45)^'E5 Prices &amp; Fees'!$D$51+IF($D$102=1,'E3 Carriers'!D$56,'E3 Carriers'!D$55)*D23+'E5 Prices &amp; Fees'!$D$48</f>
        <v/>
      </c>
      <c r="E24" s="416">
        <f>'E5 Prices &amp; Fees'!$D$50*(E23/'E5 Prices &amp; Fees'!$D$45)^'E5 Prices &amp; Fees'!$D$51+IF($D$102=1,'E3 Carriers'!E$56,'E3 Carriers'!E$55)*E23+'E5 Prices &amp; Fees'!$D$48</f>
        <v/>
      </c>
      <c r="F24" s="416">
        <f>'E5 Prices &amp; Fees'!$D$50*(F23/'E5 Prices &amp; Fees'!$D$45)^'E5 Prices &amp; Fees'!$D$51+IF($D$102=1,'E3 Carriers'!F$56,'E3 Carriers'!F$55)*F23+'E5 Prices &amp; Fees'!$D$48</f>
        <v/>
      </c>
      <c r="G24" s="416">
        <f>'E5 Prices &amp; Fees'!$D$50*(G23/'E5 Prices &amp; Fees'!$D$45)^'E5 Prices &amp; Fees'!$D$51+IF($D$102=1,'E3 Carriers'!G$56,'E3 Carriers'!G$55)*G23+'E5 Prices &amp; Fees'!$D$48</f>
        <v/>
      </c>
      <c r="H24" s="416">
        <f>'E5 Prices &amp; Fees'!$D$50*(H23/'E5 Prices &amp; Fees'!$D$45)^'E5 Prices &amp; Fees'!$D$51+IF($D$102=1,'E3 Carriers'!H$56,'E3 Carriers'!H$55)*H23+'E5 Prices &amp; Fees'!$D$48</f>
        <v/>
      </c>
      <c r="I24" s="416">
        <f>'E5 Prices &amp; Fees'!$D$50*(I23/'E5 Prices &amp; Fees'!$D$45)^'E5 Prices &amp; Fees'!$D$51+IF($D$102=1,'E3 Carriers'!I$56,'E3 Carriers'!I$55)*I23+'E5 Prices &amp; Fees'!$D$48</f>
        <v/>
      </c>
      <c r="J24" s="416">
        <f>'E5 Prices &amp; Fees'!$D$50*(J23/'E5 Prices &amp; Fees'!$D$45)^'E5 Prices &amp; Fees'!$D$51+IF($D$102=1,'E3 Carriers'!J$56,'E3 Carriers'!J$55)*J23+'E5 Prices &amp; Fees'!$D$48</f>
        <v/>
      </c>
      <c r="K24" s="416">
        <f>'E5 Prices &amp; Fees'!$D$50*(K23/'E5 Prices &amp; Fees'!$D$45)^'E5 Prices &amp; Fees'!$D$51+IF($D$102=1,'E3 Carriers'!K$56,'E3 Carriers'!K$55)*K23+'E5 Prices &amp; Fees'!$D$48</f>
        <v/>
      </c>
      <c r="L24" s="416">
        <f>'E5 Prices &amp; Fees'!$D$50*(L23/'E5 Prices &amp; Fees'!$D$45)^'E5 Prices &amp; Fees'!$D$51+IF($D$102=1,'E3 Carriers'!L$56,'E3 Carriers'!L$55)*L23+'E5 Prices &amp; Fees'!$D$48</f>
        <v/>
      </c>
      <c r="M24" s="416">
        <f>'E5 Prices &amp; Fees'!$D$50*(M23/'E5 Prices &amp; Fees'!$D$45)^'E5 Prices &amp; Fees'!$D$51+IF($D$102=1,'E3 Carriers'!M$56,'E3 Carriers'!M$55)*M23+'E5 Prices &amp; Fees'!$D$48</f>
        <v/>
      </c>
      <c r="N24" s="416">
        <f>'E5 Prices &amp; Fees'!$D$50*(N23/'E5 Prices &amp; Fees'!$D$45)^'E5 Prices &amp; Fees'!$D$51+IF($D$102=1,'E3 Carriers'!N$56,'E3 Carriers'!N$55)*N23+'E5 Prices &amp; Fees'!$D$48</f>
        <v/>
      </c>
      <c r="O24" s="416">
        <f>'E5 Prices &amp; Fees'!$D$50*(O23/'E5 Prices &amp; Fees'!$D$45)^'E5 Prices &amp; Fees'!$D$51+IF($D$102=1,'E3 Carriers'!O$56,'E3 Carriers'!O$55)*O23+'E5 Prices &amp; Fees'!$D$48</f>
        <v/>
      </c>
      <c r="P24" s="282" t="inlineStr">
        <is>
          <t>–</t>
        </is>
      </c>
      <c r="Q24" s="282" t="inlineStr">
        <is>
          <t>–</t>
        </is>
      </c>
      <c r="R24" s="282" t="inlineStr">
        <is>
          <t>–</t>
        </is>
      </c>
    </row>
    <row r="25">
      <c r="B25" s="254" t="inlineStr">
        <is>
          <t>All-in insurance RPU</t>
        </is>
      </c>
      <c r="C25" s="279" t="inlineStr">
        <is>
          <t>$</t>
        </is>
      </c>
      <c r="D25" s="416">
        <f>D24+'E5 Prices &amp; Fees'!D24</f>
        <v/>
      </c>
      <c r="E25" s="416">
        <f>E24+'E5 Prices &amp; Fees'!E24</f>
        <v/>
      </c>
      <c r="F25" s="416">
        <f>F24+'E5 Prices &amp; Fees'!F24</f>
        <v/>
      </c>
      <c r="G25" s="416">
        <f>G24+'E5 Prices &amp; Fees'!G24</f>
        <v/>
      </c>
      <c r="H25" s="416">
        <f>H24+'E5 Prices &amp; Fees'!H24</f>
        <v/>
      </c>
      <c r="I25" s="416">
        <f>I24+'E5 Prices &amp; Fees'!I24</f>
        <v/>
      </c>
      <c r="J25" s="416">
        <f>J24+'E5 Prices &amp; Fees'!J24</f>
        <v/>
      </c>
      <c r="K25" s="416">
        <f>K24+'E5 Prices &amp; Fees'!K24</f>
        <v/>
      </c>
      <c r="L25" s="416">
        <f>L24+'E5 Prices &amp; Fees'!L24</f>
        <v/>
      </c>
      <c r="M25" s="416">
        <f>M24+'E5 Prices &amp; Fees'!M24</f>
        <v/>
      </c>
      <c r="N25" s="416">
        <f>N24+'E5 Prices &amp; Fees'!N24</f>
        <v/>
      </c>
      <c r="O25" s="416">
        <f>O24+'E5 Prices &amp; Fees'!O24</f>
        <v/>
      </c>
      <c r="P25" s="423">
        <f>P26*1000/P21</f>
        <v/>
      </c>
      <c r="Q25" s="423">
        <f>Q26*1000/Q21</f>
        <v/>
      </c>
      <c r="R25" s="423">
        <f>R26*1000/R21</f>
        <v/>
      </c>
    </row>
    <row r="26">
      <c r="B26" s="254" t="inlineStr">
        <is>
          <t>US insurance service revenue</t>
        </is>
      </c>
      <c r="C26" s="279" t="inlineStr">
        <is>
          <t>$M</t>
        </is>
      </c>
      <c r="D26" s="288">
        <f>D21*D25/1000</f>
        <v/>
      </c>
      <c r="E26" s="288">
        <f>E21*E25/1000</f>
        <v/>
      </c>
      <c r="F26" s="288">
        <f>F21*F25/1000</f>
        <v/>
      </c>
      <c r="G26" s="288">
        <f>G21*G25/1000</f>
        <v/>
      </c>
      <c r="H26" s="288">
        <f>H21*H25/1000</f>
        <v/>
      </c>
      <c r="I26" s="288">
        <f>I21*I25/1000</f>
        <v/>
      </c>
      <c r="J26" s="288">
        <f>J21*J25/1000</f>
        <v/>
      </c>
      <c r="K26" s="288">
        <f>K21*K25/1000</f>
        <v/>
      </c>
      <c r="L26" s="288">
        <f>L21*L25/1000</f>
        <v/>
      </c>
      <c r="M26" s="288">
        <f>M21*M25/1000</f>
        <v/>
      </c>
      <c r="N26" s="288">
        <f>N21*N25/1000</f>
        <v/>
      </c>
      <c r="O26" s="288">
        <f>O21*O25/1000</f>
        <v/>
      </c>
      <c r="P26" s="288">
        <f>SUM(D26:G26)</f>
        <v/>
      </c>
      <c r="Q26" s="288">
        <f>SUM(H26:K26)</f>
        <v/>
      </c>
      <c r="R26" s="288">
        <f>SUM(L26:O26)</f>
        <v/>
      </c>
    </row>
    <row r="27">
      <c r="B27" s="254" t="inlineStr">
        <is>
          <t>US non-insurance service revenue</t>
        </is>
      </c>
      <c r="C27" s="279" t="inlineStr">
        <is>
          <t>$M</t>
        </is>
      </c>
      <c r="D27" s="276">
        <f>'E6 Other Branches'!D8</f>
        <v/>
      </c>
      <c r="E27" s="276">
        <f>'E6 Other Branches'!E8</f>
        <v/>
      </c>
      <c r="F27" s="276">
        <f>'E6 Other Branches'!F8</f>
        <v/>
      </c>
      <c r="G27" s="276">
        <f>'E6 Other Branches'!G8</f>
        <v/>
      </c>
      <c r="H27" s="276">
        <f>'E6 Other Branches'!H8</f>
        <v/>
      </c>
      <c r="I27" s="276">
        <f>'E6 Other Branches'!I8</f>
        <v/>
      </c>
      <c r="J27" s="276">
        <f>'E6 Other Branches'!J8</f>
        <v/>
      </c>
      <c r="K27" s="276">
        <f>'E6 Other Branches'!K8</f>
        <v/>
      </c>
      <c r="L27" s="276">
        <f>'E6 Other Branches'!L8</f>
        <v/>
      </c>
      <c r="M27" s="276">
        <f>'E6 Other Branches'!M8</f>
        <v/>
      </c>
      <c r="N27" s="276">
        <f>'E6 Other Branches'!N8</f>
        <v/>
      </c>
      <c r="O27" s="276">
        <f>'E6 Other Branches'!O8</f>
        <v/>
      </c>
      <c r="P27" s="288">
        <f>SUM(D27:G27)</f>
        <v/>
      </c>
      <c r="Q27" s="288">
        <f>SUM(H27:K27)</f>
        <v/>
      </c>
      <c r="R27" s="288">
        <f>SUM(L27:O27)</f>
        <v/>
      </c>
    </row>
    <row r="28">
      <c r="B28" s="254" t="inlineStr">
        <is>
          <t>International service revenue</t>
        </is>
      </c>
      <c r="C28" s="279" t="inlineStr">
        <is>
          <t>$M</t>
        </is>
      </c>
      <c r="D28" s="276">
        <f>'E6 Other Branches'!D12</f>
        <v/>
      </c>
      <c r="E28" s="276">
        <f>'E6 Other Branches'!E12</f>
        <v/>
      </c>
      <c r="F28" s="276">
        <f>'E6 Other Branches'!F12</f>
        <v/>
      </c>
      <c r="G28" s="276">
        <f>'E6 Other Branches'!G12</f>
        <v/>
      </c>
      <c r="H28" s="276">
        <f>'E6 Other Branches'!H12</f>
        <v/>
      </c>
      <c r="I28" s="276">
        <f>'E6 Other Branches'!I12</f>
        <v/>
      </c>
      <c r="J28" s="276">
        <f>'E6 Other Branches'!J12</f>
        <v/>
      </c>
      <c r="K28" s="276">
        <f>'E6 Other Branches'!K12</f>
        <v/>
      </c>
      <c r="L28" s="276">
        <f>'E6 Other Branches'!L12</f>
        <v/>
      </c>
      <c r="M28" s="276">
        <f>'E6 Other Branches'!M12</f>
        <v/>
      </c>
      <c r="N28" s="276">
        <f>'E6 Other Branches'!N12</f>
        <v/>
      </c>
      <c r="O28" s="276">
        <f>'E6 Other Branches'!O12</f>
        <v/>
      </c>
      <c r="P28" s="288">
        <f>SUM(D28:G28)</f>
        <v/>
      </c>
      <c r="Q28" s="288">
        <f>SUM(H28:K28)</f>
        <v/>
      </c>
      <c r="R28" s="288">
        <f>SUM(L28:O28)</f>
        <v/>
      </c>
    </row>
    <row r="29">
      <c r="B29" s="249" t="inlineStr">
        <is>
          <t>Legacy service revenue</t>
        </is>
      </c>
      <c r="C29" s="279" t="inlineStr">
        <is>
          <t>$M</t>
        </is>
      </c>
      <c r="D29" s="351">
        <f>D26+D27+D28</f>
        <v/>
      </c>
      <c r="E29" s="351">
        <f>E26+E27+E28</f>
        <v/>
      </c>
      <c r="F29" s="351">
        <f>F26+F27+F28</f>
        <v/>
      </c>
      <c r="G29" s="351">
        <f>G26+G27+G28</f>
        <v/>
      </c>
      <c r="H29" s="351">
        <f>H26+H27+H28</f>
        <v/>
      </c>
      <c r="I29" s="351">
        <f>I26+I27+I28</f>
        <v/>
      </c>
      <c r="J29" s="351">
        <f>J26+J27+J28</f>
        <v/>
      </c>
      <c r="K29" s="351">
        <f>K26+K27+K28</f>
        <v/>
      </c>
      <c r="L29" s="351">
        <f>L26+L27+L28</f>
        <v/>
      </c>
      <c r="M29" s="351">
        <f>M26+M27+M28</f>
        <v/>
      </c>
      <c r="N29" s="351">
        <f>N26+N27+N28</f>
        <v/>
      </c>
      <c r="O29" s="351">
        <f>O26+O27+O28</f>
        <v/>
      </c>
      <c r="P29" s="287">
        <f>SUM(D29:G29)</f>
        <v/>
      </c>
      <c r="Q29" s="287">
        <f>SUM(H29:K29)</f>
        <v/>
      </c>
      <c r="R29" s="287">
        <f>SUM(L29:O29)</f>
        <v/>
      </c>
    </row>
    <row r="30">
      <c r="B30" s="254" t="inlineStr">
        <is>
          <t>Purchased-vehicle revenue</t>
        </is>
      </c>
      <c r="C30" s="279" t="inlineStr">
        <is>
          <t>$M</t>
        </is>
      </c>
      <c r="D30" s="276">
        <f>'E6 Other Branches'!D16</f>
        <v/>
      </c>
      <c r="E30" s="276">
        <f>'E6 Other Branches'!E16</f>
        <v/>
      </c>
      <c r="F30" s="276">
        <f>'E6 Other Branches'!F16</f>
        <v/>
      </c>
      <c r="G30" s="276">
        <f>'E6 Other Branches'!G16</f>
        <v/>
      </c>
      <c r="H30" s="276">
        <f>'E6 Other Branches'!H16</f>
        <v/>
      </c>
      <c r="I30" s="276">
        <f>'E6 Other Branches'!I16</f>
        <v/>
      </c>
      <c r="J30" s="276">
        <f>'E6 Other Branches'!J16</f>
        <v/>
      </c>
      <c r="K30" s="276">
        <f>'E6 Other Branches'!K16</f>
        <v/>
      </c>
      <c r="L30" s="276">
        <f>'E6 Other Branches'!L16</f>
        <v/>
      </c>
      <c r="M30" s="276">
        <f>'E6 Other Branches'!M16</f>
        <v/>
      </c>
      <c r="N30" s="276">
        <f>'E6 Other Branches'!N16</f>
        <v/>
      </c>
      <c r="O30" s="276">
        <f>'E6 Other Branches'!O16</f>
        <v/>
      </c>
      <c r="P30" s="288">
        <f>SUM(D30:G30)</f>
        <v/>
      </c>
      <c r="Q30" s="288">
        <f>SUM(H30:K30)</f>
        <v/>
      </c>
      <c r="R30" s="288">
        <f>SUM(L30:O30)</f>
        <v/>
      </c>
    </row>
    <row r="31">
      <c r="B31" s="249" t="inlineStr">
        <is>
          <t>Total revenue (legacy + purchased + ACV)</t>
        </is>
      </c>
      <c r="C31" s="279" t="inlineStr">
        <is>
          <t>$M</t>
        </is>
      </c>
      <c r="D31" s="280">
        <f>D29+D30+'E6 Other Branches'!D19</f>
        <v/>
      </c>
      <c r="E31" s="280">
        <f>E29+E30+'E6 Other Branches'!E19</f>
        <v/>
      </c>
      <c r="F31" s="280">
        <f>F29+F30+'E6 Other Branches'!F19</f>
        <v/>
      </c>
      <c r="G31" s="280">
        <f>G29+G30+'E6 Other Branches'!G19</f>
        <v/>
      </c>
      <c r="H31" s="280">
        <f>H29+H30+'E6 Other Branches'!H19</f>
        <v/>
      </c>
      <c r="I31" s="280">
        <f>I29+I30+'E6 Other Branches'!I19</f>
        <v/>
      </c>
      <c r="J31" s="280">
        <f>J29+J30+'E6 Other Branches'!J19</f>
        <v/>
      </c>
      <c r="K31" s="280">
        <f>K29+K30+'E6 Other Branches'!K19</f>
        <v/>
      </c>
      <c r="L31" s="280">
        <f>L29+L30+'E6 Other Branches'!L19</f>
        <v/>
      </c>
      <c r="M31" s="280">
        <f>M29+M30+'E6 Other Branches'!M19</f>
        <v/>
      </c>
      <c r="N31" s="280">
        <f>N29+N30+'E6 Other Branches'!N19</f>
        <v/>
      </c>
      <c r="O31" s="280">
        <f>O29+O30+'E6 Other Branches'!O19</f>
        <v/>
      </c>
      <c r="P31" s="287">
        <f>SUM(D31:G31)</f>
        <v/>
      </c>
      <c r="Q31" s="287">
        <f>SUM(H31:K31)</f>
        <v/>
      </c>
      <c r="R31" s="287">
        <f>SUM(L31:O31)</f>
        <v/>
      </c>
    </row>
    <row r="33">
      <c r="B33" s="271" t="inlineStr">
        <is>
          <t>Case 3 — Case 1b — Premium-response coverage (mechanistic bull on thesis 1)</t>
        </is>
      </c>
      <c r="C33" s="272" t="n"/>
      <c r="D33" s="272" t="n"/>
      <c r="E33" s="272" t="n"/>
      <c r="F33" s="272" t="n"/>
      <c r="G33" s="272" t="n"/>
      <c r="H33" s="272" t="n"/>
      <c r="I33" s="272" t="n"/>
      <c r="J33" s="272" t="n"/>
      <c r="K33" s="272" t="n"/>
      <c r="L33" s="272" t="n"/>
      <c r="M33" s="272" t="n"/>
      <c r="N33" s="272" t="n"/>
      <c r="O33" s="272" t="n"/>
      <c r="P33" s="272" t="n"/>
      <c r="Q33" s="272" t="n"/>
      <c r="R33" s="272" t="n"/>
      <c r="S33" s="272" t="n"/>
    </row>
    <row r="34">
      <c r="B34" s="249" t="inlineStr">
        <is>
          <t>Insurance units</t>
        </is>
      </c>
      <c r="C34" s="279" t="inlineStr">
        <is>
          <t>000s</t>
        </is>
      </c>
      <c r="D34" s="319">
        <f>'E5 Prices &amp; Fees'!D11</f>
        <v/>
      </c>
      <c r="E34" s="319">
        <f>'E5 Prices &amp; Fees'!E11</f>
        <v/>
      </c>
      <c r="F34" s="319">
        <f>'E5 Prices &amp; Fees'!F11</f>
        <v/>
      </c>
      <c r="G34" s="319">
        <f>'E5 Prices &amp; Fees'!G11</f>
        <v/>
      </c>
      <c r="H34" s="319">
        <f>D34*'E2 Claims &amp; Totals'!H$75*IF($D$103=1,'E3 Carriers'!H$49,'E3 Carriers'!H$48)*(1+$E$103*'E4 Aftermarket'!H$40)*CHOOSE($H$103,'E2 Claims &amp; Totals'!H$116,'E2 Claims &amp; Totals'!H$117,'E2 Claims &amp; Totals'!H$118)</f>
        <v/>
      </c>
      <c r="I34" s="319">
        <f>E34*'E2 Claims &amp; Totals'!I$75*IF($D$103=1,'E3 Carriers'!I$49,'E3 Carriers'!I$48)*(1+$E$103*'E4 Aftermarket'!I$40)*CHOOSE($H$103,'E2 Claims &amp; Totals'!I$116,'E2 Claims &amp; Totals'!I$117,'E2 Claims &amp; Totals'!I$118)</f>
        <v/>
      </c>
      <c r="J34" s="319">
        <f>F34*'E2 Claims &amp; Totals'!J$75*IF($D$103=1,'E3 Carriers'!J$49,'E3 Carriers'!J$48)*(1+$E$103*'E4 Aftermarket'!J$40)*CHOOSE($H$103,'E2 Claims &amp; Totals'!J$116,'E2 Claims &amp; Totals'!J$117,'E2 Claims &amp; Totals'!J$118)</f>
        <v/>
      </c>
      <c r="K34" s="319">
        <f>G34*'E2 Claims &amp; Totals'!K$75*IF($D$103=1,'E3 Carriers'!K$49,'E3 Carriers'!K$48)*(1+$E$103*'E4 Aftermarket'!K$40)*CHOOSE($H$103,'E2 Claims &amp; Totals'!K$116,'E2 Claims &amp; Totals'!K$117,'E2 Claims &amp; Totals'!K$118)</f>
        <v/>
      </c>
      <c r="L34" s="319">
        <f>H34*'E2 Claims &amp; Totals'!L$75*IF($D$103=1,'E3 Carriers'!L$49,'E3 Carriers'!L$48)*(1+$E$103*'E4 Aftermarket'!L$40)*CHOOSE($H$103,'E2 Claims &amp; Totals'!L$116,'E2 Claims &amp; Totals'!L$117,'E2 Claims &amp; Totals'!L$118)</f>
        <v/>
      </c>
      <c r="M34" s="319">
        <f>I34*'E2 Claims &amp; Totals'!M$75*IF($D$103=1,'E3 Carriers'!M$49,'E3 Carriers'!M$48)*(1+$E$103*'E4 Aftermarket'!M$40)*CHOOSE($H$103,'E2 Claims &amp; Totals'!M$116,'E2 Claims &amp; Totals'!M$117,'E2 Claims &amp; Totals'!M$118)</f>
        <v/>
      </c>
      <c r="N34" s="319">
        <f>J34*'E2 Claims &amp; Totals'!N$75*IF($D$103=1,'E3 Carriers'!N$49,'E3 Carriers'!N$48)*(1+$E$103*'E4 Aftermarket'!N$40)*CHOOSE($H$103,'E2 Claims &amp; Totals'!N$116,'E2 Claims &amp; Totals'!N$117,'E2 Claims &amp; Totals'!N$118)</f>
        <v/>
      </c>
      <c r="O34" s="319">
        <f>K34*'E2 Claims &amp; Totals'!O$75*IF($D$103=1,'E3 Carriers'!O$49,'E3 Carriers'!O$48)*(1+$E$103*'E4 Aftermarket'!O$40)*CHOOSE($H$103,'E2 Claims &amp; Totals'!O$116,'E2 Claims &amp; Totals'!O$117,'E2 Claims &amp; Totals'!O$118)</f>
        <v/>
      </c>
      <c r="P34" s="260">
        <f>SUM(D34:G34)</f>
        <v/>
      </c>
      <c r="Q34" s="260">
        <f>SUM(H34:K34)</f>
        <v/>
      </c>
      <c r="R34" s="260">
        <f>SUM(L34:O34)</f>
        <v/>
      </c>
    </row>
    <row r="35">
      <c r="B35" s="281" t="inlineStr">
        <is>
          <t>y/y</t>
        </is>
      </c>
      <c r="C35" s="279" t="inlineStr">
        <is>
          <t>%</t>
        </is>
      </c>
      <c r="D35" s="282" t="inlineStr">
        <is>
          <t>–</t>
        </is>
      </c>
      <c r="E35" s="282" t="inlineStr">
        <is>
          <t>–</t>
        </is>
      </c>
      <c r="F35" s="282" t="inlineStr">
        <is>
          <t>–</t>
        </is>
      </c>
      <c r="G35" s="282" t="inlineStr">
        <is>
          <t>–</t>
        </is>
      </c>
      <c r="H35" s="327">
        <f>H34/D34-1</f>
        <v/>
      </c>
      <c r="I35" s="327">
        <f>I34/E34-1</f>
        <v/>
      </c>
      <c r="J35" s="327">
        <f>J34/F34-1</f>
        <v/>
      </c>
      <c r="K35" s="327">
        <f>K34/G34-1</f>
        <v/>
      </c>
      <c r="L35" s="327">
        <f>L34/H34-1</f>
        <v/>
      </c>
      <c r="M35" s="327">
        <f>M34/I34-1</f>
        <v/>
      </c>
      <c r="N35" s="327">
        <f>N34/J34-1</f>
        <v/>
      </c>
      <c r="O35" s="327">
        <f>O34/K34-1</f>
        <v/>
      </c>
      <c r="P35" s="282" t="inlineStr">
        <is>
          <t>–</t>
        </is>
      </c>
      <c r="Q35" s="327">
        <f>Q34/P34-1</f>
        <v/>
      </c>
      <c r="R35" s="327">
        <f>R34/Q34-1</f>
        <v/>
      </c>
    </row>
    <row r="36">
      <c r="B36" s="254" t="inlineStr">
        <is>
          <t>US insurance ASP</t>
        </is>
      </c>
      <c r="C36" s="279" t="inlineStr">
        <is>
          <t>$</t>
        </is>
      </c>
      <c r="D36" s="416">
        <f>'E5 Prices &amp; Fees'!$D$45</f>
        <v/>
      </c>
      <c r="E36" s="416">
        <f>'E5 Prices &amp; Fees'!$D$45</f>
        <v/>
      </c>
      <c r="F36" s="416">
        <f>'E5 Prices &amp; Fees'!$D$45</f>
        <v/>
      </c>
      <c r="G36" s="416">
        <f>'E5 Prices &amp; Fees'!$D$45</f>
        <v/>
      </c>
      <c r="H36" s="416">
        <f>'E5 Prices &amp; Fees'!$D$45*(1+$F$103)^1*(1+$E$103*'E4 Aftermarket'!H$41)</f>
        <v/>
      </c>
      <c r="I36" s="416">
        <f>'E5 Prices &amp; Fees'!$D$45*(1+$F$103)^1*(1+$E$103*'E4 Aftermarket'!I$41)</f>
        <v/>
      </c>
      <c r="J36" s="416">
        <f>'E5 Prices &amp; Fees'!$D$45*(1+$F$103)^1*(1+$E$103*'E4 Aftermarket'!J$41)</f>
        <v/>
      </c>
      <c r="K36" s="416">
        <f>'E5 Prices &amp; Fees'!$D$45*(1+$F$103)^1*(1+$E$103*'E4 Aftermarket'!K$41)</f>
        <v/>
      </c>
      <c r="L36" s="416">
        <f>'E5 Prices &amp; Fees'!$D$45*(1+$F$103)^2*(1+$E$103*'E4 Aftermarket'!L$41)</f>
        <v/>
      </c>
      <c r="M36" s="416">
        <f>'E5 Prices &amp; Fees'!$D$45*(1+$F$103)^2*(1+$E$103*'E4 Aftermarket'!M$41)</f>
        <v/>
      </c>
      <c r="N36" s="416">
        <f>'E5 Prices &amp; Fees'!$D$45*(1+$F$103)^2*(1+$E$103*'E4 Aftermarket'!N$41)</f>
        <v/>
      </c>
      <c r="O36" s="416">
        <f>'E5 Prices &amp; Fees'!$D$45*(1+$F$103)^2*(1+$E$103*'E4 Aftermarket'!O$41)</f>
        <v/>
      </c>
      <c r="P36" s="423">
        <f>AVERAGE(D36:G36)</f>
        <v/>
      </c>
      <c r="Q36" s="423">
        <f>AVERAGE(H36:K36)</f>
        <v/>
      </c>
      <c r="R36" s="423">
        <f>AVERAGE(L36:O36)</f>
        <v/>
      </c>
    </row>
    <row r="37">
      <c r="B37" s="254" t="inlineStr">
        <is>
          <t>Core RPU</t>
        </is>
      </c>
      <c r="C37" s="279" t="inlineStr">
        <is>
          <t>$</t>
        </is>
      </c>
      <c r="D37" s="416">
        <f>'E5 Prices &amp; Fees'!$D$50*(D36/'E5 Prices &amp; Fees'!$D$45)^'E5 Prices &amp; Fees'!$D$51+IF($D$103=1,'E3 Carriers'!D$56,'E3 Carriers'!D$55)*D36+'E5 Prices &amp; Fees'!$D$48</f>
        <v/>
      </c>
      <c r="E37" s="416">
        <f>'E5 Prices &amp; Fees'!$D$50*(E36/'E5 Prices &amp; Fees'!$D$45)^'E5 Prices &amp; Fees'!$D$51+IF($D$103=1,'E3 Carriers'!E$56,'E3 Carriers'!E$55)*E36+'E5 Prices &amp; Fees'!$D$48</f>
        <v/>
      </c>
      <c r="F37" s="416">
        <f>'E5 Prices &amp; Fees'!$D$50*(F36/'E5 Prices &amp; Fees'!$D$45)^'E5 Prices &amp; Fees'!$D$51+IF($D$103=1,'E3 Carriers'!F$56,'E3 Carriers'!F$55)*F36+'E5 Prices &amp; Fees'!$D$48</f>
        <v/>
      </c>
      <c r="G37" s="416">
        <f>'E5 Prices &amp; Fees'!$D$50*(G36/'E5 Prices &amp; Fees'!$D$45)^'E5 Prices &amp; Fees'!$D$51+IF($D$103=1,'E3 Carriers'!G$56,'E3 Carriers'!G$55)*G36+'E5 Prices &amp; Fees'!$D$48</f>
        <v/>
      </c>
      <c r="H37" s="416">
        <f>'E5 Prices &amp; Fees'!$D$50*(H36/'E5 Prices &amp; Fees'!$D$45)^'E5 Prices &amp; Fees'!$D$51+IF($D$103=1,'E3 Carriers'!H$56,'E3 Carriers'!H$55)*H36+'E5 Prices &amp; Fees'!$D$48</f>
        <v/>
      </c>
      <c r="I37" s="416">
        <f>'E5 Prices &amp; Fees'!$D$50*(I36/'E5 Prices &amp; Fees'!$D$45)^'E5 Prices &amp; Fees'!$D$51+IF($D$103=1,'E3 Carriers'!I$56,'E3 Carriers'!I$55)*I36+'E5 Prices &amp; Fees'!$D$48</f>
        <v/>
      </c>
      <c r="J37" s="416">
        <f>'E5 Prices &amp; Fees'!$D$50*(J36/'E5 Prices &amp; Fees'!$D$45)^'E5 Prices &amp; Fees'!$D$51+IF($D$103=1,'E3 Carriers'!J$56,'E3 Carriers'!J$55)*J36+'E5 Prices &amp; Fees'!$D$48</f>
        <v/>
      </c>
      <c r="K37" s="416">
        <f>'E5 Prices &amp; Fees'!$D$50*(K36/'E5 Prices &amp; Fees'!$D$45)^'E5 Prices &amp; Fees'!$D$51+IF($D$103=1,'E3 Carriers'!K$56,'E3 Carriers'!K$55)*K36+'E5 Prices &amp; Fees'!$D$48</f>
        <v/>
      </c>
      <c r="L37" s="416">
        <f>'E5 Prices &amp; Fees'!$D$50*(L36/'E5 Prices &amp; Fees'!$D$45)^'E5 Prices &amp; Fees'!$D$51+IF($D$103=1,'E3 Carriers'!L$56,'E3 Carriers'!L$55)*L36+'E5 Prices &amp; Fees'!$D$48</f>
        <v/>
      </c>
      <c r="M37" s="416">
        <f>'E5 Prices &amp; Fees'!$D$50*(M36/'E5 Prices &amp; Fees'!$D$45)^'E5 Prices &amp; Fees'!$D$51+IF($D$103=1,'E3 Carriers'!M$56,'E3 Carriers'!M$55)*M36+'E5 Prices &amp; Fees'!$D$48</f>
        <v/>
      </c>
      <c r="N37" s="416">
        <f>'E5 Prices &amp; Fees'!$D$50*(N36/'E5 Prices &amp; Fees'!$D$45)^'E5 Prices &amp; Fees'!$D$51+IF($D$103=1,'E3 Carriers'!N$56,'E3 Carriers'!N$55)*N36+'E5 Prices &amp; Fees'!$D$48</f>
        <v/>
      </c>
      <c r="O37" s="416">
        <f>'E5 Prices &amp; Fees'!$D$50*(O36/'E5 Prices &amp; Fees'!$D$45)^'E5 Prices &amp; Fees'!$D$51+IF($D$103=1,'E3 Carriers'!O$56,'E3 Carriers'!O$55)*O36+'E5 Prices &amp; Fees'!$D$48</f>
        <v/>
      </c>
      <c r="P37" s="282" t="inlineStr">
        <is>
          <t>–</t>
        </is>
      </c>
      <c r="Q37" s="282" t="inlineStr">
        <is>
          <t>–</t>
        </is>
      </c>
      <c r="R37" s="282" t="inlineStr">
        <is>
          <t>–</t>
        </is>
      </c>
    </row>
    <row r="38">
      <c r="B38" s="254" t="inlineStr">
        <is>
          <t>All-in insurance RPU</t>
        </is>
      </c>
      <c r="C38" s="279" t="inlineStr">
        <is>
          <t>$</t>
        </is>
      </c>
      <c r="D38" s="416">
        <f>D37+'E5 Prices &amp; Fees'!D24</f>
        <v/>
      </c>
      <c r="E38" s="416">
        <f>E37+'E5 Prices &amp; Fees'!E24</f>
        <v/>
      </c>
      <c r="F38" s="416">
        <f>F37+'E5 Prices &amp; Fees'!F24</f>
        <v/>
      </c>
      <c r="G38" s="416">
        <f>G37+'E5 Prices &amp; Fees'!G24</f>
        <v/>
      </c>
      <c r="H38" s="416">
        <f>H37+'E5 Prices &amp; Fees'!H24</f>
        <v/>
      </c>
      <c r="I38" s="416">
        <f>I37+'E5 Prices &amp; Fees'!I24</f>
        <v/>
      </c>
      <c r="J38" s="416">
        <f>J37+'E5 Prices &amp; Fees'!J24</f>
        <v/>
      </c>
      <c r="K38" s="416">
        <f>K37+'E5 Prices &amp; Fees'!K24</f>
        <v/>
      </c>
      <c r="L38" s="416">
        <f>L37+'E5 Prices &amp; Fees'!L24</f>
        <v/>
      </c>
      <c r="M38" s="416">
        <f>M37+'E5 Prices &amp; Fees'!M24</f>
        <v/>
      </c>
      <c r="N38" s="416">
        <f>N37+'E5 Prices &amp; Fees'!N24</f>
        <v/>
      </c>
      <c r="O38" s="416">
        <f>O37+'E5 Prices &amp; Fees'!O24</f>
        <v/>
      </c>
      <c r="P38" s="423">
        <f>P39*1000/P34</f>
        <v/>
      </c>
      <c r="Q38" s="423">
        <f>Q39*1000/Q34</f>
        <v/>
      </c>
      <c r="R38" s="423">
        <f>R39*1000/R34</f>
        <v/>
      </c>
    </row>
    <row r="39">
      <c r="B39" s="254" t="inlineStr">
        <is>
          <t>US insurance service revenue</t>
        </is>
      </c>
      <c r="C39" s="279" t="inlineStr">
        <is>
          <t>$M</t>
        </is>
      </c>
      <c r="D39" s="288">
        <f>D34*D38/1000</f>
        <v/>
      </c>
      <c r="E39" s="288">
        <f>E34*E38/1000</f>
        <v/>
      </c>
      <c r="F39" s="288">
        <f>F34*F38/1000</f>
        <v/>
      </c>
      <c r="G39" s="288">
        <f>G34*G38/1000</f>
        <v/>
      </c>
      <c r="H39" s="288">
        <f>H34*H38/1000</f>
        <v/>
      </c>
      <c r="I39" s="288">
        <f>I34*I38/1000</f>
        <v/>
      </c>
      <c r="J39" s="288">
        <f>J34*J38/1000</f>
        <v/>
      </c>
      <c r="K39" s="288">
        <f>K34*K38/1000</f>
        <v/>
      </c>
      <c r="L39" s="288">
        <f>L34*L38/1000</f>
        <v/>
      </c>
      <c r="M39" s="288">
        <f>M34*M38/1000</f>
        <v/>
      </c>
      <c r="N39" s="288">
        <f>N34*N38/1000</f>
        <v/>
      </c>
      <c r="O39" s="288">
        <f>O34*O38/1000</f>
        <v/>
      </c>
      <c r="P39" s="288">
        <f>SUM(D39:G39)</f>
        <v/>
      </c>
      <c r="Q39" s="288">
        <f>SUM(H39:K39)</f>
        <v/>
      </c>
      <c r="R39" s="288">
        <f>SUM(L39:O39)</f>
        <v/>
      </c>
    </row>
    <row r="40">
      <c r="B40" s="254" t="inlineStr">
        <is>
          <t>US non-insurance service revenue</t>
        </is>
      </c>
      <c r="C40" s="279" t="inlineStr">
        <is>
          <t>$M</t>
        </is>
      </c>
      <c r="D40" s="276">
        <f>'E6 Other Branches'!D8</f>
        <v/>
      </c>
      <c r="E40" s="276">
        <f>'E6 Other Branches'!E8</f>
        <v/>
      </c>
      <c r="F40" s="276">
        <f>'E6 Other Branches'!F8</f>
        <v/>
      </c>
      <c r="G40" s="276">
        <f>'E6 Other Branches'!G8</f>
        <v/>
      </c>
      <c r="H40" s="276">
        <f>'E6 Other Branches'!H8</f>
        <v/>
      </c>
      <c r="I40" s="276">
        <f>'E6 Other Branches'!I8</f>
        <v/>
      </c>
      <c r="J40" s="276">
        <f>'E6 Other Branches'!J8</f>
        <v/>
      </c>
      <c r="K40" s="276">
        <f>'E6 Other Branches'!K8</f>
        <v/>
      </c>
      <c r="L40" s="276">
        <f>'E6 Other Branches'!L8</f>
        <v/>
      </c>
      <c r="M40" s="276">
        <f>'E6 Other Branches'!M8</f>
        <v/>
      </c>
      <c r="N40" s="276">
        <f>'E6 Other Branches'!N8</f>
        <v/>
      </c>
      <c r="O40" s="276">
        <f>'E6 Other Branches'!O8</f>
        <v/>
      </c>
      <c r="P40" s="288">
        <f>SUM(D40:G40)</f>
        <v/>
      </c>
      <c r="Q40" s="288">
        <f>SUM(H40:K40)</f>
        <v/>
      </c>
      <c r="R40" s="288">
        <f>SUM(L40:O40)</f>
        <v/>
      </c>
    </row>
    <row r="41">
      <c r="B41" s="254" t="inlineStr">
        <is>
          <t>International service revenue</t>
        </is>
      </c>
      <c r="C41" s="279" t="inlineStr">
        <is>
          <t>$M</t>
        </is>
      </c>
      <c r="D41" s="276">
        <f>'E6 Other Branches'!D12</f>
        <v/>
      </c>
      <c r="E41" s="276">
        <f>'E6 Other Branches'!E12</f>
        <v/>
      </c>
      <c r="F41" s="276">
        <f>'E6 Other Branches'!F12</f>
        <v/>
      </c>
      <c r="G41" s="276">
        <f>'E6 Other Branches'!G12</f>
        <v/>
      </c>
      <c r="H41" s="276">
        <f>'E6 Other Branches'!H12</f>
        <v/>
      </c>
      <c r="I41" s="276">
        <f>'E6 Other Branches'!I12</f>
        <v/>
      </c>
      <c r="J41" s="276">
        <f>'E6 Other Branches'!J12</f>
        <v/>
      </c>
      <c r="K41" s="276">
        <f>'E6 Other Branches'!K12</f>
        <v/>
      </c>
      <c r="L41" s="276">
        <f>'E6 Other Branches'!L12</f>
        <v/>
      </c>
      <c r="M41" s="276">
        <f>'E6 Other Branches'!M12</f>
        <v/>
      </c>
      <c r="N41" s="276">
        <f>'E6 Other Branches'!N12</f>
        <v/>
      </c>
      <c r="O41" s="276">
        <f>'E6 Other Branches'!O12</f>
        <v/>
      </c>
      <c r="P41" s="288">
        <f>SUM(D41:G41)</f>
        <v/>
      </c>
      <c r="Q41" s="288">
        <f>SUM(H41:K41)</f>
        <v/>
      </c>
      <c r="R41" s="288">
        <f>SUM(L41:O41)</f>
        <v/>
      </c>
    </row>
    <row r="42">
      <c r="B42" s="249" t="inlineStr">
        <is>
          <t>Legacy service revenue</t>
        </is>
      </c>
      <c r="C42" s="279" t="inlineStr">
        <is>
          <t>$M</t>
        </is>
      </c>
      <c r="D42" s="351">
        <f>D39+D40+D41</f>
        <v/>
      </c>
      <c r="E42" s="351">
        <f>E39+E40+E41</f>
        <v/>
      </c>
      <c r="F42" s="351">
        <f>F39+F40+F41</f>
        <v/>
      </c>
      <c r="G42" s="351">
        <f>G39+G40+G41</f>
        <v/>
      </c>
      <c r="H42" s="351">
        <f>H39+H40+H41</f>
        <v/>
      </c>
      <c r="I42" s="351">
        <f>I39+I40+I41</f>
        <v/>
      </c>
      <c r="J42" s="351">
        <f>J39+J40+J41</f>
        <v/>
      </c>
      <c r="K42" s="351">
        <f>K39+K40+K41</f>
        <v/>
      </c>
      <c r="L42" s="351">
        <f>L39+L40+L41</f>
        <v/>
      </c>
      <c r="M42" s="351">
        <f>M39+M40+M41</f>
        <v/>
      </c>
      <c r="N42" s="351">
        <f>N39+N40+N41</f>
        <v/>
      </c>
      <c r="O42" s="351">
        <f>O39+O40+O41</f>
        <v/>
      </c>
      <c r="P42" s="287">
        <f>SUM(D42:G42)</f>
        <v/>
      </c>
      <c r="Q42" s="287">
        <f>SUM(H42:K42)</f>
        <v/>
      </c>
      <c r="R42" s="287">
        <f>SUM(L42:O42)</f>
        <v/>
      </c>
    </row>
    <row r="43">
      <c r="B43" s="254" t="inlineStr">
        <is>
          <t>Purchased-vehicle revenue</t>
        </is>
      </c>
      <c r="C43" s="279" t="inlineStr">
        <is>
          <t>$M</t>
        </is>
      </c>
      <c r="D43" s="276">
        <f>'E6 Other Branches'!D16</f>
        <v/>
      </c>
      <c r="E43" s="276">
        <f>'E6 Other Branches'!E16</f>
        <v/>
      </c>
      <c r="F43" s="276">
        <f>'E6 Other Branches'!F16</f>
        <v/>
      </c>
      <c r="G43" s="276">
        <f>'E6 Other Branches'!G16</f>
        <v/>
      </c>
      <c r="H43" s="276">
        <f>'E6 Other Branches'!H16</f>
        <v/>
      </c>
      <c r="I43" s="276">
        <f>'E6 Other Branches'!I16</f>
        <v/>
      </c>
      <c r="J43" s="276">
        <f>'E6 Other Branches'!J16</f>
        <v/>
      </c>
      <c r="K43" s="276">
        <f>'E6 Other Branches'!K16</f>
        <v/>
      </c>
      <c r="L43" s="276">
        <f>'E6 Other Branches'!L16</f>
        <v/>
      </c>
      <c r="M43" s="276">
        <f>'E6 Other Branches'!M16</f>
        <v/>
      </c>
      <c r="N43" s="276">
        <f>'E6 Other Branches'!N16</f>
        <v/>
      </c>
      <c r="O43" s="276">
        <f>'E6 Other Branches'!O16</f>
        <v/>
      </c>
      <c r="P43" s="288">
        <f>SUM(D43:G43)</f>
        <v/>
      </c>
      <c r="Q43" s="288">
        <f>SUM(H43:K43)</f>
        <v/>
      </c>
      <c r="R43" s="288">
        <f>SUM(L43:O43)</f>
        <v/>
      </c>
    </row>
    <row r="44">
      <c r="B44" s="249" t="inlineStr">
        <is>
          <t>Total revenue (legacy + purchased + ACV)</t>
        </is>
      </c>
      <c r="C44" s="279" t="inlineStr">
        <is>
          <t>$M</t>
        </is>
      </c>
      <c r="D44" s="280">
        <f>D42+D43+'E6 Other Branches'!D19</f>
        <v/>
      </c>
      <c r="E44" s="280">
        <f>E42+E43+'E6 Other Branches'!E19</f>
        <v/>
      </c>
      <c r="F44" s="280">
        <f>F42+F43+'E6 Other Branches'!F19</f>
        <v/>
      </c>
      <c r="G44" s="280">
        <f>G42+G43+'E6 Other Branches'!G19</f>
        <v/>
      </c>
      <c r="H44" s="280">
        <f>H42+H43+'E6 Other Branches'!H19</f>
        <v/>
      </c>
      <c r="I44" s="280">
        <f>I42+I43+'E6 Other Branches'!I19</f>
        <v/>
      </c>
      <c r="J44" s="280">
        <f>J42+J43+'E6 Other Branches'!J19</f>
        <v/>
      </c>
      <c r="K44" s="280">
        <f>K42+K43+'E6 Other Branches'!K19</f>
        <v/>
      </c>
      <c r="L44" s="280">
        <f>L42+L43+'E6 Other Branches'!L19</f>
        <v/>
      </c>
      <c r="M44" s="280">
        <f>M42+M43+'E6 Other Branches'!M19</f>
        <v/>
      </c>
      <c r="N44" s="280">
        <f>N42+N43+'E6 Other Branches'!N19</f>
        <v/>
      </c>
      <c r="O44" s="280">
        <f>O42+O43+'E6 Other Branches'!O19</f>
        <v/>
      </c>
      <c r="P44" s="287">
        <f>SUM(D44:G44)</f>
        <v/>
      </c>
      <c r="Q44" s="287">
        <f>SUM(H44:K44)</f>
        <v/>
      </c>
      <c r="R44" s="287">
        <f>SUM(L44:O44)</f>
        <v/>
      </c>
    </row>
    <row r="46">
      <c r="B46" s="271" t="inlineStr">
        <is>
          <t>Case 4 — Thesis 2 — aftermarket substitution on case 1</t>
        </is>
      </c>
      <c r="C46" s="272" t="n"/>
      <c r="D46" s="272" t="n"/>
      <c r="E46" s="272" t="n"/>
      <c r="F46" s="272" t="n"/>
      <c r="G46" s="272" t="n"/>
      <c r="H46" s="272" t="n"/>
      <c r="I46" s="272" t="n"/>
      <c r="J46" s="272" t="n"/>
      <c r="K46" s="272" t="n"/>
      <c r="L46" s="272" t="n"/>
      <c r="M46" s="272" t="n"/>
      <c r="N46" s="272" t="n"/>
      <c r="O46" s="272" t="n"/>
      <c r="P46" s="272" t="n"/>
      <c r="Q46" s="272" t="n"/>
      <c r="R46" s="272" t="n"/>
      <c r="S46" s="272" t="n"/>
    </row>
    <row r="47">
      <c r="B47" s="249" t="inlineStr">
        <is>
          <t>Insurance units</t>
        </is>
      </c>
      <c r="C47" s="279" t="inlineStr">
        <is>
          <t>000s</t>
        </is>
      </c>
      <c r="D47" s="319">
        <f>'E5 Prices &amp; Fees'!D11</f>
        <v/>
      </c>
      <c r="E47" s="319">
        <f>'E5 Prices &amp; Fees'!E11</f>
        <v/>
      </c>
      <c r="F47" s="319">
        <f>'E5 Prices &amp; Fees'!F11</f>
        <v/>
      </c>
      <c r="G47" s="319">
        <f>'E5 Prices &amp; Fees'!G11</f>
        <v/>
      </c>
      <c r="H47" s="319">
        <f>D47*'E2 Claims &amp; Totals'!H$75*IF($D$104=1,'E3 Carriers'!H$49,'E3 Carriers'!H$48)*(1+$E$104*'E4 Aftermarket'!H$40)*CHOOSE($H$104,'E2 Claims &amp; Totals'!H$116,'E2 Claims &amp; Totals'!H$117,'E2 Claims &amp; Totals'!H$118)</f>
        <v/>
      </c>
      <c r="I47" s="319">
        <f>E47*'E2 Claims &amp; Totals'!I$75*IF($D$104=1,'E3 Carriers'!I$49,'E3 Carriers'!I$48)*(1+$E$104*'E4 Aftermarket'!I$40)*CHOOSE($H$104,'E2 Claims &amp; Totals'!I$116,'E2 Claims &amp; Totals'!I$117,'E2 Claims &amp; Totals'!I$118)</f>
        <v/>
      </c>
      <c r="J47" s="319">
        <f>F47*'E2 Claims &amp; Totals'!J$75*IF($D$104=1,'E3 Carriers'!J$49,'E3 Carriers'!J$48)*(1+$E$104*'E4 Aftermarket'!J$40)*CHOOSE($H$104,'E2 Claims &amp; Totals'!J$116,'E2 Claims &amp; Totals'!J$117,'E2 Claims &amp; Totals'!J$118)</f>
        <v/>
      </c>
      <c r="K47" s="319">
        <f>G47*'E2 Claims &amp; Totals'!K$75*IF($D$104=1,'E3 Carriers'!K$49,'E3 Carriers'!K$48)*(1+$E$104*'E4 Aftermarket'!K$40)*CHOOSE($H$104,'E2 Claims &amp; Totals'!K$116,'E2 Claims &amp; Totals'!K$117,'E2 Claims &amp; Totals'!K$118)</f>
        <v/>
      </c>
      <c r="L47" s="319">
        <f>H47*'E2 Claims &amp; Totals'!L$75*IF($D$104=1,'E3 Carriers'!L$49,'E3 Carriers'!L$48)*(1+$E$104*'E4 Aftermarket'!L$40)*CHOOSE($H$104,'E2 Claims &amp; Totals'!L$116,'E2 Claims &amp; Totals'!L$117,'E2 Claims &amp; Totals'!L$118)</f>
        <v/>
      </c>
      <c r="M47" s="319">
        <f>I47*'E2 Claims &amp; Totals'!M$75*IF($D$104=1,'E3 Carriers'!M$49,'E3 Carriers'!M$48)*(1+$E$104*'E4 Aftermarket'!M$40)*CHOOSE($H$104,'E2 Claims &amp; Totals'!M$116,'E2 Claims &amp; Totals'!M$117,'E2 Claims &amp; Totals'!M$118)</f>
        <v/>
      </c>
      <c r="N47" s="319">
        <f>J47*'E2 Claims &amp; Totals'!N$75*IF($D$104=1,'E3 Carriers'!N$49,'E3 Carriers'!N$48)*(1+$E$104*'E4 Aftermarket'!N$40)*CHOOSE($H$104,'E2 Claims &amp; Totals'!N$116,'E2 Claims &amp; Totals'!N$117,'E2 Claims &amp; Totals'!N$118)</f>
        <v/>
      </c>
      <c r="O47" s="319">
        <f>K47*'E2 Claims &amp; Totals'!O$75*IF($D$104=1,'E3 Carriers'!O$49,'E3 Carriers'!O$48)*(1+$E$104*'E4 Aftermarket'!O$40)*CHOOSE($H$104,'E2 Claims &amp; Totals'!O$116,'E2 Claims &amp; Totals'!O$117,'E2 Claims &amp; Totals'!O$118)</f>
        <v/>
      </c>
      <c r="P47" s="260">
        <f>SUM(D47:G47)</f>
        <v/>
      </c>
      <c r="Q47" s="260">
        <f>SUM(H47:K47)</f>
        <v/>
      </c>
      <c r="R47" s="260">
        <f>SUM(L47:O47)</f>
        <v/>
      </c>
    </row>
    <row r="48">
      <c r="B48" s="281" t="inlineStr">
        <is>
          <t>y/y</t>
        </is>
      </c>
      <c r="C48" s="279" t="inlineStr">
        <is>
          <t>%</t>
        </is>
      </c>
      <c r="D48" s="282" t="inlineStr">
        <is>
          <t>–</t>
        </is>
      </c>
      <c r="E48" s="282" t="inlineStr">
        <is>
          <t>–</t>
        </is>
      </c>
      <c r="F48" s="282" t="inlineStr">
        <is>
          <t>–</t>
        </is>
      </c>
      <c r="G48" s="282" t="inlineStr">
        <is>
          <t>–</t>
        </is>
      </c>
      <c r="H48" s="327">
        <f>H47/D47-1</f>
        <v/>
      </c>
      <c r="I48" s="327">
        <f>I47/E47-1</f>
        <v/>
      </c>
      <c r="J48" s="327">
        <f>J47/F47-1</f>
        <v/>
      </c>
      <c r="K48" s="327">
        <f>K47/G47-1</f>
        <v/>
      </c>
      <c r="L48" s="327">
        <f>L47/H47-1</f>
        <v/>
      </c>
      <c r="M48" s="327">
        <f>M47/I47-1</f>
        <v/>
      </c>
      <c r="N48" s="327">
        <f>N47/J47-1</f>
        <v/>
      </c>
      <c r="O48" s="327">
        <f>O47/K47-1</f>
        <v/>
      </c>
      <c r="P48" s="282" t="inlineStr">
        <is>
          <t>–</t>
        </is>
      </c>
      <c r="Q48" s="327">
        <f>Q47/P47-1</f>
        <v/>
      </c>
      <c r="R48" s="327">
        <f>R47/Q47-1</f>
        <v/>
      </c>
    </row>
    <row r="49">
      <c r="B49" s="254" t="inlineStr">
        <is>
          <t>US insurance ASP</t>
        </is>
      </c>
      <c r="C49" s="279" t="inlineStr">
        <is>
          <t>$</t>
        </is>
      </c>
      <c r="D49" s="416">
        <f>'E5 Prices &amp; Fees'!$D$45</f>
        <v/>
      </c>
      <c r="E49" s="416">
        <f>'E5 Prices &amp; Fees'!$D$45</f>
        <v/>
      </c>
      <c r="F49" s="416">
        <f>'E5 Prices &amp; Fees'!$D$45</f>
        <v/>
      </c>
      <c r="G49" s="416">
        <f>'E5 Prices &amp; Fees'!$D$45</f>
        <v/>
      </c>
      <c r="H49" s="416">
        <f>'E5 Prices &amp; Fees'!$D$45*(1+$F$104)^1*(1+$E$104*'E4 Aftermarket'!H$41)</f>
        <v/>
      </c>
      <c r="I49" s="416">
        <f>'E5 Prices &amp; Fees'!$D$45*(1+$F$104)^1*(1+$E$104*'E4 Aftermarket'!I$41)</f>
        <v/>
      </c>
      <c r="J49" s="416">
        <f>'E5 Prices &amp; Fees'!$D$45*(1+$F$104)^1*(1+$E$104*'E4 Aftermarket'!J$41)</f>
        <v/>
      </c>
      <c r="K49" s="416">
        <f>'E5 Prices &amp; Fees'!$D$45*(1+$F$104)^1*(1+$E$104*'E4 Aftermarket'!K$41)</f>
        <v/>
      </c>
      <c r="L49" s="416">
        <f>'E5 Prices &amp; Fees'!$D$45*(1+$F$104)^2*(1+$E$104*'E4 Aftermarket'!L$41)</f>
        <v/>
      </c>
      <c r="M49" s="416">
        <f>'E5 Prices &amp; Fees'!$D$45*(1+$F$104)^2*(1+$E$104*'E4 Aftermarket'!M$41)</f>
        <v/>
      </c>
      <c r="N49" s="416">
        <f>'E5 Prices &amp; Fees'!$D$45*(1+$F$104)^2*(1+$E$104*'E4 Aftermarket'!N$41)</f>
        <v/>
      </c>
      <c r="O49" s="416">
        <f>'E5 Prices &amp; Fees'!$D$45*(1+$F$104)^2*(1+$E$104*'E4 Aftermarket'!O$41)</f>
        <v/>
      </c>
      <c r="P49" s="423">
        <f>AVERAGE(D49:G49)</f>
        <v/>
      </c>
      <c r="Q49" s="423">
        <f>AVERAGE(H49:K49)</f>
        <v/>
      </c>
      <c r="R49" s="423">
        <f>AVERAGE(L49:O49)</f>
        <v/>
      </c>
    </row>
    <row r="50">
      <c r="B50" s="254" t="inlineStr">
        <is>
          <t>Core RPU</t>
        </is>
      </c>
      <c r="C50" s="279" t="inlineStr">
        <is>
          <t>$</t>
        </is>
      </c>
      <c r="D50" s="416">
        <f>'E5 Prices &amp; Fees'!$D$50*(D49/'E5 Prices &amp; Fees'!$D$45)^'E5 Prices &amp; Fees'!$D$51+IF($D$104=1,'E3 Carriers'!D$56,'E3 Carriers'!D$55)*D49+'E5 Prices &amp; Fees'!$D$48</f>
        <v/>
      </c>
      <c r="E50" s="416">
        <f>'E5 Prices &amp; Fees'!$D$50*(E49/'E5 Prices &amp; Fees'!$D$45)^'E5 Prices &amp; Fees'!$D$51+IF($D$104=1,'E3 Carriers'!E$56,'E3 Carriers'!E$55)*E49+'E5 Prices &amp; Fees'!$D$48</f>
        <v/>
      </c>
      <c r="F50" s="416">
        <f>'E5 Prices &amp; Fees'!$D$50*(F49/'E5 Prices &amp; Fees'!$D$45)^'E5 Prices &amp; Fees'!$D$51+IF($D$104=1,'E3 Carriers'!F$56,'E3 Carriers'!F$55)*F49+'E5 Prices &amp; Fees'!$D$48</f>
        <v/>
      </c>
      <c r="G50" s="416">
        <f>'E5 Prices &amp; Fees'!$D$50*(G49/'E5 Prices &amp; Fees'!$D$45)^'E5 Prices &amp; Fees'!$D$51+IF($D$104=1,'E3 Carriers'!G$56,'E3 Carriers'!G$55)*G49+'E5 Prices &amp; Fees'!$D$48</f>
        <v/>
      </c>
      <c r="H50" s="416">
        <f>'E5 Prices &amp; Fees'!$D$50*(H49/'E5 Prices &amp; Fees'!$D$45)^'E5 Prices &amp; Fees'!$D$51+IF($D$104=1,'E3 Carriers'!H$56,'E3 Carriers'!H$55)*H49+'E5 Prices &amp; Fees'!$D$48</f>
        <v/>
      </c>
      <c r="I50" s="416">
        <f>'E5 Prices &amp; Fees'!$D$50*(I49/'E5 Prices &amp; Fees'!$D$45)^'E5 Prices &amp; Fees'!$D$51+IF($D$104=1,'E3 Carriers'!I$56,'E3 Carriers'!I$55)*I49+'E5 Prices &amp; Fees'!$D$48</f>
        <v/>
      </c>
      <c r="J50" s="416">
        <f>'E5 Prices &amp; Fees'!$D$50*(J49/'E5 Prices &amp; Fees'!$D$45)^'E5 Prices &amp; Fees'!$D$51+IF($D$104=1,'E3 Carriers'!J$56,'E3 Carriers'!J$55)*J49+'E5 Prices &amp; Fees'!$D$48</f>
        <v/>
      </c>
      <c r="K50" s="416">
        <f>'E5 Prices &amp; Fees'!$D$50*(K49/'E5 Prices &amp; Fees'!$D$45)^'E5 Prices &amp; Fees'!$D$51+IF($D$104=1,'E3 Carriers'!K$56,'E3 Carriers'!K$55)*K49+'E5 Prices &amp; Fees'!$D$48</f>
        <v/>
      </c>
      <c r="L50" s="416">
        <f>'E5 Prices &amp; Fees'!$D$50*(L49/'E5 Prices &amp; Fees'!$D$45)^'E5 Prices &amp; Fees'!$D$51+IF($D$104=1,'E3 Carriers'!L$56,'E3 Carriers'!L$55)*L49+'E5 Prices &amp; Fees'!$D$48</f>
        <v/>
      </c>
      <c r="M50" s="416">
        <f>'E5 Prices &amp; Fees'!$D$50*(M49/'E5 Prices &amp; Fees'!$D$45)^'E5 Prices &amp; Fees'!$D$51+IF($D$104=1,'E3 Carriers'!M$56,'E3 Carriers'!M$55)*M49+'E5 Prices &amp; Fees'!$D$48</f>
        <v/>
      </c>
      <c r="N50" s="416">
        <f>'E5 Prices &amp; Fees'!$D$50*(N49/'E5 Prices &amp; Fees'!$D$45)^'E5 Prices &amp; Fees'!$D$51+IF($D$104=1,'E3 Carriers'!N$56,'E3 Carriers'!N$55)*N49+'E5 Prices &amp; Fees'!$D$48</f>
        <v/>
      </c>
      <c r="O50" s="416">
        <f>'E5 Prices &amp; Fees'!$D$50*(O49/'E5 Prices &amp; Fees'!$D$45)^'E5 Prices &amp; Fees'!$D$51+IF($D$104=1,'E3 Carriers'!O$56,'E3 Carriers'!O$55)*O49+'E5 Prices &amp; Fees'!$D$48</f>
        <v/>
      </c>
      <c r="P50" s="282" t="inlineStr">
        <is>
          <t>–</t>
        </is>
      </c>
      <c r="Q50" s="282" t="inlineStr">
        <is>
          <t>–</t>
        </is>
      </c>
      <c r="R50" s="282" t="inlineStr">
        <is>
          <t>–</t>
        </is>
      </c>
    </row>
    <row r="51">
      <c r="B51" s="254" t="inlineStr">
        <is>
          <t>All-in insurance RPU</t>
        </is>
      </c>
      <c r="C51" s="279" t="inlineStr">
        <is>
          <t>$</t>
        </is>
      </c>
      <c r="D51" s="416">
        <f>D50+'E5 Prices &amp; Fees'!D24</f>
        <v/>
      </c>
      <c r="E51" s="416">
        <f>E50+'E5 Prices &amp; Fees'!E24</f>
        <v/>
      </c>
      <c r="F51" s="416">
        <f>F50+'E5 Prices &amp; Fees'!F24</f>
        <v/>
      </c>
      <c r="G51" s="416">
        <f>G50+'E5 Prices &amp; Fees'!G24</f>
        <v/>
      </c>
      <c r="H51" s="416">
        <f>H50+'E5 Prices &amp; Fees'!H24</f>
        <v/>
      </c>
      <c r="I51" s="416">
        <f>I50+'E5 Prices &amp; Fees'!I24</f>
        <v/>
      </c>
      <c r="J51" s="416">
        <f>J50+'E5 Prices &amp; Fees'!J24</f>
        <v/>
      </c>
      <c r="K51" s="416">
        <f>K50+'E5 Prices &amp; Fees'!K24</f>
        <v/>
      </c>
      <c r="L51" s="416">
        <f>L50+'E5 Prices &amp; Fees'!L24</f>
        <v/>
      </c>
      <c r="M51" s="416">
        <f>M50+'E5 Prices &amp; Fees'!M24</f>
        <v/>
      </c>
      <c r="N51" s="416">
        <f>N50+'E5 Prices &amp; Fees'!N24</f>
        <v/>
      </c>
      <c r="O51" s="416">
        <f>O50+'E5 Prices &amp; Fees'!O24</f>
        <v/>
      </c>
      <c r="P51" s="423">
        <f>P52*1000/P47</f>
        <v/>
      </c>
      <c r="Q51" s="423">
        <f>Q52*1000/Q47</f>
        <v/>
      </c>
      <c r="R51" s="423">
        <f>R52*1000/R47</f>
        <v/>
      </c>
    </row>
    <row r="52">
      <c r="B52" s="254" t="inlineStr">
        <is>
          <t>US insurance service revenue</t>
        </is>
      </c>
      <c r="C52" s="279" t="inlineStr">
        <is>
          <t>$M</t>
        </is>
      </c>
      <c r="D52" s="288">
        <f>D47*D51/1000</f>
        <v/>
      </c>
      <c r="E52" s="288">
        <f>E47*E51/1000</f>
        <v/>
      </c>
      <c r="F52" s="288">
        <f>F47*F51/1000</f>
        <v/>
      </c>
      <c r="G52" s="288">
        <f>G47*G51/1000</f>
        <v/>
      </c>
      <c r="H52" s="288">
        <f>H47*H51/1000</f>
        <v/>
      </c>
      <c r="I52" s="288">
        <f>I47*I51/1000</f>
        <v/>
      </c>
      <c r="J52" s="288">
        <f>J47*J51/1000</f>
        <v/>
      </c>
      <c r="K52" s="288">
        <f>K47*K51/1000</f>
        <v/>
      </c>
      <c r="L52" s="288">
        <f>L47*L51/1000</f>
        <v/>
      </c>
      <c r="M52" s="288">
        <f>M47*M51/1000</f>
        <v/>
      </c>
      <c r="N52" s="288">
        <f>N47*N51/1000</f>
        <v/>
      </c>
      <c r="O52" s="288">
        <f>O47*O51/1000</f>
        <v/>
      </c>
      <c r="P52" s="288">
        <f>SUM(D52:G52)</f>
        <v/>
      </c>
      <c r="Q52" s="288">
        <f>SUM(H52:K52)</f>
        <v/>
      </c>
      <c r="R52" s="288">
        <f>SUM(L52:O52)</f>
        <v/>
      </c>
    </row>
    <row r="53">
      <c r="B53" s="254" t="inlineStr">
        <is>
          <t>US non-insurance service revenue</t>
        </is>
      </c>
      <c r="C53" s="279" t="inlineStr">
        <is>
          <t>$M</t>
        </is>
      </c>
      <c r="D53" s="276">
        <f>'E6 Other Branches'!D8</f>
        <v/>
      </c>
      <c r="E53" s="276">
        <f>'E6 Other Branches'!E8</f>
        <v/>
      </c>
      <c r="F53" s="276">
        <f>'E6 Other Branches'!F8</f>
        <v/>
      </c>
      <c r="G53" s="276">
        <f>'E6 Other Branches'!G8</f>
        <v/>
      </c>
      <c r="H53" s="276">
        <f>'E6 Other Branches'!H8</f>
        <v/>
      </c>
      <c r="I53" s="276">
        <f>'E6 Other Branches'!I8</f>
        <v/>
      </c>
      <c r="J53" s="276">
        <f>'E6 Other Branches'!J8</f>
        <v/>
      </c>
      <c r="K53" s="276">
        <f>'E6 Other Branches'!K8</f>
        <v/>
      </c>
      <c r="L53" s="276">
        <f>'E6 Other Branches'!L8</f>
        <v/>
      </c>
      <c r="M53" s="276">
        <f>'E6 Other Branches'!M8</f>
        <v/>
      </c>
      <c r="N53" s="276">
        <f>'E6 Other Branches'!N8</f>
        <v/>
      </c>
      <c r="O53" s="276">
        <f>'E6 Other Branches'!O8</f>
        <v/>
      </c>
      <c r="P53" s="288">
        <f>SUM(D53:G53)</f>
        <v/>
      </c>
      <c r="Q53" s="288">
        <f>SUM(H53:K53)</f>
        <v/>
      </c>
      <c r="R53" s="288">
        <f>SUM(L53:O53)</f>
        <v/>
      </c>
    </row>
    <row r="54">
      <c r="B54" s="254" t="inlineStr">
        <is>
          <t>International service revenue</t>
        </is>
      </c>
      <c r="C54" s="279" t="inlineStr">
        <is>
          <t>$M</t>
        </is>
      </c>
      <c r="D54" s="276">
        <f>'E6 Other Branches'!D12</f>
        <v/>
      </c>
      <c r="E54" s="276">
        <f>'E6 Other Branches'!E12</f>
        <v/>
      </c>
      <c r="F54" s="276">
        <f>'E6 Other Branches'!F12</f>
        <v/>
      </c>
      <c r="G54" s="276">
        <f>'E6 Other Branches'!G12</f>
        <v/>
      </c>
      <c r="H54" s="276">
        <f>'E6 Other Branches'!H12</f>
        <v/>
      </c>
      <c r="I54" s="276">
        <f>'E6 Other Branches'!I12</f>
        <v/>
      </c>
      <c r="J54" s="276">
        <f>'E6 Other Branches'!J12</f>
        <v/>
      </c>
      <c r="K54" s="276">
        <f>'E6 Other Branches'!K12</f>
        <v/>
      </c>
      <c r="L54" s="276">
        <f>'E6 Other Branches'!L12</f>
        <v/>
      </c>
      <c r="M54" s="276">
        <f>'E6 Other Branches'!M12</f>
        <v/>
      </c>
      <c r="N54" s="276">
        <f>'E6 Other Branches'!N12</f>
        <v/>
      </c>
      <c r="O54" s="276">
        <f>'E6 Other Branches'!O12</f>
        <v/>
      </c>
      <c r="P54" s="288">
        <f>SUM(D54:G54)</f>
        <v/>
      </c>
      <c r="Q54" s="288">
        <f>SUM(H54:K54)</f>
        <v/>
      </c>
      <c r="R54" s="288">
        <f>SUM(L54:O54)</f>
        <v/>
      </c>
    </row>
    <row r="55">
      <c r="B55" s="249" t="inlineStr">
        <is>
          <t>Legacy service revenue</t>
        </is>
      </c>
      <c r="C55" s="279" t="inlineStr">
        <is>
          <t>$M</t>
        </is>
      </c>
      <c r="D55" s="351">
        <f>D52+D53+D54</f>
        <v/>
      </c>
      <c r="E55" s="351">
        <f>E52+E53+E54</f>
        <v/>
      </c>
      <c r="F55" s="351">
        <f>F52+F53+F54</f>
        <v/>
      </c>
      <c r="G55" s="351">
        <f>G52+G53+G54</f>
        <v/>
      </c>
      <c r="H55" s="351">
        <f>H52+H53+H54</f>
        <v/>
      </c>
      <c r="I55" s="351">
        <f>I52+I53+I54</f>
        <v/>
      </c>
      <c r="J55" s="351">
        <f>J52+J53+J54</f>
        <v/>
      </c>
      <c r="K55" s="351">
        <f>K52+K53+K54</f>
        <v/>
      </c>
      <c r="L55" s="351">
        <f>L52+L53+L54</f>
        <v/>
      </c>
      <c r="M55" s="351">
        <f>M52+M53+M54</f>
        <v/>
      </c>
      <c r="N55" s="351">
        <f>N52+N53+N54</f>
        <v/>
      </c>
      <c r="O55" s="351">
        <f>O52+O53+O54</f>
        <v/>
      </c>
      <c r="P55" s="287">
        <f>SUM(D55:G55)</f>
        <v/>
      </c>
      <c r="Q55" s="287">
        <f>SUM(H55:K55)</f>
        <v/>
      </c>
      <c r="R55" s="287">
        <f>SUM(L55:O55)</f>
        <v/>
      </c>
    </row>
    <row r="56">
      <c r="B56" s="254" t="inlineStr">
        <is>
          <t>Purchased-vehicle revenue</t>
        </is>
      </c>
      <c r="C56" s="279" t="inlineStr">
        <is>
          <t>$M</t>
        </is>
      </c>
      <c r="D56" s="276">
        <f>'E6 Other Branches'!D16</f>
        <v/>
      </c>
      <c r="E56" s="276">
        <f>'E6 Other Branches'!E16</f>
        <v/>
      </c>
      <c r="F56" s="276">
        <f>'E6 Other Branches'!F16</f>
        <v/>
      </c>
      <c r="G56" s="276">
        <f>'E6 Other Branches'!G16</f>
        <v/>
      </c>
      <c r="H56" s="276">
        <f>'E6 Other Branches'!H16</f>
        <v/>
      </c>
      <c r="I56" s="276">
        <f>'E6 Other Branches'!I16</f>
        <v/>
      </c>
      <c r="J56" s="276">
        <f>'E6 Other Branches'!J16</f>
        <v/>
      </c>
      <c r="K56" s="276">
        <f>'E6 Other Branches'!K16</f>
        <v/>
      </c>
      <c r="L56" s="276">
        <f>'E6 Other Branches'!L16</f>
        <v/>
      </c>
      <c r="M56" s="276">
        <f>'E6 Other Branches'!M16</f>
        <v/>
      </c>
      <c r="N56" s="276">
        <f>'E6 Other Branches'!N16</f>
        <v/>
      </c>
      <c r="O56" s="276">
        <f>'E6 Other Branches'!O16</f>
        <v/>
      </c>
      <c r="P56" s="288">
        <f>SUM(D56:G56)</f>
        <v/>
      </c>
      <c r="Q56" s="288">
        <f>SUM(H56:K56)</f>
        <v/>
      </c>
      <c r="R56" s="288">
        <f>SUM(L56:O56)</f>
        <v/>
      </c>
    </row>
    <row r="57">
      <c r="B57" s="249" t="inlineStr">
        <is>
          <t>Total revenue (legacy + purchased + ACV)</t>
        </is>
      </c>
      <c r="C57" s="279" t="inlineStr">
        <is>
          <t>$M</t>
        </is>
      </c>
      <c r="D57" s="280">
        <f>D55+D56+'E6 Other Branches'!D19</f>
        <v/>
      </c>
      <c r="E57" s="280">
        <f>E55+E56+'E6 Other Branches'!E19</f>
        <v/>
      </c>
      <c r="F57" s="280">
        <f>F55+F56+'E6 Other Branches'!F19</f>
        <v/>
      </c>
      <c r="G57" s="280">
        <f>G55+G56+'E6 Other Branches'!G19</f>
        <v/>
      </c>
      <c r="H57" s="280">
        <f>H55+H56+'E6 Other Branches'!H19</f>
        <v/>
      </c>
      <c r="I57" s="280">
        <f>I55+I56+'E6 Other Branches'!I19</f>
        <v/>
      </c>
      <c r="J57" s="280">
        <f>J55+J56+'E6 Other Branches'!J19</f>
        <v/>
      </c>
      <c r="K57" s="280">
        <f>K55+K56+'E6 Other Branches'!K19</f>
        <v/>
      </c>
      <c r="L57" s="280">
        <f>L55+L56+'E6 Other Branches'!L19</f>
        <v/>
      </c>
      <c r="M57" s="280">
        <f>M55+M56+'E6 Other Branches'!M19</f>
        <v/>
      </c>
      <c r="N57" s="280">
        <f>N55+N56+'E6 Other Branches'!N19</f>
        <v/>
      </c>
      <c r="O57" s="280">
        <f>O55+O56+'E6 Other Branches'!O19</f>
        <v/>
      </c>
      <c r="P57" s="287">
        <f>SUM(D57:G57)</f>
        <v/>
      </c>
      <c r="Q57" s="287">
        <f>SUM(H57:K57)</f>
        <v/>
      </c>
      <c r="R57" s="287">
        <f>SUM(L57:O57)</f>
        <v/>
      </c>
    </row>
    <row r="59">
      <c r="B59" s="271" t="inlineStr">
        <is>
          <t>Case 5 — Thesis 3 — probability-weighted carrier moves on case 1</t>
        </is>
      </c>
      <c r="C59" s="272" t="n"/>
      <c r="D59" s="272" t="n"/>
      <c r="E59" s="272" t="n"/>
      <c r="F59" s="272" t="n"/>
      <c r="G59" s="272" t="n"/>
      <c r="H59" s="272" t="n"/>
      <c r="I59" s="272" t="n"/>
      <c r="J59" s="272" t="n"/>
      <c r="K59" s="272" t="n"/>
      <c r="L59" s="272" t="n"/>
      <c r="M59" s="272" t="n"/>
      <c r="N59" s="272" t="n"/>
      <c r="O59" s="272" t="n"/>
      <c r="P59" s="272" t="n"/>
      <c r="Q59" s="272" t="n"/>
      <c r="R59" s="272" t="n"/>
      <c r="S59" s="272" t="n"/>
    </row>
    <row r="60">
      <c r="B60" s="249" t="inlineStr">
        <is>
          <t>Insurance units</t>
        </is>
      </c>
      <c r="C60" s="279" t="inlineStr">
        <is>
          <t>000s</t>
        </is>
      </c>
      <c r="D60" s="319">
        <f>'E5 Prices &amp; Fees'!D11</f>
        <v/>
      </c>
      <c r="E60" s="319">
        <f>'E5 Prices &amp; Fees'!E11</f>
        <v/>
      </c>
      <c r="F60" s="319">
        <f>'E5 Prices &amp; Fees'!F11</f>
        <v/>
      </c>
      <c r="G60" s="319">
        <f>'E5 Prices &amp; Fees'!G11</f>
        <v/>
      </c>
      <c r="H60" s="319">
        <f>D60*'E2 Claims &amp; Totals'!H$75*IF($D$105=1,'E3 Carriers'!H$49,'E3 Carriers'!H$48)*(1+$E$105*'E4 Aftermarket'!H$40)*CHOOSE($H$105,'E2 Claims &amp; Totals'!H$116,'E2 Claims &amp; Totals'!H$117,'E2 Claims &amp; Totals'!H$118)</f>
        <v/>
      </c>
      <c r="I60" s="319">
        <f>E60*'E2 Claims &amp; Totals'!I$75*IF($D$105=1,'E3 Carriers'!I$49,'E3 Carriers'!I$48)*(1+$E$105*'E4 Aftermarket'!I$40)*CHOOSE($H$105,'E2 Claims &amp; Totals'!I$116,'E2 Claims &amp; Totals'!I$117,'E2 Claims &amp; Totals'!I$118)</f>
        <v/>
      </c>
      <c r="J60" s="319">
        <f>F60*'E2 Claims &amp; Totals'!J$75*IF($D$105=1,'E3 Carriers'!J$49,'E3 Carriers'!J$48)*(1+$E$105*'E4 Aftermarket'!J$40)*CHOOSE($H$105,'E2 Claims &amp; Totals'!J$116,'E2 Claims &amp; Totals'!J$117,'E2 Claims &amp; Totals'!J$118)</f>
        <v/>
      </c>
      <c r="K60" s="319">
        <f>G60*'E2 Claims &amp; Totals'!K$75*IF($D$105=1,'E3 Carriers'!K$49,'E3 Carriers'!K$48)*(1+$E$105*'E4 Aftermarket'!K$40)*CHOOSE($H$105,'E2 Claims &amp; Totals'!K$116,'E2 Claims &amp; Totals'!K$117,'E2 Claims &amp; Totals'!K$118)</f>
        <v/>
      </c>
      <c r="L60" s="319">
        <f>H60*'E2 Claims &amp; Totals'!L$75*IF($D$105=1,'E3 Carriers'!L$49,'E3 Carriers'!L$48)*(1+$E$105*'E4 Aftermarket'!L$40)*CHOOSE($H$105,'E2 Claims &amp; Totals'!L$116,'E2 Claims &amp; Totals'!L$117,'E2 Claims &amp; Totals'!L$118)</f>
        <v/>
      </c>
      <c r="M60" s="319">
        <f>I60*'E2 Claims &amp; Totals'!M$75*IF($D$105=1,'E3 Carriers'!M$49,'E3 Carriers'!M$48)*(1+$E$105*'E4 Aftermarket'!M$40)*CHOOSE($H$105,'E2 Claims &amp; Totals'!M$116,'E2 Claims &amp; Totals'!M$117,'E2 Claims &amp; Totals'!M$118)</f>
        <v/>
      </c>
      <c r="N60" s="319">
        <f>J60*'E2 Claims &amp; Totals'!N$75*IF($D$105=1,'E3 Carriers'!N$49,'E3 Carriers'!N$48)*(1+$E$105*'E4 Aftermarket'!N$40)*CHOOSE($H$105,'E2 Claims &amp; Totals'!N$116,'E2 Claims &amp; Totals'!N$117,'E2 Claims &amp; Totals'!N$118)</f>
        <v/>
      </c>
      <c r="O60" s="319">
        <f>K60*'E2 Claims &amp; Totals'!O$75*IF($D$105=1,'E3 Carriers'!O$49,'E3 Carriers'!O$48)*(1+$E$105*'E4 Aftermarket'!O$40)*CHOOSE($H$105,'E2 Claims &amp; Totals'!O$116,'E2 Claims &amp; Totals'!O$117,'E2 Claims &amp; Totals'!O$118)</f>
        <v/>
      </c>
      <c r="P60" s="260">
        <f>SUM(D60:G60)</f>
        <v/>
      </c>
      <c r="Q60" s="260">
        <f>SUM(H60:K60)</f>
        <v/>
      </c>
      <c r="R60" s="260">
        <f>SUM(L60:O60)</f>
        <v/>
      </c>
    </row>
    <row r="61">
      <c r="B61" s="281" t="inlineStr">
        <is>
          <t>y/y</t>
        </is>
      </c>
      <c r="C61" s="279" t="inlineStr">
        <is>
          <t>%</t>
        </is>
      </c>
      <c r="D61" s="282" t="inlineStr">
        <is>
          <t>–</t>
        </is>
      </c>
      <c r="E61" s="282" t="inlineStr">
        <is>
          <t>–</t>
        </is>
      </c>
      <c r="F61" s="282" t="inlineStr">
        <is>
          <t>–</t>
        </is>
      </c>
      <c r="G61" s="282" t="inlineStr">
        <is>
          <t>–</t>
        </is>
      </c>
      <c r="H61" s="327">
        <f>H60/D60-1</f>
        <v/>
      </c>
      <c r="I61" s="327">
        <f>I60/E60-1</f>
        <v/>
      </c>
      <c r="J61" s="327">
        <f>J60/F60-1</f>
        <v/>
      </c>
      <c r="K61" s="327">
        <f>K60/G60-1</f>
        <v/>
      </c>
      <c r="L61" s="327">
        <f>L60/H60-1</f>
        <v/>
      </c>
      <c r="M61" s="327">
        <f>M60/I60-1</f>
        <v/>
      </c>
      <c r="N61" s="327">
        <f>N60/J60-1</f>
        <v/>
      </c>
      <c r="O61" s="327">
        <f>O60/K60-1</f>
        <v/>
      </c>
      <c r="P61" s="282" t="inlineStr">
        <is>
          <t>–</t>
        </is>
      </c>
      <c r="Q61" s="327">
        <f>Q60/P60-1</f>
        <v/>
      </c>
      <c r="R61" s="327">
        <f>R60/Q60-1</f>
        <v/>
      </c>
    </row>
    <row r="62">
      <c r="B62" s="254" t="inlineStr">
        <is>
          <t>US insurance ASP</t>
        </is>
      </c>
      <c r="C62" s="279" t="inlineStr">
        <is>
          <t>$</t>
        </is>
      </c>
      <c r="D62" s="416">
        <f>'E5 Prices &amp; Fees'!$D$45</f>
        <v/>
      </c>
      <c r="E62" s="416">
        <f>'E5 Prices &amp; Fees'!$D$45</f>
        <v/>
      </c>
      <c r="F62" s="416">
        <f>'E5 Prices &amp; Fees'!$D$45</f>
        <v/>
      </c>
      <c r="G62" s="416">
        <f>'E5 Prices &amp; Fees'!$D$45</f>
        <v/>
      </c>
      <c r="H62" s="416">
        <f>'E5 Prices &amp; Fees'!$D$45*(1+$F$105)^1*(1+$E$105*'E4 Aftermarket'!H$41)</f>
        <v/>
      </c>
      <c r="I62" s="416">
        <f>'E5 Prices &amp; Fees'!$D$45*(1+$F$105)^1*(1+$E$105*'E4 Aftermarket'!I$41)</f>
        <v/>
      </c>
      <c r="J62" s="416">
        <f>'E5 Prices &amp; Fees'!$D$45*(1+$F$105)^1*(1+$E$105*'E4 Aftermarket'!J$41)</f>
        <v/>
      </c>
      <c r="K62" s="416">
        <f>'E5 Prices &amp; Fees'!$D$45*(1+$F$105)^1*(1+$E$105*'E4 Aftermarket'!K$41)</f>
        <v/>
      </c>
      <c r="L62" s="416">
        <f>'E5 Prices &amp; Fees'!$D$45*(1+$F$105)^2*(1+$E$105*'E4 Aftermarket'!L$41)</f>
        <v/>
      </c>
      <c r="M62" s="416">
        <f>'E5 Prices &amp; Fees'!$D$45*(1+$F$105)^2*(1+$E$105*'E4 Aftermarket'!M$41)</f>
        <v/>
      </c>
      <c r="N62" s="416">
        <f>'E5 Prices &amp; Fees'!$D$45*(1+$F$105)^2*(1+$E$105*'E4 Aftermarket'!N$41)</f>
        <v/>
      </c>
      <c r="O62" s="416">
        <f>'E5 Prices &amp; Fees'!$D$45*(1+$F$105)^2*(1+$E$105*'E4 Aftermarket'!O$41)</f>
        <v/>
      </c>
      <c r="P62" s="423">
        <f>AVERAGE(D62:G62)</f>
        <v/>
      </c>
      <c r="Q62" s="423">
        <f>AVERAGE(H62:K62)</f>
        <v/>
      </c>
      <c r="R62" s="423">
        <f>AVERAGE(L62:O62)</f>
        <v/>
      </c>
    </row>
    <row r="63">
      <c r="B63" s="254" t="inlineStr">
        <is>
          <t>Core RPU</t>
        </is>
      </c>
      <c r="C63" s="279" t="inlineStr">
        <is>
          <t>$</t>
        </is>
      </c>
      <c r="D63" s="416">
        <f>'E5 Prices &amp; Fees'!$D$50*(D62/'E5 Prices &amp; Fees'!$D$45)^'E5 Prices &amp; Fees'!$D$51+IF($D$105=1,'E3 Carriers'!D$56,'E3 Carriers'!D$55)*D62+'E5 Prices &amp; Fees'!$D$48</f>
        <v/>
      </c>
      <c r="E63" s="416">
        <f>'E5 Prices &amp; Fees'!$D$50*(E62/'E5 Prices &amp; Fees'!$D$45)^'E5 Prices &amp; Fees'!$D$51+IF($D$105=1,'E3 Carriers'!E$56,'E3 Carriers'!E$55)*E62+'E5 Prices &amp; Fees'!$D$48</f>
        <v/>
      </c>
      <c r="F63" s="416">
        <f>'E5 Prices &amp; Fees'!$D$50*(F62/'E5 Prices &amp; Fees'!$D$45)^'E5 Prices &amp; Fees'!$D$51+IF($D$105=1,'E3 Carriers'!F$56,'E3 Carriers'!F$55)*F62+'E5 Prices &amp; Fees'!$D$48</f>
        <v/>
      </c>
      <c r="G63" s="416">
        <f>'E5 Prices &amp; Fees'!$D$50*(G62/'E5 Prices &amp; Fees'!$D$45)^'E5 Prices &amp; Fees'!$D$51+IF($D$105=1,'E3 Carriers'!G$56,'E3 Carriers'!G$55)*G62+'E5 Prices &amp; Fees'!$D$48</f>
        <v/>
      </c>
      <c r="H63" s="416">
        <f>'E5 Prices &amp; Fees'!$D$50*(H62/'E5 Prices &amp; Fees'!$D$45)^'E5 Prices &amp; Fees'!$D$51+IF($D$105=1,'E3 Carriers'!H$56,'E3 Carriers'!H$55)*H62+'E5 Prices &amp; Fees'!$D$48</f>
        <v/>
      </c>
      <c r="I63" s="416">
        <f>'E5 Prices &amp; Fees'!$D$50*(I62/'E5 Prices &amp; Fees'!$D$45)^'E5 Prices &amp; Fees'!$D$51+IF($D$105=1,'E3 Carriers'!I$56,'E3 Carriers'!I$55)*I62+'E5 Prices &amp; Fees'!$D$48</f>
        <v/>
      </c>
      <c r="J63" s="416">
        <f>'E5 Prices &amp; Fees'!$D$50*(J62/'E5 Prices &amp; Fees'!$D$45)^'E5 Prices &amp; Fees'!$D$51+IF($D$105=1,'E3 Carriers'!J$56,'E3 Carriers'!J$55)*J62+'E5 Prices &amp; Fees'!$D$48</f>
        <v/>
      </c>
      <c r="K63" s="416">
        <f>'E5 Prices &amp; Fees'!$D$50*(K62/'E5 Prices &amp; Fees'!$D$45)^'E5 Prices &amp; Fees'!$D$51+IF($D$105=1,'E3 Carriers'!K$56,'E3 Carriers'!K$55)*K62+'E5 Prices &amp; Fees'!$D$48</f>
        <v/>
      </c>
      <c r="L63" s="416">
        <f>'E5 Prices &amp; Fees'!$D$50*(L62/'E5 Prices &amp; Fees'!$D$45)^'E5 Prices &amp; Fees'!$D$51+IF($D$105=1,'E3 Carriers'!L$56,'E3 Carriers'!L$55)*L62+'E5 Prices &amp; Fees'!$D$48</f>
        <v/>
      </c>
      <c r="M63" s="416">
        <f>'E5 Prices &amp; Fees'!$D$50*(M62/'E5 Prices &amp; Fees'!$D$45)^'E5 Prices &amp; Fees'!$D$51+IF($D$105=1,'E3 Carriers'!M$56,'E3 Carriers'!M$55)*M62+'E5 Prices &amp; Fees'!$D$48</f>
        <v/>
      </c>
      <c r="N63" s="416">
        <f>'E5 Prices &amp; Fees'!$D$50*(N62/'E5 Prices &amp; Fees'!$D$45)^'E5 Prices &amp; Fees'!$D$51+IF($D$105=1,'E3 Carriers'!N$56,'E3 Carriers'!N$55)*N62+'E5 Prices &amp; Fees'!$D$48</f>
        <v/>
      </c>
      <c r="O63" s="416">
        <f>'E5 Prices &amp; Fees'!$D$50*(O62/'E5 Prices &amp; Fees'!$D$45)^'E5 Prices &amp; Fees'!$D$51+IF($D$105=1,'E3 Carriers'!O$56,'E3 Carriers'!O$55)*O62+'E5 Prices &amp; Fees'!$D$48</f>
        <v/>
      </c>
      <c r="P63" s="282" t="inlineStr">
        <is>
          <t>–</t>
        </is>
      </c>
      <c r="Q63" s="282" t="inlineStr">
        <is>
          <t>–</t>
        </is>
      </c>
      <c r="R63" s="282" t="inlineStr">
        <is>
          <t>–</t>
        </is>
      </c>
    </row>
    <row r="64">
      <c r="B64" s="254" t="inlineStr">
        <is>
          <t>All-in insurance RPU</t>
        </is>
      </c>
      <c r="C64" s="279" t="inlineStr">
        <is>
          <t>$</t>
        </is>
      </c>
      <c r="D64" s="416">
        <f>D63+'E5 Prices &amp; Fees'!D24</f>
        <v/>
      </c>
      <c r="E64" s="416">
        <f>E63+'E5 Prices &amp; Fees'!E24</f>
        <v/>
      </c>
      <c r="F64" s="416">
        <f>F63+'E5 Prices &amp; Fees'!F24</f>
        <v/>
      </c>
      <c r="G64" s="416">
        <f>G63+'E5 Prices &amp; Fees'!G24</f>
        <v/>
      </c>
      <c r="H64" s="416">
        <f>H63+'E5 Prices &amp; Fees'!H24</f>
        <v/>
      </c>
      <c r="I64" s="416">
        <f>I63+'E5 Prices &amp; Fees'!I24</f>
        <v/>
      </c>
      <c r="J64" s="416">
        <f>J63+'E5 Prices &amp; Fees'!J24</f>
        <v/>
      </c>
      <c r="K64" s="416">
        <f>K63+'E5 Prices &amp; Fees'!K24</f>
        <v/>
      </c>
      <c r="L64" s="416">
        <f>L63+'E5 Prices &amp; Fees'!L24</f>
        <v/>
      </c>
      <c r="M64" s="416">
        <f>M63+'E5 Prices &amp; Fees'!M24</f>
        <v/>
      </c>
      <c r="N64" s="416">
        <f>N63+'E5 Prices &amp; Fees'!N24</f>
        <v/>
      </c>
      <c r="O64" s="416">
        <f>O63+'E5 Prices &amp; Fees'!O24</f>
        <v/>
      </c>
      <c r="P64" s="423">
        <f>P65*1000/P60</f>
        <v/>
      </c>
      <c r="Q64" s="423">
        <f>Q65*1000/Q60</f>
        <v/>
      </c>
      <c r="R64" s="423">
        <f>R65*1000/R60</f>
        <v/>
      </c>
    </row>
    <row r="65">
      <c r="B65" s="254" t="inlineStr">
        <is>
          <t>US insurance service revenue</t>
        </is>
      </c>
      <c r="C65" s="279" t="inlineStr">
        <is>
          <t>$M</t>
        </is>
      </c>
      <c r="D65" s="288">
        <f>D60*D64/1000</f>
        <v/>
      </c>
      <c r="E65" s="288">
        <f>E60*E64/1000</f>
        <v/>
      </c>
      <c r="F65" s="288">
        <f>F60*F64/1000</f>
        <v/>
      </c>
      <c r="G65" s="288">
        <f>G60*G64/1000</f>
        <v/>
      </c>
      <c r="H65" s="288">
        <f>H60*H64/1000</f>
        <v/>
      </c>
      <c r="I65" s="288">
        <f>I60*I64/1000</f>
        <v/>
      </c>
      <c r="J65" s="288">
        <f>J60*J64/1000</f>
        <v/>
      </c>
      <c r="K65" s="288">
        <f>K60*K64/1000</f>
        <v/>
      </c>
      <c r="L65" s="288">
        <f>L60*L64/1000</f>
        <v/>
      </c>
      <c r="M65" s="288">
        <f>M60*M64/1000</f>
        <v/>
      </c>
      <c r="N65" s="288">
        <f>N60*N64/1000</f>
        <v/>
      </c>
      <c r="O65" s="288">
        <f>O60*O64/1000</f>
        <v/>
      </c>
      <c r="P65" s="288">
        <f>SUM(D65:G65)</f>
        <v/>
      </c>
      <c r="Q65" s="288">
        <f>SUM(H65:K65)</f>
        <v/>
      </c>
      <c r="R65" s="288">
        <f>SUM(L65:O65)</f>
        <v/>
      </c>
    </row>
    <row r="66">
      <c r="B66" s="254" t="inlineStr">
        <is>
          <t>US non-insurance service revenue</t>
        </is>
      </c>
      <c r="C66" s="279" t="inlineStr">
        <is>
          <t>$M</t>
        </is>
      </c>
      <c r="D66" s="276">
        <f>'E6 Other Branches'!D8</f>
        <v/>
      </c>
      <c r="E66" s="276">
        <f>'E6 Other Branches'!E8</f>
        <v/>
      </c>
      <c r="F66" s="276">
        <f>'E6 Other Branches'!F8</f>
        <v/>
      </c>
      <c r="G66" s="276">
        <f>'E6 Other Branches'!G8</f>
        <v/>
      </c>
      <c r="H66" s="276">
        <f>'E6 Other Branches'!H8</f>
        <v/>
      </c>
      <c r="I66" s="276">
        <f>'E6 Other Branches'!I8</f>
        <v/>
      </c>
      <c r="J66" s="276">
        <f>'E6 Other Branches'!J8</f>
        <v/>
      </c>
      <c r="K66" s="276">
        <f>'E6 Other Branches'!K8</f>
        <v/>
      </c>
      <c r="L66" s="276">
        <f>'E6 Other Branches'!L8</f>
        <v/>
      </c>
      <c r="M66" s="276">
        <f>'E6 Other Branches'!M8</f>
        <v/>
      </c>
      <c r="N66" s="276">
        <f>'E6 Other Branches'!N8</f>
        <v/>
      </c>
      <c r="O66" s="276">
        <f>'E6 Other Branches'!O8</f>
        <v/>
      </c>
      <c r="P66" s="288">
        <f>SUM(D66:G66)</f>
        <v/>
      </c>
      <c r="Q66" s="288">
        <f>SUM(H66:K66)</f>
        <v/>
      </c>
      <c r="R66" s="288">
        <f>SUM(L66:O66)</f>
        <v/>
      </c>
    </row>
    <row r="67">
      <c r="B67" s="254" t="inlineStr">
        <is>
          <t>International service revenue</t>
        </is>
      </c>
      <c r="C67" s="279" t="inlineStr">
        <is>
          <t>$M</t>
        </is>
      </c>
      <c r="D67" s="276">
        <f>'E6 Other Branches'!D12</f>
        <v/>
      </c>
      <c r="E67" s="276">
        <f>'E6 Other Branches'!E12</f>
        <v/>
      </c>
      <c r="F67" s="276">
        <f>'E6 Other Branches'!F12</f>
        <v/>
      </c>
      <c r="G67" s="276">
        <f>'E6 Other Branches'!G12</f>
        <v/>
      </c>
      <c r="H67" s="276">
        <f>'E6 Other Branches'!H12</f>
        <v/>
      </c>
      <c r="I67" s="276">
        <f>'E6 Other Branches'!I12</f>
        <v/>
      </c>
      <c r="J67" s="276">
        <f>'E6 Other Branches'!J12</f>
        <v/>
      </c>
      <c r="K67" s="276">
        <f>'E6 Other Branches'!K12</f>
        <v/>
      </c>
      <c r="L67" s="276">
        <f>'E6 Other Branches'!L12</f>
        <v/>
      </c>
      <c r="M67" s="276">
        <f>'E6 Other Branches'!M12</f>
        <v/>
      </c>
      <c r="N67" s="276">
        <f>'E6 Other Branches'!N12</f>
        <v/>
      </c>
      <c r="O67" s="276">
        <f>'E6 Other Branches'!O12</f>
        <v/>
      </c>
      <c r="P67" s="288">
        <f>SUM(D67:G67)</f>
        <v/>
      </c>
      <c r="Q67" s="288">
        <f>SUM(H67:K67)</f>
        <v/>
      </c>
      <c r="R67" s="288">
        <f>SUM(L67:O67)</f>
        <v/>
      </c>
    </row>
    <row r="68">
      <c r="B68" s="249" t="inlineStr">
        <is>
          <t>Legacy service revenue</t>
        </is>
      </c>
      <c r="C68" s="279" t="inlineStr">
        <is>
          <t>$M</t>
        </is>
      </c>
      <c r="D68" s="351">
        <f>D65+D66+D67</f>
        <v/>
      </c>
      <c r="E68" s="351">
        <f>E65+E66+E67</f>
        <v/>
      </c>
      <c r="F68" s="351">
        <f>F65+F66+F67</f>
        <v/>
      </c>
      <c r="G68" s="351">
        <f>G65+G66+G67</f>
        <v/>
      </c>
      <c r="H68" s="351">
        <f>H65+H66+H67</f>
        <v/>
      </c>
      <c r="I68" s="351">
        <f>I65+I66+I67</f>
        <v/>
      </c>
      <c r="J68" s="351">
        <f>J65+J66+J67</f>
        <v/>
      </c>
      <c r="K68" s="351">
        <f>K65+K66+K67</f>
        <v/>
      </c>
      <c r="L68" s="351">
        <f>L65+L66+L67</f>
        <v/>
      </c>
      <c r="M68" s="351">
        <f>M65+M66+M67</f>
        <v/>
      </c>
      <c r="N68" s="351">
        <f>N65+N66+N67</f>
        <v/>
      </c>
      <c r="O68" s="351">
        <f>O65+O66+O67</f>
        <v/>
      </c>
      <c r="P68" s="287">
        <f>SUM(D68:G68)</f>
        <v/>
      </c>
      <c r="Q68" s="287">
        <f>SUM(H68:K68)</f>
        <v/>
      </c>
      <c r="R68" s="287">
        <f>SUM(L68:O68)</f>
        <v/>
      </c>
    </row>
    <row r="69">
      <c r="B69" s="254" t="inlineStr">
        <is>
          <t>Purchased-vehicle revenue</t>
        </is>
      </c>
      <c r="C69" s="279" t="inlineStr">
        <is>
          <t>$M</t>
        </is>
      </c>
      <c r="D69" s="276">
        <f>'E6 Other Branches'!D16</f>
        <v/>
      </c>
      <c r="E69" s="276">
        <f>'E6 Other Branches'!E16</f>
        <v/>
      </c>
      <c r="F69" s="276">
        <f>'E6 Other Branches'!F16</f>
        <v/>
      </c>
      <c r="G69" s="276">
        <f>'E6 Other Branches'!G16</f>
        <v/>
      </c>
      <c r="H69" s="276">
        <f>'E6 Other Branches'!H16</f>
        <v/>
      </c>
      <c r="I69" s="276">
        <f>'E6 Other Branches'!I16</f>
        <v/>
      </c>
      <c r="J69" s="276">
        <f>'E6 Other Branches'!J16</f>
        <v/>
      </c>
      <c r="K69" s="276">
        <f>'E6 Other Branches'!K16</f>
        <v/>
      </c>
      <c r="L69" s="276">
        <f>'E6 Other Branches'!L16</f>
        <v/>
      </c>
      <c r="M69" s="276">
        <f>'E6 Other Branches'!M16</f>
        <v/>
      </c>
      <c r="N69" s="276">
        <f>'E6 Other Branches'!N16</f>
        <v/>
      </c>
      <c r="O69" s="276">
        <f>'E6 Other Branches'!O16</f>
        <v/>
      </c>
      <c r="P69" s="288">
        <f>SUM(D69:G69)</f>
        <v/>
      </c>
      <c r="Q69" s="288">
        <f>SUM(H69:K69)</f>
        <v/>
      </c>
      <c r="R69" s="288">
        <f>SUM(L69:O69)</f>
        <v/>
      </c>
    </row>
    <row r="70">
      <c r="B70" s="249" t="inlineStr">
        <is>
          <t>Total revenue (legacy + purchased + ACV)</t>
        </is>
      </c>
      <c r="C70" s="279" t="inlineStr">
        <is>
          <t>$M</t>
        </is>
      </c>
      <c r="D70" s="280">
        <f>D68+D69+'E6 Other Branches'!D19</f>
        <v/>
      </c>
      <c r="E70" s="280">
        <f>E68+E69+'E6 Other Branches'!E19</f>
        <v/>
      </c>
      <c r="F70" s="280">
        <f>F68+F69+'E6 Other Branches'!F19</f>
        <v/>
      </c>
      <c r="G70" s="280">
        <f>G68+G69+'E6 Other Branches'!G19</f>
        <v/>
      </c>
      <c r="H70" s="280">
        <f>H68+H69+'E6 Other Branches'!H19</f>
        <v/>
      </c>
      <c r="I70" s="280">
        <f>I68+I69+'E6 Other Branches'!I19</f>
        <v/>
      </c>
      <c r="J70" s="280">
        <f>J68+J69+'E6 Other Branches'!J19</f>
        <v/>
      </c>
      <c r="K70" s="280">
        <f>K68+K69+'E6 Other Branches'!K19</f>
        <v/>
      </c>
      <c r="L70" s="280">
        <f>L68+L69+'E6 Other Branches'!L19</f>
        <v/>
      </c>
      <c r="M70" s="280">
        <f>M68+M69+'E6 Other Branches'!M19</f>
        <v/>
      </c>
      <c r="N70" s="280">
        <f>N68+N69+'E6 Other Branches'!N19</f>
        <v/>
      </c>
      <c r="O70" s="280">
        <f>O68+O69+'E6 Other Branches'!O19</f>
        <v/>
      </c>
      <c r="P70" s="287">
        <f>SUM(D70:G70)</f>
        <v/>
      </c>
      <c r="Q70" s="287">
        <f>SUM(H70:K70)</f>
        <v/>
      </c>
      <c r="R70" s="287">
        <f>SUM(L70:O70)</f>
        <v/>
      </c>
    </row>
    <row r="72">
      <c r="B72" s="271" t="inlineStr">
        <is>
          <t>Case 6 — All three — sticky coverage + aftermarket + carrier moves</t>
        </is>
      </c>
      <c r="C72" s="272" t="n"/>
      <c r="D72" s="272" t="n"/>
      <c r="E72" s="272" t="n"/>
      <c r="F72" s="272" t="n"/>
      <c r="G72" s="272" t="n"/>
      <c r="H72" s="272" t="n"/>
      <c r="I72" s="272" t="n"/>
      <c r="J72" s="272" t="n"/>
      <c r="K72" s="272" t="n"/>
      <c r="L72" s="272" t="n"/>
      <c r="M72" s="272" t="n"/>
      <c r="N72" s="272" t="n"/>
      <c r="O72" s="272" t="n"/>
      <c r="P72" s="272" t="n"/>
      <c r="Q72" s="272" t="n"/>
      <c r="R72" s="272" t="n"/>
      <c r="S72" s="272" t="n"/>
    </row>
    <row r="73">
      <c r="B73" s="249" t="inlineStr">
        <is>
          <t>Insurance units</t>
        </is>
      </c>
      <c r="C73" s="279" t="inlineStr">
        <is>
          <t>000s</t>
        </is>
      </c>
      <c r="D73" s="319">
        <f>'E5 Prices &amp; Fees'!D11</f>
        <v/>
      </c>
      <c r="E73" s="319">
        <f>'E5 Prices &amp; Fees'!E11</f>
        <v/>
      </c>
      <c r="F73" s="319">
        <f>'E5 Prices &amp; Fees'!F11</f>
        <v/>
      </c>
      <c r="G73" s="319">
        <f>'E5 Prices &amp; Fees'!G11</f>
        <v/>
      </c>
      <c r="H73" s="319">
        <f>D73*'E2 Claims &amp; Totals'!H$75*IF($D$106=1,'E3 Carriers'!H$49,'E3 Carriers'!H$48)*(1+$E$106*'E4 Aftermarket'!H$40)*CHOOSE($H$106,'E2 Claims &amp; Totals'!H$116,'E2 Claims &amp; Totals'!H$117,'E2 Claims &amp; Totals'!H$118)</f>
        <v/>
      </c>
      <c r="I73" s="319">
        <f>E73*'E2 Claims &amp; Totals'!I$75*IF($D$106=1,'E3 Carriers'!I$49,'E3 Carriers'!I$48)*(1+$E$106*'E4 Aftermarket'!I$40)*CHOOSE($H$106,'E2 Claims &amp; Totals'!I$116,'E2 Claims &amp; Totals'!I$117,'E2 Claims &amp; Totals'!I$118)</f>
        <v/>
      </c>
      <c r="J73" s="319">
        <f>F73*'E2 Claims &amp; Totals'!J$75*IF($D$106=1,'E3 Carriers'!J$49,'E3 Carriers'!J$48)*(1+$E$106*'E4 Aftermarket'!J$40)*CHOOSE($H$106,'E2 Claims &amp; Totals'!J$116,'E2 Claims &amp; Totals'!J$117,'E2 Claims &amp; Totals'!J$118)</f>
        <v/>
      </c>
      <c r="K73" s="319">
        <f>G73*'E2 Claims &amp; Totals'!K$75*IF($D$106=1,'E3 Carriers'!K$49,'E3 Carriers'!K$48)*(1+$E$106*'E4 Aftermarket'!K$40)*CHOOSE($H$106,'E2 Claims &amp; Totals'!K$116,'E2 Claims &amp; Totals'!K$117,'E2 Claims &amp; Totals'!K$118)</f>
        <v/>
      </c>
      <c r="L73" s="319">
        <f>H73*'E2 Claims &amp; Totals'!L$75*IF($D$106=1,'E3 Carriers'!L$49,'E3 Carriers'!L$48)*(1+$E$106*'E4 Aftermarket'!L$40)*CHOOSE($H$106,'E2 Claims &amp; Totals'!L$116,'E2 Claims &amp; Totals'!L$117,'E2 Claims &amp; Totals'!L$118)</f>
        <v/>
      </c>
      <c r="M73" s="319">
        <f>I73*'E2 Claims &amp; Totals'!M$75*IF($D$106=1,'E3 Carriers'!M$49,'E3 Carriers'!M$48)*(1+$E$106*'E4 Aftermarket'!M$40)*CHOOSE($H$106,'E2 Claims &amp; Totals'!M$116,'E2 Claims &amp; Totals'!M$117,'E2 Claims &amp; Totals'!M$118)</f>
        <v/>
      </c>
      <c r="N73" s="319">
        <f>J73*'E2 Claims &amp; Totals'!N$75*IF($D$106=1,'E3 Carriers'!N$49,'E3 Carriers'!N$48)*(1+$E$106*'E4 Aftermarket'!N$40)*CHOOSE($H$106,'E2 Claims &amp; Totals'!N$116,'E2 Claims &amp; Totals'!N$117,'E2 Claims &amp; Totals'!N$118)</f>
        <v/>
      </c>
      <c r="O73" s="319">
        <f>K73*'E2 Claims &amp; Totals'!O$75*IF($D$106=1,'E3 Carriers'!O$49,'E3 Carriers'!O$48)*(1+$E$106*'E4 Aftermarket'!O$40)*CHOOSE($H$106,'E2 Claims &amp; Totals'!O$116,'E2 Claims &amp; Totals'!O$117,'E2 Claims &amp; Totals'!O$118)</f>
        <v/>
      </c>
      <c r="P73" s="260">
        <f>SUM(D73:G73)</f>
        <v/>
      </c>
      <c r="Q73" s="260">
        <f>SUM(H73:K73)</f>
        <v/>
      </c>
      <c r="R73" s="260">
        <f>SUM(L73:O73)</f>
        <v/>
      </c>
    </row>
    <row r="74">
      <c r="B74" s="281" t="inlineStr">
        <is>
          <t>y/y</t>
        </is>
      </c>
      <c r="C74" s="279" t="inlineStr">
        <is>
          <t>%</t>
        </is>
      </c>
      <c r="D74" s="282" t="inlineStr">
        <is>
          <t>–</t>
        </is>
      </c>
      <c r="E74" s="282" t="inlineStr">
        <is>
          <t>–</t>
        </is>
      </c>
      <c r="F74" s="282" t="inlineStr">
        <is>
          <t>–</t>
        </is>
      </c>
      <c r="G74" s="282" t="inlineStr">
        <is>
          <t>–</t>
        </is>
      </c>
      <c r="H74" s="327">
        <f>H73/D73-1</f>
        <v/>
      </c>
      <c r="I74" s="327">
        <f>I73/E73-1</f>
        <v/>
      </c>
      <c r="J74" s="327">
        <f>J73/F73-1</f>
        <v/>
      </c>
      <c r="K74" s="327">
        <f>K73/G73-1</f>
        <v/>
      </c>
      <c r="L74" s="327">
        <f>L73/H73-1</f>
        <v/>
      </c>
      <c r="M74" s="327">
        <f>M73/I73-1</f>
        <v/>
      </c>
      <c r="N74" s="327">
        <f>N73/J73-1</f>
        <v/>
      </c>
      <c r="O74" s="327">
        <f>O73/K73-1</f>
        <v/>
      </c>
      <c r="P74" s="282" t="inlineStr">
        <is>
          <t>–</t>
        </is>
      </c>
      <c r="Q74" s="327">
        <f>Q73/P73-1</f>
        <v/>
      </c>
      <c r="R74" s="327">
        <f>R73/Q73-1</f>
        <v/>
      </c>
    </row>
    <row r="75">
      <c r="B75" s="254" t="inlineStr">
        <is>
          <t>US insurance ASP</t>
        </is>
      </c>
      <c r="C75" s="279" t="inlineStr">
        <is>
          <t>$</t>
        </is>
      </c>
      <c r="D75" s="416">
        <f>'E5 Prices &amp; Fees'!$D$45</f>
        <v/>
      </c>
      <c r="E75" s="416">
        <f>'E5 Prices &amp; Fees'!$D$45</f>
        <v/>
      </c>
      <c r="F75" s="416">
        <f>'E5 Prices &amp; Fees'!$D$45</f>
        <v/>
      </c>
      <c r="G75" s="416">
        <f>'E5 Prices &amp; Fees'!$D$45</f>
        <v/>
      </c>
      <c r="H75" s="416">
        <f>'E5 Prices &amp; Fees'!$D$45*(1+$F$106)^1*(1+$E$106*'E4 Aftermarket'!H$41)</f>
        <v/>
      </c>
      <c r="I75" s="416">
        <f>'E5 Prices &amp; Fees'!$D$45*(1+$F$106)^1*(1+$E$106*'E4 Aftermarket'!I$41)</f>
        <v/>
      </c>
      <c r="J75" s="416">
        <f>'E5 Prices &amp; Fees'!$D$45*(1+$F$106)^1*(1+$E$106*'E4 Aftermarket'!J$41)</f>
        <v/>
      </c>
      <c r="K75" s="416">
        <f>'E5 Prices &amp; Fees'!$D$45*(1+$F$106)^1*(1+$E$106*'E4 Aftermarket'!K$41)</f>
        <v/>
      </c>
      <c r="L75" s="416">
        <f>'E5 Prices &amp; Fees'!$D$45*(1+$F$106)^2*(1+$E$106*'E4 Aftermarket'!L$41)</f>
        <v/>
      </c>
      <c r="M75" s="416">
        <f>'E5 Prices &amp; Fees'!$D$45*(1+$F$106)^2*(1+$E$106*'E4 Aftermarket'!M$41)</f>
        <v/>
      </c>
      <c r="N75" s="416">
        <f>'E5 Prices &amp; Fees'!$D$45*(1+$F$106)^2*(1+$E$106*'E4 Aftermarket'!N$41)</f>
        <v/>
      </c>
      <c r="O75" s="416">
        <f>'E5 Prices &amp; Fees'!$D$45*(1+$F$106)^2*(1+$E$106*'E4 Aftermarket'!O$41)</f>
        <v/>
      </c>
      <c r="P75" s="423">
        <f>AVERAGE(D75:G75)</f>
        <v/>
      </c>
      <c r="Q75" s="423">
        <f>AVERAGE(H75:K75)</f>
        <v/>
      </c>
      <c r="R75" s="423">
        <f>AVERAGE(L75:O75)</f>
        <v/>
      </c>
    </row>
    <row r="76">
      <c r="B76" s="254" t="inlineStr">
        <is>
          <t>Core RPU</t>
        </is>
      </c>
      <c r="C76" s="279" t="inlineStr">
        <is>
          <t>$</t>
        </is>
      </c>
      <c r="D76" s="416">
        <f>'E5 Prices &amp; Fees'!$D$50*(D75/'E5 Prices &amp; Fees'!$D$45)^'E5 Prices &amp; Fees'!$D$51+IF($D$106=1,'E3 Carriers'!D$56,'E3 Carriers'!D$55)*D75+'E5 Prices &amp; Fees'!$D$48</f>
        <v/>
      </c>
      <c r="E76" s="416">
        <f>'E5 Prices &amp; Fees'!$D$50*(E75/'E5 Prices &amp; Fees'!$D$45)^'E5 Prices &amp; Fees'!$D$51+IF($D$106=1,'E3 Carriers'!E$56,'E3 Carriers'!E$55)*E75+'E5 Prices &amp; Fees'!$D$48</f>
        <v/>
      </c>
      <c r="F76" s="416">
        <f>'E5 Prices &amp; Fees'!$D$50*(F75/'E5 Prices &amp; Fees'!$D$45)^'E5 Prices &amp; Fees'!$D$51+IF($D$106=1,'E3 Carriers'!F$56,'E3 Carriers'!F$55)*F75+'E5 Prices &amp; Fees'!$D$48</f>
        <v/>
      </c>
      <c r="G76" s="416">
        <f>'E5 Prices &amp; Fees'!$D$50*(G75/'E5 Prices &amp; Fees'!$D$45)^'E5 Prices &amp; Fees'!$D$51+IF($D$106=1,'E3 Carriers'!G$56,'E3 Carriers'!G$55)*G75+'E5 Prices &amp; Fees'!$D$48</f>
        <v/>
      </c>
      <c r="H76" s="416">
        <f>'E5 Prices &amp; Fees'!$D$50*(H75/'E5 Prices &amp; Fees'!$D$45)^'E5 Prices &amp; Fees'!$D$51+IF($D$106=1,'E3 Carriers'!H$56,'E3 Carriers'!H$55)*H75+'E5 Prices &amp; Fees'!$D$48</f>
        <v/>
      </c>
      <c r="I76" s="416">
        <f>'E5 Prices &amp; Fees'!$D$50*(I75/'E5 Prices &amp; Fees'!$D$45)^'E5 Prices &amp; Fees'!$D$51+IF($D$106=1,'E3 Carriers'!I$56,'E3 Carriers'!I$55)*I75+'E5 Prices &amp; Fees'!$D$48</f>
        <v/>
      </c>
      <c r="J76" s="416">
        <f>'E5 Prices &amp; Fees'!$D$50*(J75/'E5 Prices &amp; Fees'!$D$45)^'E5 Prices &amp; Fees'!$D$51+IF($D$106=1,'E3 Carriers'!J$56,'E3 Carriers'!J$55)*J75+'E5 Prices &amp; Fees'!$D$48</f>
        <v/>
      </c>
      <c r="K76" s="416">
        <f>'E5 Prices &amp; Fees'!$D$50*(K75/'E5 Prices &amp; Fees'!$D$45)^'E5 Prices &amp; Fees'!$D$51+IF($D$106=1,'E3 Carriers'!K$56,'E3 Carriers'!K$55)*K75+'E5 Prices &amp; Fees'!$D$48</f>
        <v/>
      </c>
      <c r="L76" s="416">
        <f>'E5 Prices &amp; Fees'!$D$50*(L75/'E5 Prices &amp; Fees'!$D$45)^'E5 Prices &amp; Fees'!$D$51+IF($D$106=1,'E3 Carriers'!L$56,'E3 Carriers'!L$55)*L75+'E5 Prices &amp; Fees'!$D$48</f>
        <v/>
      </c>
      <c r="M76" s="416">
        <f>'E5 Prices &amp; Fees'!$D$50*(M75/'E5 Prices &amp; Fees'!$D$45)^'E5 Prices &amp; Fees'!$D$51+IF($D$106=1,'E3 Carriers'!M$56,'E3 Carriers'!M$55)*M75+'E5 Prices &amp; Fees'!$D$48</f>
        <v/>
      </c>
      <c r="N76" s="416">
        <f>'E5 Prices &amp; Fees'!$D$50*(N75/'E5 Prices &amp; Fees'!$D$45)^'E5 Prices &amp; Fees'!$D$51+IF($D$106=1,'E3 Carriers'!N$56,'E3 Carriers'!N$55)*N75+'E5 Prices &amp; Fees'!$D$48</f>
        <v/>
      </c>
      <c r="O76" s="416">
        <f>'E5 Prices &amp; Fees'!$D$50*(O75/'E5 Prices &amp; Fees'!$D$45)^'E5 Prices &amp; Fees'!$D$51+IF($D$106=1,'E3 Carriers'!O$56,'E3 Carriers'!O$55)*O75+'E5 Prices &amp; Fees'!$D$48</f>
        <v/>
      </c>
      <c r="P76" s="282" t="inlineStr">
        <is>
          <t>–</t>
        </is>
      </c>
      <c r="Q76" s="282" t="inlineStr">
        <is>
          <t>–</t>
        </is>
      </c>
      <c r="R76" s="282" t="inlineStr">
        <is>
          <t>–</t>
        </is>
      </c>
    </row>
    <row r="77">
      <c r="B77" s="254" t="inlineStr">
        <is>
          <t>All-in insurance RPU</t>
        </is>
      </c>
      <c r="C77" s="279" t="inlineStr">
        <is>
          <t>$</t>
        </is>
      </c>
      <c r="D77" s="416">
        <f>D76+'E5 Prices &amp; Fees'!D24</f>
        <v/>
      </c>
      <c r="E77" s="416">
        <f>E76+'E5 Prices &amp; Fees'!E24</f>
        <v/>
      </c>
      <c r="F77" s="416">
        <f>F76+'E5 Prices &amp; Fees'!F24</f>
        <v/>
      </c>
      <c r="G77" s="416">
        <f>G76+'E5 Prices &amp; Fees'!G24</f>
        <v/>
      </c>
      <c r="H77" s="416">
        <f>H76+'E5 Prices &amp; Fees'!H24</f>
        <v/>
      </c>
      <c r="I77" s="416">
        <f>I76+'E5 Prices &amp; Fees'!I24</f>
        <v/>
      </c>
      <c r="J77" s="416">
        <f>J76+'E5 Prices &amp; Fees'!J24</f>
        <v/>
      </c>
      <c r="K77" s="416">
        <f>K76+'E5 Prices &amp; Fees'!K24</f>
        <v/>
      </c>
      <c r="L77" s="416">
        <f>L76+'E5 Prices &amp; Fees'!L24</f>
        <v/>
      </c>
      <c r="M77" s="416">
        <f>M76+'E5 Prices &amp; Fees'!M24</f>
        <v/>
      </c>
      <c r="N77" s="416">
        <f>N76+'E5 Prices &amp; Fees'!N24</f>
        <v/>
      </c>
      <c r="O77" s="416">
        <f>O76+'E5 Prices &amp; Fees'!O24</f>
        <v/>
      </c>
      <c r="P77" s="423">
        <f>P78*1000/P73</f>
        <v/>
      </c>
      <c r="Q77" s="423">
        <f>Q78*1000/Q73</f>
        <v/>
      </c>
      <c r="R77" s="423">
        <f>R78*1000/R73</f>
        <v/>
      </c>
    </row>
    <row r="78">
      <c r="B78" s="254" t="inlineStr">
        <is>
          <t>US insurance service revenue</t>
        </is>
      </c>
      <c r="C78" s="279" t="inlineStr">
        <is>
          <t>$M</t>
        </is>
      </c>
      <c r="D78" s="288">
        <f>D73*D77/1000</f>
        <v/>
      </c>
      <c r="E78" s="288">
        <f>E73*E77/1000</f>
        <v/>
      </c>
      <c r="F78" s="288">
        <f>F73*F77/1000</f>
        <v/>
      </c>
      <c r="G78" s="288">
        <f>G73*G77/1000</f>
        <v/>
      </c>
      <c r="H78" s="288">
        <f>H73*H77/1000</f>
        <v/>
      </c>
      <c r="I78" s="288">
        <f>I73*I77/1000</f>
        <v/>
      </c>
      <c r="J78" s="288">
        <f>J73*J77/1000</f>
        <v/>
      </c>
      <c r="K78" s="288">
        <f>K73*K77/1000</f>
        <v/>
      </c>
      <c r="L78" s="288">
        <f>L73*L77/1000</f>
        <v/>
      </c>
      <c r="M78" s="288">
        <f>M73*M77/1000</f>
        <v/>
      </c>
      <c r="N78" s="288">
        <f>N73*N77/1000</f>
        <v/>
      </c>
      <c r="O78" s="288">
        <f>O73*O77/1000</f>
        <v/>
      </c>
      <c r="P78" s="288">
        <f>SUM(D78:G78)</f>
        <v/>
      </c>
      <c r="Q78" s="288">
        <f>SUM(H78:K78)</f>
        <v/>
      </c>
      <c r="R78" s="288">
        <f>SUM(L78:O78)</f>
        <v/>
      </c>
    </row>
    <row r="79">
      <c r="B79" s="254" t="inlineStr">
        <is>
          <t>US non-insurance service revenue</t>
        </is>
      </c>
      <c r="C79" s="279" t="inlineStr">
        <is>
          <t>$M</t>
        </is>
      </c>
      <c r="D79" s="276">
        <f>'E6 Other Branches'!D8</f>
        <v/>
      </c>
      <c r="E79" s="276">
        <f>'E6 Other Branches'!E8</f>
        <v/>
      </c>
      <c r="F79" s="276">
        <f>'E6 Other Branches'!F8</f>
        <v/>
      </c>
      <c r="G79" s="276">
        <f>'E6 Other Branches'!G8</f>
        <v/>
      </c>
      <c r="H79" s="276">
        <f>'E6 Other Branches'!H8</f>
        <v/>
      </c>
      <c r="I79" s="276">
        <f>'E6 Other Branches'!I8</f>
        <v/>
      </c>
      <c r="J79" s="276">
        <f>'E6 Other Branches'!J8</f>
        <v/>
      </c>
      <c r="K79" s="276">
        <f>'E6 Other Branches'!K8</f>
        <v/>
      </c>
      <c r="L79" s="276">
        <f>'E6 Other Branches'!L8</f>
        <v/>
      </c>
      <c r="M79" s="276">
        <f>'E6 Other Branches'!M8</f>
        <v/>
      </c>
      <c r="N79" s="276">
        <f>'E6 Other Branches'!N8</f>
        <v/>
      </c>
      <c r="O79" s="276">
        <f>'E6 Other Branches'!O8</f>
        <v/>
      </c>
      <c r="P79" s="288">
        <f>SUM(D79:G79)</f>
        <v/>
      </c>
      <c r="Q79" s="288">
        <f>SUM(H79:K79)</f>
        <v/>
      </c>
      <c r="R79" s="288">
        <f>SUM(L79:O79)</f>
        <v/>
      </c>
    </row>
    <row r="80">
      <c r="B80" s="254" t="inlineStr">
        <is>
          <t>International service revenue</t>
        </is>
      </c>
      <c r="C80" s="279" t="inlineStr">
        <is>
          <t>$M</t>
        </is>
      </c>
      <c r="D80" s="276">
        <f>'E6 Other Branches'!D12</f>
        <v/>
      </c>
      <c r="E80" s="276">
        <f>'E6 Other Branches'!E12</f>
        <v/>
      </c>
      <c r="F80" s="276">
        <f>'E6 Other Branches'!F12</f>
        <v/>
      </c>
      <c r="G80" s="276">
        <f>'E6 Other Branches'!G12</f>
        <v/>
      </c>
      <c r="H80" s="276">
        <f>'E6 Other Branches'!H12</f>
        <v/>
      </c>
      <c r="I80" s="276">
        <f>'E6 Other Branches'!I12</f>
        <v/>
      </c>
      <c r="J80" s="276">
        <f>'E6 Other Branches'!J12</f>
        <v/>
      </c>
      <c r="K80" s="276">
        <f>'E6 Other Branches'!K12</f>
        <v/>
      </c>
      <c r="L80" s="276">
        <f>'E6 Other Branches'!L12</f>
        <v/>
      </c>
      <c r="M80" s="276">
        <f>'E6 Other Branches'!M12</f>
        <v/>
      </c>
      <c r="N80" s="276">
        <f>'E6 Other Branches'!N12</f>
        <v/>
      </c>
      <c r="O80" s="276">
        <f>'E6 Other Branches'!O12</f>
        <v/>
      </c>
      <c r="P80" s="288">
        <f>SUM(D80:G80)</f>
        <v/>
      </c>
      <c r="Q80" s="288">
        <f>SUM(H80:K80)</f>
        <v/>
      </c>
      <c r="R80" s="288">
        <f>SUM(L80:O80)</f>
        <v/>
      </c>
    </row>
    <row r="81">
      <c r="B81" s="249" t="inlineStr">
        <is>
          <t>Legacy service revenue</t>
        </is>
      </c>
      <c r="C81" s="279" t="inlineStr">
        <is>
          <t>$M</t>
        </is>
      </c>
      <c r="D81" s="351">
        <f>D78+D79+D80</f>
        <v/>
      </c>
      <c r="E81" s="351">
        <f>E78+E79+E80</f>
        <v/>
      </c>
      <c r="F81" s="351">
        <f>F78+F79+F80</f>
        <v/>
      </c>
      <c r="G81" s="351">
        <f>G78+G79+G80</f>
        <v/>
      </c>
      <c r="H81" s="351">
        <f>H78+H79+H80</f>
        <v/>
      </c>
      <c r="I81" s="351">
        <f>I78+I79+I80</f>
        <v/>
      </c>
      <c r="J81" s="351">
        <f>J78+J79+J80</f>
        <v/>
      </c>
      <c r="K81" s="351">
        <f>K78+K79+K80</f>
        <v/>
      </c>
      <c r="L81" s="351">
        <f>L78+L79+L80</f>
        <v/>
      </c>
      <c r="M81" s="351">
        <f>M78+M79+M80</f>
        <v/>
      </c>
      <c r="N81" s="351">
        <f>N78+N79+N80</f>
        <v/>
      </c>
      <c r="O81" s="351">
        <f>O78+O79+O80</f>
        <v/>
      </c>
      <c r="P81" s="287">
        <f>SUM(D81:G81)</f>
        <v/>
      </c>
      <c r="Q81" s="287">
        <f>SUM(H81:K81)</f>
        <v/>
      </c>
      <c r="R81" s="287">
        <f>SUM(L81:O81)</f>
        <v/>
      </c>
    </row>
    <row r="82">
      <c r="B82" s="254" t="inlineStr">
        <is>
          <t>Purchased-vehicle revenue</t>
        </is>
      </c>
      <c r="C82" s="279" t="inlineStr">
        <is>
          <t>$M</t>
        </is>
      </c>
      <c r="D82" s="276">
        <f>'E6 Other Branches'!D16</f>
        <v/>
      </c>
      <c r="E82" s="276">
        <f>'E6 Other Branches'!E16</f>
        <v/>
      </c>
      <c r="F82" s="276">
        <f>'E6 Other Branches'!F16</f>
        <v/>
      </c>
      <c r="G82" s="276">
        <f>'E6 Other Branches'!G16</f>
        <v/>
      </c>
      <c r="H82" s="276">
        <f>'E6 Other Branches'!H16</f>
        <v/>
      </c>
      <c r="I82" s="276">
        <f>'E6 Other Branches'!I16</f>
        <v/>
      </c>
      <c r="J82" s="276">
        <f>'E6 Other Branches'!J16</f>
        <v/>
      </c>
      <c r="K82" s="276">
        <f>'E6 Other Branches'!K16</f>
        <v/>
      </c>
      <c r="L82" s="276">
        <f>'E6 Other Branches'!L16</f>
        <v/>
      </c>
      <c r="M82" s="276">
        <f>'E6 Other Branches'!M16</f>
        <v/>
      </c>
      <c r="N82" s="276">
        <f>'E6 Other Branches'!N16</f>
        <v/>
      </c>
      <c r="O82" s="276">
        <f>'E6 Other Branches'!O16</f>
        <v/>
      </c>
      <c r="P82" s="288">
        <f>SUM(D82:G82)</f>
        <v/>
      </c>
      <c r="Q82" s="288">
        <f>SUM(H82:K82)</f>
        <v/>
      </c>
      <c r="R82" s="288">
        <f>SUM(L82:O82)</f>
        <v/>
      </c>
    </row>
    <row r="83">
      <c r="B83" s="249" t="inlineStr">
        <is>
          <t>Total revenue (legacy + purchased + ACV)</t>
        </is>
      </c>
      <c r="C83" s="279" t="inlineStr">
        <is>
          <t>$M</t>
        </is>
      </c>
      <c r="D83" s="280">
        <f>D81+D82+'E6 Other Branches'!D19</f>
        <v/>
      </c>
      <c r="E83" s="280">
        <f>E81+E82+'E6 Other Branches'!E19</f>
        <v/>
      </c>
      <c r="F83" s="280">
        <f>F81+F82+'E6 Other Branches'!F19</f>
        <v/>
      </c>
      <c r="G83" s="280">
        <f>G81+G82+'E6 Other Branches'!G19</f>
        <v/>
      </c>
      <c r="H83" s="280">
        <f>H81+H82+'E6 Other Branches'!H19</f>
        <v/>
      </c>
      <c r="I83" s="280">
        <f>I81+I82+'E6 Other Branches'!I19</f>
        <v/>
      </c>
      <c r="J83" s="280">
        <f>J81+J82+'E6 Other Branches'!J19</f>
        <v/>
      </c>
      <c r="K83" s="280">
        <f>K81+K82+'E6 Other Branches'!K19</f>
        <v/>
      </c>
      <c r="L83" s="280">
        <f>L81+L82+'E6 Other Branches'!L19</f>
        <v/>
      </c>
      <c r="M83" s="280">
        <f>M81+M82+'E6 Other Branches'!M19</f>
        <v/>
      </c>
      <c r="N83" s="280">
        <f>N81+N82+'E6 Other Branches'!N19</f>
        <v/>
      </c>
      <c r="O83" s="280">
        <f>O81+O82+'E6 Other Branches'!O19</f>
        <v/>
      </c>
      <c r="P83" s="287">
        <f>SUM(D83:G83)</f>
        <v/>
      </c>
      <c r="Q83" s="287">
        <f>SUM(H83:K83)</f>
        <v/>
      </c>
      <c r="R83" s="287">
        <f>SUM(L83:O83)</f>
        <v/>
      </c>
    </row>
    <row r="85">
      <c r="B85" s="271" t="inlineStr">
        <is>
          <t>Case 7 — Bull — premium-response coverage, ASP +6%</t>
        </is>
      </c>
      <c r="C85" s="272" t="n"/>
      <c r="D85" s="272" t="n"/>
      <c r="E85" s="272" t="n"/>
      <c r="F85" s="272" t="n"/>
      <c r="G85" s="272" t="n"/>
      <c r="H85" s="272" t="n"/>
      <c r="I85" s="272" t="n"/>
      <c r="J85" s="272" t="n"/>
      <c r="K85" s="272" t="n"/>
      <c r="L85" s="272" t="n"/>
      <c r="M85" s="272" t="n"/>
      <c r="N85" s="272" t="n"/>
      <c r="O85" s="272" t="n"/>
      <c r="P85" s="272" t="n"/>
      <c r="Q85" s="272" t="n"/>
      <c r="R85" s="272" t="n"/>
      <c r="S85" s="272" t="n"/>
    </row>
    <row r="86">
      <c r="B86" s="249" t="inlineStr">
        <is>
          <t>Insurance units</t>
        </is>
      </c>
      <c r="C86" s="279" t="inlineStr">
        <is>
          <t>000s</t>
        </is>
      </c>
      <c r="D86" s="319">
        <f>'E5 Prices &amp; Fees'!D11</f>
        <v/>
      </c>
      <c r="E86" s="319">
        <f>'E5 Prices &amp; Fees'!E11</f>
        <v/>
      </c>
      <c r="F86" s="319">
        <f>'E5 Prices &amp; Fees'!F11</f>
        <v/>
      </c>
      <c r="G86" s="319">
        <f>'E5 Prices &amp; Fees'!G11</f>
        <v/>
      </c>
      <c r="H86" s="319">
        <f>D86*'E2 Claims &amp; Totals'!H$75*IF($D$107=1,'E3 Carriers'!H$49,'E3 Carriers'!H$48)*(1+$E$107*'E4 Aftermarket'!H$40)*CHOOSE($H$107,'E2 Claims &amp; Totals'!H$116,'E2 Claims &amp; Totals'!H$117,'E2 Claims &amp; Totals'!H$118)</f>
        <v/>
      </c>
      <c r="I86" s="319">
        <f>E86*'E2 Claims &amp; Totals'!I$75*IF($D$107=1,'E3 Carriers'!I$49,'E3 Carriers'!I$48)*(1+$E$107*'E4 Aftermarket'!I$40)*CHOOSE($H$107,'E2 Claims &amp; Totals'!I$116,'E2 Claims &amp; Totals'!I$117,'E2 Claims &amp; Totals'!I$118)</f>
        <v/>
      </c>
      <c r="J86" s="319">
        <f>F86*'E2 Claims &amp; Totals'!J$75*IF($D$107=1,'E3 Carriers'!J$49,'E3 Carriers'!J$48)*(1+$E$107*'E4 Aftermarket'!J$40)*CHOOSE($H$107,'E2 Claims &amp; Totals'!J$116,'E2 Claims &amp; Totals'!J$117,'E2 Claims &amp; Totals'!J$118)</f>
        <v/>
      </c>
      <c r="K86" s="319">
        <f>G86*'E2 Claims &amp; Totals'!K$75*IF($D$107=1,'E3 Carriers'!K$49,'E3 Carriers'!K$48)*(1+$E$107*'E4 Aftermarket'!K$40)*CHOOSE($H$107,'E2 Claims &amp; Totals'!K$116,'E2 Claims &amp; Totals'!K$117,'E2 Claims &amp; Totals'!K$118)</f>
        <v/>
      </c>
      <c r="L86" s="319">
        <f>H86*'E2 Claims &amp; Totals'!L$75*IF($D$107=1,'E3 Carriers'!L$49,'E3 Carriers'!L$48)*(1+$E$107*'E4 Aftermarket'!L$40)*CHOOSE($H$107,'E2 Claims &amp; Totals'!L$116,'E2 Claims &amp; Totals'!L$117,'E2 Claims &amp; Totals'!L$118)</f>
        <v/>
      </c>
      <c r="M86" s="319">
        <f>I86*'E2 Claims &amp; Totals'!M$75*IF($D$107=1,'E3 Carriers'!M$49,'E3 Carriers'!M$48)*(1+$E$107*'E4 Aftermarket'!M$40)*CHOOSE($H$107,'E2 Claims &amp; Totals'!M$116,'E2 Claims &amp; Totals'!M$117,'E2 Claims &amp; Totals'!M$118)</f>
        <v/>
      </c>
      <c r="N86" s="319">
        <f>J86*'E2 Claims &amp; Totals'!N$75*IF($D$107=1,'E3 Carriers'!N$49,'E3 Carriers'!N$48)*(1+$E$107*'E4 Aftermarket'!N$40)*CHOOSE($H$107,'E2 Claims &amp; Totals'!N$116,'E2 Claims &amp; Totals'!N$117,'E2 Claims &amp; Totals'!N$118)</f>
        <v/>
      </c>
      <c r="O86" s="319">
        <f>K86*'E2 Claims &amp; Totals'!O$75*IF($D$107=1,'E3 Carriers'!O$49,'E3 Carriers'!O$48)*(1+$E$107*'E4 Aftermarket'!O$40)*CHOOSE($H$107,'E2 Claims &amp; Totals'!O$116,'E2 Claims &amp; Totals'!O$117,'E2 Claims &amp; Totals'!O$118)</f>
        <v/>
      </c>
      <c r="P86" s="260">
        <f>SUM(D86:G86)</f>
        <v/>
      </c>
      <c r="Q86" s="260">
        <f>SUM(H86:K86)</f>
        <v/>
      </c>
      <c r="R86" s="260">
        <f>SUM(L86:O86)</f>
        <v/>
      </c>
    </row>
    <row r="87">
      <c r="B87" s="281" t="inlineStr">
        <is>
          <t>y/y</t>
        </is>
      </c>
      <c r="C87" s="279" t="inlineStr">
        <is>
          <t>%</t>
        </is>
      </c>
      <c r="D87" s="282" t="inlineStr">
        <is>
          <t>–</t>
        </is>
      </c>
      <c r="E87" s="282" t="inlineStr">
        <is>
          <t>–</t>
        </is>
      </c>
      <c r="F87" s="282" t="inlineStr">
        <is>
          <t>–</t>
        </is>
      </c>
      <c r="G87" s="282" t="inlineStr">
        <is>
          <t>–</t>
        </is>
      </c>
      <c r="H87" s="327">
        <f>H86/D86-1</f>
        <v/>
      </c>
      <c r="I87" s="327">
        <f>I86/E86-1</f>
        <v/>
      </c>
      <c r="J87" s="327">
        <f>J86/F86-1</f>
        <v/>
      </c>
      <c r="K87" s="327">
        <f>K86/G86-1</f>
        <v/>
      </c>
      <c r="L87" s="327">
        <f>L86/H86-1</f>
        <v/>
      </c>
      <c r="M87" s="327">
        <f>M86/I86-1</f>
        <v/>
      </c>
      <c r="N87" s="327">
        <f>N86/J86-1</f>
        <v/>
      </c>
      <c r="O87" s="327">
        <f>O86/K86-1</f>
        <v/>
      </c>
      <c r="P87" s="282" t="inlineStr">
        <is>
          <t>–</t>
        </is>
      </c>
      <c r="Q87" s="327">
        <f>Q86/P86-1</f>
        <v/>
      </c>
      <c r="R87" s="327">
        <f>R86/Q86-1</f>
        <v/>
      </c>
    </row>
    <row r="88">
      <c r="B88" s="254" t="inlineStr">
        <is>
          <t>US insurance ASP</t>
        </is>
      </c>
      <c r="C88" s="279" t="inlineStr">
        <is>
          <t>$</t>
        </is>
      </c>
      <c r="D88" s="416">
        <f>'E5 Prices &amp; Fees'!$D$45</f>
        <v/>
      </c>
      <c r="E88" s="416">
        <f>'E5 Prices &amp; Fees'!$D$45</f>
        <v/>
      </c>
      <c r="F88" s="416">
        <f>'E5 Prices &amp; Fees'!$D$45</f>
        <v/>
      </c>
      <c r="G88" s="416">
        <f>'E5 Prices &amp; Fees'!$D$45</f>
        <v/>
      </c>
      <c r="H88" s="416">
        <f>'E5 Prices &amp; Fees'!$D$45*(1+$F$107)^1*(1+$E$107*'E4 Aftermarket'!H$41)</f>
        <v/>
      </c>
      <c r="I88" s="416">
        <f>'E5 Prices &amp; Fees'!$D$45*(1+$F$107)^1*(1+$E$107*'E4 Aftermarket'!I$41)</f>
        <v/>
      </c>
      <c r="J88" s="416">
        <f>'E5 Prices &amp; Fees'!$D$45*(1+$F$107)^1*(1+$E$107*'E4 Aftermarket'!J$41)</f>
        <v/>
      </c>
      <c r="K88" s="416">
        <f>'E5 Prices &amp; Fees'!$D$45*(1+$F$107)^1*(1+$E$107*'E4 Aftermarket'!K$41)</f>
        <v/>
      </c>
      <c r="L88" s="416">
        <f>'E5 Prices &amp; Fees'!$D$45*(1+$F$107)^2*(1+$E$107*'E4 Aftermarket'!L$41)</f>
        <v/>
      </c>
      <c r="M88" s="416">
        <f>'E5 Prices &amp; Fees'!$D$45*(1+$F$107)^2*(1+$E$107*'E4 Aftermarket'!M$41)</f>
        <v/>
      </c>
      <c r="N88" s="416">
        <f>'E5 Prices &amp; Fees'!$D$45*(1+$F$107)^2*(1+$E$107*'E4 Aftermarket'!N$41)</f>
        <v/>
      </c>
      <c r="O88" s="416">
        <f>'E5 Prices &amp; Fees'!$D$45*(1+$F$107)^2*(1+$E$107*'E4 Aftermarket'!O$41)</f>
        <v/>
      </c>
      <c r="P88" s="423">
        <f>AVERAGE(D88:G88)</f>
        <v/>
      </c>
      <c r="Q88" s="423">
        <f>AVERAGE(H88:K88)</f>
        <v/>
      </c>
      <c r="R88" s="423">
        <f>AVERAGE(L88:O88)</f>
        <v/>
      </c>
    </row>
    <row r="89">
      <c r="B89" s="254" t="inlineStr">
        <is>
          <t>Core RPU</t>
        </is>
      </c>
      <c r="C89" s="279" t="inlineStr">
        <is>
          <t>$</t>
        </is>
      </c>
      <c r="D89" s="416">
        <f>'E5 Prices &amp; Fees'!$D$50*(D88/'E5 Prices &amp; Fees'!$D$45)^'E5 Prices &amp; Fees'!$D$51+IF($D$107=1,'E3 Carriers'!D$56,'E3 Carriers'!D$55)*D88+'E5 Prices &amp; Fees'!$D$48</f>
        <v/>
      </c>
      <c r="E89" s="416">
        <f>'E5 Prices &amp; Fees'!$D$50*(E88/'E5 Prices &amp; Fees'!$D$45)^'E5 Prices &amp; Fees'!$D$51+IF($D$107=1,'E3 Carriers'!E$56,'E3 Carriers'!E$55)*E88+'E5 Prices &amp; Fees'!$D$48</f>
        <v/>
      </c>
      <c r="F89" s="416">
        <f>'E5 Prices &amp; Fees'!$D$50*(F88/'E5 Prices &amp; Fees'!$D$45)^'E5 Prices &amp; Fees'!$D$51+IF($D$107=1,'E3 Carriers'!F$56,'E3 Carriers'!F$55)*F88+'E5 Prices &amp; Fees'!$D$48</f>
        <v/>
      </c>
      <c r="G89" s="416">
        <f>'E5 Prices &amp; Fees'!$D$50*(G88/'E5 Prices &amp; Fees'!$D$45)^'E5 Prices &amp; Fees'!$D$51+IF($D$107=1,'E3 Carriers'!G$56,'E3 Carriers'!G$55)*G88+'E5 Prices &amp; Fees'!$D$48</f>
        <v/>
      </c>
      <c r="H89" s="416">
        <f>'E5 Prices &amp; Fees'!$D$50*(H88/'E5 Prices &amp; Fees'!$D$45)^'E5 Prices &amp; Fees'!$D$51+IF($D$107=1,'E3 Carriers'!H$56,'E3 Carriers'!H$55)*H88+'E5 Prices &amp; Fees'!$D$48</f>
        <v/>
      </c>
      <c r="I89" s="416">
        <f>'E5 Prices &amp; Fees'!$D$50*(I88/'E5 Prices &amp; Fees'!$D$45)^'E5 Prices &amp; Fees'!$D$51+IF($D$107=1,'E3 Carriers'!I$56,'E3 Carriers'!I$55)*I88+'E5 Prices &amp; Fees'!$D$48</f>
        <v/>
      </c>
      <c r="J89" s="416">
        <f>'E5 Prices &amp; Fees'!$D$50*(J88/'E5 Prices &amp; Fees'!$D$45)^'E5 Prices &amp; Fees'!$D$51+IF($D$107=1,'E3 Carriers'!J$56,'E3 Carriers'!J$55)*J88+'E5 Prices &amp; Fees'!$D$48</f>
        <v/>
      </c>
      <c r="K89" s="416">
        <f>'E5 Prices &amp; Fees'!$D$50*(K88/'E5 Prices &amp; Fees'!$D$45)^'E5 Prices &amp; Fees'!$D$51+IF($D$107=1,'E3 Carriers'!K$56,'E3 Carriers'!K$55)*K88+'E5 Prices &amp; Fees'!$D$48</f>
        <v/>
      </c>
      <c r="L89" s="416">
        <f>'E5 Prices &amp; Fees'!$D$50*(L88/'E5 Prices &amp; Fees'!$D$45)^'E5 Prices &amp; Fees'!$D$51+IF($D$107=1,'E3 Carriers'!L$56,'E3 Carriers'!L$55)*L88+'E5 Prices &amp; Fees'!$D$48</f>
        <v/>
      </c>
      <c r="M89" s="416">
        <f>'E5 Prices &amp; Fees'!$D$50*(M88/'E5 Prices &amp; Fees'!$D$45)^'E5 Prices &amp; Fees'!$D$51+IF($D$107=1,'E3 Carriers'!M$56,'E3 Carriers'!M$55)*M88+'E5 Prices &amp; Fees'!$D$48</f>
        <v/>
      </c>
      <c r="N89" s="416">
        <f>'E5 Prices &amp; Fees'!$D$50*(N88/'E5 Prices &amp; Fees'!$D$45)^'E5 Prices &amp; Fees'!$D$51+IF($D$107=1,'E3 Carriers'!N$56,'E3 Carriers'!N$55)*N88+'E5 Prices &amp; Fees'!$D$48</f>
        <v/>
      </c>
      <c r="O89" s="416">
        <f>'E5 Prices &amp; Fees'!$D$50*(O88/'E5 Prices &amp; Fees'!$D$45)^'E5 Prices &amp; Fees'!$D$51+IF($D$107=1,'E3 Carriers'!O$56,'E3 Carriers'!O$55)*O88+'E5 Prices &amp; Fees'!$D$48</f>
        <v/>
      </c>
      <c r="P89" s="282" t="inlineStr">
        <is>
          <t>–</t>
        </is>
      </c>
      <c r="Q89" s="282" t="inlineStr">
        <is>
          <t>–</t>
        </is>
      </c>
      <c r="R89" s="282" t="inlineStr">
        <is>
          <t>–</t>
        </is>
      </c>
    </row>
    <row r="90">
      <c r="B90" s="254" t="inlineStr">
        <is>
          <t>All-in insurance RPU</t>
        </is>
      </c>
      <c r="C90" s="279" t="inlineStr">
        <is>
          <t>$</t>
        </is>
      </c>
      <c r="D90" s="416">
        <f>D89+'E5 Prices &amp; Fees'!D24</f>
        <v/>
      </c>
      <c r="E90" s="416">
        <f>E89+'E5 Prices &amp; Fees'!E24</f>
        <v/>
      </c>
      <c r="F90" s="416">
        <f>F89+'E5 Prices &amp; Fees'!F24</f>
        <v/>
      </c>
      <c r="G90" s="416">
        <f>G89+'E5 Prices &amp; Fees'!G24</f>
        <v/>
      </c>
      <c r="H90" s="416">
        <f>H89+'E5 Prices &amp; Fees'!H24</f>
        <v/>
      </c>
      <c r="I90" s="416">
        <f>I89+'E5 Prices &amp; Fees'!I24</f>
        <v/>
      </c>
      <c r="J90" s="416">
        <f>J89+'E5 Prices &amp; Fees'!J24</f>
        <v/>
      </c>
      <c r="K90" s="416">
        <f>K89+'E5 Prices &amp; Fees'!K24</f>
        <v/>
      </c>
      <c r="L90" s="416">
        <f>L89+'E5 Prices &amp; Fees'!L24</f>
        <v/>
      </c>
      <c r="M90" s="416">
        <f>M89+'E5 Prices &amp; Fees'!M24</f>
        <v/>
      </c>
      <c r="N90" s="416">
        <f>N89+'E5 Prices &amp; Fees'!N24</f>
        <v/>
      </c>
      <c r="O90" s="416">
        <f>O89+'E5 Prices &amp; Fees'!O24</f>
        <v/>
      </c>
      <c r="P90" s="423">
        <f>P91*1000/P86</f>
        <v/>
      </c>
      <c r="Q90" s="423">
        <f>Q91*1000/Q86</f>
        <v/>
      </c>
      <c r="R90" s="423">
        <f>R91*1000/R86</f>
        <v/>
      </c>
    </row>
    <row r="91">
      <c r="B91" s="254" t="inlineStr">
        <is>
          <t>US insurance service revenue</t>
        </is>
      </c>
      <c r="C91" s="279" t="inlineStr">
        <is>
          <t>$M</t>
        </is>
      </c>
      <c r="D91" s="288">
        <f>D86*D90/1000</f>
        <v/>
      </c>
      <c r="E91" s="288">
        <f>E86*E90/1000</f>
        <v/>
      </c>
      <c r="F91" s="288">
        <f>F86*F90/1000</f>
        <v/>
      </c>
      <c r="G91" s="288">
        <f>G86*G90/1000</f>
        <v/>
      </c>
      <c r="H91" s="288">
        <f>H86*H90/1000</f>
        <v/>
      </c>
      <c r="I91" s="288">
        <f>I86*I90/1000</f>
        <v/>
      </c>
      <c r="J91" s="288">
        <f>J86*J90/1000</f>
        <v/>
      </c>
      <c r="K91" s="288">
        <f>K86*K90/1000</f>
        <v/>
      </c>
      <c r="L91" s="288">
        <f>L86*L90/1000</f>
        <v/>
      </c>
      <c r="M91" s="288">
        <f>M86*M90/1000</f>
        <v/>
      </c>
      <c r="N91" s="288">
        <f>N86*N90/1000</f>
        <v/>
      </c>
      <c r="O91" s="288">
        <f>O86*O90/1000</f>
        <v/>
      </c>
      <c r="P91" s="288">
        <f>SUM(D91:G91)</f>
        <v/>
      </c>
      <c r="Q91" s="288">
        <f>SUM(H91:K91)</f>
        <v/>
      </c>
      <c r="R91" s="288">
        <f>SUM(L91:O91)</f>
        <v/>
      </c>
    </row>
    <row r="92">
      <c r="B92" s="254" t="inlineStr">
        <is>
          <t>US non-insurance service revenue</t>
        </is>
      </c>
      <c r="C92" s="279" t="inlineStr">
        <is>
          <t>$M</t>
        </is>
      </c>
      <c r="D92" s="276">
        <f>'E6 Other Branches'!D8</f>
        <v/>
      </c>
      <c r="E92" s="276">
        <f>'E6 Other Branches'!E8</f>
        <v/>
      </c>
      <c r="F92" s="276">
        <f>'E6 Other Branches'!F8</f>
        <v/>
      </c>
      <c r="G92" s="276">
        <f>'E6 Other Branches'!G8</f>
        <v/>
      </c>
      <c r="H92" s="276">
        <f>'E6 Other Branches'!H8</f>
        <v/>
      </c>
      <c r="I92" s="276">
        <f>'E6 Other Branches'!I8</f>
        <v/>
      </c>
      <c r="J92" s="276">
        <f>'E6 Other Branches'!J8</f>
        <v/>
      </c>
      <c r="K92" s="276">
        <f>'E6 Other Branches'!K8</f>
        <v/>
      </c>
      <c r="L92" s="276">
        <f>'E6 Other Branches'!L8</f>
        <v/>
      </c>
      <c r="M92" s="276">
        <f>'E6 Other Branches'!M8</f>
        <v/>
      </c>
      <c r="N92" s="276">
        <f>'E6 Other Branches'!N8</f>
        <v/>
      </c>
      <c r="O92" s="276">
        <f>'E6 Other Branches'!O8</f>
        <v/>
      </c>
      <c r="P92" s="288">
        <f>SUM(D92:G92)</f>
        <v/>
      </c>
      <c r="Q92" s="288">
        <f>SUM(H92:K92)</f>
        <v/>
      </c>
      <c r="R92" s="288">
        <f>SUM(L92:O92)</f>
        <v/>
      </c>
    </row>
    <row r="93">
      <c r="B93" s="254" t="inlineStr">
        <is>
          <t>International service revenue</t>
        </is>
      </c>
      <c r="C93" s="279" t="inlineStr">
        <is>
          <t>$M</t>
        </is>
      </c>
      <c r="D93" s="276">
        <f>'E6 Other Branches'!D12</f>
        <v/>
      </c>
      <c r="E93" s="276">
        <f>'E6 Other Branches'!E12</f>
        <v/>
      </c>
      <c r="F93" s="276">
        <f>'E6 Other Branches'!F12</f>
        <v/>
      </c>
      <c r="G93" s="276">
        <f>'E6 Other Branches'!G12</f>
        <v/>
      </c>
      <c r="H93" s="276">
        <f>'E6 Other Branches'!H12</f>
        <v/>
      </c>
      <c r="I93" s="276">
        <f>'E6 Other Branches'!I12</f>
        <v/>
      </c>
      <c r="J93" s="276">
        <f>'E6 Other Branches'!J12</f>
        <v/>
      </c>
      <c r="K93" s="276">
        <f>'E6 Other Branches'!K12</f>
        <v/>
      </c>
      <c r="L93" s="276">
        <f>'E6 Other Branches'!L12</f>
        <v/>
      </c>
      <c r="M93" s="276">
        <f>'E6 Other Branches'!M12</f>
        <v/>
      </c>
      <c r="N93" s="276">
        <f>'E6 Other Branches'!N12</f>
        <v/>
      </c>
      <c r="O93" s="276">
        <f>'E6 Other Branches'!O12</f>
        <v/>
      </c>
      <c r="P93" s="288">
        <f>SUM(D93:G93)</f>
        <v/>
      </c>
      <c r="Q93" s="288">
        <f>SUM(H93:K93)</f>
        <v/>
      </c>
      <c r="R93" s="288">
        <f>SUM(L93:O93)</f>
        <v/>
      </c>
    </row>
    <row r="94">
      <c r="B94" s="249" t="inlineStr">
        <is>
          <t>Legacy service revenue</t>
        </is>
      </c>
      <c r="C94" s="279" t="inlineStr">
        <is>
          <t>$M</t>
        </is>
      </c>
      <c r="D94" s="351">
        <f>D91+D92+D93</f>
        <v/>
      </c>
      <c r="E94" s="351">
        <f>E91+E92+E93</f>
        <v/>
      </c>
      <c r="F94" s="351">
        <f>F91+F92+F93</f>
        <v/>
      </c>
      <c r="G94" s="351">
        <f>G91+G92+G93</f>
        <v/>
      </c>
      <c r="H94" s="351">
        <f>H91+H92+H93</f>
        <v/>
      </c>
      <c r="I94" s="351">
        <f>I91+I92+I93</f>
        <v/>
      </c>
      <c r="J94" s="351">
        <f>J91+J92+J93</f>
        <v/>
      </c>
      <c r="K94" s="351">
        <f>K91+K92+K93</f>
        <v/>
      </c>
      <c r="L94" s="351">
        <f>L91+L92+L93</f>
        <v/>
      </c>
      <c r="M94" s="351">
        <f>M91+M92+M93</f>
        <v/>
      </c>
      <c r="N94" s="351">
        <f>N91+N92+N93</f>
        <v/>
      </c>
      <c r="O94" s="351">
        <f>O91+O92+O93</f>
        <v/>
      </c>
      <c r="P94" s="287">
        <f>SUM(D94:G94)</f>
        <v/>
      </c>
      <c r="Q94" s="287">
        <f>SUM(H94:K94)</f>
        <v/>
      </c>
      <c r="R94" s="287">
        <f>SUM(L94:O94)</f>
        <v/>
      </c>
    </row>
    <row r="95">
      <c r="B95" s="254" t="inlineStr">
        <is>
          <t>Purchased-vehicle revenue</t>
        </is>
      </c>
      <c r="C95" s="279" t="inlineStr">
        <is>
          <t>$M</t>
        </is>
      </c>
      <c r="D95" s="276">
        <f>'E6 Other Branches'!D16</f>
        <v/>
      </c>
      <c r="E95" s="276">
        <f>'E6 Other Branches'!E16</f>
        <v/>
      </c>
      <c r="F95" s="276">
        <f>'E6 Other Branches'!F16</f>
        <v/>
      </c>
      <c r="G95" s="276">
        <f>'E6 Other Branches'!G16</f>
        <v/>
      </c>
      <c r="H95" s="276">
        <f>'E6 Other Branches'!H16</f>
        <v/>
      </c>
      <c r="I95" s="276">
        <f>'E6 Other Branches'!I16</f>
        <v/>
      </c>
      <c r="J95" s="276">
        <f>'E6 Other Branches'!J16</f>
        <v/>
      </c>
      <c r="K95" s="276">
        <f>'E6 Other Branches'!K16</f>
        <v/>
      </c>
      <c r="L95" s="276">
        <f>'E6 Other Branches'!L16</f>
        <v/>
      </c>
      <c r="M95" s="276">
        <f>'E6 Other Branches'!M16</f>
        <v/>
      </c>
      <c r="N95" s="276">
        <f>'E6 Other Branches'!N16</f>
        <v/>
      </c>
      <c r="O95" s="276">
        <f>'E6 Other Branches'!O16</f>
        <v/>
      </c>
      <c r="P95" s="288">
        <f>SUM(D95:G95)</f>
        <v/>
      </c>
      <c r="Q95" s="288">
        <f>SUM(H95:K95)</f>
        <v/>
      </c>
      <c r="R95" s="288">
        <f>SUM(L95:O95)</f>
        <v/>
      </c>
    </row>
    <row r="96">
      <c r="B96" s="249" t="inlineStr">
        <is>
          <t>Total revenue (legacy + purchased + ACV)</t>
        </is>
      </c>
      <c r="C96" s="279" t="inlineStr">
        <is>
          <t>$M</t>
        </is>
      </c>
      <c r="D96" s="280">
        <f>D94+D95+'E6 Other Branches'!D19</f>
        <v/>
      </c>
      <c r="E96" s="280">
        <f>E94+E95+'E6 Other Branches'!E19</f>
        <v/>
      </c>
      <c r="F96" s="280">
        <f>F94+F95+'E6 Other Branches'!F19</f>
        <v/>
      </c>
      <c r="G96" s="280">
        <f>G94+G95+'E6 Other Branches'!G19</f>
        <v/>
      </c>
      <c r="H96" s="280">
        <f>H94+H95+'E6 Other Branches'!H19</f>
        <v/>
      </c>
      <c r="I96" s="280">
        <f>I94+I95+'E6 Other Branches'!I19</f>
        <v/>
      </c>
      <c r="J96" s="280">
        <f>J94+J95+'E6 Other Branches'!J19</f>
        <v/>
      </c>
      <c r="K96" s="280">
        <f>K94+K95+'E6 Other Branches'!K19</f>
        <v/>
      </c>
      <c r="L96" s="280">
        <f>L94+L95+'E6 Other Branches'!L19</f>
        <v/>
      </c>
      <c r="M96" s="280">
        <f>M94+M95+'E6 Other Branches'!M19</f>
        <v/>
      </c>
      <c r="N96" s="280">
        <f>N94+N95+'E6 Other Branches'!N19</f>
        <v/>
      </c>
      <c r="O96" s="280">
        <f>O94+O95+'E6 Other Branches'!O19</f>
        <v/>
      </c>
      <c r="P96" s="287">
        <f>SUM(D96:G96)</f>
        <v/>
      </c>
      <c r="Q96" s="287">
        <f>SUM(H96:K96)</f>
        <v/>
      </c>
      <c r="R96" s="287">
        <f>SUM(L96:O96)</f>
        <v/>
      </c>
    </row>
    <row r="100">
      <c r="B100" s="246" t="inlineStr">
        <is>
          <t>Case parameters</t>
        </is>
      </c>
      <c r="C100" s="247" t="n"/>
      <c r="D100" s="248" t="inlineStr">
        <is>
          <t>a (thesis 3)</t>
        </is>
      </c>
      <c r="E100" s="248" t="inlineStr">
        <is>
          <t>b (thesis 2)</t>
        </is>
      </c>
      <c r="F100" s="248" t="inlineStr">
        <is>
          <t>ASP growth</t>
        </is>
      </c>
      <c r="G100" s="248" t="inlineStr">
        <is>
          <t>Label</t>
        </is>
      </c>
      <c r="H100" s="248" t="inlineStr">
        <is>
          <t>coverage path</t>
        </is>
      </c>
      <c r="I100" s="352" t="inlineStr">
        <is>
          <t>1 sticky · 2 premium-response · 3 Street-implied recovery (E2 rows 116–118)</t>
        </is>
      </c>
      <c r="J100" s="247" t="n"/>
      <c r="K100" s="247" t="n"/>
      <c r="L100" s="247" t="n"/>
      <c r="M100" s="247" t="n"/>
      <c r="N100" s="247" t="n"/>
      <c r="O100" s="247" t="n"/>
      <c r="P100" s="247" t="n"/>
      <c r="Q100" s="247" t="n"/>
      <c r="R100" s="247" t="n"/>
      <c r="S100" s="247" t="n"/>
    </row>
    <row r="101">
      <c r="B101" s="254" t="inlineStr">
        <is>
          <t>Case 0 — Street-implied: known runoff, coverage recovery reverse-solved to JPM FY27</t>
        </is>
      </c>
      <c r="D101" s="342" t="n">
        <v>0</v>
      </c>
      <c r="E101" s="342" t="n">
        <v>0</v>
      </c>
      <c r="F101" s="273">
        <f>'E5 Prices &amp; Fees'!$D$44</f>
        <v/>
      </c>
      <c r="G101" s="252" t="inlineStr">
        <is>
          <t>TOGGLE / ASSUMED</t>
        </is>
      </c>
      <c r="H101" s="342" t="n">
        <v>3</v>
      </c>
      <c r="I101" s="282" t="inlineStr">
        <is>
          <t>–</t>
        </is>
      </c>
      <c r="J101" s="282" t="inlineStr">
        <is>
          <t>–</t>
        </is>
      </c>
      <c r="K101" s="282" t="inlineStr">
        <is>
          <t>–</t>
        </is>
      </c>
      <c r="L101" s="282" t="inlineStr">
        <is>
          <t>–</t>
        </is>
      </c>
      <c r="M101" s="282" t="inlineStr">
        <is>
          <t>–</t>
        </is>
      </c>
      <c r="N101" s="282" t="inlineStr">
        <is>
          <t>–</t>
        </is>
      </c>
      <c r="O101" s="282" t="inlineStr">
        <is>
          <t>–</t>
        </is>
      </c>
      <c r="P101" s="282" t="inlineStr">
        <is>
          <t>–</t>
        </is>
      </c>
      <c r="Q101" s="282" t="inlineStr">
        <is>
          <t>–</t>
        </is>
      </c>
      <c r="R101" s="282" t="inlineStr">
        <is>
          <t>–</t>
        </is>
      </c>
    </row>
    <row r="102">
      <c r="B102" s="254" t="inlineStr">
        <is>
          <t>Case 1 — Known facts / thesis 1 sticky: runoff laps, coverage flat, no other thesis</t>
        </is>
      </c>
      <c r="D102" s="342" t="n">
        <v>0</v>
      </c>
      <c r="E102" s="342" t="n">
        <v>0</v>
      </c>
      <c r="F102" s="273">
        <f>'E5 Prices &amp; Fees'!$D$44</f>
        <v/>
      </c>
      <c r="G102" s="252" t="inlineStr">
        <is>
          <t>TOGGLE / ASSUMED</t>
        </is>
      </c>
      <c r="H102" s="342" t="n">
        <v>1</v>
      </c>
      <c r="I102" s="282" t="inlineStr">
        <is>
          <t>–</t>
        </is>
      </c>
      <c r="J102" s="282" t="inlineStr">
        <is>
          <t>–</t>
        </is>
      </c>
      <c r="K102" s="282" t="inlineStr">
        <is>
          <t>–</t>
        </is>
      </c>
      <c r="L102" s="282" t="inlineStr">
        <is>
          <t>–</t>
        </is>
      </c>
      <c r="M102" s="282" t="inlineStr">
        <is>
          <t>–</t>
        </is>
      </c>
      <c r="N102" s="282" t="inlineStr">
        <is>
          <t>–</t>
        </is>
      </c>
      <c r="O102" s="282" t="inlineStr">
        <is>
          <t>–</t>
        </is>
      </c>
      <c r="P102" s="282" t="inlineStr">
        <is>
          <t>–</t>
        </is>
      </c>
      <c r="Q102" s="282" t="inlineStr">
        <is>
          <t>–</t>
        </is>
      </c>
      <c r="R102" s="282" t="inlineStr">
        <is>
          <t>–</t>
        </is>
      </c>
    </row>
    <row r="103">
      <c r="B103" s="254" t="inlineStr">
        <is>
          <t>Case 1b — Premium-response coverage (mechanistic bull on thesis 1)</t>
        </is>
      </c>
      <c r="D103" s="342" t="n">
        <v>0</v>
      </c>
      <c r="E103" s="342" t="n">
        <v>0</v>
      </c>
      <c r="F103" s="273">
        <f>'E5 Prices &amp; Fees'!$D$44</f>
        <v/>
      </c>
      <c r="G103" s="252" t="inlineStr">
        <is>
          <t>TOGGLE / ASSUMED</t>
        </is>
      </c>
      <c r="H103" s="342" t="n">
        <v>2</v>
      </c>
      <c r="I103" s="282" t="inlineStr">
        <is>
          <t>–</t>
        </is>
      </c>
      <c r="J103" s="282" t="inlineStr">
        <is>
          <t>–</t>
        </is>
      </c>
      <c r="K103" s="282" t="inlineStr">
        <is>
          <t>–</t>
        </is>
      </c>
      <c r="L103" s="282" t="inlineStr">
        <is>
          <t>–</t>
        </is>
      </c>
      <c r="M103" s="282" t="inlineStr">
        <is>
          <t>–</t>
        </is>
      </c>
      <c r="N103" s="282" t="inlineStr">
        <is>
          <t>–</t>
        </is>
      </c>
      <c r="O103" s="282" t="inlineStr">
        <is>
          <t>–</t>
        </is>
      </c>
      <c r="P103" s="282" t="inlineStr">
        <is>
          <t>–</t>
        </is>
      </c>
      <c r="Q103" s="282" t="inlineStr">
        <is>
          <t>–</t>
        </is>
      </c>
      <c r="R103" s="282" t="inlineStr">
        <is>
          <t>–</t>
        </is>
      </c>
    </row>
    <row r="104">
      <c r="B104" s="254" t="inlineStr">
        <is>
          <t>Thesis 2 — aftermarket substitution on case 1</t>
        </is>
      </c>
      <c r="D104" s="342" t="n">
        <v>0</v>
      </c>
      <c r="E104" s="342" t="n">
        <v>1</v>
      </c>
      <c r="F104" s="273">
        <f>'E5 Prices &amp; Fees'!$D$44</f>
        <v/>
      </c>
      <c r="G104" s="252" t="inlineStr">
        <is>
          <t>TOGGLE / ASSUMED</t>
        </is>
      </c>
      <c r="H104" s="342" t="n">
        <v>1</v>
      </c>
      <c r="I104" s="282" t="inlineStr">
        <is>
          <t>–</t>
        </is>
      </c>
      <c r="J104" s="282" t="inlineStr">
        <is>
          <t>–</t>
        </is>
      </c>
      <c r="K104" s="282" t="inlineStr">
        <is>
          <t>–</t>
        </is>
      </c>
      <c r="L104" s="282" t="inlineStr">
        <is>
          <t>–</t>
        </is>
      </c>
      <c r="M104" s="282" t="inlineStr">
        <is>
          <t>–</t>
        </is>
      </c>
      <c r="N104" s="282" t="inlineStr">
        <is>
          <t>–</t>
        </is>
      </c>
      <c r="O104" s="282" t="inlineStr">
        <is>
          <t>–</t>
        </is>
      </c>
      <c r="P104" s="282" t="inlineStr">
        <is>
          <t>–</t>
        </is>
      </c>
      <c r="Q104" s="282" t="inlineStr">
        <is>
          <t>–</t>
        </is>
      </c>
      <c r="R104" s="282" t="inlineStr">
        <is>
          <t>–</t>
        </is>
      </c>
    </row>
    <row r="105">
      <c r="B105" s="254" t="inlineStr">
        <is>
          <t>Thesis 3 — probability-weighted carrier moves on case 1</t>
        </is>
      </c>
      <c r="D105" s="342" t="n">
        <v>1</v>
      </c>
      <c r="E105" s="342" t="n">
        <v>0</v>
      </c>
      <c r="F105" s="273">
        <f>'E5 Prices &amp; Fees'!$D$44</f>
        <v/>
      </c>
      <c r="G105" s="252" t="inlineStr">
        <is>
          <t>TOGGLE / ASSUMED</t>
        </is>
      </c>
      <c r="H105" s="342" t="n">
        <v>1</v>
      </c>
      <c r="I105" s="282" t="inlineStr">
        <is>
          <t>–</t>
        </is>
      </c>
      <c r="J105" s="282" t="inlineStr">
        <is>
          <t>–</t>
        </is>
      </c>
      <c r="K105" s="282" t="inlineStr">
        <is>
          <t>–</t>
        </is>
      </c>
      <c r="L105" s="282" t="inlineStr">
        <is>
          <t>–</t>
        </is>
      </c>
      <c r="M105" s="282" t="inlineStr">
        <is>
          <t>–</t>
        </is>
      </c>
      <c r="N105" s="282" t="inlineStr">
        <is>
          <t>–</t>
        </is>
      </c>
      <c r="O105" s="282" t="inlineStr">
        <is>
          <t>–</t>
        </is>
      </c>
      <c r="P105" s="282" t="inlineStr">
        <is>
          <t>–</t>
        </is>
      </c>
      <c r="Q105" s="282" t="inlineStr">
        <is>
          <t>–</t>
        </is>
      </c>
      <c r="R105" s="282" t="inlineStr">
        <is>
          <t>–</t>
        </is>
      </c>
    </row>
    <row r="106">
      <c r="B106" s="254" t="inlineStr">
        <is>
          <t>All three — sticky coverage + aftermarket + carrier moves</t>
        </is>
      </c>
      <c r="D106" s="342" t="n">
        <v>1</v>
      </c>
      <c r="E106" s="342" t="n">
        <v>1</v>
      </c>
      <c r="F106" s="273">
        <f>'E5 Prices &amp; Fees'!$D$44</f>
        <v/>
      </c>
      <c r="G106" s="252" t="inlineStr">
        <is>
          <t>TOGGLE / ASSUMED</t>
        </is>
      </c>
      <c r="H106" s="342" t="n">
        <v>1</v>
      </c>
      <c r="I106" s="282" t="inlineStr">
        <is>
          <t>–</t>
        </is>
      </c>
      <c r="J106" s="282" t="inlineStr">
        <is>
          <t>–</t>
        </is>
      </c>
      <c r="K106" s="282" t="inlineStr">
        <is>
          <t>–</t>
        </is>
      </c>
      <c r="L106" s="282" t="inlineStr">
        <is>
          <t>–</t>
        </is>
      </c>
      <c r="M106" s="282" t="inlineStr">
        <is>
          <t>–</t>
        </is>
      </c>
      <c r="N106" s="282" t="inlineStr">
        <is>
          <t>–</t>
        </is>
      </c>
      <c r="O106" s="282" t="inlineStr">
        <is>
          <t>–</t>
        </is>
      </c>
      <c r="P106" s="282" t="inlineStr">
        <is>
          <t>–</t>
        </is>
      </c>
      <c r="Q106" s="282" t="inlineStr">
        <is>
          <t>–</t>
        </is>
      </c>
      <c r="R106" s="282" t="inlineStr">
        <is>
          <t>–</t>
        </is>
      </c>
    </row>
    <row r="107">
      <c r="B107" s="254" t="inlineStr">
        <is>
          <t>Bull — premium-response coverage, ASP +6%</t>
        </is>
      </c>
      <c r="D107" s="342" t="n">
        <v>0</v>
      </c>
      <c r="E107" s="342" t="n">
        <v>0</v>
      </c>
      <c r="F107" s="303" t="n">
        <v>0.06</v>
      </c>
      <c r="G107" s="252" t="inlineStr">
        <is>
          <t>TOGGLE / ASSUMED</t>
        </is>
      </c>
      <c r="H107" s="342" t="n">
        <v>2</v>
      </c>
      <c r="I107" s="282" t="inlineStr">
        <is>
          <t>–</t>
        </is>
      </c>
      <c r="J107" s="282" t="inlineStr">
        <is>
          <t>–</t>
        </is>
      </c>
      <c r="K107" s="282" t="inlineStr">
        <is>
          <t>–</t>
        </is>
      </c>
      <c r="L107" s="282" t="inlineStr">
        <is>
          <t>–</t>
        </is>
      </c>
      <c r="M107" s="282" t="inlineStr">
        <is>
          <t>–</t>
        </is>
      </c>
      <c r="N107" s="282" t="inlineStr">
        <is>
          <t>–</t>
        </is>
      </c>
      <c r="O107" s="282" t="inlineStr">
        <is>
          <t>–</t>
        </is>
      </c>
      <c r="P107" s="282" t="inlineStr">
        <is>
          <t>–</t>
        </is>
      </c>
      <c r="Q107" s="282" t="inlineStr">
        <is>
          <t>–</t>
        </is>
      </c>
      <c r="R107" s="282" t="inlineStr">
        <is>
          <t>–</t>
        </is>
      </c>
    </row>
    <row r="108">
      <c r="B108" s="254" t="inlineStr">
        <is>
          <t>JPMorgan FY27 service revenue, 11 Sep 2026 (ex-ACV)</t>
        </is>
      </c>
      <c r="C108" s="279" t="inlineStr">
        <is>
          <t>$M</t>
        </is>
      </c>
      <c r="D108" s="276">
        <f>'D Facts'!$D$44</f>
        <v/>
      </c>
      <c r="E108" s="282" t="inlineStr">
        <is>
          <t>–</t>
        </is>
      </c>
      <c r="F108" s="282" t="inlineStr">
        <is>
          <t>–</t>
        </is>
      </c>
      <c r="G108" s="282" t="inlineStr">
        <is>
          <t>–</t>
        </is>
      </c>
      <c r="H108" s="282" t="inlineStr">
        <is>
          <t>–</t>
        </is>
      </c>
      <c r="I108" s="282" t="inlineStr">
        <is>
          <t>–</t>
        </is>
      </c>
      <c r="J108" s="282" t="inlineStr">
        <is>
          <t>–</t>
        </is>
      </c>
      <c r="K108" s="282" t="inlineStr">
        <is>
          <t>–</t>
        </is>
      </c>
      <c r="L108" s="282" t="inlineStr">
        <is>
          <t>–</t>
        </is>
      </c>
      <c r="M108" s="282" t="inlineStr">
        <is>
          <t>–</t>
        </is>
      </c>
      <c r="N108" s="282" t="inlineStr">
        <is>
          <t>–</t>
        </is>
      </c>
      <c r="O108" s="282" t="inlineStr">
        <is>
          <t>–</t>
        </is>
      </c>
      <c r="P108" s="282" t="inlineStr">
        <is>
          <t>–</t>
        </is>
      </c>
      <c r="Q108" s="282" t="inlineStr">
        <is>
          <t>–</t>
        </is>
      </c>
      <c r="R108" s="282" t="inlineStr">
        <is>
          <t>–</t>
        </is>
      </c>
      <c r="S108" s="252" t="inlineStr">
        <is>
          <t>VERIFIED, licensed report held locally, Table 3 lines 275–278</t>
        </is>
      </c>
    </row>
    <row r="111">
      <c r="B111" s="271" t="inlineStr">
        <is>
          <t>Summary — FY27 legacy service revenue by case; quote every delta, never only the larger one</t>
        </is>
      </c>
      <c r="C111" s="272" t="n"/>
      <c r="D111" s="271" t="inlineStr">
        <is>
          <t>FY27E</t>
        </is>
      </c>
      <c r="E111" s="271" t="inlineStr">
        <is>
          <t>Δ vs case 1 (known facts)</t>
        </is>
      </c>
      <c r="F111" s="271" t="inlineStr">
        <is>
          <t>Δ vs case 0 (Street-implied)</t>
        </is>
      </c>
      <c r="G111" s="271" t="inlineStr">
        <is>
          <t>Δ vs JPM $4,061m</t>
        </is>
      </c>
      <c r="H111" s="271" t="inlineStr">
        <is>
          <t>Δ vs JPM %</t>
        </is>
      </c>
      <c r="I111" s="271" t="inlineStr">
        <is>
          <t>FY28E</t>
        </is>
      </c>
      <c r="J111" s="272" t="n"/>
      <c r="K111" s="272" t="n"/>
      <c r="L111" s="272" t="n"/>
      <c r="M111" s="272" t="n"/>
      <c r="N111" s="272" t="n"/>
      <c r="O111" s="272" t="n"/>
      <c r="P111" s="272" t="n"/>
      <c r="Q111" s="272" t="n"/>
      <c r="R111" s="272" t="n"/>
      <c r="S111" s="272" t="n"/>
    </row>
    <row r="112">
      <c r="B112" s="254" t="inlineStr">
        <is>
          <t>Case 0 — Street-implied: known runoff, coverage recovery reverse-solved to JPM FY27</t>
        </is>
      </c>
      <c r="D112" s="287">
        <f>Q16</f>
        <v/>
      </c>
      <c r="E112" s="288">
        <f>D112-$D$113</f>
        <v/>
      </c>
      <c r="F112" s="288">
        <f>D112-$D$112</f>
        <v/>
      </c>
      <c r="G112" s="288">
        <f>D112-$D$108</f>
        <v/>
      </c>
      <c r="H112" s="283">
        <f>G112/$D$108</f>
        <v/>
      </c>
      <c r="I112" s="288">
        <f>R16</f>
        <v/>
      </c>
      <c r="J112" s="282" t="inlineStr">
        <is>
          <t>–</t>
        </is>
      </c>
      <c r="K112" s="282" t="inlineStr">
        <is>
          <t>–</t>
        </is>
      </c>
      <c r="L112" s="282" t="inlineStr">
        <is>
          <t>–</t>
        </is>
      </c>
      <c r="M112" s="282" t="inlineStr">
        <is>
          <t>–</t>
        </is>
      </c>
      <c r="N112" s="282" t="inlineStr">
        <is>
          <t>–</t>
        </is>
      </c>
      <c r="O112" s="282" t="inlineStr">
        <is>
          <t>–</t>
        </is>
      </c>
      <c r="P112" s="282" t="inlineStr">
        <is>
          <t>–</t>
        </is>
      </c>
      <c r="Q112" s="282" t="inlineStr">
        <is>
          <t>–</t>
        </is>
      </c>
      <c r="R112" s="282" t="inlineStr">
        <is>
          <t>–</t>
        </is>
      </c>
    </row>
    <row r="113">
      <c r="B113" s="254" t="inlineStr">
        <is>
          <t>Case 1 — Known facts / thesis 1 sticky: runoff laps, coverage flat, no other thesis</t>
        </is>
      </c>
      <c r="D113" s="287">
        <f>Q29</f>
        <v/>
      </c>
      <c r="E113" s="288">
        <f>D113-$D$113</f>
        <v/>
      </c>
      <c r="F113" s="288">
        <f>D113-$D$112</f>
        <v/>
      </c>
      <c r="G113" s="288">
        <f>D113-$D$108</f>
        <v/>
      </c>
      <c r="H113" s="283">
        <f>G113/$D$108</f>
        <v/>
      </c>
      <c r="I113" s="288">
        <f>R29</f>
        <v/>
      </c>
      <c r="J113" s="282" t="inlineStr">
        <is>
          <t>–</t>
        </is>
      </c>
      <c r="K113" s="282" t="inlineStr">
        <is>
          <t>–</t>
        </is>
      </c>
      <c r="L113" s="282" t="inlineStr">
        <is>
          <t>–</t>
        </is>
      </c>
      <c r="M113" s="282" t="inlineStr">
        <is>
          <t>–</t>
        </is>
      </c>
      <c r="N113" s="282" t="inlineStr">
        <is>
          <t>–</t>
        </is>
      </c>
      <c r="O113" s="282" t="inlineStr">
        <is>
          <t>–</t>
        </is>
      </c>
      <c r="P113" s="282" t="inlineStr">
        <is>
          <t>–</t>
        </is>
      </c>
      <c r="Q113" s="282" t="inlineStr">
        <is>
          <t>–</t>
        </is>
      </c>
      <c r="R113" s="282" t="inlineStr">
        <is>
          <t>–</t>
        </is>
      </c>
    </row>
    <row r="114">
      <c r="B114" s="254" t="inlineStr">
        <is>
          <t>Case 1b — Premium-response coverage (mechanistic bull on thesis 1)</t>
        </is>
      </c>
      <c r="D114" s="287">
        <f>Q42</f>
        <v/>
      </c>
      <c r="E114" s="288">
        <f>D114-$D$113</f>
        <v/>
      </c>
      <c r="F114" s="288">
        <f>D114-$D$112</f>
        <v/>
      </c>
      <c r="G114" s="288">
        <f>D114-$D$108</f>
        <v/>
      </c>
      <c r="H114" s="283">
        <f>G114/$D$108</f>
        <v/>
      </c>
      <c r="I114" s="288">
        <f>R42</f>
        <v/>
      </c>
      <c r="J114" s="282" t="inlineStr">
        <is>
          <t>–</t>
        </is>
      </c>
      <c r="K114" s="282" t="inlineStr">
        <is>
          <t>–</t>
        </is>
      </c>
      <c r="L114" s="282" t="inlineStr">
        <is>
          <t>–</t>
        </is>
      </c>
      <c r="M114" s="282" t="inlineStr">
        <is>
          <t>–</t>
        </is>
      </c>
      <c r="N114" s="282" t="inlineStr">
        <is>
          <t>–</t>
        </is>
      </c>
      <c r="O114" s="282" t="inlineStr">
        <is>
          <t>–</t>
        </is>
      </c>
      <c r="P114" s="282" t="inlineStr">
        <is>
          <t>–</t>
        </is>
      </c>
      <c r="Q114" s="282" t="inlineStr">
        <is>
          <t>–</t>
        </is>
      </c>
      <c r="R114" s="282" t="inlineStr">
        <is>
          <t>–</t>
        </is>
      </c>
    </row>
    <row r="115">
      <c r="B115" s="254" t="inlineStr">
        <is>
          <t>Thesis 2 — aftermarket substitution on case 1</t>
        </is>
      </c>
      <c r="D115" s="287">
        <f>Q55</f>
        <v/>
      </c>
      <c r="E115" s="288">
        <f>D115-$D$113</f>
        <v/>
      </c>
      <c r="F115" s="288">
        <f>D115-$D$112</f>
        <v/>
      </c>
      <c r="G115" s="288">
        <f>D115-$D$108</f>
        <v/>
      </c>
      <c r="H115" s="283">
        <f>G115/$D$108</f>
        <v/>
      </c>
      <c r="I115" s="288">
        <f>R55</f>
        <v/>
      </c>
      <c r="J115" s="282" t="inlineStr">
        <is>
          <t>–</t>
        </is>
      </c>
      <c r="K115" s="282" t="inlineStr">
        <is>
          <t>–</t>
        </is>
      </c>
      <c r="L115" s="282" t="inlineStr">
        <is>
          <t>–</t>
        </is>
      </c>
      <c r="M115" s="282" t="inlineStr">
        <is>
          <t>–</t>
        </is>
      </c>
      <c r="N115" s="282" t="inlineStr">
        <is>
          <t>–</t>
        </is>
      </c>
      <c r="O115" s="282" t="inlineStr">
        <is>
          <t>–</t>
        </is>
      </c>
      <c r="P115" s="282" t="inlineStr">
        <is>
          <t>–</t>
        </is>
      </c>
      <c r="Q115" s="282" t="inlineStr">
        <is>
          <t>–</t>
        </is>
      </c>
      <c r="R115" s="282" t="inlineStr">
        <is>
          <t>–</t>
        </is>
      </c>
    </row>
    <row r="116">
      <c r="B116" s="254" t="inlineStr">
        <is>
          <t>Thesis 3 — probability-weighted carrier moves on case 1</t>
        </is>
      </c>
      <c r="D116" s="287">
        <f>Q68</f>
        <v/>
      </c>
      <c r="E116" s="288">
        <f>D116-$D$113</f>
        <v/>
      </c>
      <c r="F116" s="288">
        <f>D116-$D$112</f>
        <v/>
      </c>
      <c r="G116" s="288">
        <f>D116-$D$108</f>
        <v/>
      </c>
      <c r="H116" s="283">
        <f>G116/$D$108</f>
        <v/>
      </c>
      <c r="I116" s="288">
        <f>R68</f>
        <v/>
      </c>
      <c r="J116" s="282" t="inlineStr">
        <is>
          <t>–</t>
        </is>
      </c>
      <c r="K116" s="282" t="inlineStr">
        <is>
          <t>–</t>
        </is>
      </c>
      <c r="L116" s="282" t="inlineStr">
        <is>
          <t>–</t>
        </is>
      </c>
      <c r="M116" s="282" t="inlineStr">
        <is>
          <t>–</t>
        </is>
      </c>
      <c r="N116" s="282" t="inlineStr">
        <is>
          <t>–</t>
        </is>
      </c>
      <c r="O116" s="282" t="inlineStr">
        <is>
          <t>–</t>
        </is>
      </c>
      <c r="P116" s="282" t="inlineStr">
        <is>
          <t>–</t>
        </is>
      </c>
      <c r="Q116" s="282" t="inlineStr">
        <is>
          <t>–</t>
        </is>
      </c>
      <c r="R116" s="282" t="inlineStr">
        <is>
          <t>–</t>
        </is>
      </c>
    </row>
    <row r="117">
      <c r="B117" s="254" t="inlineStr">
        <is>
          <t>All three — sticky coverage + aftermarket + carrier moves</t>
        </is>
      </c>
      <c r="D117" s="287">
        <f>Q81</f>
        <v/>
      </c>
      <c r="E117" s="288">
        <f>D117-$D$113</f>
        <v/>
      </c>
      <c r="F117" s="288">
        <f>D117-$D$112</f>
        <v/>
      </c>
      <c r="G117" s="288">
        <f>D117-$D$108</f>
        <v/>
      </c>
      <c r="H117" s="283">
        <f>G117/$D$108</f>
        <v/>
      </c>
      <c r="I117" s="288">
        <f>R81</f>
        <v/>
      </c>
      <c r="J117" s="282" t="inlineStr">
        <is>
          <t>–</t>
        </is>
      </c>
      <c r="K117" s="282" t="inlineStr">
        <is>
          <t>–</t>
        </is>
      </c>
      <c r="L117" s="282" t="inlineStr">
        <is>
          <t>–</t>
        </is>
      </c>
      <c r="M117" s="282" t="inlineStr">
        <is>
          <t>–</t>
        </is>
      </c>
      <c r="N117" s="282" t="inlineStr">
        <is>
          <t>–</t>
        </is>
      </c>
      <c r="O117" s="282" t="inlineStr">
        <is>
          <t>–</t>
        </is>
      </c>
      <c r="P117" s="282" t="inlineStr">
        <is>
          <t>–</t>
        </is>
      </c>
      <c r="Q117" s="282" t="inlineStr">
        <is>
          <t>–</t>
        </is>
      </c>
      <c r="R117" s="282" t="inlineStr">
        <is>
          <t>–</t>
        </is>
      </c>
    </row>
    <row r="118">
      <c r="B118" s="254" t="inlineStr">
        <is>
          <t>Bull — premium-response coverage, ASP +6%</t>
        </is>
      </c>
      <c r="D118" s="287">
        <f>Q94</f>
        <v/>
      </c>
      <c r="E118" s="288">
        <f>D118-$D$113</f>
        <v/>
      </c>
      <c r="F118" s="288">
        <f>D118-$D$112</f>
        <v/>
      </c>
      <c r="G118" s="288">
        <f>D118-$D$108</f>
        <v/>
      </c>
      <c r="H118" s="283">
        <f>G118/$D$108</f>
        <v/>
      </c>
      <c r="I118" s="288">
        <f>R94</f>
        <v/>
      </c>
      <c r="J118" s="282" t="inlineStr">
        <is>
          <t>–</t>
        </is>
      </c>
      <c r="K118" s="282" t="inlineStr">
        <is>
          <t>–</t>
        </is>
      </c>
      <c r="L118" s="282" t="inlineStr">
        <is>
          <t>–</t>
        </is>
      </c>
      <c r="M118" s="282" t="inlineStr">
        <is>
          <t>–</t>
        </is>
      </c>
      <c r="N118" s="282" t="inlineStr">
        <is>
          <t>–</t>
        </is>
      </c>
      <c r="O118" s="282" t="inlineStr">
        <is>
          <t>–</t>
        </is>
      </c>
      <c r="P118" s="282" t="inlineStr">
        <is>
          <t>–</t>
        </is>
      </c>
      <c r="Q118" s="282" t="inlineStr">
        <is>
          <t>–</t>
        </is>
      </c>
      <c r="R118" s="282" t="inlineStr">
        <is>
          <t>–</t>
        </is>
      </c>
    </row>
    <row r="120">
      <c r="B120" s="254" t="inlineStr">
        <is>
          <t>Engine parity — saved reference (mask 10) FY27 service revenue</t>
        </is>
      </c>
      <c r="C120" s="279" t="inlineStr">
        <is>
          <t>$M</t>
        </is>
      </c>
      <c r="D120" s="276">
        <f>SUMIFS('D Engine'!$D$5:$D$20,'D Engine'!$B$5:$B$20,10)</f>
        <v/>
      </c>
      <c r="E120" s="282" t="inlineStr">
        <is>
          <t>–</t>
        </is>
      </c>
      <c r="F120" s="282" t="inlineStr">
        <is>
          <t>–</t>
        </is>
      </c>
      <c r="G120" s="282" t="inlineStr">
        <is>
          <t>–</t>
        </is>
      </c>
      <c r="H120" s="282" t="inlineStr">
        <is>
          <t>–</t>
        </is>
      </c>
      <c r="I120" s="282" t="inlineStr">
        <is>
          <t>–</t>
        </is>
      </c>
      <c r="J120" s="282" t="inlineStr">
        <is>
          <t>–</t>
        </is>
      </c>
      <c r="K120" s="282" t="inlineStr">
        <is>
          <t>–</t>
        </is>
      </c>
      <c r="L120" s="282" t="inlineStr">
        <is>
          <t>–</t>
        </is>
      </c>
      <c r="M120" s="282" t="inlineStr">
        <is>
          <t>–</t>
        </is>
      </c>
      <c r="N120" s="282" t="inlineStr">
        <is>
          <t>–</t>
        </is>
      </c>
      <c r="O120" s="282" t="inlineStr">
        <is>
          <t>–</t>
        </is>
      </c>
      <c r="P120" s="282" t="inlineStr">
        <is>
          <t>–</t>
        </is>
      </c>
      <c r="Q120" s="282" t="inlineStr">
        <is>
          <t>–</t>
        </is>
      </c>
      <c r="R120" s="282" t="inlineStr">
        <is>
          <t>–</t>
        </is>
      </c>
      <c r="S120" s="252" t="inlineStr">
        <is>
          <t>ENGINE: D Engine; the engine reference repeats prior-year carrier conditions (implies a rebound after the account loss), so it sits above case 1 by design</t>
        </is>
      </c>
    </row>
    <row r="121">
      <c r="B121" s="249" t="inlineStr">
        <is>
          <t>Engine parity — reference + allocation (mask 11): the like-for-like comparator for case 1</t>
        </is>
      </c>
      <c r="C121" s="279" t="inlineStr">
        <is>
          <t>$M</t>
        </is>
      </c>
      <c r="D121" s="280">
        <f>SUMIFS('D Engine'!$D$5:$D$20,'D Engine'!$B$5:$B$20,11)</f>
        <v/>
      </c>
      <c r="E121" s="287">
        <f>D113</f>
        <v/>
      </c>
      <c r="F121" s="252" t="inlineStr">
        <is>
          <t>← workbook case 1</t>
        </is>
      </c>
      <c r="G121" s="282" t="inlineStr">
        <is>
          <t>–</t>
        </is>
      </c>
      <c r="H121" s="282" t="inlineStr">
        <is>
          <t>–</t>
        </is>
      </c>
      <c r="I121" s="282" t="inlineStr">
        <is>
          <t>–</t>
        </is>
      </c>
      <c r="J121" s="282" t="inlineStr">
        <is>
          <t>–</t>
        </is>
      </c>
      <c r="K121" s="282" t="inlineStr">
        <is>
          <t>–</t>
        </is>
      </c>
      <c r="L121" s="282" t="inlineStr">
        <is>
          <t>–</t>
        </is>
      </c>
      <c r="M121" s="282" t="inlineStr">
        <is>
          <t>–</t>
        </is>
      </c>
      <c r="N121" s="282" t="inlineStr">
        <is>
          <t>–</t>
        </is>
      </c>
      <c r="O121" s="282" t="inlineStr">
        <is>
          <t>–</t>
        </is>
      </c>
      <c r="P121" s="282" t="inlineStr">
        <is>
          <t>–</t>
        </is>
      </c>
      <c r="Q121" s="282" t="inlineStr">
        <is>
          <t>–</t>
        </is>
      </c>
      <c r="R121" s="282" t="inlineStr">
        <is>
          <t>–</t>
        </is>
      </c>
    </row>
    <row r="122">
      <c r="B122" s="249" t="inlineStr">
        <is>
          <t>Engine parity — aftermarket effect (mask 14 − mask 10): the comparator for case 3 − case 1</t>
        </is>
      </c>
      <c r="C122" s="279" t="inlineStr">
        <is>
          <t>$M</t>
        </is>
      </c>
      <c r="D122" s="280">
        <f>SUMIFS('D Engine'!$D$5:$D$20,'D Engine'!$B$5:$B$20,14)-D120</f>
        <v/>
      </c>
      <c r="E122" s="287">
        <f>E115</f>
        <v/>
      </c>
      <c r="F122" s="252" t="inlineStr">
        <is>
          <t>← workbook thesis 2 − case 1</t>
        </is>
      </c>
      <c r="G122" s="282" t="inlineStr">
        <is>
          <t>–</t>
        </is>
      </c>
      <c r="H122" s="282" t="inlineStr">
        <is>
          <t>–</t>
        </is>
      </c>
      <c r="I122" s="282" t="inlineStr">
        <is>
          <t>–</t>
        </is>
      </c>
      <c r="J122" s="282" t="inlineStr">
        <is>
          <t>–</t>
        </is>
      </c>
      <c r="K122" s="282" t="inlineStr">
        <is>
          <t>–</t>
        </is>
      </c>
      <c r="L122" s="282" t="inlineStr">
        <is>
          <t>–</t>
        </is>
      </c>
      <c r="M122" s="282" t="inlineStr">
        <is>
          <t>–</t>
        </is>
      </c>
      <c r="N122" s="282" t="inlineStr">
        <is>
          <t>–</t>
        </is>
      </c>
      <c r="O122" s="282" t="inlineStr">
        <is>
          <t>–</t>
        </is>
      </c>
      <c r="P122" s="282" t="inlineStr">
        <is>
          <t>–</t>
        </is>
      </c>
      <c r="Q122" s="282" t="inlineStr">
        <is>
          <t>–</t>
        </is>
      </c>
      <c r="R122" s="282" t="inlineStr">
        <is>
          <t>–</t>
        </is>
      </c>
    </row>
    <row r="123">
      <c r="B123" s="274" t="inlineStr">
        <is>
          <t>Engine all four drivers (mask 15), for reference only: its allocation term is measured against a rebound reference, so it is not comparable with case 4 − case 1</t>
        </is>
      </c>
      <c r="C123" s="279" t="inlineStr">
        <is>
          <t>$M</t>
        </is>
      </c>
      <c r="D123" s="276">
        <f>SUMIFS('D Engine'!$D$5:$D$20,'D Engine'!$B$5:$B$20,15)</f>
        <v/>
      </c>
      <c r="E123" s="282" t="inlineStr">
        <is>
          <t>–</t>
        </is>
      </c>
      <c r="F123" s="282" t="inlineStr">
        <is>
          <t>–</t>
        </is>
      </c>
      <c r="G123" s="282" t="inlineStr">
        <is>
          <t>–</t>
        </is>
      </c>
      <c r="H123" s="282" t="inlineStr">
        <is>
          <t>–</t>
        </is>
      </c>
      <c r="I123" s="282" t="inlineStr">
        <is>
          <t>–</t>
        </is>
      </c>
      <c r="J123" s="282" t="inlineStr">
        <is>
          <t>–</t>
        </is>
      </c>
      <c r="K123" s="282" t="inlineStr">
        <is>
          <t>–</t>
        </is>
      </c>
      <c r="L123" s="282" t="inlineStr">
        <is>
          <t>–</t>
        </is>
      </c>
      <c r="M123" s="282" t="inlineStr">
        <is>
          <t>–</t>
        </is>
      </c>
      <c r="N123" s="282" t="inlineStr">
        <is>
          <t>–</t>
        </is>
      </c>
      <c r="O123" s="282" t="inlineStr">
        <is>
          <t>–</t>
        </is>
      </c>
      <c r="P123" s="282" t="inlineStr">
        <is>
          <t>–</t>
        </is>
      </c>
      <c r="Q123" s="282" t="inlineStr">
        <is>
          <t>–</t>
        </is>
      </c>
      <c r="R123" s="282" t="inlineStr">
        <is>
          <t>–</t>
        </is>
      </c>
    </row>
    <row r="125">
      <c r="B125" s="271" t="inlineStr">
        <is>
          <t>Selected case → RPM</t>
        </is>
      </c>
      <c r="C125" s="272" t="n"/>
      <c r="D125" s="272" t="n"/>
      <c r="E125" s="272" t="n"/>
      <c r="F125" s="272" t="n"/>
      <c r="G125" s="272" t="n"/>
      <c r="H125" s="272" t="n"/>
      <c r="I125" s="272" t="n"/>
      <c r="J125" s="272" t="n"/>
      <c r="K125" s="272" t="n"/>
      <c r="L125" s="272" t="n"/>
      <c r="M125" s="272" t="n"/>
      <c r="N125" s="272" t="n"/>
      <c r="O125" s="272" t="n"/>
      <c r="P125" s="272" t="n"/>
      <c r="Q125" s="272" t="n"/>
      <c r="R125" s="272" t="n"/>
      <c r="S125" s="272" t="n"/>
    </row>
    <row r="126">
      <c r="B126" s="249" t="inlineStr">
        <is>
          <t>Selected: legacy service revenue</t>
        </is>
      </c>
      <c r="D126" s="287">
        <f>CHOOSE($D$3,D16,D29,D42,D55,D68,D81,D94)</f>
        <v/>
      </c>
      <c r="E126" s="287">
        <f>CHOOSE($D$3,E16,E29,E42,E55,E68,E81,E94)</f>
        <v/>
      </c>
      <c r="F126" s="287">
        <f>CHOOSE($D$3,F16,F29,F42,F55,F68,F81,F94)</f>
        <v/>
      </c>
      <c r="G126" s="287">
        <f>CHOOSE($D$3,G16,G29,G42,G55,G68,G81,G94)</f>
        <v/>
      </c>
      <c r="H126" s="287">
        <f>CHOOSE($D$3,H16,H29,H42,H55,H68,H81,H94)</f>
        <v/>
      </c>
      <c r="I126" s="287">
        <f>CHOOSE($D$3,I16,I29,I42,I55,I68,I81,I94)</f>
        <v/>
      </c>
      <c r="J126" s="287">
        <f>CHOOSE($D$3,J16,J29,J42,J55,J68,J81,J94)</f>
        <v/>
      </c>
      <c r="K126" s="287">
        <f>CHOOSE($D$3,K16,K29,K42,K55,K68,K81,K94)</f>
        <v/>
      </c>
      <c r="L126" s="287">
        <f>CHOOSE($D$3,L16,L29,L42,L55,L68,L81,L94)</f>
        <v/>
      </c>
      <c r="M126" s="287">
        <f>CHOOSE($D$3,M16,M29,M42,M55,M68,M81,M94)</f>
        <v/>
      </c>
      <c r="N126" s="287">
        <f>CHOOSE($D$3,N16,N29,N42,N55,N68,N81,N94)</f>
        <v/>
      </c>
      <c r="O126" s="287">
        <f>CHOOSE($D$3,O16,O29,O42,O55,O68,O81,O94)</f>
        <v/>
      </c>
      <c r="P126" s="287">
        <f>CHOOSE($D$3,P16,P29,P42,P55,P68,P81,P94)</f>
        <v/>
      </c>
      <c r="Q126" s="287">
        <f>CHOOSE($D$3,Q16,Q29,Q42,Q55,Q68,Q81,Q94)</f>
        <v/>
      </c>
      <c r="R126" s="287">
        <f>CHOOSE($D$3,R16,R29,R42,R55,R68,R81,R94)</f>
        <v/>
      </c>
    </row>
    <row r="127">
      <c r="B127" s="249" t="inlineStr">
        <is>
          <t>Selected: purchased-vehicle revenue</t>
        </is>
      </c>
      <c r="D127" s="287">
        <f>CHOOSE($D$3,D17,D30,D43,D56,D69,D82,D95)</f>
        <v/>
      </c>
      <c r="E127" s="287">
        <f>CHOOSE($D$3,E17,E30,E43,E56,E69,E82,E95)</f>
        <v/>
      </c>
      <c r="F127" s="287">
        <f>CHOOSE($D$3,F17,F30,F43,F56,F69,F82,F95)</f>
        <v/>
      </c>
      <c r="G127" s="287">
        <f>CHOOSE($D$3,G17,G30,G43,G56,G69,G82,G95)</f>
        <v/>
      </c>
      <c r="H127" s="287">
        <f>CHOOSE($D$3,H17,H30,H43,H56,H69,H82,H95)</f>
        <v/>
      </c>
      <c r="I127" s="287">
        <f>CHOOSE($D$3,I17,I30,I43,I56,I69,I82,I95)</f>
        <v/>
      </c>
      <c r="J127" s="287">
        <f>CHOOSE($D$3,J17,J30,J43,J56,J69,J82,J95)</f>
        <v/>
      </c>
      <c r="K127" s="287">
        <f>CHOOSE($D$3,K17,K30,K43,K56,K69,K82,K95)</f>
        <v/>
      </c>
      <c r="L127" s="287">
        <f>CHOOSE($D$3,L17,L30,L43,L56,L69,L82,L95)</f>
        <v/>
      </c>
      <c r="M127" s="287">
        <f>CHOOSE($D$3,M17,M30,M43,M56,M69,M82,M95)</f>
        <v/>
      </c>
      <c r="N127" s="287">
        <f>CHOOSE($D$3,N17,N30,N43,N56,N69,N82,N95)</f>
        <v/>
      </c>
      <c r="O127" s="287">
        <f>CHOOSE($D$3,O17,O30,O43,O56,O69,O82,O95)</f>
        <v/>
      </c>
      <c r="P127" s="287">
        <f>CHOOSE($D$3,P17,P30,P43,P56,P69,P82,P95)</f>
        <v/>
      </c>
      <c r="Q127" s="287">
        <f>CHOOSE($D$3,Q17,Q30,Q43,Q56,Q69,Q82,Q95)</f>
        <v/>
      </c>
      <c r="R127" s="287">
        <f>CHOOSE($D$3,R17,R30,R43,R56,R69,R82,R95)</f>
        <v/>
      </c>
    </row>
    <row r="128">
      <c r="B128" s="249" t="inlineStr">
        <is>
          <t>Selected: insurance units</t>
        </is>
      </c>
      <c r="D128" s="260">
        <f>CHOOSE($D$3,D8,D21,D34,D47,D60,D73,D86)</f>
        <v/>
      </c>
      <c r="E128" s="260">
        <f>CHOOSE($D$3,E8,E21,E34,E47,E60,E73,E86)</f>
        <v/>
      </c>
      <c r="F128" s="260">
        <f>CHOOSE($D$3,F8,F21,F34,F47,F60,F73,F86)</f>
        <v/>
      </c>
      <c r="G128" s="260">
        <f>CHOOSE($D$3,G8,G21,G34,G47,G60,G73,G86)</f>
        <v/>
      </c>
      <c r="H128" s="260">
        <f>CHOOSE($D$3,H8,H21,H34,H47,H60,H73,H86)</f>
        <v/>
      </c>
      <c r="I128" s="260">
        <f>CHOOSE($D$3,I8,I21,I34,I47,I60,I73,I86)</f>
        <v/>
      </c>
      <c r="J128" s="260">
        <f>CHOOSE($D$3,J8,J21,J34,J47,J60,J73,J86)</f>
        <v/>
      </c>
      <c r="K128" s="260">
        <f>CHOOSE($D$3,K8,K21,K34,K47,K60,K73,K86)</f>
        <v/>
      </c>
      <c r="L128" s="260">
        <f>CHOOSE($D$3,L8,L21,L34,L47,L60,L73,L86)</f>
        <v/>
      </c>
      <c r="M128" s="260">
        <f>CHOOSE($D$3,M8,M21,M34,M47,M60,M73,M86)</f>
        <v/>
      </c>
      <c r="N128" s="260">
        <f>CHOOSE($D$3,N8,N21,N34,N47,N60,N73,N86)</f>
        <v/>
      </c>
      <c r="O128" s="260">
        <f>CHOOSE($D$3,O8,O21,O34,O47,O60,O73,O86)</f>
        <v/>
      </c>
      <c r="P128" s="260">
        <f>CHOOSE($D$3,P8,P21,P34,P47,P60,P73,P86)</f>
        <v/>
      </c>
      <c r="Q128" s="260">
        <f>CHOOSE($D$3,Q8,Q21,Q34,Q47,Q60,Q73,Q86)</f>
        <v/>
      </c>
      <c r="R128" s="260">
        <f>CHOOSE($D$3,R8,R21,R34,R47,R60,R73,R86)</f>
        <v/>
      </c>
    </row>
    <row r="129">
      <c r="B129" s="249" t="inlineStr">
        <is>
          <t>Selected: total revenue</t>
        </is>
      </c>
      <c r="D129" s="287">
        <f>CHOOSE($D$3,D18,D31,D44,D57,D70,D83,D96)</f>
        <v/>
      </c>
      <c r="E129" s="287">
        <f>CHOOSE($D$3,E18,E31,E44,E57,E70,E83,E96)</f>
        <v/>
      </c>
      <c r="F129" s="287">
        <f>CHOOSE($D$3,F18,F31,F44,F57,F70,F83,F96)</f>
        <v/>
      </c>
      <c r="G129" s="287">
        <f>CHOOSE($D$3,G18,G31,G44,G57,G70,G83,G96)</f>
        <v/>
      </c>
      <c r="H129" s="287">
        <f>CHOOSE($D$3,H18,H31,H44,H57,H70,H83,H96)</f>
        <v/>
      </c>
      <c r="I129" s="287">
        <f>CHOOSE($D$3,I18,I31,I44,I57,I70,I83,I96)</f>
        <v/>
      </c>
      <c r="J129" s="287">
        <f>CHOOSE($D$3,J18,J31,J44,J57,J70,J83,J96)</f>
        <v/>
      </c>
      <c r="K129" s="287">
        <f>CHOOSE($D$3,K18,K31,K44,K57,K70,K83,K96)</f>
        <v/>
      </c>
      <c r="L129" s="287">
        <f>CHOOSE($D$3,L18,L31,L44,L57,L70,L83,L96)</f>
        <v/>
      </c>
      <c r="M129" s="287">
        <f>CHOOSE($D$3,M18,M31,M44,M57,M70,M83,M96)</f>
        <v/>
      </c>
      <c r="N129" s="287">
        <f>CHOOSE($D$3,N18,N31,N44,N57,N70,N83,N96)</f>
        <v/>
      </c>
      <c r="O129" s="287">
        <f>CHOOSE($D$3,O18,O31,O44,O57,O70,O83,O96)</f>
        <v/>
      </c>
      <c r="P129" s="287">
        <f>CHOOSE($D$3,P18,P31,P44,P57,P70,P83,P96)</f>
        <v/>
      </c>
      <c r="Q129" s="287">
        <f>CHOOSE($D$3,Q18,Q31,Q44,Q57,Q70,Q83,Q96)</f>
        <v/>
      </c>
      <c r="R129" s="287">
        <f>CHOOSE($D$3,R18,R31,R44,R57,R70,R83,R96)</f>
        <v/>
      </c>
    </row>
    <row r="130">
      <c r="B130" s="249" t="inlineStr">
        <is>
          <t>Selected: all-in insurance RPU</t>
        </is>
      </c>
      <c r="D130" s="465">
        <f>CHOOSE($D$3,D12,D25,D38,D51,D64,D77,D90)</f>
        <v/>
      </c>
      <c r="E130" s="465">
        <f>CHOOSE($D$3,E12,E25,E38,E51,E64,E77,E90)</f>
        <v/>
      </c>
      <c r="F130" s="465">
        <f>CHOOSE($D$3,F12,F25,F38,F51,F64,F77,F90)</f>
        <v/>
      </c>
      <c r="G130" s="465">
        <f>CHOOSE($D$3,G12,G25,G38,G51,G64,G77,G90)</f>
        <v/>
      </c>
      <c r="H130" s="465">
        <f>CHOOSE($D$3,H12,H25,H38,H51,H64,H77,H90)</f>
        <v/>
      </c>
      <c r="I130" s="465">
        <f>CHOOSE($D$3,I12,I25,I38,I51,I64,I77,I90)</f>
        <v/>
      </c>
      <c r="J130" s="465">
        <f>CHOOSE($D$3,J12,J25,J38,J51,J64,J77,J90)</f>
        <v/>
      </c>
      <c r="K130" s="465">
        <f>CHOOSE($D$3,K12,K25,K38,K51,K64,K77,K90)</f>
        <v/>
      </c>
      <c r="L130" s="465">
        <f>CHOOSE($D$3,L12,L25,L38,L51,L64,L77,L90)</f>
        <v/>
      </c>
      <c r="M130" s="465">
        <f>CHOOSE($D$3,M12,M25,M38,M51,M64,M77,M90)</f>
        <v/>
      </c>
      <c r="N130" s="465">
        <f>CHOOSE($D$3,N12,N25,N38,N51,N64,N77,N90)</f>
        <v/>
      </c>
      <c r="O130" s="465">
        <f>CHOOSE($D$3,O12,O25,O38,O51,O64,O77,O90)</f>
        <v/>
      </c>
      <c r="P130" s="465">
        <f>CHOOSE($D$3,P12,P25,P38,P51,P64,P77,P90)</f>
        <v/>
      </c>
      <c r="Q130" s="465">
        <f>CHOOSE($D$3,Q12,Q25,Q38,Q51,Q64,Q77,Q90)</f>
        <v/>
      </c>
      <c r="R130" s="465">
        <f>CHOOSE($D$3,R12,R25,R38,R51,R64,R77,R90)</f>
        <v/>
      </c>
    </row>
  </sheetData>
  <mergeCells count="2">
    <mergeCell ref="H4:O4"/>
    <mergeCell ref="D4:G4"/>
  </mergeCells>
  <dataValidations count="2">
    <dataValidation sqref="D101 D102 D103 D104 D105 D106 D107 E101 E102 E103 E104 E105 E106 E107" showDropDown="0" showInputMessage="0" showErrorMessage="1" allowBlank="0" error="Choose 0 or 1" type="list">
      <formula1>"0,1"</formula1>
    </dataValidation>
    <dataValidation sqref="H101 H102 H103 H104 H105 H106 H107" showDropDown="0" showInputMessage="0" showErrorMessage="1" allowBlank="0" error="Choose 1, 2 or 3" type="list">
      <formula1>"1,2,3"</formula1>
    </dataValidation>
  </dataValidations>
  <pageMargins left="0.75" right="0.75" top="1" bottom="1" header="0.5" footer="0.5"/>
</worksheet>
</file>

<file path=xl/worksheets/sheet19.xml><?xml version="1.0" encoding="utf-8"?>
<worksheet xmlns="http://schemas.openxmlformats.org/spreadsheetml/2006/main">
  <sheetPr>
    <tabColor rgb="FF0E2841"/>
    <outlinePr summaryBelow="1" summaryRight="1"/>
    <pageSetUpPr/>
  </sheetPr>
  <dimension ref="B1:S23"/>
  <sheetViews>
    <sheetView showGridLines="0" zoomScale="90" workbookViewId="0">
      <pane xSplit="3" ySplit="4" topLeftCell="D5"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2.5" customWidth="1" style="392" min="1" max="1"/>
    <col width="34" customWidth="1" style="392" min="2" max="2"/>
    <col width="8" customWidth="1" style="392" min="3" max="3"/>
    <col width="30" customWidth="1" style="392" min="4" max="13"/>
    <col width="48" customWidth="1" style="392" min="14" max="14"/>
  </cols>
  <sheetData>
    <row r="1" ht="17" customHeight="1" s="392">
      <c r="B1" s="269" t="inlineStr">
        <is>
          <t>Street — named-broker FY27 assumptions (licensed reports held locally; figures and paraphrases only)</t>
        </is>
      </c>
      <c r="C1" s="270" t="n"/>
      <c r="D1" s="270" t="n"/>
      <c r="E1" s="270" t="n"/>
      <c r="F1" s="270" t="n"/>
      <c r="G1" s="270" t="n"/>
      <c r="H1" s="270" t="n"/>
      <c r="I1" s="270" t="n"/>
      <c r="J1" s="270" t="n"/>
      <c r="K1" s="270" t="n"/>
      <c r="L1" s="270" t="n"/>
      <c r="M1" s="270" t="n"/>
      <c r="N1" s="270" t="n"/>
      <c r="O1" s="270" t="n"/>
      <c r="P1" s="270" t="n"/>
      <c r="Q1" s="270" t="n"/>
      <c r="R1" s="270" t="n"/>
      <c r="S1" s="270" t="n"/>
    </row>
    <row r="2">
      <c r="B2" s="252" t="inlineStr">
        <is>
          <t>Source: 15 extractions, each re-verified against the cited lines (workflow 30 Sep 2026; raw/workflow_2026-09-30_expectations_discovery.json). "Not disclosed" is recorded, never inferred from a total. No licensed text is reproduced.</t>
        </is>
      </c>
    </row>
    <row r="4" ht="16" customHeight="1" s="392">
      <c r="D4" s="353" t="inlineStr">
        <is>
          <t>Jefferies</t>
        </is>
      </c>
      <c r="E4" s="353" t="inlineStr">
        <is>
          <t>BNP Paribas</t>
        </is>
      </c>
      <c r="F4" s="353" t="inlineStr">
        <is>
          <t>J.P. Morgan</t>
        </is>
      </c>
      <c r="G4" s="353" t="inlineStr">
        <is>
          <t>BofA Global Research</t>
        </is>
      </c>
      <c r="H4" s="353" t="inlineStr">
        <is>
          <t>Stephens Inc.</t>
        </is>
      </c>
      <c r="I4" s="353" t="inlineStr">
        <is>
          <t>Barclays</t>
        </is>
      </c>
      <c r="J4" s="353" t="inlineStr">
        <is>
          <t>HSBC Global Investment Resea</t>
        </is>
      </c>
      <c r="K4" s="353" t="inlineStr">
        <is>
          <t>BNP Paribas</t>
        </is>
      </c>
      <c r="L4" s="353" t="inlineStr">
        <is>
          <t>Barclays</t>
        </is>
      </c>
      <c r="M4" s="353" t="inlineStr">
        <is>
          <t>J.P. Morgan Securities LLC</t>
        </is>
      </c>
    </row>
    <row r="5" ht="15" customHeight="1" s="392">
      <c r="B5" s="254" t="inlineStr">
        <is>
          <t>Report date</t>
        </is>
      </c>
      <c r="D5" s="354" t="inlineStr">
        <is>
          <t>2026-06-29 (line 5, repeated on every page header e.g. lines 75, 85); recommendation published and distributed June 29, 2026 at 18:36 (lines 112-113); rating/PT history chart dated as of 06-29-2026 (line 164).</t>
        </is>
      </c>
      <c r="E5" s="354" t="inlineStr">
        <is>
          <t>2026-07-06 (line 17; price basis close 1 July 2026 USD28.8, line 63; production 17:38 London, line 19)</t>
        </is>
      </c>
      <c r="F5" s="354" t="inlineStr">
        <is>
          <t>2026-07-06</t>
        </is>
      </c>
      <c r="G5" s="354" t="inlineStr">
        <is>
          <t>2026-07-28 (dated 28 July 2026 at line 68; timestamp 28 July 2026 05:00AM EDT at line 118; page headers lines 123, 235, 248). VERIFIED.</t>
        </is>
      </c>
      <c r="H5" s="354" t="inlineStr">
        <is>
          <t>2026-08-19</t>
        </is>
      </c>
      <c r="I5" s="354" t="inlineStr">
        <is>
          <t>2026-08-25 (dateline line 44; completed 25-Aug-26 00:51 GMT, released 25-Aug-26 10:00 GMT, line 58). Pricing and Bloomberg consensus as of 24-Aug-2026 (lines 131-132, 134, 279, 323-324, 336, 505, 641).</t>
        </is>
      </c>
      <c r="J5" s="354" t="inlineStr">
        <is>
          <t>10 September 2026 (lines 52, 78, 101, 147, 217, 246, 267); produced and signed off 11 Sep 2026 00:16 GMT (line 259); cover says priced as of 10 Sep 2026 at USD30.75 (lines 17-18; disclosure checklist line 174 repeats 30.75 / 10 Sep 2026), while the boilerplate</t>
        </is>
      </c>
      <c r="K5" s="354" t="inlineStr">
        <is>
          <t>2026-09-11 (line 20; production time 18:27 London, line 22); prices as of 10 Sep 2026 close $30.8 (lines 65, 546-547); model update dated 11 Sep 26 (line 651). Post-FQ4 FY26 earnings note (FQ4 FY26 = May-Jul 2026 quarter ended 31 Jul 2026). Results-release dat</t>
        </is>
      </c>
      <c r="L5" s="354" t="inlineStr">
        <is>
          <t>2026-09-11 (dated 11 September 2026, line 45; completed 11-Sep-26 02:23 GMT, released 11-Sep-26 10:00 GMT, line 77; prices as of 10-Sep-2026 close, lines 53, 256, 258). CONFIRMED.</t>
        </is>
      </c>
      <c r="M5" s="354" t="inlineStr">
        <is>
          <t>2026-09-11 (line 3). Price basis $30.75 as of 10 Sep 2026 (line 13). Written the morning after Copart reported F4Q26 after market close ('AMC yesterday', line 38) on 10 Sep 2026, alongside the ACVA deal announcement (lines 38-39). VERIFIED.</t>
        </is>
      </c>
    </row>
    <row r="6" ht="75" customHeight="1" s="392">
      <c r="B6" s="254" t="inlineStr">
        <is>
          <t>Rating / target</t>
        </is>
      </c>
      <c r="D6" s="354" t="inlineStr">
        <is>
          <t xml:space="preserve">Analyst rating: BUY (line 58). Price $28.10, prior trading day's close (line 59; footnote lines 65-66). Price target $45.00, +60% to PT (line 60; arithmetic checks: 45.00/28.10 = 1.60). 52-week high-low $50.11-$28.08 (line 61), so the stock is within $0.02 of </t>
        </is>
      </c>
      <c r="E6" s="354" t="inlineStr">
        <is>
          <t xml:space="preserve">Outperform, 12-month TP USD40, +39% upside vs USD28.8 close on 1 Jul 2026 (lines 10-11, 63, 627-628, 731-732). Analyst states no changes to estimates or TP in this note (line 45). TP methodology: EV/EBIT multiple applied to FY2028e EBIT (line 105). TP history </t>
        </is>
      </c>
      <c r="F6" s="354" t="inlineStr">
        <is>
          <t>Neutral (unchanged; lines 10, 69, 265). Price target cut to $32 (Dec-2027 horizon) from $35 (Dec-2026 horizon) (lines 13-14, 42, 265-266; down-arrow marker at line 13). Method: 50/50 blend of ~15x FY28E EBITDA (vs ~18x long-term average) and ~20x FY27E EPS (vs</t>
        </is>
      </c>
      <c r="G6" s="354" t="inlineStr">
        <is>
          <t>Reiterate BUY; price objective USD 123.00 (unchanged; date established 14-Jan-2026); price USD 116.35; Investment Opinion B-1-7 (lines 16, 95-98). PO basis: 16x 2026E EV/EBITDA, near the middle of a 10-22x historical range (lines 51, 253-254). Estimate changes</t>
        </is>
      </c>
      <c r="H6" s="354" t="inlineStr">
        <is>
          <t xml:space="preserve">Equal-Weight, $35.00 price target, no change in this note (Changes table shows '--' as previous for both rating and PT; lines 6-8; rating also line 46). Price at publication $31.51 (line 9); 52-week high $50.11 / low $26.81 (lines 11-12). Valuation method: PT </t>
        </is>
      </c>
      <c r="I6" s="354" t="inlineStr">
        <is>
          <t>CPRT: Underweight (unchanged), price target cut to $25 from $26 (-4%), based on 10x EV/EBITDA applied to Barclays' FY2026 (Jul year-end) forecast; stock $33.26 on 24-Aug-2026, implying -24.8%. Upside scenario $55 (25x EV/EBITDA on 2026), downside $21 (8x on 20</t>
        </is>
      </c>
      <c r="J6" s="354" t="inlineStr">
        <is>
          <t>Buy, target price USD46.00, share price USD30.75 (line 17). Rating history: N/A to Hold 04 Dec 2023; Hold to Buy 04 Sep 2025, both Wesley Brooks (lines 154-155). TP history: 51.00 (04 Dec 2023), 56.00 (11 Dec 2024), 62.00 (04 Sep 2025), 46.00 (20 Feb 2026) (li</t>
        </is>
      </c>
      <c r="K6" s="354" t="inlineStr">
        <is>
          <t>Outperform, 12-month TP $40 unchanged, 30% upside on cover (line 11) / 31% in thesis text (line 105); lines 10-11, 43, 105, 332, 547. TP = 17.5x EV/EBIT (multiple unchanged) applied to FY29E EBIT $2,063m, rolled forward from the PRIOR FY28E EBIT of $1,868m (th</t>
        </is>
      </c>
      <c r="L6" s="354" t="inlineStr">
        <is>
          <t xml:space="preserve">Underweight, unchanged (lines 47-48); industry view U.S. Auto Retail Neutral, unchanged (lines 49-50). Price target $25.00, unchanged (lines 51-52, 104, 109); price $30.75 at 10-Sep-26 close (line 53); potential downside -18.7% (line 54; arithmetic 25/30.75-1 </t>
        </is>
      </c>
      <c r="M6" s="354" t="inlineStr">
        <is>
          <t>Not Rated (NR), no price target (cover line 11; rating history line 455: 11-Sep-26 NR at $30.75, PT shown as '--'). Eight days earlier, 03-Sep-26, JPM had moved to Overweight with a $40 PT at $32.16 (line 454); before that Neutral with a $32 PT set 06-Jul-26 a</t>
        </is>
      </c>
    </row>
    <row r="7" ht="15" customHeight="1" s="392">
      <c r="B7" s="249" t="inlineStr">
        <is>
          <t>FY27E service revenue ($M)</t>
        </is>
      </c>
      <c r="D7" s="354" t="inlineStr">
        <is>
          <t>not disclosed</t>
        </is>
      </c>
      <c r="E7" s="354" t="inlineStr">
        <is>
          <t>not disclosed</t>
        </is>
      </c>
      <c r="F7" s="304" t="n">
        <v>3932</v>
      </c>
      <c r="G7" s="354" t="inlineStr">
        <is>
          <t>not disclosed</t>
        </is>
      </c>
      <c r="H7" s="354" t="inlineStr">
        <is>
          <t>not disclosed</t>
        </is>
      </c>
      <c r="I7" s="354" t="inlineStr">
        <is>
          <t>not disclosed</t>
        </is>
      </c>
      <c r="J7" s="354" t="inlineStr">
        <is>
          <t>not disclosed</t>
        </is>
      </c>
      <c r="K7" s="354" t="inlineStr">
        <is>
          <t>not disclosed</t>
        </is>
      </c>
      <c r="L7" s="354" t="inlineStr">
        <is>
          <t>not disclosed</t>
        </is>
      </c>
      <c r="M7" s="304" t="n">
        <v>4061</v>
      </c>
    </row>
    <row r="8" ht="15" customHeight="1" s="392">
      <c r="B8" s="254" t="inlineStr">
        <is>
          <t>FY27E purchased-vehicle revenue ($M)</t>
        </is>
      </c>
      <c r="D8" s="354" t="inlineStr">
        <is>
          <t>not disclosed</t>
        </is>
      </c>
      <c r="E8" s="354" t="inlineStr">
        <is>
          <t>not disclosed</t>
        </is>
      </c>
      <c r="F8" s="304" t="n">
        <v>710</v>
      </c>
      <c r="G8" s="354" t="inlineStr">
        <is>
          <t>not disclosed</t>
        </is>
      </c>
      <c r="H8" s="354" t="inlineStr">
        <is>
          <t>not disclosed</t>
        </is>
      </c>
      <c r="I8" s="354" t="inlineStr">
        <is>
          <t>not disclosed</t>
        </is>
      </c>
      <c r="J8" s="354" t="inlineStr">
        <is>
          <t>not disclosed</t>
        </is>
      </c>
      <c r="K8" s="354" t="inlineStr">
        <is>
          <t>not disclosed</t>
        </is>
      </c>
      <c r="L8" s="354" t="inlineStr">
        <is>
          <t>not disclosed</t>
        </is>
      </c>
      <c r="M8" s="304" t="n">
        <v>721</v>
      </c>
    </row>
    <row r="9" ht="15" customHeight="1" s="392">
      <c r="B9" s="254" t="inlineStr">
        <is>
          <t>FY27E total revenue ($M)</t>
        </is>
      </c>
      <c r="D9" s="354" t="inlineStr">
        <is>
          <t>not disclosed</t>
        </is>
      </c>
      <c r="E9" s="304" t="n">
        <v>4800</v>
      </c>
      <c r="F9" s="304" t="n">
        <v>4643</v>
      </c>
      <c r="G9" s="304" t="n">
        <v>5338.9</v>
      </c>
      <c r="H9" s="354" t="inlineStr">
        <is>
          <t>not disclosed</t>
        </is>
      </c>
      <c r="I9" s="304" t="n">
        <v>4759</v>
      </c>
      <c r="J9" s="354" t="inlineStr">
        <is>
          <t>not disclosed</t>
        </is>
      </c>
      <c r="K9" s="304" t="n">
        <v>4891</v>
      </c>
      <c r="L9" s="304" t="n">
        <v>4768</v>
      </c>
      <c r="M9" s="304" t="n">
        <v>4782</v>
      </c>
    </row>
    <row r="10" ht="15" customHeight="1" s="392">
      <c r="B10" s="254" t="inlineStr">
        <is>
          <t>FY28E total revenue ($M)</t>
        </is>
      </c>
      <c r="D10" s="354" t="inlineStr">
        <is>
          <t>not disclosed</t>
        </is>
      </c>
      <c r="E10" s="304" t="n">
        <v>5123</v>
      </c>
      <c r="F10" s="304" t="n">
        <v>4870</v>
      </c>
      <c r="G10" s="304" t="n">
        <v>5998.8</v>
      </c>
      <c r="H10" s="354" t="inlineStr">
        <is>
          <t>not disclosed</t>
        </is>
      </c>
      <c r="I10" s="304" t="n">
        <v>4939</v>
      </c>
      <c r="J10" s="354" t="inlineStr">
        <is>
          <t>not disclosed</t>
        </is>
      </c>
      <c r="K10" s="304" t="n">
        <v>5240</v>
      </c>
      <c r="L10" s="304" t="n">
        <v>4948</v>
      </c>
      <c r="M10" s="304" t="n">
        <v>5067</v>
      </c>
    </row>
    <row r="11" ht="75" customHeight="1" s="392">
      <c r="B11" s="254" t="inlineStr">
        <is>
          <t>Lost account: carrier named?</t>
        </is>
      </c>
      <c r="D11" s="354" t="inlineStr">
        <is>
          <t>not named (no lost account described; Progressive is named only as IAA's top insurance partner gaining market share, lines 32-33 and 36; grep for GEICO, State Farm, Allstate, USAA, customer returns no hits)</t>
        </is>
      </c>
      <c r="E11" s="354" t="inlineStr">
        <is>
          <t>not named</t>
        </is>
      </c>
      <c r="F11" s="354" t="inlineStr">
        <is>
          <t>PGR (Progressive) — JPM's own inference, worded as likely referring to PGR in JPM's view (line 59); management did not name the carrier in the text as extracted. Grep confirms no mention of GEICO, State Farm, Allstate or any other carrier name; "Progressive" a</t>
        </is>
      </c>
      <c r="G11" s="354" t="inlineStr">
        <is>
          <t>not named (no Copart lost account is discussed; the only carrier named anywhere is Progressive, cited as an IAA volume win, lines 47-48; grep for GEICO, State Farm, Allstate, USAA returns nothing). VERIFIED.</t>
        </is>
      </c>
      <c r="H11" s="354" t="inlineStr">
        <is>
          <t>not named</t>
        </is>
      </c>
      <c r="I11" s="354" t="inlineStr">
        <is>
          <t>not named (described only as RBA's largest auto insurer / largest customer / largest automotive insurance customer; lines 32, 67, 69, 102)</t>
        </is>
      </c>
      <c r="J11" s="354" t="inlineStr">
        <is>
          <t>not named</t>
        </is>
      </c>
      <c r="K11" s="354" t="inlineStr">
        <is>
          <t>Progressive, with qualification: the analyst refers to 'one customer loss' (line 241) and two sentences later names Progressive as likely a larger volume headwind than Geico's tailwind (lines 243-244); the text never explicitly equates the lost customer with P</t>
        </is>
      </c>
      <c r="L11" s="354" t="inlineStr">
        <is>
          <t>not named (described only as one of the largest auto insurers, line 95; details deferred to a prior Barclays report, line 95). CONFIRMED: case-insensitive grep for Progressive, GEICO, State Farm, Allstate returns nothing.</t>
        </is>
      </c>
      <c r="M11" s="354" t="inlineStr">
        <is>
          <t>PGR (ticker only, line 49; the only occurrence in the file -- 'Progressive' has zero hits; PGR is Progressive Corp's ticker, a gloss not in the source)</t>
        </is>
      </c>
    </row>
    <row r="12" ht="75" customHeight="1" s="392">
      <c r="B12" s="254" t="inlineStr">
        <is>
          <t>US insurance units / assignments</t>
        </is>
      </c>
      <c r="D12" s="354" t="inlineStr">
        <is>
          <t xml:space="preserve">No numbers. Qualitative only: (a) Company view (lines 31-34): CPRT continues to see what it labels "inorganic" share loss because IAA's top insurance partner Progressive keeps gaining share of the auto insurance market at the expense of CPRT's primary carrier </t>
        </is>
      </c>
      <c r="E12" s="354" t="inlineStr">
        <is>
          <t>Not quantified anywhere in the note. Qualitative only: (a) management, in the 6 Jul 2026 intraquarter sell-side Q&amp;A, kept pointing to secular headwinds as a challenge to a volume recovery (lines 29-30); (b) analyst's standing investment case assumes a multi-ye</t>
        </is>
      </c>
      <c r="F12" s="354" t="inlineStr">
        <is>
          <t>Not quantified (verified by grep: no unit, assignment or volume growth figure anywhere; the only volume-related numbers are whole car &lt;20% of US volumes at line 50 and the Figure 1 share labels). JPM cut F4Q26E/FY27E EPS to 0.37/1.55 (from 0.38/1.63) citing lo</t>
        </is>
      </c>
      <c r="G12" s="354" t="inlineStr">
        <is>
          <t>Copart US insurance units: NOT DISCLOSED (grep: 'unit' appears only inside 'opportunity' and 'United Rentals'; 'assignment' absent). What the source gives is the IAA (RB Global) side, qualitatively: IAA's lost auto-salvage market share is put at 38% today vers</t>
        </is>
      </c>
      <c r="H12" s="354" t="inlineStr">
        <is>
          <t>Not disclosed (confirmed by grep: 'unit' appears only at lines 179, 181, 195 plus boilerplate line 240; 'assignment' zero hits). No US insurance unit or assignment growth path, driver discussion or recovery timing. The only related content is in the standing r</t>
        </is>
      </c>
      <c r="I12" s="354" t="inlineStr">
        <is>
          <t xml:space="preserve">Barclays' own estimate: CPRT US insurance volumes -3.0% y/y in FQ4 FY26 (previously -2.0%) and -2.0% for full FY2027 (previously -0.3%) (lines 115-116). Driver is the net effect of two contract outcomes: CPRT won incremental volume from a sizable auto insurer </t>
        </is>
      </c>
      <c r="J12" s="354" t="inlineStr">
        <is>
          <t>Not disclosed for FY27 (confirmed by grep: unit/volume/assignment hits only at lines 13, 20-21, 32-33). No forward growth path, driver decomposition or recovery timing. Actuals only: US insurance units -7.5% y-o-y in 4Q FY26 (lines 21, 32-33); global insurance</t>
        </is>
      </c>
      <c r="K12" s="354" t="inlineStr">
        <is>
          <t>No US insurance unit or assignment growth number is given for any period (grep 'unit', 'volume', 'assignment' confirms). The only volume forecast is global volume growth (line 299): FY21 -0.7%, FY22 +13.8%, FY23 +5.0%, FY24 +9.8%, FY25 +4.8%, FY26 -5.5% (preli</t>
        </is>
      </c>
      <c r="L12" s="354" t="inlineStr">
        <is>
          <t>CONFIRMED. Barclays' only forward US insurance unit statement: the net effect of the two recent contract changes (loss of business with one of the largest auto insurers, partly offset by a recent volume gain with a sizable auto insurer) is estimated to drive a</t>
        </is>
      </c>
      <c r="M12" s="354" t="inlineStr">
        <is>
          <t>NOT QUANTIFIED for FY27 or FY28 -- VERIFIED by grep ('unit' appears only at lines 57, 155, 163; 'volume' only at lines 48-49, 57, 155, 164, 217; 'assignment' only at line 49). The only forward statement is that the FY27/FY28 EPS cuts (to $1.57/$1.72 from $1.60</t>
        </is>
      </c>
    </row>
    <row r="13" ht="75" customHeight="1" s="392">
      <c r="B13" s="254" t="inlineStr">
        <is>
          <t>US insurance ASP</t>
        </is>
      </c>
      <c r="D13" s="354" t="inlineStr">
        <is>
          <t>No number. Analyst expects volume stabilization to be supported by higher ASPs, attributed to CPRT's robust international buyer pool and network liquidity (lines 44-45, "We expect"). "ASP" appears only on line 45; no YoY ASP assumption, used-car price link (gr</t>
        </is>
      </c>
      <c r="E13" s="354" t="inlineStr">
        <is>
          <t xml:space="preserve">Not disclosed. No ASP, salvage-price or used-vehicle-price index figure appears (zero grep hits for ASP, average selling price, selling price, salvage, Manheim). Directional only: the investment case expects used-vehicle pricing to unwind (line 99), which the </t>
        </is>
      </c>
      <c r="F13" s="354" t="inlineStr">
        <is>
          <t>Not disclosed numerically (grep for ASP / average selling price / selling price returns nothing). The risk section implies JPM's base case presumes a continuing used-vehicle price downtrend: upside risk (1) is that used vehicle prices reverse their downtrend a</t>
        </is>
      </c>
      <c r="G13" s="354" t="inlineStr">
        <is>
          <t>NOT DISCLOSED. No US insurance ASP, used-vehicle price, or salvage-price assumption appears anywhere in the text (grep for ASP, 'average selling', 'selling price', Manheim returns nothing; 'price' occurs only as share price, price objective and iQmethod defini</t>
        </is>
      </c>
      <c r="H13" s="354" t="inlineStr">
        <is>
          <t>Not disclosed (confirmed: 'ASP' and 'average selling' zero hits). No US insurance ASP figure, YoY path or driver appears. Macro variables such as used-car values, labor rates, auto-part inflation and availability, non-discretionary inflation, miles driven, and</t>
        </is>
      </c>
      <c r="I13" s="354" t="inlineStr">
        <is>
          <t>Not disclosed. Case-insensitive grep for 'ASP', 'average selling', 'selling price', 'used car', 'used vehicle', 'Manheim' returns nothing; 'mix' appears only in an RBA take-rate risk (line 468). No US insurance ASP, salvage-vehicle price, used-car price, or mi</t>
        </is>
      </c>
      <c r="J13" s="354" t="inlineStr">
        <is>
          <t>No forward assumption (grep ASP: lines 14, 21-22, 31 only, all actuals). US insurance ASP +3.7% y-o-y in 4Q FY26 (lines 22, 31). Total ASP growth decelerated to 3.1% y-o-y from 4.6% in 3Q (lines 21-22), though line 31 separately states overall ASPs +4.2% (inte</t>
        </is>
      </c>
      <c r="K13" s="354" t="inlineStr">
        <is>
          <t>Not disclosed. No ASP growth number for any period ('ASP' appears once, line 226, qualitatively; no 'average selling price' or 'selling price' hits). Related qualitative points: combining ACV's inspection/condition data and AI valuation tools with Copart's dat</t>
        </is>
      </c>
      <c r="L13" s="354" t="inlineStr">
        <is>
          <t>Not disclosed. CONFIRMED by case-insensitive grep: no hits for ASP, average selling, used vehicle, used-vehicle; 'pric' hits are stock/target-price references (lines 30, 51, 53, 64, 104, 109, 192-193, 255-260, 329, 356-358, 393-403, 412-415, 424, 434-444, 453-</t>
        </is>
      </c>
      <c r="M13" s="354" t="inlineStr">
        <is>
          <t>NOT DISCLOSED -- VERIFIED: zero case-insensitive hits for 'ASP', 'average selling', 'selling price'. The report contains no ASP figure or assumption for any period. The only pricing-related datapoint is the JPMe US service RPU of ~+5% y/y in F4Q26 (line 43), a</t>
        </is>
      </c>
    </row>
    <row r="14" ht="75" customHeight="1" s="392">
      <c r="B14" s="254" t="inlineStr">
        <is>
          <t>Fee / service RPU</t>
        </is>
      </c>
      <c r="D14" s="354" t="inlineStr">
        <is>
          <t xml:space="preserve">No number. Only mention is Title Express share gains cited by the analyst as an industry-leading metric supporting volume stabilization (line 44). Take rate, fee increases, delivery, storage/towing or other service revenue per unit: not disclosed (grep "RPU", </t>
        </is>
      </c>
      <c r="E14" s="354" t="inlineStr">
        <is>
          <t>Not disclosed. Zero grep hits for RPU, revenue per unit, take rate, fee, Title Express; 'delivery' appears only in legal boilerplate (lines 369, 457). "Tech services" is named only as an area of stepped-up investment (line 35).</t>
        </is>
      </c>
      <c r="F14" s="354" t="inlineStr">
        <is>
          <t>Not disclosed (grep for RPU, revenue per unit, take rate, Title Express, delivery, aftermarket returns nothing; "fee" appears only at line 273). No fee increase, service revenue per unit, Title Express, delivery/transportation or other ancillary-service revenu</t>
        </is>
      </c>
      <c r="G14" s="354" t="inlineStr">
        <is>
          <t>NOT DISCLOSED. No take rate, fee, revenue-per-unit, Title Express, delivery or other-services assumption appears (grep for fee, RPU, 'revenue per', 'take rate', 'Title Express', delivery returns nothing in the report body; 'delivery' occurs only in legal boile</t>
        </is>
      </c>
      <c r="H14" s="354" t="inlineStr">
        <is>
          <t>Not disclosed (confirmed: 'RPU', 'revenue per', 'take rate', 'take-rate', 'Title Express', 'deliver' zero hits; 'fee' hits only 'feel' at line 104 and boilerplate 'fees and expenses' at line 244). No take-rate, fee-increase, service revenue-per-unit, Title Exp</t>
        </is>
      </c>
      <c r="I14" s="354" t="inlineStr">
        <is>
          <t xml:space="preserve">Take rate: Barclays estimates the recent contract win could cost CPRT 25bp to 50bp of take rate (RBA 40bp to 80bp from its own expanded contract), assuming seller commission discounts of 10% to 20%, and believes CPRT won by offering economics comparable to or </t>
        </is>
      </c>
      <c r="J14" s="354" t="inlineStr">
        <is>
          <t>Not disclosed (grep fee, take rate, RPU, revenue per, Title Express, deliver: no hits). The only related item is that costs per vehicle rose 13% y-o-y due to investment in new products and capacity expansion (lines 25-26), a cost statement, not a fee or RPU st</t>
        </is>
      </c>
      <c r="K14" s="354" t="inlineStr">
        <is>
          <t>Not quantified. Analyst raises top line partly on RPU improvement, aided by long-haul transport investments (lines 282-283); long-haul investments are 'likely translating' to RPU growth (lines 181-182); ACV could see higher RPU from Copart's buyer base (line 1</t>
        </is>
      </c>
      <c r="L14" s="354" t="inlineStr">
        <is>
          <t>CONFIRMED. Take rate: Barclays continues to believe the recent contract win could reduce CPRT's take rate by 25bp to 50bp (lines 102-103; the only 'take rate' hit in the file); analyst also expects some margin compression from the win that may not fully show u</t>
        </is>
      </c>
      <c r="M14" s="354" t="inlineStr">
        <is>
          <t>Qualitative only -- VERIFIED ('RPU' at lines 8, 43, 47, 59 only; zero hits for 'take rate' or 'revenue per unit'; 'fee' only in legal boilerplate). F4Q26: JPM estimates US service RPU rose ~5% y/y and calls the RPU trend resilient, easing concerns about the pr</t>
        </is>
      </c>
    </row>
    <row r="15" ht="75" customHeight="1" s="392">
      <c r="B15" s="254" t="inlineStr">
        <is>
          <t>International</t>
        </is>
      </c>
      <c r="D15" s="354" t="inlineStr">
        <is>
          <t xml:space="preserve">No growth number. International is named by management as a growth and capital-allocation priority under the returning CEO (lines 18-19 international/wholesale/technology initiatives; lines 28-29 international segment; lines 55-56 Int'l among M&amp;A priorities), </t>
        </is>
      </c>
      <c r="E15" s="354" t="inlineStr">
        <is>
          <t>Not quantified. Qualitative: investors should prepare for stepped-up investment particularly in international expansion, domestic whole car and tech services (lines 34-35); management suggested M&amp;A is likely to play a role and acknowledged possibly using lever</t>
        </is>
      </c>
      <c r="F15" s="354" t="inlineStr">
        <is>
          <t>No growth numbers. International salvage expansion is pillar one of incoming CEO Jay Adair's growth agenda (lines 44-46); international is ~15% of overall EBITDA and JPM says the near-term financial impact of these initiatives is limited, with investment neede</t>
        </is>
      </c>
      <c r="G15" s="354" t="inlineStr">
        <is>
          <t>NOT DISCLOSED. The only geographic datum is the company description stating nearly 70% of revenue comes from North America (line 204); there is no international growth forecast (grep: 'international' hits only the company name Finning International at line 285</t>
        </is>
      </c>
      <c r="H15" s="354" t="inlineStr">
        <is>
          <t xml:space="preserve">Not disclosed as a forward assumption ('international' hits only lines 181-182, risk section). Context only: 38% of Copart auction units are bought by international buyers, up from 22.7% in 2010 (line 181); international buyers seek value-based transportation </t>
        </is>
      </c>
      <c r="I15" s="354" t="inlineStr">
        <is>
          <t>Not disclosed. Grep for 'international', 'Europe', 'Germany', 'UK', 'Canada', 'Brazil', 'Spain' hits only distribution disclaimers (lines 776-869). No international unit, revenue or growth assumption for CPRT.</t>
        </is>
      </c>
      <c r="J15" s="354" t="inlineStr">
        <is>
          <t>No forward assumption (grep international: lines 33, 35 only). Actuals for 4Q FY26: international insurance units +11% y-o-y (line 33); international vehicle (purchased) sales +6.6% y-o-y (lines 35-36).</t>
        </is>
      </c>
      <c r="K15" s="354" t="inlineStr">
        <is>
          <t>No forward international growth number. Q4 FY26 actual: international units +10%, international insurance units +11.2% (lines 41-42, 267-268). Management keen to expand in existing international markets and enter new ones including the rest of Europe (lines 26</t>
        </is>
      </c>
      <c r="L15" s="354" t="inlineStr">
        <is>
          <t>Not disclosed as a growth assumption. CONFIRMED: 'international' hits outside legal boilerplate are only line 26 and line 87. Datapoints: FQ4 FY26 International operating income $57mm vs Barclays $64mm estimate (line 26); CPRT has expressed interest in growing</t>
        </is>
      </c>
      <c r="M15" s="354" t="inlineStr">
        <is>
          <t>NOT QUANTIFIED -- VERIFIED: 'international' appears substantively only at line 75. The only reference is that management's growth priorities remain international salvage expansion, domestic whole-car growth, and incremental technology tools and services for bu</t>
        </is>
      </c>
    </row>
    <row r="16" ht="75" customHeight="1" s="392">
      <c r="B16" s="254" t="inlineStr">
        <is>
          <t>ACV scope</t>
        </is>
      </c>
      <c r="D16" s="354" t="inlineStr">
        <is>
          <t>Unclear / not mentioned. Grep "ACV" and "acqui" return no hits; the file contains no reference to ACV Auctions or any specific acquisition. The only adjacent content is management listing wholesale (line 19), whole-car business (line 29) and wholecar (line 56)</t>
        </is>
      </c>
      <c r="E16" s="354" t="inlineStr">
        <is>
          <t>Unclear / not mentioned. The string "ACV" does not occur in the file; no acquisition target is named. Estimates were unchanged from the 22 May 2026 model update (lines 45, 836). The cash-flow table shows net financial investments &amp; acquisitions of +1,192 in FY</t>
        </is>
      </c>
      <c r="F16" s="354" t="inlineStr">
        <is>
          <t xml:space="preserve">Unclear / not mentioned. Grep confirms no occurrence of "ACV" or any acquisition target in the file. JPM notes management expects a mix of organic and M&amp;A-driven growth across the three verticals (lines 51-53) but no deal is in the model: FY27E cash flow from </t>
        </is>
      </c>
      <c r="G16" s="354" t="inlineStr">
        <is>
          <t xml:space="preserve">Not mentioned. ACV (ACV Auctions) and any Copart acquisition are absent from the text (grep 'ACV' returns nothing); the only M&amp;A references are RB Global's acquisition of IAA (lines 43-44, 258) and CC&amp;T GTV quoted 'ex M&amp;A' (line 35). Scope in Copart estimates </t>
        </is>
      </c>
      <c r="H16" s="354" t="inlineStr">
        <is>
          <t>Not explicitly stated; ACVA is treated only as a rumored potential target, so the header estimates are implicitly standalone but the report never says so. ACV Auctions listed at ACVA $7.47 (line 159). CPRT is also thought to be a potential bidder for ACVA (lin</t>
        </is>
      </c>
      <c r="I16" s="354" t="inlineStr">
        <is>
          <t>Unclear / not addressed. The report never mentions a Copart acquisition of ACV Auctions; ACVA appears only in the Barclays U.S. Auto Retail coverage-universe list (line 586). The only M&amp;A reference for CPRT is a Bloomberg report (8/18/26) that CPRT may be cons</t>
        </is>
      </c>
      <c r="J16" s="354" t="inlineStr">
        <is>
          <t xml:space="preserve">Unclear / not stated. HSBC relays the ACV Auctions deal as announced and expected to close by the end of 2026 (lines 45-47; file says "end of 2026", calendar year implied) and cites a Copart FY27e EV/EBITDA multiple of 12x (lines 41-42) without saying whether </t>
        </is>
      </c>
      <c r="K16" s="354" t="inlineStr">
        <is>
          <t>Excluded from the model. Analyst explicitly refrains from modelling ACV (line 46) and does not model its impact on P&amp;L, balance sheet or cash flow; notes this likely leaves higher-than-anticipated interest income in the model given the pre-deal cash balance (l</t>
        </is>
      </c>
      <c r="L16" s="354" t="inlineStr">
        <is>
          <t xml:space="preserve">EXCLUDED from estimates: Barclays states its estimates do not incorporate the ACVA transaction because the deal has not closed (lines 108-109). CONFIRMED. Deal terms as reported: all-cash $10.50/share, implying 19.1x Barclays' 2027 EBITDA estimate for ACVA, a </t>
        </is>
      </c>
      <c r="M16" s="354" t="inlineStr">
        <is>
          <t xml:space="preserve">EXCLUDED -- VERIFIED. JPM states explicitly that its estimates do not reflect a potential completion of the pending ACVA transaction (lines 39-40); this applies to FY27E and FY28E. Deal terms as summarised by JPM (lines 60-71): definitive agreement to acquire </t>
        </is>
      </c>
    </row>
    <row r="17" ht="75" customHeight="1" s="392">
      <c r="B17" s="254" t="inlineStr">
        <is>
          <t>Aftermarket / total-loss commentary</t>
        </is>
      </c>
      <c r="D17" s="354" t="inlineStr">
        <is>
          <t>No total-loss frequency, repair-cost or aftermarket-parts commentary (grep "total loss", "total-loss", "frequency", "severity": none; the "Automotive Aftermarket" label on line 2 is the Jefferies sector header). Claims-frequency related: analyst says moderatin</t>
        </is>
      </c>
      <c r="E17" s="354" t="inlineStr">
        <is>
          <t>No aftermarket-parts, repair-cost or claims-severity commentary (zero grep hits for aftermarket, repair, severity; 'parts' only in peer names, lines 171, 197, 631). Total-loss frequency appears only directionally: investment case assumes loss rates revert towa</t>
        </is>
      </c>
      <c r="F17" s="354" t="inlineStr">
        <is>
          <t>No aftermarket parts commentary, no total-loss frequency numbers, no claims-frequency numbers, no repair-cost inflation figures (grep for aftermarket / total loss / total-loss returns nothing). Qualitative only: long-term thesis cites rising miles driven and a</t>
        </is>
      </c>
      <c r="G17" s="354" t="inlineStr">
        <is>
          <t xml:space="preserve">NOT DISCLOSED in substance. No total-loss frequency, repair-cost, claims-frequency, aftermarket-parts or tariff commentary (grep: 'total loss', 'total-loss', aftermarket, tariff, frequency all absent; 'repair'/'claim' occur only at line 260). The only related </t>
        </is>
      </c>
      <c r="H17" s="354" t="inlineStr">
        <is>
          <t>Not disclosed (confirmed: 'aftermarket', 'total loss', 'frequency' zero hits; 'claims' only at line 145 re EvolutionIQ). No total-loss frequency, repair-cost, claims-frequency or aftermarket-parts figures or trend commentary. The repair-vs-total decision is de</t>
        </is>
      </c>
      <c r="I17" s="354" t="inlineStr">
        <is>
          <t>Not disclosed. Grep for 'aftermarket', 'total loss', 'total-loss', 'repair', 'parts', 'frequency' returns nothing; 'accident' appears only in an RBA risk factor. Nearest references: North American industry fundamentals described as challenged (lines 287-288, 3</t>
        </is>
      </c>
      <c r="J17" s="354" t="inlineStr">
        <is>
          <t>US total-loss frequency described as remaining elevated at 23.3% in 4Q FY26 (line 23); no prior-period comparison or forward assumption given. No aftermarket parts, repair-cost or claims-frequency commentary (grep aftermarket, parts, repair, claim: no hits).</t>
        </is>
      </c>
      <c r="K17" s="354" t="inlineStr">
        <is>
          <t>No aftermarket-parts or repair-cost commentary (grep 'aftermarket' returns nothing) and no total-loss-frequency figures. Total-loss rates appear only qualitatively: the key debate on sustainability of industry total-loss rates and RPU (lines 98-99); the ration</t>
        </is>
      </c>
      <c r="L17" s="354" t="inlineStr">
        <is>
          <t>Not disclosed. CONFIRMED by case-insensitive grep: zero hits for total loss, total-loss, repair, aftermarket, used vehicle, hurricane, catastroph, Manheim; 'claims' hits only the legal disclaimer (line 482). The only industry commentary is qualitative: industr</t>
        </is>
      </c>
      <c r="M17" s="354" t="inlineStr">
        <is>
          <t>NONE -- VERIFIED by grep: zero hits for aftermarket, total loss, total-loss, frequency, repair, used vehicle, used-vehicle, weather, hurricane, CAT (substantive). The only cost-input discussion is diesel (lines 158-165): JPM sizes the ~$1.9/gallon (~50%) incre</t>
        </is>
      </c>
    </row>
    <row r="18" ht="15" customHeight="1" s="392">
      <c r="B18" s="254" t="inlineStr">
        <is>
          <t>Verifier corrections made</t>
        </is>
      </c>
      <c r="D18" s="355" t="n">
        <v>2</v>
      </c>
      <c r="E18" s="355" t="n">
        <v>1</v>
      </c>
      <c r="F18" s="355" t="n">
        <v>6</v>
      </c>
      <c r="G18" s="355" t="n">
        <v>4</v>
      </c>
      <c r="H18" s="355" t="n">
        <v>1</v>
      </c>
      <c r="I18" s="355" t="n">
        <v>25</v>
      </c>
      <c r="J18" s="355" t="n">
        <v>3</v>
      </c>
      <c r="K18" s="355" t="n">
        <v>2</v>
      </c>
      <c r="L18" s="355" t="n">
        <v>3</v>
      </c>
      <c r="M18" s="355" t="n">
        <v>6</v>
      </c>
    </row>
    <row r="20">
      <c r="B20" s="249" t="inlineStr">
        <is>
          <t>Model FY27E legacy service revenue, selected case</t>
        </is>
      </c>
      <c r="C20" s="279" t="inlineStr">
        <is>
          <t>$M</t>
        </is>
      </c>
      <c r="D20" s="280">
        <f>Scenarios!Q126</f>
        <v/>
      </c>
    </row>
    <row r="21">
      <c r="B21" s="249" t="inlineStr">
        <is>
          <t>Δ model − broker FY27E service revenue (where disclosed)</t>
        </is>
      </c>
      <c r="C21" s="279" t="inlineStr">
        <is>
          <t>$M</t>
        </is>
      </c>
      <c r="D21" s="287">
        <f>IF(ISNUMBER(D7),$D$20-D7,"n/a")</f>
        <v/>
      </c>
      <c r="E21" s="287">
        <f>IF(ISNUMBER(E7),$D$20-E7,"n/a")</f>
        <v/>
      </c>
      <c r="F21" s="287">
        <f>IF(ISNUMBER(F7),$D$20-F7,"n/a")</f>
        <v/>
      </c>
      <c r="G21" s="287">
        <f>IF(ISNUMBER(G7),$D$20-G7,"n/a")</f>
        <v/>
      </c>
      <c r="H21" s="287">
        <f>IF(ISNUMBER(H7),$D$20-H7,"n/a")</f>
        <v/>
      </c>
      <c r="I21" s="287">
        <f>IF(ISNUMBER(I7),$D$20-I7,"n/a")</f>
        <v/>
      </c>
      <c r="J21" s="287">
        <f>IF(ISNUMBER(J7),$D$20-J7,"n/a")</f>
        <v/>
      </c>
      <c r="K21" s="287">
        <f>IF(ISNUMBER(K7),$D$20-K7,"n/a")</f>
        <v/>
      </c>
      <c r="L21" s="287">
        <f>IF(ISNUMBER(L7),$D$20-L7,"n/a")</f>
        <v/>
      </c>
      <c r="M21" s="287">
        <f>IF(ISNUMBER(M7),$D$20-M7,"n/a")</f>
        <v/>
      </c>
    </row>
    <row r="23">
      <c r="B23" s="252" t="inlineStr">
        <is>
          <t>Full field set (quarterly tables, contract events, catalysts) is in the JSON; this tab shows the forecast-relevant rows only.</t>
        </is>
      </c>
    </row>
  </sheetData>
  <pageMargins left="0.75" right="0.75" top="1" bottom="1" header="0.5" footer="0.5"/>
</worksheet>
</file>

<file path=xl/worksheets/sheet20.xml><?xml version="1.0" encoding="utf-8"?>
<worksheet xmlns="http://schemas.openxmlformats.org/spreadsheetml/2006/main">
  <sheetPr>
    <tabColor rgb="FF0E2841"/>
    <outlinePr summaryBelow="1" summaryRight="1"/>
    <pageSetUpPr/>
  </sheetPr>
  <dimension ref="B1:S110"/>
  <sheetViews>
    <sheetView showGridLines="0" zoomScale="90" workbookViewId="0">
      <pane xSplit="1" ySplit="4" topLeftCell="B5"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2.5" customWidth="1" style="392" min="1" max="1"/>
    <col width="22" customWidth="1" style="392" min="2" max="2"/>
    <col width="8" customWidth="1" style="392" min="3" max="3"/>
    <col width="60" customWidth="1" style="392" min="4" max="4"/>
    <col width="12" customWidth="1" style="392" min="5" max="5"/>
    <col width="13" customWidth="1" style="392" min="6" max="6"/>
    <col width="90" customWidth="1" style="392" min="7" max="7"/>
    <col width="13" customWidth="1" style="392" min="8" max="8"/>
    <col width="48" customWidth="1" style="392" min="9" max="9"/>
  </cols>
  <sheetData>
    <row r="1" ht="17" customHeight="1" s="392">
      <c r="B1" s="269" t="inlineStr">
        <is>
          <t>Sources — every typed number in the model, with its label and where it comes from</t>
        </is>
      </c>
      <c r="C1" s="270" t="n"/>
      <c r="D1" s="270" t="n"/>
      <c r="E1" s="270" t="n"/>
      <c r="F1" s="270" t="n"/>
      <c r="G1" s="270" t="n"/>
      <c r="H1" s="270" t="n"/>
      <c r="I1" s="270" t="n"/>
      <c r="J1" s="270" t="n"/>
      <c r="K1" s="270" t="n"/>
      <c r="L1" s="270" t="n"/>
      <c r="M1" s="270" t="n"/>
      <c r="N1" s="270" t="n"/>
      <c r="O1" s="270" t="n"/>
      <c r="P1" s="270" t="n"/>
      <c r="Q1" s="270" t="n"/>
      <c r="R1" s="270" t="n"/>
      <c r="S1" s="270" t="n"/>
    </row>
    <row r="2">
      <c r="B2" s="252" t="inlineStr">
        <is>
          <t>Generated from the engine tabs at build time. Blue = input, red = toggle. A row with an empty source is a defect; Checks counts them.</t>
        </is>
      </c>
    </row>
    <row r="4">
      <c r="B4" s="249" t="inlineStr">
        <is>
          <t>Tab</t>
        </is>
      </c>
      <c r="C4" s="249" t="inlineStr">
        <is>
          <t>Cell</t>
        </is>
      </c>
      <c r="D4" s="249" t="inlineStr">
        <is>
          <t>Row label</t>
        </is>
      </c>
      <c r="E4" s="249" t="inlineStr">
        <is>
          <t>Value</t>
        </is>
      </c>
      <c r="F4" s="249" t="inlineStr">
        <is>
          <t>Evidence label</t>
        </is>
      </c>
      <c r="G4" s="249" t="inlineStr">
        <is>
          <t>Source / rationale</t>
        </is>
      </c>
    </row>
    <row r="5">
      <c r="B5" s="254" t="inlineStr">
        <is>
          <t>E1 Fleet</t>
        </is>
      </c>
      <c r="C5" s="254" t="inlineStr">
        <is>
          <t>D89</t>
        </is>
      </c>
      <c r="D5" s="254" t="inlineStr">
        <is>
          <t>k_cars(2013): survival stretch, cars</t>
        </is>
      </c>
      <c r="E5" s="251" t="n">
        <v>1.064</v>
      </c>
      <c r="F5" s="252" t="inlineStr">
        <is>
          <t>FITTED</t>
        </is>
      </c>
      <c r="G5" s="252" t="inlineStr">
        <is>
          <t>docs/AGE_CURVES.md §2.3 — reproduces IHS 2013 census of cars by age (ORNL Table 3.11)</t>
        </is>
      </c>
    </row>
    <row r="6">
      <c r="B6" s="254" t="inlineStr">
        <is>
          <t>E1 Fleet</t>
        </is>
      </c>
      <c r="C6" s="254" t="inlineStr">
        <is>
          <t>D90</t>
        </is>
      </c>
      <c r="D6" s="254" t="inlineStr">
        <is>
          <t>k_cars(2013)</t>
        </is>
      </c>
      <c r="E6" s="251" t="n">
        <v>1.064</v>
      </c>
      <c r="F6" s="252" t="inlineStr">
        <is>
          <t>FITTED</t>
        </is>
      </c>
      <c r="G6" s="252" t="inlineStr">
        <is>
          <t>same (duplicate row kept for formula anchoring)</t>
        </is>
      </c>
    </row>
    <row r="7">
      <c r="B7" s="254" t="inlineStr">
        <is>
          <t>E1 Fleet</t>
        </is>
      </c>
      <c r="C7" s="254" t="inlineStr">
        <is>
          <t>D91</t>
        </is>
      </c>
      <c r="D7" s="254" t="inlineStr">
        <is>
          <t>k_light trucks(2013)</t>
        </is>
      </c>
      <c r="E7" s="251" t="n">
        <v>0.921</v>
      </c>
      <c r="F7" s="252" t="inlineStr">
        <is>
          <t>FITTED</t>
        </is>
      </c>
      <c r="G7" s="252" t="inlineStr">
        <is>
          <t>docs/AGE_CURVES.md §2.3 — IHS 2013 census of trucks (ORNL Table 3.12)</t>
        </is>
      </c>
    </row>
    <row r="8">
      <c r="B8" s="254" t="inlineStr">
        <is>
          <t>E1 Fleet</t>
        </is>
      </c>
      <c r="C8" s="254" t="inlineStr">
        <is>
          <t>D92</t>
        </is>
      </c>
      <c r="D8" s="254" t="inlineStr">
        <is>
          <t>m(2024): drift multiplier</t>
        </is>
      </c>
      <c r="E8" s="251" t="n">
        <v>1.194</v>
      </c>
      <c r="F8" s="252" t="inlineStr">
        <is>
          <t>FITTED</t>
        </is>
      </c>
      <c r="G8" s="252" t="inlineStr">
        <is>
          <t>docs/AGE_CURVES.md §2.4 — fitted to the two 2024 anchors below; anchors themselves need sourcing</t>
        </is>
      </c>
    </row>
    <row r="9">
      <c r="B9" s="254" t="inlineStr">
        <is>
          <t>E1 Fleet</t>
        </is>
      </c>
      <c r="C9" s="254" t="inlineStr">
        <is>
          <t>D93</t>
        </is>
      </c>
      <c r="D9" s="254" t="inlineStr">
        <is>
          <t>exposure(age 0): fraction of a claim-year for current-year vehicles</t>
        </is>
      </c>
      <c r="E9" s="251" t="n">
        <v>0.5</v>
      </c>
      <c r="F9" s="252" t="inlineStr">
        <is>
          <t>ASSUMED</t>
        </is>
      </c>
      <c r="G9" s="252" t="inlineStr">
        <is>
          <t>data/csv/age_curves.csv header; looks low versus CCC age-0 claim share (5.5% vs 4.0%)</t>
        </is>
      </c>
    </row>
    <row r="10">
      <c r="B10" s="254" t="inlineStr">
        <is>
          <t>E1 Fleet</t>
        </is>
      </c>
      <c r="C10" s="254" t="inlineStr">
        <is>
          <t>D94</t>
        </is>
      </c>
      <c r="D10" s="254" t="inlineStr">
        <is>
          <t>Claims decay per year beyond age 6 (R(a) = exposure × e^(−decay·max(a−6,0)))</t>
        </is>
      </c>
      <c r="E10" s="251" t="n">
        <v>0.09027</v>
      </c>
      <c r="F10" s="252" t="inlineStr">
        <is>
          <t>FITTED</t>
        </is>
      </c>
      <c r="G10" s="252" t="inlineStr">
        <is>
          <t>scripts/age_curves.py — fitted jointly with P(a) to eight CCC 2024 statistics</t>
        </is>
      </c>
    </row>
    <row r="11">
      <c r="B11" s="254" t="inlineStr">
        <is>
          <t>E1 Fleet</t>
        </is>
      </c>
      <c r="C11" s="254" t="inlineStr">
        <is>
          <t>D97</t>
        </is>
      </c>
      <c r="D11" s="254" t="inlineStr">
        <is>
          <t>Body factor: Car (claims per vehicle vs common curve)</t>
        </is>
      </c>
      <c r="E11" s="251" t="n">
        <v>1.11</v>
      </c>
      <c r="F11" s="252" t="inlineStr">
        <is>
          <t>CALIBRATED</t>
        </is>
      </c>
      <c r="G11" s="252" t="inlineStr">
        <is>
          <t>scripts/fleet_vs_ccc_backtest.py — fitted to 2025 CCC cells only; 2020–24 are the test</t>
        </is>
      </c>
    </row>
    <row r="12">
      <c r="B12" s="254" t="inlineStr">
        <is>
          <t>E1 Fleet</t>
        </is>
      </c>
      <c r="C12" s="254" t="inlineStr">
        <is>
          <t>D98</t>
        </is>
      </c>
      <c r="D12" s="254" t="inlineStr">
        <is>
          <t>Body factor: Utility vehicle (SUV)</t>
        </is>
      </c>
      <c r="E12" s="251" t="n">
        <v>0.917</v>
      </c>
      <c r="F12" s="252" t="inlineStr">
        <is>
          <t>CALIBRATED</t>
        </is>
      </c>
      <c r="G12" s="252" t="inlineStr">
        <is>
          <t>same</t>
        </is>
      </c>
    </row>
    <row r="13">
      <c r="B13" s="254" t="inlineStr">
        <is>
          <t>E1 Fleet</t>
        </is>
      </c>
      <c r="C13" s="254" t="inlineStr">
        <is>
          <t>D99</t>
        </is>
      </c>
      <c r="D13" s="254" t="inlineStr">
        <is>
          <t>Body factor: Pickup</t>
        </is>
      </c>
      <c r="E13" s="251" t="n">
        <v>1.028</v>
      </c>
      <c r="F13" s="252" t="inlineStr">
        <is>
          <t>CALIBRATED</t>
        </is>
      </c>
      <c r="G13" s="252" t="inlineStr">
        <is>
          <t>same</t>
        </is>
      </c>
    </row>
    <row r="14">
      <c r="B14" s="254" t="inlineStr">
        <is>
          <t>E1 Fleet</t>
        </is>
      </c>
      <c r="C14" s="254" t="inlineStr">
        <is>
          <t>D100</t>
        </is>
      </c>
      <c r="D14" s="254" t="inlineStr">
        <is>
          <t>Body factor: Van / minivan</t>
        </is>
      </c>
      <c r="E14" s="251" t="n">
        <v>0.923</v>
      </c>
      <c r="F14" s="252" t="inlineStr">
        <is>
          <t>CALIBRATED</t>
        </is>
      </c>
      <c r="G14" s="252" t="inlineStr">
        <is>
          <t>same</t>
        </is>
      </c>
    </row>
    <row r="15">
      <c r="B15" s="254" t="inlineStr">
        <is>
          <t>E2 Claims &amp; Totals</t>
        </is>
      </c>
      <c r="C15" s="254" t="inlineStr">
        <is>
          <t>D80</t>
        </is>
      </c>
      <c r="D15" s="254" t="inlineStr">
        <is>
          <t>Claims multiplier (relative combined claims propensity)</t>
        </is>
      </c>
      <c r="E15" s="251" t="n">
        <v>1</v>
      </c>
      <c r="F15" s="252" t="inlineStr">
        <is>
          <t>ASSUMED</t>
        </is>
      </c>
      <c r="G15" s="252" t="inlineStr">
        <is>
          <t>Neutral default; the 0.98 stress has no empirical anchor (driver_register.json)</t>
        </is>
      </c>
    </row>
    <row r="16">
      <c r="B16" s="254" t="inlineStr">
        <is>
          <t>E2 Claims &amp; Totals</t>
        </is>
      </c>
      <c r="C16" s="254" t="inlineStr">
        <is>
          <t>D81</t>
        </is>
      </c>
      <c r="D16" s="254" t="inlineStr">
        <is>
          <t>Paired repairable non-filing term (deductible shift)</t>
        </is>
      </c>
      <c r="E16" s="251" t="n">
        <v>0</v>
      </c>
      <c r="F16" s="252" t="inlineStr">
        <is>
          <t>ASSUMED</t>
        </is>
      </c>
      <c r="G16" s="252" t="inlineStr">
        <is>
          <t>Placeholder; CCC deductible-share series could bound it. Not yet wired</t>
        </is>
      </c>
    </row>
    <row r="17">
      <c r="B17" s="254" t="inlineStr">
        <is>
          <t>E2 Claims &amp; Totals</t>
        </is>
      </c>
      <c r="C17" s="254" t="inlineStr">
        <is>
          <t>D82</t>
        </is>
      </c>
      <c r="D17" s="254" t="inlineStr">
        <is>
          <t>Routing fraction of total losses to the insurance auction channel</t>
        </is>
      </c>
      <c r="E17" s="251" t="n">
        <v>1</v>
      </c>
      <c r="F17" s="252" t="inlineStr">
        <is>
          <t>ASSUMED</t>
        </is>
      </c>
      <c r="G17" s="252" t="inlineStr">
        <is>
          <t>Convention; dismantlers may buy directly from insurers (10-K)</t>
        </is>
      </c>
    </row>
    <row r="18">
      <c r="B18" s="254" t="inlineStr">
        <is>
          <t>E2 Claims &amp; Totals</t>
        </is>
      </c>
      <c r="C18" s="254" t="inlineStr">
        <is>
          <t>D83</t>
        </is>
      </c>
      <c r="D18" s="254" t="inlineStr">
        <is>
          <t>Extra catastrophe unit fraction</t>
        </is>
      </c>
      <c r="E18" s="251" t="n">
        <v>0</v>
      </c>
      <c r="F18" s="252" t="inlineStr">
        <is>
          <t>ASSUMED</t>
        </is>
      </c>
      <c r="G18" s="252" t="inlineStr">
        <is>
          <t>Convention; FY25 hurricane units handled in history</t>
        </is>
      </c>
    </row>
    <row r="19">
      <c r="B19" s="254" t="inlineStr">
        <is>
          <t>E2 Claims &amp; Totals</t>
        </is>
      </c>
      <c r="C19" s="254" t="inlineStr">
        <is>
          <t>D129</t>
        </is>
      </c>
      <c r="D19" s="254" t="inlineStr">
        <is>
          <t>S&amp;P-consistent premium growth, FY27</t>
        </is>
      </c>
      <c r="E19" s="251" t="n">
        <v>0</v>
      </c>
      <c r="F19" s="252" t="inlineStr">
        <is>
          <t>ASSUMED</t>
        </is>
      </c>
      <c r="G19" s="252" t="inlineStr">
        <is>
          <t>S&amp;P (Dec 2025): 2026 private auto pricing with "rate decreases matching rate increases"; no percentage published. Flat is our reading, not an S&amp;P number</t>
        </is>
      </c>
    </row>
    <row r="20">
      <c r="B20" s="254" t="inlineStr">
        <is>
          <t>E2 Claims &amp; Totals</t>
        </is>
      </c>
      <c r="C20" s="254" t="inlineStr">
        <is>
          <t>D130</t>
        </is>
      </c>
      <c r="D20" s="254" t="inlineStr">
        <is>
          <t>S&amp;P-consistent premium growth, FY28</t>
        </is>
      </c>
      <c r="E20" s="251" t="n">
        <v>0.03</v>
      </c>
      <c r="F20" s="252" t="inlineStr">
        <is>
          <t>ASSUMED</t>
        </is>
      </c>
      <c r="G20" s="252" t="inlineStr">
        <is>
          <t>S&amp;P projects auto combined ratios rising to 98.9 in 2027 and above 100 in 2028, implying renewed rate increases; +3% is our reading of that path, not an S&amp;P number</t>
        </is>
      </c>
    </row>
    <row r="21">
      <c r="B21" s="254" t="inlineStr">
        <is>
          <t>E3 Carriers</t>
        </is>
      </c>
      <c r="C21" s="254" t="inlineStr">
        <is>
          <t>D64</t>
        </is>
      </c>
      <c r="D21" s="254" t="inlineStr">
        <is>
          <t>Thesis A master toggle (1 = additions on; Scenarios reads both states, so leave at 1)</t>
        </is>
      </c>
      <c r="E21" s="258" t="n">
        <v>1</v>
      </c>
      <c r="F21" s="252" t="inlineStr">
        <is>
          <t>TOGGLE</t>
        </is>
      </c>
      <c r="G21" s="252" t="inlineStr">
        <is>
          <t>Structural switch; Scenarios selects base or thesis-A rows itself</t>
        </is>
      </c>
    </row>
    <row r="22">
      <c r="B22" s="254" t="inlineStr">
        <is>
          <t>E3 Carriers</t>
        </is>
      </c>
      <c r="C22" s="254" t="inlineStr">
        <is>
          <t>D66</t>
        </is>
      </c>
      <c r="D22" s="254" t="inlineStr">
        <is>
          <t>GEICO allocation event (inherited: allocation 0.83 → 0.90, a gain for Copart)</t>
        </is>
      </c>
      <c r="E22" s="258" t="n">
        <v>0</v>
      </c>
      <c r="F22" s="252" t="inlineStr">
        <is>
          <t>ASSUMED</t>
        </is>
      </c>
      <c r="G22" s="252" t="inlineStr">
        <is>
          <t>Share build U5: 60% judgmental probability; off by default in the bear variant</t>
        </is>
      </c>
    </row>
    <row r="23">
      <c r="B23" s="254" t="inlineStr">
        <is>
          <t>E3 Carriers</t>
        </is>
      </c>
      <c r="C23" s="254" t="inlineStr">
        <is>
          <t>D67</t>
        </is>
      </c>
      <c r="D23" s="254" t="inlineStr">
        <is>
          <t>State Farm adverse event (inherited: 0.50 → 0.4775 by FQ4 FY27)</t>
        </is>
      </c>
      <c r="E23" s="258" t="n">
        <v>1</v>
      </c>
      <c r="F23" s="252" t="inlineStr">
        <is>
          <t>ASSUMED</t>
        </is>
      </c>
      <c r="G23" s="252" t="inlineStr">
        <is>
          <t>Share build U7: 45% judgmental; shown as realised case, not probability-weighted</t>
        </is>
      </c>
    </row>
    <row r="24">
      <c r="B24" s="254" t="inlineStr">
        <is>
          <t>E3 Carriers</t>
        </is>
      </c>
      <c r="C24" s="254" t="inlineStr">
        <is>
          <t>D68</t>
        </is>
      </c>
      <c r="D24" s="254" t="inlineStr">
        <is>
          <t>Other-carrier drift event (inherited: 0.50 → 0.4775)</t>
        </is>
      </c>
      <c r="E24" s="258" t="n">
        <v>1</v>
      </c>
      <c r="F24" s="252" t="inlineStr">
        <is>
          <t>ASSUMED</t>
        </is>
      </c>
      <c r="G24" s="252" t="inlineStr">
        <is>
          <t>Share build Events row 15; regional anecdote on a 24% bucket</t>
        </is>
      </c>
    </row>
    <row r="25">
      <c r="B25" s="254" t="inlineStr">
        <is>
          <t>E3 Carriers</t>
        </is>
      </c>
      <c r="C25" s="254" t="inlineStr">
        <is>
          <t>D69</t>
        </is>
      </c>
      <c r="D25" s="254" t="inlineStr">
        <is>
          <t>Additional allocation drift, non-Progressive carriers (points per quarter from FQ1 FY27)</t>
        </is>
      </c>
      <c r="E25" s="251" t="n">
        <v>0</v>
      </c>
      <c r="F25" s="252" t="inlineStr">
        <is>
          <t>ASSUMED</t>
        </is>
      </c>
      <c r="G25" s="252" t="inlineStr">
        <is>
          <t>No evidence; 0 by default. Use only as a labelled stress</t>
        </is>
      </c>
    </row>
    <row r="26">
      <c r="B26" s="254" t="inlineStr">
        <is>
          <t>E3 Carriers</t>
        </is>
      </c>
      <c r="C26" s="254" t="inlineStr">
        <is>
          <t>D70</t>
        </is>
      </c>
      <c r="D26" s="254" t="inlineStr">
        <is>
          <t>Additional Progressive decline (points per quarter from FQ1 FY27)</t>
        </is>
      </c>
      <c r="E26" s="251" t="n">
        <v>0</v>
      </c>
      <c r="F26" s="252" t="inlineStr">
        <is>
          <t>ASSUMED</t>
        </is>
      </c>
      <c r="G26" s="252" t="inlineStr">
        <is>
          <t>The inherited path already reaches 5%</t>
        </is>
      </c>
    </row>
    <row r="27">
      <c r="B27" s="254" t="inlineStr">
        <is>
          <t>E3 Carriers</t>
        </is>
      </c>
      <c r="C27" s="254" t="inlineStr">
        <is>
          <t>D73</t>
        </is>
      </c>
      <c r="D27" s="254" t="inlineStr">
        <is>
          <t>Share of volume on concession terms when thesis A is on</t>
        </is>
      </c>
      <c r="E27" s="251" t="n">
        <v>0</v>
      </c>
      <c r="F27" s="252" t="inlineStr">
        <is>
          <t>ASSUMED</t>
        </is>
      </c>
      <c r="G27" s="252" t="inlineStr">
        <is>
          <t>Set in Scenarios; 0 means no retained-account repricing</t>
        </is>
      </c>
    </row>
    <row r="28">
      <c r="B28" s="254" t="inlineStr">
        <is>
          <t>E3 Carriers</t>
        </is>
      </c>
      <c r="C28" s="254" t="inlineStr">
        <is>
          <t>I77</t>
        </is>
      </c>
      <c r="D28" s="254" t="inlineStr">
        <is>
          <t>State Farm — adverse shift to IAA</t>
        </is>
      </c>
      <c r="E28" s="251" t="n">
        <v>2</v>
      </c>
      <c r="F28" s="252" t="n"/>
      <c r="G28" s="252" t="inlineStr">
        <is>
          <t>UNVERIFIED (expert, dated): share build U7 = 45%; Downloads build: RFP out since ~2025, Illinois pilot of ~500 cars to IAA (experts Jan–Aug 2026); sizing from historical 10–20 pt moves over four quarters (share-build precedents, not yet re-read)</t>
        </is>
      </c>
    </row>
    <row r="29">
      <c r="B29" s="254" t="inlineStr">
        <is>
          <t>E3 Carriers</t>
        </is>
      </c>
      <c r="C29" s="254" t="inlineStr">
        <is>
          <t>I78</t>
        </is>
      </c>
      <c r="D29" s="254" t="inlineStr">
        <is>
          <t>Other (Erie, AAA, AmFam, regionals) — adverse drift</t>
        </is>
      </c>
      <c r="E29" s="251" t="n">
        <v>4</v>
      </c>
      <c r="F29" s="252" t="n"/>
      <c r="G29" s="252" t="inlineStr">
        <is>
          <t>UNVERIFIED (expert, dated): share build Events row 15; YipitData shows IAA additions high in Pennsylvania where Erie is #3; regional anecdote applied to a 24% bucket</t>
        </is>
      </c>
    </row>
    <row r="30">
      <c r="B30" s="254" t="inlineStr">
        <is>
          <t>E3 Carriers</t>
        </is>
      </c>
      <c r="C30" s="254" t="inlineStr">
        <is>
          <t>D79</t>
        </is>
      </c>
      <c r="D30" s="254" t="inlineStr">
        <is>
          <t>GEICO — win for Copart (0.83 → 0.95 if realised)</t>
        </is>
      </c>
      <c r="E30" s="251" t="n">
        <v>0.12</v>
      </c>
      <c r="F30" s="252" t="n"/>
      <c r="G30" s="252" t="inlineStr">
        <is>
          <t>UNVERIFIED (expert, dated): share build U5 = 60%; expert (Jul 2025) put the GEICO RFP 1–2 years out. Off in the bear variant by default</t>
        </is>
      </c>
    </row>
    <row r="31">
      <c r="B31" s="254" t="inlineStr">
        <is>
          <t>E3 Carriers</t>
        </is>
      </c>
      <c r="C31" s="254" t="inlineStr">
        <is>
          <t>I79</t>
        </is>
      </c>
      <c r="D31" s="254" t="inlineStr">
        <is>
          <t>GEICO — win for Copart (0.83 → 0.95 if realised)</t>
        </is>
      </c>
      <c r="E31" s="251" t="n">
        <v>3</v>
      </c>
      <c r="F31" s="252" t="n"/>
      <c r="G31" s="252" t="inlineStr">
        <is>
          <t>UNVERIFIED (expert, dated): share build U5 = 60%; expert (Jul 2025) put the GEICO RFP 1–2 years out. Off in the bear variant by default</t>
        </is>
      </c>
    </row>
    <row r="32">
      <c r="B32" s="254" t="inlineStr">
        <is>
          <t>E3 Carriers</t>
        </is>
      </c>
      <c r="C32" s="254" t="inlineStr">
        <is>
          <t>D80</t>
        </is>
      </c>
      <c r="D32" s="254" t="inlineStr">
        <is>
          <t>Progressive — realised loss (0.25 → 0.05)</t>
        </is>
      </c>
      <c r="E32" s="251" t="n">
        <v>-0.2</v>
      </c>
      <c r="F32" s="252" t="n"/>
      <c r="G32" s="252" t="inlineStr">
        <is>
          <t>FITTED to the FQ4 FY26 print (carrier test); IAA agreement in principle Feb 2026, executed May 2026, all 50 states (Downloads build, UNVERIFIED expert); Copart call: assignments +2.3% ex one customer (VERIFIED)</t>
        </is>
      </c>
    </row>
    <row r="33">
      <c r="B33" s="254" t="inlineStr">
        <is>
          <t>E3 Carriers</t>
        </is>
      </c>
      <c r="C33" s="254" t="inlineStr">
        <is>
          <t>E80</t>
        </is>
      </c>
      <c r="D33" s="254" t="inlineStr">
        <is>
          <t>Progressive — realised loss (0.25 → 0.05)</t>
        </is>
      </c>
      <c r="E33" s="258" t="n">
        <v>1</v>
      </c>
      <c r="F33" s="252" t="n"/>
      <c r="G33" s="252" t="inlineStr">
        <is>
          <t>FITTED to the FQ4 FY26 print (carrier test); IAA agreement in principle Feb 2026, executed May 2026, all 50 states (Downloads build, UNVERIFIED expert); Copart call: assignments +2.3% ex one customer (VERIFIED)</t>
        </is>
      </c>
    </row>
    <row r="34">
      <c r="B34" s="254" t="inlineStr">
        <is>
          <t>E3 Carriers</t>
        </is>
      </c>
      <c r="C34" s="254" t="inlineStr">
        <is>
          <t>I80</t>
        </is>
      </c>
      <c r="D34" s="254" t="inlineStr">
        <is>
          <t>Progressive — realised loss (0.25 → 0.05)</t>
        </is>
      </c>
      <c r="E34" s="251" t="n">
        <v>2.2</v>
      </c>
      <c r="F34" s="252" t="n"/>
      <c r="G34" s="252" t="inlineStr">
        <is>
          <t>FITTED to the FQ4 FY26 print (carrier test); IAA agreement in principle Feb 2026, executed May 2026, all 50 states (Downloads build, UNVERIFIED expert); Copart call: assignments +2.3% ex one customer (VERIFIED)</t>
        </is>
      </c>
    </row>
    <row r="35">
      <c r="B35" s="254" t="inlineStr">
        <is>
          <t>E4 Aftermarket</t>
        </is>
      </c>
      <c r="C35" s="254" t="inlineStr">
        <is>
          <t>D49</t>
        </is>
      </c>
      <c r="D35" s="254" t="inlineStr">
        <is>
          <t>p_OEM: relative price</t>
        </is>
      </c>
      <c r="E35" s="251" t="n">
        <v>1</v>
      </c>
      <c r="F35" s="252" t="inlineStr">
        <is>
          <t>ASSUMED</t>
        </is>
      </c>
      <c r="G35" s="252" t="inlineStr">
        <is>
          <t>Numeraire</t>
        </is>
      </c>
    </row>
    <row r="36">
      <c r="B36" s="254" t="inlineStr">
        <is>
          <t>E4 Aftermarket</t>
        </is>
      </c>
      <c r="C36" s="254" t="inlineStr">
        <is>
          <t>D52</t>
        </is>
      </c>
      <c r="D36" s="254" t="inlineStr">
        <is>
          <t>x: donor contribution exposed to collision-part substitution</t>
        </is>
      </c>
      <c r="E36" s="251" t="n">
        <v>0.25</v>
      </c>
      <c r="F36" s="252" t="inlineStr">
        <is>
          <t>ASSUMED</t>
        </is>
      </c>
      <c r="G36" s="252" t="inlineStr">
        <is>
          <t>No supporting record (FORWARD_ASSUMPTIONS.md)</t>
        </is>
      </c>
    </row>
    <row r="37">
      <c r="B37" s="254" t="inlineStr">
        <is>
          <t>E4 Aftermarket</t>
        </is>
      </c>
      <c r="C37" s="254" t="inlineStr">
        <is>
          <t>D53</t>
        </is>
      </c>
      <c r="D37" s="254" t="inlineStr">
        <is>
          <t>κ: contribution-to-hammer bid ratio</t>
        </is>
      </c>
      <c r="E37" s="251" t="n">
        <v>1.5</v>
      </c>
      <c r="F37" s="252" t="inlineStr">
        <is>
          <t>ASSUMED</t>
        </is>
      </c>
      <c r="G37" s="252" t="inlineStr">
        <is>
          <t>Sturgeon 2018 margins make the scale interpretable, not the value</t>
        </is>
      </c>
    </row>
    <row r="38">
      <c r="B38" s="254" t="inlineStr">
        <is>
          <t>E4 Aftermarket</t>
        </is>
      </c>
      <c r="C38" s="254" t="inlineStr">
        <is>
          <t>D54</t>
        </is>
      </c>
      <c r="D38" s="254" t="inlineStr">
        <is>
          <t>Stress path: OEM → aftermarket shift per quarter through FY27 (points)</t>
        </is>
      </c>
      <c r="E38" s="251" t="n">
        <v>0.01</v>
      </c>
      <c r="F38" s="252" t="inlineStr">
        <is>
          <t>ASSUMED</t>
        </is>
      </c>
      <c r="G38" s="252" t="inlineStr">
        <is>
          <t>model/thesis_audit_2026-10-01/assumptions.json (memo stress; 5.5-pt endpoint)</t>
        </is>
      </c>
    </row>
    <row r="39">
      <c r="B39" s="254" t="inlineStr">
        <is>
          <t>E4 Aftermarket</t>
        </is>
      </c>
      <c r="C39" s="254" t="inlineStr">
        <is>
          <t>D55</t>
        </is>
      </c>
      <c r="D39" s="254" t="inlineStr">
        <is>
          <t>Stress path: recycled → aftermarket shift per quarter (points)</t>
        </is>
      </c>
      <c r="E39" s="251" t="n">
        <v>0.00375</v>
      </c>
      <c r="F39" s="252" t="inlineStr">
        <is>
          <t>ASSUMED</t>
        </is>
      </c>
      <c r="G39" s="252" t="inlineStr">
        <is>
          <t>same</t>
        </is>
      </c>
    </row>
    <row r="40">
      <c r="B40" s="254" t="inlineStr">
        <is>
          <t>E4 Aftermarket</t>
        </is>
      </c>
      <c r="C40" s="254" t="inlineStr">
        <is>
          <t>D56</t>
        </is>
      </c>
      <c r="D40" s="254" t="inlineStr">
        <is>
          <t>Stress path: hold FY27 endpoint through FY28 (1) or revert (0)</t>
        </is>
      </c>
      <c r="E40" s="258" t="n">
        <v>1</v>
      </c>
      <c r="F40" s="252" t="inlineStr">
        <is>
          <t>TOGGLE</t>
        </is>
      </c>
      <c r="G40" s="252" t="inlineStr">
        <is>
          <t>Convention for the stress path only</t>
        </is>
      </c>
    </row>
    <row r="41">
      <c r="B41" s="254" t="inlineStr">
        <is>
          <t>E4 Aftermarket</t>
        </is>
      </c>
      <c r="C41" s="254" t="inlineStr">
        <is>
          <t>D57</t>
        </is>
      </c>
      <c r="D41" s="254" t="inlineStr">
        <is>
          <t>τ: recycler bid transmission to the marginal price</t>
        </is>
      </c>
      <c r="E41" s="251" t="n">
        <v>0.5</v>
      </c>
      <c r="F41" s="252" t="inlineStr">
        <is>
          <t>ASSUMED</t>
        </is>
      </c>
      <c r="G41" s="252" t="inlineStr">
        <is>
          <t>The 10% case removes most of the price effect (AUDIT.md)</t>
        </is>
      </c>
    </row>
    <row r="42">
      <c r="B42" s="254" t="inlineStr">
        <is>
          <t>E4 Aftermarket</t>
        </is>
      </c>
      <c r="C42" s="254" t="inlineStr">
        <is>
          <t>D58</t>
        </is>
      </c>
      <c r="D42" s="254" t="inlineStr">
        <is>
          <t>Endpoint recycled displacement used by the engine (points)</t>
        </is>
      </c>
      <c r="E42" s="251" t="n">
        <v>0.015</v>
      </c>
      <c r="F42" s="252" t="inlineStr">
        <is>
          <t>ASSUMED</t>
        </is>
      </c>
      <c r="G42" s="252" t="inlineStr">
        <is>
          <t>ccc_larger_shift case</t>
        </is>
      </c>
    </row>
    <row r="43">
      <c r="B43" s="254" t="inlineStr">
        <is>
          <t>E4 Aftermarket</t>
        </is>
      </c>
      <c r="C43" s="254" t="inlineStr">
        <is>
          <t>D67</t>
        </is>
      </c>
      <c r="D43" s="254" t="inlineStr">
        <is>
          <t>Tariff effect: additional aftermarket share suppressed by the Taiwan parts tariff (points, FY27 endpoint)</t>
        </is>
      </c>
      <c r="E43" s="251" t="n">
        <v>0</v>
      </c>
      <c r="F43" s="252" t="inlineStr">
        <is>
          <t>ASSUMED</t>
        </is>
      </c>
      <c r="G43" s="252" t="inlineStr">
        <is>
          <t>Memo: 0.84–1.69 pts with a price-response coefficient of 2; coefficient unsourced, so 0 by default. The other session verified a 1 May 2025 implementation for qualifying categories only</t>
        </is>
      </c>
    </row>
    <row r="44">
      <c r="B44" s="254" t="inlineStr">
        <is>
          <t>E5 Prices &amp; Fees</t>
        </is>
      </c>
      <c r="C44" s="254" t="inlineStr">
        <is>
          <t>D39</t>
        </is>
      </c>
      <c r="D44" s="254" t="inlineStr">
        <is>
          <t>Insurance share of US service dollars</t>
        </is>
      </c>
      <c r="E44" s="258" t="n">
        <v>0.9</v>
      </c>
      <c r="F44" s="252" t="inlineStr">
        <is>
          <t>ASSUMED</t>
        </is>
      </c>
      <c r="G44" s="252" t="inlineStr">
        <is>
          <t>0.80 alternative; carry both</t>
        </is>
      </c>
    </row>
    <row r="45">
      <c r="B45" s="254" t="inlineStr">
        <is>
          <t>E5 Prices &amp; Fees</t>
        </is>
      </c>
      <c r="C45" s="254" t="inlineStr">
        <is>
          <t>D40</t>
        </is>
      </c>
      <c r="D45" s="254" t="inlineStr">
        <is>
          <t>Title service: adoption (share of sales)</t>
        </is>
      </c>
      <c r="E45" s="251" t="n">
        <v>0.5</v>
      </c>
      <c r="F45" s="252" t="inlineStr">
        <is>
          <t>ASSUMED</t>
        </is>
      </c>
      <c r="G45" s="252" t="inlineStr">
        <is>
          <t>Undisclosed</t>
        </is>
      </c>
    </row>
    <row r="46">
      <c r="B46" s="254" t="inlineStr">
        <is>
          <t>E5 Prices &amp; Fees</t>
        </is>
      </c>
      <c r="C46" s="254" t="inlineStr">
        <is>
          <t>D41</t>
        </is>
      </c>
      <c r="D46" s="254" t="inlineStr">
        <is>
          <t>Title service: charge per job</t>
        </is>
      </c>
      <c r="E46" s="251" t="n">
        <v>50</v>
      </c>
      <c r="F46" s="252" t="inlineStr">
        <is>
          <t>ASSUMED</t>
        </is>
      </c>
      <c r="G46" s="252" t="inlineStr">
        <is>
          <t>Inherited with the adoption rate above; product price undisclosed</t>
        </is>
      </c>
    </row>
    <row r="47">
      <c r="B47" s="254" t="inlineStr">
        <is>
          <t>E5 Prices &amp; Fees</t>
        </is>
      </c>
      <c r="C47" s="254" t="inlineStr">
        <is>
          <t>D42</t>
        </is>
      </c>
      <c r="D47" s="254" t="inlineStr">
        <is>
          <t>Delivery service: adoption</t>
        </is>
      </c>
      <c r="E47" s="251" t="n">
        <v>0.1</v>
      </c>
      <c r="F47" s="252" t="inlineStr">
        <is>
          <t>ASSUMED</t>
        </is>
      </c>
      <c r="G47" s="252" t="inlineStr">
        <is>
          <t>Undisclosed; gross/net unknown</t>
        </is>
      </c>
    </row>
    <row r="48">
      <c r="B48" s="254" t="inlineStr">
        <is>
          <t>E5 Prices &amp; Fees</t>
        </is>
      </c>
      <c r="C48" s="254" t="inlineStr">
        <is>
          <t>D43</t>
        </is>
      </c>
      <c r="D48" s="254" t="inlineStr">
        <is>
          <t>Delivery service: charge per job</t>
        </is>
      </c>
      <c r="E48" s="251" t="n">
        <v>300</v>
      </c>
      <c r="F48" s="252" t="inlineStr">
        <is>
          <t>ASSUMED</t>
        </is>
      </c>
      <c r="G48" s="252" t="inlineStr">
        <is>
          <t>Inherited; gross charge per delivered vehicle, product price undisclosed</t>
        </is>
      </c>
    </row>
    <row r="49">
      <c r="B49" s="254" t="inlineStr">
        <is>
          <t>E5 Prices &amp; Fees</t>
        </is>
      </c>
      <c r="C49" s="254" t="inlineStr">
        <is>
          <t>D44</t>
        </is>
      </c>
      <c r="D49" s="254" t="inlineStr">
        <is>
          <t>US insurance ASP growth, FY27+ (continuation)</t>
        </is>
      </c>
      <c r="E49" s="251" t="n">
        <v>0.037</v>
      </c>
      <c r="F49" s="252" t="inlineStr">
        <is>
          <t>ASSUMED</t>
        </is>
      </c>
      <c r="G49" s="252" t="inlineStr">
        <is>
          <t>FQ4 FY26 disclosed +3.7% continued; not guidance (6% alternative)</t>
        </is>
      </c>
    </row>
    <row r="50">
      <c r="B50" s="254" t="inlineStr">
        <is>
          <t>E5 Prices &amp; Fees</t>
        </is>
      </c>
      <c r="C50" s="254" t="inlineStr">
        <is>
          <t>D47</t>
        </is>
      </c>
      <c r="D50" s="254" t="inlineStr">
        <is>
          <t>Seller commission rate embedded in the anchor</t>
        </is>
      </c>
      <c r="E50" s="251" t="n">
        <v>0.04</v>
      </c>
      <c r="F50" s="252" t="inlineStr">
        <is>
          <t>ASSUMED</t>
        </is>
      </c>
      <c r="G50" s="252" t="inlineStr">
        <is>
          <t>driver_register buyer_and_seller_fees</t>
        </is>
      </c>
    </row>
    <row r="51">
      <c r="B51" s="254" t="inlineStr">
        <is>
          <t>E5 Prices &amp; Fees</t>
        </is>
      </c>
      <c r="C51" s="254" t="inlineStr">
        <is>
          <t>D48</t>
        </is>
      </c>
      <c r="D51" s="254" t="inlineStr">
        <is>
          <t>Fixed buyer fees embedded in the anchor</t>
        </is>
      </c>
      <c r="E51" s="251" t="n">
        <v>110</v>
      </c>
      <c r="F51" s="252" t="inlineStr">
        <is>
          <t>ASSUMED</t>
        </is>
      </c>
      <c r="G51" s="252" t="inlineStr">
        <is>
          <t>Inherited; contradicts posted $79/$95 gate fee — flagged in source trace</t>
        </is>
      </c>
    </row>
    <row r="52">
      <c r="B52" s="254" t="inlineStr">
        <is>
          <t>E6 Other Branches</t>
        </is>
      </c>
      <c r="C52" s="254" t="inlineStr">
        <is>
          <t>D30</t>
        </is>
      </c>
      <c r="D52" s="254" t="inlineStr">
        <is>
          <t>US non-insurance service growth, y/y</t>
        </is>
      </c>
      <c r="E52" s="251" t="n">
        <v>0</v>
      </c>
      <c r="F52" s="252" t="inlineStr">
        <is>
          <t>ASSUMED</t>
        </is>
      </c>
      <c r="G52" s="252" t="inlineStr">
        <is>
          <t>Flat convention; FQ4 FY26 non-insurance units +0.2% with dealer +5.8%, BluCar +20%, Direct −11.7% (call)</t>
        </is>
      </c>
    </row>
    <row r="53">
      <c r="B53" s="254" t="inlineStr">
        <is>
          <t>E6 Other Branches</t>
        </is>
      </c>
      <c r="C53" s="254" t="inlineStr">
        <is>
          <t>D31</t>
        </is>
      </c>
      <c r="D53" s="254" t="inlineStr">
        <is>
          <t>International fee-unit growth, y/y</t>
        </is>
      </c>
      <c r="E53" s="251" t="n">
        <v>0.116</v>
      </c>
      <c r="F53" s="252" t="inlineStr">
        <is>
          <t>ASSUMED</t>
        </is>
      </c>
      <c r="G53" s="252" t="inlineStr">
        <is>
          <t>Derived FQ4 FY26: service +15.5% ÷ 1.035 − 1 (MEASURED by identity), continued as an assumption</t>
        </is>
      </c>
    </row>
    <row r="54">
      <c r="B54" s="254" t="inlineStr">
        <is>
          <t>E6 Other Branches</t>
        </is>
      </c>
      <c r="C54" s="254" t="inlineStr">
        <is>
          <t>D32</t>
        </is>
      </c>
      <c r="D54" s="254" t="inlineStr">
        <is>
          <t>International fee RPU growth, y/y</t>
        </is>
      </c>
      <c r="E54" s="251" t="n">
        <v>0.035</v>
      </c>
      <c r="F54" s="252" t="inlineStr">
        <is>
          <t>ASSUMED</t>
        </is>
      </c>
      <c r="G54" s="252" t="inlineStr">
        <is>
          <t>FQ4 FY26 disclosed +3.5% (VERIFIED), continued</t>
        </is>
      </c>
    </row>
    <row r="55">
      <c r="B55" s="254" t="inlineStr">
        <is>
          <t>E6 Other Branches</t>
        </is>
      </c>
      <c r="C55" s="254" t="inlineStr">
        <is>
          <t>D33</t>
        </is>
      </c>
      <c r="D55" s="254" t="inlineStr">
        <is>
          <t>International continuation toggle (1 = continue; 0 = flat)</t>
        </is>
      </c>
      <c r="E55" s="258" t="n">
        <v>1</v>
      </c>
      <c r="F55" s="252" t="inlineStr">
        <is>
          <t>TOGGLE</t>
        </is>
      </c>
      <c r="G55" s="252" t="inlineStr">
        <is>
          <t>Worth about $90m a year</t>
        </is>
      </c>
    </row>
    <row r="56">
      <c r="B56" s="254" t="inlineStr">
        <is>
          <t>E6 Other Branches</t>
        </is>
      </c>
      <c r="C56" s="254" t="inlineStr">
        <is>
          <t>D34</t>
        </is>
      </c>
      <c r="D56" s="254" t="inlineStr">
        <is>
          <t>Purchased-vehicle revenue growth, y/y</t>
        </is>
      </c>
      <c r="E56" s="251" t="n">
        <v>0</v>
      </c>
      <c r="F56" s="252" t="inlineStr">
        <is>
          <t>ASSUMED</t>
        </is>
      </c>
      <c r="G56" s="252" t="inlineStr">
        <is>
          <t>Flat convention</t>
        </is>
      </c>
    </row>
    <row r="57">
      <c r="B57" s="254" t="inlineStr">
        <is>
          <t>E6 Other Branches</t>
        </is>
      </c>
      <c r="C57" s="254" t="inlineStr">
        <is>
          <t>D35</t>
        </is>
      </c>
      <c r="D57" s="254" t="inlineStr">
        <is>
          <t>ACV included (1) or excluded (0)</t>
        </is>
      </c>
      <c r="E57" s="258" t="n">
        <v>0</v>
      </c>
      <c r="F57" s="252" t="inlineStr">
        <is>
          <t>TOGGLE</t>
        </is>
      </c>
      <c r="G57" s="252" t="inlineStr">
        <is>
          <t>Perimeter gate</t>
        </is>
      </c>
    </row>
    <row r="58">
      <c r="B58" s="254" t="inlineStr">
        <is>
          <t>Scenarios</t>
        </is>
      </c>
      <c r="C58" s="254" t="inlineStr">
        <is>
          <t>D101</t>
        </is>
      </c>
      <c r="D58" s="254" t="inlineStr">
        <is>
          <t>Case 0 — Street-implied: known runoff, coverage recovery reverse-solved to JPM FY27</t>
        </is>
      </c>
      <c r="E58" s="258" t="n">
        <v>0</v>
      </c>
      <c r="F58" s="252" t="n"/>
      <c r="G58" s="252" t="inlineStr">
        <is>
          <t>Case parameter (toggle) — see Scenarios case definitions</t>
        </is>
      </c>
    </row>
    <row r="59">
      <c r="B59" s="254" t="inlineStr">
        <is>
          <t>Scenarios</t>
        </is>
      </c>
      <c r="C59" s="254" t="inlineStr">
        <is>
          <t>E101</t>
        </is>
      </c>
      <c r="D59" s="254" t="inlineStr">
        <is>
          <t>Case 0 — Street-implied: known runoff, coverage recovery reverse-solved to JPM FY27</t>
        </is>
      </c>
      <c r="E59" s="258" t="n">
        <v>0</v>
      </c>
      <c r="F59" s="252" t="n"/>
      <c r="G59" s="252" t="inlineStr">
        <is>
          <t>Case parameter (toggle) — see Scenarios case definitions</t>
        </is>
      </c>
    </row>
    <row r="60">
      <c r="B60" s="254" t="inlineStr">
        <is>
          <t>Scenarios</t>
        </is>
      </c>
      <c r="C60" s="254" t="inlineStr">
        <is>
          <t>H101</t>
        </is>
      </c>
      <c r="D60" s="254" t="inlineStr">
        <is>
          <t>Case 0 — Street-implied: known runoff, coverage recovery reverse-solved to JPM FY27</t>
        </is>
      </c>
      <c r="E60" s="258" t="n">
        <v>3</v>
      </c>
      <c r="F60" s="252" t="n"/>
      <c r="G60" s="252" t="inlineStr">
        <is>
          <t>Case parameter (toggle) — see Scenarios case definitions</t>
        </is>
      </c>
    </row>
    <row r="61">
      <c r="B61" s="254" t="inlineStr">
        <is>
          <t>Scenarios</t>
        </is>
      </c>
      <c r="C61" s="254" t="inlineStr">
        <is>
          <t>D102</t>
        </is>
      </c>
      <c r="D61" s="254" t="inlineStr">
        <is>
          <t>Case 1 — Known facts / thesis 1 sticky: runoff laps, coverage flat, no other thesis</t>
        </is>
      </c>
      <c r="E61" s="258" t="n">
        <v>0</v>
      </c>
      <c r="F61" s="252" t="n"/>
      <c r="G61" s="252" t="inlineStr">
        <is>
          <t>Case parameter (toggle) — see Scenarios case definitions</t>
        </is>
      </c>
    </row>
    <row r="62">
      <c r="B62" s="254" t="inlineStr">
        <is>
          <t>Scenarios</t>
        </is>
      </c>
      <c r="C62" s="254" t="inlineStr">
        <is>
          <t>E102</t>
        </is>
      </c>
      <c r="D62" s="254" t="inlineStr">
        <is>
          <t>Case 1 — Known facts / thesis 1 sticky: runoff laps, coverage flat, no other thesis</t>
        </is>
      </c>
      <c r="E62" s="258" t="n">
        <v>0</v>
      </c>
      <c r="F62" s="252" t="n"/>
      <c r="G62" s="252" t="inlineStr">
        <is>
          <t>Case parameter (toggle) — see Scenarios case definitions</t>
        </is>
      </c>
    </row>
    <row r="63">
      <c r="B63" s="254" t="inlineStr">
        <is>
          <t>Scenarios</t>
        </is>
      </c>
      <c r="C63" s="254" t="inlineStr">
        <is>
          <t>H102</t>
        </is>
      </c>
      <c r="D63" s="254" t="inlineStr">
        <is>
          <t>Case 1 — Known facts / thesis 1 sticky: runoff laps, coverage flat, no other thesis</t>
        </is>
      </c>
      <c r="E63" s="258" t="n">
        <v>1</v>
      </c>
      <c r="F63" s="252" t="n"/>
      <c r="G63" s="252" t="inlineStr">
        <is>
          <t>Case parameter (toggle) — see Scenarios case definitions</t>
        </is>
      </c>
    </row>
    <row r="64">
      <c r="B64" s="254" t="inlineStr">
        <is>
          <t>Scenarios</t>
        </is>
      </c>
      <c r="C64" s="254" t="inlineStr">
        <is>
          <t>D103</t>
        </is>
      </c>
      <c r="D64" s="254" t="inlineStr">
        <is>
          <t>Case 1b — Premium-response coverage (mechanistic bull on thesis 1)</t>
        </is>
      </c>
      <c r="E64" s="258" t="n">
        <v>0</v>
      </c>
      <c r="F64" s="252" t="n"/>
      <c r="G64" s="252" t="inlineStr">
        <is>
          <t>Case parameter (toggle) — see Scenarios case definitions</t>
        </is>
      </c>
    </row>
    <row r="65">
      <c r="B65" s="254" t="inlineStr">
        <is>
          <t>Scenarios</t>
        </is>
      </c>
      <c r="C65" s="254" t="inlineStr">
        <is>
          <t>E103</t>
        </is>
      </c>
      <c r="D65" s="254" t="inlineStr">
        <is>
          <t>Case 1b — Premium-response coverage (mechanistic bull on thesis 1)</t>
        </is>
      </c>
      <c r="E65" s="258" t="n">
        <v>0</v>
      </c>
      <c r="F65" s="252" t="n"/>
      <c r="G65" s="252" t="inlineStr">
        <is>
          <t>Case parameter (toggle) — see Scenarios case definitions</t>
        </is>
      </c>
    </row>
    <row r="66">
      <c r="B66" s="254" t="inlineStr">
        <is>
          <t>Scenarios</t>
        </is>
      </c>
      <c r="C66" s="254" t="inlineStr">
        <is>
          <t>H103</t>
        </is>
      </c>
      <c r="D66" s="254" t="inlineStr">
        <is>
          <t>Case 1b — Premium-response coverage (mechanistic bull on thesis 1)</t>
        </is>
      </c>
      <c r="E66" s="258" t="n">
        <v>2</v>
      </c>
      <c r="F66" s="252" t="n"/>
      <c r="G66" s="252" t="inlineStr">
        <is>
          <t>Case parameter (toggle) — see Scenarios case definitions</t>
        </is>
      </c>
    </row>
    <row r="67">
      <c r="B67" s="254" t="inlineStr">
        <is>
          <t>Scenarios</t>
        </is>
      </c>
      <c r="C67" s="254" t="inlineStr">
        <is>
          <t>D104</t>
        </is>
      </c>
      <c r="D67" s="254" t="inlineStr">
        <is>
          <t>Thesis 2 — aftermarket substitution on case 1</t>
        </is>
      </c>
      <c r="E67" s="258" t="n">
        <v>0</v>
      </c>
      <c r="F67" s="252" t="n"/>
      <c r="G67" s="252" t="inlineStr">
        <is>
          <t>Case parameter (toggle) — see Scenarios case definitions</t>
        </is>
      </c>
    </row>
    <row r="68">
      <c r="B68" s="254" t="inlineStr">
        <is>
          <t>Scenarios</t>
        </is>
      </c>
      <c r="C68" s="254" t="inlineStr">
        <is>
          <t>E104</t>
        </is>
      </c>
      <c r="D68" s="254" t="inlineStr">
        <is>
          <t>Thesis 2 — aftermarket substitution on case 1</t>
        </is>
      </c>
      <c r="E68" s="258" t="n">
        <v>1</v>
      </c>
      <c r="F68" s="252" t="n"/>
      <c r="G68" s="252" t="inlineStr">
        <is>
          <t>Case parameter (toggle) — see Scenarios case definitions</t>
        </is>
      </c>
    </row>
    <row r="69">
      <c r="B69" s="254" t="inlineStr">
        <is>
          <t>Scenarios</t>
        </is>
      </c>
      <c r="C69" s="254" t="inlineStr">
        <is>
          <t>H104</t>
        </is>
      </c>
      <c r="D69" s="254" t="inlineStr">
        <is>
          <t>Thesis 2 — aftermarket substitution on case 1</t>
        </is>
      </c>
      <c r="E69" s="258" t="n">
        <v>1</v>
      </c>
      <c r="F69" s="252" t="n"/>
      <c r="G69" s="252" t="inlineStr">
        <is>
          <t>Case parameter (toggle) — see Scenarios case definitions</t>
        </is>
      </c>
    </row>
    <row r="70">
      <c r="B70" s="254" t="inlineStr">
        <is>
          <t>Scenarios</t>
        </is>
      </c>
      <c r="C70" s="254" t="inlineStr">
        <is>
          <t>D105</t>
        </is>
      </c>
      <c r="D70" s="254" t="inlineStr">
        <is>
          <t>Thesis 3 — probability-weighted carrier moves on case 1</t>
        </is>
      </c>
      <c r="E70" s="258" t="n">
        <v>1</v>
      </c>
      <c r="F70" s="252" t="n"/>
      <c r="G70" s="252" t="inlineStr">
        <is>
          <t>Case parameter (toggle) — see Scenarios case definitions</t>
        </is>
      </c>
    </row>
    <row r="71">
      <c r="B71" s="254" t="inlineStr">
        <is>
          <t>Scenarios</t>
        </is>
      </c>
      <c r="C71" s="254" t="inlineStr">
        <is>
          <t>E105</t>
        </is>
      </c>
      <c r="D71" s="254" t="inlineStr">
        <is>
          <t>Thesis 3 — probability-weighted carrier moves on case 1</t>
        </is>
      </c>
      <c r="E71" s="258" t="n">
        <v>0</v>
      </c>
      <c r="F71" s="252" t="n"/>
      <c r="G71" s="252" t="inlineStr">
        <is>
          <t>Case parameter (toggle) — see Scenarios case definitions</t>
        </is>
      </c>
    </row>
    <row r="72">
      <c r="B72" s="254" t="inlineStr">
        <is>
          <t>Scenarios</t>
        </is>
      </c>
      <c r="C72" s="254" t="inlineStr">
        <is>
          <t>H105</t>
        </is>
      </c>
      <c r="D72" s="254" t="inlineStr">
        <is>
          <t>Thesis 3 — probability-weighted carrier moves on case 1</t>
        </is>
      </c>
      <c r="E72" s="258" t="n">
        <v>1</v>
      </c>
      <c r="F72" s="252" t="n"/>
      <c r="G72" s="252" t="inlineStr">
        <is>
          <t>Case parameter (toggle) — see Scenarios case definitions</t>
        </is>
      </c>
    </row>
    <row r="73">
      <c r="B73" s="254" t="inlineStr">
        <is>
          <t>Scenarios</t>
        </is>
      </c>
      <c r="C73" s="254" t="inlineStr">
        <is>
          <t>D106</t>
        </is>
      </c>
      <c r="D73" s="254" t="inlineStr">
        <is>
          <t>All three — sticky coverage + aftermarket + carrier moves</t>
        </is>
      </c>
      <c r="E73" s="258" t="n">
        <v>1</v>
      </c>
      <c r="F73" s="252" t="n"/>
      <c r="G73" s="252" t="inlineStr">
        <is>
          <t>Case parameter (toggle) — see Scenarios case definitions</t>
        </is>
      </c>
    </row>
    <row r="74">
      <c r="B74" s="254" t="inlineStr">
        <is>
          <t>Scenarios</t>
        </is>
      </c>
      <c r="C74" s="254" t="inlineStr">
        <is>
          <t>E106</t>
        </is>
      </c>
      <c r="D74" s="254" t="inlineStr">
        <is>
          <t>All three — sticky coverage + aftermarket + carrier moves</t>
        </is>
      </c>
      <c r="E74" s="258" t="n">
        <v>1</v>
      </c>
      <c r="F74" s="252" t="n"/>
      <c r="G74" s="252" t="inlineStr">
        <is>
          <t>Case parameter (toggle) — see Scenarios case definitions</t>
        </is>
      </c>
    </row>
    <row r="75">
      <c r="B75" s="254" t="inlineStr">
        <is>
          <t>Scenarios</t>
        </is>
      </c>
      <c r="C75" s="254" t="inlineStr">
        <is>
          <t>H106</t>
        </is>
      </c>
      <c r="D75" s="254" t="inlineStr">
        <is>
          <t>All three — sticky coverage + aftermarket + carrier moves</t>
        </is>
      </c>
      <c r="E75" s="258" t="n">
        <v>1</v>
      </c>
      <c r="F75" s="252" t="n"/>
      <c r="G75" s="252" t="inlineStr">
        <is>
          <t>Case parameter (toggle) — see Scenarios case definitions</t>
        </is>
      </c>
    </row>
    <row r="76">
      <c r="B76" s="254" t="inlineStr">
        <is>
          <t>Scenarios</t>
        </is>
      </c>
      <c r="C76" s="254" t="inlineStr">
        <is>
          <t>D107</t>
        </is>
      </c>
      <c r="D76" s="254" t="inlineStr">
        <is>
          <t>Bull — premium-response coverage, ASP +6%</t>
        </is>
      </c>
      <c r="E76" s="258" t="n">
        <v>0</v>
      </c>
      <c r="F76" s="252" t="n"/>
      <c r="G76" s="252" t="inlineStr">
        <is>
          <t>Case parameter (toggle) — see Scenarios case definitions</t>
        </is>
      </c>
    </row>
    <row r="77">
      <c r="B77" s="254" t="inlineStr">
        <is>
          <t>Scenarios</t>
        </is>
      </c>
      <c r="C77" s="254" t="inlineStr">
        <is>
          <t>E107</t>
        </is>
      </c>
      <c r="D77" s="254" t="inlineStr">
        <is>
          <t>Bull — premium-response coverage, ASP +6%</t>
        </is>
      </c>
      <c r="E77" s="258" t="n">
        <v>0</v>
      </c>
      <c r="F77" s="252" t="n"/>
      <c r="G77" s="252" t="inlineStr">
        <is>
          <t>Case parameter (toggle) — see Scenarios case definitions</t>
        </is>
      </c>
    </row>
    <row r="78">
      <c r="B78" s="254" t="inlineStr">
        <is>
          <t>Scenarios</t>
        </is>
      </c>
      <c r="C78" s="254" t="inlineStr">
        <is>
          <t>F107</t>
        </is>
      </c>
      <c r="D78" s="254" t="inlineStr">
        <is>
          <t>Bull — premium-response coverage, ASP +6%</t>
        </is>
      </c>
      <c r="E78" s="251" t="n">
        <v>0.06</v>
      </c>
      <c r="F78" s="252" t="n"/>
      <c r="G78" s="252" t="inlineStr">
        <is>
          <t>Case parameter (toggle) — see Scenarios case definitions</t>
        </is>
      </c>
    </row>
    <row r="79">
      <c r="B79" s="254" t="inlineStr">
        <is>
          <t>Scenarios</t>
        </is>
      </c>
      <c r="C79" s="254" t="inlineStr">
        <is>
          <t>H107</t>
        </is>
      </c>
      <c r="D79" s="254" t="inlineStr">
        <is>
          <t>Bull — premium-response coverage, ASP +6%</t>
        </is>
      </c>
      <c r="E79" s="258" t="n">
        <v>2</v>
      </c>
      <c r="F79" s="252" t="n"/>
      <c r="G79" s="252" t="inlineStr">
        <is>
          <t>Case parameter (toggle) — see Scenarios case definitions</t>
        </is>
      </c>
    </row>
    <row r="80">
      <c r="B80" s="254" t="inlineStr">
        <is>
          <t>RPM</t>
        </is>
      </c>
      <c r="C80" s="254" t="inlineStr">
        <is>
          <t>D10</t>
        </is>
      </c>
      <c r="D80" s="254" t="inlineStr">
        <is>
          <t>Service revenue (fee-based)</t>
        </is>
      </c>
      <c r="E80" s="251" t="n">
        <v>2881.7</v>
      </c>
      <c r="F80" s="252" t="n"/>
      <c r="G80" s="252" t="inlineStr">
        <is>
          <t>FY27–28 from Scenarios (selected case); FY29–31 fade at row 43</t>
        </is>
      </c>
    </row>
    <row r="81">
      <c r="B81" s="254" t="inlineStr">
        <is>
          <t>RPM</t>
        </is>
      </c>
      <c r="C81" s="254" t="inlineStr">
        <is>
          <t>E10</t>
        </is>
      </c>
      <c r="D81" s="254" t="inlineStr">
        <is>
          <t>Service revenue (fee-based)</t>
        </is>
      </c>
      <c r="E81" s="251" t="n">
        <v>3199.6</v>
      </c>
      <c r="F81" s="252" t="n"/>
      <c r="G81" s="252" t="inlineStr">
        <is>
          <t>FY27–28 from Scenarios (selected case); FY29–31 fade at row 43</t>
        </is>
      </c>
    </row>
    <row r="82">
      <c r="B82" s="254" t="inlineStr">
        <is>
          <t>RPM</t>
        </is>
      </c>
      <c r="C82" s="254" t="inlineStr">
        <is>
          <t>F10</t>
        </is>
      </c>
      <c r="D82" s="254" t="inlineStr">
        <is>
          <t>Service revenue (fee-based)</t>
        </is>
      </c>
      <c r="E82" s="251" t="n">
        <v>3561</v>
      </c>
      <c r="F82" s="252" t="n"/>
      <c r="G82" s="252" t="inlineStr">
        <is>
          <t>FY27–28 from Scenarios (selected case); FY29–31 fade at row 43</t>
        </is>
      </c>
    </row>
    <row r="83">
      <c r="B83" s="254" t="inlineStr">
        <is>
          <t>RPM</t>
        </is>
      </c>
      <c r="C83" s="254" t="inlineStr">
        <is>
          <t>G10</t>
        </is>
      </c>
      <c r="D83" s="254" t="inlineStr">
        <is>
          <t>Service revenue (fee-based)</t>
        </is>
      </c>
      <c r="E83" s="251" t="n">
        <v>3968.7</v>
      </c>
      <c r="F83" s="252" t="n"/>
      <c r="G83" s="252" t="inlineStr">
        <is>
          <t>FY27–28 from Scenarios (selected case); FY29–31 fade at row 43</t>
        </is>
      </c>
    </row>
    <row r="84">
      <c r="B84" s="254" t="inlineStr">
        <is>
          <t>RPM</t>
        </is>
      </c>
      <c r="C84" s="254" t="inlineStr">
        <is>
          <t>H10</t>
        </is>
      </c>
      <c r="D84" s="254" t="inlineStr">
        <is>
          <t>Service revenue (fee-based)</t>
        </is>
      </c>
      <c r="E84" s="251" t="n">
        <v>3969.5</v>
      </c>
      <c r="F84" s="252" t="n"/>
      <c r="G84" s="252" t="inlineStr">
        <is>
          <t>FY27–28 from Scenarios (selected case); FY29–31 fade at row 43</t>
        </is>
      </c>
    </row>
    <row r="85">
      <c r="B85" s="254" t="inlineStr">
        <is>
          <t>RPM</t>
        </is>
      </c>
      <c r="C85" s="254" t="inlineStr">
        <is>
          <t>D12</t>
        </is>
      </c>
      <c r="D85" s="254" t="inlineStr">
        <is>
          <t>Vehicle sales (bought &amp; resold)</t>
        </is>
      </c>
      <c r="E85" s="251" t="n">
        <v>619.2</v>
      </c>
      <c r="F85" s="252" t="n"/>
      <c r="G85" s="252" t="inlineStr">
        <is>
          <t>FY27–28 from Scenarios (E6 purchased overlay); FY29–31 fade at row 44</t>
        </is>
      </c>
    </row>
    <row r="86">
      <c r="B86" s="254" t="inlineStr">
        <is>
          <t>RPM</t>
        </is>
      </c>
      <c r="C86" s="254" t="inlineStr">
        <is>
          <t>E12</t>
        </is>
      </c>
      <c r="D86" s="254" t="inlineStr">
        <is>
          <t>Vehicle sales (bought &amp; resold)</t>
        </is>
      </c>
      <c r="E86" s="251" t="n">
        <v>669.9</v>
      </c>
      <c r="F86" s="252" t="n"/>
      <c r="G86" s="252" t="inlineStr">
        <is>
          <t>FY27–28 from Scenarios (E6 purchased overlay); FY29–31 fade at row 44</t>
        </is>
      </c>
    </row>
    <row r="87">
      <c r="B87" s="254" t="inlineStr">
        <is>
          <t>RPM</t>
        </is>
      </c>
      <c r="C87" s="254" t="inlineStr">
        <is>
          <t>F12</t>
        </is>
      </c>
      <c r="D87" s="254" t="inlineStr">
        <is>
          <t>Vehicle sales (bought &amp; resold)</t>
        </is>
      </c>
      <c r="E87" s="251" t="n">
        <v>675.8</v>
      </c>
      <c r="F87" s="252" t="n"/>
      <c r="G87" s="252" t="inlineStr">
        <is>
          <t>FY27–28 from Scenarios (E6 purchased overlay); FY29–31 fade at row 44</t>
        </is>
      </c>
    </row>
    <row r="88">
      <c r="B88" s="254" t="inlineStr">
        <is>
          <t>RPM</t>
        </is>
      </c>
      <c r="C88" s="254" t="inlineStr">
        <is>
          <t>G12</t>
        </is>
      </c>
      <c r="D88" s="254" t="inlineStr">
        <is>
          <t>Vehicle sales (bought &amp; resold)</t>
        </is>
      </c>
      <c r="E88" s="251" t="n">
        <v>678.3</v>
      </c>
      <c r="F88" s="252" t="n"/>
      <c r="G88" s="252" t="inlineStr">
        <is>
          <t>FY27–28 from Scenarios (E6 purchased overlay); FY29–31 fade at row 44</t>
        </is>
      </c>
    </row>
    <row r="89">
      <c r="B89" s="254" t="inlineStr">
        <is>
          <t>RPM</t>
        </is>
      </c>
      <c r="C89" s="254" t="inlineStr">
        <is>
          <t>H12</t>
        </is>
      </c>
      <c r="D89" s="254" t="inlineStr">
        <is>
          <t>Vehicle sales (bought &amp; resold)</t>
        </is>
      </c>
      <c r="E89" s="251" t="n">
        <v>696.7</v>
      </c>
      <c r="F89" s="252" t="n"/>
      <c r="G89" s="252" t="inlineStr">
        <is>
          <t>FY27–28 from Scenarios (E6 purchased overlay); FY29–31 fade at row 44</t>
        </is>
      </c>
    </row>
    <row r="90">
      <c r="B90" s="254" t="inlineStr">
        <is>
          <t>RPM</t>
        </is>
      </c>
      <c r="C90" s="254" t="inlineStr">
        <is>
          <t>H17</t>
        </is>
      </c>
      <c r="D90" s="254" t="inlineStr">
        <is>
          <t>FY2026 global units</t>
        </is>
      </c>
      <c r="E90" s="251" t="n">
        <v>4000</v>
      </c>
      <c r="F90" s="252" t="n"/>
      <c r="G90" s="252" t="inlineStr">
        <is>
          <t>&lt;-  As an anchor for forecasts. Copart only discloses % change in its units sold. FY2026, Copart said "over 4million"-&gt; assuming 4m units for FY2026</t>
        </is>
      </c>
    </row>
    <row r="91">
      <c r="B91" s="254" t="inlineStr">
        <is>
          <t>RPM</t>
        </is>
      </c>
      <c r="C91" s="254" t="inlineStr">
        <is>
          <t>F18</t>
        </is>
      </c>
      <c r="D91" s="254" t="inlineStr">
        <is>
          <t>FY2026 unit mix: US insurance / US non-insurance / International</t>
        </is>
      </c>
      <c r="E91" s="251" t="n">
        <v>0.65</v>
      </c>
      <c r="F91" s="252" t="n"/>
      <c r="G91" s="252" t="inlineStr">
        <is>
          <t>Estimates</t>
        </is>
      </c>
    </row>
    <row r="92">
      <c r="B92" s="254" t="inlineStr">
        <is>
          <t>RPM</t>
        </is>
      </c>
      <c r="C92" s="254" t="inlineStr">
        <is>
          <t>G18</t>
        </is>
      </c>
      <c r="D92" s="254" t="inlineStr">
        <is>
          <t>FY2026 unit mix: US insurance / US non-insurance / International</t>
        </is>
      </c>
      <c r="E92" s="251" t="n">
        <v>0.17</v>
      </c>
      <c r="F92" s="252" t="n"/>
      <c r="G92" s="252" t="inlineStr">
        <is>
          <t>Estimates</t>
        </is>
      </c>
    </row>
    <row r="93">
      <c r="B93" s="254" t="inlineStr">
        <is>
          <t>RPM</t>
        </is>
      </c>
      <c r="C93" s="254" t="inlineStr">
        <is>
          <t>G21</t>
        </is>
      </c>
      <c r="D93" s="254" t="inlineStr">
        <is>
          <t>US insurance units, y/y</t>
        </is>
      </c>
      <c r="E93" s="251" t="n">
        <v>0.042</v>
      </c>
      <c r="F93" s="252" t="n"/>
      <c r="G93" s="252" t="inlineStr">
        <is>
          <t>FY27–28 from Scenarios (E2 pool × E3 share × E4); FY29–31 fade at row 45</t>
        </is>
      </c>
    </row>
    <row r="94">
      <c r="B94" s="254" t="inlineStr">
        <is>
          <t>RPM</t>
        </is>
      </c>
      <c r="C94" s="254" t="inlineStr">
        <is>
          <t>H21</t>
        </is>
      </c>
      <c r="D94" s="254" t="inlineStr">
        <is>
          <t>US insurance units, y/y</t>
        </is>
      </c>
      <c r="E94" s="251" t="n">
        <v>-0.08</v>
      </c>
      <c r="F94" s="252" t="n"/>
      <c r="G94" s="252" t="inlineStr">
        <is>
          <t>FY27–28 from Scenarios (E2 pool × E3 share × E4); FY29–31 fade at row 45</t>
        </is>
      </c>
    </row>
    <row r="95">
      <c r="B95" s="254" t="inlineStr">
        <is>
          <t>RPM</t>
        </is>
      </c>
      <c r="C95" s="254" t="inlineStr">
        <is>
          <t>G22</t>
        </is>
      </c>
      <c r="D95" s="254" t="inlineStr">
        <is>
          <t>US non-insurance units, y/y</t>
        </is>
      </c>
      <c r="E95" s="251" t="n">
        <v>0.028</v>
      </c>
      <c r="F95" s="252" t="n"/>
      <c r="G95" s="252" t="inlineStr">
        <is>
          <t>Forecasts link to volume build</t>
        </is>
      </c>
    </row>
    <row r="96">
      <c r="B96" s="254" t="inlineStr">
        <is>
          <t>RPM</t>
        </is>
      </c>
      <c r="C96" s="254" t="inlineStr">
        <is>
          <t>H22</t>
        </is>
      </c>
      <c r="D96" s="254" t="inlineStr">
        <is>
          <t>US non-insurance units, y/y</t>
        </is>
      </c>
      <c r="E96" s="251" t="n">
        <v>-0.039</v>
      </c>
      <c r="F96" s="252" t="n"/>
      <c r="G96" s="252" t="inlineStr">
        <is>
          <t>Forecasts link to volume build</t>
        </is>
      </c>
    </row>
    <row r="97">
      <c r="B97" s="254" t="inlineStr">
        <is>
          <t>RPM</t>
        </is>
      </c>
      <c r="C97" s="254" t="inlineStr">
        <is>
          <t>G23</t>
        </is>
      </c>
      <c r="D97" s="254" t="inlineStr">
        <is>
          <t>International units, y/y</t>
        </is>
      </c>
      <c r="E97" s="251" t="n">
        <v>0.081</v>
      </c>
      <c r="F97" s="252" t="n"/>
      <c r="G97" s="252" t="inlineStr">
        <is>
          <t>Owner-entered from Copart calls (international units y/y)</t>
        </is>
      </c>
    </row>
    <row r="98">
      <c r="B98" s="254" t="inlineStr">
        <is>
          <t>RPM</t>
        </is>
      </c>
      <c r="C98" s="254" t="inlineStr">
        <is>
          <t>H23</t>
        </is>
      </c>
      <c r="D98" s="254" t="inlineStr">
        <is>
          <t>International units, y/y</t>
        </is>
      </c>
      <c r="E98" s="251" t="n">
        <v>0.037</v>
      </c>
      <c r="F98" s="252" t="n"/>
      <c r="G98" s="252" t="inlineStr">
        <is>
          <t>Owner-entered from Copart calls (international units y/y)</t>
        </is>
      </c>
    </row>
    <row r="99">
      <c r="B99" s="254" t="inlineStr">
        <is>
          <t>RPM</t>
        </is>
      </c>
      <c r="C99" s="254" t="inlineStr">
        <is>
          <t>H37</t>
        </is>
      </c>
      <c r="D99" s="254" t="inlineStr">
        <is>
          <t>Global revenue per unit, y/y (disclosed)</t>
        </is>
      </c>
      <c r="E99" s="251" t="n">
        <v>0.057</v>
      </c>
      <c r="F99" s="252" t="n"/>
      <c r="G99" s="252" t="inlineStr">
        <is>
          <t>Disclosed by Copart (calls); owner-entered in v1</t>
        </is>
      </c>
    </row>
    <row r="100">
      <c r="B100" s="254" t="inlineStr">
        <is>
          <t>RPM</t>
        </is>
      </c>
      <c r="C100" s="254" t="inlineStr">
        <is>
          <t>H38</t>
        </is>
      </c>
      <c r="D100" s="254" t="inlineStr">
        <is>
          <t>Global ASP, y/y (disclosed)</t>
        </is>
      </c>
      <c r="E100" s="251" t="n">
        <v>0.055</v>
      </c>
      <c r="F100" s="252" t="n"/>
      <c r="G100" s="252" t="inlineStr">
        <is>
          <t>Disclosed by Copart (calls); owner-entered in v1</t>
        </is>
      </c>
    </row>
    <row r="101">
      <c r="B101" s="254" t="inlineStr">
        <is>
          <t>RPM</t>
        </is>
      </c>
      <c r="C101" s="254" t="inlineStr">
        <is>
          <t>G39</t>
        </is>
      </c>
      <c r="D101" s="254" t="inlineStr">
        <is>
          <t>International revenue, $M (disclosed)</t>
        </is>
      </c>
      <c r="E101" s="251" t="n">
        <v>791.9</v>
      </c>
      <c r="F101" s="252" t="n"/>
      <c r="G101" s="252" t="inlineStr">
        <is>
          <t>8-K segment revenue; owner-entered in v1 (see D Reported geography table)</t>
        </is>
      </c>
    </row>
    <row r="102">
      <c r="B102" s="254" t="inlineStr">
        <is>
          <t>RPM</t>
        </is>
      </c>
      <c r="C102" s="254" t="inlineStr">
        <is>
          <t>H39</t>
        </is>
      </c>
      <c r="D102" s="254" t="inlineStr">
        <is>
          <t>International revenue, $M (disclosed)</t>
        </is>
      </c>
      <c r="E102" s="251" t="n">
        <v>858.8</v>
      </c>
      <c r="F102" s="252" t="n"/>
      <c r="G102" s="252" t="inlineStr">
        <is>
          <t>8-K segment revenue; owner-entered in v1 (see D Reported geography table)</t>
        </is>
      </c>
    </row>
    <row r="103">
      <c r="B103" s="254" t="inlineStr">
        <is>
          <t>RPM</t>
        </is>
      </c>
      <c r="C103" s="254" t="inlineStr">
        <is>
          <t>G40</t>
        </is>
      </c>
      <c r="D103" s="254" t="inlineStr">
        <is>
          <t>US revenue, $M (disclosed)</t>
        </is>
      </c>
      <c r="E103" s="251" t="n">
        <v>3855.1</v>
      </c>
      <c r="F103" s="252" t="n"/>
      <c r="G103" s="252" t="inlineStr">
        <is>
          <t>8-K segment revenue; owner-entered in v1 (see D Reported geography table)</t>
        </is>
      </c>
    </row>
    <row r="104">
      <c r="B104" s="254" t="inlineStr">
        <is>
          <t>RPM</t>
        </is>
      </c>
      <c r="C104" s="254" t="inlineStr">
        <is>
          <t>H40</t>
        </is>
      </c>
      <c r="D104" s="254" t="inlineStr">
        <is>
          <t>US revenue, $M (disclosed)</t>
        </is>
      </c>
      <c r="E104" s="251" t="n">
        <v>3807.4</v>
      </c>
      <c r="F104" s="252" t="n"/>
      <c r="G104" s="252" t="inlineStr">
        <is>
          <t>8-K segment revenue; owner-entered in v1 (see D Reported geography table)</t>
        </is>
      </c>
    </row>
    <row r="105">
      <c r="B105" s="254" t="inlineStr">
        <is>
          <t>RPM</t>
        </is>
      </c>
      <c r="C105" s="254" t="inlineStr">
        <is>
          <t>D43</t>
        </is>
      </c>
      <c r="D105" s="254" t="inlineStr">
        <is>
          <t>Service revenue growth, FY29–31</t>
        </is>
      </c>
      <c r="E105" s="251" t="n">
        <v>0.03</v>
      </c>
      <c r="F105" s="252" t="n"/>
      <c r="G105" s="252" t="inlineStr">
        <is>
          <t>ASSUMED: roughly the FY28 engine growth; the engines stop at FY28</t>
        </is>
      </c>
    </row>
    <row r="106">
      <c r="B106" s="254" t="inlineStr">
        <is>
          <t>RPM</t>
        </is>
      </c>
      <c r="C106" s="254" t="inlineStr">
        <is>
          <t>D44</t>
        </is>
      </c>
      <c r="D106" s="254" t="inlineStr">
        <is>
          <t>Vehicle-sales revenue growth, FY29–31</t>
        </is>
      </c>
      <c r="E106" s="251" t="n">
        <v>0</v>
      </c>
      <c r="F106" s="252" t="n"/>
      <c r="G106" s="252" t="inlineStr">
        <is>
          <t>ASSUMED flat</t>
        </is>
      </c>
    </row>
    <row r="107">
      <c r="B107" s="254" t="inlineStr">
        <is>
          <t>RPM</t>
        </is>
      </c>
      <c r="C107" s="254" t="inlineStr">
        <is>
          <t>D45</t>
        </is>
      </c>
      <c r="D107" s="254" t="inlineStr">
        <is>
          <t>US insurance unit growth, FY29–31</t>
        </is>
      </c>
      <c r="E107" s="251" t="n">
        <v>0.01</v>
      </c>
      <c r="F107" s="252" t="n"/>
      <c r="G107" s="252" t="inlineStr">
        <is>
          <t>ASSUMED</t>
        </is>
      </c>
    </row>
    <row r="109">
      <c r="B109" s="249" t="inlineStr">
        <is>
          <t>103 typed inputs; 0 without a source note.</t>
        </is>
      </c>
    </row>
    <row r="110">
      <c r="B110" s="254" t="inlineStr">
        <is>
          <t xml:space="preserve">0 typed cells carry a VERIFIED/MEASURED/ENGINE label but are not links to a data tab (should be 0): </t>
        </is>
      </c>
    </row>
  </sheetData>
  <dataValidations count="1">
    <dataValidation sqref="E21 E22 E23 E24 E33 E40 E55 E57 E58 E59 E61 E62 E63 E64 E65 E67 E68 E69 E70 E71 E72 E73 E74 E75 E76 E77" showDropDown="0" showInputMessage="0" showErrorMessage="1" allowBlank="0" error="Choose 0 or 1" type="list">
      <formula1>"0,1"</formula1>
    </dataValidation>
  </dataValidations>
  <pageMargins left="0.75" right="0.75" top="1" bottom="1" header="0.5" footer="0.5"/>
</worksheet>
</file>

<file path=xl/worksheets/sheet21.xml><?xml version="1.0" encoding="utf-8"?>
<worksheet xmlns="http://schemas.openxmlformats.org/spreadsheetml/2006/main">
  <sheetPr>
    <tabColor rgb="FF0E2841"/>
    <outlinePr summaryBelow="1" summaryRight="1"/>
    <pageSetUpPr/>
  </sheetPr>
  <dimension ref="B1:S33"/>
  <sheetViews>
    <sheetView showGridLines="0" zoomScale="90" workbookViewId="0">
      <pane xSplit="3" ySplit="4" topLeftCell="D5"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2.5" customWidth="1" style="392" min="1" max="1"/>
    <col width="56" customWidth="1" style="392" min="2" max="2"/>
    <col width="8" customWidth="1" style="392" min="3" max="3"/>
    <col width="13" customWidth="1" style="392" min="4" max="7"/>
    <col width="48" customWidth="1" style="392" min="8" max="8"/>
    <col width="13" customWidth="1" style="392" min="9" max="9"/>
  </cols>
  <sheetData>
    <row r="1" ht="17" customHeight="1" s="392">
      <c r="B1" s="269" t="inlineStr">
        <is>
          <t>Checks — ties, identities, engine parity, discipline</t>
        </is>
      </c>
      <c r="C1" s="270" t="n"/>
      <c r="D1" s="270" t="n"/>
      <c r="E1" s="270" t="n"/>
      <c r="F1" s="270" t="n"/>
      <c r="G1" s="270" t="n"/>
      <c r="H1" s="270" t="n"/>
      <c r="I1" s="270" t="n"/>
      <c r="J1" s="270" t="n"/>
      <c r="K1" s="270" t="n"/>
      <c r="L1" s="270" t="n"/>
      <c r="M1" s="270" t="n"/>
      <c r="N1" s="270" t="n"/>
      <c r="O1" s="270" t="n"/>
      <c r="P1" s="270" t="n"/>
      <c r="Q1" s="270" t="n"/>
      <c r="R1" s="270" t="n"/>
      <c r="S1" s="270" t="n"/>
    </row>
    <row r="2">
      <c r="B2" s="252" t="inlineStr">
        <is>
          <t>PASS/FAIL cells recalculate with the workbook. Tolerances are spreadsheet acceptance tolerances, not economic confidence intervals.</t>
        </is>
      </c>
    </row>
    <row r="4">
      <c r="B4" s="246" t="inlineStr">
        <is>
          <t>Check</t>
        </is>
      </c>
      <c r="C4" s="247" t="n"/>
      <c r="D4" s="248" t="inlineStr">
        <is>
          <t>Model</t>
        </is>
      </c>
      <c r="E4" s="248" t="inlineStr">
        <is>
          <t>Target</t>
        </is>
      </c>
      <c r="F4" s="248" t="inlineStr">
        <is>
          <t>Difference</t>
        </is>
      </c>
      <c r="G4" s="248" t="inlineStr">
        <is>
          <t>Result</t>
        </is>
      </c>
      <c r="H4" s="247" t="n"/>
      <c r="I4" s="247" t="n"/>
      <c r="J4" s="247" t="n"/>
      <c r="K4" s="247" t="n"/>
      <c r="L4" s="247" t="n"/>
      <c r="M4" s="247" t="n"/>
      <c r="N4" s="247" t="n"/>
      <c r="O4" s="247" t="n"/>
      <c r="P4" s="247" t="n"/>
      <c r="Q4" s="247" t="n"/>
      <c r="R4" s="247" t="n"/>
      <c r="S4" s="247" t="n"/>
    </row>
    <row r="5">
      <c r="B5" s="254" t="inlineStr">
        <is>
          <t>FY26 legacy service revenue (case 1) ties to the 8-K quarterly service total</t>
        </is>
      </c>
      <c r="D5" s="276">
        <f>Scenarios!P16</f>
        <v/>
      </c>
      <c r="E5" s="276">
        <f>'D Reported'!$D$26+'D Reported'!$E$26+'D Reported'!$D$27+'D Reported'!$E$27+'D Reported'!$D$28+'D Reported'!$E$28+'D Reported'!$D$29+'D Reported'!$E$29</f>
        <v/>
      </c>
      <c r="F5" s="288">
        <f>D5-E5</f>
        <v/>
      </c>
      <c r="G5" s="249">
        <f>IF(ABS(F5)&lt;=0.1,"PASS","FAIL")</f>
        <v/>
      </c>
    </row>
    <row r="6">
      <c r="B6" s="254" t="inlineStr">
        <is>
          <t>FY26 US insurance + non-insurance service = reported US service</t>
        </is>
      </c>
      <c r="D6" s="276">
        <f>Scenarios!P13+Scenarios!P14</f>
        <v/>
      </c>
      <c r="E6" s="276">
        <f>'D Reported'!$D$26+'D Reported'!$D$27+'D Reported'!$D$28+'D Reported'!$D$29</f>
        <v/>
      </c>
      <c r="F6" s="288">
        <f>D6-E6</f>
        <v/>
      </c>
      <c r="G6" s="249">
        <f>IF(ABS(F6)&lt;=0.1,"PASS","FAIL")</f>
        <v/>
      </c>
    </row>
    <row r="7">
      <c r="B7" s="254" t="inlineStr">
        <is>
          <t>E1: 2024 vehicles on the road vs anchor (within 2%)</t>
        </is>
      </c>
      <c r="D7" s="261">
        <f>'E1 Fleet'!D81</f>
        <v/>
      </c>
      <c r="E7" s="261">
        <f>'E1 Fleet'!E81</f>
        <v/>
      </c>
      <c r="F7" s="259">
        <f>D7-E7</f>
        <v/>
      </c>
      <c r="G7" s="356">
        <f>IF(ABS(F7)&lt;=0.02*'E1 Fleet'!E81,"PASS","FAIL")</f>
        <v/>
      </c>
    </row>
    <row r="8">
      <c r="B8" s="254" t="inlineStr">
        <is>
          <t>E1: largest claim-mix cell gap vs CCC 2020–2025 (within 3.5 pts)</t>
        </is>
      </c>
      <c r="D8" s="273">
        <f>'E1 Fleet'!D83</f>
        <v/>
      </c>
      <c r="E8" s="303" t="n">
        <v>0</v>
      </c>
      <c r="F8" s="283">
        <f>D8-E8</f>
        <v/>
      </c>
      <c r="G8" s="249">
        <f>IF(ABS(F8)&lt;=0.035,"PASS","FAIL")</f>
        <v/>
      </c>
    </row>
    <row r="9">
      <c r="B9" s="254" t="inlineStr">
        <is>
          <t>E2: fiscal-quarter weights sum to one (FQ4 FY28)</t>
        </is>
      </c>
      <c r="D9" s="461">
        <f>'E2 Claims &amp; Totals'!O13</f>
        <v/>
      </c>
      <c r="E9" s="458" t="n">
        <v>1</v>
      </c>
      <c r="F9" s="463">
        <f>D9-E9</f>
        <v/>
      </c>
      <c r="G9" s="249">
        <f>IF(ABS(F9)&lt;=0.000001,"PASS","FAIL")</f>
        <v/>
      </c>
    </row>
    <row r="10">
      <c r="B10" s="254" t="inlineStr">
        <is>
          <t>E3: carrier weights sum to one</t>
        </is>
      </c>
      <c r="D10" s="461">
        <f>'E3 Carriers'!D16</f>
        <v/>
      </c>
      <c r="E10" s="458" t="n">
        <v>1</v>
      </c>
      <c r="F10" s="463">
        <f>D10-E10</f>
        <v/>
      </c>
      <c r="G10" s="249">
        <f>IF(ABS(F10)&lt;=0.000001,"PASS","FAIL")</f>
        <v/>
      </c>
    </row>
    <row r="11">
      <c r="B11" s="254" t="inlineStr">
        <is>
          <t>E4: formula parity — the engine's own basket reproduces its documented 1.03% bill saving</t>
        </is>
      </c>
      <c r="D11" s="268">
        <f>'E4 Aftermarket'!D30</f>
        <v/>
      </c>
      <c r="E11" s="320" t="n">
        <v>-0.0103</v>
      </c>
      <c r="F11" s="308">
        <f>D11-E11</f>
        <v/>
      </c>
      <c r="G11" s="249">
        <f>IF(ABS(F11)&lt;=0.0003,"PASS","FAIL")</f>
        <v/>
      </c>
    </row>
    <row r="12">
      <c r="B12" s="254" t="inlineStr">
        <is>
          <t>E5: core RPU at the anchor reproduces the engine ($851.51)</t>
        </is>
      </c>
      <c r="D12" s="416">
        <f>'E5 Prices &amp; Fees'!D23</f>
        <v/>
      </c>
      <c r="E12" s="416">
        <f>'E5 Prices &amp; Fees'!D46</f>
        <v/>
      </c>
      <c r="F12" s="423">
        <f>D12-E12</f>
        <v/>
      </c>
      <c r="G12" s="249">
        <f>IF(ABS(F12)&lt;=0.05,"PASS","FAIL")</f>
        <v/>
      </c>
    </row>
    <row r="13">
      <c r="B13" s="254" t="inlineStr">
        <is>
          <t>Engine parity: case 1 (known runoff, no thesis) vs engine reference + allocation (mask 11), within $25m</t>
        </is>
      </c>
      <c r="D13" s="276">
        <f>Scenarios!D113</f>
        <v/>
      </c>
      <c r="E13" s="276">
        <f>SUMIFS('D Engine'!$D$5:$D$20,'D Engine'!$B$5:$B$20,11)</f>
        <v/>
      </c>
      <c r="F13" s="288">
        <f>D13-E13</f>
        <v/>
      </c>
      <c r="G13" s="249">
        <f>IF(ABS(F13)&lt;=25,"PASS","FAIL")</f>
        <v/>
      </c>
    </row>
    <row r="14">
      <c r="B14" s="254" t="inlineStr">
        <is>
          <t>Engine parity: thesis 2 − case 1 vs engine aftermarket effect (mask 14 − mask 10); observed-trend default is smaller by design, so the check is informational (within $60m)</t>
        </is>
      </c>
      <c r="D14" s="276">
        <f>Scenarios!E115</f>
        <v/>
      </c>
      <c r="E14" s="276">
        <f>SUMIFS('D Engine'!$D$5:$D$20,'D Engine'!$B$5:$B$20,14)-SUMIFS('D Engine'!$D$5:$D$20,'D Engine'!$B$5:$B$20,10)</f>
        <v/>
      </c>
      <c r="F14" s="288">
        <f>D14-E14</f>
        <v/>
      </c>
      <c r="G14" s="249">
        <f>IF(ABS(F14)&lt;=60,"PASS","FAIL")</f>
        <v/>
      </c>
    </row>
    <row r="15">
      <c r="B15" s="254" t="inlineStr">
        <is>
          <t>Thesis 1: case 0 (Street-implied) FY27 legacy service equals JPM $4,061m (reverse-solved identity)</t>
        </is>
      </c>
      <c r="D15" s="276">
        <f>Scenarios!D112</f>
        <v/>
      </c>
      <c r="E15" s="276">
        <f>Scenarios!$D$108</f>
        <v/>
      </c>
      <c r="F15" s="288">
        <f>D15-E15</f>
        <v/>
      </c>
      <c r="G15" s="249">
        <f>IF(ABS(F15)&lt;=1,"PASS","FAIL")</f>
        <v/>
      </c>
    </row>
    <row r="16">
      <c r="B16" s="254" t="inlineStr">
        <is>
          <t>Thesis 1: physical-damage coverage index normalises to 1 in 2025</t>
        </is>
      </c>
      <c r="D16" s="461">
        <f>'E2 Claims &amp; Totals'!L107</f>
        <v/>
      </c>
      <c r="E16" s="458" t="n">
        <v>1</v>
      </c>
      <c r="F16" s="463">
        <f>D16-E16</f>
        <v/>
      </c>
      <c r="G16" s="249">
        <f>IF(ABS(F16)&lt;=0.000001,"PASS","FAIL")</f>
        <v/>
      </c>
    </row>
    <row r="17">
      <c r="B17" s="254" t="inlineStr">
        <is>
          <t>DCF still reads RPM: DCF revenue FY27E equals RPM total revenue FY27E</t>
        </is>
      </c>
      <c r="D17" s="276">
        <f>DCF!I6</f>
        <v/>
      </c>
      <c r="E17" s="276">
        <f>RPM!I6</f>
        <v/>
      </c>
      <c r="F17" s="288">
        <f>D17-E17</f>
        <v/>
      </c>
      <c r="G17" s="249">
        <f>IF(ABS(F17)&lt;=0.001,"PASS","FAIL")</f>
        <v/>
      </c>
    </row>
    <row r="18">
      <c r="B18" s="254" t="inlineStr">
        <is>
          <t>3SM: balance sheet balances, FY2027E</t>
        </is>
      </c>
      <c r="D18" s="266">
        <f>'3SM'!I75</f>
        <v/>
      </c>
      <c r="E18" s="330" t="n">
        <v>0</v>
      </c>
      <c r="F18" s="265">
        <f>D18-E18</f>
        <v/>
      </c>
      <c r="G18" s="249">
        <f>IF(ABS(F18)&lt;=0.01,"PASS","FAIL")</f>
        <v/>
      </c>
    </row>
    <row r="19">
      <c r="B19" s="254" t="inlineStr">
        <is>
          <t>3SM: balance sheet balances, FY2031E</t>
        </is>
      </c>
      <c r="D19" s="266">
        <f>'3SM'!M75</f>
        <v/>
      </c>
      <c r="E19" s="330" t="n">
        <v>0</v>
      </c>
      <c r="F19" s="265">
        <f>D19-E19</f>
        <v/>
      </c>
      <c r="G19" s="249">
        <f>IF(ABS(F19)&lt;=0.01,"PASS","FAIL")</f>
        <v/>
      </c>
    </row>
    <row r="20">
      <c r="B20" s="254" t="inlineStr">
        <is>
          <t>3SM: cash flow ending cash ties to balance-sheet cash, FY2031E</t>
        </is>
      </c>
      <c r="D20" s="266">
        <f>'3SM'!M111</f>
        <v/>
      </c>
      <c r="E20" s="330" t="n">
        <v>0</v>
      </c>
      <c r="F20" s="265">
        <f>D20-E20</f>
        <v/>
      </c>
      <c r="G20" s="249">
        <f>IF(ABS(F20)&lt;=0.01,"PASS","FAIL")</f>
        <v/>
      </c>
    </row>
    <row r="21">
      <c r="B21" s="254" t="inlineStr">
        <is>
          <t>3SM: FY2026A total assets tie to PitchBook</t>
        </is>
      </c>
      <c r="D21" s="276">
        <f>'3SM'!H60</f>
        <v/>
      </c>
      <c r="E21" s="276">
        <f>'PB BS (Annual)'!M78/1000</f>
        <v/>
      </c>
      <c r="F21" s="288">
        <f>D21-E21</f>
        <v/>
      </c>
      <c r="G21" s="249">
        <f>IF(ABS(F21)&lt;=0.01,"PASS","FAIL")</f>
        <v/>
      </c>
    </row>
    <row r="22">
      <c r="B22" s="254" t="inlineStr">
        <is>
          <t>3SM: FY2026A operating income ties to the 10-K (1,652.6)</t>
        </is>
      </c>
      <c r="D22" s="276">
        <f>'3SM'!H15</f>
        <v/>
      </c>
      <c r="E22" s="276">
        <f>'D 10-K FY26'!C41</f>
        <v/>
      </c>
      <c r="F22" s="288">
        <f>D22-E22</f>
        <v/>
      </c>
      <c r="G22" s="249">
        <f>IF(ABS(F22)&lt;=0.05,"PASS","FAIL")</f>
        <v/>
      </c>
    </row>
    <row r="23">
      <c r="B23" s="254" t="inlineStr">
        <is>
          <t>3SM: FY2026A adjusted EBITDA ties to Barclays (1,882) within $1m</t>
        </is>
      </c>
      <c r="D23" s="276">
        <f>'3SM'!H18</f>
        <v/>
      </c>
      <c r="E23" s="276">
        <f>'D Barclays'!D6</f>
        <v/>
      </c>
      <c r="F23" s="288">
        <f>D23-E23</f>
        <v/>
      </c>
      <c r="G23" s="249">
        <f>IF(ABS(F23)&lt;=1,"PASS","FAIL")</f>
        <v/>
      </c>
    </row>
    <row r="24">
      <c r="B24" s="254" t="inlineStr">
        <is>
          <t>3SM: FY2026A CFO ties to PitchBook / 10-K (1,604.5)</t>
        </is>
      </c>
      <c r="D24" s="276">
        <f>'3SM'!H93</f>
        <v/>
      </c>
      <c r="E24" s="276">
        <f>'PB CF (Annual)'!M56/1000</f>
        <v/>
      </c>
      <c r="F24" s="288">
        <f>D24-E24</f>
        <v/>
      </c>
      <c r="G24" s="249">
        <f>IF(ABS(F24)&lt;=0.01,"PASS","FAIL")</f>
        <v/>
      </c>
    </row>
    <row r="25">
      <c r="B25" s="254" t="inlineStr">
        <is>
          <t>RPM FY2026 service revenue (owner-typed) equals the 10-K (3,969.5)</t>
        </is>
      </c>
      <c r="D25" s="276">
        <f>RPM!H10</f>
        <v/>
      </c>
      <c r="E25" s="276">
        <f>'D 10-K FY26'!C36</f>
        <v/>
      </c>
      <c r="F25" s="288">
        <f>D25-E25</f>
        <v/>
      </c>
      <c r="G25" s="249">
        <f>IF(ABS(F25)&lt;=0.1,"PASS","FAIL")</f>
        <v/>
      </c>
    </row>
    <row r="26">
      <c r="B26" s="254" t="inlineStr">
        <is>
          <t>DCF reads the 3SM: D&amp;A FY2027E</t>
        </is>
      </c>
      <c r="D26" s="276">
        <f>DCF!I29</f>
        <v/>
      </c>
      <c r="E26" s="276">
        <f>'3SM'!I17</f>
        <v/>
      </c>
      <c r="F26" s="288">
        <f>D26-E26</f>
        <v/>
      </c>
      <c r="G26" s="249">
        <f>IF(ABS(F26)&lt;=0.001,"PASS","FAIL")</f>
        <v/>
      </c>
    </row>
    <row r="27">
      <c r="B27" s="254" t="inlineStr">
        <is>
          <t>DCF reads the 3SM: capex FY2027E</t>
        </is>
      </c>
      <c r="D27" s="276">
        <f>DCF!I55</f>
        <v/>
      </c>
      <c r="E27" s="276">
        <f>'3SM'!I95</f>
        <v/>
      </c>
      <c r="F27" s="288">
        <f>D27-E27</f>
        <v/>
      </c>
      <c r="G27" s="249">
        <f>IF(ABS(F27)&lt;=0.001,"PASS","FAIL")</f>
        <v/>
      </c>
    </row>
    <row r="29">
      <c r="B29" s="249" t="inlineStr">
        <is>
          <t>Typed numbers inside calculation blocks (should be reference rows only)</t>
        </is>
      </c>
      <c r="D29" s="355" t="n">
        <v>6</v>
      </c>
      <c r="E29" s="252" t="inlineStr">
        <is>
          <t>E3 Carriers!I77=2; E3 Carriers!I78=4; E3 Carriers!D79=0.12; E3 Carriers!I79=3; E3 Carriers!D80=-0.2; E3 Carriers!I80=2.2</t>
        </is>
      </c>
    </row>
    <row r="30">
      <c r="B30" s="249" t="inlineStr">
        <is>
          <t>Verified / measured / engine data typed on engine tabs instead of linked to a data tab (must be 0)</t>
        </is>
      </c>
      <c r="D30" s="355" t="n">
        <v>0</v>
      </c>
      <c r="E30" s="252" t="n"/>
    </row>
    <row r="31">
      <c r="B31" s="249" t="inlineStr">
        <is>
          <t>Inputs without a source note (from the Sources tab; must be 0)</t>
        </is>
      </c>
      <c r="D31" s="355" t="n">
        <v>0</v>
      </c>
      <c r="E31" s="252" t="n"/>
    </row>
    <row r="33">
      <c r="B33" s="252" t="inlineStr">
        <is>
          <t>Not checked here: the economic coefficients (every ASSUMED input). See docs/source_trace_2026-10-01/README.md for the 21 numbers with no source.</t>
        </is>
      </c>
    </row>
  </sheetData>
  <pageMargins left="0.75" right="0.75" top="1" bottom="1" header="0.5" footer="0.5"/>
</worksheet>
</file>

<file path=xl/worksheets/sheet22.xml><?xml version="1.0" encoding="utf-8"?>
<worksheet xmlns="http://schemas.openxmlformats.org/spreadsheetml/2006/main">
  <sheetPr>
    <tabColor rgb="FFBFBFBF"/>
    <outlinePr summaryBelow="1" summaryRight="1"/>
    <pageSetUpPr/>
  </sheetPr>
  <dimension ref="B3:B3"/>
  <sheetViews>
    <sheetView showGridLines="0" workbookViewId="0">
      <selection activeCell="A1" sqref="A1"/>
    </sheetView>
  </sheetViews>
  <sheetFormatPr baseColWidth="10" defaultColWidth="8.83203125" defaultRowHeight="15"/>
  <cols>
    <col width="40" customWidth="1" style="392" min="2" max="2"/>
  </cols>
  <sheetData>
    <row r="3" ht="19" customHeight="1" s="392">
      <c r="B3" s="324" t="inlineStr">
        <is>
          <t>DATA -----&gt;</t>
        </is>
      </c>
    </row>
  </sheetData>
  <pageMargins left="0.75" right="0.75" top="1" bottom="1" header="0.5" footer="0.5"/>
</worksheet>
</file>

<file path=xl/worksheets/sheet23.xml><?xml version="1.0" encoding="utf-8"?>
<worksheet xmlns="http://schemas.openxmlformats.org/spreadsheetml/2006/main">
  <sheetPr>
    <tabColor rgb="FFBFBFBF"/>
    <outlinePr summaryBelow="1" summaryRight="1"/>
    <pageSetUpPr/>
  </sheetPr>
  <dimension ref="B1:S50"/>
  <sheetViews>
    <sheetView showGridLines="0" zoomScale="90" workbookViewId="0">
      <selection activeCell="A1" sqref="A1"/>
    </sheetView>
  </sheetViews>
  <sheetFormatPr baseColWidth="10" defaultColWidth="8.83203125" defaultRowHeight="15"/>
  <cols>
    <col width="2.5" customWidth="1" style="392" min="1" max="1"/>
    <col width="30" customWidth="1" style="392" min="2" max="2"/>
    <col width="8" customWidth="1" style="392" min="3" max="3"/>
    <col width="13" customWidth="1" style="392" min="4" max="15"/>
    <col width="48" customWidth="1" style="392" min="19" max="19"/>
  </cols>
  <sheetData>
    <row r="1" ht="17" customHeight="1" s="392">
      <c r="B1" s="269" t="inlineStr">
        <is>
          <t>D Reported — Copart reported quarterly series (8-K exhibits and calls)</t>
        </is>
      </c>
      <c r="C1" s="270" t="n"/>
      <c r="D1" s="270" t="n"/>
      <c r="E1" s="270" t="n"/>
      <c r="F1" s="270" t="n"/>
      <c r="G1" s="270" t="n"/>
      <c r="H1" s="270" t="n"/>
      <c r="I1" s="270" t="n"/>
      <c r="J1" s="270" t="n"/>
      <c r="K1" s="270" t="n"/>
      <c r="L1" s="270" t="n"/>
      <c r="M1" s="270" t="n"/>
      <c r="N1" s="270" t="n"/>
      <c r="O1" s="270" t="n"/>
      <c r="P1" s="270" t="n"/>
      <c r="Q1" s="270" t="n"/>
      <c r="R1" s="270" t="n"/>
      <c r="S1" s="270" t="n"/>
    </row>
    <row r="2">
      <c r="B2" s="252" t="inlineStr">
        <is>
          <t>Values only. $ millions unless stated. Sources: raw/sec/8k/er_*.htm (VERIFIED); call transcripts for growth rates (VERIFIED, licensed).</t>
        </is>
      </c>
    </row>
    <row r="4">
      <c r="B4" s="357" t="inlineStr">
        <is>
          <t>Fiscal quarter</t>
        </is>
      </c>
      <c r="C4" s="358" t="inlineStr">
        <is>
          <t>Quarter end</t>
        </is>
      </c>
      <c r="D4" s="358" t="inlineStr">
        <is>
          <t>Service revenue</t>
        </is>
      </c>
      <c r="E4" s="358" t="inlineStr">
        <is>
          <t>Vehicle sales</t>
        </is>
      </c>
      <c r="F4" s="358" t="inlineStr">
        <is>
          <t>Total revenue</t>
        </is>
      </c>
      <c r="G4" s="358" t="inlineStr">
        <is>
          <t>Service y/y %</t>
        </is>
      </c>
      <c r="H4" s="358" t="inlineStr">
        <is>
          <t>Total y/y %</t>
        </is>
      </c>
    </row>
    <row r="5">
      <c r="B5" s="254" t="inlineStr">
        <is>
          <t>FY2021 Q4</t>
        </is>
      </c>
      <c r="C5" s="254" t="inlineStr">
        <is>
          <t>2021-07-31</t>
        </is>
      </c>
      <c r="D5" s="304" t="n">
        <v>620.048</v>
      </c>
      <c r="E5" s="304" t="n">
        <v>128.582</v>
      </c>
      <c r="F5" s="304" t="n">
        <v>748.63</v>
      </c>
      <c r="G5" s="464" t="n">
        <v>35.5</v>
      </c>
      <c r="H5" s="464" t="n">
        <v>42.4</v>
      </c>
    </row>
    <row r="6">
      <c r="B6" s="254" t="inlineStr">
        <is>
          <t>FY2022 Q2</t>
        </is>
      </c>
      <c r="C6" s="254" t="inlineStr">
        <is>
          <t>2022-01-31</t>
        </is>
      </c>
      <c r="D6" s="304" t="n">
        <v>711.09</v>
      </c>
      <c r="E6" s="304" t="n">
        <v>156.37</v>
      </c>
      <c r="F6" s="304" t="n">
        <v>867.46</v>
      </c>
      <c r="G6" s="464" t="n">
        <v>33.5</v>
      </c>
      <c r="H6" s="464" t="n">
        <v>40.6</v>
      </c>
    </row>
    <row r="7">
      <c r="B7" s="254" t="inlineStr">
        <is>
          <t>FY2022 Q3</t>
        </is>
      </c>
      <c r="C7" s="254" t="inlineStr">
        <is>
          <t>2022-04-30</t>
        </is>
      </c>
      <c r="D7" s="304" t="n">
        <v>766.316</v>
      </c>
      <c r="E7" s="304" t="n">
        <v>173.625</v>
      </c>
      <c r="F7" s="304" t="n">
        <v>939.941</v>
      </c>
      <c r="G7" s="464" t="n">
        <v>22.8</v>
      </c>
      <c r="H7" s="464" t="n">
        <v>28.1</v>
      </c>
    </row>
    <row r="8">
      <c r="B8" s="254" t="inlineStr">
        <is>
          <t>FY2022 Q4</t>
        </is>
      </c>
      <c r="C8" s="254" t="inlineStr">
        <is>
          <t>2022-07-31</t>
        </is>
      </c>
      <c r="D8" s="304" t="n">
        <v>707.816</v>
      </c>
      <c r="E8" s="304" t="n">
        <v>175.572</v>
      </c>
      <c r="F8" s="304" t="n">
        <v>883.388</v>
      </c>
      <c r="G8" s="464" t="n">
        <v>14.2</v>
      </c>
      <c r="H8" s="464" t="n">
        <v>18</v>
      </c>
    </row>
    <row r="9">
      <c r="B9" s="254" t="inlineStr">
        <is>
          <t>FY2023 Q2</t>
        </is>
      </c>
      <c r="C9" s="254" t="inlineStr">
        <is>
          <t>2023-01-31</t>
        </is>
      </c>
      <c r="D9" s="304" t="n">
        <v>789.797</v>
      </c>
      <c r="E9" s="304" t="n">
        <v>166.927</v>
      </c>
      <c r="F9" s="304" t="n">
        <v>956.724</v>
      </c>
      <c r="G9" s="464" t="n">
        <v>11.1</v>
      </c>
      <c r="H9" s="464" t="n">
        <v>10.3</v>
      </c>
    </row>
    <row r="10">
      <c r="B10" s="254" t="inlineStr">
        <is>
          <t>FY2023 Q3</t>
        </is>
      </c>
      <c r="C10" s="254" t="inlineStr">
        <is>
          <t>2023-04-30</t>
        </is>
      </c>
      <c r="D10" s="304" t="n">
        <v>847.249</v>
      </c>
      <c r="E10" s="304" t="n">
        <v>174.582</v>
      </c>
      <c r="F10" s="304" t="n">
        <v>1021.831</v>
      </c>
      <c r="G10" s="464" t="n">
        <v>10.6</v>
      </c>
      <c r="H10" s="464" t="n">
        <v>8.699999999999999</v>
      </c>
    </row>
    <row r="11">
      <c r="B11" s="254" t="inlineStr">
        <is>
          <t>FY2023 Q4</t>
        </is>
      </c>
      <c r="C11" s="254" t="inlineStr">
        <is>
          <t>2023-07-31</t>
        </is>
      </c>
      <c r="D11" s="304" t="n">
        <v>834.242</v>
      </c>
      <c r="E11" s="304" t="n">
        <v>163.349</v>
      </c>
      <c r="F11" s="304" t="n">
        <v>997.591</v>
      </c>
      <c r="G11" s="464" t="n">
        <v>17.9</v>
      </c>
      <c r="H11" s="464" t="n">
        <v>12.9</v>
      </c>
    </row>
    <row r="12">
      <c r="B12" s="254" t="inlineStr">
        <is>
          <t>FY2024 Q2</t>
        </is>
      </c>
      <c r="C12" s="254" t="inlineStr">
        <is>
          <t>2024-01-31</t>
        </is>
      </c>
      <c r="D12" s="304" t="n">
        <v>861.745</v>
      </c>
      <c r="E12" s="304" t="n">
        <v>158.404</v>
      </c>
      <c r="F12" s="304" t="n">
        <v>1020.149</v>
      </c>
      <c r="G12" s="464" t="n">
        <v>9.1</v>
      </c>
      <c r="H12" s="464" t="n">
        <v>6.6</v>
      </c>
    </row>
    <row r="13">
      <c r="B13" s="254" t="inlineStr">
        <is>
          <t>FY2024 Q3</t>
        </is>
      </c>
      <c r="C13" s="254" t="inlineStr">
        <is>
          <t>2024-04-30</t>
        </is>
      </c>
      <c r="D13" s="304" t="n">
        <v>946.63</v>
      </c>
      <c r="E13" s="304" t="n">
        <v>180.629</v>
      </c>
      <c r="F13" s="304" t="n">
        <v>1127.259</v>
      </c>
      <c r="G13" s="464" t="n">
        <v>11.7</v>
      </c>
      <c r="H13" s="464" t="n">
        <v>10.3</v>
      </c>
    </row>
    <row r="14">
      <c r="B14" s="254" t="inlineStr">
        <is>
          <t>FY2024 Q4</t>
        </is>
      </c>
      <c r="C14" s="254" t="inlineStr">
        <is>
          <t>2024-07-31</t>
        </is>
      </c>
      <c r="D14" s="304" t="n">
        <v>893.091</v>
      </c>
      <c r="E14" s="304" t="n">
        <v>175.908</v>
      </c>
      <c r="F14" s="304" t="n">
        <v>1068.999</v>
      </c>
      <c r="G14" s="464" t="n">
        <v>7.1</v>
      </c>
      <c r="H14" s="464" t="n">
        <v>7.2</v>
      </c>
    </row>
    <row r="15">
      <c r="B15" s="254" t="inlineStr">
        <is>
          <t>FY2025 Q2</t>
        </is>
      </c>
      <c r="C15" s="254" t="inlineStr">
        <is>
          <t>2025-01-31</t>
        </is>
      </c>
      <c r="D15" s="304" t="n">
        <v>991.2809999999999</v>
      </c>
      <c r="E15" s="304" t="n">
        <v>172.035</v>
      </c>
      <c r="F15" s="304" t="n">
        <v>1163.316</v>
      </c>
      <c r="G15" s="464" t="n">
        <v>15</v>
      </c>
      <c r="H15" s="464" t="n">
        <v>14</v>
      </c>
    </row>
    <row r="16">
      <c r="B16" s="254" t="inlineStr">
        <is>
          <t>FY2025 Q3</t>
        </is>
      </c>
      <c r="C16" s="254" t="inlineStr">
        <is>
          <t>2025-04-30</t>
        </is>
      </c>
      <c r="D16" s="304" t="n">
        <v>1034.836</v>
      </c>
      <c r="E16" s="304" t="n">
        <v>176.88</v>
      </c>
      <c r="F16" s="304" t="n">
        <v>1211.716</v>
      </c>
      <c r="G16" s="464" t="n">
        <v>9.300000000000001</v>
      </c>
      <c r="H16" s="464" t="n">
        <v>7.5</v>
      </c>
    </row>
    <row r="17">
      <c r="B17" s="254" t="inlineStr">
        <is>
          <t>FY2025 Q4</t>
        </is>
      </c>
      <c r="C17" s="254" t="inlineStr">
        <is>
          <t>2025-07-31</t>
        </is>
      </c>
      <c r="D17" s="304" t="n">
        <v>956.2089999999999</v>
      </c>
      <c r="E17" s="304" t="n">
        <v>168.888</v>
      </c>
      <c r="F17" s="304" t="n">
        <v>1125.097</v>
      </c>
      <c r="G17" s="464" t="n">
        <v>7.1</v>
      </c>
      <c r="H17" s="464" t="n">
        <v>5.2</v>
      </c>
    </row>
    <row r="18">
      <c r="B18" s="254" t="inlineStr">
        <is>
          <t>FY2026 Q3</t>
        </is>
      </c>
      <c r="C18" s="254" t="inlineStr">
        <is>
          <t>2026-04-30</t>
        </is>
      </c>
      <c r="D18" s="304" t="n">
        <v>1056.08</v>
      </c>
      <c r="E18" s="304" t="n">
        <v>180.986</v>
      </c>
      <c r="F18" s="304" t="n">
        <v>1237.066</v>
      </c>
      <c r="G18" s="464" t="n">
        <v>2.1</v>
      </c>
      <c r="H18" s="464" t="n">
        <v>2.1</v>
      </c>
    </row>
    <row r="20">
      <c r="B20" s="249" t="inlineStr">
        <is>
          <t>Geography split, service and vehicle revenue by quarter (8-K segment tables)</t>
        </is>
      </c>
    </row>
    <row r="21">
      <c r="B21" s="357" t="inlineStr">
        <is>
          <t>Fiscal quarter</t>
        </is>
      </c>
      <c r="C21" s="358" t="inlineStr">
        <is>
          <t>Quarter end</t>
        </is>
      </c>
      <c r="D21" s="358" t="inlineStr">
        <is>
          <t>US service</t>
        </is>
      </c>
      <c r="E21" s="358" t="inlineStr">
        <is>
          <t>Intl service</t>
        </is>
      </c>
      <c r="F21" s="358" t="inlineStr">
        <is>
          <t>US vehicle</t>
        </is>
      </c>
      <c r="G21" s="358" t="inlineStr">
        <is>
          <t>Intl vehicle</t>
        </is>
      </c>
      <c r="H21" s="358" t="inlineStr">
        <is>
          <t>Source exhibit</t>
        </is>
      </c>
    </row>
    <row r="22">
      <c r="B22" s="254" t="inlineStr">
        <is>
          <t>FY2025 Q1</t>
        </is>
      </c>
      <c r="C22" s="254" t="inlineStr">
        <is>
          <t>2024-10-31</t>
        </is>
      </c>
      <c r="D22" s="304" t="n">
        <v>859.99</v>
      </c>
      <c r="E22" s="304" t="n">
        <v>126.346</v>
      </c>
      <c r="F22" s="304" t="n">
        <v>87.54900000000001</v>
      </c>
      <c r="G22" s="304" t="n">
        <v>72.944</v>
      </c>
      <c r="H22" s="254" t="inlineStr">
        <is>
          <t>er_2025-11-20_cprt-ex99_1.htm</t>
        </is>
      </c>
    </row>
    <row r="23">
      <c r="B23" s="254" t="inlineStr">
        <is>
          <t>FY2025 Q2</t>
        </is>
      </c>
      <c r="C23" s="254" t="inlineStr">
        <is>
          <t>2025-01-31</t>
        </is>
      </c>
      <c r="D23" s="304" t="n">
        <v>868.13</v>
      </c>
      <c r="E23" s="304" t="n">
        <v>123.151</v>
      </c>
      <c r="F23" s="304" t="n">
        <v>106.715</v>
      </c>
      <c r="G23" s="304" t="n">
        <v>65.31999999999999</v>
      </c>
      <c r="H23" s="254" t="inlineStr">
        <is>
          <t>er_2026-02-19_cprt-ex99_1.htm</t>
        </is>
      </c>
    </row>
    <row r="24">
      <c r="B24" s="254" t="inlineStr">
        <is>
          <t>FY2025 Q3</t>
        </is>
      </c>
      <c r="C24" s="254" t="inlineStr">
        <is>
          <t>2025-04-30</t>
        </is>
      </c>
      <c r="D24" s="304" t="n">
        <v>898.625</v>
      </c>
      <c r="E24" s="304" t="n">
        <v>136.211</v>
      </c>
      <c r="F24" s="304" t="n">
        <v>107.832</v>
      </c>
      <c r="G24" s="304" t="n">
        <v>69.048</v>
      </c>
      <c r="H24" s="254" t="inlineStr">
        <is>
          <t>er_2026-05-21_cprt-ex99_1.htm</t>
        </is>
      </c>
    </row>
    <row r="25">
      <c r="B25" s="254" t="inlineStr">
        <is>
          <t>FY2025 Q4</t>
        </is>
      </c>
      <c r="C25" s="254" t="inlineStr">
        <is>
          <t>2025-07-31</t>
        </is>
      </c>
      <c r="D25" s="304" t="n">
        <v>824.813</v>
      </c>
      <c r="E25" s="304" t="n">
        <v>131.396</v>
      </c>
      <c r="F25" s="304" t="n">
        <v>101.45</v>
      </c>
      <c r="G25" s="304" t="n">
        <v>67.438</v>
      </c>
      <c r="H25" s="254" t="inlineStr">
        <is>
          <t>er_2026-09-10_cprt-ex99_1.htm</t>
        </is>
      </c>
    </row>
    <row r="26">
      <c r="B26" s="254" t="inlineStr">
        <is>
          <t>FY2026 Q1</t>
        </is>
      </c>
      <c r="C26" s="254" t="inlineStr">
        <is>
          <t>2025-10-31</t>
        </is>
      </c>
      <c r="D26" s="304" t="n">
        <v>855.534</v>
      </c>
      <c r="E26" s="304" t="n">
        <v>136.311</v>
      </c>
      <c r="F26" s="304" t="n">
        <v>97.08</v>
      </c>
      <c r="G26" s="304" t="n">
        <v>66.105</v>
      </c>
      <c r="H26" s="254" t="inlineStr">
        <is>
          <t>er_2025-11-20_cprt-ex99_1.htm</t>
        </is>
      </c>
    </row>
    <row r="27">
      <c r="B27" s="254" t="inlineStr">
        <is>
          <t>FY2026 Q2</t>
        </is>
      </c>
      <c r="C27" s="254" t="inlineStr">
        <is>
          <t>2026-01-31</t>
        </is>
      </c>
      <c r="D27" s="304" t="n">
        <v>819.467</v>
      </c>
      <c r="E27" s="304" t="n">
        <v>132.584</v>
      </c>
      <c r="F27" s="304" t="n">
        <v>102.153</v>
      </c>
      <c r="G27" s="304" t="n">
        <v>67.47</v>
      </c>
      <c r="H27" s="254" t="inlineStr">
        <is>
          <t>er_2026-02-19_cprt-ex99_1.htm</t>
        </is>
      </c>
    </row>
    <row r="28">
      <c r="B28" s="254" t="inlineStr">
        <is>
          <t>FY2026 Q3</t>
        </is>
      </c>
      <c r="C28" s="254" t="inlineStr">
        <is>
          <t>2026-04-30</t>
        </is>
      </c>
      <c r="D28" s="304" t="n">
        <v>895.4640000000001</v>
      </c>
      <c r="E28" s="304" t="n">
        <v>160.616</v>
      </c>
      <c r="F28" s="304" t="n">
        <v>107.398</v>
      </c>
      <c r="G28" s="304" t="n">
        <v>73.58799999999999</v>
      </c>
      <c r="H28" s="254" t="inlineStr">
        <is>
          <t>er_2026-05-21_cprt-ex99_1.htm</t>
        </is>
      </c>
    </row>
    <row r="29">
      <c r="B29" s="254" t="inlineStr">
        <is>
          <t>FY2026 Q4</t>
        </is>
      </c>
      <c r="C29" s="254" t="inlineStr">
        <is>
          <t>2026-07-31</t>
        </is>
      </c>
      <c r="D29" s="304" t="n">
        <v>817.822</v>
      </c>
      <c r="E29" s="304" t="n">
        <v>151.722</v>
      </c>
      <c r="F29" s="304" t="n">
        <v>112.512</v>
      </c>
      <c r="G29" s="304" t="n">
        <v>70.383</v>
      </c>
      <c r="H29" s="254" t="inlineStr">
        <is>
          <t>er_2026-09-10_cprt-ex99_1.htm</t>
        </is>
      </c>
    </row>
    <row r="31">
      <c r="B31" s="249" t="inlineStr">
        <is>
          <t>Disclosed growth rates by quarter (calls; per cent)</t>
        </is>
      </c>
    </row>
    <row r="32">
      <c r="B32" s="357" t="inlineStr">
        <is>
          <t>Fiscal quarter</t>
        </is>
      </c>
      <c r="C32" s="358" t="inlineStr">
        <is>
          <t>Call date</t>
        </is>
      </c>
      <c r="D32" s="358" t="inlineStr">
        <is>
          <t>US inventory y/y</t>
        </is>
      </c>
      <c r="E32" s="358" t="inlineStr">
        <is>
          <t>US ins. units y/y</t>
        </is>
      </c>
      <c r="F32" s="358" t="inlineStr">
        <is>
          <t>US ins. units ex-CAT y/y</t>
        </is>
      </c>
      <c r="G32" s="358" t="inlineStr">
        <is>
          <t>US ins. ASP y/y</t>
        </is>
      </c>
      <c r="H32" s="358" t="inlineStr">
        <is>
          <t>Global ASP y/y</t>
        </is>
      </c>
      <c r="I32" s="358" t="inlineStr">
        <is>
          <t>Global ins. units y/y</t>
        </is>
      </c>
    </row>
    <row r="33">
      <c r="B33" s="254" t="inlineStr">
        <is>
          <t>FY2022 Q4</t>
        </is>
      </c>
      <c r="C33" s="254" t="inlineStr">
        <is>
          <t>2022-09-08</t>
        </is>
      </c>
      <c r="D33" s="251" t="n">
        <v>-9.6</v>
      </c>
      <c r="E33" s="254" t="n"/>
      <c r="F33" s="254" t="n"/>
      <c r="G33" s="251" t="n">
        <v>9.199999999999999</v>
      </c>
      <c r="H33" s="251" t="n">
        <v>8.300000000000001</v>
      </c>
      <c r="I33" s="254" t="n"/>
    </row>
    <row r="34">
      <c r="B34" s="254" t="inlineStr">
        <is>
          <t>FY2023 Q1</t>
        </is>
      </c>
      <c r="C34" s="254" t="inlineStr">
        <is>
          <t>2022-11-17</t>
        </is>
      </c>
      <c r="D34" s="251" t="n">
        <v>-6.3</v>
      </c>
      <c r="E34" s="254" t="n"/>
      <c r="F34" s="254" t="n"/>
      <c r="G34" s="251" t="n">
        <v>6.4</v>
      </c>
      <c r="H34" s="251" t="n">
        <v>5</v>
      </c>
      <c r="I34" s="254" t="n"/>
    </row>
    <row r="35">
      <c r="B35" s="254" t="inlineStr">
        <is>
          <t>FY2023 Q2</t>
        </is>
      </c>
      <c r="C35" s="254" t="inlineStr">
        <is>
          <t>2023-02-21</t>
        </is>
      </c>
      <c r="D35" s="251" t="n">
        <v>-3</v>
      </c>
      <c r="E35" s="251" t="n">
        <v>9</v>
      </c>
      <c r="F35" s="254" t="n"/>
      <c r="G35" s="251" t="n">
        <v>1</v>
      </c>
      <c r="H35" s="251" t="n">
        <v>0</v>
      </c>
      <c r="I35" s="254" t="n"/>
    </row>
    <row r="36">
      <c r="B36" s="254" t="inlineStr">
        <is>
          <t>FY2023 Q3</t>
        </is>
      </c>
      <c r="C36" s="254" t="inlineStr">
        <is>
          <t>2023-05-17</t>
        </is>
      </c>
      <c r="D36" s="251" t="n">
        <v>2</v>
      </c>
      <c r="E36" s="251" t="n">
        <v>6</v>
      </c>
      <c r="F36" s="254" t="n"/>
      <c r="G36" s="251" t="n">
        <v>-1</v>
      </c>
      <c r="H36" s="251" t="n">
        <v>-1</v>
      </c>
      <c r="I36" s="254" t="n"/>
    </row>
    <row r="37">
      <c r="B37" s="254" t="inlineStr">
        <is>
          <t>FY2023 Q4</t>
        </is>
      </c>
      <c r="C37" s="254" t="inlineStr">
        <is>
          <t>2023-09-14</t>
        </is>
      </c>
      <c r="D37" s="251" t="n">
        <v>8</v>
      </c>
      <c r="E37" s="251" t="n">
        <v>9</v>
      </c>
      <c r="F37" s="254" t="n"/>
      <c r="G37" s="251" t="n">
        <v>2</v>
      </c>
      <c r="H37" s="251" t="n">
        <v>2</v>
      </c>
      <c r="I37" s="254" t="n"/>
    </row>
    <row r="38">
      <c r="B38" s="254" t="inlineStr">
        <is>
          <t>FY2024 Q1</t>
        </is>
      </c>
      <c r="C38" s="254" t="inlineStr">
        <is>
          <t>2023-11-16</t>
        </is>
      </c>
      <c r="D38" s="251" t="n">
        <v>1</v>
      </c>
      <c r="E38" s="251" t="n">
        <v>9.699999999999999</v>
      </c>
      <c r="F38" s="254" t="n"/>
      <c r="G38" s="251" t="n">
        <v>-1.7</v>
      </c>
      <c r="H38" s="251" t="n">
        <v>-1</v>
      </c>
      <c r="I38" s="254" t="n"/>
    </row>
    <row r="39">
      <c r="B39" s="254" t="inlineStr">
        <is>
          <t>FY2024 Q2</t>
        </is>
      </c>
      <c r="C39" s="254" t="inlineStr">
        <is>
          <t>2024-02-22</t>
        </is>
      </c>
      <c r="D39" s="251" t="n">
        <v>4</v>
      </c>
      <c r="E39" s="251" t="n">
        <v>0.3</v>
      </c>
      <c r="F39" s="251" t="n">
        <v>9.199999999999999</v>
      </c>
      <c r="G39" s="251" t="n">
        <v>-5</v>
      </c>
      <c r="H39" s="251" t="n">
        <v>-5</v>
      </c>
      <c r="I39" s="254" t="n"/>
    </row>
    <row r="40">
      <c r="B40" s="254" t="inlineStr">
        <is>
          <t>FY2024 Q3</t>
        </is>
      </c>
      <c r="C40" s="254" t="inlineStr">
        <is>
          <t>2024-05-16</t>
        </is>
      </c>
      <c r="D40" s="251" t="n">
        <v>3</v>
      </c>
      <c r="E40" s="251" t="n">
        <v>6.8</v>
      </c>
      <c r="F40" s="254" t="n"/>
      <c r="G40" s="251" t="n">
        <v>-2</v>
      </c>
      <c r="H40" s="251" t="n">
        <v>-3</v>
      </c>
      <c r="I40" s="254" t="n"/>
    </row>
    <row r="41">
      <c r="B41" s="254" t="inlineStr">
        <is>
          <t>FY2024 Q4</t>
        </is>
      </c>
      <c r="C41" s="254" t="inlineStr">
        <is>
          <t>2024-09-04</t>
        </is>
      </c>
      <c r="D41" s="251" t="n">
        <v>6</v>
      </c>
      <c r="E41" s="251" t="n">
        <v>6</v>
      </c>
      <c r="F41" s="254" t="n"/>
      <c r="G41" s="251" t="n">
        <v>-4</v>
      </c>
      <c r="H41" s="251" t="n">
        <v>-5</v>
      </c>
      <c r="I41" s="254" t="n"/>
    </row>
    <row r="42">
      <c r="B42" s="254" t="inlineStr">
        <is>
          <t>FY2025 Q1</t>
        </is>
      </c>
      <c r="C42" s="254" t="inlineStr">
        <is>
          <t>2024-11-21</t>
        </is>
      </c>
      <c r="D42" s="251" t="n">
        <v>5</v>
      </c>
      <c r="E42" s="251" t="n">
        <v>12</v>
      </c>
      <c r="F42" s="251" t="n">
        <v>9</v>
      </c>
      <c r="G42" s="251" t="n">
        <v>-1</v>
      </c>
      <c r="H42" s="251" t="n">
        <v>-1</v>
      </c>
      <c r="I42" s="254" t="n"/>
    </row>
    <row r="43">
      <c r="B43" s="254" t="inlineStr">
        <is>
          <t>FY2025 Q2</t>
        </is>
      </c>
      <c r="C43" s="254" t="inlineStr">
        <is>
          <t>2025-02-20</t>
        </is>
      </c>
      <c r="D43" s="251" t="n">
        <v>-4</v>
      </c>
      <c r="E43" s="251" t="n">
        <v>9</v>
      </c>
      <c r="F43" s="251" t="n">
        <v>2</v>
      </c>
      <c r="G43" s="251" t="n">
        <v>2</v>
      </c>
      <c r="H43" s="251" t="n">
        <v>2</v>
      </c>
      <c r="I43" s="254" t="n"/>
    </row>
    <row r="44">
      <c r="B44" s="254" t="inlineStr">
        <is>
          <t>FY2025 Q3</t>
        </is>
      </c>
      <c r="C44" s="254" t="inlineStr">
        <is>
          <t>2025-05-22</t>
        </is>
      </c>
      <c r="D44" s="251" t="n">
        <v>-11</v>
      </c>
      <c r="E44" s="251" t="n">
        <v>-1</v>
      </c>
      <c r="F44" s="251" t="n">
        <v>-2</v>
      </c>
      <c r="G44" s="251" t="n">
        <v>2</v>
      </c>
      <c r="H44" s="251" t="n">
        <v>3</v>
      </c>
      <c r="I44" s="254" t="n"/>
    </row>
    <row r="45">
      <c r="B45" s="254" t="inlineStr">
        <is>
          <t>FY2025 Q4</t>
        </is>
      </c>
      <c r="C45" s="254" t="inlineStr">
        <is>
          <t>2025-09-04</t>
        </is>
      </c>
      <c r="D45" s="251" t="n">
        <v>-14.8</v>
      </c>
      <c r="E45" s="251" t="n">
        <v>-2.1</v>
      </c>
      <c r="F45" s="254" t="n"/>
      <c r="G45" s="251" t="n">
        <v>5.7</v>
      </c>
      <c r="H45" s="251" t="n">
        <v>5.6</v>
      </c>
      <c r="I45" s="251" t="n">
        <v>-1.9</v>
      </c>
    </row>
    <row r="46">
      <c r="B46" s="254" t="inlineStr">
        <is>
          <t>FY2026 Q1</t>
        </is>
      </c>
      <c r="C46" s="254" t="inlineStr">
        <is>
          <t>2025-11-20</t>
        </is>
      </c>
      <c r="D46" s="251" t="n">
        <v>-17</v>
      </c>
      <c r="E46" s="251" t="n">
        <v>-9.5</v>
      </c>
      <c r="F46" s="251" t="n">
        <v>-7.3</v>
      </c>
      <c r="G46" s="251" t="n">
        <v>8.4</v>
      </c>
      <c r="H46" s="251" t="n">
        <v>8.5</v>
      </c>
      <c r="I46" s="254" t="n"/>
    </row>
    <row r="47">
      <c r="B47" s="254" t="inlineStr">
        <is>
          <t>FY2026 Q2</t>
        </is>
      </c>
      <c r="C47" s="254" t="inlineStr">
        <is>
          <t>2026-02-19</t>
        </is>
      </c>
      <c r="D47" s="251" t="n">
        <v>-8.1</v>
      </c>
      <c r="E47" s="251" t="n">
        <v>-10.7</v>
      </c>
      <c r="F47" s="251" t="n">
        <v>-4.8</v>
      </c>
      <c r="G47" s="251" t="n">
        <v>6</v>
      </c>
      <c r="H47" s="251" t="n">
        <v>6</v>
      </c>
      <c r="I47" s="251" t="n">
        <v>-8</v>
      </c>
    </row>
    <row r="48">
      <c r="B48" s="254" t="inlineStr">
        <is>
          <t>FY2026 Q3</t>
        </is>
      </c>
      <c r="C48" s="254" t="inlineStr">
        <is>
          <t>2026-05-21</t>
        </is>
      </c>
      <c r="D48" s="251" t="n">
        <v>-4.7</v>
      </c>
      <c r="E48" s="251" t="n">
        <v>-4.2</v>
      </c>
      <c r="F48" s="251" t="n">
        <v>-3.1</v>
      </c>
      <c r="G48" s="251" t="n">
        <v>4.1</v>
      </c>
      <c r="H48" s="251" t="n">
        <v>4.6</v>
      </c>
      <c r="I48" s="251" t="n">
        <v>-2.7</v>
      </c>
    </row>
    <row r="50">
      <c r="B50" s="252" t="inlineStr">
        <is>
          <t>FY2026 10-K (filed 2026-09-29): insurers supplied 79% of vehicles processed (81% FY25, 81% FY24); 286 operating facilities; no customer &gt;10% of revenue. VERIFIED raw/sec/10k/cprt_2026-07-31.htm</t>
        </is>
      </c>
    </row>
  </sheetData>
  <pageMargins left="0.75" right="0.75" top="1" bottom="1" header="0.5" footer="0.5"/>
</worksheet>
</file>

<file path=xl/worksheets/sheet24.xml><?xml version="1.0" encoding="utf-8"?>
<worksheet xmlns="http://schemas.openxmlformats.org/spreadsheetml/2006/main">
  <sheetPr>
    <tabColor rgb="FFBFBFBF"/>
    <outlinePr summaryBelow="1" summaryRight="1"/>
    <pageSetUpPr/>
  </sheetPr>
  <dimension ref="B1:S51"/>
  <sheetViews>
    <sheetView showGridLines="0" zoomScale="90" workbookViewId="0">
      <pane xSplit="3" ySplit="4" topLeftCell="D5"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2.5" customWidth="1" style="392" min="1" max="1"/>
    <col width="72" customWidth="1" style="392" min="2" max="2"/>
    <col width="28" customWidth="1" style="392" min="3" max="3"/>
    <col width="13" customWidth="1" style="392" min="4" max="6"/>
    <col width="24" customWidth="1" style="392" min="7" max="7"/>
    <col width="46" customWidth="1" style="392" min="8" max="8"/>
    <col width="12" customWidth="1" style="392" min="9" max="9"/>
    <col width="70" customWidth="1" style="392" min="10" max="10"/>
  </cols>
  <sheetData>
    <row r="1" ht="17" customHeight="1" s="392">
      <c r="B1" s="269" t="inlineStr">
        <is>
          <t>D Facts — every verified, measured or second-hand datum the engines use as a number</t>
        </is>
      </c>
      <c r="C1" s="270" t="n"/>
      <c r="D1" s="270" t="n"/>
      <c r="E1" s="270" t="n"/>
      <c r="F1" s="270" t="n"/>
      <c r="G1" s="270" t="n"/>
      <c r="H1" s="270" t="n"/>
      <c r="I1" s="270" t="n"/>
      <c r="J1" s="270" t="n"/>
      <c r="K1" s="270" t="n"/>
      <c r="L1" s="270" t="n"/>
      <c r="M1" s="270" t="n"/>
      <c r="N1" s="270" t="n"/>
      <c r="O1" s="270" t="n"/>
      <c r="P1" s="270" t="n"/>
      <c r="Q1" s="270" t="n"/>
      <c r="R1" s="270" t="n"/>
      <c r="S1" s="270" t="n"/>
    </row>
    <row r="2">
      <c r="B2" s="252" t="inlineStr">
        <is>
          <t>One row per fact: value, unit, evidence label, source, date, file or URL. Engine tabs link here (green); nothing on an engine tab retypes these values.</t>
        </is>
      </c>
    </row>
    <row r="4">
      <c r="B4" s="249" t="inlineStr">
        <is>
          <t>Fact</t>
        </is>
      </c>
      <c r="C4" s="249" t="inlineStr">
        <is>
          <t>Key</t>
        </is>
      </c>
      <c r="D4" s="249" t="inlineStr">
        <is>
          <t>Value</t>
        </is>
      </c>
      <c r="E4" s="249" t="inlineStr">
        <is>
          <t>Unit</t>
        </is>
      </c>
      <c r="F4" s="249" t="inlineStr">
        <is>
          <t>Label</t>
        </is>
      </c>
      <c r="G4" s="249" t="inlineStr">
        <is>
          <t>Source</t>
        </is>
      </c>
      <c r="H4" s="249" t="inlineStr">
        <is>
          <t>Date</t>
        </is>
      </c>
      <c r="I4" s="249" t="inlineStr">
        <is>
          <t>File / URL</t>
        </is>
      </c>
    </row>
    <row r="5">
      <c r="B5" s="254" t="inlineStr">
        <is>
          <t>Copart US insurance ASP, y/y, FQ4 FY26</t>
        </is>
      </c>
      <c r="C5" s="252" t="inlineStr">
        <is>
          <t>cprt_us_ins_asp_yoy_fq4fy26</t>
        </is>
      </c>
      <c r="D5" s="303" t="n">
        <v>0.037</v>
      </c>
      <c r="E5" s="274" t="inlineStr">
        <is>
          <t>%</t>
        </is>
      </c>
      <c r="F5" s="252" t="inlineStr">
        <is>
          <t>VERIFIED</t>
        </is>
      </c>
      <c r="G5" s="252" t="inlineStr">
        <is>
          <t>VERIFIED</t>
        </is>
      </c>
      <c r="H5" s="252" t="inlineStr">
        <is>
          <t>Copart FQ4 FY26 earnings call (CFO remarks)</t>
        </is>
      </c>
      <c r="I5" s="252" t="inlineStr">
        <is>
          <t>2026-09-10</t>
        </is>
      </c>
      <c r="J5" s="252" t="inlineStr">
        <is>
          <t>raw/transcripts/call_2026-09-10.txt lines 216–226; SEC-filed exhibit</t>
        </is>
      </c>
    </row>
    <row r="6">
      <c r="B6" s="254" t="inlineStr">
        <is>
          <t>Manheim Used Vehicle Value Index, y/y, FQ4 FY26 as cited by Copart</t>
        </is>
      </c>
      <c r="C6" s="252" t="inlineStr">
        <is>
          <t>manheim_yoy_fq4fy26</t>
        </is>
      </c>
      <c r="D6" s="303" t="n">
        <v>0.028</v>
      </c>
      <c r="E6" s="274" t="inlineStr">
        <is>
          <t>%</t>
        </is>
      </c>
      <c r="F6" s="252" t="inlineStr">
        <is>
          <t>VERIFIED</t>
        </is>
      </c>
      <c r="G6" s="252" t="inlineStr">
        <is>
          <t>VERIFIED</t>
        </is>
      </c>
      <c r="H6" s="252" t="inlineStr">
        <is>
          <t>Copart FQ4 FY26 call</t>
        </is>
      </c>
      <c r="I6" s="252" t="inlineStr">
        <is>
          <t>2026-09-10</t>
        </is>
      </c>
      <c r="J6" s="252" t="inlineStr">
        <is>
          <t>raw/transcripts/call_2026-09-10.txt</t>
        </is>
      </c>
    </row>
    <row r="7">
      <c r="B7" s="254" t="inlineStr">
        <is>
          <t>Copart gross margin, FQ4 FY26</t>
        </is>
      </c>
      <c r="C7" s="252" t="inlineStr">
        <is>
          <t>cprt_gm_fq4fy26</t>
        </is>
      </c>
      <c r="D7" s="303" t="n">
        <v>0.418</v>
      </c>
      <c r="E7" s="274" t="inlineStr">
        <is>
          <t>%</t>
        </is>
      </c>
      <c r="F7" s="252" t="inlineStr">
        <is>
          <t>VERIFIED</t>
        </is>
      </c>
      <c r="G7" s="252" t="inlineStr">
        <is>
          <t>VERIFIED</t>
        </is>
      </c>
      <c r="H7" s="252" t="inlineStr">
        <is>
          <t>Copart FQ4 FY26 call</t>
        </is>
      </c>
      <c r="I7" s="252" t="inlineStr">
        <is>
          <t>2026-09-10</t>
        </is>
      </c>
      <c r="J7" s="252" t="inlineStr">
        <is>
          <t>raw/transcripts/call_2026-09-10.txt ~line 176</t>
        </is>
      </c>
    </row>
    <row r="8">
      <c r="B8" s="254" t="inlineStr">
        <is>
          <t>Copart gross margin, FQ4 FY25 (memo figure)</t>
        </is>
      </c>
      <c r="C8" s="252" t="inlineStr">
        <is>
          <t>cprt_gm_fq4fy25</t>
        </is>
      </c>
      <c r="D8" s="303" t="n">
        <v>0.453</v>
      </c>
      <c r="E8" s="274" t="inlineStr">
        <is>
          <t>%</t>
        </is>
      </c>
      <c r="F8" s="252" t="inlineStr">
        <is>
          <t>UNVERIFIED</t>
        </is>
      </c>
      <c r="G8" s="252" t="inlineStr">
        <is>
          <t>UNVERIFIED</t>
        </is>
      </c>
      <c r="H8" s="252" t="inlineStr">
        <is>
          <t>Memo draft; to confirm from the FQ4 FY25 8-K exhibit</t>
        </is>
      </c>
      <c r="I8" s="252" t="inlineStr">
        <is>
          <t>2026-10-01</t>
        </is>
      </c>
      <c r="J8" s="252" t="inlineStr">
        <is>
          <t>raw/sec/8k/er_2025-09-04_cprt07312025ex99-1.htm (not yet read for this figure)</t>
        </is>
      </c>
    </row>
    <row r="9">
      <c r="B9" s="254" t="inlineStr">
        <is>
          <t>Copart US insurance units sold, y/y, FQ4 FY26</t>
        </is>
      </c>
      <c r="C9" s="252" t="inlineStr">
        <is>
          <t>cprt_us_ins_units_yoy_fq4fy26</t>
        </is>
      </c>
      <c r="D9" s="303" t="n">
        <v>-0.075</v>
      </c>
      <c r="E9" s="274" t="inlineStr">
        <is>
          <t>%</t>
        </is>
      </c>
      <c r="F9" s="252" t="inlineStr">
        <is>
          <t>VERIFIED</t>
        </is>
      </c>
      <c r="G9" s="252" t="inlineStr">
        <is>
          <t>VERIFIED</t>
        </is>
      </c>
      <c r="H9" s="252" t="inlineStr">
        <is>
          <t>Copart FQ4 FY26 call and 8-K</t>
        </is>
      </c>
      <c r="I9" s="252" t="inlineStr">
        <is>
          <t>2026-09-10</t>
        </is>
      </c>
      <c r="J9" s="252" t="inlineStr">
        <is>
          <t>raw/sec/8k/er_2026-09-10_cprt-ex99_1.htm</t>
        </is>
      </c>
    </row>
    <row r="10">
      <c r="B10" s="254" t="inlineStr">
        <is>
          <t>Copart operating facilities, FY2026 10-K</t>
        </is>
      </c>
      <c r="C10" s="252" t="inlineStr">
        <is>
          <t>cprt_facilities_fy26</t>
        </is>
      </c>
      <c r="D10" s="359" t="n">
        <v>286</v>
      </c>
      <c r="E10" s="274" t="inlineStr">
        <is>
          <t>count</t>
        </is>
      </c>
      <c r="F10" s="252" t="inlineStr">
        <is>
          <t>VERIFIED</t>
        </is>
      </c>
      <c r="G10" s="252" t="inlineStr">
        <is>
          <t>VERIFIED</t>
        </is>
      </c>
      <c r="H10" s="252" t="inlineStr">
        <is>
          <t>Copart FY2026 10-K Item 2</t>
        </is>
      </c>
      <c r="I10" s="252" t="inlineStr">
        <is>
          <t>2026-09-29</t>
        </is>
      </c>
      <c r="J10" s="252" t="inlineStr">
        <is>
          <t>raw/sec/10k/cprt_2026-07-31.htm</t>
        </is>
      </c>
    </row>
    <row r="11">
      <c r="B11" s="254" t="inlineStr">
        <is>
          <t>Share of vehicles processed from insurance sellers, FY26 (81% FY25, 81% FY24)</t>
        </is>
      </c>
      <c r="C11" s="252" t="inlineStr">
        <is>
          <t>cprt_ins_share_vehicles_fy26</t>
        </is>
      </c>
      <c r="D11" s="303" t="n">
        <v>0.79</v>
      </c>
      <c r="E11" s="274" t="inlineStr">
        <is>
          <t>%</t>
        </is>
      </c>
      <c r="F11" s="252" t="inlineStr">
        <is>
          <t>VERIFIED</t>
        </is>
      </c>
      <c r="G11" s="252" t="inlineStr">
        <is>
          <t>VERIFIED</t>
        </is>
      </c>
      <c r="H11" s="252" t="inlineStr">
        <is>
          <t>Copart FY2026 10-K, Sales</t>
        </is>
      </c>
      <c r="I11" s="252" t="inlineStr">
        <is>
          <t>2026-09-29</t>
        </is>
      </c>
      <c r="J11" s="252" t="inlineStr">
        <is>
          <t>raw/sec/10k/cprt_2026-07-31.htm</t>
        </is>
      </c>
    </row>
    <row r="12">
      <c r="B12" s="254" t="inlineStr">
        <is>
          <t>Copart: no customer above this share of revenue</t>
        </is>
      </c>
      <c r="C12" s="252" t="inlineStr">
        <is>
          <t>cprt_customer_threshold</t>
        </is>
      </c>
      <c r="D12" s="303" t="n">
        <v>0.1</v>
      </c>
      <c r="E12" s="274" t="inlineStr">
        <is>
          <t>%</t>
        </is>
      </c>
      <c r="F12" s="252" t="inlineStr">
        <is>
          <t>VERIFIED</t>
        </is>
      </c>
      <c r="G12" s="252" t="inlineStr">
        <is>
          <t>VERIFIED</t>
        </is>
      </c>
      <c r="H12" s="252" t="inlineStr">
        <is>
          <t>Copart FY2026 10-K</t>
        </is>
      </c>
      <c r="I12" s="252" t="inlineStr">
        <is>
          <t>2026-09-29</t>
        </is>
      </c>
      <c r="J12" s="252" t="inlineStr">
        <is>
          <t>raw/sec/10k/cprt_2026-07-31.htm</t>
        </is>
      </c>
    </row>
    <row r="13">
      <c r="B13" s="254" t="inlineStr">
        <is>
          <t>RB Global operating acreage, owned 6,143 + leased 8,660, 31 Dec 2025</t>
        </is>
      </c>
      <c r="C13" s="252" t="inlineStr">
        <is>
          <t>rba_acres_total</t>
        </is>
      </c>
      <c r="D13" s="359" t="n">
        <v>14803</v>
      </c>
      <c r="E13" s="274" t="inlineStr">
        <is>
          <t>acres</t>
        </is>
      </c>
      <c r="F13" s="252" t="inlineStr">
        <is>
          <t>VERIFIED</t>
        </is>
      </c>
      <c r="G13" s="252" t="inlineStr">
        <is>
          <t>VERIFIED</t>
        </is>
      </c>
      <c r="H13" s="252" t="inlineStr">
        <is>
          <t>RB Global FY2025 10-K, Properties table</t>
        </is>
      </c>
      <c r="I13" s="252" t="inlineStr">
        <is>
          <t>2026-02-25</t>
        </is>
      </c>
      <c r="J13" s="252" t="inlineStr">
        <is>
          <t>raw/sec/rba/10k_2025-12-31.htm</t>
        </is>
      </c>
    </row>
    <row r="14">
      <c r="B14" s="254" t="inlineStr">
        <is>
          <t>RB Global operating locations, 31 Dec 2025</t>
        </is>
      </c>
      <c r="C14" s="252" t="inlineStr">
        <is>
          <t>rba_locations</t>
        </is>
      </c>
      <c r="D14" s="359" t="n">
        <v>333</v>
      </c>
      <c r="E14" s="274" t="inlineStr">
        <is>
          <t>count</t>
        </is>
      </c>
      <c r="F14" s="252" t="inlineStr">
        <is>
          <t>VERIFIED</t>
        </is>
      </c>
      <c r="G14" s="252" t="inlineStr">
        <is>
          <t>VERIFIED</t>
        </is>
      </c>
      <c r="H14" s="252" t="inlineStr">
        <is>
          <t>RB Global FY2025 10-K, Properties table</t>
        </is>
      </c>
      <c r="I14" s="252" t="inlineStr">
        <is>
          <t>2026-02-25</t>
        </is>
      </c>
      <c r="J14" s="252" t="inlineStr">
        <is>
          <t>raw/sec/rba/10k_2025-12-31.htm</t>
        </is>
      </c>
    </row>
    <row r="15">
      <c r="B15" s="254" t="inlineStr">
        <is>
          <t>RB Global option acreage for catastrophe response (more than)</t>
        </is>
      </c>
      <c r="C15" s="252" t="inlineStr">
        <is>
          <t>rba_cat_option_acres</t>
        </is>
      </c>
      <c r="D15" s="359" t="n">
        <v>1800</v>
      </c>
      <c r="E15" s="274" t="inlineStr">
        <is>
          <t>acres</t>
        </is>
      </c>
      <c r="F15" s="252" t="inlineStr">
        <is>
          <t>VERIFIED</t>
        </is>
      </c>
      <c r="G15" s="252" t="inlineStr">
        <is>
          <t>VERIFIED</t>
        </is>
      </c>
      <c r="H15" s="252" t="inlineStr">
        <is>
          <t>RB Global FY2025 10-K</t>
        </is>
      </c>
      <c r="I15" s="252" t="inlineStr">
        <is>
          <t>2026-02-25</t>
        </is>
      </c>
      <c r="J15" s="252" t="inlineStr">
        <is>
          <t>raw/sec/rba/10k_2025-12-31.htm</t>
        </is>
      </c>
    </row>
    <row r="16">
      <c r="B16" s="254" t="inlineStr">
        <is>
          <t>RB Global revenue from its three largest vehicle suppliers, FY2025</t>
        </is>
      </c>
      <c r="C16" s="252" t="inlineStr">
        <is>
          <t>rba_top3_supplier_share</t>
        </is>
      </c>
      <c r="D16" s="303" t="n">
        <v>0.23</v>
      </c>
      <c r="E16" s="274" t="inlineStr">
        <is>
          <t>%</t>
        </is>
      </c>
      <c r="F16" s="252" t="inlineStr">
        <is>
          <t>VERIFIED</t>
        </is>
      </c>
      <c r="G16" s="252" t="inlineStr">
        <is>
          <t>VERIFIED</t>
        </is>
      </c>
      <c r="H16" s="252" t="inlineStr">
        <is>
          <t>RB Global FY2025 10-K, risk factors</t>
        </is>
      </c>
      <c r="I16" s="252" t="inlineStr">
        <is>
          <t>2026-02-25</t>
        </is>
      </c>
      <c r="J16" s="252" t="inlineStr">
        <is>
          <t>raw/sec/rba/10k_2025-12-31.htm</t>
        </is>
      </c>
    </row>
    <row r="17">
      <c r="B17" s="254" t="inlineStr">
        <is>
          <t>RB Global automotive lots sold, y/y, Q2 2026 (658.8k vs 595.9k)</t>
        </is>
      </c>
      <c r="C17" s="252" t="inlineStr">
        <is>
          <t>rba_auto_lots_yoy_q2_2026</t>
        </is>
      </c>
      <c r="D17" s="303" t="n">
        <v>0.11</v>
      </c>
      <c r="E17" s="274" t="inlineStr">
        <is>
          <t>%</t>
        </is>
      </c>
      <c r="F17" s="252" t="inlineStr">
        <is>
          <t>VERIFIED</t>
        </is>
      </c>
      <c r="G17" s="252" t="inlineStr">
        <is>
          <t>VERIFIED</t>
        </is>
      </c>
      <c r="H17" s="252" t="inlineStr">
        <is>
          <t>RB Global Q2 2026 10-Q</t>
        </is>
      </c>
      <c r="I17" s="252" t="inlineStr">
        <is>
          <t>2026-08-04</t>
        </is>
      </c>
      <c r="J17" s="252" t="inlineStr">
        <is>
          <t>raw/sec/rba/10q_2026-06-30.htm</t>
        </is>
      </c>
    </row>
    <row r="18">
      <c r="B18" s="254" t="inlineStr">
        <is>
          <t>RB Global automotive GTV per lot, Q2 2026 ($2,448.7m ÷ 658.8k)</t>
        </is>
      </c>
      <c r="C18" s="252" t="inlineStr">
        <is>
          <t>rba_gtv_per_lot_q2_2026</t>
        </is>
      </c>
      <c r="D18" s="466" t="n">
        <v>3717</v>
      </c>
      <c r="E18" s="274" t="inlineStr">
        <is>
          <t>$</t>
        </is>
      </c>
      <c r="F18" s="252" t="inlineStr">
        <is>
          <t>MEASURED</t>
        </is>
      </c>
      <c r="G18" s="252" t="inlineStr">
        <is>
          <t>MEASURED</t>
        </is>
      </c>
      <c r="H18" s="252" t="inlineStr">
        <is>
          <t>Computed from the Q2 2026 10-Q</t>
        </is>
      </c>
      <c r="I18" s="252" t="inlineStr">
        <is>
          <t>2026-08-04</t>
        </is>
      </c>
      <c r="J18" s="252" t="inlineStr">
        <is>
          <t>raw/sec/rba/10q_2026-06-30.htm</t>
        </is>
      </c>
    </row>
    <row r="19">
      <c r="B19" s="254" t="inlineStr">
        <is>
          <t>RB Global service revenue take rate, Q2 2026 (21.1% a year earlier)</t>
        </is>
      </c>
      <c r="C19" s="252" t="inlineStr">
        <is>
          <t>rba_take_rate_q2_2026</t>
        </is>
      </c>
      <c r="D19" s="303" t="n">
        <v>0.2</v>
      </c>
      <c r="E19" s="274" t="inlineStr">
        <is>
          <t>%</t>
        </is>
      </c>
      <c r="F19" s="252" t="inlineStr">
        <is>
          <t>VERIFIED</t>
        </is>
      </c>
      <c r="G19" s="252" t="inlineStr">
        <is>
          <t>VERIFIED</t>
        </is>
      </c>
      <c r="H19" s="252" t="inlineStr">
        <is>
          <t>RB Global Q2 2026 earnings release</t>
        </is>
      </c>
      <c r="I19" s="252" t="inlineStr">
        <is>
          <t>2026-08-04</t>
        </is>
      </c>
      <c r="J19" s="252" t="inlineStr">
        <is>
          <t>raw/sec/rba/8k_2026-08-04_ex99_1.htm</t>
        </is>
      </c>
    </row>
    <row r="20">
      <c r="B20" s="254" t="inlineStr">
        <is>
          <t>RB Global director Michael Sieger (three decades at Progressive) appointed</t>
        </is>
      </c>
      <c r="C20" s="252" t="inlineStr">
        <is>
          <t>rba_sieger_year</t>
        </is>
      </c>
      <c r="D20" s="355" t="n">
        <v>2023</v>
      </c>
      <c r="E20" s="274" t="inlineStr">
        <is>
          <t>year</t>
        </is>
      </c>
      <c r="F20" s="252" t="inlineStr">
        <is>
          <t>VERIFIED</t>
        </is>
      </c>
      <c r="G20" s="252" t="inlineStr">
        <is>
          <t>VERIFIED</t>
        </is>
      </c>
      <c r="H20" s="252" t="inlineStr">
        <is>
          <t>RB Global 2026 proxy statement</t>
        </is>
      </c>
      <c r="I20" s="252" t="inlineStr">
        <is>
          <t>2026-03-19</t>
        </is>
      </c>
      <c r="J20" s="252" t="inlineStr">
        <is>
          <t>raw/sec/rba/def14a_2026.htm</t>
        </is>
      </c>
    </row>
    <row r="21">
      <c r="B21" s="254" t="inlineStr">
        <is>
          <t>Copart share of the insured total-loss pool, y/y, FQ4 FY26 (reconstruction)</t>
        </is>
      </c>
      <c r="C21" s="252" t="inlineStr">
        <is>
          <t>share_yoy_fq4fy26</t>
        </is>
      </c>
      <c r="D21" s="303" t="n">
        <v>-0.06508</v>
      </c>
      <c r="E21" s="274" t="inlineStr">
        <is>
          <t>%</t>
        </is>
      </c>
      <c r="F21" s="252" t="inlineStr">
        <is>
          <t>MEASURED</t>
        </is>
      </c>
      <c r="G21" s="252" t="inlineStr">
        <is>
          <t>MEASURED</t>
        </is>
      </c>
      <c r="H21" s="252" t="inlineStr">
        <is>
          <t>Carrier compatibility test from the inherited share build</t>
        </is>
      </c>
      <c r="I21" s="252" t="inlineStr">
        <is>
          <t>2026-09-28</t>
        </is>
      </c>
      <c r="J21" s="252" t="inlineStr">
        <is>
          <t>docs/carrier_test_2026-09-28/results.json</t>
        </is>
      </c>
    </row>
    <row r="22">
      <c r="B22" s="254" t="inlineStr">
        <is>
          <t>Copart share of Copart + IAA listed US inventory, mean of 4 clean nights 11–27 Sep 2026</t>
        </is>
      </c>
      <c r="C22" s="252" t="inlineStr">
        <is>
          <t>duopoly_listed_share</t>
        </is>
      </c>
      <c r="D22" s="303" t="n">
        <v>0.572</v>
      </c>
      <c r="E22" s="274" t="inlineStr">
        <is>
          <t>%</t>
        </is>
      </c>
      <c r="F22" s="252" t="inlineStr">
        <is>
          <t>MEASURED</t>
        </is>
      </c>
      <c r="G22" s="252" t="inlineStr">
        <is>
          <t>MEASURED</t>
        </is>
      </c>
      <c r="H22" s="252" t="inlineStr">
        <is>
          <t>Nightly sitemap collector</t>
        </is>
      </c>
      <c r="I22" s="252" t="inlineStr">
        <is>
          <t>2026-09-27</t>
        </is>
      </c>
      <c r="J22" s="252" t="inlineStr">
        <is>
          <t>data/csv/duopoly_daily.csv (usable = 1)</t>
        </is>
      </c>
    </row>
    <row r="23">
      <c r="B23" s="254" t="inlineStr">
        <is>
          <t>Aftermarket share of replacement-part dollars, 2025 (21.0% in 2024)</t>
        </is>
      </c>
      <c r="C23" s="252" t="inlineStr">
        <is>
          <t>ccc_am_dollar_share_2025</t>
        </is>
      </c>
      <c r="D23" s="303" t="n">
        <v>0.227</v>
      </c>
      <c r="E23" s="274" t="inlineStr">
        <is>
          <t>%</t>
        </is>
      </c>
      <c r="F23" s="252" t="inlineStr">
        <is>
          <t>VERIFIED</t>
        </is>
      </c>
      <c r="G23" s="252" t="inlineStr">
        <is>
          <t>VERIFIED</t>
        </is>
      </c>
      <c r="H23" s="252" t="inlineStr">
        <is>
          <t>CCC Crash Course 2026</t>
        </is>
      </c>
      <c r="I23" s="252" t="inlineStr">
        <is>
          <t>2026-03</t>
        </is>
      </c>
      <c r="J23" s="252" t="inlineStr">
        <is>
          <t>docs/bidmate_adoption_2026-09-29; https://www.cccis.com/reports/crash-course-2026</t>
        </is>
      </c>
    </row>
    <row r="24">
      <c r="B24" s="254" t="inlineStr">
        <is>
          <t>Aftermarket share of replacement-part dollars, 2024</t>
        </is>
      </c>
      <c r="C24" s="252" t="inlineStr">
        <is>
          <t>ccc_am_dollar_share_2024</t>
        </is>
      </c>
      <c r="D24" s="303" t="n">
        <v>0.21</v>
      </c>
      <c r="E24" s="274" t="inlineStr">
        <is>
          <t>%</t>
        </is>
      </c>
      <c r="F24" s="252" t="inlineStr">
        <is>
          <t>VERIFIED</t>
        </is>
      </c>
      <c r="G24" s="252" t="inlineStr">
        <is>
          <t>VERIFIED</t>
        </is>
      </c>
      <c r="H24" s="252" t="inlineStr">
        <is>
          <t>CCC Crash Course 2026</t>
        </is>
      </c>
      <c r="I24" s="252" t="inlineStr">
        <is>
          <t>2026-03</t>
        </is>
      </c>
      <c r="J24" s="252" t="inlineStr">
        <is>
          <t>same</t>
        </is>
      </c>
    </row>
    <row r="25">
      <c r="B25" s="254" t="inlineStr">
        <is>
          <t>Recycled share of replacement-part dollars, 2025 (10.7% in 2024)</t>
        </is>
      </c>
      <c r="C25" s="252" t="inlineStr">
        <is>
          <t>ccc_rec_dollar_share_2025</t>
        </is>
      </c>
      <c r="D25" s="303" t="n">
        <v>0.105</v>
      </c>
      <c r="E25" s="274" t="inlineStr">
        <is>
          <t>%</t>
        </is>
      </c>
      <c r="F25" s="252" t="inlineStr">
        <is>
          <t>VERIFIED</t>
        </is>
      </c>
      <c r="G25" s="252" t="inlineStr">
        <is>
          <t>VERIFIED</t>
        </is>
      </c>
      <c r="H25" s="252" t="inlineStr">
        <is>
          <t>CCC Crash Course 2026</t>
        </is>
      </c>
      <c r="I25" s="252" t="inlineStr">
        <is>
          <t>2026-03</t>
        </is>
      </c>
      <c r="J25" s="252" t="inlineStr">
        <is>
          <t>same</t>
        </is>
      </c>
    </row>
    <row r="26">
      <c r="B26" s="254" t="inlineStr">
        <is>
          <t>Recycled share of replacement-part dollars, 2024</t>
        </is>
      </c>
      <c r="C26" s="252" t="inlineStr">
        <is>
          <t>ccc_rec_dollar_share_2024</t>
        </is>
      </c>
      <c r="D26" s="303" t="n">
        <v>0.107</v>
      </c>
      <c r="E26" s="274" t="inlineStr">
        <is>
          <t>%</t>
        </is>
      </c>
      <c r="F26" s="252" t="inlineStr">
        <is>
          <t>VERIFIED</t>
        </is>
      </c>
      <c r="G26" s="252" t="inlineStr">
        <is>
          <t>VERIFIED</t>
        </is>
      </c>
      <c r="H26" s="252" t="inlineStr">
        <is>
          <t>CCC Crash Course 2026</t>
        </is>
      </c>
      <c r="I26" s="252" t="inlineStr">
        <is>
          <t>2026-03</t>
        </is>
      </c>
      <c r="J26" s="252" t="inlineStr">
        <is>
          <t>same</t>
        </is>
      </c>
    </row>
    <row r="27">
      <c r="B27" s="254" t="inlineStr">
        <is>
          <t>OEM share of replacement-part dollars, 2025 (1 − AM − recycled)</t>
        </is>
      </c>
      <c r="C27" s="252" t="inlineStr">
        <is>
          <t>ccc_oem_dollar_share_2025</t>
        </is>
      </c>
      <c r="D27" s="303" t="n">
        <v>0.668</v>
      </c>
      <c r="E27" s="274" t="inlineStr">
        <is>
          <t>%</t>
        </is>
      </c>
      <c r="F27" s="252" t="inlineStr">
        <is>
          <t>MEASURED</t>
        </is>
      </c>
      <c r="G27" s="252" t="inlineStr">
        <is>
          <t>MEASURED</t>
        </is>
      </c>
      <c r="H27" s="252" t="inlineStr">
        <is>
          <t>Derived from the two CCC shares</t>
        </is>
      </c>
      <c r="I27" s="252" t="inlineStr">
        <is>
          <t>2026-03</t>
        </is>
      </c>
      <c r="J27" s="252" t="inlineStr">
        <is>
          <t>same</t>
        </is>
      </c>
    </row>
    <row r="28">
      <c r="B28" s="254" t="inlineStr">
        <is>
          <t>Parts as a share of the repair bill, CCC, by vehicle age (low end)</t>
        </is>
      </c>
      <c r="C28" s="252" t="inlineStr">
        <is>
          <t>ccc_parts_share_of_bill_low</t>
        </is>
      </c>
      <c r="D28" s="303" t="n">
        <v>0.36</v>
      </c>
      <c r="E28" s="274" t="inlineStr">
        <is>
          <t>%</t>
        </is>
      </c>
      <c r="F28" s="252" t="inlineStr">
        <is>
          <t>VERIFIED</t>
        </is>
      </c>
      <c r="G28" s="252" t="inlineStr">
        <is>
          <t>VERIFIED</t>
        </is>
      </c>
      <c r="H28" s="252" t="inlineStr">
        <is>
          <t>CCC Crash Course 2026</t>
        </is>
      </c>
      <c r="I28" s="252" t="inlineStr">
        <is>
          <t>2026-03</t>
        </is>
      </c>
      <c r="J28" s="252" t="inlineStr">
        <is>
          <t>docs/aftermarket_parameter_audit_2026-09-29</t>
        </is>
      </c>
    </row>
    <row r="29">
      <c r="B29" s="254" t="inlineStr">
        <is>
          <t>Parts as a share of the repair bill, CCC, by vehicle age (high end)</t>
        </is>
      </c>
      <c r="C29" s="252" t="inlineStr">
        <is>
          <t>ccc_parts_share_of_bill_high</t>
        </is>
      </c>
      <c r="D29" s="303" t="n">
        <v>0.44</v>
      </c>
      <c r="E29" s="274" t="inlineStr">
        <is>
          <t>%</t>
        </is>
      </c>
      <c r="F29" s="252" t="inlineStr">
        <is>
          <t>VERIFIED</t>
        </is>
      </c>
      <c r="G29" s="252" t="inlineStr">
        <is>
          <t>VERIFIED</t>
        </is>
      </c>
      <c r="H29" s="252" t="inlineStr">
        <is>
          <t>CCC Crash Course 2026</t>
        </is>
      </c>
      <c r="I29" s="252" t="inlineStr">
        <is>
          <t>2026-03</t>
        </is>
      </c>
      <c r="J29" s="252" t="inlineStr">
        <is>
          <t>docs/aftermarket_parameter_audit_2026-09-29</t>
        </is>
      </c>
    </row>
    <row r="30">
      <c r="B30" s="254" t="inlineStr">
        <is>
          <t>Aftermarket discount to OEM, 2016, mean of domestic 23.3%, Asian 29.9%, European 27.7%</t>
        </is>
      </c>
      <c r="C30" s="252" t="inlineStr">
        <is>
          <t>mitchell_am_discount_2016_mean</t>
        </is>
      </c>
      <c r="D30" s="303" t="n">
        <v>0.27</v>
      </c>
      <c r="E30" s="274" t="inlineStr">
        <is>
          <t>%</t>
        </is>
      </c>
      <c r="F30" s="252" t="inlineStr">
        <is>
          <t>VERIFIED (historical)</t>
        </is>
      </c>
      <c r="G30" s="252" t="inlineStr">
        <is>
          <t>VERIFIED (historical)</t>
        </is>
      </c>
      <c r="H30" s="252" t="inlineStr">
        <is>
          <t>Mitchell Industry Trends Report Q2 2017, pp. 8–10</t>
        </is>
      </c>
      <c r="I30" s="252" t="inlineStr">
        <is>
          <t>2017-06</t>
        </is>
      </c>
      <c r="J30" s="252" t="inlineStr">
        <is>
          <t>docs/aftermarket_transition_evidence_2026-09-29/mitchell_discount_history.csv; raw cache</t>
        </is>
      </c>
    </row>
    <row r="31">
      <c r="B31" s="254" t="inlineStr">
        <is>
          <t>Aftermarket list price relative to OEM, 259 matched Tesla part numbers (vendor catalogue, Canada)</t>
        </is>
      </c>
      <c r="C31" s="252" t="inlineStr">
        <is>
          <t>maplev_am_price_ratio_2026</t>
        </is>
      </c>
      <c r="D31" s="330" t="n">
        <v>0.5</v>
      </c>
      <c r="E31" s="274" t="inlineStr">
        <is>
          <t>x</t>
        </is>
      </c>
      <c r="F31" s="252" t="inlineStr">
        <is>
          <t>VERIFIED (narrow)</t>
        </is>
      </c>
      <c r="G31" s="252" t="inlineStr">
        <is>
          <t>VERIFIED (narrow)</t>
        </is>
      </c>
      <c r="H31" s="252" t="inlineStr">
        <is>
          <t>MapleV catalogue comparison</t>
        </is>
      </c>
      <c r="I31" s="252" t="inlineStr">
        <is>
          <t>2026-09</t>
        </is>
      </c>
      <c r="J31" s="252" t="inlineStr">
        <is>
          <t>https://maplev.ca/guides/tesla-collision-part-prices-canada/</t>
        </is>
      </c>
    </row>
    <row r="32">
      <c r="B32" s="254" t="inlineStr">
        <is>
          <t>New OEM part price inflation, April 2025 – March 2026 (PartsTrader Collision Parts Price Index)</t>
        </is>
      </c>
      <c r="C32" s="252" t="inlineStr">
        <is>
          <t>partstrader_oem_inflation</t>
        </is>
      </c>
      <c r="D32" s="303" t="n">
        <v>0.043</v>
      </c>
      <c r="E32" s="274" t="inlineStr">
        <is>
          <t>%</t>
        </is>
      </c>
      <c r="F32" s="252" t="inlineStr">
        <is>
          <t>VERIFIED (republication)</t>
        </is>
      </c>
      <c r="G32" s="252" t="inlineStr">
        <is>
          <t>VERIFIED (republication)</t>
        </is>
      </c>
      <c r="H32" s="252" t="inlineStr">
        <is>
          <t>PartsTrader, Spring 2026 Collision Industry Report, via its own site and Repairer Driven News 8 May 2026</t>
        </is>
      </c>
      <c r="I32" s="252" t="inlineStr">
        <is>
          <t>2026-05-08</t>
        </is>
      </c>
      <c r="J32" s="252" t="inlineStr">
        <is>
          <t>raw/discovery_2026-10-02/partstrader_beyond_tariffs.html; rdn_partstrader_2026-05.html</t>
        </is>
      </c>
    </row>
    <row r="33">
      <c r="B33" s="254" t="inlineStr">
        <is>
          <t>Aftermarket part price inflation over the same period ("under 1%", "essentially flat" despite tariffs)</t>
        </is>
      </c>
      <c r="C33" s="252" t="inlineStr">
        <is>
          <t>partstrader_am_inflation</t>
        </is>
      </c>
      <c r="D33" s="303" t="n">
        <v>0.01</v>
      </c>
      <c r="E33" s="274" t="inlineStr">
        <is>
          <t>%</t>
        </is>
      </c>
      <c r="F33" s="252" t="inlineStr">
        <is>
          <t>VERIFIED (republication; upper bound)</t>
        </is>
      </c>
      <c r="G33" s="252" t="inlineStr">
        <is>
          <t>VERIFIED (republication; upper bound)</t>
        </is>
      </c>
      <c r="H33" s="252" t="inlineStr">
        <is>
          <t>PartsTrader, same report</t>
        </is>
      </c>
      <c r="I33" s="252" t="inlineStr">
        <is>
          <t>2026-05-08</t>
        </is>
      </c>
      <c r="J33" s="252" t="inlineStr">
        <is>
          <t>same</t>
        </is>
      </c>
    </row>
    <row r="34">
      <c r="B34" s="254" t="inlineStr">
        <is>
          <t>Recycled parts are priced as a percentage of the new OE part they replace and "track closely behind" OEM inflation (1 = yes)</t>
        </is>
      </c>
      <c r="C34" s="252" t="inlineStr">
        <is>
          <t>partstrader_recycled_pricing</t>
        </is>
      </c>
      <c r="D34" s="330" t="n">
        <v>1</v>
      </c>
      <c r="E34" s="274" t="inlineStr">
        <is>
          <t>flag</t>
        </is>
      </c>
      <c r="F34" s="252" t="inlineStr">
        <is>
          <t>VERIFIED (republication)</t>
        </is>
      </c>
      <c r="G34" s="252" t="inlineStr">
        <is>
          <t>VERIFIED (republication)</t>
        </is>
      </c>
      <c r="H34" s="252" t="inlineStr">
        <is>
          <t>PartsTrader, same report</t>
        </is>
      </c>
      <c r="I34" s="252" t="inlineStr">
        <is>
          <t>2026-05-08</t>
        </is>
      </c>
      <c r="J34" s="252" t="inlineStr">
        <is>
          <t>same</t>
        </is>
      </c>
    </row>
    <row r="35">
      <c r="B35" s="254" t="inlineStr">
        <is>
          <t>Median delivery days, aftermarket parts, Jan–Mar 2026 (OEM 6.9 all-parts median; recycled 3.4–3.8)</t>
        </is>
      </c>
      <c r="C35" s="252" t="inlineStr">
        <is>
          <t>partstrader_delivery_days_am</t>
        </is>
      </c>
      <c r="D35" s="359" t="n">
        <v>3</v>
      </c>
      <c r="E35" s="274" t="inlineStr">
        <is>
          <t>days</t>
        </is>
      </c>
      <c r="F35" s="252" t="inlineStr">
        <is>
          <t>VERIFIED (republication)</t>
        </is>
      </c>
      <c r="G35" s="252" t="inlineStr">
        <is>
          <t>VERIFIED (republication)</t>
        </is>
      </c>
      <c r="H35" s="252" t="inlineStr">
        <is>
          <t>PartsTrader, same report</t>
        </is>
      </c>
      <c r="I35" s="252" t="inlineStr">
        <is>
          <t>2026-05-08</t>
        </is>
      </c>
      <c r="J35" s="252" t="inlineStr">
        <is>
          <t>same</t>
        </is>
      </c>
    </row>
    <row r="36">
      <c r="B36" s="254" t="inlineStr">
        <is>
          <t>Engine modeled selected-vehicle price at the FY26 anchor</t>
        </is>
      </c>
      <c r="C36" s="252" t="inlineStr">
        <is>
          <t>engine_asp0</t>
        </is>
      </c>
      <c r="D36" s="466" t="n">
        <v>3040.99</v>
      </c>
      <c r="E36" s="274" t="inlineStr">
        <is>
          <t>$</t>
        </is>
      </c>
      <c r="F36" s="252" t="inlineStr">
        <is>
          <t>ENGINE</t>
        </is>
      </c>
      <c r="G36" s="252" t="inlineStr">
        <is>
          <t>ENGINE</t>
        </is>
      </c>
      <c r="H36" s="252" t="inlineStr">
        <is>
          <t>Age-constrained selection engine, baseline_core.ASP</t>
        </is>
      </c>
      <c r="I36" s="252" t="inlineStr">
        <is>
          <t>2026-09-28</t>
        </is>
      </c>
      <c r="J36" s="252" t="inlineStr">
        <is>
          <t>docs/fleet_selection_2026-09-28/age_constrained_engine_results.json</t>
        </is>
      </c>
    </row>
    <row r="37">
      <c r="B37" s="254" t="inlineStr">
        <is>
          <t>Engine core RPU at the anchor (buyer fees + seller commission + fixed fees)</t>
        </is>
      </c>
      <c r="C37" s="252" t="inlineStr">
        <is>
          <t>engine_core_rpu0</t>
        </is>
      </c>
      <c r="D37" s="466" t="n">
        <v>851.51</v>
      </c>
      <c r="E37" s="274" t="inlineStr">
        <is>
          <t>$</t>
        </is>
      </c>
      <c r="F37" s="252" t="inlineStr">
        <is>
          <t>ENGINE</t>
        </is>
      </c>
      <c r="G37" s="252" t="inlineStr">
        <is>
          <t>ENGINE</t>
        </is>
      </c>
      <c r="H37" s="252" t="inlineStr">
        <is>
          <t>baseline_core.core_RPU</t>
        </is>
      </c>
      <c r="I37" s="252" t="inlineStr">
        <is>
          <t>2026-09-28</t>
        </is>
      </c>
      <c r="J37" s="252" t="inlineStr">
        <is>
          <t>docs/fleet_selection_2026-09-28/age_constrained_engine_results.json</t>
        </is>
      </c>
    </row>
    <row r="38">
      <c r="B38" s="254" t="inlineStr">
        <is>
          <t>Engine +5% value test: ASP change</t>
        </is>
      </c>
      <c r="C38" s="252" t="inlineStr">
        <is>
          <t>engine_value_plus5_asp</t>
        </is>
      </c>
      <c r="D38" s="303" t="n">
        <v>0.040401548</v>
      </c>
      <c r="E38" s="274" t="inlineStr">
        <is>
          <t>%</t>
        </is>
      </c>
      <c r="F38" s="252" t="inlineStr">
        <is>
          <t>ENGINE</t>
        </is>
      </c>
      <c r="G38" s="252" t="inlineStr">
        <is>
          <t>ENGINE</t>
        </is>
      </c>
      <c r="H38" s="252" t="inlineStr">
        <is>
          <t>scenario_changes value_plus_5pct.ASP</t>
        </is>
      </c>
      <c r="I38" s="252" t="inlineStr">
        <is>
          <t>2026-09-28</t>
        </is>
      </c>
      <c r="J38" s="252" t="inlineStr">
        <is>
          <t>same</t>
        </is>
      </c>
    </row>
    <row r="39">
      <c r="B39" s="254" t="inlineStr">
        <is>
          <t>Engine +5% value test: core RPU change</t>
        </is>
      </c>
      <c r="C39" s="252" t="inlineStr">
        <is>
          <t>engine_value_plus5_rpu</t>
        </is>
      </c>
      <c r="D39" s="303" t="n">
        <v>0.017859212</v>
      </c>
      <c r="E39" s="274" t="inlineStr">
        <is>
          <t>%</t>
        </is>
      </c>
      <c r="F39" s="252" t="inlineStr">
        <is>
          <t>ENGINE</t>
        </is>
      </c>
      <c r="G39" s="252" t="inlineStr">
        <is>
          <t>ENGINE</t>
        </is>
      </c>
      <c r="H39" s="252" t="inlineStr">
        <is>
          <t>scenario_changes value_plus_5pct.core_RPU</t>
        </is>
      </c>
      <c r="I39" s="252" t="inlineStr">
        <is>
          <t>2026-09-28</t>
        </is>
      </c>
      <c r="J39" s="252" t="inlineStr">
        <is>
          <t>same</t>
        </is>
      </c>
    </row>
    <row r="40">
      <c r="B40" s="254" t="inlineStr">
        <is>
          <t>Vehicles in operation, US, 2024 (thousands)</t>
        </is>
      </c>
      <c r="C40" s="252" t="inlineStr">
        <is>
          <t>experian_vio_2024</t>
        </is>
      </c>
      <c r="D40" s="359" t="n">
        <v>292000</v>
      </c>
      <c r="E40" s="274" t="inlineStr">
        <is>
          <t>000s</t>
        </is>
      </c>
      <c r="F40" s="252" t="inlineStr">
        <is>
          <t>UNVERIFIED</t>
        </is>
      </c>
      <c r="G40" s="252" t="inlineStr">
        <is>
          <t>UNVERIFIED</t>
        </is>
      </c>
      <c r="H40" s="252" t="inlineStr">
        <is>
          <t>Experian Automotive figure recorded on disk; file to be cited</t>
        </is>
      </c>
      <c r="I40" s="252" t="inlineStr">
        <is>
          <t>2026-09</t>
        </is>
      </c>
      <c r="J40" s="252" t="inlineStr">
        <is>
          <t>see PROVENANCE www.experian.com entry</t>
        </is>
      </c>
    </row>
    <row r="41">
      <c r="B41" s="254" t="inlineStr">
        <is>
          <t>Share of US light vehicles aged 7+ years, 2024</t>
        </is>
      </c>
      <c r="C41" s="252" t="inlineStr">
        <is>
          <t>sp_fleet_share_7plus_2024</t>
        </is>
      </c>
      <c r="D41" s="303" t="n">
        <v>0.66</v>
      </c>
      <c r="E41" s="274" t="inlineStr">
        <is>
          <t>%</t>
        </is>
      </c>
      <c r="F41" s="252" t="inlineStr">
        <is>
          <t>UNVERIFIED</t>
        </is>
      </c>
      <c r="G41" s="252" t="inlineStr">
        <is>
          <t>UNVERIFIED</t>
        </is>
      </c>
      <c r="H41" s="252" t="inlineStr">
        <is>
          <t>Recalled S&amp;P Global Mobility release; not on disk</t>
        </is>
      </c>
      <c r="I41" s="252" t="inlineStr">
        <is>
          <t>2024</t>
        </is>
      </c>
      <c r="J41" s="252" t="inlineStr">
        <is>
          <t>docs/AGE_CURVES.md §2.4</t>
        </is>
      </c>
    </row>
    <row r="42">
      <c r="B42" s="254" t="inlineStr">
        <is>
          <t>Seller commission rate in Barclays' contract illustration</t>
        </is>
      </c>
      <c r="C42" s="252" t="inlineStr">
        <is>
          <t>barclays_seller_commission</t>
        </is>
      </c>
      <c r="D42" s="303" t="n">
        <v>0.04</v>
      </c>
      <c r="E42" s="274" t="inlineStr">
        <is>
          <t>%</t>
        </is>
      </c>
      <c r="F42" s="252" t="inlineStr">
        <is>
          <t>UNVERIFIED (licensed)</t>
        </is>
      </c>
      <c r="G42" s="252" t="inlineStr">
        <is>
          <t>UNVERIFIED (licensed)</t>
        </is>
      </c>
      <c r="H42" s="252" t="inlineStr">
        <is>
          <t>Barclays, U.S. Auto Retail: CPRT vs RBA, Figure 1</t>
        </is>
      </c>
      <c r="I42" s="252" t="inlineStr">
        <is>
          <t>2026-08-25</t>
        </is>
      </c>
      <c r="J42" s="252" t="inlineStr">
        <is>
          <t>licensed report held locally; docs/repair_research_2026-09-26/contract_scope_screen</t>
        </is>
      </c>
    </row>
    <row r="43">
      <c r="B43" s="254" t="inlineStr">
        <is>
          <t>Concession on a contested account, share of commission (Barclays illustration)</t>
        </is>
      </c>
      <c r="C43" s="252" t="inlineStr">
        <is>
          <t>barclays_concession</t>
        </is>
      </c>
      <c r="D43" s="303" t="n">
        <v>0.2</v>
      </c>
      <c r="E43" s="274" t="inlineStr">
        <is>
          <t>%</t>
        </is>
      </c>
      <c r="F43" s="252" t="inlineStr">
        <is>
          <t>UNVERIFIED (licensed)</t>
        </is>
      </c>
      <c r="G43" s="252" t="inlineStr">
        <is>
          <t>UNVERIFIED (licensed)</t>
        </is>
      </c>
      <c r="H43" s="252" t="inlineStr">
        <is>
          <t>Barclays Figure 1</t>
        </is>
      </c>
      <c r="I43" s="252" t="inlineStr">
        <is>
          <t>2026-08-25</t>
        </is>
      </c>
      <c r="J43" s="252" t="inlineStr">
        <is>
          <t>same</t>
        </is>
      </c>
    </row>
    <row r="44">
      <c r="B44" s="254" t="inlineStr">
        <is>
          <t>JPMorgan FY27 legacy service revenue, ex-ACV ($m)</t>
        </is>
      </c>
      <c r="C44" s="252" t="inlineStr">
        <is>
          <t>jpm_fy27_service</t>
        </is>
      </c>
      <c r="D44" s="359" t="n">
        <v>4061</v>
      </c>
      <c r="E44" s="274" t="inlineStr">
        <is>
          <t>$M</t>
        </is>
      </c>
      <c r="F44" s="252" t="inlineStr">
        <is>
          <t>VERIFIED (licensed)</t>
        </is>
      </c>
      <c r="G44" s="252" t="inlineStr">
        <is>
          <t>VERIFIED (licensed)</t>
        </is>
      </c>
      <c r="H44" s="252" t="inlineStr">
        <is>
          <t>JPMorgan, Copart F4Q review, Table 3</t>
        </is>
      </c>
      <c r="I44" s="252" t="inlineStr">
        <is>
          <t>2026-09-11</t>
        </is>
      </c>
      <c r="J44" s="252" t="inlineStr">
        <is>
          <t>licensed report held locally; model/revenue_architecture_2026-09-28/evidence_manifest.json</t>
        </is>
      </c>
    </row>
    <row r="45">
      <c r="B45" s="254" t="inlineStr">
        <is>
          <t>Progressive allocation to Copart after the move (expert estimate; IAA 95%)</t>
        </is>
      </c>
      <c r="C45" s="252" t="inlineStr">
        <is>
          <t>expert_pgr_alloc_copart</t>
        </is>
      </c>
      <c r="D45" s="303" t="n">
        <v>0.05</v>
      </c>
      <c r="E45" s="274" t="inlineStr">
        <is>
          <t>%</t>
        </is>
      </c>
      <c r="F45" s="252" t="inlineStr">
        <is>
          <t>UNVERIFIED (expert)</t>
        </is>
      </c>
      <c r="G45" s="252" t="inlineStr">
        <is>
          <t>UNVERIFIED (expert)</t>
        </is>
      </c>
      <c r="H45" s="252" t="inlineStr">
        <is>
          <t>Expert calls summarised in the owner's share-loss build</t>
        </is>
      </c>
      <c r="I45" s="252" t="inlineStr">
        <is>
          <t>2026-05</t>
        </is>
      </c>
      <c r="J45" s="252" t="inlineStr">
        <is>
          <t>~/Downloads/CPRT_share_loss_build.xlsx Contract_Calendar</t>
        </is>
      </c>
    </row>
    <row r="46">
      <c r="B46" s="254" t="inlineStr">
        <is>
          <t>Average days on lot, Copart (expert estimate)</t>
        </is>
      </c>
      <c r="C46" s="252" t="inlineStr">
        <is>
          <t>expert_cycle_days_cprt</t>
        </is>
      </c>
      <c r="D46" s="359" t="n">
        <v>52</v>
      </c>
      <c r="E46" s="274" t="inlineStr">
        <is>
          <t>days</t>
        </is>
      </c>
      <c r="F46" s="252" t="inlineStr">
        <is>
          <t>UNVERIFIED (expert)</t>
        </is>
      </c>
      <c r="G46" s="252" t="inlineStr">
        <is>
          <t>UNVERIFIED (expert)</t>
        </is>
      </c>
      <c r="H46" s="252" t="inlineStr">
        <is>
          <t>Former SVP GEICO (Sep 2026), former VP GEICO (Feb 2025)</t>
        </is>
      </c>
      <c r="I46" s="252" t="inlineStr">
        <is>
          <t>2026-09</t>
        </is>
      </c>
      <c r="J46" s="252" t="inlineStr">
        <is>
          <t>memo draft; expert transcripts held by the owner</t>
        </is>
      </c>
    </row>
    <row r="47">
      <c r="B47" s="254" t="inlineStr">
        <is>
          <t>Average days on lot, IAA (expert estimate)</t>
        </is>
      </c>
      <c r="C47" s="252" t="inlineStr">
        <is>
          <t>expert_cycle_days_iaa</t>
        </is>
      </c>
      <c r="D47" s="359" t="n">
        <v>50</v>
      </c>
      <c r="E47" s="274" t="inlineStr">
        <is>
          <t>days</t>
        </is>
      </c>
      <c r="F47" s="252" t="inlineStr">
        <is>
          <t>UNVERIFIED (expert)</t>
        </is>
      </c>
      <c r="G47" s="252" t="inlineStr">
        <is>
          <t>UNVERIFIED (expert)</t>
        </is>
      </c>
      <c r="H47" s="252" t="inlineStr">
        <is>
          <t>same</t>
        </is>
      </c>
      <c r="I47" s="252" t="inlineStr">
        <is>
          <t>2026-09</t>
        </is>
      </c>
      <c r="J47" s="252" t="inlineStr">
        <is>
          <t>same</t>
        </is>
      </c>
    </row>
    <row r="48">
      <c r="B48" s="254" t="inlineStr">
        <is>
          <t>Probability State Farm shifts volume away from Copart in FY27</t>
        </is>
      </c>
      <c r="C48" s="252" t="inlineStr">
        <is>
          <t>expert_prob_sf</t>
        </is>
      </c>
      <c r="D48" s="303" t="n">
        <v>0.45</v>
      </c>
      <c r="E48" s="274" t="inlineStr">
        <is>
          <t>%</t>
        </is>
      </c>
      <c r="F48" s="252" t="inlineStr">
        <is>
          <t>UNVERIFIED (expert rubric)</t>
        </is>
      </c>
      <c r="G48" s="252" t="inlineStr">
        <is>
          <t>UNVERIFIED (expert rubric)</t>
        </is>
      </c>
      <c r="H48" s="252" t="inlineStr">
        <is>
          <t>Share build probability rubric U7</t>
        </is>
      </c>
      <c r="I48" s="252" t="inlineStr">
        <is>
          <t>2026-09-27</t>
        </is>
      </c>
      <c r="J48" s="252" t="inlineStr">
        <is>
          <t>docs/FABLE_SHARE_BUILD_REVIEW_2026-09-27.md</t>
        </is>
      </c>
    </row>
    <row r="49">
      <c r="B49" s="254" t="inlineStr">
        <is>
          <t>Probability regional carriers (Erie, AAA, AmFam) shift volume away</t>
        </is>
      </c>
      <c r="C49" s="252" t="inlineStr">
        <is>
          <t>expert_prob_other</t>
        </is>
      </c>
      <c r="D49" s="303" t="n">
        <v>0.45</v>
      </c>
      <c r="E49" s="274" t="inlineStr">
        <is>
          <t>%</t>
        </is>
      </c>
      <c r="F49" s="252" t="inlineStr">
        <is>
          <t>UNVERIFIED (expert rubric)</t>
        </is>
      </c>
      <c r="G49" s="252" t="inlineStr">
        <is>
          <t>UNVERIFIED (expert rubric)</t>
        </is>
      </c>
      <c r="H49" s="252" t="inlineStr">
        <is>
          <t>Share build Events row 15</t>
        </is>
      </c>
      <c r="I49" s="252" t="inlineStr">
        <is>
          <t>2026-09-27</t>
        </is>
      </c>
      <c r="J49" s="252" t="inlineStr">
        <is>
          <t>same</t>
        </is>
      </c>
    </row>
    <row r="50">
      <c r="B50" s="254" t="inlineStr">
        <is>
          <t>Probability of a GEICO allocation win for Copart</t>
        </is>
      </c>
      <c r="C50" s="252" t="inlineStr">
        <is>
          <t>expert_prob_geico</t>
        </is>
      </c>
      <c r="D50" s="303" t="n">
        <v>0.6</v>
      </c>
      <c r="E50" s="274" t="inlineStr">
        <is>
          <t>%</t>
        </is>
      </c>
      <c r="F50" s="252" t="inlineStr">
        <is>
          <t>UNVERIFIED (expert rubric)</t>
        </is>
      </c>
      <c r="G50" s="252" t="inlineStr">
        <is>
          <t>UNVERIFIED (expert rubric)</t>
        </is>
      </c>
      <c r="H50" s="252" t="inlineStr">
        <is>
          <t>Share build U5</t>
        </is>
      </c>
      <c r="I50" s="252" t="inlineStr">
        <is>
          <t>2026-09-27</t>
        </is>
      </c>
      <c r="J50" s="252" t="inlineStr">
        <is>
          <t>same</t>
        </is>
      </c>
    </row>
    <row r="51">
      <c r="B51" s="254" t="inlineStr">
        <is>
          <t>Typical carrier allocation move in historical precedents (points, phased over four quarters)</t>
        </is>
      </c>
      <c r="C51" s="252" t="inlineStr">
        <is>
          <t>precedent_move_pts</t>
        </is>
      </c>
      <c r="D51" s="303" t="n">
        <v>0.05</v>
      </c>
      <c r="E51" s="274" t="inlineStr">
        <is>
          <t>pts</t>
        </is>
      </c>
      <c r="F51" s="252" t="inlineStr">
        <is>
          <t>UNVERIFIED (expert)</t>
        </is>
      </c>
      <c r="G51" s="252" t="inlineStr">
        <is>
          <t>UNVERIFIED (expert)</t>
        </is>
      </c>
      <c r="H51" s="252" t="inlineStr">
        <is>
          <t>Share build historical-precedents tab (10–20 point moves; 5 used per event)</t>
        </is>
      </c>
      <c r="I51" s="252" t="inlineStr">
        <is>
          <t>2026-09-27</t>
        </is>
      </c>
      <c r="J51" s="252" t="inlineStr">
        <is>
          <t>same; tab not re-read in this environment</t>
        </is>
      </c>
    </row>
  </sheetData>
  <pageMargins left="0.75" right="0.75" top="1" bottom="1" header="0.5" footer="0.5"/>
</worksheet>
</file>

<file path=xl/worksheets/sheet25.xml><?xml version="1.0" encoding="utf-8"?>
<worksheet xmlns="http://schemas.openxmlformats.org/spreadsheetml/2006/main">
  <sheetPr>
    <tabColor rgb="FFBFBFBF"/>
    <outlinePr summaryBelow="1" summaryRight="1"/>
    <pageSetUpPr/>
  </sheetPr>
  <dimension ref="B1:S24"/>
  <sheetViews>
    <sheetView showGridLines="0" zoomScale="90" workbookViewId="0">
      <selection activeCell="A1" sqref="A1"/>
    </sheetView>
  </sheetViews>
  <sheetFormatPr baseColWidth="10" defaultColWidth="8.83203125" defaultRowHeight="15"/>
  <cols>
    <col width="2.5" customWidth="1" style="392" min="1" max="1"/>
    <col width="46" customWidth="1" style="392" min="2" max="2"/>
    <col width="8" customWidth="1" style="392" min="3" max="3"/>
    <col width="13" customWidth="1" style="392" min="4" max="11"/>
    <col width="48" customWidth="1" style="392" min="19" max="19"/>
  </cols>
  <sheetData>
    <row r="1" ht="17" customHeight="1" s="392">
      <c r="B1" s="269" t="inlineStr">
        <is>
          <t>D Barclays — published model, Copart F4Q26 Review, 11 September 2026 (Underweight, PT $25)</t>
        </is>
      </c>
      <c r="C1" s="270" t="n"/>
      <c r="D1" s="270" t="n"/>
      <c r="E1" s="270" t="n"/>
      <c r="F1" s="270" t="n"/>
      <c r="G1" s="270" t="n"/>
      <c r="H1" s="270" t="n"/>
      <c r="I1" s="270" t="n"/>
      <c r="J1" s="270" t="n"/>
      <c r="K1" s="270" t="n"/>
      <c r="L1" s="270" t="n"/>
      <c r="M1" s="270" t="n"/>
      <c r="N1" s="270" t="n"/>
      <c r="O1" s="270" t="n"/>
      <c r="P1" s="270" t="n"/>
      <c r="Q1" s="270" t="n"/>
      <c r="R1" s="270" t="n"/>
      <c r="S1" s="270" t="n"/>
    </row>
    <row r="2">
      <c r="B2" s="252" t="inlineStr">
        <is>
          <t>Numeric extraction only from a licensed report held locally; no text reproduced. PT = 10x EV/EBITDA on FY2026E (report line 468). Price in the report $30.75 (10 Sep 2026). Shares outstanding 925.81mn (line 57).</t>
        </is>
      </c>
    </row>
    <row r="4">
      <c r="C4" s="249" t="inlineStr">
        <is>
          <t>Line</t>
        </is>
      </c>
      <c r="D4" s="249" t="inlineStr">
        <is>
          <t>FY2026A</t>
        </is>
      </c>
      <c r="E4" s="249" t="inlineStr">
        <is>
          <t>FY2027E</t>
        </is>
      </c>
      <c r="F4" s="249" t="inlineStr">
        <is>
          <t>FY2028E</t>
        </is>
      </c>
      <c r="G4" s="249" t="inlineStr">
        <is>
          <t>FY2029E</t>
        </is>
      </c>
      <c r="H4" s="249" t="inlineStr">
        <is>
          <t>Report line</t>
        </is>
      </c>
    </row>
    <row r="5">
      <c r="B5" s="254" t="inlineStr">
        <is>
          <t>Revenue</t>
        </is>
      </c>
      <c r="D5" s="359" t="n">
        <v>4666</v>
      </c>
      <c r="E5" s="359" t="n">
        <v>4768</v>
      </c>
      <c r="F5" s="359" t="n">
        <v>4948</v>
      </c>
      <c r="G5" s="359" t="n">
        <v>5128</v>
      </c>
      <c r="H5" s="252" t="inlineStr">
        <is>
          <t>line 147</t>
        </is>
      </c>
    </row>
    <row r="6">
      <c r="B6" s="254" t="inlineStr">
        <is>
          <t>EBITDA (adj)</t>
        </is>
      </c>
      <c r="D6" s="359" t="n">
        <v>1882</v>
      </c>
      <c r="E6" s="359" t="n">
        <v>1916</v>
      </c>
      <c r="F6" s="359" t="n">
        <v>2018</v>
      </c>
      <c r="G6" s="359" t="n">
        <v>2116</v>
      </c>
      <c r="H6" s="252" t="inlineStr">
        <is>
          <t>line 148</t>
        </is>
      </c>
    </row>
    <row r="7">
      <c r="B7" s="254" t="inlineStr">
        <is>
          <t>EBIT (adj)</t>
        </is>
      </c>
      <c r="D7" s="359" t="n">
        <v>1653</v>
      </c>
      <c r="E7" s="359" t="n">
        <v>1690</v>
      </c>
      <c r="F7" s="359" t="n">
        <v>1784</v>
      </c>
      <c r="G7" s="359" t="n">
        <v>1873</v>
      </c>
      <c r="H7" s="252" t="inlineStr">
        <is>
          <t>line 149</t>
        </is>
      </c>
    </row>
    <row r="8">
      <c r="B8" s="254" t="inlineStr">
        <is>
          <t>Pre-tax income (adj)</t>
        </is>
      </c>
      <c r="D8" s="359" t="n">
        <v>1835</v>
      </c>
      <c r="E8" s="359" t="n">
        <v>1830</v>
      </c>
      <c r="F8" s="359" t="n">
        <v>1924</v>
      </c>
      <c r="G8" s="359" t="n">
        <v>2013</v>
      </c>
      <c r="H8" s="252" t="inlineStr">
        <is>
          <t>line 150</t>
        </is>
      </c>
    </row>
    <row r="9">
      <c r="B9" s="254" t="inlineStr">
        <is>
          <t>Net income (adj)</t>
        </is>
      </c>
      <c r="D9" s="359" t="n">
        <v>1484</v>
      </c>
      <c r="E9" s="359" t="n">
        <v>1458</v>
      </c>
      <c r="F9" s="359" t="n">
        <v>1533</v>
      </c>
      <c r="G9" s="359" t="n">
        <v>1604</v>
      </c>
      <c r="H9" s="252" t="inlineStr">
        <is>
          <t>line 151</t>
        </is>
      </c>
    </row>
    <row r="10">
      <c r="B10" s="254" t="inlineStr">
        <is>
          <t>EPS (adj), $</t>
        </is>
      </c>
      <c r="D10" s="321" t="n">
        <v>1.55</v>
      </c>
      <c r="E10" s="321" t="n">
        <v>1.56</v>
      </c>
      <c r="F10" s="321" t="n">
        <v>1.64</v>
      </c>
      <c r="G10" s="321" t="n">
        <v>1.72</v>
      </c>
      <c r="H10" s="252" t="inlineStr">
        <is>
          <t>line 152</t>
        </is>
      </c>
    </row>
    <row r="11">
      <c r="B11" s="254" t="inlineStr">
        <is>
          <t>Diluted shares, mn</t>
        </is>
      </c>
      <c r="D11" s="359" t="n">
        <v>957</v>
      </c>
      <c r="E11" s="359" t="n">
        <v>933</v>
      </c>
      <c r="F11" s="359" t="n">
        <v>933</v>
      </c>
      <c r="G11" s="359" t="n">
        <v>934</v>
      </c>
      <c r="H11" s="252" t="inlineStr">
        <is>
          <t>line 153</t>
        </is>
      </c>
    </row>
    <row r="12">
      <c r="B12" s="254" t="inlineStr">
        <is>
          <t>Cash and equivalents</t>
        </is>
      </c>
      <c r="D12" s="359" t="n">
        <v>4490</v>
      </c>
      <c r="E12" s="359" t="n">
        <v>5656</v>
      </c>
      <c r="F12" s="359" t="n">
        <v>6907</v>
      </c>
      <c r="G12" s="359" t="n">
        <v>8240</v>
      </c>
      <c r="H12" s="252" t="inlineStr">
        <is>
          <t>line 167</t>
        </is>
      </c>
    </row>
    <row r="13">
      <c r="B13" s="254" t="inlineStr">
        <is>
          <t>Total assets</t>
        </is>
      </c>
      <c r="D13" s="359" t="n">
        <v>10028</v>
      </c>
      <c r="E13" s="359" t="n">
        <v>11602</v>
      </c>
      <c r="F13" s="359" t="n">
        <v>13252</v>
      </c>
      <c r="G13" s="359" t="n">
        <v>14976</v>
      </c>
      <c r="H13" s="252" t="inlineStr">
        <is>
          <t>line 168</t>
        </is>
      </c>
    </row>
    <row r="14">
      <c r="B14" s="254" t="inlineStr">
        <is>
          <t>Short and long-term debt</t>
        </is>
      </c>
      <c r="D14" s="359" t="n">
        <v>88</v>
      </c>
      <c r="E14" s="359" t="n">
        <v>88</v>
      </c>
      <c r="F14" s="359" t="n">
        <v>88</v>
      </c>
      <c r="G14" s="359" t="n">
        <v>88</v>
      </c>
      <c r="H14" s="252" t="inlineStr">
        <is>
          <t>line 169</t>
        </is>
      </c>
    </row>
    <row r="15">
      <c r="B15" s="254" t="inlineStr">
        <is>
          <t>Net debt / (funds)</t>
        </is>
      </c>
      <c r="D15" s="359" t="n">
        <v>-1820</v>
      </c>
      <c r="E15" s="359" t="n">
        <v>-2986</v>
      </c>
      <c r="F15" s="359" t="n">
        <v>-4237</v>
      </c>
      <c r="G15" s="359" t="n">
        <v>-5570</v>
      </c>
      <c r="H15" s="252" t="inlineStr">
        <is>
          <t>line 173</t>
        </is>
      </c>
    </row>
    <row r="16">
      <c r="B16" s="254" t="inlineStr">
        <is>
          <t>Shareholders' equity</t>
        </is>
      </c>
      <c r="D16" s="359" t="n">
        <v>9097</v>
      </c>
      <c r="E16" s="359" t="n">
        <v>10612</v>
      </c>
      <c r="F16" s="359" t="n">
        <v>12202</v>
      </c>
      <c r="G16" s="359" t="n">
        <v>13865</v>
      </c>
      <c r="H16" s="252" t="inlineStr">
        <is>
          <t>line 174</t>
        </is>
      </c>
    </row>
    <row r="17">
      <c r="B17" s="254" t="inlineStr">
        <is>
          <t>Change in working capital</t>
        </is>
      </c>
      <c r="D17" s="359" t="n">
        <v>-208</v>
      </c>
      <c r="E17" s="359" t="n">
        <v>-83</v>
      </c>
      <c r="F17" s="359" t="n">
        <v>-83</v>
      </c>
      <c r="G17" s="359" t="n">
        <v>-83</v>
      </c>
      <c r="H17" s="252" t="inlineStr">
        <is>
          <t>line 175</t>
        </is>
      </c>
    </row>
    <row r="18">
      <c r="B18" s="254" t="inlineStr">
        <is>
          <t>Cash flow from operations</t>
        </is>
      </c>
      <c r="D18" s="359" t="n">
        <v>1604</v>
      </c>
      <c r="E18" s="359" t="n">
        <v>1646</v>
      </c>
      <c r="F18" s="359" t="n">
        <v>1731</v>
      </c>
      <c r="G18" s="359" t="n">
        <v>1813</v>
      </c>
      <c r="H18" s="252" t="inlineStr">
        <is>
          <t>line 176</t>
        </is>
      </c>
    </row>
    <row r="19">
      <c r="B19" s="254" t="inlineStr">
        <is>
          <t>Capital expenditure</t>
        </is>
      </c>
      <c r="D19" s="359" t="n">
        <v>-337</v>
      </c>
      <c r="E19" s="359" t="n">
        <v>-500</v>
      </c>
      <c r="F19" s="359" t="n">
        <v>-500</v>
      </c>
      <c r="G19" s="359" t="n">
        <v>-500</v>
      </c>
      <c r="H19" s="252" t="inlineStr">
        <is>
          <t>line 177</t>
        </is>
      </c>
    </row>
    <row r="20">
      <c r="B20" s="254" t="inlineStr">
        <is>
          <t>Free cash flow (Barclays line; definition not stated)</t>
        </is>
      </c>
      <c r="D20" s="359" t="n">
        <v>1942</v>
      </c>
      <c r="E20" s="359" t="n">
        <v>2146</v>
      </c>
      <c r="F20" s="359" t="n">
        <v>2231</v>
      </c>
      <c r="G20" s="359" t="n">
        <v>2313</v>
      </c>
      <c r="H20" s="252" t="inlineStr">
        <is>
          <t>line 178</t>
        </is>
      </c>
    </row>
    <row r="21">
      <c r="B21" s="254" t="inlineStr">
        <is>
          <t>EV/EBITDA (adj), x, at $30.75</t>
        </is>
      </c>
      <c r="D21" s="321" t="n">
        <v>15</v>
      </c>
      <c r="E21" s="321" t="n">
        <v>14.1</v>
      </c>
      <c r="F21" s="321" t="n">
        <v>12.8</v>
      </c>
      <c r="G21" s="321" t="n">
        <v>11.5</v>
      </c>
      <c r="H21" s="252" t="inlineStr">
        <is>
          <t>line 183</t>
        </is>
      </c>
    </row>
    <row r="22">
      <c r="B22" s="254" t="inlineStr">
        <is>
          <t>P/E (adj), x</t>
        </is>
      </c>
      <c r="D22" s="321" t="n">
        <v>19.8</v>
      </c>
      <c r="E22" s="321" t="n">
        <v>19.7</v>
      </c>
      <c r="F22" s="321" t="n">
        <v>18.7</v>
      </c>
      <c r="G22" s="321" t="n">
        <v>17.9</v>
      </c>
      <c r="H22" s="252" t="inlineStr">
        <is>
          <t>line 181</t>
        </is>
      </c>
    </row>
    <row r="24">
      <c r="B24" s="252" t="inlineStr">
        <is>
          <t>Barclays, Copart Inc. F4Q26 Review (11 Sep 2026), financial summary; licensed report held locally; txt lines 147–190</t>
        </is>
      </c>
    </row>
  </sheetData>
  <pageMargins left="0.75" right="0.75" top="1" bottom="1" header="0.5" footer="0.5"/>
</worksheet>
</file>

<file path=xl/worksheets/sheet26.xml><?xml version="1.0" encoding="utf-8"?>
<worksheet xmlns="http://schemas.openxmlformats.org/spreadsheetml/2006/main">
  <sheetPr>
    <tabColor rgb="FFBFBFBF"/>
    <outlinePr summaryBelow="1" summaryRight="1"/>
    <pageSetUpPr/>
  </sheetPr>
  <dimension ref="B1:S57"/>
  <sheetViews>
    <sheetView showGridLines="0" zoomScale="90" workbookViewId="0">
      <pane xSplit="2" ySplit="4" topLeftCell="C5" activePane="bottomRight" state="frozen"/>
      <selection pane="topRight" activeCell="A1" sqref="A1"/>
      <selection pane="bottomLeft" activeCell="A1" sqref="A1"/>
      <selection pane="bottomRight" activeCell="A1" sqref="A1"/>
    </sheetView>
  </sheetViews>
  <sheetFormatPr baseColWidth="10" defaultColWidth="8.83203125" defaultRowHeight="15"/>
  <cols>
    <col width="2.5" customWidth="1" style="392" min="1" max="1"/>
    <col width="62" customWidth="1" style="392" min="2" max="2"/>
    <col width="8" customWidth="1" style="392" min="3" max="3"/>
    <col width="13" customWidth="1" style="392" min="4" max="8"/>
    <col width="48" customWidth="1" style="392" min="9" max="9"/>
  </cols>
  <sheetData>
    <row r="1" ht="17" customHeight="1" s="392">
      <c r="B1" s="269" t="inlineStr">
        <is>
          <t>D 10-K FY26 — Copart Form 10-K for the year ended 31 July 2026 (filed 29 Sep 2026): figures read from the filing at build time</t>
        </is>
      </c>
      <c r="C1" s="270" t="n"/>
      <c r="D1" s="270" t="n"/>
      <c r="E1" s="270" t="n"/>
      <c r="F1" s="270" t="n"/>
      <c r="G1" s="270" t="n"/>
      <c r="H1" s="270" t="n"/>
      <c r="I1" s="270" t="n"/>
      <c r="J1" s="270" t="n"/>
      <c r="K1" s="270" t="n"/>
      <c r="L1" s="270" t="n"/>
      <c r="M1" s="270" t="n"/>
      <c r="N1" s="270" t="n"/>
      <c r="O1" s="270" t="n"/>
      <c r="P1" s="270" t="n"/>
      <c r="Q1" s="270" t="n"/>
      <c r="R1" s="270" t="n"/>
      <c r="S1" s="270" t="n"/>
    </row>
    <row r="2">
      <c r="B2" s="252" t="inlineStr">
        <is>
          <t>VERIFIED: every row names the text anchor used; $ thousands in the filing are shown in $ millions here. File: raw/sec/10k/cprt_2026-07-31.htm (SEC EDGAR, fetched 30 Sep 2026).</t>
        </is>
      </c>
    </row>
    <row r="4">
      <c r="B4" s="249" t="inlineStr">
        <is>
          <t>Item</t>
        </is>
      </c>
      <c r="C4" s="249" t="inlineStr">
        <is>
          <t>FY2026</t>
        </is>
      </c>
      <c r="D4" s="249" t="inlineStr">
        <is>
          <t>FY2025</t>
        </is>
      </c>
      <c r="E4" s="249" t="inlineStr">
        <is>
          <t>FY2024</t>
        </is>
      </c>
      <c r="F4" s="249" t="inlineStr">
        <is>
          <t>Unit</t>
        </is>
      </c>
      <c r="G4" s="249" t="inlineStr">
        <is>
          <t>Anchor / note</t>
        </is>
      </c>
    </row>
    <row r="5">
      <c r="B5" s="254" t="inlineStr">
        <is>
          <t>Common shares issued and outstanding, 31 Jul 2026</t>
        </is>
      </c>
      <c r="C5" s="304" t="n">
        <v>926.2982929999999</v>
      </c>
      <c r="D5" s="282" t="inlineStr">
        <is>
          <t>–</t>
        </is>
      </c>
      <c r="E5" s="282" t="inlineStr">
        <is>
          <t>–</t>
        </is>
      </c>
      <c r="F5" s="274" t="inlineStr">
        <is>
          <t>mn</t>
        </is>
      </c>
      <c r="I5" s="252" t="inlineStr">
        <is>
          <t>Note 12: "shares were issued and outstanding at July 31, 2026"</t>
        </is>
      </c>
    </row>
    <row r="6">
      <c r="B6" s="254" t="inlineStr">
        <is>
          <t>Stock options outstanding, 31 Jul 2026 (thousands) / weighted-average exercise price ($) / remaining term (yrs) / intrinsic value ($000)</t>
        </is>
      </c>
      <c r="C6" s="321" t="n">
        <v>12759</v>
      </c>
      <c r="D6" s="321" t="n">
        <v>24.19</v>
      </c>
      <c r="E6" s="321" t="n">
        <v>3.52</v>
      </c>
      <c r="F6" s="274" t="inlineStr">
        <is>
          <t>mixed</t>
        </is>
      </c>
      <c r="I6" s="252" t="inlineStr">
        <is>
          <t>Note 12 options table: "Outstanding as of July 31, 2026"</t>
        </is>
      </c>
    </row>
    <row r="7">
      <c r="B7" s="254" t="inlineStr">
        <is>
          <t>Stock options exercisable, 31 Jul 2026 (thousands) / weighted-average exercise price ($)</t>
        </is>
      </c>
      <c r="C7" s="321" t="n">
        <v>11640</v>
      </c>
      <c r="D7" s="321" t="n">
        <v>22.53</v>
      </c>
      <c r="E7" s="282" t="inlineStr">
        <is>
          <t>–</t>
        </is>
      </c>
      <c r="F7" s="274" t="inlineStr">
        <is>
          <t>mixed</t>
        </is>
      </c>
      <c r="I7" s="252" t="inlineStr">
        <is>
          <t>Note 12: "Exercisable as of July 31, 2026"</t>
        </is>
      </c>
    </row>
    <row r="8">
      <c r="B8" s="254" t="inlineStr">
        <is>
          <t>Restricted stock units unvested, 31 Jul 2026 (thousands) / weighted-average grant-date fair value ($)</t>
        </is>
      </c>
      <c r="F8" s="274" t="inlineStr">
        <is>
          <t>mixed</t>
        </is>
      </c>
      <c r="I8" s="252" t="inlineStr">
        <is>
          <t>NOT PARSED from the text extraction; owner to read from Note 12 (reserved shares for all plans 43,587,656)</t>
        </is>
      </c>
    </row>
    <row r="9">
      <c r="B9" s="254" t="inlineStr">
        <is>
          <t>Shares reserved for equity incentive plans / ESPP, 31 Jul 2026</t>
        </is>
      </c>
      <c r="C9" s="304" t="n">
        <v>43.587656</v>
      </c>
      <c r="D9" s="304" t="n">
        <v>2.790241</v>
      </c>
      <c r="E9" s="282" t="inlineStr">
        <is>
          <t>–</t>
        </is>
      </c>
      <c r="F9" s="274" t="inlineStr">
        <is>
          <t>mn</t>
        </is>
      </c>
      <c r="I9" s="252" t="inlineStr">
        <is>
          <t>Note 12: "reserved 43,587,656 … 2,790,241 shares"</t>
        </is>
      </c>
    </row>
    <row r="10">
      <c r="B10" s="254" t="inlineStr">
        <is>
          <t>FY2026 share repurchases: shares (mn) / weighted-average price ($) / total ($bn)</t>
        </is>
      </c>
      <c r="C10" s="321" t="n">
        <v>43.433164</v>
      </c>
      <c r="D10" s="321" t="n">
        <v>37.63</v>
      </c>
      <c r="E10" s="321" t="n">
        <v>1.6</v>
      </c>
      <c r="F10" s="274" t="inlineStr">
        <is>
          <t>mixed</t>
        </is>
      </c>
      <c r="I10" s="252" t="inlineStr">
        <is>
          <t>Item 5 / Note 12: "repurchased 43,433,164 shares … $37.63 … $1.6 billion"</t>
        </is>
      </c>
    </row>
    <row r="11">
      <c r="B11" s="254" t="inlineStr">
        <is>
          <t>Interest income, net ($m)</t>
        </is>
      </c>
      <c r="C11" s="304" t="n">
        <v>181.923</v>
      </c>
      <c r="D11" s="304" t="n">
        <v>178.909</v>
      </c>
      <c r="E11" s="304" t="n">
        <v>145.673</v>
      </c>
      <c r="F11" s="274" t="inlineStr">
        <is>
          <t>$m</t>
        </is>
      </c>
      <c r="I11" s="252" t="inlineStr">
        <is>
          <t>Consolidated statements of income: "Interest income, net"</t>
        </is>
      </c>
    </row>
    <row r="12">
      <c r="B12" s="254" t="inlineStr">
        <is>
          <t>Cash, cash equivalents, and restricted cash ($m), 31 Jul 2026 / 2025</t>
        </is>
      </c>
      <c r="C12" s="304" t="n">
        <v>1907.901</v>
      </c>
      <c r="D12" s="304" t="n">
        <v>2780.531</v>
      </c>
      <c r="E12" s="282" t="inlineStr">
        <is>
          <t>–</t>
        </is>
      </c>
      <c r="F12" s="274" t="inlineStr">
        <is>
          <t>$m</t>
        </is>
      </c>
      <c r="I12" s="252" t="inlineStr">
        <is>
          <t>Consolidated balance sheets: "Cash, cash equivalents, and restricted cash"</t>
        </is>
      </c>
    </row>
    <row r="13">
      <c r="B13" s="254" t="inlineStr">
        <is>
          <t>Investment in held to maturity securities ($m), 31 Jul 2026 / 2025</t>
        </is>
      </c>
      <c r="C13" s="304" t="n">
        <v>2581.901</v>
      </c>
      <c r="D13" s="304" t="n">
        <v>2008.539</v>
      </c>
      <c r="E13" s="282" t="inlineStr">
        <is>
          <t>–</t>
        </is>
      </c>
      <c r="F13" s="274" t="inlineStr">
        <is>
          <t>$m</t>
        </is>
      </c>
      <c r="I13" s="252" t="inlineStr">
        <is>
          <t>Consolidated balance sheets: "Investment in held to maturity securities"</t>
        </is>
      </c>
    </row>
    <row r="14">
      <c r="B14" s="254" t="inlineStr">
        <is>
          <t>Income taxes receivable ($m), 31 Jul 2026 / 2025</t>
        </is>
      </c>
      <c r="C14" s="304" t="n">
        <v>49.856</v>
      </c>
      <c r="D14" s="304" t="n">
        <v>0.58</v>
      </c>
      <c r="E14" s="282" t="inlineStr">
        <is>
          <t>–</t>
        </is>
      </c>
      <c r="F14" s="274" t="inlineStr">
        <is>
          <t>$m</t>
        </is>
      </c>
      <c r="I14" s="252" t="inlineStr">
        <is>
          <t>Consolidated balance sheets: "Income taxes receivable"</t>
        </is>
      </c>
    </row>
    <row r="15">
      <c r="B15" s="254" t="inlineStr">
        <is>
          <t>Prepaid expenses and other assets ($m), 31 Jul 2026 / 2025</t>
        </is>
      </c>
      <c r="C15" s="304" t="n">
        <v>44.959</v>
      </c>
      <c r="D15" s="304" t="n">
        <v>46.361</v>
      </c>
      <c r="E15" s="282" t="inlineStr">
        <is>
          <t>–</t>
        </is>
      </c>
      <c r="F15" s="274" t="inlineStr">
        <is>
          <t>$m</t>
        </is>
      </c>
      <c r="I15" s="252" t="inlineStr">
        <is>
          <t>Consolidated balance sheets: "Prepaid expenses and other assets"</t>
        </is>
      </c>
    </row>
    <row r="16">
      <c r="B16" s="254" t="inlineStr">
        <is>
          <t>Accounts receivable, net ($m), 31 Jul 2026 / 2025</t>
        </is>
      </c>
      <c r="C16" s="304" t="n">
        <v>809.247</v>
      </c>
      <c r="D16" s="304" t="n">
        <v>762.811</v>
      </c>
      <c r="E16" s="282" t="inlineStr">
        <is>
          <t>–</t>
        </is>
      </c>
      <c r="F16" s="274" t="inlineStr">
        <is>
          <t>$m</t>
        </is>
      </c>
      <c r="I16" s="252" t="inlineStr">
        <is>
          <t>Consolidated balance sheets: "Accounts receivable, net"</t>
        </is>
      </c>
    </row>
    <row r="17">
      <c r="B17" s="254" t="inlineStr">
        <is>
          <t>Vehicle pooling costs ($m), 31 Jul 2026 / 2025</t>
        </is>
      </c>
      <c r="C17" s="304" t="n">
        <v>122.948</v>
      </c>
      <c r="D17" s="304" t="n">
        <v>116.145</v>
      </c>
      <c r="E17" s="282" t="inlineStr">
        <is>
          <t>–</t>
        </is>
      </c>
      <c r="F17" s="274" t="inlineStr">
        <is>
          <t>$m</t>
        </is>
      </c>
      <c r="I17" s="252" t="inlineStr">
        <is>
          <t>Consolidated balance sheets: "Vehicle pooling costs"</t>
        </is>
      </c>
    </row>
    <row r="18">
      <c r="B18" s="254" t="inlineStr">
        <is>
          <t>Inventories ($m), 31 Jul 2026 / 2025</t>
        </is>
      </c>
      <c r="C18" s="304" t="n">
        <v>51.382</v>
      </c>
      <c r="D18" s="304" t="n">
        <v>39.661</v>
      </c>
      <c r="E18" s="282" t="inlineStr">
        <is>
          <t>–</t>
        </is>
      </c>
      <c r="F18" s="274" t="inlineStr">
        <is>
          <t>$m</t>
        </is>
      </c>
      <c r="I18" s="252" t="inlineStr">
        <is>
          <t>Consolidated balance sheets: "Inventories"</t>
        </is>
      </c>
    </row>
    <row r="19">
      <c r="B19" s="254" t="inlineStr">
        <is>
          <t>Total current assets ($m), 31 Jul 2026 / 2025</t>
        </is>
      </c>
      <c r="C19" s="304" t="n">
        <v>5568.194</v>
      </c>
      <c r="D19" s="304" t="n">
        <v>5754.628</v>
      </c>
      <c r="E19" s="282" t="inlineStr">
        <is>
          <t>–</t>
        </is>
      </c>
      <c r="F19" s="274" t="inlineStr">
        <is>
          <t>$m</t>
        </is>
      </c>
      <c r="I19" s="252" t="inlineStr">
        <is>
          <t>Consolidated balance sheets: "Total current assets"</t>
        </is>
      </c>
    </row>
    <row r="20">
      <c r="B20" s="254" t="inlineStr">
        <is>
          <t>Property and equipment, net ($m), 31 Jul 2026 / 2025</t>
        </is>
      </c>
      <c r="C20" s="304" t="n">
        <v>3733.22</v>
      </c>
      <c r="D20" s="304" t="n">
        <v>3598.093</v>
      </c>
      <c r="E20" s="282" t="inlineStr">
        <is>
          <t>–</t>
        </is>
      </c>
      <c r="F20" s="274" t="inlineStr">
        <is>
          <t>$m</t>
        </is>
      </c>
      <c r="I20" s="252" t="inlineStr">
        <is>
          <t>Consolidated balance sheets: "Property and equipment, net"</t>
        </is>
      </c>
    </row>
    <row r="21">
      <c r="B21" s="254" t="inlineStr">
        <is>
          <t>Operating lease right-of-use assets ($m), 31 Jul 2026 / 2025</t>
        </is>
      </c>
      <c r="C21" s="304" t="n">
        <v>83.72799999999999</v>
      </c>
      <c r="D21" s="304" t="n">
        <v>99.708</v>
      </c>
      <c r="E21" s="282" t="inlineStr">
        <is>
          <t>–</t>
        </is>
      </c>
      <c r="F21" s="274" t="inlineStr">
        <is>
          <t>$m</t>
        </is>
      </c>
      <c r="I21" s="252" t="inlineStr">
        <is>
          <t>Consolidated balance sheets: "Operating lease right-of-use assets"</t>
        </is>
      </c>
    </row>
    <row r="22">
      <c r="B22" s="254" t="inlineStr">
        <is>
          <t>Intangibles, net ($m), 31 Jul 2026 / 2025</t>
        </is>
      </c>
      <c r="C22" s="304" t="n">
        <v>50.477</v>
      </c>
      <c r="D22" s="304" t="n">
        <v>62.832</v>
      </c>
      <c r="E22" s="282" t="inlineStr">
        <is>
          <t>–</t>
        </is>
      </c>
      <c r="F22" s="274" t="inlineStr">
        <is>
          <t>$m</t>
        </is>
      </c>
      <c r="I22" s="252" t="inlineStr">
        <is>
          <t>Consolidated balance sheets: "Intangibles, net"</t>
        </is>
      </c>
    </row>
    <row r="23">
      <c r="B23" s="254" t="inlineStr">
        <is>
          <t>Goodwill ($m), 31 Jul 2026 / 2025</t>
        </is>
      </c>
      <c r="C23" s="304" t="n">
        <v>511.297</v>
      </c>
      <c r="D23" s="304" t="n">
        <v>517.779</v>
      </c>
      <c r="E23" s="282" t="inlineStr">
        <is>
          <t>–</t>
        </is>
      </c>
      <c r="F23" s="274" t="inlineStr">
        <is>
          <t>$m</t>
        </is>
      </c>
      <c r="I23" s="252" t="inlineStr">
        <is>
          <t>Consolidated balance sheets: "Goodwill"</t>
        </is>
      </c>
    </row>
    <row r="24">
      <c r="B24" s="254" t="inlineStr">
        <is>
          <t>Total assets ($m), 31 Jul 2026 / 2025</t>
        </is>
      </c>
      <c r="C24" s="304" t="n">
        <v>10027.81</v>
      </c>
      <c r="D24" s="304" t="n">
        <v>10090.902</v>
      </c>
      <c r="E24" s="282" t="inlineStr">
        <is>
          <t>–</t>
        </is>
      </c>
      <c r="F24" s="274" t="inlineStr">
        <is>
          <t>$m</t>
        </is>
      </c>
      <c r="I24" s="252" t="inlineStr">
        <is>
          <t>Consolidated balance sheets: "Total assets"</t>
        </is>
      </c>
    </row>
    <row r="25">
      <c r="B25" s="254" t="inlineStr">
        <is>
          <t>Accounts payable and accrued liabilities ($m), 31 Jul 2026 / 2025</t>
        </is>
      </c>
      <c r="C25" s="304" t="n">
        <v>634.675</v>
      </c>
      <c r="D25" s="304" t="n">
        <v>591.831</v>
      </c>
      <c r="E25" s="282" t="inlineStr">
        <is>
          <t>–</t>
        </is>
      </c>
      <c r="F25" s="274" t="inlineStr">
        <is>
          <t>$m</t>
        </is>
      </c>
      <c r="I25" s="252" t="inlineStr">
        <is>
          <t>Consolidated balance sheets: "Accounts payable and accrued liabilities"</t>
        </is>
      </c>
    </row>
    <row r="26">
      <c r="B26" s="254" t="inlineStr">
        <is>
          <t>Deferred revenue ($m), 31 Jul 2026 / 2025</t>
        </is>
      </c>
      <c r="C26" s="304" t="n">
        <v>32.466</v>
      </c>
      <c r="D26" s="304" t="n">
        <v>30.44</v>
      </c>
      <c r="E26" s="282" t="inlineStr">
        <is>
          <t>–</t>
        </is>
      </c>
      <c r="F26" s="274" t="inlineStr">
        <is>
          <t>$m</t>
        </is>
      </c>
      <c r="I26" s="252" t="inlineStr">
        <is>
          <t>Consolidated balance sheets: "Deferred revenue"</t>
        </is>
      </c>
    </row>
    <row r="27">
      <c r="B27" s="254" t="inlineStr">
        <is>
          <t>Income taxes payable ($m), 31 Jul 2026 / 2025</t>
        </is>
      </c>
      <c r="C27" s="304" t="n">
        <v>21.437</v>
      </c>
      <c r="D27" s="304" t="n">
        <v>41.141</v>
      </c>
      <c r="E27" s="282" t="inlineStr">
        <is>
          <t>–</t>
        </is>
      </c>
      <c r="F27" s="274" t="inlineStr">
        <is>
          <t>$m</t>
        </is>
      </c>
      <c r="I27" s="252" t="inlineStr">
        <is>
          <t>Consolidated balance sheets: "Income taxes payable"</t>
        </is>
      </c>
    </row>
    <row r="28">
      <c r="B28" s="254" t="inlineStr">
        <is>
          <t>Current portion of operating and finance lease liabilities ($m), 31 Jul 2026 / 2025</t>
        </is>
      </c>
      <c r="C28" s="304" t="n">
        <v>15.163</v>
      </c>
      <c r="D28" s="304" t="n">
        <v>19.869</v>
      </c>
      <c r="E28" s="282" t="inlineStr">
        <is>
          <t>–</t>
        </is>
      </c>
      <c r="F28" s="274" t="inlineStr">
        <is>
          <t>$m</t>
        </is>
      </c>
      <c r="I28" s="252" t="inlineStr">
        <is>
          <t>Consolidated balance sheets: "Current portion of operating and finance lease liabilities"</t>
        </is>
      </c>
    </row>
    <row r="29">
      <c r="B29" s="254" t="inlineStr">
        <is>
          <t>Total current liabilities ($m), 31 Jul 2026 / 2025</t>
        </is>
      </c>
      <c r="C29" s="304" t="n">
        <v>703.741</v>
      </c>
      <c r="D29" s="304" t="n">
        <v>683.2809999999999</v>
      </c>
      <c r="E29" s="282" t="inlineStr">
        <is>
          <t>–</t>
        </is>
      </c>
      <c r="F29" s="274" t="inlineStr">
        <is>
          <t>$m</t>
        </is>
      </c>
      <c r="I29" s="252" t="inlineStr">
        <is>
          <t>Consolidated balance sheets: "Total current liabilities"</t>
        </is>
      </c>
    </row>
    <row r="30">
      <c r="B30" s="254" t="inlineStr">
        <is>
          <t>Total liabilities ($m), 31 Jul 2026 / 2025</t>
        </is>
      </c>
      <c r="C30" s="304" t="n">
        <v>913.9299999999999</v>
      </c>
      <c r="D30" s="304" t="n">
        <v>883.4109999999999</v>
      </c>
      <c r="E30" s="282" t="inlineStr">
        <is>
          <t>–</t>
        </is>
      </c>
      <c r="F30" s="274" t="inlineStr">
        <is>
          <t>$m</t>
        </is>
      </c>
      <c r="I30" s="252" t="inlineStr">
        <is>
          <t>Consolidated balance sheets: "Total liabilities"</t>
        </is>
      </c>
    </row>
    <row r="31">
      <c r="B31" s="254" t="inlineStr">
        <is>
          <t>Total stockholders' equity ($m), 31 Jul 2026 / 2025</t>
        </is>
      </c>
      <c r="C31" s="304" t="n">
        <v>9097.295</v>
      </c>
      <c r="D31" s="304" t="n">
        <v>9187.032999999999</v>
      </c>
      <c r="E31" s="282" t="inlineStr">
        <is>
          <t>–</t>
        </is>
      </c>
      <c r="F31" s="274" t="inlineStr">
        <is>
          <t>$m</t>
        </is>
      </c>
      <c r="I31" s="252" t="inlineStr">
        <is>
          <t>Consolidated balance sheets: "Total stockholders' equity"</t>
        </is>
      </c>
    </row>
    <row r="32">
      <c r="B32" s="254" t="inlineStr">
        <is>
          <t>Income taxes paid, net of refunds ($m)</t>
        </is>
      </c>
      <c r="C32" s="304" t="n">
        <v>398.38</v>
      </c>
      <c r="D32" s="304" t="n">
        <v>409.003</v>
      </c>
      <c r="E32" s="304" t="n">
        <v>285.891</v>
      </c>
      <c r="F32" s="274" t="inlineStr">
        <is>
          <t>$m</t>
        </is>
      </c>
      <c r="I32" s="252" t="inlineStr">
        <is>
          <t>Supplemental cash flow: "Income taxes paid, net of refunds"</t>
        </is>
      </c>
    </row>
    <row r="33">
      <c r="B33" s="254" t="inlineStr">
        <is>
          <t>Effective tax rate FY2026 / FY2025</t>
        </is>
      </c>
      <c r="C33" s="303" t="n">
        <v>0.193</v>
      </c>
      <c r="D33" s="303" t="n">
        <v>0.183</v>
      </c>
      <c r="E33" s="282" t="inlineStr">
        <is>
          <t>–</t>
        </is>
      </c>
      <c r="F33" s="274" t="inlineStr">
        <is>
          <t>%</t>
        </is>
      </c>
      <c r="I33" s="252" t="inlineStr">
        <is>
          <t>MD&amp;A Income Taxes: "19.3% and 18.3%"</t>
        </is>
      </c>
    </row>
    <row r="34">
      <c r="B34" s="254" t="inlineStr">
        <is>
          <t>Tax reconciliation FY2026 ($m): FDII benefit / excess stock-option benefit / state taxes</t>
        </is>
      </c>
      <c r="C34" s="304" t="n">
        <v>-46.7</v>
      </c>
      <c r="D34" s="304" t="n">
        <v>-6.6</v>
      </c>
      <c r="E34" s="304" t="n">
        <v>21.5</v>
      </c>
      <c r="F34" s="274" t="inlineStr">
        <is>
          <t>$m</t>
        </is>
      </c>
      <c r="I34" s="252" t="inlineStr">
        <is>
          <t>MD&amp;A Income Taxes paragraph (statutory rate 21.0%)</t>
        </is>
      </c>
    </row>
    <row r="35">
      <c r="B35" s="254" t="inlineStr">
        <is>
          <t>Revolving credit facility: capacity ($m) / maturity</t>
        </is>
      </c>
      <c r="C35" s="304" t="n">
        <v>1250</v>
      </c>
      <c r="D35" s="282" t="inlineStr">
        <is>
          <t>–</t>
        </is>
      </c>
      <c r="E35" s="282" t="inlineStr">
        <is>
          <t>–</t>
        </is>
      </c>
      <c r="F35" s="274" t="inlineStr">
        <is>
          <t>$m</t>
        </is>
      </c>
      <c r="I35" s="252" t="inlineStr">
        <is>
          <t>Risk factors: "2026 Credit Agreement … up to $1,250 million maturing on January 23, 2031"</t>
        </is>
      </c>
    </row>
    <row r="36">
      <c r="B36" s="254" t="inlineStr">
        <is>
          <t>Service revenues ($m), FY2026 / FY2025 / FY2024</t>
        </is>
      </c>
      <c r="C36" s="304" t="n">
        <v>3969.52</v>
      </c>
      <c r="D36" s="304" t="n">
        <v>3968.662</v>
      </c>
      <c r="E36" s="304" t="n">
        <v>3561.002</v>
      </c>
      <c r="F36" s="274" t="inlineStr">
        <is>
          <t>$m</t>
        </is>
      </c>
      <c r="I36" s="252" t="inlineStr">
        <is>
          <t>Consolidated statements of income: "Service revenues"</t>
        </is>
      </c>
    </row>
    <row r="37">
      <c r="B37" s="254" t="inlineStr">
        <is>
          <t>Vehicle sales ($m), FY2026 / FY2025 / FY2024</t>
        </is>
      </c>
      <c r="C37" s="304" t="n">
        <v>696.689</v>
      </c>
      <c r="D37" s="304" t="n">
        <v>678.296</v>
      </c>
      <c r="E37" s="304" t="n">
        <v>675.821</v>
      </c>
      <c r="F37" s="274" t="inlineStr">
        <is>
          <t>$m</t>
        </is>
      </c>
      <c r="I37" s="252" t="inlineStr">
        <is>
          <t>Consolidated statements of income: "Vehicle sales"</t>
        </is>
      </c>
    </row>
    <row r="38">
      <c r="B38" s="254" t="inlineStr">
        <is>
          <t>Facility operations ($m), FY2026 / FY2025 / FY2024</t>
        </is>
      </c>
      <c r="C38" s="304" t="n">
        <v>1965.888</v>
      </c>
      <c r="D38" s="304" t="n">
        <v>1944.318</v>
      </c>
      <c r="E38" s="304" t="n">
        <v>1710.084</v>
      </c>
      <c r="F38" s="274" t="inlineStr">
        <is>
          <t>$m</t>
        </is>
      </c>
      <c r="I38" s="252" t="inlineStr">
        <is>
          <t>Consolidated statements of income: "Facility operations"</t>
        </is>
      </c>
    </row>
    <row r="39">
      <c r="B39" s="254" t="inlineStr">
        <is>
          <t>Cost of vehicle sales ($m), FY2026 / FY2025 / FY2024</t>
        </is>
      </c>
      <c r="C39" s="304" t="n">
        <v>616.463</v>
      </c>
      <c r="D39" s="304" t="n">
        <v>602.997</v>
      </c>
      <c r="E39" s="304" t="n">
        <v>619.487</v>
      </c>
      <c r="F39" s="274" t="inlineStr">
        <is>
          <t>$m</t>
        </is>
      </c>
      <c r="I39" s="252" t="inlineStr">
        <is>
          <t>Consolidated statements of income: "Cost of vehicle sales"</t>
        </is>
      </c>
    </row>
    <row r="40">
      <c r="B40" s="254" t="inlineStr">
        <is>
          <t>General and administrative ($m), FY2026 / FY2025 / FY2024</t>
        </is>
      </c>
      <c r="C40" s="304" t="n">
        <v>431.268</v>
      </c>
      <c r="D40" s="304" t="n">
        <v>402.929</v>
      </c>
      <c r="E40" s="304" t="n">
        <v>335.229</v>
      </c>
      <c r="F40" s="274" t="inlineStr">
        <is>
          <t>$m</t>
        </is>
      </c>
      <c r="I40" s="252" t="inlineStr">
        <is>
          <t>Consolidated statements of income: "General and administrative"</t>
        </is>
      </c>
    </row>
    <row r="41">
      <c r="B41" s="254" t="inlineStr">
        <is>
          <t>Operating income ($m), FY2026 / FY2025 / FY2024</t>
        </is>
      </c>
      <c r="C41" s="304" t="n">
        <v>1652.59</v>
      </c>
      <c r="D41" s="304" t="n">
        <v>1696.714</v>
      </c>
      <c r="E41" s="304" t="n">
        <v>1572.023</v>
      </c>
      <c r="F41" s="274" t="inlineStr">
        <is>
          <t>$m</t>
        </is>
      </c>
      <c r="I41" s="252" t="inlineStr">
        <is>
          <t>Consolidated statements of income: "Operating income"</t>
        </is>
      </c>
    </row>
    <row r="42">
      <c r="B42" s="254" t="inlineStr">
        <is>
          <t>Income before income taxes ($m), FY2026 / FY2025 / FY2024</t>
        </is>
      </c>
      <c r="C42" s="304" t="n">
        <v>1834.977</v>
      </c>
      <c r="D42" s="304" t="n">
        <v>1895.581</v>
      </c>
      <c r="E42" s="304" t="n">
        <v>1714.601</v>
      </c>
      <c r="F42" s="274" t="inlineStr">
        <is>
          <t>$m</t>
        </is>
      </c>
      <c r="I42" s="252" t="inlineStr">
        <is>
          <t>Consolidated statements of income: "Income before income taxes"</t>
        </is>
      </c>
    </row>
    <row r="43">
      <c r="B43" s="254" t="inlineStr">
        <is>
          <t>Income tax expense ($m), FY2026 / FY2025 / FY2024</t>
        </is>
      </c>
      <c r="C43" s="304" t="n">
        <v>354.58</v>
      </c>
      <c r="D43" s="304" t="n">
        <v>347.218</v>
      </c>
      <c r="E43" s="304" t="n">
        <v>352.254</v>
      </c>
      <c r="F43" s="274" t="inlineStr">
        <is>
          <t>$m</t>
        </is>
      </c>
      <c r="I43" s="252" t="inlineStr">
        <is>
          <t>Consolidated statements of income: "Income tax expense"</t>
        </is>
      </c>
    </row>
    <row r="44">
      <c r="B44" s="254" t="inlineStr">
        <is>
          <t>Net income (consolidated) ($m), FY2026 / FY2025 / FY2024</t>
        </is>
      </c>
      <c r="C44" s="304" t="n">
        <v>1480.397</v>
      </c>
      <c r="D44" s="304" t="n">
        <v>1548.363</v>
      </c>
      <c r="E44" s="304" t="n">
        <v>1362.347</v>
      </c>
      <c r="F44" s="274" t="inlineStr">
        <is>
          <t>$m</t>
        </is>
      </c>
      <c r="I44" s="252" t="inlineStr">
        <is>
          <t>Consolidated statements of income: "Net income (consolidated)"</t>
        </is>
      </c>
    </row>
    <row r="45">
      <c r="B45" s="254" t="inlineStr">
        <is>
          <t>Net income attributable to Copart ($m), FY2026 / FY2025 / FY2024</t>
        </is>
      </c>
      <c r="C45" s="304" t="n">
        <v>1484.27</v>
      </c>
      <c r="D45" s="304" t="n">
        <v>1552.449</v>
      </c>
      <c r="E45" s="304" t="n">
        <v>1363.02</v>
      </c>
      <c r="F45" s="274" t="inlineStr">
        <is>
          <t>$m</t>
        </is>
      </c>
      <c r="I45" s="252" t="inlineStr">
        <is>
          <t>Consolidated statements of income: "Net income attributable to Copart"</t>
        </is>
      </c>
    </row>
    <row r="46">
      <c r="B46" s="254" t="inlineStr">
        <is>
          <t>Diluted net income per share ($), FY2026 / FY2025 / FY2024</t>
        </is>
      </c>
      <c r="C46" s="321" t="n">
        <v>1.55</v>
      </c>
      <c r="D46" s="321" t="n">
        <v>1.59</v>
      </c>
      <c r="E46" s="321" t="n">
        <v>1.4</v>
      </c>
      <c r="F46" s="274" t="inlineStr">
        <is>
          <t>mixed</t>
        </is>
      </c>
      <c r="I46" s="252" t="inlineStr">
        <is>
          <t>Consolidated statements of income: "Diluted net income per common share"</t>
        </is>
      </c>
    </row>
    <row r="47">
      <c r="B47" s="254" t="inlineStr">
        <is>
          <t>Diluted weighted-average shares (mn), FY2026 / FY2025 / FY2024</t>
        </is>
      </c>
      <c r="C47" s="304" t="n">
        <v>956.86</v>
      </c>
      <c r="D47" s="304" t="n">
        <v>977.563</v>
      </c>
      <c r="E47" s="304" t="n">
        <v>974.798</v>
      </c>
      <c r="F47" s="274" t="inlineStr">
        <is>
          <t>$m</t>
        </is>
      </c>
      <c r="I47" s="252" t="inlineStr">
        <is>
          <t>Consolidated statements of income: "Diluted weighted average common shares outstanding"</t>
        </is>
      </c>
    </row>
    <row r="48">
      <c r="B48" s="254" t="inlineStr">
        <is>
          <t>Depreciation and amortization, incl. debt cost (cash flow) ($m), FY2026 / FY2025 / FY2024</t>
        </is>
      </c>
      <c r="C48" s="304" t="n">
        <v>238.466</v>
      </c>
      <c r="D48" s="304" t="n">
        <v>217.784</v>
      </c>
      <c r="E48" s="304" t="n">
        <v>190.256</v>
      </c>
      <c r="F48" s="274" t="inlineStr">
        <is>
          <t>$m</t>
        </is>
      </c>
      <c r="I48" s="252" t="inlineStr">
        <is>
          <t>Consolidated statements of cash flows: "Depreciation and amortization, incl. debt cost (cash flow)"</t>
        </is>
      </c>
    </row>
    <row r="49">
      <c r="B49" s="254" t="inlineStr">
        <is>
          <t>Stock-based compensation (cash flow) ($m), FY2026 / FY2025 / FY2024</t>
        </is>
      </c>
      <c r="C49" s="304" t="n">
        <v>38.818</v>
      </c>
      <c r="D49" s="304" t="n">
        <v>38.004</v>
      </c>
      <c r="E49" s="304" t="n">
        <v>35.234</v>
      </c>
      <c r="F49" s="274" t="inlineStr">
        <is>
          <t>$m</t>
        </is>
      </c>
      <c r="I49" s="252" t="inlineStr">
        <is>
          <t>Consolidated statements of cash flows: "Stock-based compensation (cash flow)"</t>
        </is>
      </c>
    </row>
    <row r="50">
      <c r="B50" s="254" t="inlineStr">
        <is>
          <t>Purchases of property and equipment ($m), FY2026 / FY2025 / FY2024</t>
        </is>
      </c>
      <c r="C50" s="304" t="n">
        <v>-337.363</v>
      </c>
      <c r="D50" s="304" t="n">
        <v>-568.99</v>
      </c>
      <c r="E50" s="304" t="n">
        <v>-510.99</v>
      </c>
      <c r="F50" s="274" t="inlineStr">
        <is>
          <t>$m</t>
        </is>
      </c>
      <c r="I50" s="252" t="inlineStr">
        <is>
          <t>Consolidated statements of cash flows: "Purchases of property and equipment"</t>
        </is>
      </c>
    </row>
    <row r="51">
      <c r="B51" s="254" t="inlineStr">
        <is>
          <t>Repurchases of common stock ($m), FY2026 / FY2025 / FY2024</t>
        </is>
      </c>
      <c r="C51" s="304" t="n">
        <v>-1632.538</v>
      </c>
      <c r="D51" s="304" t="n">
        <v>0</v>
      </c>
      <c r="E51" s="304" t="n">
        <v>0</v>
      </c>
      <c r="F51" s="274" t="inlineStr">
        <is>
          <t>$m</t>
        </is>
      </c>
      <c r="I51" s="252" t="inlineStr">
        <is>
          <t>Consolidated statements of cash flows: "Repurchases of common stock"</t>
        </is>
      </c>
    </row>
    <row r="52">
      <c r="B52" s="271" t="inlineStr">
        <is>
          <t>From the FY2024 Form 10-K on disk (raw/sec/10k/cprt_2024-07-31.htm): columns read FY2024 / FY2023 / FY2022</t>
        </is>
      </c>
      <c r="C52" s="272" t="n"/>
      <c r="D52" s="272" t="n"/>
      <c r="E52" s="272" t="n"/>
      <c r="F52" s="272" t="n"/>
      <c r="G52" s="272" t="n"/>
      <c r="H52" s="272" t="n"/>
      <c r="I52" s="272" t="n"/>
      <c r="J52" s="272" t="n"/>
      <c r="K52" s="272" t="n"/>
      <c r="L52" s="272" t="n"/>
      <c r="M52" s="272" t="n"/>
      <c r="N52" s="272" t="n"/>
      <c r="O52" s="272" t="n"/>
      <c r="P52" s="272" t="n"/>
      <c r="Q52" s="272" t="n"/>
      <c r="R52" s="272" t="n"/>
      <c r="S52" s="272" t="n"/>
    </row>
    <row r="53">
      <c r="B53" s="254" t="inlineStr">
        <is>
          <t>Service revenues ($m), FY2024 / FY2023 / FY2022</t>
        </is>
      </c>
      <c r="C53" s="304" t="n">
        <v>3561.002</v>
      </c>
      <c r="D53" s="304" t="n">
        <v>3198.128</v>
      </c>
      <c r="E53" s="304" t="n">
        <v>2853.04</v>
      </c>
      <c r="F53" s="274" t="inlineStr">
        <is>
          <t>$m</t>
        </is>
      </c>
      <c r="I53" s="252" t="inlineStr">
        <is>
          <t>FY2024 10-K, consolidated statements of income: "Service revenues"</t>
        </is>
      </c>
    </row>
    <row r="54">
      <c r="B54" s="254" t="inlineStr">
        <is>
          <t>Vehicle sales ($m), FY2024 / FY2023 / FY2022</t>
        </is>
      </c>
      <c r="C54" s="304" t="n">
        <v>675.821</v>
      </c>
      <c r="D54" s="304" t="n">
        <v>671.39</v>
      </c>
      <c r="E54" s="304" t="n">
        <v>647.881</v>
      </c>
      <c r="F54" s="274" t="inlineStr">
        <is>
          <t>$m</t>
        </is>
      </c>
      <c r="I54" s="252" t="inlineStr">
        <is>
          <t>FY2024 10-K, consolidated statements of income: "Vehicle sales"</t>
        </is>
      </c>
    </row>
    <row r="55">
      <c r="B55" s="254" t="inlineStr">
        <is>
          <t>Facility operations ($m), FY2024 / FY2023 / FY2022</t>
        </is>
      </c>
      <c r="C55" s="304" t="n">
        <v>1710.084</v>
      </c>
      <c r="D55" s="304" t="n">
        <v>1518.029</v>
      </c>
      <c r="E55" s="304" t="n">
        <v>1309.497</v>
      </c>
      <c r="F55" s="274" t="inlineStr">
        <is>
          <t>$m</t>
        </is>
      </c>
      <c r="I55" s="252" t="inlineStr">
        <is>
          <t>FY2024 10-K, consolidated statements of income: "Facility operations"</t>
        </is>
      </c>
    </row>
    <row r="56">
      <c r="B56" s="254" t="inlineStr">
        <is>
          <t>Cost of vehicle sales ($m), FY2024 / FY2023 / FY2022</t>
        </is>
      </c>
      <c r="C56" s="304" t="n">
        <v>619.487</v>
      </c>
      <c r="D56" s="304" t="n">
        <v>614.498</v>
      </c>
      <c r="E56" s="304" t="n">
        <v>585.203</v>
      </c>
      <c r="F56" s="274" t="inlineStr">
        <is>
          <t>$m</t>
        </is>
      </c>
      <c r="I56" s="252" t="inlineStr">
        <is>
          <t>FY2024 10-K, consolidated statements of income: "Cost of vehicle sales"</t>
        </is>
      </c>
    </row>
    <row r="57">
      <c r="B57" s="254" t="inlineStr">
        <is>
          <t>General and administrative ($m), FY2024 / FY2023 / FY2022</t>
        </is>
      </c>
      <c r="C57" s="304" t="n">
        <v>335.229</v>
      </c>
      <c r="D57" s="304" t="n">
        <v>250.422</v>
      </c>
      <c r="E57" s="304" t="n">
        <v>231.224</v>
      </c>
      <c r="F57" s="274" t="inlineStr">
        <is>
          <t>$m</t>
        </is>
      </c>
      <c r="I57" s="252" t="inlineStr">
        <is>
          <t>FY2024 10-K, consolidated statements of income: "General and administrative"</t>
        </is>
      </c>
    </row>
  </sheetData>
  <pageMargins left="0.75" right="0.75" top="1" bottom="1" header="0.5" footer="0.5"/>
</worksheet>
</file>

<file path=xl/worksheets/sheet27.xml><?xml version="1.0" encoding="utf-8"?>
<worksheet xmlns="http://schemas.openxmlformats.org/spreadsheetml/2006/main">
  <sheetPr>
    <tabColor rgb="FFBFBFBF"/>
    <outlinePr summaryBelow="1" summaryRight="1"/>
    <pageSetUpPr/>
  </sheetPr>
  <dimension ref="B1:S28"/>
  <sheetViews>
    <sheetView showGridLines="0" zoomScale="90" workbookViewId="0">
      <selection activeCell="A1" sqref="A1"/>
    </sheetView>
  </sheetViews>
  <sheetFormatPr baseColWidth="10" defaultColWidth="8.83203125" defaultRowHeight="15"/>
  <cols>
    <col width="2.5" customWidth="1" style="392" min="1" max="1"/>
    <col width="46" customWidth="1" style="392" min="2" max="2"/>
    <col width="8" customWidth="1" style="392" min="3" max="3"/>
    <col width="13" customWidth="1" style="392" min="4" max="15"/>
    <col width="48" customWidth="1" style="392" min="19" max="19"/>
  </cols>
  <sheetData>
    <row r="1" ht="17" customHeight="1" s="392">
      <c r="B1" s="269" t="inlineStr">
        <is>
          <t>D Coverage — insurance affordability and physical-damage coverage (thesis 1 data)</t>
        </is>
      </c>
      <c r="C1" s="270" t="n"/>
      <c r="D1" s="270" t="n"/>
      <c r="E1" s="270" t="n"/>
      <c r="F1" s="270" t="n"/>
      <c r="G1" s="270" t="n"/>
      <c r="H1" s="270" t="n"/>
      <c r="I1" s="270" t="n"/>
      <c r="J1" s="270" t="n"/>
      <c r="K1" s="270" t="n"/>
      <c r="L1" s="270" t="n"/>
      <c r="M1" s="270" t="n"/>
      <c r="N1" s="270" t="n"/>
      <c r="O1" s="270" t="n"/>
      <c r="P1" s="270" t="n"/>
      <c r="Q1" s="270" t="n"/>
      <c r="R1" s="270" t="n"/>
      <c r="S1" s="270" t="n"/>
    </row>
    <row r="2">
      <c r="B2" s="252" t="inlineStr">
        <is>
          <t>Values only. BLS CPI motor vehicle insurance (CUUR0000SETE) and CES average hourly earnings (CES0500000003) from flat files on disk (raw/bls, fetched 25 Sep 2026); IRC press release 20 Feb 2025 (raw/irc); III analysis of 2023 NAIC data (raw/discovery_2026-10-02); CCC claim volumes from the owner's v1 Volume Build (CCC reports).</t>
        </is>
      </c>
    </row>
    <row r="4">
      <c r="B4" s="249" t="inlineStr">
        <is>
          <t>Calendar year</t>
        </is>
      </c>
      <c r="D4" s="249" t="n">
        <v>2017</v>
      </c>
      <c r="E4" s="249" t="n">
        <v>2018</v>
      </c>
      <c r="F4" s="249" t="n">
        <v>2019</v>
      </c>
      <c r="G4" s="249" t="n">
        <v>2020</v>
      </c>
      <c r="H4" s="249" t="n">
        <v>2021</v>
      </c>
      <c r="I4" s="249" t="n">
        <v>2022</v>
      </c>
      <c r="J4" s="249" t="n">
        <v>2023</v>
      </c>
      <c r="K4" s="249" t="n">
        <v>2024</v>
      </c>
      <c r="L4" s="249" t="n">
        <v>2025</v>
      </c>
      <c r="M4" s="249" t="n">
        <v>2026</v>
      </c>
    </row>
    <row r="5">
      <c r="B5" s="254" t="inlineStr">
        <is>
          <t>CPI motor vehicle insurance, annual average (1982–84 = 100)</t>
        </is>
      </c>
      <c r="D5" s="464" t="n">
        <v>526.9111666666666</v>
      </c>
      <c r="E5" s="464" t="n">
        <v>565.9567499999999</v>
      </c>
      <c r="F5" s="464" t="n">
        <v>571.0321666666667</v>
      </c>
      <c r="G5" s="464" t="n">
        <v>544.6329166666667</v>
      </c>
      <c r="H5" s="464" t="n">
        <v>565.3130833333333</v>
      </c>
      <c r="I5" s="464" t="n">
        <v>609.8400833333334</v>
      </c>
      <c r="J5" s="464" t="n">
        <v>716.00375</v>
      </c>
      <c r="K5" s="464" t="n">
        <v>843.098</v>
      </c>
      <c r="L5" s="464" t="n">
        <v>893.0514999999999</v>
      </c>
      <c r="M5" s="464" t="n">
        <v>877.678375</v>
      </c>
      <c r="S5" s="252" t="inlineStr">
        <is>
          <t>VERIFIED — raw/bls/cu.data.14.USTransportation, series CUUR0000SETE, annual = mean of months (2026 = Jan–Aug)</t>
        </is>
      </c>
    </row>
    <row r="6">
      <c r="B6" s="274" t="inlineStr">
        <is>
          <t xml:space="preserve">   y/y</t>
        </is>
      </c>
      <c r="E6" s="303" t="n">
        <v>0.0741027820312532</v>
      </c>
      <c r="F6" s="303" t="n">
        <v>0.00896785251994392</v>
      </c>
      <c r="G6" s="303" t="n">
        <v>-0.04623075816219346</v>
      </c>
      <c r="H6" s="303" t="n">
        <v>0.03797083509611587</v>
      </c>
      <c r="I6" s="303" t="n">
        <v>0.07876520341161997</v>
      </c>
      <c r="J6" s="303" t="n">
        <v>0.1740844355234656</v>
      </c>
      <c r="K6" s="303" t="n">
        <v>0.1775050060841161</v>
      </c>
      <c r="L6" s="303" t="n">
        <v>0.05924993298525205</v>
      </c>
      <c r="M6" s="303" t="n">
        <v>-0.01721415282321337</v>
      </c>
    </row>
    <row r="7">
      <c r="B7" s="254" t="inlineStr">
        <is>
          <t>Average hourly earnings, total private, annual average ($)</t>
        </is>
      </c>
      <c r="D7" s="321" t="n">
        <v>26.30916666666667</v>
      </c>
      <c r="E7" s="321" t="n">
        <v>27.1025</v>
      </c>
      <c r="F7" s="321" t="n">
        <v>27.99833333333333</v>
      </c>
      <c r="G7" s="321" t="n">
        <v>29.36</v>
      </c>
      <c r="H7" s="321" t="n">
        <v>30.61333333333333</v>
      </c>
      <c r="I7" s="321" t="n">
        <v>32.25833333333333</v>
      </c>
      <c r="J7" s="321" t="n">
        <v>33.69583333333333</v>
      </c>
      <c r="K7" s="321" t="n">
        <v>35.0575</v>
      </c>
      <c r="L7" s="321" t="n">
        <v>36.4425</v>
      </c>
      <c r="M7" s="321" t="n">
        <v>37.4575</v>
      </c>
      <c r="S7" s="252" t="inlineStr">
        <is>
          <t>VERIFIED — raw/bls/ce.data.05b.TotalPrivate.AllEmployeeHoursAndEarnings, series CES0500000003 (2026 = months to date)</t>
        </is>
      </c>
    </row>
    <row r="8">
      <c r="B8" s="254" t="inlineStr">
        <is>
          <t>Uninsured-motorist rate (share of drivers), IRC</t>
        </is>
      </c>
      <c r="D8" s="303" t="n">
        <v>0.124</v>
      </c>
      <c r="J8" s="303" t="n">
        <v>0.154</v>
      </c>
      <c r="S8" s="252" t="inlineStr">
        <is>
          <t>VERIFIED endpoints — IRC release 20 Feb 2025: 15.4% in 2023, "an increase of 3% over the six years"; 2017 = 15.4 − 3.0 = 12.4% (derived); yearly path not in the release</t>
        </is>
      </c>
    </row>
    <row r="9">
      <c r="B9" s="254" t="inlineStr">
        <is>
          <t>Share of insured drivers buying collision coverage, NAIC via III</t>
        </is>
      </c>
      <c r="H9" s="303" t="n">
        <v>0.76</v>
      </c>
      <c r="I9" s="303" t="n">
        <v>0.77</v>
      </c>
      <c r="J9" s="303" t="n">
        <v>0.77</v>
      </c>
      <c r="S9" s="252" t="inlineStr">
        <is>
          <t>VERIFIED republication — III Facts + Statistics: 2021 NAIC data 76% (Wayback snapshot 2 Jun 2024, raw/wayback/iii_auto_20240602004547.html); 2022 data 77% (snapshot 27 Sep 2025); 2023 data 77% (live page, raw/discovery_2026-10-02). Comprehensive 80% in all three. NAIC's own report refused the fetch (403); pre-2021 pages rate-limited (429), not pursued</t>
        </is>
      </c>
    </row>
    <row r="10">
      <c r="B10" s="254" t="inlineStr">
        <is>
          <t>CCC total claim volume, y/y</t>
        </is>
      </c>
      <c r="K10" s="303" t="n">
        <v>-0.077</v>
      </c>
      <c r="L10" s="303" t="n">
        <v>-0.033</v>
      </c>
      <c r="S10" s="252" t="inlineStr">
        <is>
          <t>VERIFIED — owner's v1 Volume Build row 10 ("all from CCC reports"); calendar 2024 and 2025</t>
        </is>
      </c>
    </row>
    <row r="11">
      <c r="B11" s="254" t="inlineStr">
        <is>
          <t>CCC claim volume excluding comprehensive, y/y</t>
        </is>
      </c>
      <c r="K11" s="303" t="n">
        <v>-0.057</v>
      </c>
      <c r="L11" s="303" t="n">
        <v>-0.016</v>
      </c>
      <c r="S11" s="252" t="inlineStr">
        <is>
          <t>VERIFIED — v1 Volume Build row 11</t>
        </is>
      </c>
    </row>
    <row r="12">
      <c r="B12" s="254" t="inlineStr">
        <is>
          <t>CCC repairable claim volume, y/y</t>
        </is>
      </c>
      <c r="K12" s="303" t="n">
        <v>-0.097</v>
      </c>
      <c r="S12" s="252" t="inlineStr">
        <is>
          <t>VERIFIED — v1 Volume Build row 12</t>
        </is>
      </c>
    </row>
    <row r="14">
      <c r="B14" s="249" t="inlineStr">
        <is>
          <t>CPI motor vehicle insurance, monthly, latest 14 months (NSA)</t>
        </is>
      </c>
    </row>
    <row r="15">
      <c r="D15" s="254" t="inlineStr">
        <is>
          <t>2025-05</t>
        </is>
      </c>
      <c r="E15" s="254" t="inlineStr">
        <is>
          <t>2025-06</t>
        </is>
      </c>
      <c r="F15" s="254" t="inlineStr">
        <is>
          <t>2025-07</t>
        </is>
      </c>
      <c r="G15" s="254" t="inlineStr">
        <is>
          <t>2025-08</t>
        </is>
      </c>
      <c r="H15" s="254" t="inlineStr">
        <is>
          <t>2025-09</t>
        </is>
      </c>
      <c r="I15" s="254" t="inlineStr">
        <is>
          <t>2025-12</t>
        </is>
      </c>
      <c r="J15" s="254" t="inlineStr">
        <is>
          <t>2026-01</t>
        </is>
      </c>
      <c r="K15" s="254" t="inlineStr">
        <is>
          <t>2026-02</t>
        </is>
      </c>
      <c r="L15" s="254" t="inlineStr">
        <is>
          <t>2026-03</t>
        </is>
      </c>
      <c r="M15" s="254" t="inlineStr">
        <is>
          <t>2026-04</t>
        </is>
      </c>
      <c r="N15" s="254" t="inlineStr">
        <is>
          <t>2026-05</t>
        </is>
      </c>
      <c r="O15" s="254" t="inlineStr">
        <is>
          <t>2026-06</t>
        </is>
      </c>
      <c r="P15" s="254" t="inlineStr">
        <is>
          <t>2026-07</t>
        </is>
      </c>
      <c r="Q15" s="254" t="inlineStr">
        <is>
          <t>2026-08</t>
        </is>
      </c>
    </row>
    <row r="16">
      <c r="B16" s="254" t="inlineStr">
        <is>
          <t>index</t>
        </is>
      </c>
      <c r="D16" s="464" t="n">
        <v>895.2619999999999</v>
      </c>
      <c r="E16" s="464" t="n">
        <v>895.2809999999999</v>
      </c>
      <c r="F16" s="464" t="n">
        <v>896.018</v>
      </c>
      <c r="G16" s="464" t="n">
        <v>894.075</v>
      </c>
      <c r="H16" s="464" t="n">
        <v>890.473</v>
      </c>
      <c r="I16" s="464" t="n">
        <v>892.879</v>
      </c>
      <c r="J16" s="464" t="n">
        <v>892.491</v>
      </c>
      <c r="K16" s="464" t="n">
        <v>897.4059999999999</v>
      </c>
      <c r="L16" s="464" t="n">
        <v>897.145</v>
      </c>
      <c r="M16" s="464" t="n">
        <v>894.3150000000001</v>
      </c>
      <c r="N16" s="464" t="n">
        <v>877.278</v>
      </c>
      <c r="O16" s="464" t="n">
        <v>858.481</v>
      </c>
      <c r="P16" s="464" t="n">
        <v>856.08</v>
      </c>
      <c r="Q16" s="464" t="n">
        <v>848.231</v>
      </c>
    </row>
    <row r="17">
      <c r="B17" s="274" t="inlineStr">
        <is>
          <t xml:space="preserve">   y/y</t>
        </is>
      </c>
      <c r="D17" s="303" t="n">
        <v>0.06968352607889905</v>
      </c>
      <c r="E17" s="303" t="n">
        <v>0.0612888656545505</v>
      </c>
      <c r="F17" s="303" t="n">
        <v>0.05289145682702978</v>
      </c>
      <c r="G17" s="303" t="n">
        <v>0.04655001071043552</v>
      </c>
      <c r="H17" s="303" t="n">
        <v>0.03148529118768617</v>
      </c>
      <c r="I17" s="303" t="n">
        <v>0.02816849508934061</v>
      </c>
      <c r="J17" s="303" t="n">
        <v>0.005452593417908602</v>
      </c>
      <c r="K17" s="303" t="n">
        <v>0.001602732234338156</v>
      </c>
      <c r="L17" s="303" t="n">
        <v>0.007628435013977697</v>
      </c>
      <c r="M17" s="303" t="n">
        <v>0.001974112461669009</v>
      </c>
      <c r="N17" s="303" t="n">
        <v>-0.02008797424664499</v>
      </c>
      <c r="O17" s="303" t="n">
        <v>-0.04110441302786494</v>
      </c>
      <c r="P17" s="303" t="n">
        <v>-0.0445727652792689</v>
      </c>
      <c r="Q17" s="303" t="n">
        <v>-0.05127534043564586</v>
      </c>
    </row>
    <row r="19">
      <c r="B19" s="249" t="inlineStr">
        <is>
          <t>S&amp;P Global Market Intelligence, 2025 US Auto Insurance Market Report (data compiled 3 Dec 2025), as published by Carrier Management 6 Jan 2026 (raw/discovery_2026-10-02/carriermanagement_spgmi_outlook_2026.html and three chart images). S&amp;P's own page refused the fetch (403).</t>
        </is>
      </c>
    </row>
    <row r="20">
      <c r="B20" s="254" t="inlineStr">
        <is>
          <t>Auto (private + commercial) combined ratio, 2025P</t>
        </is>
      </c>
      <c r="D20" s="464" t="n">
        <v>94.5</v>
      </c>
      <c r="S20" s="252" t="inlineStr">
        <is>
          <t>VERIFIED (republication) — article text</t>
        </is>
      </c>
    </row>
    <row r="21">
      <c r="B21" s="254" t="inlineStr">
        <is>
          <t>Auto combined ratio, 2026P</t>
        </is>
      </c>
      <c r="D21" s="464" t="n">
        <v>97.09999999999999</v>
      </c>
      <c r="S21" s="252" t="inlineStr">
        <is>
          <t>VERIFIED (republication) — article text; "matching 2024"</t>
        </is>
      </c>
    </row>
    <row r="22">
      <c r="B22" s="254" t="inlineStr">
        <is>
          <t>Auto combined ratio, 2027P</t>
        </is>
      </c>
      <c r="D22" s="464" t="n">
        <v>98.90000000000001</v>
      </c>
      <c r="S22" s="252" t="inlineStr">
        <is>
          <t>VERIFIED (republication) — article text; breaches 100 in 2028</t>
        </is>
      </c>
    </row>
    <row r="23">
      <c r="B23" s="254" t="inlineStr">
        <is>
          <t>Auto share of total US P&amp;C direct premiums written, 2024A (peak)</t>
        </is>
      </c>
      <c r="D23" s="303" t="n">
        <v>0.412</v>
      </c>
      <c r="S23" s="252" t="inlineStr">
        <is>
          <t>VERIFIED (republication) — chart spgmi_premium_growth_2015_2029.jpg</t>
        </is>
      </c>
    </row>
    <row r="24">
      <c r="B24" s="254" t="inlineStr">
        <is>
          <t>Auto share of P&amp;C premiums, 2026P / 2027P</t>
        </is>
      </c>
      <c r="D24" s="303" t="n">
        <v>0.4037</v>
      </c>
      <c r="S24" s="252" t="inlineStr">
        <is>
          <t>VERIFIED (republication) — chart: 40.37% 2026P, 40.09% 2027P, 39.90% 2029P: auto premiums grow slower than other lines</t>
        </is>
      </c>
    </row>
    <row r="25">
      <c r="B25" s="254" t="inlineStr">
        <is>
          <t>Private auto direct premiums written growth outlook, 2025 (revised)</t>
        </is>
      </c>
      <c r="D25" s="303" t="n">
        <v>0.046</v>
      </c>
      <c r="S25" s="252" t="inlineStr">
        <is>
          <t>VERIFIED (republication) — chart spgmi_premium_outlook_by_line.jpg, read from the bar (about 4.6%)</t>
        </is>
      </c>
    </row>
    <row r="26">
      <c r="B26" s="254" t="inlineStr">
        <is>
          <t>S&amp;P on 2026 private auto pricing: "rate decreases matching rate increases and increased advertising spending"</t>
        </is>
      </c>
      <c r="S26" s="252" t="inlineStr">
        <is>
          <t>VERIFIED (republication) — media statement quoted in the article. S&amp;P publishes no 2026–27 premium-growth percentage in the accessible material</t>
        </is>
      </c>
    </row>
    <row r="28">
      <c r="B28" s="252" t="inlineStr">
        <is>
          <t>MoneyGeek lapse study (raw/discovery_2026-10-02/moneygeek_lapse.html): a coverage gap longer than 30 days raises quoted premiums by 22.4% on average across nine insurers; a gap of 30 days or less by 10.6%. Rate-comparison estimate, not a filing.</t>
        </is>
      </c>
    </row>
  </sheetData>
  <pageMargins left="0.75" right="0.75" top="1" bottom="1" header="0.5" footer="0.5"/>
</worksheet>
</file>

<file path=xl/worksheets/sheet28.xml><?xml version="1.0" encoding="utf-8"?>
<worksheet xmlns="http://schemas.openxmlformats.org/spreadsheetml/2006/main">
  <sheetPr>
    <tabColor rgb="FFBFBFBF"/>
    <outlinePr summaryBelow="1" summaryRight="1"/>
    <pageSetUpPr/>
  </sheetPr>
  <dimension ref="B1:S116"/>
  <sheetViews>
    <sheetView showGridLines="0" zoomScale="90" workbookViewId="0">
      <selection activeCell="A1" sqref="A1"/>
    </sheetView>
  </sheetViews>
  <sheetFormatPr baseColWidth="10" defaultColWidth="8.83203125" defaultRowHeight="15"/>
  <cols>
    <col width="2.5" customWidth="1" style="392" min="1" max="1"/>
    <col width="12" customWidth="1" style="392" min="2" max="2"/>
    <col width="8" customWidth="1" style="392" min="3" max="3"/>
    <col width="13" customWidth="1" style="392" min="4" max="15"/>
    <col width="48" customWidth="1" style="392" min="19" max="19"/>
  </cols>
  <sheetData>
    <row r="1" ht="17" customHeight="1" s="392">
      <c r="B1" s="269" t="inlineStr">
        <is>
          <t>D CCC — total-loss frequency and total-loss mix by vehicle type and age, 2020–2025</t>
        </is>
      </c>
      <c r="C1" s="270" t="n"/>
      <c r="D1" s="270" t="n"/>
      <c r="E1" s="270" t="n"/>
      <c r="F1" s="270" t="n"/>
      <c r="G1" s="270" t="n"/>
      <c r="H1" s="270" t="n"/>
      <c r="I1" s="270" t="n"/>
      <c r="J1" s="270" t="n"/>
      <c r="K1" s="270" t="n"/>
      <c r="L1" s="270" t="n"/>
      <c r="M1" s="270" t="n"/>
      <c r="N1" s="270" t="n"/>
      <c r="O1" s="270" t="n"/>
      <c r="P1" s="270" t="n"/>
      <c r="Q1" s="270" t="n"/>
      <c r="R1" s="270" t="n"/>
      <c r="S1" s="270" t="n"/>
    </row>
    <row r="2">
      <c r="B2" s="252" t="inlineStr">
        <is>
          <t>Owner-supplied CCC workbook (Data for Harvard Research, Daniella Biblin, 9.29.2026; SHA-256 2a127900…). VERIFIED cells; geography and coverage of the sample not stated by the source.</t>
        </is>
      </c>
    </row>
    <row r="3">
      <c r="J3" s="252" t="inlineStr">
        <is>
          <t>Derived (black): share of claims in each cell = (TL mix ÷ TLF), normalised within the year</t>
        </is>
      </c>
    </row>
    <row r="4">
      <c r="B4" s="357" t="inlineStr">
        <is>
          <t>Year</t>
        </is>
      </c>
      <c r="C4" s="358" t="inlineStr">
        <is>
          <t>Body</t>
        </is>
      </c>
      <c r="D4" s="358" t="inlineStr">
        <is>
          <t>Age group</t>
        </is>
      </c>
      <c r="E4" s="358" t="inlineStr">
        <is>
          <t>Age label</t>
        </is>
      </c>
      <c r="F4" s="358" t="inlineStr">
        <is>
          <t>TLF</t>
        </is>
      </c>
      <c r="G4" s="358" t="inlineStr">
        <is>
          <t>TL mix</t>
        </is>
      </c>
      <c r="H4" s="358" t="inlineStr">
        <is>
          <t>TLF cell</t>
        </is>
      </c>
      <c r="I4" s="358" t="inlineStr">
        <is>
          <t>Mix cell</t>
        </is>
      </c>
      <c r="J4" s="249" t="inlineStr">
        <is>
          <t>TL mix / TLF</t>
        </is>
      </c>
      <c r="K4" s="249" t="inlineStr">
        <is>
          <t>Implied claim share</t>
        </is>
      </c>
    </row>
    <row r="5">
      <c r="B5" s="251" t="n">
        <v>2020</v>
      </c>
      <c r="C5" s="254" t="inlineStr">
        <is>
          <t>Car</t>
        </is>
      </c>
      <c r="D5" s="251" t="n">
        <v>0</v>
      </c>
      <c r="E5" s="254" t="inlineStr">
        <is>
          <t>Current Yr or Newer Group</t>
        </is>
      </c>
      <c r="F5" s="320" t="n">
        <v>0.09410538385365091</v>
      </c>
      <c r="G5" s="320" t="n">
        <v>0.006857920716116418</v>
      </c>
      <c r="H5" s="254" t="inlineStr">
        <is>
          <t>C4</t>
        </is>
      </c>
      <c r="I5" s="254" t="inlineStr">
        <is>
          <t>M5</t>
        </is>
      </c>
      <c r="J5" s="463">
        <f>G5/F5</f>
        <v/>
      </c>
      <c r="K5" s="463">
        <f>J5/SUMIFS($J$5:$J$100,$B$5:$B$100,B5)</f>
        <v/>
      </c>
    </row>
    <row r="6">
      <c r="B6" s="251" t="n">
        <v>2020</v>
      </c>
      <c r="C6" s="254" t="inlineStr">
        <is>
          <t>Car</t>
        </is>
      </c>
      <c r="D6" s="251" t="n">
        <v>1</v>
      </c>
      <c r="E6" s="254" t="inlineStr">
        <is>
          <t>1 - 3 Years Old</t>
        </is>
      </c>
      <c r="F6" s="320" t="n">
        <v>0.1311760375102815</v>
      </c>
      <c r="G6" s="320" t="n">
        <v>0.07159720882323004</v>
      </c>
      <c r="H6" s="254" t="inlineStr">
        <is>
          <t>C5</t>
        </is>
      </c>
      <c r="I6" s="254" t="inlineStr">
        <is>
          <t>M9</t>
        </is>
      </c>
      <c r="J6" s="463">
        <f>G6/F6</f>
        <v/>
      </c>
      <c r="K6" s="463">
        <f>J6/SUMIFS($J$5:$J$100,$B$5:$B$100,B6)</f>
        <v/>
      </c>
    </row>
    <row r="7">
      <c r="B7" s="251" t="n">
        <v>2020</v>
      </c>
      <c r="C7" s="254" t="inlineStr">
        <is>
          <t>Car</t>
        </is>
      </c>
      <c r="D7" s="251" t="n">
        <v>2</v>
      </c>
      <c r="E7" s="254" t="inlineStr">
        <is>
          <t>4 - 6 Years Old</t>
        </is>
      </c>
      <c r="F7" s="320" t="n">
        <v>0.1924797004881514</v>
      </c>
      <c r="G7" s="320" t="n">
        <v>0.1214569055493857</v>
      </c>
      <c r="H7" s="254" t="inlineStr">
        <is>
          <t>C6</t>
        </is>
      </c>
      <c r="I7" s="254" t="inlineStr">
        <is>
          <t>M13</t>
        </is>
      </c>
      <c r="J7" s="463">
        <f>G7/F7</f>
        <v/>
      </c>
      <c r="K7" s="463">
        <f>J7/SUMIFS($J$5:$J$100,$B$5:$B$100,B7)</f>
        <v/>
      </c>
    </row>
    <row r="8">
      <c r="B8" s="251" t="n">
        <v>2020</v>
      </c>
      <c r="C8" s="254" t="inlineStr">
        <is>
          <t>Car</t>
        </is>
      </c>
      <c r="D8" s="251" t="n">
        <v>3</v>
      </c>
      <c r="E8" s="254" t="inlineStr">
        <is>
          <t>7 Years and Older</t>
        </is>
      </c>
      <c r="F8" s="320" t="n">
        <v>0.3646806049668614</v>
      </c>
      <c r="G8" s="320" t="n">
        <v>0.3935020669475264</v>
      </c>
      <c r="H8" s="254" t="inlineStr">
        <is>
          <t>C7</t>
        </is>
      </c>
      <c r="I8" s="254" t="inlineStr">
        <is>
          <t>M17</t>
        </is>
      </c>
      <c r="J8" s="463">
        <f>G8/F8</f>
        <v/>
      </c>
      <c r="K8" s="463">
        <f>J8/SUMIFS($J$5:$J$100,$B$5:$B$100,B8)</f>
        <v/>
      </c>
    </row>
    <row r="9">
      <c r="B9" s="251" t="n">
        <v>2020</v>
      </c>
      <c r="C9" s="254" t="inlineStr">
        <is>
          <t>Pickup</t>
        </is>
      </c>
      <c r="D9" s="251" t="n">
        <v>0</v>
      </c>
      <c r="E9" s="254" t="inlineStr">
        <is>
          <t>Current Yr or Newer Group</t>
        </is>
      </c>
      <c r="F9" s="320" t="n">
        <v>0.04164382226445899</v>
      </c>
      <c r="G9" s="320" t="n">
        <v>0.001298204087709676</v>
      </c>
      <c r="H9" s="254" t="inlineStr">
        <is>
          <t>C9</t>
        </is>
      </c>
      <c r="I9" s="254" t="inlineStr">
        <is>
          <t>M6</t>
        </is>
      </c>
      <c r="J9" s="463">
        <f>G9/F9</f>
        <v/>
      </c>
      <c r="K9" s="463">
        <f>J9/SUMIFS($J$5:$J$100,$B$5:$B$100,B9)</f>
        <v/>
      </c>
    </row>
    <row r="10">
      <c r="B10" s="251" t="n">
        <v>2020</v>
      </c>
      <c r="C10" s="254" t="inlineStr">
        <is>
          <t>Pickup</t>
        </is>
      </c>
      <c r="D10" s="251" t="n">
        <v>1</v>
      </c>
      <c r="E10" s="254" t="inlineStr">
        <is>
          <t>1 - 3 Years Old</t>
        </is>
      </c>
      <c r="F10" s="320" t="n">
        <v>0.05836406816448181</v>
      </c>
      <c r="G10" s="320" t="n">
        <v>0.01127553679105827</v>
      </c>
      <c r="H10" s="254" t="inlineStr">
        <is>
          <t>C10</t>
        </is>
      </c>
      <c r="I10" s="254" t="inlineStr">
        <is>
          <t>M10</t>
        </is>
      </c>
      <c r="J10" s="463">
        <f>G10/F10</f>
        <v/>
      </c>
      <c r="K10" s="463">
        <f>J10/SUMIFS($J$5:$J$100,$B$5:$B$100,B10)</f>
        <v/>
      </c>
    </row>
    <row r="11">
      <c r="B11" s="251" t="n">
        <v>2020</v>
      </c>
      <c r="C11" s="254" t="inlineStr">
        <is>
          <t>Pickup</t>
        </is>
      </c>
      <c r="D11" s="251" t="n">
        <v>2</v>
      </c>
      <c r="E11" s="254" t="inlineStr">
        <is>
          <t>4 - 6 Years Old</t>
        </is>
      </c>
      <c r="F11" s="320" t="n">
        <v>0.08241473302899244</v>
      </c>
      <c r="G11" s="320" t="n">
        <v>0.01225317790333583</v>
      </c>
      <c r="H11" s="254" t="inlineStr">
        <is>
          <t>C11</t>
        </is>
      </c>
      <c r="I11" s="254" t="inlineStr">
        <is>
          <t>M14</t>
        </is>
      </c>
      <c r="J11" s="463">
        <f>G11/F11</f>
        <v/>
      </c>
      <c r="K11" s="463">
        <f>J11/SUMIFS($J$5:$J$100,$B$5:$B$100,B11)</f>
        <v/>
      </c>
    </row>
    <row r="12">
      <c r="B12" s="251" t="n">
        <v>2020</v>
      </c>
      <c r="C12" s="254" t="inlineStr">
        <is>
          <t>Pickup</t>
        </is>
      </c>
      <c r="D12" s="251" t="n">
        <v>3</v>
      </c>
      <c r="E12" s="254" t="inlineStr">
        <is>
          <t>7 Years and Older</t>
        </is>
      </c>
      <c r="F12" s="320" t="n">
        <v>0.2532811452345886</v>
      </c>
      <c r="G12" s="320" t="n">
        <v>0.08393280635413548</v>
      </c>
      <c r="H12" s="254" t="inlineStr">
        <is>
          <t>C12</t>
        </is>
      </c>
      <c r="I12" s="254" t="inlineStr">
        <is>
          <t>M18</t>
        </is>
      </c>
      <c r="J12" s="463">
        <f>G12/F12</f>
        <v/>
      </c>
      <c r="K12" s="463">
        <f>J12/SUMIFS($J$5:$J$100,$B$5:$B$100,B12)</f>
        <v/>
      </c>
    </row>
    <row r="13">
      <c r="B13" s="251" t="n">
        <v>2020</v>
      </c>
      <c r="C13" s="254" t="inlineStr">
        <is>
          <t>Utility Vehicle</t>
        </is>
      </c>
      <c r="D13" s="251" t="n">
        <v>0</v>
      </c>
      <c r="E13" s="254" t="inlineStr">
        <is>
          <t>Current Yr or Newer Group</t>
        </is>
      </c>
      <c r="F13" s="320" t="n">
        <v>0.05789303341694312</v>
      </c>
      <c r="G13" s="320" t="n">
        <v>0.00543513765217246</v>
      </c>
      <c r="H13" s="254" t="inlineStr">
        <is>
          <t>C14</t>
        </is>
      </c>
      <c r="I13" s="254" t="inlineStr">
        <is>
          <t>M7</t>
        </is>
      </c>
      <c r="J13" s="463">
        <f>G13/F13</f>
        <v/>
      </c>
      <c r="K13" s="463">
        <f>J13/SUMIFS($J$5:$J$100,$B$5:$B$100,B13)</f>
        <v/>
      </c>
    </row>
    <row r="14">
      <c r="B14" s="251" t="n">
        <v>2020</v>
      </c>
      <c r="C14" s="254" t="inlineStr">
        <is>
          <t>Utility Vehicle</t>
        </is>
      </c>
      <c r="D14" s="251" t="n">
        <v>1</v>
      </c>
      <c r="E14" s="254" t="inlineStr">
        <is>
          <t>1 - 3 Years Old</t>
        </is>
      </c>
      <c r="F14" s="320" t="n">
        <v>0.07886682698579801</v>
      </c>
      <c r="G14" s="320" t="n">
        <v>0.04293682782425857</v>
      </c>
      <c r="H14" s="254" t="inlineStr">
        <is>
          <t>C15</t>
        </is>
      </c>
      <c r="I14" s="254" t="inlineStr">
        <is>
          <t>M11</t>
        </is>
      </c>
      <c r="J14" s="463">
        <f>G14/F14</f>
        <v/>
      </c>
      <c r="K14" s="463">
        <f>J14/SUMIFS($J$5:$J$100,$B$5:$B$100,B14)</f>
        <v/>
      </c>
    </row>
    <row r="15">
      <c r="B15" s="251" t="n">
        <v>2020</v>
      </c>
      <c r="C15" s="254" t="inlineStr">
        <is>
          <t>Utility Vehicle</t>
        </is>
      </c>
      <c r="D15" s="251" t="n">
        <v>2</v>
      </c>
      <c r="E15" s="254" t="inlineStr">
        <is>
          <t>4 - 6 Years Old</t>
        </is>
      </c>
      <c r="F15" s="320" t="n">
        <v>0.1211801865943846</v>
      </c>
      <c r="G15" s="320" t="n">
        <v>0.04725569227169763</v>
      </c>
      <c r="H15" s="254" t="inlineStr">
        <is>
          <t>C16</t>
        </is>
      </c>
      <c r="I15" s="254" t="inlineStr">
        <is>
          <t>M15</t>
        </is>
      </c>
      <c r="J15" s="463">
        <f>G15/F15</f>
        <v/>
      </c>
      <c r="K15" s="463">
        <f>J15/SUMIFS($J$5:$J$100,$B$5:$B$100,B15)</f>
        <v/>
      </c>
    </row>
    <row r="16">
      <c r="B16" s="251" t="n">
        <v>2020</v>
      </c>
      <c r="C16" s="254" t="inlineStr">
        <is>
          <t>Utility Vehicle</t>
        </is>
      </c>
      <c r="D16" s="251" t="n">
        <v>3</v>
      </c>
      <c r="E16" s="254" t="inlineStr">
        <is>
          <t>7 Years and Older</t>
        </is>
      </c>
      <c r="F16" s="320" t="n">
        <v>0.2882660818412391</v>
      </c>
      <c r="G16" s="320" t="n">
        <v>0.1595062874401603</v>
      </c>
      <c r="H16" s="254" t="inlineStr">
        <is>
          <t>C17</t>
        </is>
      </c>
      <c r="I16" s="254" t="inlineStr">
        <is>
          <t>M19</t>
        </is>
      </c>
      <c r="J16" s="463">
        <f>G16/F16</f>
        <v/>
      </c>
      <c r="K16" s="463">
        <f>J16/SUMIFS($J$5:$J$100,$B$5:$B$100,B16)</f>
        <v/>
      </c>
    </row>
    <row r="17">
      <c r="B17" s="251" t="n">
        <v>2020</v>
      </c>
      <c r="C17" s="254" t="inlineStr">
        <is>
          <t>Van</t>
        </is>
      </c>
      <c r="D17" s="251" t="n">
        <v>0</v>
      </c>
      <c r="E17" s="254" t="inlineStr">
        <is>
          <t>Current Yr or Newer Group</t>
        </is>
      </c>
      <c r="F17" s="320" t="n">
        <v>0.05406074612083196</v>
      </c>
      <c r="G17" s="320" t="n">
        <v>0.000248778138516629</v>
      </c>
      <c r="H17" s="254" t="inlineStr">
        <is>
          <t>C19</t>
        </is>
      </c>
      <c r="I17" s="254" t="inlineStr">
        <is>
          <t>M8</t>
        </is>
      </c>
      <c r="J17" s="463">
        <f>G17/F17</f>
        <v/>
      </c>
      <c r="K17" s="463">
        <f>J17/SUMIFS($J$5:$J$100,$B$5:$B$100,B17)</f>
        <v/>
      </c>
    </row>
    <row r="18">
      <c r="B18" s="251" t="n">
        <v>2020</v>
      </c>
      <c r="C18" s="254" t="inlineStr">
        <is>
          <t>Van</t>
        </is>
      </c>
      <c r="D18" s="251" t="n">
        <v>1</v>
      </c>
      <c r="E18" s="254" t="inlineStr">
        <is>
          <t>1 - 3 Years Old</t>
        </is>
      </c>
      <c r="F18" s="320" t="n">
        <v>0.08314968342253472</v>
      </c>
      <c r="G18" s="320" t="n">
        <v>0.003611271054986425</v>
      </c>
      <c r="H18" s="254" t="inlineStr">
        <is>
          <t>C20</t>
        </is>
      </c>
      <c r="I18" s="254" t="inlineStr">
        <is>
          <t>M12</t>
        </is>
      </c>
      <c r="J18" s="463">
        <f>G18/F18</f>
        <v/>
      </c>
      <c r="K18" s="463">
        <f>J18/SUMIFS($J$5:$J$100,$B$5:$B$100,B18)</f>
        <v/>
      </c>
    </row>
    <row r="19">
      <c r="B19" s="251" t="n">
        <v>2020</v>
      </c>
      <c r="C19" s="254" t="inlineStr">
        <is>
          <t>Van</t>
        </is>
      </c>
      <c r="D19" s="251" t="n">
        <v>2</v>
      </c>
      <c r="E19" s="254" t="inlineStr">
        <is>
          <t>4 - 6 Years Old</t>
        </is>
      </c>
      <c r="F19" s="320" t="n">
        <v>0.1303115907706881</v>
      </c>
      <c r="G19" s="320" t="n">
        <v>0.005851793557443822</v>
      </c>
      <c r="H19" s="254" t="inlineStr">
        <is>
          <t>C21</t>
        </is>
      </c>
      <c r="I19" s="254" t="inlineStr">
        <is>
          <t>M16</t>
        </is>
      </c>
      <c r="J19" s="463">
        <f>G19/F19</f>
        <v/>
      </c>
      <c r="K19" s="463">
        <f>J19/SUMIFS($J$5:$J$100,$B$5:$B$100,B19)</f>
        <v/>
      </c>
    </row>
    <row r="20">
      <c r="B20" s="251" t="n">
        <v>2020</v>
      </c>
      <c r="C20" s="254" t="inlineStr">
        <is>
          <t>Van</t>
        </is>
      </c>
      <c r="D20" s="251" t="n">
        <v>3</v>
      </c>
      <c r="E20" s="254" t="inlineStr">
        <is>
          <t>7 Years and Older</t>
        </is>
      </c>
      <c r="F20" s="320" t="n">
        <v>0.3590187793039006</v>
      </c>
      <c r="G20" s="320" t="n">
        <v>0.03298038488826633</v>
      </c>
      <c r="H20" s="254" t="inlineStr">
        <is>
          <t>C22</t>
        </is>
      </c>
      <c r="I20" s="254" t="inlineStr">
        <is>
          <t>M20</t>
        </is>
      </c>
      <c r="J20" s="463">
        <f>G20/F20</f>
        <v/>
      </c>
      <c r="K20" s="463">
        <f>J20/SUMIFS($J$5:$J$100,$B$5:$B$100,B20)</f>
        <v/>
      </c>
    </row>
    <row r="21">
      <c r="B21" s="251" t="n">
        <v>2021</v>
      </c>
      <c r="C21" s="254" t="inlineStr">
        <is>
          <t>Car</t>
        </is>
      </c>
      <c r="D21" s="251" t="n">
        <v>0</v>
      </c>
      <c r="E21" s="254" t="inlineStr">
        <is>
          <t>Current Yr or Newer Group</t>
        </is>
      </c>
      <c r="F21" s="320" t="n">
        <v>0.09914747325992264</v>
      </c>
      <c r="G21" s="320" t="n">
        <v>0.0071910436550033</v>
      </c>
      <c r="H21" s="254" t="inlineStr">
        <is>
          <t>D4</t>
        </is>
      </c>
      <c r="I21" s="254" t="inlineStr">
        <is>
          <t>N5</t>
        </is>
      </c>
      <c r="J21" s="463">
        <f>G21/F21</f>
        <v/>
      </c>
      <c r="K21" s="463">
        <f>J21/SUMIFS($J$5:$J$100,$B$5:$B$100,B21)</f>
        <v/>
      </c>
    </row>
    <row r="22">
      <c r="B22" s="251" t="n">
        <v>2021</v>
      </c>
      <c r="C22" s="254" t="inlineStr">
        <is>
          <t>Car</t>
        </is>
      </c>
      <c r="D22" s="251" t="n">
        <v>1</v>
      </c>
      <c r="E22" s="254" t="inlineStr">
        <is>
          <t>1 - 3 Years Old</t>
        </is>
      </c>
      <c r="F22" s="320" t="n">
        <v>0.1259228649544836</v>
      </c>
      <c r="G22" s="320" t="n">
        <v>0.06086967377783296</v>
      </c>
      <c r="H22" s="254" t="inlineStr">
        <is>
          <t>D5</t>
        </is>
      </c>
      <c r="I22" s="254" t="inlineStr">
        <is>
          <t>N9</t>
        </is>
      </c>
      <c r="J22" s="463">
        <f>G22/F22</f>
        <v/>
      </c>
      <c r="K22" s="463">
        <f>J22/SUMIFS($J$5:$J$100,$B$5:$B$100,B22)</f>
        <v/>
      </c>
    </row>
    <row r="23">
      <c r="B23" s="251" t="n">
        <v>2021</v>
      </c>
      <c r="C23" s="254" t="inlineStr">
        <is>
          <t>Car</t>
        </is>
      </c>
      <c r="D23" s="251" t="n">
        <v>2</v>
      </c>
      <c r="E23" s="254" t="inlineStr">
        <is>
          <t>4 - 6 Years Old</t>
        </is>
      </c>
      <c r="F23" s="320" t="n">
        <v>0.1851689524467392</v>
      </c>
      <c r="G23" s="320" t="n">
        <v>0.1175043444154797</v>
      </c>
      <c r="H23" s="254" t="inlineStr">
        <is>
          <t>D6</t>
        </is>
      </c>
      <c r="I23" s="254" t="inlineStr">
        <is>
          <t>N13</t>
        </is>
      </c>
      <c r="J23" s="463">
        <f>G23/F23</f>
        <v/>
      </c>
      <c r="K23" s="463">
        <f>J23/SUMIFS($J$5:$J$100,$B$5:$B$100,B23)</f>
        <v/>
      </c>
    </row>
    <row r="24">
      <c r="B24" s="251" t="n">
        <v>2021</v>
      </c>
      <c r="C24" s="254" t="inlineStr">
        <is>
          <t>Car</t>
        </is>
      </c>
      <c r="D24" s="251" t="n">
        <v>3</v>
      </c>
      <c r="E24" s="254" t="inlineStr">
        <is>
          <t>7 Years and Older</t>
        </is>
      </c>
      <c r="F24" s="320" t="n">
        <v>0.3400530623190121</v>
      </c>
      <c r="G24" s="320" t="n">
        <v>0.3935917314095257</v>
      </c>
      <c r="H24" s="254" t="inlineStr">
        <is>
          <t>D7</t>
        </is>
      </c>
      <c r="I24" s="254" t="inlineStr">
        <is>
          <t>N17</t>
        </is>
      </c>
      <c r="J24" s="463">
        <f>G24/F24</f>
        <v/>
      </c>
      <c r="K24" s="463">
        <f>J24/SUMIFS($J$5:$J$100,$B$5:$B$100,B24)</f>
        <v/>
      </c>
    </row>
    <row r="25">
      <c r="B25" s="251" t="n">
        <v>2021</v>
      </c>
      <c r="C25" s="254" t="inlineStr">
        <is>
          <t>Pickup</t>
        </is>
      </c>
      <c r="D25" s="251" t="n">
        <v>0</v>
      </c>
      <c r="E25" s="254" t="inlineStr">
        <is>
          <t>Current Yr or Newer Group</t>
        </is>
      </c>
      <c r="F25" s="320" t="n">
        <v>0.04659659885425594</v>
      </c>
      <c r="G25" s="320" t="n">
        <v>0.001791171898056136</v>
      </c>
      <c r="H25" s="254" t="inlineStr">
        <is>
          <t>D9</t>
        </is>
      </c>
      <c r="I25" s="254" t="inlineStr">
        <is>
          <t>N6</t>
        </is>
      </c>
      <c r="J25" s="463">
        <f>G25/F25</f>
        <v/>
      </c>
      <c r="K25" s="463">
        <f>J25/SUMIFS($J$5:$J$100,$B$5:$B$100,B25)</f>
        <v/>
      </c>
    </row>
    <row r="26">
      <c r="B26" s="251" t="n">
        <v>2021</v>
      </c>
      <c r="C26" s="254" t="inlineStr">
        <is>
          <t>Pickup</t>
        </is>
      </c>
      <c r="D26" s="251" t="n">
        <v>1</v>
      </c>
      <c r="E26" s="254" t="inlineStr">
        <is>
          <t>1 - 3 Years Old</t>
        </is>
      </c>
      <c r="F26" s="320" t="n">
        <v>0.05586782331803201</v>
      </c>
      <c r="G26" s="320" t="n">
        <v>0.01041654023270323</v>
      </c>
      <c r="H26" s="254" t="inlineStr">
        <is>
          <t>D10</t>
        </is>
      </c>
      <c r="I26" s="254" t="inlineStr">
        <is>
          <t>N10</t>
        </is>
      </c>
      <c r="J26" s="463">
        <f>G26/F26</f>
        <v/>
      </c>
      <c r="K26" s="463">
        <f>J26/SUMIFS($J$5:$J$100,$B$5:$B$100,B26)</f>
        <v/>
      </c>
    </row>
    <row r="27">
      <c r="B27" s="251" t="n">
        <v>2021</v>
      </c>
      <c r="C27" s="254" t="inlineStr">
        <is>
          <t>Pickup</t>
        </is>
      </c>
      <c r="D27" s="251" t="n">
        <v>2</v>
      </c>
      <c r="E27" s="254" t="inlineStr">
        <is>
          <t>4 - 6 Years Old</t>
        </is>
      </c>
      <c r="F27" s="320" t="n">
        <v>0.07842137262456489</v>
      </c>
      <c r="G27" s="320" t="n">
        <v>0.01221152682405629</v>
      </c>
      <c r="H27" s="254" t="inlineStr">
        <is>
          <t>D11</t>
        </is>
      </c>
      <c r="I27" s="254" t="inlineStr">
        <is>
          <t>N14</t>
        </is>
      </c>
      <c r="J27" s="463">
        <f>G27/F27</f>
        <v/>
      </c>
      <c r="K27" s="463">
        <f>J27/SUMIFS($J$5:$J$100,$B$5:$B$100,B27)</f>
        <v/>
      </c>
    </row>
    <row r="28">
      <c r="B28" s="251" t="n">
        <v>2021</v>
      </c>
      <c r="C28" s="254" t="inlineStr">
        <is>
          <t>Pickup</t>
        </is>
      </c>
      <c r="D28" s="251" t="n">
        <v>3</v>
      </c>
      <c r="E28" s="254" t="inlineStr">
        <is>
          <t>7 Years and Older</t>
        </is>
      </c>
      <c r="F28" s="320" t="n">
        <v>0.2284534099280345</v>
      </c>
      <c r="G28" s="320" t="n">
        <v>0.0777552402615215</v>
      </c>
      <c r="H28" s="254" t="inlineStr">
        <is>
          <t>D12</t>
        </is>
      </c>
      <c r="I28" s="254" t="inlineStr">
        <is>
          <t>N18</t>
        </is>
      </c>
      <c r="J28" s="463">
        <f>G28/F28</f>
        <v/>
      </c>
      <c r="K28" s="463">
        <f>J28/SUMIFS($J$5:$J$100,$B$5:$B$100,B28)</f>
        <v/>
      </c>
    </row>
    <row r="29">
      <c r="B29" s="251" t="n">
        <v>2021</v>
      </c>
      <c r="C29" s="254" t="inlineStr">
        <is>
          <t>Utility Vehicle</t>
        </is>
      </c>
      <c r="D29" s="251" t="n">
        <v>0</v>
      </c>
      <c r="E29" s="254" t="inlineStr">
        <is>
          <t>Current Yr or Newer Group</t>
        </is>
      </c>
      <c r="F29" s="320" t="n">
        <v>0.06313658610984013</v>
      </c>
      <c r="G29" s="320" t="n">
        <v>0.007895721544035259</v>
      </c>
      <c r="H29" s="254" t="inlineStr">
        <is>
          <t>D14</t>
        </is>
      </c>
      <c r="I29" s="254" t="inlineStr">
        <is>
          <t>N7</t>
        </is>
      </c>
      <c r="J29" s="463">
        <f>G29/F29</f>
        <v/>
      </c>
      <c r="K29" s="463">
        <f>J29/SUMIFS($J$5:$J$100,$B$5:$B$100,B29)</f>
        <v/>
      </c>
    </row>
    <row r="30">
      <c r="B30" s="251" t="n">
        <v>2021</v>
      </c>
      <c r="C30" s="254" t="inlineStr">
        <is>
          <t>Utility Vehicle</t>
        </is>
      </c>
      <c r="D30" s="251" t="n">
        <v>1</v>
      </c>
      <c r="E30" s="254" t="inlineStr">
        <is>
          <t>1 - 3 Years Old</t>
        </is>
      </c>
      <c r="F30" s="320" t="n">
        <v>0.08155778608498028</v>
      </c>
      <c r="G30" s="320" t="n">
        <v>0.04622055793704161</v>
      </c>
      <c r="H30" s="254" t="inlineStr">
        <is>
          <t>D15</t>
        </is>
      </c>
      <c r="I30" s="254" t="inlineStr">
        <is>
          <t>N11</t>
        </is>
      </c>
      <c r="J30" s="463">
        <f>G30/F30</f>
        <v/>
      </c>
      <c r="K30" s="463">
        <f>J30/SUMIFS($J$5:$J$100,$B$5:$B$100,B30)</f>
        <v/>
      </c>
    </row>
    <row r="31">
      <c r="B31" s="251" t="n">
        <v>2021</v>
      </c>
      <c r="C31" s="254" t="inlineStr">
        <is>
          <t>Utility Vehicle</t>
        </is>
      </c>
      <c r="D31" s="251" t="n">
        <v>2</v>
      </c>
      <c r="E31" s="254" t="inlineStr">
        <is>
          <t>4 - 6 Years Old</t>
        </is>
      </c>
      <c r="F31" s="320" t="n">
        <v>0.1182692364600534</v>
      </c>
      <c r="G31" s="320" t="n">
        <v>0.05543963126481011</v>
      </c>
      <c r="H31" s="254" t="inlineStr">
        <is>
          <t>D16</t>
        </is>
      </c>
      <c r="I31" s="254" t="inlineStr">
        <is>
          <t>N15</t>
        </is>
      </c>
      <c r="J31" s="463">
        <f>G31/F31</f>
        <v/>
      </c>
      <c r="K31" s="463">
        <f>J31/SUMIFS($J$5:$J$100,$B$5:$B$100,B31)</f>
        <v/>
      </c>
    </row>
    <row r="32">
      <c r="B32" s="251" t="n">
        <v>2021</v>
      </c>
      <c r="C32" s="254" t="inlineStr">
        <is>
          <t>Utility Vehicle</t>
        </is>
      </c>
      <c r="D32" s="251" t="n">
        <v>3</v>
      </c>
      <c r="E32" s="254" t="inlineStr">
        <is>
          <t>7 Years and Older</t>
        </is>
      </c>
      <c r="F32" s="320" t="n">
        <v>0.269427612173302</v>
      </c>
      <c r="G32" s="320" t="n">
        <v>0.1672836644082526</v>
      </c>
      <c r="H32" s="254" t="inlineStr">
        <is>
          <t>D17</t>
        </is>
      </c>
      <c r="I32" s="254" t="inlineStr">
        <is>
          <t>N19</t>
        </is>
      </c>
      <c r="J32" s="463">
        <f>G32/F32</f>
        <v/>
      </c>
      <c r="K32" s="463">
        <f>J32/SUMIFS($J$5:$J$100,$B$5:$B$100,B32)</f>
        <v/>
      </c>
    </row>
    <row r="33">
      <c r="B33" s="251" t="n">
        <v>2021</v>
      </c>
      <c r="C33" s="254" t="inlineStr">
        <is>
          <t>Van</t>
        </is>
      </c>
      <c r="D33" s="251" t="n">
        <v>0</v>
      </c>
      <c r="E33" s="254" t="inlineStr">
        <is>
          <t>Current Yr or Newer Group</t>
        </is>
      </c>
      <c r="F33" s="320" t="n">
        <v>0.05772999940606997</v>
      </c>
      <c r="G33" s="320" t="n">
        <v>0.0003370801713282797</v>
      </c>
      <c r="H33" s="254" t="inlineStr">
        <is>
          <t>D19</t>
        </is>
      </c>
      <c r="I33" s="254" t="inlineStr">
        <is>
          <t>N8</t>
        </is>
      </c>
      <c r="J33" s="463">
        <f>G33/F33</f>
        <v/>
      </c>
      <c r="K33" s="463">
        <f>J33/SUMIFS($J$5:$J$100,$B$5:$B$100,B33)</f>
        <v/>
      </c>
    </row>
    <row r="34">
      <c r="B34" s="251" t="n">
        <v>2021</v>
      </c>
      <c r="C34" s="254" t="inlineStr">
        <is>
          <t>Van</t>
        </is>
      </c>
      <c r="D34" s="251" t="n">
        <v>1</v>
      </c>
      <c r="E34" s="254" t="inlineStr">
        <is>
          <t>1 - 3 Years Old</t>
        </is>
      </c>
      <c r="F34" s="320" t="n">
        <v>0.07945331438602357</v>
      </c>
      <c r="G34" s="320" t="n">
        <v>0.003296241798842899</v>
      </c>
      <c r="H34" s="254" t="inlineStr">
        <is>
          <t>D20</t>
        </is>
      </c>
      <c r="I34" s="254" t="inlineStr">
        <is>
          <t>N12</t>
        </is>
      </c>
      <c r="J34" s="463">
        <f>G34/F34</f>
        <v/>
      </c>
      <c r="K34" s="463">
        <f>J34/SUMIFS($J$5:$J$100,$B$5:$B$100,B34)</f>
        <v/>
      </c>
    </row>
    <row r="35">
      <c r="B35" s="251" t="n">
        <v>2021</v>
      </c>
      <c r="C35" s="254" t="inlineStr">
        <is>
          <t>Van</t>
        </is>
      </c>
      <c r="D35" s="251" t="n">
        <v>2</v>
      </c>
      <c r="E35" s="254" t="inlineStr">
        <is>
          <t>4 - 6 Years Old</t>
        </is>
      </c>
      <c r="F35" s="320" t="n">
        <v>0.1274673461020324</v>
      </c>
      <c r="G35" s="320" t="n">
        <v>0.006037619118133076</v>
      </c>
      <c r="H35" s="254" t="inlineStr">
        <is>
          <t>D21</t>
        </is>
      </c>
      <c r="I35" s="254" t="inlineStr">
        <is>
          <t>N16</t>
        </is>
      </c>
      <c r="J35" s="463">
        <f>G35/F35</f>
        <v/>
      </c>
      <c r="K35" s="463">
        <f>J35/SUMIFS($J$5:$J$100,$B$5:$B$100,B35)</f>
        <v/>
      </c>
    </row>
    <row r="36">
      <c r="B36" s="251" t="n">
        <v>2021</v>
      </c>
      <c r="C36" s="254" t="inlineStr">
        <is>
          <t>Van</t>
        </is>
      </c>
      <c r="D36" s="251" t="n">
        <v>3</v>
      </c>
      <c r="E36" s="254" t="inlineStr">
        <is>
          <t>7 Years and Older</t>
        </is>
      </c>
      <c r="F36" s="320" t="n">
        <v>0.3286981241758709</v>
      </c>
      <c r="G36" s="320" t="n">
        <v>0.03215821128337727</v>
      </c>
      <c r="H36" s="254" t="inlineStr">
        <is>
          <t>D22</t>
        </is>
      </c>
      <c r="I36" s="254" t="inlineStr">
        <is>
          <t>N20</t>
        </is>
      </c>
      <c r="J36" s="463">
        <f>G36/F36</f>
        <v/>
      </c>
      <c r="K36" s="463">
        <f>J36/SUMIFS($J$5:$J$100,$B$5:$B$100,B36)</f>
        <v/>
      </c>
    </row>
    <row r="37">
      <c r="B37" s="251" t="n">
        <v>2022</v>
      </c>
      <c r="C37" s="254" t="inlineStr">
        <is>
          <t>Car</t>
        </is>
      </c>
      <c r="D37" s="251" t="n">
        <v>0</v>
      </c>
      <c r="E37" s="254" t="inlineStr">
        <is>
          <t>Current Yr or Newer Group</t>
        </is>
      </c>
      <c r="F37" s="320" t="n">
        <v>0.1037956407963709</v>
      </c>
      <c r="G37" s="320" t="n">
        <v>0.008341538296217895</v>
      </c>
      <c r="H37" s="254" t="inlineStr">
        <is>
          <t>E4</t>
        </is>
      </c>
      <c r="I37" s="254" t="inlineStr">
        <is>
          <t>O5</t>
        </is>
      </c>
      <c r="J37" s="463">
        <f>G37/F37</f>
        <v/>
      </c>
      <c r="K37" s="463">
        <f>J37/SUMIFS($J$5:$J$100,$B$5:$B$100,B37)</f>
        <v/>
      </c>
    </row>
    <row r="38">
      <c r="B38" s="251" t="n">
        <v>2022</v>
      </c>
      <c r="C38" s="254" t="inlineStr">
        <is>
          <t>Car</t>
        </is>
      </c>
      <c r="D38" s="251" t="n">
        <v>1</v>
      </c>
      <c r="E38" s="254" t="inlineStr">
        <is>
          <t>1 - 3 Years Old</t>
        </is>
      </c>
      <c r="F38" s="320" t="n">
        <v>0.1142213800859824</v>
      </c>
      <c r="G38" s="320" t="n">
        <v>0.04810607921000299</v>
      </c>
      <c r="H38" s="254" t="inlineStr">
        <is>
          <t>E5</t>
        </is>
      </c>
      <c r="I38" s="254" t="inlineStr">
        <is>
          <t>O9</t>
        </is>
      </c>
      <c r="J38" s="463">
        <f>G38/F38</f>
        <v/>
      </c>
      <c r="K38" s="463">
        <f>J38/SUMIFS($J$5:$J$100,$B$5:$B$100,B38)</f>
        <v/>
      </c>
    </row>
    <row r="39">
      <c r="B39" s="251" t="n">
        <v>2022</v>
      </c>
      <c r="C39" s="254" t="inlineStr">
        <is>
          <t>Car</t>
        </is>
      </c>
      <c r="D39" s="251" t="n">
        <v>2</v>
      </c>
      <c r="E39" s="254" t="inlineStr">
        <is>
          <t>4 - 6 Years Old</t>
        </is>
      </c>
      <c r="F39" s="320" t="n">
        <v>0.1631054390201651</v>
      </c>
      <c r="G39" s="320" t="n">
        <v>0.0990037686243318</v>
      </c>
      <c r="H39" s="254" t="inlineStr">
        <is>
          <t>E6</t>
        </is>
      </c>
      <c r="I39" s="254" t="inlineStr">
        <is>
          <t>O13</t>
        </is>
      </c>
      <c r="J39" s="463">
        <f>G39/F39</f>
        <v/>
      </c>
      <c r="K39" s="463">
        <f>J39/SUMIFS($J$5:$J$100,$B$5:$B$100,B39)</f>
        <v/>
      </c>
    </row>
    <row r="40">
      <c r="B40" s="251" t="n">
        <v>2022</v>
      </c>
      <c r="C40" s="254" t="inlineStr">
        <is>
          <t>Car</t>
        </is>
      </c>
      <c r="D40" s="251" t="n">
        <v>3</v>
      </c>
      <c r="E40" s="254" t="inlineStr">
        <is>
          <t>7 Years and Older</t>
        </is>
      </c>
      <c r="F40" s="320" t="n">
        <v>0.3054671461407206</v>
      </c>
      <c r="G40" s="320" t="n">
        <v>0.3985545201242166</v>
      </c>
      <c r="H40" s="254" t="inlineStr">
        <is>
          <t>E7</t>
        </is>
      </c>
      <c r="I40" s="254" t="inlineStr">
        <is>
          <t>O17</t>
        </is>
      </c>
      <c r="J40" s="463">
        <f>G40/F40</f>
        <v/>
      </c>
      <c r="K40" s="463">
        <f>J40/SUMIFS($J$5:$J$100,$B$5:$B$100,B40)</f>
        <v/>
      </c>
    </row>
    <row r="41">
      <c r="B41" s="251" t="n">
        <v>2022</v>
      </c>
      <c r="C41" s="254" t="inlineStr">
        <is>
          <t>Pickup</t>
        </is>
      </c>
      <c r="D41" s="251" t="n">
        <v>0</v>
      </c>
      <c r="E41" s="254" t="inlineStr">
        <is>
          <t>Current Yr or Newer Group</t>
        </is>
      </c>
      <c r="F41" s="320" t="n">
        <v>0.0856085409252669</v>
      </c>
      <c r="G41" s="320" t="n">
        <v>0.002973564252358398</v>
      </c>
      <c r="H41" s="254" t="inlineStr">
        <is>
          <t>E9</t>
        </is>
      </c>
      <c r="I41" s="254" t="inlineStr">
        <is>
          <t>O6</t>
        </is>
      </c>
      <c r="J41" s="463">
        <f>G41/F41</f>
        <v/>
      </c>
      <c r="K41" s="463">
        <f>J41/SUMIFS($J$5:$J$100,$B$5:$B$100,B41)</f>
        <v/>
      </c>
    </row>
    <row r="42">
      <c r="B42" s="251" t="n">
        <v>2022</v>
      </c>
      <c r="C42" s="254" t="inlineStr">
        <is>
          <t>Pickup</t>
        </is>
      </c>
      <c r="D42" s="251" t="n">
        <v>1</v>
      </c>
      <c r="E42" s="254" t="inlineStr">
        <is>
          <t>1 - 3 Years Old</t>
        </is>
      </c>
      <c r="F42" s="320" t="n">
        <v>0.05912603950373306</v>
      </c>
      <c r="G42" s="320" t="n">
        <v>0.01128213985871532</v>
      </c>
      <c r="H42" s="254" t="inlineStr">
        <is>
          <t>E10</t>
        </is>
      </c>
      <c r="I42" s="254" t="inlineStr">
        <is>
          <t>O10</t>
        </is>
      </c>
      <c r="J42" s="463">
        <f>G42/F42</f>
        <v/>
      </c>
      <c r="K42" s="463">
        <f>J42/SUMIFS($J$5:$J$100,$B$5:$B$100,B42)</f>
        <v/>
      </c>
    </row>
    <row r="43">
      <c r="B43" s="251" t="n">
        <v>2022</v>
      </c>
      <c r="C43" s="254" t="inlineStr">
        <is>
          <t>Pickup</t>
        </is>
      </c>
      <c r="D43" s="251" t="n">
        <v>2</v>
      </c>
      <c r="E43" s="254" t="inlineStr">
        <is>
          <t>4 - 6 Years Old</t>
        </is>
      </c>
      <c r="F43" s="320" t="n">
        <v>0.0836300627597623</v>
      </c>
      <c r="G43" s="320" t="n">
        <v>0.01388882937292108</v>
      </c>
      <c r="H43" s="254" t="inlineStr">
        <is>
          <t>E11</t>
        </is>
      </c>
      <c r="I43" s="254" t="inlineStr">
        <is>
          <t>O14</t>
        </is>
      </c>
      <c r="J43" s="463">
        <f>G43/F43</f>
        <v/>
      </c>
      <c r="K43" s="463">
        <f>J43/SUMIFS($J$5:$J$100,$B$5:$B$100,B43)</f>
        <v/>
      </c>
    </row>
    <row r="44">
      <c r="B44" s="251" t="n">
        <v>2022</v>
      </c>
      <c r="C44" s="254" t="inlineStr">
        <is>
          <t>Pickup</t>
        </is>
      </c>
      <c r="D44" s="251" t="n">
        <v>3</v>
      </c>
      <c r="E44" s="254" t="inlineStr">
        <is>
          <t>7 Years and Older</t>
        </is>
      </c>
      <c r="F44" s="320" t="n">
        <v>0.2165159764875176</v>
      </c>
      <c r="G44" s="320" t="n">
        <v>0.08004923307357635</v>
      </c>
      <c r="H44" s="254" t="inlineStr">
        <is>
          <t>E12</t>
        </is>
      </c>
      <c r="I44" s="254" t="inlineStr">
        <is>
          <t>O18</t>
        </is>
      </c>
      <c r="J44" s="463">
        <f>G44/F44</f>
        <v/>
      </c>
      <c r="K44" s="463">
        <f>J44/SUMIFS($J$5:$J$100,$B$5:$B$100,B44)</f>
        <v/>
      </c>
    </row>
    <row r="45">
      <c r="B45" s="251" t="n">
        <v>2022</v>
      </c>
      <c r="C45" s="254" t="inlineStr">
        <is>
          <t>Utility Vehicle</t>
        </is>
      </c>
      <c r="D45" s="251" t="n">
        <v>0</v>
      </c>
      <c r="E45" s="254" t="inlineStr">
        <is>
          <t>Current Yr or Newer Group</t>
        </is>
      </c>
      <c r="F45" s="320" t="n">
        <v>0.07961846655313992</v>
      </c>
      <c r="G45" s="320" t="n">
        <v>0.01004834637721909</v>
      </c>
      <c r="H45" s="254" t="inlineStr">
        <is>
          <t>E14</t>
        </is>
      </c>
      <c r="I45" s="254" t="inlineStr">
        <is>
          <t>O7</t>
        </is>
      </c>
      <c r="J45" s="463">
        <f>G45/F45</f>
        <v/>
      </c>
      <c r="K45" s="463">
        <f>J45/SUMIFS($J$5:$J$100,$B$5:$B$100,B45)</f>
        <v/>
      </c>
    </row>
    <row r="46">
      <c r="B46" s="251" t="n">
        <v>2022</v>
      </c>
      <c r="C46" s="254" t="inlineStr">
        <is>
          <t>Utility Vehicle</t>
        </is>
      </c>
      <c r="D46" s="251" t="n">
        <v>1</v>
      </c>
      <c r="E46" s="254" t="inlineStr">
        <is>
          <t>1 - 3 Years Old</t>
        </is>
      </c>
      <c r="F46" s="320" t="n">
        <v>0.07721280395477398</v>
      </c>
      <c r="G46" s="320" t="n">
        <v>0.04627467216132732</v>
      </c>
      <c r="H46" s="254" t="inlineStr">
        <is>
          <t>E15</t>
        </is>
      </c>
      <c r="I46" s="254" t="inlineStr">
        <is>
          <t>O11</t>
        </is>
      </c>
      <c r="J46" s="463">
        <f>G46/F46</f>
        <v/>
      </c>
      <c r="K46" s="463">
        <f>J46/SUMIFS($J$5:$J$100,$B$5:$B$100,B46)</f>
        <v/>
      </c>
    </row>
    <row r="47">
      <c r="B47" s="251" t="n">
        <v>2022</v>
      </c>
      <c r="C47" s="254" t="inlineStr">
        <is>
          <t>Utility Vehicle</t>
        </is>
      </c>
      <c r="D47" s="251" t="n">
        <v>2</v>
      </c>
      <c r="E47" s="254" t="inlineStr">
        <is>
          <t>4 - 6 Years Old</t>
        </is>
      </c>
      <c r="F47" s="320" t="n">
        <v>0.1131521751799384</v>
      </c>
      <c r="G47" s="320" t="n">
        <v>0.06080099995615963</v>
      </c>
      <c r="H47" s="254" t="inlineStr">
        <is>
          <t>E16</t>
        </is>
      </c>
      <c r="I47" s="254" t="inlineStr">
        <is>
          <t>O15</t>
        </is>
      </c>
      <c r="J47" s="463">
        <f>G47/F47</f>
        <v/>
      </c>
      <c r="K47" s="463">
        <f>J47/SUMIFS($J$5:$J$100,$B$5:$B$100,B47)</f>
        <v/>
      </c>
    </row>
    <row r="48">
      <c r="B48" s="251" t="n">
        <v>2022</v>
      </c>
      <c r="C48" s="254" t="inlineStr">
        <is>
          <t>Utility Vehicle</t>
        </is>
      </c>
      <c r="D48" s="251" t="n">
        <v>3</v>
      </c>
      <c r="E48" s="254" t="inlineStr">
        <is>
          <t>7 Years and Older</t>
        </is>
      </c>
      <c r="F48" s="320" t="n">
        <v>0.2443702260596082</v>
      </c>
      <c r="G48" s="320" t="n">
        <v>0.1798984946928421</v>
      </c>
      <c r="H48" s="254" t="inlineStr">
        <is>
          <t>E17</t>
        </is>
      </c>
      <c r="I48" s="254" t="inlineStr">
        <is>
          <t>O19</t>
        </is>
      </c>
      <c r="J48" s="463">
        <f>G48/F48</f>
        <v/>
      </c>
      <c r="K48" s="463">
        <f>J48/SUMIFS($J$5:$J$100,$B$5:$B$100,B48)</f>
        <v/>
      </c>
    </row>
    <row r="49">
      <c r="B49" s="251" t="n">
        <v>2022</v>
      </c>
      <c r="C49" s="254" t="inlineStr">
        <is>
          <t>Van</t>
        </is>
      </c>
      <c r="D49" s="251" t="n">
        <v>0</v>
      </c>
      <c r="E49" s="254" t="inlineStr">
        <is>
          <t>Current Yr or Newer Group</t>
        </is>
      </c>
      <c r="F49" s="320" t="n">
        <v>0.06442446786526142</v>
      </c>
      <c r="G49" s="320" t="n">
        <v>0.0004110447425663366</v>
      </c>
      <c r="H49" s="254" t="inlineStr">
        <is>
          <t>E19</t>
        </is>
      </c>
      <c r="I49" s="254" t="inlineStr">
        <is>
          <t>O8</t>
        </is>
      </c>
      <c r="J49" s="463">
        <f>G49/F49</f>
        <v/>
      </c>
      <c r="K49" s="463">
        <f>J49/SUMIFS($J$5:$J$100,$B$5:$B$100,B49)</f>
        <v/>
      </c>
    </row>
    <row r="50">
      <c r="B50" s="251" t="n">
        <v>2022</v>
      </c>
      <c r="C50" s="254" t="inlineStr">
        <is>
          <t>Van</t>
        </is>
      </c>
      <c r="D50" s="251" t="n">
        <v>1</v>
      </c>
      <c r="E50" s="254" t="inlineStr">
        <is>
          <t>1 - 3 Years Old</t>
        </is>
      </c>
      <c r="F50" s="320" t="n">
        <v>0.07473605667384238</v>
      </c>
      <c r="G50" s="320" t="n">
        <v>0.00287236879448521</v>
      </c>
      <c r="H50" s="254" t="inlineStr">
        <is>
          <t>E20</t>
        </is>
      </c>
      <c r="I50" s="254" t="inlineStr">
        <is>
          <t>O12</t>
        </is>
      </c>
      <c r="J50" s="463">
        <f>G50/F50</f>
        <v/>
      </c>
      <c r="K50" s="463">
        <f>J50/SUMIFS($J$5:$J$100,$B$5:$B$100,B50)</f>
        <v/>
      </c>
    </row>
    <row r="51">
      <c r="B51" s="251" t="n">
        <v>2022</v>
      </c>
      <c r="C51" s="254" t="inlineStr">
        <is>
          <t>Van</t>
        </is>
      </c>
      <c r="D51" s="251" t="n">
        <v>2</v>
      </c>
      <c r="E51" s="254" t="inlineStr">
        <is>
          <t>4 - 6 Years Old</t>
        </is>
      </c>
      <c r="F51" s="320" t="n">
        <v>0.1148230740101822</v>
      </c>
      <c r="G51" s="320" t="n">
        <v>0.005397310837835762</v>
      </c>
      <c r="H51" s="254" t="inlineStr">
        <is>
          <t>E21</t>
        </is>
      </c>
      <c r="I51" s="254" t="inlineStr">
        <is>
          <t>O16</t>
        </is>
      </c>
      <c r="J51" s="463">
        <f>G51/F51</f>
        <v/>
      </c>
      <c r="K51" s="463">
        <f>J51/SUMIFS($J$5:$J$100,$B$5:$B$100,B51)</f>
        <v/>
      </c>
    </row>
    <row r="52">
      <c r="B52" s="251" t="n">
        <v>2022</v>
      </c>
      <c r="C52" s="254" t="inlineStr">
        <is>
          <t>Van</t>
        </is>
      </c>
      <c r="D52" s="251" t="n">
        <v>3</v>
      </c>
      <c r="E52" s="254" t="inlineStr">
        <is>
          <t>7 Years and Older</t>
        </is>
      </c>
      <c r="F52" s="320" t="n">
        <v>0.2976523812435043</v>
      </c>
      <c r="G52" s="320" t="n">
        <v>0.0320970896252241</v>
      </c>
      <c r="H52" s="254" t="inlineStr">
        <is>
          <t>E22</t>
        </is>
      </c>
      <c r="I52" s="254" t="inlineStr">
        <is>
          <t>O20</t>
        </is>
      </c>
      <c r="J52" s="463">
        <f>G52/F52</f>
        <v/>
      </c>
      <c r="K52" s="463">
        <f>J52/SUMIFS($J$5:$J$100,$B$5:$B$100,B52)</f>
        <v/>
      </c>
    </row>
    <row r="53">
      <c r="B53" s="251" t="n">
        <v>2023</v>
      </c>
      <c r="C53" s="254" t="inlineStr">
        <is>
          <t>Car</t>
        </is>
      </c>
      <c r="D53" s="251" t="n">
        <v>0</v>
      </c>
      <c r="E53" s="254" t="inlineStr">
        <is>
          <t>Current Yr or Newer Group</t>
        </is>
      </c>
      <c r="F53" s="320" t="n">
        <v>0.1073790865325065</v>
      </c>
      <c r="G53" s="320" t="n">
        <v>0.007870336605402501</v>
      </c>
      <c r="H53" s="254" t="inlineStr">
        <is>
          <t>F4</t>
        </is>
      </c>
      <c r="I53" s="254" t="inlineStr">
        <is>
          <t>P5</t>
        </is>
      </c>
      <c r="J53" s="463">
        <f>G53/F53</f>
        <v/>
      </c>
      <c r="K53" s="463">
        <f>J53/SUMIFS($J$5:$J$100,$B$5:$B$100,B53)</f>
        <v/>
      </c>
    </row>
    <row r="54">
      <c r="B54" s="251" t="n">
        <v>2023</v>
      </c>
      <c r="C54" s="254" t="inlineStr">
        <is>
          <t>Car</t>
        </is>
      </c>
      <c r="D54" s="251" t="n">
        <v>1</v>
      </c>
      <c r="E54" s="254" t="inlineStr">
        <is>
          <t>1 - 3 Years Old</t>
        </is>
      </c>
      <c r="F54" s="320" t="n">
        <v>0.1201207764301447</v>
      </c>
      <c r="G54" s="320" t="n">
        <v>0.04058426967652241</v>
      </c>
      <c r="H54" s="254" t="inlineStr">
        <is>
          <t>F5</t>
        </is>
      </c>
      <c r="I54" s="254" t="inlineStr">
        <is>
          <t>P9</t>
        </is>
      </c>
      <c r="J54" s="463">
        <f>G54/F54</f>
        <v/>
      </c>
      <c r="K54" s="463">
        <f>J54/SUMIFS($J$5:$J$100,$B$5:$B$100,B54)</f>
        <v/>
      </c>
    </row>
    <row r="55">
      <c r="B55" s="251" t="n">
        <v>2023</v>
      </c>
      <c r="C55" s="254" t="inlineStr">
        <is>
          <t>Car</t>
        </is>
      </c>
      <c r="D55" s="251" t="n">
        <v>2</v>
      </c>
      <c r="E55" s="254" t="inlineStr">
        <is>
          <t>4 - 6 Years Old</t>
        </is>
      </c>
      <c r="F55" s="320" t="n">
        <v>0.1755502912452125</v>
      </c>
      <c r="G55" s="320" t="n">
        <v>0.08777511905976003</v>
      </c>
      <c r="H55" s="254" t="inlineStr">
        <is>
          <t>F6</t>
        </is>
      </c>
      <c r="I55" s="254" t="inlineStr">
        <is>
          <t>P13</t>
        </is>
      </c>
      <c r="J55" s="463">
        <f>G55/F55</f>
        <v/>
      </c>
      <c r="K55" s="463">
        <f>J55/SUMIFS($J$5:$J$100,$B$5:$B$100,B55)</f>
        <v/>
      </c>
    </row>
    <row r="56">
      <c r="B56" s="251" t="n">
        <v>2023</v>
      </c>
      <c r="C56" s="254" t="inlineStr">
        <is>
          <t>Car</t>
        </is>
      </c>
      <c r="D56" s="251" t="n">
        <v>3</v>
      </c>
      <c r="E56" s="254" t="inlineStr">
        <is>
          <t>7 Years and Older</t>
        </is>
      </c>
      <c r="F56" s="320" t="n">
        <v>0.3256354396835834</v>
      </c>
      <c r="G56" s="320" t="n">
        <v>0.3992421695340774</v>
      </c>
      <c r="H56" s="254" t="inlineStr">
        <is>
          <t>F7</t>
        </is>
      </c>
      <c r="I56" s="254" t="inlineStr">
        <is>
          <t>P17</t>
        </is>
      </c>
      <c r="J56" s="463">
        <f>G56/F56</f>
        <v/>
      </c>
      <c r="K56" s="463">
        <f>J56/SUMIFS($J$5:$J$100,$B$5:$B$100,B56)</f>
        <v/>
      </c>
    </row>
    <row r="57">
      <c r="B57" s="251" t="n">
        <v>2023</v>
      </c>
      <c r="C57" s="254" t="inlineStr">
        <is>
          <t>Pickup</t>
        </is>
      </c>
      <c r="D57" s="251" t="n">
        <v>0</v>
      </c>
      <c r="E57" s="254" t="inlineStr">
        <is>
          <t>Current Yr or Newer Group</t>
        </is>
      </c>
      <c r="F57" s="320" t="n">
        <v>0.07491125038348599</v>
      </c>
      <c r="G57" s="320" t="n">
        <v>0.002069038773066363</v>
      </c>
      <c r="H57" s="254" t="inlineStr">
        <is>
          <t>F9</t>
        </is>
      </c>
      <c r="I57" s="254" t="inlineStr">
        <is>
          <t>P6</t>
        </is>
      </c>
      <c r="J57" s="463">
        <f>G57/F57</f>
        <v/>
      </c>
      <c r="K57" s="463">
        <f>J57/SUMIFS($J$5:$J$100,$B$5:$B$100,B57)</f>
        <v/>
      </c>
    </row>
    <row r="58">
      <c r="B58" s="251" t="n">
        <v>2023</v>
      </c>
      <c r="C58" s="254" t="inlineStr">
        <is>
          <t>Pickup</t>
        </is>
      </c>
      <c r="D58" s="251" t="n">
        <v>1</v>
      </c>
      <c r="E58" s="254" t="inlineStr">
        <is>
          <t>1 - 3 Years Old</t>
        </is>
      </c>
      <c r="F58" s="320" t="n">
        <v>0.06205068984813005</v>
      </c>
      <c r="G58" s="320" t="n">
        <v>0.01053705734085091</v>
      </c>
      <c r="H58" s="254" t="inlineStr">
        <is>
          <t>F10</t>
        </is>
      </c>
      <c r="I58" s="254" t="inlineStr">
        <is>
          <t>P10</t>
        </is>
      </c>
      <c r="J58" s="463">
        <f>G58/F58</f>
        <v/>
      </c>
      <c r="K58" s="463">
        <f>J58/SUMIFS($J$5:$J$100,$B$5:$B$100,B58)</f>
        <v/>
      </c>
    </row>
    <row r="59">
      <c r="B59" s="251" t="n">
        <v>2023</v>
      </c>
      <c r="C59" s="254" t="inlineStr">
        <is>
          <t>Pickup</t>
        </is>
      </c>
      <c r="D59" s="251" t="n">
        <v>2</v>
      </c>
      <c r="E59" s="254" t="inlineStr">
        <is>
          <t>4 - 6 Years Old</t>
        </is>
      </c>
      <c r="F59" s="320" t="n">
        <v>0.08721663439781237</v>
      </c>
      <c r="G59" s="320" t="n">
        <v>0.01454561190981932</v>
      </c>
      <c r="H59" s="254" t="inlineStr">
        <is>
          <t>F11</t>
        </is>
      </c>
      <c r="I59" s="254" t="inlineStr">
        <is>
          <t>P14</t>
        </is>
      </c>
      <c r="J59" s="463">
        <f>G59/F59</f>
        <v/>
      </c>
      <c r="K59" s="463">
        <f>J59/SUMIFS($J$5:$J$100,$B$5:$B$100,B59)</f>
        <v/>
      </c>
    </row>
    <row r="60">
      <c r="B60" s="251" t="n">
        <v>2023</v>
      </c>
      <c r="C60" s="254" t="inlineStr">
        <is>
          <t>Pickup</t>
        </is>
      </c>
      <c r="D60" s="251" t="n">
        <v>3</v>
      </c>
      <c r="E60" s="254" t="inlineStr">
        <is>
          <t>7 Years and Older</t>
        </is>
      </c>
      <c r="F60" s="320" t="n">
        <v>0.2289372601438728</v>
      </c>
      <c r="G60" s="320" t="n">
        <v>0.08038988837116685</v>
      </c>
      <c r="H60" s="254" t="inlineStr">
        <is>
          <t>F12</t>
        </is>
      </c>
      <c r="I60" s="254" t="inlineStr">
        <is>
          <t>P18</t>
        </is>
      </c>
      <c r="J60" s="463">
        <f>G60/F60</f>
        <v/>
      </c>
      <c r="K60" s="463">
        <f>J60/SUMIFS($J$5:$J$100,$B$5:$B$100,B60)</f>
        <v/>
      </c>
    </row>
    <row r="61">
      <c r="B61" s="251" t="n">
        <v>2023</v>
      </c>
      <c r="C61" s="254" t="inlineStr">
        <is>
          <t>Utility Vehicle</t>
        </is>
      </c>
      <c r="D61" s="251" t="n">
        <v>0</v>
      </c>
      <c r="E61" s="254" t="inlineStr">
        <is>
          <t>Current Yr or Newer Group</t>
        </is>
      </c>
      <c r="F61" s="320" t="n">
        <v>0.07751675580529416</v>
      </c>
      <c r="G61" s="320" t="n">
        <v>0.01004862256247895</v>
      </c>
      <c r="H61" s="254" t="inlineStr">
        <is>
          <t>F14</t>
        </is>
      </c>
      <c r="I61" s="254" t="inlineStr">
        <is>
          <t>P7</t>
        </is>
      </c>
      <c r="J61" s="463">
        <f>G61/F61</f>
        <v/>
      </c>
      <c r="K61" s="463">
        <f>J61/SUMIFS($J$5:$J$100,$B$5:$B$100,B61)</f>
        <v/>
      </c>
    </row>
    <row r="62">
      <c r="B62" s="251" t="n">
        <v>2023</v>
      </c>
      <c r="C62" s="254" t="inlineStr">
        <is>
          <t>Utility Vehicle</t>
        </is>
      </c>
      <c r="D62" s="251" t="n">
        <v>1</v>
      </c>
      <c r="E62" s="254" t="inlineStr">
        <is>
          <t>1 - 3 Years Old</t>
        </is>
      </c>
      <c r="F62" s="320" t="n">
        <v>0.08291242013983925</v>
      </c>
      <c r="G62" s="320" t="n">
        <v>0.0450116555548259</v>
      </c>
      <c r="H62" s="254" t="inlineStr">
        <is>
          <t>F15</t>
        </is>
      </c>
      <c r="I62" s="254" t="inlineStr">
        <is>
          <t>P11</t>
        </is>
      </c>
      <c r="J62" s="463">
        <f>G62/F62</f>
        <v/>
      </c>
      <c r="K62" s="463">
        <f>J62/SUMIFS($J$5:$J$100,$B$5:$B$100,B62)</f>
        <v/>
      </c>
    </row>
    <row r="63">
      <c r="B63" s="251" t="n">
        <v>2023</v>
      </c>
      <c r="C63" s="254" t="inlineStr">
        <is>
          <t>Utility Vehicle</t>
        </is>
      </c>
      <c r="D63" s="251" t="n">
        <v>2</v>
      </c>
      <c r="E63" s="254" t="inlineStr">
        <is>
          <t>4 - 6 Years Old</t>
        </is>
      </c>
      <c r="F63" s="320" t="n">
        <v>0.1253009480110362</v>
      </c>
      <c r="G63" s="320" t="n">
        <v>0.06688953899201466</v>
      </c>
      <c r="H63" s="254" t="inlineStr">
        <is>
          <t>F16</t>
        </is>
      </c>
      <c r="I63" s="254" t="inlineStr">
        <is>
          <t>P15</t>
        </is>
      </c>
      <c r="J63" s="463">
        <f>G63/F63</f>
        <v/>
      </c>
      <c r="K63" s="463">
        <f>J63/SUMIFS($J$5:$J$100,$B$5:$B$100,B63)</f>
        <v/>
      </c>
    </row>
    <row r="64">
      <c r="B64" s="251" t="n">
        <v>2023</v>
      </c>
      <c r="C64" s="254" t="inlineStr">
        <is>
          <t>Utility Vehicle</t>
        </is>
      </c>
      <c r="D64" s="251" t="n">
        <v>3</v>
      </c>
      <c r="E64" s="254" t="inlineStr">
        <is>
          <t>7 Years and Older</t>
        </is>
      </c>
      <c r="F64" s="320" t="n">
        <v>0.2648983041659069</v>
      </c>
      <c r="G64" s="320" t="n">
        <v>0.1951932449530676</v>
      </c>
      <c r="H64" s="254" t="inlineStr">
        <is>
          <t>F17</t>
        </is>
      </c>
      <c r="I64" s="254" t="inlineStr">
        <is>
          <t>P19</t>
        </is>
      </c>
      <c r="J64" s="463">
        <f>G64/F64</f>
        <v/>
      </c>
      <c r="K64" s="463">
        <f>J64/SUMIFS($J$5:$J$100,$B$5:$B$100,B64)</f>
        <v/>
      </c>
    </row>
    <row r="65">
      <c r="B65" s="251" t="n">
        <v>2023</v>
      </c>
      <c r="C65" s="254" t="inlineStr">
        <is>
          <t>Van</t>
        </is>
      </c>
      <c r="D65" s="251" t="n">
        <v>0</v>
      </c>
      <c r="E65" s="254" t="inlineStr">
        <is>
          <t>Current Yr or Newer Group</t>
        </is>
      </c>
      <c r="F65" s="320" t="n">
        <v>0.06961308078355188</v>
      </c>
      <c r="G65" s="320" t="n">
        <v>0.0003903846741634647</v>
      </c>
      <c r="H65" s="254" t="inlineStr">
        <is>
          <t>F19</t>
        </is>
      </c>
      <c r="I65" s="254" t="inlineStr">
        <is>
          <t>P8</t>
        </is>
      </c>
      <c r="J65" s="463">
        <f>G65/F65</f>
        <v/>
      </c>
      <c r="K65" s="463">
        <f>J65/SUMIFS($J$5:$J$100,$B$5:$B$100,B65)</f>
        <v/>
      </c>
    </row>
    <row r="66">
      <c r="B66" s="251" t="n">
        <v>2023</v>
      </c>
      <c r="C66" s="254" t="inlineStr">
        <is>
          <t>Van</t>
        </is>
      </c>
      <c r="D66" s="251" t="n">
        <v>1</v>
      </c>
      <c r="E66" s="254" t="inlineStr">
        <is>
          <t>1 - 3 Years Old</t>
        </is>
      </c>
      <c r="F66" s="320" t="n">
        <v>0.07776280048199662</v>
      </c>
      <c r="G66" s="320" t="n">
        <v>0.002304480072678127</v>
      </c>
      <c r="H66" s="254" t="inlineStr">
        <is>
          <t>F20</t>
        </is>
      </c>
      <c r="I66" s="254" t="inlineStr">
        <is>
          <t>P12</t>
        </is>
      </c>
      <c r="J66" s="463">
        <f>G66/F66</f>
        <v/>
      </c>
      <c r="K66" s="463">
        <f>J66/SUMIFS($J$5:$J$100,$B$5:$B$100,B66)</f>
        <v/>
      </c>
    </row>
    <row r="67">
      <c r="B67" s="251" t="n">
        <v>2023</v>
      </c>
      <c r="C67" s="254" t="inlineStr">
        <is>
          <t>Van</t>
        </is>
      </c>
      <c r="D67" s="251" t="n">
        <v>2</v>
      </c>
      <c r="E67" s="254" t="inlineStr">
        <is>
          <t>4 - 6 Years Old</t>
        </is>
      </c>
      <c r="F67" s="320" t="n">
        <v>0.125420598666676</v>
      </c>
      <c r="G67" s="320" t="n">
        <v>0.005425741723315316</v>
      </c>
      <c r="H67" s="254" t="inlineStr">
        <is>
          <t>F21</t>
        </is>
      </c>
      <c r="I67" s="254" t="inlineStr">
        <is>
          <t>P16</t>
        </is>
      </c>
      <c r="J67" s="463">
        <f>G67/F67</f>
        <v/>
      </c>
      <c r="K67" s="463">
        <f>J67/SUMIFS($J$5:$J$100,$B$5:$B$100,B67)</f>
        <v/>
      </c>
    </row>
    <row r="68">
      <c r="B68" s="251" t="n">
        <v>2023</v>
      </c>
      <c r="C68" s="254" t="inlineStr">
        <is>
          <t>Van</t>
        </is>
      </c>
      <c r="D68" s="251" t="n">
        <v>3</v>
      </c>
      <c r="E68" s="254" t="inlineStr">
        <is>
          <t>7 Years and Older</t>
        </is>
      </c>
      <c r="F68" s="320" t="n">
        <v>0.3198576864280331</v>
      </c>
      <c r="G68" s="320" t="n">
        <v>0.03172284019679019</v>
      </c>
      <c r="H68" s="254" t="inlineStr">
        <is>
          <t>F22</t>
        </is>
      </c>
      <c r="I68" s="254" t="inlineStr">
        <is>
          <t>P20</t>
        </is>
      </c>
      <c r="J68" s="463">
        <f>G68/F68</f>
        <v/>
      </c>
      <c r="K68" s="463">
        <f>J68/SUMIFS($J$5:$J$100,$B$5:$B$100,B68)</f>
        <v/>
      </c>
    </row>
    <row r="69">
      <c r="B69" s="251" t="n">
        <v>2024</v>
      </c>
      <c r="C69" s="254" t="inlineStr">
        <is>
          <t>Car</t>
        </is>
      </c>
      <c r="D69" s="251" t="n">
        <v>0</v>
      </c>
      <c r="E69" s="254" t="inlineStr">
        <is>
          <t>Current Yr or Newer Group</t>
        </is>
      </c>
      <c r="F69" s="320" t="n">
        <v>0.1214654806123987</v>
      </c>
      <c r="G69" s="320" t="n">
        <v>0.007769218046000457</v>
      </c>
      <c r="H69" s="254" t="inlineStr">
        <is>
          <t>G4</t>
        </is>
      </c>
      <c r="I69" s="254" t="inlineStr">
        <is>
          <t>Q5</t>
        </is>
      </c>
      <c r="J69" s="463">
        <f>G69/F69</f>
        <v/>
      </c>
      <c r="K69" s="463">
        <f>J69/SUMIFS($J$5:$J$100,$B$5:$B$100,B69)</f>
        <v/>
      </c>
    </row>
    <row r="70">
      <c r="B70" s="251" t="n">
        <v>2024</v>
      </c>
      <c r="C70" s="254" t="inlineStr">
        <is>
          <t>Car</t>
        </is>
      </c>
      <c r="D70" s="251" t="n">
        <v>1</v>
      </c>
      <c r="E70" s="254" t="inlineStr">
        <is>
          <t>1 - 3 Years Old</t>
        </is>
      </c>
      <c r="F70" s="320" t="n">
        <v>0.1317804990733867</v>
      </c>
      <c r="G70" s="320" t="n">
        <v>0.03709241997144332</v>
      </c>
      <c r="H70" s="254" t="inlineStr">
        <is>
          <t>G5</t>
        </is>
      </c>
      <c r="I70" s="254" t="inlineStr">
        <is>
          <t>Q9</t>
        </is>
      </c>
      <c r="J70" s="463">
        <f>G70/F70</f>
        <v/>
      </c>
      <c r="K70" s="463">
        <f>J70/SUMIFS($J$5:$J$100,$B$5:$B$100,B70)</f>
        <v/>
      </c>
    </row>
    <row r="71">
      <c r="B71" s="251" t="n">
        <v>2024</v>
      </c>
      <c r="C71" s="254" t="inlineStr">
        <is>
          <t>Car</t>
        </is>
      </c>
      <c r="D71" s="251" t="n">
        <v>2</v>
      </c>
      <c r="E71" s="254" t="inlineStr">
        <is>
          <t>4 - 6 Years Old</t>
        </is>
      </c>
      <c r="F71" s="320" t="n">
        <v>0.1893451840821486</v>
      </c>
      <c r="G71" s="320" t="n">
        <v>0.07134378307674594</v>
      </c>
      <c r="H71" s="254" t="inlineStr">
        <is>
          <t>G6</t>
        </is>
      </c>
      <c r="I71" s="254" t="inlineStr">
        <is>
          <t>Q13</t>
        </is>
      </c>
      <c r="J71" s="463">
        <f>G71/F71</f>
        <v/>
      </c>
      <c r="K71" s="463">
        <f>J71/SUMIFS($J$5:$J$100,$B$5:$B$100,B71)</f>
        <v/>
      </c>
    </row>
    <row r="72">
      <c r="B72" s="251" t="n">
        <v>2024</v>
      </c>
      <c r="C72" s="254" t="inlineStr">
        <is>
          <t>Car</t>
        </is>
      </c>
      <c r="D72" s="251" t="n">
        <v>3</v>
      </c>
      <c r="E72" s="254" t="inlineStr">
        <is>
          <t>7 Years and Older</t>
        </is>
      </c>
      <c r="F72" s="320" t="n">
        <v>0.3570035032148893</v>
      </c>
      <c r="G72" s="320" t="n">
        <v>0.3974785255025912</v>
      </c>
      <c r="H72" s="254" t="inlineStr">
        <is>
          <t>G7</t>
        </is>
      </c>
      <c r="I72" s="254" t="inlineStr">
        <is>
          <t>Q17</t>
        </is>
      </c>
      <c r="J72" s="463">
        <f>G72/F72</f>
        <v/>
      </c>
      <c r="K72" s="463">
        <f>J72/SUMIFS($J$5:$J$100,$B$5:$B$100,B72)</f>
        <v/>
      </c>
    </row>
    <row r="73">
      <c r="B73" s="251" t="n">
        <v>2024</v>
      </c>
      <c r="C73" s="254" t="inlineStr">
        <is>
          <t>Pickup</t>
        </is>
      </c>
      <c r="D73" s="251" t="n">
        <v>0</v>
      </c>
      <c r="E73" s="254" t="inlineStr">
        <is>
          <t>Current Yr or Newer Group</t>
        </is>
      </c>
      <c r="F73" s="320" t="n">
        <v>0.07571517577114376</v>
      </c>
      <c r="G73" s="320" t="n">
        <v>0.002095286744520548</v>
      </c>
      <c r="H73" s="254" t="inlineStr">
        <is>
          <t>G9</t>
        </is>
      </c>
      <c r="I73" s="254" t="inlineStr">
        <is>
          <t>Q6</t>
        </is>
      </c>
      <c r="J73" s="463">
        <f>G73/F73</f>
        <v/>
      </c>
      <c r="K73" s="463">
        <f>J73/SUMIFS($J$5:$J$100,$B$5:$B$100,B73)</f>
        <v/>
      </c>
    </row>
    <row r="74">
      <c r="B74" s="251" t="n">
        <v>2024</v>
      </c>
      <c r="C74" s="254" t="inlineStr">
        <is>
          <t>Pickup</t>
        </is>
      </c>
      <c r="D74" s="251" t="n">
        <v>1</v>
      </c>
      <c r="E74" s="254" t="inlineStr">
        <is>
          <t>1 - 3 Years Old</t>
        </is>
      </c>
      <c r="F74" s="320" t="n">
        <v>0.07144499838236269</v>
      </c>
      <c r="G74" s="320" t="n">
        <v>0.01071255529715959</v>
      </c>
      <c r="H74" s="254" t="inlineStr">
        <is>
          <t>G10</t>
        </is>
      </c>
      <c r="I74" s="254" t="inlineStr">
        <is>
          <t>Q10</t>
        </is>
      </c>
      <c r="J74" s="463">
        <f>G74/F74</f>
        <v/>
      </c>
      <c r="K74" s="463">
        <f>J74/SUMIFS($J$5:$J$100,$B$5:$B$100,B74)</f>
        <v/>
      </c>
    </row>
    <row r="75">
      <c r="B75" s="251" t="n">
        <v>2024</v>
      </c>
      <c r="C75" s="254" t="inlineStr">
        <is>
          <t>Pickup</t>
        </is>
      </c>
      <c r="D75" s="251" t="n">
        <v>2</v>
      </c>
      <c r="E75" s="254" t="inlineStr">
        <is>
          <t>4 - 6 Years Old</t>
        </is>
      </c>
      <c r="F75" s="320" t="n">
        <v>0.09645439308135556</v>
      </c>
      <c r="G75" s="320" t="n">
        <v>0.01421025223511864</v>
      </c>
      <c r="H75" s="254" t="inlineStr">
        <is>
          <t>G11</t>
        </is>
      </c>
      <c r="I75" s="254" t="inlineStr">
        <is>
          <t>Q14</t>
        </is>
      </c>
      <c r="J75" s="463">
        <f>G75/F75</f>
        <v/>
      </c>
      <c r="K75" s="463">
        <f>J75/SUMIFS($J$5:$J$100,$B$5:$B$100,B75)</f>
        <v/>
      </c>
    </row>
    <row r="76">
      <c r="B76" s="251" t="n">
        <v>2024</v>
      </c>
      <c r="C76" s="254" t="inlineStr">
        <is>
          <t>Pickup</t>
        </is>
      </c>
      <c r="D76" s="251" t="n">
        <v>3</v>
      </c>
      <c r="E76" s="254" t="inlineStr">
        <is>
          <t>7 Years and Older</t>
        </is>
      </c>
      <c r="F76" s="320" t="n">
        <v>0.2465668989493661</v>
      </c>
      <c r="G76" s="320" t="n">
        <v>0.07995929825135609</v>
      </c>
      <c r="H76" s="254" t="inlineStr">
        <is>
          <t>G12</t>
        </is>
      </c>
      <c r="I76" s="254" t="inlineStr">
        <is>
          <t>Q18</t>
        </is>
      </c>
      <c r="J76" s="463">
        <f>G76/F76</f>
        <v/>
      </c>
      <c r="K76" s="463">
        <f>J76/SUMIFS($J$5:$J$100,$B$5:$B$100,B76)</f>
        <v/>
      </c>
    </row>
    <row r="77">
      <c r="B77" s="251" t="n">
        <v>2024</v>
      </c>
      <c r="C77" s="254" t="inlineStr">
        <is>
          <t>Utility Vehicle</t>
        </is>
      </c>
      <c r="D77" s="251" t="n">
        <v>0</v>
      </c>
      <c r="E77" s="254" t="inlineStr">
        <is>
          <t>Current Yr or Newer Group</t>
        </is>
      </c>
      <c r="F77" s="320" t="n">
        <v>0.08606985146527499</v>
      </c>
      <c r="G77" s="320" t="n">
        <v>0.01096445727397642</v>
      </c>
      <c r="H77" s="254" t="inlineStr">
        <is>
          <t>G14</t>
        </is>
      </c>
      <c r="I77" s="254" t="inlineStr">
        <is>
          <t>Q7</t>
        </is>
      </c>
      <c r="J77" s="463">
        <f>G77/F77</f>
        <v/>
      </c>
      <c r="K77" s="463">
        <f>J77/SUMIFS($J$5:$J$100,$B$5:$B$100,B77)</f>
        <v/>
      </c>
    </row>
    <row r="78">
      <c r="B78" s="251" t="n">
        <v>2024</v>
      </c>
      <c r="C78" s="254" t="inlineStr">
        <is>
          <t>Utility Vehicle</t>
        </is>
      </c>
      <c r="D78" s="251" t="n">
        <v>1</v>
      </c>
      <c r="E78" s="254" t="inlineStr">
        <is>
          <t>1 - 3 Years Old</t>
        </is>
      </c>
      <c r="F78" s="320" t="n">
        <v>0.09239796408663378</v>
      </c>
      <c r="G78" s="320" t="n">
        <v>0.04748527600800242</v>
      </c>
      <c r="H78" s="254" t="inlineStr">
        <is>
          <t>G15</t>
        </is>
      </c>
      <c r="I78" s="254" t="inlineStr">
        <is>
          <t>Q11</t>
        </is>
      </c>
      <c r="J78" s="463">
        <f>G78/F78</f>
        <v/>
      </c>
      <c r="K78" s="463">
        <f>J78/SUMIFS($J$5:$J$100,$B$5:$B$100,B78)</f>
        <v/>
      </c>
    </row>
    <row r="79">
      <c r="B79" s="251" t="n">
        <v>2024</v>
      </c>
      <c r="C79" s="254" t="inlineStr">
        <is>
          <t>Utility Vehicle</t>
        </is>
      </c>
      <c r="D79" s="251" t="n">
        <v>2</v>
      </c>
      <c r="E79" s="254" t="inlineStr">
        <is>
          <t>4 - 6 Years Old</t>
        </is>
      </c>
      <c r="F79" s="320" t="n">
        <v>0.1438949223083096</v>
      </c>
      <c r="G79" s="320" t="n">
        <v>0.06906848285459294</v>
      </c>
      <c r="H79" s="254" t="inlineStr">
        <is>
          <t>G16</t>
        </is>
      </c>
      <c r="I79" s="254" t="inlineStr">
        <is>
          <t>Q15</t>
        </is>
      </c>
      <c r="J79" s="463">
        <f>G79/F79</f>
        <v/>
      </c>
      <c r="K79" s="463">
        <f>J79/SUMIFS($J$5:$J$100,$B$5:$B$100,B79)</f>
        <v/>
      </c>
    </row>
    <row r="80">
      <c r="B80" s="251" t="n">
        <v>2024</v>
      </c>
      <c r="C80" s="254" t="inlineStr">
        <is>
          <t>Utility Vehicle</t>
        </is>
      </c>
      <c r="D80" s="251" t="n">
        <v>3</v>
      </c>
      <c r="E80" s="254" t="inlineStr">
        <is>
          <t>7 Years and Older</t>
        </is>
      </c>
      <c r="F80" s="320" t="n">
        <v>0.2903000143978833</v>
      </c>
      <c r="G80" s="320" t="n">
        <v>0.2127060876700704</v>
      </c>
      <c r="H80" s="254" t="inlineStr">
        <is>
          <t>G17</t>
        </is>
      </c>
      <c r="I80" s="254" t="inlineStr">
        <is>
          <t>Q19</t>
        </is>
      </c>
      <c r="J80" s="463">
        <f>G80/F80</f>
        <v/>
      </c>
      <c r="K80" s="463">
        <f>J80/SUMIFS($J$5:$J$100,$B$5:$B$100,B80)</f>
        <v/>
      </c>
    </row>
    <row r="81">
      <c r="B81" s="251" t="n">
        <v>2024</v>
      </c>
      <c r="C81" s="254" t="inlineStr">
        <is>
          <t>Van</t>
        </is>
      </c>
      <c r="D81" s="251" t="n">
        <v>0</v>
      </c>
      <c r="E81" s="254" t="inlineStr">
        <is>
          <t>Current Yr or Newer Group</t>
        </is>
      </c>
      <c r="F81" s="320" t="n">
        <v>0.07088044051315096</v>
      </c>
      <c r="G81" s="320" t="n">
        <v>0.00035359790249231</v>
      </c>
      <c r="H81" s="254" t="inlineStr">
        <is>
          <t>G19</t>
        </is>
      </c>
      <c r="I81" s="254" t="inlineStr">
        <is>
          <t>Q8</t>
        </is>
      </c>
      <c r="J81" s="463">
        <f>G81/F81</f>
        <v/>
      </c>
      <c r="K81" s="463">
        <f>J81/SUMIFS($J$5:$J$100,$B$5:$B$100,B81)</f>
        <v/>
      </c>
    </row>
    <row r="82">
      <c r="B82" s="251" t="n">
        <v>2024</v>
      </c>
      <c r="C82" s="254" t="inlineStr">
        <is>
          <t>Van</t>
        </is>
      </c>
      <c r="D82" s="251" t="n">
        <v>1</v>
      </c>
      <c r="E82" s="254" t="inlineStr">
        <is>
          <t>1 - 3 Years Old</t>
        </is>
      </c>
      <c r="F82" s="320" t="n">
        <v>0.07964534625348205</v>
      </c>
      <c r="G82" s="320" t="n">
        <v>0.00214730362604421</v>
      </c>
      <c r="H82" s="254" t="inlineStr">
        <is>
          <t>G20</t>
        </is>
      </c>
      <c r="I82" s="254" t="inlineStr">
        <is>
          <t>Q12</t>
        </is>
      </c>
      <c r="J82" s="463">
        <f>G82/F82</f>
        <v/>
      </c>
      <c r="K82" s="463">
        <f>J82/SUMIFS($J$5:$J$100,$B$5:$B$100,B82)</f>
        <v/>
      </c>
    </row>
    <row r="83">
      <c r="B83" s="251" t="n">
        <v>2024</v>
      </c>
      <c r="C83" s="254" t="inlineStr">
        <is>
          <t>Van</t>
        </is>
      </c>
      <c r="D83" s="251" t="n">
        <v>2</v>
      </c>
      <c r="E83" s="254" t="inlineStr">
        <is>
          <t>4 - 6 Years Old</t>
        </is>
      </c>
      <c r="F83" s="320" t="n">
        <v>0.1403993220619238</v>
      </c>
      <c r="G83" s="320" t="n">
        <v>0.004962644281094552</v>
      </c>
      <c r="H83" s="254" t="inlineStr">
        <is>
          <t>G21</t>
        </is>
      </c>
      <c r="I83" s="254" t="inlineStr">
        <is>
          <t>Q16</t>
        </is>
      </c>
      <c r="J83" s="463">
        <f>G83/F83</f>
        <v/>
      </c>
      <c r="K83" s="463">
        <f>J83/SUMIFS($J$5:$J$100,$B$5:$B$100,B83)</f>
        <v/>
      </c>
    </row>
    <row r="84">
      <c r="B84" s="251" t="n">
        <v>2024</v>
      </c>
      <c r="C84" s="254" t="inlineStr">
        <is>
          <t>Van</t>
        </is>
      </c>
      <c r="D84" s="251" t="n">
        <v>3</v>
      </c>
      <c r="E84" s="254" t="inlineStr">
        <is>
          <t>7 Years and Older</t>
        </is>
      </c>
      <c r="F84" s="320" t="n">
        <v>0.3492691043827939</v>
      </c>
      <c r="G84" s="320" t="n">
        <v>0.031650811258791</v>
      </c>
      <c r="H84" s="254" t="inlineStr">
        <is>
          <t>G22</t>
        </is>
      </c>
      <c r="I84" s="254" t="inlineStr">
        <is>
          <t>Q20</t>
        </is>
      </c>
      <c r="J84" s="463">
        <f>G84/F84</f>
        <v/>
      </c>
      <c r="K84" s="463">
        <f>J84/SUMIFS($J$5:$J$100,$B$5:$B$100,B84)</f>
        <v/>
      </c>
    </row>
    <row r="85">
      <c r="B85" s="251" t="n">
        <v>2025</v>
      </c>
      <c r="C85" s="254" t="inlineStr">
        <is>
          <t>Car</t>
        </is>
      </c>
      <c r="D85" s="251" t="n">
        <v>0</v>
      </c>
      <c r="E85" s="254" t="inlineStr">
        <is>
          <t>Current Yr or Newer Group</t>
        </is>
      </c>
      <c r="F85" s="320" t="n">
        <v>0.1183813516328002</v>
      </c>
      <c r="G85" s="320" t="n">
        <v>0.008156041846226276</v>
      </c>
      <c r="H85" s="254" t="inlineStr">
        <is>
          <t>H4</t>
        </is>
      </c>
      <c r="I85" s="254" t="inlineStr">
        <is>
          <t>R5</t>
        </is>
      </c>
      <c r="J85" s="463">
        <f>G85/F85</f>
        <v/>
      </c>
      <c r="K85" s="463">
        <f>J85/SUMIFS($J$5:$J$100,$B$5:$B$100,B85)</f>
        <v/>
      </c>
    </row>
    <row r="86">
      <c r="B86" s="251" t="n">
        <v>2025</v>
      </c>
      <c r="C86" s="254" t="inlineStr">
        <is>
          <t>Car</t>
        </is>
      </c>
      <c r="D86" s="251" t="n">
        <v>1</v>
      </c>
      <c r="E86" s="254" t="inlineStr">
        <is>
          <t>1 - 3 Years Old</t>
        </is>
      </c>
      <c r="F86" s="320" t="n">
        <v>0.1415623139327181</v>
      </c>
      <c r="G86" s="320" t="n">
        <v>0.0373105965404406</v>
      </c>
      <c r="H86" s="254" t="inlineStr">
        <is>
          <t>H5</t>
        </is>
      </c>
      <c r="I86" s="254" t="inlineStr">
        <is>
          <t>R9</t>
        </is>
      </c>
      <c r="J86" s="463">
        <f>G86/F86</f>
        <v/>
      </c>
      <c r="K86" s="463">
        <f>J86/SUMIFS($J$5:$J$100,$B$5:$B$100,B86)</f>
        <v/>
      </c>
    </row>
    <row r="87">
      <c r="B87" s="251" t="n">
        <v>2025</v>
      </c>
      <c r="C87" s="254" t="inlineStr">
        <is>
          <t>Car</t>
        </is>
      </c>
      <c r="D87" s="251" t="n">
        <v>2</v>
      </c>
      <c r="E87" s="254" t="inlineStr">
        <is>
          <t>4 - 6 Years Old</t>
        </is>
      </c>
      <c r="F87" s="320" t="n">
        <v>0.1977589061254522</v>
      </c>
      <c r="G87" s="320" t="n">
        <v>0.05931290634620359</v>
      </c>
      <c r="H87" s="254" t="inlineStr">
        <is>
          <t>H6</t>
        </is>
      </c>
      <c r="I87" s="254" t="inlineStr">
        <is>
          <t>R13</t>
        </is>
      </c>
      <c r="J87" s="463">
        <f>G87/F87</f>
        <v/>
      </c>
      <c r="K87" s="463">
        <f>J87/SUMIFS($J$5:$J$100,$B$5:$B$100,B87)</f>
        <v/>
      </c>
    </row>
    <row r="88">
      <c r="B88" s="251" t="n">
        <v>2025</v>
      </c>
      <c r="C88" s="254" t="inlineStr">
        <is>
          <t>Car</t>
        </is>
      </c>
      <c r="D88" s="251" t="n">
        <v>3</v>
      </c>
      <c r="E88" s="254" t="inlineStr">
        <is>
          <t>7 Years and Older</t>
        </is>
      </c>
      <c r="F88" s="320" t="n">
        <v>0.3725497056948419</v>
      </c>
      <c r="G88" s="320" t="n">
        <v>0.3850804202277194</v>
      </c>
      <c r="H88" s="254" t="inlineStr">
        <is>
          <t>H7</t>
        </is>
      </c>
      <c r="I88" s="254" t="inlineStr">
        <is>
          <t>R17</t>
        </is>
      </c>
      <c r="J88" s="463">
        <f>G88/F88</f>
        <v/>
      </c>
      <c r="K88" s="463">
        <f>J88/SUMIFS($J$5:$J$100,$B$5:$B$100,B88)</f>
        <v/>
      </c>
    </row>
    <row r="89">
      <c r="B89" s="251" t="n">
        <v>2025</v>
      </c>
      <c r="C89" s="254" t="inlineStr">
        <is>
          <t>Pickup</t>
        </is>
      </c>
      <c r="D89" s="251" t="n">
        <v>0</v>
      </c>
      <c r="E89" s="254" t="inlineStr">
        <is>
          <t>Current Yr or Newer Group</t>
        </is>
      </c>
      <c r="F89" s="320" t="n">
        <v>0.07939869462574642</v>
      </c>
      <c r="G89" s="320" t="n">
        <v>0.00210628784544408</v>
      </c>
      <c r="H89" s="254" t="inlineStr">
        <is>
          <t>H9</t>
        </is>
      </c>
      <c r="I89" s="254" t="inlineStr">
        <is>
          <t>R6</t>
        </is>
      </c>
      <c r="J89" s="463">
        <f>G89/F89</f>
        <v/>
      </c>
      <c r="K89" s="463">
        <f>J89/SUMIFS($J$5:$J$100,$B$5:$B$100,B89)</f>
        <v/>
      </c>
    </row>
    <row r="90">
      <c r="B90" s="251" t="n">
        <v>2025</v>
      </c>
      <c r="C90" s="254" t="inlineStr">
        <is>
          <t>Pickup</t>
        </is>
      </c>
      <c r="D90" s="251" t="n">
        <v>1</v>
      </c>
      <c r="E90" s="254" t="inlineStr">
        <is>
          <t>1 - 3 Years Old</t>
        </is>
      </c>
      <c r="F90" s="320" t="n">
        <v>0.07724710964719902</v>
      </c>
      <c r="G90" s="320" t="n">
        <v>0.01144359182152214</v>
      </c>
      <c r="H90" s="254" t="inlineStr">
        <is>
          <t>H10</t>
        </is>
      </c>
      <c r="I90" s="254" t="inlineStr">
        <is>
          <t>R10</t>
        </is>
      </c>
      <c r="J90" s="463">
        <f>G90/F90</f>
        <v/>
      </c>
      <c r="K90" s="463">
        <f>J90/SUMIFS($J$5:$J$100,$B$5:$B$100,B90)</f>
        <v/>
      </c>
    </row>
    <row r="91">
      <c r="B91" s="251" t="n">
        <v>2025</v>
      </c>
      <c r="C91" s="254" t="inlineStr">
        <is>
          <t>Pickup</t>
        </is>
      </c>
      <c r="D91" s="251" t="n">
        <v>2</v>
      </c>
      <c r="E91" s="254" t="inlineStr">
        <is>
          <t>4 - 6 Years Old</t>
        </is>
      </c>
      <c r="F91" s="320" t="n">
        <v>0.1016189230849166</v>
      </c>
      <c r="G91" s="320" t="n">
        <v>0.01438693905373976</v>
      </c>
      <c r="H91" s="254" t="inlineStr">
        <is>
          <t>H11</t>
        </is>
      </c>
      <c r="I91" s="254" t="inlineStr">
        <is>
          <t>R14</t>
        </is>
      </c>
      <c r="J91" s="463">
        <f>G91/F91</f>
        <v/>
      </c>
      <c r="K91" s="463">
        <f>J91/SUMIFS($J$5:$J$100,$B$5:$B$100,B91)</f>
        <v/>
      </c>
    </row>
    <row r="92">
      <c r="B92" s="251" t="n">
        <v>2025</v>
      </c>
      <c r="C92" s="254" t="inlineStr">
        <is>
          <t>Pickup</t>
        </is>
      </c>
      <c r="D92" s="251" t="n">
        <v>3</v>
      </c>
      <c r="E92" s="254" t="inlineStr">
        <is>
          <t>7 Years and Older</t>
        </is>
      </c>
      <c r="F92" s="320" t="n">
        <v>0.2549647815842466</v>
      </c>
      <c r="G92" s="320" t="n">
        <v>0.08122418479426913</v>
      </c>
      <c r="H92" s="254" t="inlineStr">
        <is>
          <t>H12</t>
        </is>
      </c>
      <c r="I92" s="254" t="inlineStr">
        <is>
          <t>R18</t>
        </is>
      </c>
      <c r="J92" s="463">
        <f>G92/F92</f>
        <v/>
      </c>
      <c r="K92" s="463">
        <f>J92/SUMIFS($J$5:$J$100,$B$5:$B$100,B92)</f>
        <v/>
      </c>
    </row>
    <row r="93">
      <c r="B93" s="251" t="n">
        <v>2025</v>
      </c>
      <c r="C93" s="254" t="inlineStr">
        <is>
          <t>Utility Vehicle</t>
        </is>
      </c>
      <c r="D93" s="251" t="n">
        <v>0</v>
      </c>
      <c r="E93" s="254" t="inlineStr">
        <is>
          <t>Current Yr or Newer Group</t>
        </is>
      </c>
      <c r="F93" s="320" t="n">
        <v>0.08619093438151845</v>
      </c>
      <c r="G93" s="320" t="n">
        <v>0.01163393011488954</v>
      </c>
      <c r="H93" s="254" t="inlineStr">
        <is>
          <t>H14</t>
        </is>
      </c>
      <c r="I93" s="254" t="inlineStr">
        <is>
          <t>R7</t>
        </is>
      </c>
      <c r="J93" s="463">
        <f>G93/F93</f>
        <v/>
      </c>
      <c r="K93" s="463">
        <f>J93/SUMIFS($J$5:$J$100,$B$5:$B$100,B93)</f>
        <v/>
      </c>
    </row>
    <row r="94">
      <c r="B94" s="251" t="n">
        <v>2025</v>
      </c>
      <c r="C94" s="254" t="inlineStr">
        <is>
          <t>Utility Vehicle</t>
        </is>
      </c>
      <c r="D94" s="251" t="n">
        <v>1</v>
      </c>
      <c r="E94" s="254" t="inlineStr">
        <is>
          <t>1 - 3 Years Old</t>
        </is>
      </c>
      <c r="F94" s="320" t="n">
        <v>0.09858732104120195</v>
      </c>
      <c r="G94" s="320" t="n">
        <v>0.05123349022194487</v>
      </c>
      <c r="H94" s="254" t="inlineStr">
        <is>
          <t>H15</t>
        </is>
      </c>
      <c r="I94" s="254" t="inlineStr">
        <is>
          <t>R11</t>
        </is>
      </c>
      <c r="J94" s="463">
        <f>G94/F94</f>
        <v/>
      </c>
      <c r="K94" s="463">
        <f>J94/SUMIFS($J$5:$J$100,$B$5:$B$100,B94)</f>
        <v/>
      </c>
    </row>
    <row r="95">
      <c r="B95" s="251" t="n">
        <v>2025</v>
      </c>
      <c r="C95" s="254" t="inlineStr">
        <is>
          <t>Utility Vehicle</t>
        </is>
      </c>
      <c r="D95" s="251" t="n">
        <v>2</v>
      </c>
      <c r="E95" s="254" t="inlineStr">
        <is>
          <t>4 - 6 Years Old</t>
        </is>
      </c>
      <c r="F95" s="320" t="n">
        <v>0.1484455351339005</v>
      </c>
      <c r="G95" s="320" t="n">
        <v>0.06852515714403061</v>
      </c>
      <c r="H95" s="254" t="inlineStr">
        <is>
          <t>H16</t>
        </is>
      </c>
      <c r="I95" s="254" t="inlineStr">
        <is>
          <t>R15</t>
        </is>
      </c>
      <c r="J95" s="463">
        <f>G95/F95</f>
        <v/>
      </c>
      <c r="K95" s="463">
        <f>J95/SUMIFS($J$5:$J$100,$B$5:$B$100,B95)</f>
        <v/>
      </c>
    </row>
    <row r="96">
      <c r="B96" s="251" t="n">
        <v>2025</v>
      </c>
      <c r="C96" s="254" t="inlineStr">
        <is>
          <t>Utility Vehicle</t>
        </is>
      </c>
      <c r="D96" s="251" t="n">
        <v>3</v>
      </c>
      <c r="E96" s="254" t="inlineStr">
        <is>
          <t>7 Years and Older</t>
        </is>
      </c>
      <c r="F96" s="320" t="n">
        <v>0.3043503197499355</v>
      </c>
      <c r="G96" s="320" t="n">
        <v>0.2309569755766239</v>
      </c>
      <c r="H96" s="254" t="inlineStr">
        <is>
          <t>H17</t>
        </is>
      </c>
      <c r="I96" s="254" t="inlineStr">
        <is>
          <t>R19</t>
        </is>
      </c>
      <c r="J96" s="463">
        <f>G96/F96</f>
        <v/>
      </c>
      <c r="K96" s="463">
        <f>J96/SUMIFS($J$5:$J$100,$B$5:$B$100,B96)</f>
        <v/>
      </c>
    </row>
    <row r="97">
      <c r="B97" s="251" t="n">
        <v>2025</v>
      </c>
      <c r="C97" s="254" t="inlineStr">
        <is>
          <t>Van</t>
        </is>
      </c>
      <c r="D97" s="251" t="n">
        <v>0</v>
      </c>
      <c r="E97" s="254" t="inlineStr">
        <is>
          <t>Current Yr or Newer Group</t>
        </is>
      </c>
      <c r="F97" s="320" t="n">
        <v>0.06411315802265105</v>
      </c>
      <c r="G97" s="320" t="n">
        <v>0.0004048903148765467</v>
      </c>
      <c r="H97" s="254" t="inlineStr">
        <is>
          <t>H19</t>
        </is>
      </c>
      <c r="I97" s="254" t="inlineStr">
        <is>
          <t>R8</t>
        </is>
      </c>
      <c r="J97" s="463">
        <f>G97/F97</f>
        <v/>
      </c>
      <c r="K97" s="463">
        <f>J97/SUMIFS($J$5:$J$100,$B$5:$B$100,B97)</f>
        <v/>
      </c>
    </row>
    <row r="98">
      <c r="B98" s="251" t="n">
        <v>2025</v>
      </c>
      <c r="C98" s="254" t="inlineStr">
        <is>
          <t>Van</t>
        </is>
      </c>
      <c r="D98" s="251" t="n">
        <v>1</v>
      </c>
      <c r="E98" s="254" t="inlineStr">
        <is>
          <t>1 - 3 Years Old</t>
        </is>
      </c>
      <c r="F98" s="320" t="n">
        <v>0.0879353362537799</v>
      </c>
      <c r="G98" s="320" t="n">
        <v>0.002344134086431362</v>
      </c>
      <c r="H98" s="254" t="inlineStr">
        <is>
          <t>H20</t>
        </is>
      </c>
      <c r="I98" s="254" t="inlineStr">
        <is>
          <t>R12</t>
        </is>
      </c>
      <c r="J98" s="463">
        <f>G98/F98</f>
        <v/>
      </c>
      <c r="K98" s="463">
        <f>J98/SUMIFS($J$5:$J$100,$B$5:$B$100,B98)</f>
        <v/>
      </c>
    </row>
    <row r="99">
      <c r="B99" s="251" t="n">
        <v>2025</v>
      </c>
      <c r="C99" s="254" t="inlineStr">
        <is>
          <t>Van</t>
        </is>
      </c>
      <c r="D99" s="251" t="n">
        <v>2</v>
      </c>
      <c r="E99" s="254" t="inlineStr">
        <is>
          <t>4 - 6 Years Old</t>
        </is>
      </c>
      <c r="F99" s="320" t="n">
        <v>0.1522345377290566</v>
      </c>
      <c r="G99" s="320" t="n">
        <v>0.004601221352707585</v>
      </c>
      <c r="H99" s="254" t="inlineStr">
        <is>
          <t>H21</t>
        </is>
      </c>
      <c r="I99" s="254" t="inlineStr">
        <is>
          <t>R16</t>
        </is>
      </c>
      <c r="J99" s="463">
        <f>G99/F99</f>
        <v/>
      </c>
      <c r="K99" s="463">
        <f>J99/SUMIFS($J$5:$J$100,$B$5:$B$100,B99)</f>
        <v/>
      </c>
    </row>
    <row r="100">
      <c r="B100" s="251" t="n">
        <v>2025</v>
      </c>
      <c r="C100" s="254" t="inlineStr">
        <is>
          <t>Van</t>
        </is>
      </c>
      <c r="D100" s="251" t="n">
        <v>3</v>
      </c>
      <c r="E100" s="254" t="inlineStr">
        <is>
          <t>7 Years and Older</t>
        </is>
      </c>
      <c r="F100" s="320" t="n">
        <v>0.3661439216994772</v>
      </c>
      <c r="G100" s="320" t="n">
        <v>0.03127923271293062</v>
      </c>
      <c r="H100" s="254" t="inlineStr">
        <is>
          <t>H22</t>
        </is>
      </c>
      <c r="I100" s="254" t="inlineStr">
        <is>
          <t>R20</t>
        </is>
      </c>
      <c r="J100" s="463">
        <f>G100/F100</f>
        <v/>
      </c>
      <c r="K100" s="463">
        <f>J100/SUMIFS($J$5:$J$100,$B$5:$B$100,B100)</f>
        <v/>
      </c>
    </row>
    <row r="102">
      <c r="B102" s="249" t="inlineStr">
        <is>
          <t>Annual all-loss total-loss frequency (CCC Crash Course; data/csv/ccc_tlf_annual.csv)</t>
        </is>
      </c>
    </row>
    <row r="103">
      <c r="B103" s="357" t="inlineStr">
        <is>
          <t>Year</t>
        </is>
      </c>
      <c r="C103" s="358" t="inlineStr">
        <is>
          <t>TLF all loss %</t>
        </is>
      </c>
      <c r="D103" s="358" t="inlineStr">
        <is>
          <t>TLF ex-comp %</t>
        </is>
      </c>
    </row>
    <row r="104">
      <c r="B104" s="251" t="n">
        <v>2013</v>
      </c>
      <c r="C104" s="251" t="n">
        <v>14.8</v>
      </c>
      <c r="D104" s="251" t="n">
        <v>14</v>
      </c>
    </row>
    <row r="105">
      <c r="B105" s="251" t="n">
        <v>2014</v>
      </c>
      <c r="C105" s="251" t="n">
        <v>14.7</v>
      </c>
      <c r="D105" s="251" t="n">
        <v>14.1</v>
      </c>
    </row>
    <row r="106">
      <c r="B106" s="251" t="n">
        <v>2015</v>
      </c>
      <c r="C106" s="251" t="n">
        <v>16.2</v>
      </c>
      <c r="D106" s="251" t="n">
        <v>15.6</v>
      </c>
    </row>
    <row r="107">
      <c r="B107" s="251" t="n">
        <v>2016</v>
      </c>
      <c r="C107" s="251" t="n">
        <v>17.3</v>
      </c>
      <c r="D107" s="251" t="n">
        <v>16.7</v>
      </c>
    </row>
    <row r="108">
      <c r="B108" s="251" t="n">
        <v>2017</v>
      </c>
      <c r="C108" s="251" t="n">
        <v>18.3</v>
      </c>
      <c r="D108" s="251" t="n">
        <v>17.9</v>
      </c>
    </row>
    <row r="109">
      <c r="B109" s="251" t="n">
        <v>2018</v>
      </c>
      <c r="C109" s="251" t="n">
        <v>19</v>
      </c>
      <c r="D109" s="251" t="n">
        <v>18.5</v>
      </c>
    </row>
    <row r="110">
      <c r="B110" s="251" t="n">
        <v>2019</v>
      </c>
      <c r="C110" s="251" t="n">
        <v>19.9</v>
      </c>
      <c r="D110" s="251" t="n">
        <v>19.2</v>
      </c>
    </row>
    <row r="111">
      <c r="B111" s="251" t="n">
        <v>2020</v>
      </c>
      <c r="C111" s="251" t="n">
        <v>21.7</v>
      </c>
      <c r="D111" s="251" t="n">
        <v>20.6</v>
      </c>
    </row>
    <row r="112">
      <c r="B112" s="251" t="n">
        <v>2021</v>
      </c>
      <c r="C112" s="251" t="n">
        <v>20.6</v>
      </c>
      <c r="D112" s="251" t="n">
        <v>19.7</v>
      </c>
    </row>
    <row r="113">
      <c r="B113" s="251" t="n">
        <v>2022</v>
      </c>
      <c r="C113" s="251" t="n">
        <v>19.7</v>
      </c>
      <c r="D113" s="251" t="n">
        <v>18.8</v>
      </c>
    </row>
    <row r="114">
      <c r="B114" s="251" t="n">
        <v>2023</v>
      </c>
      <c r="C114" s="251" t="n">
        <v>21.2</v>
      </c>
      <c r="D114" s="251" t="n">
        <v>20.2</v>
      </c>
    </row>
    <row r="115">
      <c r="B115" s="251" t="n">
        <v>2024</v>
      </c>
      <c r="C115" s="251" t="n">
        <v>22.9</v>
      </c>
      <c r="D115" s="251" t="n">
        <v>22.3</v>
      </c>
    </row>
    <row r="116">
      <c r="B116" s="251" t="n">
        <v>2025</v>
      </c>
      <c r="C116" s="251" t="n">
        <v>23.9</v>
      </c>
      <c r="D116" s="251" t="n">
        <v>23.1</v>
      </c>
    </row>
  </sheetData>
  <pageMargins left="0.75" right="0.75" top="1" bottom="1" header="0.5" footer="0.5"/>
</worksheet>
</file>

<file path=xl/worksheets/sheet29.xml><?xml version="1.0" encoding="utf-8"?>
<worksheet xmlns="http://schemas.openxmlformats.org/spreadsheetml/2006/main">
  <sheetPr>
    <tabColor rgb="FFBFBFBF"/>
    <outlinePr summaryBelow="1" summaryRight="1"/>
    <pageSetUpPr/>
  </sheetPr>
  <dimension ref="B1:S65"/>
  <sheetViews>
    <sheetView showGridLines="0" zoomScale="90" workbookViewId="0">
      <selection activeCell="A1" sqref="A1"/>
    </sheetView>
  </sheetViews>
  <sheetFormatPr baseColWidth="10" defaultColWidth="8.83203125" defaultRowHeight="15"/>
  <cols>
    <col width="2.5" customWidth="1" style="392" min="1" max="1"/>
    <col width="10" customWidth="1" style="392" min="2" max="2"/>
    <col width="8" customWidth="1" style="392" min="3" max="3"/>
    <col width="13" customWidth="1" style="392" min="4" max="15"/>
    <col width="48" customWidth="1" style="392" min="19" max="19"/>
  </cols>
  <sheetData>
    <row r="1" ht="17" customHeight="1" s="392">
      <c r="B1" s="269" t="inlineStr">
        <is>
          <t>D Fleet — new-vehicle births by body (thousands) and EPA survival schedules</t>
        </is>
      </c>
      <c r="C1" s="270" t="n"/>
      <c r="D1" s="270" t="n"/>
      <c r="E1" s="270" t="n"/>
      <c r="F1" s="270" t="n"/>
      <c r="G1" s="270" t="n"/>
      <c r="H1" s="270" t="n"/>
      <c r="I1" s="270" t="n"/>
      <c r="J1" s="270" t="n"/>
      <c r="K1" s="270" t="n"/>
      <c r="L1" s="270" t="n"/>
      <c r="M1" s="270" t="n"/>
      <c r="N1" s="270" t="n"/>
      <c r="O1" s="270" t="n"/>
      <c r="P1" s="270" t="n"/>
      <c r="Q1" s="270" t="n"/>
      <c r="R1" s="270" t="n"/>
      <c r="S1" s="270" t="n"/>
    </row>
    <row r="2">
      <c r="B2" s="252" t="inlineStr">
        <is>
          <t>Births: Ward's via ORNL TEDB Ed.40 Table 3.6 (1970–2021) and FRED TOTALNSA/LTRUCKNSA (2022–25), VERIFIED; light-truck split into SUV/pickup/minivan from EPA model-year composition (ASSUMED proxy; docs/historical_body_births_2026-09-28). Survival: ORNL Table 3.15 (EPA), VERIFIED.</t>
        </is>
      </c>
    </row>
    <row r="4">
      <c r="B4" s="357" t="inlineStr">
        <is>
          <t>Year</t>
        </is>
      </c>
      <c r="C4" s="358" t="inlineStr">
        <is>
          <t>Car</t>
        </is>
      </c>
      <c r="D4" s="358" t="inlineStr">
        <is>
          <t>SUV</t>
        </is>
      </c>
      <c r="E4" s="358" t="inlineStr">
        <is>
          <t>Pickup</t>
        </is>
      </c>
      <c r="F4" s="358" t="inlineStr">
        <is>
          <t>Van</t>
        </is>
      </c>
      <c r="G4" s="358" t="inlineStr">
        <is>
          <t>Total</t>
        </is>
      </c>
      <c r="I4" s="357" t="inlineStr">
        <is>
          <t>Age</t>
        </is>
      </c>
      <c r="J4" s="358" t="inlineStr">
        <is>
          <t>S cars</t>
        </is>
      </c>
      <c r="K4" s="358" t="inlineStr">
        <is>
          <t>S light trucks</t>
        </is>
      </c>
    </row>
    <row r="5">
      <c r="B5" s="251" t="n">
        <v>1970</v>
      </c>
      <c r="C5" s="304" t="n">
        <v>8321</v>
      </c>
      <c r="D5" s="304" t="n">
        <v>1054.713274336283</v>
      </c>
      <c r="E5" s="304" t="n">
        <v>281.0849557522124</v>
      </c>
      <c r="F5" s="304" t="n">
        <v>121.2017699115044</v>
      </c>
      <c r="G5" s="304" t="n">
        <v>9778</v>
      </c>
      <c r="I5" s="251" t="n">
        <v>0</v>
      </c>
      <c r="J5" s="330" t="n">
        <v>1</v>
      </c>
      <c r="K5" s="330" t="n">
        <v>1</v>
      </c>
    </row>
    <row r="6">
      <c r="B6" s="251" t="n">
        <v>1971</v>
      </c>
      <c r="C6" s="304" t="n">
        <v>10144</v>
      </c>
      <c r="D6" s="304" t="n">
        <v>1211.074336283186</v>
      </c>
      <c r="E6" s="304" t="n">
        <v>322.7557522123894</v>
      </c>
      <c r="F6" s="304" t="n">
        <v>139.1699115044248</v>
      </c>
      <c r="G6" s="304" t="n">
        <v>11817</v>
      </c>
      <c r="I6" s="251" t="n">
        <v>1</v>
      </c>
      <c r="J6" s="330" t="n">
        <v>0.997</v>
      </c>
      <c r="K6" s="330" t="n">
        <v>0.991</v>
      </c>
    </row>
    <row r="7">
      <c r="B7" s="251" t="n">
        <v>1972</v>
      </c>
      <c r="C7" s="304" t="n">
        <v>10800.6</v>
      </c>
      <c r="D7" s="304" t="n">
        <v>1518.005309734514</v>
      </c>
      <c r="E7" s="304" t="n">
        <v>404.553982300885</v>
      </c>
      <c r="F7" s="304" t="n">
        <v>174.4407079646018</v>
      </c>
      <c r="G7" s="304" t="n">
        <v>12897.6</v>
      </c>
      <c r="I7" s="251" t="n">
        <v>2</v>
      </c>
      <c r="J7" s="330" t="n">
        <v>0.994</v>
      </c>
      <c r="K7" s="330" t="n">
        <v>0.982</v>
      </c>
    </row>
    <row r="8">
      <c r="B8" s="251" t="n">
        <v>1973</v>
      </c>
      <c r="C8" s="304" t="n">
        <v>11276</v>
      </c>
      <c r="D8" s="304" t="n">
        <v>1818.421238938053</v>
      </c>
      <c r="E8" s="304" t="n">
        <v>484.6159292035398</v>
      </c>
      <c r="F8" s="304" t="n">
        <v>208.9628318584071</v>
      </c>
      <c r="G8" s="304" t="n">
        <v>13788</v>
      </c>
      <c r="I8" s="251" t="n">
        <v>3</v>
      </c>
      <c r="J8" s="330" t="n">
        <v>0.991</v>
      </c>
      <c r="K8" s="330" t="n">
        <v>0.973</v>
      </c>
    </row>
    <row r="9">
      <c r="B9" s="251" t="n">
        <v>1974</v>
      </c>
      <c r="C9" s="304" t="n">
        <v>8720.299999999999</v>
      </c>
      <c r="D9" s="304" t="n">
        <v>1565.782300884956</v>
      </c>
      <c r="E9" s="304" t="n">
        <v>417.2867256637168</v>
      </c>
      <c r="F9" s="304" t="n">
        <v>179.9309734513275</v>
      </c>
      <c r="G9" s="304" t="n">
        <v>10883.3</v>
      </c>
      <c r="I9" s="251" t="n">
        <v>4</v>
      </c>
      <c r="J9" s="330" t="n">
        <v>0.984</v>
      </c>
      <c r="K9" s="330" t="n">
        <v>0.96</v>
      </c>
    </row>
    <row r="10">
      <c r="B10" s="251" t="n">
        <v>1975</v>
      </c>
      <c r="C10" s="304" t="n">
        <v>8485.799999999999</v>
      </c>
      <c r="D10" s="304" t="n">
        <v>193.6445661010322</v>
      </c>
      <c r="E10" s="304" t="n">
        <v>1387.180433641706</v>
      </c>
      <c r="F10" s="304" t="n">
        <v>472.1750002572626</v>
      </c>
      <c r="G10" s="304" t="n">
        <v>10538.8</v>
      </c>
      <c r="I10" s="251" t="n">
        <v>5</v>
      </c>
      <c r="J10" s="330" t="n">
        <v>0.974</v>
      </c>
      <c r="K10" s="330" t="n">
        <v>0.9409999999999999</v>
      </c>
    </row>
    <row r="11">
      <c r="B11" s="251" t="n">
        <v>1976</v>
      </c>
      <c r="C11" s="304" t="n">
        <v>9956.799999999999</v>
      </c>
      <c r="D11" s="304" t="n">
        <v>253.4745891575368</v>
      </c>
      <c r="E11" s="304" t="n">
        <v>1942.731663203627</v>
      </c>
      <c r="F11" s="304" t="n">
        <v>522.7937476388364</v>
      </c>
      <c r="G11" s="304" t="n">
        <v>12675.8</v>
      </c>
      <c r="I11" s="251" t="n">
        <v>6</v>
      </c>
      <c r="J11" s="330" t="n">
        <v>0.961</v>
      </c>
      <c r="K11" s="330" t="n">
        <v>0.919</v>
      </c>
    </row>
    <row r="12">
      <c r="B12" s="251" t="n">
        <v>1977</v>
      </c>
      <c r="C12" s="304" t="n">
        <v>11003.6</v>
      </c>
      <c r="D12" s="304" t="n">
        <v>311.7009078858515</v>
      </c>
      <c r="E12" s="304" t="n">
        <v>2230.878373308656</v>
      </c>
      <c r="F12" s="304" t="n">
        <v>566.4207188054924</v>
      </c>
      <c r="G12" s="304" t="n">
        <v>14112.6</v>
      </c>
      <c r="I12" s="251" t="n">
        <v>7</v>
      </c>
      <c r="J12" s="330" t="n">
        <v>0.9419999999999999</v>
      </c>
      <c r="K12" s="330" t="n">
        <v>0.891</v>
      </c>
    </row>
    <row r="13">
      <c r="B13" s="251" t="n">
        <v>1978</v>
      </c>
      <c r="C13" s="304" t="n">
        <v>11107</v>
      </c>
      <c r="D13" s="304" t="n">
        <v>403.7084854397218</v>
      </c>
      <c r="E13" s="304" t="n">
        <v>2406.701250546259</v>
      </c>
      <c r="F13" s="304" t="n">
        <v>663.5902640140196</v>
      </c>
      <c r="G13" s="304" t="n">
        <v>14581</v>
      </c>
      <c r="I13" s="251" t="n">
        <v>8</v>
      </c>
      <c r="J13" s="330" t="n">
        <v>0.92</v>
      </c>
      <c r="K13" s="330" t="n">
        <v>0.859</v>
      </c>
    </row>
    <row r="14">
      <c r="B14" s="251" t="n">
        <v>1979</v>
      </c>
      <c r="C14" s="304" t="n">
        <v>10512</v>
      </c>
      <c r="D14" s="304" t="n">
        <v>368.9983276614683</v>
      </c>
      <c r="E14" s="304" t="n">
        <v>2033.28297586348</v>
      </c>
      <c r="F14" s="304" t="n">
        <v>442.718696475052</v>
      </c>
      <c r="G14" s="304" t="n">
        <v>13357</v>
      </c>
      <c r="I14" s="251" t="n">
        <v>9</v>
      </c>
      <c r="J14" s="330" t="n">
        <v>0.893</v>
      </c>
      <c r="K14" s="330" t="n">
        <v>0.823</v>
      </c>
    </row>
    <row r="15">
      <c r="B15" s="251" t="n">
        <v>1980</v>
      </c>
      <c r="C15" s="304" t="n">
        <v>8948.799999999999</v>
      </c>
      <c r="D15" s="304" t="n">
        <v>194.2300549830681</v>
      </c>
      <c r="E15" s="304" t="n">
        <v>1511.542560293243</v>
      </c>
      <c r="F15" s="304" t="n">
        <v>254.2273847236888</v>
      </c>
      <c r="G15" s="304" t="n">
        <v>10908.8</v>
      </c>
      <c r="I15" s="251" t="n">
        <v>10</v>
      </c>
      <c r="J15" s="330" t="n">
        <v>0.862</v>
      </c>
      <c r="K15" s="330" t="n">
        <v>0.784</v>
      </c>
    </row>
    <row r="16">
      <c r="B16" s="251" t="n">
        <v>1981</v>
      </c>
      <c r="C16" s="304" t="n">
        <v>8488.4</v>
      </c>
      <c r="D16" s="304" t="n">
        <v>130.4781149465264</v>
      </c>
      <c r="E16" s="304" t="n">
        <v>1380.677471524215</v>
      </c>
      <c r="F16" s="304" t="n">
        <v>234.8444135292583</v>
      </c>
      <c r="G16" s="304" t="n">
        <v>10234.4</v>
      </c>
      <c r="I16" s="251" t="n">
        <v>11</v>
      </c>
      <c r="J16" s="330" t="n">
        <v>0.826</v>
      </c>
      <c r="K16" s="330" t="n">
        <v>0.741</v>
      </c>
    </row>
    <row r="17">
      <c r="B17" s="251" t="n">
        <v>1982</v>
      </c>
      <c r="C17" s="304" t="n">
        <v>7956.5</v>
      </c>
      <c r="D17" s="304" t="n">
        <v>174.9525064084306</v>
      </c>
      <c r="E17" s="304" t="n">
        <v>1553.293699393742</v>
      </c>
      <c r="F17" s="304" t="n">
        <v>334.7537941978272</v>
      </c>
      <c r="G17" s="304" t="n">
        <v>10019.5</v>
      </c>
      <c r="I17" s="251" t="n">
        <v>12</v>
      </c>
      <c r="J17" s="330" t="n">
        <v>0.788</v>
      </c>
      <c r="K17" s="330" t="n">
        <v>0.697</v>
      </c>
    </row>
    <row r="18">
      <c r="B18" s="251" t="n">
        <v>1983</v>
      </c>
      <c r="C18" s="304" t="n">
        <v>9148</v>
      </c>
      <c r="D18" s="304" t="n">
        <v>317.1177113376207</v>
      </c>
      <c r="E18" s="304" t="n">
        <v>1784.554856421188</v>
      </c>
      <c r="F18" s="304" t="n">
        <v>419.3274322411909</v>
      </c>
      <c r="G18" s="304" t="n">
        <v>11669</v>
      </c>
      <c r="I18" s="251" t="n">
        <v>13</v>
      </c>
      <c r="J18" s="330" t="n">
        <v>0.718</v>
      </c>
      <c r="K18" s="330" t="n">
        <v>0.651</v>
      </c>
    </row>
    <row r="19">
      <c r="B19" s="251" t="n">
        <v>1984</v>
      </c>
      <c r="C19" s="304" t="n">
        <v>10323.7</v>
      </c>
      <c r="D19" s="304" t="n">
        <v>608.1635843868414</v>
      </c>
      <c r="E19" s="304" t="n">
        <v>1988.73612554911</v>
      </c>
      <c r="F19" s="304" t="n">
        <v>658.1002900640487</v>
      </c>
      <c r="G19" s="304" t="n">
        <v>13578.7</v>
      </c>
      <c r="I19" s="251" t="n">
        <v>14</v>
      </c>
      <c r="J19" s="330" t="n">
        <v>0.613</v>
      </c>
      <c r="K19" s="330" t="n">
        <v>0.605</v>
      </c>
    </row>
    <row r="20">
      <c r="B20" s="251" t="n">
        <v>1985</v>
      </c>
      <c r="C20" s="304" t="n">
        <v>10979.2</v>
      </c>
      <c r="D20" s="304" t="n">
        <v>739.4023923539266</v>
      </c>
      <c r="E20" s="304" t="n">
        <v>2088.696565178835</v>
      </c>
      <c r="F20" s="304" t="n">
        <v>859.9010424672383</v>
      </c>
      <c r="G20" s="304" t="n">
        <v>14667.2</v>
      </c>
      <c r="I20" s="251" t="n">
        <v>15</v>
      </c>
      <c r="J20" s="330" t="n">
        <v>0.51</v>
      </c>
      <c r="K20" s="330" t="n">
        <v>0.553</v>
      </c>
    </row>
    <row r="21">
      <c r="B21" s="251" t="n">
        <v>1986</v>
      </c>
      <c r="C21" s="304" t="n">
        <v>11404.1</v>
      </c>
      <c r="D21" s="304" t="n">
        <v>816.9555758050959</v>
      </c>
      <c r="E21" s="304" t="n">
        <v>2674.081381960485</v>
      </c>
      <c r="F21" s="304" t="n">
        <v>1102.963042234419</v>
      </c>
      <c r="G21" s="304" t="n">
        <v>15998.1</v>
      </c>
      <c r="I21" s="251" t="n">
        <v>16</v>
      </c>
      <c r="J21" s="330" t="n">
        <v>0.415</v>
      </c>
      <c r="K21" s="330" t="n">
        <v>0.502</v>
      </c>
    </row>
    <row r="22">
      <c r="B22" s="251" t="n">
        <v>1987</v>
      </c>
      <c r="C22" s="304" t="n">
        <v>10187.5</v>
      </c>
      <c r="D22" s="304" t="n">
        <v>973.9263843390521</v>
      </c>
      <c r="E22" s="304" t="n">
        <v>2393.762554253433</v>
      </c>
      <c r="F22" s="304" t="n">
        <v>1242.311061407515</v>
      </c>
      <c r="G22" s="304" t="n">
        <v>14797.5</v>
      </c>
      <c r="I22" s="251" t="n">
        <v>17</v>
      </c>
      <c r="J22" s="330" t="n">
        <v>0.332</v>
      </c>
      <c r="K22" s="330" t="n">
        <v>0.453</v>
      </c>
    </row>
    <row r="23">
      <c r="B23" s="251" t="n">
        <v>1988</v>
      </c>
      <c r="C23" s="304" t="n">
        <v>10543.6</v>
      </c>
      <c r="D23" s="304" t="n">
        <v>1018.922536557874</v>
      </c>
      <c r="E23" s="304" t="n">
        <v>2588.408159979067</v>
      </c>
      <c r="F23" s="304" t="n">
        <v>1192.66930346306</v>
      </c>
      <c r="G23" s="304" t="n">
        <v>15343.6</v>
      </c>
      <c r="I23" s="251" t="n">
        <v>18</v>
      </c>
      <c r="J23" s="330" t="n">
        <v>0.261</v>
      </c>
      <c r="K23" s="330" t="n">
        <v>0.407</v>
      </c>
    </row>
    <row r="24">
      <c r="B24" s="251" t="n">
        <v>1989</v>
      </c>
      <c r="C24" s="304" t="n">
        <v>9775.9</v>
      </c>
      <c r="D24" s="304" t="n">
        <v>962.4485592684564</v>
      </c>
      <c r="E24" s="304" t="n">
        <v>2319.527468731466</v>
      </c>
      <c r="F24" s="304" t="n">
        <v>1328.023972000078</v>
      </c>
      <c r="G24" s="304" t="n">
        <v>14385.9</v>
      </c>
      <c r="I24" s="251" t="n">
        <v>19</v>
      </c>
      <c r="J24" s="330" t="n">
        <v>0.203</v>
      </c>
      <c r="K24" s="330" t="n">
        <v>0.364</v>
      </c>
    </row>
    <row r="25">
      <c r="B25" s="251" t="n">
        <v>1990</v>
      </c>
      <c r="C25" s="304" t="n">
        <v>9301.200000000001</v>
      </c>
      <c r="D25" s="304" t="n">
        <v>846.5192743764172</v>
      </c>
      <c r="E25" s="304" t="n">
        <v>2192.672633965867</v>
      </c>
      <c r="F25" s="304" t="n">
        <v>1508.808091657716</v>
      </c>
      <c r="G25" s="304" t="n">
        <v>13849.2</v>
      </c>
      <c r="I25" s="251" t="n">
        <v>20</v>
      </c>
      <c r="J25" s="330" t="n">
        <v>0.157</v>
      </c>
      <c r="K25" s="330" t="n">
        <v>0.324</v>
      </c>
    </row>
    <row r="26">
      <c r="B26" s="251" t="n">
        <v>1991</v>
      </c>
      <c r="C26" s="304" t="n">
        <v>8185</v>
      </c>
      <c r="D26" s="304" t="n">
        <v>1114.821694401575</v>
      </c>
      <c r="E26" s="304" t="n">
        <v>1954.998692696802</v>
      </c>
      <c r="F26" s="304" t="n">
        <v>1052.179612901623</v>
      </c>
      <c r="G26" s="304" t="n">
        <v>12307</v>
      </c>
      <c r="I26" s="251" t="n">
        <v>21</v>
      </c>
      <c r="J26" s="330" t="n">
        <v>0.12</v>
      </c>
      <c r="K26" s="330" t="n">
        <v>0.288</v>
      </c>
    </row>
    <row r="27">
      <c r="B27" s="251" t="n">
        <v>1992</v>
      </c>
      <c r="C27" s="304" t="n">
        <v>8213.1</v>
      </c>
      <c r="D27" s="304" t="n">
        <v>1142.68707511515</v>
      </c>
      <c r="E27" s="304" t="n">
        <v>2095.480818414322</v>
      </c>
      <c r="F27" s="304" t="n">
        <v>1390.832106470529</v>
      </c>
      <c r="G27" s="304" t="n">
        <v>12842.1</v>
      </c>
      <c r="I27" s="251" t="n">
        <v>22</v>
      </c>
      <c r="J27" s="330" t="n">
        <v>0.092</v>
      </c>
      <c r="K27" s="330" t="n">
        <v>0.255</v>
      </c>
    </row>
    <row r="28">
      <c r="B28" s="251" t="n">
        <v>1993</v>
      </c>
      <c r="C28" s="304" t="n">
        <v>8517.9</v>
      </c>
      <c r="D28" s="304" t="n">
        <v>1475.25040986112</v>
      </c>
      <c r="E28" s="304" t="n">
        <v>2253.51982894203</v>
      </c>
      <c r="F28" s="304" t="n">
        <v>1622.22976119685</v>
      </c>
      <c r="G28" s="304" t="n">
        <v>13868.9</v>
      </c>
      <c r="I28" s="251" t="n">
        <v>23</v>
      </c>
      <c r="J28" s="330" t="n">
        <v>0.07000000000000001</v>
      </c>
      <c r="K28" s="330" t="n">
        <v>0.225</v>
      </c>
    </row>
    <row r="29">
      <c r="B29" s="251" t="n">
        <v>1994</v>
      </c>
      <c r="C29" s="304" t="n">
        <v>8990.5</v>
      </c>
      <c r="D29" s="304" t="n">
        <v>1714.973254571361</v>
      </c>
      <c r="E29" s="304" t="n">
        <v>2820.014411659939</v>
      </c>
      <c r="F29" s="304" t="n">
        <v>1498.012333768701</v>
      </c>
      <c r="G29" s="304" t="n">
        <v>15023.5</v>
      </c>
      <c r="I29" s="251" t="n">
        <v>24</v>
      </c>
      <c r="J29" s="330" t="n">
        <v>0.053</v>
      </c>
      <c r="K29" s="330" t="n">
        <v>0.198</v>
      </c>
    </row>
    <row r="30">
      <c r="B30" s="251" t="n">
        <v>1995</v>
      </c>
      <c r="C30" s="304" t="n">
        <v>8620.200000000001</v>
      </c>
      <c r="D30" s="304" t="n">
        <v>1912.401030004478</v>
      </c>
      <c r="E30" s="304" t="n">
        <v>2391.015523827085</v>
      </c>
      <c r="F30" s="304" t="n">
        <v>1749.583446168436</v>
      </c>
      <c r="G30" s="304" t="n">
        <v>14673.2</v>
      </c>
      <c r="I30" s="251" t="n">
        <v>25</v>
      </c>
      <c r="J30" s="330" t="n">
        <v>0.04</v>
      </c>
      <c r="K30" s="330" t="n">
        <v>0.174</v>
      </c>
    </row>
    <row r="31">
      <c r="B31" s="251" t="n">
        <v>1996</v>
      </c>
      <c r="C31" s="304" t="n">
        <v>8478.5</v>
      </c>
      <c r="D31" s="304" t="n">
        <v>2344.507854149728</v>
      </c>
      <c r="E31" s="304" t="n">
        <v>2426.067724060291</v>
      </c>
      <c r="F31" s="304" t="n">
        <v>1748.42442178998</v>
      </c>
      <c r="G31" s="304" t="n">
        <v>14997.5</v>
      </c>
      <c r="I31" s="251" t="n">
        <v>26</v>
      </c>
      <c r="J31" s="330" t="n">
        <v>0.03</v>
      </c>
      <c r="K31" s="330" t="n">
        <v>0.153</v>
      </c>
    </row>
    <row r="32">
      <c r="B32" s="251" t="n">
        <v>1997</v>
      </c>
      <c r="C32" s="304" t="n">
        <v>8217.5</v>
      </c>
      <c r="D32" s="304" t="n">
        <v>2719.596020032065</v>
      </c>
      <c r="E32" s="304" t="n">
        <v>2672.813794357305</v>
      </c>
      <c r="F32" s="304" t="n">
        <v>1404.590185610631</v>
      </c>
      <c r="G32" s="304" t="n">
        <v>15014.5</v>
      </c>
      <c r="I32" s="251" t="n">
        <v>27</v>
      </c>
      <c r="J32" s="330" t="n">
        <v>0.023</v>
      </c>
      <c r="K32" s="330" t="n">
        <v>0.133</v>
      </c>
    </row>
    <row r="33">
      <c r="B33" s="251" t="n">
        <v>1998</v>
      </c>
      <c r="C33" s="304" t="n">
        <v>8085</v>
      </c>
      <c r="D33" s="304" t="n">
        <v>2905.41517887993</v>
      </c>
      <c r="E33" s="304" t="n">
        <v>2717.781137635784</v>
      </c>
      <c r="F33" s="304" t="n">
        <v>1675.803683484286</v>
      </c>
      <c r="G33" s="304" t="n">
        <v>15384</v>
      </c>
      <c r="I33" s="251" t="n">
        <v>28</v>
      </c>
      <c r="J33" s="330" t="n">
        <v>0.013</v>
      </c>
      <c r="K33" s="330" t="n">
        <v>0.117</v>
      </c>
    </row>
    <row r="34">
      <c r="B34" s="251" t="n">
        <v>1999</v>
      </c>
      <c r="C34" s="304" t="n">
        <v>8637.700000000001</v>
      </c>
      <c r="D34" s="304" t="n">
        <v>3341.860463408774</v>
      </c>
      <c r="E34" s="304" t="n">
        <v>3003.871888433025</v>
      </c>
      <c r="F34" s="304" t="n">
        <v>1727.267648158202</v>
      </c>
      <c r="G34" s="304" t="n">
        <v>16710.7</v>
      </c>
      <c r="I34" s="251" t="n">
        <v>29</v>
      </c>
      <c r="J34" s="330" t="n">
        <v>0.01</v>
      </c>
      <c r="K34" s="330" t="n">
        <v>0.102</v>
      </c>
    </row>
    <row r="35">
      <c r="B35" s="251" t="n">
        <v>2000</v>
      </c>
      <c r="C35" s="304" t="n">
        <v>8777.700000000001</v>
      </c>
      <c r="D35" s="304" t="n">
        <v>3539.605079495077</v>
      </c>
      <c r="E35" s="304" t="n">
        <v>2941.919494543059</v>
      </c>
      <c r="F35" s="304" t="n">
        <v>1904.475425961863</v>
      </c>
      <c r="G35" s="304" t="n">
        <v>17163.7</v>
      </c>
      <c r="I35" s="251" t="n">
        <v>30</v>
      </c>
      <c r="J35" s="330" t="n">
        <v>0.007</v>
      </c>
      <c r="K35" s="330" t="n">
        <v>0.089</v>
      </c>
    </row>
    <row r="36">
      <c r="B36" s="251" t="n">
        <v>2001</v>
      </c>
      <c r="C36" s="304" t="n">
        <v>8352</v>
      </c>
      <c r="D36" s="304" t="n">
        <v>4119.038827124374</v>
      </c>
      <c r="E36" s="304" t="n">
        <v>3007.427345426175</v>
      </c>
      <c r="F36" s="304" t="n">
        <v>1471.533827449451</v>
      </c>
      <c r="G36" s="304" t="n">
        <v>16950</v>
      </c>
      <c r="I36" s="251" t="n">
        <v>31</v>
      </c>
      <c r="J36" s="330" t="n">
        <v>0.002</v>
      </c>
      <c r="K36" s="330" t="n">
        <v>0.027</v>
      </c>
    </row>
    <row r="37">
      <c r="B37" s="251" t="n">
        <v>2002</v>
      </c>
      <c r="C37" s="304" t="n">
        <v>8042.3</v>
      </c>
      <c r="D37" s="304" t="n">
        <v>4629.75120902962</v>
      </c>
      <c r="E37" s="304" t="n">
        <v>2629.72916705335</v>
      </c>
      <c r="F37" s="304" t="n">
        <v>1373.519623917029</v>
      </c>
      <c r="G37" s="304" t="n">
        <v>16675.3</v>
      </c>
    </row>
    <row r="38">
      <c r="B38" s="251" t="n">
        <v>2003</v>
      </c>
      <c r="C38" s="304" t="n">
        <v>7555.6</v>
      </c>
      <c r="D38" s="304" t="n">
        <v>4719.707116097345</v>
      </c>
      <c r="E38" s="304" t="n">
        <v>2815.941753462632</v>
      </c>
      <c r="F38" s="304" t="n">
        <v>1402.351130440023</v>
      </c>
      <c r="G38" s="304" t="n">
        <v>16493.6</v>
      </c>
    </row>
    <row r="39">
      <c r="B39" s="251" t="n">
        <v>2004</v>
      </c>
      <c r="C39" s="304" t="n">
        <v>7482.6</v>
      </c>
      <c r="D39" s="304" t="n">
        <v>5337.48665819568</v>
      </c>
      <c r="E39" s="304" t="n">
        <v>2837.196950444727</v>
      </c>
      <c r="F39" s="304" t="n">
        <v>1079.316391359593</v>
      </c>
      <c r="G39" s="304" t="n">
        <v>16736.6</v>
      </c>
    </row>
    <row r="40">
      <c r="B40" s="251" t="n">
        <v>2005</v>
      </c>
      <c r="C40" s="304" t="n">
        <v>7660</v>
      </c>
      <c r="D40" s="304" t="n">
        <v>4732.681782273038</v>
      </c>
      <c r="E40" s="304" t="n">
        <v>2665.453833891312</v>
      </c>
      <c r="F40" s="304" t="n">
        <v>1715.864383835649</v>
      </c>
      <c r="G40" s="304" t="n">
        <v>16774</v>
      </c>
    </row>
    <row r="41">
      <c r="B41" s="251" t="n">
        <v>2006</v>
      </c>
      <c r="C41" s="304" t="n">
        <v>7761.6</v>
      </c>
      <c r="D41" s="304" t="n">
        <v>4530.087129024104</v>
      </c>
      <c r="E41" s="304" t="n">
        <v>2638.055787893012</v>
      </c>
      <c r="F41" s="304" t="n">
        <v>1405.857083082883</v>
      </c>
      <c r="G41" s="304" t="n">
        <v>16335.6</v>
      </c>
    </row>
    <row r="42">
      <c r="B42" s="251" t="n">
        <v>2007</v>
      </c>
      <c r="C42" s="304" t="n">
        <v>7562.3</v>
      </c>
      <c r="D42" s="304" t="n">
        <v>4887.411352638027</v>
      </c>
      <c r="E42" s="304" t="n">
        <v>2439.517368491461</v>
      </c>
      <c r="F42" s="304" t="n">
        <v>978.0712788705118</v>
      </c>
      <c r="G42" s="304" t="n">
        <v>15867.3</v>
      </c>
    </row>
    <row r="43">
      <c r="B43" s="251" t="n">
        <v>2008</v>
      </c>
      <c r="C43" s="304" t="n">
        <v>6769.1</v>
      </c>
      <c r="D43" s="304" t="n">
        <v>3793.257516676736</v>
      </c>
      <c r="E43" s="304" t="n">
        <v>1702.90161676672</v>
      </c>
      <c r="F43" s="304" t="n">
        <v>749.8408665565446</v>
      </c>
      <c r="G43" s="304" t="n">
        <v>13015.1</v>
      </c>
    </row>
    <row r="44">
      <c r="B44" s="251" t="n">
        <v>2009</v>
      </c>
      <c r="C44" s="304" t="n">
        <v>5401.6</v>
      </c>
      <c r="D44" s="304" t="n">
        <v>3050.5502054498</v>
      </c>
      <c r="E44" s="304" t="n">
        <v>1299.899262507374</v>
      </c>
      <c r="F44" s="304" t="n">
        <v>483.5505320428267</v>
      </c>
      <c r="G44" s="304" t="n">
        <v>10235.6</v>
      </c>
    </row>
    <row r="45">
      <c r="B45" s="251" t="n">
        <v>2010</v>
      </c>
      <c r="C45" s="304" t="n">
        <v>5635.7</v>
      </c>
      <c r="D45" s="304" t="n">
        <v>3667.627771266993</v>
      </c>
      <c r="E45" s="304" t="n">
        <v>1453.575291171304</v>
      </c>
      <c r="F45" s="304" t="n">
        <v>636.7969375617029</v>
      </c>
      <c r="G45" s="304" t="n">
        <v>11393.7</v>
      </c>
    </row>
    <row r="46">
      <c r="B46" s="251" t="n">
        <v>2011</v>
      </c>
      <c r="C46" s="304" t="n">
        <v>6092.9</v>
      </c>
      <c r="D46" s="304" t="n">
        <v>4393.928678672927</v>
      </c>
      <c r="E46" s="304" t="n">
        <v>1519.721277663298</v>
      </c>
      <c r="F46" s="304" t="n">
        <v>535.3500436637735</v>
      </c>
      <c r="G46" s="304" t="n">
        <v>12541.9</v>
      </c>
    </row>
    <row r="47">
      <c r="B47" s="251" t="n">
        <v>2012</v>
      </c>
      <c r="C47" s="304" t="n">
        <v>7245.2</v>
      </c>
      <c r="D47" s="304" t="n">
        <v>4649.505221614923</v>
      </c>
      <c r="E47" s="304" t="n">
        <v>1562.480487181936</v>
      </c>
      <c r="F47" s="304" t="n">
        <v>762.8142912031414</v>
      </c>
      <c r="G47" s="304" t="n">
        <v>14220</v>
      </c>
    </row>
    <row r="48">
      <c r="B48" s="251" t="n">
        <v>2013</v>
      </c>
      <c r="C48" s="304" t="n">
        <v>7586.3</v>
      </c>
      <c r="D48" s="304" t="n">
        <v>5322.429076291914</v>
      </c>
      <c r="E48" s="304" t="n">
        <v>1740.040369448356</v>
      </c>
      <c r="F48" s="304" t="n">
        <v>630.13055425973</v>
      </c>
      <c r="G48" s="304" t="n">
        <v>15278.9</v>
      </c>
    </row>
    <row r="49">
      <c r="B49" s="251" t="n">
        <v>2014</v>
      </c>
      <c r="C49" s="304" t="n">
        <v>7708</v>
      </c>
      <c r="D49" s="304" t="n">
        <v>5681.569022620387</v>
      </c>
      <c r="E49" s="304" t="n">
        <v>2078.514368408298</v>
      </c>
      <c r="F49" s="304" t="n">
        <v>723.7166089713153</v>
      </c>
      <c r="G49" s="304" t="n">
        <v>16191.8</v>
      </c>
    </row>
    <row r="50">
      <c r="B50" s="251" t="n">
        <v>2015</v>
      </c>
      <c r="C50" s="304" t="n">
        <v>7528.5</v>
      </c>
      <c r="D50" s="304" t="n">
        <v>6933.327556266748</v>
      </c>
      <c r="E50" s="304" t="n">
        <v>1935.378602255404</v>
      </c>
      <c r="F50" s="304" t="n">
        <v>709.6938414778484</v>
      </c>
      <c r="G50" s="304" t="n">
        <v>17106.9</v>
      </c>
    </row>
    <row r="51">
      <c r="B51" s="251" t="n">
        <v>2016</v>
      </c>
      <c r="C51" s="304" t="n">
        <v>6883.3</v>
      </c>
      <c r="D51" s="304" t="n">
        <v>7440.786091289261</v>
      </c>
      <c r="E51" s="304" t="n">
        <v>2146.155807456179</v>
      </c>
      <c r="F51" s="304" t="n">
        <v>709.05810125456</v>
      </c>
      <c r="G51" s="304" t="n">
        <v>17179.3</v>
      </c>
    </row>
    <row r="52">
      <c r="B52" s="251" t="n">
        <v>2017</v>
      </c>
      <c r="C52" s="304" t="n">
        <v>6089.2</v>
      </c>
      <c r="D52" s="304" t="n">
        <v>7880.883452183555</v>
      </c>
      <c r="E52" s="304" t="n">
        <v>2197.399641923441</v>
      </c>
      <c r="F52" s="304" t="n">
        <v>659.7169058930043</v>
      </c>
      <c r="G52" s="304" t="n">
        <v>16827.2</v>
      </c>
    </row>
    <row r="53">
      <c r="B53" s="251" t="n">
        <v>2018</v>
      </c>
      <c r="C53" s="304" t="n">
        <v>5310.3</v>
      </c>
      <c r="D53" s="304" t="n">
        <v>8489.711548913259</v>
      </c>
      <c r="E53" s="304" t="n">
        <v>2547.034448260345</v>
      </c>
      <c r="F53" s="304" t="n">
        <v>572.4540028263976</v>
      </c>
      <c r="G53" s="304" t="n">
        <v>16919.5</v>
      </c>
    </row>
    <row r="54">
      <c r="B54" s="251" t="n">
        <v>2019</v>
      </c>
      <c r="C54" s="304" t="n">
        <v>4719.7</v>
      </c>
      <c r="D54" s="304" t="n">
        <v>8537.217167153631</v>
      </c>
      <c r="E54" s="304" t="n">
        <v>2764.710550055136</v>
      </c>
      <c r="F54" s="304" t="n">
        <v>608.5722827912341</v>
      </c>
      <c r="G54" s="304" t="n">
        <v>16630.2</v>
      </c>
    </row>
    <row r="55">
      <c r="B55" s="251" t="n">
        <v>2020</v>
      </c>
      <c r="C55" s="304" t="n">
        <v>3401.8</v>
      </c>
      <c r="D55" s="304" t="n">
        <v>8031.003407382953</v>
      </c>
      <c r="E55" s="304" t="n">
        <v>2235.589818973731</v>
      </c>
      <c r="F55" s="304" t="n">
        <v>454.6067736433167</v>
      </c>
      <c r="G55" s="304" t="n">
        <v>14123</v>
      </c>
    </row>
    <row r="56">
      <c r="B56" s="251" t="n">
        <v>2021</v>
      </c>
      <c r="C56" s="304" t="n">
        <v>3350.1</v>
      </c>
      <c r="D56" s="304" t="n">
        <v>8462.557273044124</v>
      </c>
      <c r="E56" s="304" t="n">
        <v>2431.768810682715</v>
      </c>
      <c r="F56" s="304" t="n">
        <v>325.7739162731612</v>
      </c>
      <c r="G56" s="304" t="n">
        <v>14570.2</v>
      </c>
    </row>
    <row r="57">
      <c r="B57" s="251" t="n">
        <v>2022</v>
      </c>
      <c r="C57" s="304" t="n">
        <v>2930.7</v>
      </c>
      <c r="D57" s="304" t="n">
        <v>7775.565933828065</v>
      </c>
      <c r="E57" s="304" t="n">
        <v>2348.80937728459</v>
      </c>
      <c r="F57" s="304" t="n">
        <v>417.324688887346</v>
      </c>
      <c r="G57" s="304" t="n">
        <v>13472.4</v>
      </c>
    </row>
    <row r="58">
      <c r="B58" s="251" t="n">
        <v>2023</v>
      </c>
      <c r="C58" s="304" t="n">
        <v>3184.6</v>
      </c>
      <c r="D58" s="304" t="n">
        <v>9243.923780416222</v>
      </c>
      <c r="E58" s="304" t="n">
        <v>2344.708237193169</v>
      </c>
      <c r="F58" s="304" t="n">
        <v>394.7679823906083</v>
      </c>
      <c r="G58" s="304" t="n">
        <v>15168</v>
      </c>
    </row>
    <row r="59">
      <c r="B59" s="251" t="n">
        <v>2024</v>
      </c>
      <c r="C59" s="304" t="n">
        <v>3040.5</v>
      </c>
      <c r="D59" s="304" t="n">
        <v>9830.596612079278</v>
      </c>
      <c r="E59" s="304" t="n">
        <v>2296.951184881315</v>
      </c>
      <c r="F59" s="304" t="n">
        <v>328.152203039407</v>
      </c>
      <c r="G59" s="304" t="n">
        <v>15496.2</v>
      </c>
    </row>
    <row r="60">
      <c r="B60" s="251" t="n">
        <v>2025</v>
      </c>
      <c r="C60" s="304" t="n">
        <v>2764.4</v>
      </c>
      <c r="D60" s="304" t="n">
        <v>10331.60921910642</v>
      </c>
      <c r="E60" s="304" t="n">
        <v>2414.014425980785</v>
      </c>
      <c r="F60" s="304" t="n">
        <v>344.8763549127995</v>
      </c>
      <c r="G60" s="304" t="n">
        <v>15854.9</v>
      </c>
    </row>
    <row r="61">
      <c r="B61" s="251" t="n">
        <v>2026</v>
      </c>
      <c r="C61" s="304" t="n">
        <v>2764.4</v>
      </c>
      <c r="D61" s="304" t="n">
        <v>10331.60921910642</v>
      </c>
      <c r="E61" s="304" t="n">
        <v>2414.014425980785</v>
      </c>
      <c r="F61" s="304" t="n">
        <v>344.8763549127995</v>
      </c>
      <c r="G61" s="304" t="n">
        <v>15854.9</v>
      </c>
    </row>
    <row r="62">
      <c r="B62" s="251" t="n">
        <v>2027</v>
      </c>
      <c r="C62" s="304" t="n">
        <v>2764.4</v>
      </c>
      <c r="D62" s="304" t="n">
        <v>10331.60921910642</v>
      </c>
      <c r="E62" s="304" t="n">
        <v>2414.014425980785</v>
      </c>
      <c r="F62" s="304" t="n">
        <v>344.8763549127995</v>
      </c>
      <c r="G62" s="304" t="n">
        <v>15854.9</v>
      </c>
    </row>
    <row r="63">
      <c r="B63" s="251" t="n">
        <v>2028</v>
      </c>
      <c r="C63" s="304" t="n">
        <v>2764.4</v>
      </c>
      <c r="D63" s="304" t="n">
        <v>10331.60921910642</v>
      </c>
      <c r="E63" s="304" t="n">
        <v>2414.014425980785</v>
      </c>
      <c r="F63" s="304" t="n">
        <v>344.8763549127995</v>
      </c>
      <c r="G63" s="304" t="n">
        <v>15854.9</v>
      </c>
    </row>
    <row r="65">
      <c r="B65" s="252" t="inlineStr">
        <is>
          <t>Births 2026–2027 hold the final model-year mix and the existing 2025 total (candidate_body_births.csv, ASSUMED); 2028 repeats 2027 (ASSUMED, added at build because the file ends at 2027). Survival beyond the table is zero (age_curves.py convention).</t>
        </is>
      </c>
    </row>
  </sheetData>
  <pageMargins left="0.75" right="0.75" top="1" bottom="1" header="0.5" footer="0.5"/>
</worksheet>
</file>

<file path=xl/worksheets/sheet30.xml><?xml version="1.0" encoding="utf-8"?>
<worksheet xmlns="http://schemas.openxmlformats.org/spreadsheetml/2006/main">
  <sheetPr>
    <tabColor rgb="FFBFBFBF"/>
    <outlinePr summaryBelow="1" summaryRight="1"/>
    <pageSetUpPr/>
  </sheetPr>
  <dimension ref="B1:S1019"/>
  <sheetViews>
    <sheetView showGridLines="0" zoomScale="90" workbookViewId="0">
      <selection activeCell="A1" sqref="A1"/>
    </sheetView>
  </sheetViews>
  <sheetFormatPr baseColWidth="10" defaultColWidth="8.83203125" defaultRowHeight="15"/>
  <cols>
    <col width="2.5" customWidth="1" style="392" min="1" max="1"/>
    <col width="14" customWidth="1" style="392" min="2" max="2"/>
    <col width="8" customWidth="1" style="392" min="3" max="3"/>
    <col width="13" customWidth="1" style="392" min="4" max="15"/>
    <col width="48" customWidth="1" style="392" min="19" max="19"/>
  </cols>
  <sheetData>
    <row r="1" ht="17" customHeight="1" s="392">
      <c r="B1" s="269" t="inlineStr">
        <is>
          <t>D Fees — Copart posted buyer fee schedule, read 26 Sep 2026</t>
        </is>
      </c>
      <c r="C1" s="270" t="n"/>
      <c r="D1" s="270" t="n"/>
      <c r="E1" s="270" t="n"/>
      <c r="F1" s="270" t="n"/>
      <c r="G1" s="270" t="n"/>
      <c r="H1" s="270" t="n"/>
      <c r="I1" s="270" t="n"/>
      <c r="J1" s="270" t="n"/>
      <c r="K1" s="270" t="n"/>
      <c r="L1" s="270" t="n"/>
      <c r="M1" s="270" t="n"/>
      <c r="N1" s="270" t="n"/>
      <c r="O1" s="270" t="n"/>
      <c r="P1" s="270" t="n"/>
      <c r="Q1" s="270" t="n"/>
      <c r="R1" s="270" t="n"/>
      <c r="S1" s="270" t="n"/>
    </row>
    <row r="2">
      <c r="B2" s="252" t="inlineStr">
        <is>
          <t>VERIFIED page text (owner-driven browser reads; raw/fees/live_2026-09/). One dated snapshot; its use for history is a proxy. IAA grid and fixed fees alongside.</t>
        </is>
      </c>
    </row>
    <row r="4">
      <c r="B4" s="357" t="inlineStr">
        <is>
          <t>read_date</t>
        </is>
      </c>
      <c r="C4" s="358" t="inlineStr">
        <is>
          <t>page</t>
        </is>
      </c>
      <c r="D4" s="358" t="inlineStr">
        <is>
          <t>title_group</t>
        </is>
      </c>
      <c r="E4" s="358" t="inlineStr">
        <is>
          <t>vehicle_class</t>
        </is>
      </c>
      <c r="F4" s="358" t="inlineStr">
        <is>
          <t>fee_type</t>
        </is>
      </c>
      <c r="G4" s="358" t="inlineStr">
        <is>
          <t>payment_method</t>
        </is>
      </c>
      <c r="H4" s="358" t="inlineStr">
        <is>
          <t>band_low_usd</t>
        </is>
      </c>
      <c r="I4" s="358" t="inlineStr">
        <is>
          <t>band_high_usd</t>
        </is>
      </c>
      <c r="J4" s="358" t="inlineStr">
        <is>
          <t>fee_usd</t>
        </is>
      </c>
      <c r="K4" s="358" t="inlineStr">
        <is>
          <t>fee_pct</t>
        </is>
      </c>
    </row>
    <row r="5">
      <c r="B5" s="254" t="inlineStr">
        <is>
          <t>2026-09-26</t>
        </is>
      </c>
      <c r="C5" s="254" t="inlineStr">
        <is>
          <t>non-licensed</t>
        </is>
      </c>
      <c r="D5" s="254" t="inlineStr">
        <is>
          <t>non-clean</t>
        </is>
      </c>
      <c r="E5" s="254" t="inlineStr">
        <is>
          <t>standard</t>
        </is>
      </c>
      <c r="F5" s="254" t="inlineStr">
        <is>
          <t>buyer_fee</t>
        </is>
      </c>
      <c r="G5" s="254" t="inlineStr">
        <is>
          <t>secured</t>
        </is>
      </c>
      <c r="H5" s="251" t="n">
        <v>0</v>
      </c>
      <c r="I5" s="251" t="n">
        <v>49.99</v>
      </c>
      <c r="J5" s="251" t="n">
        <v>25</v>
      </c>
      <c r="K5" s="254" t="n"/>
    </row>
    <row r="6">
      <c r="B6" s="254" t="inlineStr">
        <is>
          <t>2026-09-26</t>
        </is>
      </c>
      <c r="C6" s="254" t="inlineStr">
        <is>
          <t>non-licensed</t>
        </is>
      </c>
      <c r="D6" s="254" t="inlineStr">
        <is>
          <t>non-clean</t>
        </is>
      </c>
      <c r="E6" s="254" t="inlineStr">
        <is>
          <t>standard</t>
        </is>
      </c>
      <c r="F6" s="254" t="inlineStr">
        <is>
          <t>buyer_fee</t>
        </is>
      </c>
      <c r="G6" s="254" t="inlineStr">
        <is>
          <t>secured</t>
        </is>
      </c>
      <c r="H6" s="251" t="n">
        <v>50</v>
      </c>
      <c r="I6" s="251" t="n">
        <v>99.98999999999999</v>
      </c>
      <c r="J6" s="251" t="n">
        <v>45</v>
      </c>
      <c r="K6" s="254" t="n"/>
    </row>
    <row r="7">
      <c r="B7" s="254" t="inlineStr">
        <is>
          <t>2026-09-26</t>
        </is>
      </c>
      <c r="C7" s="254" t="inlineStr">
        <is>
          <t>non-licensed</t>
        </is>
      </c>
      <c r="D7" s="254" t="inlineStr">
        <is>
          <t>non-clean</t>
        </is>
      </c>
      <c r="E7" s="254" t="inlineStr">
        <is>
          <t>standard</t>
        </is>
      </c>
      <c r="F7" s="254" t="inlineStr">
        <is>
          <t>buyer_fee</t>
        </is>
      </c>
      <c r="G7" s="254" t="inlineStr">
        <is>
          <t>secured</t>
        </is>
      </c>
      <c r="H7" s="251" t="n">
        <v>100</v>
      </c>
      <c r="I7" s="251" t="n">
        <v>199.99</v>
      </c>
      <c r="J7" s="251" t="n">
        <v>80</v>
      </c>
      <c r="K7" s="254" t="n"/>
    </row>
    <row r="8">
      <c r="B8" s="254" t="inlineStr">
        <is>
          <t>2026-09-26</t>
        </is>
      </c>
      <c r="C8" s="254" t="inlineStr">
        <is>
          <t>non-licensed</t>
        </is>
      </c>
      <c r="D8" s="254" t="inlineStr">
        <is>
          <t>non-clean</t>
        </is>
      </c>
      <c r="E8" s="254" t="inlineStr">
        <is>
          <t>standard</t>
        </is>
      </c>
      <c r="F8" s="254" t="inlineStr">
        <is>
          <t>buyer_fee</t>
        </is>
      </c>
      <c r="G8" s="254" t="inlineStr">
        <is>
          <t>secured</t>
        </is>
      </c>
      <c r="H8" s="251" t="n">
        <v>200</v>
      </c>
      <c r="I8" s="251" t="n">
        <v>299.99</v>
      </c>
      <c r="J8" s="251" t="n">
        <v>130</v>
      </c>
      <c r="K8" s="254" t="n"/>
    </row>
    <row r="9">
      <c r="B9" s="254" t="inlineStr">
        <is>
          <t>2026-09-26</t>
        </is>
      </c>
      <c r="C9" s="254" t="inlineStr">
        <is>
          <t>non-licensed</t>
        </is>
      </c>
      <c r="D9" s="254" t="inlineStr">
        <is>
          <t>non-clean</t>
        </is>
      </c>
      <c r="E9" s="254" t="inlineStr">
        <is>
          <t>standard</t>
        </is>
      </c>
      <c r="F9" s="254" t="inlineStr">
        <is>
          <t>buyer_fee</t>
        </is>
      </c>
      <c r="G9" s="254" t="inlineStr">
        <is>
          <t>secured</t>
        </is>
      </c>
      <c r="H9" s="251" t="n">
        <v>300</v>
      </c>
      <c r="I9" s="251" t="n">
        <v>349.99</v>
      </c>
      <c r="J9" s="251" t="n">
        <v>137.5</v>
      </c>
      <c r="K9" s="254" t="n"/>
    </row>
    <row r="10">
      <c r="B10" s="254" t="inlineStr">
        <is>
          <t>2026-09-26</t>
        </is>
      </c>
      <c r="C10" s="254" t="inlineStr">
        <is>
          <t>non-licensed</t>
        </is>
      </c>
      <c r="D10" s="254" t="inlineStr">
        <is>
          <t>non-clean</t>
        </is>
      </c>
      <c r="E10" s="254" t="inlineStr">
        <is>
          <t>standard</t>
        </is>
      </c>
      <c r="F10" s="254" t="inlineStr">
        <is>
          <t>buyer_fee</t>
        </is>
      </c>
      <c r="G10" s="254" t="inlineStr">
        <is>
          <t>secured</t>
        </is>
      </c>
      <c r="H10" s="251" t="n">
        <v>350</v>
      </c>
      <c r="I10" s="251" t="n">
        <v>399.99</v>
      </c>
      <c r="J10" s="251" t="n">
        <v>145</v>
      </c>
      <c r="K10" s="254" t="n"/>
    </row>
    <row r="11">
      <c r="B11" s="254" t="inlineStr">
        <is>
          <t>2026-09-26</t>
        </is>
      </c>
      <c r="C11" s="254" t="inlineStr">
        <is>
          <t>non-licensed</t>
        </is>
      </c>
      <c r="D11" s="254" t="inlineStr">
        <is>
          <t>non-clean</t>
        </is>
      </c>
      <c r="E11" s="254" t="inlineStr">
        <is>
          <t>standard</t>
        </is>
      </c>
      <c r="F11" s="254" t="inlineStr">
        <is>
          <t>buyer_fee</t>
        </is>
      </c>
      <c r="G11" s="254" t="inlineStr">
        <is>
          <t>secured</t>
        </is>
      </c>
      <c r="H11" s="251" t="n">
        <v>400</v>
      </c>
      <c r="I11" s="251" t="n">
        <v>449.99</v>
      </c>
      <c r="J11" s="251" t="n">
        <v>175</v>
      </c>
      <c r="K11" s="254" t="n"/>
    </row>
    <row r="12">
      <c r="B12" s="254" t="inlineStr">
        <is>
          <t>2026-09-26</t>
        </is>
      </c>
      <c r="C12" s="254" t="inlineStr">
        <is>
          <t>non-licensed</t>
        </is>
      </c>
      <c r="D12" s="254" t="inlineStr">
        <is>
          <t>non-clean</t>
        </is>
      </c>
      <c r="E12" s="254" t="inlineStr">
        <is>
          <t>standard</t>
        </is>
      </c>
      <c r="F12" s="254" t="inlineStr">
        <is>
          <t>buyer_fee</t>
        </is>
      </c>
      <c r="G12" s="254" t="inlineStr">
        <is>
          <t>secured</t>
        </is>
      </c>
      <c r="H12" s="251" t="n">
        <v>450</v>
      </c>
      <c r="I12" s="251" t="n">
        <v>499.99</v>
      </c>
      <c r="J12" s="251" t="n">
        <v>185</v>
      </c>
      <c r="K12" s="254" t="n"/>
    </row>
    <row r="13">
      <c r="B13" s="254" t="inlineStr">
        <is>
          <t>2026-09-26</t>
        </is>
      </c>
      <c r="C13" s="254" t="inlineStr">
        <is>
          <t>non-licensed</t>
        </is>
      </c>
      <c r="D13" s="254" t="inlineStr">
        <is>
          <t>non-clean</t>
        </is>
      </c>
      <c r="E13" s="254" t="inlineStr">
        <is>
          <t>standard</t>
        </is>
      </c>
      <c r="F13" s="254" t="inlineStr">
        <is>
          <t>buyer_fee</t>
        </is>
      </c>
      <c r="G13" s="254" t="inlineStr">
        <is>
          <t>secured</t>
        </is>
      </c>
      <c r="H13" s="251" t="n">
        <v>500</v>
      </c>
      <c r="I13" s="251" t="n">
        <v>549.99</v>
      </c>
      <c r="J13" s="251" t="n">
        <v>205</v>
      </c>
      <c r="K13" s="254" t="n"/>
    </row>
    <row r="14">
      <c r="B14" s="254" t="inlineStr">
        <is>
          <t>2026-09-26</t>
        </is>
      </c>
      <c r="C14" s="254" t="inlineStr">
        <is>
          <t>non-licensed</t>
        </is>
      </c>
      <c r="D14" s="254" t="inlineStr">
        <is>
          <t>non-clean</t>
        </is>
      </c>
      <c r="E14" s="254" t="inlineStr">
        <is>
          <t>standard</t>
        </is>
      </c>
      <c r="F14" s="254" t="inlineStr">
        <is>
          <t>buyer_fee</t>
        </is>
      </c>
      <c r="G14" s="254" t="inlineStr">
        <is>
          <t>secured</t>
        </is>
      </c>
      <c r="H14" s="251" t="n">
        <v>550</v>
      </c>
      <c r="I14" s="251" t="n">
        <v>599.99</v>
      </c>
      <c r="J14" s="251" t="n">
        <v>210</v>
      </c>
      <c r="K14" s="254" t="n"/>
    </row>
    <row r="15">
      <c r="B15" s="254" t="inlineStr">
        <is>
          <t>2026-09-26</t>
        </is>
      </c>
      <c r="C15" s="254" t="inlineStr">
        <is>
          <t>non-licensed</t>
        </is>
      </c>
      <c r="D15" s="254" t="inlineStr">
        <is>
          <t>non-clean</t>
        </is>
      </c>
      <c r="E15" s="254" t="inlineStr">
        <is>
          <t>standard</t>
        </is>
      </c>
      <c r="F15" s="254" t="inlineStr">
        <is>
          <t>buyer_fee</t>
        </is>
      </c>
      <c r="G15" s="254" t="inlineStr">
        <is>
          <t>secured</t>
        </is>
      </c>
      <c r="H15" s="251" t="n">
        <v>600</v>
      </c>
      <c r="I15" s="251" t="n">
        <v>699.99</v>
      </c>
      <c r="J15" s="251" t="n">
        <v>240</v>
      </c>
      <c r="K15" s="254" t="n"/>
    </row>
    <row r="16">
      <c r="B16" s="254" t="inlineStr">
        <is>
          <t>2026-09-26</t>
        </is>
      </c>
      <c r="C16" s="254" t="inlineStr">
        <is>
          <t>non-licensed</t>
        </is>
      </c>
      <c r="D16" s="254" t="inlineStr">
        <is>
          <t>non-clean</t>
        </is>
      </c>
      <c r="E16" s="254" t="inlineStr">
        <is>
          <t>standard</t>
        </is>
      </c>
      <c r="F16" s="254" t="inlineStr">
        <is>
          <t>buyer_fee</t>
        </is>
      </c>
      <c r="G16" s="254" t="inlineStr">
        <is>
          <t>secured</t>
        </is>
      </c>
      <c r="H16" s="251" t="n">
        <v>700</v>
      </c>
      <c r="I16" s="251" t="n">
        <v>799.99</v>
      </c>
      <c r="J16" s="251" t="n">
        <v>270</v>
      </c>
      <c r="K16" s="254" t="n"/>
    </row>
    <row r="17">
      <c r="B17" s="254" t="inlineStr">
        <is>
          <t>2026-09-26</t>
        </is>
      </c>
      <c r="C17" s="254" t="inlineStr">
        <is>
          <t>non-licensed</t>
        </is>
      </c>
      <c r="D17" s="254" t="inlineStr">
        <is>
          <t>non-clean</t>
        </is>
      </c>
      <c r="E17" s="254" t="inlineStr">
        <is>
          <t>standard</t>
        </is>
      </c>
      <c r="F17" s="254" t="inlineStr">
        <is>
          <t>buyer_fee</t>
        </is>
      </c>
      <c r="G17" s="254" t="inlineStr">
        <is>
          <t>secured</t>
        </is>
      </c>
      <c r="H17" s="251" t="n">
        <v>800</v>
      </c>
      <c r="I17" s="251" t="n">
        <v>899.99</v>
      </c>
      <c r="J17" s="251" t="n">
        <v>295</v>
      </c>
      <c r="K17" s="254" t="n"/>
    </row>
    <row r="18">
      <c r="B18" s="254" t="inlineStr">
        <is>
          <t>2026-09-26</t>
        </is>
      </c>
      <c r="C18" s="254" t="inlineStr">
        <is>
          <t>non-licensed</t>
        </is>
      </c>
      <c r="D18" s="254" t="inlineStr">
        <is>
          <t>non-clean</t>
        </is>
      </c>
      <c r="E18" s="254" t="inlineStr">
        <is>
          <t>standard</t>
        </is>
      </c>
      <c r="F18" s="254" t="inlineStr">
        <is>
          <t>buyer_fee</t>
        </is>
      </c>
      <c r="G18" s="254" t="inlineStr">
        <is>
          <t>secured</t>
        </is>
      </c>
      <c r="H18" s="251" t="n">
        <v>900</v>
      </c>
      <c r="I18" s="251" t="n">
        <v>999.99</v>
      </c>
      <c r="J18" s="251" t="n">
        <v>320</v>
      </c>
      <c r="K18" s="254" t="n"/>
    </row>
    <row r="19">
      <c r="B19" s="254" t="inlineStr">
        <is>
          <t>2026-09-26</t>
        </is>
      </c>
      <c r="C19" s="254" t="inlineStr">
        <is>
          <t>non-licensed</t>
        </is>
      </c>
      <c r="D19" s="254" t="inlineStr">
        <is>
          <t>non-clean</t>
        </is>
      </c>
      <c r="E19" s="254" t="inlineStr">
        <is>
          <t>standard</t>
        </is>
      </c>
      <c r="F19" s="254" t="inlineStr">
        <is>
          <t>buyer_fee</t>
        </is>
      </c>
      <c r="G19" s="254" t="inlineStr">
        <is>
          <t>secured</t>
        </is>
      </c>
      <c r="H19" s="251" t="n">
        <v>1000</v>
      </c>
      <c r="I19" s="251" t="n">
        <v>1199.99</v>
      </c>
      <c r="J19" s="251" t="n">
        <v>375</v>
      </c>
      <c r="K19" s="254" t="n"/>
    </row>
    <row r="20">
      <c r="B20" s="254" t="inlineStr">
        <is>
          <t>2026-09-26</t>
        </is>
      </c>
      <c r="C20" s="254" t="inlineStr">
        <is>
          <t>non-licensed</t>
        </is>
      </c>
      <c r="D20" s="254" t="inlineStr">
        <is>
          <t>non-clean</t>
        </is>
      </c>
      <c r="E20" s="254" t="inlineStr">
        <is>
          <t>standard</t>
        </is>
      </c>
      <c r="F20" s="254" t="inlineStr">
        <is>
          <t>buyer_fee</t>
        </is>
      </c>
      <c r="G20" s="254" t="inlineStr">
        <is>
          <t>secured</t>
        </is>
      </c>
      <c r="H20" s="251" t="n">
        <v>1200</v>
      </c>
      <c r="I20" s="251" t="n">
        <v>1299.99</v>
      </c>
      <c r="J20" s="251" t="n">
        <v>395</v>
      </c>
      <c r="K20" s="254" t="n"/>
    </row>
    <row r="21">
      <c r="B21" s="254" t="inlineStr">
        <is>
          <t>2026-09-26</t>
        </is>
      </c>
      <c r="C21" s="254" t="inlineStr">
        <is>
          <t>non-licensed</t>
        </is>
      </c>
      <c r="D21" s="254" t="inlineStr">
        <is>
          <t>non-clean</t>
        </is>
      </c>
      <c r="E21" s="254" t="inlineStr">
        <is>
          <t>standard</t>
        </is>
      </c>
      <c r="F21" s="254" t="inlineStr">
        <is>
          <t>buyer_fee</t>
        </is>
      </c>
      <c r="G21" s="254" t="inlineStr">
        <is>
          <t>secured</t>
        </is>
      </c>
      <c r="H21" s="251" t="n">
        <v>1300</v>
      </c>
      <c r="I21" s="251" t="n">
        <v>1399.99</v>
      </c>
      <c r="J21" s="251" t="n">
        <v>410</v>
      </c>
      <c r="K21" s="254" t="n"/>
    </row>
    <row r="22">
      <c r="B22" s="254" t="inlineStr">
        <is>
          <t>2026-09-26</t>
        </is>
      </c>
      <c r="C22" s="254" t="inlineStr">
        <is>
          <t>non-licensed</t>
        </is>
      </c>
      <c r="D22" s="254" t="inlineStr">
        <is>
          <t>non-clean</t>
        </is>
      </c>
      <c r="E22" s="254" t="inlineStr">
        <is>
          <t>standard</t>
        </is>
      </c>
      <c r="F22" s="254" t="inlineStr">
        <is>
          <t>buyer_fee</t>
        </is>
      </c>
      <c r="G22" s="254" t="inlineStr">
        <is>
          <t>secured</t>
        </is>
      </c>
      <c r="H22" s="251" t="n">
        <v>1400</v>
      </c>
      <c r="I22" s="251" t="n">
        <v>1499.99</v>
      </c>
      <c r="J22" s="251" t="n">
        <v>430</v>
      </c>
      <c r="K22" s="254" t="n"/>
    </row>
    <row r="23">
      <c r="B23" s="254" t="inlineStr">
        <is>
          <t>2026-09-26</t>
        </is>
      </c>
      <c r="C23" s="254" t="inlineStr">
        <is>
          <t>non-licensed</t>
        </is>
      </c>
      <c r="D23" s="254" t="inlineStr">
        <is>
          <t>non-clean</t>
        </is>
      </c>
      <c r="E23" s="254" t="inlineStr">
        <is>
          <t>standard</t>
        </is>
      </c>
      <c r="F23" s="254" t="inlineStr">
        <is>
          <t>buyer_fee</t>
        </is>
      </c>
      <c r="G23" s="254" t="inlineStr">
        <is>
          <t>secured</t>
        </is>
      </c>
      <c r="H23" s="251" t="n">
        <v>1500</v>
      </c>
      <c r="I23" s="251" t="n">
        <v>1599.99</v>
      </c>
      <c r="J23" s="251" t="n">
        <v>445</v>
      </c>
      <c r="K23" s="254" t="n"/>
    </row>
    <row r="24">
      <c r="B24" s="254" t="inlineStr">
        <is>
          <t>2026-09-26</t>
        </is>
      </c>
      <c r="C24" s="254" t="inlineStr">
        <is>
          <t>non-licensed</t>
        </is>
      </c>
      <c r="D24" s="254" t="inlineStr">
        <is>
          <t>non-clean</t>
        </is>
      </c>
      <c r="E24" s="254" t="inlineStr">
        <is>
          <t>standard</t>
        </is>
      </c>
      <c r="F24" s="254" t="inlineStr">
        <is>
          <t>buyer_fee</t>
        </is>
      </c>
      <c r="G24" s="254" t="inlineStr">
        <is>
          <t>secured</t>
        </is>
      </c>
      <c r="H24" s="251" t="n">
        <v>1600</v>
      </c>
      <c r="I24" s="251" t="n">
        <v>1699.99</v>
      </c>
      <c r="J24" s="251" t="n">
        <v>465</v>
      </c>
      <c r="K24" s="254" t="n"/>
    </row>
    <row r="25">
      <c r="B25" s="254" t="inlineStr">
        <is>
          <t>2026-09-26</t>
        </is>
      </c>
      <c r="C25" s="254" t="inlineStr">
        <is>
          <t>non-licensed</t>
        </is>
      </c>
      <c r="D25" s="254" t="inlineStr">
        <is>
          <t>non-clean</t>
        </is>
      </c>
      <c r="E25" s="254" t="inlineStr">
        <is>
          <t>standard</t>
        </is>
      </c>
      <c r="F25" s="254" t="inlineStr">
        <is>
          <t>buyer_fee</t>
        </is>
      </c>
      <c r="G25" s="254" t="inlineStr">
        <is>
          <t>secured</t>
        </is>
      </c>
      <c r="H25" s="251" t="n">
        <v>1700</v>
      </c>
      <c r="I25" s="251" t="n">
        <v>1799.99</v>
      </c>
      <c r="J25" s="251" t="n">
        <v>485</v>
      </c>
      <c r="K25" s="254" t="n"/>
    </row>
    <row r="26">
      <c r="B26" s="254" t="inlineStr">
        <is>
          <t>2026-09-26</t>
        </is>
      </c>
      <c r="C26" s="254" t="inlineStr">
        <is>
          <t>non-licensed</t>
        </is>
      </c>
      <c r="D26" s="254" t="inlineStr">
        <is>
          <t>non-clean</t>
        </is>
      </c>
      <c r="E26" s="254" t="inlineStr">
        <is>
          <t>standard</t>
        </is>
      </c>
      <c r="F26" s="254" t="inlineStr">
        <is>
          <t>buyer_fee</t>
        </is>
      </c>
      <c r="G26" s="254" t="inlineStr">
        <is>
          <t>secured</t>
        </is>
      </c>
      <c r="H26" s="251" t="n">
        <v>1800</v>
      </c>
      <c r="I26" s="251" t="n">
        <v>1999.99</v>
      </c>
      <c r="J26" s="251" t="n">
        <v>510</v>
      </c>
      <c r="K26" s="254" t="n"/>
    </row>
    <row r="27">
      <c r="B27" s="254" t="inlineStr">
        <is>
          <t>2026-09-26</t>
        </is>
      </c>
      <c r="C27" s="254" t="inlineStr">
        <is>
          <t>non-licensed</t>
        </is>
      </c>
      <c r="D27" s="254" t="inlineStr">
        <is>
          <t>non-clean</t>
        </is>
      </c>
      <c r="E27" s="254" t="inlineStr">
        <is>
          <t>standard</t>
        </is>
      </c>
      <c r="F27" s="254" t="inlineStr">
        <is>
          <t>buyer_fee</t>
        </is>
      </c>
      <c r="G27" s="254" t="inlineStr">
        <is>
          <t>secured</t>
        </is>
      </c>
      <c r="H27" s="251" t="n">
        <v>2000</v>
      </c>
      <c r="I27" s="251" t="n">
        <v>2399.99</v>
      </c>
      <c r="J27" s="251" t="n">
        <v>535</v>
      </c>
      <c r="K27" s="254" t="n"/>
    </row>
    <row r="28">
      <c r="B28" s="254" t="inlineStr">
        <is>
          <t>2026-09-26</t>
        </is>
      </c>
      <c r="C28" s="254" t="inlineStr">
        <is>
          <t>non-licensed</t>
        </is>
      </c>
      <c r="D28" s="254" t="inlineStr">
        <is>
          <t>non-clean</t>
        </is>
      </c>
      <c r="E28" s="254" t="inlineStr">
        <is>
          <t>standard</t>
        </is>
      </c>
      <c r="F28" s="254" t="inlineStr">
        <is>
          <t>buyer_fee</t>
        </is>
      </c>
      <c r="G28" s="254" t="inlineStr">
        <is>
          <t>secured</t>
        </is>
      </c>
      <c r="H28" s="251" t="n">
        <v>2400</v>
      </c>
      <c r="I28" s="251" t="n">
        <v>2499.99</v>
      </c>
      <c r="J28" s="251" t="n">
        <v>570</v>
      </c>
      <c r="K28" s="254" t="n"/>
    </row>
    <row r="29">
      <c r="B29" s="254" t="inlineStr">
        <is>
          <t>2026-09-26</t>
        </is>
      </c>
      <c r="C29" s="254" t="inlineStr">
        <is>
          <t>non-licensed</t>
        </is>
      </c>
      <c r="D29" s="254" t="inlineStr">
        <is>
          <t>non-clean</t>
        </is>
      </c>
      <c r="E29" s="254" t="inlineStr">
        <is>
          <t>standard</t>
        </is>
      </c>
      <c r="F29" s="254" t="inlineStr">
        <is>
          <t>buyer_fee</t>
        </is>
      </c>
      <c r="G29" s="254" t="inlineStr">
        <is>
          <t>secured</t>
        </is>
      </c>
      <c r="H29" s="251" t="n">
        <v>2500</v>
      </c>
      <c r="I29" s="251" t="n">
        <v>2999.99</v>
      </c>
      <c r="J29" s="251" t="n">
        <v>610</v>
      </c>
      <c r="K29" s="254" t="n"/>
    </row>
    <row r="30">
      <c r="B30" s="254" t="inlineStr">
        <is>
          <t>2026-09-26</t>
        </is>
      </c>
      <c r="C30" s="254" t="inlineStr">
        <is>
          <t>non-licensed</t>
        </is>
      </c>
      <c r="D30" s="254" t="inlineStr">
        <is>
          <t>non-clean</t>
        </is>
      </c>
      <c r="E30" s="254" t="inlineStr">
        <is>
          <t>standard</t>
        </is>
      </c>
      <c r="F30" s="254" t="inlineStr">
        <is>
          <t>buyer_fee</t>
        </is>
      </c>
      <c r="G30" s="254" t="inlineStr">
        <is>
          <t>secured</t>
        </is>
      </c>
      <c r="H30" s="251" t="n">
        <v>3000</v>
      </c>
      <c r="I30" s="251" t="n">
        <v>3499.99</v>
      </c>
      <c r="J30" s="251" t="n">
        <v>655</v>
      </c>
      <c r="K30" s="254" t="n"/>
    </row>
    <row r="31">
      <c r="B31" s="254" t="inlineStr">
        <is>
          <t>2026-09-26</t>
        </is>
      </c>
      <c r="C31" s="254" t="inlineStr">
        <is>
          <t>non-licensed</t>
        </is>
      </c>
      <c r="D31" s="254" t="inlineStr">
        <is>
          <t>non-clean</t>
        </is>
      </c>
      <c r="E31" s="254" t="inlineStr">
        <is>
          <t>standard</t>
        </is>
      </c>
      <c r="F31" s="254" t="inlineStr">
        <is>
          <t>buyer_fee</t>
        </is>
      </c>
      <c r="G31" s="254" t="inlineStr">
        <is>
          <t>secured</t>
        </is>
      </c>
      <c r="H31" s="251" t="n">
        <v>3500</v>
      </c>
      <c r="I31" s="251" t="n">
        <v>3999.99</v>
      </c>
      <c r="J31" s="251" t="n">
        <v>705</v>
      </c>
      <c r="K31" s="254" t="n"/>
    </row>
    <row r="32">
      <c r="B32" s="254" t="inlineStr">
        <is>
          <t>2026-09-26</t>
        </is>
      </c>
      <c r="C32" s="254" t="inlineStr">
        <is>
          <t>non-licensed</t>
        </is>
      </c>
      <c r="D32" s="254" t="inlineStr">
        <is>
          <t>non-clean</t>
        </is>
      </c>
      <c r="E32" s="254" t="inlineStr">
        <is>
          <t>standard</t>
        </is>
      </c>
      <c r="F32" s="254" t="inlineStr">
        <is>
          <t>buyer_fee</t>
        </is>
      </c>
      <c r="G32" s="254" t="inlineStr">
        <is>
          <t>secured</t>
        </is>
      </c>
      <c r="H32" s="251" t="n">
        <v>4000</v>
      </c>
      <c r="I32" s="251" t="n">
        <v>4499.99</v>
      </c>
      <c r="J32" s="251" t="n">
        <v>725</v>
      </c>
      <c r="K32" s="254" t="n"/>
    </row>
    <row r="33">
      <c r="B33" s="254" t="inlineStr">
        <is>
          <t>2026-09-26</t>
        </is>
      </c>
      <c r="C33" s="254" t="inlineStr">
        <is>
          <t>non-licensed</t>
        </is>
      </c>
      <c r="D33" s="254" t="inlineStr">
        <is>
          <t>non-clean</t>
        </is>
      </c>
      <c r="E33" s="254" t="inlineStr">
        <is>
          <t>standard</t>
        </is>
      </c>
      <c r="F33" s="254" t="inlineStr">
        <is>
          <t>buyer_fee</t>
        </is>
      </c>
      <c r="G33" s="254" t="inlineStr">
        <is>
          <t>secured</t>
        </is>
      </c>
      <c r="H33" s="251" t="n">
        <v>4500</v>
      </c>
      <c r="I33" s="251" t="n">
        <v>4999.99</v>
      </c>
      <c r="J33" s="251" t="n">
        <v>750</v>
      </c>
      <c r="K33" s="254" t="n"/>
    </row>
    <row r="34">
      <c r="B34" s="254" t="inlineStr">
        <is>
          <t>2026-09-26</t>
        </is>
      </c>
      <c r="C34" s="254" t="inlineStr">
        <is>
          <t>non-licensed</t>
        </is>
      </c>
      <c r="D34" s="254" t="inlineStr">
        <is>
          <t>non-clean</t>
        </is>
      </c>
      <c r="E34" s="254" t="inlineStr">
        <is>
          <t>standard</t>
        </is>
      </c>
      <c r="F34" s="254" t="inlineStr">
        <is>
          <t>buyer_fee</t>
        </is>
      </c>
      <c r="G34" s="254" t="inlineStr">
        <is>
          <t>secured</t>
        </is>
      </c>
      <c r="H34" s="251" t="n">
        <v>5000</v>
      </c>
      <c r="I34" s="251" t="n">
        <v>5499.99</v>
      </c>
      <c r="J34" s="251" t="n">
        <v>775</v>
      </c>
      <c r="K34" s="254" t="n"/>
    </row>
    <row r="35">
      <c r="B35" s="254" t="inlineStr">
        <is>
          <t>2026-09-26</t>
        </is>
      </c>
      <c r="C35" s="254" t="inlineStr">
        <is>
          <t>non-licensed</t>
        </is>
      </c>
      <c r="D35" s="254" t="inlineStr">
        <is>
          <t>non-clean</t>
        </is>
      </c>
      <c r="E35" s="254" t="inlineStr">
        <is>
          <t>standard</t>
        </is>
      </c>
      <c r="F35" s="254" t="inlineStr">
        <is>
          <t>buyer_fee</t>
        </is>
      </c>
      <c r="G35" s="254" t="inlineStr">
        <is>
          <t>secured</t>
        </is>
      </c>
      <c r="H35" s="251" t="n">
        <v>5500</v>
      </c>
      <c r="I35" s="251" t="n">
        <v>5999.99</v>
      </c>
      <c r="J35" s="251" t="n">
        <v>800</v>
      </c>
      <c r="K35" s="254" t="n"/>
    </row>
    <row r="36">
      <c r="B36" s="254" t="inlineStr">
        <is>
          <t>2026-09-26</t>
        </is>
      </c>
      <c r="C36" s="254" t="inlineStr">
        <is>
          <t>non-licensed</t>
        </is>
      </c>
      <c r="D36" s="254" t="inlineStr">
        <is>
          <t>non-clean</t>
        </is>
      </c>
      <c r="E36" s="254" t="inlineStr">
        <is>
          <t>standard</t>
        </is>
      </c>
      <c r="F36" s="254" t="inlineStr">
        <is>
          <t>buyer_fee</t>
        </is>
      </c>
      <c r="G36" s="254" t="inlineStr">
        <is>
          <t>secured</t>
        </is>
      </c>
      <c r="H36" s="251" t="n">
        <v>6000</v>
      </c>
      <c r="I36" s="251" t="n">
        <v>6499.99</v>
      </c>
      <c r="J36" s="251" t="n">
        <v>825</v>
      </c>
      <c r="K36" s="254" t="n"/>
    </row>
    <row r="37">
      <c r="B37" s="254" t="inlineStr">
        <is>
          <t>2026-09-26</t>
        </is>
      </c>
      <c r="C37" s="254" t="inlineStr">
        <is>
          <t>non-licensed</t>
        </is>
      </c>
      <c r="D37" s="254" t="inlineStr">
        <is>
          <t>non-clean</t>
        </is>
      </c>
      <c r="E37" s="254" t="inlineStr">
        <is>
          <t>standard</t>
        </is>
      </c>
      <c r="F37" s="254" t="inlineStr">
        <is>
          <t>buyer_fee</t>
        </is>
      </c>
      <c r="G37" s="254" t="inlineStr">
        <is>
          <t>secured</t>
        </is>
      </c>
      <c r="H37" s="251" t="n">
        <v>6500</v>
      </c>
      <c r="I37" s="251" t="n">
        <v>6999.99</v>
      </c>
      <c r="J37" s="251" t="n">
        <v>845</v>
      </c>
      <c r="K37" s="254" t="n"/>
    </row>
    <row r="38">
      <c r="B38" s="254" t="inlineStr">
        <is>
          <t>2026-09-26</t>
        </is>
      </c>
      <c r="C38" s="254" t="inlineStr">
        <is>
          <t>non-licensed</t>
        </is>
      </c>
      <c r="D38" s="254" t="inlineStr">
        <is>
          <t>non-clean</t>
        </is>
      </c>
      <c r="E38" s="254" t="inlineStr">
        <is>
          <t>standard</t>
        </is>
      </c>
      <c r="F38" s="254" t="inlineStr">
        <is>
          <t>buyer_fee</t>
        </is>
      </c>
      <c r="G38" s="254" t="inlineStr">
        <is>
          <t>secured</t>
        </is>
      </c>
      <c r="H38" s="251" t="n">
        <v>7000</v>
      </c>
      <c r="I38" s="251" t="n">
        <v>7499.99</v>
      </c>
      <c r="J38" s="251" t="n">
        <v>880</v>
      </c>
      <c r="K38" s="254" t="n"/>
    </row>
    <row r="39">
      <c r="B39" s="254" t="inlineStr">
        <is>
          <t>2026-09-26</t>
        </is>
      </c>
      <c r="C39" s="254" t="inlineStr">
        <is>
          <t>non-licensed</t>
        </is>
      </c>
      <c r="D39" s="254" t="inlineStr">
        <is>
          <t>non-clean</t>
        </is>
      </c>
      <c r="E39" s="254" t="inlineStr">
        <is>
          <t>standard</t>
        </is>
      </c>
      <c r="F39" s="254" t="inlineStr">
        <is>
          <t>buyer_fee</t>
        </is>
      </c>
      <c r="G39" s="254" t="inlineStr">
        <is>
          <t>secured</t>
        </is>
      </c>
      <c r="H39" s="251" t="n">
        <v>7500</v>
      </c>
      <c r="I39" s="251" t="n">
        <v>7999.99</v>
      </c>
      <c r="J39" s="251" t="n">
        <v>900</v>
      </c>
      <c r="K39" s="254" t="n"/>
    </row>
    <row r="40">
      <c r="B40" s="254" t="inlineStr">
        <is>
          <t>2026-09-26</t>
        </is>
      </c>
      <c r="C40" s="254" t="inlineStr">
        <is>
          <t>non-licensed</t>
        </is>
      </c>
      <c r="D40" s="254" t="inlineStr">
        <is>
          <t>non-clean</t>
        </is>
      </c>
      <c r="E40" s="254" t="inlineStr">
        <is>
          <t>standard</t>
        </is>
      </c>
      <c r="F40" s="254" t="inlineStr">
        <is>
          <t>buyer_fee</t>
        </is>
      </c>
      <c r="G40" s="254" t="inlineStr">
        <is>
          <t>secured</t>
        </is>
      </c>
      <c r="H40" s="251" t="n">
        <v>8000</v>
      </c>
      <c r="I40" s="251" t="n">
        <v>8499.99</v>
      </c>
      <c r="J40" s="251" t="n">
        <v>925</v>
      </c>
      <c r="K40" s="254" t="n"/>
    </row>
    <row r="41">
      <c r="B41" s="254" t="inlineStr">
        <is>
          <t>2026-09-26</t>
        </is>
      </c>
      <c r="C41" s="254" t="inlineStr">
        <is>
          <t>non-licensed</t>
        </is>
      </c>
      <c r="D41" s="254" t="inlineStr">
        <is>
          <t>non-clean</t>
        </is>
      </c>
      <c r="E41" s="254" t="inlineStr">
        <is>
          <t>standard</t>
        </is>
      </c>
      <c r="F41" s="254" t="inlineStr">
        <is>
          <t>buyer_fee</t>
        </is>
      </c>
      <c r="G41" s="254" t="inlineStr">
        <is>
          <t>secured</t>
        </is>
      </c>
      <c r="H41" s="251" t="n">
        <v>8500</v>
      </c>
      <c r="I41" s="251" t="n">
        <v>8999.99</v>
      </c>
      <c r="J41" s="251" t="n">
        <v>945</v>
      </c>
      <c r="K41" s="254" t="n"/>
    </row>
    <row r="42">
      <c r="B42" s="254" t="inlineStr">
        <is>
          <t>2026-09-26</t>
        </is>
      </c>
      <c r="C42" s="254" t="inlineStr">
        <is>
          <t>non-licensed</t>
        </is>
      </c>
      <c r="D42" s="254" t="inlineStr">
        <is>
          <t>non-clean</t>
        </is>
      </c>
      <c r="E42" s="254" t="inlineStr">
        <is>
          <t>standard</t>
        </is>
      </c>
      <c r="F42" s="254" t="inlineStr">
        <is>
          <t>buyer_fee</t>
        </is>
      </c>
      <c r="G42" s="254" t="inlineStr">
        <is>
          <t>secured</t>
        </is>
      </c>
      <c r="H42" s="251" t="n">
        <v>9000</v>
      </c>
      <c r="I42" s="251" t="n">
        <v>9999.99</v>
      </c>
      <c r="J42" s="251" t="n">
        <v>945</v>
      </c>
      <c r="K42" s="254" t="n"/>
    </row>
    <row r="43">
      <c r="B43" s="254" t="inlineStr">
        <is>
          <t>2026-09-26</t>
        </is>
      </c>
      <c r="C43" s="254" t="inlineStr">
        <is>
          <t>non-licensed</t>
        </is>
      </c>
      <c r="D43" s="254" t="inlineStr">
        <is>
          <t>non-clean</t>
        </is>
      </c>
      <c r="E43" s="254" t="inlineStr">
        <is>
          <t>standard</t>
        </is>
      </c>
      <c r="F43" s="254" t="inlineStr">
        <is>
          <t>buyer_fee</t>
        </is>
      </c>
      <c r="G43" s="254" t="inlineStr">
        <is>
          <t>secured</t>
        </is>
      </c>
      <c r="H43" s="251" t="n">
        <v>10000</v>
      </c>
      <c r="I43" s="251" t="n">
        <v>10499.99</v>
      </c>
      <c r="J43" s="251" t="n">
        <v>1000</v>
      </c>
      <c r="K43" s="254" t="n"/>
    </row>
    <row r="44">
      <c r="B44" s="254" t="inlineStr">
        <is>
          <t>2026-09-26</t>
        </is>
      </c>
      <c r="C44" s="254" t="inlineStr">
        <is>
          <t>non-licensed</t>
        </is>
      </c>
      <c r="D44" s="254" t="inlineStr">
        <is>
          <t>non-clean</t>
        </is>
      </c>
      <c r="E44" s="254" t="inlineStr">
        <is>
          <t>standard</t>
        </is>
      </c>
      <c r="F44" s="254" t="inlineStr">
        <is>
          <t>buyer_fee</t>
        </is>
      </c>
      <c r="G44" s="254" t="inlineStr">
        <is>
          <t>secured</t>
        </is>
      </c>
      <c r="H44" s="251" t="n">
        <v>10500</v>
      </c>
      <c r="I44" s="251" t="n">
        <v>10999.99</v>
      </c>
      <c r="J44" s="251" t="n">
        <v>1000</v>
      </c>
      <c r="K44" s="254" t="n"/>
    </row>
    <row r="45">
      <c r="B45" s="254" t="inlineStr">
        <is>
          <t>2026-09-26</t>
        </is>
      </c>
      <c r="C45" s="254" t="inlineStr">
        <is>
          <t>non-licensed</t>
        </is>
      </c>
      <c r="D45" s="254" t="inlineStr">
        <is>
          <t>non-clean</t>
        </is>
      </c>
      <c r="E45" s="254" t="inlineStr">
        <is>
          <t>standard</t>
        </is>
      </c>
      <c r="F45" s="254" t="inlineStr">
        <is>
          <t>buyer_fee</t>
        </is>
      </c>
      <c r="G45" s="254" t="inlineStr">
        <is>
          <t>secured</t>
        </is>
      </c>
      <c r="H45" s="251" t="n">
        <v>11000</v>
      </c>
      <c r="I45" s="251" t="n">
        <v>11499.99</v>
      </c>
      <c r="J45" s="251" t="n">
        <v>1000</v>
      </c>
      <c r="K45" s="254" t="n"/>
    </row>
    <row r="46">
      <c r="B46" s="254" t="inlineStr">
        <is>
          <t>2026-09-26</t>
        </is>
      </c>
      <c r="C46" s="254" t="inlineStr">
        <is>
          <t>non-licensed</t>
        </is>
      </c>
      <c r="D46" s="254" t="inlineStr">
        <is>
          <t>non-clean</t>
        </is>
      </c>
      <c r="E46" s="254" t="inlineStr">
        <is>
          <t>standard</t>
        </is>
      </c>
      <c r="F46" s="254" t="inlineStr">
        <is>
          <t>buyer_fee</t>
        </is>
      </c>
      <c r="G46" s="254" t="inlineStr">
        <is>
          <t>secured</t>
        </is>
      </c>
      <c r="H46" s="251" t="n">
        <v>11500</v>
      </c>
      <c r="I46" s="251" t="n">
        <v>11999.99</v>
      </c>
      <c r="J46" s="251" t="n">
        <v>1000</v>
      </c>
      <c r="K46" s="254" t="n"/>
    </row>
    <row r="47">
      <c r="B47" s="254" t="inlineStr">
        <is>
          <t>2026-09-26</t>
        </is>
      </c>
      <c r="C47" s="254" t="inlineStr">
        <is>
          <t>non-licensed</t>
        </is>
      </c>
      <c r="D47" s="254" t="inlineStr">
        <is>
          <t>non-clean</t>
        </is>
      </c>
      <c r="E47" s="254" t="inlineStr">
        <is>
          <t>standard</t>
        </is>
      </c>
      <c r="F47" s="254" t="inlineStr">
        <is>
          <t>buyer_fee</t>
        </is>
      </c>
      <c r="G47" s="254" t="inlineStr">
        <is>
          <t>secured</t>
        </is>
      </c>
      <c r="H47" s="251" t="n">
        <v>12000</v>
      </c>
      <c r="I47" s="251" t="n">
        <v>12499.99</v>
      </c>
      <c r="J47" s="251" t="n">
        <v>1000</v>
      </c>
      <c r="K47" s="254" t="n"/>
    </row>
    <row r="48">
      <c r="B48" s="254" t="inlineStr">
        <is>
          <t>2026-09-26</t>
        </is>
      </c>
      <c r="C48" s="254" t="inlineStr">
        <is>
          <t>non-licensed</t>
        </is>
      </c>
      <c r="D48" s="254" t="inlineStr">
        <is>
          <t>non-clean</t>
        </is>
      </c>
      <c r="E48" s="254" t="inlineStr">
        <is>
          <t>standard</t>
        </is>
      </c>
      <c r="F48" s="254" t="inlineStr">
        <is>
          <t>buyer_fee</t>
        </is>
      </c>
      <c r="G48" s="254" t="inlineStr">
        <is>
          <t>secured</t>
        </is>
      </c>
      <c r="H48" s="251" t="n">
        <v>12500</v>
      </c>
      <c r="I48" s="251" t="n">
        <v>14999.99</v>
      </c>
      <c r="J48" s="251" t="n">
        <v>1000</v>
      </c>
      <c r="K48" s="254" t="n"/>
    </row>
    <row r="49">
      <c r="B49" s="254" t="inlineStr">
        <is>
          <t>2026-09-26</t>
        </is>
      </c>
      <c r="C49" s="254" t="inlineStr">
        <is>
          <t>non-licensed</t>
        </is>
      </c>
      <c r="D49" s="254" t="inlineStr">
        <is>
          <t>non-clean</t>
        </is>
      </c>
      <c r="E49" s="254" t="inlineStr">
        <is>
          <t>standard</t>
        </is>
      </c>
      <c r="F49" s="254" t="inlineStr">
        <is>
          <t>buyer_fee</t>
        </is>
      </c>
      <c r="G49" s="254" t="inlineStr">
        <is>
          <t>secured</t>
        </is>
      </c>
      <c r="H49" s="251" t="n">
        <v>15000</v>
      </c>
      <c r="I49" s="254" t="n"/>
      <c r="J49" s="254" t="n"/>
      <c r="K49" s="251" t="n">
        <v>7.5</v>
      </c>
    </row>
    <row r="50">
      <c r="B50" s="254" t="inlineStr">
        <is>
          <t>2026-09-26</t>
        </is>
      </c>
      <c r="C50" s="254" t="inlineStr">
        <is>
          <t>non-licensed</t>
        </is>
      </c>
      <c r="D50" s="254" t="inlineStr">
        <is>
          <t>non-clean</t>
        </is>
      </c>
      <c r="E50" s="254" t="inlineStr">
        <is>
          <t>standard</t>
        </is>
      </c>
      <c r="F50" s="254" t="inlineStr">
        <is>
          <t>buyer_fee</t>
        </is>
      </c>
      <c r="G50" s="254" t="inlineStr">
        <is>
          <t>unsecured</t>
        </is>
      </c>
      <c r="H50" s="251" t="n">
        <v>0</v>
      </c>
      <c r="I50" s="251" t="n">
        <v>49.99</v>
      </c>
      <c r="J50" s="251" t="n">
        <v>27.5</v>
      </c>
      <c r="K50" s="254" t="n"/>
    </row>
    <row r="51">
      <c r="B51" s="254" t="inlineStr">
        <is>
          <t>2026-09-26</t>
        </is>
      </c>
      <c r="C51" s="254" t="inlineStr">
        <is>
          <t>non-licensed</t>
        </is>
      </c>
      <c r="D51" s="254" t="inlineStr">
        <is>
          <t>non-clean</t>
        </is>
      </c>
      <c r="E51" s="254" t="inlineStr">
        <is>
          <t>standard</t>
        </is>
      </c>
      <c r="F51" s="254" t="inlineStr">
        <is>
          <t>buyer_fee</t>
        </is>
      </c>
      <c r="G51" s="254" t="inlineStr">
        <is>
          <t>unsecured</t>
        </is>
      </c>
      <c r="H51" s="251" t="n">
        <v>50</v>
      </c>
      <c r="I51" s="251" t="n">
        <v>99.98999999999999</v>
      </c>
      <c r="J51" s="251" t="n">
        <v>50</v>
      </c>
      <c r="K51" s="254" t="n"/>
    </row>
    <row r="52">
      <c r="B52" s="254" t="inlineStr">
        <is>
          <t>2026-09-26</t>
        </is>
      </c>
      <c r="C52" s="254" t="inlineStr">
        <is>
          <t>non-licensed</t>
        </is>
      </c>
      <c r="D52" s="254" t="inlineStr">
        <is>
          <t>non-clean</t>
        </is>
      </c>
      <c r="E52" s="254" t="inlineStr">
        <is>
          <t>standard</t>
        </is>
      </c>
      <c r="F52" s="254" t="inlineStr">
        <is>
          <t>buyer_fee</t>
        </is>
      </c>
      <c r="G52" s="254" t="inlineStr">
        <is>
          <t>unsecured</t>
        </is>
      </c>
      <c r="H52" s="251" t="n">
        <v>100</v>
      </c>
      <c r="I52" s="251" t="n">
        <v>199.99</v>
      </c>
      <c r="J52" s="251" t="n">
        <v>90</v>
      </c>
      <c r="K52" s="254" t="n"/>
    </row>
    <row r="53">
      <c r="B53" s="254" t="inlineStr">
        <is>
          <t>2026-09-26</t>
        </is>
      </c>
      <c r="C53" s="254" t="inlineStr">
        <is>
          <t>non-licensed</t>
        </is>
      </c>
      <c r="D53" s="254" t="inlineStr">
        <is>
          <t>non-clean</t>
        </is>
      </c>
      <c r="E53" s="254" t="inlineStr">
        <is>
          <t>standard</t>
        </is>
      </c>
      <c r="F53" s="254" t="inlineStr">
        <is>
          <t>buyer_fee</t>
        </is>
      </c>
      <c r="G53" s="254" t="inlineStr">
        <is>
          <t>unsecured</t>
        </is>
      </c>
      <c r="H53" s="251" t="n">
        <v>200</v>
      </c>
      <c r="I53" s="251" t="n">
        <v>299.99</v>
      </c>
      <c r="J53" s="251" t="n">
        <v>145</v>
      </c>
      <c r="K53" s="254" t="n"/>
    </row>
    <row r="54">
      <c r="B54" s="254" t="inlineStr">
        <is>
          <t>2026-09-26</t>
        </is>
      </c>
      <c r="C54" s="254" t="inlineStr">
        <is>
          <t>non-licensed</t>
        </is>
      </c>
      <c r="D54" s="254" t="inlineStr">
        <is>
          <t>non-clean</t>
        </is>
      </c>
      <c r="E54" s="254" t="inlineStr">
        <is>
          <t>standard</t>
        </is>
      </c>
      <c r="F54" s="254" t="inlineStr">
        <is>
          <t>buyer_fee</t>
        </is>
      </c>
      <c r="G54" s="254" t="inlineStr">
        <is>
          <t>unsecured</t>
        </is>
      </c>
      <c r="H54" s="251" t="n">
        <v>300</v>
      </c>
      <c r="I54" s="251" t="n">
        <v>349.99</v>
      </c>
      <c r="J54" s="251" t="n">
        <v>155</v>
      </c>
      <c r="K54" s="254" t="n"/>
    </row>
    <row r="55">
      <c r="B55" s="254" t="inlineStr">
        <is>
          <t>2026-09-26</t>
        </is>
      </c>
      <c r="C55" s="254" t="inlineStr">
        <is>
          <t>non-licensed</t>
        </is>
      </c>
      <c r="D55" s="254" t="inlineStr">
        <is>
          <t>non-clean</t>
        </is>
      </c>
      <c r="E55" s="254" t="inlineStr">
        <is>
          <t>standard</t>
        </is>
      </c>
      <c r="F55" s="254" t="inlineStr">
        <is>
          <t>buyer_fee</t>
        </is>
      </c>
      <c r="G55" s="254" t="inlineStr">
        <is>
          <t>unsecured</t>
        </is>
      </c>
      <c r="H55" s="251" t="n">
        <v>350</v>
      </c>
      <c r="I55" s="251" t="n">
        <v>399.99</v>
      </c>
      <c r="J55" s="251" t="n">
        <v>167.5</v>
      </c>
      <c r="K55" s="254" t="n"/>
    </row>
    <row r="56">
      <c r="B56" s="254" t="inlineStr">
        <is>
          <t>2026-09-26</t>
        </is>
      </c>
      <c r="C56" s="254" t="inlineStr">
        <is>
          <t>non-licensed</t>
        </is>
      </c>
      <c r="D56" s="254" t="inlineStr">
        <is>
          <t>non-clean</t>
        </is>
      </c>
      <c r="E56" s="254" t="inlineStr">
        <is>
          <t>standard</t>
        </is>
      </c>
      <c r="F56" s="254" t="inlineStr">
        <is>
          <t>buyer_fee</t>
        </is>
      </c>
      <c r="G56" s="254" t="inlineStr">
        <is>
          <t>unsecured</t>
        </is>
      </c>
      <c r="H56" s="251" t="n">
        <v>400</v>
      </c>
      <c r="I56" s="251" t="n">
        <v>449.99</v>
      </c>
      <c r="J56" s="251" t="n">
        <v>200</v>
      </c>
      <c r="K56" s="254" t="n"/>
    </row>
    <row r="57">
      <c r="B57" s="254" t="inlineStr">
        <is>
          <t>2026-09-26</t>
        </is>
      </c>
      <c r="C57" s="254" t="inlineStr">
        <is>
          <t>non-licensed</t>
        </is>
      </c>
      <c r="D57" s="254" t="inlineStr">
        <is>
          <t>non-clean</t>
        </is>
      </c>
      <c r="E57" s="254" t="inlineStr">
        <is>
          <t>standard</t>
        </is>
      </c>
      <c r="F57" s="254" t="inlineStr">
        <is>
          <t>buyer_fee</t>
        </is>
      </c>
      <c r="G57" s="254" t="inlineStr">
        <is>
          <t>unsecured</t>
        </is>
      </c>
      <c r="H57" s="251" t="n">
        <v>450</v>
      </c>
      <c r="I57" s="251" t="n">
        <v>499.99</v>
      </c>
      <c r="J57" s="251" t="n">
        <v>210</v>
      </c>
      <c r="K57" s="254" t="n"/>
    </row>
    <row r="58">
      <c r="B58" s="254" t="inlineStr">
        <is>
          <t>2026-09-26</t>
        </is>
      </c>
      <c r="C58" s="254" t="inlineStr">
        <is>
          <t>non-licensed</t>
        </is>
      </c>
      <c r="D58" s="254" t="inlineStr">
        <is>
          <t>non-clean</t>
        </is>
      </c>
      <c r="E58" s="254" t="inlineStr">
        <is>
          <t>standard</t>
        </is>
      </c>
      <c r="F58" s="254" t="inlineStr">
        <is>
          <t>buyer_fee</t>
        </is>
      </c>
      <c r="G58" s="254" t="inlineStr">
        <is>
          <t>unsecured</t>
        </is>
      </c>
      <c r="H58" s="251" t="n">
        <v>500</v>
      </c>
      <c r="I58" s="251" t="n">
        <v>549.99</v>
      </c>
      <c r="J58" s="251" t="n">
        <v>235</v>
      </c>
      <c r="K58" s="254" t="n"/>
    </row>
    <row r="59">
      <c r="B59" s="254" t="inlineStr">
        <is>
          <t>2026-09-26</t>
        </is>
      </c>
      <c r="C59" s="254" t="inlineStr">
        <is>
          <t>non-licensed</t>
        </is>
      </c>
      <c r="D59" s="254" t="inlineStr">
        <is>
          <t>non-clean</t>
        </is>
      </c>
      <c r="E59" s="254" t="inlineStr">
        <is>
          <t>standard</t>
        </is>
      </c>
      <c r="F59" s="254" t="inlineStr">
        <is>
          <t>buyer_fee</t>
        </is>
      </c>
      <c r="G59" s="254" t="inlineStr">
        <is>
          <t>unsecured</t>
        </is>
      </c>
      <c r="H59" s="251" t="n">
        <v>550</v>
      </c>
      <c r="I59" s="251" t="n">
        <v>599.99</v>
      </c>
      <c r="J59" s="251" t="n">
        <v>240</v>
      </c>
      <c r="K59" s="254" t="n"/>
    </row>
    <row r="60">
      <c r="B60" s="254" t="inlineStr">
        <is>
          <t>2026-09-26</t>
        </is>
      </c>
      <c r="C60" s="254" t="inlineStr">
        <is>
          <t>non-licensed</t>
        </is>
      </c>
      <c r="D60" s="254" t="inlineStr">
        <is>
          <t>non-clean</t>
        </is>
      </c>
      <c r="E60" s="254" t="inlineStr">
        <is>
          <t>standard</t>
        </is>
      </c>
      <c r="F60" s="254" t="inlineStr">
        <is>
          <t>buyer_fee</t>
        </is>
      </c>
      <c r="G60" s="254" t="inlineStr">
        <is>
          <t>unsecured</t>
        </is>
      </c>
      <c r="H60" s="251" t="n">
        <v>600</v>
      </c>
      <c r="I60" s="251" t="n">
        <v>699.99</v>
      </c>
      <c r="J60" s="251" t="n">
        <v>275</v>
      </c>
      <c r="K60" s="254" t="n"/>
    </row>
    <row r="61">
      <c r="B61" s="254" t="inlineStr">
        <is>
          <t>2026-09-26</t>
        </is>
      </c>
      <c r="C61" s="254" t="inlineStr">
        <is>
          <t>non-licensed</t>
        </is>
      </c>
      <c r="D61" s="254" t="inlineStr">
        <is>
          <t>non-clean</t>
        </is>
      </c>
      <c r="E61" s="254" t="inlineStr">
        <is>
          <t>standard</t>
        </is>
      </c>
      <c r="F61" s="254" t="inlineStr">
        <is>
          <t>buyer_fee</t>
        </is>
      </c>
      <c r="G61" s="254" t="inlineStr">
        <is>
          <t>unsecured</t>
        </is>
      </c>
      <c r="H61" s="251" t="n">
        <v>700</v>
      </c>
      <c r="I61" s="251" t="n">
        <v>799.99</v>
      </c>
      <c r="J61" s="251" t="n">
        <v>312.5</v>
      </c>
      <c r="K61" s="254" t="n"/>
    </row>
    <row r="62">
      <c r="B62" s="254" t="inlineStr">
        <is>
          <t>2026-09-26</t>
        </is>
      </c>
      <c r="C62" s="254" t="inlineStr">
        <is>
          <t>non-licensed</t>
        </is>
      </c>
      <c r="D62" s="254" t="inlineStr">
        <is>
          <t>non-clean</t>
        </is>
      </c>
      <c r="E62" s="254" t="inlineStr">
        <is>
          <t>standard</t>
        </is>
      </c>
      <c r="F62" s="254" t="inlineStr">
        <is>
          <t>buyer_fee</t>
        </is>
      </c>
      <c r="G62" s="254" t="inlineStr">
        <is>
          <t>unsecured</t>
        </is>
      </c>
      <c r="H62" s="251" t="n">
        <v>800</v>
      </c>
      <c r="I62" s="251" t="n">
        <v>899.99</v>
      </c>
      <c r="J62" s="251" t="n">
        <v>342.5</v>
      </c>
      <c r="K62" s="254" t="n"/>
    </row>
    <row r="63">
      <c r="B63" s="254" t="inlineStr">
        <is>
          <t>2026-09-26</t>
        </is>
      </c>
      <c r="C63" s="254" t="inlineStr">
        <is>
          <t>non-licensed</t>
        </is>
      </c>
      <c r="D63" s="254" t="inlineStr">
        <is>
          <t>non-clean</t>
        </is>
      </c>
      <c r="E63" s="254" t="inlineStr">
        <is>
          <t>standard</t>
        </is>
      </c>
      <c r="F63" s="254" t="inlineStr">
        <is>
          <t>buyer_fee</t>
        </is>
      </c>
      <c r="G63" s="254" t="inlineStr">
        <is>
          <t>unsecured</t>
        </is>
      </c>
      <c r="H63" s="251" t="n">
        <v>900</v>
      </c>
      <c r="I63" s="251" t="n">
        <v>999.99</v>
      </c>
      <c r="J63" s="251" t="n">
        <v>370</v>
      </c>
      <c r="K63" s="254" t="n"/>
    </row>
    <row r="64">
      <c r="B64" s="254" t="inlineStr">
        <is>
          <t>2026-09-26</t>
        </is>
      </c>
      <c r="C64" s="254" t="inlineStr">
        <is>
          <t>non-licensed</t>
        </is>
      </c>
      <c r="D64" s="254" t="inlineStr">
        <is>
          <t>non-clean</t>
        </is>
      </c>
      <c r="E64" s="254" t="inlineStr">
        <is>
          <t>standard</t>
        </is>
      </c>
      <c r="F64" s="254" t="inlineStr">
        <is>
          <t>buyer_fee</t>
        </is>
      </c>
      <c r="G64" s="254" t="inlineStr">
        <is>
          <t>unsecured</t>
        </is>
      </c>
      <c r="H64" s="251" t="n">
        <v>1000</v>
      </c>
      <c r="I64" s="251" t="n">
        <v>1199.99</v>
      </c>
      <c r="J64" s="251" t="n">
        <v>440</v>
      </c>
      <c r="K64" s="254" t="n"/>
    </row>
    <row r="65">
      <c r="B65" s="254" t="inlineStr">
        <is>
          <t>2026-09-26</t>
        </is>
      </c>
      <c r="C65" s="254" t="inlineStr">
        <is>
          <t>non-licensed</t>
        </is>
      </c>
      <c r="D65" s="254" t="inlineStr">
        <is>
          <t>non-clean</t>
        </is>
      </c>
      <c r="E65" s="254" t="inlineStr">
        <is>
          <t>standard</t>
        </is>
      </c>
      <c r="F65" s="254" t="inlineStr">
        <is>
          <t>buyer_fee</t>
        </is>
      </c>
      <c r="G65" s="254" t="inlineStr">
        <is>
          <t>unsecured</t>
        </is>
      </c>
      <c r="H65" s="251" t="n">
        <v>1200</v>
      </c>
      <c r="I65" s="251" t="n">
        <v>1299.99</v>
      </c>
      <c r="J65" s="251" t="n">
        <v>460</v>
      </c>
      <c r="K65" s="254" t="n"/>
    </row>
    <row r="66">
      <c r="B66" s="254" t="inlineStr">
        <is>
          <t>2026-09-26</t>
        </is>
      </c>
      <c r="C66" s="254" t="inlineStr">
        <is>
          <t>non-licensed</t>
        </is>
      </c>
      <c r="D66" s="254" t="inlineStr">
        <is>
          <t>non-clean</t>
        </is>
      </c>
      <c r="E66" s="254" t="inlineStr">
        <is>
          <t>standard</t>
        </is>
      </c>
      <c r="F66" s="254" t="inlineStr">
        <is>
          <t>buyer_fee</t>
        </is>
      </c>
      <c r="G66" s="254" t="inlineStr">
        <is>
          <t>unsecured</t>
        </is>
      </c>
      <c r="H66" s="251" t="n">
        <v>1300</v>
      </c>
      <c r="I66" s="251" t="n">
        <v>1399.99</v>
      </c>
      <c r="J66" s="251" t="n">
        <v>482.5</v>
      </c>
      <c r="K66" s="254" t="n"/>
    </row>
    <row r="67">
      <c r="B67" s="254" t="inlineStr">
        <is>
          <t>2026-09-26</t>
        </is>
      </c>
      <c r="C67" s="254" t="inlineStr">
        <is>
          <t>non-licensed</t>
        </is>
      </c>
      <c r="D67" s="254" t="inlineStr">
        <is>
          <t>non-clean</t>
        </is>
      </c>
      <c r="E67" s="254" t="inlineStr">
        <is>
          <t>standard</t>
        </is>
      </c>
      <c r="F67" s="254" t="inlineStr">
        <is>
          <t>buyer_fee</t>
        </is>
      </c>
      <c r="G67" s="254" t="inlineStr">
        <is>
          <t>unsecured</t>
        </is>
      </c>
      <c r="H67" s="251" t="n">
        <v>1400</v>
      </c>
      <c r="I67" s="251" t="n">
        <v>1499.99</v>
      </c>
      <c r="J67" s="251" t="n">
        <v>510</v>
      </c>
      <c r="K67" s="254" t="n"/>
    </row>
    <row r="68">
      <c r="B68" s="254" t="inlineStr">
        <is>
          <t>2026-09-26</t>
        </is>
      </c>
      <c r="C68" s="254" t="inlineStr">
        <is>
          <t>non-licensed</t>
        </is>
      </c>
      <c r="D68" s="254" t="inlineStr">
        <is>
          <t>non-clean</t>
        </is>
      </c>
      <c r="E68" s="254" t="inlineStr">
        <is>
          <t>standard</t>
        </is>
      </c>
      <c r="F68" s="254" t="inlineStr">
        <is>
          <t>buyer_fee</t>
        </is>
      </c>
      <c r="G68" s="254" t="inlineStr">
        <is>
          <t>unsecured</t>
        </is>
      </c>
      <c r="H68" s="251" t="n">
        <v>1500</v>
      </c>
      <c r="I68" s="251" t="n">
        <v>1599.99</v>
      </c>
      <c r="J68" s="251" t="n">
        <v>530</v>
      </c>
      <c r="K68" s="254" t="n"/>
    </row>
    <row r="69">
      <c r="B69" s="254" t="inlineStr">
        <is>
          <t>2026-09-26</t>
        </is>
      </c>
      <c r="C69" s="254" t="inlineStr">
        <is>
          <t>non-licensed</t>
        </is>
      </c>
      <c r="D69" s="254" t="inlineStr">
        <is>
          <t>non-clean</t>
        </is>
      </c>
      <c r="E69" s="254" t="inlineStr">
        <is>
          <t>standard</t>
        </is>
      </c>
      <c r="F69" s="254" t="inlineStr">
        <is>
          <t>buyer_fee</t>
        </is>
      </c>
      <c r="G69" s="254" t="inlineStr">
        <is>
          <t>unsecured</t>
        </is>
      </c>
      <c r="H69" s="251" t="n">
        <v>1600</v>
      </c>
      <c r="I69" s="251" t="n">
        <v>1699.99</v>
      </c>
      <c r="J69" s="251" t="n">
        <v>555</v>
      </c>
      <c r="K69" s="254" t="n"/>
    </row>
    <row r="70">
      <c r="B70" s="254" t="inlineStr">
        <is>
          <t>2026-09-26</t>
        </is>
      </c>
      <c r="C70" s="254" t="inlineStr">
        <is>
          <t>non-licensed</t>
        </is>
      </c>
      <c r="D70" s="254" t="inlineStr">
        <is>
          <t>non-clean</t>
        </is>
      </c>
      <c r="E70" s="254" t="inlineStr">
        <is>
          <t>standard</t>
        </is>
      </c>
      <c r="F70" s="254" t="inlineStr">
        <is>
          <t>buyer_fee</t>
        </is>
      </c>
      <c r="G70" s="254" t="inlineStr">
        <is>
          <t>unsecured</t>
        </is>
      </c>
      <c r="H70" s="251" t="n">
        <v>1700</v>
      </c>
      <c r="I70" s="251" t="n">
        <v>1799.99</v>
      </c>
      <c r="J70" s="251" t="n">
        <v>582.5</v>
      </c>
      <c r="K70" s="254" t="n"/>
    </row>
    <row r="71">
      <c r="B71" s="254" t="inlineStr">
        <is>
          <t>2026-09-26</t>
        </is>
      </c>
      <c r="C71" s="254" t="inlineStr">
        <is>
          <t>non-licensed</t>
        </is>
      </c>
      <c r="D71" s="254" t="inlineStr">
        <is>
          <t>non-clean</t>
        </is>
      </c>
      <c r="E71" s="254" t="inlineStr">
        <is>
          <t>standard</t>
        </is>
      </c>
      <c r="F71" s="254" t="inlineStr">
        <is>
          <t>buyer_fee</t>
        </is>
      </c>
      <c r="G71" s="254" t="inlineStr">
        <is>
          <t>unsecured</t>
        </is>
      </c>
      <c r="H71" s="251" t="n">
        <v>1800</v>
      </c>
      <c r="I71" s="251" t="n">
        <v>1999.99</v>
      </c>
      <c r="J71" s="251" t="n">
        <v>620</v>
      </c>
      <c r="K71" s="254" t="n"/>
    </row>
    <row r="72">
      <c r="B72" s="254" t="inlineStr">
        <is>
          <t>2026-09-26</t>
        </is>
      </c>
      <c r="C72" s="254" t="inlineStr">
        <is>
          <t>non-licensed</t>
        </is>
      </c>
      <c r="D72" s="254" t="inlineStr">
        <is>
          <t>non-clean</t>
        </is>
      </c>
      <c r="E72" s="254" t="inlineStr">
        <is>
          <t>standard</t>
        </is>
      </c>
      <c r="F72" s="254" t="inlineStr">
        <is>
          <t>buyer_fee</t>
        </is>
      </c>
      <c r="G72" s="254" t="inlineStr">
        <is>
          <t>unsecured</t>
        </is>
      </c>
      <c r="H72" s="251" t="n">
        <v>2000</v>
      </c>
      <c r="I72" s="251" t="n">
        <v>2399.99</v>
      </c>
      <c r="J72" s="251" t="n">
        <v>662.5</v>
      </c>
      <c r="K72" s="254" t="n"/>
    </row>
    <row r="73">
      <c r="B73" s="254" t="inlineStr">
        <is>
          <t>2026-09-26</t>
        </is>
      </c>
      <c r="C73" s="254" t="inlineStr">
        <is>
          <t>non-licensed</t>
        </is>
      </c>
      <c r="D73" s="254" t="inlineStr">
        <is>
          <t>non-clean</t>
        </is>
      </c>
      <c r="E73" s="254" t="inlineStr">
        <is>
          <t>standard</t>
        </is>
      </c>
      <c r="F73" s="254" t="inlineStr">
        <is>
          <t>buyer_fee</t>
        </is>
      </c>
      <c r="G73" s="254" t="inlineStr">
        <is>
          <t>unsecured</t>
        </is>
      </c>
      <c r="H73" s="251" t="n">
        <v>2400</v>
      </c>
      <c r="I73" s="251" t="n">
        <v>2499.99</v>
      </c>
      <c r="J73" s="251" t="n">
        <v>705</v>
      </c>
      <c r="K73" s="254" t="n"/>
    </row>
    <row r="74">
      <c r="B74" s="254" t="inlineStr">
        <is>
          <t>2026-09-26</t>
        </is>
      </c>
      <c r="C74" s="254" t="inlineStr">
        <is>
          <t>non-licensed</t>
        </is>
      </c>
      <c r="D74" s="254" t="inlineStr">
        <is>
          <t>non-clean</t>
        </is>
      </c>
      <c r="E74" s="254" t="inlineStr">
        <is>
          <t>standard</t>
        </is>
      </c>
      <c r="F74" s="254" t="inlineStr">
        <is>
          <t>buyer_fee</t>
        </is>
      </c>
      <c r="G74" s="254" t="inlineStr">
        <is>
          <t>unsecured</t>
        </is>
      </c>
      <c r="H74" s="251" t="n">
        <v>2500</v>
      </c>
      <c r="I74" s="251" t="n">
        <v>2999.99</v>
      </c>
      <c r="J74" s="251" t="n">
        <v>775</v>
      </c>
      <c r="K74" s="254" t="n"/>
    </row>
    <row r="75">
      <c r="B75" s="254" t="inlineStr">
        <is>
          <t>2026-09-26</t>
        </is>
      </c>
      <c r="C75" s="254" t="inlineStr">
        <is>
          <t>non-licensed</t>
        </is>
      </c>
      <c r="D75" s="254" t="inlineStr">
        <is>
          <t>non-clean</t>
        </is>
      </c>
      <c r="E75" s="254" t="inlineStr">
        <is>
          <t>standard</t>
        </is>
      </c>
      <c r="F75" s="254" t="inlineStr">
        <is>
          <t>buyer_fee</t>
        </is>
      </c>
      <c r="G75" s="254" t="inlineStr">
        <is>
          <t>unsecured</t>
        </is>
      </c>
      <c r="H75" s="251" t="n">
        <v>3000</v>
      </c>
      <c r="I75" s="251" t="n">
        <v>3499.99</v>
      </c>
      <c r="J75" s="251" t="n">
        <v>830</v>
      </c>
      <c r="K75" s="254" t="n"/>
    </row>
    <row r="76">
      <c r="B76" s="254" t="inlineStr">
        <is>
          <t>2026-09-26</t>
        </is>
      </c>
      <c r="C76" s="254" t="inlineStr">
        <is>
          <t>non-licensed</t>
        </is>
      </c>
      <c r="D76" s="254" t="inlineStr">
        <is>
          <t>non-clean</t>
        </is>
      </c>
      <c r="E76" s="254" t="inlineStr">
        <is>
          <t>standard</t>
        </is>
      </c>
      <c r="F76" s="254" t="inlineStr">
        <is>
          <t>buyer_fee</t>
        </is>
      </c>
      <c r="G76" s="254" t="inlineStr">
        <is>
          <t>unsecured</t>
        </is>
      </c>
      <c r="H76" s="251" t="n">
        <v>3500</v>
      </c>
      <c r="I76" s="251" t="n">
        <v>3999.99</v>
      </c>
      <c r="J76" s="251" t="n">
        <v>927.5</v>
      </c>
      <c r="K76" s="254" t="n"/>
    </row>
    <row r="77">
      <c r="B77" s="254" t="inlineStr">
        <is>
          <t>2026-09-26</t>
        </is>
      </c>
      <c r="C77" s="254" t="inlineStr">
        <is>
          <t>non-licensed</t>
        </is>
      </c>
      <c r="D77" s="254" t="inlineStr">
        <is>
          <t>non-clean</t>
        </is>
      </c>
      <c r="E77" s="254" t="inlineStr">
        <is>
          <t>standard</t>
        </is>
      </c>
      <c r="F77" s="254" t="inlineStr">
        <is>
          <t>buyer_fee</t>
        </is>
      </c>
      <c r="G77" s="254" t="inlineStr">
        <is>
          <t>unsecured</t>
        </is>
      </c>
      <c r="H77" s="251" t="n">
        <v>4000</v>
      </c>
      <c r="I77" s="251" t="n">
        <v>4499.99</v>
      </c>
      <c r="J77" s="251" t="n">
        <v>935</v>
      </c>
      <c r="K77" s="254" t="n"/>
    </row>
    <row r="78">
      <c r="B78" s="254" t="inlineStr">
        <is>
          <t>2026-09-26</t>
        </is>
      </c>
      <c r="C78" s="254" t="inlineStr">
        <is>
          <t>non-licensed</t>
        </is>
      </c>
      <c r="D78" s="254" t="inlineStr">
        <is>
          <t>non-clean</t>
        </is>
      </c>
      <c r="E78" s="254" t="inlineStr">
        <is>
          <t>standard</t>
        </is>
      </c>
      <c r="F78" s="254" t="inlineStr">
        <is>
          <t>buyer_fee</t>
        </is>
      </c>
      <c r="G78" s="254" t="inlineStr">
        <is>
          <t>unsecured</t>
        </is>
      </c>
      <c r="H78" s="251" t="n">
        <v>4500</v>
      </c>
      <c r="I78" s="251" t="n">
        <v>4999.99</v>
      </c>
      <c r="J78" s="251" t="n">
        <v>1000</v>
      </c>
      <c r="K78" s="254" t="n"/>
    </row>
    <row r="79">
      <c r="B79" s="254" t="inlineStr">
        <is>
          <t>2026-09-26</t>
        </is>
      </c>
      <c r="C79" s="254" t="inlineStr">
        <is>
          <t>non-licensed</t>
        </is>
      </c>
      <c r="D79" s="254" t="inlineStr">
        <is>
          <t>non-clean</t>
        </is>
      </c>
      <c r="E79" s="254" t="inlineStr">
        <is>
          <t>standard</t>
        </is>
      </c>
      <c r="F79" s="254" t="inlineStr">
        <is>
          <t>buyer_fee</t>
        </is>
      </c>
      <c r="G79" s="254" t="inlineStr">
        <is>
          <t>unsecured</t>
        </is>
      </c>
      <c r="H79" s="251" t="n">
        <v>5000</v>
      </c>
      <c r="I79" s="251" t="n">
        <v>5499.99</v>
      </c>
      <c r="J79" s="251" t="n">
        <v>1025</v>
      </c>
      <c r="K79" s="254" t="n"/>
    </row>
    <row r="80">
      <c r="B80" s="254" t="inlineStr">
        <is>
          <t>2026-09-26</t>
        </is>
      </c>
      <c r="C80" s="254" t="inlineStr">
        <is>
          <t>non-licensed</t>
        </is>
      </c>
      <c r="D80" s="254" t="inlineStr">
        <is>
          <t>non-clean</t>
        </is>
      </c>
      <c r="E80" s="254" t="inlineStr">
        <is>
          <t>standard</t>
        </is>
      </c>
      <c r="F80" s="254" t="inlineStr">
        <is>
          <t>buyer_fee</t>
        </is>
      </c>
      <c r="G80" s="254" t="inlineStr">
        <is>
          <t>unsecured</t>
        </is>
      </c>
      <c r="H80" s="251" t="n">
        <v>5500</v>
      </c>
      <c r="I80" s="251" t="n">
        <v>5999.99</v>
      </c>
      <c r="J80" s="251" t="n">
        <v>1055</v>
      </c>
      <c r="K80" s="254" t="n"/>
    </row>
    <row r="81">
      <c r="B81" s="254" t="inlineStr">
        <is>
          <t>2026-09-26</t>
        </is>
      </c>
      <c r="C81" s="254" t="inlineStr">
        <is>
          <t>non-licensed</t>
        </is>
      </c>
      <c r="D81" s="254" t="inlineStr">
        <is>
          <t>non-clean</t>
        </is>
      </c>
      <c r="E81" s="254" t="inlineStr">
        <is>
          <t>standard</t>
        </is>
      </c>
      <c r="F81" s="254" t="inlineStr">
        <is>
          <t>buyer_fee</t>
        </is>
      </c>
      <c r="G81" s="254" t="inlineStr">
        <is>
          <t>unsecured</t>
        </is>
      </c>
      <c r="H81" s="251" t="n">
        <v>6000</v>
      </c>
      <c r="I81" s="251" t="n">
        <v>6499.99</v>
      </c>
      <c r="J81" s="251" t="n">
        <v>1085</v>
      </c>
      <c r="K81" s="254" t="n"/>
    </row>
    <row r="82">
      <c r="B82" s="254" t="inlineStr">
        <is>
          <t>2026-09-26</t>
        </is>
      </c>
      <c r="C82" s="254" t="inlineStr">
        <is>
          <t>non-licensed</t>
        </is>
      </c>
      <c r="D82" s="254" t="inlineStr">
        <is>
          <t>non-clean</t>
        </is>
      </c>
      <c r="E82" s="254" t="inlineStr">
        <is>
          <t>standard</t>
        </is>
      </c>
      <c r="F82" s="254" t="inlineStr">
        <is>
          <t>buyer_fee</t>
        </is>
      </c>
      <c r="G82" s="254" t="inlineStr">
        <is>
          <t>unsecured</t>
        </is>
      </c>
      <c r="H82" s="251" t="n">
        <v>6500</v>
      </c>
      <c r="I82" s="251" t="n">
        <v>6999.99</v>
      </c>
      <c r="J82" s="251" t="n">
        <v>1110</v>
      </c>
      <c r="K82" s="254" t="n"/>
    </row>
    <row r="83">
      <c r="B83" s="254" t="inlineStr">
        <is>
          <t>2026-09-26</t>
        </is>
      </c>
      <c r="C83" s="254" t="inlineStr">
        <is>
          <t>non-licensed</t>
        </is>
      </c>
      <c r="D83" s="254" t="inlineStr">
        <is>
          <t>non-clean</t>
        </is>
      </c>
      <c r="E83" s="254" t="inlineStr">
        <is>
          <t>standard</t>
        </is>
      </c>
      <c r="F83" s="254" t="inlineStr">
        <is>
          <t>buyer_fee</t>
        </is>
      </c>
      <c r="G83" s="254" t="inlineStr">
        <is>
          <t>unsecured</t>
        </is>
      </c>
      <c r="H83" s="251" t="n">
        <v>7000</v>
      </c>
      <c r="I83" s="251" t="n">
        <v>7499.99</v>
      </c>
      <c r="J83" s="251" t="n">
        <v>1145</v>
      </c>
      <c r="K83" s="254" t="n"/>
    </row>
    <row r="84">
      <c r="B84" s="254" t="inlineStr">
        <is>
          <t>2026-09-26</t>
        </is>
      </c>
      <c r="C84" s="254" t="inlineStr">
        <is>
          <t>non-licensed</t>
        </is>
      </c>
      <c r="D84" s="254" t="inlineStr">
        <is>
          <t>non-clean</t>
        </is>
      </c>
      <c r="E84" s="254" t="inlineStr">
        <is>
          <t>standard</t>
        </is>
      </c>
      <c r="F84" s="254" t="inlineStr">
        <is>
          <t>buyer_fee</t>
        </is>
      </c>
      <c r="G84" s="254" t="inlineStr">
        <is>
          <t>unsecured</t>
        </is>
      </c>
      <c r="H84" s="251" t="n">
        <v>7500</v>
      </c>
      <c r="I84" s="251" t="n">
        <v>7999.99</v>
      </c>
      <c r="J84" s="251" t="n">
        <v>1175</v>
      </c>
      <c r="K84" s="254" t="n"/>
    </row>
    <row r="85">
      <c r="B85" s="254" t="inlineStr">
        <is>
          <t>2026-09-26</t>
        </is>
      </c>
      <c r="C85" s="254" t="inlineStr">
        <is>
          <t>non-licensed</t>
        </is>
      </c>
      <c r="D85" s="254" t="inlineStr">
        <is>
          <t>non-clean</t>
        </is>
      </c>
      <c r="E85" s="254" t="inlineStr">
        <is>
          <t>standard</t>
        </is>
      </c>
      <c r="F85" s="254" t="inlineStr">
        <is>
          <t>buyer_fee</t>
        </is>
      </c>
      <c r="G85" s="254" t="inlineStr">
        <is>
          <t>unsecured</t>
        </is>
      </c>
      <c r="H85" s="251" t="n">
        <v>8000</v>
      </c>
      <c r="I85" s="251" t="n">
        <v>8499.99</v>
      </c>
      <c r="J85" s="251" t="n">
        <v>1200</v>
      </c>
      <c r="K85" s="254" t="n"/>
    </row>
    <row r="86">
      <c r="B86" s="254" t="inlineStr">
        <is>
          <t>2026-09-26</t>
        </is>
      </c>
      <c r="C86" s="254" t="inlineStr">
        <is>
          <t>non-licensed</t>
        </is>
      </c>
      <c r="D86" s="254" t="inlineStr">
        <is>
          <t>non-clean</t>
        </is>
      </c>
      <c r="E86" s="254" t="inlineStr">
        <is>
          <t>standard</t>
        </is>
      </c>
      <c r="F86" s="254" t="inlineStr">
        <is>
          <t>buyer_fee</t>
        </is>
      </c>
      <c r="G86" s="254" t="inlineStr">
        <is>
          <t>unsecured</t>
        </is>
      </c>
      <c r="H86" s="251" t="n">
        <v>8500</v>
      </c>
      <c r="I86" s="251" t="n">
        <v>8999.99</v>
      </c>
      <c r="J86" s="251" t="n">
        <v>1225</v>
      </c>
      <c r="K86" s="254" t="n"/>
    </row>
    <row r="87">
      <c r="B87" s="254" t="inlineStr">
        <is>
          <t>2026-09-26</t>
        </is>
      </c>
      <c r="C87" s="254" t="inlineStr">
        <is>
          <t>non-licensed</t>
        </is>
      </c>
      <c r="D87" s="254" t="inlineStr">
        <is>
          <t>non-clean</t>
        </is>
      </c>
      <c r="E87" s="254" t="inlineStr">
        <is>
          <t>standard</t>
        </is>
      </c>
      <c r="F87" s="254" t="inlineStr">
        <is>
          <t>buyer_fee</t>
        </is>
      </c>
      <c r="G87" s="254" t="inlineStr">
        <is>
          <t>unsecured</t>
        </is>
      </c>
      <c r="H87" s="251" t="n">
        <v>9000</v>
      </c>
      <c r="I87" s="251" t="n">
        <v>9999.99</v>
      </c>
      <c r="J87" s="251" t="n">
        <v>1225</v>
      </c>
      <c r="K87" s="254" t="n"/>
    </row>
    <row r="88">
      <c r="B88" s="254" t="inlineStr">
        <is>
          <t>2026-09-26</t>
        </is>
      </c>
      <c r="C88" s="254" t="inlineStr">
        <is>
          <t>non-licensed</t>
        </is>
      </c>
      <c r="D88" s="254" t="inlineStr">
        <is>
          <t>non-clean</t>
        </is>
      </c>
      <c r="E88" s="254" t="inlineStr">
        <is>
          <t>standard</t>
        </is>
      </c>
      <c r="F88" s="254" t="inlineStr">
        <is>
          <t>buyer_fee</t>
        </is>
      </c>
      <c r="G88" s="254" t="inlineStr">
        <is>
          <t>unsecured</t>
        </is>
      </c>
      <c r="H88" s="251" t="n">
        <v>10000</v>
      </c>
      <c r="I88" s="251" t="n">
        <v>10499.99</v>
      </c>
      <c r="J88" s="251" t="n">
        <v>1390</v>
      </c>
      <c r="K88" s="254" t="n"/>
    </row>
    <row r="89">
      <c r="B89" s="254" t="inlineStr">
        <is>
          <t>2026-09-26</t>
        </is>
      </c>
      <c r="C89" s="254" t="inlineStr">
        <is>
          <t>non-licensed</t>
        </is>
      </c>
      <c r="D89" s="254" t="inlineStr">
        <is>
          <t>non-clean</t>
        </is>
      </c>
      <c r="E89" s="254" t="inlineStr">
        <is>
          <t>standard</t>
        </is>
      </c>
      <c r="F89" s="254" t="inlineStr">
        <is>
          <t>buyer_fee</t>
        </is>
      </c>
      <c r="G89" s="254" t="inlineStr">
        <is>
          <t>unsecured</t>
        </is>
      </c>
      <c r="H89" s="251" t="n">
        <v>10500</v>
      </c>
      <c r="I89" s="251" t="n">
        <v>10999.99</v>
      </c>
      <c r="J89" s="251" t="n">
        <v>1390</v>
      </c>
      <c r="K89" s="254" t="n"/>
    </row>
    <row r="90">
      <c r="B90" s="254" t="inlineStr">
        <is>
          <t>2026-09-26</t>
        </is>
      </c>
      <c r="C90" s="254" t="inlineStr">
        <is>
          <t>non-licensed</t>
        </is>
      </c>
      <c r="D90" s="254" t="inlineStr">
        <is>
          <t>non-clean</t>
        </is>
      </c>
      <c r="E90" s="254" t="inlineStr">
        <is>
          <t>standard</t>
        </is>
      </c>
      <c r="F90" s="254" t="inlineStr">
        <is>
          <t>buyer_fee</t>
        </is>
      </c>
      <c r="G90" s="254" t="inlineStr">
        <is>
          <t>unsecured</t>
        </is>
      </c>
      <c r="H90" s="251" t="n">
        <v>11000</v>
      </c>
      <c r="I90" s="251" t="n">
        <v>11499.99</v>
      </c>
      <c r="J90" s="251" t="n">
        <v>1390</v>
      </c>
      <c r="K90" s="254" t="n"/>
    </row>
    <row r="91">
      <c r="B91" s="254" t="inlineStr">
        <is>
          <t>2026-09-26</t>
        </is>
      </c>
      <c r="C91" s="254" t="inlineStr">
        <is>
          <t>non-licensed</t>
        </is>
      </c>
      <c r="D91" s="254" t="inlineStr">
        <is>
          <t>non-clean</t>
        </is>
      </c>
      <c r="E91" s="254" t="inlineStr">
        <is>
          <t>standard</t>
        </is>
      </c>
      <c r="F91" s="254" t="inlineStr">
        <is>
          <t>buyer_fee</t>
        </is>
      </c>
      <c r="G91" s="254" t="inlineStr">
        <is>
          <t>unsecured</t>
        </is>
      </c>
      <c r="H91" s="251" t="n">
        <v>11500</v>
      </c>
      <c r="I91" s="251" t="n">
        <v>11999.99</v>
      </c>
      <c r="J91" s="251" t="n">
        <v>1400</v>
      </c>
      <c r="K91" s="254" t="n"/>
    </row>
    <row r="92">
      <c r="B92" s="254" t="inlineStr">
        <is>
          <t>2026-09-26</t>
        </is>
      </c>
      <c r="C92" s="254" t="inlineStr">
        <is>
          <t>non-licensed</t>
        </is>
      </c>
      <c r="D92" s="254" t="inlineStr">
        <is>
          <t>non-clean</t>
        </is>
      </c>
      <c r="E92" s="254" t="inlineStr">
        <is>
          <t>standard</t>
        </is>
      </c>
      <c r="F92" s="254" t="inlineStr">
        <is>
          <t>buyer_fee</t>
        </is>
      </c>
      <c r="G92" s="254" t="inlineStr">
        <is>
          <t>unsecured</t>
        </is>
      </c>
      <c r="H92" s="251" t="n">
        <v>12000</v>
      </c>
      <c r="I92" s="251" t="n">
        <v>12499.99</v>
      </c>
      <c r="J92" s="251" t="n">
        <v>1400</v>
      </c>
      <c r="K92" s="254" t="n"/>
    </row>
    <row r="93">
      <c r="B93" s="254" t="inlineStr">
        <is>
          <t>2026-09-26</t>
        </is>
      </c>
      <c r="C93" s="254" t="inlineStr">
        <is>
          <t>non-licensed</t>
        </is>
      </c>
      <c r="D93" s="254" t="inlineStr">
        <is>
          <t>non-clean</t>
        </is>
      </c>
      <c r="E93" s="254" t="inlineStr">
        <is>
          <t>standard</t>
        </is>
      </c>
      <c r="F93" s="254" t="inlineStr">
        <is>
          <t>buyer_fee</t>
        </is>
      </c>
      <c r="G93" s="254" t="inlineStr">
        <is>
          <t>unsecured</t>
        </is>
      </c>
      <c r="H93" s="251" t="n">
        <v>12500</v>
      </c>
      <c r="I93" s="251" t="n">
        <v>14999.99</v>
      </c>
      <c r="J93" s="251" t="n">
        <v>1400</v>
      </c>
      <c r="K93" s="254" t="n"/>
    </row>
    <row r="94">
      <c r="B94" s="254" t="inlineStr">
        <is>
          <t>2026-09-26</t>
        </is>
      </c>
      <c r="C94" s="254" t="inlineStr">
        <is>
          <t>non-licensed</t>
        </is>
      </c>
      <c r="D94" s="254" t="inlineStr">
        <is>
          <t>non-clean</t>
        </is>
      </c>
      <c r="E94" s="254" t="inlineStr">
        <is>
          <t>standard</t>
        </is>
      </c>
      <c r="F94" s="254" t="inlineStr">
        <is>
          <t>buyer_fee</t>
        </is>
      </c>
      <c r="G94" s="254" t="inlineStr">
        <is>
          <t>unsecured</t>
        </is>
      </c>
      <c r="H94" s="251" t="n">
        <v>15000</v>
      </c>
      <c r="I94" s="254" t="n"/>
      <c r="J94" s="254" t="n"/>
      <c r="K94" s="251" t="n">
        <v>12.5</v>
      </c>
    </row>
    <row r="95">
      <c r="B95" s="254" t="inlineStr">
        <is>
          <t>2026-09-26</t>
        </is>
      </c>
      <c r="C95" s="254" t="inlineStr">
        <is>
          <t>non-licensed</t>
        </is>
      </c>
      <c r="D95" s="254" t="inlineStr">
        <is>
          <t>non-clean</t>
        </is>
      </c>
      <c r="E95" s="254" t="inlineStr">
        <is>
          <t>standard</t>
        </is>
      </c>
      <c r="F95" s="254" t="inlineStr">
        <is>
          <t>virtual_bid_pre_bid</t>
        </is>
      </c>
      <c r="G95" s="254" t="inlineStr">
        <is>
          <t>any</t>
        </is>
      </c>
      <c r="H95" s="251" t="n">
        <v>0</v>
      </c>
      <c r="I95" s="251" t="n">
        <v>99.98999999999999</v>
      </c>
      <c r="J95" s="251" t="n">
        <v>0</v>
      </c>
      <c r="K95" s="254" t="n"/>
    </row>
    <row r="96">
      <c r="B96" s="254" t="inlineStr">
        <is>
          <t>2026-09-26</t>
        </is>
      </c>
      <c r="C96" s="254" t="inlineStr">
        <is>
          <t>non-licensed</t>
        </is>
      </c>
      <c r="D96" s="254" t="inlineStr">
        <is>
          <t>non-clean</t>
        </is>
      </c>
      <c r="E96" s="254" t="inlineStr">
        <is>
          <t>standard</t>
        </is>
      </c>
      <c r="F96" s="254" t="inlineStr">
        <is>
          <t>virtual_bid_pre_bid</t>
        </is>
      </c>
      <c r="G96" s="254" t="inlineStr">
        <is>
          <t>any</t>
        </is>
      </c>
      <c r="H96" s="251" t="n">
        <v>100</v>
      </c>
      <c r="I96" s="251" t="n">
        <v>499.99</v>
      </c>
      <c r="J96" s="251" t="n">
        <v>40</v>
      </c>
      <c r="K96" s="254" t="n"/>
    </row>
    <row r="97">
      <c r="B97" s="254" t="inlineStr">
        <is>
          <t>2026-09-26</t>
        </is>
      </c>
      <c r="C97" s="254" t="inlineStr">
        <is>
          <t>non-licensed</t>
        </is>
      </c>
      <c r="D97" s="254" t="inlineStr">
        <is>
          <t>non-clean</t>
        </is>
      </c>
      <c r="E97" s="254" t="inlineStr">
        <is>
          <t>standard</t>
        </is>
      </c>
      <c r="F97" s="254" t="inlineStr">
        <is>
          <t>virtual_bid_pre_bid</t>
        </is>
      </c>
      <c r="G97" s="254" t="inlineStr">
        <is>
          <t>any</t>
        </is>
      </c>
      <c r="H97" s="251" t="n">
        <v>500</v>
      </c>
      <c r="I97" s="251" t="n">
        <v>999.99</v>
      </c>
      <c r="J97" s="251" t="n">
        <v>55</v>
      </c>
      <c r="K97" s="254" t="n"/>
    </row>
    <row r="98">
      <c r="B98" s="254" t="inlineStr">
        <is>
          <t>2026-09-26</t>
        </is>
      </c>
      <c r="C98" s="254" t="inlineStr">
        <is>
          <t>non-licensed</t>
        </is>
      </c>
      <c r="D98" s="254" t="inlineStr">
        <is>
          <t>non-clean</t>
        </is>
      </c>
      <c r="E98" s="254" t="inlineStr">
        <is>
          <t>standard</t>
        </is>
      </c>
      <c r="F98" s="254" t="inlineStr">
        <is>
          <t>virtual_bid_pre_bid</t>
        </is>
      </c>
      <c r="G98" s="254" t="inlineStr">
        <is>
          <t>any</t>
        </is>
      </c>
      <c r="H98" s="251" t="n">
        <v>1000</v>
      </c>
      <c r="I98" s="251" t="n">
        <v>1499.99</v>
      </c>
      <c r="J98" s="251" t="n">
        <v>75</v>
      </c>
      <c r="K98" s="254" t="n"/>
    </row>
    <row r="99">
      <c r="B99" s="254" t="inlineStr">
        <is>
          <t>2026-09-26</t>
        </is>
      </c>
      <c r="C99" s="254" t="inlineStr">
        <is>
          <t>non-licensed</t>
        </is>
      </c>
      <c r="D99" s="254" t="inlineStr">
        <is>
          <t>non-clean</t>
        </is>
      </c>
      <c r="E99" s="254" t="inlineStr">
        <is>
          <t>standard</t>
        </is>
      </c>
      <c r="F99" s="254" t="inlineStr">
        <is>
          <t>virtual_bid_pre_bid</t>
        </is>
      </c>
      <c r="G99" s="254" t="inlineStr">
        <is>
          <t>any</t>
        </is>
      </c>
      <c r="H99" s="251" t="n">
        <v>1500</v>
      </c>
      <c r="I99" s="251" t="n">
        <v>1999.99</v>
      </c>
      <c r="J99" s="251" t="n">
        <v>85</v>
      </c>
      <c r="K99" s="254" t="n"/>
    </row>
    <row r="100">
      <c r="B100" s="254" t="inlineStr">
        <is>
          <t>2026-09-26</t>
        </is>
      </c>
      <c r="C100" s="254" t="inlineStr">
        <is>
          <t>non-licensed</t>
        </is>
      </c>
      <c r="D100" s="254" t="inlineStr">
        <is>
          <t>non-clean</t>
        </is>
      </c>
      <c r="E100" s="254" t="inlineStr">
        <is>
          <t>standard</t>
        </is>
      </c>
      <c r="F100" s="254" t="inlineStr">
        <is>
          <t>virtual_bid_pre_bid</t>
        </is>
      </c>
      <c r="G100" s="254" t="inlineStr">
        <is>
          <t>any</t>
        </is>
      </c>
      <c r="H100" s="251" t="n">
        <v>2000</v>
      </c>
      <c r="I100" s="251" t="n">
        <v>3999.99</v>
      </c>
      <c r="J100" s="251" t="n">
        <v>100</v>
      </c>
      <c r="K100" s="254" t="n"/>
    </row>
    <row r="101">
      <c r="B101" s="254" t="inlineStr">
        <is>
          <t>2026-09-26</t>
        </is>
      </c>
      <c r="C101" s="254" t="inlineStr">
        <is>
          <t>non-licensed</t>
        </is>
      </c>
      <c r="D101" s="254" t="inlineStr">
        <is>
          <t>non-clean</t>
        </is>
      </c>
      <c r="E101" s="254" t="inlineStr">
        <is>
          <t>standard</t>
        </is>
      </c>
      <c r="F101" s="254" t="inlineStr">
        <is>
          <t>virtual_bid_pre_bid</t>
        </is>
      </c>
      <c r="G101" s="254" t="inlineStr">
        <is>
          <t>any</t>
        </is>
      </c>
      <c r="H101" s="251" t="n">
        <v>4000</v>
      </c>
      <c r="I101" s="251" t="n">
        <v>5999.99</v>
      </c>
      <c r="J101" s="251" t="n">
        <v>110</v>
      </c>
      <c r="K101" s="254" t="n"/>
    </row>
    <row r="102">
      <c r="B102" s="254" t="inlineStr">
        <is>
          <t>2026-09-26</t>
        </is>
      </c>
      <c r="C102" s="254" t="inlineStr">
        <is>
          <t>non-licensed</t>
        </is>
      </c>
      <c r="D102" s="254" t="inlineStr">
        <is>
          <t>non-clean</t>
        </is>
      </c>
      <c r="E102" s="254" t="inlineStr">
        <is>
          <t>standard</t>
        </is>
      </c>
      <c r="F102" s="254" t="inlineStr">
        <is>
          <t>virtual_bid_pre_bid</t>
        </is>
      </c>
      <c r="G102" s="254" t="inlineStr">
        <is>
          <t>any</t>
        </is>
      </c>
      <c r="H102" s="251" t="n">
        <v>6000</v>
      </c>
      <c r="I102" s="251" t="n">
        <v>7999.99</v>
      </c>
      <c r="J102" s="251" t="n">
        <v>125</v>
      </c>
      <c r="K102" s="254" t="n"/>
    </row>
    <row r="103">
      <c r="B103" s="254" t="inlineStr">
        <is>
          <t>2026-09-26</t>
        </is>
      </c>
      <c r="C103" s="254" t="inlineStr">
        <is>
          <t>non-licensed</t>
        </is>
      </c>
      <c r="D103" s="254" t="inlineStr">
        <is>
          <t>non-clean</t>
        </is>
      </c>
      <c r="E103" s="254" t="inlineStr">
        <is>
          <t>standard</t>
        </is>
      </c>
      <c r="F103" s="254" t="inlineStr">
        <is>
          <t>virtual_bid_pre_bid</t>
        </is>
      </c>
      <c r="G103" s="254" t="inlineStr">
        <is>
          <t>any</t>
        </is>
      </c>
      <c r="H103" s="251" t="n">
        <v>8000</v>
      </c>
      <c r="I103" s="254" t="n"/>
      <c r="J103" s="251" t="n">
        <v>140</v>
      </c>
      <c r="K103" s="254" t="n"/>
    </row>
    <row r="104">
      <c r="B104" s="254" t="inlineStr">
        <is>
          <t>2026-09-26</t>
        </is>
      </c>
      <c r="C104" s="254" t="inlineStr">
        <is>
          <t>non-licensed</t>
        </is>
      </c>
      <c r="D104" s="254" t="inlineStr">
        <is>
          <t>non-clean</t>
        </is>
      </c>
      <c r="E104" s="254" t="inlineStr">
        <is>
          <t>standard</t>
        </is>
      </c>
      <c r="F104" s="254" t="inlineStr">
        <is>
          <t>virtual_bid_live_bid</t>
        </is>
      </c>
      <c r="G104" s="254" t="inlineStr">
        <is>
          <t>any</t>
        </is>
      </c>
      <c r="H104" s="251" t="n">
        <v>0</v>
      </c>
      <c r="I104" s="251" t="n">
        <v>99.98999999999999</v>
      </c>
      <c r="J104" s="251" t="n">
        <v>0</v>
      </c>
      <c r="K104" s="254" t="n"/>
    </row>
    <row r="105">
      <c r="B105" s="254" t="inlineStr">
        <is>
          <t>2026-09-26</t>
        </is>
      </c>
      <c r="C105" s="254" t="inlineStr">
        <is>
          <t>non-licensed</t>
        </is>
      </c>
      <c r="D105" s="254" t="inlineStr">
        <is>
          <t>non-clean</t>
        </is>
      </c>
      <c r="E105" s="254" t="inlineStr">
        <is>
          <t>standard</t>
        </is>
      </c>
      <c r="F105" s="254" t="inlineStr">
        <is>
          <t>virtual_bid_live_bid</t>
        </is>
      </c>
      <c r="G105" s="254" t="inlineStr">
        <is>
          <t>any</t>
        </is>
      </c>
      <c r="H105" s="251" t="n">
        <v>100</v>
      </c>
      <c r="I105" s="251" t="n">
        <v>499.99</v>
      </c>
      <c r="J105" s="251" t="n">
        <v>50</v>
      </c>
      <c r="K105" s="254" t="n"/>
    </row>
    <row r="106">
      <c r="B106" s="254" t="inlineStr">
        <is>
          <t>2026-09-26</t>
        </is>
      </c>
      <c r="C106" s="254" t="inlineStr">
        <is>
          <t>non-licensed</t>
        </is>
      </c>
      <c r="D106" s="254" t="inlineStr">
        <is>
          <t>non-clean</t>
        </is>
      </c>
      <c r="E106" s="254" t="inlineStr">
        <is>
          <t>standard</t>
        </is>
      </c>
      <c r="F106" s="254" t="inlineStr">
        <is>
          <t>virtual_bid_live_bid</t>
        </is>
      </c>
      <c r="G106" s="254" t="inlineStr">
        <is>
          <t>any</t>
        </is>
      </c>
      <c r="H106" s="251" t="n">
        <v>500</v>
      </c>
      <c r="I106" s="251" t="n">
        <v>999.99</v>
      </c>
      <c r="J106" s="251" t="n">
        <v>65</v>
      </c>
      <c r="K106" s="254" t="n"/>
    </row>
    <row r="107">
      <c r="B107" s="254" t="inlineStr">
        <is>
          <t>2026-09-26</t>
        </is>
      </c>
      <c r="C107" s="254" t="inlineStr">
        <is>
          <t>non-licensed</t>
        </is>
      </c>
      <c r="D107" s="254" t="inlineStr">
        <is>
          <t>non-clean</t>
        </is>
      </c>
      <c r="E107" s="254" t="inlineStr">
        <is>
          <t>standard</t>
        </is>
      </c>
      <c r="F107" s="254" t="inlineStr">
        <is>
          <t>virtual_bid_live_bid</t>
        </is>
      </c>
      <c r="G107" s="254" t="inlineStr">
        <is>
          <t>any</t>
        </is>
      </c>
      <c r="H107" s="251" t="n">
        <v>1000</v>
      </c>
      <c r="I107" s="251" t="n">
        <v>1499.99</v>
      </c>
      <c r="J107" s="251" t="n">
        <v>85</v>
      </c>
      <c r="K107" s="254" t="n"/>
    </row>
    <row r="108">
      <c r="B108" s="254" t="inlineStr">
        <is>
          <t>2026-09-26</t>
        </is>
      </c>
      <c r="C108" s="254" t="inlineStr">
        <is>
          <t>non-licensed</t>
        </is>
      </c>
      <c r="D108" s="254" t="inlineStr">
        <is>
          <t>non-clean</t>
        </is>
      </c>
      <c r="E108" s="254" t="inlineStr">
        <is>
          <t>standard</t>
        </is>
      </c>
      <c r="F108" s="254" t="inlineStr">
        <is>
          <t>virtual_bid_live_bid</t>
        </is>
      </c>
      <c r="G108" s="254" t="inlineStr">
        <is>
          <t>any</t>
        </is>
      </c>
      <c r="H108" s="251" t="n">
        <v>1500</v>
      </c>
      <c r="I108" s="251" t="n">
        <v>1999.99</v>
      </c>
      <c r="J108" s="251" t="n">
        <v>95</v>
      </c>
      <c r="K108" s="254" t="n"/>
    </row>
    <row r="109">
      <c r="B109" s="254" t="inlineStr">
        <is>
          <t>2026-09-26</t>
        </is>
      </c>
      <c r="C109" s="254" t="inlineStr">
        <is>
          <t>non-licensed</t>
        </is>
      </c>
      <c r="D109" s="254" t="inlineStr">
        <is>
          <t>non-clean</t>
        </is>
      </c>
      <c r="E109" s="254" t="inlineStr">
        <is>
          <t>standard</t>
        </is>
      </c>
      <c r="F109" s="254" t="inlineStr">
        <is>
          <t>virtual_bid_live_bid</t>
        </is>
      </c>
      <c r="G109" s="254" t="inlineStr">
        <is>
          <t>any</t>
        </is>
      </c>
      <c r="H109" s="251" t="n">
        <v>2000</v>
      </c>
      <c r="I109" s="251" t="n">
        <v>3999.99</v>
      </c>
      <c r="J109" s="251" t="n">
        <v>110</v>
      </c>
      <c r="K109" s="254" t="n"/>
    </row>
    <row r="110">
      <c r="B110" s="254" t="inlineStr">
        <is>
          <t>2026-09-26</t>
        </is>
      </c>
      <c r="C110" s="254" t="inlineStr">
        <is>
          <t>non-licensed</t>
        </is>
      </c>
      <c r="D110" s="254" t="inlineStr">
        <is>
          <t>non-clean</t>
        </is>
      </c>
      <c r="E110" s="254" t="inlineStr">
        <is>
          <t>standard</t>
        </is>
      </c>
      <c r="F110" s="254" t="inlineStr">
        <is>
          <t>virtual_bid_live_bid</t>
        </is>
      </c>
      <c r="G110" s="254" t="inlineStr">
        <is>
          <t>any</t>
        </is>
      </c>
      <c r="H110" s="251" t="n">
        <v>4000</v>
      </c>
      <c r="I110" s="251" t="n">
        <v>5999.99</v>
      </c>
      <c r="J110" s="251" t="n">
        <v>125</v>
      </c>
      <c r="K110" s="254" t="n"/>
    </row>
    <row r="111">
      <c r="B111" s="254" t="inlineStr">
        <is>
          <t>2026-09-26</t>
        </is>
      </c>
      <c r="C111" s="254" t="inlineStr">
        <is>
          <t>non-licensed</t>
        </is>
      </c>
      <c r="D111" s="254" t="inlineStr">
        <is>
          <t>non-clean</t>
        </is>
      </c>
      <c r="E111" s="254" t="inlineStr">
        <is>
          <t>standard</t>
        </is>
      </c>
      <c r="F111" s="254" t="inlineStr">
        <is>
          <t>virtual_bid_live_bid</t>
        </is>
      </c>
      <c r="G111" s="254" t="inlineStr">
        <is>
          <t>any</t>
        </is>
      </c>
      <c r="H111" s="251" t="n">
        <v>6000</v>
      </c>
      <c r="I111" s="251" t="n">
        <v>7999.99</v>
      </c>
      <c r="J111" s="251" t="n">
        <v>145</v>
      </c>
      <c r="K111" s="254" t="n"/>
    </row>
    <row r="112">
      <c r="B112" s="254" t="inlineStr">
        <is>
          <t>2026-09-26</t>
        </is>
      </c>
      <c r="C112" s="254" t="inlineStr">
        <is>
          <t>non-licensed</t>
        </is>
      </c>
      <c r="D112" s="254" t="inlineStr">
        <is>
          <t>non-clean</t>
        </is>
      </c>
      <c r="E112" s="254" t="inlineStr">
        <is>
          <t>standard</t>
        </is>
      </c>
      <c r="F112" s="254" t="inlineStr">
        <is>
          <t>virtual_bid_live_bid</t>
        </is>
      </c>
      <c r="G112" s="254" t="inlineStr">
        <is>
          <t>any</t>
        </is>
      </c>
      <c r="H112" s="251" t="n">
        <v>8000</v>
      </c>
      <c r="I112" s="254" t="n"/>
      <c r="J112" s="251" t="n">
        <v>160</v>
      </c>
      <c r="K112" s="254" t="n"/>
    </row>
    <row r="113">
      <c r="B113" s="254" t="inlineStr">
        <is>
          <t>2026-09-26</t>
        </is>
      </c>
      <c r="C113" s="254" t="inlineStr">
        <is>
          <t>non-licensed</t>
        </is>
      </c>
      <c r="D113" s="254" t="inlineStr">
        <is>
          <t>non-clean</t>
        </is>
      </c>
      <c r="E113" s="254" t="inlineStr">
        <is>
          <t>standard</t>
        </is>
      </c>
      <c r="F113" s="254" t="inlineStr">
        <is>
          <t>gate_fee</t>
        </is>
      </c>
      <c r="G113" s="254" t="inlineStr">
        <is>
          <t>any</t>
        </is>
      </c>
      <c r="H113" s="251" t="n">
        <v>0</v>
      </c>
      <c r="I113" s="254" t="n"/>
      <c r="J113" s="251" t="n">
        <v>95</v>
      </c>
      <c r="K113" s="254" t="n"/>
    </row>
    <row r="114">
      <c r="B114" s="254" t="inlineStr">
        <is>
          <t>2026-09-26</t>
        </is>
      </c>
      <c r="C114" s="254" t="inlineStr">
        <is>
          <t>non-licensed</t>
        </is>
      </c>
      <c r="D114" s="254" t="inlineStr">
        <is>
          <t>clean</t>
        </is>
      </c>
      <c r="E114" s="254" t="inlineStr">
        <is>
          <t>standard</t>
        </is>
      </c>
      <c r="F114" s="254" t="inlineStr">
        <is>
          <t>buyer_fee</t>
        </is>
      </c>
      <c r="G114" s="254" t="inlineStr">
        <is>
          <t>secured</t>
        </is>
      </c>
      <c r="H114" s="251" t="n">
        <v>0</v>
      </c>
      <c r="I114" s="251" t="n">
        <v>49.99</v>
      </c>
      <c r="J114" s="251" t="n">
        <v>25</v>
      </c>
      <c r="K114" s="254" t="n"/>
    </row>
    <row r="115">
      <c r="B115" s="254" t="inlineStr">
        <is>
          <t>2026-09-26</t>
        </is>
      </c>
      <c r="C115" s="254" t="inlineStr">
        <is>
          <t>non-licensed</t>
        </is>
      </c>
      <c r="D115" s="254" t="inlineStr">
        <is>
          <t>clean</t>
        </is>
      </c>
      <c r="E115" s="254" t="inlineStr">
        <is>
          <t>standard</t>
        </is>
      </c>
      <c r="F115" s="254" t="inlineStr">
        <is>
          <t>buyer_fee</t>
        </is>
      </c>
      <c r="G115" s="254" t="inlineStr">
        <is>
          <t>secured</t>
        </is>
      </c>
      <c r="H115" s="251" t="n">
        <v>50</v>
      </c>
      <c r="I115" s="251" t="n">
        <v>99.98999999999999</v>
      </c>
      <c r="J115" s="251" t="n">
        <v>45</v>
      </c>
      <c r="K115" s="254" t="n"/>
    </row>
    <row r="116">
      <c r="B116" s="254" t="inlineStr">
        <is>
          <t>2026-09-26</t>
        </is>
      </c>
      <c r="C116" s="254" t="inlineStr">
        <is>
          <t>non-licensed</t>
        </is>
      </c>
      <c r="D116" s="254" t="inlineStr">
        <is>
          <t>clean</t>
        </is>
      </c>
      <c r="E116" s="254" t="inlineStr">
        <is>
          <t>standard</t>
        </is>
      </c>
      <c r="F116" s="254" t="inlineStr">
        <is>
          <t>buyer_fee</t>
        </is>
      </c>
      <c r="G116" s="254" t="inlineStr">
        <is>
          <t>secured</t>
        </is>
      </c>
      <c r="H116" s="251" t="n">
        <v>100</v>
      </c>
      <c r="I116" s="251" t="n">
        <v>199.99</v>
      </c>
      <c r="J116" s="251" t="n">
        <v>80</v>
      </c>
      <c r="K116" s="254" t="n"/>
    </row>
    <row r="117">
      <c r="B117" s="254" t="inlineStr">
        <is>
          <t>2026-09-26</t>
        </is>
      </c>
      <c r="C117" s="254" t="inlineStr">
        <is>
          <t>non-licensed</t>
        </is>
      </c>
      <c r="D117" s="254" t="inlineStr">
        <is>
          <t>clean</t>
        </is>
      </c>
      <c r="E117" s="254" t="inlineStr">
        <is>
          <t>standard</t>
        </is>
      </c>
      <c r="F117" s="254" t="inlineStr">
        <is>
          <t>buyer_fee</t>
        </is>
      </c>
      <c r="G117" s="254" t="inlineStr">
        <is>
          <t>secured</t>
        </is>
      </c>
      <c r="H117" s="251" t="n">
        <v>200</v>
      </c>
      <c r="I117" s="251" t="n">
        <v>299.99</v>
      </c>
      <c r="J117" s="251" t="n">
        <v>120</v>
      </c>
      <c r="K117" s="254" t="n"/>
    </row>
    <row r="118">
      <c r="B118" s="254" t="inlineStr">
        <is>
          <t>2026-09-26</t>
        </is>
      </c>
      <c r="C118" s="254" t="inlineStr">
        <is>
          <t>non-licensed</t>
        </is>
      </c>
      <c r="D118" s="254" t="inlineStr">
        <is>
          <t>clean</t>
        </is>
      </c>
      <c r="E118" s="254" t="inlineStr">
        <is>
          <t>standard</t>
        </is>
      </c>
      <c r="F118" s="254" t="inlineStr">
        <is>
          <t>buyer_fee</t>
        </is>
      </c>
      <c r="G118" s="254" t="inlineStr">
        <is>
          <t>secured</t>
        </is>
      </c>
      <c r="H118" s="251" t="n">
        <v>300</v>
      </c>
      <c r="I118" s="251" t="n">
        <v>349.99</v>
      </c>
      <c r="J118" s="251" t="n">
        <v>120</v>
      </c>
      <c r="K118" s="254" t="n"/>
    </row>
    <row r="119">
      <c r="B119" s="254" t="inlineStr">
        <is>
          <t>2026-09-26</t>
        </is>
      </c>
      <c r="C119" s="254" t="inlineStr">
        <is>
          <t>non-licensed</t>
        </is>
      </c>
      <c r="D119" s="254" t="inlineStr">
        <is>
          <t>clean</t>
        </is>
      </c>
      <c r="E119" s="254" t="inlineStr">
        <is>
          <t>standard</t>
        </is>
      </c>
      <c r="F119" s="254" t="inlineStr">
        <is>
          <t>buyer_fee</t>
        </is>
      </c>
      <c r="G119" s="254" t="inlineStr">
        <is>
          <t>secured</t>
        </is>
      </c>
      <c r="H119" s="251" t="n">
        <v>350</v>
      </c>
      <c r="I119" s="251" t="n">
        <v>399.99</v>
      </c>
      <c r="J119" s="251" t="n">
        <v>120</v>
      </c>
      <c r="K119" s="254" t="n"/>
    </row>
    <row r="120">
      <c r="B120" s="254" t="inlineStr">
        <is>
          <t>2026-09-26</t>
        </is>
      </c>
      <c r="C120" s="254" t="inlineStr">
        <is>
          <t>non-licensed</t>
        </is>
      </c>
      <c r="D120" s="254" t="inlineStr">
        <is>
          <t>clean</t>
        </is>
      </c>
      <c r="E120" s="254" t="inlineStr">
        <is>
          <t>standard</t>
        </is>
      </c>
      <c r="F120" s="254" t="inlineStr">
        <is>
          <t>buyer_fee</t>
        </is>
      </c>
      <c r="G120" s="254" t="inlineStr">
        <is>
          <t>secured</t>
        </is>
      </c>
      <c r="H120" s="251" t="n">
        <v>400</v>
      </c>
      <c r="I120" s="251" t="n">
        <v>449.99</v>
      </c>
      <c r="J120" s="251" t="n">
        <v>160</v>
      </c>
      <c r="K120" s="254" t="n"/>
    </row>
    <row r="121">
      <c r="B121" s="254" t="inlineStr">
        <is>
          <t>2026-09-26</t>
        </is>
      </c>
      <c r="C121" s="254" t="inlineStr">
        <is>
          <t>non-licensed</t>
        </is>
      </c>
      <c r="D121" s="254" t="inlineStr">
        <is>
          <t>clean</t>
        </is>
      </c>
      <c r="E121" s="254" t="inlineStr">
        <is>
          <t>standard</t>
        </is>
      </c>
      <c r="F121" s="254" t="inlineStr">
        <is>
          <t>buyer_fee</t>
        </is>
      </c>
      <c r="G121" s="254" t="inlineStr">
        <is>
          <t>secured</t>
        </is>
      </c>
      <c r="H121" s="251" t="n">
        <v>450</v>
      </c>
      <c r="I121" s="251" t="n">
        <v>499.99</v>
      </c>
      <c r="J121" s="251" t="n">
        <v>160</v>
      </c>
      <c r="K121" s="254" t="n"/>
    </row>
    <row r="122">
      <c r="B122" s="254" t="inlineStr">
        <is>
          <t>2026-09-26</t>
        </is>
      </c>
      <c r="C122" s="254" t="inlineStr">
        <is>
          <t>non-licensed</t>
        </is>
      </c>
      <c r="D122" s="254" t="inlineStr">
        <is>
          <t>clean</t>
        </is>
      </c>
      <c r="E122" s="254" t="inlineStr">
        <is>
          <t>standard</t>
        </is>
      </c>
      <c r="F122" s="254" t="inlineStr">
        <is>
          <t>buyer_fee</t>
        </is>
      </c>
      <c r="G122" s="254" t="inlineStr">
        <is>
          <t>secured</t>
        </is>
      </c>
      <c r="H122" s="251" t="n">
        <v>500</v>
      </c>
      <c r="I122" s="251" t="n">
        <v>549.99</v>
      </c>
      <c r="J122" s="251" t="n">
        <v>185</v>
      </c>
      <c r="K122" s="254" t="n"/>
    </row>
    <row r="123">
      <c r="B123" s="254" t="inlineStr">
        <is>
          <t>2026-09-26</t>
        </is>
      </c>
      <c r="C123" s="254" t="inlineStr">
        <is>
          <t>non-licensed</t>
        </is>
      </c>
      <c r="D123" s="254" t="inlineStr">
        <is>
          <t>clean</t>
        </is>
      </c>
      <c r="E123" s="254" t="inlineStr">
        <is>
          <t>standard</t>
        </is>
      </c>
      <c r="F123" s="254" t="inlineStr">
        <is>
          <t>buyer_fee</t>
        </is>
      </c>
      <c r="G123" s="254" t="inlineStr">
        <is>
          <t>secured</t>
        </is>
      </c>
      <c r="H123" s="251" t="n">
        <v>550</v>
      </c>
      <c r="I123" s="251" t="n">
        <v>599.99</v>
      </c>
      <c r="J123" s="251" t="n">
        <v>185</v>
      </c>
      <c r="K123" s="254" t="n"/>
    </row>
    <row r="124">
      <c r="B124" s="254" t="inlineStr">
        <is>
          <t>2026-09-26</t>
        </is>
      </c>
      <c r="C124" s="254" t="inlineStr">
        <is>
          <t>non-licensed</t>
        </is>
      </c>
      <c r="D124" s="254" t="inlineStr">
        <is>
          <t>clean</t>
        </is>
      </c>
      <c r="E124" s="254" t="inlineStr">
        <is>
          <t>standard</t>
        </is>
      </c>
      <c r="F124" s="254" t="inlineStr">
        <is>
          <t>buyer_fee</t>
        </is>
      </c>
      <c r="G124" s="254" t="inlineStr">
        <is>
          <t>secured</t>
        </is>
      </c>
      <c r="H124" s="251" t="n">
        <v>600</v>
      </c>
      <c r="I124" s="251" t="n">
        <v>699.99</v>
      </c>
      <c r="J124" s="251" t="n">
        <v>210</v>
      </c>
      <c r="K124" s="254" t="n"/>
    </row>
    <row r="125">
      <c r="B125" s="254" t="inlineStr">
        <is>
          <t>2026-09-26</t>
        </is>
      </c>
      <c r="C125" s="254" t="inlineStr">
        <is>
          <t>non-licensed</t>
        </is>
      </c>
      <c r="D125" s="254" t="inlineStr">
        <is>
          <t>clean</t>
        </is>
      </c>
      <c r="E125" s="254" t="inlineStr">
        <is>
          <t>standard</t>
        </is>
      </c>
      <c r="F125" s="254" t="inlineStr">
        <is>
          <t>buyer_fee</t>
        </is>
      </c>
      <c r="G125" s="254" t="inlineStr">
        <is>
          <t>secured</t>
        </is>
      </c>
      <c r="H125" s="251" t="n">
        <v>700</v>
      </c>
      <c r="I125" s="251" t="n">
        <v>799.99</v>
      </c>
      <c r="J125" s="251" t="n">
        <v>230</v>
      </c>
      <c r="K125" s="254" t="n"/>
    </row>
    <row r="126">
      <c r="B126" s="254" t="inlineStr">
        <is>
          <t>2026-09-26</t>
        </is>
      </c>
      <c r="C126" s="254" t="inlineStr">
        <is>
          <t>non-licensed</t>
        </is>
      </c>
      <c r="D126" s="254" t="inlineStr">
        <is>
          <t>clean</t>
        </is>
      </c>
      <c r="E126" s="254" t="inlineStr">
        <is>
          <t>standard</t>
        </is>
      </c>
      <c r="F126" s="254" t="inlineStr">
        <is>
          <t>buyer_fee</t>
        </is>
      </c>
      <c r="G126" s="254" t="inlineStr">
        <is>
          <t>secured</t>
        </is>
      </c>
      <c r="H126" s="251" t="n">
        <v>800</v>
      </c>
      <c r="I126" s="251" t="n">
        <v>899.99</v>
      </c>
      <c r="J126" s="251" t="n">
        <v>250</v>
      </c>
      <c r="K126" s="254" t="n"/>
    </row>
    <row r="127">
      <c r="B127" s="254" t="inlineStr">
        <is>
          <t>2026-09-26</t>
        </is>
      </c>
      <c r="C127" s="254" t="inlineStr">
        <is>
          <t>non-licensed</t>
        </is>
      </c>
      <c r="D127" s="254" t="inlineStr">
        <is>
          <t>clean</t>
        </is>
      </c>
      <c r="E127" s="254" t="inlineStr">
        <is>
          <t>standard</t>
        </is>
      </c>
      <c r="F127" s="254" t="inlineStr">
        <is>
          <t>buyer_fee</t>
        </is>
      </c>
      <c r="G127" s="254" t="inlineStr">
        <is>
          <t>secured</t>
        </is>
      </c>
      <c r="H127" s="251" t="n">
        <v>900</v>
      </c>
      <c r="I127" s="251" t="n">
        <v>999.99</v>
      </c>
      <c r="J127" s="251" t="n">
        <v>275</v>
      </c>
      <c r="K127" s="254" t="n"/>
    </row>
    <row r="128">
      <c r="B128" s="254" t="inlineStr">
        <is>
          <t>2026-09-26</t>
        </is>
      </c>
      <c r="C128" s="254" t="inlineStr">
        <is>
          <t>non-licensed</t>
        </is>
      </c>
      <c r="D128" s="254" t="inlineStr">
        <is>
          <t>clean</t>
        </is>
      </c>
      <c r="E128" s="254" t="inlineStr">
        <is>
          <t>standard</t>
        </is>
      </c>
      <c r="F128" s="254" t="inlineStr">
        <is>
          <t>buyer_fee</t>
        </is>
      </c>
      <c r="G128" s="254" t="inlineStr">
        <is>
          <t>secured</t>
        </is>
      </c>
      <c r="H128" s="251" t="n">
        <v>1000</v>
      </c>
      <c r="I128" s="251" t="n">
        <v>1199.99</v>
      </c>
      <c r="J128" s="251" t="n">
        <v>325</v>
      </c>
      <c r="K128" s="254" t="n"/>
    </row>
    <row r="129">
      <c r="B129" s="254" t="inlineStr">
        <is>
          <t>2026-09-26</t>
        </is>
      </c>
      <c r="C129" s="254" t="inlineStr">
        <is>
          <t>non-licensed</t>
        </is>
      </c>
      <c r="D129" s="254" t="inlineStr">
        <is>
          <t>clean</t>
        </is>
      </c>
      <c r="E129" s="254" t="inlineStr">
        <is>
          <t>standard</t>
        </is>
      </c>
      <c r="F129" s="254" t="inlineStr">
        <is>
          <t>buyer_fee</t>
        </is>
      </c>
      <c r="G129" s="254" t="inlineStr">
        <is>
          <t>secured</t>
        </is>
      </c>
      <c r="H129" s="251" t="n">
        <v>1200</v>
      </c>
      <c r="I129" s="251" t="n">
        <v>1299.99</v>
      </c>
      <c r="J129" s="251" t="n">
        <v>350</v>
      </c>
      <c r="K129" s="254" t="n"/>
    </row>
    <row r="130">
      <c r="B130" s="254" t="inlineStr">
        <is>
          <t>2026-09-26</t>
        </is>
      </c>
      <c r="C130" s="254" t="inlineStr">
        <is>
          <t>non-licensed</t>
        </is>
      </c>
      <c r="D130" s="254" t="inlineStr">
        <is>
          <t>clean</t>
        </is>
      </c>
      <c r="E130" s="254" t="inlineStr">
        <is>
          <t>standard</t>
        </is>
      </c>
      <c r="F130" s="254" t="inlineStr">
        <is>
          <t>buyer_fee</t>
        </is>
      </c>
      <c r="G130" s="254" t="inlineStr">
        <is>
          <t>secured</t>
        </is>
      </c>
      <c r="H130" s="251" t="n">
        <v>1300</v>
      </c>
      <c r="I130" s="251" t="n">
        <v>1399.99</v>
      </c>
      <c r="J130" s="251" t="n">
        <v>365</v>
      </c>
      <c r="K130" s="254" t="n"/>
    </row>
    <row r="131">
      <c r="B131" s="254" t="inlineStr">
        <is>
          <t>2026-09-26</t>
        </is>
      </c>
      <c r="C131" s="254" t="inlineStr">
        <is>
          <t>non-licensed</t>
        </is>
      </c>
      <c r="D131" s="254" t="inlineStr">
        <is>
          <t>clean</t>
        </is>
      </c>
      <c r="E131" s="254" t="inlineStr">
        <is>
          <t>standard</t>
        </is>
      </c>
      <c r="F131" s="254" t="inlineStr">
        <is>
          <t>buyer_fee</t>
        </is>
      </c>
      <c r="G131" s="254" t="inlineStr">
        <is>
          <t>secured</t>
        </is>
      </c>
      <c r="H131" s="251" t="n">
        <v>1400</v>
      </c>
      <c r="I131" s="251" t="n">
        <v>1499.99</v>
      </c>
      <c r="J131" s="251" t="n">
        <v>380</v>
      </c>
      <c r="K131" s="254" t="n"/>
    </row>
    <row r="132">
      <c r="B132" s="254" t="inlineStr">
        <is>
          <t>2026-09-26</t>
        </is>
      </c>
      <c r="C132" s="254" t="inlineStr">
        <is>
          <t>non-licensed</t>
        </is>
      </c>
      <c r="D132" s="254" t="inlineStr">
        <is>
          <t>clean</t>
        </is>
      </c>
      <c r="E132" s="254" t="inlineStr">
        <is>
          <t>standard</t>
        </is>
      </c>
      <c r="F132" s="254" t="inlineStr">
        <is>
          <t>buyer_fee</t>
        </is>
      </c>
      <c r="G132" s="254" t="inlineStr">
        <is>
          <t>secured</t>
        </is>
      </c>
      <c r="H132" s="251" t="n">
        <v>1500</v>
      </c>
      <c r="I132" s="251" t="n">
        <v>1599.99</v>
      </c>
      <c r="J132" s="251" t="n">
        <v>390</v>
      </c>
      <c r="K132" s="254" t="n"/>
    </row>
    <row r="133">
      <c r="B133" s="254" t="inlineStr">
        <is>
          <t>2026-09-26</t>
        </is>
      </c>
      <c r="C133" s="254" t="inlineStr">
        <is>
          <t>non-licensed</t>
        </is>
      </c>
      <c r="D133" s="254" t="inlineStr">
        <is>
          <t>clean</t>
        </is>
      </c>
      <c r="E133" s="254" t="inlineStr">
        <is>
          <t>standard</t>
        </is>
      </c>
      <c r="F133" s="254" t="inlineStr">
        <is>
          <t>buyer_fee</t>
        </is>
      </c>
      <c r="G133" s="254" t="inlineStr">
        <is>
          <t>secured</t>
        </is>
      </c>
      <c r="H133" s="251" t="n">
        <v>1600</v>
      </c>
      <c r="I133" s="251" t="n">
        <v>1699.99</v>
      </c>
      <c r="J133" s="251" t="n">
        <v>410</v>
      </c>
      <c r="K133" s="254" t="n"/>
    </row>
    <row r="134">
      <c r="B134" s="254" t="inlineStr">
        <is>
          <t>2026-09-26</t>
        </is>
      </c>
      <c r="C134" s="254" t="inlineStr">
        <is>
          <t>non-licensed</t>
        </is>
      </c>
      <c r="D134" s="254" t="inlineStr">
        <is>
          <t>clean</t>
        </is>
      </c>
      <c r="E134" s="254" t="inlineStr">
        <is>
          <t>standard</t>
        </is>
      </c>
      <c r="F134" s="254" t="inlineStr">
        <is>
          <t>buyer_fee</t>
        </is>
      </c>
      <c r="G134" s="254" t="inlineStr">
        <is>
          <t>secured</t>
        </is>
      </c>
      <c r="H134" s="251" t="n">
        <v>1700</v>
      </c>
      <c r="I134" s="251" t="n">
        <v>1799.99</v>
      </c>
      <c r="J134" s="251" t="n">
        <v>420</v>
      </c>
      <c r="K134" s="254" t="n"/>
    </row>
    <row r="135">
      <c r="B135" s="254" t="inlineStr">
        <is>
          <t>2026-09-26</t>
        </is>
      </c>
      <c r="C135" s="254" t="inlineStr">
        <is>
          <t>non-licensed</t>
        </is>
      </c>
      <c r="D135" s="254" t="inlineStr">
        <is>
          <t>clean</t>
        </is>
      </c>
      <c r="E135" s="254" t="inlineStr">
        <is>
          <t>standard</t>
        </is>
      </c>
      <c r="F135" s="254" t="inlineStr">
        <is>
          <t>buyer_fee</t>
        </is>
      </c>
      <c r="G135" s="254" t="inlineStr">
        <is>
          <t>secured</t>
        </is>
      </c>
      <c r="H135" s="251" t="n">
        <v>1800</v>
      </c>
      <c r="I135" s="251" t="n">
        <v>1999.99</v>
      </c>
      <c r="J135" s="251" t="n">
        <v>440</v>
      </c>
      <c r="K135" s="254" t="n"/>
    </row>
    <row r="136">
      <c r="B136" s="254" t="inlineStr">
        <is>
          <t>2026-09-26</t>
        </is>
      </c>
      <c r="C136" s="254" t="inlineStr">
        <is>
          <t>non-licensed</t>
        </is>
      </c>
      <c r="D136" s="254" t="inlineStr">
        <is>
          <t>clean</t>
        </is>
      </c>
      <c r="E136" s="254" t="inlineStr">
        <is>
          <t>standard</t>
        </is>
      </c>
      <c r="F136" s="254" t="inlineStr">
        <is>
          <t>buyer_fee</t>
        </is>
      </c>
      <c r="G136" s="254" t="inlineStr">
        <is>
          <t>secured</t>
        </is>
      </c>
      <c r="H136" s="251" t="n">
        <v>2000</v>
      </c>
      <c r="I136" s="251" t="n">
        <v>2399.99</v>
      </c>
      <c r="J136" s="251" t="n">
        <v>470</v>
      </c>
      <c r="K136" s="254" t="n"/>
    </row>
    <row r="137">
      <c r="B137" s="254" t="inlineStr">
        <is>
          <t>2026-09-26</t>
        </is>
      </c>
      <c r="C137" s="254" t="inlineStr">
        <is>
          <t>non-licensed</t>
        </is>
      </c>
      <c r="D137" s="254" t="inlineStr">
        <is>
          <t>clean</t>
        </is>
      </c>
      <c r="E137" s="254" t="inlineStr">
        <is>
          <t>standard</t>
        </is>
      </c>
      <c r="F137" s="254" t="inlineStr">
        <is>
          <t>buyer_fee</t>
        </is>
      </c>
      <c r="G137" s="254" t="inlineStr">
        <is>
          <t>secured</t>
        </is>
      </c>
      <c r="H137" s="251" t="n">
        <v>2400</v>
      </c>
      <c r="I137" s="251" t="n">
        <v>2499.99</v>
      </c>
      <c r="J137" s="251" t="n">
        <v>480</v>
      </c>
      <c r="K137" s="254" t="n"/>
    </row>
    <row r="138">
      <c r="B138" s="254" t="inlineStr">
        <is>
          <t>2026-09-26</t>
        </is>
      </c>
      <c r="C138" s="254" t="inlineStr">
        <is>
          <t>non-licensed</t>
        </is>
      </c>
      <c r="D138" s="254" t="inlineStr">
        <is>
          <t>clean</t>
        </is>
      </c>
      <c r="E138" s="254" t="inlineStr">
        <is>
          <t>standard</t>
        </is>
      </c>
      <c r="F138" s="254" t="inlineStr">
        <is>
          <t>buyer_fee</t>
        </is>
      </c>
      <c r="G138" s="254" t="inlineStr">
        <is>
          <t>secured</t>
        </is>
      </c>
      <c r="H138" s="251" t="n">
        <v>2500</v>
      </c>
      <c r="I138" s="251" t="n">
        <v>2999.99</v>
      </c>
      <c r="J138" s="251" t="n">
        <v>500</v>
      </c>
      <c r="K138" s="254" t="n"/>
    </row>
    <row r="139">
      <c r="B139" s="254" t="inlineStr">
        <is>
          <t>2026-09-26</t>
        </is>
      </c>
      <c r="C139" s="254" t="inlineStr">
        <is>
          <t>non-licensed</t>
        </is>
      </c>
      <c r="D139" s="254" t="inlineStr">
        <is>
          <t>clean</t>
        </is>
      </c>
      <c r="E139" s="254" t="inlineStr">
        <is>
          <t>standard</t>
        </is>
      </c>
      <c r="F139" s="254" t="inlineStr">
        <is>
          <t>buyer_fee</t>
        </is>
      </c>
      <c r="G139" s="254" t="inlineStr">
        <is>
          <t>secured</t>
        </is>
      </c>
      <c r="H139" s="251" t="n">
        <v>3000</v>
      </c>
      <c r="I139" s="251" t="n">
        <v>3499.99</v>
      </c>
      <c r="J139" s="251" t="n">
        <v>600</v>
      </c>
      <c r="K139" s="254" t="n"/>
    </row>
    <row r="140">
      <c r="B140" s="254" t="inlineStr">
        <is>
          <t>2026-09-26</t>
        </is>
      </c>
      <c r="C140" s="254" t="inlineStr">
        <is>
          <t>non-licensed</t>
        </is>
      </c>
      <c r="D140" s="254" t="inlineStr">
        <is>
          <t>clean</t>
        </is>
      </c>
      <c r="E140" s="254" t="inlineStr">
        <is>
          <t>standard</t>
        </is>
      </c>
      <c r="F140" s="254" t="inlineStr">
        <is>
          <t>buyer_fee</t>
        </is>
      </c>
      <c r="G140" s="254" t="inlineStr">
        <is>
          <t>secured</t>
        </is>
      </c>
      <c r="H140" s="251" t="n">
        <v>3500</v>
      </c>
      <c r="I140" s="251" t="n">
        <v>3999.99</v>
      </c>
      <c r="J140" s="251" t="n">
        <v>675</v>
      </c>
      <c r="K140" s="254" t="n"/>
    </row>
    <row r="141">
      <c r="B141" s="254" t="inlineStr">
        <is>
          <t>2026-09-26</t>
        </is>
      </c>
      <c r="C141" s="254" t="inlineStr">
        <is>
          <t>non-licensed</t>
        </is>
      </c>
      <c r="D141" s="254" t="inlineStr">
        <is>
          <t>clean</t>
        </is>
      </c>
      <c r="E141" s="254" t="inlineStr">
        <is>
          <t>standard</t>
        </is>
      </c>
      <c r="F141" s="254" t="inlineStr">
        <is>
          <t>buyer_fee</t>
        </is>
      </c>
      <c r="G141" s="254" t="inlineStr">
        <is>
          <t>secured</t>
        </is>
      </c>
      <c r="H141" s="251" t="n">
        <v>4000</v>
      </c>
      <c r="I141" s="251" t="n">
        <v>4499.99</v>
      </c>
      <c r="J141" s="251" t="n">
        <v>710</v>
      </c>
      <c r="K141" s="254" t="n"/>
    </row>
    <row r="142">
      <c r="B142" s="254" t="inlineStr">
        <is>
          <t>2026-09-26</t>
        </is>
      </c>
      <c r="C142" s="254" t="inlineStr">
        <is>
          <t>non-licensed</t>
        </is>
      </c>
      <c r="D142" s="254" t="inlineStr">
        <is>
          <t>clean</t>
        </is>
      </c>
      <c r="E142" s="254" t="inlineStr">
        <is>
          <t>standard</t>
        </is>
      </c>
      <c r="F142" s="254" t="inlineStr">
        <is>
          <t>buyer_fee</t>
        </is>
      </c>
      <c r="G142" s="254" t="inlineStr">
        <is>
          <t>secured</t>
        </is>
      </c>
      <c r="H142" s="251" t="n">
        <v>4500</v>
      </c>
      <c r="I142" s="251" t="n">
        <v>4999.99</v>
      </c>
      <c r="J142" s="251" t="n">
        <v>750</v>
      </c>
      <c r="K142" s="254" t="n"/>
    </row>
    <row r="143">
      <c r="B143" s="254" t="inlineStr">
        <is>
          <t>2026-09-26</t>
        </is>
      </c>
      <c r="C143" s="254" t="inlineStr">
        <is>
          <t>non-licensed</t>
        </is>
      </c>
      <c r="D143" s="254" t="inlineStr">
        <is>
          <t>clean</t>
        </is>
      </c>
      <c r="E143" s="254" t="inlineStr">
        <is>
          <t>standard</t>
        </is>
      </c>
      <c r="F143" s="254" t="inlineStr">
        <is>
          <t>buyer_fee</t>
        </is>
      </c>
      <c r="G143" s="254" t="inlineStr">
        <is>
          <t>secured</t>
        </is>
      </c>
      <c r="H143" s="251" t="n">
        <v>5000</v>
      </c>
      <c r="I143" s="251" t="n">
        <v>5499.99</v>
      </c>
      <c r="J143" s="251" t="n">
        <v>750</v>
      </c>
      <c r="K143" s="254" t="n"/>
    </row>
    <row r="144">
      <c r="B144" s="254" t="inlineStr">
        <is>
          <t>2026-09-26</t>
        </is>
      </c>
      <c r="C144" s="254" t="inlineStr">
        <is>
          <t>non-licensed</t>
        </is>
      </c>
      <c r="D144" s="254" t="inlineStr">
        <is>
          <t>clean</t>
        </is>
      </c>
      <c r="E144" s="254" t="inlineStr">
        <is>
          <t>standard</t>
        </is>
      </c>
      <c r="F144" s="254" t="inlineStr">
        <is>
          <t>buyer_fee</t>
        </is>
      </c>
      <c r="G144" s="254" t="inlineStr">
        <is>
          <t>secured</t>
        </is>
      </c>
      <c r="H144" s="251" t="n">
        <v>5500</v>
      </c>
      <c r="I144" s="251" t="n">
        <v>5999.99</v>
      </c>
      <c r="J144" s="251" t="n">
        <v>750</v>
      </c>
      <c r="K144" s="254" t="n"/>
    </row>
    <row r="145">
      <c r="B145" s="254" t="inlineStr">
        <is>
          <t>2026-09-26</t>
        </is>
      </c>
      <c r="C145" s="254" t="inlineStr">
        <is>
          <t>non-licensed</t>
        </is>
      </c>
      <c r="D145" s="254" t="inlineStr">
        <is>
          <t>clean</t>
        </is>
      </c>
      <c r="E145" s="254" t="inlineStr">
        <is>
          <t>standard</t>
        </is>
      </c>
      <c r="F145" s="254" t="inlineStr">
        <is>
          <t>buyer_fee</t>
        </is>
      </c>
      <c r="G145" s="254" t="inlineStr">
        <is>
          <t>secured</t>
        </is>
      </c>
      <c r="H145" s="251" t="n">
        <v>6000</v>
      </c>
      <c r="I145" s="251" t="n">
        <v>6499.99</v>
      </c>
      <c r="J145" s="251" t="n">
        <v>800</v>
      </c>
      <c r="K145" s="254" t="n"/>
    </row>
    <row r="146">
      <c r="B146" s="254" t="inlineStr">
        <is>
          <t>2026-09-26</t>
        </is>
      </c>
      <c r="C146" s="254" t="inlineStr">
        <is>
          <t>non-licensed</t>
        </is>
      </c>
      <c r="D146" s="254" t="inlineStr">
        <is>
          <t>clean</t>
        </is>
      </c>
      <c r="E146" s="254" t="inlineStr">
        <is>
          <t>standard</t>
        </is>
      </c>
      <c r="F146" s="254" t="inlineStr">
        <is>
          <t>buyer_fee</t>
        </is>
      </c>
      <c r="G146" s="254" t="inlineStr">
        <is>
          <t>secured</t>
        </is>
      </c>
      <c r="H146" s="251" t="n">
        <v>6500</v>
      </c>
      <c r="I146" s="251" t="n">
        <v>6999.99</v>
      </c>
      <c r="J146" s="251" t="n">
        <v>800</v>
      </c>
      <c r="K146" s="254" t="n"/>
    </row>
    <row r="147">
      <c r="B147" s="254" t="inlineStr">
        <is>
          <t>2026-09-26</t>
        </is>
      </c>
      <c r="C147" s="254" t="inlineStr">
        <is>
          <t>non-licensed</t>
        </is>
      </c>
      <c r="D147" s="254" t="inlineStr">
        <is>
          <t>clean</t>
        </is>
      </c>
      <c r="E147" s="254" t="inlineStr">
        <is>
          <t>standard</t>
        </is>
      </c>
      <c r="F147" s="254" t="inlineStr">
        <is>
          <t>buyer_fee</t>
        </is>
      </c>
      <c r="G147" s="254" t="inlineStr">
        <is>
          <t>secured</t>
        </is>
      </c>
      <c r="H147" s="251" t="n">
        <v>7000</v>
      </c>
      <c r="I147" s="251" t="n">
        <v>7499.99</v>
      </c>
      <c r="J147" s="251" t="n">
        <v>800</v>
      </c>
      <c r="K147" s="254" t="n"/>
    </row>
    <row r="148">
      <c r="B148" s="254" t="inlineStr">
        <is>
          <t>2026-09-26</t>
        </is>
      </c>
      <c r="C148" s="254" t="inlineStr">
        <is>
          <t>non-licensed</t>
        </is>
      </c>
      <c r="D148" s="254" t="inlineStr">
        <is>
          <t>clean</t>
        </is>
      </c>
      <c r="E148" s="254" t="inlineStr">
        <is>
          <t>standard</t>
        </is>
      </c>
      <c r="F148" s="254" t="inlineStr">
        <is>
          <t>buyer_fee</t>
        </is>
      </c>
      <c r="G148" s="254" t="inlineStr">
        <is>
          <t>secured</t>
        </is>
      </c>
      <c r="H148" s="251" t="n">
        <v>7500</v>
      </c>
      <c r="I148" s="251" t="n">
        <v>7999.99</v>
      </c>
      <c r="J148" s="251" t="n">
        <v>815</v>
      </c>
      <c r="K148" s="254" t="n"/>
    </row>
    <row r="149">
      <c r="B149" s="254" t="inlineStr">
        <is>
          <t>2026-09-26</t>
        </is>
      </c>
      <c r="C149" s="254" t="inlineStr">
        <is>
          <t>non-licensed</t>
        </is>
      </c>
      <c r="D149" s="254" t="inlineStr">
        <is>
          <t>clean</t>
        </is>
      </c>
      <c r="E149" s="254" t="inlineStr">
        <is>
          <t>standard</t>
        </is>
      </c>
      <c r="F149" s="254" t="inlineStr">
        <is>
          <t>buyer_fee</t>
        </is>
      </c>
      <c r="G149" s="254" t="inlineStr">
        <is>
          <t>secured</t>
        </is>
      </c>
      <c r="H149" s="251" t="n">
        <v>8000</v>
      </c>
      <c r="I149" s="251" t="n">
        <v>8499.99</v>
      </c>
      <c r="J149" s="251" t="n">
        <v>840</v>
      </c>
      <c r="K149" s="254" t="n"/>
    </row>
    <row r="150">
      <c r="B150" s="254" t="inlineStr">
        <is>
          <t>2026-09-26</t>
        </is>
      </c>
      <c r="C150" s="254" t="inlineStr">
        <is>
          <t>non-licensed</t>
        </is>
      </c>
      <c r="D150" s="254" t="inlineStr">
        <is>
          <t>clean</t>
        </is>
      </c>
      <c r="E150" s="254" t="inlineStr">
        <is>
          <t>standard</t>
        </is>
      </c>
      <c r="F150" s="254" t="inlineStr">
        <is>
          <t>buyer_fee</t>
        </is>
      </c>
      <c r="G150" s="254" t="inlineStr">
        <is>
          <t>secured</t>
        </is>
      </c>
      <c r="H150" s="251" t="n">
        <v>8500</v>
      </c>
      <c r="I150" s="251" t="n">
        <v>8999.99</v>
      </c>
      <c r="J150" s="251" t="n">
        <v>840</v>
      </c>
      <c r="K150" s="254" t="n"/>
    </row>
    <row r="151">
      <c r="B151" s="254" t="inlineStr">
        <is>
          <t>2026-09-26</t>
        </is>
      </c>
      <c r="C151" s="254" t="inlineStr">
        <is>
          <t>non-licensed</t>
        </is>
      </c>
      <c r="D151" s="254" t="inlineStr">
        <is>
          <t>clean</t>
        </is>
      </c>
      <c r="E151" s="254" t="inlineStr">
        <is>
          <t>standard</t>
        </is>
      </c>
      <c r="F151" s="254" t="inlineStr">
        <is>
          <t>buyer_fee</t>
        </is>
      </c>
      <c r="G151" s="254" t="inlineStr">
        <is>
          <t>secured</t>
        </is>
      </c>
      <c r="H151" s="251" t="n">
        <v>9000</v>
      </c>
      <c r="I151" s="251" t="n">
        <v>9999.99</v>
      </c>
      <c r="J151" s="251" t="n">
        <v>840</v>
      </c>
      <c r="K151" s="254" t="n"/>
    </row>
    <row r="152">
      <c r="B152" s="254" t="inlineStr">
        <is>
          <t>2026-09-26</t>
        </is>
      </c>
      <c r="C152" s="254" t="inlineStr">
        <is>
          <t>non-licensed</t>
        </is>
      </c>
      <c r="D152" s="254" t="inlineStr">
        <is>
          <t>clean</t>
        </is>
      </c>
      <c r="E152" s="254" t="inlineStr">
        <is>
          <t>standard</t>
        </is>
      </c>
      <c r="F152" s="254" t="inlineStr">
        <is>
          <t>buyer_fee</t>
        </is>
      </c>
      <c r="G152" s="254" t="inlineStr">
        <is>
          <t>secured</t>
        </is>
      </c>
      <c r="H152" s="251" t="n">
        <v>10000</v>
      </c>
      <c r="I152" s="251" t="n">
        <v>10499.99</v>
      </c>
      <c r="J152" s="251" t="n">
        <v>850</v>
      </c>
      <c r="K152" s="254" t="n"/>
    </row>
    <row r="153">
      <c r="B153" s="254" t="inlineStr">
        <is>
          <t>2026-09-26</t>
        </is>
      </c>
      <c r="C153" s="254" t="inlineStr">
        <is>
          <t>non-licensed</t>
        </is>
      </c>
      <c r="D153" s="254" t="inlineStr">
        <is>
          <t>clean</t>
        </is>
      </c>
      <c r="E153" s="254" t="inlineStr">
        <is>
          <t>standard</t>
        </is>
      </c>
      <c r="F153" s="254" t="inlineStr">
        <is>
          <t>buyer_fee</t>
        </is>
      </c>
      <c r="G153" s="254" t="inlineStr">
        <is>
          <t>secured</t>
        </is>
      </c>
      <c r="H153" s="251" t="n">
        <v>10500</v>
      </c>
      <c r="I153" s="251" t="n">
        <v>10999.99</v>
      </c>
      <c r="J153" s="251" t="n">
        <v>850</v>
      </c>
      <c r="K153" s="254" t="n"/>
    </row>
    <row r="154">
      <c r="B154" s="254" t="inlineStr">
        <is>
          <t>2026-09-26</t>
        </is>
      </c>
      <c r="C154" s="254" t="inlineStr">
        <is>
          <t>non-licensed</t>
        </is>
      </c>
      <c r="D154" s="254" t="inlineStr">
        <is>
          <t>clean</t>
        </is>
      </c>
      <c r="E154" s="254" t="inlineStr">
        <is>
          <t>standard</t>
        </is>
      </c>
      <c r="F154" s="254" t="inlineStr">
        <is>
          <t>buyer_fee</t>
        </is>
      </c>
      <c r="G154" s="254" t="inlineStr">
        <is>
          <t>secured</t>
        </is>
      </c>
      <c r="H154" s="251" t="n">
        <v>11000</v>
      </c>
      <c r="I154" s="251" t="n">
        <v>11499.99</v>
      </c>
      <c r="J154" s="251" t="n">
        <v>850</v>
      </c>
      <c r="K154" s="254" t="n"/>
    </row>
    <row r="155">
      <c r="B155" s="254" t="inlineStr">
        <is>
          <t>2026-09-26</t>
        </is>
      </c>
      <c r="C155" s="254" t="inlineStr">
        <is>
          <t>non-licensed</t>
        </is>
      </c>
      <c r="D155" s="254" t="inlineStr">
        <is>
          <t>clean</t>
        </is>
      </c>
      <c r="E155" s="254" t="inlineStr">
        <is>
          <t>standard</t>
        </is>
      </c>
      <c r="F155" s="254" t="inlineStr">
        <is>
          <t>buyer_fee</t>
        </is>
      </c>
      <c r="G155" s="254" t="inlineStr">
        <is>
          <t>secured</t>
        </is>
      </c>
      <c r="H155" s="251" t="n">
        <v>11500</v>
      </c>
      <c r="I155" s="251" t="n">
        <v>11999.99</v>
      </c>
      <c r="J155" s="251" t="n">
        <v>850</v>
      </c>
      <c r="K155" s="254" t="n"/>
    </row>
    <row r="156">
      <c r="B156" s="254" t="inlineStr">
        <is>
          <t>2026-09-26</t>
        </is>
      </c>
      <c r="C156" s="254" t="inlineStr">
        <is>
          <t>non-licensed</t>
        </is>
      </c>
      <c r="D156" s="254" t="inlineStr">
        <is>
          <t>clean</t>
        </is>
      </c>
      <c r="E156" s="254" t="inlineStr">
        <is>
          <t>standard</t>
        </is>
      </c>
      <c r="F156" s="254" t="inlineStr">
        <is>
          <t>buyer_fee</t>
        </is>
      </c>
      <c r="G156" s="254" t="inlineStr">
        <is>
          <t>secured</t>
        </is>
      </c>
      <c r="H156" s="251" t="n">
        <v>12000</v>
      </c>
      <c r="I156" s="251" t="n">
        <v>12499.99</v>
      </c>
      <c r="J156" s="251" t="n">
        <v>850</v>
      </c>
      <c r="K156" s="254" t="n"/>
    </row>
    <row r="157">
      <c r="B157" s="254" t="inlineStr">
        <is>
          <t>2026-09-26</t>
        </is>
      </c>
      <c r="C157" s="254" t="inlineStr">
        <is>
          <t>non-licensed</t>
        </is>
      </c>
      <c r="D157" s="254" t="inlineStr">
        <is>
          <t>clean</t>
        </is>
      </c>
      <c r="E157" s="254" t="inlineStr">
        <is>
          <t>standard</t>
        </is>
      </c>
      <c r="F157" s="254" t="inlineStr">
        <is>
          <t>buyer_fee</t>
        </is>
      </c>
      <c r="G157" s="254" t="inlineStr">
        <is>
          <t>secured</t>
        </is>
      </c>
      <c r="H157" s="251" t="n">
        <v>12500</v>
      </c>
      <c r="I157" s="251" t="n">
        <v>14999.99</v>
      </c>
      <c r="J157" s="251" t="n">
        <v>850</v>
      </c>
      <c r="K157" s="254" t="n"/>
    </row>
    <row r="158">
      <c r="B158" s="254" t="inlineStr">
        <is>
          <t>2026-09-26</t>
        </is>
      </c>
      <c r="C158" s="254" t="inlineStr">
        <is>
          <t>non-licensed</t>
        </is>
      </c>
      <c r="D158" s="254" t="inlineStr">
        <is>
          <t>clean</t>
        </is>
      </c>
      <c r="E158" s="254" t="inlineStr">
        <is>
          <t>standard</t>
        </is>
      </c>
      <c r="F158" s="254" t="inlineStr">
        <is>
          <t>buyer_fee</t>
        </is>
      </c>
      <c r="G158" s="254" t="inlineStr">
        <is>
          <t>secured</t>
        </is>
      </c>
      <c r="H158" s="251" t="n">
        <v>15000</v>
      </c>
      <c r="I158" s="254" t="n"/>
      <c r="J158" s="254" t="n"/>
      <c r="K158" s="251" t="n">
        <v>7.25</v>
      </c>
    </row>
    <row r="159">
      <c r="B159" s="254" t="inlineStr">
        <is>
          <t>2026-09-26</t>
        </is>
      </c>
      <c r="C159" s="254" t="inlineStr">
        <is>
          <t>non-licensed</t>
        </is>
      </c>
      <c r="D159" s="254" t="inlineStr">
        <is>
          <t>clean</t>
        </is>
      </c>
      <c r="E159" s="254" t="inlineStr">
        <is>
          <t>standard</t>
        </is>
      </c>
      <c r="F159" s="254" t="inlineStr">
        <is>
          <t>buyer_fee</t>
        </is>
      </c>
      <c r="G159" s="254" t="inlineStr">
        <is>
          <t>unsecured</t>
        </is>
      </c>
      <c r="H159" s="251" t="n">
        <v>0</v>
      </c>
      <c r="I159" s="251" t="n">
        <v>49.99</v>
      </c>
      <c r="J159" s="251" t="n">
        <v>27.5</v>
      </c>
      <c r="K159" s="254" t="n"/>
    </row>
    <row r="160">
      <c r="B160" s="254" t="inlineStr">
        <is>
          <t>2026-09-26</t>
        </is>
      </c>
      <c r="C160" s="254" t="inlineStr">
        <is>
          <t>non-licensed</t>
        </is>
      </c>
      <c r="D160" s="254" t="inlineStr">
        <is>
          <t>clean</t>
        </is>
      </c>
      <c r="E160" s="254" t="inlineStr">
        <is>
          <t>standard</t>
        </is>
      </c>
      <c r="F160" s="254" t="inlineStr">
        <is>
          <t>buyer_fee</t>
        </is>
      </c>
      <c r="G160" s="254" t="inlineStr">
        <is>
          <t>unsecured</t>
        </is>
      </c>
      <c r="H160" s="251" t="n">
        <v>50</v>
      </c>
      <c r="I160" s="251" t="n">
        <v>99.98999999999999</v>
      </c>
      <c r="J160" s="251" t="n">
        <v>50</v>
      </c>
      <c r="K160" s="254" t="n"/>
    </row>
    <row r="161">
      <c r="B161" s="254" t="inlineStr">
        <is>
          <t>2026-09-26</t>
        </is>
      </c>
      <c r="C161" s="254" t="inlineStr">
        <is>
          <t>non-licensed</t>
        </is>
      </c>
      <c r="D161" s="254" t="inlineStr">
        <is>
          <t>clean</t>
        </is>
      </c>
      <c r="E161" s="254" t="inlineStr">
        <is>
          <t>standard</t>
        </is>
      </c>
      <c r="F161" s="254" t="inlineStr">
        <is>
          <t>buyer_fee</t>
        </is>
      </c>
      <c r="G161" s="254" t="inlineStr">
        <is>
          <t>unsecured</t>
        </is>
      </c>
      <c r="H161" s="251" t="n">
        <v>100</v>
      </c>
      <c r="I161" s="251" t="n">
        <v>199.99</v>
      </c>
      <c r="J161" s="251" t="n">
        <v>90</v>
      </c>
      <c r="K161" s="254" t="n"/>
    </row>
    <row r="162">
      <c r="B162" s="254" t="inlineStr">
        <is>
          <t>2026-09-26</t>
        </is>
      </c>
      <c r="C162" s="254" t="inlineStr">
        <is>
          <t>non-licensed</t>
        </is>
      </c>
      <c r="D162" s="254" t="inlineStr">
        <is>
          <t>clean</t>
        </is>
      </c>
      <c r="E162" s="254" t="inlineStr">
        <is>
          <t>standard</t>
        </is>
      </c>
      <c r="F162" s="254" t="inlineStr">
        <is>
          <t>buyer_fee</t>
        </is>
      </c>
      <c r="G162" s="254" t="inlineStr">
        <is>
          <t>unsecured</t>
        </is>
      </c>
      <c r="H162" s="251" t="n">
        <v>200</v>
      </c>
      <c r="I162" s="251" t="n">
        <v>299.99</v>
      </c>
      <c r="J162" s="251" t="n">
        <v>135</v>
      </c>
      <c r="K162" s="254" t="n"/>
    </row>
    <row r="163">
      <c r="B163" s="254" t="inlineStr">
        <is>
          <t>2026-09-26</t>
        </is>
      </c>
      <c r="C163" s="254" t="inlineStr">
        <is>
          <t>non-licensed</t>
        </is>
      </c>
      <c r="D163" s="254" t="inlineStr">
        <is>
          <t>clean</t>
        </is>
      </c>
      <c r="E163" s="254" t="inlineStr">
        <is>
          <t>standard</t>
        </is>
      </c>
      <c r="F163" s="254" t="inlineStr">
        <is>
          <t>buyer_fee</t>
        </is>
      </c>
      <c r="G163" s="254" t="inlineStr">
        <is>
          <t>unsecured</t>
        </is>
      </c>
      <c r="H163" s="251" t="n">
        <v>300</v>
      </c>
      <c r="I163" s="251" t="n">
        <v>349.99</v>
      </c>
      <c r="J163" s="251" t="n">
        <v>137.5</v>
      </c>
      <c r="K163" s="254" t="n"/>
    </row>
    <row r="164">
      <c r="B164" s="254" t="inlineStr">
        <is>
          <t>2026-09-26</t>
        </is>
      </c>
      <c r="C164" s="254" t="inlineStr">
        <is>
          <t>non-licensed</t>
        </is>
      </c>
      <c r="D164" s="254" t="inlineStr">
        <is>
          <t>clean</t>
        </is>
      </c>
      <c r="E164" s="254" t="inlineStr">
        <is>
          <t>standard</t>
        </is>
      </c>
      <c r="F164" s="254" t="inlineStr">
        <is>
          <t>buyer_fee</t>
        </is>
      </c>
      <c r="G164" s="254" t="inlineStr">
        <is>
          <t>unsecured</t>
        </is>
      </c>
      <c r="H164" s="251" t="n">
        <v>350</v>
      </c>
      <c r="I164" s="251" t="n">
        <v>399.99</v>
      </c>
      <c r="J164" s="251" t="n">
        <v>140</v>
      </c>
      <c r="K164" s="254" t="n"/>
    </row>
    <row r="165">
      <c r="B165" s="254" t="inlineStr">
        <is>
          <t>2026-09-26</t>
        </is>
      </c>
      <c r="C165" s="254" t="inlineStr">
        <is>
          <t>non-licensed</t>
        </is>
      </c>
      <c r="D165" s="254" t="inlineStr">
        <is>
          <t>clean</t>
        </is>
      </c>
      <c r="E165" s="254" t="inlineStr">
        <is>
          <t>standard</t>
        </is>
      </c>
      <c r="F165" s="254" t="inlineStr">
        <is>
          <t>buyer_fee</t>
        </is>
      </c>
      <c r="G165" s="254" t="inlineStr">
        <is>
          <t>unsecured</t>
        </is>
      </c>
      <c r="H165" s="251" t="n">
        <v>400</v>
      </c>
      <c r="I165" s="251" t="n">
        <v>449.99</v>
      </c>
      <c r="J165" s="251" t="n">
        <v>182.5</v>
      </c>
      <c r="K165" s="254" t="n"/>
    </row>
    <row r="166">
      <c r="B166" s="254" t="inlineStr">
        <is>
          <t>2026-09-26</t>
        </is>
      </c>
      <c r="C166" s="254" t="inlineStr">
        <is>
          <t>non-licensed</t>
        </is>
      </c>
      <c r="D166" s="254" t="inlineStr">
        <is>
          <t>clean</t>
        </is>
      </c>
      <c r="E166" s="254" t="inlineStr">
        <is>
          <t>standard</t>
        </is>
      </c>
      <c r="F166" s="254" t="inlineStr">
        <is>
          <t>buyer_fee</t>
        </is>
      </c>
      <c r="G166" s="254" t="inlineStr">
        <is>
          <t>unsecured</t>
        </is>
      </c>
      <c r="H166" s="251" t="n">
        <v>450</v>
      </c>
      <c r="I166" s="251" t="n">
        <v>499.99</v>
      </c>
      <c r="J166" s="251" t="n">
        <v>185</v>
      </c>
      <c r="K166" s="254" t="n"/>
    </row>
    <row r="167">
      <c r="B167" s="254" t="inlineStr">
        <is>
          <t>2026-09-26</t>
        </is>
      </c>
      <c r="C167" s="254" t="inlineStr">
        <is>
          <t>non-licensed</t>
        </is>
      </c>
      <c r="D167" s="254" t="inlineStr">
        <is>
          <t>clean</t>
        </is>
      </c>
      <c r="E167" s="254" t="inlineStr">
        <is>
          <t>standard</t>
        </is>
      </c>
      <c r="F167" s="254" t="inlineStr">
        <is>
          <t>buyer_fee</t>
        </is>
      </c>
      <c r="G167" s="254" t="inlineStr">
        <is>
          <t>unsecured</t>
        </is>
      </c>
      <c r="H167" s="251" t="n">
        <v>500</v>
      </c>
      <c r="I167" s="251" t="n">
        <v>549.99</v>
      </c>
      <c r="J167" s="251" t="n">
        <v>212.5</v>
      </c>
      <c r="K167" s="254" t="n"/>
    </row>
    <row r="168">
      <c r="B168" s="254" t="inlineStr">
        <is>
          <t>2026-09-26</t>
        </is>
      </c>
      <c r="C168" s="254" t="inlineStr">
        <is>
          <t>non-licensed</t>
        </is>
      </c>
      <c r="D168" s="254" t="inlineStr">
        <is>
          <t>clean</t>
        </is>
      </c>
      <c r="E168" s="254" t="inlineStr">
        <is>
          <t>standard</t>
        </is>
      </c>
      <c r="F168" s="254" t="inlineStr">
        <is>
          <t>buyer_fee</t>
        </is>
      </c>
      <c r="G168" s="254" t="inlineStr">
        <is>
          <t>unsecured</t>
        </is>
      </c>
      <c r="H168" s="251" t="n">
        <v>550</v>
      </c>
      <c r="I168" s="251" t="n">
        <v>599.99</v>
      </c>
      <c r="J168" s="251" t="n">
        <v>215</v>
      </c>
      <c r="K168" s="254" t="n"/>
    </row>
    <row r="169">
      <c r="B169" s="254" t="inlineStr">
        <is>
          <t>2026-09-26</t>
        </is>
      </c>
      <c r="C169" s="254" t="inlineStr">
        <is>
          <t>non-licensed</t>
        </is>
      </c>
      <c r="D169" s="254" t="inlineStr">
        <is>
          <t>clean</t>
        </is>
      </c>
      <c r="E169" s="254" t="inlineStr">
        <is>
          <t>standard</t>
        </is>
      </c>
      <c r="F169" s="254" t="inlineStr">
        <is>
          <t>buyer_fee</t>
        </is>
      </c>
      <c r="G169" s="254" t="inlineStr">
        <is>
          <t>unsecured</t>
        </is>
      </c>
      <c r="H169" s="251" t="n">
        <v>600</v>
      </c>
      <c r="I169" s="251" t="n">
        <v>699.99</v>
      </c>
      <c r="J169" s="251" t="n">
        <v>245</v>
      </c>
      <c r="K169" s="254" t="n"/>
    </row>
    <row r="170">
      <c r="B170" s="254" t="inlineStr">
        <is>
          <t>2026-09-26</t>
        </is>
      </c>
      <c r="C170" s="254" t="inlineStr">
        <is>
          <t>non-licensed</t>
        </is>
      </c>
      <c r="D170" s="254" t="inlineStr">
        <is>
          <t>clean</t>
        </is>
      </c>
      <c r="E170" s="254" t="inlineStr">
        <is>
          <t>standard</t>
        </is>
      </c>
      <c r="F170" s="254" t="inlineStr">
        <is>
          <t>buyer_fee</t>
        </is>
      </c>
      <c r="G170" s="254" t="inlineStr">
        <is>
          <t>unsecured</t>
        </is>
      </c>
      <c r="H170" s="251" t="n">
        <v>700</v>
      </c>
      <c r="I170" s="251" t="n">
        <v>799.99</v>
      </c>
      <c r="J170" s="251" t="n">
        <v>270</v>
      </c>
      <c r="K170" s="254" t="n"/>
    </row>
    <row r="171">
      <c r="B171" s="254" t="inlineStr">
        <is>
          <t>2026-09-26</t>
        </is>
      </c>
      <c r="C171" s="254" t="inlineStr">
        <is>
          <t>non-licensed</t>
        </is>
      </c>
      <c r="D171" s="254" t="inlineStr">
        <is>
          <t>clean</t>
        </is>
      </c>
      <c r="E171" s="254" t="inlineStr">
        <is>
          <t>standard</t>
        </is>
      </c>
      <c r="F171" s="254" t="inlineStr">
        <is>
          <t>buyer_fee</t>
        </is>
      </c>
      <c r="G171" s="254" t="inlineStr">
        <is>
          <t>unsecured</t>
        </is>
      </c>
      <c r="H171" s="251" t="n">
        <v>800</v>
      </c>
      <c r="I171" s="251" t="n">
        <v>899.99</v>
      </c>
      <c r="J171" s="251" t="n">
        <v>295</v>
      </c>
      <c r="K171" s="254" t="n"/>
    </row>
    <row r="172">
      <c r="B172" s="254" t="inlineStr">
        <is>
          <t>2026-09-26</t>
        </is>
      </c>
      <c r="C172" s="254" t="inlineStr">
        <is>
          <t>non-licensed</t>
        </is>
      </c>
      <c r="D172" s="254" t="inlineStr">
        <is>
          <t>clean</t>
        </is>
      </c>
      <c r="E172" s="254" t="inlineStr">
        <is>
          <t>standard</t>
        </is>
      </c>
      <c r="F172" s="254" t="inlineStr">
        <is>
          <t>buyer_fee</t>
        </is>
      </c>
      <c r="G172" s="254" t="inlineStr">
        <is>
          <t>unsecured</t>
        </is>
      </c>
      <c r="H172" s="251" t="n">
        <v>900</v>
      </c>
      <c r="I172" s="251" t="n">
        <v>999.99</v>
      </c>
      <c r="J172" s="251" t="n">
        <v>325</v>
      </c>
      <c r="K172" s="254" t="n"/>
    </row>
    <row r="173">
      <c r="B173" s="254" t="inlineStr">
        <is>
          <t>2026-09-26</t>
        </is>
      </c>
      <c r="C173" s="254" t="inlineStr">
        <is>
          <t>non-licensed</t>
        </is>
      </c>
      <c r="D173" s="254" t="inlineStr">
        <is>
          <t>clean</t>
        </is>
      </c>
      <c r="E173" s="254" t="inlineStr">
        <is>
          <t>standard</t>
        </is>
      </c>
      <c r="F173" s="254" t="inlineStr">
        <is>
          <t>buyer_fee</t>
        </is>
      </c>
      <c r="G173" s="254" t="inlineStr">
        <is>
          <t>unsecured</t>
        </is>
      </c>
      <c r="H173" s="251" t="n">
        <v>1000</v>
      </c>
      <c r="I173" s="251" t="n">
        <v>1199.99</v>
      </c>
      <c r="J173" s="251" t="n">
        <v>385</v>
      </c>
      <c r="K173" s="254" t="n"/>
    </row>
    <row r="174">
      <c r="B174" s="254" t="inlineStr">
        <is>
          <t>2026-09-26</t>
        </is>
      </c>
      <c r="C174" s="254" t="inlineStr">
        <is>
          <t>non-licensed</t>
        </is>
      </c>
      <c r="D174" s="254" t="inlineStr">
        <is>
          <t>clean</t>
        </is>
      </c>
      <c r="E174" s="254" t="inlineStr">
        <is>
          <t>standard</t>
        </is>
      </c>
      <c r="F174" s="254" t="inlineStr">
        <is>
          <t>buyer_fee</t>
        </is>
      </c>
      <c r="G174" s="254" t="inlineStr">
        <is>
          <t>unsecured</t>
        </is>
      </c>
      <c r="H174" s="251" t="n">
        <v>1200</v>
      </c>
      <c r="I174" s="251" t="n">
        <v>1299.99</v>
      </c>
      <c r="J174" s="251" t="n">
        <v>415</v>
      </c>
      <c r="K174" s="254" t="n"/>
    </row>
    <row r="175">
      <c r="B175" s="254" t="inlineStr">
        <is>
          <t>2026-09-26</t>
        </is>
      </c>
      <c r="C175" s="254" t="inlineStr">
        <is>
          <t>non-licensed</t>
        </is>
      </c>
      <c r="D175" s="254" t="inlineStr">
        <is>
          <t>clean</t>
        </is>
      </c>
      <c r="E175" s="254" t="inlineStr">
        <is>
          <t>standard</t>
        </is>
      </c>
      <c r="F175" s="254" t="inlineStr">
        <is>
          <t>buyer_fee</t>
        </is>
      </c>
      <c r="G175" s="254" t="inlineStr">
        <is>
          <t>unsecured</t>
        </is>
      </c>
      <c r="H175" s="251" t="n">
        <v>1300</v>
      </c>
      <c r="I175" s="251" t="n">
        <v>1399.99</v>
      </c>
      <c r="J175" s="251" t="n">
        <v>435</v>
      </c>
      <c r="K175" s="254" t="n"/>
    </row>
    <row r="176">
      <c r="B176" s="254" t="inlineStr">
        <is>
          <t>2026-09-26</t>
        </is>
      </c>
      <c r="C176" s="254" t="inlineStr">
        <is>
          <t>non-licensed</t>
        </is>
      </c>
      <c r="D176" s="254" t="inlineStr">
        <is>
          <t>clean</t>
        </is>
      </c>
      <c r="E176" s="254" t="inlineStr">
        <is>
          <t>standard</t>
        </is>
      </c>
      <c r="F176" s="254" t="inlineStr">
        <is>
          <t>buyer_fee</t>
        </is>
      </c>
      <c r="G176" s="254" t="inlineStr">
        <is>
          <t>unsecured</t>
        </is>
      </c>
      <c r="H176" s="251" t="n">
        <v>1400</v>
      </c>
      <c r="I176" s="251" t="n">
        <v>1499.99</v>
      </c>
      <c r="J176" s="251" t="n">
        <v>455</v>
      </c>
      <c r="K176" s="254" t="n"/>
    </row>
    <row r="177">
      <c r="B177" s="254" t="inlineStr">
        <is>
          <t>2026-09-26</t>
        </is>
      </c>
      <c r="C177" s="254" t="inlineStr">
        <is>
          <t>non-licensed</t>
        </is>
      </c>
      <c r="D177" s="254" t="inlineStr">
        <is>
          <t>clean</t>
        </is>
      </c>
      <c r="E177" s="254" t="inlineStr">
        <is>
          <t>standard</t>
        </is>
      </c>
      <c r="F177" s="254" t="inlineStr">
        <is>
          <t>buyer_fee</t>
        </is>
      </c>
      <c r="G177" s="254" t="inlineStr">
        <is>
          <t>unsecured</t>
        </is>
      </c>
      <c r="H177" s="251" t="n">
        <v>1500</v>
      </c>
      <c r="I177" s="251" t="n">
        <v>1599.99</v>
      </c>
      <c r="J177" s="251" t="n">
        <v>470</v>
      </c>
      <c r="K177" s="254" t="n"/>
    </row>
    <row r="178">
      <c r="B178" s="254" t="inlineStr">
        <is>
          <t>2026-09-26</t>
        </is>
      </c>
      <c r="C178" s="254" t="inlineStr">
        <is>
          <t>non-licensed</t>
        </is>
      </c>
      <c r="D178" s="254" t="inlineStr">
        <is>
          <t>clean</t>
        </is>
      </c>
      <c r="E178" s="254" t="inlineStr">
        <is>
          <t>standard</t>
        </is>
      </c>
      <c r="F178" s="254" t="inlineStr">
        <is>
          <t>buyer_fee</t>
        </is>
      </c>
      <c r="G178" s="254" t="inlineStr">
        <is>
          <t>unsecured</t>
        </is>
      </c>
      <c r="H178" s="251" t="n">
        <v>1600</v>
      </c>
      <c r="I178" s="251" t="n">
        <v>1699.99</v>
      </c>
      <c r="J178" s="251" t="n">
        <v>495</v>
      </c>
      <c r="K178" s="254" t="n"/>
    </row>
    <row r="179">
      <c r="B179" s="254" t="inlineStr">
        <is>
          <t>2026-09-26</t>
        </is>
      </c>
      <c r="C179" s="254" t="inlineStr">
        <is>
          <t>non-licensed</t>
        </is>
      </c>
      <c r="D179" s="254" t="inlineStr">
        <is>
          <t>clean</t>
        </is>
      </c>
      <c r="E179" s="254" t="inlineStr">
        <is>
          <t>standard</t>
        </is>
      </c>
      <c r="F179" s="254" t="inlineStr">
        <is>
          <t>buyer_fee</t>
        </is>
      </c>
      <c r="G179" s="254" t="inlineStr">
        <is>
          <t>unsecured</t>
        </is>
      </c>
      <c r="H179" s="251" t="n">
        <v>1700</v>
      </c>
      <c r="I179" s="251" t="n">
        <v>1799.99</v>
      </c>
      <c r="J179" s="251" t="n">
        <v>510</v>
      </c>
      <c r="K179" s="254" t="n"/>
    </row>
    <row r="180">
      <c r="B180" s="254" t="inlineStr">
        <is>
          <t>2026-09-26</t>
        </is>
      </c>
      <c r="C180" s="254" t="inlineStr">
        <is>
          <t>non-licensed</t>
        </is>
      </c>
      <c r="D180" s="254" t="inlineStr">
        <is>
          <t>clean</t>
        </is>
      </c>
      <c r="E180" s="254" t="inlineStr">
        <is>
          <t>standard</t>
        </is>
      </c>
      <c r="F180" s="254" t="inlineStr">
        <is>
          <t>buyer_fee</t>
        </is>
      </c>
      <c r="G180" s="254" t="inlineStr">
        <is>
          <t>unsecured</t>
        </is>
      </c>
      <c r="H180" s="251" t="n">
        <v>1800</v>
      </c>
      <c r="I180" s="251" t="n">
        <v>1999.99</v>
      </c>
      <c r="J180" s="251" t="n">
        <v>540</v>
      </c>
      <c r="K180" s="254" t="n"/>
    </row>
    <row r="181">
      <c r="B181" s="254" t="inlineStr">
        <is>
          <t>2026-09-26</t>
        </is>
      </c>
      <c r="C181" s="254" t="inlineStr">
        <is>
          <t>non-licensed</t>
        </is>
      </c>
      <c r="D181" s="254" t="inlineStr">
        <is>
          <t>clean</t>
        </is>
      </c>
      <c r="E181" s="254" t="inlineStr">
        <is>
          <t>standard</t>
        </is>
      </c>
      <c r="F181" s="254" t="inlineStr">
        <is>
          <t>buyer_fee</t>
        </is>
      </c>
      <c r="G181" s="254" t="inlineStr">
        <is>
          <t>unsecured</t>
        </is>
      </c>
      <c r="H181" s="251" t="n">
        <v>2000</v>
      </c>
      <c r="I181" s="251" t="n">
        <v>2399.99</v>
      </c>
      <c r="J181" s="251" t="n">
        <v>590</v>
      </c>
      <c r="K181" s="254" t="n"/>
    </row>
    <row r="182">
      <c r="B182" s="254" t="inlineStr">
        <is>
          <t>2026-09-26</t>
        </is>
      </c>
      <c r="C182" s="254" t="inlineStr">
        <is>
          <t>non-licensed</t>
        </is>
      </c>
      <c r="D182" s="254" t="inlineStr">
        <is>
          <t>clean</t>
        </is>
      </c>
      <c r="E182" s="254" t="inlineStr">
        <is>
          <t>standard</t>
        </is>
      </c>
      <c r="F182" s="254" t="inlineStr">
        <is>
          <t>buyer_fee</t>
        </is>
      </c>
      <c r="G182" s="254" t="inlineStr">
        <is>
          <t>unsecured</t>
        </is>
      </c>
      <c r="H182" s="251" t="n">
        <v>2400</v>
      </c>
      <c r="I182" s="251" t="n">
        <v>2499.99</v>
      </c>
      <c r="J182" s="251" t="n">
        <v>605</v>
      </c>
      <c r="K182" s="254" t="n"/>
    </row>
    <row r="183">
      <c r="B183" s="254" t="inlineStr">
        <is>
          <t>2026-09-26</t>
        </is>
      </c>
      <c r="C183" s="254" t="inlineStr">
        <is>
          <t>non-licensed</t>
        </is>
      </c>
      <c r="D183" s="254" t="inlineStr">
        <is>
          <t>clean</t>
        </is>
      </c>
      <c r="E183" s="254" t="inlineStr">
        <is>
          <t>standard</t>
        </is>
      </c>
      <c r="F183" s="254" t="inlineStr">
        <is>
          <t>buyer_fee</t>
        </is>
      </c>
      <c r="G183" s="254" t="inlineStr">
        <is>
          <t>unsecured</t>
        </is>
      </c>
      <c r="H183" s="251" t="n">
        <v>2500</v>
      </c>
      <c r="I183" s="251" t="n">
        <v>2999.99</v>
      </c>
      <c r="J183" s="251" t="n">
        <v>650</v>
      </c>
      <c r="K183" s="254" t="n"/>
    </row>
    <row r="184">
      <c r="B184" s="254" t="inlineStr">
        <is>
          <t>2026-09-26</t>
        </is>
      </c>
      <c r="C184" s="254" t="inlineStr">
        <is>
          <t>non-licensed</t>
        </is>
      </c>
      <c r="D184" s="254" t="inlineStr">
        <is>
          <t>clean</t>
        </is>
      </c>
      <c r="E184" s="254" t="inlineStr">
        <is>
          <t>standard</t>
        </is>
      </c>
      <c r="F184" s="254" t="inlineStr">
        <is>
          <t>buyer_fee</t>
        </is>
      </c>
      <c r="G184" s="254" t="inlineStr">
        <is>
          <t>unsecured</t>
        </is>
      </c>
      <c r="H184" s="251" t="n">
        <v>3000</v>
      </c>
      <c r="I184" s="251" t="n">
        <v>3499.99</v>
      </c>
      <c r="J184" s="251" t="n">
        <v>775</v>
      </c>
      <c r="K184" s="254" t="n"/>
    </row>
    <row r="185">
      <c r="B185" s="254" t="inlineStr">
        <is>
          <t>2026-09-26</t>
        </is>
      </c>
      <c r="C185" s="254" t="inlineStr">
        <is>
          <t>non-licensed</t>
        </is>
      </c>
      <c r="D185" s="254" t="inlineStr">
        <is>
          <t>clean</t>
        </is>
      </c>
      <c r="E185" s="254" t="inlineStr">
        <is>
          <t>standard</t>
        </is>
      </c>
      <c r="F185" s="254" t="inlineStr">
        <is>
          <t>buyer_fee</t>
        </is>
      </c>
      <c r="G185" s="254" t="inlineStr">
        <is>
          <t>unsecured</t>
        </is>
      </c>
      <c r="H185" s="251" t="n">
        <v>3500</v>
      </c>
      <c r="I185" s="251" t="n">
        <v>3999.99</v>
      </c>
      <c r="J185" s="251" t="n">
        <v>875</v>
      </c>
      <c r="K185" s="254" t="n"/>
    </row>
    <row r="186">
      <c r="B186" s="254" t="inlineStr">
        <is>
          <t>2026-09-26</t>
        </is>
      </c>
      <c r="C186" s="254" t="inlineStr">
        <is>
          <t>non-licensed</t>
        </is>
      </c>
      <c r="D186" s="254" t="inlineStr">
        <is>
          <t>clean</t>
        </is>
      </c>
      <c r="E186" s="254" t="inlineStr">
        <is>
          <t>standard</t>
        </is>
      </c>
      <c r="F186" s="254" t="inlineStr">
        <is>
          <t>buyer_fee</t>
        </is>
      </c>
      <c r="G186" s="254" t="inlineStr">
        <is>
          <t>unsecured</t>
        </is>
      </c>
      <c r="H186" s="251" t="n">
        <v>4000</v>
      </c>
      <c r="I186" s="251" t="n">
        <v>4499.99</v>
      </c>
      <c r="J186" s="251" t="n">
        <v>935</v>
      </c>
      <c r="K186" s="254" t="n"/>
    </row>
    <row r="187">
      <c r="B187" s="254" t="inlineStr">
        <is>
          <t>2026-09-26</t>
        </is>
      </c>
      <c r="C187" s="254" t="inlineStr">
        <is>
          <t>non-licensed</t>
        </is>
      </c>
      <c r="D187" s="254" t="inlineStr">
        <is>
          <t>clean</t>
        </is>
      </c>
      <c r="E187" s="254" t="inlineStr">
        <is>
          <t>standard</t>
        </is>
      </c>
      <c r="F187" s="254" t="inlineStr">
        <is>
          <t>buyer_fee</t>
        </is>
      </c>
      <c r="G187" s="254" t="inlineStr">
        <is>
          <t>unsecured</t>
        </is>
      </c>
      <c r="H187" s="251" t="n">
        <v>4500</v>
      </c>
      <c r="I187" s="251" t="n">
        <v>4999.99</v>
      </c>
      <c r="J187" s="251" t="n">
        <v>1000</v>
      </c>
      <c r="K187" s="254" t="n"/>
    </row>
    <row r="188">
      <c r="B188" s="254" t="inlineStr">
        <is>
          <t>2026-09-26</t>
        </is>
      </c>
      <c r="C188" s="254" t="inlineStr">
        <is>
          <t>non-licensed</t>
        </is>
      </c>
      <c r="D188" s="254" t="inlineStr">
        <is>
          <t>clean</t>
        </is>
      </c>
      <c r="E188" s="254" t="inlineStr">
        <is>
          <t>standard</t>
        </is>
      </c>
      <c r="F188" s="254" t="inlineStr">
        <is>
          <t>buyer_fee</t>
        </is>
      </c>
      <c r="G188" s="254" t="inlineStr">
        <is>
          <t>unsecured</t>
        </is>
      </c>
      <c r="H188" s="251" t="n">
        <v>5000</v>
      </c>
      <c r="I188" s="251" t="n">
        <v>5499.99</v>
      </c>
      <c r="J188" s="251" t="n">
        <v>1000</v>
      </c>
      <c r="K188" s="254" t="n"/>
    </row>
    <row r="189">
      <c r="B189" s="254" t="inlineStr">
        <is>
          <t>2026-09-26</t>
        </is>
      </c>
      <c r="C189" s="254" t="inlineStr">
        <is>
          <t>non-licensed</t>
        </is>
      </c>
      <c r="D189" s="254" t="inlineStr">
        <is>
          <t>clean</t>
        </is>
      </c>
      <c r="E189" s="254" t="inlineStr">
        <is>
          <t>standard</t>
        </is>
      </c>
      <c r="F189" s="254" t="inlineStr">
        <is>
          <t>buyer_fee</t>
        </is>
      </c>
      <c r="G189" s="254" t="inlineStr">
        <is>
          <t>unsecured</t>
        </is>
      </c>
      <c r="H189" s="251" t="n">
        <v>5500</v>
      </c>
      <c r="I189" s="251" t="n">
        <v>5999.99</v>
      </c>
      <c r="J189" s="251" t="n">
        <v>1000</v>
      </c>
      <c r="K189" s="254" t="n"/>
    </row>
    <row r="190">
      <c r="B190" s="254" t="inlineStr">
        <is>
          <t>2026-09-26</t>
        </is>
      </c>
      <c r="C190" s="254" t="inlineStr">
        <is>
          <t>non-licensed</t>
        </is>
      </c>
      <c r="D190" s="254" t="inlineStr">
        <is>
          <t>clean</t>
        </is>
      </c>
      <c r="E190" s="254" t="inlineStr">
        <is>
          <t>standard</t>
        </is>
      </c>
      <c r="F190" s="254" t="inlineStr">
        <is>
          <t>buyer_fee</t>
        </is>
      </c>
      <c r="G190" s="254" t="inlineStr">
        <is>
          <t>unsecured</t>
        </is>
      </c>
      <c r="H190" s="251" t="n">
        <v>6000</v>
      </c>
      <c r="I190" s="251" t="n">
        <v>6499.99</v>
      </c>
      <c r="J190" s="251" t="n">
        <v>1050</v>
      </c>
      <c r="K190" s="254" t="n"/>
    </row>
    <row r="191">
      <c r="B191" s="254" t="inlineStr">
        <is>
          <t>2026-09-26</t>
        </is>
      </c>
      <c r="C191" s="254" t="inlineStr">
        <is>
          <t>non-licensed</t>
        </is>
      </c>
      <c r="D191" s="254" t="inlineStr">
        <is>
          <t>clean</t>
        </is>
      </c>
      <c r="E191" s="254" t="inlineStr">
        <is>
          <t>standard</t>
        </is>
      </c>
      <c r="F191" s="254" t="inlineStr">
        <is>
          <t>buyer_fee</t>
        </is>
      </c>
      <c r="G191" s="254" t="inlineStr">
        <is>
          <t>unsecured</t>
        </is>
      </c>
      <c r="H191" s="251" t="n">
        <v>6500</v>
      </c>
      <c r="I191" s="251" t="n">
        <v>6999.99</v>
      </c>
      <c r="J191" s="251" t="n">
        <v>1050</v>
      </c>
      <c r="K191" s="254" t="n"/>
    </row>
    <row r="192">
      <c r="B192" s="254" t="inlineStr">
        <is>
          <t>2026-09-26</t>
        </is>
      </c>
      <c r="C192" s="254" t="inlineStr">
        <is>
          <t>non-licensed</t>
        </is>
      </c>
      <c r="D192" s="254" t="inlineStr">
        <is>
          <t>clean</t>
        </is>
      </c>
      <c r="E192" s="254" t="inlineStr">
        <is>
          <t>standard</t>
        </is>
      </c>
      <c r="F192" s="254" t="inlineStr">
        <is>
          <t>buyer_fee</t>
        </is>
      </c>
      <c r="G192" s="254" t="inlineStr">
        <is>
          <t>unsecured</t>
        </is>
      </c>
      <c r="H192" s="251" t="n">
        <v>7000</v>
      </c>
      <c r="I192" s="251" t="n">
        <v>7499.99</v>
      </c>
      <c r="J192" s="251" t="n">
        <v>1050</v>
      </c>
      <c r="K192" s="254" t="n"/>
    </row>
    <row r="193">
      <c r="B193" s="254" t="inlineStr">
        <is>
          <t>2026-09-26</t>
        </is>
      </c>
      <c r="C193" s="254" t="inlineStr">
        <is>
          <t>non-licensed</t>
        </is>
      </c>
      <c r="D193" s="254" t="inlineStr">
        <is>
          <t>clean</t>
        </is>
      </c>
      <c r="E193" s="254" t="inlineStr">
        <is>
          <t>standard</t>
        </is>
      </c>
      <c r="F193" s="254" t="inlineStr">
        <is>
          <t>buyer_fee</t>
        </is>
      </c>
      <c r="G193" s="254" t="inlineStr">
        <is>
          <t>unsecured</t>
        </is>
      </c>
      <c r="H193" s="251" t="n">
        <v>7500</v>
      </c>
      <c r="I193" s="251" t="n">
        <v>7999.99</v>
      </c>
      <c r="J193" s="251" t="n">
        <v>1065</v>
      </c>
      <c r="K193" s="254" t="n"/>
    </row>
    <row r="194">
      <c r="B194" s="254" t="inlineStr">
        <is>
          <t>2026-09-26</t>
        </is>
      </c>
      <c r="C194" s="254" t="inlineStr">
        <is>
          <t>non-licensed</t>
        </is>
      </c>
      <c r="D194" s="254" t="inlineStr">
        <is>
          <t>clean</t>
        </is>
      </c>
      <c r="E194" s="254" t="inlineStr">
        <is>
          <t>standard</t>
        </is>
      </c>
      <c r="F194" s="254" t="inlineStr">
        <is>
          <t>buyer_fee</t>
        </is>
      </c>
      <c r="G194" s="254" t="inlineStr">
        <is>
          <t>unsecured</t>
        </is>
      </c>
      <c r="H194" s="251" t="n">
        <v>8000</v>
      </c>
      <c r="I194" s="251" t="n">
        <v>8499.99</v>
      </c>
      <c r="J194" s="251" t="n">
        <v>1090</v>
      </c>
      <c r="K194" s="254" t="n"/>
    </row>
    <row r="195">
      <c r="B195" s="254" t="inlineStr">
        <is>
          <t>2026-09-26</t>
        </is>
      </c>
      <c r="C195" s="254" t="inlineStr">
        <is>
          <t>non-licensed</t>
        </is>
      </c>
      <c r="D195" s="254" t="inlineStr">
        <is>
          <t>clean</t>
        </is>
      </c>
      <c r="E195" s="254" t="inlineStr">
        <is>
          <t>standard</t>
        </is>
      </c>
      <c r="F195" s="254" t="inlineStr">
        <is>
          <t>buyer_fee</t>
        </is>
      </c>
      <c r="G195" s="254" t="inlineStr">
        <is>
          <t>unsecured</t>
        </is>
      </c>
      <c r="H195" s="251" t="n">
        <v>8500</v>
      </c>
      <c r="I195" s="251" t="n">
        <v>8999.99</v>
      </c>
      <c r="J195" s="251" t="n">
        <v>1090</v>
      </c>
      <c r="K195" s="254" t="n"/>
    </row>
    <row r="196">
      <c r="B196" s="254" t="inlineStr">
        <is>
          <t>2026-09-26</t>
        </is>
      </c>
      <c r="C196" s="254" t="inlineStr">
        <is>
          <t>non-licensed</t>
        </is>
      </c>
      <c r="D196" s="254" t="inlineStr">
        <is>
          <t>clean</t>
        </is>
      </c>
      <c r="E196" s="254" t="inlineStr">
        <is>
          <t>standard</t>
        </is>
      </c>
      <c r="F196" s="254" t="inlineStr">
        <is>
          <t>buyer_fee</t>
        </is>
      </c>
      <c r="G196" s="254" t="inlineStr">
        <is>
          <t>unsecured</t>
        </is>
      </c>
      <c r="H196" s="251" t="n">
        <v>9000</v>
      </c>
      <c r="I196" s="251" t="n">
        <v>9999.99</v>
      </c>
      <c r="J196" s="251" t="n">
        <v>1090</v>
      </c>
      <c r="K196" s="254" t="n"/>
    </row>
    <row r="197">
      <c r="B197" s="254" t="inlineStr">
        <is>
          <t>2026-09-26</t>
        </is>
      </c>
      <c r="C197" s="254" t="inlineStr">
        <is>
          <t>non-licensed</t>
        </is>
      </c>
      <c r="D197" s="254" t="inlineStr">
        <is>
          <t>clean</t>
        </is>
      </c>
      <c r="E197" s="254" t="inlineStr">
        <is>
          <t>standard</t>
        </is>
      </c>
      <c r="F197" s="254" t="inlineStr">
        <is>
          <t>buyer_fee</t>
        </is>
      </c>
      <c r="G197" s="254" t="inlineStr">
        <is>
          <t>unsecured</t>
        </is>
      </c>
      <c r="H197" s="251" t="n">
        <v>10000</v>
      </c>
      <c r="I197" s="251" t="n">
        <v>10499.99</v>
      </c>
      <c r="J197" s="251" t="n">
        <v>1200</v>
      </c>
      <c r="K197" s="254" t="n"/>
    </row>
    <row r="198">
      <c r="B198" s="254" t="inlineStr">
        <is>
          <t>2026-09-26</t>
        </is>
      </c>
      <c r="C198" s="254" t="inlineStr">
        <is>
          <t>non-licensed</t>
        </is>
      </c>
      <c r="D198" s="254" t="inlineStr">
        <is>
          <t>clean</t>
        </is>
      </c>
      <c r="E198" s="254" t="inlineStr">
        <is>
          <t>standard</t>
        </is>
      </c>
      <c r="F198" s="254" t="inlineStr">
        <is>
          <t>buyer_fee</t>
        </is>
      </c>
      <c r="G198" s="254" t="inlineStr">
        <is>
          <t>unsecured</t>
        </is>
      </c>
      <c r="H198" s="251" t="n">
        <v>10500</v>
      </c>
      <c r="I198" s="251" t="n">
        <v>10999.99</v>
      </c>
      <c r="J198" s="251" t="n">
        <v>1200</v>
      </c>
      <c r="K198" s="254" t="n"/>
    </row>
    <row r="199">
      <c r="B199" s="254" t="inlineStr">
        <is>
          <t>2026-09-26</t>
        </is>
      </c>
      <c r="C199" s="254" t="inlineStr">
        <is>
          <t>non-licensed</t>
        </is>
      </c>
      <c r="D199" s="254" t="inlineStr">
        <is>
          <t>clean</t>
        </is>
      </c>
      <c r="E199" s="254" t="inlineStr">
        <is>
          <t>standard</t>
        </is>
      </c>
      <c r="F199" s="254" t="inlineStr">
        <is>
          <t>buyer_fee</t>
        </is>
      </c>
      <c r="G199" s="254" t="inlineStr">
        <is>
          <t>unsecured</t>
        </is>
      </c>
      <c r="H199" s="251" t="n">
        <v>11000</v>
      </c>
      <c r="I199" s="251" t="n">
        <v>11499.99</v>
      </c>
      <c r="J199" s="251" t="n">
        <v>1200</v>
      </c>
      <c r="K199" s="254" t="n"/>
    </row>
    <row r="200">
      <c r="B200" s="254" t="inlineStr">
        <is>
          <t>2026-09-26</t>
        </is>
      </c>
      <c r="C200" s="254" t="inlineStr">
        <is>
          <t>non-licensed</t>
        </is>
      </c>
      <c r="D200" s="254" t="inlineStr">
        <is>
          <t>clean</t>
        </is>
      </c>
      <c r="E200" s="254" t="inlineStr">
        <is>
          <t>standard</t>
        </is>
      </c>
      <c r="F200" s="254" t="inlineStr">
        <is>
          <t>buyer_fee</t>
        </is>
      </c>
      <c r="G200" s="254" t="inlineStr">
        <is>
          <t>unsecured</t>
        </is>
      </c>
      <c r="H200" s="251" t="n">
        <v>11500</v>
      </c>
      <c r="I200" s="251" t="n">
        <v>11999.99</v>
      </c>
      <c r="J200" s="251" t="n">
        <v>1200</v>
      </c>
      <c r="K200" s="254" t="n"/>
    </row>
    <row r="201">
      <c r="B201" s="254" t="inlineStr">
        <is>
          <t>2026-09-26</t>
        </is>
      </c>
      <c r="C201" s="254" t="inlineStr">
        <is>
          <t>non-licensed</t>
        </is>
      </c>
      <c r="D201" s="254" t="inlineStr">
        <is>
          <t>clean</t>
        </is>
      </c>
      <c r="E201" s="254" t="inlineStr">
        <is>
          <t>standard</t>
        </is>
      </c>
      <c r="F201" s="254" t="inlineStr">
        <is>
          <t>buyer_fee</t>
        </is>
      </c>
      <c r="G201" s="254" t="inlineStr">
        <is>
          <t>unsecured</t>
        </is>
      </c>
      <c r="H201" s="251" t="n">
        <v>12000</v>
      </c>
      <c r="I201" s="251" t="n">
        <v>12499.99</v>
      </c>
      <c r="J201" s="251" t="n">
        <v>1200</v>
      </c>
      <c r="K201" s="254" t="n"/>
    </row>
    <row r="202">
      <c r="B202" s="254" t="inlineStr">
        <is>
          <t>2026-09-26</t>
        </is>
      </c>
      <c r="C202" s="254" t="inlineStr">
        <is>
          <t>non-licensed</t>
        </is>
      </c>
      <c r="D202" s="254" t="inlineStr">
        <is>
          <t>clean</t>
        </is>
      </c>
      <c r="E202" s="254" t="inlineStr">
        <is>
          <t>standard</t>
        </is>
      </c>
      <c r="F202" s="254" t="inlineStr">
        <is>
          <t>buyer_fee</t>
        </is>
      </c>
      <c r="G202" s="254" t="inlineStr">
        <is>
          <t>unsecured</t>
        </is>
      </c>
      <c r="H202" s="251" t="n">
        <v>12500</v>
      </c>
      <c r="I202" s="251" t="n">
        <v>14999.99</v>
      </c>
      <c r="J202" s="251" t="n">
        <v>1200</v>
      </c>
      <c r="K202" s="254" t="n"/>
    </row>
    <row r="203">
      <c r="B203" s="254" t="inlineStr">
        <is>
          <t>2026-09-26</t>
        </is>
      </c>
      <c r="C203" s="254" t="inlineStr">
        <is>
          <t>non-licensed</t>
        </is>
      </c>
      <c r="D203" s="254" t="inlineStr">
        <is>
          <t>clean</t>
        </is>
      </c>
      <c r="E203" s="254" t="inlineStr">
        <is>
          <t>standard</t>
        </is>
      </c>
      <c r="F203" s="254" t="inlineStr">
        <is>
          <t>buyer_fee</t>
        </is>
      </c>
      <c r="G203" s="254" t="inlineStr">
        <is>
          <t>unsecured</t>
        </is>
      </c>
      <c r="H203" s="251" t="n">
        <v>15000</v>
      </c>
      <c r="I203" s="254" t="n"/>
      <c r="J203" s="254" t="n"/>
      <c r="K203" s="251" t="n">
        <v>12.25</v>
      </c>
    </row>
    <row r="204">
      <c r="B204" s="254" t="inlineStr">
        <is>
          <t>2026-09-26</t>
        </is>
      </c>
      <c r="C204" s="254" t="inlineStr">
        <is>
          <t>non-licensed</t>
        </is>
      </c>
      <c r="D204" s="254" t="inlineStr">
        <is>
          <t>clean</t>
        </is>
      </c>
      <c r="E204" s="254" t="inlineStr">
        <is>
          <t>standard</t>
        </is>
      </c>
      <c r="F204" s="254" t="inlineStr">
        <is>
          <t>virtual_bid_pre_bid</t>
        </is>
      </c>
      <c r="G204" s="254" t="inlineStr">
        <is>
          <t>any</t>
        </is>
      </c>
      <c r="H204" s="251" t="n">
        <v>0</v>
      </c>
      <c r="I204" s="251" t="n">
        <v>99.98999999999999</v>
      </c>
      <c r="J204" s="251" t="n">
        <v>0</v>
      </c>
      <c r="K204" s="254" t="n"/>
    </row>
    <row r="205">
      <c r="B205" s="254" t="inlineStr">
        <is>
          <t>2026-09-26</t>
        </is>
      </c>
      <c r="C205" s="254" t="inlineStr">
        <is>
          <t>non-licensed</t>
        </is>
      </c>
      <c r="D205" s="254" t="inlineStr">
        <is>
          <t>clean</t>
        </is>
      </c>
      <c r="E205" s="254" t="inlineStr">
        <is>
          <t>standard</t>
        </is>
      </c>
      <c r="F205" s="254" t="inlineStr">
        <is>
          <t>virtual_bid_pre_bid</t>
        </is>
      </c>
      <c r="G205" s="254" t="inlineStr">
        <is>
          <t>any</t>
        </is>
      </c>
      <c r="H205" s="251" t="n">
        <v>100</v>
      </c>
      <c r="I205" s="251" t="n">
        <v>499.99</v>
      </c>
      <c r="J205" s="251" t="n">
        <v>39</v>
      </c>
      <c r="K205" s="254" t="n"/>
    </row>
    <row r="206">
      <c r="B206" s="254" t="inlineStr">
        <is>
          <t>2026-09-26</t>
        </is>
      </c>
      <c r="C206" s="254" t="inlineStr">
        <is>
          <t>non-licensed</t>
        </is>
      </c>
      <c r="D206" s="254" t="inlineStr">
        <is>
          <t>clean</t>
        </is>
      </c>
      <c r="E206" s="254" t="inlineStr">
        <is>
          <t>standard</t>
        </is>
      </c>
      <c r="F206" s="254" t="inlineStr">
        <is>
          <t>virtual_bid_pre_bid</t>
        </is>
      </c>
      <c r="G206" s="254" t="inlineStr">
        <is>
          <t>any</t>
        </is>
      </c>
      <c r="H206" s="251" t="n">
        <v>500</v>
      </c>
      <c r="I206" s="251" t="n">
        <v>999.99</v>
      </c>
      <c r="J206" s="251" t="n">
        <v>49</v>
      </c>
      <c r="K206" s="254" t="n"/>
    </row>
    <row r="207">
      <c r="B207" s="254" t="inlineStr">
        <is>
          <t>2026-09-26</t>
        </is>
      </c>
      <c r="C207" s="254" t="inlineStr">
        <is>
          <t>non-licensed</t>
        </is>
      </c>
      <c r="D207" s="254" t="inlineStr">
        <is>
          <t>clean</t>
        </is>
      </c>
      <c r="E207" s="254" t="inlineStr">
        <is>
          <t>standard</t>
        </is>
      </c>
      <c r="F207" s="254" t="inlineStr">
        <is>
          <t>virtual_bid_pre_bid</t>
        </is>
      </c>
      <c r="G207" s="254" t="inlineStr">
        <is>
          <t>any</t>
        </is>
      </c>
      <c r="H207" s="251" t="n">
        <v>1000</v>
      </c>
      <c r="I207" s="251" t="n">
        <v>1499.99</v>
      </c>
      <c r="J207" s="251" t="n">
        <v>69</v>
      </c>
      <c r="K207" s="254" t="n"/>
    </row>
    <row r="208">
      <c r="B208" s="254" t="inlineStr">
        <is>
          <t>2026-09-26</t>
        </is>
      </c>
      <c r="C208" s="254" t="inlineStr">
        <is>
          <t>non-licensed</t>
        </is>
      </c>
      <c r="D208" s="254" t="inlineStr">
        <is>
          <t>clean</t>
        </is>
      </c>
      <c r="E208" s="254" t="inlineStr">
        <is>
          <t>standard</t>
        </is>
      </c>
      <c r="F208" s="254" t="inlineStr">
        <is>
          <t>virtual_bid_pre_bid</t>
        </is>
      </c>
      <c r="G208" s="254" t="inlineStr">
        <is>
          <t>any</t>
        </is>
      </c>
      <c r="H208" s="251" t="n">
        <v>1500</v>
      </c>
      <c r="I208" s="251" t="n">
        <v>1999.99</v>
      </c>
      <c r="J208" s="251" t="n">
        <v>79</v>
      </c>
      <c r="K208" s="254" t="n"/>
    </row>
    <row r="209">
      <c r="B209" s="254" t="inlineStr">
        <is>
          <t>2026-09-26</t>
        </is>
      </c>
      <c r="C209" s="254" t="inlineStr">
        <is>
          <t>non-licensed</t>
        </is>
      </c>
      <c r="D209" s="254" t="inlineStr">
        <is>
          <t>clean</t>
        </is>
      </c>
      <c r="E209" s="254" t="inlineStr">
        <is>
          <t>standard</t>
        </is>
      </c>
      <c r="F209" s="254" t="inlineStr">
        <is>
          <t>virtual_bid_pre_bid</t>
        </is>
      </c>
      <c r="G209" s="254" t="inlineStr">
        <is>
          <t>any</t>
        </is>
      </c>
      <c r="H209" s="251" t="n">
        <v>2000</v>
      </c>
      <c r="I209" s="251" t="n">
        <v>3999.99</v>
      </c>
      <c r="J209" s="251" t="n">
        <v>89</v>
      </c>
      <c r="K209" s="254" t="n"/>
    </row>
    <row r="210">
      <c r="B210" s="254" t="inlineStr">
        <is>
          <t>2026-09-26</t>
        </is>
      </c>
      <c r="C210" s="254" t="inlineStr">
        <is>
          <t>non-licensed</t>
        </is>
      </c>
      <c r="D210" s="254" t="inlineStr">
        <is>
          <t>clean</t>
        </is>
      </c>
      <c r="E210" s="254" t="inlineStr">
        <is>
          <t>standard</t>
        </is>
      </c>
      <c r="F210" s="254" t="inlineStr">
        <is>
          <t>virtual_bid_pre_bid</t>
        </is>
      </c>
      <c r="G210" s="254" t="inlineStr">
        <is>
          <t>any</t>
        </is>
      </c>
      <c r="H210" s="251" t="n">
        <v>4000</v>
      </c>
      <c r="I210" s="251" t="n">
        <v>5999.99</v>
      </c>
      <c r="J210" s="251" t="n">
        <v>99</v>
      </c>
      <c r="K210" s="254" t="n"/>
    </row>
    <row r="211">
      <c r="B211" s="254" t="inlineStr">
        <is>
          <t>2026-09-26</t>
        </is>
      </c>
      <c r="C211" s="254" t="inlineStr">
        <is>
          <t>non-licensed</t>
        </is>
      </c>
      <c r="D211" s="254" t="inlineStr">
        <is>
          <t>clean</t>
        </is>
      </c>
      <c r="E211" s="254" t="inlineStr">
        <is>
          <t>standard</t>
        </is>
      </c>
      <c r="F211" s="254" t="inlineStr">
        <is>
          <t>virtual_bid_pre_bid</t>
        </is>
      </c>
      <c r="G211" s="254" t="inlineStr">
        <is>
          <t>any</t>
        </is>
      </c>
      <c r="H211" s="251" t="n">
        <v>6000</v>
      </c>
      <c r="I211" s="251" t="n">
        <v>7999.99</v>
      </c>
      <c r="J211" s="251" t="n">
        <v>119</v>
      </c>
      <c r="K211" s="254" t="n"/>
    </row>
    <row r="212">
      <c r="B212" s="254" t="inlineStr">
        <is>
          <t>2026-09-26</t>
        </is>
      </c>
      <c r="C212" s="254" t="inlineStr">
        <is>
          <t>non-licensed</t>
        </is>
      </c>
      <c r="D212" s="254" t="inlineStr">
        <is>
          <t>clean</t>
        </is>
      </c>
      <c r="E212" s="254" t="inlineStr">
        <is>
          <t>standard</t>
        </is>
      </c>
      <c r="F212" s="254" t="inlineStr">
        <is>
          <t>virtual_bid_pre_bid</t>
        </is>
      </c>
      <c r="G212" s="254" t="inlineStr">
        <is>
          <t>any</t>
        </is>
      </c>
      <c r="H212" s="251" t="n">
        <v>8000</v>
      </c>
      <c r="I212" s="254" t="n"/>
      <c r="J212" s="251" t="n">
        <v>129</v>
      </c>
      <c r="K212" s="254" t="n"/>
    </row>
    <row r="213">
      <c r="B213" s="254" t="inlineStr">
        <is>
          <t>2026-09-26</t>
        </is>
      </c>
      <c r="C213" s="254" t="inlineStr">
        <is>
          <t>non-licensed</t>
        </is>
      </c>
      <c r="D213" s="254" t="inlineStr">
        <is>
          <t>clean</t>
        </is>
      </c>
      <c r="E213" s="254" t="inlineStr">
        <is>
          <t>standard</t>
        </is>
      </c>
      <c r="F213" s="254" t="inlineStr">
        <is>
          <t>virtual_bid_live_bid</t>
        </is>
      </c>
      <c r="G213" s="254" t="inlineStr">
        <is>
          <t>any</t>
        </is>
      </c>
      <c r="H213" s="251" t="n">
        <v>0</v>
      </c>
      <c r="I213" s="251" t="n">
        <v>99.98999999999999</v>
      </c>
      <c r="J213" s="251" t="n">
        <v>0</v>
      </c>
      <c r="K213" s="254" t="n"/>
    </row>
    <row r="214">
      <c r="B214" s="254" t="inlineStr">
        <is>
          <t>2026-09-26</t>
        </is>
      </c>
      <c r="C214" s="254" t="inlineStr">
        <is>
          <t>non-licensed</t>
        </is>
      </c>
      <c r="D214" s="254" t="inlineStr">
        <is>
          <t>clean</t>
        </is>
      </c>
      <c r="E214" s="254" t="inlineStr">
        <is>
          <t>standard</t>
        </is>
      </c>
      <c r="F214" s="254" t="inlineStr">
        <is>
          <t>virtual_bid_live_bid</t>
        </is>
      </c>
      <c r="G214" s="254" t="inlineStr">
        <is>
          <t>any</t>
        </is>
      </c>
      <c r="H214" s="251" t="n">
        <v>100</v>
      </c>
      <c r="I214" s="251" t="n">
        <v>499.99</v>
      </c>
      <c r="J214" s="251" t="n">
        <v>49</v>
      </c>
      <c r="K214" s="254" t="n"/>
    </row>
    <row r="215">
      <c r="B215" s="254" t="inlineStr">
        <is>
          <t>2026-09-26</t>
        </is>
      </c>
      <c r="C215" s="254" t="inlineStr">
        <is>
          <t>non-licensed</t>
        </is>
      </c>
      <c r="D215" s="254" t="inlineStr">
        <is>
          <t>clean</t>
        </is>
      </c>
      <c r="E215" s="254" t="inlineStr">
        <is>
          <t>standard</t>
        </is>
      </c>
      <c r="F215" s="254" t="inlineStr">
        <is>
          <t>virtual_bid_live_bid</t>
        </is>
      </c>
      <c r="G215" s="254" t="inlineStr">
        <is>
          <t>any</t>
        </is>
      </c>
      <c r="H215" s="251" t="n">
        <v>500</v>
      </c>
      <c r="I215" s="251" t="n">
        <v>999.99</v>
      </c>
      <c r="J215" s="251" t="n">
        <v>59</v>
      </c>
      <c r="K215" s="254" t="n"/>
    </row>
    <row r="216">
      <c r="B216" s="254" t="inlineStr">
        <is>
          <t>2026-09-26</t>
        </is>
      </c>
      <c r="C216" s="254" t="inlineStr">
        <is>
          <t>non-licensed</t>
        </is>
      </c>
      <c r="D216" s="254" t="inlineStr">
        <is>
          <t>clean</t>
        </is>
      </c>
      <c r="E216" s="254" t="inlineStr">
        <is>
          <t>standard</t>
        </is>
      </c>
      <c r="F216" s="254" t="inlineStr">
        <is>
          <t>virtual_bid_live_bid</t>
        </is>
      </c>
      <c r="G216" s="254" t="inlineStr">
        <is>
          <t>any</t>
        </is>
      </c>
      <c r="H216" s="251" t="n">
        <v>1000</v>
      </c>
      <c r="I216" s="251" t="n">
        <v>1499.99</v>
      </c>
      <c r="J216" s="251" t="n">
        <v>79</v>
      </c>
      <c r="K216" s="254" t="n"/>
    </row>
    <row r="217">
      <c r="B217" s="254" t="inlineStr">
        <is>
          <t>2026-09-26</t>
        </is>
      </c>
      <c r="C217" s="254" t="inlineStr">
        <is>
          <t>non-licensed</t>
        </is>
      </c>
      <c r="D217" s="254" t="inlineStr">
        <is>
          <t>clean</t>
        </is>
      </c>
      <c r="E217" s="254" t="inlineStr">
        <is>
          <t>standard</t>
        </is>
      </c>
      <c r="F217" s="254" t="inlineStr">
        <is>
          <t>virtual_bid_live_bid</t>
        </is>
      </c>
      <c r="G217" s="254" t="inlineStr">
        <is>
          <t>any</t>
        </is>
      </c>
      <c r="H217" s="251" t="n">
        <v>1500</v>
      </c>
      <c r="I217" s="251" t="n">
        <v>1999.99</v>
      </c>
      <c r="J217" s="251" t="n">
        <v>89</v>
      </c>
      <c r="K217" s="254" t="n"/>
    </row>
    <row r="218">
      <c r="B218" s="254" t="inlineStr">
        <is>
          <t>2026-09-26</t>
        </is>
      </c>
      <c r="C218" s="254" t="inlineStr">
        <is>
          <t>non-licensed</t>
        </is>
      </c>
      <c r="D218" s="254" t="inlineStr">
        <is>
          <t>clean</t>
        </is>
      </c>
      <c r="E218" s="254" t="inlineStr">
        <is>
          <t>standard</t>
        </is>
      </c>
      <c r="F218" s="254" t="inlineStr">
        <is>
          <t>virtual_bid_live_bid</t>
        </is>
      </c>
      <c r="G218" s="254" t="inlineStr">
        <is>
          <t>any</t>
        </is>
      </c>
      <c r="H218" s="251" t="n">
        <v>2000</v>
      </c>
      <c r="I218" s="251" t="n">
        <v>3999.99</v>
      </c>
      <c r="J218" s="251" t="n">
        <v>99</v>
      </c>
      <c r="K218" s="254" t="n"/>
    </row>
    <row r="219">
      <c r="B219" s="254" t="inlineStr">
        <is>
          <t>2026-09-26</t>
        </is>
      </c>
      <c r="C219" s="254" t="inlineStr">
        <is>
          <t>non-licensed</t>
        </is>
      </c>
      <c r="D219" s="254" t="inlineStr">
        <is>
          <t>clean</t>
        </is>
      </c>
      <c r="E219" s="254" t="inlineStr">
        <is>
          <t>standard</t>
        </is>
      </c>
      <c r="F219" s="254" t="inlineStr">
        <is>
          <t>virtual_bid_live_bid</t>
        </is>
      </c>
      <c r="G219" s="254" t="inlineStr">
        <is>
          <t>any</t>
        </is>
      </c>
      <c r="H219" s="251" t="n">
        <v>4000</v>
      </c>
      <c r="I219" s="251" t="n">
        <v>5999.99</v>
      </c>
      <c r="J219" s="251" t="n">
        <v>109</v>
      </c>
      <c r="K219" s="254" t="n"/>
    </row>
    <row r="220">
      <c r="B220" s="254" t="inlineStr">
        <is>
          <t>2026-09-26</t>
        </is>
      </c>
      <c r="C220" s="254" t="inlineStr">
        <is>
          <t>non-licensed</t>
        </is>
      </c>
      <c r="D220" s="254" t="inlineStr">
        <is>
          <t>clean</t>
        </is>
      </c>
      <c r="E220" s="254" t="inlineStr">
        <is>
          <t>standard</t>
        </is>
      </c>
      <c r="F220" s="254" t="inlineStr">
        <is>
          <t>virtual_bid_live_bid</t>
        </is>
      </c>
      <c r="G220" s="254" t="inlineStr">
        <is>
          <t>any</t>
        </is>
      </c>
      <c r="H220" s="251" t="n">
        <v>6000</v>
      </c>
      <c r="I220" s="251" t="n">
        <v>7999.99</v>
      </c>
      <c r="J220" s="251" t="n">
        <v>139</v>
      </c>
      <c r="K220" s="254" t="n"/>
    </row>
    <row r="221">
      <c r="B221" s="254" t="inlineStr">
        <is>
          <t>2026-09-26</t>
        </is>
      </c>
      <c r="C221" s="254" t="inlineStr">
        <is>
          <t>non-licensed</t>
        </is>
      </c>
      <c r="D221" s="254" t="inlineStr">
        <is>
          <t>clean</t>
        </is>
      </c>
      <c r="E221" s="254" t="inlineStr">
        <is>
          <t>standard</t>
        </is>
      </c>
      <c r="F221" s="254" t="inlineStr">
        <is>
          <t>virtual_bid_live_bid</t>
        </is>
      </c>
      <c r="G221" s="254" t="inlineStr">
        <is>
          <t>any</t>
        </is>
      </c>
      <c r="H221" s="251" t="n">
        <v>8000</v>
      </c>
      <c r="I221" s="254" t="n"/>
      <c r="J221" s="251" t="n">
        <v>149</v>
      </c>
      <c r="K221" s="254" t="n"/>
    </row>
    <row r="222">
      <c r="B222" s="254" t="inlineStr">
        <is>
          <t>2026-09-26</t>
        </is>
      </c>
      <c r="C222" s="254" t="inlineStr">
        <is>
          <t>non-licensed</t>
        </is>
      </c>
      <c r="D222" s="254" t="inlineStr">
        <is>
          <t>clean</t>
        </is>
      </c>
      <c r="E222" s="254" t="inlineStr">
        <is>
          <t>standard</t>
        </is>
      </c>
      <c r="F222" s="254" t="inlineStr">
        <is>
          <t>gate_fee</t>
        </is>
      </c>
      <c r="G222" s="254" t="inlineStr">
        <is>
          <t>any</t>
        </is>
      </c>
      <c r="H222" s="251" t="n">
        <v>0</v>
      </c>
      <c r="I222" s="254" t="n"/>
      <c r="J222" s="251" t="n">
        <v>79</v>
      </c>
      <c r="K222" s="254" t="n"/>
    </row>
    <row r="223">
      <c r="B223" s="254" t="inlineStr">
        <is>
          <t>2026-09-26</t>
        </is>
      </c>
      <c r="C223" s="254" t="inlineStr">
        <is>
          <t>non-licensed</t>
        </is>
      </c>
      <c r="D223" s="254" t="inlineStr">
        <is>
          <t>non-clean</t>
        </is>
      </c>
      <c r="E223" s="254" t="inlineStr">
        <is>
          <t>heavy</t>
        </is>
      </c>
      <c r="F223" s="254" t="inlineStr">
        <is>
          <t>buyer_fee</t>
        </is>
      </c>
      <c r="G223" s="254" t="inlineStr">
        <is>
          <t>secured</t>
        </is>
      </c>
      <c r="H223" s="251" t="n">
        <v>0</v>
      </c>
      <c r="I223" s="251" t="n">
        <v>49.99</v>
      </c>
      <c r="J223" s="251" t="n">
        <v>25</v>
      </c>
      <c r="K223" s="254" t="n"/>
    </row>
    <row r="224">
      <c r="B224" s="254" t="inlineStr">
        <is>
          <t>2026-09-26</t>
        </is>
      </c>
      <c r="C224" s="254" t="inlineStr">
        <is>
          <t>non-licensed</t>
        </is>
      </c>
      <c r="D224" s="254" t="inlineStr">
        <is>
          <t>non-clean</t>
        </is>
      </c>
      <c r="E224" s="254" t="inlineStr">
        <is>
          <t>heavy</t>
        </is>
      </c>
      <c r="F224" s="254" t="inlineStr">
        <is>
          <t>buyer_fee</t>
        </is>
      </c>
      <c r="G224" s="254" t="inlineStr">
        <is>
          <t>secured</t>
        </is>
      </c>
      <c r="H224" s="251" t="n">
        <v>50</v>
      </c>
      <c r="I224" s="251" t="n">
        <v>99.98999999999999</v>
      </c>
      <c r="J224" s="251" t="n">
        <v>45</v>
      </c>
      <c r="K224" s="254" t="n"/>
    </row>
    <row r="225">
      <c r="B225" s="254" t="inlineStr">
        <is>
          <t>2026-09-26</t>
        </is>
      </c>
      <c r="C225" s="254" t="inlineStr">
        <is>
          <t>non-licensed</t>
        </is>
      </c>
      <c r="D225" s="254" t="inlineStr">
        <is>
          <t>non-clean</t>
        </is>
      </c>
      <c r="E225" s="254" t="inlineStr">
        <is>
          <t>heavy</t>
        </is>
      </c>
      <c r="F225" s="254" t="inlineStr">
        <is>
          <t>buyer_fee</t>
        </is>
      </c>
      <c r="G225" s="254" t="inlineStr">
        <is>
          <t>secured</t>
        </is>
      </c>
      <c r="H225" s="251" t="n">
        <v>100</v>
      </c>
      <c r="I225" s="251" t="n">
        <v>199.99</v>
      </c>
      <c r="J225" s="251" t="n">
        <v>80</v>
      </c>
      <c r="K225" s="254" t="n"/>
    </row>
    <row r="226">
      <c r="B226" s="254" t="inlineStr">
        <is>
          <t>2026-09-26</t>
        </is>
      </c>
      <c r="C226" s="254" t="inlineStr">
        <is>
          <t>non-licensed</t>
        </is>
      </c>
      <c r="D226" s="254" t="inlineStr">
        <is>
          <t>non-clean</t>
        </is>
      </c>
      <c r="E226" s="254" t="inlineStr">
        <is>
          <t>heavy</t>
        </is>
      </c>
      <c r="F226" s="254" t="inlineStr">
        <is>
          <t>buyer_fee</t>
        </is>
      </c>
      <c r="G226" s="254" t="inlineStr">
        <is>
          <t>secured</t>
        </is>
      </c>
      <c r="H226" s="251" t="n">
        <v>200</v>
      </c>
      <c r="I226" s="251" t="n">
        <v>299.99</v>
      </c>
      <c r="J226" s="251" t="n">
        <v>130</v>
      </c>
      <c r="K226" s="254" t="n"/>
    </row>
    <row r="227">
      <c r="B227" s="254" t="inlineStr">
        <is>
          <t>2026-09-26</t>
        </is>
      </c>
      <c r="C227" s="254" t="inlineStr">
        <is>
          <t>non-licensed</t>
        </is>
      </c>
      <c r="D227" s="254" t="inlineStr">
        <is>
          <t>non-clean</t>
        </is>
      </c>
      <c r="E227" s="254" t="inlineStr">
        <is>
          <t>heavy</t>
        </is>
      </c>
      <c r="F227" s="254" t="inlineStr">
        <is>
          <t>buyer_fee</t>
        </is>
      </c>
      <c r="G227" s="254" t="inlineStr">
        <is>
          <t>secured</t>
        </is>
      </c>
      <c r="H227" s="251" t="n">
        <v>300</v>
      </c>
      <c r="I227" s="251" t="n">
        <v>349.99</v>
      </c>
      <c r="J227" s="251" t="n">
        <v>137.5</v>
      </c>
      <c r="K227" s="254" t="n"/>
    </row>
    <row r="228">
      <c r="B228" s="254" t="inlineStr">
        <is>
          <t>2026-09-26</t>
        </is>
      </c>
      <c r="C228" s="254" t="inlineStr">
        <is>
          <t>non-licensed</t>
        </is>
      </c>
      <c r="D228" s="254" t="inlineStr">
        <is>
          <t>non-clean</t>
        </is>
      </c>
      <c r="E228" s="254" t="inlineStr">
        <is>
          <t>heavy</t>
        </is>
      </c>
      <c r="F228" s="254" t="inlineStr">
        <is>
          <t>buyer_fee</t>
        </is>
      </c>
      <c r="G228" s="254" t="inlineStr">
        <is>
          <t>secured</t>
        </is>
      </c>
      <c r="H228" s="251" t="n">
        <v>350</v>
      </c>
      <c r="I228" s="251" t="n">
        <v>399.99</v>
      </c>
      <c r="J228" s="251" t="n">
        <v>145</v>
      </c>
      <c r="K228" s="254" t="n"/>
    </row>
    <row r="229">
      <c r="B229" s="254" t="inlineStr">
        <is>
          <t>2026-09-26</t>
        </is>
      </c>
      <c r="C229" s="254" t="inlineStr">
        <is>
          <t>non-licensed</t>
        </is>
      </c>
      <c r="D229" s="254" t="inlineStr">
        <is>
          <t>non-clean</t>
        </is>
      </c>
      <c r="E229" s="254" t="inlineStr">
        <is>
          <t>heavy</t>
        </is>
      </c>
      <c r="F229" s="254" t="inlineStr">
        <is>
          <t>buyer_fee</t>
        </is>
      </c>
      <c r="G229" s="254" t="inlineStr">
        <is>
          <t>secured</t>
        </is>
      </c>
      <c r="H229" s="251" t="n">
        <v>400</v>
      </c>
      <c r="I229" s="251" t="n">
        <v>449.99</v>
      </c>
      <c r="J229" s="251" t="n">
        <v>175</v>
      </c>
      <c r="K229" s="254" t="n"/>
    </row>
    <row r="230">
      <c r="B230" s="254" t="inlineStr">
        <is>
          <t>2026-09-26</t>
        </is>
      </c>
      <c r="C230" s="254" t="inlineStr">
        <is>
          <t>non-licensed</t>
        </is>
      </c>
      <c r="D230" s="254" t="inlineStr">
        <is>
          <t>non-clean</t>
        </is>
      </c>
      <c r="E230" s="254" t="inlineStr">
        <is>
          <t>heavy</t>
        </is>
      </c>
      <c r="F230" s="254" t="inlineStr">
        <is>
          <t>buyer_fee</t>
        </is>
      </c>
      <c r="G230" s="254" t="inlineStr">
        <is>
          <t>secured</t>
        </is>
      </c>
      <c r="H230" s="251" t="n">
        <v>450</v>
      </c>
      <c r="I230" s="251" t="n">
        <v>499.99</v>
      </c>
      <c r="J230" s="251" t="n">
        <v>185</v>
      </c>
      <c r="K230" s="254" t="n"/>
    </row>
    <row r="231">
      <c r="B231" s="254" t="inlineStr">
        <is>
          <t>2026-09-26</t>
        </is>
      </c>
      <c r="C231" s="254" t="inlineStr">
        <is>
          <t>non-licensed</t>
        </is>
      </c>
      <c r="D231" s="254" t="inlineStr">
        <is>
          <t>non-clean</t>
        </is>
      </c>
      <c r="E231" s="254" t="inlineStr">
        <is>
          <t>heavy</t>
        </is>
      </c>
      <c r="F231" s="254" t="inlineStr">
        <is>
          <t>buyer_fee</t>
        </is>
      </c>
      <c r="G231" s="254" t="inlineStr">
        <is>
          <t>secured</t>
        </is>
      </c>
      <c r="H231" s="251" t="n">
        <v>500</v>
      </c>
      <c r="I231" s="251" t="n">
        <v>549.99</v>
      </c>
      <c r="J231" s="251" t="n">
        <v>205</v>
      </c>
      <c r="K231" s="254" t="n"/>
    </row>
    <row r="232">
      <c r="B232" s="254" t="inlineStr">
        <is>
          <t>2026-09-26</t>
        </is>
      </c>
      <c r="C232" s="254" t="inlineStr">
        <is>
          <t>non-licensed</t>
        </is>
      </c>
      <c r="D232" s="254" t="inlineStr">
        <is>
          <t>non-clean</t>
        </is>
      </c>
      <c r="E232" s="254" t="inlineStr">
        <is>
          <t>heavy</t>
        </is>
      </c>
      <c r="F232" s="254" t="inlineStr">
        <is>
          <t>buyer_fee</t>
        </is>
      </c>
      <c r="G232" s="254" t="inlineStr">
        <is>
          <t>secured</t>
        </is>
      </c>
      <c r="H232" s="251" t="n">
        <v>550</v>
      </c>
      <c r="I232" s="251" t="n">
        <v>599.99</v>
      </c>
      <c r="J232" s="251" t="n">
        <v>210</v>
      </c>
      <c r="K232" s="254" t="n"/>
    </row>
    <row r="233">
      <c r="B233" s="254" t="inlineStr">
        <is>
          <t>2026-09-26</t>
        </is>
      </c>
      <c r="C233" s="254" t="inlineStr">
        <is>
          <t>non-licensed</t>
        </is>
      </c>
      <c r="D233" s="254" t="inlineStr">
        <is>
          <t>non-clean</t>
        </is>
      </c>
      <c r="E233" s="254" t="inlineStr">
        <is>
          <t>heavy</t>
        </is>
      </c>
      <c r="F233" s="254" t="inlineStr">
        <is>
          <t>buyer_fee</t>
        </is>
      </c>
      <c r="G233" s="254" t="inlineStr">
        <is>
          <t>secured</t>
        </is>
      </c>
      <c r="H233" s="251" t="n">
        <v>600</v>
      </c>
      <c r="I233" s="251" t="n">
        <v>699.99</v>
      </c>
      <c r="J233" s="251" t="n">
        <v>240</v>
      </c>
      <c r="K233" s="254" t="n"/>
    </row>
    <row r="234">
      <c r="B234" s="254" t="inlineStr">
        <is>
          <t>2026-09-26</t>
        </is>
      </c>
      <c r="C234" s="254" t="inlineStr">
        <is>
          <t>non-licensed</t>
        </is>
      </c>
      <c r="D234" s="254" t="inlineStr">
        <is>
          <t>non-clean</t>
        </is>
      </c>
      <c r="E234" s="254" t="inlineStr">
        <is>
          <t>heavy</t>
        </is>
      </c>
      <c r="F234" s="254" t="inlineStr">
        <is>
          <t>buyer_fee</t>
        </is>
      </c>
      <c r="G234" s="254" t="inlineStr">
        <is>
          <t>secured</t>
        </is>
      </c>
      <c r="H234" s="251" t="n">
        <v>700</v>
      </c>
      <c r="I234" s="251" t="n">
        <v>799.99</v>
      </c>
      <c r="J234" s="251" t="n">
        <v>270</v>
      </c>
      <c r="K234" s="254" t="n"/>
    </row>
    <row r="235">
      <c r="B235" s="254" t="inlineStr">
        <is>
          <t>2026-09-26</t>
        </is>
      </c>
      <c r="C235" s="254" t="inlineStr">
        <is>
          <t>non-licensed</t>
        </is>
      </c>
      <c r="D235" s="254" t="inlineStr">
        <is>
          <t>non-clean</t>
        </is>
      </c>
      <c r="E235" s="254" t="inlineStr">
        <is>
          <t>heavy</t>
        </is>
      </c>
      <c r="F235" s="254" t="inlineStr">
        <is>
          <t>buyer_fee</t>
        </is>
      </c>
      <c r="G235" s="254" t="inlineStr">
        <is>
          <t>secured</t>
        </is>
      </c>
      <c r="H235" s="251" t="n">
        <v>800</v>
      </c>
      <c r="I235" s="251" t="n">
        <v>899.99</v>
      </c>
      <c r="J235" s="251" t="n">
        <v>295</v>
      </c>
      <c r="K235" s="254" t="n"/>
    </row>
    <row r="236">
      <c r="B236" s="254" t="inlineStr">
        <is>
          <t>2026-09-26</t>
        </is>
      </c>
      <c r="C236" s="254" t="inlineStr">
        <is>
          <t>non-licensed</t>
        </is>
      </c>
      <c r="D236" s="254" t="inlineStr">
        <is>
          <t>non-clean</t>
        </is>
      </c>
      <c r="E236" s="254" t="inlineStr">
        <is>
          <t>heavy</t>
        </is>
      </c>
      <c r="F236" s="254" t="inlineStr">
        <is>
          <t>buyer_fee</t>
        </is>
      </c>
      <c r="G236" s="254" t="inlineStr">
        <is>
          <t>secured</t>
        </is>
      </c>
      <c r="H236" s="251" t="n">
        <v>900</v>
      </c>
      <c r="I236" s="251" t="n">
        <v>999.99</v>
      </c>
      <c r="J236" s="251" t="n">
        <v>320</v>
      </c>
      <c r="K236" s="254" t="n"/>
    </row>
    <row r="237">
      <c r="B237" s="254" t="inlineStr">
        <is>
          <t>2026-09-26</t>
        </is>
      </c>
      <c r="C237" s="254" t="inlineStr">
        <is>
          <t>non-licensed</t>
        </is>
      </c>
      <c r="D237" s="254" t="inlineStr">
        <is>
          <t>non-clean</t>
        </is>
      </c>
      <c r="E237" s="254" t="inlineStr">
        <is>
          <t>heavy</t>
        </is>
      </c>
      <c r="F237" s="254" t="inlineStr">
        <is>
          <t>buyer_fee</t>
        </is>
      </c>
      <c r="G237" s="254" t="inlineStr">
        <is>
          <t>secured</t>
        </is>
      </c>
      <c r="H237" s="251" t="n">
        <v>1000</v>
      </c>
      <c r="I237" s="251" t="n">
        <v>1199.99</v>
      </c>
      <c r="J237" s="251" t="n">
        <v>375</v>
      </c>
      <c r="K237" s="254" t="n"/>
    </row>
    <row r="238">
      <c r="B238" s="254" t="inlineStr">
        <is>
          <t>2026-09-26</t>
        </is>
      </c>
      <c r="C238" s="254" t="inlineStr">
        <is>
          <t>non-licensed</t>
        </is>
      </c>
      <c r="D238" s="254" t="inlineStr">
        <is>
          <t>non-clean</t>
        </is>
      </c>
      <c r="E238" s="254" t="inlineStr">
        <is>
          <t>heavy</t>
        </is>
      </c>
      <c r="F238" s="254" t="inlineStr">
        <is>
          <t>buyer_fee</t>
        </is>
      </c>
      <c r="G238" s="254" t="inlineStr">
        <is>
          <t>secured</t>
        </is>
      </c>
      <c r="H238" s="251" t="n">
        <v>1200</v>
      </c>
      <c r="I238" s="251" t="n">
        <v>1299.99</v>
      </c>
      <c r="J238" s="251" t="n">
        <v>395</v>
      </c>
      <c r="K238" s="254" t="n"/>
    </row>
    <row r="239">
      <c r="B239" s="254" t="inlineStr">
        <is>
          <t>2026-09-26</t>
        </is>
      </c>
      <c r="C239" s="254" t="inlineStr">
        <is>
          <t>non-licensed</t>
        </is>
      </c>
      <c r="D239" s="254" t="inlineStr">
        <is>
          <t>non-clean</t>
        </is>
      </c>
      <c r="E239" s="254" t="inlineStr">
        <is>
          <t>heavy</t>
        </is>
      </c>
      <c r="F239" s="254" t="inlineStr">
        <is>
          <t>buyer_fee</t>
        </is>
      </c>
      <c r="G239" s="254" t="inlineStr">
        <is>
          <t>secured</t>
        </is>
      </c>
      <c r="H239" s="251" t="n">
        <v>1300</v>
      </c>
      <c r="I239" s="251" t="n">
        <v>1399.99</v>
      </c>
      <c r="J239" s="251" t="n">
        <v>410</v>
      </c>
      <c r="K239" s="254" t="n"/>
    </row>
    <row r="240">
      <c r="B240" s="254" t="inlineStr">
        <is>
          <t>2026-09-26</t>
        </is>
      </c>
      <c r="C240" s="254" t="inlineStr">
        <is>
          <t>non-licensed</t>
        </is>
      </c>
      <c r="D240" s="254" t="inlineStr">
        <is>
          <t>non-clean</t>
        </is>
      </c>
      <c r="E240" s="254" t="inlineStr">
        <is>
          <t>heavy</t>
        </is>
      </c>
      <c r="F240" s="254" t="inlineStr">
        <is>
          <t>buyer_fee</t>
        </is>
      </c>
      <c r="G240" s="254" t="inlineStr">
        <is>
          <t>secured</t>
        </is>
      </c>
      <c r="H240" s="251" t="n">
        <v>1400</v>
      </c>
      <c r="I240" s="251" t="n">
        <v>1499.99</v>
      </c>
      <c r="J240" s="251" t="n">
        <v>430</v>
      </c>
      <c r="K240" s="254" t="n"/>
    </row>
    <row r="241">
      <c r="B241" s="254" t="inlineStr">
        <is>
          <t>2026-09-26</t>
        </is>
      </c>
      <c r="C241" s="254" t="inlineStr">
        <is>
          <t>non-licensed</t>
        </is>
      </c>
      <c r="D241" s="254" t="inlineStr">
        <is>
          <t>non-clean</t>
        </is>
      </c>
      <c r="E241" s="254" t="inlineStr">
        <is>
          <t>heavy</t>
        </is>
      </c>
      <c r="F241" s="254" t="inlineStr">
        <is>
          <t>buyer_fee</t>
        </is>
      </c>
      <c r="G241" s="254" t="inlineStr">
        <is>
          <t>secured</t>
        </is>
      </c>
      <c r="H241" s="251" t="n">
        <v>1500</v>
      </c>
      <c r="I241" s="251" t="n">
        <v>1599.99</v>
      </c>
      <c r="J241" s="251" t="n">
        <v>445</v>
      </c>
      <c r="K241" s="254" t="n"/>
    </row>
    <row r="242">
      <c r="B242" s="254" t="inlineStr">
        <is>
          <t>2026-09-26</t>
        </is>
      </c>
      <c r="C242" s="254" t="inlineStr">
        <is>
          <t>non-licensed</t>
        </is>
      </c>
      <c r="D242" s="254" t="inlineStr">
        <is>
          <t>non-clean</t>
        </is>
      </c>
      <c r="E242" s="254" t="inlineStr">
        <is>
          <t>heavy</t>
        </is>
      </c>
      <c r="F242" s="254" t="inlineStr">
        <is>
          <t>buyer_fee</t>
        </is>
      </c>
      <c r="G242" s="254" t="inlineStr">
        <is>
          <t>secured</t>
        </is>
      </c>
      <c r="H242" s="251" t="n">
        <v>1600</v>
      </c>
      <c r="I242" s="251" t="n">
        <v>1699.99</v>
      </c>
      <c r="J242" s="251" t="n">
        <v>465</v>
      </c>
      <c r="K242" s="254" t="n"/>
    </row>
    <row r="243">
      <c r="B243" s="254" t="inlineStr">
        <is>
          <t>2026-09-26</t>
        </is>
      </c>
      <c r="C243" s="254" t="inlineStr">
        <is>
          <t>non-licensed</t>
        </is>
      </c>
      <c r="D243" s="254" t="inlineStr">
        <is>
          <t>non-clean</t>
        </is>
      </c>
      <c r="E243" s="254" t="inlineStr">
        <is>
          <t>heavy</t>
        </is>
      </c>
      <c r="F243" s="254" t="inlineStr">
        <is>
          <t>buyer_fee</t>
        </is>
      </c>
      <c r="G243" s="254" t="inlineStr">
        <is>
          <t>secured</t>
        </is>
      </c>
      <c r="H243" s="251" t="n">
        <v>1700</v>
      </c>
      <c r="I243" s="251" t="n">
        <v>1799.99</v>
      </c>
      <c r="J243" s="251" t="n">
        <v>485</v>
      </c>
      <c r="K243" s="254" t="n"/>
    </row>
    <row r="244">
      <c r="B244" s="254" t="inlineStr">
        <is>
          <t>2026-09-26</t>
        </is>
      </c>
      <c r="C244" s="254" t="inlineStr">
        <is>
          <t>non-licensed</t>
        </is>
      </c>
      <c r="D244" s="254" t="inlineStr">
        <is>
          <t>non-clean</t>
        </is>
      </c>
      <c r="E244" s="254" t="inlineStr">
        <is>
          <t>heavy</t>
        </is>
      </c>
      <c r="F244" s="254" t="inlineStr">
        <is>
          <t>buyer_fee</t>
        </is>
      </c>
      <c r="G244" s="254" t="inlineStr">
        <is>
          <t>secured</t>
        </is>
      </c>
      <c r="H244" s="251" t="n">
        <v>1800</v>
      </c>
      <c r="I244" s="251" t="n">
        <v>1999.99</v>
      </c>
      <c r="J244" s="251" t="n">
        <v>510</v>
      </c>
      <c r="K244" s="254" t="n"/>
    </row>
    <row r="245">
      <c r="B245" s="254" t="inlineStr">
        <is>
          <t>2026-09-26</t>
        </is>
      </c>
      <c r="C245" s="254" t="inlineStr">
        <is>
          <t>non-licensed</t>
        </is>
      </c>
      <c r="D245" s="254" t="inlineStr">
        <is>
          <t>non-clean</t>
        </is>
      </c>
      <c r="E245" s="254" t="inlineStr">
        <is>
          <t>heavy</t>
        </is>
      </c>
      <c r="F245" s="254" t="inlineStr">
        <is>
          <t>buyer_fee</t>
        </is>
      </c>
      <c r="G245" s="254" t="inlineStr">
        <is>
          <t>secured</t>
        </is>
      </c>
      <c r="H245" s="251" t="n">
        <v>2000</v>
      </c>
      <c r="I245" s="251" t="n">
        <v>2399.99</v>
      </c>
      <c r="J245" s="251" t="n">
        <v>535</v>
      </c>
      <c r="K245" s="254" t="n"/>
    </row>
    <row r="246">
      <c r="B246" s="254" t="inlineStr">
        <is>
          <t>2026-09-26</t>
        </is>
      </c>
      <c r="C246" s="254" t="inlineStr">
        <is>
          <t>non-licensed</t>
        </is>
      </c>
      <c r="D246" s="254" t="inlineStr">
        <is>
          <t>non-clean</t>
        </is>
      </c>
      <c r="E246" s="254" t="inlineStr">
        <is>
          <t>heavy</t>
        </is>
      </c>
      <c r="F246" s="254" t="inlineStr">
        <is>
          <t>buyer_fee</t>
        </is>
      </c>
      <c r="G246" s="254" t="inlineStr">
        <is>
          <t>secured</t>
        </is>
      </c>
      <c r="H246" s="251" t="n">
        <v>2400</v>
      </c>
      <c r="I246" s="251" t="n">
        <v>2499.99</v>
      </c>
      <c r="J246" s="251" t="n">
        <v>570</v>
      </c>
      <c r="K246" s="254" t="n"/>
    </row>
    <row r="247">
      <c r="B247" s="254" t="inlineStr">
        <is>
          <t>2026-09-26</t>
        </is>
      </c>
      <c r="C247" s="254" t="inlineStr">
        <is>
          <t>non-licensed</t>
        </is>
      </c>
      <c r="D247" s="254" t="inlineStr">
        <is>
          <t>non-clean</t>
        </is>
      </c>
      <c r="E247" s="254" t="inlineStr">
        <is>
          <t>heavy</t>
        </is>
      </c>
      <c r="F247" s="254" t="inlineStr">
        <is>
          <t>buyer_fee</t>
        </is>
      </c>
      <c r="G247" s="254" t="inlineStr">
        <is>
          <t>secured</t>
        </is>
      </c>
      <c r="H247" s="251" t="n">
        <v>2500</v>
      </c>
      <c r="I247" s="251" t="n">
        <v>2999.99</v>
      </c>
      <c r="J247" s="251" t="n">
        <v>610</v>
      </c>
      <c r="K247" s="254" t="n"/>
    </row>
    <row r="248">
      <c r="B248" s="254" t="inlineStr">
        <is>
          <t>2026-09-26</t>
        </is>
      </c>
      <c r="C248" s="254" t="inlineStr">
        <is>
          <t>non-licensed</t>
        </is>
      </c>
      <c r="D248" s="254" t="inlineStr">
        <is>
          <t>non-clean</t>
        </is>
      </c>
      <c r="E248" s="254" t="inlineStr">
        <is>
          <t>heavy</t>
        </is>
      </c>
      <c r="F248" s="254" t="inlineStr">
        <is>
          <t>buyer_fee</t>
        </is>
      </c>
      <c r="G248" s="254" t="inlineStr">
        <is>
          <t>secured</t>
        </is>
      </c>
      <c r="H248" s="251" t="n">
        <v>3000</v>
      </c>
      <c r="I248" s="251" t="n">
        <v>3499.99</v>
      </c>
      <c r="J248" s="251" t="n">
        <v>655</v>
      </c>
      <c r="K248" s="254" t="n"/>
    </row>
    <row r="249">
      <c r="B249" s="254" t="inlineStr">
        <is>
          <t>2026-09-26</t>
        </is>
      </c>
      <c r="C249" s="254" t="inlineStr">
        <is>
          <t>non-licensed</t>
        </is>
      </c>
      <c r="D249" s="254" t="inlineStr">
        <is>
          <t>non-clean</t>
        </is>
      </c>
      <c r="E249" s="254" t="inlineStr">
        <is>
          <t>heavy</t>
        </is>
      </c>
      <c r="F249" s="254" t="inlineStr">
        <is>
          <t>buyer_fee</t>
        </is>
      </c>
      <c r="G249" s="254" t="inlineStr">
        <is>
          <t>secured</t>
        </is>
      </c>
      <c r="H249" s="251" t="n">
        <v>3500</v>
      </c>
      <c r="I249" s="251" t="n">
        <v>3999.99</v>
      </c>
      <c r="J249" s="251" t="n">
        <v>705</v>
      </c>
      <c r="K249" s="254" t="n"/>
    </row>
    <row r="250">
      <c r="B250" s="254" t="inlineStr">
        <is>
          <t>2026-09-26</t>
        </is>
      </c>
      <c r="C250" s="254" t="inlineStr">
        <is>
          <t>non-licensed</t>
        </is>
      </c>
      <c r="D250" s="254" t="inlineStr">
        <is>
          <t>non-clean</t>
        </is>
      </c>
      <c r="E250" s="254" t="inlineStr">
        <is>
          <t>heavy</t>
        </is>
      </c>
      <c r="F250" s="254" t="inlineStr">
        <is>
          <t>buyer_fee</t>
        </is>
      </c>
      <c r="G250" s="254" t="inlineStr">
        <is>
          <t>secured</t>
        </is>
      </c>
      <c r="H250" s="251" t="n">
        <v>4000</v>
      </c>
      <c r="I250" s="251" t="n">
        <v>4499.99</v>
      </c>
      <c r="J250" s="251" t="n">
        <v>725</v>
      </c>
      <c r="K250" s="254" t="n"/>
    </row>
    <row r="251">
      <c r="B251" s="254" t="inlineStr">
        <is>
          <t>2026-09-26</t>
        </is>
      </c>
      <c r="C251" s="254" t="inlineStr">
        <is>
          <t>non-licensed</t>
        </is>
      </c>
      <c r="D251" s="254" t="inlineStr">
        <is>
          <t>non-clean</t>
        </is>
      </c>
      <c r="E251" s="254" t="inlineStr">
        <is>
          <t>heavy</t>
        </is>
      </c>
      <c r="F251" s="254" t="inlineStr">
        <is>
          <t>buyer_fee</t>
        </is>
      </c>
      <c r="G251" s="254" t="inlineStr">
        <is>
          <t>secured</t>
        </is>
      </c>
      <c r="H251" s="251" t="n">
        <v>4500</v>
      </c>
      <c r="I251" s="251" t="n">
        <v>4999.99</v>
      </c>
      <c r="J251" s="251" t="n">
        <v>750</v>
      </c>
      <c r="K251" s="254" t="n"/>
    </row>
    <row r="252">
      <c r="B252" s="254" t="inlineStr">
        <is>
          <t>2026-09-26</t>
        </is>
      </c>
      <c r="C252" s="254" t="inlineStr">
        <is>
          <t>non-licensed</t>
        </is>
      </c>
      <c r="D252" s="254" t="inlineStr">
        <is>
          <t>non-clean</t>
        </is>
      </c>
      <c r="E252" s="254" t="inlineStr">
        <is>
          <t>heavy</t>
        </is>
      </c>
      <c r="F252" s="254" t="inlineStr">
        <is>
          <t>buyer_fee</t>
        </is>
      </c>
      <c r="G252" s="254" t="inlineStr">
        <is>
          <t>secured</t>
        </is>
      </c>
      <c r="H252" s="251" t="n">
        <v>5000</v>
      </c>
      <c r="I252" s="251" t="n">
        <v>5499.99</v>
      </c>
      <c r="J252" s="251" t="n">
        <v>775</v>
      </c>
      <c r="K252" s="254" t="n"/>
    </row>
    <row r="253">
      <c r="B253" s="254" t="inlineStr">
        <is>
          <t>2026-09-26</t>
        </is>
      </c>
      <c r="C253" s="254" t="inlineStr">
        <is>
          <t>non-licensed</t>
        </is>
      </c>
      <c r="D253" s="254" t="inlineStr">
        <is>
          <t>non-clean</t>
        </is>
      </c>
      <c r="E253" s="254" t="inlineStr">
        <is>
          <t>heavy</t>
        </is>
      </c>
      <c r="F253" s="254" t="inlineStr">
        <is>
          <t>buyer_fee</t>
        </is>
      </c>
      <c r="G253" s="254" t="inlineStr">
        <is>
          <t>secured</t>
        </is>
      </c>
      <c r="H253" s="251" t="n">
        <v>5500</v>
      </c>
      <c r="I253" s="251" t="n">
        <v>5999.99</v>
      </c>
      <c r="J253" s="254" t="n"/>
      <c r="K253" s="251" t="n">
        <v>15</v>
      </c>
    </row>
    <row r="254">
      <c r="B254" s="254" t="inlineStr">
        <is>
          <t>2026-09-26</t>
        </is>
      </c>
      <c r="C254" s="254" t="inlineStr">
        <is>
          <t>non-licensed</t>
        </is>
      </c>
      <c r="D254" s="254" t="inlineStr">
        <is>
          <t>non-clean</t>
        </is>
      </c>
      <c r="E254" s="254" t="inlineStr">
        <is>
          <t>heavy</t>
        </is>
      </c>
      <c r="F254" s="254" t="inlineStr">
        <is>
          <t>buyer_fee</t>
        </is>
      </c>
      <c r="G254" s="254" t="inlineStr">
        <is>
          <t>secured</t>
        </is>
      </c>
      <c r="H254" s="251" t="n">
        <v>6000</v>
      </c>
      <c r="I254" s="251" t="n">
        <v>6499.99</v>
      </c>
      <c r="J254" s="254" t="n"/>
      <c r="K254" s="251" t="n">
        <v>15</v>
      </c>
    </row>
    <row r="255">
      <c r="B255" s="254" t="inlineStr">
        <is>
          <t>2026-09-26</t>
        </is>
      </c>
      <c r="C255" s="254" t="inlineStr">
        <is>
          <t>non-licensed</t>
        </is>
      </c>
      <c r="D255" s="254" t="inlineStr">
        <is>
          <t>non-clean</t>
        </is>
      </c>
      <c r="E255" s="254" t="inlineStr">
        <is>
          <t>heavy</t>
        </is>
      </c>
      <c r="F255" s="254" t="inlineStr">
        <is>
          <t>buyer_fee</t>
        </is>
      </c>
      <c r="G255" s="254" t="inlineStr">
        <is>
          <t>secured</t>
        </is>
      </c>
      <c r="H255" s="251" t="n">
        <v>6500</v>
      </c>
      <c r="I255" s="254" t="n"/>
      <c r="J255" s="254" t="n"/>
      <c r="K255" s="251" t="n">
        <v>15</v>
      </c>
    </row>
    <row r="256">
      <c r="B256" s="254" t="inlineStr">
        <is>
          <t>2026-09-26</t>
        </is>
      </c>
      <c r="C256" s="254" t="inlineStr">
        <is>
          <t>non-licensed</t>
        </is>
      </c>
      <c r="D256" s="254" t="inlineStr">
        <is>
          <t>non-clean</t>
        </is>
      </c>
      <c r="E256" s="254" t="inlineStr">
        <is>
          <t>heavy</t>
        </is>
      </c>
      <c r="F256" s="254" t="inlineStr">
        <is>
          <t>buyer_fee</t>
        </is>
      </c>
      <c r="G256" s="254" t="inlineStr">
        <is>
          <t>unsecured</t>
        </is>
      </c>
      <c r="H256" s="251" t="n">
        <v>0</v>
      </c>
      <c r="I256" s="251" t="n">
        <v>49.99</v>
      </c>
      <c r="J256" s="251" t="n">
        <v>27.5</v>
      </c>
      <c r="K256" s="254" t="n"/>
    </row>
    <row r="257">
      <c r="B257" s="254" t="inlineStr">
        <is>
          <t>2026-09-26</t>
        </is>
      </c>
      <c r="C257" s="254" t="inlineStr">
        <is>
          <t>non-licensed</t>
        </is>
      </c>
      <c r="D257" s="254" t="inlineStr">
        <is>
          <t>non-clean</t>
        </is>
      </c>
      <c r="E257" s="254" t="inlineStr">
        <is>
          <t>heavy</t>
        </is>
      </c>
      <c r="F257" s="254" t="inlineStr">
        <is>
          <t>buyer_fee</t>
        </is>
      </c>
      <c r="G257" s="254" t="inlineStr">
        <is>
          <t>unsecured</t>
        </is>
      </c>
      <c r="H257" s="251" t="n">
        <v>50</v>
      </c>
      <c r="I257" s="251" t="n">
        <v>99.98999999999999</v>
      </c>
      <c r="J257" s="251" t="n">
        <v>50</v>
      </c>
      <c r="K257" s="254" t="n"/>
    </row>
    <row r="258">
      <c r="B258" s="254" t="inlineStr">
        <is>
          <t>2026-09-26</t>
        </is>
      </c>
      <c r="C258" s="254" t="inlineStr">
        <is>
          <t>non-licensed</t>
        </is>
      </c>
      <c r="D258" s="254" t="inlineStr">
        <is>
          <t>non-clean</t>
        </is>
      </c>
      <c r="E258" s="254" t="inlineStr">
        <is>
          <t>heavy</t>
        </is>
      </c>
      <c r="F258" s="254" t="inlineStr">
        <is>
          <t>buyer_fee</t>
        </is>
      </c>
      <c r="G258" s="254" t="inlineStr">
        <is>
          <t>unsecured</t>
        </is>
      </c>
      <c r="H258" s="251" t="n">
        <v>100</v>
      </c>
      <c r="I258" s="251" t="n">
        <v>199.99</v>
      </c>
      <c r="J258" s="251" t="n">
        <v>90</v>
      </c>
      <c r="K258" s="254" t="n"/>
    </row>
    <row r="259">
      <c r="B259" s="254" t="inlineStr">
        <is>
          <t>2026-09-26</t>
        </is>
      </c>
      <c r="C259" s="254" t="inlineStr">
        <is>
          <t>non-licensed</t>
        </is>
      </c>
      <c r="D259" s="254" t="inlineStr">
        <is>
          <t>non-clean</t>
        </is>
      </c>
      <c r="E259" s="254" t="inlineStr">
        <is>
          <t>heavy</t>
        </is>
      </c>
      <c r="F259" s="254" t="inlineStr">
        <is>
          <t>buyer_fee</t>
        </is>
      </c>
      <c r="G259" s="254" t="inlineStr">
        <is>
          <t>unsecured</t>
        </is>
      </c>
      <c r="H259" s="251" t="n">
        <v>200</v>
      </c>
      <c r="I259" s="251" t="n">
        <v>299.99</v>
      </c>
      <c r="J259" s="251" t="n">
        <v>145</v>
      </c>
      <c r="K259" s="254" t="n"/>
    </row>
    <row r="260">
      <c r="B260" s="254" t="inlineStr">
        <is>
          <t>2026-09-26</t>
        </is>
      </c>
      <c r="C260" s="254" t="inlineStr">
        <is>
          <t>non-licensed</t>
        </is>
      </c>
      <c r="D260" s="254" t="inlineStr">
        <is>
          <t>non-clean</t>
        </is>
      </c>
      <c r="E260" s="254" t="inlineStr">
        <is>
          <t>heavy</t>
        </is>
      </c>
      <c r="F260" s="254" t="inlineStr">
        <is>
          <t>buyer_fee</t>
        </is>
      </c>
      <c r="G260" s="254" t="inlineStr">
        <is>
          <t>unsecured</t>
        </is>
      </c>
      <c r="H260" s="251" t="n">
        <v>300</v>
      </c>
      <c r="I260" s="251" t="n">
        <v>349.99</v>
      </c>
      <c r="J260" s="251" t="n">
        <v>155</v>
      </c>
      <c r="K260" s="254" t="n"/>
    </row>
    <row r="261">
      <c r="B261" s="254" t="inlineStr">
        <is>
          <t>2026-09-26</t>
        </is>
      </c>
      <c r="C261" s="254" t="inlineStr">
        <is>
          <t>non-licensed</t>
        </is>
      </c>
      <c r="D261" s="254" t="inlineStr">
        <is>
          <t>non-clean</t>
        </is>
      </c>
      <c r="E261" s="254" t="inlineStr">
        <is>
          <t>heavy</t>
        </is>
      </c>
      <c r="F261" s="254" t="inlineStr">
        <is>
          <t>buyer_fee</t>
        </is>
      </c>
      <c r="G261" s="254" t="inlineStr">
        <is>
          <t>unsecured</t>
        </is>
      </c>
      <c r="H261" s="251" t="n">
        <v>350</v>
      </c>
      <c r="I261" s="251" t="n">
        <v>399.99</v>
      </c>
      <c r="J261" s="251" t="n">
        <v>167.5</v>
      </c>
      <c r="K261" s="254" t="n"/>
    </row>
    <row r="262">
      <c r="B262" s="254" t="inlineStr">
        <is>
          <t>2026-09-26</t>
        </is>
      </c>
      <c r="C262" s="254" t="inlineStr">
        <is>
          <t>non-licensed</t>
        </is>
      </c>
      <c r="D262" s="254" t="inlineStr">
        <is>
          <t>non-clean</t>
        </is>
      </c>
      <c r="E262" s="254" t="inlineStr">
        <is>
          <t>heavy</t>
        </is>
      </c>
      <c r="F262" s="254" t="inlineStr">
        <is>
          <t>buyer_fee</t>
        </is>
      </c>
      <c r="G262" s="254" t="inlineStr">
        <is>
          <t>unsecured</t>
        </is>
      </c>
      <c r="H262" s="251" t="n">
        <v>400</v>
      </c>
      <c r="I262" s="251" t="n">
        <v>449.99</v>
      </c>
      <c r="J262" s="251" t="n">
        <v>200</v>
      </c>
      <c r="K262" s="254" t="n"/>
    </row>
    <row r="263">
      <c r="B263" s="254" t="inlineStr">
        <is>
          <t>2026-09-26</t>
        </is>
      </c>
      <c r="C263" s="254" t="inlineStr">
        <is>
          <t>non-licensed</t>
        </is>
      </c>
      <c r="D263" s="254" t="inlineStr">
        <is>
          <t>non-clean</t>
        </is>
      </c>
      <c r="E263" s="254" t="inlineStr">
        <is>
          <t>heavy</t>
        </is>
      </c>
      <c r="F263" s="254" t="inlineStr">
        <is>
          <t>buyer_fee</t>
        </is>
      </c>
      <c r="G263" s="254" t="inlineStr">
        <is>
          <t>unsecured</t>
        </is>
      </c>
      <c r="H263" s="251" t="n">
        <v>450</v>
      </c>
      <c r="I263" s="251" t="n">
        <v>499.99</v>
      </c>
      <c r="J263" s="251" t="n">
        <v>210</v>
      </c>
      <c r="K263" s="254" t="n"/>
    </row>
    <row r="264">
      <c r="B264" s="254" t="inlineStr">
        <is>
          <t>2026-09-26</t>
        </is>
      </c>
      <c r="C264" s="254" t="inlineStr">
        <is>
          <t>non-licensed</t>
        </is>
      </c>
      <c r="D264" s="254" t="inlineStr">
        <is>
          <t>non-clean</t>
        </is>
      </c>
      <c r="E264" s="254" t="inlineStr">
        <is>
          <t>heavy</t>
        </is>
      </c>
      <c r="F264" s="254" t="inlineStr">
        <is>
          <t>buyer_fee</t>
        </is>
      </c>
      <c r="G264" s="254" t="inlineStr">
        <is>
          <t>unsecured</t>
        </is>
      </c>
      <c r="H264" s="251" t="n">
        <v>500</v>
      </c>
      <c r="I264" s="251" t="n">
        <v>549.99</v>
      </c>
      <c r="J264" s="251" t="n">
        <v>235</v>
      </c>
      <c r="K264" s="254" t="n"/>
    </row>
    <row r="265">
      <c r="B265" s="254" t="inlineStr">
        <is>
          <t>2026-09-26</t>
        </is>
      </c>
      <c r="C265" s="254" t="inlineStr">
        <is>
          <t>non-licensed</t>
        </is>
      </c>
      <c r="D265" s="254" t="inlineStr">
        <is>
          <t>non-clean</t>
        </is>
      </c>
      <c r="E265" s="254" t="inlineStr">
        <is>
          <t>heavy</t>
        </is>
      </c>
      <c r="F265" s="254" t="inlineStr">
        <is>
          <t>buyer_fee</t>
        </is>
      </c>
      <c r="G265" s="254" t="inlineStr">
        <is>
          <t>unsecured</t>
        </is>
      </c>
      <c r="H265" s="251" t="n">
        <v>550</v>
      </c>
      <c r="I265" s="251" t="n">
        <v>599.99</v>
      </c>
      <c r="J265" s="251" t="n">
        <v>240</v>
      </c>
      <c r="K265" s="254" t="n"/>
    </row>
    <row r="266">
      <c r="B266" s="254" t="inlineStr">
        <is>
          <t>2026-09-26</t>
        </is>
      </c>
      <c r="C266" s="254" t="inlineStr">
        <is>
          <t>non-licensed</t>
        </is>
      </c>
      <c r="D266" s="254" t="inlineStr">
        <is>
          <t>non-clean</t>
        </is>
      </c>
      <c r="E266" s="254" t="inlineStr">
        <is>
          <t>heavy</t>
        </is>
      </c>
      <c r="F266" s="254" t="inlineStr">
        <is>
          <t>buyer_fee</t>
        </is>
      </c>
      <c r="G266" s="254" t="inlineStr">
        <is>
          <t>unsecured</t>
        </is>
      </c>
      <c r="H266" s="251" t="n">
        <v>600</v>
      </c>
      <c r="I266" s="251" t="n">
        <v>699.99</v>
      </c>
      <c r="J266" s="251" t="n">
        <v>275</v>
      </c>
      <c r="K266" s="254" t="n"/>
    </row>
    <row r="267">
      <c r="B267" s="254" t="inlineStr">
        <is>
          <t>2026-09-26</t>
        </is>
      </c>
      <c r="C267" s="254" t="inlineStr">
        <is>
          <t>non-licensed</t>
        </is>
      </c>
      <c r="D267" s="254" t="inlineStr">
        <is>
          <t>non-clean</t>
        </is>
      </c>
      <c r="E267" s="254" t="inlineStr">
        <is>
          <t>heavy</t>
        </is>
      </c>
      <c r="F267" s="254" t="inlineStr">
        <is>
          <t>buyer_fee</t>
        </is>
      </c>
      <c r="G267" s="254" t="inlineStr">
        <is>
          <t>unsecured</t>
        </is>
      </c>
      <c r="H267" s="251" t="n">
        <v>700</v>
      </c>
      <c r="I267" s="251" t="n">
        <v>799.99</v>
      </c>
      <c r="J267" s="251" t="n">
        <v>312.5</v>
      </c>
      <c r="K267" s="254" t="n"/>
    </row>
    <row r="268">
      <c r="B268" s="254" t="inlineStr">
        <is>
          <t>2026-09-26</t>
        </is>
      </c>
      <c r="C268" s="254" t="inlineStr">
        <is>
          <t>non-licensed</t>
        </is>
      </c>
      <c r="D268" s="254" t="inlineStr">
        <is>
          <t>non-clean</t>
        </is>
      </c>
      <c r="E268" s="254" t="inlineStr">
        <is>
          <t>heavy</t>
        </is>
      </c>
      <c r="F268" s="254" t="inlineStr">
        <is>
          <t>buyer_fee</t>
        </is>
      </c>
      <c r="G268" s="254" t="inlineStr">
        <is>
          <t>unsecured</t>
        </is>
      </c>
      <c r="H268" s="251" t="n">
        <v>800</v>
      </c>
      <c r="I268" s="251" t="n">
        <v>899.99</v>
      </c>
      <c r="J268" s="251" t="n">
        <v>342.5</v>
      </c>
      <c r="K268" s="254" t="n"/>
    </row>
    <row r="269">
      <c r="B269" s="254" t="inlineStr">
        <is>
          <t>2026-09-26</t>
        </is>
      </c>
      <c r="C269" s="254" t="inlineStr">
        <is>
          <t>non-licensed</t>
        </is>
      </c>
      <c r="D269" s="254" t="inlineStr">
        <is>
          <t>non-clean</t>
        </is>
      </c>
      <c r="E269" s="254" t="inlineStr">
        <is>
          <t>heavy</t>
        </is>
      </c>
      <c r="F269" s="254" t="inlineStr">
        <is>
          <t>buyer_fee</t>
        </is>
      </c>
      <c r="G269" s="254" t="inlineStr">
        <is>
          <t>unsecured</t>
        </is>
      </c>
      <c r="H269" s="251" t="n">
        <v>900</v>
      </c>
      <c r="I269" s="251" t="n">
        <v>999.99</v>
      </c>
      <c r="J269" s="251" t="n">
        <v>370</v>
      </c>
      <c r="K269" s="254" t="n"/>
    </row>
    <row r="270">
      <c r="B270" s="254" t="inlineStr">
        <is>
          <t>2026-09-26</t>
        </is>
      </c>
      <c r="C270" s="254" t="inlineStr">
        <is>
          <t>non-licensed</t>
        </is>
      </c>
      <c r="D270" s="254" t="inlineStr">
        <is>
          <t>non-clean</t>
        </is>
      </c>
      <c r="E270" s="254" t="inlineStr">
        <is>
          <t>heavy</t>
        </is>
      </c>
      <c r="F270" s="254" t="inlineStr">
        <is>
          <t>buyer_fee</t>
        </is>
      </c>
      <c r="G270" s="254" t="inlineStr">
        <is>
          <t>unsecured</t>
        </is>
      </c>
      <c r="H270" s="251" t="n">
        <v>1000</v>
      </c>
      <c r="I270" s="251" t="n">
        <v>1199.99</v>
      </c>
      <c r="J270" s="251" t="n">
        <v>440</v>
      </c>
      <c r="K270" s="254" t="n"/>
    </row>
    <row r="271">
      <c r="B271" s="254" t="inlineStr">
        <is>
          <t>2026-09-26</t>
        </is>
      </c>
      <c r="C271" s="254" t="inlineStr">
        <is>
          <t>non-licensed</t>
        </is>
      </c>
      <c r="D271" s="254" t="inlineStr">
        <is>
          <t>non-clean</t>
        </is>
      </c>
      <c r="E271" s="254" t="inlineStr">
        <is>
          <t>heavy</t>
        </is>
      </c>
      <c r="F271" s="254" t="inlineStr">
        <is>
          <t>buyer_fee</t>
        </is>
      </c>
      <c r="G271" s="254" t="inlineStr">
        <is>
          <t>unsecured</t>
        </is>
      </c>
      <c r="H271" s="251" t="n">
        <v>1200</v>
      </c>
      <c r="I271" s="251" t="n">
        <v>1299.99</v>
      </c>
      <c r="J271" s="251" t="n">
        <v>460</v>
      </c>
      <c r="K271" s="254" t="n"/>
    </row>
    <row r="272">
      <c r="B272" s="254" t="inlineStr">
        <is>
          <t>2026-09-26</t>
        </is>
      </c>
      <c r="C272" s="254" t="inlineStr">
        <is>
          <t>non-licensed</t>
        </is>
      </c>
      <c r="D272" s="254" t="inlineStr">
        <is>
          <t>non-clean</t>
        </is>
      </c>
      <c r="E272" s="254" t="inlineStr">
        <is>
          <t>heavy</t>
        </is>
      </c>
      <c r="F272" s="254" t="inlineStr">
        <is>
          <t>buyer_fee</t>
        </is>
      </c>
      <c r="G272" s="254" t="inlineStr">
        <is>
          <t>unsecured</t>
        </is>
      </c>
      <c r="H272" s="251" t="n">
        <v>1300</v>
      </c>
      <c r="I272" s="251" t="n">
        <v>1399.99</v>
      </c>
      <c r="J272" s="251" t="n">
        <v>482.5</v>
      </c>
      <c r="K272" s="254" t="n"/>
    </row>
    <row r="273">
      <c r="B273" s="254" t="inlineStr">
        <is>
          <t>2026-09-26</t>
        </is>
      </c>
      <c r="C273" s="254" t="inlineStr">
        <is>
          <t>non-licensed</t>
        </is>
      </c>
      <c r="D273" s="254" t="inlineStr">
        <is>
          <t>non-clean</t>
        </is>
      </c>
      <c r="E273" s="254" t="inlineStr">
        <is>
          <t>heavy</t>
        </is>
      </c>
      <c r="F273" s="254" t="inlineStr">
        <is>
          <t>buyer_fee</t>
        </is>
      </c>
      <c r="G273" s="254" t="inlineStr">
        <is>
          <t>unsecured</t>
        </is>
      </c>
      <c r="H273" s="251" t="n">
        <v>1400</v>
      </c>
      <c r="I273" s="251" t="n">
        <v>1499.99</v>
      </c>
      <c r="J273" s="251" t="n">
        <v>510</v>
      </c>
      <c r="K273" s="254" t="n"/>
    </row>
    <row r="274">
      <c r="B274" s="254" t="inlineStr">
        <is>
          <t>2026-09-26</t>
        </is>
      </c>
      <c r="C274" s="254" t="inlineStr">
        <is>
          <t>non-licensed</t>
        </is>
      </c>
      <c r="D274" s="254" t="inlineStr">
        <is>
          <t>non-clean</t>
        </is>
      </c>
      <c r="E274" s="254" t="inlineStr">
        <is>
          <t>heavy</t>
        </is>
      </c>
      <c r="F274" s="254" t="inlineStr">
        <is>
          <t>buyer_fee</t>
        </is>
      </c>
      <c r="G274" s="254" t="inlineStr">
        <is>
          <t>unsecured</t>
        </is>
      </c>
      <c r="H274" s="251" t="n">
        <v>1500</v>
      </c>
      <c r="I274" s="251" t="n">
        <v>1599.99</v>
      </c>
      <c r="J274" s="251" t="n">
        <v>530</v>
      </c>
      <c r="K274" s="254" t="n"/>
    </row>
    <row r="275">
      <c r="B275" s="254" t="inlineStr">
        <is>
          <t>2026-09-26</t>
        </is>
      </c>
      <c r="C275" s="254" t="inlineStr">
        <is>
          <t>non-licensed</t>
        </is>
      </c>
      <c r="D275" s="254" t="inlineStr">
        <is>
          <t>non-clean</t>
        </is>
      </c>
      <c r="E275" s="254" t="inlineStr">
        <is>
          <t>heavy</t>
        </is>
      </c>
      <c r="F275" s="254" t="inlineStr">
        <is>
          <t>buyer_fee</t>
        </is>
      </c>
      <c r="G275" s="254" t="inlineStr">
        <is>
          <t>unsecured</t>
        </is>
      </c>
      <c r="H275" s="251" t="n">
        <v>1600</v>
      </c>
      <c r="I275" s="251" t="n">
        <v>1699.99</v>
      </c>
      <c r="J275" s="251" t="n">
        <v>555</v>
      </c>
      <c r="K275" s="254" t="n"/>
    </row>
    <row r="276">
      <c r="B276" s="254" t="inlineStr">
        <is>
          <t>2026-09-26</t>
        </is>
      </c>
      <c r="C276" s="254" t="inlineStr">
        <is>
          <t>non-licensed</t>
        </is>
      </c>
      <c r="D276" s="254" t="inlineStr">
        <is>
          <t>non-clean</t>
        </is>
      </c>
      <c r="E276" s="254" t="inlineStr">
        <is>
          <t>heavy</t>
        </is>
      </c>
      <c r="F276" s="254" t="inlineStr">
        <is>
          <t>buyer_fee</t>
        </is>
      </c>
      <c r="G276" s="254" t="inlineStr">
        <is>
          <t>unsecured</t>
        </is>
      </c>
      <c r="H276" s="251" t="n">
        <v>1700</v>
      </c>
      <c r="I276" s="251" t="n">
        <v>1799.99</v>
      </c>
      <c r="J276" s="251" t="n">
        <v>582.5</v>
      </c>
      <c r="K276" s="254" t="n"/>
    </row>
    <row r="277">
      <c r="B277" s="254" t="inlineStr">
        <is>
          <t>2026-09-26</t>
        </is>
      </c>
      <c r="C277" s="254" t="inlineStr">
        <is>
          <t>non-licensed</t>
        </is>
      </c>
      <c r="D277" s="254" t="inlineStr">
        <is>
          <t>non-clean</t>
        </is>
      </c>
      <c r="E277" s="254" t="inlineStr">
        <is>
          <t>heavy</t>
        </is>
      </c>
      <c r="F277" s="254" t="inlineStr">
        <is>
          <t>buyer_fee</t>
        </is>
      </c>
      <c r="G277" s="254" t="inlineStr">
        <is>
          <t>unsecured</t>
        </is>
      </c>
      <c r="H277" s="251" t="n">
        <v>1800</v>
      </c>
      <c r="I277" s="251" t="n">
        <v>1999.99</v>
      </c>
      <c r="J277" s="251" t="n">
        <v>620</v>
      </c>
      <c r="K277" s="254" t="n"/>
    </row>
    <row r="278">
      <c r="B278" s="254" t="inlineStr">
        <is>
          <t>2026-09-26</t>
        </is>
      </c>
      <c r="C278" s="254" t="inlineStr">
        <is>
          <t>non-licensed</t>
        </is>
      </c>
      <c r="D278" s="254" t="inlineStr">
        <is>
          <t>non-clean</t>
        </is>
      </c>
      <c r="E278" s="254" t="inlineStr">
        <is>
          <t>heavy</t>
        </is>
      </c>
      <c r="F278" s="254" t="inlineStr">
        <is>
          <t>buyer_fee</t>
        </is>
      </c>
      <c r="G278" s="254" t="inlineStr">
        <is>
          <t>unsecured</t>
        </is>
      </c>
      <c r="H278" s="251" t="n">
        <v>2000</v>
      </c>
      <c r="I278" s="251" t="n">
        <v>2399.99</v>
      </c>
      <c r="J278" s="251" t="n">
        <v>662.5</v>
      </c>
      <c r="K278" s="254" t="n"/>
    </row>
    <row r="279">
      <c r="B279" s="254" t="inlineStr">
        <is>
          <t>2026-09-26</t>
        </is>
      </c>
      <c r="C279" s="254" t="inlineStr">
        <is>
          <t>non-licensed</t>
        </is>
      </c>
      <c r="D279" s="254" t="inlineStr">
        <is>
          <t>non-clean</t>
        </is>
      </c>
      <c r="E279" s="254" t="inlineStr">
        <is>
          <t>heavy</t>
        </is>
      </c>
      <c r="F279" s="254" t="inlineStr">
        <is>
          <t>buyer_fee</t>
        </is>
      </c>
      <c r="G279" s="254" t="inlineStr">
        <is>
          <t>unsecured</t>
        </is>
      </c>
      <c r="H279" s="251" t="n">
        <v>2400</v>
      </c>
      <c r="I279" s="251" t="n">
        <v>2499.99</v>
      </c>
      <c r="J279" s="251" t="n">
        <v>705</v>
      </c>
      <c r="K279" s="254" t="n"/>
    </row>
    <row r="280">
      <c r="B280" s="254" t="inlineStr">
        <is>
          <t>2026-09-26</t>
        </is>
      </c>
      <c r="C280" s="254" t="inlineStr">
        <is>
          <t>non-licensed</t>
        </is>
      </c>
      <c r="D280" s="254" t="inlineStr">
        <is>
          <t>non-clean</t>
        </is>
      </c>
      <c r="E280" s="254" t="inlineStr">
        <is>
          <t>heavy</t>
        </is>
      </c>
      <c r="F280" s="254" t="inlineStr">
        <is>
          <t>buyer_fee</t>
        </is>
      </c>
      <c r="G280" s="254" t="inlineStr">
        <is>
          <t>unsecured</t>
        </is>
      </c>
      <c r="H280" s="251" t="n">
        <v>2500</v>
      </c>
      <c r="I280" s="251" t="n">
        <v>2999.99</v>
      </c>
      <c r="J280" s="251" t="n">
        <v>775</v>
      </c>
      <c r="K280" s="254" t="n"/>
    </row>
    <row r="281">
      <c r="B281" s="254" t="inlineStr">
        <is>
          <t>2026-09-26</t>
        </is>
      </c>
      <c r="C281" s="254" t="inlineStr">
        <is>
          <t>non-licensed</t>
        </is>
      </c>
      <c r="D281" s="254" t="inlineStr">
        <is>
          <t>non-clean</t>
        </is>
      </c>
      <c r="E281" s="254" t="inlineStr">
        <is>
          <t>heavy</t>
        </is>
      </c>
      <c r="F281" s="254" t="inlineStr">
        <is>
          <t>buyer_fee</t>
        </is>
      </c>
      <c r="G281" s="254" t="inlineStr">
        <is>
          <t>unsecured</t>
        </is>
      </c>
      <c r="H281" s="251" t="n">
        <v>3000</v>
      </c>
      <c r="I281" s="251" t="n">
        <v>3499.99</v>
      </c>
      <c r="J281" s="251" t="n">
        <v>830</v>
      </c>
      <c r="K281" s="254" t="n"/>
    </row>
    <row r="282">
      <c r="B282" s="254" t="inlineStr">
        <is>
          <t>2026-09-26</t>
        </is>
      </c>
      <c r="C282" s="254" t="inlineStr">
        <is>
          <t>non-licensed</t>
        </is>
      </c>
      <c r="D282" s="254" t="inlineStr">
        <is>
          <t>non-clean</t>
        </is>
      </c>
      <c r="E282" s="254" t="inlineStr">
        <is>
          <t>heavy</t>
        </is>
      </c>
      <c r="F282" s="254" t="inlineStr">
        <is>
          <t>buyer_fee</t>
        </is>
      </c>
      <c r="G282" s="254" t="inlineStr">
        <is>
          <t>unsecured</t>
        </is>
      </c>
      <c r="H282" s="251" t="n">
        <v>3500</v>
      </c>
      <c r="I282" s="251" t="n">
        <v>3999.99</v>
      </c>
      <c r="J282" s="251" t="n">
        <v>927.5</v>
      </c>
      <c r="K282" s="254" t="n"/>
    </row>
    <row r="283">
      <c r="B283" s="254" t="inlineStr">
        <is>
          <t>2026-09-26</t>
        </is>
      </c>
      <c r="C283" s="254" t="inlineStr">
        <is>
          <t>non-licensed</t>
        </is>
      </c>
      <c r="D283" s="254" t="inlineStr">
        <is>
          <t>non-clean</t>
        </is>
      </c>
      <c r="E283" s="254" t="inlineStr">
        <is>
          <t>heavy</t>
        </is>
      </c>
      <c r="F283" s="254" t="inlineStr">
        <is>
          <t>buyer_fee</t>
        </is>
      </c>
      <c r="G283" s="254" t="inlineStr">
        <is>
          <t>unsecured</t>
        </is>
      </c>
      <c r="H283" s="251" t="n">
        <v>4000</v>
      </c>
      <c r="I283" s="251" t="n">
        <v>4499.99</v>
      </c>
      <c r="J283" s="251" t="n">
        <v>935</v>
      </c>
      <c r="K283" s="254" t="n"/>
    </row>
    <row r="284">
      <c r="B284" s="254" t="inlineStr">
        <is>
          <t>2026-09-26</t>
        </is>
      </c>
      <c r="C284" s="254" t="inlineStr">
        <is>
          <t>non-licensed</t>
        </is>
      </c>
      <c r="D284" s="254" t="inlineStr">
        <is>
          <t>non-clean</t>
        </is>
      </c>
      <c r="E284" s="254" t="inlineStr">
        <is>
          <t>heavy</t>
        </is>
      </c>
      <c r="F284" s="254" t="inlineStr">
        <is>
          <t>buyer_fee</t>
        </is>
      </c>
      <c r="G284" s="254" t="inlineStr">
        <is>
          <t>unsecured</t>
        </is>
      </c>
      <c r="H284" s="251" t="n">
        <v>4500</v>
      </c>
      <c r="I284" s="251" t="n">
        <v>4999.99</v>
      </c>
      <c r="J284" s="251" t="n">
        <v>1000</v>
      </c>
      <c r="K284" s="254" t="n"/>
    </row>
    <row r="285">
      <c r="B285" s="254" t="inlineStr">
        <is>
          <t>2026-09-26</t>
        </is>
      </c>
      <c r="C285" s="254" t="inlineStr">
        <is>
          <t>non-licensed</t>
        </is>
      </c>
      <c r="D285" s="254" t="inlineStr">
        <is>
          <t>non-clean</t>
        </is>
      </c>
      <c r="E285" s="254" t="inlineStr">
        <is>
          <t>heavy</t>
        </is>
      </c>
      <c r="F285" s="254" t="inlineStr">
        <is>
          <t>buyer_fee</t>
        </is>
      </c>
      <c r="G285" s="254" t="inlineStr">
        <is>
          <t>unsecured</t>
        </is>
      </c>
      <c r="H285" s="251" t="n">
        <v>5000</v>
      </c>
      <c r="I285" s="251" t="n">
        <v>5499.99</v>
      </c>
      <c r="J285" s="251" t="n">
        <v>1025</v>
      </c>
      <c r="K285" s="254" t="n"/>
    </row>
    <row r="286">
      <c r="B286" s="254" t="inlineStr">
        <is>
          <t>2026-09-26</t>
        </is>
      </c>
      <c r="C286" s="254" t="inlineStr">
        <is>
          <t>non-licensed</t>
        </is>
      </c>
      <c r="D286" s="254" t="inlineStr">
        <is>
          <t>non-clean</t>
        </is>
      </c>
      <c r="E286" s="254" t="inlineStr">
        <is>
          <t>heavy</t>
        </is>
      </c>
      <c r="F286" s="254" t="inlineStr">
        <is>
          <t>buyer_fee</t>
        </is>
      </c>
      <c r="G286" s="254" t="inlineStr">
        <is>
          <t>unsecured</t>
        </is>
      </c>
      <c r="H286" s="251" t="n">
        <v>5500</v>
      </c>
      <c r="I286" s="251" t="n">
        <v>5999.99</v>
      </c>
      <c r="J286" s="254" t="n"/>
      <c r="K286" s="251" t="n">
        <v>20</v>
      </c>
    </row>
    <row r="287">
      <c r="B287" s="254" t="inlineStr">
        <is>
          <t>2026-09-26</t>
        </is>
      </c>
      <c r="C287" s="254" t="inlineStr">
        <is>
          <t>non-licensed</t>
        </is>
      </c>
      <c r="D287" s="254" t="inlineStr">
        <is>
          <t>non-clean</t>
        </is>
      </c>
      <c r="E287" s="254" t="inlineStr">
        <is>
          <t>heavy</t>
        </is>
      </c>
      <c r="F287" s="254" t="inlineStr">
        <is>
          <t>buyer_fee</t>
        </is>
      </c>
      <c r="G287" s="254" t="inlineStr">
        <is>
          <t>unsecured</t>
        </is>
      </c>
      <c r="H287" s="251" t="n">
        <v>6000</v>
      </c>
      <c r="I287" s="251" t="n">
        <v>6499.99</v>
      </c>
      <c r="J287" s="254" t="n"/>
      <c r="K287" s="251" t="n">
        <v>20</v>
      </c>
    </row>
    <row r="288">
      <c r="B288" s="254" t="inlineStr">
        <is>
          <t>2026-09-26</t>
        </is>
      </c>
      <c r="C288" s="254" t="inlineStr">
        <is>
          <t>non-licensed</t>
        </is>
      </c>
      <c r="D288" s="254" t="inlineStr">
        <is>
          <t>non-clean</t>
        </is>
      </c>
      <c r="E288" s="254" t="inlineStr">
        <is>
          <t>heavy</t>
        </is>
      </c>
      <c r="F288" s="254" t="inlineStr">
        <is>
          <t>buyer_fee</t>
        </is>
      </c>
      <c r="G288" s="254" t="inlineStr">
        <is>
          <t>unsecured</t>
        </is>
      </c>
      <c r="H288" s="251" t="n">
        <v>6500</v>
      </c>
      <c r="I288" s="254" t="n"/>
      <c r="J288" s="254" t="n"/>
      <c r="K288" s="251" t="n">
        <v>20</v>
      </c>
    </row>
    <row r="289">
      <c r="B289" s="254" t="inlineStr">
        <is>
          <t>2026-09-26</t>
        </is>
      </c>
      <c r="C289" s="254" t="inlineStr">
        <is>
          <t>non-licensed</t>
        </is>
      </c>
      <c r="D289" s="254" t="inlineStr">
        <is>
          <t>non-clean</t>
        </is>
      </c>
      <c r="E289" s="254" t="inlineStr">
        <is>
          <t>heavy</t>
        </is>
      </c>
      <c r="F289" s="254" t="inlineStr">
        <is>
          <t>virtual_bid_pre_bid</t>
        </is>
      </c>
      <c r="G289" s="254" t="inlineStr">
        <is>
          <t>any</t>
        </is>
      </c>
      <c r="H289" s="251" t="n">
        <v>0</v>
      </c>
      <c r="I289" s="251" t="n">
        <v>99.98999999999999</v>
      </c>
      <c r="J289" s="251" t="n">
        <v>0</v>
      </c>
      <c r="K289" s="254" t="n"/>
    </row>
    <row r="290">
      <c r="B290" s="254" t="inlineStr">
        <is>
          <t>2026-09-26</t>
        </is>
      </c>
      <c r="C290" s="254" t="inlineStr">
        <is>
          <t>non-licensed</t>
        </is>
      </c>
      <c r="D290" s="254" t="inlineStr">
        <is>
          <t>non-clean</t>
        </is>
      </c>
      <c r="E290" s="254" t="inlineStr">
        <is>
          <t>heavy</t>
        </is>
      </c>
      <c r="F290" s="254" t="inlineStr">
        <is>
          <t>virtual_bid_pre_bid</t>
        </is>
      </c>
      <c r="G290" s="254" t="inlineStr">
        <is>
          <t>any</t>
        </is>
      </c>
      <c r="H290" s="251" t="n">
        <v>100</v>
      </c>
      <c r="I290" s="251" t="n">
        <v>499.99</v>
      </c>
      <c r="J290" s="251" t="n">
        <v>40</v>
      </c>
      <c r="K290" s="254" t="n"/>
    </row>
    <row r="291">
      <c r="B291" s="254" t="inlineStr">
        <is>
          <t>2026-09-26</t>
        </is>
      </c>
      <c r="C291" s="254" t="inlineStr">
        <is>
          <t>non-licensed</t>
        </is>
      </c>
      <c r="D291" s="254" t="inlineStr">
        <is>
          <t>non-clean</t>
        </is>
      </c>
      <c r="E291" s="254" t="inlineStr">
        <is>
          <t>heavy</t>
        </is>
      </c>
      <c r="F291" s="254" t="inlineStr">
        <is>
          <t>virtual_bid_pre_bid</t>
        </is>
      </c>
      <c r="G291" s="254" t="inlineStr">
        <is>
          <t>any</t>
        </is>
      </c>
      <c r="H291" s="251" t="n">
        <v>500</v>
      </c>
      <c r="I291" s="251" t="n">
        <v>999.99</v>
      </c>
      <c r="J291" s="251" t="n">
        <v>55</v>
      </c>
      <c r="K291" s="254" t="n"/>
    </row>
    <row r="292">
      <c r="B292" s="254" t="inlineStr">
        <is>
          <t>2026-09-26</t>
        </is>
      </c>
      <c r="C292" s="254" t="inlineStr">
        <is>
          <t>non-licensed</t>
        </is>
      </c>
      <c r="D292" s="254" t="inlineStr">
        <is>
          <t>non-clean</t>
        </is>
      </c>
      <c r="E292" s="254" t="inlineStr">
        <is>
          <t>heavy</t>
        </is>
      </c>
      <c r="F292" s="254" t="inlineStr">
        <is>
          <t>virtual_bid_pre_bid</t>
        </is>
      </c>
      <c r="G292" s="254" t="inlineStr">
        <is>
          <t>any</t>
        </is>
      </c>
      <c r="H292" s="251" t="n">
        <v>1000</v>
      </c>
      <c r="I292" s="251" t="n">
        <v>1499.99</v>
      </c>
      <c r="J292" s="251" t="n">
        <v>75</v>
      </c>
      <c r="K292" s="254" t="n"/>
    </row>
    <row r="293">
      <c r="B293" s="254" t="inlineStr">
        <is>
          <t>2026-09-26</t>
        </is>
      </c>
      <c r="C293" s="254" t="inlineStr">
        <is>
          <t>non-licensed</t>
        </is>
      </c>
      <c r="D293" s="254" t="inlineStr">
        <is>
          <t>non-clean</t>
        </is>
      </c>
      <c r="E293" s="254" t="inlineStr">
        <is>
          <t>heavy</t>
        </is>
      </c>
      <c r="F293" s="254" t="inlineStr">
        <is>
          <t>virtual_bid_pre_bid</t>
        </is>
      </c>
      <c r="G293" s="254" t="inlineStr">
        <is>
          <t>any</t>
        </is>
      </c>
      <c r="H293" s="251" t="n">
        <v>1500</v>
      </c>
      <c r="I293" s="251" t="n">
        <v>1999.99</v>
      </c>
      <c r="J293" s="251" t="n">
        <v>85</v>
      </c>
      <c r="K293" s="254" t="n"/>
    </row>
    <row r="294">
      <c r="B294" s="254" t="inlineStr">
        <is>
          <t>2026-09-26</t>
        </is>
      </c>
      <c r="C294" s="254" t="inlineStr">
        <is>
          <t>non-licensed</t>
        </is>
      </c>
      <c r="D294" s="254" t="inlineStr">
        <is>
          <t>non-clean</t>
        </is>
      </c>
      <c r="E294" s="254" t="inlineStr">
        <is>
          <t>heavy</t>
        </is>
      </c>
      <c r="F294" s="254" t="inlineStr">
        <is>
          <t>virtual_bid_pre_bid</t>
        </is>
      </c>
      <c r="G294" s="254" t="inlineStr">
        <is>
          <t>any</t>
        </is>
      </c>
      <c r="H294" s="251" t="n">
        <v>2000</v>
      </c>
      <c r="I294" s="251" t="n">
        <v>3999.99</v>
      </c>
      <c r="J294" s="251" t="n">
        <v>100</v>
      </c>
      <c r="K294" s="254" t="n"/>
    </row>
    <row r="295">
      <c r="B295" s="254" t="inlineStr">
        <is>
          <t>2026-09-26</t>
        </is>
      </c>
      <c r="C295" s="254" t="inlineStr">
        <is>
          <t>non-licensed</t>
        </is>
      </c>
      <c r="D295" s="254" t="inlineStr">
        <is>
          <t>non-clean</t>
        </is>
      </c>
      <c r="E295" s="254" t="inlineStr">
        <is>
          <t>heavy</t>
        </is>
      </c>
      <c r="F295" s="254" t="inlineStr">
        <is>
          <t>virtual_bid_pre_bid</t>
        </is>
      </c>
      <c r="G295" s="254" t="inlineStr">
        <is>
          <t>any</t>
        </is>
      </c>
      <c r="H295" s="251" t="n">
        <v>4000</v>
      </c>
      <c r="I295" s="251" t="n">
        <v>5999.99</v>
      </c>
      <c r="J295" s="251" t="n">
        <v>110</v>
      </c>
      <c r="K295" s="254" t="n"/>
    </row>
    <row r="296">
      <c r="B296" s="254" t="inlineStr">
        <is>
          <t>2026-09-26</t>
        </is>
      </c>
      <c r="C296" s="254" t="inlineStr">
        <is>
          <t>non-licensed</t>
        </is>
      </c>
      <c r="D296" s="254" t="inlineStr">
        <is>
          <t>non-clean</t>
        </is>
      </c>
      <c r="E296" s="254" t="inlineStr">
        <is>
          <t>heavy</t>
        </is>
      </c>
      <c r="F296" s="254" t="inlineStr">
        <is>
          <t>virtual_bid_pre_bid</t>
        </is>
      </c>
      <c r="G296" s="254" t="inlineStr">
        <is>
          <t>any</t>
        </is>
      </c>
      <c r="H296" s="251" t="n">
        <v>6000</v>
      </c>
      <c r="I296" s="251" t="n">
        <v>7999.99</v>
      </c>
      <c r="J296" s="251" t="n">
        <v>125</v>
      </c>
      <c r="K296" s="254" t="n"/>
    </row>
    <row r="297">
      <c r="B297" s="254" t="inlineStr">
        <is>
          <t>2026-09-26</t>
        </is>
      </c>
      <c r="C297" s="254" t="inlineStr">
        <is>
          <t>non-licensed</t>
        </is>
      </c>
      <c r="D297" s="254" t="inlineStr">
        <is>
          <t>non-clean</t>
        </is>
      </c>
      <c r="E297" s="254" t="inlineStr">
        <is>
          <t>heavy</t>
        </is>
      </c>
      <c r="F297" s="254" t="inlineStr">
        <is>
          <t>virtual_bid_pre_bid</t>
        </is>
      </c>
      <c r="G297" s="254" t="inlineStr">
        <is>
          <t>any</t>
        </is>
      </c>
      <c r="H297" s="251" t="n">
        <v>8000</v>
      </c>
      <c r="I297" s="254" t="n"/>
      <c r="J297" s="251" t="n">
        <v>140</v>
      </c>
      <c r="K297" s="254" t="n"/>
    </row>
    <row r="298">
      <c r="B298" s="254" t="inlineStr">
        <is>
          <t>2026-09-26</t>
        </is>
      </c>
      <c r="C298" s="254" t="inlineStr">
        <is>
          <t>non-licensed</t>
        </is>
      </c>
      <c r="D298" s="254" t="inlineStr">
        <is>
          <t>non-clean</t>
        </is>
      </c>
      <c r="E298" s="254" t="inlineStr">
        <is>
          <t>heavy</t>
        </is>
      </c>
      <c r="F298" s="254" t="inlineStr">
        <is>
          <t>virtual_bid_live_bid</t>
        </is>
      </c>
      <c r="G298" s="254" t="inlineStr">
        <is>
          <t>any</t>
        </is>
      </c>
      <c r="H298" s="251" t="n">
        <v>0</v>
      </c>
      <c r="I298" s="251" t="n">
        <v>99.98999999999999</v>
      </c>
      <c r="J298" s="251" t="n">
        <v>0</v>
      </c>
      <c r="K298" s="254" t="n"/>
    </row>
    <row r="299">
      <c r="B299" s="254" t="inlineStr">
        <is>
          <t>2026-09-26</t>
        </is>
      </c>
      <c r="C299" s="254" t="inlineStr">
        <is>
          <t>non-licensed</t>
        </is>
      </c>
      <c r="D299" s="254" t="inlineStr">
        <is>
          <t>non-clean</t>
        </is>
      </c>
      <c r="E299" s="254" t="inlineStr">
        <is>
          <t>heavy</t>
        </is>
      </c>
      <c r="F299" s="254" t="inlineStr">
        <is>
          <t>virtual_bid_live_bid</t>
        </is>
      </c>
      <c r="G299" s="254" t="inlineStr">
        <is>
          <t>any</t>
        </is>
      </c>
      <c r="H299" s="251" t="n">
        <v>100</v>
      </c>
      <c r="I299" s="251" t="n">
        <v>499.99</v>
      </c>
      <c r="J299" s="251" t="n">
        <v>50</v>
      </c>
      <c r="K299" s="254" t="n"/>
    </row>
    <row r="300">
      <c r="B300" s="254" t="inlineStr">
        <is>
          <t>2026-09-26</t>
        </is>
      </c>
      <c r="C300" s="254" t="inlineStr">
        <is>
          <t>non-licensed</t>
        </is>
      </c>
      <c r="D300" s="254" t="inlineStr">
        <is>
          <t>non-clean</t>
        </is>
      </c>
      <c r="E300" s="254" t="inlineStr">
        <is>
          <t>heavy</t>
        </is>
      </c>
      <c r="F300" s="254" t="inlineStr">
        <is>
          <t>virtual_bid_live_bid</t>
        </is>
      </c>
      <c r="G300" s="254" t="inlineStr">
        <is>
          <t>any</t>
        </is>
      </c>
      <c r="H300" s="251" t="n">
        <v>500</v>
      </c>
      <c r="I300" s="251" t="n">
        <v>999.99</v>
      </c>
      <c r="J300" s="251" t="n">
        <v>65</v>
      </c>
      <c r="K300" s="254" t="n"/>
    </row>
    <row r="301">
      <c r="B301" s="254" t="inlineStr">
        <is>
          <t>2026-09-26</t>
        </is>
      </c>
      <c r="C301" s="254" t="inlineStr">
        <is>
          <t>non-licensed</t>
        </is>
      </c>
      <c r="D301" s="254" t="inlineStr">
        <is>
          <t>non-clean</t>
        </is>
      </c>
      <c r="E301" s="254" t="inlineStr">
        <is>
          <t>heavy</t>
        </is>
      </c>
      <c r="F301" s="254" t="inlineStr">
        <is>
          <t>virtual_bid_live_bid</t>
        </is>
      </c>
      <c r="G301" s="254" t="inlineStr">
        <is>
          <t>any</t>
        </is>
      </c>
      <c r="H301" s="251" t="n">
        <v>1000</v>
      </c>
      <c r="I301" s="251" t="n">
        <v>1499.99</v>
      </c>
      <c r="J301" s="251" t="n">
        <v>85</v>
      </c>
      <c r="K301" s="254" t="n"/>
    </row>
    <row r="302">
      <c r="B302" s="254" t="inlineStr">
        <is>
          <t>2026-09-26</t>
        </is>
      </c>
      <c r="C302" s="254" t="inlineStr">
        <is>
          <t>non-licensed</t>
        </is>
      </c>
      <c r="D302" s="254" t="inlineStr">
        <is>
          <t>non-clean</t>
        </is>
      </c>
      <c r="E302" s="254" t="inlineStr">
        <is>
          <t>heavy</t>
        </is>
      </c>
      <c r="F302" s="254" t="inlineStr">
        <is>
          <t>virtual_bid_live_bid</t>
        </is>
      </c>
      <c r="G302" s="254" t="inlineStr">
        <is>
          <t>any</t>
        </is>
      </c>
      <c r="H302" s="251" t="n">
        <v>1500</v>
      </c>
      <c r="I302" s="251" t="n">
        <v>1999.99</v>
      </c>
      <c r="J302" s="251" t="n">
        <v>95</v>
      </c>
      <c r="K302" s="254" t="n"/>
    </row>
    <row r="303">
      <c r="B303" s="254" t="inlineStr">
        <is>
          <t>2026-09-26</t>
        </is>
      </c>
      <c r="C303" s="254" t="inlineStr">
        <is>
          <t>non-licensed</t>
        </is>
      </c>
      <c r="D303" s="254" t="inlineStr">
        <is>
          <t>non-clean</t>
        </is>
      </c>
      <c r="E303" s="254" t="inlineStr">
        <is>
          <t>heavy</t>
        </is>
      </c>
      <c r="F303" s="254" t="inlineStr">
        <is>
          <t>virtual_bid_live_bid</t>
        </is>
      </c>
      <c r="G303" s="254" t="inlineStr">
        <is>
          <t>any</t>
        </is>
      </c>
      <c r="H303" s="251" t="n">
        <v>2000</v>
      </c>
      <c r="I303" s="251" t="n">
        <v>3999.99</v>
      </c>
      <c r="J303" s="251" t="n">
        <v>110</v>
      </c>
      <c r="K303" s="254" t="n"/>
    </row>
    <row r="304">
      <c r="B304" s="254" t="inlineStr">
        <is>
          <t>2026-09-26</t>
        </is>
      </c>
      <c r="C304" s="254" t="inlineStr">
        <is>
          <t>non-licensed</t>
        </is>
      </c>
      <c r="D304" s="254" t="inlineStr">
        <is>
          <t>non-clean</t>
        </is>
      </c>
      <c r="E304" s="254" t="inlineStr">
        <is>
          <t>heavy</t>
        </is>
      </c>
      <c r="F304" s="254" t="inlineStr">
        <is>
          <t>virtual_bid_live_bid</t>
        </is>
      </c>
      <c r="G304" s="254" t="inlineStr">
        <is>
          <t>any</t>
        </is>
      </c>
      <c r="H304" s="251" t="n">
        <v>4000</v>
      </c>
      <c r="I304" s="251" t="n">
        <v>5999.99</v>
      </c>
      <c r="J304" s="251" t="n">
        <v>125</v>
      </c>
      <c r="K304" s="254" t="n"/>
    </row>
    <row r="305">
      <c r="B305" s="254" t="inlineStr">
        <is>
          <t>2026-09-26</t>
        </is>
      </c>
      <c r="C305" s="254" t="inlineStr">
        <is>
          <t>non-licensed</t>
        </is>
      </c>
      <c r="D305" s="254" t="inlineStr">
        <is>
          <t>non-clean</t>
        </is>
      </c>
      <c r="E305" s="254" t="inlineStr">
        <is>
          <t>heavy</t>
        </is>
      </c>
      <c r="F305" s="254" t="inlineStr">
        <is>
          <t>virtual_bid_live_bid</t>
        </is>
      </c>
      <c r="G305" s="254" t="inlineStr">
        <is>
          <t>any</t>
        </is>
      </c>
      <c r="H305" s="251" t="n">
        <v>6000</v>
      </c>
      <c r="I305" s="251" t="n">
        <v>7999.99</v>
      </c>
      <c r="J305" s="251" t="n">
        <v>145</v>
      </c>
      <c r="K305" s="254" t="n"/>
    </row>
    <row r="306">
      <c r="B306" s="254" t="inlineStr">
        <is>
          <t>2026-09-26</t>
        </is>
      </c>
      <c r="C306" s="254" t="inlineStr">
        <is>
          <t>non-licensed</t>
        </is>
      </c>
      <c r="D306" s="254" t="inlineStr">
        <is>
          <t>non-clean</t>
        </is>
      </c>
      <c r="E306" s="254" t="inlineStr">
        <is>
          <t>heavy</t>
        </is>
      </c>
      <c r="F306" s="254" t="inlineStr">
        <is>
          <t>virtual_bid_live_bid</t>
        </is>
      </c>
      <c r="G306" s="254" t="inlineStr">
        <is>
          <t>any</t>
        </is>
      </c>
      <c r="H306" s="251" t="n">
        <v>8000</v>
      </c>
      <c r="I306" s="254" t="n"/>
      <c r="J306" s="251" t="n">
        <v>160</v>
      </c>
      <c r="K306" s="254" t="n"/>
    </row>
    <row r="307">
      <c r="B307" s="254" t="inlineStr">
        <is>
          <t>2026-09-26</t>
        </is>
      </c>
      <c r="C307" s="254" t="inlineStr">
        <is>
          <t>non-licensed</t>
        </is>
      </c>
      <c r="D307" s="254" t="inlineStr">
        <is>
          <t>non-clean</t>
        </is>
      </c>
      <c r="E307" s="254" t="inlineStr">
        <is>
          <t>heavy</t>
        </is>
      </c>
      <c r="F307" s="254" t="inlineStr">
        <is>
          <t>gate_fee</t>
        </is>
      </c>
      <c r="G307" s="254" t="inlineStr">
        <is>
          <t>any</t>
        </is>
      </c>
      <c r="H307" s="251" t="n">
        <v>0</v>
      </c>
      <c r="I307" s="254" t="n"/>
      <c r="J307" s="251" t="n">
        <v>95</v>
      </c>
      <c r="K307" s="254" t="n"/>
    </row>
    <row r="308">
      <c r="B308" s="254" t="inlineStr">
        <is>
          <t>2026-09-26</t>
        </is>
      </c>
      <c r="C308" s="254" t="inlineStr">
        <is>
          <t>non-licensed</t>
        </is>
      </c>
      <c r="D308" s="254" t="inlineStr">
        <is>
          <t>clean</t>
        </is>
      </c>
      <c r="E308" s="254" t="inlineStr">
        <is>
          <t>heavy</t>
        </is>
      </c>
      <c r="F308" s="254" t="inlineStr">
        <is>
          <t>buyer_fee</t>
        </is>
      </c>
      <c r="G308" s="254" t="inlineStr">
        <is>
          <t>secured</t>
        </is>
      </c>
      <c r="H308" s="251" t="n">
        <v>0</v>
      </c>
      <c r="I308" s="251" t="n">
        <v>49.99</v>
      </c>
      <c r="J308" s="251" t="n">
        <v>25</v>
      </c>
      <c r="K308" s="254" t="n"/>
    </row>
    <row r="309">
      <c r="B309" s="254" t="inlineStr">
        <is>
          <t>2026-09-26</t>
        </is>
      </c>
      <c r="C309" s="254" t="inlineStr">
        <is>
          <t>non-licensed</t>
        </is>
      </c>
      <c r="D309" s="254" t="inlineStr">
        <is>
          <t>clean</t>
        </is>
      </c>
      <c r="E309" s="254" t="inlineStr">
        <is>
          <t>heavy</t>
        </is>
      </c>
      <c r="F309" s="254" t="inlineStr">
        <is>
          <t>buyer_fee</t>
        </is>
      </c>
      <c r="G309" s="254" t="inlineStr">
        <is>
          <t>secured</t>
        </is>
      </c>
      <c r="H309" s="251" t="n">
        <v>50</v>
      </c>
      <c r="I309" s="251" t="n">
        <v>99.98999999999999</v>
      </c>
      <c r="J309" s="251" t="n">
        <v>45</v>
      </c>
      <c r="K309" s="254" t="n"/>
    </row>
    <row r="310">
      <c r="B310" s="254" t="inlineStr">
        <is>
          <t>2026-09-26</t>
        </is>
      </c>
      <c r="C310" s="254" t="inlineStr">
        <is>
          <t>non-licensed</t>
        </is>
      </c>
      <c r="D310" s="254" t="inlineStr">
        <is>
          <t>clean</t>
        </is>
      </c>
      <c r="E310" s="254" t="inlineStr">
        <is>
          <t>heavy</t>
        </is>
      </c>
      <c r="F310" s="254" t="inlineStr">
        <is>
          <t>buyer_fee</t>
        </is>
      </c>
      <c r="G310" s="254" t="inlineStr">
        <is>
          <t>secured</t>
        </is>
      </c>
      <c r="H310" s="251" t="n">
        <v>100</v>
      </c>
      <c r="I310" s="251" t="n">
        <v>199.99</v>
      </c>
      <c r="J310" s="251" t="n">
        <v>80</v>
      </c>
      <c r="K310" s="254" t="n"/>
    </row>
    <row r="311">
      <c r="B311" s="254" t="inlineStr">
        <is>
          <t>2026-09-26</t>
        </is>
      </c>
      <c r="C311" s="254" t="inlineStr">
        <is>
          <t>non-licensed</t>
        </is>
      </c>
      <c r="D311" s="254" t="inlineStr">
        <is>
          <t>clean</t>
        </is>
      </c>
      <c r="E311" s="254" t="inlineStr">
        <is>
          <t>heavy</t>
        </is>
      </c>
      <c r="F311" s="254" t="inlineStr">
        <is>
          <t>buyer_fee</t>
        </is>
      </c>
      <c r="G311" s="254" t="inlineStr">
        <is>
          <t>secured</t>
        </is>
      </c>
      <c r="H311" s="251" t="n">
        <v>200</v>
      </c>
      <c r="I311" s="251" t="n">
        <v>299.99</v>
      </c>
      <c r="J311" s="251" t="n">
        <v>120</v>
      </c>
      <c r="K311" s="254" t="n"/>
    </row>
    <row r="312">
      <c r="B312" s="254" t="inlineStr">
        <is>
          <t>2026-09-26</t>
        </is>
      </c>
      <c r="C312" s="254" t="inlineStr">
        <is>
          <t>non-licensed</t>
        </is>
      </c>
      <c r="D312" s="254" t="inlineStr">
        <is>
          <t>clean</t>
        </is>
      </c>
      <c r="E312" s="254" t="inlineStr">
        <is>
          <t>heavy</t>
        </is>
      </c>
      <c r="F312" s="254" t="inlineStr">
        <is>
          <t>buyer_fee</t>
        </is>
      </c>
      <c r="G312" s="254" t="inlineStr">
        <is>
          <t>secured</t>
        </is>
      </c>
      <c r="H312" s="251" t="n">
        <v>300</v>
      </c>
      <c r="I312" s="251" t="n">
        <v>349.99</v>
      </c>
      <c r="J312" s="251" t="n">
        <v>120</v>
      </c>
      <c r="K312" s="254" t="n"/>
    </row>
    <row r="313">
      <c r="B313" s="254" t="inlineStr">
        <is>
          <t>2026-09-26</t>
        </is>
      </c>
      <c r="C313" s="254" t="inlineStr">
        <is>
          <t>non-licensed</t>
        </is>
      </c>
      <c r="D313" s="254" t="inlineStr">
        <is>
          <t>clean</t>
        </is>
      </c>
      <c r="E313" s="254" t="inlineStr">
        <is>
          <t>heavy</t>
        </is>
      </c>
      <c r="F313" s="254" t="inlineStr">
        <is>
          <t>buyer_fee</t>
        </is>
      </c>
      <c r="G313" s="254" t="inlineStr">
        <is>
          <t>secured</t>
        </is>
      </c>
      <c r="H313" s="251" t="n">
        <v>350</v>
      </c>
      <c r="I313" s="251" t="n">
        <v>399.99</v>
      </c>
      <c r="J313" s="251" t="n">
        <v>120</v>
      </c>
      <c r="K313" s="254" t="n"/>
    </row>
    <row r="314">
      <c r="B314" s="254" t="inlineStr">
        <is>
          <t>2026-09-26</t>
        </is>
      </c>
      <c r="C314" s="254" t="inlineStr">
        <is>
          <t>non-licensed</t>
        </is>
      </c>
      <c r="D314" s="254" t="inlineStr">
        <is>
          <t>clean</t>
        </is>
      </c>
      <c r="E314" s="254" t="inlineStr">
        <is>
          <t>heavy</t>
        </is>
      </c>
      <c r="F314" s="254" t="inlineStr">
        <is>
          <t>buyer_fee</t>
        </is>
      </c>
      <c r="G314" s="254" t="inlineStr">
        <is>
          <t>secured</t>
        </is>
      </c>
      <c r="H314" s="251" t="n">
        <v>400</v>
      </c>
      <c r="I314" s="251" t="n">
        <v>449.99</v>
      </c>
      <c r="J314" s="251" t="n">
        <v>160</v>
      </c>
      <c r="K314" s="254" t="n"/>
    </row>
    <row r="315">
      <c r="B315" s="254" t="inlineStr">
        <is>
          <t>2026-09-26</t>
        </is>
      </c>
      <c r="C315" s="254" t="inlineStr">
        <is>
          <t>non-licensed</t>
        </is>
      </c>
      <c r="D315" s="254" t="inlineStr">
        <is>
          <t>clean</t>
        </is>
      </c>
      <c r="E315" s="254" t="inlineStr">
        <is>
          <t>heavy</t>
        </is>
      </c>
      <c r="F315" s="254" t="inlineStr">
        <is>
          <t>buyer_fee</t>
        </is>
      </c>
      <c r="G315" s="254" t="inlineStr">
        <is>
          <t>secured</t>
        </is>
      </c>
      <c r="H315" s="251" t="n">
        <v>450</v>
      </c>
      <c r="I315" s="251" t="n">
        <v>499.99</v>
      </c>
      <c r="J315" s="251" t="n">
        <v>160</v>
      </c>
      <c r="K315" s="254" t="n"/>
    </row>
    <row r="316">
      <c r="B316" s="254" t="inlineStr">
        <is>
          <t>2026-09-26</t>
        </is>
      </c>
      <c r="C316" s="254" t="inlineStr">
        <is>
          <t>non-licensed</t>
        </is>
      </c>
      <c r="D316" s="254" t="inlineStr">
        <is>
          <t>clean</t>
        </is>
      </c>
      <c r="E316" s="254" t="inlineStr">
        <is>
          <t>heavy</t>
        </is>
      </c>
      <c r="F316" s="254" t="inlineStr">
        <is>
          <t>buyer_fee</t>
        </is>
      </c>
      <c r="G316" s="254" t="inlineStr">
        <is>
          <t>secured</t>
        </is>
      </c>
      <c r="H316" s="251" t="n">
        <v>500</v>
      </c>
      <c r="I316" s="251" t="n">
        <v>549.99</v>
      </c>
      <c r="J316" s="251" t="n">
        <v>185</v>
      </c>
      <c r="K316" s="254" t="n"/>
    </row>
    <row r="317">
      <c r="B317" s="254" t="inlineStr">
        <is>
          <t>2026-09-26</t>
        </is>
      </c>
      <c r="C317" s="254" t="inlineStr">
        <is>
          <t>non-licensed</t>
        </is>
      </c>
      <c r="D317" s="254" t="inlineStr">
        <is>
          <t>clean</t>
        </is>
      </c>
      <c r="E317" s="254" t="inlineStr">
        <is>
          <t>heavy</t>
        </is>
      </c>
      <c r="F317" s="254" t="inlineStr">
        <is>
          <t>buyer_fee</t>
        </is>
      </c>
      <c r="G317" s="254" t="inlineStr">
        <is>
          <t>secured</t>
        </is>
      </c>
      <c r="H317" s="251" t="n">
        <v>550</v>
      </c>
      <c r="I317" s="251" t="n">
        <v>599.99</v>
      </c>
      <c r="J317" s="251" t="n">
        <v>185</v>
      </c>
      <c r="K317" s="254" t="n"/>
    </row>
    <row r="318">
      <c r="B318" s="254" t="inlineStr">
        <is>
          <t>2026-09-26</t>
        </is>
      </c>
      <c r="C318" s="254" t="inlineStr">
        <is>
          <t>non-licensed</t>
        </is>
      </c>
      <c r="D318" s="254" t="inlineStr">
        <is>
          <t>clean</t>
        </is>
      </c>
      <c r="E318" s="254" t="inlineStr">
        <is>
          <t>heavy</t>
        </is>
      </c>
      <c r="F318" s="254" t="inlineStr">
        <is>
          <t>buyer_fee</t>
        </is>
      </c>
      <c r="G318" s="254" t="inlineStr">
        <is>
          <t>secured</t>
        </is>
      </c>
      <c r="H318" s="251" t="n">
        <v>600</v>
      </c>
      <c r="I318" s="251" t="n">
        <v>699.99</v>
      </c>
      <c r="J318" s="251" t="n">
        <v>210</v>
      </c>
      <c r="K318" s="254" t="n"/>
    </row>
    <row r="319">
      <c r="B319" s="254" t="inlineStr">
        <is>
          <t>2026-09-26</t>
        </is>
      </c>
      <c r="C319" s="254" t="inlineStr">
        <is>
          <t>non-licensed</t>
        </is>
      </c>
      <c r="D319" s="254" t="inlineStr">
        <is>
          <t>clean</t>
        </is>
      </c>
      <c r="E319" s="254" t="inlineStr">
        <is>
          <t>heavy</t>
        </is>
      </c>
      <c r="F319" s="254" t="inlineStr">
        <is>
          <t>buyer_fee</t>
        </is>
      </c>
      <c r="G319" s="254" t="inlineStr">
        <is>
          <t>secured</t>
        </is>
      </c>
      <c r="H319" s="251" t="n">
        <v>700</v>
      </c>
      <c r="I319" s="251" t="n">
        <v>799.99</v>
      </c>
      <c r="J319" s="251" t="n">
        <v>230</v>
      </c>
      <c r="K319" s="254" t="n"/>
    </row>
    <row r="320">
      <c r="B320" s="254" t="inlineStr">
        <is>
          <t>2026-09-26</t>
        </is>
      </c>
      <c r="C320" s="254" t="inlineStr">
        <is>
          <t>non-licensed</t>
        </is>
      </c>
      <c r="D320" s="254" t="inlineStr">
        <is>
          <t>clean</t>
        </is>
      </c>
      <c r="E320" s="254" t="inlineStr">
        <is>
          <t>heavy</t>
        </is>
      </c>
      <c r="F320" s="254" t="inlineStr">
        <is>
          <t>buyer_fee</t>
        </is>
      </c>
      <c r="G320" s="254" t="inlineStr">
        <is>
          <t>secured</t>
        </is>
      </c>
      <c r="H320" s="251" t="n">
        <v>800</v>
      </c>
      <c r="I320" s="251" t="n">
        <v>899.99</v>
      </c>
      <c r="J320" s="251" t="n">
        <v>250</v>
      </c>
      <c r="K320" s="254" t="n"/>
    </row>
    <row r="321">
      <c r="B321" s="254" t="inlineStr">
        <is>
          <t>2026-09-26</t>
        </is>
      </c>
      <c r="C321" s="254" t="inlineStr">
        <is>
          <t>non-licensed</t>
        </is>
      </c>
      <c r="D321" s="254" t="inlineStr">
        <is>
          <t>clean</t>
        </is>
      </c>
      <c r="E321" s="254" t="inlineStr">
        <is>
          <t>heavy</t>
        </is>
      </c>
      <c r="F321" s="254" t="inlineStr">
        <is>
          <t>buyer_fee</t>
        </is>
      </c>
      <c r="G321" s="254" t="inlineStr">
        <is>
          <t>secured</t>
        </is>
      </c>
      <c r="H321" s="251" t="n">
        <v>900</v>
      </c>
      <c r="I321" s="251" t="n">
        <v>999.99</v>
      </c>
      <c r="J321" s="251" t="n">
        <v>275</v>
      </c>
      <c r="K321" s="254" t="n"/>
    </row>
    <row r="322">
      <c r="B322" s="254" t="inlineStr">
        <is>
          <t>2026-09-26</t>
        </is>
      </c>
      <c r="C322" s="254" t="inlineStr">
        <is>
          <t>non-licensed</t>
        </is>
      </c>
      <c r="D322" s="254" t="inlineStr">
        <is>
          <t>clean</t>
        </is>
      </c>
      <c r="E322" s="254" t="inlineStr">
        <is>
          <t>heavy</t>
        </is>
      </c>
      <c r="F322" s="254" t="inlineStr">
        <is>
          <t>buyer_fee</t>
        </is>
      </c>
      <c r="G322" s="254" t="inlineStr">
        <is>
          <t>secured</t>
        </is>
      </c>
      <c r="H322" s="251" t="n">
        <v>1000</v>
      </c>
      <c r="I322" s="251" t="n">
        <v>1199.99</v>
      </c>
      <c r="J322" s="251" t="n">
        <v>325</v>
      </c>
      <c r="K322" s="254" t="n"/>
    </row>
    <row r="323">
      <c r="B323" s="254" t="inlineStr">
        <is>
          <t>2026-09-26</t>
        </is>
      </c>
      <c r="C323" s="254" t="inlineStr">
        <is>
          <t>non-licensed</t>
        </is>
      </c>
      <c r="D323" s="254" t="inlineStr">
        <is>
          <t>clean</t>
        </is>
      </c>
      <c r="E323" s="254" t="inlineStr">
        <is>
          <t>heavy</t>
        </is>
      </c>
      <c r="F323" s="254" t="inlineStr">
        <is>
          <t>buyer_fee</t>
        </is>
      </c>
      <c r="G323" s="254" t="inlineStr">
        <is>
          <t>secured</t>
        </is>
      </c>
      <c r="H323" s="251" t="n">
        <v>1200</v>
      </c>
      <c r="I323" s="251" t="n">
        <v>1299.99</v>
      </c>
      <c r="J323" s="251" t="n">
        <v>350</v>
      </c>
      <c r="K323" s="254" t="n"/>
    </row>
    <row r="324">
      <c r="B324" s="254" t="inlineStr">
        <is>
          <t>2026-09-26</t>
        </is>
      </c>
      <c r="C324" s="254" t="inlineStr">
        <is>
          <t>non-licensed</t>
        </is>
      </c>
      <c r="D324" s="254" t="inlineStr">
        <is>
          <t>clean</t>
        </is>
      </c>
      <c r="E324" s="254" t="inlineStr">
        <is>
          <t>heavy</t>
        </is>
      </c>
      <c r="F324" s="254" t="inlineStr">
        <is>
          <t>buyer_fee</t>
        </is>
      </c>
      <c r="G324" s="254" t="inlineStr">
        <is>
          <t>secured</t>
        </is>
      </c>
      <c r="H324" s="251" t="n">
        <v>1300</v>
      </c>
      <c r="I324" s="251" t="n">
        <v>1399.99</v>
      </c>
      <c r="J324" s="251" t="n">
        <v>365</v>
      </c>
      <c r="K324" s="254" t="n"/>
    </row>
    <row r="325">
      <c r="B325" s="254" t="inlineStr">
        <is>
          <t>2026-09-26</t>
        </is>
      </c>
      <c r="C325" s="254" t="inlineStr">
        <is>
          <t>non-licensed</t>
        </is>
      </c>
      <c r="D325" s="254" t="inlineStr">
        <is>
          <t>clean</t>
        </is>
      </c>
      <c r="E325" s="254" t="inlineStr">
        <is>
          <t>heavy</t>
        </is>
      </c>
      <c r="F325" s="254" t="inlineStr">
        <is>
          <t>buyer_fee</t>
        </is>
      </c>
      <c r="G325" s="254" t="inlineStr">
        <is>
          <t>secured</t>
        </is>
      </c>
      <c r="H325" s="251" t="n">
        <v>1400</v>
      </c>
      <c r="I325" s="251" t="n">
        <v>1499.99</v>
      </c>
      <c r="J325" s="251" t="n">
        <v>380</v>
      </c>
      <c r="K325" s="254" t="n"/>
    </row>
    <row r="326">
      <c r="B326" s="254" t="inlineStr">
        <is>
          <t>2026-09-26</t>
        </is>
      </c>
      <c r="C326" s="254" t="inlineStr">
        <is>
          <t>non-licensed</t>
        </is>
      </c>
      <c r="D326" s="254" t="inlineStr">
        <is>
          <t>clean</t>
        </is>
      </c>
      <c r="E326" s="254" t="inlineStr">
        <is>
          <t>heavy</t>
        </is>
      </c>
      <c r="F326" s="254" t="inlineStr">
        <is>
          <t>buyer_fee</t>
        </is>
      </c>
      <c r="G326" s="254" t="inlineStr">
        <is>
          <t>secured</t>
        </is>
      </c>
      <c r="H326" s="251" t="n">
        <v>1500</v>
      </c>
      <c r="I326" s="251" t="n">
        <v>1599.99</v>
      </c>
      <c r="J326" s="251" t="n">
        <v>390</v>
      </c>
      <c r="K326" s="254" t="n"/>
    </row>
    <row r="327">
      <c r="B327" s="254" t="inlineStr">
        <is>
          <t>2026-09-26</t>
        </is>
      </c>
      <c r="C327" s="254" t="inlineStr">
        <is>
          <t>non-licensed</t>
        </is>
      </c>
      <c r="D327" s="254" t="inlineStr">
        <is>
          <t>clean</t>
        </is>
      </c>
      <c r="E327" s="254" t="inlineStr">
        <is>
          <t>heavy</t>
        </is>
      </c>
      <c r="F327" s="254" t="inlineStr">
        <is>
          <t>buyer_fee</t>
        </is>
      </c>
      <c r="G327" s="254" t="inlineStr">
        <is>
          <t>secured</t>
        </is>
      </c>
      <c r="H327" s="251" t="n">
        <v>1600</v>
      </c>
      <c r="I327" s="251" t="n">
        <v>1699.99</v>
      </c>
      <c r="J327" s="251" t="n">
        <v>410</v>
      </c>
      <c r="K327" s="254" t="n"/>
    </row>
    <row r="328">
      <c r="B328" s="254" t="inlineStr">
        <is>
          <t>2026-09-26</t>
        </is>
      </c>
      <c r="C328" s="254" t="inlineStr">
        <is>
          <t>non-licensed</t>
        </is>
      </c>
      <c r="D328" s="254" t="inlineStr">
        <is>
          <t>clean</t>
        </is>
      </c>
      <c r="E328" s="254" t="inlineStr">
        <is>
          <t>heavy</t>
        </is>
      </c>
      <c r="F328" s="254" t="inlineStr">
        <is>
          <t>buyer_fee</t>
        </is>
      </c>
      <c r="G328" s="254" t="inlineStr">
        <is>
          <t>secured</t>
        </is>
      </c>
      <c r="H328" s="251" t="n">
        <v>1700</v>
      </c>
      <c r="I328" s="251" t="n">
        <v>1799.99</v>
      </c>
      <c r="J328" s="251" t="n">
        <v>420</v>
      </c>
      <c r="K328" s="254" t="n"/>
    </row>
    <row r="329">
      <c r="B329" s="254" t="inlineStr">
        <is>
          <t>2026-09-26</t>
        </is>
      </c>
      <c r="C329" s="254" t="inlineStr">
        <is>
          <t>non-licensed</t>
        </is>
      </c>
      <c r="D329" s="254" t="inlineStr">
        <is>
          <t>clean</t>
        </is>
      </c>
      <c r="E329" s="254" t="inlineStr">
        <is>
          <t>heavy</t>
        </is>
      </c>
      <c r="F329" s="254" t="inlineStr">
        <is>
          <t>buyer_fee</t>
        </is>
      </c>
      <c r="G329" s="254" t="inlineStr">
        <is>
          <t>secured</t>
        </is>
      </c>
      <c r="H329" s="251" t="n">
        <v>1800</v>
      </c>
      <c r="I329" s="251" t="n">
        <v>1999.99</v>
      </c>
      <c r="J329" s="251" t="n">
        <v>440</v>
      </c>
      <c r="K329" s="254" t="n"/>
    </row>
    <row r="330">
      <c r="B330" s="254" t="inlineStr">
        <is>
          <t>2026-09-26</t>
        </is>
      </c>
      <c r="C330" s="254" t="inlineStr">
        <is>
          <t>non-licensed</t>
        </is>
      </c>
      <c r="D330" s="254" t="inlineStr">
        <is>
          <t>clean</t>
        </is>
      </c>
      <c r="E330" s="254" t="inlineStr">
        <is>
          <t>heavy</t>
        </is>
      </c>
      <c r="F330" s="254" t="inlineStr">
        <is>
          <t>buyer_fee</t>
        </is>
      </c>
      <c r="G330" s="254" t="inlineStr">
        <is>
          <t>secured</t>
        </is>
      </c>
      <c r="H330" s="251" t="n">
        <v>2000</v>
      </c>
      <c r="I330" s="251" t="n">
        <v>2399.99</v>
      </c>
      <c r="J330" s="251" t="n">
        <v>470</v>
      </c>
      <c r="K330" s="254" t="n"/>
    </row>
    <row r="331">
      <c r="B331" s="254" t="inlineStr">
        <is>
          <t>2026-09-26</t>
        </is>
      </c>
      <c r="C331" s="254" t="inlineStr">
        <is>
          <t>non-licensed</t>
        </is>
      </c>
      <c r="D331" s="254" t="inlineStr">
        <is>
          <t>clean</t>
        </is>
      </c>
      <c r="E331" s="254" t="inlineStr">
        <is>
          <t>heavy</t>
        </is>
      </c>
      <c r="F331" s="254" t="inlineStr">
        <is>
          <t>buyer_fee</t>
        </is>
      </c>
      <c r="G331" s="254" t="inlineStr">
        <is>
          <t>secured</t>
        </is>
      </c>
      <c r="H331" s="251" t="n">
        <v>2400</v>
      </c>
      <c r="I331" s="251" t="n">
        <v>2499.99</v>
      </c>
      <c r="J331" s="251" t="n">
        <v>480</v>
      </c>
      <c r="K331" s="254" t="n"/>
    </row>
    <row r="332">
      <c r="B332" s="254" t="inlineStr">
        <is>
          <t>2026-09-26</t>
        </is>
      </c>
      <c r="C332" s="254" t="inlineStr">
        <is>
          <t>non-licensed</t>
        </is>
      </c>
      <c r="D332" s="254" t="inlineStr">
        <is>
          <t>clean</t>
        </is>
      </c>
      <c r="E332" s="254" t="inlineStr">
        <is>
          <t>heavy</t>
        </is>
      </c>
      <c r="F332" s="254" t="inlineStr">
        <is>
          <t>buyer_fee</t>
        </is>
      </c>
      <c r="G332" s="254" t="inlineStr">
        <is>
          <t>secured</t>
        </is>
      </c>
      <c r="H332" s="251" t="n">
        <v>2500</v>
      </c>
      <c r="I332" s="251" t="n">
        <v>2999.99</v>
      </c>
      <c r="J332" s="251" t="n">
        <v>500</v>
      </c>
      <c r="K332" s="254" t="n"/>
    </row>
    <row r="333">
      <c r="B333" s="254" t="inlineStr">
        <is>
          <t>2026-09-26</t>
        </is>
      </c>
      <c r="C333" s="254" t="inlineStr">
        <is>
          <t>non-licensed</t>
        </is>
      </c>
      <c r="D333" s="254" t="inlineStr">
        <is>
          <t>clean</t>
        </is>
      </c>
      <c r="E333" s="254" t="inlineStr">
        <is>
          <t>heavy</t>
        </is>
      </c>
      <c r="F333" s="254" t="inlineStr">
        <is>
          <t>buyer_fee</t>
        </is>
      </c>
      <c r="G333" s="254" t="inlineStr">
        <is>
          <t>secured</t>
        </is>
      </c>
      <c r="H333" s="251" t="n">
        <v>3000</v>
      </c>
      <c r="I333" s="251" t="n">
        <v>3499.99</v>
      </c>
      <c r="J333" s="251" t="n">
        <v>600</v>
      </c>
      <c r="K333" s="254" t="n"/>
    </row>
    <row r="334">
      <c r="B334" s="254" t="inlineStr">
        <is>
          <t>2026-09-26</t>
        </is>
      </c>
      <c r="C334" s="254" t="inlineStr">
        <is>
          <t>non-licensed</t>
        </is>
      </c>
      <c r="D334" s="254" t="inlineStr">
        <is>
          <t>clean</t>
        </is>
      </c>
      <c r="E334" s="254" t="inlineStr">
        <is>
          <t>heavy</t>
        </is>
      </c>
      <c r="F334" s="254" t="inlineStr">
        <is>
          <t>buyer_fee</t>
        </is>
      </c>
      <c r="G334" s="254" t="inlineStr">
        <is>
          <t>secured</t>
        </is>
      </c>
      <c r="H334" s="251" t="n">
        <v>3500</v>
      </c>
      <c r="I334" s="251" t="n">
        <v>3999.99</v>
      </c>
      <c r="J334" s="251" t="n">
        <v>675</v>
      </c>
      <c r="K334" s="254" t="n"/>
    </row>
    <row r="335">
      <c r="B335" s="254" t="inlineStr">
        <is>
          <t>2026-09-26</t>
        </is>
      </c>
      <c r="C335" s="254" t="inlineStr">
        <is>
          <t>non-licensed</t>
        </is>
      </c>
      <c r="D335" s="254" t="inlineStr">
        <is>
          <t>clean</t>
        </is>
      </c>
      <c r="E335" s="254" t="inlineStr">
        <is>
          <t>heavy</t>
        </is>
      </c>
      <c r="F335" s="254" t="inlineStr">
        <is>
          <t>buyer_fee</t>
        </is>
      </c>
      <c r="G335" s="254" t="inlineStr">
        <is>
          <t>secured</t>
        </is>
      </c>
      <c r="H335" s="251" t="n">
        <v>4000</v>
      </c>
      <c r="I335" s="251" t="n">
        <v>4499.99</v>
      </c>
      <c r="J335" s="251" t="n">
        <v>710</v>
      </c>
      <c r="K335" s="254" t="n"/>
    </row>
    <row r="336">
      <c r="B336" s="254" t="inlineStr">
        <is>
          <t>2026-09-26</t>
        </is>
      </c>
      <c r="C336" s="254" t="inlineStr">
        <is>
          <t>non-licensed</t>
        </is>
      </c>
      <c r="D336" s="254" t="inlineStr">
        <is>
          <t>clean</t>
        </is>
      </c>
      <c r="E336" s="254" t="inlineStr">
        <is>
          <t>heavy</t>
        </is>
      </c>
      <c r="F336" s="254" t="inlineStr">
        <is>
          <t>buyer_fee</t>
        </is>
      </c>
      <c r="G336" s="254" t="inlineStr">
        <is>
          <t>secured</t>
        </is>
      </c>
      <c r="H336" s="251" t="n">
        <v>4500</v>
      </c>
      <c r="I336" s="251" t="n">
        <v>4999.99</v>
      </c>
      <c r="J336" s="251" t="n">
        <v>745</v>
      </c>
      <c r="K336" s="254" t="n"/>
    </row>
    <row r="337">
      <c r="B337" s="254" t="inlineStr">
        <is>
          <t>2026-09-26</t>
        </is>
      </c>
      <c r="C337" s="254" t="inlineStr">
        <is>
          <t>non-licensed</t>
        </is>
      </c>
      <c r="D337" s="254" t="inlineStr">
        <is>
          <t>clean</t>
        </is>
      </c>
      <c r="E337" s="254" t="inlineStr">
        <is>
          <t>heavy</t>
        </is>
      </c>
      <c r="F337" s="254" t="inlineStr">
        <is>
          <t>buyer_fee</t>
        </is>
      </c>
      <c r="G337" s="254" t="inlineStr">
        <is>
          <t>secured</t>
        </is>
      </c>
      <c r="H337" s="251" t="n">
        <v>5000</v>
      </c>
      <c r="I337" s="251" t="n">
        <v>5999.99</v>
      </c>
      <c r="J337" s="254" t="n"/>
      <c r="K337" s="251" t="n">
        <v>15</v>
      </c>
    </row>
    <row r="338">
      <c r="B338" s="254" t="inlineStr">
        <is>
          <t>2026-09-26</t>
        </is>
      </c>
      <c r="C338" s="254" t="inlineStr">
        <is>
          <t>non-licensed</t>
        </is>
      </c>
      <c r="D338" s="254" t="inlineStr">
        <is>
          <t>clean</t>
        </is>
      </c>
      <c r="E338" s="254" t="inlineStr">
        <is>
          <t>heavy</t>
        </is>
      </c>
      <c r="F338" s="254" t="inlineStr">
        <is>
          <t>buyer_fee</t>
        </is>
      </c>
      <c r="G338" s="254" t="inlineStr">
        <is>
          <t>secured</t>
        </is>
      </c>
      <c r="H338" s="251" t="n">
        <v>6000</v>
      </c>
      <c r="I338" s="251" t="n">
        <v>6499.99</v>
      </c>
      <c r="J338" s="254" t="n"/>
      <c r="K338" s="251" t="n">
        <v>15</v>
      </c>
    </row>
    <row r="339">
      <c r="B339" s="254" t="inlineStr">
        <is>
          <t>2026-09-26</t>
        </is>
      </c>
      <c r="C339" s="254" t="inlineStr">
        <is>
          <t>non-licensed</t>
        </is>
      </c>
      <c r="D339" s="254" t="inlineStr">
        <is>
          <t>clean</t>
        </is>
      </c>
      <c r="E339" s="254" t="inlineStr">
        <is>
          <t>heavy</t>
        </is>
      </c>
      <c r="F339" s="254" t="inlineStr">
        <is>
          <t>buyer_fee</t>
        </is>
      </c>
      <c r="G339" s="254" t="inlineStr">
        <is>
          <t>secured</t>
        </is>
      </c>
      <c r="H339" s="251" t="n">
        <v>6500</v>
      </c>
      <c r="I339" s="254" t="n"/>
      <c r="J339" s="254" t="n"/>
      <c r="K339" s="251" t="n">
        <v>15</v>
      </c>
    </row>
    <row r="340">
      <c r="B340" s="254" t="inlineStr">
        <is>
          <t>2026-09-26</t>
        </is>
      </c>
      <c r="C340" s="254" t="inlineStr">
        <is>
          <t>non-licensed</t>
        </is>
      </c>
      <c r="D340" s="254" t="inlineStr">
        <is>
          <t>clean</t>
        </is>
      </c>
      <c r="E340" s="254" t="inlineStr">
        <is>
          <t>heavy</t>
        </is>
      </c>
      <c r="F340" s="254" t="inlineStr">
        <is>
          <t>buyer_fee</t>
        </is>
      </c>
      <c r="G340" s="254" t="inlineStr">
        <is>
          <t>unsecured</t>
        </is>
      </c>
      <c r="H340" s="251" t="n">
        <v>0</v>
      </c>
      <c r="I340" s="251" t="n">
        <v>49.99</v>
      </c>
      <c r="J340" s="251" t="n">
        <v>27.5</v>
      </c>
      <c r="K340" s="254" t="n"/>
    </row>
    <row r="341">
      <c r="B341" s="254" t="inlineStr">
        <is>
          <t>2026-09-26</t>
        </is>
      </c>
      <c r="C341" s="254" t="inlineStr">
        <is>
          <t>non-licensed</t>
        </is>
      </c>
      <c r="D341" s="254" t="inlineStr">
        <is>
          <t>clean</t>
        </is>
      </c>
      <c r="E341" s="254" t="inlineStr">
        <is>
          <t>heavy</t>
        </is>
      </c>
      <c r="F341" s="254" t="inlineStr">
        <is>
          <t>buyer_fee</t>
        </is>
      </c>
      <c r="G341" s="254" t="inlineStr">
        <is>
          <t>unsecured</t>
        </is>
      </c>
      <c r="H341" s="251" t="n">
        <v>50</v>
      </c>
      <c r="I341" s="251" t="n">
        <v>99.98999999999999</v>
      </c>
      <c r="J341" s="251" t="n">
        <v>50</v>
      </c>
      <c r="K341" s="254" t="n"/>
    </row>
    <row r="342">
      <c r="B342" s="254" t="inlineStr">
        <is>
          <t>2026-09-26</t>
        </is>
      </c>
      <c r="C342" s="254" t="inlineStr">
        <is>
          <t>non-licensed</t>
        </is>
      </c>
      <c r="D342" s="254" t="inlineStr">
        <is>
          <t>clean</t>
        </is>
      </c>
      <c r="E342" s="254" t="inlineStr">
        <is>
          <t>heavy</t>
        </is>
      </c>
      <c r="F342" s="254" t="inlineStr">
        <is>
          <t>buyer_fee</t>
        </is>
      </c>
      <c r="G342" s="254" t="inlineStr">
        <is>
          <t>unsecured</t>
        </is>
      </c>
      <c r="H342" s="251" t="n">
        <v>100</v>
      </c>
      <c r="I342" s="251" t="n">
        <v>199.99</v>
      </c>
      <c r="J342" s="251" t="n">
        <v>90</v>
      </c>
      <c r="K342" s="254" t="n"/>
    </row>
    <row r="343">
      <c r="B343" s="254" t="inlineStr">
        <is>
          <t>2026-09-26</t>
        </is>
      </c>
      <c r="C343" s="254" t="inlineStr">
        <is>
          <t>non-licensed</t>
        </is>
      </c>
      <c r="D343" s="254" t="inlineStr">
        <is>
          <t>clean</t>
        </is>
      </c>
      <c r="E343" s="254" t="inlineStr">
        <is>
          <t>heavy</t>
        </is>
      </c>
      <c r="F343" s="254" t="inlineStr">
        <is>
          <t>buyer_fee</t>
        </is>
      </c>
      <c r="G343" s="254" t="inlineStr">
        <is>
          <t>unsecured</t>
        </is>
      </c>
      <c r="H343" s="251" t="n">
        <v>200</v>
      </c>
      <c r="I343" s="251" t="n">
        <v>299.99</v>
      </c>
      <c r="J343" s="251" t="n">
        <v>135</v>
      </c>
      <c r="K343" s="254" t="n"/>
    </row>
    <row r="344">
      <c r="B344" s="254" t="inlineStr">
        <is>
          <t>2026-09-26</t>
        </is>
      </c>
      <c r="C344" s="254" t="inlineStr">
        <is>
          <t>non-licensed</t>
        </is>
      </c>
      <c r="D344" s="254" t="inlineStr">
        <is>
          <t>clean</t>
        </is>
      </c>
      <c r="E344" s="254" t="inlineStr">
        <is>
          <t>heavy</t>
        </is>
      </c>
      <c r="F344" s="254" t="inlineStr">
        <is>
          <t>buyer_fee</t>
        </is>
      </c>
      <c r="G344" s="254" t="inlineStr">
        <is>
          <t>unsecured</t>
        </is>
      </c>
      <c r="H344" s="251" t="n">
        <v>300</v>
      </c>
      <c r="I344" s="251" t="n">
        <v>349.99</v>
      </c>
      <c r="J344" s="251" t="n">
        <v>137.5</v>
      </c>
      <c r="K344" s="254" t="n"/>
    </row>
    <row r="345">
      <c r="B345" s="254" t="inlineStr">
        <is>
          <t>2026-09-26</t>
        </is>
      </c>
      <c r="C345" s="254" t="inlineStr">
        <is>
          <t>non-licensed</t>
        </is>
      </c>
      <c r="D345" s="254" t="inlineStr">
        <is>
          <t>clean</t>
        </is>
      </c>
      <c r="E345" s="254" t="inlineStr">
        <is>
          <t>heavy</t>
        </is>
      </c>
      <c r="F345" s="254" t="inlineStr">
        <is>
          <t>buyer_fee</t>
        </is>
      </c>
      <c r="G345" s="254" t="inlineStr">
        <is>
          <t>unsecured</t>
        </is>
      </c>
      <c r="H345" s="251" t="n">
        <v>350</v>
      </c>
      <c r="I345" s="251" t="n">
        <v>399.99</v>
      </c>
      <c r="J345" s="251" t="n">
        <v>140</v>
      </c>
      <c r="K345" s="254" t="n"/>
    </row>
    <row r="346">
      <c r="B346" s="254" t="inlineStr">
        <is>
          <t>2026-09-26</t>
        </is>
      </c>
      <c r="C346" s="254" t="inlineStr">
        <is>
          <t>non-licensed</t>
        </is>
      </c>
      <c r="D346" s="254" t="inlineStr">
        <is>
          <t>clean</t>
        </is>
      </c>
      <c r="E346" s="254" t="inlineStr">
        <is>
          <t>heavy</t>
        </is>
      </c>
      <c r="F346" s="254" t="inlineStr">
        <is>
          <t>buyer_fee</t>
        </is>
      </c>
      <c r="G346" s="254" t="inlineStr">
        <is>
          <t>unsecured</t>
        </is>
      </c>
      <c r="H346" s="251" t="n">
        <v>400</v>
      </c>
      <c r="I346" s="251" t="n">
        <v>449.99</v>
      </c>
      <c r="J346" s="251" t="n">
        <v>182.5</v>
      </c>
      <c r="K346" s="254" t="n"/>
    </row>
    <row r="347">
      <c r="B347" s="254" t="inlineStr">
        <is>
          <t>2026-09-26</t>
        </is>
      </c>
      <c r="C347" s="254" t="inlineStr">
        <is>
          <t>non-licensed</t>
        </is>
      </c>
      <c r="D347" s="254" t="inlineStr">
        <is>
          <t>clean</t>
        </is>
      </c>
      <c r="E347" s="254" t="inlineStr">
        <is>
          <t>heavy</t>
        </is>
      </c>
      <c r="F347" s="254" t="inlineStr">
        <is>
          <t>buyer_fee</t>
        </is>
      </c>
      <c r="G347" s="254" t="inlineStr">
        <is>
          <t>unsecured</t>
        </is>
      </c>
      <c r="H347" s="251" t="n">
        <v>450</v>
      </c>
      <c r="I347" s="251" t="n">
        <v>499.99</v>
      </c>
      <c r="J347" s="251" t="n">
        <v>185</v>
      </c>
      <c r="K347" s="254" t="n"/>
    </row>
    <row r="348">
      <c r="B348" s="254" t="inlineStr">
        <is>
          <t>2026-09-26</t>
        </is>
      </c>
      <c r="C348" s="254" t="inlineStr">
        <is>
          <t>non-licensed</t>
        </is>
      </c>
      <c r="D348" s="254" t="inlineStr">
        <is>
          <t>clean</t>
        </is>
      </c>
      <c r="E348" s="254" t="inlineStr">
        <is>
          <t>heavy</t>
        </is>
      </c>
      <c r="F348" s="254" t="inlineStr">
        <is>
          <t>buyer_fee</t>
        </is>
      </c>
      <c r="G348" s="254" t="inlineStr">
        <is>
          <t>unsecured</t>
        </is>
      </c>
      <c r="H348" s="251" t="n">
        <v>500</v>
      </c>
      <c r="I348" s="251" t="n">
        <v>549.99</v>
      </c>
      <c r="J348" s="251" t="n">
        <v>212.5</v>
      </c>
      <c r="K348" s="254" t="n"/>
    </row>
    <row r="349">
      <c r="B349" s="254" t="inlineStr">
        <is>
          <t>2026-09-26</t>
        </is>
      </c>
      <c r="C349" s="254" t="inlineStr">
        <is>
          <t>non-licensed</t>
        </is>
      </c>
      <c r="D349" s="254" t="inlineStr">
        <is>
          <t>clean</t>
        </is>
      </c>
      <c r="E349" s="254" t="inlineStr">
        <is>
          <t>heavy</t>
        </is>
      </c>
      <c r="F349" s="254" t="inlineStr">
        <is>
          <t>buyer_fee</t>
        </is>
      </c>
      <c r="G349" s="254" t="inlineStr">
        <is>
          <t>unsecured</t>
        </is>
      </c>
      <c r="H349" s="251" t="n">
        <v>550</v>
      </c>
      <c r="I349" s="251" t="n">
        <v>599.99</v>
      </c>
      <c r="J349" s="251" t="n">
        <v>215</v>
      </c>
      <c r="K349" s="254" t="n"/>
    </row>
    <row r="350">
      <c r="B350" s="254" t="inlineStr">
        <is>
          <t>2026-09-26</t>
        </is>
      </c>
      <c r="C350" s="254" t="inlineStr">
        <is>
          <t>non-licensed</t>
        </is>
      </c>
      <c r="D350" s="254" t="inlineStr">
        <is>
          <t>clean</t>
        </is>
      </c>
      <c r="E350" s="254" t="inlineStr">
        <is>
          <t>heavy</t>
        </is>
      </c>
      <c r="F350" s="254" t="inlineStr">
        <is>
          <t>buyer_fee</t>
        </is>
      </c>
      <c r="G350" s="254" t="inlineStr">
        <is>
          <t>unsecured</t>
        </is>
      </c>
      <c r="H350" s="251" t="n">
        <v>600</v>
      </c>
      <c r="I350" s="251" t="n">
        <v>699.99</v>
      </c>
      <c r="J350" s="251" t="n">
        <v>245</v>
      </c>
      <c r="K350" s="254" t="n"/>
    </row>
    <row r="351">
      <c r="B351" s="254" t="inlineStr">
        <is>
          <t>2026-09-26</t>
        </is>
      </c>
      <c r="C351" s="254" t="inlineStr">
        <is>
          <t>non-licensed</t>
        </is>
      </c>
      <c r="D351" s="254" t="inlineStr">
        <is>
          <t>clean</t>
        </is>
      </c>
      <c r="E351" s="254" t="inlineStr">
        <is>
          <t>heavy</t>
        </is>
      </c>
      <c r="F351" s="254" t="inlineStr">
        <is>
          <t>buyer_fee</t>
        </is>
      </c>
      <c r="G351" s="254" t="inlineStr">
        <is>
          <t>unsecured</t>
        </is>
      </c>
      <c r="H351" s="251" t="n">
        <v>700</v>
      </c>
      <c r="I351" s="251" t="n">
        <v>799.99</v>
      </c>
      <c r="J351" s="251" t="n">
        <v>270</v>
      </c>
      <c r="K351" s="254" t="n"/>
    </row>
    <row r="352">
      <c r="B352" s="254" t="inlineStr">
        <is>
          <t>2026-09-26</t>
        </is>
      </c>
      <c r="C352" s="254" t="inlineStr">
        <is>
          <t>non-licensed</t>
        </is>
      </c>
      <c r="D352" s="254" t="inlineStr">
        <is>
          <t>clean</t>
        </is>
      </c>
      <c r="E352" s="254" t="inlineStr">
        <is>
          <t>heavy</t>
        </is>
      </c>
      <c r="F352" s="254" t="inlineStr">
        <is>
          <t>buyer_fee</t>
        </is>
      </c>
      <c r="G352" s="254" t="inlineStr">
        <is>
          <t>unsecured</t>
        </is>
      </c>
      <c r="H352" s="251" t="n">
        <v>800</v>
      </c>
      <c r="I352" s="251" t="n">
        <v>899.99</v>
      </c>
      <c r="J352" s="251" t="n">
        <v>295</v>
      </c>
      <c r="K352" s="254" t="n"/>
    </row>
    <row r="353">
      <c r="B353" s="254" t="inlineStr">
        <is>
          <t>2026-09-26</t>
        </is>
      </c>
      <c r="C353" s="254" t="inlineStr">
        <is>
          <t>non-licensed</t>
        </is>
      </c>
      <c r="D353" s="254" t="inlineStr">
        <is>
          <t>clean</t>
        </is>
      </c>
      <c r="E353" s="254" t="inlineStr">
        <is>
          <t>heavy</t>
        </is>
      </c>
      <c r="F353" s="254" t="inlineStr">
        <is>
          <t>buyer_fee</t>
        </is>
      </c>
      <c r="G353" s="254" t="inlineStr">
        <is>
          <t>unsecured</t>
        </is>
      </c>
      <c r="H353" s="251" t="n">
        <v>900</v>
      </c>
      <c r="I353" s="251" t="n">
        <v>999.99</v>
      </c>
      <c r="J353" s="251" t="n">
        <v>325</v>
      </c>
      <c r="K353" s="254" t="n"/>
    </row>
    <row r="354">
      <c r="B354" s="254" t="inlineStr">
        <is>
          <t>2026-09-26</t>
        </is>
      </c>
      <c r="C354" s="254" t="inlineStr">
        <is>
          <t>non-licensed</t>
        </is>
      </c>
      <c r="D354" s="254" t="inlineStr">
        <is>
          <t>clean</t>
        </is>
      </c>
      <c r="E354" s="254" t="inlineStr">
        <is>
          <t>heavy</t>
        </is>
      </c>
      <c r="F354" s="254" t="inlineStr">
        <is>
          <t>buyer_fee</t>
        </is>
      </c>
      <c r="G354" s="254" t="inlineStr">
        <is>
          <t>unsecured</t>
        </is>
      </c>
      <c r="H354" s="251" t="n">
        <v>1000</v>
      </c>
      <c r="I354" s="251" t="n">
        <v>1199.99</v>
      </c>
      <c r="J354" s="251" t="n">
        <v>385</v>
      </c>
      <c r="K354" s="254" t="n"/>
    </row>
    <row r="355">
      <c r="B355" s="254" t="inlineStr">
        <is>
          <t>2026-09-26</t>
        </is>
      </c>
      <c r="C355" s="254" t="inlineStr">
        <is>
          <t>non-licensed</t>
        </is>
      </c>
      <c r="D355" s="254" t="inlineStr">
        <is>
          <t>clean</t>
        </is>
      </c>
      <c r="E355" s="254" t="inlineStr">
        <is>
          <t>heavy</t>
        </is>
      </c>
      <c r="F355" s="254" t="inlineStr">
        <is>
          <t>buyer_fee</t>
        </is>
      </c>
      <c r="G355" s="254" t="inlineStr">
        <is>
          <t>unsecured</t>
        </is>
      </c>
      <c r="H355" s="251" t="n">
        <v>1200</v>
      </c>
      <c r="I355" s="251" t="n">
        <v>1299.99</v>
      </c>
      <c r="J355" s="251" t="n">
        <v>415</v>
      </c>
      <c r="K355" s="254" t="n"/>
    </row>
    <row r="356">
      <c r="B356" s="254" t="inlineStr">
        <is>
          <t>2026-09-26</t>
        </is>
      </c>
      <c r="C356" s="254" t="inlineStr">
        <is>
          <t>non-licensed</t>
        </is>
      </c>
      <c r="D356" s="254" t="inlineStr">
        <is>
          <t>clean</t>
        </is>
      </c>
      <c r="E356" s="254" t="inlineStr">
        <is>
          <t>heavy</t>
        </is>
      </c>
      <c r="F356" s="254" t="inlineStr">
        <is>
          <t>buyer_fee</t>
        </is>
      </c>
      <c r="G356" s="254" t="inlineStr">
        <is>
          <t>unsecured</t>
        </is>
      </c>
      <c r="H356" s="251" t="n">
        <v>1300</v>
      </c>
      <c r="I356" s="251" t="n">
        <v>1399.99</v>
      </c>
      <c r="J356" s="251" t="n">
        <v>435</v>
      </c>
      <c r="K356" s="254" t="n"/>
    </row>
    <row r="357">
      <c r="B357" s="254" t="inlineStr">
        <is>
          <t>2026-09-26</t>
        </is>
      </c>
      <c r="C357" s="254" t="inlineStr">
        <is>
          <t>non-licensed</t>
        </is>
      </c>
      <c r="D357" s="254" t="inlineStr">
        <is>
          <t>clean</t>
        </is>
      </c>
      <c r="E357" s="254" t="inlineStr">
        <is>
          <t>heavy</t>
        </is>
      </c>
      <c r="F357" s="254" t="inlineStr">
        <is>
          <t>buyer_fee</t>
        </is>
      </c>
      <c r="G357" s="254" t="inlineStr">
        <is>
          <t>unsecured</t>
        </is>
      </c>
      <c r="H357" s="251" t="n">
        <v>1400</v>
      </c>
      <c r="I357" s="251" t="n">
        <v>1499.99</v>
      </c>
      <c r="J357" s="251" t="n">
        <v>455</v>
      </c>
      <c r="K357" s="254" t="n"/>
    </row>
    <row r="358">
      <c r="B358" s="254" t="inlineStr">
        <is>
          <t>2026-09-26</t>
        </is>
      </c>
      <c r="C358" s="254" t="inlineStr">
        <is>
          <t>non-licensed</t>
        </is>
      </c>
      <c r="D358" s="254" t="inlineStr">
        <is>
          <t>clean</t>
        </is>
      </c>
      <c r="E358" s="254" t="inlineStr">
        <is>
          <t>heavy</t>
        </is>
      </c>
      <c r="F358" s="254" t="inlineStr">
        <is>
          <t>buyer_fee</t>
        </is>
      </c>
      <c r="G358" s="254" t="inlineStr">
        <is>
          <t>unsecured</t>
        </is>
      </c>
      <c r="H358" s="251" t="n">
        <v>1500</v>
      </c>
      <c r="I358" s="251" t="n">
        <v>1599.99</v>
      </c>
      <c r="J358" s="251" t="n">
        <v>470</v>
      </c>
      <c r="K358" s="254" t="n"/>
    </row>
    <row r="359">
      <c r="B359" s="254" t="inlineStr">
        <is>
          <t>2026-09-26</t>
        </is>
      </c>
      <c r="C359" s="254" t="inlineStr">
        <is>
          <t>non-licensed</t>
        </is>
      </c>
      <c r="D359" s="254" t="inlineStr">
        <is>
          <t>clean</t>
        </is>
      </c>
      <c r="E359" s="254" t="inlineStr">
        <is>
          <t>heavy</t>
        </is>
      </c>
      <c r="F359" s="254" t="inlineStr">
        <is>
          <t>buyer_fee</t>
        </is>
      </c>
      <c r="G359" s="254" t="inlineStr">
        <is>
          <t>unsecured</t>
        </is>
      </c>
      <c r="H359" s="251" t="n">
        <v>1600</v>
      </c>
      <c r="I359" s="251" t="n">
        <v>1699.99</v>
      </c>
      <c r="J359" s="251" t="n">
        <v>495</v>
      </c>
      <c r="K359" s="254" t="n"/>
    </row>
    <row r="360">
      <c r="B360" s="254" t="inlineStr">
        <is>
          <t>2026-09-26</t>
        </is>
      </c>
      <c r="C360" s="254" t="inlineStr">
        <is>
          <t>non-licensed</t>
        </is>
      </c>
      <c r="D360" s="254" t="inlineStr">
        <is>
          <t>clean</t>
        </is>
      </c>
      <c r="E360" s="254" t="inlineStr">
        <is>
          <t>heavy</t>
        </is>
      </c>
      <c r="F360" s="254" t="inlineStr">
        <is>
          <t>buyer_fee</t>
        </is>
      </c>
      <c r="G360" s="254" t="inlineStr">
        <is>
          <t>unsecured</t>
        </is>
      </c>
      <c r="H360" s="251" t="n">
        <v>1700</v>
      </c>
      <c r="I360" s="251" t="n">
        <v>1799.99</v>
      </c>
      <c r="J360" s="251" t="n">
        <v>510</v>
      </c>
      <c r="K360" s="254" t="n"/>
    </row>
    <row r="361">
      <c r="B361" s="254" t="inlineStr">
        <is>
          <t>2026-09-26</t>
        </is>
      </c>
      <c r="C361" s="254" t="inlineStr">
        <is>
          <t>non-licensed</t>
        </is>
      </c>
      <c r="D361" s="254" t="inlineStr">
        <is>
          <t>clean</t>
        </is>
      </c>
      <c r="E361" s="254" t="inlineStr">
        <is>
          <t>heavy</t>
        </is>
      </c>
      <c r="F361" s="254" t="inlineStr">
        <is>
          <t>buyer_fee</t>
        </is>
      </c>
      <c r="G361" s="254" t="inlineStr">
        <is>
          <t>unsecured</t>
        </is>
      </c>
      <c r="H361" s="251" t="n">
        <v>1800</v>
      </c>
      <c r="I361" s="251" t="n">
        <v>1999.99</v>
      </c>
      <c r="J361" s="251" t="n">
        <v>540</v>
      </c>
      <c r="K361" s="254" t="n"/>
    </row>
    <row r="362">
      <c r="B362" s="254" t="inlineStr">
        <is>
          <t>2026-09-26</t>
        </is>
      </c>
      <c r="C362" s="254" t="inlineStr">
        <is>
          <t>non-licensed</t>
        </is>
      </c>
      <c r="D362" s="254" t="inlineStr">
        <is>
          <t>clean</t>
        </is>
      </c>
      <c r="E362" s="254" t="inlineStr">
        <is>
          <t>heavy</t>
        </is>
      </c>
      <c r="F362" s="254" t="inlineStr">
        <is>
          <t>buyer_fee</t>
        </is>
      </c>
      <c r="G362" s="254" t="inlineStr">
        <is>
          <t>unsecured</t>
        </is>
      </c>
      <c r="H362" s="251" t="n">
        <v>2000</v>
      </c>
      <c r="I362" s="251" t="n">
        <v>2399.99</v>
      </c>
      <c r="J362" s="251" t="n">
        <v>590</v>
      </c>
      <c r="K362" s="254" t="n"/>
    </row>
    <row r="363">
      <c r="B363" s="254" t="inlineStr">
        <is>
          <t>2026-09-26</t>
        </is>
      </c>
      <c r="C363" s="254" t="inlineStr">
        <is>
          <t>non-licensed</t>
        </is>
      </c>
      <c r="D363" s="254" t="inlineStr">
        <is>
          <t>clean</t>
        </is>
      </c>
      <c r="E363" s="254" t="inlineStr">
        <is>
          <t>heavy</t>
        </is>
      </c>
      <c r="F363" s="254" t="inlineStr">
        <is>
          <t>buyer_fee</t>
        </is>
      </c>
      <c r="G363" s="254" t="inlineStr">
        <is>
          <t>unsecured</t>
        </is>
      </c>
      <c r="H363" s="251" t="n">
        <v>2400</v>
      </c>
      <c r="I363" s="251" t="n">
        <v>2499.99</v>
      </c>
      <c r="J363" s="251" t="n">
        <v>605</v>
      </c>
      <c r="K363" s="254" t="n"/>
    </row>
    <row r="364">
      <c r="B364" s="254" t="inlineStr">
        <is>
          <t>2026-09-26</t>
        </is>
      </c>
      <c r="C364" s="254" t="inlineStr">
        <is>
          <t>non-licensed</t>
        </is>
      </c>
      <c r="D364" s="254" t="inlineStr">
        <is>
          <t>clean</t>
        </is>
      </c>
      <c r="E364" s="254" t="inlineStr">
        <is>
          <t>heavy</t>
        </is>
      </c>
      <c r="F364" s="254" t="inlineStr">
        <is>
          <t>buyer_fee</t>
        </is>
      </c>
      <c r="G364" s="254" t="inlineStr">
        <is>
          <t>unsecured</t>
        </is>
      </c>
      <c r="H364" s="251" t="n">
        <v>2500</v>
      </c>
      <c r="I364" s="251" t="n">
        <v>2999.99</v>
      </c>
      <c r="J364" s="251" t="n">
        <v>650</v>
      </c>
      <c r="K364" s="254" t="n"/>
    </row>
    <row r="365">
      <c r="B365" s="254" t="inlineStr">
        <is>
          <t>2026-09-26</t>
        </is>
      </c>
      <c r="C365" s="254" t="inlineStr">
        <is>
          <t>non-licensed</t>
        </is>
      </c>
      <c r="D365" s="254" t="inlineStr">
        <is>
          <t>clean</t>
        </is>
      </c>
      <c r="E365" s="254" t="inlineStr">
        <is>
          <t>heavy</t>
        </is>
      </c>
      <c r="F365" s="254" t="inlineStr">
        <is>
          <t>buyer_fee</t>
        </is>
      </c>
      <c r="G365" s="254" t="inlineStr">
        <is>
          <t>unsecured</t>
        </is>
      </c>
      <c r="H365" s="251" t="n">
        <v>3000</v>
      </c>
      <c r="I365" s="251" t="n">
        <v>3499.99</v>
      </c>
      <c r="J365" s="251" t="n">
        <v>775</v>
      </c>
      <c r="K365" s="254" t="n"/>
    </row>
    <row r="366">
      <c r="B366" s="254" t="inlineStr">
        <is>
          <t>2026-09-26</t>
        </is>
      </c>
      <c r="C366" s="254" t="inlineStr">
        <is>
          <t>non-licensed</t>
        </is>
      </c>
      <c r="D366" s="254" t="inlineStr">
        <is>
          <t>clean</t>
        </is>
      </c>
      <c r="E366" s="254" t="inlineStr">
        <is>
          <t>heavy</t>
        </is>
      </c>
      <c r="F366" s="254" t="inlineStr">
        <is>
          <t>buyer_fee</t>
        </is>
      </c>
      <c r="G366" s="254" t="inlineStr">
        <is>
          <t>unsecured</t>
        </is>
      </c>
      <c r="H366" s="251" t="n">
        <v>3500</v>
      </c>
      <c r="I366" s="251" t="n">
        <v>3999.99</v>
      </c>
      <c r="J366" s="251" t="n">
        <v>875</v>
      </c>
      <c r="K366" s="254" t="n"/>
    </row>
    <row r="367">
      <c r="B367" s="254" t="inlineStr">
        <is>
          <t>2026-09-26</t>
        </is>
      </c>
      <c r="C367" s="254" t="inlineStr">
        <is>
          <t>non-licensed</t>
        </is>
      </c>
      <c r="D367" s="254" t="inlineStr">
        <is>
          <t>clean</t>
        </is>
      </c>
      <c r="E367" s="254" t="inlineStr">
        <is>
          <t>heavy</t>
        </is>
      </c>
      <c r="F367" s="254" t="inlineStr">
        <is>
          <t>buyer_fee</t>
        </is>
      </c>
      <c r="G367" s="254" t="inlineStr">
        <is>
          <t>unsecured</t>
        </is>
      </c>
      <c r="H367" s="251" t="n">
        <v>4000</v>
      </c>
      <c r="I367" s="251" t="n">
        <v>4499.99</v>
      </c>
      <c r="J367" s="251" t="n">
        <v>935</v>
      </c>
      <c r="K367" s="254" t="n"/>
    </row>
    <row r="368">
      <c r="B368" s="254" t="inlineStr">
        <is>
          <t>2026-09-26</t>
        </is>
      </c>
      <c r="C368" s="254" t="inlineStr">
        <is>
          <t>non-licensed</t>
        </is>
      </c>
      <c r="D368" s="254" t="inlineStr">
        <is>
          <t>clean</t>
        </is>
      </c>
      <c r="E368" s="254" t="inlineStr">
        <is>
          <t>heavy</t>
        </is>
      </c>
      <c r="F368" s="254" t="inlineStr">
        <is>
          <t>buyer_fee</t>
        </is>
      </c>
      <c r="G368" s="254" t="inlineStr">
        <is>
          <t>unsecured</t>
        </is>
      </c>
      <c r="H368" s="251" t="n">
        <v>4500</v>
      </c>
      <c r="I368" s="251" t="n">
        <v>4999.99</v>
      </c>
      <c r="J368" s="251" t="n">
        <v>995</v>
      </c>
      <c r="K368" s="254" t="n"/>
    </row>
    <row r="369">
      <c r="B369" s="254" t="inlineStr">
        <is>
          <t>2026-09-26</t>
        </is>
      </c>
      <c r="C369" s="254" t="inlineStr">
        <is>
          <t>non-licensed</t>
        </is>
      </c>
      <c r="D369" s="254" t="inlineStr">
        <is>
          <t>clean</t>
        </is>
      </c>
      <c r="E369" s="254" t="inlineStr">
        <is>
          <t>heavy</t>
        </is>
      </c>
      <c r="F369" s="254" t="inlineStr">
        <is>
          <t>buyer_fee</t>
        </is>
      </c>
      <c r="G369" s="254" t="inlineStr">
        <is>
          <t>unsecured</t>
        </is>
      </c>
      <c r="H369" s="251" t="n">
        <v>5000</v>
      </c>
      <c r="I369" s="251" t="n">
        <v>5999.99</v>
      </c>
      <c r="J369" s="254" t="n"/>
      <c r="K369" s="251" t="n">
        <v>20</v>
      </c>
    </row>
    <row r="370">
      <c r="B370" s="254" t="inlineStr">
        <is>
          <t>2026-09-26</t>
        </is>
      </c>
      <c r="C370" s="254" t="inlineStr">
        <is>
          <t>non-licensed</t>
        </is>
      </c>
      <c r="D370" s="254" t="inlineStr">
        <is>
          <t>clean</t>
        </is>
      </c>
      <c r="E370" s="254" t="inlineStr">
        <is>
          <t>heavy</t>
        </is>
      </c>
      <c r="F370" s="254" t="inlineStr">
        <is>
          <t>buyer_fee</t>
        </is>
      </c>
      <c r="G370" s="254" t="inlineStr">
        <is>
          <t>unsecured</t>
        </is>
      </c>
      <c r="H370" s="251" t="n">
        <v>6000</v>
      </c>
      <c r="I370" s="251" t="n">
        <v>6499.99</v>
      </c>
      <c r="J370" s="254" t="n"/>
      <c r="K370" s="251" t="n">
        <v>20</v>
      </c>
    </row>
    <row r="371">
      <c r="B371" s="254" t="inlineStr">
        <is>
          <t>2026-09-26</t>
        </is>
      </c>
      <c r="C371" s="254" t="inlineStr">
        <is>
          <t>non-licensed</t>
        </is>
      </c>
      <c r="D371" s="254" t="inlineStr">
        <is>
          <t>clean</t>
        </is>
      </c>
      <c r="E371" s="254" t="inlineStr">
        <is>
          <t>heavy</t>
        </is>
      </c>
      <c r="F371" s="254" t="inlineStr">
        <is>
          <t>buyer_fee</t>
        </is>
      </c>
      <c r="G371" s="254" t="inlineStr">
        <is>
          <t>unsecured</t>
        </is>
      </c>
      <c r="H371" s="251" t="n">
        <v>6500</v>
      </c>
      <c r="I371" s="254" t="n"/>
      <c r="J371" s="254" t="n"/>
      <c r="K371" s="251" t="n">
        <v>20</v>
      </c>
    </row>
    <row r="372">
      <c r="B372" s="254" t="inlineStr">
        <is>
          <t>2026-09-26</t>
        </is>
      </c>
      <c r="C372" s="254" t="inlineStr">
        <is>
          <t>non-licensed</t>
        </is>
      </c>
      <c r="D372" s="254" t="inlineStr">
        <is>
          <t>clean</t>
        </is>
      </c>
      <c r="E372" s="254" t="inlineStr">
        <is>
          <t>heavy</t>
        </is>
      </c>
      <c r="F372" s="254" t="inlineStr">
        <is>
          <t>virtual_bid_pre_bid</t>
        </is>
      </c>
      <c r="G372" s="254" t="inlineStr">
        <is>
          <t>any</t>
        </is>
      </c>
      <c r="H372" s="251" t="n">
        <v>0</v>
      </c>
      <c r="I372" s="251" t="n">
        <v>99.98999999999999</v>
      </c>
      <c r="J372" s="251" t="n">
        <v>0</v>
      </c>
      <c r="K372" s="254" t="n"/>
    </row>
    <row r="373">
      <c r="B373" s="254" t="inlineStr">
        <is>
          <t>2026-09-26</t>
        </is>
      </c>
      <c r="C373" s="254" t="inlineStr">
        <is>
          <t>non-licensed</t>
        </is>
      </c>
      <c r="D373" s="254" t="inlineStr">
        <is>
          <t>clean</t>
        </is>
      </c>
      <c r="E373" s="254" t="inlineStr">
        <is>
          <t>heavy</t>
        </is>
      </c>
      <c r="F373" s="254" t="inlineStr">
        <is>
          <t>virtual_bid_pre_bid</t>
        </is>
      </c>
      <c r="G373" s="254" t="inlineStr">
        <is>
          <t>any</t>
        </is>
      </c>
      <c r="H373" s="251" t="n">
        <v>100</v>
      </c>
      <c r="I373" s="251" t="n">
        <v>499.99</v>
      </c>
      <c r="J373" s="251" t="n">
        <v>39</v>
      </c>
      <c r="K373" s="254" t="n"/>
    </row>
    <row r="374">
      <c r="B374" s="254" t="inlineStr">
        <is>
          <t>2026-09-26</t>
        </is>
      </c>
      <c r="C374" s="254" t="inlineStr">
        <is>
          <t>non-licensed</t>
        </is>
      </c>
      <c r="D374" s="254" t="inlineStr">
        <is>
          <t>clean</t>
        </is>
      </c>
      <c r="E374" s="254" t="inlineStr">
        <is>
          <t>heavy</t>
        </is>
      </c>
      <c r="F374" s="254" t="inlineStr">
        <is>
          <t>virtual_bid_pre_bid</t>
        </is>
      </c>
      <c r="G374" s="254" t="inlineStr">
        <is>
          <t>any</t>
        </is>
      </c>
      <c r="H374" s="251" t="n">
        <v>500</v>
      </c>
      <c r="I374" s="251" t="n">
        <v>999.99</v>
      </c>
      <c r="J374" s="251" t="n">
        <v>49</v>
      </c>
      <c r="K374" s="254" t="n"/>
    </row>
    <row r="375">
      <c r="B375" s="254" t="inlineStr">
        <is>
          <t>2026-09-26</t>
        </is>
      </c>
      <c r="C375" s="254" t="inlineStr">
        <is>
          <t>non-licensed</t>
        </is>
      </c>
      <c r="D375" s="254" t="inlineStr">
        <is>
          <t>clean</t>
        </is>
      </c>
      <c r="E375" s="254" t="inlineStr">
        <is>
          <t>heavy</t>
        </is>
      </c>
      <c r="F375" s="254" t="inlineStr">
        <is>
          <t>virtual_bid_pre_bid</t>
        </is>
      </c>
      <c r="G375" s="254" t="inlineStr">
        <is>
          <t>any</t>
        </is>
      </c>
      <c r="H375" s="251" t="n">
        <v>1000</v>
      </c>
      <c r="I375" s="251" t="n">
        <v>1499.99</v>
      </c>
      <c r="J375" s="251" t="n">
        <v>69</v>
      </c>
      <c r="K375" s="254" t="n"/>
    </row>
    <row r="376">
      <c r="B376" s="254" t="inlineStr">
        <is>
          <t>2026-09-26</t>
        </is>
      </c>
      <c r="C376" s="254" t="inlineStr">
        <is>
          <t>non-licensed</t>
        </is>
      </c>
      <c r="D376" s="254" t="inlineStr">
        <is>
          <t>clean</t>
        </is>
      </c>
      <c r="E376" s="254" t="inlineStr">
        <is>
          <t>heavy</t>
        </is>
      </c>
      <c r="F376" s="254" t="inlineStr">
        <is>
          <t>virtual_bid_pre_bid</t>
        </is>
      </c>
      <c r="G376" s="254" t="inlineStr">
        <is>
          <t>any</t>
        </is>
      </c>
      <c r="H376" s="251" t="n">
        <v>1500</v>
      </c>
      <c r="I376" s="251" t="n">
        <v>1999.99</v>
      </c>
      <c r="J376" s="251" t="n">
        <v>79</v>
      </c>
      <c r="K376" s="254" t="n"/>
    </row>
    <row r="377">
      <c r="B377" s="254" t="inlineStr">
        <is>
          <t>2026-09-26</t>
        </is>
      </c>
      <c r="C377" s="254" t="inlineStr">
        <is>
          <t>non-licensed</t>
        </is>
      </c>
      <c r="D377" s="254" t="inlineStr">
        <is>
          <t>clean</t>
        </is>
      </c>
      <c r="E377" s="254" t="inlineStr">
        <is>
          <t>heavy</t>
        </is>
      </c>
      <c r="F377" s="254" t="inlineStr">
        <is>
          <t>virtual_bid_pre_bid</t>
        </is>
      </c>
      <c r="G377" s="254" t="inlineStr">
        <is>
          <t>any</t>
        </is>
      </c>
      <c r="H377" s="251" t="n">
        <v>2000</v>
      </c>
      <c r="I377" s="251" t="n">
        <v>3999.99</v>
      </c>
      <c r="J377" s="251" t="n">
        <v>89</v>
      </c>
      <c r="K377" s="254" t="n"/>
    </row>
    <row r="378">
      <c r="B378" s="254" t="inlineStr">
        <is>
          <t>2026-09-26</t>
        </is>
      </c>
      <c r="C378" s="254" t="inlineStr">
        <is>
          <t>non-licensed</t>
        </is>
      </c>
      <c r="D378" s="254" t="inlineStr">
        <is>
          <t>clean</t>
        </is>
      </c>
      <c r="E378" s="254" t="inlineStr">
        <is>
          <t>heavy</t>
        </is>
      </c>
      <c r="F378" s="254" t="inlineStr">
        <is>
          <t>virtual_bid_pre_bid</t>
        </is>
      </c>
      <c r="G378" s="254" t="inlineStr">
        <is>
          <t>any</t>
        </is>
      </c>
      <c r="H378" s="251" t="n">
        <v>4000</v>
      </c>
      <c r="I378" s="251" t="n">
        <v>5999.99</v>
      </c>
      <c r="J378" s="251" t="n">
        <v>99</v>
      </c>
      <c r="K378" s="254" t="n"/>
    </row>
    <row r="379">
      <c r="B379" s="254" t="inlineStr">
        <is>
          <t>2026-09-26</t>
        </is>
      </c>
      <c r="C379" s="254" t="inlineStr">
        <is>
          <t>non-licensed</t>
        </is>
      </c>
      <c r="D379" s="254" t="inlineStr">
        <is>
          <t>clean</t>
        </is>
      </c>
      <c r="E379" s="254" t="inlineStr">
        <is>
          <t>heavy</t>
        </is>
      </c>
      <c r="F379" s="254" t="inlineStr">
        <is>
          <t>virtual_bid_pre_bid</t>
        </is>
      </c>
      <c r="G379" s="254" t="inlineStr">
        <is>
          <t>any</t>
        </is>
      </c>
      <c r="H379" s="251" t="n">
        <v>6000</v>
      </c>
      <c r="I379" s="251" t="n">
        <v>7999.99</v>
      </c>
      <c r="J379" s="251" t="n">
        <v>119</v>
      </c>
      <c r="K379" s="254" t="n"/>
    </row>
    <row r="380">
      <c r="B380" s="254" t="inlineStr">
        <is>
          <t>2026-09-26</t>
        </is>
      </c>
      <c r="C380" s="254" t="inlineStr">
        <is>
          <t>non-licensed</t>
        </is>
      </c>
      <c r="D380" s="254" t="inlineStr">
        <is>
          <t>clean</t>
        </is>
      </c>
      <c r="E380" s="254" t="inlineStr">
        <is>
          <t>heavy</t>
        </is>
      </c>
      <c r="F380" s="254" t="inlineStr">
        <is>
          <t>virtual_bid_pre_bid</t>
        </is>
      </c>
      <c r="G380" s="254" t="inlineStr">
        <is>
          <t>any</t>
        </is>
      </c>
      <c r="H380" s="251" t="n">
        <v>8000</v>
      </c>
      <c r="I380" s="254" t="n"/>
      <c r="J380" s="251" t="n">
        <v>129</v>
      </c>
      <c r="K380" s="254" t="n"/>
    </row>
    <row r="381">
      <c r="B381" s="254" t="inlineStr">
        <is>
          <t>2026-09-26</t>
        </is>
      </c>
      <c r="C381" s="254" t="inlineStr">
        <is>
          <t>non-licensed</t>
        </is>
      </c>
      <c r="D381" s="254" t="inlineStr">
        <is>
          <t>clean</t>
        </is>
      </c>
      <c r="E381" s="254" t="inlineStr">
        <is>
          <t>heavy</t>
        </is>
      </c>
      <c r="F381" s="254" t="inlineStr">
        <is>
          <t>virtual_bid_live_bid</t>
        </is>
      </c>
      <c r="G381" s="254" t="inlineStr">
        <is>
          <t>any</t>
        </is>
      </c>
      <c r="H381" s="251" t="n">
        <v>0</v>
      </c>
      <c r="I381" s="251" t="n">
        <v>99.98999999999999</v>
      </c>
      <c r="J381" s="251" t="n">
        <v>0</v>
      </c>
      <c r="K381" s="254" t="n"/>
    </row>
    <row r="382">
      <c r="B382" s="254" t="inlineStr">
        <is>
          <t>2026-09-26</t>
        </is>
      </c>
      <c r="C382" s="254" t="inlineStr">
        <is>
          <t>non-licensed</t>
        </is>
      </c>
      <c r="D382" s="254" t="inlineStr">
        <is>
          <t>clean</t>
        </is>
      </c>
      <c r="E382" s="254" t="inlineStr">
        <is>
          <t>heavy</t>
        </is>
      </c>
      <c r="F382" s="254" t="inlineStr">
        <is>
          <t>virtual_bid_live_bid</t>
        </is>
      </c>
      <c r="G382" s="254" t="inlineStr">
        <is>
          <t>any</t>
        </is>
      </c>
      <c r="H382" s="251" t="n">
        <v>100</v>
      </c>
      <c r="I382" s="251" t="n">
        <v>499.99</v>
      </c>
      <c r="J382" s="251" t="n">
        <v>49</v>
      </c>
      <c r="K382" s="254" t="n"/>
    </row>
    <row r="383">
      <c r="B383" s="254" t="inlineStr">
        <is>
          <t>2026-09-26</t>
        </is>
      </c>
      <c r="C383" s="254" t="inlineStr">
        <is>
          <t>non-licensed</t>
        </is>
      </c>
      <c r="D383" s="254" t="inlineStr">
        <is>
          <t>clean</t>
        </is>
      </c>
      <c r="E383" s="254" t="inlineStr">
        <is>
          <t>heavy</t>
        </is>
      </c>
      <c r="F383" s="254" t="inlineStr">
        <is>
          <t>virtual_bid_live_bid</t>
        </is>
      </c>
      <c r="G383" s="254" t="inlineStr">
        <is>
          <t>any</t>
        </is>
      </c>
      <c r="H383" s="251" t="n">
        <v>500</v>
      </c>
      <c r="I383" s="251" t="n">
        <v>999.99</v>
      </c>
      <c r="J383" s="251" t="n">
        <v>59</v>
      </c>
      <c r="K383" s="254" t="n"/>
    </row>
    <row r="384">
      <c r="B384" s="254" t="inlineStr">
        <is>
          <t>2026-09-26</t>
        </is>
      </c>
      <c r="C384" s="254" t="inlineStr">
        <is>
          <t>non-licensed</t>
        </is>
      </c>
      <c r="D384" s="254" t="inlineStr">
        <is>
          <t>clean</t>
        </is>
      </c>
      <c r="E384" s="254" t="inlineStr">
        <is>
          <t>heavy</t>
        </is>
      </c>
      <c r="F384" s="254" t="inlineStr">
        <is>
          <t>virtual_bid_live_bid</t>
        </is>
      </c>
      <c r="G384" s="254" t="inlineStr">
        <is>
          <t>any</t>
        </is>
      </c>
      <c r="H384" s="251" t="n">
        <v>1000</v>
      </c>
      <c r="I384" s="251" t="n">
        <v>1499.99</v>
      </c>
      <c r="J384" s="251" t="n">
        <v>79</v>
      </c>
      <c r="K384" s="254" t="n"/>
    </row>
    <row r="385">
      <c r="B385" s="254" t="inlineStr">
        <is>
          <t>2026-09-26</t>
        </is>
      </c>
      <c r="C385" s="254" t="inlineStr">
        <is>
          <t>non-licensed</t>
        </is>
      </c>
      <c r="D385" s="254" t="inlineStr">
        <is>
          <t>clean</t>
        </is>
      </c>
      <c r="E385" s="254" t="inlineStr">
        <is>
          <t>heavy</t>
        </is>
      </c>
      <c r="F385" s="254" t="inlineStr">
        <is>
          <t>virtual_bid_live_bid</t>
        </is>
      </c>
      <c r="G385" s="254" t="inlineStr">
        <is>
          <t>any</t>
        </is>
      </c>
      <c r="H385" s="251" t="n">
        <v>1500</v>
      </c>
      <c r="I385" s="251" t="n">
        <v>1999.99</v>
      </c>
      <c r="J385" s="251" t="n">
        <v>89</v>
      </c>
      <c r="K385" s="254" t="n"/>
    </row>
    <row r="386">
      <c r="B386" s="254" t="inlineStr">
        <is>
          <t>2026-09-26</t>
        </is>
      </c>
      <c r="C386" s="254" t="inlineStr">
        <is>
          <t>non-licensed</t>
        </is>
      </c>
      <c r="D386" s="254" t="inlineStr">
        <is>
          <t>clean</t>
        </is>
      </c>
      <c r="E386" s="254" t="inlineStr">
        <is>
          <t>heavy</t>
        </is>
      </c>
      <c r="F386" s="254" t="inlineStr">
        <is>
          <t>virtual_bid_live_bid</t>
        </is>
      </c>
      <c r="G386" s="254" t="inlineStr">
        <is>
          <t>any</t>
        </is>
      </c>
      <c r="H386" s="251" t="n">
        <v>2000</v>
      </c>
      <c r="I386" s="251" t="n">
        <v>3999.99</v>
      </c>
      <c r="J386" s="251" t="n">
        <v>99</v>
      </c>
      <c r="K386" s="254" t="n"/>
    </row>
    <row r="387">
      <c r="B387" s="254" t="inlineStr">
        <is>
          <t>2026-09-26</t>
        </is>
      </c>
      <c r="C387" s="254" t="inlineStr">
        <is>
          <t>non-licensed</t>
        </is>
      </c>
      <c r="D387" s="254" t="inlineStr">
        <is>
          <t>clean</t>
        </is>
      </c>
      <c r="E387" s="254" t="inlineStr">
        <is>
          <t>heavy</t>
        </is>
      </c>
      <c r="F387" s="254" t="inlineStr">
        <is>
          <t>virtual_bid_live_bid</t>
        </is>
      </c>
      <c r="G387" s="254" t="inlineStr">
        <is>
          <t>any</t>
        </is>
      </c>
      <c r="H387" s="251" t="n">
        <v>4000</v>
      </c>
      <c r="I387" s="251" t="n">
        <v>5999.99</v>
      </c>
      <c r="J387" s="251" t="n">
        <v>109</v>
      </c>
      <c r="K387" s="254" t="n"/>
    </row>
    <row r="388">
      <c r="B388" s="254" t="inlineStr">
        <is>
          <t>2026-09-26</t>
        </is>
      </c>
      <c r="C388" s="254" t="inlineStr">
        <is>
          <t>non-licensed</t>
        </is>
      </c>
      <c r="D388" s="254" t="inlineStr">
        <is>
          <t>clean</t>
        </is>
      </c>
      <c r="E388" s="254" t="inlineStr">
        <is>
          <t>heavy</t>
        </is>
      </c>
      <c r="F388" s="254" t="inlineStr">
        <is>
          <t>virtual_bid_live_bid</t>
        </is>
      </c>
      <c r="G388" s="254" t="inlineStr">
        <is>
          <t>any</t>
        </is>
      </c>
      <c r="H388" s="251" t="n">
        <v>6000</v>
      </c>
      <c r="I388" s="251" t="n">
        <v>7999.99</v>
      </c>
      <c r="J388" s="251" t="n">
        <v>139</v>
      </c>
      <c r="K388" s="254" t="n"/>
    </row>
    <row r="389">
      <c r="B389" s="254" t="inlineStr">
        <is>
          <t>2026-09-26</t>
        </is>
      </c>
      <c r="C389" s="254" t="inlineStr">
        <is>
          <t>non-licensed</t>
        </is>
      </c>
      <c r="D389" s="254" t="inlineStr">
        <is>
          <t>clean</t>
        </is>
      </c>
      <c r="E389" s="254" t="inlineStr">
        <is>
          <t>heavy</t>
        </is>
      </c>
      <c r="F389" s="254" t="inlineStr">
        <is>
          <t>virtual_bid_live_bid</t>
        </is>
      </c>
      <c r="G389" s="254" t="inlineStr">
        <is>
          <t>any</t>
        </is>
      </c>
      <c r="H389" s="251" t="n">
        <v>8000</v>
      </c>
      <c r="I389" s="254" t="n"/>
      <c r="J389" s="251" t="n">
        <v>149</v>
      </c>
      <c r="K389" s="254" t="n"/>
    </row>
    <row r="390">
      <c r="B390" s="254" t="inlineStr">
        <is>
          <t>2026-09-26</t>
        </is>
      </c>
      <c r="C390" s="254" t="inlineStr">
        <is>
          <t>non-licensed</t>
        </is>
      </c>
      <c r="D390" s="254" t="inlineStr">
        <is>
          <t>clean</t>
        </is>
      </c>
      <c r="E390" s="254" t="inlineStr">
        <is>
          <t>heavy</t>
        </is>
      </c>
      <c r="F390" s="254" t="inlineStr">
        <is>
          <t>gate_fee</t>
        </is>
      </c>
      <c r="G390" s="254" t="inlineStr">
        <is>
          <t>any</t>
        </is>
      </c>
      <c r="H390" s="251" t="n">
        <v>0</v>
      </c>
      <c r="I390" s="254" t="n"/>
      <c r="J390" s="251" t="n">
        <v>79</v>
      </c>
      <c r="K390" s="254" t="n"/>
    </row>
    <row r="391">
      <c r="B391" s="254" t="inlineStr">
        <is>
          <t>2026-09-26</t>
        </is>
      </c>
      <c r="C391" s="254" t="inlineStr">
        <is>
          <t>licensed-high-volume</t>
        </is>
      </c>
      <c r="D391" s="254" t="inlineStr">
        <is>
          <t>clean</t>
        </is>
      </c>
      <c r="E391" s="254" t="inlineStr">
        <is>
          <t>standard</t>
        </is>
      </c>
      <c r="F391" s="254" t="inlineStr">
        <is>
          <t>buyer_fee</t>
        </is>
      </c>
      <c r="G391" s="254" t="inlineStr">
        <is>
          <t>secured</t>
        </is>
      </c>
      <c r="H391" s="251" t="n">
        <v>0</v>
      </c>
      <c r="I391" s="251" t="n">
        <v>49.99</v>
      </c>
      <c r="J391" s="251" t="n">
        <v>1</v>
      </c>
      <c r="K391" s="254" t="n"/>
    </row>
    <row r="392">
      <c r="B392" s="254" t="inlineStr">
        <is>
          <t>2026-09-26</t>
        </is>
      </c>
      <c r="C392" s="254" t="inlineStr">
        <is>
          <t>licensed-high-volume</t>
        </is>
      </c>
      <c r="D392" s="254" t="inlineStr">
        <is>
          <t>clean</t>
        </is>
      </c>
      <c r="E392" s="254" t="inlineStr">
        <is>
          <t>standard</t>
        </is>
      </c>
      <c r="F392" s="254" t="inlineStr">
        <is>
          <t>buyer_fee</t>
        </is>
      </c>
      <c r="G392" s="254" t="inlineStr">
        <is>
          <t>secured</t>
        </is>
      </c>
      <c r="H392" s="251" t="n">
        <v>50</v>
      </c>
      <c r="I392" s="251" t="n">
        <v>99.98999999999999</v>
      </c>
      <c r="J392" s="251" t="n">
        <v>1</v>
      </c>
      <c r="K392" s="254" t="n"/>
    </row>
    <row r="393">
      <c r="B393" s="254" t="inlineStr">
        <is>
          <t>2026-09-26</t>
        </is>
      </c>
      <c r="C393" s="254" t="inlineStr">
        <is>
          <t>licensed-high-volume</t>
        </is>
      </c>
      <c r="D393" s="254" t="inlineStr">
        <is>
          <t>clean</t>
        </is>
      </c>
      <c r="E393" s="254" t="inlineStr">
        <is>
          <t>standard</t>
        </is>
      </c>
      <c r="F393" s="254" t="inlineStr">
        <is>
          <t>buyer_fee</t>
        </is>
      </c>
      <c r="G393" s="254" t="inlineStr">
        <is>
          <t>secured</t>
        </is>
      </c>
      <c r="H393" s="251" t="n">
        <v>100</v>
      </c>
      <c r="I393" s="251" t="n">
        <v>199.99</v>
      </c>
      <c r="J393" s="251" t="n">
        <v>25</v>
      </c>
      <c r="K393" s="254" t="n"/>
    </row>
    <row r="394">
      <c r="B394" s="254" t="inlineStr">
        <is>
          <t>2026-09-26</t>
        </is>
      </c>
      <c r="C394" s="254" t="inlineStr">
        <is>
          <t>licensed-high-volume</t>
        </is>
      </c>
      <c r="D394" s="254" t="inlineStr">
        <is>
          <t>clean</t>
        </is>
      </c>
      <c r="E394" s="254" t="inlineStr">
        <is>
          <t>standard</t>
        </is>
      </c>
      <c r="F394" s="254" t="inlineStr">
        <is>
          <t>buyer_fee</t>
        </is>
      </c>
      <c r="G394" s="254" t="inlineStr">
        <is>
          <t>secured</t>
        </is>
      </c>
      <c r="H394" s="251" t="n">
        <v>200</v>
      </c>
      <c r="I394" s="251" t="n">
        <v>299.99</v>
      </c>
      <c r="J394" s="251" t="n">
        <v>50</v>
      </c>
      <c r="K394" s="254" t="n"/>
    </row>
    <row r="395">
      <c r="B395" s="254" t="inlineStr">
        <is>
          <t>2026-09-26</t>
        </is>
      </c>
      <c r="C395" s="254" t="inlineStr">
        <is>
          <t>licensed-high-volume</t>
        </is>
      </c>
      <c r="D395" s="254" t="inlineStr">
        <is>
          <t>clean</t>
        </is>
      </c>
      <c r="E395" s="254" t="inlineStr">
        <is>
          <t>standard</t>
        </is>
      </c>
      <c r="F395" s="254" t="inlineStr">
        <is>
          <t>buyer_fee</t>
        </is>
      </c>
      <c r="G395" s="254" t="inlineStr">
        <is>
          <t>secured</t>
        </is>
      </c>
      <c r="H395" s="251" t="n">
        <v>300</v>
      </c>
      <c r="I395" s="251" t="n">
        <v>349.99</v>
      </c>
      <c r="J395" s="251" t="n">
        <v>75</v>
      </c>
      <c r="K395" s="254" t="n"/>
    </row>
    <row r="396">
      <c r="B396" s="254" t="inlineStr">
        <is>
          <t>2026-09-26</t>
        </is>
      </c>
      <c r="C396" s="254" t="inlineStr">
        <is>
          <t>licensed-high-volume</t>
        </is>
      </c>
      <c r="D396" s="254" t="inlineStr">
        <is>
          <t>clean</t>
        </is>
      </c>
      <c r="E396" s="254" t="inlineStr">
        <is>
          <t>standard</t>
        </is>
      </c>
      <c r="F396" s="254" t="inlineStr">
        <is>
          <t>buyer_fee</t>
        </is>
      </c>
      <c r="G396" s="254" t="inlineStr">
        <is>
          <t>secured</t>
        </is>
      </c>
      <c r="H396" s="251" t="n">
        <v>350</v>
      </c>
      <c r="I396" s="251" t="n">
        <v>399.99</v>
      </c>
      <c r="J396" s="251" t="n">
        <v>75</v>
      </c>
      <c r="K396" s="254" t="n"/>
    </row>
    <row r="397">
      <c r="B397" s="254" t="inlineStr">
        <is>
          <t>2026-09-26</t>
        </is>
      </c>
      <c r="C397" s="254" t="inlineStr">
        <is>
          <t>licensed-high-volume</t>
        </is>
      </c>
      <c r="D397" s="254" t="inlineStr">
        <is>
          <t>clean</t>
        </is>
      </c>
      <c r="E397" s="254" t="inlineStr">
        <is>
          <t>standard</t>
        </is>
      </c>
      <c r="F397" s="254" t="inlineStr">
        <is>
          <t>buyer_fee</t>
        </is>
      </c>
      <c r="G397" s="254" t="inlineStr">
        <is>
          <t>secured</t>
        </is>
      </c>
      <c r="H397" s="251" t="n">
        <v>400</v>
      </c>
      <c r="I397" s="251" t="n">
        <v>449.99</v>
      </c>
      <c r="J397" s="251" t="n">
        <v>110</v>
      </c>
      <c r="K397" s="254" t="n"/>
    </row>
    <row r="398">
      <c r="B398" s="254" t="inlineStr">
        <is>
          <t>2026-09-26</t>
        </is>
      </c>
      <c r="C398" s="254" t="inlineStr">
        <is>
          <t>licensed-high-volume</t>
        </is>
      </c>
      <c r="D398" s="254" t="inlineStr">
        <is>
          <t>clean</t>
        </is>
      </c>
      <c r="E398" s="254" t="inlineStr">
        <is>
          <t>standard</t>
        </is>
      </c>
      <c r="F398" s="254" t="inlineStr">
        <is>
          <t>buyer_fee</t>
        </is>
      </c>
      <c r="G398" s="254" t="inlineStr">
        <is>
          <t>secured</t>
        </is>
      </c>
      <c r="H398" s="251" t="n">
        <v>450</v>
      </c>
      <c r="I398" s="251" t="n">
        <v>499.99</v>
      </c>
      <c r="J398" s="251" t="n">
        <v>110</v>
      </c>
      <c r="K398" s="254" t="n"/>
    </row>
    <row r="399">
      <c r="B399" s="254" t="inlineStr">
        <is>
          <t>2026-09-26</t>
        </is>
      </c>
      <c r="C399" s="254" t="inlineStr">
        <is>
          <t>licensed-high-volume</t>
        </is>
      </c>
      <c r="D399" s="254" t="inlineStr">
        <is>
          <t>clean</t>
        </is>
      </c>
      <c r="E399" s="254" t="inlineStr">
        <is>
          <t>standard</t>
        </is>
      </c>
      <c r="F399" s="254" t="inlineStr">
        <is>
          <t>buyer_fee</t>
        </is>
      </c>
      <c r="G399" s="254" t="inlineStr">
        <is>
          <t>secured</t>
        </is>
      </c>
      <c r="H399" s="251" t="n">
        <v>500</v>
      </c>
      <c r="I399" s="251" t="n">
        <v>549.99</v>
      </c>
      <c r="J399" s="251" t="n">
        <v>125</v>
      </c>
      <c r="K399" s="254" t="n"/>
    </row>
    <row r="400">
      <c r="B400" s="254" t="inlineStr">
        <is>
          <t>2026-09-26</t>
        </is>
      </c>
      <c r="C400" s="254" t="inlineStr">
        <is>
          <t>licensed-high-volume</t>
        </is>
      </c>
      <c r="D400" s="254" t="inlineStr">
        <is>
          <t>clean</t>
        </is>
      </c>
      <c r="E400" s="254" t="inlineStr">
        <is>
          <t>standard</t>
        </is>
      </c>
      <c r="F400" s="254" t="inlineStr">
        <is>
          <t>buyer_fee</t>
        </is>
      </c>
      <c r="G400" s="254" t="inlineStr">
        <is>
          <t>secured</t>
        </is>
      </c>
      <c r="H400" s="251" t="n">
        <v>550</v>
      </c>
      <c r="I400" s="251" t="n">
        <v>599.99</v>
      </c>
      <c r="J400" s="251" t="n">
        <v>130</v>
      </c>
      <c r="K400" s="254" t="n"/>
    </row>
    <row r="401">
      <c r="B401" s="254" t="inlineStr">
        <is>
          <t>2026-09-26</t>
        </is>
      </c>
      <c r="C401" s="254" t="inlineStr">
        <is>
          <t>licensed-high-volume</t>
        </is>
      </c>
      <c r="D401" s="254" t="inlineStr">
        <is>
          <t>clean</t>
        </is>
      </c>
      <c r="E401" s="254" t="inlineStr">
        <is>
          <t>standard</t>
        </is>
      </c>
      <c r="F401" s="254" t="inlineStr">
        <is>
          <t>buyer_fee</t>
        </is>
      </c>
      <c r="G401" s="254" t="inlineStr">
        <is>
          <t>secured</t>
        </is>
      </c>
      <c r="H401" s="251" t="n">
        <v>600</v>
      </c>
      <c r="I401" s="251" t="n">
        <v>699.99</v>
      </c>
      <c r="J401" s="251" t="n">
        <v>140</v>
      </c>
      <c r="K401" s="254" t="n"/>
    </row>
    <row r="402">
      <c r="B402" s="254" t="inlineStr">
        <is>
          <t>2026-09-26</t>
        </is>
      </c>
      <c r="C402" s="254" t="inlineStr">
        <is>
          <t>licensed-high-volume</t>
        </is>
      </c>
      <c r="D402" s="254" t="inlineStr">
        <is>
          <t>clean</t>
        </is>
      </c>
      <c r="E402" s="254" t="inlineStr">
        <is>
          <t>standard</t>
        </is>
      </c>
      <c r="F402" s="254" t="inlineStr">
        <is>
          <t>buyer_fee</t>
        </is>
      </c>
      <c r="G402" s="254" t="inlineStr">
        <is>
          <t>secured</t>
        </is>
      </c>
      <c r="H402" s="251" t="n">
        <v>700</v>
      </c>
      <c r="I402" s="251" t="n">
        <v>799.99</v>
      </c>
      <c r="J402" s="251" t="n">
        <v>155</v>
      </c>
      <c r="K402" s="254" t="n"/>
    </row>
    <row r="403">
      <c r="B403" s="254" t="inlineStr">
        <is>
          <t>2026-09-26</t>
        </is>
      </c>
      <c r="C403" s="254" t="inlineStr">
        <is>
          <t>licensed-high-volume</t>
        </is>
      </c>
      <c r="D403" s="254" t="inlineStr">
        <is>
          <t>clean</t>
        </is>
      </c>
      <c r="E403" s="254" t="inlineStr">
        <is>
          <t>standard</t>
        </is>
      </c>
      <c r="F403" s="254" t="inlineStr">
        <is>
          <t>buyer_fee</t>
        </is>
      </c>
      <c r="G403" s="254" t="inlineStr">
        <is>
          <t>secured</t>
        </is>
      </c>
      <c r="H403" s="251" t="n">
        <v>800</v>
      </c>
      <c r="I403" s="251" t="n">
        <v>899.99</v>
      </c>
      <c r="J403" s="251" t="n">
        <v>170</v>
      </c>
      <c r="K403" s="254" t="n"/>
    </row>
    <row r="404">
      <c r="B404" s="254" t="inlineStr">
        <is>
          <t>2026-09-26</t>
        </is>
      </c>
      <c r="C404" s="254" t="inlineStr">
        <is>
          <t>licensed-high-volume</t>
        </is>
      </c>
      <c r="D404" s="254" t="inlineStr">
        <is>
          <t>clean</t>
        </is>
      </c>
      <c r="E404" s="254" t="inlineStr">
        <is>
          <t>standard</t>
        </is>
      </c>
      <c r="F404" s="254" t="inlineStr">
        <is>
          <t>buyer_fee</t>
        </is>
      </c>
      <c r="G404" s="254" t="inlineStr">
        <is>
          <t>secured</t>
        </is>
      </c>
      <c r="H404" s="251" t="n">
        <v>900</v>
      </c>
      <c r="I404" s="251" t="n">
        <v>999.99</v>
      </c>
      <c r="J404" s="251" t="n">
        <v>185</v>
      </c>
      <c r="K404" s="254" t="n"/>
    </row>
    <row r="405">
      <c r="B405" s="254" t="inlineStr">
        <is>
          <t>2026-09-26</t>
        </is>
      </c>
      <c r="C405" s="254" t="inlineStr">
        <is>
          <t>licensed-high-volume</t>
        </is>
      </c>
      <c r="D405" s="254" t="inlineStr">
        <is>
          <t>clean</t>
        </is>
      </c>
      <c r="E405" s="254" t="inlineStr">
        <is>
          <t>standard</t>
        </is>
      </c>
      <c r="F405" s="254" t="inlineStr">
        <is>
          <t>buyer_fee</t>
        </is>
      </c>
      <c r="G405" s="254" t="inlineStr">
        <is>
          <t>secured</t>
        </is>
      </c>
      <c r="H405" s="251" t="n">
        <v>1000</v>
      </c>
      <c r="I405" s="251" t="n">
        <v>1199.99</v>
      </c>
      <c r="J405" s="251" t="n">
        <v>200</v>
      </c>
      <c r="K405" s="254" t="n"/>
    </row>
    <row r="406">
      <c r="B406" s="254" t="inlineStr">
        <is>
          <t>2026-09-26</t>
        </is>
      </c>
      <c r="C406" s="254" t="inlineStr">
        <is>
          <t>licensed-high-volume</t>
        </is>
      </c>
      <c r="D406" s="254" t="inlineStr">
        <is>
          <t>clean</t>
        </is>
      </c>
      <c r="E406" s="254" t="inlineStr">
        <is>
          <t>standard</t>
        </is>
      </c>
      <c r="F406" s="254" t="inlineStr">
        <is>
          <t>buyer_fee</t>
        </is>
      </c>
      <c r="G406" s="254" t="inlineStr">
        <is>
          <t>secured</t>
        </is>
      </c>
      <c r="H406" s="251" t="n">
        <v>1200</v>
      </c>
      <c r="I406" s="251" t="n">
        <v>1299.99</v>
      </c>
      <c r="J406" s="251" t="n">
        <v>225</v>
      </c>
      <c r="K406" s="254" t="n"/>
    </row>
    <row r="407">
      <c r="B407" s="254" t="inlineStr">
        <is>
          <t>2026-09-26</t>
        </is>
      </c>
      <c r="C407" s="254" t="inlineStr">
        <is>
          <t>licensed-high-volume</t>
        </is>
      </c>
      <c r="D407" s="254" t="inlineStr">
        <is>
          <t>clean</t>
        </is>
      </c>
      <c r="E407" s="254" t="inlineStr">
        <is>
          <t>standard</t>
        </is>
      </c>
      <c r="F407" s="254" t="inlineStr">
        <is>
          <t>buyer_fee</t>
        </is>
      </c>
      <c r="G407" s="254" t="inlineStr">
        <is>
          <t>secured</t>
        </is>
      </c>
      <c r="H407" s="251" t="n">
        <v>1300</v>
      </c>
      <c r="I407" s="251" t="n">
        <v>1399.99</v>
      </c>
      <c r="J407" s="251" t="n">
        <v>240</v>
      </c>
      <c r="K407" s="254" t="n"/>
    </row>
    <row r="408">
      <c r="B408" s="254" t="inlineStr">
        <is>
          <t>2026-09-26</t>
        </is>
      </c>
      <c r="C408" s="254" t="inlineStr">
        <is>
          <t>licensed-high-volume</t>
        </is>
      </c>
      <c r="D408" s="254" t="inlineStr">
        <is>
          <t>clean</t>
        </is>
      </c>
      <c r="E408" s="254" t="inlineStr">
        <is>
          <t>standard</t>
        </is>
      </c>
      <c r="F408" s="254" t="inlineStr">
        <is>
          <t>buyer_fee</t>
        </is>
      </c>
      <c r="G408" s="254" t="inlineStr">
        <is>
          <t>secured</t>
        </is>
      </c>
      <c r="H408" s="251" t="n">
        <v>1400</v>
      </c>
      <c r="I408" s="251" t="n">
        <v>1499.99</v>
      </c>
      <c r="J408" s="251" t="n">
        <v>250</v>
      </c>
      <c r="K408" s="254" t="n"/>
    </row>
    <row r="409">
      <c r="B409" s="254" t="inlineStr">
        <is>
          <t>2026-09-26</t>
        </is>
      </c>
      <c r="C409" s="254" t="inlineStr">
        <is>
          <t>licensed-high-volume</t>
        </is>
      </c>
      <c r="D409" s="254" t="inlineStr">
        <is>
          <t>clean</t>
        </is>
      </c>
      <c r="E409" s="254" t="inlineStr">
        <is>
          <t>standard</t>
        </is>
      </c>
      <c r="F409" s="254" t="inlineStr">
        <is>
          <t>buyer_fee</t>
        </is>
      </c>
      <c r="G409" s="254" t="inlineStr">
        <is>
          <t>secured</t>
        </is>
      </c>
      <c r="H409" s="251" t="n">
        <v>1500</v>
      </c>
      <c r="I409" s="251" t="n">
        <v>1599.99</v>
      </c>
      <c r="J409" s="251" t="n">
        <v>260</v>
      </c>
      <c r="K409" s="254" t="n"/>
    </row>
    <row r="410">
      <c r="B410" s="254" t="inlineStr">
        <is>
          <t>2026-09-26</t>
        </is>
      </c>
      <c r="C410" s="254" t="inlineStr">
        <is>
          <t>licensed-high-volume</t>
        </is>
      </c>
      <c r="D410" s="254" t="inlineStr">
        <is>
          <t>clean</t>
        </is>
      </c>
      <c r="E410" s="254" t="inlineStr">
        <is>
          <t>standard</t>
        </is>
      </c>
      <c r="F410" s="254" t="inlineStr">
        <is>
          <t>buyer_fee</t>
        </is>
      </c>
      <c r="G410" s="254" t="inlineStr">
        <is>
          <t>secured</t>
        </is>
      </c>
      <c r="H410" s="251" t="n">
        <v>1600</v>
      </c>
      <c r="I410" s="251" t="n">
        <v>1699.99</v>
      </c>
      <c r="J410" s="251" t="n">
        <v>275</v>
      </c>
      <c r="K410" s="254" t="n"/>
    </row>
    <row r="411">
      <c r="B411" s="254" t="inlineStr">
        <is>
          <t>2026-09-26</t>
        </is>
      </c>
      <c r="C411" s="254" t="inlineStr">
        <is>
          <t>licensed-high-volume</t>
        </is>
      </c>
      <c r="D411" s="254" t="inlineStr">
        <is>
          <t>clean</t>
        </is>
      </c>
      <c r="E411" s="254" t="inlineStr">
        <is>
          <t>standard</t>
        </is>
      </c>
      <c r="F411" s="254" t="inlineStr">
        <is>
          <t>buyer_fee</t>
        </is>
      </c>
      <c r="G411" s="254" t="inlineStr">
        <is>
          <t>secured</t>
        </is>
      </c>
      <c r="H411" s="251" t="n">
        <v>1700</v>
      </c>
      <c r="I411" s="251" t="n">
        <v>1799.99</v>
      </c>
      <c r="J411" s="251" t="n">
        <v>285</v>
      </c>
      <c r="K411" s="254" t="n"/>
    </row>
    <row r="412">
      <c r="B412" s="254" t="inlineStr">
        <is>
          <t>2026-09-26</t>
        </is>
      </c>
      <c r="C412" s="254" t="inlineStr">
        <is>
          <t>licensed-high-volume</t>
        </is>
      </c>
      <c r="D412" s="254" t="inlineStr">
        <is>
          <t>clean</t>
        </is>
      </c>
      <c r="E412" s="254" t="inlineStr">
        <is>
          <t>standard</t>
        </is>
      </c>
      <c r="F412" s="254" t="inlineStr">
        <is>
          <t>buyer_fee</t>
        </is>
      </c>
      <c r="G412" s="254" t="inlineStr">
        <is>
          <t>secured</t>
        </is>
      </c>
      <c r="H412" s="251" t="n">
        <v>1800</v>
      </c>
      <c r="I412" s="251" t="n">
        <v>1999.99</v>
      </c>
      <c r="J412" s="251" t="n">
        <v>300</v>
      </c>
      <c r="K412" s="254" t="n"/>
    </row>
    <row r="413">
      <c r="B413" s="254" t="inlineStr">
        <is>
          <t>2026-09-26</t>
        </is>
      </c>
      <c r="C413" s="254" t="inlineStr">
        <is>
          <t>licensed-high-volume</t>
        </is>
      </c>
      <c r="D413" s="254" t="inlineStr">
        <is>
          <t>clean</t>
        </is>
      </c>
      <c r="E413" s="254" t="inlineStr">
        <is>
          <t>standard</t>
        </is>
      </c>
      <c r="F413" s="254" t="inlineStr">
        <is>
          <t>buyer_fee</t>
        </is>
      </c>
      <c r="G413" s="254" t="inlineStr">
        <is>
          <t>secured</t>
        </is>
      </c>
      <c r="H413" s="251" t="n">
        <v>2000</v>
      </c>
      <c r="I413" s="251" t="n">
        <v>2399.99</v>
      </c>
      <c r="J413" s="251" t="n">
        <v>325</v>
      </c>
      <c r="K413" s="254" t="n"/>
    </row>
    <row r="414">
      <c r="B414" s="254" t="inlineStr">
        <is>
          <t>2026-09-26</t>
        </is>
      </c>
      <c r="C414" s="254" t="inlineStr">
        <is>
          <t>licensed-high-volume</t>
        </is>
      </c>
      <c r="D414" s="254" t="inlineStr">
        <is>
          <t>clean</t>
        </is>
      </c>
      <c r="E414" s="254" t="inlineStr">
        <is>
          <t>standard</t>
        </is>
      </c>
      <c r="F414" s="254" t="inlineStr">
        <is>
          <t>buyer_fee</t>
        </is>
      </c>
      <c r="G414" s="254" t="inlineStr">
        <is>
          <t>secured</t>
        </is>
      </c>
      <c r="H414" s="251" t="n">
        <v>2400</v>
      </c>
      <c r="I414" s="251" t="n">
        <v>2499.99</v>
      </c>
      <c r="J414" s="251" t="n">
        <v>335</v>
      </c>
      <c r="K414" s="254" t="n"/>
    </row>
    <row r="415">
      <c r="B415" s="254" t="inlineStr">
        <is>
          <t>2026-09-26</t>
        </is>
      </c>
      <c r="C415" s="254" t="inlineStr">
        <is>
          <t>licensed-high-volume</t>
        </is>
      </c>
      <c r="D415" s="254" t="inlineStr">
        <is>
          <t>clean</t>
        </is>
      </c>
      <c r="E415" s="254" t="inlineStr">
        <is>
          <t>standard</t>
        </is>
      </c>
      <c r="F415" s="254" t="inlineStr">
        <is>
          <t>buyer_fee</t>
        </is>
      </c>
      <c r="G415" s="254" t="inlineStr">
        <is>
          <t>secured</t>
        </is>
      </c>
      <c r="H415" s="251" t="n">
        <v>2500</v>
      </c>
      <c r="I415" s="251" t="n">
        <v>2999.99</v>
      </c>
      <c r="J415" s="251" t="n">
        <v>350</v>
      </c>
      <c r="K415" s="254" t="n"/>
    </row>
    <row r="416">
      <c r="B416" s="254" t="inlineStr">
        <is>
          <t>2026-09-26</t>
        </is>
      </c>
      <c r="C416" s="254" t="inlineStr">
        <is>
          <t>licensed-high-volume</t>
        </is>
      </c>
      <c r="D416" s="254" t="inlineStr">
        <is>
          <t>clean</t>
        </is>
      </c>
      <c r="E416" s="254" t="inlineStr">
        <is>
          <t>standard</t>
        </is>
      </c>
      <c r="F416" s="254" t="inlineStr">
        <is>
          <t>buyer_fee</t>
        </is>
      </c>
      <c r="G416" s="254" t="inlineStr">
        <is>
          <t>secured</t>
        </is>
      </c>
      <c r="H416" s="251" t="n">
        <v>3000</v>
      </c>
      <c r="I416" s="251" t="n">
        <v>3499.99</v>
      </c>
      <c r="J416" s="251" t="n">
        <v>400</v>
      </c>
      <c r="K416" s="254" t="n"/>
    </row>
    <row r="417">
      <c r="B417" s="254" t="inlineStr">
        <is>
          <t>2026-09-26</t>
        </is>
      </c>
      <c r="C417" s="254" t="inlineStr">
        <is>
          <t>licensed-high-volume</t>
        </is>
      </c>
      <c r="D417" s="254" t="inlineStr">
        <is>
          <t>clean</t>
        </is>
      </c>
      <c r="E417" s="254" t="inlineStr">
        <is>
          <t>standard</t>
        </is>
      </c>
      <c r="F417" s="254" t="inlineStr">
        <is>
          <t>buyer_fee</t>
        </is>
      </c>
      <c r="G417" s="254" t="inlineStr">
        <is>
          <t>secured</t>
        </is>
      </c>
      <c r="H417" s="251" t="n">
        <v>3500</v>
      </c>
      <c r="I417" s="251" t="n">
        <v>3999.99</v>
      </c>
      <c r="J417" s="251" t="n">
        <v>455</v>
      </c>
      <c r="K417" s="254" t="n"/>
    </row>
    <row r="418">
      <c r="B418" s="254" t="inlineStr">
        <is>
          <t>2026-09-26</t>
        </is>
      </c>
      <c r="C418" s="254" t="inlineStr">
        <is>
          <t>licensed-high-volume</t>
        </is>
      </c>
      <c r="D418" s="254" t="inlineStr">
        <is>
          <t>clean</t>
        </is>
      </c>
      <c r="E418" s="254" t="inlineStr">
        <is>
          <t>standard</t>
        </is>
      </c>
      <c r="F418" s="254" t="inlineStr">
        <is>
          <t>buyer_fee</t>
        </is>
      </c>
      <c r="G418" s="254" t="inlineStr">
        <is>
          <t>secured</t>
        </is>
      </c>
      <c r="H418" s="251" t="n">
        <v>4000</v>
      </c>
      <c r="I418" s="251" t="n">
        <v>4499.99</v>
      </c>
      <c r="J418" s="251" t="n">
        <v>600</v>
      </c>
      <c r="K418" s="254" t="n"/>
    </row>
    <row r="419">
      <c r="B419" s="254" t="inlineStr">
        <is>
          <t>2026-09-26</t>
        </is>
      </c>
      <c r="C419" s="254" t="inlineStr">
        <is>
          <t>licensed-high-volume</t>
        </is>
      </c>
      <c r="D419" s="254" t="inlineStr">
        <is>
          <t>clean</t>
        </is>
      </c>
      <c r="E419" s="254" t="inlineStr">
        <is>
          <t>standard</t>
        </is>
      </c>
      <c r="F419" s="254" t="inlineStr">
        <is>
          <t>buyer_fee</t>
        </is>
      </c>
      <c r="G419" s="254" t="inlineStr">
        <is>
          <t>secured</t>
        </is>
      </c>
      <c r="H419" s="251" t="n">
        <v>4500</v>
      </c>
      <c r="I419" s="251" t="n">
        <v>4999.99</v>
      </c>
      <c r="J419" s="251" t="n">
        <v>625</v>
      </c>
      <c r="K419" s="254" t="n"/>
    </row>
    <row r="420">
      <c r="B420" s="254" t="inlineStr">
        <is>
          <t>2026-09-26</t>
        </is>
      </c>
      <c r="C420" s="254" t="inlineStr">
        <is>
          <t>licensed-high-volume</t>
        </is>
      </c>
      <c r="D420" s="254" t="inlineStr">
        <is>
          <t>clean</t>
        </is>
      </c>
      <c r="E420" s="254" t="inlineStr">
        <is>
          <t>standard</t>
        </is>
      </c>
      <c r="F420" s="254" t="inlineStr">
        <is>
          <t>buyer_fee</t>
        </is>
      </c>
      <c r="G420" s="254" t="inlineStr">
        <is>
          <t>secured</t>
        </is>
      </c>
      <c r="H420" s="251" t="n">
        <v>5000</v>
      </c>
      <c r="I420" s="251" t="n">
        <v>5499.99</v>
      </c>
      <c r="J420" s="251" t="n">
        <v>625</v>
      </c>
      <c r="K420" s="254" t="n"/>
    </row>
    <row r="421">
      <c r="B421" s="254" t="inlineStr">
        <is>
          <t>2026-09-26</t>
        </is>
      </c>
      <c r="C421" s="254" t="inlineStr">
        <is>
          <t>licensed-high-volume</t>
        </is>
      </c>
      <c r="D421" s="254" t="inlineStr">
        <is>
          <t>clean</t>
        </is>
      </c>
      <c r="E421" s="254" t="inlineStr">
        <is>
          <t>standard</t>
        </is>
      </c>
      <c r="F421" s="254" t="inlineStr">
        <is>
          <t>buyer_fee</t>
        </is>
      </c>
      <c r="G421" s="254" t="inlineStr">
        <is>
          <t>secured</t>
        </is>
      </c>
      <c r="H421" s="251" t="n">
        <v>5500</v>
      </c>
      <c r="I421" s="251" t="n">
        <v>5999.99</v>
      </c>
      <c r="J421" s="251" t="n">
        <v>625</v>
      </c>
      <c r="K421" s="254" t="n"/>
    </row>
    <row r="422">
      <c r="B422" s="254" t="inlineStr">
        <is>
          <t>2026-09-26</t>
        </is>
      </c>
      <c r="C422" s="254" t="inlineStr">
        <is>
          <t>licensed-high-volume</t>
        </is>
      </c>
      <c r="D422" s="254" t="inlineStr">
        <is>
          <t>clean</t>
        </is>
      </c>
      <c r="E422" s="254" t="inlineStr">
        <is>
          <t>standard</t>
        </is>
      </c>
      <c r="F422" s="254" t="inlineStr">
        <is>
          <t>buyer_fee</t>
        </is>
      </c>
      <c r="G422" s="254" t="inlineStr">
        <is>
          <t>secured</t>
        </is>
      </c>
      <c r="H422" s="251" t="n">
        <v>6000</v>
      </c>
      <c r="I422" s="251" t="n">
        <v>6499.99</v>
      </c>
      <c r="J422" s="251" t="n">
        <v>675</v>
      </c>
      <c r="K422" s="254" t="n"/>
    </row>
    <row r="423">
      <c r="B423" s="254" t="inlineStr">
        <is>
          <t>2026-09-26</t>
        </is>
      </c>
      <c r="C423" s="254" t="inlineStr">
        <is>
          <t>licensed-high-volume</t>
        </is>
      </c>
      <c r="D423" s="254" t="inlineStr">
        <is>
          <t>clean</t>
        </is>
      </c>
      <c r="E423" s="254" t="inlineStr">
        <is>
          <t>standard</t>
        </is>
      </c>
      <c r="F423" s="254" t="inlineStr">
        <is>
          <t>buyer_fee</t>
        </is>
      </c>
      <c r="G423" s="254" t="inlineStr">
        <is>
          <t>secured</t>
        </is>
      </c>
      <c r="H423" s="251" t="n">
        <v>6500</v>
      </c>
      <c r="I423" s="251" t="n">
        <v>6999.99</v>
      </c>
      <c r="J423" s="251" t="n">
        <v>675</v>
      </c>
      <c r="K423" s="254" t="n"/>
    </row>
    <row r="424">
      <c r="B424" s="254" t="inlineStr">
        <is>
          <t>2026-09-26</t>
        </is>
      </c>
      <c r="C424" s="254" t="inlineStr">
        <is>
          <t>licensed-high-volume</t>
        </is>
      </c>
      <c r="D424" s="254" t="inlineStr">
        <is>
          <t>clean</t>
        </is>
      </c>
      <c r="E424" s="254" t="inlineStr">
        <is>
          <t>standard</t>
        </is>
      </c>
      <c r="F424" s="254" t="inlineStr">
        <is>
          <t>buyer_fee</t>
        </is>
      </c>
      <c r="G424" s="254" t="inlineStr">
        <is>
          <t>secured</t>
        </is>
      </c>
      <c r="H424" s="251" t="n">
        <v>7000</v>
      </c>
      <c r="I424" s="251" t="n">
        <v>7499.99</v>
      </c>
      <c r="J424" s="251" t="n">
        <v>675</v>
      </c>
      <c r="K424" s="254" t="n"/>
    </row>
    <row r="425">
      <c r="B425" s="254" t="inlineStr">
        <is>
          <t>2026-09-26</t>
        </is>
      </c>
      <c r="C425" s="254" t="inlineStr">
        <is>
          <t>licensed-high-volume</t>
        </is>
      </c>
      <c r="D425" s="254" t="inlineStr">
        <is>
          <t>clean</t>
        </is>
      </c>
      <c r="E425" s="254" t="inlineStr">
        <is>
          <t>standard</t>
        </is>
      </c>
      <c r="F425" s="254" t="inlineStr">
        <is>
          <t>buyer_fee</t>
        </is>
      </c>
      <c r="G425" s="254" t="inlineStr">
        <is>
          <t>secured</t>
        </is>
      </c>
      <c r="H425" s="251" t="n">
        <v>7500</v>
      </c>
      <c r="I425" s="251" t="n">
        <v>7999.99</v>
      </c>
      <c r="J425" s="251" t="n">
        <v>690</v>
      </c>
      <c r="K425" s="254" t="n"/>
    </row>
    <row r="426">
      <c r="B426" s="254" t="inlineStr">
        <is>
          <t>2026-09-26</t>
        </is>
      </c>
      <c r="C426" s="254" t="inlineStr">
        <is>
          <t>licensed-high-volume</t>
        </is>
      </c>
      <c r="D426" s="254" t="inlineStr">
        <is>
          <t>clean</t>
        </is>
      </c>
      <c r="E426" s="254" t="inlineStr">
        <is>
          <t>standard</t>
        </is>
      </c>
      <c r="F426" s="254" t="inlineStr">
        <is>
          <t>buyer_fee</t>
        </is>
      </c>
      <c r="G426" s="254" t="inlineStr">
        <is>
          <t>secured</t>
        </is>
      </c>
      <c r="H426" s="251" t="n">
        <v>8000</v>
      </c>
      <c r="I426" s="251" t="n">
        <v>8499.99</v>
      </c>
      <c r="J426" s="251" t="n">
        <v>715</v>
      </c>
      <c r="K426" s="254" t="n"/>
    </row>
    <row r="427">
      <c r="B427" s="254" t="inlineStr">
        <is>
          <t>2026-09-26</t>
        </is>
      </c>
      <c r="C427" s="254" t="inlineStr">
        <is>
          <t>licensed-high-volume</t>
        </is>
      </c>
      <c r="D427" s="254" t="inlineStr">
        <is>
          <t>clean</t>
        </is>
      </c>
      <c r="E427" s="254" t="inlineStr">
        <is>
          <t>standard</t>
        </is>
      </c>
      <c r="F427" s="254" t="inlineStr">
        <is>
          <t>buyer_fee</t>
        </is>
      </c>
      <c r="G427" s="254" t="inlineStr">
        <is>
          <t>secured</t>
        </is>
      </c>
      <c r="H427" s="251" t="n">
        <v>8500</v>
      </c>
      <c r="I427" s="251" t="n">
        <v>8999.99</v>
      </c>
      <c r="J427" s="251" t="n">
        <v>715</v>
      </c>
      <c r="K427" s="254" t="n"/>
    </row>
    <row r="428">
      <c r="B428" s="254" t="inlineStr">
        <is>
          <t>2026-09-26</t>
        </is>
      </c>
      <c r="C428" s="254" t="inlineStr">
        <is>
          <t>licensed-high-volume</t>
        </is>
      </c>
      <c r="D428" s="254" t="inlineStr">
        <is>
          <t>clean</t>
        </is>
      </c>
      <c r="E428" s="254" t="inlineStr">
        <is>
          <t>standard</t>
        </is>
      </c>
      <c r="F428" s="254" t="inlineStr">
        <is>
          <t>buyer_fee</t>
        </is>
      </c>
      <c r="G428" s="254" t="inlineStr">
        <is>
          <t>secured</t>
        </is>
      </c>
      <c r="H428" s="251" t="n">
        <v>9000</v>
      </c>
      <c r="I428" s="251" t="n">
        <v>9999.99</v>
      </c>
      <c r="J428" s="251" t="n">
        <v>715</v>
      </c>
      <c r="K428" s="254" t="n"/>
    </row>
    <row r="429">
      <c r="B429" s="254" t="inlineStr">
        <is>
          <t>2026-09-26</t>
        </is>
      </c>
      <c r="C429" s="254" t="inlineStr">
        <is>
          <t>licensed-high-volume</t>
        </is>
      </c>
      <c r="D429" s="254" t="inlineStr">
        <is>
          <t>clean</t>
        </is>
      </c>
      <c r="E429" s="254" t="inlineStr">
        <is>
          <t>standard</t>
        </is>
      </c>
      <c r="F429" s="254" t="inlineStr">
        <is>
          <t>buyer_fee</t>
        </is>
      </c>
      <c r="G429" s="254" t="inlineStr">
        <is>
          <t>secured</t>
        </is>
      </c>
      <c r="H429" s="251" t="n">
        <v>10000</v>
      </c>
      <c r="I429" s="251" t="n">
        <v>10499.99</v>
      </c>
      <c r="J429" s="251" t="n">
        <v>720</v>
      </c>
      <c r="K429" s="254" t="n"/>
    </row>
    <row r="430">
      <c r="B430" s="254" t="inlineStr">
        <is>
          <t>2026-09-26</t>
        </is>
      </c>
      <c r="C430" s="254" t="inlineStr">
        <is>
          <t>licensed-high-volume</t>
        </is>
      </c>
      <c r="D430" s="254" t="inlineStr">
        <is>
          <t>clean</t>
        </is>
      </c>
      <c r="E430" s="254" t="inlineStr">
        <is>
          <t>standard</t>
        </is>
      </c>
      <c r="F430" s="254" t="inlineStr">
        <is>
          <t>buyer_fee</t>
        </is>
      </c>
      <c r="G430" s="254" t="inlineStr">
        <is>
          <t>secured</t>
        </is>
      </c>
      <c r="H430" s="251" t="n">
        <v>10500</v>
      </c>
      <c r="I430" s="251" t="n">
        <v>10999.99</v>
      </c>
      <c r="J430" s="251" t="n">
        <v>720</v>
      </c>
      <c r="K430" s="254" t="n"/>
    </row>
    <row r="431">
      <c r="B431" s="254" t="inlineStr">
        <is>
          <t>2026-09-26</t>
        </is>
      </c>
      <c r="C431" s="254" t="inlineStr">
        <is>
          <t>licensed-high-volume</t>
        </is>
      </c>
      <c r="D431" s="254" t="inlineStr">
        <is>
          <t>clean</t>
        </is>
      </c>
      <c r="E431" s="254" t="inlineStr">
        <is>
          <t>standard</t>
        </is>
      </c>
      <c r="F431" s="254" t="inlineStr">
        <is>
          <t>buyer_fee</t>
        </is>
      </c>
      <c r="G431" s="254" t="inlineStr">
        <is>
          <t>secured</t>
        </is>
      </c>
      <c r="H431" s="251" t="n">
        <v>11000</v>
      </c>
      <c r="I431" s="251" t="n">
        <v>11499.99</v>
      </c>
      <c r="J431" s="251" t="n">
        <v>720</v>
      </c>
      <c r="K431" s="254" t="n"/>
    </row>
    <row r="432">
      <c r="B432" s="254" t="inlineStr">
        <is>
          <t>2026-09-26</t>
        </is>
      </c>
      <c r="C432" s="254" t="inlineStr">
        <is>
          <t>licensed-high-volume</t>
        </is>
      </c>
      <c r="D432" s="254" t="inlineStr">
        <is>
          <t>clean</t>
        </is>
      </c>
      <c r="E432" s="254" t="inlineStr">
        <is>
          <t>standard</t>
        </is>
      </c>
      <c r="F432" s="254" t="inlineStr">
        <is>
          <t>buyer_fee</t>
        </is>
      </c>
      <c r="G432" s="254" t="inlineStr">
        <is>
          <t>secured</t>
        </is>
      </c>
      <c r="H432" s="251" t="n">
        <v>11500</v>
      </c>
      <c r="I432" s="251" t="n">
        <v>11999.99</v>
      </c>
      <c r="J432" s="251" t="n">
        <v>720</v>
      </c>
      <c r="K432" s="254" t="n"/>
    </row>
    <row r="433">
      <c r="B433" s="254" t="inlineStr">
        <is>
          <t>2026-09-26</t>
        </is>
      </c>
      <c r="C433" s="254" t="inlineStr">
        <is>
          <t>licensed-high-volume</t>
        </is>
      </c>
      <c r="D433" s="254" t="inlineStr">
        <is>
          <t>clean</t>
        </is>
      </c>
      <c r="E433" s="254" t="inlineStr">
        <is>
          <t>standard</t>
        </is>
      </c>
      <c r="F433" s="254" t="inlineStr">
        <is>
          <t>buyer_fee</t>
        </is>
      </c>
      <c r="G433" s="254" t="inlineStr">
        <is>
          <t>secured</t>
        </is>
      </c>
      <c r="H433" s="251" t="n">
        <v>12000</v>
      </c>
      <c r="I433" s="251" t="n">
        <v>12499.99</v>
      </c>
      <c r="J433" s="251" t="n">
        <v>720</v>
      </c>
      <c r="K433" s="254" t="n"/>
    </row>
    <row r="434">
      <c r="B434" s="254" t="inlineStr">
        <is>
          <t>2026-09-26</t>
        </is>
      </c>
      <c r="C434" s="254" t="inlineStr">
        <is>
          <t>licensed-high-volume</t>
        </is>
      </c>
      <c r="D434" s="254" t="inlineStr">
        <is>
          <t>clean</t>
        </is>
      </c>
      <c r="E434" s="254" t="inlineStr">
        <is>
          <t>standard</t>
        </is>
      </c>
      <c r="F434" s="254" t="inlineStr">
        <is>
          <t>buyer_fee</t>
        </is>
      </c>
      <c r="G434" s="254" t="inlineStr">
        <is>
          <t>secured</t>
        </is>
      </c>
      <c r="H434" s="251" t="n">
        <v>12500</v>
      </c>
      <c r="I434" s="251" t="n">
        <v>14999.99</v>
      </c>
      <c r="J434" s="251" t="n">
        <v>720</v>
      </c>
      <c r="K434" s="254" t="n"/>
    </row>
    <row r="435">
      <c r="B435" s="254" t="inlineStr">
        <is>
          <t>2026-09-26</t>
        </is>
      </c>
      <c r="C435" s="254" t="inlineStr">
        <is>
          <t>licensed-high-volume</t>
        </is>
      </c>
      <c r="D435" s="254" t="inlineStr">
        <is>
          <t>clean</t>
        </is>
      </c>
      <c r="E435" s="254" t="inlineStr">
        <is>
          <t>standard</t>
        </is>
      </c>
      <c r="F435" s="254" t="inlineStr">
        <is>
          <t>buyer_fee</t>
        </is>
      </c>
      <c r="G435" s="254" t="inlineStr">
        <is>
          <t>secured</t>
        </is>
      </c>
      <c r="H435" s="251" t="n">
        <v>15000</v>
      </c>
      <c r="I435" s="254" t="n"/>
      <c r="J435" s="254" t="n"/>
      <c r="K435" s="251" t="n">
        <v>5.75</v>
      </c>
    </row>
    <row r="436">
      <c r="B436" s="254" t="inlineStr">
        <is>
          <t>2026-09-26</t>
        </is>
      </c>
      <c r="C436" s="254" t="inlineStr">
        <is>
          <t>licensed-high-volume</t>
        </is>
      </c>
      <c r="D436" s="254" t="inlineStr">
        <is>
          <t>clean</t>
        </is>
      </c>
      <c r="E436" s="254" t="inlineStr">
        <is>
          <t>standard</t>
        </is>
      </c>
      <c r="F436" s="254" t="inlineStr">
        <is>
          <t>buyer_fee</t>
        </is>
      </c>
      <c r="G436" s="254" t="inlineStr">
        <is>
          <t>unsecured</t>
        </is>
      </c>
      <c r="H436" s="251" t="n">
        <v>0</v>
      </c>
      <c r="I436" s="251" t="n">
        <v>49.99</v>
      </c>
      <c r="J436" s="251" t="n">
        <v>27.5</v>
      </c>
      <c r="K436" s="254" t="n"/>
    </row>
    <row r="437">
      <c r="B437" s="254" t="inlineStr">
        <is>
          <t>2026-09-26</t>
        </is>
      </c>
      <c r="C437" s="254" t="inlineStr">
        <is>
          <t>licensed-high-volume</t>
        </is>
      </c>
      <c r="D437" s="254" t="inlineStr">
        <is>
          <t>clean</t>
        </is>
      </c>
      <c r="E437" s="254" t="inlineStr">
        <is>
          <t>standard</t>
        </is>
      </c>
      <c r="F437" s="254" t="inlineStr">
        <is>
          <t>buyer_fee</t>
        </is>
      </c>
      <c r="G437" s="254" t="inlineStr">
        <is>
          <t>unsecured</t>
        </is>
      </c>
      <c r="H437" s="251" t="n">
        <v>50</v>
      </c>
      <c r="I437" s="251" t="n">
        <v>99.98999999999999</v>
      </c>
      <c r="J437" s="251" t="n">
        <v>40</v>
      </c>
      <c r="K437" s="254" t="n"/>
    </row>
    <row r="438">
      <c r="B438" s="254" t="inlineStr">
        <is>
          <t>2026-09-26</t>
        </is>
      </c>
      <c r="C438" s="254" t="inlineStr">
        <is>
          <t>licensed-high-volume</t>
        </is>
      </c>
      <c r="D438" s="254" t="inlineStr">
        <is>
          <t>clean</t>
        </is>
      </c>
      <c r="E438" s="254" t="inlineStr">
        <is>
          <t>standard</t>
        </is>
      </c>
      <c r="F438" s="254" t="inlineStr">
        <is>
          <t>buyer_fee</t>
        </is>
      </c>
      <c r="G438" s="254" t="inlineStr">
        <is>
          <t>unsecured</t>
        </is>
      </c>
      <c r="H438" s="251" t="n">
        <v>100</v>
      </c>
      <c r="I438" s="251" t="n">
        <v>199.99</v>
      </c>
      <c r="J438" s="251" t="n">
        <v>65</v>
      </c>
      <c r="K438" s="254" t="n"/>
    </row>
    <row r="439">
      <c r="B439" s="254" t="inlineStr">
        <is>
          <t>2026-09-26</t>
        </is>
      </c>
      <c r="C439" s="254" t="inlineStr">
        <is>
          <t>licensed-high-volume</t>
        </is>
      </c>
      <c r="D439" s="254" t="inlineStr">
        <is>
          <t>clean</t>
        </is>
      </c>
      <c r="E439" s="254" t="inlineStr">
        <is>
          <t>standard</t>
        </is>
      </c>
      <c r="F439" s="254" t="inlineStr">
        <is>
          <t>buyer_fee</t>
        </is>
      </c>
      <c r="G439" s="254" t="inlineStr">
        <is>
          <t>unsecured</t>
        </is>
      </c>
      <c r="H439" s="251" t="n">
        <v>200</v>
      </c>
      <c r="I439" s="251" t="n">
        <v>299.99</v>
      </c>
      <c r="J439" s="251" t="n">
        <v>90</v>
      </c>
      <c r="K439" s="254" t="n"/>
    </row>
    <row r="440">
      <c r="B440" s="254" t="inlineStr">
        <is>
          <t>2026-09-26</t>
        </is>
      </c>
      <c r="C440" s="254" t="inlineStr">
        <is>
          <t>licensed-high-volume</t>
        </is>
      </c>
      <c r="D440" s="254" t="inlineStr">
        <is>
          <t>clean</t>
        </is>
      </c>
      <c r="E440" s="254" t="inlineStr">
        <is>
          <t>standard</t>
        </is>
      </c>
      <c r="F440" s="254" t="inlineStr">
        <is>
          <t>buyer_fee</t>
        </is>
      </c>
      <c r="G440" s="254" t="inlineStr">
        <is>
          <t>unsecured</t>
        </is>
      </c>
      <c r="H440" s="251" t="n">
        <v>300</v>
      </c>
      <c r="I440" s="251" t="n">
        <v>349.99</v>
      </c>
      <c r="J440" s="251" t="n">
        <v>110</v>
      </c>
      <c r="K440" s="254" t="n"/>
    </row>
    <row r="441">
      <c r="B441" s="254" t="inlineStr">
        <is>
          <t>2026-09-26</t>
        </is>
      </c>
      <c r="C441" s="254" t="inlineStr">
        <is>
          <t>licensed-high-volume</t>
        </is>
      </c>
      <c r="D441" s="254" t="inlineStr">
        <is>
          <t>clean</t>
        </is>
      </c>
      <c r="E441" s="254" t="inlineStr">
        <is>
          <t>standard</t>
        </is>
      </c>
      <c r="F441" s="254" t="inlineStr">
        <is>
          <t>buyer_fee</t>
        </is>
      </c>
      <c r="G441" s="254" t="inlineStr">
        <is>
          <t>unsecured</t>
        </is>
      </c>
      <c r="H441" s="251" t="n">
        <v>350</v>
      </c>
      <c r="I441" s="251" t="n">
        <v>399.99</v>
      </c>
      <c r="J441" s="251" t="n">
        <v>110</v>
      </c>
      <c r="K441" s="254" t="n"/>
    </row>
    <row r="442">
      <c r="B442" s="254" t="inlineStr">
        <is>
          <t>2026-09-26</t>
        </is>
      </c>
      <c r="C442" s="254" t="inlineStr">
        <is>
          <t>licensed-high-volume</t>
        </is>
      </c>
      <c r="D442" s="254" t="inlineStr">
        <is>
          <t>clean</t>
        </is>
      </c>
      <c r="E442" s="254" t="inlineStr">
        <is>
          <t>standard</t>
        </is>
      </c>
      <c r="F442" s="254" t="inlineStr">
        <is>
          <t>buyer_fee</t>
        </is>
      </c>
      <c r="G442" s="254" t="inlineStr">
        <is>
          <t>unsecured</t>
        </is>
      </c>
      <c r="H442" s="251" t="n">
        <v>400</v>
      </c>
      <c r="I442" s="251" t="n">
        <v>449.99</v>
      </c>
      <c r="J442" s="251" t="n">
        <v>130</v>
      </c>
      <c r="K442" s="254" t="n"/>
    </row>
    <row r="443">
      <c r="B443" s="254" t="inlineStr">
        <is>
          <t>2026-09-26</t>
        </is>
      </c>
      <c r="C443" s="254" t="inlineStr">
        <is>
          <t>licensed-high-volume</t>
        </is>
      </c>
      <c r="D443" s="254" t="inlineStr">
        <is>
          <t>clean</t>
        </is>
      </c>
      <c r="E443" s="254" t="inlineStr">
        <is>
          <t>standard</t>
        </is>
      </c>
      <c r="F443" s="254" t="inlineStr">
        <is>
          <t>buyer_fee</t>
        </is>
      </c>
      <c r="G443" s="254" t="inlineStr">
        <is>
          <t>unsecured</t>
        </is>
      </c>
      <c r="H443" s="251" t="n">
        <v>450</v>
      </c>
      <c r="I443" s="251" t="n">
        <v>499.99</v>
      </c>
      <c r="J443" s="251" t="n">
        <v>130</v>
      </c>
      <c r="K443" s="254" t="n"/>
    </row>
    <row r="444">
      <c r="B444" s="254" t="inlineStr">
        <is>
          <t>2026-09-26</t>
        </is>
      </c>
      <c r="C444" s="254" t="inlineStr">
        <is>
          <t>licensed-high-volume</t>
        </is>
      </c>
      <c r="D444" s="254" t="inlineStr">
        <is>
          <t>clean</t>
        </is>
      </c>
      <c r="E444" s="254" t="inlineStr">
        <is>
          <t>standard</t>
        </is>
      </c>
      <c r="F444" s="254" t="inlineStr">
        <is>
          <t>buyer_fee</t>
        </is>
      </c>
      <c r="G444" s="254" t="inlineStr">
        <is>
          <t>unsecured</t>
        </is>
      </c>
      <c r="H444" s="251" t="n">
        <v>500</v>
      </c>
      <c r="I444" s="251" t="n">
        <v>549.99</v>
      </c>
      <c r="J444" s="251" t="n">
        <v>150</v>
      </c>
      <c r="K444" s="254" t="n"/>
    </row>
    <row r="445">
      <c r="B445" s="254" t="inlineStr">
        <is>
          <t>2026-09-26</t>
        </is>
      </c>
      <c r="C445" s="254" t="inlineStr">
        <is>
          <t>licensed-high-volume</t>
        </is>
      </c>
      <c r="D445" s="254" t="inlineStr">
        <is>
          <t>clean</t>
        </is>
      </c>
      <c r="E445" s="254" t="inlineStr">
        <is>
          <t>standard</t>
        </is>
      </c>
      <c r="F445" s="254" t="inlineStr">
        <is>
          <t>buyer_fee</t>
        </is>
      </c>
      <c r="G445" s="254" t="inlineStr">
        <is>
          <t>unsecured</t>
        </is>
      </c>
      <c r="H445" s="251" t="n">
        <v>550</v>
      </c>
      <c r="I445" s="251" t="n">
        <v>599.99</v>
      </c>
      <c r="J445" s="251" t="n">
        <v>150</v>
      </c>
      <c r="K445" s="254" t="n"/>
    </row>
    <row r="446">
      <c r="B446" s="254" t="inlineStr">
        <is>
          <t>2026-09-26</t>
        </is>
      </c>
      <c r="C446" s="254" t="inlineStr">
        <is>
          <t>licensed-high-volume</t>
        </is>
      </c>
      <c r="D446" s="254" t="inlineStr">
        <is>
          <t>clean</t>
        </is>
      </c>
      <c r="E446" s="254" t="inlineStr">
        <is>
          <t>standard</t>
        </is>
      </c>
      <c r="F446" s="254" t="inlineStr">
        <is>
          <t>buyer_fee</t>
        </is>
      </c>
      <c r="G446" s="254" t="inlineStr">
        <is>
          <t>unsecured</t>
        </is>
      </c>
      <c r="H446" s="251" t="n">
        <v>600</v>
      </c>
      <c r="I446" s="251" t="n">
        <v>699.99</v>
      </c>
      <c r="J446" s="251" t="n">
        <v>170</v>
      </c>
      <c r="K446" s="254" t="n"/>
    </row>
    <row r="447">
      <c r="B447" s="254" t="inlineStr">
        <is>
          <t>2026-09-26</t>
        </is>
      </c>
      <c r="C447" s="254" t="inlineStr">
        <is>
          <t>licensed-high-volume</t>
        </is>
      </c>
      <c r="D447" s="254" t="inlineStr">
        <is>
          <t>clean</t>
        </is>
      </c>
      <c r="E447" s="254" t="inlineStr">
        <is>
          <t>standard</t>
        </is>
      </c>
      <c r="F447" s="254" t="inlineStr">
        <is>
          <t>buyer_fee</t>
        </is>
      </c>
      <c r="G447" s="254" t="inlineStr">
        <is>
          <t>unsecured</t>
        </is>
      </c>
      <c r="H447" s="251" t="n">
        <v>700</v>
      </c>
      <c r="I447" s="251" t="n">
        <v>799.99</v>
      </c>
      <c r="J447" s="251" t="n">
        <v>190</v>
      </c>
      <c r="K447" s="254" t="n"/>
    </row>
    <row r="448">
      <c r="B448" s="254" t="inlineStr">
        <is>
          <t>2026-09-26</t>
        </is>
      </c>
      <c r="C448" s="254" t="inlineStr">
        <is>
          <t>licensed-high-volume</t>
        </is>
      </c>
      <c r="D448" s="254" t="inlineStr">
        <is>
          <t>clean</t>
        </is>
      </c>
      <c r="E448" s="254" t="inlineStr">
        <is>
          <t>standard</t>
        </is>
      </c>
      <c r="F448" s="254" t="inlineStr">
        <is>
          <t>buyer_fee</t>
        </is>
      </c>
      <c r="G448" s="254" t="inlineStr">
        <is>
          <t>unsecured</t>
        </is>
      </c>
      <c r="H448" s="251" t="n">
        <v>800</v>
      </c>
      <c r="I448" s="251" t="n">
        <v>899.99</v>
      </c>
      <c r="J448" s="251" t="n">
        <v>210</v>
      </c>
      <c r="K448" s="254" t="n"/>
    </row>
    <row r="449">
      <c r="B449" s="254" t="inlineStr">
        <is>
          <t>2026-09-26</t>
        </is>
      </c>
      <c r="C449" s="254" t="inlineStr">
        <is>
          <t>licensed-high-volume</t>
        </is>
      </c>
      <c r="D449" s="254" t="inlineStr">
        <is>
          <t>clean</t>
        </is>
      </c>
      <c r="E449" s="254" t="inlineStr">
        <is>
          <t>standard</t>
        </is>
      </c>
      <c r="F449" s="254" t="inlineStr">
        <is>
          <t>buyer_fee</t>
        </is>
      </c>
      <c r="G449" s="254" t="inlineStr">
        <is>
          <t>unsecured</t>
        </is>
      </c>
      <c r="H449" s="251" t="n">
        <v>900</v>
      </c>
      <c r="I449" s="251" t="n">
        <v>999.99</v>
      </c>
      <c r="J449" s="251" t="n">
        <v>230</v>
      </c>
      <c r="K449" s="254" t="n"/>
    </row>
    <row r="450">
      <c r="B450" s="254" t="inlineStr">
        <is>
          <t>2026-09-26</t>
        </is>
      </c>
      <c r="C450" s="254" t="inlineStr">
        <is>
          <t>licensed-high-volume</t>
        </is>
      </c>
      <c r="D450" s="254" t="inlineStr">
        <is>
          <t>clean</t>
        </is>
      </c>
      <c r="E450" s="254" t="inlineStr">
        <is>
          <t>standard</t>
        </is>
      </c>
      <c r="F450" s="254" t="inlineStr">
        <is>
          <t>buyer_fee</t>
        </is>
      </c>
      <c r="G450" s="254" t="inlineStr">
        <is>
          <t>unsecured</t>
        </is>
      </c>
      <c r="H450" s="251" t="n">
        <v>1000</v>
      </c>
      <c r="I450" s="251" t="n">
        <v>1199.99</v>
      </c>
      <c r="J450" s="251" t="n">
        <v>255</v>
      </c>
      <c r="K450" s="254" t="n"/>
    </row>
    <row r="451">
      <c r="B451" s="254" t="inlineStr">
        <is>
          <t>2026-09-26</t>
        </is>
      </c>
      <c r="C451" s="254" t="inlineStr">
        <is>
          <t>licensed-high-volume</t>
        </is>
      </c>
      <c r="D451" s="254" t="inlineStr">
        <is>
          <t>clean</t>
        </is>
      </c>
      <c r="E451" s="254" t="inlineStr">
        <is>
          <t>standard</t>
        </is>
      </c>
      <c r="F451" s="254" t="inlineStr">
        <is>
          <t>buyer_fee</t>
        </is>
      </c>
      <c r="G451" s="254" t="inlineStr">
        <is>
          <t>unsecured</t>
        </is>
      </c>
      <c r="H451" s="251" t="n">
        <v>1200</v>
      </c>
      <c r="I451" s="251" t="n">
        <v>1299.99</v>
      </c>
      <c r="J451" s="251" t="n">
        <v>290</v>
      </c>
      <c r="K451" s="254" t="n"/>
    </row>
    <row r="452">
      <c r="B452" s="254" t="inlineStr">
        <is>
          <t>2026-09-26</t>
        </is>
      </c>
      <c r="C452" s="254" t="inlineStr">
        <is>
          <t>licensed-high-volume</t>
        </is>
      </c>
      <c r="D452" s="254" t="inlineStr">
        <is>
          <t>clean</t>
        </is>
      </c>
      <c r="E452" s="254" t="inlineStr">
        <is>
          <t>standard</t>
        </is>
      </c>
      <c r="F452" s="254" t="inlineStr">
        <is>
          <t>buyer_fee</t>
        </is>
      </c>
      <c r="G452" s="254" t="inlineStr">
        <is>
          <t>unsecured</t>
        </is>
      </c>
      <c r="H452" s="251" t="n">
        <v>1300</v>
      </c>
      <c r="I452" s="251" t="n">
        <v>1399.99</v>
      </c>
      <c r="J452" s="251" t="n">
        <v>305</v>
      </c>
      <c r="K452" s="254" t="n"/>
    </row>
    <row r="453">
      <c r="B453" s="254" t="inlineStr">
        <is>
          <t>2026-09-26</t>
        </is>
      </c>
      <c r="C453" s="254" t="inlineStr">
        <is>
          <t>licensed-high-volume</t>
        </is>
      </c>
      <c r="D453" s="254" t="inlineStr">
        <is>
          <t>clean</t>
        </is>
      </c>
      <c r="E453" s="254" t="inlineStr">
        <is>
          <t>standard</t>
        </is>
      </c>
      <c r="F453" s="254" t="inlineStr">
        <is>
          <t>buyer_fee</t>
        </is>
      </c>
      <c r="G453" s="254" t="inlineStr">
        <is>
          <t>unsecured</t>
        </is>
      </c>
      <c r="H453" s="251" t="n">
        <v>1400</v>
      </c>
      <c r="I453" s="251" t="n">
        <v>1499.99</v>
      </c>
      <c r="J453" s="251" t="n">
        <v>315</v>
      </c>
      <c r="K453" s="254" t="n"/>
    </row>
    <row r="454">
      <c r="B454" s="254" t="inlineStr">
        <is>
          <t>2026-09-26</t>
        </is>
      </c>
      <c r="C454" s="254" t="inlineStr">
        <is>
          <t>licensed-high-volume</t>
        </is>
      </c>
      <c r="D454" s="254" t="inlineStr">
        <is>
          <t>clean</t>
        </is>
      </c>
      <c r="E454" s="254" t="inlineStr">
        <is>
          <t>standard</t>
        </is>
      </c>
      <c r="F454" s="254" t="inlineStr">
        <is>
          <t>buyer_fee</t>
        </is>
      </c>
      <c r="G454" s="254" t="inlineStr">
        <is>
          <t>unsecured</t>
        </is>
      </c>
      <c r="H454" s="251" t="n">
        <v>1500</v>
      </c>
      <c r="I454" s="251" t="n">
        <v>1599.99</v>
      </c>
      <c r="J454" s="251" t="n">
        <v>325</v>
      </c>
      <c r="K454" s="254" t="n"/>
    </row>
    <row r="455">
      <c r="B455" s="254" t="inlineStr">
        <is>
          <t>2026-09-26</t>
        </is>
      </c>
      <c r="C455" s="254" t="inlineStr">
        <is>
          <t>licensed-high-volume</t>
        </is>
      </c>
      <c r="D455" s="254" t="inlineStr">
        <is>
          <t>clean</t>
        </is>
      </c>
      <c r="E455" s="254" t="inlineStr">
        <is>
          <t>standard</t>
        </is>
      </c>
      <c r="F455" s="254" t="inlineStr">
        <is>
          <t>buyer_fee</t>
        </is>
      </c>
      <c r="G455" s="254" t="inlineStr">
        <is>
          <t>unsecured</t>
        </is>
      </c>
      <c r="H455" s="251" t="n">
        <v>1600</v>
      </c>
      <c r="I455" s="251" t="n">
        <v>1699.99</v>
      </c>
      <c r="J455" s="251" t="n">
        <v>345</v>
      </c>
      <c r="K455" s="254" t="n"/>
    </row>
    <row r="456">
      <c r="B456" s="254" t="inlineStr">
        <is>
          <t>2026-09-26</t>
        </is>
      </c>
      <c r="C456" s="254" t="inlineStr">
        <is>
          <t>licensed-high-volume</t>
        </is>
      </c>
      <c r="D456" s="254" t="inlineStr">
        <is>
          <t>clean</t>
        </is>
      </c>
      <c r="E456" s="254" t="inlineStr">
        <is>
          <t>standard</t>
        </is>
      </c>
      <c r="F456" s="254" t="inlineStr">
        <is>
          <t>buyer_fee</t>
        </is>
      </c>
      <c r="G456" s="254" t="inlineStr">
        <is>
          <t>unsecured</t>
        </is>
      </c>
      <c r="H456" s="251" t="n">
        <v>1700</v>
      </c>
      <c r="I456" s="251" t="n">
        <v>1799.99</v>
      </c>
      <c r="J456" s="251" t="n">
        <v>355</v>
      </c>
      <c r="K456" s="254" t="n"/>
    </row>
    <row r="457">
      <c r="B457" s="254" t="inlineStr">
        <is>
          <t>2026-09-26</t>
        </is>
      </c>
      <c r="C457" s="254" t="inlineStr">
        <is>
          <t>licensed-high-volume</t>
        </is>
      </c>
      <c r="D457" s="254" t="inlineStr">
        <is>
          <t>clean</t>
        </is>
      </c>
      <c r="E457" s="254" t="inlineStr">
        <is>
          <t>standard</t>
        </is>
      </c>
      <c r="F457" s="254" t="inlineStr">
        <is>
          <t>buyer_fee</t>
        </is>
      </c>
      <c r="G457" s="254" t="inlineStr">
        <is>
          <t>unsecured</t>
        </is>
      </c>
      <c r="H457" s="251" t="n">
        <v>1800</v>
      </c>
      <c r="I457" s="251" t="n">
        <v>1999.99</v>
      </c>
      <c r="J457" s="251" t="n">
        <v>375</v>
      </c>
      <c r="K457" s="254" t="n"/>
    </row>
    <row r="458">
      <c r="B458" s="254" t="inlineStr">
        <is>
          <t>2026-09-26</t>
        </is>
      </c>
      <c r="C458" s="254" t="inlineStr">
        <is>
          <t>licensed-high-volume</t>
        </is>
      </c>
      <c r="D458" s="254" t="inlineStr">
        <is>
          <t>clean</t>
        </is>
      </c>
      <c r="E458" s="254" t="inlineStr">
        <is>
          <t>standard</t>
        </is>
      </c>
      <c r="F458" s="254" t="inlineStr">
        <is>
          <t>buyer_fee</t>
        </is>
      </c>
      <c r="G458" s="254" t="inlineStr">
        <is>
          <t>unsecured</t>
        </is>
      </c>
      <c r="H458" s="251" t="n">
        <v>2000</v>
      </c>
      <c r="I458" s="251" t="n">
        <v>2399.99</v>
      </c>
      <c r="J458" s="251" t="n">
        <v>415</v>
      </c>
      <c r="K458" s="254" t="n"/>
    </row>
    <row r="459">
      <c r="B459" s="254" t="inlineStr">
        <is>
          <t>2026-09-26</t>
        </is>
      </c>
      <c r="C459" s="254" t="inlineStr">
        <is>
          <t>licensed-high-volume</t>
        </is>
      </c>
      <c r="D459" s="254" t="inlineStr">
        <is>
          <t>clean</t>
        </is>
      </c>
      <c r="E459" s="254" t="inlineStr">
        <is>
          <t>standard</t>
        </is>
      </c>
      <c r="F459" s="254" t="inlineStr">
        <is>
          <t>buyer_fee</t>
        </is>
      </c>
      <c r="G459" s="254" t="inlineStr">
        <is>
          <t>unsecured</t>
        </is>
      </c>
      <c r="H459" s="251" t="n">
        <v>2400</v>
      </c>
      <c r="I459" s="251" t="n">
        <v>2499.99</v>
      </c>
      <c r="J459" s="251" t="n">
        <v>425</v>
      </c>
      <c r="K459" s="254" t="n"/>
    </row>
    <row r="460">
      <c r="B460" s="254" t="inlineStr">
        <is>
          <t>2026-09-26</t>
        </is>
      </c>
      <c r="C460" s="254" t="inlineStr">
        <is>
          <t>licensed-high-volume</t>
        </is>
      </c>
      <c r="D460" s="254" t="inlineStr">
        <is>
          <t>clean</t>
        </is>
      </c>
      <c r="E460" s="254" t="inlineStr">
        <is>
          <t>standard</t>
        </is>
      </c>
      <c r="F460" s="254" t="inlineStr">
        <is>
          <t>buyer_fee</t>
        </is>
      </c>
      <c r="G460" s="254" t="inlineStr">
        <is>
          <t>unsecured</t>
        </is>
      </c>
      <c r="H460" s="251" t="n">
        <v>2500</v>
      </c>
      <c r="I460" s="251" t="n">
        <v>2999.99</v>
      </c>
      <c r="J460" s="251" t="n">
        <v>455</v>
      </c>
      <c r="K460" s="254" t="n"/>
    </row>
    <row r="461">
      <c r="B461" s="254" t="inlineStr">
        <is>
          <t>2026-09-26</t>
        </is>
      </c>
      <c r="C461" s="254" t="inlineStr">
        <is>
          <t>licensed-high-volume</t>
        </is>
      </c>
      <c r="D461" s="254" t="inlineStr">
        <is>
          <t>clean</t>
        </is>
      </c>
      <c r="E461" s="254" t="inlineStr">
        <is>
          <t>standard</t>
        </is>
      </c>
      <c r="F461" s="254" t="inlineStr">
        <is>
          <t>buyer_fee</t>
        </is>
      </c>
      <c r="G461" s="254" t="inlineStr">
        <is>
          <t>unsecured</t>
        </is>
      </c>
      <c r="H461" s="251" t="n">
        <v>3000</v>
      </c>
      <c r="I461" s="251" t="n">
        <v>3499.99</v>
      </c>
      <c r="J461" s="251" t="n">
        <v>565</v>
      </c>
      <c r="K461" s="254" t="n"/>
    </row>
    <row r="462">
      <c r="B462" s="254" t="inlineStr">
        <is>
          <t>2026-09-26</t>
        </is>
      </c>
      <c r="C462" s="254" t="inlineStr">
        <is>
          <t>licensed-high-volume</t>
        </is>
      </c>
      <c r="D462" s="254" t="inlineStr">
        <is>
          <t>clean</t>
        </is>
      </c>
      <c r="E462" s="254" t="inlineStr">
        <is>
          <t>standard</t>
        </is>
      </c>
      <c r="F462" s="254" t="inlineStr">
        <is>
          <t>buyer_fee</t>
        </is>
      </c>
      <c r="G462" s="254" t="inlineStr">
        <is>
          <t>unsecured</t>
        </is>
      </c>
      <c r="H462" s="251" t="n">
        <v>3500</v>
      </c>
      <c r="I462" s="251" t="n">
        <v>3999.99</v>
      </c>
      <c r="J462" s="251" t="n">
        <v>620</v>
      </c>
      <c r="K462" s="254" t="n"/>
    </row>
    <row r="463">
      <c r="B463" s="254" t="inlineStr">
        <is>
          <t>2026-09-26</t>
        </is>
      </c>
      <c r="C463" s="254" t="inlineStr">
        <is>
          <t>licensed-high-volume</t>
        </is>
      </c>
      <c r="D463" s="254" t="inlineStr">
        <is>
          <t>clean</t>
        </is>
      </c>
      <c r="E463" s="254" t="inlineStr">
        <is>
          <t>standard</t>
        </is>
      </c>
      <c r="F463" s="254" t="inlineStr">
        <is>
          <t>buyer_fee</t>
        </is>
      </c>
      <c r="G463" s="254" t="inlineStr">
        <is>
          <t>unsecured</t>
        </is>
      </c>
      <c r="H463" s="251" t="n">
        <v>4000</v>
      </c>
      <c r="I463" s="251" t="n">
        <v>4499.99</v>
      </c>
      <c r="J463" s="251" t="n">
        <v>765</v>
      </c>
      <c r="K463" s="254" t="n"/>
    </row>
    <row r="464">
      <c r="B464" s="254" t="inlineStr">
        <is>
          <t>2026-09-26</t>
        </is>
      </c>
      <c r="C464" s="254" t="inlineStr">
        <is>
          <t>licensed-high-volume</t>
        </is>
      </c>
      <c r="D464" s="254" t="inlineStr">
        <is>
          <t>clean</t>
        </is>
      </c>
      <c r="E464" s="254" t="inlineStr">
        <is>
          <t>standard</t>
        </is>
      </c>
      <c r="F464" s="254" t="inlineStr">
        <is>
          <t>buyer_fee</t>
        </is>
      </c>
      <c r="G464" s="254" t="inlineStr">
        <is>
          <t>unsecured</t>
        </is>
      </c>
      <c r="H464" s="251" t="n">
        <v>4500</v>
      </c>
      <c r="I464" s="251" t="n">
        <v>4999.99</v>
      </c>
      <c r="J464" s="251" t="n">
        <v>790</v>
      </c>
      <c r="K464" s="254" t="n"/>
    </row>
    <row r="465">
      <c r="B465" s="254" t="inlineStr">
        <is>
          <t>2026-09-26</t>
        </is>
      </c>
      <c r="C465" s="254" t="inlineStr">
        <is>
          <t>licensed-high-volume</t>
        </is>
      </c>
      <c r="D465" s="254" t="inlineStr">
        <is>
          <t>clean</t>
        </is>
      </c>
      <c r="E465" s="254" t="inlineStr">
        <is>
          <t>standard</t>
        </is>
      </c>
      <c r="F465" s="254" t="inlineStr">
        <is>
          <t>buyer_fee</t>
        </is>
      </c>
      <c r="G465" s="254" t="inlineStr">
        <is>
          <t>unsecured</t>
        </is>
      </c>
      <c r="H465" s="251" t="n">
        <v>5000</v>
      </c>
      <c r="I465" s="251" t="n">
        <v>5999.99</v>
      </c>
      <c r="J465" s="251" t="n">
        <v>865</v>
      </c>
      <c r="K465" s="254" t="n"/>
    </row>
    <row r="466">
      <c r="B466" s="254" t="inlineStr">
        <is>
          <t>2026-09-26</t>
        </is>
      </c>
      <c r="C466" s="254" t="inlineStr">
        <is>
          <t>licensed-high-volume</t>
        </is>
      </c>
      <c r="D466" s="254" t="inlineStr">
        <is>
          <t>clean</t>
        </is>
      </c>
      <c r="E466" s="254" t="inlineStr">
        <is>
          <t>standard</t>
        </is>
      </c>
      <c r="F466" s="254" t="inlineStr">
        <is>
          <t>buyer_fee</t>
        </is>
      </c>
      <c r="G466" s="254" t="inlineStr">
        <is>
          <t>unsecured</t>
        </is>
      </c>
      <c r="H466" s="251" t="n">
        <v>6000</v>
      </c>
      <c r="I466" s="251" t="n">
        <v>6499.99</v>
      </c>
      <c r="J466" s="251" t="n">
        <v>915</v>
      </c>
      <c r="K466" s="254" t="n"/>
    </row>
    <row r="467">
      <c r="B467" s="254" t="inlineStr">
        <is>
          <t>2026-09-26</t>
        </is>
      </c>
      <c r="C467" s="254" t="inlineStr">
        <is>
          <t>licensed-high-volume</t>
        </is>
      </c>
      <c r="D467" s="254" t="inlineStr">
        <is>
          <t>clean</t>
        </is>
      </c>
      <c r="E467" s="254" t="inlineStr">
        <is>
          <t>standard</t>
        </is>
      </c>
      <c r="F467" s="254" t="inlineStr">
        <is>
          <t>buyer_fee</t>
        </is>
      </c>
      <c r="G467" s="254" t="inlineStr">
        <is>
          <t>unsecured</t>
        </is>
      </c>
      <c r="H467" s="251" t="n">
        <v>6500</v>
      </c>
      <c r="I467" s="251" t="n">
        <v>6999.99</v>
      </c>
      <c r="J467" s="251" t="n">
        <v>915</v>
      </c>
      <c r="K467" s="254" t="n"/>
    </row>
    <row r="468">
      <c r="B468" s="254" t="inlineStr">
        <is>
          <t>2026-09-26</t>
        </is>
      </c>
      <c r="C468" s="254" t="inlineStr">
        <is>
          <t>licensed-high-volume</t>
        </is>
      </c>
      <c r="D468" s="254" t="inlineStr">
        <is>
          <t>clean</t>
        </is>
      </c>
      <c r="E468" s="254" t="inlineStr">
        <is>
          <t>standard</t>
        </is>
      </c>
      <c r="F468" s="254" t="inlineStr">
        <is>
          <t>buyer_fee</t>
        </is>
      </c>
      <c r="G468" s="254" t="inlineStr">
        <is>
          <t>unsecured</t>
        </is>
      </c>
      <c r="H468" s="251" t="n">
        <v>7000</v>
      </c>
      <c r="I468" s="251" t="n">
        <v>7499.99</v>
      </c>
      <c r="J468" s="251" t="n">
        <v>915</v>
      </c>
      <c r="K468" s="254" t="n"/>
    </row>
    <row r="469">
      <c r="B469" s="254" t="inlineStr">
        <is>
          <t>2026-09-26</t>
        </is>
      </c>
      <c r="C469" s="254" t="inlineStr">
        <is>
          <t>licensed-high-volume</t>
        </is>
      </c>
      <c r="D469" s="254" t="inlineStr">
        <is>
          <t>clean</t>
        </is>
      </c>
      <c r="E469" s="254" t="inlineStr">
        <is>
          <t>standard</t>
        </is>
      </c>
      <c r="F469" s="254" t="inlineStr">
        <is>
          <t>buyer_fee</t>
        </is>
      </c>
      <c r="G469" s="254" t="inlineStr">
        <is>
          <t>unsecured</t>
        </is>
      </c>
      <c r="H469" s="251" t="n">
        <v>7500</v>
      </c>
      <c r="I469" s="251" t="n">
        <v>7999.99</v>
      </c>
      <c r="J469" s="251" t="n">
        <v>1005</v>
      </c>
      <c r="K469" s="254" t="n"/>
    </row>
    <row r="470">
      <c r="B470" s="254" t="inlineStr">
        <is>
          <t>2026-09-26</t>
        </is>
      </c>
      <c r="C470" s="254" t="inlineStr">
        <is>
          <t>licensed-high-volume</t>
        </is>
      </c>
      <c r="D470" s="254" t="inlineStr">
        <is>
          <t>clean</t>
        </is>
      </c>
      <c r="E470" s="254" t="inlineStr">
        <is>
          <t>standard</t>
        </is>
      </c>
      <c r="F470" s="254" t="inlineStr">
        <is>
          <t>buyer_fee</t>
        </is>
      </c>
      <c r="G470" s="254" t="inlineStr">
        <is>
          <t>unsecured</t>
        </is>
      </c>
      <c r="H470" s="251" t="n">
        <v>8000</v>
      </c>
      <c r="I470" s="251" t="n">
        <v>8499.99</v>
      </c>
      <c r="J470" s="251" t="n">
        <v>1030</v>
      </c>
      <c r="K470" s="254" t="n"/>
    </row>
    <row r="471">
      <c r="B471" s="254" t="inlineStr">
        <is>
          <t>2026-09-26</t>
        </is>
      </c>
      <c r="C471" s="254" t="inlineStr">
        <is>
          <t>licensed-high-volume</t>
        </is>
      </c>
      <c r="D471" s="254" t="inlineStr">
        <is>
          <t>clean</t>
        </is>
      </c>
      <c r="E471" s="254" t="inlineStr">
        <is>
          <t>standard</t>
        </is>
      </c>
      <c r="F471" s="254" t="inlineStr">
        <is>
          <t>buyer_fee</t>
        </is>
      </c>
      <c r="G471" s="254" t="inlineStr">
        <is>
          <t>unsecured</t>
        </is>
      </c>
      <c r="H471" s="251" t="n">
        <v>8500</v>
      </c>
      <c r="I471" s="251" t="n">
        <v>8999.99</v>
      </c>
      <c r="J471" s="251" t="n">
        <v>1030</v>
      </c>
      <c r="K471" s="254" t="n"/>
    </row>
    <row r="472">
      <c r="B472" s="254" t="inlineStr">
        <is>
          <t>2026-09-26</t>
        </is>
      </c>
      <c r="C472" s="254" t="inlineStr">
        <is>
          <t>licensed-high-volume</t>
        </is>
      </c>
      <c r="D472" s="254" t="inlineStr">
        <is>
          <t>clean</t>
        </is>
      </c>
      <c r="E472" s="254" t="inlineStr">
        <is>
          <t>standard</t>
        </is>
      </c>
      <c r="F472" s="254" t="inlineStr">
        <is>
          <t>buyer_fee</t>
        </is>
      </c>
      <c r="G472" s="254" t="inlineStr">
        <is>
          <t>unsecured</t>
        </is>
      </c>
      <c r="H472" s="251" t="n">
        <v>9000</v>
      </c>
      <c r="I472" s="251" t="n">
        <v>9999.99</v>
      </c>
      <c r="J472" s="251" t="n">
        <v>1030</v>
      </c>
      <c r="K472" s="254" t="n"/>
    </row>
    <row r="473">
      <c r="B473" s="254" t="inlineStr">
        <is>
          <t>2026-09-26</t>
        </is>
      </c>
      <c r="C473" s="254" t="inlineStr">
        <is>
          <t>licensed-high-volume</t>
        </is>
      </c>
      <c r="D473" s="254" t="inlineStr">
        <is>
          <t>clean</t>
        </is>
      </c>
      <c r="E473" s="254" t="inlineStr">
        <is>
          <t>standard</t>
        </is>
      </c>
      <c r="F473" s="254" t="inlineStr">
        <is>
          <t>buyer_fee</t>
        </is>
      </c>
      <c r="G473" s="254" t="inlineStr">
        <is>
          <t>unsecured</t>
        </is>
      </c>
      <c r="H473" s="251" t="n">
        <v>10000</v>
      </c>
      <c r="I473" s="251" t="n">
        <v>10499.99</v>
      </c>
      <c r="J473" s="251" t="n">
        <v>1070</v>
      </c>
      <c r="K473" s="254" t="n"/>
    </row>
    <row r="474">
      <c r="B474" s="254" t="inlineStr">
        <is>
          <t>2026-09-26</t>
        </is>
      </c>
      <c r="C474" s="254" t="inlineStr">
        <is>
          <t>licensed-high-volume</t>
        </is>
      </c>
      <c r="D474" s="254" t="inlineStr">
        <is>
          <t>clean</t>
        </is>
      </c>
      <c r="E474" s="254" t="inlineStr">
        <is>
          <t>standard</t>
        </is>
      </c>
      <c r="F474" s="254" t="inlineStr">
        <is>
          <t>buyer_fee</t>
        </is>
      </c>
      <c r="G474" s="254" t="inlineStr">
        <is>
          <t>unsecured</t>
        </is>
      </c>
      <c r="H474" s="251" t="n">
        <v>10500</v>
      </c>
      <c r="I474" s="251" t="n">
        <v>10999.99</v>
      </c>
      <c r="J474" s="251" t="n">
        <v>1070</v>
      </c>
      <c r="K474" s="254" t="n"/>
    </row>
    <row r="475">
      <c r="B475" s="254" t="inlineStr">
        <is>
          <t>2026-09-26</t>
        </is>
      </c>
      <c r="C475" s="254" t="inlineStr">
        <is>
          <t>licensed-high-volume</t>
        </is>
      </c>
      <c r="D475" s="254" t="inlineStr">
        <is>
          <t>clean</t>
        </is>
      </c>
      <c r="E475" s="254" t="inlineStr">
        <is>
          <t>standard</t>
        </is>
      </c>
      <c r="F475" s="254" t="inlineStr">
        <is>
          <t>buyer_fee</t>
        </is>
      </c>
      <c r="G475" s="254" t="inlineStr">
        <is>
          <t>unsecured</t>
        </is>
      </c>
      <c r="H475" s="251" t="n">
        <v>11000</v>
      </c>
      <c r="I475" s="251" t="n">
        <v>11499.99</v>
      </c>
      <c r="J475" s="251" t="n">
        <v>1070</v>
      </c>
      <c r="K475" s="254" t="n"/>
    </row>
    <row r="476">
      <c r="B476" s="254" t="inlineStr">
        <is>
          <t>2026-09-26</t>
        </is>
      </c>
      <c r="C476" s="254" t="inlineStr">
        <is>
          <t>licensed-high-volume</t>
        </is>
      </c>
      <c r="D476" s="254" t="inlineStr">
        <is>
          <t>clean</t>
        </is>
      </c>
      <c r="E476" s="254" t="inlineStr">
        <is>
          <t>standard</t>
        </is>
      </c>
      <c r="F476" s="254" t="inlineStr">
        <is>
          <t>buyer_fee</t>
        </is>
      </c>
      <c r="G476" s="254" t="inlineStr">
        <is>
          <t>unsecured</t>
        </is>
      </c>
      <c r="H476" s="251" t="n">
        <v>11500</v>
      </c>
      <c r="I476" s="251" t="n">
        <v>11999.99</v>
      </c>
      <c r="J476" s="251" t="n">
        <v>1070</v>
      </c>
      <c r="K476" s="254" t="n"/>
    </row>
    <row r="477">
      <c r="B477" s="254" t="inlineStr">
        <is>
          <t>2026-09-26</t>
        </is>
      </c>
      <c r="C477" s="254" t="inlineStr">
        <is>
          <t>licensed-high-volume</t>
        </is>
      </c>
      <c r="D477" s="254" t="inlineStr">
        <is>
          <t>clean</t>
        </is>
      </c>
      <c r="E477" s="254" t="inlineStr">
        <is>
          <t>standard</t>
        </is>
      </c>
      <c r="F477" s="254" t="inlineStr">
        <is>
          <t>buyer_fee</t>
        </is>
      </c>
      <c r="G477" s="254" t="inlineStr">
        <is>
          <t>unsecured</t>
        </is>
      </c>
      <c r="H477" s="251" t="n">
        <v>12000</v>
      </c>
      <c r="I477" s="251" t="n">
        <v>12499.99</v>
      </c>
      <c r="J477" s="251" t="n">
        <v>1070</v>
      </c>
      <c r="K477" s="254" t="n"/>
    </row>
    <row r="478">
      <c r="B478" s="254" t="inlineStr">
        <is>
          <t>2026-09-26</t>
        </is>
      </c>
      <c r="C478" s="254" t="inlineStr">
        <is>
          <t>licensed-high-volume</t>
        </is>
      </c>
      <c r="D478" s="254" t="inlineStr">
        <is>
          <t>clean</t>
        </is>
      </c>
      <c r="E478" s="254" t="inlineStr">
        <is>
          <t>standard</t>
        </is>
      </c>
      <c r="F478" s="254" t="inlineStr">
        <is>
          <t>buyer_fee</t>
        </is>
      </c>
      <c r="G478" s="254" t="inlineStr">
        <is>
          <t>unsecured</t>
        </is>
      </c>
      <c r="H478" s="251" t="n">
        <v>12500</v>
      </c>
      <c r="I478" s="251" t="n">
        <v>14999.99</v>
      </c>
      <c r="J478" s="251" t="n">
        <v>1070</v>
      </c>
      <c r="K478" s="254" t="n"/>
    </row>
    <row r="479">
      <c r="B479" s="254" t="inlineStr">
        <is>
          <t>2026-09-26</t>
        </is>
      </c>
      <c r="C479" s="254" t="inlineStr">
        <is>
          <t>licensed-high-volume</t>
        </is>
      </c>
      <c r="D479" s="254" t="inlineStr">
        <is>
          <t>clean</t>
        </is>
      </c>
      <c r="E479" s="254" t="inlineStr">
        <is>
          <t>standard</t>
        </is>
      </c>
      <c r="F479" s="254" t="inlineStr">
        <is>
          <t>buyer_fee</t>
        </is>
      </c>
      <c r="G479" s="254" t="inlineStr">
        <is>
          <t>unsecured</t>
        </is>
      </c>
      <c r="H479" s="251" t="n">
        <v>15000</v>
      </c>
      <c r="I479" s="254" t="n"/>
      <c r="J479" s="254" t="n"/>
      <c r="K479" s="251" t="n">
        <v>10.75</v>
      </c>
    </row>
    <row r="480">
      <c r="B480" s="254" t="inlineStr">
        <is>
          <t>2026-09-26</t>
        </is>
      </c>
      <c r="C480" s="254" t="inlineStr">
        <is>
          <t>licensed-high-volume</t>
        </is>
      </c>
      <c r="D480" s="254" t="inlineStr">
        <is>
          <t>clean</t>
        </is>
      </c>
      <c r="E480" s="254" t="inlineStr">
        <is>
          <t>standard</t>
        </is>
      </c>
      <c r="F480" s="254" t="inlineStr">
        <is>
          <t>virtual_bid_pre_bid</t>
        </is>
      </c>
      <c r="G480" s="254" t="inlineStr">
        <is>
          <t>any</t>
        </is>
      </c>
      <c r="H480" s="251" t="n">
        <v>0</v>
      </c>
      <c r="I480" s="251" t="n">
        <v>99.98999999999999</v>
      </c>
      <c r="J480" s="251" t="n">
        <v>0</v>
      </c>
      <c r="K480" s="254" t="n"/>
    </row>
    <row r="481">
      <c r="B481" s="254" t="inlineStr">
        <is>
          <t>2026-09-26</t>
        </is>
      </c>
      <c r="C481" s="254" t="inlineStr">
        <is>
          <t>licensed-high-volume</t>
        </is>
      </c>
      <c r="D481" s="254" t="inlineStr">
        <is>
          <t>clean</t>
        </is>
      </c>
      <c r="E481" s="254" t="inlineStr">
        <is>
          <t>standard</t>
        </is>
      </c>
      <c r="F481" s="254" t="inlineStr">
        <is>
          <t>virtual_bid_pre_bid</t>
        </is>
      </c>
      <c r="G481" s="254" t="inlineStr">
        <is>
          <t>any</t>
        </is>
      </c>
      <c r="H481" s="251" t="n">
        <v>100</v>
      </c>
      <c r="I481" s="251" t="n">
        <v>499.99</v>
      </c>
      <c r="J481" s="251" t="n">
        <v>39</v>
      </c>
      <c r="K481" s="254" t="n"/>
    </row>
    <row r="482">
      <c r="B482" s="254" t="inlineStr">
        <is>
          <t>2026-09-26</t>
        </is>
      </c>
      <c r="C482" s="254" t="inlineStr">
        <is>
          <t>licensed-high-volume</t>
        </is>
      </c>
      <c r="D482" s="254" t="inlineStr">
        <is>
          <t>clean</t>
        </is>
      </c>
      <c r="E482" s="254" t="inlineStr">
        <is>
          <t>standard</t>
        </is>
      </c>
      <c r="F482" s="254" t="inlineStr">
        <is>
          <t>virtual_bid_pre_bid</t>
        </is>
      </c>
      <c r="G482" s="254" t="inlineStr">
        <is>
          <t>any</t>
        </is>
      </c>
      <c r="H482" s="251" t="n">
        <v>500</v>
      </c>
      <c r="I482" s="251" t="n">
        <v>999.99</v>
      </c>
      <c r="J482" s="251" t="n">
        <v>49</v>
      </c>
      <c r="K482" s="254" t="n"/>
    </row>
    <row r="483">
      <c r="B483" s="254" t="inlineStr">
        <is>
          <t>2026-09-26</t>
        </is>
      </c>
      <c r="C483" s="254" t="inlineStr">
        <is>
          <t>licensed-high-volume</t>
        </is>
      </c>
      <c r="D483" s="254" t="inlineStr">
        <is>
          <t>clean</t>
        </is>
      </c>
      <c r="E483" s="254" t="inlineStr">
        <is>
          <t>standard</t>
        </is>
      </c>
      <c r="F483" s="254" t="inlineStr">
        <is>
          <t>virtual_bid_pre_bid</t>
        </is>
      </c>
      <c r="G483" s="254" t="inlineStr">
        <is>
          <t>any</t>
        </is>
      </c>
      <c r="H483" s="251" t="n">
        <v>1000</v>
      </c>
      <c r="I483" s="251" t="n">
        <v>1499.99</v>
      </c>
      <c r="J483" s="251" t="n">
        <v>69</v>
      </c>
      <c r="K483" s="254" t="n"/>
    </row>
    <row r="484">
      <c r="B484" s="254" t="inlineStr">
        <is>
          <t>2026-09-26</t>
        </is>
      </c>
      <c r="C484" s="254" t="inlineStr">
        <is>
          <t>licensed-high-volume</t>
        </is>
      </c>
      <c r="D484" s="254" t="inlineStr">
        <is>
          <t>clean</t>
        </is>
      </c>
      <c r="E484" s="254" t="inlineStr">
        <is>
          <t>standard</t>
        </is>
      </c>
      <c r="F484" s="254" t="inlineStr">
        <is>
          <t>virtual_bid_pre_bid</t>
        </is>
      </c>
      <c r="G484" s="254" t="inlineStr">
        <is>
          <t>any</t>
        </is>
      </c>
      <c r="H484" s="251" t="n">
        <v>1500</v>
      </c>
      <c r="I484" s="251" t="n">
        <v>1999.99</v>
      </c>
      <c r="J484" s="251" t="n">
        <v>79</v>
      </c>
      <c r="K484" s="254" t="n"/>
    </row>
    <row r="485">
      <c r="B485" s="254" t="inlineStr">
        <is>
          <t>2026-09-26</t>
        </is>
      </c>
      <c r="C485" s="254" t="inlineStr">
        <is>
          <t>licensed-high-volume</t>
        </is>
      </c>
      <c r="D485" s="254" t="inlineStr">
        <is>
          <t>clean</t>
        </is>
      </c>
      <c r="E485" s="254" t="inlineStr">
        <is>
          <t>standard</t>
        </is>
      </c>
      <c r="F485" s="254" t="inlineStr">
        <is>
          <t>virtual_bid_pre_bid</t>
        </is>
      </c>
      <c r="G485" s="254" t="inlineStr">
        <is>
          <t>any</t>
        </is>
      </c>
      <c r="H485" s="251" t="n">
        <v>2000</v>
      </c>
      <c r="I485" s="251" t="n">
        <v>3999.99</v>
      </c>
      <c r="J485" s="251" t="n">
        <v>89</v>
      </c>
      <c r="K485" s="254" t="n"/>
    </row>
    <row r="486">
      <c r="B486" s="254" t="inlineStr">
        <is>
          <t>2026-09-26</t>
        </is>
      </c>
      <c r="C486" s="254" t="inlineStr">
        <is>
          <t>licensed-high-volume</t>
        </is>
      </c>
      <c r="D486" s="254" t="inlineStr">
        <is>
          <t>clean</t>
        </is>
      </c>
      <c r="E486" s="254" t="inlineStr">
        <is>
          <t>standard</t>
        </is>
      </c>
      <c r="F486" s="254" t="inlineStr">
        <is>
          <t>virtual_bid_pre_bid</t>
        </is>
      </c>
      <c r="G486" s="254" t="inlineStr">
        <is>
          <t>any</t>
        </is>
      </c>
      <c r="H486" s="251" t="n">
        <v>4000</v>
      </c>
      <c r="I486" s="251" t="n">
        <v>5999.99</v>
      </c>
      <c r="J486" s="251" t="n">
        <v>99</v>
      </c>
      <c r="K486" s="254" t="n"/>
    </row>
    <row r="487">
      <c r="B487" s="254" t="inlineStr">
        <is>
          <t>2026-09-26</t>
        </is>
      </c>
      <c r="C487" s="254" t="inlineStr">
        <is>
          <t>licensed-high-volume</t>
        </is>
      </c>
      <c r="D487" s="254" t="inlineStr">
        <is>
          <t>clean</t>
        </is>
      </c>
      <c r="E487" s="254" t="inlineStr">
        <is>
          <t>standard</t>
        </is>
      </c>
      <c r="F487" s="254" t="inlineStr">
        <is>
          <t>virtual_bid_pre_bid</t>
        </is>
      </c>
      <c r="G487" s="254" t="inlineStr">
        <is>
          <t>any</t>
        </is>
      </c>
      <c r="H487" s="251" t="n">
        <v>6000</v>
      </c>
      <c r="I487" s="251" t="n">
        <v>7999.99</v>
      </c>
      <c r="J487" s="251" t="n">
        <v>119</v>
      </c>
      <c r="K487" s="254" t="n"/>
    </row>
    <row r="488">
      <c r="B488" s="254" t="inlineStr">
        <is>
          <t>2026-09-26</t>
        </is>
      </c>
      <c r="C488" s="254" t="inlineStr">
        <is>
          <t>licensed-high-volume</t>
        </is>
      </c>
      <c r="D488" s="254" t="inlineStr">
        <is>
          <t>clean</t>
        </is>
      </c>
      <c r="E488" s="254" t="inlineStr">
        <is>
          <t>standard</t>
        </is>
      </c>
      <c r="F488" s="254" t="inlineStr">
        <is>
          <t>virtual_bid_pre_bid</t>
        </is>
      </c>
      <c r="G488" s="254" t="inlineStr">
        <is>
          <t>any</t>
        </is>
      </c>
      <c r="H488" s="251" t="n">
        <v>8000</v>
      </c>
      <c r="I488" s="254" t="n"/>
      <c r="J488" s="251" t="n">
        <v>129</v>
      </c>
      <c r="K488" s="254" t="n"/>
    </row>
    <row r="489">
      <c r="B489" s="254" t="inlineStr">
        <is>
          <t>2026-09-26</t>
        </is>
      </c>
      <c r="C489" s="254" t="inlineStr">
        <is>
          <t>licensed-high-volume</t>
        </is>
      </c>
      <c r="D489" s="254" t="inlineStr">
        <is>
          <t>clean</t>
        </is>
      </c>
      <c r="E489" s="254" t="inlineStr">
        <is>
          <t>standard</t>
        </is>
      </c>
      <c r="F489" s="254" t="inlineStr">
        <is>
          <t>virtual_bid_live_bid</t>
        </is>
      </c>
      <c r="G489" s="254" t="inlineStr">
        <is>
          <t>any</t>
        </is>
      </c>
      <c r="H489" s="251" t="n">
        <v>0</v>
      </c>
      <c r="I489" s="251" t="n">
        <v>99.98999999999999</v>
      </c>
      <c r="J489" s="251" t="n">
        <v>0</v>
      </c>
      <c r="K489" s="254" t="n"/>
    </row>
    <row r="490">
      <c r="B490" s="254" t="inlineStr">
        <is>
          <t>2026-09-26</t>
        </is>
      </c>
      <c r="C490" s="254" t="inlineStr">
        <is>
          <t>licensed-high-volume</t>
        </is>
      </c>
      <c r="D490" s="254" t="inlineStr">
        <is>
          <t>clean</t>
        </is>
      </c>
      <c r="E490" s="254" t="inlineStr">
        <is>
          <t>standard</t>
        </is>
      </c>
      <c r="F490" s="254" t="inlineStr">
        <is>
          <t>virtual_bid_live_bid</t>
        </is>
      </c>
      <c r="G490" s="254" t="inlineStr">
        <is>
          <t>any</t>
        </is>
      </c>
      <c r="H490" s="251" t="n">
        <v>100</v>
      </c>
      <c r="I490" s="251" t="n">
        <v>499.99</v>
      </c>
      <c r="J490" s="251" t="n">
        <v>49</v>
      </c>
      <c r="K490" s="254" t="n"/>
    </row>
    <row r="491">
      <c r="B491" s="254" t="inlineStr">
        <is>
          <t>2026-09-26</t>
        </is>
      </c>
      <c r="C491" s="254" t="inlineStr">
        <is>
          <t>licensed-high-volume</t>
        </is>
      </c>
      <c r="D491" s="254" t="inlineStr">
        <is>
          <t>clean</t>
        </is>
      </c>
      <c r="E491" s="254" t="inlineStr">
        <is>
          <t>standard</t>
        </is>
      </c>
      <c r="F491" s="254" t="inlineStr">
        <is>
          <t>virtual_bid_live_bid</t>
        </is>
      </c>
      <c r="G491" s="254" t="inlineStr">
        <is>
          <t>any</t>
        </is>
      </c>
      <c r="H491" s="251" t="n">
        <v>500</v>
      </c>
      <c r="I491" s="251" t="n">
        <v>999.99</v>
      </c>
      <c r="J491" s="251" t="n">
        <v>59</v>
      </c>
      <c r="K491" s="254" t="n"/>
    </row>
    <row r="492">
      <c r="B492" s="254" t="inlineStr">
        <is>
          <t>2026-09-26</t>
        </is>
      </c>
      <c r="C492" s="254" t="inlineStr">
        <is>
          <t>licensed-high-volume</t>
        </is>
      </c>
      <c r="D492" s="254" t="inlineStr">
        <is>
          <t>clean</t>
        </is>
      </c>
      <c r="E492" s="254" t="inlineStr">
        <is>
          <t>standard</t>
        </is>
      </c>
      <c r="F492" s="254" t="inlineStr">
        <is>
          <t>virtual_bid_live_bid</t>
        </is>
      </c>
      <c r="G492" s="254" t="inlineStr">
        <is>
          <t>any</t>
        </is>
      </c>
      <c r="H492" s="251" t="n">
        <v>1000</v>
      </c>
      <c r="I492" s="251" t="n">
        <v>1499.99</v>
      </c>
      <c r="J492" s="251" t="n">
        <v>79</v>
      </c>
      <c r="K492" s="254" t="n"/>
    </row>
    <row r="493">
      <c r="B493" s="254" t="inlineStr">
        <is>
          <t>2026-09-26</t>
        </is>
      </c>
      <c r="C493" s="254" t="inlineStr">
        <is>
          <t>licensed-high-volume</t>
        </is>
      </c>
      <c r="D493" s="254" t="inlineStr">
        <is>
          <t>clean</t>
        </is>
      </c>
      <c r="E493" s="254" t="inlineStr">
        <is>
          <t>standard</t>
        </is>
      </c>
      <c r="F493" s="254" t="inlineStr">
        <is>
          <t>virtual_bid_live_bid</t>
        </is>
      </c>
      <c r="G493" s="254" t="inlineStr">
        <is>
          <t>any</t>
        </is>
      </c>
      <c r="H493" s="251" t="n">
        <v>1500</v>
      </c>
      <c r="I493" s="251" t="n">
        <v>1999.99</v>
      </c>
      <c r="J493" s="251" t="n">
        <v>89</v>
      </c>
      <c r="K493" s="254" t="n"/>
    </row>
    <row r="494">
      <c r="B494" s="254" t="inlineStr">
        <is>
          <t>2026-09-26</t>
        </is>
      </c>
      <c r="C494" s="254" t="inlineStr">
        <is>
          <t>licensed-high-volume</t>
        </is>
      </c>
      <c r="D494" s="254" t="inlineStr">
        <is>
          <t>clean</t>
        </is>
      </c>
      <c r="E494" s="254" t="inlineStr">
        <is>
          <t>standard</t>
        </is>
      </c>
      <c r="F494" s="254" t="inlineStr">
        <is>
          <t>virtual_bid_live_bid</t>
        </is>
      </c>
      <c r="G494" s="254" t="inlineStr">
        <is>
          <t>any</t>
        </is>
      </c>
      <c r="H494" s="251" t="n">
        <v>2000</v>
      </c>
      <c r="I494" s="251" t="n">
        <v>3999.99</v>
      </c>
      <c r="J494" s="251" t="n">
        <v>99</v>
      </c>
      <c r="K494" s="254" t="n"/>
    </row>
    <row r="495">
      <c r="B495" s="254" t="inlineStr">
        <is>
          <t>2026-09-26</t>
        </is>
      </c>
      <c r="C495" s="254" t="inlineStr">
        <is>
          <t>licensed-high-volume</t>
        </is>
      </c>
      <c r="D495" s="254" t="inlineStr">
        <is>
          <t>clean</t>
        </is>
      </c>
      <c r="E495" s="254" t="inlineStr">
        <is>
          <t>standard</t>
        </is>
      </c>
      <c r="F495" s="254" t="inlineStr">
        <is>
          <t>virtual_bid_live_bid</t>
        </is>
      </c>
      <c r="G495" s="254" t="inlineStr">
        <is>
          <t>any</t>
        </is>
      </c>
      <c r="H495" s="251" t="n">
        <v>4000</v>
      </c>
      <c r="I495" s="251" t="n">
        <v>5999.99</v>
      </c>
      <c r="J495" s="251" t="n">
        <v>109</v>
      </c>
      <c r="K495" s="254" t="n"/>
    </row>
    <row r="496">
      <c r="B496" s="254" t="inlineStr">
        <is>
          <t>2026-09-26</t>
        </is>
      </c>
      <c r="C496" s="254" t="inlineStr">
        <is>
          <t>licensed-high-volume</t>
        </is>
      </c>
      <c r="D496" s="254" t="inlineStr">
        <is>
          <t>clean</t>
        </is>
      </c>
      <c r="E496" s="254" t="inlineStr">
        <is>
          <t>standard</t>
        </is>
      </c>
      <c r="F496" s="254" t="inlineStr">
        <is>
          <t>virtual_bid_live_bid</t>
        </is>
      </c>
      <c r="G496" s="254" t="inlineStr">
        <is>
          <t>any</t>
        </is>
      </c>
      <c r="H496" s="251" t="n">
        <v>6000</v>
      </c>
      <c r="I496" s="251" t="n">
        <v>7999.99</v>
      </c>
      <c r="J496" s="251" t="n">
        <v>139</v>
      </c>
      <c r="K496" s="254" t="n"/>
    </row>
    <row r="497">
      <c r="B497" s="254" t="inlineStr">
        <is>
          <t>2026-09-26</t>
        </is>
      </c>
      <c r="C497" s="254" t="inlineStr">
        <is>
          <t>licensed-high-volume</t>
        </is>
      </c>
      <c r="D497" s="254" t="inlineStr">
        <is>
          <t>clean</t>
        </is>
      </c>
      <c r="E497" s="254" t="inlineStr">
        <is>
          <t>standard</t>
        </is>
      </c>
      <c r="F497" s="254" t="inlineStr">
        <is>
          <t>virtual_bid_live_bid</t>
        </is>
      </c>
      <c r="G497" s="254" t="inlineStr">
        <is>
          <t>any</t>
        </is>
      </c>
      <c r="H497" s="251" t="n">
        <v>8000</v>
      </c>
      <c r="I497" s="254" t="n"/>
      <c r="J497" s="251" t="n">
        <v>149</v>
      </c>
      <c r="K497" s="254" t="n"/>
    </row>
    <row r="498">
      <c r="B498" s="254" t="inlineStr">
        <is>
          <t>2026-09-26</t>
        </is>
      </c>
      <c r="C498" s="254" t="inlineStr">
        <is>
          <t>licensed-high-volume</t>
        </is>
      </c>
      <c r="D498" s="254" t="inlineStr">
        <is>
          <t>clean</t>
        </is>
      </c>
      <c r="E498" s="254" t="inlineStr">
        <is>
          <t>standard</t>
        </is>
      </c>
      <c r="F498" s="254" t="inlineStr">
        <is>
          <t>gate_fee</t>
        </is>
      </c>
      <c r="G498" s="254" t="inlineStr">
        <is>
          <t>any</t>
        </is>
      </c>
      <c r="H498" s="251" t="n">
        <v>0</v>
      </c>
      <c r="I498" s="254" t="n"/>
      <c r="J498" s="251" t="n">
        <v>79</v>
      </c>
      <c r="K498" s="254" t="n"/>
    </row>
    <row r="499">
      <c r="B499" s="254" t="inlineStr">
        <is>
          <t>2026-09-26</t>
        </is>
      </c>
      <c r="C499" s="254" t="inlineStr">
        <is>
          <t>licensed-high-volume</t>
        </is>
      </c>
      <c r="D499" s="254" t="inlineStr">
        <is>
          <t>non-clean</t>
        </is>
      </c>
      <c r="E499" s="254" t="inlineStr">
        <is>
          <t>standard</t>
        </is>
      </c>
      <c r="F499" s="254" t="inlineStr">
        <is>
          <t>buyer_fee</t>
        </is>
      </c>
      <c r="G499" s="254" t="inlineStr">
        <is>
          <t>secured</t>
        </is>
      </c>
      <c r="H499" s="251" t="n">
        <v>0</v>
      </c>
      <c r="I499" s="251" t="n">
        <v>49.99</v>
      </c>
      <c r="J499" s="251" t="n">
        <v>1</v>
      </c>
      <c r="K499" s="254" t="n"/>
    </row>
    <row r="500">
      <c r="B500" s="254" t="inlineStr">
        <is>
          <t>2026-09-26</t>
        </is>
      </c>
      <c r="C500" s="254" t="inlineStr">
        <is>
          <t>licensed-high-volume</t>
        </is>
      </c>
      <c r="D500" s="254" t="inlineStr">
        <is>
          <t>non-clean</t>
        </is>
      </c>
      <c r="E500" s="254" t="inlineStr">
        <is>
          <t>standard</t>
        </is>
      </c>
      <c r="F500" s="254" t="inlineStr">
        <is>
          <t>buyer_fee</t>
        </is>
      </c>
      <c r="G500" s="254" t="inlineStr">
        <is>
          <t>secured</t>
        </is>
      </c>
      <c r="H500" s="251" t="n">
        <v>50</v>
      </c>
      <c r="I500" s="251" t="n">
        <v>99.98999999999999</v>
      </c>
      <c r="J500" s="251" t="n">
        <v>1</v>
      </c>
      <c r="K500" s="254" t="n"/>
    </row>
    <row r="501">
      <c r="B501" s="254" t="inlineStr">
        <is>
          <t>2026-09-26</t>
        </is>
      </c>
      <c r="C501" s="254" t="inlineStr">
        <is>
          <t>licensed-high-volume</t>
        </is>
      </c>
      <c r="D501" s="254" t="inlineStr">
        <is>
          <t>non-clean</t>
        </is>
      </c>
      <c r="E501" s="254" t="inlineStr">
        <is>
          <t>standard</t>
        </is>
      </c>
      <c r="F501" s="254" t="inlineStr">
        <is>
          <t>buyer_fee</t>
        </is>
      </c>
      <c r="G501" s="254" t="inlineStr">
        <is>
          <t>secured</t>
        </is>
      </c>
      <c r="H501" s="251" t="n">
        <v>100</v>
      </c>
      <c r="I501" s="251" t="n">
        <v>199.99</v>
      </c>
      <c r="J501" s="251" t="n">
        <v>25</v>
      </c>
      <c r="K501" s="254" t="n"/>
    </row>
    <row r="502">
      <c r="B502" s="254" t="inlineStr">
        <is>
          <t>2026-09-26</t>
        </is>
      </c>
      <c r="C502" s="254" t="inlineStr">
        <is>
          <t>licensed-high-volume</t>
        </is>
      </c>
      <c r="D502" s="254" t="inlineStr">
        <is>
          <t>non-clean</t>
        </is>
      </c>
      <c r="E502" s="254" t="inlineStr">
        <is>
          <t>standard</t>
        </is>
      </c>
      <c r="F502" s="254" t="inlineStr">
        <is>
          <t>buyer_fee</t>
        </is>
      </c>
      <c r="G502" s="254" t="inlineStr">
        <is>
          <t>secured</t>
        </is>
      </c>
      <c r="H502" s="251" t="n">
        <v>200</v>
      </c>
      <c r="I502" s="251" t="n">
        <v>299.99</v>
      </c>
      <c r="J502" s="251" t="n">
        <v>60</v>
      </c>
      <c r="K502" s="254" t="n"/>
    </row>
    <row r="503">
      <c r="B503" s="254" t="inlineStr">
        <is>
          <t>2026-09-26</t>
        </is>
      </c>
      <c r="C503" s="254" t="inlineStr">
        <is>
          <t>licensed-high-volume</t>
        </is>
      </c>
      <c r="D503" s="254" t="inlineStr">
        <is>
          <t>non-clean</t>
        </is>
      </c>
      <c r="E503" s="254" t="inlineStr">
        <is>
          <t>standard</t>
        </is>
      </c>
      <c r="F503" s="254" t="inlineStr">
        <is>
          <t>buyer_fee</t>
        </is>
      </c>
      <c r="G503" s="254" t="inlineStr">
        <is>
          <t>secured</t>
        </is>
      </c>
      <c r="H503" s="251" t="n">
        <v>300</v>
      </c>
      <c r="I503" s="251" t="n">
        <v>349.99</v>
      </c>
      <c r="J503" s="251" t="n">
        <v>85</v>
      </c>
      <c r="K503" s="254" t="n"/>
    </row>
    <row r="504">
      <c r="B504" s="254" t="inlineStr">
        <is>
          <t>2026-09-26</t>
        </is>
      </c>
      <c r="C504" s="254" t="inlineStr">
        <is>
          <t>licensed-high-volume</t>
        </is>
      </c>
      <c r="D504" s="254" t="inlineStr">
        <is>
          <t>non-clean</t>
        </is>
      </c>
      <c r="E504" s="254" t="inlineStr">
        <is>
          <t>standard</t>
        </is>
      </c>
      <c r="F504" s="254" t="inlineStr">
        <is>
          <t>buyer_fee</t>
        </is>
      </c>
      <c r="G504" s="254" t="inlineStr">
        <is>
          <t>secured</t>
        </is>
      </c>
      <c r="H504" s="251" t="n">
        <v>350</v>
      </c>
      <c r="I504" s="251" t="n">
        <v>399.99</v>
      </c>
      <c r="J504" s="251" t="n">
        <v>100</v>
      </c>
      <c r="K504" s="254" t="n"/>
    </row>
    <row r="505">
      <c r="B505" s="254" t="inlineStr">
        <is>
          <t>2026-09-26</t>
        </is>
      </c>
      <c r="C505" s="254" t="inlineStr">
        <is>
          <t>licensed-high-volume</t>
        </is>
      </c>
      <c r="D505" s="254" t="inlineStr">
        <is>
          <t>non-clean</t>
        </is>
      </c>
      <c r="E505" s="254" t="inlineStr">
        <is>
          <t>standard</t>
        </is>
      </c>
      <c r="F505" s="254" t="inlineStr">
        <is>
          <t>buyer_fee</t>
        </is>
      </c>
      <c r="G505" s="254" t="inlineStr">
        <is>
          <t>secured</t>
        </is>
      </c>
      <c r="H505" s="251" t="n">
        <v>400</v>
      </c>
      <c r="I505" s="251" t="n">
        <v>449.99</v>
      </c>
      <c r="J505" s="251" t="n">
        <v>125</v>
      </c>
      <c r="K505" s="254" t="n"/>
    </row>
    <row r="506">
      <c r="B506" s="254" t="inlineStr">
        <is>
          <t>2026-09-26</t>
        </is>
      </c>
      <c r="C506" s="254" t="inlineStr">
        <is>
          <t>licensed-high-volume</t>
        </is>
      </c>
      <c r="D506" s="254" t="inlineStr">
        <is>
          <t>non-clean</t>
        </is>
      </c>
      <c r="E506" s="254" t="inlineStr">
        <is>
          <t>standard</t>
        </is>
      </c>
      <c r="F506" s="254" t="inlineStr">
        <is>
          <t>buyer_fee</t>
        </is>
      </c>
      <c r="G506" s="254" t="inlineStr">
        <is>
          <t>secured</t>
        </is>
      </c>
      <c r="H506" s="251" t="n">
        <v>450</v>
      </c>
      <c r="I506" s="251" t="n">
        <v>499.99</v>
      </c>
      <c r="J506" s="251" t="n">
        <v>135</v>
      </c>
      <c r="K506" s="254" t="n"/>
    </row>
    <row r="507">
      <c r="B507" s="254" t="inlineStr">
        <is>
          <t>2026-09-26</t>
        </is>
      </c>
      <c r="C507" s="254" t="inlineStr">
        <is>
          <t>licensed-high-volume</t>
        </is>
      </c>
      <c r="D507" s="254" t="inlineStr">
        <is>
          <t>non-clean</t>
        </is>
      </c>
      <c r="E507" s="254" t="inlineStr">
        <is>
          <t>standard</t>
        </is>
      </c>
      <c r="F507" s="254" t="inlineStr">
        <is>
          <t>buyer_fee</t>
        </is>
      </c>
      <c r="G507" s="254" t="inlineStr">
        <is>
          <t>secured</t>
        </is>
      </c>
      <c r="H507" s="251" t="n">
        <v>500</v>
      </c>
      <c r="I507" s="251" t="n">
        <v>549.99</v>
      </c>
      <c r="J507" s="251" t="n">
        <v>145</v>
      </c>
      <c r="K507" s="254" t="n"/>
    </row>
    <row r="508">
      <c r="B508" s="254" t="inlineStr">
        <is>
          <t>2026-09-26</t>
        </is>
      </c>
      <c r="C508" s="254" t="inlineStr">
        <is>
          <t>licensed-high-volume</t>
        </is>
      </c>
      <c r="D508" s="254" t="inlineStr">
        <is>
          <t>non-clean</t>
        </is>
      </c>
      <c r="E508" s="254" t="inlineStr">
        <is>
          <t>standard</t>
        </is>
      </c>
      <c r="F508" s="254" t="inlineStr">
        <is>
          <t>buyer_fee</t>
        </is>
      </c>
      <c r="G508" s="254" t="inlineStr">
        <is>
          <t>secured</t>
        </is>
      </c>
      <c r="H508" s="251" t="n">
        <v>550</v>
      </c>
      <c r="I508" s="251" t="n">
        <v>599.99</v>
      </c>
      <c r="J508" s="251" t="n">
        <v>155</v>
      </c>
      <c r="K508" s="254" t="n"/>
    </row>
    <row r="509">
      <c r="B509" s="254" t="inlineStr">
        <is>
          <t>2026-09-26</t>
        </is>
      </c>
      <c r="C509" s="254" t="inlineStr">
        <is>
          <t>licensed-high-volume</t>
        </is>
      </c>
      <c r="D509" s="254" t="inlineStr">
        <is>
          <t>non-clean</t>
        </is>
      </c>
      <c r="E509" s="254" t="inlineStr">
        <is>
          <t>standard</t>
        </is>
      </c>
      <c r="F509" s="254" t="inlineStr">
        <is>
          <t>buyer_fee</t>
        </is>
      </c>
      <c r="G509" s="254" t="inlineStr">
        <is>
          <t>secured</t>
        </is>
      </c>
      <c r="H509" s="251" t="n">
        <v>600</v>
      </c>
      <c r="I509" s="251" t="n">
        <v>699.99</v>
      </c>
      <c r="J509" s="251" t="n">
        <v>170</v>
      </c>
      <c r="K509" s="254" t="n"/>
    </row>
    <row r="510">
      <c r="B510" s="254" t="inlineStr">
        <is>
          <t>2026-09-26</t>
        </is>
      </c>
      <c r="C510" s="254" t="inlineStr">
        <is>
          <t>licensed-high-volume</t>
        </is>
      </c>
      <c r="D510" s="254" t="inlineStr">
        <is>
          <t>non-clean</t>
        </is>
      </c>
      <c r="E510" s="254" t="inlineStr">
        <is>
          <t>standard</t>
        </is>
      </c>
      <c r="F510" s="254" t="inlineStr">
        <is>
          <t>buyer_fee</t>
        </is>
      </c>
      <c r="G510" s="254" t="inlineStr">
        <is>
          <t>secured</t>
        </is>
      </c>
      <c r="H510" s="251" t="n">
        <v>700</v>
      </c>
      <c r="I510" s="251" t="n">
        <v>799.99</v>
      </c>
      <c r="J510" s="251" t="n">
        <v>195</v>
      </c>
      <c r="K510" s="254" t="n"/>
    </row>
    <row r="511">
      <c r="B511" s="254" t="inlineStr">
        <is>
          <t>2026-09-26</t>
        </is>
      </c>
      <c r="C511" s="254" t="inlineStr">
        <is>
          <t>licensed-high-volume</t>
        </is>
      </c>
      <c r="D511" s="254" t="inlineStr">
        <is>
          <t>non-clean</t>
        </is>
      </c>
      <c r="E511" s="254" t="inlineStr">
        <is>
          <t>standard</t>
        </is>
      </c>
      <c r="F511" s="254" t="inlineStr">
        <is>
          <t>buyer_fee</t>
        </is>
      </c>
      <c r="G511" s="254" t="inlineStr">
        <is>
          <t>secured</t>
        </is>
      </c>
      <c r="H511" s="251" t="n">
        <v>800</v>
      </c>
      <c r="I511" s="251" t="n">
        <v>899.99</v>
      </c>
      <c r="J511" s="251" t="n">
        <v>215</v>
      </c>
      <c r="K511" s="254" t="n"/>
    </row>
    <row r="512">
      <c r="B512" s="254" t="inlineStr">
        <is>
          <t>2026-09-26</t>
        </is>
      </c>
      <c r="C512" s="254" t="inlineStr">
        <is>
          <t>licensed-high-volume</t>
        </is>
      </c>
      <c r="D512" s="254" t="inlineStr">
        <is>
          <t>non-clean</t>
        </is>
      </c>
      <c r="E512" s="254" t="inlineStr">
        <is>
          <t>standard</t>
        </is>
      </c>
      <c r="F512" s="254" t="inlineStr">
        <is>
          <t>buyer_fee</t>
        </is>
      </c>
      <c r="G512" s="254" t="inlineStr">
        <is>
          <t>secured</t>
        </is>
      </c>
      <c r="H512" s="251" t="n">
        <v>900</v>
      </c>
      <c r="I512" s="251" t="n">
        <v>999.99</v>
      </c>
      <c r="J512" s="251" t="n">
        <v>230</v>
      </c>
      <c r="K512" s="254" t="n"/>
    </row>
    <row r="513">
      <c r="B513" s="254" t="inlineStr">
        <is>
          <t>2026-09-26</t>
        </is>
      </c>
      <c r="C513" s="254" t="inlineStr">
        <is>
          <t>licensed-high-volume</t>
        </is>
      </c>
      <c r="D513" s="254" t="inlineStr">
        <is>
          <t>non-clean</t>
        </is>
      </c>
      <c r="E513" s="254" t="inlineStr">
        <is>
          <t>standard</t>
        </is>
      </c>
      <c r="F513" s="254" t="inlineStr">
        <is>
          <t>buyer_fee</t>
        </is>
      </c>
      <c r="G513" s="254" t="inlineStr">
        <is>
          <t>secured</t>
        </is>
      </c>
      <c r="H513" s="251" t="n">
        <v>1000</v>
      </c>
      <c r="I513" s="251" t="n">
        <v>1199.99</v>
      </c>
      <c r="J513" s="251" t="n">
        <v>250</v>
      </c>
      <c r="K513" s="254" t="n"/>
    </row>
    <row r="514">
      <c r="B514" s="254" t="inlineStr">
        <is>
          <t>2026-09-26</t>
        </is>
      </c>
      <c r="C514" s="254" t="inlineStr">
        <is>
          <t>licensed-high-volume</t>
        </is>
      </c>
      <c r="D514" s="254" t="inlineStr">
        <is>
          <t>non-clean</t>
        </is>
      </c>
      <c r="E514" s="254" t="inlineStr">
        <is>
          <t>standard</t>
        </is>
      </c>
      <c r="F514" s="254" t="inlineStr">
        <is>
          <t>buyer_fee</t>
        </is>
      </c>
      <c r="G514" s="254" t="inlineStr">
        <is>
          <t>secured</t>
        </is>
      </c>
      <c r="H514" s="251" t="n">
        <v>1200</v>
      </c>
      <c r="I514" s="251" t="n">
        <v>1299.99</v>
      </c>
      <c r="J514" s="251" t="n">
        <v>270</v>
      </c>
      <c r="K514" s="254" t="n"/>
    </row>
    <row r="515">
      <c r="B515" s="254" t="inlineStr">
        <is>
          <t>2026-09-26</t>
        </is>
      </c>
      <c r="C515" s="254" t="inlineStr">
        <is>
          <t>licensed-high-volume</t>
        </is>
      </c>
      <c r="D515" s="254" t="inlineStr">
        <is>
          <t>non-clean</t>
        </is>
      </c>
      <c r="E515" s="254" t="inlineStr">
        <is>
          <t>standard</t>
        </is>
      </c>
      <c r="F515" s="254" t="inlineStr">
        <is>
          <t>buyer_fee</t>
        </is>
      </c>
      <c r="G515" s="254" t="inlineStr">
        <is>
          <t>secured</t>
        </is>
      </c>
      <c r="H515" s="251" t="n">
        <v>1300</v>
      </c>
      <c r="I515" s="251" t="n">
        <v>1399.99</v>
      </c>
      <c r="J515" s="251" t="n">
        <v>285</v>
      </c>
      <c r="K515" s="254" t="n"/>
    </row>
    <row r="516">
      <c r="B516" s="254" t="inlineStr">
        <is>
          <t>2026-09-26</t>
        </is>
      </c>
      <c r="C516" s="254" t="inlineStr">
        <is>
          <t>licensed-high-volume</t>
        </is>
      </c>
      <c r="D516" s="254" t="inlineStr">
        <is>
          <t>non-clean</t>
        </is>
      </c>
      <c r="E516" s="254" t="inlineStr">
        <is>
          <t>standard</t>
        </is>
      </c>
      <c r="F516" s="254" t="inlineStr">
        <is>
          <t>buyer_fee</t>
        </is>
      </c>
      <c r="G516" s="254" t="inlineStr">
        <is>
          <t>secured</t>
        </is>
      </c>
      <c r="H516" s="251" t="n">
        <v>1400</v>
      </c>
      <c r="I516" s="251" t="n">
        <v>1499.99</v>
      </c>
      <c r="J516" s="251" t="n">
        <v>300</v>
      </c>
      <c r="K516" s="254" t="n"/>
    </row>
    <row r="517">
      <c r="B517" s="254" t="inlineStr">
        <is>
          <t>2026-09-26</t>
        </is>
      </c>
      <c r="C517" s="254" t="inlineStr">
        <is>
          <t>licensed-high-volume</t>
        </is>
      </c>
      <c r="D517" s="254" t="inlineStr">
        <is>
          <t>non-clean</t>
        </is>
      </c>
      <c r="E517" s="254" t="inlineStr">
        <is>
          <t>standard</t>
        </is>
      </c>
      <c r="F517" s="254" t="inlineStr">
        <is>
          <t>buyer_fee</t>
        </is>
      </c>
      <c r="G517" s="254" t="inlineStr">
        <is>
          <t>secured</t>
        </is>
      </c>
      <c r="H517" s="251" t="n">
        <v>1500</v>
      </c>
      <c r="I517" s="251" t="n">
        <v>1599.99</v>
      </c>
      <c r="J517" s="251" t="n">
        <v>315</v>
      </c>
      <c r="K517" s="254" t="n"/>
    </row>
    <row r="518">
      <c r="B518" s="254" t="inlineStr">
        <is>
          <t>2026-09-26</t>
        </is>
      </c>
      <c r="C518" s="254" t="inlineStr">
        <is>
          <t>licensed-high-volume</t>
        </is>
      </c>
      <c r="D518" s="254" t="inlineStr">
        <is>
          <t>non-clean</t>
        </is>
      </c>
      <c r="E518" s="254" t="inlineStr">
        <is>
          <t>standard</t>
        </is>
      </c>
      <c r="F518" s="254" t="inlineStr">
        <is>
          <t>buyer_fee</t>
        </is>
      </c>
      <c r="G518" s="254" t="inlineStr">
        <is>
          <t>secured</t>
        </is>
      </c>
      <c r="H518" s="251" t="n">
        <v>1600</v>
      </c>
      <c r="I518" s="251" t="n">
        <v>1699.99</v>
      </c>
      <c r="J518" s="251" t="n">
        <v>330</v>
      </c>
      <c r="K518" s="254" t="n"/>
    </row>
    <row r="519">
      <c r="B519" s="254" t="inlineStr">
        <is>
          <t>2026-09-26</t>
        </is>
      </c>
      <c r="C519" s="254" t="inlineStr">
        <is>
          <t>licensed-high-volume</t>
        </is>
      </c>
      <c r="D519" s="254" t="inlineStr">
        <is>
          <t>non-clean</t>
        </is>
      </c>
      <c r="E519" s="254" t="inlineStr">
        <is>
          <t>standard</t>
        </is>
      </c>
      <c r="F519" s="254" t="inlineStr">
        <is>
          <t>buyer_fee</t>
        </is>
      </c>
      <c r="G519" s="254" t="inlineStr">
        <is>
          <t>secured</t>
        </is>
      </c>
      <c r="H519" s="251" t="n">
        <v>1700</v>
      </c>
      <c r="I519" s="251" t="n">
        <v>1799.99</v>
      </c>
      <c r="J519" s="251" t="n">
        <v>350</v>
      </c>
      <c r="K519" s="254" t="n"/>
    </row>
    <row r="520">
      <c r="B520" s="254" t="inlineStr">
        <is>
          <t>2026-09-26</t>
        </is>
      </c>
      <c r="C520" s="254" t="inlineStr">
        <is>
          <t>licensed-high-volume</t>
        </is>
      </c>
      <c r="D520" s="254" t="inlineStr">
        <is>
          <t>non-clean</t>
        </is>
      </c>
      <c r="E520" s="254" t="inlineStr">
        <is>
          <t>standard</t>
        </is>
      </c>
      <c r="F520" s="254" t="inlineStr">
        <is>
          <t>buyer_fee</t>
        </is>
      </c>
      <c r="G520" s="254" t="inlineStr">
        <is>
          <t>secured</t>
        </is>
      </c>
      <c r="H520" s="251" t="n">
        <v>1800</v>
      </c>
      <c r="I520" s="251" t="n">
        <v>1999.99</v>
      </c>
      <c r="J520" s="251" t="n">
        <v>370</v>
      </c>
      <c r="K520" s="254" t="n"/>
    </row>
    <row r="521">
      <c r="B521" s="254" t="inlineStr">
        <is>
          <t>2026-09-26</t>
        </is>
      </c>
      <c r="C521" s="254" t="inlineStr">
        <is>
          <t>licensed-high-volume</t>
        </is>
      </c>
      <c r="D521" s="254" t="inlineStr">
        <is>
          <t>non-clean</t>
        </is>
      </c>
      <c r="E521" s="254" t="inlineStr">
        <is>
          <t>standard</t>
        </is>
      </c>
      <c r="F521" s="254" t="inlineStr">
        <is>
          <t>buyer_fee</t>
        </is>
      </c>
      <c r="G521" s="254" t="inlineStr">
        <is>
          <t>secured</t>
        </is>
      </c>
      <c r="H521" s="251" t="n">
        <v>2000</v>
      </c>
      <c r="I521" s="251" t="n">
        <v>2399.99</v>
      </c>
      <c r="J521" s="251" t="n">
        <v>390</v>
      </c>
      <c r="K521" s="254" t="n"/>
    </row>
    <row r="522">
      <c r="B522" s="254" t="inlineStr">
        <is>
          <t>2026-09-26</t>
        </is>
      </c>
      <c r="C522" s="254" t="inlineStr">
        <is>
          <t>licensed-high-volume</t>
        </is>
      </c>
      <c r="D522" s="254" t="inlineStr">
        <is>
          <t>non-clean</t>
        </is>
      </c>
      <c r="E522" s="254" t="inlineStr">
        <is>
          <t>standard</t>
        </is>
      </c>
      <c r="F522" s="254" t="inlineStr">
        <is>
          <t>buyer_fee</t>
        </is>
      </c>
      <c r="G522" s="254" t="inlineStr">
        <is>
          <t>secured</t>
        </is>
      </c>
      <c r="H522" s="251" t="n">
        <v>2400</v>
      </c>
      <c r="I522" s="251" t="n">
        <v>2499.99</v>
      </c>
      <c r="J522" s="251" t="n">
        <v>425</v>
      </c>
      <c r="K522" s="254" t="n"/>
    </row>
    <row r="523">
      <c r="B523" s="254" t="inlineStr">
        <is>
          <t>2026-09-26</t>
        </is>
      </c>
      <c r="C523" s="254" t="inlineStr">
        <is>
          <t>licensed-high-volume</t>
        </is>
      </c>
      <c r="D523" s="254" t="inlineStr">
        <is>
          <t>non-clean</t>
        </is>
      </c>
      <c r="E523" s="254" t="inlineStr">
        <is>
          <t>standard</t>
        </is>
      </c>
      <c r="F523" s="254" t="inlineStr">
        <is>
          <t>buyer_fee</t>
        </is>
      </c>
      <c r="G523" s="254" t="inlineStr">
        <is>
          <t>secured</t>
        </is>
      </c>
      <c r="H523" s="251" t="n">
        <v>2500</v>
      </c>
      <c r="I523" s="251" t="n">
        <v>2999.99</v>
      </c>
      <c r="J523" s="251" t="n">
        <v>460</v>
      </c>
      <c r="K523" s="254" t="n"/>
    </row>
    <row r="524">
      <c r="B524" s="254" t="inlineStr">
        <is>
          <t>2026-09-26</t>
        </is>
      </c>
      <c r="C524" s="254" t="inlineStr">
        <is>
          <t>licensed-high-volume</t>
        </is>
      </c>
      <c r="D524" s="254" t="inlineStr">
        <is>
          <t>non-clean</t>
        </is>
      </c>
      <c r="E524" s="254" t="inlineStr">
        <is>
          <t>standard</t>
        </is>
      </c>
      <c r="F524" s="254" t="inlineStr">
        <is>
          <t>buyer_fee</t>
        </is>
      </c>
      <c r="G524" s="254" t="inlineStr">
        <is>
          <t>secured</t>
        </is>
      </c>
      <c r="H524" s="251" t="n">
        <v>3000</v>
      </c>
      <c r="I524" s="251" t="n">
        <v>3499.99</v>
      </c>
      <c r="J524" s="251" t="n">
        <v>505</v>
      </c>
      <c r="K524" s="254" t="n"/>
    </row>
    <row r="525">
      <c r="B525" s="254" t="inlineStr">
        <is>
          <t>2026-09-26</t>
        </is>
      </c>
      <c r="C525" s="254" t="inlineStr">
        <is>
          <t>licensed-high-volume</t>
        </is>
      </c>
      <c r="D525" s="254" t="inlineStr">
        <is>
          <t>non-clean</t>
        </is>
      </c>
      <c r="E525" s="254" t="inlineStr">
        <is>
          <t>standard</t>
        </is>
      </c>
      <c r="F525" s="254" t="inlineStr">
        <is>
          <t>buyer_fee</t>
        </is>
      </c>
      <c r="G525" s="254" t="inlineStr">
        <is>
          <t>secured</t>
        </is>
      </c>
      <c r="H525" s="251" t="n">
        <v>3500</v>
      </c>
      <c r="I525" s="251" t="n">
        <v>3999.99</v>
      </c>
      <c r="J525" s="251" t="n">
        <v>555</v>
      </c>
      <c r="K525" s="254" t="n"/>
    </row>
    <row r="526">
      <c r="B526" s="254" t="inlineStr">
        <is>
          <t>2026-09-26</t>
        </is>
      </c>
      <c r="C526" s="254" t="inlineStr">
        <is>
          <t>licensed-high-volume</t>
        </is>
      </c>
      <c r="D526" s="254" t="inlineStr">
        <is>
          <t>non-clean</t>
        </is>
      </c>
      <c r="E526" s="254" t="inlineStr">
        <is>
          <t>standard</t>
        </is>
      </c>
      <c r="F526" s="254" t="inlineStr">
        <is>
          <t>buyer_fee</t>
        </is>
      </c>
      <c r="G526" s="254" t="inlineStr">
        <is>
          <t>secured</t>
        </is>
      </c>
      <c r="H526" s="251" t="n">
        <v>4000</v>
      </c>
      <c r="I526" s="251" t="n">
        <v>4499.99</v>
      </c>
      <c r="J526" s="251" t="n">
        <v>600</v>
      </c>
      <c r="K526" s="254" t="n"/>
    </row>
    <row r="527">
      <c r="B527" s="254" t="inlineStr">
        <is>
          <t>2026-09-26</t>
        </is>
      </c>
      <c r="C527" s="254" t="inlineStr">
        <is>
          <t>licensed-high-volume</t>
        </is>
      </c>
      <c r="D527" s="254" t="inlineStr">
        <is>
          <t>non-clean</t>
        </is>
      </c>
      <c r="E527" s="254" t="inlineStr">
        <is>
          <t>standard</t>
        </is>
      </c>
      <c r="F527" s="254" t="inlineStr">
        <is>
          <t>buyer_fee</t>
        </is>
      </c>
      <c r="G527" s="254" t="inlineStr">
        <is>
          <t>secured</t>
        </is>
      </c>
      <c r="H527" s="251" t="n">
        <v>4500</v>
      </c>
      <c r="I527" s="251" t="n">
        <v>4999.99</v>
      </c>
      <c r="J527" s="251" t="n">
        <v>625</v>
      </c>
      <c r="K527" s="254" t="n"/>
    </row>
    <row r="528">
      <c r="B528" s="254" t="inlineStr">
        <is>
          <t>2026-09-26</t>
        </is>
      </c>
      <c r="C528" s="254" t="inlineStr">
        <is>
          <t>licensed-high-volume</t>
        </is>
      </c>
      <c r="D528" s="254" t="inlineStr">
        <is>
          <t>non-clean</t>
        </is>
      </c>
      <c r="E528" s="254" t="inlineStr">
        <is>
          <t>standard</t>
        </is>
      </c>
      <c r="F528" s="254" t="inlineStr">
        <is>
          <t>buyer_fee</t>
        </is>
      </c>
      <c r="G528" s="254" t="inlineStr">
        <is>
          <t>secured</t>
        </is>
      </c>
      <c r="H528" s="251" t="n">
        <v>5000</v>
      </c>
      <c r="I528" s="251" t="n">
        <v>5499.99</v>
      </c>
      <c r="J528" s="251" t="n">
        <v>650</v>
      </c>
      <c r="K528" s="254" t="n"/>
    </row>
    <row r="529">
      <c r="B529" s="254" t="inlineStr">
        <is>
          <t>2026-09-26</t>
        </is>
      </c>
      <c r="C529" s="254" t="inlineStr">
        <is>
          <t>licensed-high-volume</t>
        </is>
      </c>
      <c r="D529" s="254" t="inlineStr">
        <is>
          <t>non-clean</t>
        </is>
      </c>
      <c r="E529" s="254" t="inlineStr">
        <is>
          <t>standard</t>
        </is>
      </c>
      <c r="F529" s="254" t="inlineStr">
        <is>
          <t>buyer_fee</t>
        </is>
      </c>
      <c r="G529" s="254" t="inlineStr">
        <is>
          <t>secured</t>
        </is>
      </c>
      <c r="H529" s="251" t="n">
        <v>5500</v>
      </c>
      <c r="I529" s="251" t="n">
        <v>5999.99</v>
      </c>
      <c r="J529" s="251" t="n">
        <v>675</v>
      </c>
      <c r="K529" s="254" t="n"/>
    </row>
    <row r="530">
      <c r="B530" s="254" t="inlineStr">
        <is>
          <t>2026-09-26</t>
        </is>
      </c>
      <c r="C530" s="254" t="inlineStr">
        <is>
          <t>licensed-high-volume</t>
        </is>
      </c>
      <c r="D530" s="254" t="inlineStr">
        <is>
          <t>non-clean</t>
        </is>
      </c>
      <c r="E530" s="254" t="inlineStr">
        <is>
          <t>standard</t>
        </is>
      </c>
      <c r="F530" s="254" t="inlineStr">
        <is>
          <t>buyer_fee</t>
        </is>
      </c>
      <c r="G530" s="254" t="inlineStr">
        <is>
          <t>secured</t>
        </is>
      </c>
      <c r="H530" s="251" t="n">
        <v>6000</v>
      </c>
      <c r="I530" s="251" t="n">
        <v>6499.99</v>
      </c>
      <c r="J530" s="251" t="n">
        <v>700</v>
      </c>
      <c r="K530" s="254" t="n"/>
    </row>
    <row r="531">
      <c r="B531" s="254" t="inlineStr">
        <is>
          <t>2026-09-26</t>
        </is>
      </c>
      <c r="C531" s="254" t="inlineStr">
        <is>
          <t>licensed-high-volume</t>
        </is>
      </c>
      <c r="D531" s="254" t="inlineStr">
        <is>
          <t>non-clean</t>
        </is>
      </c>
      <c r="E531" s="254" t="inlineStr">
        <is>
          <t>standard</t>
        </is>
      </c>
      <c r="F531" s="254" t="inlineStr">
        <is>
          <t>buyer_fee</t>
        </is>
      </c>
      <c r="G531" s="254" t="inlineStr">
        <is>
          <t>secured</t>
        </is>
      </c>
      <c r="H531" s="251" t="n">
        <v>6500</v>
      </c>
      <c r="I531" s="251" t="n">
        <v>6999.99</v>
      </c>
      <c r="J531" s="251" t="n">
        <v>720</v>
      </c>
      <c r="K531" s="254" t="n"/>
    </row>
    <row r="532">
      <c r="B532" s="254" t="inlineStr">
        <is>
          <t>2026-09-26</t>
        </is>
      </c>
      <c r="C532" s="254" t="inlineStr">
        <is>
          <t>licensed-high-volume</t>
        </is>
      </c>
      <c r="D532" s="254" t="inlineStr">
        <is>
          <t>non-clean</t>
        </is>
      </c>
      <c r="E532" s="254" t="inlineStr">
        <is>
          <t>standard</t>
        </is>
      </c>
      <c r="F532" s="254" t="inlineStr">
        <is>
          <t>buyer_fee</t>
        </is>
      </c>
      <c r="G532" s="254" t="inlineStr">
        <is>
          <t>secured</t>
        </is>
      </c>
      <c r="H532" s="251" t="n">
        <v>7000</v>
      </c>
      <c r="I532" s="251" t="n">
        <v>7499.99</v>
      </c>
      <c r="J532" s="251" t="n">
        <v>755</v>
      </c>
      <c r="K532" s="254" t="n"/>
    </row>
    <row r="533">
      <c r="B533" s="254" t="inlineStr">
        <is>
          <t>2026-09-26</t>
        </is>
      </c>
      <c r="C533" s="254" t="inlineStr">
        <is>
          <t>licensed-high-volume</t>
        </is>
      </c>
      <c r="D533" s="254" t="inlineStr">
        <is>
          <t>non-clean</t>
        </is>
      </c>
      <c r="E533" s="254" t="inlineStr">
        <is>
          <t>standard</t>
        </is>
      </c>
      <c r="F533" s="254" t="inlineStr">
        <is>
          <t>buyer_fee</t>
        </is>
      </c>
      <c r="G533" s="254" t="inlineStr">
        <is>
          <t>secured</t>
        </is>
      </c>
      <c r="H533" s="251" t="n">
        <v>7500</v>
      </c>
      <c r="I533" s="251" t="n">
        <v>7999.99</v>
      </c>
      <c r="J533" s="251" t="n">
        <v>775</v>
      </c>
      <c r="K533" s="254" t="n"/>
    </row>
    <row r="534">
      <c r="B534" s="254" t="inlineStr">
        <is>
          <t>2026-09-26</t>
        </is>
      </c>
      <c r="C534" s="254" t="inlineStr">
        <is>
          <t>licensed-high-volume</t>
        </is>
      </c>
      <c r="D534" s="254" t="inlineStr">
        <is>
          <t>non-clean</t>
        </is>
      </c>
      <c r="E534" s="254" t="inlineStr">
        <is>
          <t>standard</t>
        </is>
      </c>
      <c r="F534" s="254" t="inlineStr">
        <is>
          <t>buyer_fee</t>
        </is>
      </c>
      <c r="G534" s="254" t="inlineStr">
        <is>
          <t>secured</t>
        </is>
      </c>
      <c r="H534" s="251" t="n">
        <v>8000</v>
      </c>
      <c r="I534" s="251" t="n">
        <v>8499.99</v>
      </c>
      <c r="J534" s="251" t="n">
        <v>800</v>
      </c>
      <c r="K534" s="254" t="n"/>
    </row>
    <row r="535">
      <c r="B535" s="254" t="inlineStr">
        <is>
          <t>2026-09-26</t>
        </is>
      </c>
      <c r="C535" s="254" t="inlineStr">
        <is>
          <t>licensed-high-volume</t>
        </is>
      </c>
      <c r="D535" s="254" t="inlineStr">
        <is>
          <t>non-clean</t>
        </is>
      </c>
      <c r="E535" s="254" t="inlineStr">
        <is>
          <t>standard</t>
        </is>
      </c>
      <c r="F535" s="254" t="inlineStr">
        <is>
          <t>buyer_fee</t>
        </is>
      </c>
      <c r="G535" s="254" t="inlineStr">
        <is>
          <t>secured</t>
        </is>
      </c>
      <c r="H535" s="251" t="n">
        <v>8500</v>
      </c>
      <c r="I535" s="251" t="n">
        <v>8999.99</v>
      </c>
      <c r="J535" s="251" t="n">
        <v>820</v>
      </c>
      <c r="K535" s="254" t="n"/>
    </row>
    <row r="536">
      <c r="B536" s="254" t="inlineStr">
        <is>
          <t>2026-09-26</t>
        </is>
      </c>
      <c r="C536" s="254" t="inlineStr">
        <is>
          <t>licensed-high-volume</t>
        </is>
      </c>
      <c r="D536" s="254" t="inlineStr">
        <is>
          <t>non-clean</t>
        </is>
      </c>
      <c r="E536" s="254" t="inlineStr">
        <is>
          <t>standard</t>
        </is>
      </c>
      <c r="F536" s="254" t="inlineStr">
        <is>
          <t>buyer_fee</t>
        </is>
      </c>
      <c r="G536" s="254" t="inlineStr">
        <is>
          <t>secured</t>
        </is>
      </c>
      <c r="H536" s="251" t="n">
        <v>9000</v>
      </c>
      <c r="I536" s="251" t="n">
        <v>9999.99</v>
      </c>
      <c r="J536" s="251" t="n">
        <v>820</v>
      </c>
      <c r="K536" s="254" t="n"/>
    </row>
    <row r="537">
      <c r="B537" s="254" t="inlineStr">
        <is>
          <t>2026-09-26</t>
        </is>
      </c>
      <c r="C537" s="254" t="inlineStr">
        <is>
          <t>licensed-high-volume</t>
        </is>
      </c>
      <c r="D537" s="254" t="inlineStr">
        <is>
          <t>non-clean</t>
        </is>
      </c>
      <c r="E537" s="254" t="inlineStr">
        <is>
          <t>standard</t>
        </is>
      </c>
      <c r="F537" s="254" t="inlineStr">
        <is>
          <t>buyer_fee</t>
        </is>
      </c>
      <c r="G537" s="254" t="inlineStr">
        <is>
          <t>secured</t>
        </is>
      </c>
      <c r="H537" s="251" t="n">
        <v>10000</v>
      </c>
      <c r="I537" s="251" t="n">
        <v>10499.99</v>
      </c>
      <c r="J537" s="251" t="n">
        <v>850</v>
      </c>
      <c r="K537" s="254" t="n"/>
    </row>
    <row r="538">
      <c r="B538" s="254" t="inlineStr">
        <is>
          <t>2026-09-26</t>
        </is>
      </c>
      <c r="C538" s="254" t="inlineStr">
        <is>
          <t>licensed-high-volume</t>
        </is>
      </c>
      <c r="D538" s="254" t="inlineStr">
        <is>
          <t>non-clean</t>
        </is>
      </c>
      <c r="E538" s="254" t="inlineStr">
        <is>
          <t>standard</t>
        </is>
      </c>
      <c r="F538" s="254" t="inlineStr">
        <is>
          <t>buyer_fee</t>
        </is>
      </c>
      <c r="G538" s="254" t="inlineStr">
        <is>
          <t>secured</t>
        </is>
      </c>
      <c r="H538" s="251" t="n">
        <v>10500</v>
      </c>
      <c r="I538" s="251" t="n">
        <v>10999.99</v>
      </c>
      <c r="J538" s="251" t="n">
        <v>850</v>
      </c>
      <c r="K538" s="254" t="n"/>
    </row>
    <row r="539">
      <c r="B539" s="254" t="inlineStr">
        <is>
          <t>2026-09-26</t>
        </is>
      </c>
      <c r="C539" s="254" t="inlineStr">
        <is>
          <t>licensed-high-volume</t>
        </is>
      </c>
      <c r="D539" s="254" t="inlineStr">
        <is>
          <t>non-clean</t>
        </is>
      </c>
      <c r="E539" s="254" t="inlineStr">
        <is>
          <t>standard</t>
        </is>
      </c>
      <c r="F539" s="254" t="inlineStr">
        <is>
          <t>buyer_fee</t>
        </is>
      </c>
      <c r="G539" s="254" t="inlineStr">
        <is>
          <t>secured</t>
        </is>
      </c>
      <c r="H539" s="251" t="n">
        <v>11000</v>
      </c>
      <c r="I539" s="251" t="n">
        <v>11499.99</v>
      </c>
      <c r="J539" s="251" t="n">
        <v>850</v>
      </c>
      <c r="K539" s="254" t="n"/>
    </row>
    <row r="540">
      <c r="B540" s="254" t="inlineStr">
        <is>
          <t>2026-09-26</t>
        </is>
      </c>
      <c r="C540" s="254" t="inlineStr">
        <is>
          <t>licensed-high-volume</t>
        </is>
      </c>
      <c r="D540" s="254" t="inlineStr">
        <is>
          <t>non-clean</t>
        </is>
      </c>
      <c r="E540" s="254" t="inlineStr">
        <is>
          <t>standard</t>
        </is>
      </c>
      <c r="F540" s="254" t="inlineStr">
        <is>
          <t>buyer_fee</t>
        </is>
      </c>
      <c r="G540" s="254" t="inlineStr">
        <is>
          <t>secured</t>
        </is>
      </c>
      <c r="H540" s="251" t="n">
        <v>11500</v>
      </c>
      <c r="I540" s="251" t="n">
        <v>11999.99</v>
      </c>
      <c r="J540" s="251" t="n">
        <v>860</v>
      </c>
      <c r="K540" s="254" t="n"/>
    </row>
    <row r="541">
      <c r="B541" s="254" t="inlineStr">
        <is>
          <t>2026-09-26</t>
        </is>
      </c>
      <c r="C541" s="254" t="inlineStr">
        <is>
          <t>licensed-high-volume</t>
        </is>
      </c>
      <c r="D541" s="254" t="inlineStr">
        <is>
          <t>non-clean</t>
        </is>
      </c>
      <c r="E541" s="254" t="inlineStr">
        <is>
          <t>standard</t>
        </is>
      </c>
      <c r="F541" s="254" t="inlineStr">
        <is>
          <t>buyer_fee</t>
        </is>
      </c>
      <c r="G541" s="254" t="inlineStr">
        <is>
          <t>secured</t>
        </is>
      </c>
      <c r="H541" s="251" t="n">
        <v>12000</v>
      </c>
      <c r="I541" s="251" t="n">
        <v>12499.99</v>
      </c>
      <c r="J541" s="251" t="n">
        <v>875</v>
      </c>
      <c r="K541" s="254" t="n"/>
    </row>
    <row r="542">
      <c r="B542" s="254" t="inlineStr">
        <is>
          <t>2026-09-26</t>
        </is>
      </c>
      <c r="C542" s="254" t="inlineStr">
        <is>
          <t>licensed-high-volume</t>
        </is>
      </c>
      <c r="D542" s="254" t="inlineStr">
        <is>
          <t>non-clean</t>
        </is>
      </c>
      <c r="E542" s="254" t="inlineStr">
        <is>
          <t>standard</t>
        </is>
      </c>
      <c r="F542" s="254" t="inlineStr">
        <is>
          <t>buyer_fee</t>
        </is>
      </c>
      <c r="G542" s="254" t="inlineStr">
        <is>
          <t>secured</t>
        </is>
      </c>
      <c r="H542" s="251" t="n">
        <v>12500</v>
      </c>
      <c r="I542" s="251" t="n">
        <v>14999.99</v>
      </c>
      <c r="J542" s="251" t="n">
        <v>890</v>
      </c>
      <c r="K542" s="254" t="n"/>
    </row>
    <row r="543">
      <c r="B543" s="254" t="inlineStr">
        <is>
          <t>2026-09-26</t>
        </is>
      </c>
      <c r="C543" s="254" t="inlineStr">
        <is>
          <t>licensed-high-volume</t>
        </is>
      </c>
      <c r="D543" s="254" t="inlineStr">
        <is>
          <t>non-clean</t>
        </is>
      </c>
      <c r="E543" s="254" t="inlineStr">
        <is>
          <t>standard</t>
        </is>
      </c>
      <c r="F543" s="254" t="inlineStr">
        <is>
          <t>buyer_fee</t>
        </is>
      </c>
      <c r="G543" s="254" t="inlineStr">
        <is>
          <t>secured</t>
        </is>
      </c>
      <c r="H543" s="251" t="n">
        <v>15000</v>
      </c>
      <c r="I543" s="254" t="n"/>
      <c r="J543" s="254" t="n"/>
      <c r="K543" s="251" t="n">
        <v>6</v>
      </c>
    </row>
    <row r="544">
      <c r="B544" s="254" t="inlineStr">
        <is>
          <t>2026-09-26</t>
        </is>
      </c>
      <c r="C544" s="254" t="inlineStr">
        <is>
          <t>licensed-high-volume</t>
        </is>
      </c>
      <c r="D544" s="254" t="inlineStr">
        <is>
          <t>non-clean</t>
        </is>
      </c>
      <c r="E544" s="254" t="inlineStr">
        <is>
          <t>standard</t>
        </is>
      </c>
      <c r="F544" s="254" t="inlineStr">
        <is>
          <t>buyer_fee</t>
        </is>
      </c>
      <c r="G544" s="254" t="inlineStr">
        <is>
          <t>unsecured</t>
        </is>
      </c>
      <c r="H544" s="251" t="n">
        <v>0</v>
      </c>
      <c r="I544" s="251" t="n">
        <v>49.99</v>
      </c>
      <c r="J544" s="251" t="n">
        <v>27.5</v>
      </c>
      <c r="K544" s="254" t="n"/>
    </row>
    <row r="545">
      <c r="B545" s="254" t="inlineStr">
        <is>
          <t>2026-09-26</t>
        </is>
      </c>
      <c r="C545" s="254" t="inlineStr">
        <is>
          <t>licensed-high-volume</t>
        </is>
      </c>
      <c r="D545" s="254" t="inlineStr">
        <is>
          <t>non-clean</t>
        </is>
      </c>
      <c r="E545" s="254" t="inlineStr">
        <is>
          <t>standard</t>
        </is>
      </c>
      <c r="F545" s="254" t="inlineStr">
        <is>
          <t>buyer_fee</t>
        </is>
      </c>
      <c r="G545" s="254" t="inlineStr">
        <is>
          <t>unsecured</t>
        </is>
      </c>
      <c r="H545" s="251" t="n">
        <v>50</v>
      </c>
      <c r="I545" s="251" t="n">
        <v>99.98999999999999</v>
      </c>
      <c r="J545" s="251" t="n">
        <v>40</v>
      </c>
      <c r="K545" s="254" t="n"/>
    </row>
    <row r="546">
      <c r="B546" s="254" t="inlineStr">
        <is>
          <t>2026-09-26</t>
        </is>
      </c>
      <c r="C546" s="254" t="inlineStr">
        <is>
          <t>licensed-high-volume</t>
        </is>
      </c>
      <c r="D546" s="254" t="inlineStr">
        <is>
          <t>non-clean</t>
        </is>
      </c>
      <c r="E546" s="254" t="inlineStr">
        <is>
          <t>standard</t>
        </is>
      </c>
      <c r="F546" s="254" t="inlineStr">
        <is>
          <t>buyer_fee</t>
        </is>
      </c>
      <c r="G546" s="254" t="inlineStr">
        <is>
          <t>unsecured</t>
        </is>
      </c>
      <c r="H546" s="251" t="n">
        <v>100</v>
      </c>
      <c r="I546" s="251" t="n">
        <v>199.99</v>
      </c>
      <c r="J546" s="251" t="n">
        <v>65</v>
      </c>
      <c r="K546" s="254" t="n"/>
    </row>
    <row r="547">
      <c r="B547" s="254" t="inlineStr">
        <is>
          <t>2026-09-26</t>
        </is>
      </c>
      <c r="C547" s="254" t="inlineStr">
        <is>
          <t>licensed-high-volume</t>
        </is>
      </c>
      <c r="D547" s="254" t="inlineStr">
        <is>
          <t>non-clean</t>
        </is>
      </c>
      <c r="E547" s="254" t="inlineStr">
        <is>
          <t>standard</t>
        </is>
      </c>
      <c r="F547" s="254" t="inlineStr">
        <is>
          <t>buyer_fee</t>
        </is>
      </c>
      <c r="G547" s="254" t="inlineStr">
        <is>
          <t>unsecured</t>
        </is>
      </c>
      <c r="H547" s="251" t="n">
        <v>200</v>
      </c>
      <c r="I547" s="251" t="n">
        <v>299.99</v>
      </c>
      <c r="J547" s="251" t="n">
        <v>100</v>
      </c>
      <c r="K547" s="254" t="n"/>
    </row>
    <row r="548">
      <c r="B548" s="254" t="inlineStr">
        <is>
          <t>2026-09-26</t>
        </is>
      </c>
      <c r="C548" s="254" t="inlineStr">
        <is>
          <t>licensed-high-volume</t>
        </is>
      </c>
      <c r="D548" s="254" t="inlineStr">
        <is>
          <t>non-clean</t>
        </is>
      </c>
      <c r="E548" s="254" t="inlineStr">
        <is>
          <t>standard</t>
        </is>
      </c>
      <c r="F548" s="254" t="inlineStr">
        <is>
          <t>buyer_fee</t>
        </is>
      </c>
      <c r="G548" s="254" t="inlineStr">
        <is>
          <t>unsecured</t>
        </is>
      </c>
      <c r="H548" s="251" t="n">
        <v>300</v>
      </c>
      <c r="I548" s="251" t="n">
        <v>349.99</v>
      </c>
      <c r="J548" s="251" t="n">
        <v>122.5</v>
      </c>
      <c r="K548" s="254" t="n"/>
    </row>
    <row r="549">
      <c r="B549" s="254" t="inlineStr">
        <is>
          <t>2026-09-26</t>
        </is>
      </c>
      <c r="C549" s="254" t="inlineStr">
        <is>
          <t>licensed-high-volume</t>
        </is>
      </c>
      <c r="D549" s="254" t="inlineStr">
        <is>
          <t>non-clean</t>
        </is>
      </c>
      <c r="E549" s="254" t="inlineStr">
        <is>
          <t>standard</t>
        </is>
      </c>
      <c r="F549" s="254" t="inlineStr">
        <is>
          <t>buyer_fee</t>
        </is>
      </c>
      <c r="G549" s="254" t="inlineStr">
        <is>
          <t>unsecured</t>
        </is>
      </c>
      <c r="H549" s="251" t="n">
        <v>350</v>
      </c>
      <c r="I549" s="251" t="n">
        <v>399.99</v>
      </c>
      <c r="J549" s="251" t="n">
        <v>137.5</v>
      </c>
      <c r="K549" s="254" t="n"/>
    </row>
    <row r="550">
      <c r="B550" s="254" t="inlineStr">
        <is>
          <t>2026-09-26</t>
        </is>
      </c>
      <c r="C550" s="254" t="inlineStr">
        <is>
          <t>licensed-high-volume</t>
        </is>
      </c>
      <c r="D550" s="254" t="inlineStr">
        <is>
          <t>non-clean</t>
        </is>
      </c>
      <c r="E550" s="254" t="inlineStr">
        <is>
          <t>standard</t>
        </is>
      </c>
      <c r="F550" s="254" t="inlineStr">
        <is>
          <t>buyer_fee</t>
        </is>
      </c>
      <c r="G550" s="254" t="inlineStr">
        <is>
          <t>unsecured</t>
        </is>
      </c>
      <c r="H550" s="251" t="n">
        <v>400</v>
      </c>
      <c r="I550" s="251" t="n">
        <v>449.99</v>
      </c>
      <c r="J550" s="251" t="n">
        <v>145</v>
      </c>
      <c r="K550" s="254" t="n"/>
    </row>
    <row r="551">
      <c r="B551" s="254" t="inlineStr">
        <is>
          <t>2026-09-26</t>
        </is>
      </c>
      <c r="C551" s="254" t="inlineStr">
        <is>
          <t>licensed-high-volume</t>
        </is>
      </c>
      <c r="D551" s="254" t="inlineStr">
        <is>
          <t>non-clean</t>
        </is>
      </c>
      <c r="E551" s="254" t="inlineStr">
        <is>
          <t>standard</t>
        </is>
      </c>
      <c r="F551" s="254" t="inlineStr">
        <is>
          <t>buyer_fee</t>
        </is>
      </c>
      <c r="G551" s="254" t="inlineStr">
        <is>
          <t>unsecured</t>
        </is>
      </c>
      <c r="H551" s="251" t="n">
        <v>450</v>
      </c>
      <c r="I551" s="251" t="n">
        <v>499.99</v>
      </c>
      <c r="J551" s="251" t="n">
        <v>155</v>
      </c>
      <c r="K551" s="254" t="n"/>
    </row>
    <row r="552">
      <c r="B552" s="254" t="inlineStr">
        <is>
          <t>2026-09-26</t>
        </is>
      </c>
      <c r="C552" s="254" t="inlineStr">
        <is>
          <t>licensed-high-volume</t>
        </is>
      </c>
      <c r="D552" s="254" t="inlineStr">
        <is>
          <t>non-clean</t>
        </is>
      </c>
      <c r="E552" s="254" t="inlineStr">
        <is>
          <t>standard</t>
        </is>
      </c>
      <c r="F552" s="254" t="inlineStr">
        <is>
          <t>buyer_fee</t>
        </is>
      </c>
      <c r="G552" s="254" t="inlineStr">
        <is>
          <t>unsecured</t>
        </is>
      </c>
      <c r="H552" s="251" t="n">
        <v>500</v>
      </c>
      <c r="I552" s="251" t="n">
        <v>549.99</v>
      </c>
      <c r="J552" s="251" t="n">
        <v>170</v>
      </c>
      <c r="K552" s="254" t="n"/>
    </row>
    <row r="553">
      <c r="B553" s="254" t="inlineStr">
        <is>
          <t>2026-09-26</t>
        </is>
      </c>
      <c r="C553" s="254" t="inlineStr">
        <is>
          <t>licensed-high-volume</t>
        </is>
      </c>
      <c r="D553" s="254" t="inlineStr">
        <is>
          <t>non-clean</t>
        </is>
      </c>
      <c r="E553" s="254" t="inlineStr">
        <is>
          <t>standard</t>
        </is>
      </c>
      <c r="F553" s="254" t="inlineStr">
        <is>
          <t>buyer_fee</t>
        </is>
      </c>
      <c r="G553" s="254" t="inlineStr">
        <is>
          <t>unsecured</t>
        </is>
      </c>
      <c r="H553" s="251" t="n">
        <v>550</v>
      </c>
      <c r="I553" s="251" t="n">
        <v>599.99</v>
      </c>
      <c r="J553" s="251" t="n">
        <v>175</v>
      </c>
      <c r="K553" s="254" t="n"/>
    </row>
    <row r="554">
      <c r="B554" s="254" t="inlineStr">
        <is>
          <t>2026-09-26</t>
        </is>
      </c>
      <c r="C554" s="254" t="inlineStr">
        <is>
          <t>licensed-high-volume</t>
        </is>
      </c>
      <c r="D554" s="254" t="inlineStr">
        <is>
          <t>non-clean</t>
        </is>
      </c>
      <c r="E554" s="254" t="inlineStr">
        <is>
          <t>standard</t>
        </is>
      </c>
      <c r="F554" s="254" t="inlineStr">
        <is>
          <t>buyer_fee</t>
        </is>
      </c>
      <c r="G554" s="254" t="inlineStr">
        <is>
          <t>unsecured</t>
        </is>
      </c>
      <c r="H554" s="251" t="n">
        <v>600</v>
      </c>
      <c r="I554" s="251" t="n">
        <v>699.99</v>
      </c>
      <c r="J554" s="251" t="n">
        <v>200</v>
      </c>
      <c r="K554" s="254" t="n"/>
    </row>
    <row r="555">
      <c r="B555" s="254" t="inlineStr">
        <is>
          <t>2026-09-26</t>
        </is>
      </c>
      <c r="C555" s="254" t="inlineStr">
        <is>
          <t>licensed-high-volume</t>
        </is>
      </c>
      <c r="D555" s="254" t="inlineStr">
        <is>
          <t>non-clean</t>
        </is>
      </c>
      <c r="E555" s="254" t="inlineStr">
        <is>
          <t>standard</t>
        </is>
      </c>
      <c r="F555" s="254" t="inlineStr">
        <is>
          <t>buyer_fee</t>
        </is>
      </c>
      <c r="G555" s="254" t="inlineStr">
        <is>
          <t>unsecured</t>
        </is>
      </c>
      <c r="H555" s="251" t="n">
        <v>700</v>
      </c>
      <c r="I555" s="251" t="n">
        <v>799.99</v>
      </c>
      <c r="J555" s="251" t="n">
        <v>232.5</v>
      </c>
      <c r="K555" s="254" t="n"/>
    </row>
    <row r="556">
      <c r="B556" s="254" t="inlineStr">
        <is>
          <t>2026-09-26</t>
        </is>
      </c>
      <c r="C556" s="254" t="inlineStr">
        <is>
          <t>licensed-high-volume</t>
        </is>
      </c>
      <c r="D556" s="254" t="inlineStr">
        <is>
          <t>non-clean</t>
        </is>
      </c>
      <c r="E556" s="254" t="inlineStr">
        <is>
          <t>standard</t>
        </is>
      </c>
      <c r="F556" s="254" t="inlineStr">
        <is>
          <t>buyer_fee</t>
        </is>
      </c>
      <c r="G556" s="254" t="inlineStr">
        <is>
          <t>unsecured</t>
        </is>
      </c>
      <c r="H556" s="251" t="n">
        <v>800</v>
      </c>
      <c r="I556" s="251" t="n">
        <v>899.99</v>
      </c>
      <c r="J556" s="251" t="n">
        <v>257.5</v>
      </c>
      <c r="K556" s="254" t="n"/>
    </row>
    <row r="557">
      <c r="B557" s="254" t="inlineStr">
        <is>
          <t>2026-09-26</t>
        </is>
      </c>
      <c r="C557" s="254" t="inlineStr">
        <is>
          <t>licensed-high-volume</t>
        </is>
      </c>
      <c r="D557" s="254" t="inlineStr">
        <is>
          <t>non-clean</t>
        </is>
      </c>
      <c r="E557" s="254" t="inlineStr">
        <is>
          <t>standard</t>
        </is>
      </c>
      <c r="F557" s="254" t="inlineStr">
        <is>
          <t>buyer_fee</t>
        </is>
      </c>
      <c r="G557" s="254" t="inlineStr">
        <is>
          <t>unsecured</t>
        </is>
      </c>
      <c r="H557" s="251" t="n">
        <v>900</v>
      </c>
      <c r="I557" s="251" t="n">
        <v>999.99</v>
      </c>
      <c r="J557" s="251" t="n">
        <v>280</v>
      </c>
      <c r="K557" s="254" t="n"/>
    </row>
    <row r="558">
      <c r="B558" s="254" t="inlineStr">
        <is>
          <t>2026-09-26</t>
        </is>
      </c>
      <c r="C558" s="254" t="inlineStr">
        <is>
          <t>licensed-high-volume</t>
        </is>
      </c>
      <c r="D558" s="254" t="inlineStr">
        <is>
          <t>non-clean</t>
        </is>
      </c>
      <c r="E558" s="254" t="inlineStr">
        <is>
          <t>standard</t>
        </is>
      </c>
      <c r="F558" s="254" t="inlineStr">
        <is>
          <t>buyer_fee</t>
        </is>
      </c>
      <c r="G558" s="254" t="inlineStr">
        <is>
          <t>unsecured</t>
        </is>
      </c>
      <c r="H558" s="251" t="n">
        <v>1000</v>
      </c>
      <c r="I558" s="251" t="n">
        <v>1199.99</v>
      </c>
      <c r="J558" s="251" t="n">
        <v>310</v>
      </c>
      <c r="K558" s="254" t="n"/>
    </row>
    <row r="559">
      <c r="B559" s="254" t="inlineStr">
        <is>
          <t>2026-09-26</t>
        </is>
      </c>
      <c r="C559" s="254" t="inlineStr">
        <is>
          <t>licensed-high-volume</t>
        </is>
      </c>
      <c r="D559" s="254" t="inlineStr">
        <is>
          <t>non-clean</t>
        </is>
      </c>
      <c r="E559" s="254" t="inlineStr">
        <is>
          <t>standard</t>
        </is>
      </c>
      <c r="F559" s="254" t="inlineStr">
        <is>
          <t>buyer_fee</t>
        </is>
      </c>
      <c r="G559" s="254" t="inlineStr">
        <is>
          <t>unsecured</t>
        </is>
      </c>
      <c r="H559" s="251" t="n">
        <v>1200</v>
      </c>
      <c r="I559" s="251" t="n">
        <v>1299.99</v>
      </c>
      <c r="J559" s="251" t="n">
        <v>340</v>
      </c>
      <c r="K559" s="254" t="n"/>
    </row>
    <row r="560">
      <c r="B560" s="254" t="inlineStr">
        <is>
          <t>2026-09-26</t>
        </is>
      </c>
      <c r="C560" s="254" t="inlineStr">
        <is>
          <t>licensed-high-volume</t>
        </is>
      </c>
      <c r="D560" s="254" t="inlineStr">
        <is>
          <t>non-clean</t>
        </is>
      </c>
      <c r="E560" s="254" t="inlineStr">
        <is>
          <t>standard</t>
        </is>
      </c>
      <c r="F560" s="254" t="inlineStr">
        <is>
          <t>buyer_fee</t>
        </is>
      </c>
      <c r="G560" s="254" t="inlineStr">
        <is>
          <t>unsecured</t>
        </is>
      </c>
      <c r="H560" s="251" t="n">
        <v>1300</v>
      </c>
      <c r="I560" s="251" t="n">
        <v>1399.99</v>
      </c>
      <c r="J560" s="251" t="n">
        <v>352.5</v>
      </c>
      <c r="K560" s="254" t="n"/>
    </row>
    <row r="561">
      <c r="B561" s="254" t="inlineStr">
        <is>
          <t>2026-09-26</t>
        </is>
      </c>
      <c r="C561" s="254" t="inlineStr">
        <is>
          <t>licensed-high-volume</t>
        </is>
      </c>
      <c r="D561" s="254" t="inlineStr">
        <is>
          <t>non-clean</t>
        </is>
      </c>
      <c r="E561" s="254" t="inlineStr">
        <is>
          <t>standard</t>
        </is>
      </c>
      <c r="F561" s="254" t="inlineStr">
        <is>
          <t>buyer_fee</t>
        </is>
      </c>
      <c r="G561" s="254" t="inlineStr">
        <is>
          <t>unsecured</t>
        </is>
      </c>
      <c r="H561" s="251" t="n">
        <v>1400</v>
      </c>
      <c r="I561" s="251" t="n">
        <v>1499.99</v>
      </c>
      <c r="J561" s="251" t="n">
        <v>370</v>
      </c>
      <c r="K561" s="254" t="n"/>
    </row>
    <row r="562">
      <c r="B562" s="254" t="inlineStr">
        <is>
          <t>2026-09-26</t>
        </is>
      </c>
      <c r="C562" s="254" t="inlineStr">
        <is>
          <t>licensed-high-volume</t>
        </is>
      </c>
      <c r="D562" s="254" t="inlineStr">
        <is>
          <t>non-clean</t>
        </is>
      </c>
      <c r="E562" s="254" t="inlineStr">
        <is>
          <t>standard</t>
        </is>
      </c>
      <c r="F562" s="254" t="inlineStr">
        <is>
          <t>buyer_fee</t>
        </is>
      </c>
      <c r="G562" s="254" t="inlineStr">
        <is>
          <t>unsecured</t>
        </is>
      </c>
      <c r="H562" s="251" t="n">
        <v>1500</v>
      </c>
      <c r="I562" s="251" t="n">
        <v>1599.99</v>
      </c>
      <c r="J562" s="251" t="n">
        <v>385</v>
      </c>
      <c r="K562" s="254" t="n"/>
    </row>
    <row r="563">
      <c r="B563" s="254" t="inlineStr">
        <is>
          <t>2026-09-26</t>
        </is>
      </c>
      <c r="C563" s="254" t="inlineStr">
        <is>
          <t>licensed-high-volume</t>
        </is>
      </c>
      <c r="D563" s="254" t="inlineStr">
        <is>
          <t>non-clean</t>
        </is>
      </c>
      <c r="E563" s="254" t="inlineStr">
        <is>
          <t>standard</t>
        </is>
      </c>
      <c r="F563" s="254" t="inlineStr">
        <is>
          <t>buyer_fee</t>
        </is>
      </c>
      <c r="G563" s="254" t="inlineStr">
        <is>
          <t>unsecured</t>
        </is>
      </c>
      <c r="H563" s="251" t="n">
        <v>1600</v>
      </c>
      <c r="I563" s="251" t="n">
        <v>1699.99</v>
      </c>
      <c r="J563" s="251" t="n">
        <v>405</v>
      </c>
      <c r="K563" s="254" t="n"/>
    </row>
    <row r="564">
      <c r="B564" s="254" t="inlineStr">
        <is>
          <t>2026-09-26</t>
        </is>
      </c>
      <c r="C564" s="254" t="inlineStr">
        <is>
          <t>licensed-high-volume</t>
        </is>
      </c>
      <c r="D564" s="254" t="inlineStr">
        <is>
          <t>non-clean</t>
        </is>
      </c>
      <c r="E564" s="254" t="inlineStr">
        <is>
          <t>standard</t>
        </is>
      </c>
      <c r="F564" s="254" t="inlineStr">
        <is>
          <t>buyer_fee</t>
        </is>
      </c>
      <c r="G564" s="254" t="inlineStr">
        <is>
          <t>unsecured</t>
        </is>
      </c>
      <c r="H564" s="251" t="n">
        <v>1700</v>
      </c>
      <c r="I564" s="251" t="n">
        <v>1799.99</v>
      </c>
      <c r="J564" s="251" t="n">
        <v>427.5</v>
      </c>
      <c r="K564" s="254" t="n"/>
    </row>
    <row r="565">
      <c r="B565" s="254" t="inlineStr">
        <is>
          <t>2026-09-26</t>
        </is>
      </c>
      <c r="C565" s="254" t="inlineStr">
        <is>
          <t>licensed-high-volume</t>
        </is>
      </c>
      <c r="D565" s="254" t="inlineStr">
        <is>
          <t>non-clean</t>
        </is>
      </c>
      <c r="E565" s="254" t="inlineStr">
        <is>
          <t>standard</t>
        </is>
      </c>
      <c r="F565" s="254" t="inlineStr">
        <is>
          <t>buyer_fee</t>
        </is>
      </c>
      <c r="G565" s="254" t="inlineStr">
        <is>
          <t>unsecured</t>
        </is>
      </c>
      <c r="H565" s="251" t="n">
        <v>1800</v>
      </c>
      <c r="I565" s="251" t="n">
        <v>1999.99</v>
      </c>
      <c r="J565" s="251" t="n">
        <v>455</v>
      </c>
      <c r="K565" s="254" t="n"/>
    </row>
    <row r="566">
      <c r="B566" s="254" t="inlineStr">
        <is>
          <t>2026-09-26</t>
        </is>
      </c>
      <c r="C566" s="254" t="inlineStr">
        <is>
          <t>licensed-high-volume</t>
        </is>
      </c>
      <c r="D566" s="254" t="inlineStr">
        <is>
          <t>non-clean</t>
        </is>
      </c>
      <c r="E566" s="254" t="inlineStr">
        <is>
          <t>standard</t>
        </is>
      </c>
      <c r="F566" s="254" t="inlineStr">
        <is>
          <t>buyer_fee</t>
        </is>
      </c>
      <c r="G566" s="254" t="inlineStr">
        <is>
          <t>unsecured</t>
        </is>
      </c>
      <c r="H566" s="251" t="n">
        <v>2000</v>
      </c>
      <c r="I566" s="251" t="n">
        <v>2399.99</v>
      </c>
      <c r="J566" s="251" t="n">
        <v>487.5</v>
      </c>
      <c r="K566" s="254" t="n"/>
    </row>
    <row r="567">
      <c r="B567" s="254" t="inlineStr">
        <is>
          <t>2026-09-26</t>
        </is>
      </c>
      <c r="C567" s="254" t="inlineStr">
        <is>
          <t>licensed-high-volume</t>
        </is>
      </c>
      <c r="D567" s="254" t="inlineStr">
        <is>
          <t>non-clean</t>
        </is>
      </c>
      <c r="E567" s="254" t="inlineStr">
        <is>
          <t>standard</t>
        </is>
      </c>
      <c r="F567" s="254" t="inlineStr">
        <is>
          <t>buyer_fee</t>
        </is>
      </c>
      <c r="G567" s="254" t="inlineStr">
        <is>
          <t>unsecured</t>
        </is>
      </c>
      <c r="H567" s="251" t="n">
        <v>2400</v>
      </c>
      <c r="I567" s="251" t="n">
        <v>2499.99</v>
      </c>
      <c r="J567" s="251" t="n">
        <v>525</v>
      </c>
      <c r="K567" s="254" t="n"/>
    </row>
    <row r="568">
      <c r="B568" s="254" t="inlineStr">
        <is>
          <t>2026-09-26</t>
        </is>
      </c>
      <c r="C568" s="254" t="inlineStr">
        <is>
          <t>licensed-high-volume</t>
        </is>
      </c>
      <c r="D568" s="254" t="inlineStr">
        <is>
          <t>non-clean</t>
        </is>
      </c>
      <c r="E568" s="254" t="inlineStr">
        <is>
          <t>standard</t>
        </is>
      </c>
      <c r="F568" s="254" t="inlineStr">
        <is>
          <t>buyer_fee</t>
        </is>
      </c>
      <c r="G568" s="254" t="inlineStr">
        <is>
          <t>unsecured</t>
        </is>
      </c>
      <c r="H568" s="251" t="n">
        <v>2500</v>
      </c>
      <c r="I568" s="251" t="n">
        <v>2999.99</v>
      </c>
      <c r="J568" s="251" t="n">
        <v>580</v>
      </c>
      <c r="K568" s="254" t="n"/>
    </row>
    <row r="569">
      <c r="B569" s="254" t="inlineStr">
        <is>
          <t>2026-09-26</t>
        </is>
      </c>
      <c r="C569" s="254" t="inlineStr">
        <is>
          <t>licensed-high-volume</t>
        </is>
      </c>
      <c r="D569" s="254" t="inlineStr">
        <is>
          <t>non-clean</t>
        </is>
      </c>
      <c r="E569" s="254" t="inlineStr">
        <is>
          <t>standard</t>
        </is>
      </c>
      <c r="F569" s="254" t="inlineStr">
        <is>
          <t>buyer_fee</t>
        </is>
      </c>
      <c r="G569" s="254" t="inlineStr">
        <is>
          <t>unsecured</t>
        </is>
      </c>
      <c r="H569" s="251" t="n">
        <v>3000</v>
      </c>
      <c r="I569" s="251" t="n">
        <v>3499.99</v>
      </c>
      <c r="J569" s="251" t="n">
        <v>690</v>
      </c>
      <c r="K569" s="254" t="n"/>
    </row>
    <row r="570">
      <c r="B570" s="254" t="inlineStr">
        <is>
          <t>2026-09-26</t>
        </is>
      </c>
      <c r="C570" s="254" t="inlineStr">
        <is>
          <t>licensed-high-volume</t>
        </is>
      </c>
      <c r="D570" s="254" t="inlineStr">
        <is>
          <t>non-clean</t>
        </is>
      </c>
      <c r="E570" s="254" t="inlineStr">
        <is>
          <t>standard</t>
        </is>
      </c>
      <c r="F570" s="254" t="inlineStr">
        <is>
          <t>buyer_fee</t>
        </is>
      </c>
      <c r="G570" s="254" t="inlineStr">
        <is>
          <t>unsecured</t>
        </is>
      </c>
      <c r="H570" s="251" t="n">
        <v>3500</v>
      </c>
      <c r="I570" s="251" t="n">
        <v>3999.99</v>
      </c>
      <c r="J570" s="251" t="n">
        <v>737.5</v>
      </c>
      <c r="K570" s="254" t="n"/>
    </row>
    <row r="571">
      <c r="B571" s="254" t="inlineStr">
        <is>
          <t>2026-09-26</t>
        </is>
      </c>
      <c r="C571" s="254" t="inlineStr">
        <is>
          <t>licensed-high-volume</t>
        </is>
      </c>
      <c r="D571" s="254" t="inlineStr">
        <is>
          <t>non-clean</t>
        </is>
      </c>
      <c r="E571" s="254" t="inlineStr">
        <is>
          <t>standard</t>
        </is>
      </c>
      <c r="F571" s="254" t="inlineStr">
        <is>
          <t>buyer_fee</t>
        </is>
      </c>
      <c r="G571" s="254" t="inlineStr">
        <is>
          <t>unsecured</t>
        </is>
      </c>
      <c r="H571" s="251" t="n">
        <v>4000</v>
      </c>
      <c r="I571" s="251" t="n">
        <v>4499.99</v>
      </c>
      <c r="J571" s="251" t="n">
        <v>765</v>
      </c>
      <c r="K571" s="254" t="n"/>
    </row>
    <row r="572">
      <c r="B572" s="254" t="inlineStr">
        <is>
          <t>2026-09-26</t>
        </is>
      </c>
      <c r="C572" s="254" t="inlineStr">
        <is>
          <t>licensed-high-volume</t>
        </is>
      </c>
      <c r="D572" s="254" t="inlineStr">
        <is>
          <t>non-clean</t>
        </is>
      </c>
      <c r="E572" s="254" t="inlineStr">
        <is>
          <t>standard</t>
        </is>
      </c>
      <c r="F572" s="254" t="inlineStr">
        <is>
          <t>buyer_fee</t>
        </is>
      </c>
      <c r="G572" s="254" t="inlineStr">
        <is>
          <t>unsecured</t>
        </is>
      </c>
      <c r="H572" s="251" t="n">
        <v>4500</v>
      </c>
      <c r="I572" s="251" t="n">
        <v>4999.99</v>
      </c>
      <c r="J572" s="251" t="n">
        <v>790</v>
      </c>
      <c r="K572" s="254" t="n"/>
    </row>
    <row r="573">
      <c r="B573" s="254" t="inlineStr">
        <is>
          <t>2026-09-26</t>
        </is>
      </c>
      <c r="C573" s="254" t="inlineStr">
        <is>
          <t>licensed-high-volume</t>
        </is>
      </c>
      <c r="D573" s="254" t="inlineStr">
        <is>
          <t>non-clean</t>
        </is>
      </c>
      <c r="E573" s="254" t="inlineStr">
        <is>
          <t>standard</t>
        </is>
      </c>
      <c r="F573" s="254" t="inlineStr">
        <is>
          <t>buyer_fee</t>
        </is>
      </c>
      <c r="G573" s="254" t="inlineStr">
        <is>
          <t>unsecured</t>
        </is>
      </c>
      <c r="H573" s="251" t="n">
        <v>5000</v>
      </c>
      <c r="I573" s="251" t="n">
        <v>5499.99</v>
      </c>
      <c r="J573" s="251" t="n">
        <v>890</v>
      </c>
      <c r="K573" s="254" t="n"/>
    </row>
    <row r="574">
      <c r="B574" s="254" t="inlineStr">
        <is>
          <t>2026-09-26</t>
        </is>
      </c>
      <c r="C574" s="254" t="inlineStr">
        <is>
          <t>licensed-high-volume</t>
        </is>
      </c>
      <c r="D574" s="254" t="inlineStr">
        <is>
          <t>non-clean</t>
        </is>
      </c>
      <c r="E574" s="254" t="inlineStr">
        <is>
          <t>standard</t>
        </is>
      </c>
      <c r="F574" s="254" t="inlineStr">
        <is>
          <t>buyer_fee</t>
        </is>
      </c>
      <c r="G574" s="254" t="inlineStr">
        <is>
          <t>unsecured</t>
        </is>
      </c>
      <c r="H574" s="251" t="n">
        <v>5500</v>
      </c>
      <c r="I574" s="251" t="n">
        <v>5999.99</v>
      </c>
      <c r="J574" s="251" t="n">
        <v>925</v>
      </c>
      <c r="K574" s="254" t="n"/>
    </row>
    <row r="575">
      <c r="B575" s="254" t="inlineStr">
        <is>
          <t>2026-09-26</t>
        </is>
      </c>
      <c r="C575" s="254" t="inlineStr">
        <is>
          <t>licensed-high-volume</t>
        </is>
      </c>
      <c r="D575" s="254" t="inlineStr">
        <is>
          <t>non-clean</t>
        </is>
      </c>
      <c r="E575" s="254" t="inlineStr">
        <is>
          <t>standard</t>
        </is>
      </c>
      <c r="F575" s="254" t="inlineStr">
        <is>
          <t>buyer_fee</t>
        </is>
      </c>
      <c r="G575" s="254" t="inlineStr">
        <is>
          <t>unsecured</t>
        </is>
      </c>
      <c r="H575" s="251" t="n">
        <v>6000</v>
      </c>
      <c r="I575" s="251" t="n">
        <v>6499.99</v>
      </c>
      <c r="J575" s="251" t="n">
        <v>950</v>
      </c>
      <c r="K575" s="254" t="n"/>
    </row>
    <row r="576">
      <c r="B576" s="254" t="inlineStr">
        <is>
          <t>2026-09-26</t>
        </is>
      </c>
      <c r="C576" s="254" t="inlineStr">
        <is>
          <t>licensed-high-volume</t>
        </is>
      </c>
      <c r="D576" s="254" t="inlineStr">
        <is>
          <t>non-clean</t>
        </is>
      </c>
      <c r="E576" s="254" t="inlineStr">
        <is>
          <t>standard</t>
        </is>
      </c>
      <c r="F576" s="254" t="inlineStr">
        <is>
          <t>buyer_fee</t>
        </is>
      </c>
      <c r="G576" s="254" t="inlineStr">
        <is>
          <t>unsecured</t>
        </is>
      </c>
      <c r="H576" s="251" t="n">
        <v>6500</v>
      </c>
      <c r="I576" s="251" t="n">
        <v>6999.99</v>
      </c>
      <c r="J576" s="251" t="n">
        <v>975</v>
      </c>
      <c r="K576" s="254" t="n"/>
    </row>
    <row r="577">
      <c r="B577" s="254" t="inlineStr">
        <is>
          <t>2026-09-26</t>
        </is>
      </c>
      <c r="C577" s="254" t="inlineStr">
        <is>
          <t>licensed-high-volume</t>
        </is>
      </c>
      <c r="D577" s="254" t="inlineStr">
        <is>
          <t>non-clean</t>
        </is>
      </c>
      <c r="E577" s="254" t="inlineStr">
        <is>
          <t>standard</t>
        </is>
      </c>
      <c r="F577" s="254" t="inlineStr">
        <is>
          <t>buyer_fee</t>
        </is>
      </c>
      <c r="G577" s="254" t="inlineStr">
        <is>
          <t>unsecured</t>
        </is>
      </c>
      <c r="H577" s="251" t="n">
        <v>7000</v>
      </c>
      <c r="I577" s="251" t="n">
        <v>7499.99</v>
      </c>
      <c r="J577" s="251" t="n">
        <v>1015</v>
      </c>
      <c r="K577" s="254" t="n"/>
    </row>
    <row r="578">
      <c r="B578" s="254" t="inlineStr">
        <is>
          <t>2026-09-26</t>
        </is>
      </c>
      <c r="C578" s="254" t="inlineStr">
        <is>
          <t>licensed-high-volume</t>
        </is>
      </c>
      <c r="D578" s="254" t="inlineStr">
        <is>
          <t>non-clean</t>
        </is>
      </c>
      <c r="E578" s="254" t="inlineStr">
        <is>
          <t>standard</t>
        </is>
      </c>
      <c r="F578" s="254" t="inlineStr">
        <is>
          <t>buyer_fee</t>
        </is>
      </c>
      <c r="G578" s="254" t="inlineStr">
        <is>
          <t>unsecured</t>
        </is>
      </c>
      <c r="H578" s="251" t="n">
        <v>7500</v>
      </c>
      <c r="I578" s="251" t="n">
        <v>7999.99</v>
      </c>
      <c r="J578" s="251" t="n">
        <v>1120</v>
      </c>
      <c r="K578" s="254" t="n"/>
    </row>
    <row r="579">
      <c r="B579" s="254" t="inlineStr">
        <is>
          <t>2026-09-26</t>
        </is>
      </c>
      <c r="C579" s="254" t="inlineStr">
        <is>
          <t>licensed-high-volume</t>
        </is>
      </c>
      <c r="D579" s="254" t="inlineStr">
        <is>
          <t>non-clean</t>
        </is>
      </c>
      <c r="E579" s="254" t="inlineStr">
        <is>
          <t>standard</t>
        </is>
      </c>
      <c r="F579" s="254" t="inlineStr">
        <is>
          <t>buyer_fee</t>
        </is>
      </c>
      <c r="G579" s="254" t="inlineStr">
        <is>
          <t>unsecured</t>
        </is>
      </c>
      <c r="H579" s="251" t="n">
        <v>8000</v>
      </c>
      <c r="I579" s="251" t="n">
        <v>8499.99</v>
      </c>
      <c r="J579" s="251" t="n">
        <v>1147.5</v>
      </c>
      <c r="K579" s="254" t="n"/>
    </row>
    <row r="580">
      <c r="B580" s="254" t="inlineStr">
        <is>
          <t>2026-09-26</t>
        </is>
      </c>
      <c r="C580" s="254" t="inlineStr">
        <is>
          <t>licensed-high-volume</t>
        </is>
      </c>
      <c r="D580" s="254" t="inlineStr">
        <is>
          <t>non-clean</t>
        </is>
      </c>
      <c r="E580" s="254" t="inlineStr">
        <is>
          <t>standard</t>
        </is>
      </c>
      <c r="F580" s="254" t="inlineStr">
        <is>
          <t>buyer_fee</t>
        </is>
      </c>
      <c r="G580" s="254" t="inlineStr">
        <is>
          <t>unsecured</t>
        </is>
      </c>
      <c r="H580" s="251" t="n">
        <v>8500</v>
      </c>
      <c r="I580" s="251" t="n">
        <v>8999.99</v>
      </c>
      <c r="J580" s="251" t="n">
        <v>1175</v>
      </c>
      <c r="K580" s="254" t="n"/>
    </row>
    <row r="581">
      <c r="B581" s="254" t="inlineStr">
        <is>
          <t>2026-09-26</t>
        </is>
      </c>
      <c r="C581" s="254" t="inlineStr">
        <is>
          <t>licensed-high-volume</t>
        </is>
      </c>
      <c r="D581" s="254" t="inlineStr">
        <is>
          <t>non-clean</t>
        </is>
      </c>
      <c r="E581" s="254" t="inlineStr">
        <is>
          <t>standard</t>
        </is>
      </c>
      <c r="F581" s="254" t="inlineStr">
        <is>
          <t>buyer_fee</t>
        </is>
      </c>
      <c r="G581" s="254" t="inlineStr">
        <is>
          <t>unsecured</t>
        </is>
      </c>
      <c r="H581" s="251" t="n">
        <v>9000</v>
      </c>
      <c r="I581" s="251" t="n">
        <v>9999.99</v>
      </c>
      <c r="J581" s="251" t="n">
        <v>1175</v>
      </c>
      <c r="K581" s="254" t="n"/>
    </row>
    <row r="582">
      <c r="B582" s="254" t="inlineStr">
        <is>
          <t>2026-09-26</t>
        </is>
      </c>
      <c r="C582" s="254" t="inlineStr">
        <is>
          <t>licensed-high-volume</t>
        </is>
      </c>
      <c r="D582" s="254" t="inlineStr">
        <is>
          <t>non-clean</t>
        </is>
      </c>
      <c r="E582" s="254" t="inlineStr">
        <is>
          <t>standard</t>
        </is>
      </c>
      <c r="F582" s="254" t="inlineStr">
        <is>
          <t>buyer_fee</t>
        </is>
      </c>
      <c r="G582" s="254" t="inlineStr">
        <is>
          <t>unsecured</t>
        </is>
      </c>
      <c r="H582" s="251" t="n">
        <v>10000</v>
      </c>
      <c r="I582" s="251" t="n">
        <v>10499.99</v>
      </c>
      <c r="J582" s="251" t="n">
        <v>1250</v>
      </c>
      <c r="K582" s="254" t="n"/>
    </row>
    <row r="583">
      <c r="B583" s="254" t="inlineStr">
        <is>
          <t>2026-09-26</t>
        </is>
      </c>
      <c r="C583" s="254" t="inlineStr">
        <is>
          <t>licensed-high-volume</t>
        </is>
      </c>
      <c r="D583" s="254" t="inlineStr">
        <is>
          <t>non-clean</t>
        </is>
      </c>
      <c r="E583" s="254" t="inlineStr">
        <is>
          <t>standard</t>
        </is>
      </c>
      <c r="F583" s="254" t="inlineStr">
        <is>
          <t>buyer_fee</t>
        </is>
      </c>
      <c r="G583" s="254" t="inlineStr">
        <is>
          <t>unsecured</t>
        </is>
      </c>
      <c r="H583" s="251" t="n">
        <v>10500</v>
      </c>
      <c r="I583" s="251" t="n">
        <v>10999.99</v>
      </c>
      <c r="J583" s="251" t="n">
        <v>1250</v>
      </c>
      <c r="K583" s="254" t="n"/>
    </row>
    <row r="584">
      <c r="B584" s="254" t="inlineStr">
        <is>
          <t>2026-09-26</t>
        </is>
      </c>
      <c r="C584" s="254" t="inlineStr">
        <is>
          <t>licensed-high-volume</t>
        </is>
      </c>
      <c r="D584" s="254" t="inlineStr">
        <is>
          <t>non-clean</t>
        </is>
      </c>
      <c r="E584" s="254" t="inlineStr">
        <is>
          <t>standard</t>
        </is>
      </c>
      <c r="F584" s="254" t="inlineStr">
        <is>
          <t>buyer_fee</t>
        </is>
      </c>
      <c r="G584" s="254" t="inlineStr">
        <is>
          <t>unsecured</t>
        </is>
      </c>
      <c r="H584" s="251" t="n">
        <v>11000</v>
      </c>
      <c r="I584" s="251" t="n">
        <v>11499.99</v>
      </c>
      <c r="J584" s="251" t="n">
        <v>1250</v>
      </c>
      <c r="K584" s="254" t="n"/>
    </row>
    <row r="585">
      <c r="B585" s="254" t="inlineStr">
        <is>
          <t>2026-09-26</t>
        </is>
      </c>
      <c r="C585" s="254" t="inlineStr">
        <is>
          <t>licensed-high-volume</t>
        </is>
      </c>
      <c r="D585" s="254" t="inlineStr">
        <is>
          <t>non-clean</t>
        </is>
      </c>
      <c r="E585" s="254" t="inlineStr">
        <is>
          <t>standard</t>
        </is>
      </c>
      <c r="F585" s="254" t="inlineStr">
        <is>
          <t>buyer_fee</t>
        </is>
      </c>
      <c r="G585" s="254" t="inlineStr">
        <is>
          <t>unsecured</t>
        </is>
      </c>
      <c r="H585" s="251" t="n">
        <v>11500</v>
      </c>
      <c r="I585" s="251" t="n">
        <v>11999.99</v>
      </c>
      <c r="J585" s="251" t="n">
        <v>1260</v>
      </c>
      <c r="K585" s="254" t="n"/>
    </row>
    <row r="586">
      <c r="B586" s="254" t="inlineStr">
        <is>
          <t>2026-09-26</t>
        </is>
      </c>
      <c r="C586" s="254" t="inlineStr">
        <is>
          <t>licensed-high-volume</t>
        </is>
      </c>
      <c r="D586" s="254" t="inlineStr">
        <is>
          <t>non-clean</t>
        </is>
      </c>
      <c r="E586" s="254" t="inlineStr">
        <is>
          <t>standard</t>
        </is>
      </c>
      <c r="F586" s="254" t="inlineStr">
        <is>
          <t>buyer_fee</t>
        </is>
      </c>
      <c r="G586" s="254" t="inlineStr">
        <is>
          <t>unsecured</t>
        </is>
      </c>
      <c r="H586" s="251" t="n">
        <v>12000</v>
      </c>
      <c r="I586" s="251" t="n">
        <v>12499.99</v>
      </c>
      <c r="J586" s="251" t="n">
        <v>1270</v>
      </c>
      <c r="K586" s="254" t="n"/>
    </row>
    <row r="587">
      <c r="B587" s="254" t="inlineStr">
        <is>
          <t>2026-09-26</t>
        </is>
      </c>
      <c r="C587" s="254" t="inlineStr">
        <is>
          <t>licensed-high-volume</t>
        </is>
      </c>
      <c r="D587" s="254" t="inlineStr">
        <is>
          <t>non-clean</t>
        </is>
      </c>
      <c r="E587" s="254" t="inlineStr">
        <is>
          <t>standard</t>
        </is>
      </c>
      <c r="F587" s="254" t="inlineStr">
        <is>
          <t>buyer_fee</t>
        </is>
      </c>
      <c r="G587" s="254" t="inlineStr">
        <is>
          <t>unsecured</t>
        </is>
      </c>
      <c r="H587" s="251" t="n">
        <v>12500</v>
      </c>
      <c r="I587" s="251" t="n">
        <v>14999.99</v>
      </c>
      <c r="J587" s="251" t="n">
        <v>1285</v>
      </c>
      <c r="K587" s="254" t="n"/>
    </row>
    <row r="588">
      <c r="B588" s="254" t="inlineStr">
        <is>
          <t>2026-09-26</t>
        </is>
      </c>
      <c r="C588" s="254" t="inlineStr">
        <is>
          <t>licensed-high-volume</t>
        </is>
      </c>
      <c r="D588" s="254" t="inlineStr">
        <is>
          <t>non-clean</t>
        </is>
      </c>
      <c r="E588" s="254" t="inlineStr">
        <is>
          <t>standard</t>
        </is>
      </c>
      <c r="F588" s="254" t="inlineStr">
        <is>
          <t>buyer_fee</t>
        </is>
      </c>
      <c r="G588" s="254" t="inlineStr">
        <is>
          <t>unsecured</t>
        </is>
      </c>
      <c r="H588" s="251" t="n">
        <v>15000</v>
      </c>
      <c r="I588" s="254" t="n"/>
      <c r="J588" s="254" t="n"/>
      <c r="K588" s="251" t="n">
        <v>11</v>
      </c>
    </row>
    <row r="589">
      <c r="B589" s="254" t="inlineStr">
        <is>
          <t>2026-09-26</t>
        </is>
      </c>
      <c r="C589" s="254" t="inlineStr">
        <is>
          <t>licensed-high-volume</t>
        </is>
      </c>
      <c r="D589" s="254" t="inlineStr">
        <is>
          <t>non-clean</t>
        </is>
      </c>
      <c r="E589" s="254" t="inlineStr">
        <is>
          <t>standard</t>
        </is>
      </c>
      <c r="F589" s="254" t="inlineStr">
        <is>
          <t>virtual_bid_pre_bid</t>
        </is>
      </c>
      <c r="G589" s="254" t="inlineStr">
        <is>
          <t>any</t>
        </is>
      </c>
      <c r="H589" s="251" t="n">
        <v>0</v>
      </c>
      <c r="I589" s="251" t="n">
        <v>100</v>
      </c>
      <c r="J589" s="251" t="n">
        <v>0</v>
      </c>
      <c r="K589" s="254" t="n"/>
    </row>
    <row r="590">
      <c r="B590" s="254" t="inlineStr">
        <is>
          <t>2026-09-26</t>
        </is>
      </c>
      <c r="C590" s="254" t="inlineStr">
        <is>
          <t>licensed-high-volume</t>
        </is>
      </c>
      <c r="D590" s="254" t="inlineStr">
        <is>
          <t>non-clean</t>
        </is>
      </c>
      <c r="E590" s="254" t="inlineStr">
        <is>
          <t>standard</t>
        </is>
      </c>
      <c r="F590" s="254" t="inlineStr">
        <is>
          <t>virtual_bid_pre_bid</t>
        </is>
      </c>
      <c r="G590" s="254" t="inlineStr">
        <is>
          <t>any</t>
        </is>
      </c>
      <c r="H590" s="251" t="n">
        <v>100</v>
      </c>
      <c r="I590" s="251" t="n">
        <v>500</v>
      </c>
      <c r="J590" s="251" t="n">
        <v>40</v>
      </c>
      <c r="K590" s="254" t="n"/>
    </row>
    <row r="591">
      <c r="B591" s="254" t="inlineStr">
        <is>
          <t>2026-09-26</t>
        </is>
      </c>
      <c r="C591" s="254" t="inlineStr">
        <is>
          <t>licensed-high-volume</t>
        </is>
      </c>
      <c r="D591" s="254" t="inlineStr">
        <is>
          <t>non-clean</t>
        </is>
      </c>
      <c r="E591" s="254" t="inlineStr">
        <is>
          <t>standard</t>
        </is>
      </c>
      <c r="F591" s="254" t="inlineStr">
        <is>
          <t>virtual_bid_pre_bid</t>
        </is>
      </c>
      <c r="G591" s="254" t="inlineStr">
        <is>
          <t>any</t>
        </is>
      </c>
      <c r="H591" s="251" t="n">
        <v>500</v>
      </c>
      <c r="I591" s="251" t="n">
        <v>1000</v>
      </c>
      <c r="J591" s="251" t="n">
        <v>55</v>
      </c>
      <c r="K591" s="254" t="n"/>
    </row>
    <row r="592">
      <c r="B592" s="254" t="inlineStr">
        <is>
          <t>2026-09-26</t>
        </is>
      </c>
      <c r="C592" s="254" t="inlineStr">
        <is>
          <t>licensed-high-volume</t>
        </is>
      </c>
      <c r="D592" s="254" t="inlineStr">
        <is>
          <t>non-clean</t>
        </is>
      </c>
      <c r="E592" s="254" t="inlineStr">
        <is>
          <t>standard</t>
        </is>
      </c>
      <c r="F592" s="254" t="inlineStr">
        <is>
          <t>virtual_bid_pre_bid</t>
        </is>
      </c>
      <c r="G592" s="254" t="inlineStr">
        <is>
          <t>any</t>
        </is>
      </c>
      <c r="H592" s="251" t="n">
        <v>1000</v>
      </c>
      <c r="I592" s="251" t="n">
        <v>1500</v>
      </c>
      <c r="J592" s="251" t="n">
        <v>75</v>
      </c>
      <c r="K592" s="254" t="n"/>
    </row>
    <row r="593">
      <c r="B593" s="254" t="inlineStr">
        <is>
          <t>2026-09-26</t>
        </is>
      </c>
      <c r="C593" s="254" t="inlineStr">
        <is>
          <t>licensed-high-volume</t>
        </is>
      </c>
      <c r="D593" s="254" t="inlineStr">
        <is>
          <t>non-clean</t>
        </is>
      </c>
      <c r="E593" s="254" t="inlineStr">
        <is>
          <t>standard</t>
        </is>
      </c>
      <c r="F593" s="254" t="inlineStr">
        <is>
          <t>virtual_bid_pre_bid</t>
        </is>
      </c>
      <c r="G593" s="254" t="inlineStr">
        <is>
          <t>any</t>
        </is>
      </c>
      <c r="H593" s="251" t="n">
        <v>1500</v>
      </c>
      <c r="I593" s="251" t="n">
        <v>2000</v>
      </c>
      <c r="J593" s="251" t="n">
        <v>85</v>
      </c>
      <c r="K593" s="254" t="n"/>
    </row>
    <row r="594">
      <c r="B594" s="254" t="inlineStr">
        <is>
          <t>2026-09-26</t>
        </is>
      </c>
      <c r="C594" s="254" t="inlineStr">
        <is>
          <t>licensed-high-volume</t>
        </is>
      </c>
      <c r="D594" s="254" t="inlineStr">
        <is>
          <t>non-clean</t>
        </is>
      </c>
      <c r="E594" s="254" t="inlineStr">
        <is>
          <t>standard</t>
        </is>
      </c>
      <c r="F594" s="254" t="inlineStr">
        <is>
          <t>virtual_bid_pre_bid</t>
        </is>
      </c>
      <c r="G594" s="254" t="inlineStr">
        <is>
          <t>any</t>
        </is>
      </c>
      <c r="H594" s="251" t="n">
        <v>2000</v>
      </c>
      <c r="I594" s="251" t="n">
        <v>4000</v>
      </c>
      <c r="J594" s="251" t="n">
        <v>100</v>
      </c>
      <c r="K594" s="254" t="n"/>
    </row>
    <row r="595">
      <c r="B595" s="254" t="inlineStr">
        <is>
          <t>2026-09-26</t>
        </is>
      </c>
      <c r="C595" s="254" t="inlineStr">
        <is>
          <t>licensed-high-volume</t>
        </is>
      </c>
      <c r="D595" s="254" t="inlineStr">
        <is>
          <t>non-clean</t>
        </is>
      </c>
      <c r="E595" s="254" t="inlineStr">
        <is>
          <t>standard</t>
        </is>
      </c>
      <c r="F595" s="254" t="inlineStr">
        <is>
          <t>virtual_bid_pre_bid</t>
        </is>
      </c>
      <c r="G595" s="254" t="inlineStr">
        <is>
          <t>any</t>
        </is>
      </c>
      <c r="H595" s="251" t="n">
        <v>4000</v>
      </c>
      <c r="I595" s="251" t="n">
        <v>6000</v>
      </c>
      <c r="J595" s="251" t="n">
        <v>110</v>
      </c>
      <c r="K595" s="254" t="n"/>
    </row>
    <row r="596">
      <c r="B596" s="254" t="inlineStr">
        <is>
          <t>2026-09-26</t>
        </is>
      </c>
      <c r="C596" s="254" t="inlineStr">
        <is>
          <t>licensed-high-volume</t>
        </is>
      </c>
      <c r="D596" s="254" t="inlineStr">
        <is>
          <t>non-clean</t>
        </is>
      </c>
      <c r="E596" s="254" t="inlineStr">
        <is>
          <t>standard</t>
        </is>
      </c>
      <c r="F596" s="254" t="inlineStr">
        <is>
          <t>virtual_bid_pre_bid</t>
        </is>
      </c>
      <c r="G596" s="254" t="inlineStr">
        <is>
          <t>any</t>
        </is>
      </c>
      <c r="H596" s="251" t="n">
        <v>6000</v>
      </c>
      <c r="I596" s="251" t="n">
        <v>8000</v>
      </c>
      <c r="J596" s="251" t="n">
        <v>125</v>
      </c>
      <c r="K596" s="254" t="n"/>
    </row>
    <row r="597">
      <c r="B597" s="254" t="inlineStr">
        <is>
          <t>2026-09-26</t>
        </is>
      </c>
      <c r="C597" s="254" t="inlineStr">
        <is>
          <t>licensed-high-volume</t>
        </is>
      </c>
      <c r="D597" s="254" t="inlineStr">
        <is>
          <t>non-clean</t>
        </is>
      </c>
      <c r="E597" s="254" t="inlineStr">
        <is>
          <t>standard</t>
        </is>
      </c>
      <c r="F597" s="254" t="inlineStr">
        <is>
          <t>virtual_bid_pre_bid</t>
        </is>
      </c>
      <c r="G597" s="254" t="inlineStr">
        <is>
          <t>any</t>
        </is>
      </c>
      <c r="H597" s="251" t="n">
        <v>8000</v>
      </c>
      <c r="I597" s="254" t="n"/>
      <c r="J597" s="251" t="n">
        <v>140</v>
      </c>
      <c r="K597" s="254" t="n"/>
    </row>
    <row r="598">
      <c r="B598" s="254" t="inlineStr">
        <is>
          <t>2026-09-26</t>
        </is>
      </c>
      <c r="C598" s="254" t="inlineStr">
        <is>
          <t>licensed-high-volume</t>
        </is>
      </c>
      <c r="D598" s="254" t="inlineStr">
        <is>
          <t>non-clean</t>
        </is>
      </c>
      <c r="E598" s="254" t="inlineStr">
        <is>
          <t>standard</t>
        </is>
      </c>
      <c r="F598" s="254" t="inlineStr">
        <is>
          <t>virtual_bid_live_bid</t>
        </is>
      </c>
      <c r="G598" s="254" t="inlineStr">
        <is>
          <t>any</t>
        </is>
      </c>
      <c r="H598" s="251" t="n">
        <v>0</v>
      </c>
      <c r="I598" s="251" t="n">
        <v>100</v>
      </c>
      <c r="J598" s="251" t="n">
        <v>0</v>
      </c>
      <c r="K598" s="254" t="n"/>
    </row>
    <row r="599">
      <c r="B599" s="254" t="inlineStr">
        <is>
          <t>2026-09-26</t>
        </is>
      </c>
      <c r="C599" s="254" t="inlineStr">
        <is>
          <t>licensed-high-volume</t>
        </is>
      </c>
      <c r="D599" s="254" t="inlineStr">
        <is>
          <t>non-clean</t>
        </is>
      </c>
      <c r="E599" s="254" t="inlineStr">
        <is>
          <t>standard</t>
        </is>
      </c>
      <c r="F599" s="254" t="inlineStr">
        <is>
          <t>virtual_bid_live_bid</t>
        </is>
      </c>
      <c r="G599" s="254" t="inlineStr">
        <is>
          <t>any</t>
        </is>
      </c>
      <c r="H599" s="251" t="n">
        <v>100</v>
      </c>
      <c r="I599" s="251" t="n">
        <v>500</v>
      </c>
      <c r="J599" s="251" t="n">
        <v>50</v>
      </c>
      <c r="K599" s="254" t="n"/>
    </row>
    <row r="600">
      <c r="B600" s="254" t="inlineStr">
        <is>
          <t>2026-09-26</t>
        </is>
      </c>
      <c r="C600" s="254" t="inlineStr">
        <is>
          <t>licensed-high-volume</t>
        </is>
      </c>
      <c r="D600" s="254" t="inlineStr">
        <is>
          <t>non-clean</t>
        </is>
      </c>
      <c r="E600" s="254" t="inlineStr">
        <is>
          <t>standard</t>
        </is>
      </c>
      <c r="F600" s="254" t="inlineStr">
        <is>
          <t>virtual_bid_live_bid</t>
        </is>
      </c>
      <c r="G600" s="254" t="inlineStr">
        <is>
          <t>any</t>
        </is>
      </c>
      <c r="H600" s="251" t="n">
        <v>500</v>
      </c>
      <c r="I600" s="251" t="n">
        <v>1000</v>
      </c>
      <c r="J600" s="251" t="n">
        <v>65</v>
      </c>
      <c r="K600" s="254" t="n"/>
    </row>
    <row r="601">
      <c r="B601" s="254" t="inlineStr">
        <is>
          <t>2026-09-26</t>
        </is>
      </c>
      <c r="C601" s="254" t="inlineStr">
        <is>
          <t>licensed-high-volume</t>
        </is>
      </c>
      <c r="D601" s="254" t="inlineStr">
        <is>
          <t>non-clean</t>
        </is>
      </c>
      <c r="E601" s="254" t="inlineStr">
        <is>
          <t>standard</t>
        </is>
      </c>
      <c r="F601" s="254" t="inlineStr">
        <is>
          <t>virtual_bid_live_bid</t>
        </is>
      </c>
      <c r="G601" s="254" t="inlineStr">
        <is>
          <t>any</t>
        </is>
      </c>
      <c r="H601" s="251" t="n">
        <v>1000</v>
      </c>
      <c r="I601" s="251" t="n">
        <v>1500</v>
      </c>
      <c r="J601" s="251" t="n">
        <v>85</v>
      </c>
      <c r="K601" s="254" t="n"/>
    </row>
    <row r="602">
      <c r="B602" s="254" t="inlineStr">
        <is>
          <t>2026-09-26</t>
        </is>
      </c>
      <c r="C602" s="254" t="inlineStr">
        <is>
          <t>licensed-high-volume</t>
        </is>
      </c>
      <c r="D602" s="254" t="inlineStr">
        <is>
          <t>non-clean</t>
        </is>
      </c>
      <c r="E602" s="254" t="inlineStr">
        <is>
          <t>standard</t>
        </is>
      </c>
      <c r="F602" s="254" t="inlineStr">
        <is>
          <t>virtual_bid_live_bid</t>
        </is>
      </c>
      <c r="G602" s="254" t="inlineStr">
        <is>
          <t>any</t>
        </is>
      </c>
      <c r="H602" s="251" t="n">
        <v>1500</v>
      </c>
      <c r="I602" s="251" t="n">
        <v>2000</v>
      </c>
      <c r="J602" s="251" t="n">
        <v>95</v>
      </c>
      <c r="K602" s="254" t="n"/>
    </row>
    <row r="603">
      <c r="B603" s="254" t="inlineStr">
        <is>
          <t>2026-09-26</t>
        </is>
      </c>
      <c r="C603" s="254" t="inlineStr">
        <is>
          <t>licensed-high-volume</t>
        </is>
      </c>
      <c r="D603" s="254" t="inlineStr">
        <is>
          <t>non-clean</t>
        </is>
      </c>
      <c r="E603" s="254" t="inlineStr">
        <is>
          <t>standard</t>
        </is>
      </c>
      <c r="F603" s="254" t="inlineStr">
        <is>
          <t>virtual_bid_live_bid</t>
        </is>
      </c>
      <c r="G603" s="254" t="inlineStr">
        <is>
          <t>any</t>
        </is>
      </c>
      <c r="H603" s="251" t="n">
        <v>2000</v>
      </c>
      <c r="I603" s="251" t="n">
        <v>4000</v>
      </c>
      <c r="J603" s="251" t="n">
        <v>110</v>
      </c>
      <c r="K603" s="254" t="n"/>
    </row>
    <row r="604">
      <c r="B604" s="254" t="inlineStr">
        <is>
          <t>2026-09-26</t>
        </is>
      </c>
      <c r="C604" s="254" t="inlineStr">
        <is>
          <t>licensed-high-volume</t>
        </is>
      </c>
      <c r="D604" s="254" t="inlineStr">
        <is>
          <t>non-clean</t>
        </is>
      </c>
      <c r="E604" s="254" t="inlineStr">
        <is>
          <t>standard</t>
        </is>
      </c>
      <c r="F604" s="254" t="inlineStr">
        <is>
          <t>virtual_bid_live_bid</t>
        </is>
      </c>
      <c r="G604" s="254" t="inlineStr">
        <is>
          <t>any</t>
        </is>
      </c>
      <c r="H604" s="251" t="n">
        <v>4000</v>
      </c>
      <c r="I604" s="251" t="n">
        <v>6000</v>
      </c>
      <c r="J604" s="251" t="n">
        <v>125</v>
      </c>
      <c r="K604" s="254" t="n"/>
    </row>
    <row r="605">
      <c r="B605" s="254" t="inlineStr">
        <is>
          <t>2026-09-26</t>
        </is>
      </c>
      <c r="C605" s="254" t="inlineStr">
        <is>
          <t>licensed-high-volume</t>
        </is>
      </c>
      <c r="D605" s="254" t="inlineStr">
        <is>
          <t>non-clean</t>
        </is>
      </c>
      <c r="E605" s="254" t="inlineStr">
        <is>
          <t>standard</t>
        </is>
      </c>
      <c r="F605" s="254" t="inlineStr">
        <is>
          <t>virtual_bid_live_bid</t>
        </is>
      </c>
      <c r="G605" s="254" t="inlineStr">
        <is>
          <t>any</t>
        </is>
      </c>
      <c r="H605" s="251" t="n">
        <v>6000</v>
      </c>
      <c r="I605" s="251" t="n">
        <v>8000</v>
      </c>
      <c r="J605" s="251" t="n">
        <v>145</v>
      </c>
      <c r="K605" s="254" t="n"/>
    </row>
    <row r="606">
      <c r="B606" s="254" t="inlineStr">
        <is>
          <t>2026-09-26</t>
        </is>
      </c>
      <c r="C606" s="254" t="inlineStr">
        <is>
          <t>licensed-high-volume</t>
        </is>
      </c>
      <c r="D606" s="254" t="inlineStr">
        <is>
          <t>non-clean</t>
        </is>
      </c>
      <c r="E606" s="254" t="inlineStr">
        <is>
          <t>standard</t>
        </is>
      </c>
      <c r="F606" s="254" t="inlineStr">
        <is>
          <t>virtual_bid_live_bid</t>
        </is>
      </c>
      <c r="G606" s="254" t="inlineStr">
        <is>
          <t>any</t>
        </is>
      </c>
      <c r="H606" s="251" t="n">
        <v>8000</v>
      </c>
      <c r="I606" s="254" t="n"/>
      <c r="J606" s="251" t="n">
        <v>160</v>
      </c>
      <c r="K606" s="254" t="n"/>
    </row>
    <row r="607">
      <c r="B607" s="254" t="inlineStr">
        <is>
          <t>2026-09-26</t>
        </is>
      </c>
      <c r="C607" s="254" t="inlineStr">
        <is>
          <t>licensed-high-volume</t>
        </is>
      </c>
      <c r="D607" s="254" t="inlineStr">
        <is>
          <t>non-clean</t>
        </is>
      </c>
      <c r="E607" s="254" t="inlineStr">
        <is>
          <t>standard</t>
        </is>
      </c>
      <c r="F607" s="254" t="inlineStr">
        <is>
          <t>gate_fee</t>
        </is>
      </c>
      <c r="G607" s="254" t="inlineStr">
        <is>
          <t>any</t>
        </is>
      </c>
      <c r="H607" s="251" t="n">
        <v>0</v>
      </c>
      <c r="I607" s="254" t="n"/>
      <c r="J607" s="251" t="n">
        <v>95</v>
      </c>
      <c r="K607" s="254" t="n"/>
    </row>
    <row r="608">
      <c r="B608" s="254" t="inlineStr">
        <is>
          <t>2026-09-26</t>
        </is>
      </c>
      <c r="C608" s="254" t="inlineStr">
        <is>
          <t>licensed-high-volume</t>
        </is>
      </c>
      <c r="D608" s="254" t="inlineStr">
        <is>
          <t>non-clean</t>
        </is>
      </c>
      <c r="E608" s="254" t="inlineStr">
        <is>
          <t>heavy</t>
        </is>
      </c>
      <c r="F608" s="254" t="inlineStr">
        <is>
          <t>buyer_fee</t>
        </is>
      </c>
      <c r="G608" s="254" t="inlineStr">
        <is>
          <t>secured</t>
        </is>
      </c>
      <c r="H608" s="251" t="n">
        <v>0</v>
      </c>
      <c r="I608" s="251" t="n">
        <v>49.99</v>
      </c>
      <c r="J608" s="251" t="n">
        <v>1</v>
      </c>
      <c r="K608" s="254" t="n"/>
    </row>
    <row r="609">
      <c r="B609" s="254" t="inlineStr">
        <is>
          <t>2026-09-26</t>
        </is>
      </c>
      <c r="C609" s="254" t="inlineStr">
        <is>
          <t>licensed-high-volume</t>
        </is>
      </c>
      <c r="D609" s="254" t="inlineStr">
        <is>
          <t>non-clean</t>
        </is>
      </c>
      <c r="E609" s="254" t="inlineStr">
        <is>
          <t>heavy</t>
        </is>
      </c>
      <c r="F609" s="254" t="inlineStr">
        <is>
          <t>buyer_fee</t>
        </is>
      </c>
      <c r="G609" s="254" t="inlineStr">
        <is>
          <t>secured</t>
        </is>
      </c>
      <c r="H609" s="251" t="n">
        <v>50</v>
      </c>
      <c r="I609" s="251" t="n">
        <v>99.98999999999999</v>
      </c>
      <c r="J609" s="251" t="n">
        <v>1</v>
      </c>
      <c r="K609" s="254" t="n"/>
    </row>
    <row r="610">
      <c r="B610" s="254" t="inlineStr">
        <is>
          <t>2026-09-26</t>
        </is>
      </c>
      <c r="C610" s="254" t="inlineStr">
        <is>
          <t>licensed-high-volume</t>
        </is>
      </c>
      <c r="D610" s="254" t="inlineStr">
        <is>
          <t>non-clean</t>
        </is>
      </c>
      <c r="E610" s="254" t="inlineStr">
        <is>
          <t>heavy</t>
        </is>
      </c>
      <c r="F610" s="254" t="inlineStr">
        <is>
          <t>buyer_fee</t>
        </is>
      </c>
      <c r="G610" s="254" t="inlineStr">
        <is>
          <t>secured</t>
        </is>
      </c>
      <c r="H610" s="251" t="n">
        <v>100</v>
      </c>
      <c r="I610" s="251" t="n">
        <v>199.99</v>
      </c>
      <c r="J610" s="251" t="n">
        <v>25</v>
      </c>
      <c r="K610" s="254" t="n"/>
    </row>
    <row r="611">
      <c r="B611" s="254" t="inlineStr">
        <is>
          <t>2026-09-26</t>
        </is>
      </c>
      <c r="C611" s="254" t="inlineStr">
        <is>
          <t>licensed-high-volume</t>
        </is>
      </c>
      <c r="D611" s="254" t="inlineStr">
        <is>
          <t>non-clean</t>
        </is>
      </c>
      <c r="E611" s="254" t="inlineStr">
        <is>
          <t>heavy</t>
        </is>
      </c>
      <c r="F611" s="254" t="inlineStr">
        <is>
          <t>buyer_fee</t>
        </is>
      </c>
      <c r="G611" s="254" t="inlineStr">
        <is>
          <t>secured</t>
        </is>
      </c>
      <c r="H611" s="251" t="n">
        <v>200</v>
      </c>
      <c r="I611" s="251" t="n">
        <v>299.99</v>
      </c>
      <c r="J611" s="251" t="n">
        <v>60</v>
      </c>
      <c r="K611" s="254" t="n"/>
    </row>
    <row r="612">
      <c r="B612" s="254" t="inlineStr">
        <is>
          <t>2026-09-26</t>
        </is>
      </c>
      <c r="C612" s="254" t="inlineStr">
        <is>
          <t>licensed-high-volume</t>
        </is>
      </c>
      <c r="D612" s="254" t="inlineStr">
        <is>
          <t>non-clean</t>
        </is>
      </c>
      <c r="E612" s="254" t="inlineStr">
        <is>
          <t>heavy</t>
        </is>
      </c>
      <c r="F612" s="254" t="inlineStr">
        <is>
          <t>buyer_fee</t>
        </is>
      </c>
      <c r="G612" s="254" t="inlineStr">
        <is>
          <t>secured</t>
        </is>
      </c>
      <c r="H612" s="251" t="n">
        <v>300</v>
      </c>
      <c r="I612" s="251" t="n">
        <v>349.99</v>
      </c>
      <c r="J612" s="251" t="n">
        <v>85</v>
      </c>
      <c r="K612" s="254" t="n"/>
    </row>
    <row r="613">
      <c r="B613" s="254" t="inlineStr">
        <is>
          <t>2026-09-26</t>
        </is>
      </c>
      <c r="C613" s="254" t="inlineStr">
        <is>
          <t>licensed-high-volume</t>
        </is>
      </c>
      <c r="D613" s="254" t="inlineStr">
        <is>
          <t>non-clean</t>
        </is>
      </c>
      <c r="E613" s="254" t="inlineStr">
        <is>
          <t>heavy</t>
        </is>
      </c>
      <c r="F613" s="254" t="inlineStr">
        <is>
          <t>buyer_fee</t>
        </is>
      </c>
      <c r="G613" s="254" t="inlineStr">
        <is>
          <t>secured</t>
        </is>
      </c>
      <c r="H613" s="251" t="n">
        <v>350</v>
      </c>
      <c r="I613" s="251" t="n">
        <v>399.99</v>
      </c>
      <c r="J613" s="251" t="n">
        <v>100</v>
      </c>
      <c r="K613" s="254" t="n"/>
    </row>
    <row r="614">
      <c r="B614" s="254" t="inlineStr">
        <is>
          <t>2026-09-26</t>
        </is>
      </c>
      <c r="C614" s="254" t="inlineStr">
        <is>
          <t>licensed-high-volume</t>
        </is>
      </c>
      <c r="D614" s="254" t="inlineStr">
        <is>
          <t>non-clean</t>
        </is>
      </c>
      <c r="E614" s="254" t="inlineStr">
        <is>
          <t>heavy</t>
        </is>
      </c>
      <c r="F614" s="254" t="inlineStr">
        <is>
          <t>buyer_fee</t>
        </is>
      </c>
      <c r="G614" s="254" t="inlineStr">
        <is>
          <t>secured</t>
        </is>
      </c>
      <c r="H614" s="251" t="n">
        <v>400</v>
      </c>
      <c r="I614" s="251" t="n">
        <v>449.99</v>
      </c>
      <c r="J614" s="251" t="n">
        <v>125</v>
      </c>
      <c r="K614" s="254" t="n"/>
    </row>
    <row r="615">
      <c r="B615" s="254" t="inlineStr">
        <is>
          <t>2026-09-26</t>
        </is>
      </c>
      <c r="C615" s="254" t="inlineStr">
        <is>
          <t>licensed-high-volume</t>
        </is>
      </c>
      <c r="D615" s="254" t="inlineStr">
        <is>
          <t>non-clean</t>
        </is>
      </c>
      <c r="E615" s="254" t="inlineStr">
        <is>
          <t>heavy</t>
        </is>
      </c>
      <c r="F615" s="254" t="inlineStr">
        <is>
          <t>buyer_fee</t>
        </is>
      </c>
      <c r="G615" s="254" t="inlineStr">
        <is>
          <t>secured</t>
        </is>
      </c>
      <c r="H615" s="251" t="n">
        <v>450</v>
      </c>
      <c r="I615" s="251" t="n">
        <v>499.99</v>
      </c>
      <c r="J615" s="251" t="n">
        <v>135</v>
      </c>
      <c r="K615" s="254" t="n"/>
    </row>
    <row r="616">
      <c r="B616" s="254" t="inlineStr">
        <is>
          <t>2026-09-26</t>
        </is>
      </c>
      <c r="C616" s="254" t="inlineStr">
        <is>
          <t>licensed-high-volume</t>
        </is>
      </c>
      <c r="D616" s="254" t="inlineStr">
        <is>
          <t>non-clean</t>
        </is>
      </c>
      <c r="E616" s="254" t="inlineStr">
        <is>
          <t>heavy</t>
        </is>
      </c>
      <c r="F616" s="254" t="inlineStr">
        <is>
          <t>buyer_fee</t>
        </is>
      </c>
      <c r="G616" s="254" t="inlineStr">
        <is>
          <t>secured</t>
        </is>
      </c>
      <c r="H616" s="251" t="n">
        <v>500</v>
      </c>
      <c r="I616" s="251" t="n">
        <v>549.99</v>
      </c>
      <c r="J616" s="251" t="n">
        <v>145</v>
      </c>
      <c r="K616" s="254" t="n"/>
    </row>
    <row r="617">
      <c r="B617" s="254" t="inlineStr">
        <is>
          <t>2026-09-26</t>
        </is>
      </c>
      <c r="C617" s="254" t="inlineStr">
        <is>
          <t>licensed-high-volume</t>
        </is>
      </c>
      <c r="D617" s="254" t="inlineStr">
        <is>
          <t>non-clean</t>
        </is>
      </c>
      <c r="E617" s="254" t="inlineStr">
        <is>
          <t>heavy</t>
        </is>
      </c>
      <c r="F617" s="254" t="inlineStr">
        <is>
          <t>buyer_fee</t>
        </is>
      </c>
      <c r="G617" s="254" t="inlineStr">
        <is>
          <t>secured</t>
        </is>
      </c>
      <c r="H617" s="251" t="n">
        <v>550</v>
      </c>
      <c r="I617" s="251" t="n">
        <v>599.99</v>
      </c>
      <c r="J617" s="251" t="n">
        <v>155</v>
      </c>
      <c r="K617" s="254" t="n"/>
    </row>
    <row r="618">
      <c r="B618" s="254" t="inlineStr">
        <is>
          <t>2026-09-26</t>
        </is>
      </c>
      <c r="C618" s="254" t="inlineStr">
        <is>
          <t>licensed-high-volume</t>
        </is>
      </c>
      <c r="D618" s="254" t="inlineStr">
        <is>
          <t>non-clean</t>
        </is>
      </c>
      <c r="E618" s="254" t="inlineStr">
        <is>
          <t>heavy</t>
        </is>
      </c>
      <c r="F618" s="254" t="inlineStr">
        <is>
          <t>buyer_fee</t>
        </is>
      </c>
      <c r="G618" s="254" t="inlineStr">
        <is>
          <t>secured</t>
        </is>
      </c>
      <c r="H618" s="251" t="n">
        <v>600</v>
      </c>
      <c r="I618" s="251" t="n">
        <v>699.99</v>
      </c>
      <c r="J618" s="251" t="n">
        <v>170</v>
      </c>
      <c r="K618" s="254" t="n"/>
    </row>
    <row r="619">
      <c r="B619" s="254" t="inlineStr">
        <is>
          <t>2026-09-26</t>
        </is>
      </c>
      <c r="C619" s="254" t="inlineStr">
        <is>
          <t>licensed-high-volume</t>
        </is>
      </c>
      <c r="D619" s="254" t="inlineStr">
        <is>
          <t>non-clean</t>
        </is>
      </c>
      <c r="E619" s="254" t="inlineStr">
        <is>
          <t>heavy</t>
        </is>
      </c>
      <c r="F619" s="254" t="inlineStr">
        <is>
          <t>buyer_fee</t>
        </is>
      </c>
      <c r="G619" s="254" t="inlineStr">
        <is>
          <t>secured</t>
        </is>
      </c>
      <c r="H619" s="251" t="n">
        <v>700</v>
      </c>
      <c r="I619" s="251" t="n">
        <v>799.99</v>
      </c>
      <c r="J619" s="251" t="n">
        <v>195</v>
      </c>
      <c r="K619" s="254" t="n"/>
    </row>
    <row r="620">
      <c r="B620" s="254" t="inlineStr">
        <is>
          <t>2026-09-26</t>
        </is>
      </c>
      <c r="C620" s="254" t="inlineStr">
        <is>
          <t>licensed-high-volume</t>
        </is>
      </c>
      <c r="D620" s="254" t="inlineStr">
        <is>
          <t>non-clean</t>
        </is>
      </c>
      <c r="E620" s="254" t="inlineStr">
        <is>
          <t>heavy</t>
        </is>
      </c>
      <c r="F620" s="254" t="inlineStr">
        <is>
          <t>buyer_fee</t>
        </is>
      </c>
      <c r="G620" s="254" t="inlineStr">
        <is>
          <t>secured</t>
        </is>
      </c>
      <c r="H620" s="251" t="n">
        <v>800</v>
      </c>
      <c r="I620" s="251" t="n">
        <v>899.99</v>
      </c>
      <c r="J620" s="251" t="n">
        <v>215</v>
      </c>
      <c r="K620" s="254" t="n"/>
    </row>
    <row r="621">
      <c r="B621" s="254" t="inlineStr">
        <is>
          <t>2026-09-26</t>
        </is>
      </c>
      <c r="C621" s="254" t="inlineStr">
        <is>
          <t>licensed-high-volume</t>
        </is>
      </c>
      <c r="D621" s="254" t="inlineStr">
        <is>
          <t>non-clean</t>
        </is>
      </c>
      <c r="E621" s="254" t="inlineStr">
        <is>
          <t>heavy</t>
        </is>
      </c>
      <c r="F621" s="254" t="inlineStr">
        <is>
          <t>buyer_fee</t>
        </is>
      </c>
      <c r="G621" s="254" t="inlineStr">
        <is>
          <t>secured</t>
        </is>
      </c>
      <c r="H621" s="251" t="n">
        <v>900</v>
      </c>
      <c r="I621" s="251" t="n">
        <v>999.99</v>
      </c>
      <c r="J621" s="251" t="n">
        <v>230</v>
      </c>
      <c r="K621" s="254" t="n"/>
    </row>
    <row r="622">
      <c r="B622" s="254" t="inlineStr">
        <is>
          <t>2026-09-26</t>
        </is>
      </c>
      <c r="C622" s="254" t="inlineStr">
        <is>
          <t>licensed-high-volume</t>
        </is>
      </c>
      <c r="D622" s="254" t="inlineStr">
        <is>
          <t>non-clean</t>
        </is>
      </c>
      <c r="E622" s="254" t="inlineStr">
        <is>
          <t>heavy</t>
        </is>
      </c>
      <c r="F622" s="254" t="inlineStr">
        <is>
          <t>buyer_fee</t>
        </is>
      </c>
      <c r="G622" s="254" t="inlineStr">
        <is>
          <t>secured</t>
        </is>
      </c>
      <c r="H622" s="251" t="n">
        <v>1000</v>
      </c>
      <c r="I622" s="251" t="n">
        <v>1199.99</v>
      </c>
      <c r="J622" s="251" t="n">
        <v>250</v>
      </c>
      <c r="K622" s="254" t="n"/>
    </row>
    <row r="623">
      <c r="B623" s="254" t="inlineStr">
        <is>
          <t>2026-09-26</t>
        </is>
      </c>
      <c r="C623" s="254" t="inlineStr">
        <is>
          <t>licensed-high-volume</t>
        </is>
      </c>
      <c r="D623" s="254" t="inlineStr">
        <is>
          <t>non-clean</t>
        </is>
      </c>
      <c r="E623" s="254" t="inlineStr">
        <is>
          <t>heavy</t>
        </is>
      </c>
      <c r="F623" s="254" t="inlineStr">
        <is>
          <t>buyer_fee</t>
        </is>
      </c>
      <c r="G623" s="254" t="inlineStr">
        <is>
          <t>secured</t>
        </is>
      </c>
      <c r="H623" s="251" t="n">
        <v>1200</v>
      </c>
      <c r="I623" s="251" t="n">
        <v>1299.99</v>
      </c>
      <c r="J623" s="251" t="n">
        <v>270</v>
      </c>
      <c r="K623" s="254" t="n"/>
    </row>
    <row r="624">
      <c r="B624" s="254" t="inlineStr">
        <is>
          <t>2026-09-26</t>
        </is>
      </c>
      <c r="C624" s="254" t="inlineStr">
        <is>
          <t>licensed-high-volume</t>
        </is>
      </c>
      <c r="D624" s="254" t="inlineStr">
        <is>
          <t>non-clean</t>
        </is>
      </c>
      <c r="E624" s="254" t="inlineStr">
        <is>
          <t>heavy</t>
        </is>
      </c>
      <c r="F624" s="254" t="inlineStr">
        <is>
          <t>buyer_fee</t>
        </is>
      </c>
      <c r="G624" s="254" t="inlineStr">
        <is>
          <t>secured</t>
        </is>
      </c>
      <c r="H624" s="251" t="n">
        <v>1300</v>
      </c>
      <c r="I624" s="251" t="n">
        <v>1399.99</v>
      </c>
      <c r="J624" s="251" t="n">
        <v>285</v>
      </c>
      <c r="K624" s="254" t="n"/>
    </row>
    <row r="625">
      <c r="B625" s="254" t="inlineStr">
        <is>
          <t>2026-09-26</t>
        </is>
      </c>
      <c r="C625" s="254" t="inlineStr">
        <is>
          <t>licensed-high-volume</t>
        </is>
      </c>
      <c r="D625" s="254" t="inlineStr">
        <is>
          <t>non-clean</t>
        </is>
      </c>
      <c r="E625" s="254" t="inlineStr">
        <is>
          <t>heavy</t>
        </is>
      </c>
      <c r="F625" s="254" t="inlineStr">
        <is>
          <t>buyer_fee</t>
        </is>
      </c>
      <c r="G625" s="254" t="inlineStr">
        <is>
          <t>secured</t>
        </is>
      </c>
      <c r="H625" s="251" t="n">
        <v>1400</v>
      </c>
      <c r="I625" s="251" t="n">
        <v>1499.99</v>
      </c>
      <c r="J625" s="251" t="n">
        <v>300</v>
      </c>
      <c r="K625" s="254" t="n"/>
    </row>
    <row r="626">
      <c r="B626" s="254" t="inlineStr">
        <is>
          <t>2026-09-26</t>
        </is>
      </c>
      <c r="C626" s="254" t="inlineStr">
        <is>
          <t>licensed-high-volume</t>
        </is>
      </c>
      <c r="D626" s="254" t="inlineStr">
        <is>
          <t>non-clean</t>
        </is>
      </c>
      <c r="E626" s="254" t="inlineStr">
        <is>
          <t>heavy</t>
        </is>
      </c>
      <c r="F626" s="254" t="inlineStr">
        <is>
          <t>buyer_fee</t>
        </is>
      </c>
      <c r="G626" s="254" t="inlineStr">
        <is>
          <t>secured</t>
        </is>
      </c>
      <c r="H626" s="251" t="n">
        <v>1500</v>
      </c>
      <c r="I626" s="251" t="n">
        <v>1599.99</v>
      </c>
      <c r="J626" s="251" t="n">
        <v>315</v>
      </c>
      <c r="K626" s="254" t="n"/>
    </row>
    <row r="627">
      <c r="B627" s="254" t="inlineStr">
        <is>
          <t>2026-09-26</t>
        </is>
      </c>
      <c r="C627" s="254" t="inlineStr">
        <is>
          <t>licensed-high-volume</t>
        </is>
      </c>
      <c r="D627" s="254" t="inlineStr">
        <is>
          <t>non-clean</t>
        </is>
      </c>
      <c r="E627" s="254" t="inlineStr">
        <is>
          <t>heavy</t>
        </is>
      </c>
      <c r="F627" s="254" t="inlineStr">
        <is>
          <t>buyer_fee</t>
        </is>
      </c>
      <c r="G627" s="254" t="inlineStr">
        <is>
          <t>secured</t>
        </is>
      </c>
      <c r="H627" s="251" t="n">
        <v>1600</v>
      </c>
      <c r="I627" s="251" t="n">
        <v>1699.99</v>
      </c>
      <c r="J627" s="251" t="n">
        <v>330</v>
      </c>
      <c r="K627" s="254" t="n"/>
    </row>
    <row r="628">
      <c r="B628" s="254" t="inlineStr">
        <is>
          <t>2026-09-26</t>
        </is>
      </c>
      <c r="C628" s="254" t="inlineStr">
        <is>
          <t>licensed-high-volume</t>
        </is>
      </c>
      <c r="D628" s="254" t="inlineStr">
        <is>
          <t>non-clean</t>
        </is>
      </c>
      <c r="E628" s="254" t="inlineStr">
        <is>
          <t>heavy</t>
        </is>
      </c>
      <c r="F628" s="254" t="inlineStr">
        <is>
          <t>buyer_fee</t>
        </is>
      </c>
      <c r="G628" s="254" t="inlineStr">
        <is>
          <t>secured</t>
        </is>
      </c>
      <c r="H628" s="251" t="n">
        <v>1700</v>
      </c>
      <c r="I628" s="251" t="n">
        <v>1799.99</v>
      </c>
      <c r="J628" s="251" t="n">
        <v>350</v>
      </c>
      <c r="K628" s="254" t="n"/>
    </row>
    <row r="629">
      <c r="B629" s="254" t="inlineStr">
        <is>
          <t>2026-09-26</t>
        </is>
      </c>
      <c r="C629" s="254" t="inlineStr">
        <is>
          <t>licensed-high-volume</t>
        </is>
      </c>
      <c r="D629" s="254" t="inlineStr">
        <is>
          <t>non-clean</t>
        </is>
      </c>
      <c r="E629" s="254" t="inlineStr">
        <is>
          <t>heavy</t>
        </is>
      </c>
      <c r="F629" s="254" t="inlineStr">
        <is>
          <t>buyer_fee</t>
        </is>
      </c>
      <c r="G629" s="254" t="inlineStr">
        <is>
          <t>secured</t>
        </is>
      </c>
      <c r="H629" s="251" t="n">
        <v>1800</v>
      </c>
      <c r="I629" s="251" t="n">
        <v>1999.99</v>
      </c>
      <c r="J629" s="251" t="n">
        <v>370</v>
      </c>
      <c r="K629" s="254" t="n"/>
    </row>
    <row r="630">
      <c r="B630" s="254" t="inlineStr">
        <is>
          <t>2026-09-26</t>
        </is>
      </c>
      <c r="C630" s="254" t="inlineStr">
        <is>
          <t>licensed-high-volume</t>
        </is>
      </c>
      <c r="D630" s="254" t="inlineStr">
        <is>
          <t>non-clean</t>
        </is>
      </c>
      <c r="E630" s="254" t="inlineStr">
        <is>
          <t>heavy</t>
        </is>
      </c>
      <c r="F630" s="254" t="inlineStr">
        <is>
          <t>buyer_fee</t>
        </is>
      </c>
      <c r="G630" s="254" t="inlineStr">
        <is>
          <t>secured</t>
        </is>
      </c>
      <c r="H630" s="251" t="n">
        <v>2000</v>
      </c>
      <c r="I630" s="251" t="n">
        <v>2399.99</v>
      </c>
      <c r="J630" s="251" t="n">
        <v>390</v>
      </c>
      <c r="K630" s="254" t="n"/>
    </row>
    <row r="631">
      <c r="B631" s="254" t="inlineStr">
        <is>
          <t>2026-09-26</t>
        </is>
      </c>
      <c r="C631" s="254" t="inlineStr">
        <is>
          <t>licensed-high-volume</t>
        </is>
      </c>
      <c r="D631" s="254" t="inlineStr">
        <is>
          <t>non-clean</t>
        </is>
      </c>
      <c r="E631" s="254" t="inlineStr">
        <is>
          <t>heavy</t>
        </is>
      </c>
      <c r="F631" s="254" t="inlineStr">
        <is>
          <t>buyer_fee</t>
        </is>
      </c>
      <c r="G631" s="254" t="inlineStr">
        <is>
          <t>secured</t>
        </is>
      </c>
      <c r="H631" s="251" t="n">
        <v>2400</v>
      </c>
      <c r="I631" s="251" t="n">
        <v>2499.99</v>
      </c>
      <c r="J631" s="251" t="n">
        <v>425</v>
      </c>
      <c r="K631" s="254" t="n"/>
    </row>
    <row r="632">
      <c r="B632" s="254" t="inlineStr">
        <is>
          <t>2026-09-26</t>
        </is>
      </c>
      <c r="C632" s="254" t="inlineStr">
        <is>
          <t>licensed-high-volume</t>
        </is>
      </c>
      <c r="D632" s="254" t="inlineStr">
        <is>
          <t>non-clean</t>
        </is>
      </c>
      <c r="E632" s="254" t="inlineStr">
        <is>
          <t>heavy</t>
        </is>
      </c>
      <c r="F632" s="254" t="inlineStr">
        <is>
          <t>buyer_fee</t>
        </is>
      </c>
      <c r="G632" s="254" t="inlineStr">
        <is>
          <t>secured</t>
        </is>
      </c>
      <c r="H632" s="251" t="n">
        <v>2500</v>
      </c>
      <c r="I632" s="251" t="n">
        <v>2999.99</v>
      </c>
      <c r="J632" s="251" t="n">
        <v>460</v>
      </c>
      <c r="K632" s="254" t="n"/>
    </row>
    <row r="633">
      <c r="B633" s="254" t="inlineStr">
        <is>
          <t>2026-09-26</t>
        </is>
      </c>
      <c r="C633" s="254" t="inlineStr">
        <is>
          <t>licensed-high-volume</t>
        </is>
      </c>
      <c r="D633" s="254" t="inlineStr">
        <is>
          <t>non-clean</t>
        </is>
      </c>
      <c r="E633" s="254" t="inlineStr">
        <is>
          <t>heavy</t>
        </is>
      </c>
      <c r="F633" s="254" t="inlineStr">
        <is>
          <t>buyer_fee</t>
        </is>
      </c>
      <c r="G633" s="254" t="inlineStr">
        <is>
          <t>secured</t>
        </is>
      </c>
      <c r="H633" s="251" t="n">
        <v>3000</v>
      </c>
      <c r="I633" s="251" t="n">
        <v>3499.99</v>
      </c>
      <c r="J633" s="251" t="n">
        <v>505</v>
      </c>
      <c r="K633" s="254" t="n"/>
    </row>
    <row r="634">
      <c r="B634" s="254" t="inlineStr">
        <is>
          <t>2026-09-26</t>
        </is>
      </c>
      <c r="C634" s="254" t="inlineStr">
        <is>
          <t>licensed-high-volume</t>
        </is>
      </c>
      <c r="D634" s="254" t="inlineStr">
        <is>
          <t>non-clean</t>
        </is>
      </c>
      <c r="E634" s="254" t="inlineStr">
        <is>
          <t>heavy</t>
        </is>
      </c>
      <c r="F634" s="254" t="inlineStr">
        <is>
          <t>buyer_fee</t>
        </is>
      </c>
      <c r="G634" s="254" t="inlineStr">
        <is>
          <t>secured</t>
        </is>
      </c>
      <c r="H634" s="251" t="n">
        <v>3500</v>
      </c>
      <c r="I634" s="251" t="n">
        <v>3999.99</v>
      </c>
      <c r="J634" s="251" t="n">
        <v>555</v>
      </c>
      <c r="K634" s="254" t="n"/>
    </row>
    <row r="635">
      <c r="B635" s="254" t="inlineStr">
        <is>
          <t>2026-09-26</t>
        </is>
      </c>
      <c r="C635" s="254" t="inlineStr">
        <is>
          <t>licensed-high-volume</t>
        </is>
      </c>
      <c r="D635" s="254" t="inlineStr">
        <is>
          <t>non-clean</t>
        </is>
      </c>
      <c r="E635" s="254" t="inlineStr">
        <is>
          <t>heavy</t>
        </is>
      </c>
      <c r="F635" s="254" t="inlineStr">
        <is>
          <t>buyer_fee</t>
        </is>
      </c>
      <c r="G635" s="254" t="inlineStr">
        <is>
          <t>secured</t>
        </is>
      </c>
      <c r="H635" s="251" t="n">
        <v>4000</v>
      </c>
      <c r="I635" s="251" t="n">
        <v>4499.99</v>
      </c>
      <c r="J635" s="251" t="n">
        <v>600</v>
      </c>
      <c r="K635" s="254" t="n"/>
    </row>
    <row r="636">
      <c r="B636" s="254" t="inlineStr">
        <is>
          <t>2026-09-26</t>
        </is>
      </c>
      <c r="C636" s="254" t="inlineStr">
        <is>
          <t>licensed-high-volume</t>
        </is>
      </c>
      <c r="D636" s="254" t="inlineStr">
        <is>
          <t>non-clean</t>
        </is>
      </c>
      <c r="E636" s="254" t="inlineStr">
        <is>
          <t>heavy</t>
        </is>
      </c>
      <c r="F636" s="254" t="inlineStr">
        <is>
          <t>buyer_fee</t>
        </is>
      </c>
      <c r="G636" s="254" t="inlineStr">
        <is>
          <t>secured</t>
        </is>
      </c>
      <c r="H636" s="251" t="n">
        <v>4500</v>
      </c>
      <c r="I636" s="251" t="n">
        <v>4999.99</v>
      </c>
      <c r="J636" s="251" t="n">
        <v>625</v>
      </c>
      <c r="K636" s="254" t="n"/>
    </row>
    <row r="637">
      <c r="B637" s="254" t="inlineStr">
        <is>
          <t>2026-09-26</t>
        </is>
      </c>
      <c r="C637" s="254" t="inlineStr">
        <is>
          <t>licensed-high-volume</t>
        </is>
      </c>
      <c r="D637" s="254" t="inlineStr">
        <is>
          <t>non-clean</t>
        </is>
      </c>
      <c r="E637" s="254" t="inlineStr">
        <is>
          <t>heavy</t>
        </is>
      </c>
      <c r="F637" s="254" t="inlineStr">
        <is>
          <t>buyer_fee</t>
        </is>
      </c>
      <c r="G637" s="254" t="inlineStr">
        <is>
          <t>secured</t>
        </is>
      </c>
      <c r="H637" s="251" t="n">
        <v>5000</v>
      </c>
      <c r="I637" s="251" t="n">
        <v>5499.99</v>
      </c>
      <c r="J637" s="251" t="n">
        <v>650</v>
      </c>
      <c r="K637" s="254" t="n"/>
    </row>
    <row r="638">
      <c r="B638" s="254" t="inlineStr">
        <is>
          <t>2026-09-26</t>
        </is>
      </c>
      <c r="C638" s="254" t="inlineStr">
        <is>
          <t>licensed-high-volume</t>
        </is>
      </c>
      <c r="D638" s="254" t="inlineStr">
        <is>
          <t>non-clean</t>
        </is>
      </c>
      <c r="E638" s="254" t="inlineStr">
        <is>
          <t>heavy</t>
        </is>
      </c>
      <c r="F638" s="254" t="inlineStr">
        <is>
          <t>buyer_fee</t>
        </is>
      </c>
      <c r="G638" s="254" t="inlineStr">
        <is>
          <t>secured</t>
        </is>
      </c>
      <c r="H638" s="251" t="n">
        <v>5500</v>
      </c>
      <c r="I638" s="251" t="n">
        <v>5999.99</v>
      </c>
      <c r="J638" s="251" t="n">
        <v>675</v>
      </c>
      <c r="K638" s="254" t="n"/>
    </row>
    <row r="639">
      <c r="B639" s="254" t="inlineStr">
        <is>
          <t>2026-09-26</t>
        </is>
      </c>
      <c r="C639" s="254" t="inlineStr">
        <is>
          <t>licensed-high-volume</t>
        </is>
      </c>
      <c r="D639" s="254" t="inlineStr">
        <is>
          <t>non-clean</t>
        </is>
      </c>
      <c r="E639" s="254" t="inlineStr">
        <is>
          <t>heavy</t>
        </is>
      </c>
      <c r="F639" s="254" t="inlineStr">
        <is>
          <t>buyer_fee</t>
        </is>
      </c>
      <c r="G639" s="254" t="inlineStr">
        <is>
          <t>secured</t>
        </is>
      </c>
      <c r="H639" s="251" t="n">
        <v>6000</v>
      </c>
      <c r="I639" s="251" t="n">
        <v>6499.99</v>
      </c>
      <c r="J639" s="251" t="n">
        <v>700</v>
      </c>
      <c r="K639" s="254" t="n"/>
    </row>
    <row r="640">
      <c r="B640" s="254" t="inlineStr">
        <is>
          <t>2026-09-26</t>
        </is>
      </c>
      <c r="C640" s="254" t="inlineStr">
        <is>
          <t>licensed-high-volume</t>
        </is>
      </c>
      <c r="D640" s="254" t="inlineStr">
        <is>
          <t>non-clean</t>
        </is>
      </c>
      <c r="E640" s="254" t="inlineStr">
        <is>
          <t>heavy</t>
        </is>
      </c>
      <c r="F640" s="254" t="inlineStr">
        <is>
          <t>buyer_fee</t>
        </is>
      </c>
      <c r="G640" s="254" t="inlineStr">
        <is>
          <t>secured</t>
        </is>
      </c>
      <c r="H640" s="251" t="n">
        <v>6500</v>
      </c>
      <c r="I640" s="251" t="n">
        <v>6999.99</v>
      </c>
      <c r="J640" s="251" t="n">
        <v>720</v>
      </c>
      <c r="K640" s="254" t="n"/>
    </row>
    <row r="641">
      <c r="B641" s="254" t="inlineStr">
        <is>
          <t>2026-09-26</t>
        </is>
      </c>
      <c r="C641" s="254" t="inlineStr">
        <is>
          <t>licensed-high-volume</t>
        </is>
      </c>
      <c r="D641" s="254" t="inlineStr">
        <is>
          <t>non-clean</t>
        </is>
      </c>
      <c r="E641" s="254" t="inlineStr">
        <is>
          <t>heavy</t>
        </is>
      </c>
      <c r="F641" s="254" t="inlineStr">
        <is>
          <t>buyer_fee</t>
        </is>
      </c>
      <c r="G641" s="254" t="inlineStr">
        <is>
          <t>secured</t>
        </is>
      </c>
      <c r="H641" s="251" t="n">
        <v>7000</v>
      </c>
      <c r="I641" s="251" t="n">
        <v>7499.99</v>
      </c>
      <c r="J641" s="251" t="n">
        <v>755</v>
      </c>
      <c r="K641" s="254" t="n"/>
    </row>
    <row r="642">
      <c r="B642" s="254" t="inlineStr">
        <is>
          <t>2026-09-26</t>
        </is>
      </c>
      <c r="C642" s="254" t="inlineStr">
        <is>
          <t>licensed-high-volume</t>
        </is>
      </c>
      <c r="D642" s="254" t="inlineStr">
        <is>
          <t>non-clean</t>
        </is>
      </c>
      <c r="E642" s="254" t="inlineStr">
        <is>
          <t>heavy</t>
        </is>
      </c>
      <c r="F642" s="254" t="inlineStr">
        <is>
          <t>buyer_fee</t>
        </is>
      </c>
      <c r="G642" s="254" t="inlineStr">
        <is>
          <t>secured</t>
        </is>
      </c>
      <c r="H642" s="251" t="n">
        <v>7500</v>
      </c>
      <c r="I642" s="251" t="n">
        <v>7999.99</v>
      </c>
      <c r="J642" s="251" t="n">
        <v>775</v>
      </c>
      <c r="K642" s="254" t="n"/>
    </row>
    <row r="643">
      <c r="B643" s="254" t="inlineStr">
        <is>
          <t>2026-09-26</t>
        </is>
      </c>
      <c r="C643" s="254" t="inlineStr">
        <is>
          <t>licensed-high-volume</t>
        </is>
      </c>
      <c r="D643" s="254" t="inlineStr">
        <is>
          <t>non-clean</t>
        </is>
      </c>
      <c r="E643" s="254" t="inlineStr">
        <is>
          <t>heavy</t>
        </is>
      </c>
      <c r="F643" s="254" t="inlineStr">
        <is>
          <t>buyer_fee</t>
        </is>
      </c>
      <c r="G643" s="254" t="inlineStr">
        <is>
          <t>secured</t>
        </is>
      </c>
      <c r="H643" s="251" t="n">
        <v>8000</v>
      </c>
      <c r="I643" s="254" t="n"/>
      <c r="J643" s="254" t="n"/>
      <c r="K643" s="251" t="n">
        <v>10</v>
      </c>
    </row>
    <row r="644">
      <c r="B644" s="254" t="inlineStr">
        <is>
          <t>2026-09-26</t>
        </is>
      </c>
      <c r="C644" s="254" t="inlineStr">
        <is>
          <t>licensed-high-volume</t>
        </is>
      </c>
      <c r="D644" s="254" t="inlineStr">
        <is>
          <t>non-clean</t>
        </is>
      </c>
      <c r="E644" s="254" t="inlineStr">
        <is>
          <t>heavy</t>
        </is>
      </c>
      <c r="F644" s="254" t="inlineStr">
        <is>
          <t>buyer_fee</t>
        </is>
      </c>
      <c r="G644" s="254" t="inlineStr">
        <is>
          <t>unsecured</t>
        </is>
      </c>
      <c r="H644" s="251" t="n">
        <v>0</v>
      </c>
      <c r="I644" s="251" t="n">
        <v>49.99</v>
      </c>
      <c r="J644" s="251" t="n">
        <v>27.5</v>
      </c>
      <c r="K644" s="254" t="n"/>
    </row>
    <row r="645">
      <c r="B645" s="254" t="inlineStr">
        <is>
          <t>2026-09-26</t>
        </is>
      </c>
      <c r="C645" s="254" t="inlineStr">
        <is>
          <t>licensed-high-volume</t>
        </is>
      </c>
      <c r="D645" s="254" t="inlineStr">
        <is>
          <t>non-clean</t>
        </is>
      </c>
      <c r="E645" s="254" t="inlineStr">
        <is>
          <t>heavy</t>
        </is>
      </c>
      <c r="F645" s="254" t="inlineStr">
        <is>
          <t>buyer_fee</t>
        </is>
      </c>
      <c r="G645" s="254" t="inlineStr">
        <is>
          <t>unsecured</t>
        </is>
      </c>
      <c r="H645" s="251" t="n">
        <v>50</v>
      </c>
      <c r="I645" s="251" t="n">
        <v>99.98999999999999</v>
      </c>
      <c r="J645" s="251" t="n">
        <v>40</v>
      </c>
      <c r="K645" s="254" t="n"/>
    </row>
    <row r="646">
      <c r="B646" s="254" t="inlineStr">
        <is>
          <t>2026-09-26</t>
        </is>
      </c>
      <c r="C646" s="254" t="inlineStr">
        <is>
          <t>licensed-high-volume</t>
        </is>
      </c>
      <c r="D646" s="254" t="inlineStr">
        <is>
          <t>non-clean</t>
        </is>
      </c>
      <c r="E646" s="254" t="inlineStr">
        <is>
          <t>heavy</t>
        </is>
      </c>
      <c r="F646" s="254" t="inlineStr">
        <is>
          <t>buyer_fee</t>
        </is>
      </c>
      <c r="G646" s="254" t="inlineStr">
        <is>
          <t>unsecured</t>
        </is>
      </c>
      <c r="H646" s="251" t="n">
        <v>100</v>
      </c>
      <c r="I646" s="251" t="n">
        <v>199.99</v>
      </c>
      <c r="J646" s="251" t="n">
        <v>65</v>
      </c>
      <c r="K646" s="254" t="n"/>
    </row>
    <row r="647">
      <c r="B647" s="254" t="inlineStr">
        <is>
          <t>2026-09-26</t>
        </is>
      </c>
      <c r="C647" s="254" t="inlineStr">
        <is>
          <t>licensed-high-volume</t>
        </is>
      </c>
      <c r="D647" s="254" t="inlineStr">
        <is>
          <t>non-clean</t>
        </is>
      </c>
      <c r="E647" s="254" t="inlineStr">
        <is>
          <t>heavy</t>
        </is>
      </c>
      <c r="F647" s="254" t="inlineStr">
        <is>
          <t>buyer_fee</t>
        </is>
      </c>
      <c r="G647" s="254" t="inlineStr">
        <is>
          <t>unsecured</t>
        </is>
      </c>
      <c r="H647" s="251" t="n">
        <v>200</v>
      </c>
      <c r="I647" s="251" t="n">
        <v>299.99</v>
      </c>
      <c r="J647" s="251" t="n">
        <v>100</v>
      </c>
      <c r="K647" s="254" t="n"/>
    </row>
    <row r="648">
      <c r="B648" s="254" t="inlineStr">
        <is>
          <t>2026-09-26</t>
        </is>
      </c>
      <c r="C648" s="254" t="inlineStr">
        <is>
          <t>licensed-high-volume</t>
        </is>
      </c>
      <c r="D648" s="254" t="inlineStr">
        <is>
          <t>non-clean</t>
        </is>
      </c>
      <c r="E648" s="254" t="inlineStr">
        <is>
          <t>heavy</t>
        </is>
      </c>
      <c r="F648" s="254" t="inlineStr">
        <is>
          <t>buyer_fee</t>
        </is>
      </c>
      <c r="G648" s="254" t="inlineStr">
        <is>
          <t>unsecured</t>
        </is>
      </c>
      <c r="H648" s="251" t="n">
        <v>300</v>
      </c>
      <c r="I648" s="251" t="n">
        <v>349.99</v>
      </c>
      <c r="J648" s="251" t="n">
        <v>122.5</v>
      </c>
      <c r="K648" s="254" t="n"/>
    </row>
    <row r="649">
      <c r="B649" s="254" t="inlineStr">
        <is>
          <t>2026-09-26</t>
        </is>
      </c>
      <c r="C649" s="254" t="inlineStr">
        <is>
          <t>licensed-high-volume</t>
        </is>
      </c>
      <c r="D649" s="254" t="inlineStr">
        <is>
          <t>non-clean</t>
        </is>
      </c>
      <c r="E649" s="254" t="inlineStr">
        <is>
          <t>heavy</t>
        </is>
      </c>
      <c r="F649" s="254" t="inlineStr">
        <is>
          <t>buyer_fee</t>
        </is>
      </c>
      <c r="G649" s="254" t="inlineStr">
        <is>
          <t>unsecured</t>
        </is>
      </c>
      <c r="H649" s="251" t="n">
        <v>350</v>
      </c>
      <c r="I649" s="251" t="n">
        <v>399.99</v>
      </c>
      <c r="J649" s="251" t="n">
        <v>137.5</v>
      </c>
      <c r="K649" s="254" t="n"/>
    </row>
    <row r="650">
      <c r="B650" s="254" t="inlineStr">
        <is>
          <t>2026-09-26</t>
        </is>
      </c>
      <c r="C650" s="254" t="inlineStr">
        <is>
          <t>licensed-high-volume</t>
        </is>
      </c>
      <c r="D650" s="254" t="inlineStr">
        <is>
          <t>non-clean</t>
        </is>
      </c>
      <c r="E650" s="254" t="inlineStr">
        <is>
          <t>heavy</t>
        </is>
      </c>
      <c r="F650" s="254" t="inlineStr">
        <is>
          <t>buyer_fee</t>
        </is>
      </c>
      <c r="G650" s="254" t="inlineStr">
        <is>
          <t>unsecured</t>
        </is>
      </c>
      <c r="H650" s="251" t="n">
        <v>400</v>
      </c>
      <c r="I650" s="251" t="n">
        <v>449.99</v>
      </c>
      <c r="J650" s="251" t="n">
        <v>145</v>
      </c>
      <c r="K650" s="254" t="n"/>
    </row>
    <row r="651">
      <c r="B651" s="254" t="inlineStr">
        <is>
          <t>2026-09-26</t>
        </is>
      </c>
      <c r="C651" s="254" t="inlineStr">
        <is>
          <t>licensed-high-volume</t>
        </is>
      </c>
      <c r="D651" s="254" t="inlineStr">
        <is>
          <t>non-clean</t>
        </is>
      </c>
      <c r="E651" s="254" t="inlineStr">
        <is>
          <t>heavy</t>
        </is>
      </c>
      <c r="F651" s="254" t="inlineStr">
        <is>
          <t>buyer_fee</t>
        </is>
      </c>
      <c r="G651" s="254" t="inlineStr">
        <is>
          <t>unsecured</t>
        </is>
      </c>
      <c r="H651" s="251" t="n">
        <v>450</v>
      </c>
      <c r="I651" s="251" t="n">
        <v>499.99</v>
      </c>
      <c r="J651" s="251" t="n">
        <v>155</v>
      </c>
      <c r="K651" s="254" t="n"/>
    </row>
    <row r="652">
      <c r="B652" s="254" t="inlineStr">
        <is>
          <t>2026-09-26</t>
        </is>
      </c>
      <c r="C652" s="254" t="inlineStr">
        <is>
          <t>licensed-high-volume</t>
        </is>
      </c>
      <c r="D652" s="254" t="inlineStr">
        <is>
          <t>non-clean</t>
        </is>
      </c>
      <c r="E652" s="254" t="inlineStr">
        <is>
          <t>heavy</t>
        </is>
      </c>
      <c r="F652" s="254" t="inlineStr">
        <is>
          <t>buyer_fee</t>
        </is>
      </c>
      <c r="G652" s="254" t="inlineStr">
        <is>
          <t>unsecured</t>
        </is>
      </c>
      <c r="H652" s="251" t="n">
        <v>500</v>
      </c>
      <c r="I652" s="251" t="n">
        <v>549.99</v>
      </c>
      <c r="J652" s="251" t="n">
        <v>170</v>
      </c>
      <c r="K652" s="254" t="n"/>
    </row>
    <row r="653">
      <c r="B653" s="254" t="inlineStr">
        <is>
          <t>2026-09-26</t>
        </is>
      </c>
      <c r="C653" s="254" t="inlineStr">
        <is>
          <t>licensed-high-volume</t>
        </is>
      </c>
      <c r="D653" s="254" t="inlineStr">
        <is>
          <t>non-clean</t>
        </is>
      </c>
      <c r="E653" s="254" t="inlineStr">
        <is>
          <t>heavy</t>
        </is>
      </c>
      <c r="F653" s="254" t="inlineStr">
        <is>
          <t>buyer_fee</t>
        </is>
      </c>
      <c r="G653" s="254" t="inlineStr">
        <is>
          <t>unsecured</t>
        </is>
      </c>
      <c r="H653" s="251" t="n">
        <v>550</v>
      </c>
      <c r="I653" s="251" t="n">
        <v>599.99</v>
      </c>
      <c r="J653" s="251" t="n">
        <v>175</v>
      </c>
      <c r="K653" s="254" t="n"/>
    </row>
    <row r="654">
      <c r="B654" s="254" t="inlineStr">
        <is>
          <t>2026-09-26</t>
        </is>
      </c>
      <c r="C654" s="254" t="inlineStr">
        <is>
          <t>licensed-high-volume</t>
        </is>
      </c>
      <c r="D654" s="254" t="inlineStr">
        <is>
          <t>non-clean</t>
        </is>
      </c>
      <c r="E654" s="254" t="inlineStr">
        <is>
          <t>heavy</t>
        </is>
      </c>
      <c r="F654" s="254" t="inlineStr">
        <is>
          <t>buyer_fee</t>
        </is>
      </c>
      <c r="G654" s="254" t="inlineStr">
        <is>
          <t>unsecured</t>
        </is>
      </c>
      <c r="H654" s="251" t="n">
        <v>600</v>
      </c>
      <c r="I654" s="251" t="n">
        <v>699.99</v>
      </c>
      <c r="J654" s="251" t="n">
        <v>200</v>
      </c>
      <c r="K654" s="254" t="n"/>
    </row>
    <row r="655">
      <c r="B655" s="254" t="inlineStr">
        <is>
          <t>2026-09-26</t>
        </is>
      </c>
      <c r="C655" s="254" t="inlineStr">
        <is>
          <t>licensed-high-volume</t>
        </is>
      </c>
      <c r="D655" s="254" t="inlineStr">
        <is>
          <t>non-clean</t>
        </is>
      </c>
      <c r="E655" s="254" t="inlineStr">
        <is>
          <t>heavy</t>
        </is>
      </c>
      <c r="F655" s="254" t="inlineStr">
        <is>
          <t>buyer_fee</t>
        </is>
      </c>
      <c r="G655" s="254" t="inlineStr">
        <is>
          <t>unsecured</t>
        </is>
      </c>
      <c r="H655" s="251" t="n">
        <v>700</v>
      </c>
      <c r="I655" s="251" t="n">
        <v>799.99</v>
      </c>
      <c r="J655" s="251" t="n">
        <v>232.5</v>
      </c>
      <c r="K655" s="254" t="n"/>
    </row>
    <row r="656">
      <c r="B656" s="254" t="inlineStr">
        <is>
          <t>2026-09-26</t>
        </is>
      </c>
      <c r="C656" s="254" t="inlineStr">
        <is>
          <t>licensed-high-volume</t>
        </is>
      </c>
      <c r="D656" s="254" t="inlineStr">
        <is>
          <t>non-clean</t>
        </is>
      </c>
      <c r="E656" s="254" t="inlineStr">
        <is>
          <t>heavy</t>
        </is>
      </c>
      <c r="F656" s="254" t="inlineStr">
        <is>
          <t>buyer_fee</t>
        </is>
      </c>
      <c r="G656" s="254" t="inlineStr">
        <is>
          <t>unsecured</t>
        </is>
      </c>
      <c r="H656" s="251" t="n">
        <v>800</v>
      </c>
      <c r="I656" s="251" t="n">
        <v>899.99</v>
      </c>
      <c r="J656" s="251" t="n">
        <v>257.5</v>
      </c>
      <c r="K656" s="254" t="n"/>
    </row>
    <row r="657">
      <c r="B657" s="254" t="inlineStr">
        <is>
          <t>2026-09-26</t>
        </is>
      </c>
      <c r="C657" s="254" t="inlineStr">
        <is>
          <t>licensed-high-volume</t>
        </is>
      </c>
      <c r="D657" s="254" t="inlineStr">
        <is>
          <t>non-clean</t>
        </is>
      </c>
      <c r="E657" s="254" t="inlineStr">
        <is>
          <t>heavy</t>
        </is>
      </c>
      <c r="F657" s="254" t="inlineStr">
        <is>
          <t>buyer_fee</t>
        </is>
      </c>
      <c r="G657" s="254" t="inlineStr">
        <is>
          <t>unsecured</t>
        </is>
      </c>
      <c r="H657" s="251" t="n">
        <v>900</v>
      </c>
      <c r="I657" s="251" t="n">
        <v>999.99</v>
      </c>
      <c r="J657" s="251" t="n">
        <v>280</v>
      </c>
      <c r="K657" s="254" t="n"/>
    </row>
    <row r="658">
      <c r="B658" s="254" t="inlineStr">
        <is>
          <t>2026-09-26</t>
        </is>
      </c>
      <c r="C658" s="254" t="inlineStr">
        <is>
          <t>licensed-high-volume</t>
        </is>
      </c>
      <c r="D658" s="254" t="inlineStr">
        <is>
          <t>non-clean</t>
        </is>
      </c>
      <c r="E658" s="254" t="inlineStr">
        <is>
          <t>heavy</t>
        </is>
      </c>
      <c r="F658" s="254" t="inlineStr">
        <is>
          <t>buyer_fee</t>
        </is>
      </c>
      <c r="G658" s="254" t="inlineStr">
        <is>
          <t>unsecured</t>
        </is>
      </c>
      <c r="H658" s="251" t="n">
        <v>1000</v>
      </c>
      <c r="I658" s="251" t="n">
        <v>1199.99</v>
      </c>
      <c r="J658" s="251" t="n">
        <v>310</v>
      </c>
      <c r="K658" s="254" t="n"/>
    </row>
    <row r="659">
      <c r="B659" s="254" t="inlineStr">
        <is>
          <t>2026-09-26</t>
        </is>
      </c>
      <c r="C659" s="254" t="inlineStr">
        <is>
          <t>licensed-high-volume</t>
        </is>
      </c>
      <c r="D659" s="254" t="inlineStr">
        <is>
          <t>non-clean</t>
        </is>
      </c>
      <c r="E659" s="254" t="inlineStr">
        <is>
          <t>heavy</t>
        </is>
      </c>
      <c r="F659" s="254" t="inlineStr">
        <is>
          <t>buyer_fee</t>
        </is>
      </c>
      <c r="G659" s="254" t="inlineStr">
        <is>
          <t>unsecured</t>
        </is>
      </c>
      <c r="H659" s="251" t="n">
        <v>1200</v>
      </c>
      <c r="I659" s="251" t="n">
        <v>1299.99</v>
      </c>
      <c r="J659" s="251" t="n">
        <v>340</v>
      </c>
      <c r="K659" s="254" t="n"/>
    </row>
    <row r="660">
      <c r="B660" s="254" t="inlineStr">
        <is>
          <t>2026-09-26</t>
        </is>
      </c>
      <c r="C660" s="254" t="inlineStr">
        <is>
          <t>licensed-high-volume</t>
        </is>
      </c>
      <c r="D660" s="254" t="inlineStr">
        <is>
          <t>non-clean</t>
        </is>
      </c>
      <c r="E660" s="254" t="inlineStr">
        <is>
          <t>heavy</t>
        </is>
      </c>
      <c r="F660" s="254" t="inlineStr">
        <is>
          <t>buyer_fee</t>
        </is>
      </c>
      <c r="G660" s="254" t="inlineStr">
        <is>
          <t>unsecured</t>
        </is>
      </c>
      <c r="H660" s="251" t="n">
        <v>1300</v>
      </c>
      <c r="I660" s="251" t="n">
        <v>1399.99</v>
      </c>
      <c r="J660" s="251" t="n">
        <v>352.5</v>
      </c>
      <c r="K660" s="254" t="n"/>
    </row>
    <row r="661">
      <c r="B661" s="254" t="inlineStr">
        <is>
          <t>2026-09-26</t>
        </is>
      </c>
      <c r="C661" s="254" t="inlineStr">
        <is>
          <t>licensed-high-volume</t>
        </is>
      </c>
      <c r="D661" s="254" t="inlineStr">
        <is>
          <t>non-clean</t>
        </is>
      </c>
      <c r="E661" s="254" t="inlineStr">
        <is>
          <t>heavy</t>
        </is>
      </c>
      <c r="F661" s="254" t="inlineStr">
        <is>
          <t>buyer_fee</t>
        </is>
      </c>
      <c r="G661" s="254" t="inlineStr">
        <is>
          <t>unsecured</t>
        </is>
      </c>
      <c r="H661" s="251" t="n">
        <v>1400</v>
      </c>
      <c r="I661" s="251" t="n">
        <v>1499.99</v>
      </c>
      <c r="J661" s="251" t="n">
        <v>370</v>
      </c>
      <c r="K661" s="254" t="n"/>
    </row>
    <row r="662">
      <c r="B662" s="254" t="inlineStr">
        <is>
          <t>2026-09-26</t>
        </is>
      </c>
      <c r="C662" s="254" t="inlineStr">
        <is>
          <t>licensed-high-volume</t>
        </is>
      </c>
      <c r="D662" s="254" t="inlineStr">
        <is>
          <t>non-clean</t>
        </is>
      </c>
      <c r="E662" s="254" t="inlineStr">
        <is>
          <t>heavy</t>
        </is>
      </c>
      <c r="F662" s="254" t="inlineStr">
        <is>
          <t>buyer_fee</t>
        </is>
      </c>
      <c r="G662" s="254" t="inlineStr">
        <is>
          <t>unsecured</t>
        </is>
      </c>
      <c r="H662" s="251" t="n">
        <v>1500</v>
      </c>
      <c r="I662" s="251" t="n">
        <v>1599.99</v>
      </c>
      <c r="J662" s="251" t="n">
        <v>385</v>
      </c>
      <c r="K662" s="254" t="n"/>
    </row>
    <row r="663">
      <c r="B663" s="254" t="inlineStr">
        <is>
          <t>2026-09-26</t>
        </is>
      </c>
      <c r="C663" s="254" t="inlineStr">
        <is>
          <t>licensed-high-volume</t>
        </is>
      </c>
      <c r="D663" s="254" t="inlineStr">
        <is>
          <t>non-clean</t>
        </is>
      </c>
      <c r="E663" s="254" t="inlineStr">
        <is>
          <t>heavy</t>
        </is>
      </c>
      <c r="F663" s="254" t="inlineStr">
        <is>
          <t>buyer_fee</t>
        </is>
      </c>
      <c r="G663" s="254" t="inlineStr">
        <is>
          <t>unsecured</t>
        </is>
      </c>
      <c r="H663" s="251" t="n">
        <v>1600</v>
      </c>
      <c r="I663" s="251" t="n">
        <v>1699.99</v>
      </c>
      <c r="J663" s="251" t="n">
        <v>405</v>
      </c>
      <c r="K663" s="254" t="n"/>
    </row>
    <row r="664">
      <c r="B664" s="254" t="inlineStr">
        <is>
          <t>2026-09-26</t>
        </is>
      </c>
      <c r="C664" s="254" t="inlineStr">
        <is>
          <t>licensed-high-volume</t>
        </is>
      </c>
      <c r="D664" s="254" t="inlineStr">
        <is>
          <t>non-clean</t>
        </is>
      </c>
      <c r="E664" s="254" t="inlineStr">
        <is>
          <t>heavy</t>
        </is>
      </c>
      <c r="F664" s="254" t="inlineStr">
        <is>
          <t>buyer_fee</t>
        </is>
      </c>
      <c r="G664" s="254" t="inlineStr">
        <is>
          <t>unsecured</t>
        </is>
      </c>
      <c r="H664" s="251" t="n">
        <v>1700</v>
      </c>
      <c r="I664" s="251" t="n">
        <v>1799.99</v>
      </c>
      <c r="J664" s="251" t="n">
        <v>427.5</v>
      </c>
      <c r="K664" s="254" t="n"/>
    </row>
    <row r="665">
      <c r="B665" s="254" t="inlineStr">
        <is>
          <t>2026-09-26</t>
        </is>
      </c>
      <c r="C665" s="254" t="inlineStr">
        <is>
          <t>licensed-high-volume</t>
        </is>
      </c>
      <c r="D665" s="254" t="inlineStr">
        <is>
          <t>non-clean</t>
        </is>
      </c>
      <c r="E665" s="254" t="inlineStr">
        <is>
          <t>heavy</t>
        </is>
      </c>
      <c r="F665" s="254" t="inlineStr">
        <is>
          <t>buyer_fee</t>
        </is>
      </c>
      <c r="G665" s="254" t="inlineStr">
        <is>
          <t>unsecured</t>
        </is>
      </c>
      <c r="H665" s="251" t="n">
        <v>1800</v>
      </c>
      <c r="I665" s="251" t="n">
        <v>1999.99</v>
      </c>
      <c r="J665" s="251" t="n">
        <v>455</v>
      </c>
      <c r="K665" s="254" t="n"/>
    </row>
    <row r="666">
      <c r="B666" s="254" t="inlineStr">
        <is>
          <t>2026-09-26</t>
        </is>
      </c>
      <c r="C666" s="254" t="inlineStr">
        <is>
          <t>licensed-high-volume</t>
        </is>
      </c>
      <c r="D666" s="254" t="inlineStr">
        <is>
          <t>non-clean</t>
        </is>
      </c>
      <c r="E666" s="254" t="inlineStr">
        <is>
          <t>heavy</t>
        </is>
      </c>
      <c r="F666" s="254" t="inlineStr">
        <is>
          <t>buyer_fee</t>
        </is>
      </c>
      <c r="G666" s="254" t="inlineStr">
        <is>
          <t>unsecured</t>
        </is>
      </c>
      <c r="H666" s="251" t="n">
        <v>2000</v>
      </c>
      <c r="I666" s="251" t="n">
        <v>2399.99</v>
      </c>
      <c r="J666" s="251" t="n">
        <v>487.5</v>
      </c>
      <c r="K666" s="254" t="n"/>
    </row>
    <row r="667">
      <c r="B667" s="254" t="inlineStr">
        <is>
          <t>2026-09-26</t>
        </is>
      </c>
      <c r="C667" s="254" t="inlineStr">
        <is>
          <t>licensed-high-volume</t>
        </is>
      </c>
      <c r="D667" s="254" t="inlineStr">
        <is>
          <t>non-clean</t>
        </is>
      </c>
      <c r="E667" s="254" t="inlineStr">
        <is>
          <t>heavy</t>
        </is>
      </c>
      <c r="F667" s="254" t="inlineStr">
        <is>
          <t>buyer_fee</t>
        </is>
      </c>
      <c r="G667" s="254" t="inlineStr">
        <is>
          <t>unsecured</t>
        </is>
      </c>
      <c r="H667" s="251" t="n">
        <v>2400</v>
      </c>
      <c r="I667" s="251" t="n">
        <v>2499.99</v>
      </c>
      <c r="J667" s="251" t="n">
        <v>525</v>
      </c>
      <c r="K667" s="254" t="n"/>
    </row>
    <row r="668">
      <c r="B668" s="254" t="inlineStr">
        <is>
          <t>2026-09-26</t>
        </is>
      </c>
      <c r="C668" s="254" t="inlineStr">
        <is>
          <t>licensed-high-volume</t>
        </is>
      </c>
      <c r="D668" s="254" t="inlineStr">
        <is>
          <t>non-clean</t>
        </is>
      </c>
      <c r="E668" s="254" t="inlineStr">
        <is>
          <t>heavy</t>
        </is>
      </c>
      <c r="F668" s="254" t="inlineStr">
        <is>
          <t>buyer_fee</t>
        </is>
      </c>
      <c r="G668" s="254" t="inlineStr">
        <is>
          <t>unsecured</t>
        </is>
      </c>
      <c r="H668" s="251" t="n">
        <v>2500</v>
      </c>
      <c r="I668" s="251" t="n">
        <v>2999.99</v>
      </c>
      <c r="J668" s="251" t="n">
        <v>580</v>
      </c>
      <c r="K668" s="254" t="n"/>
    </row>
    <row r="669">
      <c r="B669" s="254" t="inlineStr">
        <is>
          <t>2026-09-26</t>
        </is>
      </c>
      <c r="C669" s="254" t="inlineStr">
        <is>
          <t>licensed-high-volume</t>
        </is>
      </c>
      <c r="D669" s="254" t="inlineStr">
        <is>
          <t>non-clean</t>
        </is>
      </c>
      <c r="E669" s="254" t="inlineStr">
        <is>
          <t>heavy</t>
        </is>
      </c>
      <c r="F669" s="254" t="inlineStr">
        <is>
          <t>buyer_fee</t>
        </is>
      </c>
      <c r="G669" s="254" t="inlineStr">
        <is>
          <t>unsecured</t>
        </is>
      </c>
      <c r="H669" s="251" t="n">
        <v>3000</v>
      </c>
      <c r="I669" s="251" t="n">
        <v>3499.99</v>
      </c>
      <c r="J669" s="251" t="n">
        <v>690</v>
      </c>
      <c r="K669" s="254" t="n"/>
    </row>
    <row r="670">
      <c r="B670" s="254" t="inlineStr">
        <is>
          <t>2026-09-26</t>
        </is>
      </c>
      <c r="C670" s="254" t="inlineStr">
        <is>
          <t>licensed-high-volume</t>
        </is>
      </c>
      <c r="D670" s="254" t="inlineStr">
        <is>
          <t>non-clean</t>
        </is>
      </c>
      <c r="E670" s="254" t="inlineStr">
        <is>
          <t>heavy</t>
        </is>
      </c>
      <c r="F670" s="254" t="inlineStr">
        <is>
          <t>buyer_fee</t>
        </is>
      </c>
      <c r="G670" s="254" t="inlineStr">
        <is>
          <t>unsecured</t>
        </is>
      </c>
      <c r="H670" s="251" t="n">
        <v>3500</v>
      </c>
      <c r="I670" s="251" t="n">
        <v>3999.99</v>
      </c>
      <c r="J670" s="251" t="n">
        <v>737.5</v>
      </c>
      <c r="K670" s="254" t="n"/>
    </row>
    <row r="671">
      <c r="B671" s="254" t="inlineStr">
        <is>
          <t>2026-09-26</t>
        </is>
      </c>
      <c r="C671" s="254" t="inlineStr">
        <is>
          <t>licensed-high-volume</t>
        </is>
      </c>
      <c r="D671" s="254" t="inlineStr">
        <is>
          <t>non-clean</t>
        </is>
      </c>
      <c r="E671" s="254" t="inlineStr">
        <is>
          <t>heavy</t>
        </is>
      </c>
      <c r="F671" s="254" t="inlineStr">
        <is>
          <t>buyer_fee</t>
        </is>
      </c>
      <c r="G671" s="254" t="inlineStr">
        <is>
          <t>unsecured</t>
        </is>
      </c>
      <c r="H671" s="251" t="n">
        <v>4000</v>
      </c>
      <c r="I671" s="251" t="n">
        <v>4499.99</v>
      </c>
      <c r="J671" s="251" t="n">
        <v>765</v>
      </c>
      <c r="K671" s="254" t="n"/>
    </row>
    <row r="672">
      <c r="B672" s="254" t="inlineStr">
        <is>
          <t>2026-09-26</t>
        </is>
      </c>
      <c r="C672" s="254" t="inlineStr">
        <is>
          <t>licensed-high-volume</t>
        </is>
      </c>
      <c r="D672" s="254" t="inlineStr">
        <is>
          <t>non-clean</t>
        </is>
      </c>
      <c r="E672" s="254" t="inlineStr">
        <is>
          <t>heavy</t>
        </is>
      </c>
      <c r="F672" s="254" t="inlineStr">
        <is>
          <t>buyer_fee</t>
        </is>
      </c>
      <c r="G672" s="254" t="inlineStr">
        <is>
          <t>unsecured</t>
        </is>
      </c>
      <c r="H672" s="251" t="n">
        <v>4500</v>
      </c>
      <c r="I672" s="251" t="n">
        <v>4999.99</v>
      </c>
      <c r="J672" s="251" t="n">
        <v>790</v>
      </c>
      <c r="K672" s="254" t="n"/>
    </row>
    <row r="673">
      <c r="B673" s="254" t="inlineStr">
        <is>
          <t>2026-09-26</t>
        </is>
      </c>
      <c r="C673" s="254" t="inlineStr">
        <is>
          <t>licensed-high-volume</t>
        </is>
      </c>
      <c r="D673" s="254" t="inlineStr">
        <is>
          <t>non-clean</t>
        </is>
      </c>
      <c r="E673" s="254" t="inlineStr">
        <is>
          <t>heavy</t>
        </is>
      </c>
      <c r="F673" s="254" t="inlineStr">
        <is>
          <t>buyer_fee</t>
        </is>
      </c>
      <c r="G673" s="254" t="inlineStr">
        <is>
          <t>unsecured</t>
        </is>
      </c>
      <c r="H673" s="251" t="n">
        <v>5000</v>
      </c>
      <c r="I673" s="251" t="n">
        <v>5499.99</v>
      </c>
      <c r="J673" s="251" t="n">
        <v>890</v>
      </c>
      <c r="K673" s="254" t="n"/>
    </row>
    <row r="674">
      <c r="B674" s="254" t="inlineStr">
        <is>
          <t>2026-09-26</t>
        </is>
      </c>
      <c r="C674" s="254" t="inlineStr">
        <is>
          <t>licensed-high-volume</t>
        </is>
      </c>
      <c r="D674" s="254" t="inlineStr">
        <is>
          <t>non-clean</t>
        </is>
      </c>
      <c r="E674" s="254" t="inlineStr">
        <is>
          <t>heavy</t>
        </is>
      </c>
      <c r="F674" s="254" t="inlineStr">
        <is>
          <t>buyer_fee</t>
        </is>
      </c>
      <c r="G674" s="254" t="inlineStr">
        <is>
          <t>unsecured</t>
        </is>
      </c>
      <c r="H674" s="251" t="n">
        <v>5500</v>
      </c>
      <c r="I674" s="251" t="n">
        <v>5999.99</v>
      </c>
      <c r="J674" s="251" t="n">
        <v>925</v>
      </c>
      <c r="K674" s="254" t="n"/>
    </row>
    <row r="675">
      <c r="B675" s="254" t="inlineStr">
        <is>
          <t>2026-09-26</t>
        </is>
      </c>
      <c r="C675" s="254" t="inlineStr">
        <is>
          <t>licensed-high-volume</t>
        </is>
      </c>
      <c r="D675" s="254" t="inlineStr">
        <is>
          <t>non-clean</t>
        </is>
      </c>
      <c r="E675" s="254" t="inlineStr">
        <is>
          <t>heavy</t>
        </is>
      </c>
      <c r="F675" s="254" t="inlineStr">
        <is>
          <t>buyer_fee</t>
        </is>
      </c>
      <c r="G675" s="254" t="inlineStr">
        <is>
          <t>unsecured</t>
        </is>
      </c>
      <c r="H675" s="251" t="n">
        <v>6000</v>
      </c>
      <c r="I675" s="251" t="n">
        <v>6499.99</v>
      </c>
      <c r="J675" s="251" t="n">
        <v>950</v>
      </c>
      <c r="K675" s="254" t="n"/>
    </row>
    <row r="676">
      <c r="B676" s="254" t="inlineStr">
        <is>
          <t>2026-09-26</t>
        </is>
      </c>
      <c r="C676" s="254" t="inlineStr">
        <is>
          <t>licensed-high-volume</t>
        </is>
      </c>
      <c r="D676" s="254" t="inlineStr">
        <is>
          <t>non-clean</t>
        </is>
      </c>
      <c r="E676" s="254" t="inlineStr">
        <is>
          <t>heavy</t>
        </is>
      </c>
      <c r="F676" s="254" t="inlineStr">
        <is>
          <t>buyer_fee</t>
        </is>
      </c>
      <c r="G676" s="254" t="inlineStr">
        <is>
          <t>unsecured</t>
        </is>
      </c>
      <c r="H676" s="251" t="n">
        <v>6500</v>
      </c>
      <c r="I676" s="251" t="n">
        <v>6999.99</v>
      </c>
      <c r="J676" s="251" t="n">
        <v>975</v>
      </c>
      <c r="K676" s="254" t="n"/>
    </row>
    <row r="677">
      <c r="B677" s="254" t="inlineStr">
        <is>
          <t>2026-09-26</t>
        </is>
      </c>
      <c r="C677" s="254" t="inlineStr">
        <is>
          <t>licensed-high-volume</t>
        </is>
      </c>
      <c r="D677" s="254" t="inlineStr">
        <is>
          <t>non-clean</t>
        </is>
      </c>
      <c r="E677" s="254" t="inlineStr">
        <is>
          <t>heavy</t>
        </is>
      </c>
      <c r="F677" s="254" t="inlineStr">
        <is>
          <t>buyer_fee</t>
        </is>
      </c>
      <c r="G677" s="254" t="inlineStr">
        <is>
          <t>unsecured</t>
        </is>
      </c>
      <c r="H677" s="251" t="n">
        <v>7000</v>
      </c>
      <c r="I677" s="251" t="n">
        <v>7499.99</v>
      </c>
      <c r="J677" s="251" t="n">
        <v>1015</v>
      </c>
      <c r="K677" s="254" t="n"/>
    </row>
    <row r="678">
      <c r="B678" s="254" t="inlineStr">
        <is>
          <t>2026-09-26</t>
        </is>
      </c>
      <c r="C678" s="254" t="inlineStr">
        <is>
          <t>licensed-high-volume</t>
        </is>
      </c>
      <c r="D678" s="254" t="inlineStr">
        <is>
          <t>non-clean</t>
        </is>
      </c>
      <c r="E678" s="254" t="inlineStr">
        <is>
          <t>heavy</t>
        </is>
      </c>
      <c r="F678" s="254" t="inlineStr">
        <is>
          <t>buyer_fee</t>
        </is>
      </c>
      <c r="G678" s="254" t="inlineStr">
        <is>
          <t>unsecured</t>
        </is>
      </c>
      <c r="H678" s="251" t="n">
        <v>7500</v>
      </c>
      <c r="I678" s="251" t="n">
        <v>7999.99</v>
      </c>
      <c r="J678" s="251" t="n">
        <v>1120</v>
      </c>
      <c r="K678" s="254" t="n"/>
    </row>
    <row r="679">
      <c r="B679" s="254" t="inlineStr">
        <is>
          <t>2026-09-26</t>
        </is>
      </c>
      <c r="C679" s="254" t="inlineStr">
        <is>
          <t>licensed-high-volume</t>
        </is>
      </c>
      <c r="D679" s="254" t="inlineStr">
        <is>
          <t>non-clean</t>
        </is>
      </c>
      <c r="E679" s="254" t="inlineStr">
        <is>
          <t>heavy</t>
        </is>
      </c>
      <c r="F679" s="254" t="inlineStr">
        <is>
          <t>buyer_fee</t>
        </is>
      </c>
      <c r="G679" s="254" t="inlineStr">
        <is>
          <t>unsecured</t>
        </is>
      </c>
      <c r="H679" s="251" t="n">
        <v>8000</v>
      </c>
      <c r="I679" s="254" t="n"/>
      <c r="J679" s="254" t="n"/>
      <c r="K679" s="251" t="n">
        <v>15</v>
      </c>
    </row>
    <row r="680">
      <c r="B680" s="254" t="inlineStr">
        <is>
          <t>2026-09-26</t>
        </is>
      </c>
      <c r="C680" s="254" t="inlineStr">
        <is>
          <t>licensed-high-volume</t>
        </is>
      </c>
      <c r="D680" s="254" t="inlineStr">
        <is>
          <t>non-clean</t>
        </is>
      </c>
      <c r="E680" s="254" t="inlineStr">
        <is>
          <t>heavy</t>
        </is>
      </c>
      <c r="F680" s="254" t="inlineStr">
        <is>
          <t>virtual_bid_pre_bid</t>
        </is>
      </c>
      <c r="G680" s="254" t="inlineStr">
        <is>
          <t>any</t>
        </is>
      </c>
      <c r="H680" s="251" t="n">
        <v>0</v>
      </c>
      <c r="I680" s="251" t="n">
        <v>100</v>
      </c>
      <c r="J680" s="251" t="n">
        <v>0</v>
      </c>
      <c r="K680" s="254" t="n"/>
    </row>
    <row r="681">
      <c r="B681" s="254" t="inlineStr">
        <is>
          <t>2026-09-26</t>
        </is>
      </c>
      <c r="C681" s="254" t="inlineStr">
        <is>
          <t>licensed-high-volume</t>
        </is>
      </c>
      <c r="D681" s="254" t="inlineStr">
        <is>
          <t>non-clean</t>
        </is>
      </c>
      <c r="E681" s="254" t="inlineStr">
        <is>
          <t>heavy</t>
        </is>
      </c>
      <c r="F681" s="254" t="inlineStr">
        <is>
          <t>virtual_bid_pre_bid</t>
        </is>
      </c>
      <c r="G681" s="254" t="inlineStr">
        <is>
          <t>any</t>
        </is>
      </c>
      <c r="H681" s="251" t="n">
        <v>100</v>
      </c>
      <c r="I681" s="251" t="n">
        <v>500</v>
      </c>
      <c r="J681" s="251" t="n">
        <v>40</v>
      </c>
      <c r="K681" s="254" t="n"/>
    </row>
    <row r="682">
      <c r="B682" s="254" t="inlineStr">
        <is>
          <t>2026-09-26</t>
        </is>
      </c>
      <c r="C682" s="254" t="inlineStr">
        <is>
          <t>licensed-high-volume</t>
        </is>
      </c>
      <c r="D682" s="254" t="inlineStr">
        <is>
          <t>non-clean</t>
        </is>
      </c>
      <c r="E682" s="254" t="inlineStr">
        <is>
          <t>heavy</t>
        </is>
      </c>
      <c r="F682" s="254" t="inlineStr">
        <is>
          <t>virtual_bid_pre_bid</t>
        </is>
      </c>
      <c r="G682" s="254" t="inlineStr">
        <is>
          <t>any</t>
        </is>
      </c>
      <c r="H682" s="251" t="n">
        <v>500</v>
      </c>
      <c r="I682" s="251" t="n">
        <v>1000</v>
      </c>
      <c r="J682" s="251" t="n">
        <v>55</v>
      </c>
      <c r="K682" s="254" t="n"/>
    </row>
    <row r="683">
      <c r="B683" s="254" t="inlineStr">
        <is>
          <t>2026-09-26</t>
        </is>
      </c>
      <c r="C683" s="254" t="inlineStr">
        <is>
          <t>licensed-high-volume</t>
        </is>
      </c>
      <c r="D683" s="254" t="inlineStr">
        <is>
          <t>non-clean</t>
        </is>
      </c>
      <c r="E683" s="254" t="inlineStr">
        <is>
          <t>heavy</t>
        </is>
      </c>
      <c r="F683" s="254" t="inlineStr">
        <is>
          <t>virtual_bid_pre_bid</t>
        </is>
      </c>
      <c r="G683" s="254" t="inlineStr">
        <is>
          <t>any</t>
        </is>
      </c>
      <c r="H683" s="251" t="n">
        <v>1000</v>
      </c>
      <c r="I683" s="251" t="n">
        <v>1500</v>
      </c>
      <c r="J683" s="251" t="n">
        <v>75</v>
      </c>
      <c r="K683" s="254" t="n"/>
    </row>
    <row r="684">
      <c r="B684" s="254" t="inlineStr">
        <is>
          <t>2026-09-26</t>
        </is>
      </c>
      <c r="C684" s="254" t="inlineStr">
        <is>
          <t>licensed-high-volume</t>
        </is>
      </c>
      <c r="D684" s="254" t="inlineStr">
        <is>
          <t>non-clean</t>
        </is>
      </c>
      <c r="E684" s="254" t="inlineStr">
        <is>
          <t>heavy</t>
        </is>
      </c>
      <c r="F684" s="254" t="inlineStr">
        <is>
          <t>virtual_bid_pre_bid</t>
        </is>
      </c>
      <c r="G684" s="254" t="inlineStr">
        <is>
          <t>any</t>
        </is>
      </c>
      <c r="H684" s="251" t="n">
        <v>1500</v>
      </c>
      <c r="I684" s="251" t="n">
        <v>2000</v>
      </c>
      <c r="J684" s="251" t="n">
        <v>85</v>
      </c>
      <c r="K684" s="254" t="n"/>
    </row>
    <row r="685">
      <c r="B685" s="254" t="inlineStr">
        <is>
          <t>2026-09-26</t>
        </is>
      </c>
      <c r="C685" s="254" t="inlineStr">
        <is>
          <t>licensed-high-volume</t>
        </is>
      </c>
      <c r="D685" s="254" t="inlineStr">
        <is>
          <t>non-clean</t>
        </is>
      </c>
      <c r="E685" s="254" t="inlineStr">
        <is>
          <t>heavy</t>
        </is>
      </c>
      <c r="F685" s="254" t="inlineStr">
        <is>
          <t>virtual_bid_pre_bid</t>
        </is>
      </c>
      <c r="G685" s="254" t="inlineStr">
        <is>
          <t>any</t>
        </is>
      </c>
      <c r="H685" s="251" t="n">
        <v>2000</v>
      </c>
      <c r="I685" s="251" t="n">
        <v>4000</v>
      </c>
      <c r="J685" s="251" t="n">
        <v>100</v>
      </c>
      <c r="K685" s="254" t="n"/>
    </row>
    <row r="686">
      <c r="B686" s="254" t="inlineStr">
        <is>
          <t>2026-09-26</t>
        </is>
      </c>
      <c r="C686" s="254" t="inlineStr">
        <is>
          <t>licensed-high-volume</t>
        </is>
      </c>
      <c r="D686" s="254" t="inlineStr">
        <is>
          <t>non-clean</t>
        </is>
      </c>
      <c r="E686" s="254" t="inlineStr">
        <is>
          <t>heavy</t>
        </is>
      </c>
      <c r="F686" s="254" t="inlineStr">
        <is>
          <t>virtual_bid_pre_bid</t>
        </is>
      </c>
      <c r="G686" s="254" t="inlineStr">
        <is>
          <t>any</t>
        </is>
      </c>
      <c r="H686" s="251" t="n">
        <v>4000</v>
      </c>
      <c r="I686" s="251" t="n">
        <v>6000</v>
      </c>
      <c r="J686" s="251" t="n">
        <v>110</v>
      </c>
      <c r="K686" s="254" t="n"/>
    </row>
    <row r="687">
      <c r="B687" s="254" t="inlineStr">
        <is>
          <t>2026-09-26</t>
        </is>
      </c>
      <c r="C687" s="254" t="inlineStr">
        <is>
          <t>licensed-high-volume</t>
        </is>
      </c>
      <c r="D687" s="254" t="inlineStr">
        <is>
          <t>non-clean</t>
        </is>
      </c>
      <c r="E687" s="254" t="inlineStr">
        <is>
          <t>heavy</t>
        </is>
      </c>
      <c r="F687" s="254" t="inlineStr">
        <is>
          <t>virtual_bid_pre_bid</t>
        </is>
      </c>
      <c r="G687" s="254" t="inlineStr">
        <is>
          <t>any</t>
        </is>
      </c>
      <c r="H687" s="251" t="n">
        <v>6000</v>
      </c>
      <c r="I687" s="251" t="n">
        <v>8000</v>
      </c>
      <c r="J687" s="251" t="n">
        <v>125</v>
      </c>
      <c r="K687" s="254" t="n"/>
    </row>
    <row r="688">
      <c r="B688" s="254" t="inlineStr">
        <is>
          <t>2026-09-26</t>
        </is>
      </c>
      <c r="C688" s="254" t="inlineStr">
        <is>
          <t>licensed-high-volume</t>
        </is>
      </c>
      <c r="D688" s="254" t="inlineStr">
        <is>
          <t>non-clean</t>
        </is>
      </c>
      <c r="E688" s="254" t="inlineStr">
        <is>
          <t>heavy</t>
        </is>
      </c>
      <c r="F688" s="254" t="inlineStr">
        <is>
          <t>virtual_bid_pre_bid</t>
        </is>
      </c>
      <c r="G688" s="254" t="inlineStr">
        <is>
          <t>any</t>
        </is>
      </c>
      <c r="H688" s="251" t="n">
        <v>8000</v>
      </c>
      <c r="I688" s="254" t="n"/>
      <c r="J688" s="251" t="n">
        <v>140</v>
      </c>
      <c r="K688" s="254" t="n"/>
    </row>
    <row r="689">
      <c r="B689" s="254" t="inlineStr">
        <is>
          <t>2026-09-26</t>
        </is>
      </c>
      <c r="C689" s="254" t="inlineStr">
        <is>
          <t>licensed-high-volume</t>
        </is>
      </c>
      <c r="D689" s="254" t="inlineStr">
        <is>
          <t>non-clean</t>
        </is>
      </c>
      <c r="E689" s="254" t="inlineStr">
        <is>
          <t>heavy</t>
        </is>
      </c>
      <c r="F689" s="254" t="inlineStr">
        <is>
          <t>virtual_bid_live_bid</t>
        </is>
      </c>
      <c r="G689" s="254" t="inlineStr">
        <is>
          <t>any</t>
        </is>
      </c>
      <c r="H689" s="251" t="n">
        <v>0</v>
      </c>
      <c r="I689" s="251" t="n">
        <v>100</v>
      </c>
      <c r="J689" s="251" t="n">
        <v>0</v>
      </c>
      <c r="K689" s="254" t="n"/>
    </row>
    <row r="690">
      <c r="B690" s="254" t="inlineStr">
        <is>
          <t>2026-09-26</t>
        </is>
      </c>
      <c r="C690" s="254" t="inlineStr">
        <is>
          <t>licensed-high-volume</t>
        </is>
      </c>
      <c r="D690" s="254" t="inlineStr">
        <is>
          <t>non-clean</t>
        </is>
      </c>
      <c r="E690" s="254" t="inlineStr">
        <is>
          <t>heavy</t>
        </is>
      </c>
      <c r="F690" s="254" t="inlineStr">
        <is>
          <t>virtual_bid_live_bid</t>
        </is>
      </c>
      <c r="G690" s="254" t="inlineStr">
        <is>
          <t>any</t>
        </is>
      </c>
      <c r="H690" s="251" t="n">
        <v>100</v>
      </c>
      <c r="I690" s="251" t="n">
        <v>500</v>
      </c>
      <c r="J690" s="251" t="n">
        <v>50</v>
      </c>
      <c r="K690" s="254" t="n"/>
    </row>
    <row r="691">
      <c r="B691" s="254" t="inlineStr">
        <is>
          <t>2026-09-26</t>
        </is>
      </c>
      <c r="C691" s="254" t="inlineStr">
        <is>
          <t>licensed-high-volume</t>
        </is>
      </c>
      <c r="D691" s="254" t="inlineStr">
        <is>
          <t>non-clean</t>
        </is>
      </c>
      <c r="E691" s="254" t="inlineStr">
        <is>
          <t>heavy</t>
        </is>
      </c>
      <c r="F691" s="254" t="inlineStr">
        <is>
          <t>virtual_bid_live_bid</t>
        </is>
      </c>
      <c r="G691" s="254" t="inlineStr">
        <is>
          <t>any</t>
        </is>
      </c>
      <c r="H691" s="251" t="n">
        <v>500</v>
      </c>
      <c r="I691" s="251" t="n">
        <v>1000</v>
      </c>
      <c r="J691" s="251" t="n">
        <v>65</v>
      </c>
      <c r="K691" s="254" t="n"/>
    </row>
    <row r="692">
      <c r="B692" s="254" t="inlineStr">
        <is>
          <t>2026-09-26</t>
        </is>
      </c>
      <c r="C692" s="254" t="inlineStr">
        <is>
          <t>licensed-high-volume</t>
        </is>
      </c>
      <c r="D692" s="254" t="inlineStr">
        <is>
          <t>non-clean</t>
        </is>
      </c>
      <c r="E692" s="254" t="inlineStr">
        <is>
          <t>heavy</t>
        </is>
      </c>
      <c r="F692" s="254" t="inlineStr">
        <is>
          <t>virtual_bid_live_bid</t>
        </is>
      </c>
      <c r="G692" s="254" t="inlineStr">
        <is>
          <t>any</t>
        </is>
      </c>
      <c r="H692" s="251" t="n">
        <v>1000</v>
      </c>
      <c r="I692" s="251" t="n">
        <v>1500</v>
      </c>
      <c r="J692" s="251" t="n">
        <v>85</v>
      </c>
      <c r="K692" s="254" t="n"/>
    </row>
    <row r="693">
      <c r="B693" s="254" t="inlineStr">
        <is>
          <t>2026-09-26</t>
        </is>
      </c>
      <c r="C693" s="254" t="inlineStr">
        <is>
          <t>licensed-high-volume</t>
        </is>
      </c>
      <c r="D693" s="254" t="inlineStr">
        <is>
          <t>non-clean</t>
        </is>
      </c>
      <c r="E693" s="254" t="inlineStr">
        <is>
          <t>heavy</t>
        </is>
      </c>
      <c r="F693" s="254" t="inlineStr">
        <is>
          <t>virtual_bid_live_bid</t>
        </is>
      </c>
      <c r="G693" s="254" t="inlineStr">
        <is>
          <t>any</t>
        </is>
      </c>
      <c r="H693" s="251" t="n">
        <v>1500</v>
      </c>
      <c r="I693" s="251" t="n">
        <v>2000</v>
      </c>
      <c r="J693" s="251" t="n">
        <v>95</v>
      </c>
      <c r="K693" s="254" t="n"/>
    </row>
    <row r="694">
      <c r="B694" s="254" t="inlineStr">
        <is>
          <t>2026-09-26</t>
        </is>
      </c>
      <c r="C694" s="254" t="inlineStr">
        <is>
          <t>licensed-high-volume</t>
        </is>
      </c>
      <c r="D694" s="254" t="inlineStr">
        <is>
          <t>non-clean</t>
        </is>
      </c>
      <c r="E694" s="254" t="inlineStr">
        <is>
          <t>heavy</t>
        </is>
      </c>
      <c r="F694" s="254" t="inlineStr">
        <is>
          <t>virtual_bid_live_bid</t>
        </is>
      </c>
      <c r="G694" s="254" t="inlineStr">
        <is>
          <t>any</t>
        </is>
      </c>
      <c r="H694" s="251" t="n">
        <v>2000</v>
      </c>
      <c r="I694" s="251" t="n">
        <v>4000</v>
      </c>
      <c r="J694" s="251" t="n">
        <v>110</v>
      </c>
      <c r="K694" s="254" t="n"/>
    </row>
    <row r="695">
      <c r="B695" s="254" t="inlineStr">
        <is>
          <t>2026-09-26</t>
        </is>
      </c>
      <c r="C695" s="254" t="inlineStr">
        <is>
          <t>licensed-high-volume</t>
        </is>
      </c>
      <c r="D695" s="254" t="inlineStr">
        <is>
          <t>non-clean</t>
        </is>
      </c>
      <c r="E695" s="254" t="inlineStr">
        <is>
          <t>heavy</t>
        </is>
      </c>
      <c r="F695" s="254" t="inlineStr">
        <is>
          <t>virtual_bid_live_bid</t>
        </is>
      </c>
      <c r="G695" s="254" t="inlineStr">
        <is>
          <t>any</t>
        </is>
      </c>
      <c r="H695" s="251" t="n">
        <v>4000</v>
      </c>
      <c r="I695" s="251" t="n">
        <v>6000</v>
      </c>
      <c r="J695" s="251" t="n">
        <v>125</v>
      </c>
      <c r="K695" s="254" t="n"/>
    </row>
    <row r="696">
      <c r="B696" s="254" t="inlineStr">
        <is>
          <t>2026-09-26</t>
        </is>
      </c>
      <c r="C696" s="254" t="inlineStr">
        <is>
          <t>licensed-high-volume</t>
        </is>
      </c>
      <c r="D696" s="254" t="inlineStr">
        <is>
          <t>non-clean</t>
        </is>
      </c>
      <c r="E696" s="254" t="inlineStr">
        <is>
          <t>heavy</t>
        </is>
      </c>
      <c r="F696" s="254" t="inlineStr">
        <is>
          <t>virtual_bid_live_bid</t>
        </is>
      </c>
      <c r="G696" s="254" t="inlineStr">
        <is>
          <t>any</t>
        </is>
      </c>
      <c r="H696" s="251" t="n">
        <v>6000</v>
      </c>
      <c r="I696" s="251" t="n">
        <v>8000</v>
      </c>
      <c r="J696" s="251" t="n">
        <v>145</v>
      </c>
      <c r="K696" s="254" t="n"/>
    </row>
    <row r="697">
      <c r="B697" s="254" t="inlineStr">
        <is>
          <t>2026-09-26</t>
        </is>
      </c>
      <c r="C697" s="254" t="inlineStr">
        <is>
          <t>licensed-high-volume</t>
        </is>
      </c>
      <c r="D697" s="254" t="inlineStr">
        <is>
          <t>non-clean</t>
        </is>
      </c>
      <c r="E697" s="254" t="inlineStr">
        <is>
          <t>heavy</t>
        </is>
      </c>
      <c r="F697" s="254" t="inlineStr">
        <is>
          <t>virtual_bid_live_bid</t>
        </is>
      </c>
      <c r="G697" s="254" t="inlineStr">
        <is>
          <t>any</t>
        </is>
      </c>
      <c r="H697" s="251" t="n">
        <v>8000</v>
      </c>
      <c r="I697" s="254" t="n"/>
      <c r="J697" s="251" t="n">
        <v>160</v>
      </c>
      <c r="K697" s="254" t="n"/>
    </row>
    <row r="698">
      <c r="B698" s="254" t="inlineStr">
        <is>
          <t>2026-09-26</t>
        </is>
      </c>
      <c r="C698" s="254" t="inlineStr">
        <is>
          <t>licensed-high-volume</t>
        </is>
      </c>
      <c r="D698" s="254" t="inlineStr">
        <is>
          <t>non-clean</t>
        </is>
      </c>
      <c r="E698" s="254" t="inlineStr">
        <is>
          <t>heavy</t>
        </is>
      </c>
      <c r="F698" s="254" t="inlineStr">
        <is>
          <t>gate_fee</t>
        </is>
      </c>
      <c r="G698" s="254" t="inlineStr">
        <is>
          <t>any</t>
        </is>
      </c>
      <c r="H698" s="251" t="n">
        <v>0</v>
      </c>
      <c r="I698" s="254" t="n"/>
      <c r="J698" s="251" t="n">
        <v>95</v>
      </c>
      <c r="K698" s="254" t="n"/>
    </row>
    <row r="699">
      <c r="B699" s="254" t="inlineStr">
        <is>
          <t>2026-09-26</t>
        </is>
      </c>
      <c r="C699" s="254" t="inlineStr">
        <is>
          <t>licensed-high-volume</t>
        </is>
      </c>
      <c r="D699" s="254" t="inlineStr">
        <is>
          <t>clean</t>
        </is>
      </c>
      <c r="E699" s="254" t="inlineStr">
        <is>
          <t>heavy</t>
        </is>
      </c>
      <c r="F699" s="254" t="inlineStr">
        <is>
          <t>buyer_fee</t>
        </is>
      </c>
      <c r="G699" s="254" t="inlineStr">
        <is>
          <t>secured</t>
        </is>
      </c>
      <c r="H699" s="251" t="n">
        <v>0</v>
      </c>
      <c r="I699" s="251" t="n">
        <v>49.99</v>
      </c>
      <c r="J699" s="251" t="n">
        <v>1</v>
      </c>
      <c r="K699" s="254" t="n"/>
    </row>
    <row r="700">
      <c r="B700" s="254" t="inlineStr">
        <is>
          <t>2026-09-26</t>
        </is>
      </c>
      <c r="C700" s="254" t="inlineStr">
        <is>
          <t>licensed-high-volume</t>
        </is>
      </c>
      <c r="D700" s="254" t="inlineStr">
        <is>
          <t>clean</t>
        </is>
      </c>
      <c r="E700" s="254" t="inlineStr">
        <is>
          <t>heavy</t>
        </is>
      </c>
      <c r="F700" s="254" t="inlineStr">
        <is>
          <t>buyer_fee</t>
        </is>
      </c>
      <c r="G700" s="254" t="inlineStr">
        <is>
          <t>secured</t>
        </is>
      </c>
      <c r="H700" s="251" t="n">
        <v>50</v>
      </c>
      <c r="I700" s="251" t="n">
        <v>99.98999999999999</v>
      </c>
      <c r="J700" s="251" t="n">
        <v>1</v>
      </c>
      <c r="K700" s="254" t="n"/>
    </row>
    <row r="701">
      <c r="B701" s="254" t="inlineStr">
        <is>
          <t>2026-09-26</t>
        </is>
      </c>
      <c r="C701" s="254" t="inlineStr">
        <is>
          <t>licensed-high-volume</t>
        </is>
      </c>
      <c r="D701" s="254" t="inlineStr">
        <is>
          <t>clean</t>
        </is>
      </c>
      <c r="E701" s="254" t="inlineStr">
        <is>
          <t>heavy</t>
        </is>
      </c>
      <c r="F701" s="254" t="inlineStr">
        <is>
          <t>buyer_fee</t>
        </is>
      </c>
      <c r="G701" s="254" t="inlineStr">
        <is>
          <t>secured</t>
        </is>
      </c>
      <c r="H701" s="251" t="n">
        <v>100</v>
      </c>
      <c r="I701" s="251" t="n">
        <v>199.99</v>
      </c>
      <c r="J701" s="251" t="n">
        <v>25</v>
      </c>
      <c r="K701" s="254" t="n"/>
    </row>
    <row r="702">
      <c r="B702" s="254" t="inlineStr">
        <is>
          <t>2026-09-26</t>
        </is>
      </c>
      <c r="C702" s="254" t="inlineStr">
        <is>
          <t>licensed-high-volume</t>
        </is>
      </c>
      <c r="D702" s="254" t="inlineStr">
        <is>
          <t>clean</t>
        </is>
      </c>
      <c r="E702" s="254" t="inlineStr">
        <is>
          <t>heavy</t>
        </is>
      </c>
      <c r="F702" s="254" t="inlineStr">
        <is>
          <t>buyer_fee</t>
        </is>
      </c>
      <c r="G702" s="254" t="inlineStr">
        <is>
          <t>secured</t>
        </is>
      </c>
      <c r="H702" s="251" t="n">
        <v>200</v>
      </c>
      <c r="I702" s="251" t="n">
        <v>299.99</v>
      </c>
      <c r="J702" s="251" t="n">
        <v>50</v>
      </c>
      <c r="K702" s="254" t="n"/>
    </row>
    <row r="703">
      <c r="B703" s="254" t="inlineStr">
        <is>
          <t>2026-09-26</t>
        </is>
      </c>
      <c r="C703" s="254" t="inlineStr">
        <is>
          <t>licensed-high-volume</t>
        </is>
      </c>
      <c r="D703" s="254" t="inlineStr">
        <is>
          <t>clean</t>
        </is>
      </c>
      <c r="E703" s="254" t="inlineStr">
        <is>
          <t>heavy</t>
        </is>
      </c>
      <c r="F703" s="254" t="inlineStr">
        <is>
          <t>buyer_fee</t>
        </is>
      </c>
      <c r="G703" s="254" t="inlineStr">
        <is>
          <t>secured</t>
        </is>
      </c>
      <c r="H703" s="251" t="n">
        <v>300</v>
      </c>
      <c r="I703" s="251" t="n">
        <v>349.99</v>
      </c>
      <c r="J703" s="251" t="n">
        <v>75</v>
      </c>
      <c r="K703" s="254" t="n"/>
    </row>
    <row r="704">
      <c r="B704" s="254" t="inlineStr">
        <is>
          <t>2026-09-26</t>
        </is>
      </c>
      <c r="C704" s="254" t="inlineStr">
        <is>
          <t>licensed-high-volume</t>
        </is>
      </c>
      <c r="D704" s="254" t="inlineStr">
        <is>
          <t>clean</t>
        </is>
      </c>
      <c r="E704" s="254" t="inlineStr">
        <is>
          <t>heavy</t>
        </is>
      </c>
      <c r="F704" s="254" t="inlineStr">
        <is>
          <t>buyer_fee</t>
        </is>
      </c>
      <c r="G704" s="254" t="inlineStr">
        <is>
          <t>secured</t>
        </is>
      </c>
      <c r="H704" s="251" t="n">
        <v>350</v>
      </c>
      <c r="I704" s="251" t="n">
        <v>399.99</v>
      </c>
      <c r="J704" s="251" t="n">
        <v>75</v>
      </c>
      <c r="K704" s="254" t="n"/>
    </row>
    <row r="705">
      <c r="B705" s="254" t="inlineStr">
        <is>
          <t>2026-09-26</t>
        </is>
      </c>
      <c r="C705" s="254" t="inlineStr">
        <is>
          <t>licensed-high-volume</t>
        </is>
      </c>
      <c r="D705" s="254" t="inlineStr">
        <is>
          <t>clean</t>
        </is>
      </c>
      <c r="E705" s="254" t="inlineStr">
        <is>
          <t>heavy</t>
        </is>
      </c>
      <c r="F705" s="254" t="inlineStr">
        <is>
          <t>buyer_fee</t>
        </is>
      </c>
      <c r="G705" s="254" t="inlineStr">
        <is>
          <t>secured</t>
        </is>
      </c>
      <c r="H705" s="251" t="n">
        <v>400</v>
      </c>
      <c r="I705" s="251" t="n">
        <v>449.99</v>
      </c>
      <c r="J705" s="251" t="n">
        <v>110</v>
      </c>
      <c r="K705" s="254" t="n"/>
    </row>
    <row r="706">
      <c r="B706" s="254" t="inlineStr">
        <is>
          <t>2026-09-26</t>
        </is>
      </c>
      <c r="C706" s="254" t="inlineStr">
        <is>
          <t>licensed-high-volume</t>
        </is>
      </c>
      <c r="D706" s="254" t="inlineStr">
        <is>
          <t>clean</t>
        </is>
      </c>
      <c r="E706" s="254" t="inlineStr">
        <is>
          <t>heavy</t>
        </is>
      </c>
      <c r="F706" s="254" t="inlineStr">
        <is>
          <t>buyer_fee</t>
        </is>
      </c>
      <c r="G706" s="254" t="inlineStr">
        <is>
          <t>secured</t>
        </is>
      </c>
      <c r="H706" s="251" t="n">
        <v>450</v>
      </c>
      <c r="I706" s="251" t="n">
        <v>499.99</v>
      </c>
      <c r="J706" s="251" t="n">
        <v>110</v>
      </c>
      <c r="K706" s="254" t="n"/>
    </row>
    <row r="707">
      <c r="B707" s="254" t="inlineStr">
        <is>
          <t>2026-09-26</t>
        </is>
      </c>
      <c r="C707" s="254" t="inlineStr">
        <is>
          <t>licensed-high-volume</t>
        </is>
      </c>
      <c r="D707" s="254" t="inlineStr">
        <is>
          <t>clean</t>
        </is>
      </c>
      <c r="E707" s="254" t="inlineStr">
        <is>
          <t>heavy</t>
        </is>
      </c>
      <c r="F707" s="254" t="inlineStr">
        <is>
          <t>buyer_fee</t>
        </is>
      </c>
      <c r="G707" s="254" t="inlineStr">
        <is>
          <t>secured</t>
        </is>
      </c>
      <c r="H707" s="251" t="n">
        <v>500</v>
      </c>
      <c r="I707" s="251" t="n">
        <v>549.99</v>
      </c>
      <c r="J707" s="251" t="n">
        <v>125</v>
      </c>
      <c r="K707" s="254" t="n"/>
    </row>
    <row r="708">
      <c r="B708" s="254" t="inlineStr">
        <is>
          <t>2026-09-26</t>
        </is>
      </c>
      <c r="C708" s="254" t="inlineStr">
        <is>
          <t>licensed-high-volume</t>
        </is>
      </c>
      <c r="D708" s="254" t="inlineStr">
        <is>
          <t>clean</t>
        </is>
      </c>
      <c r="E708" s="254" t="inlineStr">
        <is>
          <t>heavy</t>
        </is>
      </c>
      <c r="F708" s="254" t="inlineStr">
        <is>
          <t>buyer_fee</t>
        </is>
      </c>
      <c r="G708" s="254" t="inlineStr">
        <is>
          <t>secured</t>
        </is>
      </c>
      <c r="H708" s="251" t="n">
        <v>550</v>
      </c>
      <c r="I708" s="251" t="n">
        <v>599.99</v>
      </c>
      <c r="J708" s="251" t="n">
        <v>130</v>
      </c>
      <c r="K708" s="254" t="n"/>
    </row>
    <row r="709">
      <c r="B709" s="254" t="inlineStr">
        <is>
          <t>2026-09-26</t>
        </is>
      </c>
      <c r="C709" s="254" t="inlineStr">
        <is>
          <t>licensed-high-volume</t>
        </is>
      </c>
      <c r="D709" s="254" t="inlineStr">
        <is>
          <t>clean</t>
        </is>
      </c>
      <c r="E709" s="254" t="inlineStr">
        <is>
          <t>heavy</t>
        </is>
      </c>
      <c r="F709" s="254" t="inlineStr">
        <is>
          <t>buyer_fee</t>
        </is>
      </c>
      <c r="G709" s="254" t="inlineStr">
        <is>
          <t>secured</t>
        </is>
      </c>
      <c r="H709" s="251" t="n">
        <v>600</v>
      </c>
      <c r="I709" s="251" t="n">
        <v>699.99</v>
      </c>
      <c r="J709" s="251" t="n">
        <v>140</v>
      </c>
      <c r="K709" s="254" t="n"/>
    </row>
    <row r="710">
      <c r="B710" s="254" t="inlineStr">
        <is>
          <t>2026-09-26</t>
        </is>
      </c>
      <c r="C710" s="254" t="inlineStr">
        <is>
          <t>licensed-high-volume</t>
        </is>
      </c>
      <c r="D710" s="254" t="inlineStr">
        <is>
          <t>clean</t>
        </is>
      </c>
      <c r="E710" s="254" t="inlineStr">
        <is>
          <t>heavy</t>
        </is>
      </c>
      <c r="F710" s="254" t="inlineStr">
        <is>
          <t>buyer_fee</t>
        </is>
      </c>
      <c r="G710" s="254" t="inlineStr">
        <is>
          <t>secured</t>
        </is>
      </c>
      <c r="H710" s="251" t="n">
        <v>700</v>
      </c>
      <c r="I710" s="251" t="n">
        <v>799.99</v>
      </c>
      <c r="J710" s="251" t="n">
        <v>155</v>
      </c>
      <c r="K710" s="254" t="n"/>
    </row>
    <row r="711">
      <c r="B711" s="254" t="inlineStr">
        <is>
          <t>2026-09-26</t>
        </is>
      </c>
      <c r="C711" s="254" t="inlineStr">
        <is>
          <t>licensed-high-volume</t>
        </is>
      </c>
      <c r="D711" s="254" t="inlineStr">
        <is>
          <t>clean</t>
        </is>
      </c>
      <c r="E711" s="254" t="inlineStr">
        <is>
          <t>heavy</t>
        </is>
      </c>
      <c r="F711" s="254" t="inlineStr">
        <is>
          <t>buyer_fee</t>
        </is>
      </c>
      <c r="G711" s="254" t="inlineStr">
        <is>
          <t>secured</t>
        </is>
      </c>
      <c r="H711" s="251" t="n">
        <v>800</v>
      </c>
      <c r="I711" s="251" t="n">
        <v>899.99</v>
      </c>
      <c r="J711" s="251" t="n">
        <v>170</v>
      </c>
      <c r="K711" s="254" t="n"/>
    </row>
    <row r="712">
      <c r="B712" s="254" t="inlineStr">
        <is>
          <t>2026-09-26</t>
        </is>
      </c>
      <c r="C712" s="254" t="inlineStr">
        <is>
          <t>licensed-high-volume</t>
        </is>
      </c>
      <c r="D712" s="254" t="inlineStr">
        <is>
          <t>clean</t>
        </is>
      </c>
      <c r="E712" s="254" t="inlineStr">
        <is>
          <t>heavy</t>
        </is>
      </c>
      <c r="F712" s="254" t="inlineStr">
        <is>
          <t>buyer_fee</t>
        </is>
      </c>
      <c r="G712" s="254" t="inlineStr">
        <is>
          <t>secured</t>
        </is>
      </c>
      <c r="H712" s="251" t="n">
        <v>900</v>
      </c>
      <c r="I712" s="251" t="n">
        <v>999.99</v>
      </c>
      <c r="J712" s="251" t="n">
        <v>185</v>
      </c>
      <c r="K712" s="254" t="n"/>
    </row>
    <row r="713">
      <c r="B713" s="254" t="inlineStr">
        <is>
          <t>2026-09-26</t>
        </is>
      </c>
      <c r="C713" s="254" t="inlineStr">
        <is>
          <t>licensed-high-volume</t>
        </is>
      </c>
      <c r="D713" s="254" t="inlineStr">
        <is>
          <t>clean</t>
        </is>
      </c>
      <c r="E713" s="254" t="inlineStr">
        <is>
          <t>heavy</t>
        </is>
      </c>
      <c r="F713" s="254" t="inlineStr">
        <is>
          <t>buyer_fee</t>
        </is>
      </c>
      <c r="G713" s="254" t="inlineStr">
        <is>
          <t>secured</t>
        </is>
      </c>
      <c r="H713" s="251" t="n">
        <v>1000</v>
      </c>
      <c r="I713" s="251" t="n">
        <v>1199.99</v>
      </c>
      <c r="J713" s="251" t="n">
        <v>200</v>
      </c>
      <c r="K713" s="254" t="n"/>
    </row>
    <row r="714">
      <c r="B714" s="254" t="inlineStr">
        <is>
          <t>2026-09-26</t>
        </is>
      </c>
      <c r="C714" s="254" t="inlineStr">
        <is>
          <t>licensed-high-volume</t>
        </is>
      </c>
      <c r="D714" s="254" t="inlineStr">
        <is>
          <t>clean</t>
        </is>
      </c>
      <c r="E714" s="254" t="inlineStr">
        <is>
          <t>heavy</t>
        </is>
      </c>
      <c r="F714" s="254" t="inlineStr">
        <is>
          <t>buyer_fee</t>
        </is>
      </c>
      <c r="G714" s="254" t="inlineStr">
        <is>
          <t>secured</t>
        </is>
      </c>
      <c r="H714" s="251" t="n">
        <v>1200</v>
      </c>
      <c r="I714" s="251" t="n">
        <v>1299.99</v>
      </c>
      <c r="J714" s="251" t="n">
        <v>225</v>
      </c>
      <c r="K714" s="254" t="n"/>
    </row>
    <row r="715">
      <c r="B715" s="254" t="inlineStr">
        <is>
          <t>2026-09-26</t>
        </is>
      </c>
      <c r="C715" s="254" t="inlineStr">
        <is>
          <t>licensed-high-volume</t>
        </is>
      </c>
      <c r="D715" s="254" t="inlineStr">
        <is>
          <t>clean</t>
        </is>
      </c>
      <c r="E715" s="254" t="inlineStr">
        <is>
          <t>heavy</t>
        </is>
      </c>
      <c r="F715" s="254" t="inlineStr">
        <is>
          <t>buyer_fee</t>
        </is>
      </c>
      <c r="G715" s="254" t="inlineStr">
        <is>
          <t>secured</t>
        </is>
      </c>
      <c r="H715" s="251" t="n">
        <v>1300</v>
      </c>
      <c r="I715" s="251" t="n">
        <v>1399.99</v>
      </c>
      <c r="J715" s="251" t="n">
        <v>240</v>
      </c>
      <c r="K715" s="254" t="n"/>
    </row>
    <row r="716">
      <c r="B716" s="254" t="inlineStr">
        <is>
          <t>2026-09-26</t>
        </is>
      </c>
      <c r="C716" s="254" t="inlineStr">
        <is>
          <t>licensed-high-volume</t>
        </is>
      </c>
      <c r="D716" s="254" t="inlineStr">
        <is>
          <t>clean</t>
        </is>
      </c>
      <c r="E716" s="254" t="inlineStr">
        <is>
          <t>heavy</t>
        </is>
      </c>
      <c r="F716" s="254" t="inlineStr">
        <is>
          <t>buyer_fee</t>
        </is>
      </c>
      <c r="G716" s="254" t="inlineStr">
        <is>
          <t>secured</t>
        </is>
      </c>
      <c r="H716" s="251" t="n">
        <v>1400</v>
      </c>
      <c r="I716" s="251" t="n">
        <v>1499.99</v>
      </c>
      <c r="J716" s="251" t="n">
        <v>250</v>
      </c>
      <c r="K716" s="254" t="n"/>
    </row>
    <row r="717">
      <c r="B717" s="254" t="inlineStr">
        <is>
          <t>2026-09-26</t>
        </is>
      </c>
      <c r="C717" s="254" t="inlineStr">
        <is>
          <t>licensed-high-volume</t>
        </is>
      </c>
      <c r="D717" s="254" t="inlineStr">
        <is>
          <t>clean</t>
        </is>
      </c>
      <c r="E717" s="254" t="inlineStr">
        <is>
          <t>heavy</t>
        </is>
      </c>
      <c r="F717" s="254" t="inlineStr">
        <is>
          <t>buyer_fee</t>
        </is>
      </c>
      <c r="G717" s="254" t="inlineStr">
        <is>
          <t>secured</t>
        </is>
      </c>
      <c r="H717" s="251" t="n">
        <v>1500</v>
      </c>
      <c r="I717" s="251" t="n">
        <v>1599.99</v>
      </c>
      <c r="J717" s="251" t="n">
        <v>260</v>
      </c>
      <c r="K717" s="254" t="n"/>
    </row>
    <row r="718">
      <c r="B718" s="254" t="inlineStr">
        <is>
          <t>2026-09-26</t>
        </is>
      </c>
      <c r="C718" s="254" t="inlineStr">
        <is>
          <t>licensed-high-volume</t>
        </is>
      </c>
      <c r="D718" s="254" t="inlineStr">
        <is>
          <t>clean</t>
        </is>
      </c>
      <c r="E718" s="254" t="inlineStr">
        <is>
          <t>heavy</t>
        </is>
      </c>
      <c r="F718" s="254" t="inlineStr">
        <is>
          <t>buyer_fee</t>
        </is>
      </c>
      <c r="G718" s="254" t="inlineStr">
        <is>
          <t>secured</t>
        </is>
      </c>
      <c r="H718" s="251" t="n">
        <v>1600</v>
      </c>
      <c r="I718" s="251" t="n">
        <v>1699.99</v>
      </c>
      <c r="J718" s="251" t="n">
        <v>275</v>
      </c>
      <c r="K718" s="254" t="n"/>
    </row>
    <row r="719">
      <c r="B719" s="254" t="inlineStr">
        <is>
          <t>2026-09-26</t>
        </is>
      </c>
      <c r="C719" s="254" t="inlineStr">
        <is>
          <t>licensed-high-volume</t>
        </is>
      </c>
      <c r="D719" s="254" t="inlineStr">
        <is>
          <t>clean</t>
        </is>
      </c>
      <c r="E719" s="254" t="inlineStr">
        <is>
          <t>heavy</t>
        </is>
      </c>
      <c r="F719" s="254" t="inlineStr">
        <is>
          <t>buyer_fee</t>
        </is>
      </c>
      <c r="G719" s="254" t="inlineStr">
        <is>
          <t>secured</t>
        </is>
      </c>
      <c r="H719" s="251" t="n">
        <v>1700</v>
      </c>
      <c r="I719" s="251" t="n">
        <v>1799.99</v>
      </c>
      <c r="J719" s="251" t="n">
        <v>285</v>
      </c>
      <c r="K719" s="254" t="n"/>
    </row>
    <row r="720">
      <c r="B720" s="254" t="inlineStr">
        <is>
          <t>2026-09-26</t>
        </is>
      </c>
      <c r="C720" s="254" t="inlineStr">
        <is>
          <t>licensed-high-volume</t>
        </is>
      </c>
      <c r="D720" s="254" t="inlineStr">
        <is>
          <t>clean</t>
        </is>
      </c>
      <c r="E720" s="254" t="inlineStr">
        <is>
          <t>heavy</t>
        </is>
      </c>
      <c r="F720" s="254" t="inlineStr">
        <is>
          <t>buyer_fee</t>
        </is>
      </c>
      <c r="G720" s="254" t="inlineStr">
        <is>
          <t>secured</t>
        </is>
      </c>
      <c r="H720" s="251" t="n">
        <v>1800</v>
      </c>
      <c r="I720" s="251" t="n">
        <v>1999.99</v>
      </c>
      <c r="J720" s="251" t="n">
        <v>300</v>
      </c>
      <c r="K720" s="254" t="n"/>
    </row>
    <row r="721">
      <c r="B721" s="254" t="inlineStr">
        <is>
          <t>2026-09-26</t>
        </is>
      </c>
      <c r="C721" s="254" t="inlineStr">
        <is>
          <t>licensed-high-volume</t>
        </is>
      </c>
      <c r="D721" s="254" t="inlineStr">
        <is>
          <t>clean</t>
        </is>
      </c>
      <c r="E721" s="254" t="inlineStr">
        <is>
          <t>heavy</t>
        </is>
      </c>
      <c r="F721" s="254" t="inlineStr">
        <is>
          <t>buyer_fee</t>
        </is>
      </c>
      <c r="G721" s="254" t="inlineStr">
        <is>
          <t>secured</t>
        </is>
      </c>
      <c r="H721" s="251" t="n">
        <v>2000</v>
      </c>
      <c r="I721" s="251" t="n">
        <v>2399.99</v>
      </c>
      <c r="J721" s="251" t="n">
        <v>325</v>
      </c>
      <c r="K721" s="254" t="n"/>
    </row>
    <row r="722">
      <c r="B722" s="254" t="inlineStr">
        <is>
          <t>2026-09-26</t>
        </is>
      </c>
      <c r="C722" s="254" t="inlineStr">
        <is>
          <t>licensed-high-volume</t>
        </is>
      </c>
      <c r="D722" s="254" t="inlineStr">
        <is>
          <t>clean</t>
        </is>
      </c>
      <c r="E722" s="254" t="inlineStr">
        <is>
          <t>heavy</t>
        </is>
      </c>
      <c r="F722" s="254" t="inlineStr">
        <is>
          <t>buyer_fee</t>
        </is>
      </c>
      <c r="G722" s="254" t="inlineStr">
        <is>
          <t>secured</t>
        </is>
      </c>
      <c r="H722" s="251" t="n">
        <v>2400</v>
      </c>
      <c r="I722" s="251" t="n">
        <v>2499.99</v>
      </c>
      <c r="J722" s="251" t="n">
        <v>335</v>
      </c>
      <c r="K722" s="254" t="n"/>
    </row>
    <row r="723">
      <c r="B723" s="254" t="inlineStr">
        <is>
          <t>2026-09-26</t>
        </is>
      </c>
      <c r="C723" s="254" t="inlineStr">
        <is>
          <t>licensed-high-volume</t>
        </is>
      </c>
      <c r="D723" s="254" t="inlineStr">
        <is>
          <t>clean</t>
        </is>
      </c>
      <c r="E723" s="254" t="inlineStr">
        <is>
          <t>heavy</t>
        </is>
      </c>
      <c r="F723" s="254" t="inlineStr">
        <is>
          <t>buyer_fee</t>
        </is>
      </c>
      <c r="G723" s="254" t="inlineStr">
        <is>
          <t>secured</t>
        </is>
      </c>
      <c r="H723" s="251" t="n">
        <v>2500</v>
      </c>
      <c r="I723" s="251" t="n">
        <v>2999.99</v>
      </c>
      <c r="J723" s="251" t="n">
        <v>350</v>
      </c>
      <c r="K723" s="254" t="n"/>
    </row>
    <row r="724">
      <c r="B724" s="254" t="inlineStr">
        <is>
          <t>2026-09-26</t>
        </is>
      </c>
      <c r="C724" s="254" t="inlineStr">
        <is>
          <t>licensed-high-volume</t>
        </is>
      </c>
      <c r="D724" s="254" t="inlineStr">
        <is>
          <t>clean</t>
        </is>
      </c>
      <c r="E724" s="254" t="inlineStr">
        <is>
          <t>heavy</t>
        </is>
      </c>
      <c r="F724" s="254" t="inlineStr">
        <is>
          <t>buyer_fee</t>
        </is>
      </c>
      <c r="G724" s="254" t="inlineStr">
        <is>
          <t>secured</t>
        </is>
      </c>
      <c r="H724" s="251" t="n">
        <v>3000</v>
      </c>
      <c r="I724" s="251" t="n">
        <v>3499.99</v>
      </c>
      <c r="J724" s="251" t="n">
        <v>400</v>
      </c>
      <c r="K724" s="254" t="n"/>
    </row>
    <row r="725">
      <c r="B725" s="254" t="inlineStr">
        <is>
          <t>2026-09-26</t>
        </is>
      </c>
      <c r="C725" s="254" t="inlineStr">
        <is>
          <t>licensed-high-volume</t>
        </is>
      </c>
      <c r="D725" s="254" t="inlineStr">
        <is>
          <t>clean</t>
        </is>
      </c>
      <c r="E725" s="254" t="inlineStr">
        <is>
          <t>heavy</t>
        </is>
      </c>
      <c r="F725" s="254" t="inlineStr">
        <is>
          <t>buyer_fee</t>
        </is>
      </c>
      <c r="G725" s="254" t="inlineStr">
        <is>
          <t>secured</t>
        </is>
      </c>
      <c r="H725" s="251" t="n">
        <v>3500</v>
      </c>
      <c r="I725" s="251" t="n">
        <v>3999.99</v>
      </c>
      <c r="J725" s="251" t="n">
        <v>455</v>
      </c>
      <c r="K725" s="254" t="n"/>
    </row>
    <row r="726">
      <c r="B726" s="254" t="inlineStr">
        <is>
          <t>2026-09-26</t>
        </is>
      </c>
      <c r="C726" s="254" t="inlineStr">
        <is>
          <t>licensed-high-volume</t>
        </is>
      </c>
      <c r="D726" s="254" t="inlineStr">
        <is>
          <t>clean</t>
        </is>
      </c>
      <c r="E726" s="254" t="inlineStr">
        <is>
          <t>heavy</t>
        </is>
      </c>
      <c r="F726" s="254" t="inlineStr">
        <is>
          <t>buyer_fee</t>
        </is>
      </c>
      <c r="G726" s="254" t="inlineStr">
        <is>
          <t>secured</t>
        </is>
      </c>
      <c r="H726" s="251" t="n">
        <v>4000</v>
      </c>
      <c r="I726" s="251" t="n">
        <v>4499.99</v>
      </c>
      <c r="J726" s="251" t="n">
        <v>600</v>
      </c>
      <c r="K726" s="254" t="n"/>
    </row>
    <row r="727">
      <c r="B727" s="254" t="inlineStr">
        <is>
          <t>2026-09-26</t>
        </is>
      </c>
      <c r="C727" s="254" t="inlineStr">
        <is>
          <t>licensed-high-volume</t>
        </is>
      </c>
      <c r="D727" s="254" t="inlineStr">
        <is>
          <t>clean</t>
        </is>
      </c>
      <c r="E727" s="254" t="inlineStr">
        <is>
          <t>heavy</t>
        </is>
      </c>
      <c r="F727" s="254" t="inlineStr">
        <is>
          <t>buyer_fee</t>
        </is>
      </c>
      <c r="G727" s="254" t="inlineStr">
        <is>
          <t>secured</t>
        </is>
      </c>
      <c r="H727" s="251" t="n">
        <v>4500</v>
      </c>
      <c r="I727" s="251" t="n">
        <v>4999.99</v>
      </c>
      <c r="J727" s="251" t="n">
        <v>625</v>
      </c>
      <c r="K727" s="254" t="n"/>
    </row>
    <row r="728">
      <c r="B728" s="254" t="inlineStr">
        <is>
          <t>2026-09-26</t>
        </is>
      </c>
      <c r="C728" s="254" t="inlineStr">
        <is>
          <t>licensed-high-volume</t>
        </is>
      </c>
      <c r="D728" s="254" t="inlineStr">
        <is>
          <t>clean</t>
        </is>
      </c>
      <c r="E728" s="254" t="inlineStr">
        <is>
          <t>heavy</t>
        </is>
      </c>
      <c r="F728" s="254" t="inlineStr">
        <is>
          <t>buyer_fee</t>
        </is>
      </c>
      <c r="G728" s="254" t="inlineStr">
        <is>
          <t>secured</t>
        </is>
      </c>
      <c r="H728" s="251" t="n">
        <v>5000</v>
      </c>
      <c r="I728" s="251" t="n">
        <v>5999.99</v>
      </c>
      <c r="J728" s="251" t="n">
        <v>625</v>
      </c>
      <c r="K728" s="254" t="n"/>
    </row>
    <row r="729">
      <c r="B729" s="254" t="inlineStr">
        <is>
          <t>2026-09-26</t>
        </is>
      </c>
      <c r="C729" s="254" t="inlineStr">
        <is>
          <t>licensed-high-volume</t>
        </is>
      </c>
      <c r="D729" s="254" t="inlineStr">
        <is>
          <t>clean</t>
        </is>
      </c>
      <c r="E729" s="254" t="inlineStr">
        <is>
          <t>heavy</t>
        </is>
      </c>
      <c r="F729" s="254" t="inlineStr">
        <is>
          <t>buyer_fee</t>
        </is>
      </c>
      <c r="G729" s="254" t="inlineStr">
        <is>
          <t>secured</t>
        </is>
      </c>
      <c r="H729" s="251" t="n">
        <v>6000</v>
      </c>
      <c r="I729" s="251" t="n">
        <v>6999.99</v>
      </c>
      <c r="J729" s="251" t="n">
        <v>675</v>
      </c>
      <c r="K729" s="254" t="n"/>
    </row>
    <row r="730">
      <c r="B730" s="254" t="inlineStr">
        <is>
          <t>2026-09-26</t>
        </is>
      </c>
      <c r="C730" s="254" t="inlineStr">
        <is>
          <t>licensed-high-volume</t>
        </is>
      </c>
      <c r="D730" s="254" t="inlineStr">
        <is>
          <t>clean</t>
        </is>
      </c>
      <c r="E730" s="254" t="inlineStr">
        <is>
          <t>heavy</t>
        </is>
      </c>
      <c r="F730" s="254" t="inlineStr">
        <is>
          <t>buyer_fee</t>
        </is>
      </c>
      <c r="G730" s="254" t="inlineStr">
        <is>
          <t>secured</t>
        </is>
      </c>
      <c r="H730" s="251" t="n">
        <v>7000</v>
      </c>
      <c r="I730" s="254" t="n"/>
      <c r="J730" s="254" t="n"/>
      <c r="K730" s="251" t="n">
        <v>10</v>
      </c>
    </row>
    <row r="731">
      <c r="B731" s="254" t="inlineStr">
        <is>
          <t>2026-09-26</t>
        </is>
      </c>
      <c r="C731" s="254" t="inlineStr">
        <is>
          <t>licensed-high-volume</t>
        </is>
      </c>
      <c r="D731" s="254" t="inlineStr">
        <is>
          <t>clean</t>
        </is>
      </c>
      <c r="E731" s="254" t="inlineStr">
        <is>
          <t>heavy</t>
        </is>
      </c>
      <c r="F731" s="254" t="inlineStr">
        <is>
          <t>buyer_fee</t>
        </is>
      </c>
      <c r="G731" s="254" t="inlineStr">
        <is>
          <t>unsecured</t>
        </is>
      </c>
      <c r="H731" s="251" t="n">
        <v>0</v>
      </c>
      <c r="I731" s="251" t="n">
        <v>49.99</v>
      </c>
      <c r="J731" s="251" t="n">
        <v>27.5</v>
      </c>
      <c r="K731" s="254" t="n"/>
    </row>
    <row r="732">
      <c r="B732" s="254" t="inlineStr">
        <is>
          <t>2026-09-26</t>
        </is>
      </c>
      <c r="C732" s="254" t="inlineStr">
        <is>
          <t>licensed-high-volume</t>
        </is>
      </c>
      <c r="D732" s="254" t="inlineStr">
        <is>
          <t>clean</t>
        </is>
      </c>
      <c r="E732" s="254" t="inlineStr">
        <is>
          <t>heavy</t>
        </is>
      </c>
      <c r="F732" s="254" t="inlineStr">
        <is>
          <t>buyer_fee</t>
        </is>
      </c>
      <c r="G732" s="254" t="inlineStr">
        <is>
          <t>unsecured</t>
        </is>
      </c>
      <c r="H732" s="251" t="n">
        <v>50</v>
      </c>
      <c r="I732" s="251" t="n">
        <v>99.98999999999999</v>
      </c>
      <c r="J732" s="251" t="n">
        <v>40</v>
      </c>
      <c r="K732" s="254" t="n"/>
    </row>
    <row r="733">
      <c r="B733" s="254" t="inlineStr">
        <is>
          <t>2026-09-26</t>
        </is>
      </c>
      <c r="C733" s="254" t="inlineStr">
        <is>
          <t>licensed-high-volume</t>
        </is>
      </c>
      <c r="D733" s="254" t="inlineStr">
        <is>
          <t>clean</t>
        </is>
      </c>
      <c r="E733" s="254" t="inlineStr">
        <is>
          <t>heavy</t>
        </is>
      </c>
      <c r="F733" s="254" t="inlineStr">
        <is>
          <t>buyer_fee</t>
        </is>
      </c>
      <c r="G733" s="254" t="inlineStr">
        <is>
          <t>unsecured</t>
        </is>
      </c>
      <c r="H733" s="251" t="n">
        <v>100</v>
      </c>
      <c r="I733" s="251" t="n">
        <v>199.99</v>
      </c>
      <c r="J733" s="251" t="n">
        <v>65</v>
      </c>
      <c r="K733" s="254" t="n"/>
    </row>
    <row r="734">
      <c r="B734" s="254" t="inlineStr">
        <is>
          <t>2026-09-26</t>
        </is>
      </c>
      <c r="C734" s="254" t="inlineStr">
        <is>
          <t>licensed-high-volume</t>
        </is>
      </c>
      <c r="D734" s="254" t="inlineStr">
        <is>
          <t>clean</t>
        </is>
      </c>
      <c r="E734" s="254" t="inlineStr">
        <is>
          <t>heavy</t>
        </is>
      </c>
      <c r="F734" s="254" t="inlineStr">
        <is>
          <t>buyer_fee</t>
        </is>
      </c>
      <c r="G734" s="254" t="inlineStr">
        <is>
          <t>unsecured</t>
        </is>
      </c>
      <c r="H734" s="251" t="n">
        <v>200</v>
      </c>
      <c r="I734" s="251" t="n">
        <v>299.99</v>
      </c>
      <c r="J734" s="251" t="n">
        <v>90</v>
      </c>
      <c r="K734" s="254" t="n"/>
    </row>
    <row r="735">
      <c r="B735" s="254" t="inlineStr">
        <is>
          <t>2026-09-26</t>
        </is>
      </c>
      <c r="C735" s="254" t="inlineStr">
        <is>
          <t>licensed-high-volume</t>
        </is>
      </c>
      <c r="D735" s="254" t="inlineStr">
        <is>
          <t>clean</t>
        </is>
      </c>
      <c r="E735" s="254" t="inlineStr">
        <is>
          <t>heavy</t>
        </is>
      </c>
      <c r="F735" s="254" t="inlineStr">
        <is>
          <t>buyer_fee</t>
        </is>
      </c>
      <c r="G735" s="254" t="inlineStr">
        <is>
          <t>unsecured</t>
        </is>
      </c>
      <c r="H735" s="251" t="n">
        <v>300</v>
      </c>
      <c r="I735" s="251" t="n">
        <v>349.99</v>
      </c>
      <c r="J735" s="251" t="n">
        <v>110</v>
      </c>
      <c r="K735" s="254" t="n"/>
    </row>
    <row r="736">
      <c r="B736" s="254" t="inlineStr">
        <is>
          <t>2026-09-26</t>
        </is>
      </c>
      <c r="C736" s="254" t="inlineStr">
        <is>
          <t>licensed-high-volume</t>
        </is>
      </c>
      <c r="D736" s="254" t="inlineStr">
        <is>
          <t>clean</t>
        </is>
      </c>
      <c r="E736" s="254" t="inlineStr">
        <is>
          <t>heavy</t>
        </is>
      </c>
      <c r="F736" s="254" t="inlineStr">
        <is>
          <t>buyer_fee</t>
        </is>
      </c>
      <c r="G736" s="254" t="inlineStr">
        <is>
          <t>unsecured</t>
        </is>
      </c>
      <c r="H736" s="251" t="n">
        <v>350</v>
      </c>
      <c r="I736" s="251" t="n">
        <v>399.99</v>
      </c>
      <c r="J736" s="251" t="n">
        <v>110</v>
      </c>
      <c r="K736" s="254" t="n"/>
    </row>
    <row r="737">
      <c r="B737" s="254" t="inlineStr">
        <is>
          <t>2026-09-26</t>
        </is>
      </c>
      <c r="C737" s="254" t="inlineStr">
        <is>
          <t>licensed-high-volume</t>
        </is>
      </c>
      <c r="D737" s="254" t="inlineStr">
        <is>
          <t>clean</t>
        </is>
      </c>
      <c r="E737" s="254" t="inlineStr">
        <is>
          <t>heavy</t>
        </is>
      </c>
      <c r="F737" s="254" t="inlineStr">
        <is>
          <t>buyer_fee</t>
        </is>
      </c>
      <c r="G737" s="254" t="inlineStr">
        <is>
          <t>unsecured</t>
        </is>
      </c>
      <c r="H737" s="251" t="n">
        <v>400</v>
      </c>
      <c r="I737" s="251" t="n">
        <v>449.99</v>
      </c>
      <c r="J737" s="251" t="n">
        <v>130</v>
      </c>
      <c r="K737" s="254" t="n"/>
    </row>
    <row r="738">
      <c r="B738" s="254" t="inlineStr">
        <is>
          <t>2026-09-26</t>
        </is>
      </c>
      <c r="C738" s="254" t="inlineStr">
        <is>
          <t>licensed-high-volume</t>
        </is>
      </c>
      <c r="D738" s="254" t="inlineStr">
        <is>
          <t>clean</t>
        </is>
      </c>
      <c r="E738" s="254" t="inlineStr">
        <is>
          <t>heavy</t>
        </is>
      </c>
      <c r="F738" s="254" t="inlineStr">
        <is>
          <t>buyer_fee</t>
        </is>
      </c>
      <c r="G738" s="254" t="inlineStr">
        <is>
          <t>unsecured</t>
        </is>
      </c>
      <c r="H738" s="251" t="n">
        <v>450</v>
      </c>
      <c r="I738" s="251" t="n">
        <v>499.99</v>
      </c>
      <c r="J738" s="251" t="n">
        <v>130</v>
      </c>
      <c r="K738" s="254" t="n"/>
    </row>
    <row r="739">
      <c r="B739" s="254" t="inlineStr">
        <is>
          <t>2026-09-26</t>
        </is>
      </c>
      <c r="C739" s="254" t="inlineStr">
        <is>
          <t>licensed-high-volume</t>
        </is>
      </c>
      <c r="D739" s="254" t="inlineStr">
        <is>
          <t>clean</t>
        </is>
      </c>
      <c r="E739" s="254" t="inlineStr">
        <is>
          <t>heavy</t>
        </is>
      </c>
      <c r="F739" s="254" t="inlineStr">
        <is>
          <t>buyer_fee</t>
        </is>
      </c>
      <c r="G739" s="254" t="inlineStr">
        <is>
          <t>unsecured</t>
        </is>
      </c>
      <c r="H739" s="251" t="n">
        <v>500</v>
      </c>
      <c r="I739" s="251" t="n">
        <v>549.99</v>
      </c>
      <c r="J739" s="251" t="n">
        <v>150</v>
      </c>
      <c r="K739" s="254" t="n"/>
    </row>
    <row r="740">
      <c r="B740" s="254" t="inlineStr">
        <is>
          <t>2026-09-26</t>
        </is>
      </c>
      <c r="C740" s="254" t="inlineStr">
        <is>
          <t>licensed-high-volume</t>
        </is>
      </c>
      <c r="D740" s="254" t="inlineStr">
        <is>
          <t>clean</t>
        </is>
      </c>
      <c r="E740" s="254" t="inlineStr">
        <is>
          <t>heavy</t>
        </is>
      </c>
      <c r="F740" s="254" t="inlineStr">
        <is>
          <t>buyer_fee</t>
        </is>
      </c>
      <c r="G740" s="254" t="inlineStr">
        <is>
          <t>unsecured</t>
        </is>
      </c>
      <c r="H740" s="251" t="n">
        <v>550</v>
      </c>
      <c r="I740" s="251" t="n">
        <v>599.99</v>
      </c>
      <c r="J740" s="251" t="n">
        <v>150</v>
      </c>
      <c r="K740" s="254" t="n"/>
    </row>
    <row r="741">
      <c r="B741" s="254" t="inlineStr">
        <is>
          <t>2026-09-26</t>
        </is>
      </c>
      <c r="C741" s="254" t="inlineStr">
        <is>
          <t>licensed-high-volume</t>
        </is>
      </c>
      <c r="D741" s="254" t="inlineStr">
        <is>
          <t>clean</t>
        </is>
      </c>
      <c r="E741" s="254" t="inlineStr">
        <is>
          <t>heavy</t>
        </is>
      </c>
      <c r="F741" s="254" t="inlineStr">
        <is>
          <t>buyer_fee</t>
        </is>
      </c>
      <c r="G741" s="254" t="inlineStr">
        <is>
          <t>unsecured</t>
        </is>
      </c>
      <c r="H741" s="251" t="n">
        <v>600</v>
      </c>
      <c r="I741" s="251" t="n">
        <v>699.99</v>
      </c>
      <c r="J741" s="251" t="n">
        <v>170</v>
      </c>
      <c r="K741" s="254" t="n"/>
    </row>
    <row r="742">
      <c r="B742" s="254" t="inlineStr">
        <is>
          <t>2026-09-26</t>
        </is>
      </c>
      <c r="C742" s="254" t="inlineStr">
        <is>
          <t>licensed-high-volume</t>
        </is>
      </c>
      <c r="D742" s="254" t="inlineStr">
        <is>
          <t>clean</t>
        </is>
      </c>
      <c r="E742" s="254" t="inlineStr">
        <is>
          <t>heavy</t>
        </is>
      </c>
      <c r="F742" s="254" t="inlineStr">
        <is>
          <t>buyer_fee</t>
        </is>
      </c>
      <c r="G742" s="254" t="inlineStr">
        <is>
          <t>unsecured</t>
        </is>
      </c>
      <c r="H742" s="251" t="n">
        <v>700</v>
      </c>
      <c r="I742" s="251" t="n">
        <v>799.99</v>
      </c>
      <c r="J742" s="251" t="n">
        <v>190</v>
      </c>
      <c r="K742" s="254" t="n"/>
    </row>
    <row r="743">
      <c r="B743" s="254" t="inlineStr">
        <is>
          <t>2026-09-26</t>
        </is>
      </c>
      <c r="C743" s="254" t="inlineStr">
        <is>
          <t>licensed-high-volume</t>
        </is>
      </c>
      <c r="D743" s="254" t="inlineStr">
        <is>
          <t>clean</t>
        </is>
      </c>
      <c r="E743" s="254" t="inlineStr">
        <is>
          <t>heavy</t>
        </is>
      </c>
      <c r="F743" s="254" t="inlineStr">
        <is>
          <t>buyer_fee</t>
        </is>
      </c>
      <c r="G743" s="254" t="inlineStr">
        <is>
          <t>unsecured</t>
        </is>
      </c>
      <c r="H743" s="251" t="n">
        <v>800</v>
      </c>
      <c r="I743" s="251" t="n">
        <v>899.99</v>
      </c>
      <c r="J743" s="251" t="n">
        <v>210</v>
      </c>
      <c r="K743" s="254" t="n"/>
    </row>
    <row r="744">
      <c r="B744" s="254" t="inlineStr">
        <is>
          <t>2026-09-26</t>
        </is>
      </c>
      <c r="C744" s="254" t="inlineStr">
        <is>
          <t>licensed-high-volume</t>
        </is>
      </c>
      <c r="D744" s="254" t="inlineStr">
        <is>
          <t>clean</t>
        </is>
      </c>
      <c r="E744" s="254" t="inlineStr">
        <is>
          <t>heavy</t>
        </is>
      </c>
      <c r="F744" s="254" t="inlineStr">
        <is>
          <t>buyer_fee</t>
        </is>
      </c>
      <c r="G744" s="254" t="inlineStr">
        <is>
          <t>unsecured</t>
        </is>
      </c>
      <c r="H744" s="251" t="n">
        <v>900</v>
      </c>
      <c r="I744" s="251" t="n">
        <v>999.99</v>
      </c>
      <c r="J744" s="251" t="n">
        <v>230</v>
      </c>
      <c r="K744" s="254" t="n"/>
    </row>
    <row r="745">
      <c r="B745" s="254" t="inlineStr">
        <is>
          <t>2026-09-26</t>
        </is>
      </c>
      <c r="C745" s="254" t="inlineStr">
        <is>
          <t>licensed-high-volume</t>
        </is>
      </c>
      <c r="D745" s="254" t="inlineStr">
        <is>
          <t>clean</t>
        </is>
      </c>
      <c r="E745" s="254" t="inlineStr">
        <is>
          <t>heavy</t>
        </is>
      </c>
      <c r="F745" s="254" t="inlineStr">
        <is>
          <t>buyer_fee</t>
        </is>
      </c>
      <c r="G745" s="254" t="inlineStr">
        <is>
          <t>unsecured</t>
        </is>
      </c>
      <c r="H745" s="251" t="n">
        <v>1000</v>
      </c>
      <c r="I745" s="251" t="n">
        <v>1199.99</v>
      </c>
      <c r="J745" s="251" t="n">
        <v>255</v>
      </c>
      <c r="K745" s="254" t="n"/>
    </row>
    <row r="746">
      <c r="B746" s="254" t="inlineStr">
        <is>
          <t>2026-09-26</t>
        </is>
      </c>
      <c r="C746" s="254" t="inlineStr">
        <is>
          <t>licensed-high-volume</t>
        </is>
      </c>
      <c r="D746" s="254" t="inlineStr">
        <is>
          <t>clean</t>
        </is>
      </c>
      <c r="E746" s="254" t="inlineStr">
        <is>
          <t>heavy</t>
        </is>
      </c>
      <c r="F746" s="254" t="inlineStr">
        <is>
          <t>buyer_fee</t>
        </is>
      </c>
      <c r="G746" s="254" t="inlineStr">
        <is>
          <t>unsecured</t>
        </is>
      </c>
      <c r="H746" s="251" t="n">
        <v>1200</v>
      </c>
      <c r="I746" s="251" t="n">
        <v>1299.99</v>
      </c>
      <c r="J746" s="251" t="n">
        <v>290</v>
      </c>
      <c r="K746" s="254" t="n"/>
    </row>
    <row r="747">
      <c r="B747" s="254" t="inlineStr">
        <is>
          <t>2026-09-26</t>
        </is>
      </c>
      <c r="C747" s="254" t="inlineStr">
        <is>
          <t>licensed-high-volume</t>
        </is>
      </c>
      <c r="D747" s="254" t="inlineStr">
        <is>
          <t>clean</t>
        </is>
      </c>
      <c r="E747" s="254" t="inlineStr">
        <is>
          <t>heavy</t>
        </is>
      </c>
      <c r="F747" s="254" t="inlineStr">
        <is>
          <t>buyer_fee</t>
        </is>
      </c>
      <c r="G747" s="254" t="inlineStr">
        <is>
          <t>unsecured</t>
        </is>
      </c>
      <c r="H747" s="251" t="n">
        <v>1300</v>
      </c>
      <c r="I747" s="251" t="n">
        <v>1399.99</v>
      </c>
      <c r="J747" s="251" t="n">
        <v>305</v>
      </c>
      <c r="K747" s="254" t="n"/>
    </row>
    <row r="748">
      <c r="B748" s="254" t="inlineStr">
        <is>
          <t>2026-09-26</t>
        </is>
      </c>
      <c r="C748" s="254" t="inlineStr">
        <is>
          <t>licensed-high-volume</t>
        </is>
      </c>
      <c r="D748" s="254" t="inlineStr">
        <is>
          <t>clean</t>
        </is>
      </c>
      <c r="E748" s="254" t="inlineStr">
        <is>
          <t>heavy</t>
        </is>
      </c>
      <c r="F748" s="254" t="inlineStr">
        <is>
          <t>buyer_fee</t>
        </is>
      </c>
      <c r="G748" s="254" t="inlineStr">
        <is>
          <t>unsecured</t>
        </is>
      </c>
      <c r="H748" s="251" t="n">
        <v>1400</v>
      </c>
      <c r="I748" s="251" t="n">
        <v>1499.99</v>
      </c>
      <c r="J748" s="251" t="n">
        <v>315</v>
      </c>
      <c r="K748" s="254" t="n"/>
    </row>
    <row r="749">
      <c r="B749" s="254" t="inlineStr">
        <is>
          <t>2026-09-26</t>
        </is>
      </c>
      <c r="C749" s="254" t="inlineStr">
        <is>
          <t>licensed-high-volume</t>
        </is>
      </c>
      <c r="D749" s="254" t="inlineStr">
        <is>
          <t>clean</t>
        </is>
      </c>
      <c r="E749" s="254" t="inlineStr">
        <is>
          <t>heavy</t>
        </is>
      </c>
      <c r="F749" s="254" t="inlineStr">
        <is>
          <t>buyer_fee</t>
        </is>
      </c>
      <c r="G749" s="254" t="inlineStr">
        <is>
          <t>unsecured</t>
        </is>
      </c>
      <c r="H749" s="251" t="n">
        <v>1500</v>
      </c>
      <c r="I749" s="251" t="n">
        <v>1599.99</v>
      </c>
      <c r="J749" s="251" t="n">
        <v>325</v>
      </c>
      <c r="K749" s="254" t="n"/>
    </row>
    <row r="750">
      <c r="B750" s="254" t="inlineStr">
        <is>
          <t>2026-09-26</t>
        </is>
      </c>
      <c r="C750" s="254" t="inlineStr">
        <is>
          <t>licensed-high-volume</t>
        </is>
      </c>
      <c r="D750" s="254" t="inlineStr">
        <is>
          <t>clean</t>
        </is>
      </c>
      <c r="E750" s="254" t="inlineStr">
        <is>
          <t>heavy</t>
        </is>
      </c>
      <c r="F750" s="254" t="inlineStr">
        <is>
          <t>buyer_fee</t>
        </is>
      </c>
      <c r="G750" s="254" t="inlineStr">
        <is>
          <t>unsecured</t>
        </is>
      </c>
      <c r="H750" s="251" t="n">
        <v>1600</v>
      </c>
      <c r="I750" s="251" t="n">
        <v>1699.99</v>
      </c>
      <c r="J750" s="251" t="n">
        <v>345</v>
      </c>
      <c r="K750" s="254" t="n"/>
    </row>
    <row r="751">
      <c r="B751" s="254" t="inlineStr">
        <is>
          <t>2026-09-26</t>
        </is>
      </c>
      <c r="C751" s="254" t="inlineStr">
        <is>
          <t>licensed-high-volume</t>
        </is>
      </c>
      <c r="D751" s="254" t="inlineStr">
        <is>
          <t>clean</t>
        </is>
      </c>
      <c r="E751" s="254" t="inlineStr">
        <is>
          <t>heavy</t>
        </is>
      </c>
      <c r="F751" s="254" t="inlineStr">
        <is>
          <t>buyer_fee</t>
        </is>
      </c>
      <c r="G751" s="254" t="inlineStr">
        <is>
          <t>unsecured</t>
        </is>
      </c>
      <c r="H751" s="251" t="n">
        <v>1700</v>
      </c>
      <c r="I751" s="251" t="n">
        <v>1799.99</v>
      </c>
      <c r="J751" s="251" t="n">
        <v>355</v>
      </c>
      <c r="K751" s="254" t="n"/>
    </row>
    <row r="752">
      <c r="B752" s="254" t="inlineStr">
        <is>
          <t>2026-09-26</t>
        </is>
      </c>
      <c r="C752" s="254" t="inlineStr">
        <is>
          <t>licensed-high-volume</t>
        </is>
      </c>
      <c r="D752" s="254" t="inlineStr">
        <is>
          <t>clean</t>
        </is>
      </c>
      <c r="E752" s="254" t="inlineStr">
        <is>
          <t>heavy</t>
        </is>
      </c>
      <c r="F752" s="254" t="inlineStr">
        <is>
          <t>buyer_fee</t>
        </is>
      </c>
      <c r="G752" s="254" t="inlineStr">
        <is>
          <t>unsecured</t>
        </is>
      </c>
      <c r="H752" s="251" t="n">
        <v>1800</v>
      </c>
      <c r="I752" s="251" t="n">
        <v>1999.99</v>
      </c>
      <c r="J752" s="251" t="n">
        <v>375</v>
      </c>
      <c r="K752" s="254" t="n"/>
    </row>
    <row r="753">
      <c r="B753" s="254" t="inlineStr">
        <is>
          <t>2026-09-26</t>
        </is>
      </c>
      <c r="C753" s="254" t="inlineStr">
        <is>
          <t>licensed-high-volume</t>
        </is>
      </c>
      <c r="D753" s="254" t="inlineStr">
        <is>
          <t>clean</t>
        </is>
      </c>
      <c r="E753" s="254" t="inlineStr">
        <is>
          <t>heavy</t>
        </is>
      </c>
      <c r="F753" s="254" t="inlineStr">
        <is>
          <t>buyer_fee</t>
        </is>
      </c>
      <c r="G753" s="254" t="inlineStr">
        <is>
          <t>unsecured</t>
        </is>
      </c>
      <c r="H753" s="251" t="n">
        <v>2000</v>
      </c>
      <c r="I753" s="251" t="n">
        <v>2399.99</v>
      </c>
      <c r="J753" s="251" t="n">
        <v>415</v>
      </c>
      <c r="K753" s="254" t="n"/>
    </row>
    <row r="754">
      <c r="B754" s="254" t="inlineStr">
        <is>
          <t>2026-09-26</t>
        </is>
      </c>
      <c r="C754" s="254" t="inlineStr">
        <is>
          <t>licensed-high-volume</t>
        </is>
      </c>
      <c r="D754" s="254" t="inlineStr">
        <is>
          <t>clean</t>
        </is>
      </c>
      <c r="E754" s="254" t="inlineStr">
        <is>
          <t>heavy</t>
        </is>
      </c>
      <c r="F754" s="254" t="inlineStr">
        <is>
          <t>buyer_fee</t>
        </is>
      </c>
      <c r="G754" s="254" t="inlineStr">
        <is>
          <t>unsecured</t>
        </is>
      </c>
      <c r="H754" s="251" t="n">
        <v>2400</v>
      </c>
      <c r="I754" s="251" t="n">
        <v>2499.99</v>
      </c>
      <c r="J754" s="251" t="n">
        <v>425</v>
      </c>
      <c r="K754" s="254" t="n"/>
    </row>
    <row r="755">
      <c r="B755" s="254" t="inlineStr">
        <is>
          <t>2026-09-26</t>
        </is>
      </c>
      <c r="C755" s="254" t="inlineStr">
        <is>
          <t>licensed-high-volume</t>
        </is>
      </c>
      <c r="D755" s="254" t="inlineStr">
        <is>
          <t>clean</t>
        </is>
      </c>
      <c r="E755" s="254" t="inlineStr">
        <is>
          <t>heavy</t>
        </is>
      </c>
      <c r="F755" s="254" t="inlineStr">
        <is>
          <t>buyer_fee</t>
        </is>
      </c>
      <c r="G755" s="254" t="inlineStr">
        <is>
          <t>unsecured</t>
        </is>
      </c>
      <c r="H755" s="251" t="n">
        <v>2500</v>
      </c>
      <c r="I755" s="251" t="n">
        <v>2999.99</v>
      </c>
      <c r="J755" s="251" t="n">
        <v>455</v>
      </c>
      <c r="K755" s="254" t="n"/>
    </row>
    <row r="756">
      <c r="B756" s="254" t="inlineStr">
        <is>
          <t>2026-09-26</t>
        </is>
      </c>
      <c r="C756" s="254" t="inlineStr">
        <is>
          <t>licensed-high-volume</t>
        </is>
      </c>
      <c r="D756" s="254" t="inlineStr">
        <is>
          <t>clean</t>
        </is>
      </c>
      <c r="E756" s="254" t="inlineStr">
        <is>
          <t>heavy</t>
        </is>
      </c>
      <c r="F756" s="254" t="inlineStr">
        <is>
          <t>buyer_fee</t>
        </is>
      </c>
      <c r="G756" s="254" t="inlineStr">
        <is>
          <t>unsecured</t>
        </is>
      </c>
      <c r="H756" s="251" t="n">
        <v>3000</v>
      </c>
      <c r="I756" s="251" t="n">
        <v>3499.99</v>
      </c>
      <c r="J756" s="251" t="n">
        <v>565</v>
      </c>
      <c r="K756" s="254" t="n"/>
    </row>
    <row r="757">
      <c r="B757" s="254" t="inlineStr">
        <is>
          <t>2026-09-26</t>
        </is>
      </c>
      <c r="C757" s="254" t="inlineStr">
        <is>
          <t>licensed-high-volume</t>
        </is>
      </c>
      <c r="D757" s="254" t="inlineStr">
        <is>
          <t>clean</t>
        </is>
      </c>
      <c r="E757" s="254" t="inlineStr">
        <is>
          <t>heavy</t>
        </is>
      </c>
      <c r="F757" s="254" t="inlineStr">
        <is>
          <t>buyer_fee</t>
        </is>
      </c>
      <c r="G757" s="254" t="inlineStr">
        <is>
          <t>unsecured</t>
        </is>
      </c>
      <c r="H757" s="251" t="n">
        <v>3500</v>
      </c>
      <c r="I757" s="251" t="n">
        <v>3999.99</v>
      </c>
      <c r="J757" s="251" t="n">
        <v>620</v>
      </c>
      <c r="K757" s="254" t="n"/>
    </row>
    <row r="758">
      <c r="B758" s="254" t="inlineStr">
        <is>
          <t>2026-09-26</t>
        </is>
      </c>
      <c r="C758" s="254" t="inlineStr">
        <is>
          <t>licensed-high-volume</t>
        </is>
      </c>
      <c r="D758" s="254" t="inlineStr">
        <is>
          <t>clean</t>
        </is>
      </c>
      <c r="E758" s="254" t="inlineStr">
        <is>
          <t>heavy</t>
        </is>
      </c>
      <c r="F758" s="254" t="inlineStr">
        <is>
          <t>buyer_fee</t>
        </is>
      </c>
      <c r="G758" s="254" t="inlineStr">
        <is>
          <t>unsecured</t>
        </is>
      </c>
      <c r="H758" s="251" t="n">
        <v>4000</v>
      </c>
      <c r="I758" s="251" t="n">
        <v>4499.99</v>
      </c>
      <c r="J758" s="251" t="n">
        <v>765</v>
      </c>
      <c r="K758" s="254" t="n"/>
    </row>
    <row r="759">
      <c r="B759" s="254" t="inlineStr">
        <is>
          <t>2026-09-26</t>
        </is>
      </c>
      <c r="C759" s="254" t="inlineStr">
        <is>
          <t>licensed-high-volume</t>
        </is>
      </c>
      <c r="D759" s="254" t="inlineStr">
        <is>
          <t>clean</t>
        </is>
      </c>
      <c r="E759" s="254" t="inlineStr">
        <is>
          <t>heavy</t>
        </is>
      </c>
      <c r="F759" s="254" t="inlineStr">
        <is>
          <t>buyer_fee</t>
        </is>
      </c>
      <c r="G759" s="254" t="inlineStr">
        <is>
          <t>unsecured</t>
        </is>
      </c>
      <c r="H759" s="251" t="n">
        <v>4500</v>
      </c>
      <c r="I759" s="251" t="n">
        <v>4999.99</v>
      </c>
      <c r="J759" s="251" t="n">
        <v>790</v>
      </c>
      <c r="K759" s="254" t="n"/>
    </row>
    <row r="760">
      <c r="B760" s="254" t="inlineStr">
        <is>
          <t>2026-09-26</t>
        </is>
      </c>
      <c r="C760" s="254" t="inlineStr">
        <is>
          <t>licensed-high-volume</t>
        </is>
      </c>
      <c r="D760" s="254" t="inlineStr">
        <is>
          <t>clean</t>
        </is>
      </c>
      <c r="E760" s="254" t="inlineStr">
        <is>
          <t>heavy</t>
        </is>
      </c>
      <c r="F760" s="254" t="inlineStr">
        <is>
          <t>buyer_fee</t>
        </is>
      </c>
      <c r="G760" s="254" t="inlineStr">
        <is>
          <t>unsecured</t>
        </is>
      </c>
      <c r="H760" s="251" t="n">
        <v>5000</v>
      </c>
      <c r="I760" s="251" t="n">
        <v>5999.99</v>
      </c>
      <c r="J760" s="251" t="n">
        <v>865</v>
      </c>
      <c r="K760" s="254" t="n"/>
    </row>
    <row r="761">
      <c r="B761" s="254" t="inlineStr">
        <is>
          <t>2026-09-26</t>
        </is>
      </c>
      <c r="C761" s="254" t="inlineStr">
        <is>
          <t>licensed-high-volume</t>
        </is>
      </c>
      <c r="D761" s="254" t="inlineStr">
        <is>
          <t>clean</t>
        </is>
      </c>
      <c r="E761" s="254" t="inlineStr">
        <is>
          <t>heavy</t>
        </is>
      </c>
      <c r="F761" s="254" t="inlineStr">
        <is>
          <t>buyer_fee</t>
        </is>
      </c>
      <c r="G761" s="254" t="inlineStr">
        <is>
          <t>unsecured</t>
        </is>
      </c>
      <c r="H761" s="251" t="n">
        <v>6000</v>
      </c>
      <c r="I761" s="251" t="n">
        <v>6499.99</v>
      </c>
      <c r="J761" s="251" t="n">
        <v>915</v>
      </c>
      <c r="K761" s="254" t="n"/>
    </row>
    <row r="762">
      <c r="B762" s="254" t="inlineStr">
        <is>
          <t>2026-09-26</t>
        </is>
      </c>
      <c r="C762" s="254" t="inlineStr">
        <is>
          <t>licensed-high-volume</t>
        </is>
      </c>
      <c r="D762" s="254" t="inlineStr">
        <is>
          <t>clean</t>
        </is>
      </c>
      <c r="E762" s="254" t="inlineStr">
        <is>
          <t>heavy</t>
        </is>
      </c>
      <c r="F762" s="254" t="inlineStr">
        <is>
          <t>buyer_fee</t>
        </is>
      </c>
      <c r="G762" s="254" t="inlineStr">
        <is>
          <t>unsecured</t>
        </is>
      </c>
      <c r="H762" s="251" t="n">
        <v>6500</v>
      </c>
      <c r="I762" s="251" t="n">
        <v>6999.99</v>
      </c>
      <c r="J762" s="251" t="n">
        <v>1000</v>
      </c>
      <c r="K762" s="254" t="n"/>
    </row>
    <row r="763">
      <c r="B763" s="254" t="inlineStr">
        <is>
          <t>2026-09-26</t>
        </is>
      </c>
      <c r="C763" s="254" t="inlineStr">
        <is>
          <t>licensed-high-volume</t>
        </is>
      </c>
      <c r="D763" s="254" t="inlineStr">
        <is>
          <t>clean</t>
        </is>
      </c>
      <c r="E763" s="254" t="inlineStr">
        <is>
          <t>heavy</t>
        </is>
      </c>
      <c r="F763" s="254" t="inlineStr">
        <is>
          <t>buyer_fee</t>
        </is>
      </c>
      <c r="G763" s="254" t="inlineStr">
        <is>
          <t>unsecured</t>
        </is>
      </c>
      <c r="H763" s="251" t="n">
        <v>7000</v>
      </c>
      <c r="I763" s="254" t="n"/>
      <c r="J763" s="254" t="n"/>
      <c r="K763" s="251" t="n">
        <v>15</v>
      </c>
    </row>
    <row r="764">
      <c r="B764" s="254" t="inlineStr">
        <is>
          <t>2026-09-26</t>
        </is>
      </c>
      <c r="C764" s="254" t="inlineStr">
        <is>
          <t>licensed-high-volume</t>
        </is>
      </c>
      <c r="D764" s="254" t="inlineStr">
        <is>
          <t>clean</t>
        </is>
      </c>
      <c r="E764" s="254" t="inlineStr">
        <is>
          <t>heavy</t>
        </is>
      </c>
      <c r="F764" s="254" t="inlineStr">
        <is>
          <t>virtual_bid_pre_bid</t>
        </is>
      </c>
      <c r="G764" s="254" t="inlineStr">
        <is>
          <t>any</t>
        </is>
      </c>
      <c r="H764" s="251" t="n">
        <v>0</v>
      </c>
      <c r="I764" s="251" t="n">
        <v>99.98999999999999</v>
      </c>
      <c r="J764" s="251" t="n">
        <v>0</v>
      </c>
      <c r="K764" s="254" t="n"/>
    </row>
    <row r="765">
      <c r="B765" s="254" t="inlineStr">
        <is>
          <t>2026-09-26</t>
        </is>
      </c>
      <c r="C765" s="254" t="inlineStr">
        <is>
          <t>licensed-high-volume</t>
        </is>
      </c>
      <c r="D765" s="254" t="inlineStr">
        <is>
          <t>clean</t>
        </is>
      </c>
      <c r="E765" s="254" t="inlineStr">
        <is>
          <t>heavy</t>
        </is>
      </c>
      <c r="F765" s="254" t="inlineStr">
        <is>
          <t>virtual_bid_pre_bid</t>
        </is>
      </c>
      <c r="G765" s="254" t="inlineStr">
        <is>
          <t>any</t>
        </is>
      </c>
      <c r="H765" s="251" t="n">
        <v>100</v>
      </c>
      <c r="I765" s="251" t="n">
        <v>499.99</v>
      </c>
      <c r="J765" s="251" t="n">
        <v>39</v>
      </c>
      <c r="K765" s="254" t="n"/>
    </row>
    <row r="766">
      <c r="B766" s="254" t="inlineStr">
        <is>
          <t>2026-09-26</t>
        </is>
      </c>
      <c r="C766" s="254" t="inlineStr">
        <is>
          <t>licensed-high-volume</t>
        </is>
      </c>
      <c r="D766" s="254" t="inlineStr">
        <is>
          <t>clean</t>
        </is>
      </c>
      <c r="E766" s="254" t="inlineStr">
        <is>
          <t>heavy</t>
        </is>
      </c>
      <c r="F766" s="254" t="inlineStr">
        <is>
          <t>virtual_bid_pre_bid</t>
        </is>
      </c>
      <c r="G766" s="254" t="inlineStr">
        <is>
          <t>any</t>
        </is>
      </c>
      <c r="H766" s="251" t="n">
        <v>500</v>
      </c>
      <c r="I766" s="251" t="n">
        <v>999.99</v>
      </c>
      <c r="J766" s="251" t="n">
        <v>49</v>
      </c>
      <c r="K766" s="254" t="n"/>
    </row>
    <row r="767">
      <c r="B767" s="254" t="inlineStr">
        <is>
          <t>2026-09-26</t>
        </is>
      </c>
      <c r="C767" s="254" t="inlineStr">
        <is>
          <t>licensed-high-volume</t>
        </is>
      </c>
      <c r="D767" s="254" t="inlineStr">
        <is>
          <t>clean</t>
        </is>
      </c>
      <c r="E767" s="254" t="inlineStr">
        <is>
          <t>heavy</t>
        </is>
      </c>
      <c r="F767" s="254" t="inlineStr">
        <is>
          <t>virtual_bid_pre_bid</t>
        </is>
      </c>
      <c r="G767" s="254" t="inlineStr">
        <is>
          <t>any</t>
        </is>
      </c>
      <c r="H767" s="251" t="n">
        <v>1000</v>
      </c>
      <c r="I767" s="251" t="n">
        <v>1499.99</v>
      </c>
      <c r="J767" s="251" t="n">
        <v>69</v>
      </c>
      <c r="K767" s="254" t="n"/>
    </row>
    <row r="768">
      <c r="B768" s="254" t="inlineStr">
        <is>
          <t>2026-09-26</t>
        </is>
      </c>
      <c r="C768" s="254" t="inlineStr">
        <is>
          <t>licensed-high-volume</t>
        </is>
      </c>
      <c r="D768" s="254" t="inlineStr">
        <is>
          <t>clean</t>
        </is>
      </c>
      <c r="E768" s="254" t="inlineStr">
        <is>
          <t>heavy</t>
        </is>
      </c>
      <c r="F768" s="254" t="inlineStr">
        <is>
          <t>virtual_bid_pre_bid</t>
        </is>
      </c>
      <c r="G768" s="254" t="inlineStr">
        <is>
          <t>any</t>
        </is>
      </c>
      <c r="H768" s="251" t="n">
        <v>1500</v>
      </c>
      <c r="I768" s="251" t="n">
        <v>1999.99</v>
      </c>
      <c r="J768" s="251" t="n">
        <v>79</v>
      </c>
      <c r="K768" s="254" t="n"/>
    </row>
    <row r="769">
      <c r="B769" s="254" t="inlineStr">
        <is>
          <t>2026-09-26</t>
        </is>
      </c>
      <c r="C769" s="254" t="inlineStr">
        <is>
          <t>licensed-high-volume</t>
        </is>
      </c>
      <c r="D769" s="254" t="inlineStr">
        <is>
          <t>clean</t>
        </is>
      </c>
      <c r="E769" s="254" t="inlineStr">
        <is>
          <t>heavy</t>
        </is>
      </c>
      <c r="F769" s="254" t="inlineStr">
        <is>
          <t>virtual_bid_pre_bid</t>
        </is>
      </c>
      <c r="G769" s="254" t="inlineStr">
        <is>
          <t>any</t>
        </is>
      </c>
      <c r="H769" s="251" t="n">
        <v>2000</v>
      </c>
      <c r="I769" s="251" t="n">
        <v>3999.99</v>
      </c>
      <c r="J769" s="251" t="n">
        <v>89</v>
      </c>
      <c r="K769" s="254" t="n"/>
    </row>
    <row r="770">
      <c r="B770" s="254" t="inlineStr">
        <is>
          <t>2026-09-26</t>
        </is>
      </c>
      <c r="C770" s="254" t="inlineStr">
        <is>
          <t>licensed-high-volume</t>
        </is>
      </c>
      <c r="D770" s="254" t="inlineStr">
        <is>
          <t>clean</t>
        </is>
      </c>
      <c r="E770" s="254" t="inlineStr">
        <is>
          <t>heavy</t>
        </is>
      </c>
      <c r="F770" s="254" t="inlineStr">
        <is>
          <t>virtual_bid_pre_bid</t>
        </is>
      </c>
      <c r="G770" s="254" t="inlineStr">
        <is>
          <t>any</t>
        </is>
      </c>
      <c r="H770" s="251" t="n">
        <v>4000</v>
      </c>
      <c r="I770" s="251" t="n">
        <v>5999.99</v>
      </c>
      <c r="J770" s="251" t="n">
        <v>99</v>
      </c>
      <c r="K770" s="254" t="n"/>
    </row>
    <row r="771">
      <c r="B771" s="254" t="inlineStr">
        <is>
          <t>2026-09-26</t>
        </is>
      </c>
      <c r="C771" s="254" t="inlineStr">
        <is>
          <t>licensed-high-volume</t>
        </is>
      </c>
      <c r="D771" s="254" t="inlineStr">
        <is>
          <t>clean</t>
        </is>
      </c>
      <c r="E771" s="254" t="inlineStr">
        <is>
          <t>heavy</t>
        </is>
      </c>
      <c r="F771" s="254" t="inlineStr">
        <is>
          <t>virtual_bid_pre_bid</t>
        </is>
      </c>
      <c r="G771" s="254" t="inlineStr">
        <is>
          <t>any</t>
        </is>
      </c>
      <c r="H771" s="251" t="n">
        <v>6000</v>
      </c>
      <c r="I771" s="251" t="n">
        <v>7999.99</v>
      </c>
      <c r="J771" s="251" t="n">
        <v>119</v>
      </c>
      <c r="K771" s="254" t="n"/>
    </row>
    <row r="772">
      <c r="B772" s="254" t="inlineStr">
        <is>
          <t>2026-09-26</t>
        </is>
      </c>
      <c r="C772" s="254" t="inlineStr">
        <is>
          <t>licensed-high-volume</t>
        </is>
      </c>
      <c r="D772" s="254" t="inlineStr">
        <is>
          <t>clean</t>
        </is>
      </c>
      <c r="E772" s="254" t="inlineStr">
        <is>
          <t>heavy</t>
        </is>
      </c>
      <c r="F772" s="254" t="inlineStr">
        <is>
          <t>virtual_bid_pre_bid</t>
        </is>
      </c>
      <c r="G772" s="254" t="inlineStr">
        <is>
          <t>any</t>
        </is>
      </c>
      <c r="H772" s="251" t="n">
        <v>8000</v>
      </c>
      <c r="I772" s="254" t="n"/>
      <c r="J772" s="251" t="n">
        <v>129</v>
      </c>
      <c r="K772" s="254" t="n"/>
    </row>
    <row r="773">
      <c r="B773" s="254" t="inlineStr">
        <is>
          <t>2026-09-26</t>
        </is>
      </c>
      <c r="C773" s="254" t="inlineStr">
        <is>
          <t>licensed-high-volume</t>
        </is>
      </c>
      <c r="D773" s="254" t="inlineStr">
        <is>
          <t>clean</t>
        </is>
      </c>
      <c r="E773" s="254" t="inlineStr">
        <is>
          <t>heavy</t>
        </is>
      </c>
      <c r="F773" s="254" t="inlineStr">
        <is>
          <t>virtual_bid_live_bid</t>
        </is>
      </c>
      <c r="G773" s="254" t="inlineStr">
        <is>
          <t>any</t>
        </is>
      </c>
      <c r="H773" s="251" t="n">
        <v>0</v>
      </c>
      <c r="I773" s="251" t="n">
        <v>99.98999999999999</v>
      </c>
      <c r="J773" s="251" t="n">
        <v>0</v>
      </c>
      <c r="K773" s="254" t="n"/>
    </row>
    <row r="774">
      <c r="B774" s="254" t="inlineStr">
        <is>
          <t>2026-09-26</t>
        </is>
      </c>
      <c r="C774" s="254" t="inlineStr">
        <is>
          <t>licensed-high-volume</t>
        </is>
      </c>
      <c r="D774" s="254" t="inlineStr">
        <is>
          <t>clean</t>
        </is>
      </c>
      <c r="E774" s="254" t="inlineStr">
        <is>
          <t>heavy</t>
        </is>
      </c>
      <c r="F774" s="254" t="inlineStr">
        <is>
          <t>virtual_bid_live_bid</t>
        </is>
      </c>
      <c r="G774" s="254" t="inlineStr">
        <is>
          <t>any</t>
        </is>
      </c>
      <c r="H774" s="251" t="n">
        <v>100</v>
      </c>
      <c r="I774" s="251" t="n">
        <v>499.99</v>
      </c>
      <c r="J774" s="251" t="n">
        <v>49</v>
      </c>
      <c r="K774" s="254" t="n"/>
    </row>
    <row r="775">
      <c r="B775" s="254" t="inlineStr">
        <is>
          <t>2026-09-26</t>
        </is>
      </c>
      <c r="C775" s="254" t="inlineStr">
        <is>
          <t>licensed-high-volume</t>
        </is>
      </c>
      <c r="D775" s="254" t="inlineStr">
        <is>
          <t>clean</t>
        </is>
      </c>
      <c r="E775" s="254" t="inlineStr">
        <is>
          <t>heavy</t>
        </is>
      </c>
      <c r="F775" s="254" t="inlineStr">
        <is>
          <t>virtual_bid_live_bid</t>
        </is>
      </c>
      <c r="G775" s="254" t="inlineStr">
        <is>
          <t>any</t>
        </is>
      </c>
      <c r="H775" s="251" t="n">
        <v>500</v>
      </c>
      <c r="I775" s="251" t="n">
        <v>999.99</v>
      </c>
      <c r="J775" s="251" t="n">
        <v>59</v>
      </c>
      <c r="K775" s="254" t="n"/>
    </row>
    <row r="776">
      <c r="B776" s="254" t="inlineStr">
        <is>
          <t>2026-09-26</t>
        </is>
      </c>
      <c r="C776" s="254" t="inlineStr">
        <is>
          <t>licensed-high-volume</t>
        </is>
      </c>
      <c r="D776" s="254" t="inlineStr">
        <is>
          <t>clean</t>
        </is>
      </c>
      <c r="E776" s="254" t="inlineStr">
        <is>
          <t>heavy</t>
        </is>
      </c>
      <c r="F776" s="254" t="inlineStr">
        <is>
          <t>virtual_bid_live_bid</t>
        </is>
      </c>
      <c r="G776" s="254" t="inlineStr">
        <is>
          <t>any</t>
        </is>
      </c>
      <c r="H776" s="251" t="n">
        <v>1000</v>
      </c>
      <c r="I776" s="251" t="n">
        <v>1499.99</v>
      </c>
      <c r="J776" s="251" t="n">
        <v>79</v>
      </c>
      <c r="K776" s="254" t="n"/>
    </row>
    <row r="777">
      <c r="B777" s="254" t="inlineStr">
        <is>
          <t>2026-09-26</t>
        </is>
      </c>
      <c r="C777" s="254" t="inlineStr">
        <is>
          <t>licensed-high-volume</t>
        </is>
      </c>
      <c r="D777" s="254" t="inlineStr">
        <is>
          <t>clean</t>
        </is>
      </c>
      <c r="E777" s="254" t="inlineStr">
        <is>
          <t>heavy</t>
        </is>
      </c>
      <c r="F777" s="254" t="inlineStr">
        <is>
          <t>virtual_bid_live_bid</t>
        </is>
      </c>
      <c r="G777" s="254" t="inlineStr">
        <is>
          <t>any</t>
        </is>
      </c>
      <c r="H777" s="251" t="n">
        <v>1500</v>
      </c>
      <c r="I777" s="251" t="n">
        <v>1999.99</v>
      </c>
      <c r="J777" s="251" t="n">
        <v>89</v>
      </c>
      <c r="K777" s="254" t="n"/>
    </row>
    <row r="778">
      <c r="B778" s="254" t="inlineStr">
        <is>
          <t>2026-09-26</t>
        </is>
      </c>
      <c r="C778" s="254" t="inlineStr">
        <is>
          <t>licensed-high-volume</t>
        </is>
      </c>
      <c r="D778" s="254" t="inlineStr">
        <is>
          <t>clean</t>
        </is>
      </c>
      <c r="E778" s="254" t="inlineStr">
        <is>
          <t>heavy</t>
        </is>
      </c>
      <c r="F778" s="254" t="inlineStr">
        <is>
          <t>virtual_bid_live_bid</t>
        </is>
      </c>
      <c r="G778" s="254" t="inlineStr">
        <is>
          <t>any</t>
        </is>
      </c>
      <c r="H778" s="251" t="n">
        <v>2000</v>
      </c>
      <c r="I778" s="251" t="n">
        <v>3999.99</v>
      </c>
      <c r="J778" s="251" t="n">
        <v>99</v>
      </c>
      <c r="K778" s="254" t="n"/>
    </row>
    <row r="779">
      <c r="B779" s="254" t="inlineStr">
        <is>
          <t>2026-09-26</t>
        </is>
      </c>
      <c r="C779" s="254" t="inlineStr">
        <is>
          <t>licensed-high-volume</t>
        </is>
      </c>
      <c r="D779" s="254" t="inlineStr">
        <is>
          <t>clean</t>
        </is>
      </c>
      <c r="E779" s="254" t="inlineStr">
        <is>
          <t>heavy</t>
        </is>
      </c>
      <c r="F779" s="254" t="inlineStr">
        <is>
          <t>virtual_bid_live_bid</t>
        </is>
      </c>
      <c r="G779" s="254" t="inlineStr">
        <is>
          <t>any</t>
        </is>
      </c>
      <c r="H779" s="251" t="n">
        <v>4000</v>
      </c>
      <c r="I779" s="251" t="n">
        <v>5999.99</v>
      </c>
      <c r="J779" s="251" t="n">
        <v>109</v>
      </c>
      <c r="K779" s="254" t="n"/>
    </row>
    <row r="780">
      <c r="B780" s="254" t="inlineStr">
        <is>
          <t>2026-09-26</t>
        </is>
      </c>
      <c r="C780" s="254" t="inlineStr">
        <is>
          <t>licensed-high-volume</t>
        </is>
      </c>
      <c r="D780" s="254" t="inlineStr">
        <is>
          <t>clean</t>
        </is>
      </c>
      <c r="E780" s="254" t="inlineStr">
        <is>
          <t>heavy</t>
        </is>
      </c>
      <c r="F780" s="254" t="inlineStr">
        <is>
          <t>virtual_bid_live_bid</t>
        </is>
      </c>
      <c r="G780" s="254" t="inlineStr">
        <is>
          <t>any</t>
        </is>
      </c>
      <c r="H780" s="251" t="n">
        <v>6000</v>
      </c>
      <c r="I780" s="251" t="n">
        <v>7999.99</v>
      </c>
      <c r="J780" s="251" t="n">
        <v>139</v>
      </c>
      <c r="K780" s="254" t="n"/>
    </row>
    <row r="781">
      <c r="B781" s="254" t="inlineStr">
        <is>
          <t>2026-09-26</t>
        </is>
      </c>
      <c r="C781" s="254" t="inlineStr">
        <is>
          <t>licensed-high-volume</t>
        </is>
      </c>
      <c r="D781" s="254" t="inlineStr">
        <is>
          <t>clean</t>
        </is>
      </c>
      <c r="E781" s="254" t="inlineStr">
        <is>
          <t>heavy</t>
        </is>
      </c>
      <c r="F781" s="254" t="inlineStr">
        <is>
          <t>virtual_bid_live_bid</t>
        </is>
      </c>
      <c r="G781" s="254" t="inlineStr">
        <is>
          <t>any</t>
        </is>
      </c>
      <c r="H781" s="251" t="n">
        <v>8000</v>
      </c>
      <c r="I781" s="254" t="n"/>
      <c r="J781" s="251" t="n">
        <v>149</v>
      </c>
      <c r="K781" s="254" t="n"/>
    </row>
    <row r="782">
      <c r="B782" s="254" t="inlineStr">
        <is>
          <t>2026-09-26</t>
        </is>
      </c>
      <c r="C782" s="254" t="inlineStr">
        <is>
          <t>licensed-high-volume</t>
        </is>
      </c>
      <c r="D782" s="254" t="inlineStr">
        <is>
          <t>clean</t>
        </is>
      </c>
      <c r="E782" s="254" t="inlineStr">
        <is>
          <t>heavy</t>
        </is>
      </c>
      <c r="F782" s="254" t="inlineStr">
        <is>
          <t>gate_fee</t>
        </is>
      </c>
      <c r="G782" s="254" t="inlineStr">
        <is>
          <t>any</t>
        </is>
      </c>
      <c r="H782" s="251" t="n">
        <v>0</v>
      </c>
      <c r="I782" s="254" t="n"/>
      <c r="J782" s="251" t="n">
        <v>79</v>
      </c>
      <c r="K782" s="254" t="n"/>
    </row>
    <row r="783">
      <c r="B783" s="254" t="inlineStr">
        <is>
          <t>2026-09-26</t>
        </is>
      </c>
      <c r="C783" s="254" t="inlineStr">
        <is>
          <t>licensed-low-volume</t>
        </is>
      </c>
      <c r="D783" s="254" t="inlineStr">
        <is>
          <t>clean</t>
        </is>
      </c>
      <c r="E783" s="254" t="inlineStr">
        <is>
          <t>standard</t>
        </is>
      </c>
      <c r="F783" s="254" t="inlineStr">
        <is>
          <t>buyer_fee</t>
        </is>
      </c>
      <c r="G783" s="254" t="inlineStr">
        <is>
          <t>secured</t>
        </is>
      </c>
      <c r="H783" s="251" t="n">
        <v>0</v>
      </c>
      <c r="I783" s="251" t="n">
        <v>49.99</v>
      </c>
      <c r="J783" s="251" t="n">
        <v>25</v>
      </c>
      <c r="K783" s="254" t="n"/>
    </row>
    <row r="784">
      <c r="B784" s="254" t="inlineStr">
        <is>
          <t>2026-09-26</t>
        </is>
      </c>
      <c r="C784" s="254" t="inlineStr">
        <is>
          <t>licensed-low-volume</t>
        </is>
      </c>
      <c r="D784" s="254" t="inlineStr">
        <is>
          <t>clean</t>
        </is>
      </c>
      <c r="E784" s="254" t="inlineStr">
        <is>
          <t>standard</t>
        </is>
      </c>
      <c r="F784" s="254" t="inlineStr">
        <is>
          <t>buyer_fee</t>
        </is>
      </c>
      <c r="G784" s="254" t="inlineStr">
        <is>
          <t>secured</t>
        </is>
      </c>
      <c r="H784" s="251" t="n">
        <v>50</v>
      </c>
      <c r="I784" s="251" t="n">
        <v>99.98999999999999</v>
      </c>
      <c r="J784" s="251" t="n">
        <v>45</v>
      </c>
      <c r="K784" s="254" t="n"/>
    </row>
    <row r="785">
      <c r="B785" s="254" t="inlineStr">
        <is>
          <t>2026-09-26</t>
        </is>
      </c>
      <c r="C785" s="254" t="inlineStr">
        <is>
          <t>licensed-low-volume</t>
        </is>
      </c>
      <c r="D785" s="254" t="inlineStr">
        <is>
          <t>clean</t>
        </is>
      </c>
      <c r="E785" s="254" t="inlineStr">
        <is>
          <t>standard</t>
        </is>
      </c>
      <c r="F785" s="254" t="inlineStr">
        <is>
          <t>buyer_fee</t>
        </is>
      </c>
      <c r="G785" s="254" t="inlineStr">
        <is>
          <t>secured</t>
        </is>
      </c>
      <c r="H785" s="251" t="n">
        <v>100</v>
      </c>
      <c r="I785" s="251" t="n">
        <v>199.99</v>
      </c>
      <c r="J785" s="251" t="n">
        <v>80</v>
      </c>
      <c r="K785" s="254" t="n"/>
    </row>
    <row r="786">
      <c r="B786" s="254" t="inlineStr">
        <is>
          <t>2026-09-26</t>
        </is>
      </c>
      <c r="C786" s="254" t="inlineStr">
        <is>
          <t>licensed-low-volume</t>
        </is>
      </c>
      <c r="D786" s="254" t="inlineStr">
        <is>
          <t>clean</t>
        </is>
      </c>
      <c r="E786" s="254" t="inlineStr">
        <is>
          <t>standard</t>
        </is>
      </c>
      <c r="F786" s="254" t="inlineStr">
        <is>
          <t>buyer_fee</t>
        </is>
      </c>
      <c r="G786" s="254" t="inlineStr">
        <is>
          <t>secured</t>
        </is>
      </c>
      <c r="H786" s="251" t="n">
        <v>200</v>
      </c>
      <c r="I786" s="251" t="n">
        <v>299.99</v>
      </c>
      <c r="J786" s="251" t="n">
        <v>120</v>
      </c>
      <c r="K786" s="254" t="n"/>
    </row>
    <row r="787">
      <c r="B787" s="254" t="inlineStr">
        <is>
          <t>2026-09-26</t>
        </is>
      </c>
      <c r="C787" s="254" t="inlineStr">
        <is>
          <t>licensed-low-volume</t>
        </is>
      </c>
      <c r="D787" s="254" t="inlineStr">
        <is>
          <t>clean</t>
        </is>
      </c>
      <c r="E787" s="254" t="inlineStr">
        <is>
          <t>standard</t>
        </is>
      </c>
      <c r="F787" s="254" t="inlineStr">
        <is>
          <t>buyer_fee</t>
        </is>
      </c>
      <c r="G787" s="254" t="inlineStr">
        <is>
          <t>secured</t>
        </is>
      </c>
      <c r="H787" s="251" t="n">
        <v>300</v>
      </c>
      <c r="I787" s="251" t="n">
        <v>349.99</v>
      </c>
      <c r="J787" s="251" t="n">
        <v>120</v>
      </c>
      <c r="K787" s="254" t="n"/>
    </row>
    <row r="788">
      <c r="B788" s="254" t="inlineStr">
        <is>
          <t>2026-09-26</t>
        </is>
      </c>
      <c r="C788" s="254" t="inlineStr">
        <is>
          <t>licensed-low-volume</t>
        </is>
      </c>
      <c r="D788" s="254" t="inlineStr">
        <is>
          <t>clean</t>
        </is>
      </c>
      <c r="E788" s="254" t="inlineStr">
        <is>
          <t>standard</t>
        </is>
      </c>
      <c r="F788" s="254" t="inlineStr">
        <is>
          <t>buyer_fee</t>
        </is>
      </c>
      <c r="G788" s="254" t="inlineStr">
        <is>
          <t>secured</t>
        </is>
      </c>
      <c r="H788" s="251" t="n">
        <v>350</v>
      </c>
      <c r="I788" s="251" t="n">
        <v>399.99</v>
      </c>
      <c r="J788" s="251" t="n">
        <v>120</v>
      </c>
      <c r="K788" s="254" t="n"/>
    </row>
    <row r="789">
      <c r="B789" s="254" t="inlineStr">
        <is>
          <t>2026-09-26</t>
        </is>
      </c>
      <c r="C789" s="254" t="inlineStr">
        <is>
          <t>licensed-low-volume</t>
        </is>
      </c>
      <c r="D789" s="254" t="inlineStr">
        <is>
          <t>clean</t>
        </is>
      </c>
      <c r="E789" s="254" t="inlineStr">
        <is>
          <t>standard</t>
        </is>
      </c>
      <c r="F789" s="254" t="inlineStr">
        <is>
          <t>buyer_fee</t>
        </is>
      </c>
      <c r="G789" s="254" t="inlineStr">
        <is>
          <t>secured</t>
        </is>
      </c>
      <c r="H789" s="251" t="n">
        <v>400</v>
      </c>
      <c r="I789" s="251" t="n">
        <v>449.99</v>
      </c>
      <c r="J789" s="251" t="n">
        <v>160</v>
      </c>
      <c r="K789" s="254" t="n"/>
    </row>
    <row r="790">
      <c r="B790" s="254" t="inlineStr">
        <is>
          <t>2026-09-26</t>
        </is>
      </c>
      <c r="C790" s="254" t="inlineStr">
        <is>
          <t>licensed-low-volume</t>
        </is>
      </c>
      <c r="D790" s="254" t="inlineStr">
        <is>
          <t>clean</t>
        </is>
      </c>
      <c r="E790" s="254" t="inlineStr">
        <is>
          <t>standard</t>
        </is>
      </c>
      <c r="F790" s="254" t="inlineStr">
        <is>
          <t>buyer_fee</t>
        </is>
      </c>
      <c r="G790" s="254" t="inlineStr">
        <is>
          <t>secured</t>
        </is>
      </c>
      <c r="H790" s="251" t="n">
        <v>450</v>
      </c>
      <c r="I790" s="251" t="n">
        <v>499.99</v>
      </c>
      <c r="J790" s="251" t="n">
        <v>160</v>
      </c>
      <c r="K790" s="254" t="n"/>
    </row>
    <row r="791">
      <c r="B791" s="254" t="inlineStr">
        <is>
          <t>2026-09-26</t>
        </is>
      </c>
      <c r="C791" s="254" t="inlineStr">
        <is>
          <t>licensed-low-volume</t>
        </is>
      </c>
      <c r="D791" s="254" t="inlineStr">
        <is>
          <t>clean</t>
        </is>
      </c>
      <c r="E791" s="254" t="inlineStr">
        <is>
          <t>standard</t>
        </is>
      </c>
      <c r="F791" s="254" t="inlineStr">
        <is>
          <t>buyer_fee</t>
        </is>
      </c>
      <c r="G791" s="254" t="inlineStr">
        <is>
          <t>secured</t>
        </is>
      </c>
      <c r="H791" s="251" t="n">
        <v>500</v>
      </c>
      <c r="I791" s="251" t="n">
        <v>549.99</v>
      </c>
      <c r="J791" s="251" t="n">
        <v>185</v>
      </c>
      <c r="K791" s="254" t="n"/>
    </row>
    <row r="792">
      <c r="B792" s="254" t="inlineStr">
        <is>
          <t>2026-09-26</t>
        </is>
      </c>
      <c r="C792" s="254" t="inlineStr">
        <is>
          <t>licensed-low-volume</t>
        </is>
      </c>
      <c r="D792" s="254" t="inlineStr">
        <is>
          <t>clean</t>
        </is>
      </c>
      <c r="E792" s="254" t="inlineStr">
        <is>
          <t>standard</t>
        </is>
      </c>
      <c r="F792" s="254" t="inlineStr">
        <is>
          <t>buyer_fee</t>
        </is>
      </c>
      <c r="G792" s="254" t="inlineStr">
        <is>
          <t>secured</t>
        </is>
      </c>
      <c r="H792" s="251" t="n">
        <v>550</v>
      </c>
      <c r="I792" s="251" t="n">
        <v>599.99</v>
      </c>
      <c r="J792" s="251" t="n">
        <v>185</v>
      </c>
      <c r="K792" s="254" t="n"/>
    </row>
    <row r="793">
      <c r="B793" s="254" t="inlineStr">
        <is>
          <t>2026-09-26</t>
        </is>
      </c>
      <c r="C793" s="254" t="inlineStr">
        <is>
          <t>licensed-low-volume</t>
        </is>
      </c>
      <c r="D793" s="254" t="inlineStr">
        <is>
          <t>clean</t>
        </is>
      </c>
      <c r="E793" s="254" t="inlineStr">
        <is>
          <t>standard</t>
        </is>
      </c>
      <c r="F793" s="254" t="inlineStr">
        <is>
          <t>buyer_fee</t>
        </is>
      </c>
      <c r="G793" s="254" t="inlineStr">
        <is>
          <t>secured</t>
        </is>
      </c>
      <c r="H793" s="251" t="n">
        <v>600</v>
      </c>
      <c r="I793" s="251" t="n">
        <v>699.99</v>
      </c>
      <c r="J793" s="251" t="n">
        <v>210</v>
      </c>
      <c r="K793" s="254" t="n"/>
    </row>
    <row r="794">
      <c r="B794" s="254" t="inlineStr">
        <is>
          <t>2026-09-26</t>
        </is>
      </c>
      <c r="C794" s="254" t="inlineStr">
        <is>
          <t>licensed-low-volume</t>
        </is>
      </c>
      <c r="D794" s="254" t="inlineStr">
        <is>
          <t>clean</t>
        </is>
      </c>
      <c r="E794" s="254" t="inlineStr">
        <is>
          <t>standard</t>
        </is>
      </c>
      <c r="F794" s="254" t="inlineStr">
        <is>
          <t>buyer_fee</t>
        </is>
      </c>
      <c r="G794" s="254" t="inlineStr">
        <is>
          <t>secured</t>
        </is>
      </c>
      <c r="H794" s="251" t="n">
        <v>700</v>
      </c>
      <c r="I794" s="251" t="n">
        <v>799.99</v>
      </c>
      <c r="J794" s="251" t="n">
        <v>230</v>
      </c>
      <c r="K794" s="254" t="n"/>
    </row>
    <row r="795">
      <c r="B795" s="254" t="inlineStr">
        <is>
          <t>2026-09-26</t>
        </is>
      </c>
      <c r="C795" s="254" t="inlineStr">
        <is>
          <t>licensed-low-volume</t>
        </is>
      </c>
      <c r="D795" s="254" t="inlineStr">
        <is>
          <t>clean</t>
        </is>
      </c>
      <c r="E795" s="254" t="inlineStr">
        <is>
          <t>standard</t>
        </is>
      </c>
      <c r="F795" s="254" t="inlineStr">
        <is>
          <t>buyer_fee</t>
        </is>
      </c>
      <c r="G795" s="254" t="inlineStr">
        <is>
          <t>secured</t>
        </is>
      </c>
      <c r="H795" s="251" t="n">
        <v>800</v>
      </c>
      <c r="I795" s="251" t="n">
        <v>899.99</v>
      </c>
      <c r="J795" s="251" t="n">
        <v>250</v>
      </c>
      <c r="K795" s="254" t="n"/>
    </row>
    <row r="796">
      <c r="B796" s="254" t="inlineStr">
        <is>
          <t>2026-09-26</t>
        </is>
      </c>
      <c r="C796" s="254" t="inlineStr">
        <is>
          <t>licensed-low-volume</t>
        </is>
      </c>
      <c r="D796" s="254" t="inlineStr">
        <is>
          <t>clean</t>
        </is>
      </c>
      <c r="E796" s="254" t="inlineStr">
        <is>
          <t>standard</t>
        </is>
      </c>
      <c r="F796" s="254" t="inlineStr">
        <is>
          <t>buyer_fee</t>
        </is>
      </c>
      <c r="G796" s="254" t="inlineStr">
        <is>
          <t>secured</t>
        </is>
      </c>
      <c r="H796" s="251" t="n">
        <v>900</v>
      </c>
      <c r="I796" s="251" t="n">
        <v>999.99</v>
      </c>
      <c r="J796" s="251" t="n">
        <v>275</v>
      </c>
      <c r="K796" s="254" t="n"/>
    </row>
    <row r="797">
      <c r="B797" s="254" t="inlineStr">
        <is>
          <t>2026-09-26</t>
        </is>
      </c>
      <c r="C797" s="254" t="inlineStr">
        <is>
          <t>licensed-low-volume</t>
        </is>
      </c>
      <c r="D797" s="254" t="inlineStr">
        <is>
          <t>clean</t>
        </is>
      </c>
      <c r="E797" s="254" t="inlineStr">
        <is>
          <t>standard</t>
        </is>
      </c>
      <c r="F797" s="254" t="inlineStr">
        <is>
          <t>buyer_fee</t>
        </is>
      </c>
      <c r="G797" s="254" t="inlineStr">
        <is>
          <t>secured</t>
        </is>
      </c>
      <c r="H797" s="251" t="n">
        <v>1000</v>
      </c>
      <c r="I797" s="251" t="n">
        <v>1199.99</v>
      </c>
      <c r="J797" s="251" t="n">
        <v>325</v>
      </c>
      <c r="K797" s="254" t="n"/>
    </row>
    <row r="798">
      <c r="B798" s="254" t="inlineStr">
        <is>
          <t>2026-09-26</t>
        </is>
      </c>
      <c r="C798" s="254" t="inlineStr">
        <is>
          <t>licensed-low-volume</t>
        </is>
      </c>
      <c r="D798" s="254" t="inlineStr">
        <is>
          <t>clean</t>
        </is>
      </c>
      <c r="E798" s="254" t="inlineStr">
        <is>
          <t>standard</t>
        </is>
      </c>
      <c r="F798" s="254" t="inlineStr">
        <is>
          <t>buyer_fee</t>
        </is>
      </c>
      <c r="G798" s="254" t="inlineStr">
        <is>
          <t>secured</t>
        </is>
      </c>
      <c r="H798" s="251" t="n">
        <v>1200</v>
      </c>
      <c r="I798" s="251" t="n">
        <v>1299.99</v>
      </c>
      <c r="J798" s="251" t="n">
        <v>350</v>
      </c>
      <c r="K798" s="254" t="n"/>
    </row>
    <row r="799">
      <c r="B799" s="254" t="inlineStr">
        <is>
          <t>2026-09-26</t>
        </is>
      </c>
      <c r="C799" s="254" t="inlineStr">
        <is>
          <t>licensed-low-volume</t>
        </is>
      </c>
      <c r="D799" s="254" t="inlineStr">
        <is>
          <t>clean</t>
        </is>
      </c>
      <c r="E799" s="254" t="inlineStr">
        <is>
          <t>standard</t>
        </is>
      </c>
      <c r="F799" s="254" t="inlineStr">
        <is>
          <t>buyer_fee</t>
        </is>
      </c>
      <c r="G799" s="254" t="inlineStr">
        <is>
          <t>secured</t>
        </is>
      </c>
      <c r="H799" s="251" t="n">
        <v>1300</v>
      </c>
      <c r="I799" s="251" t="n">
        <v>1399.99</v>
      </c>
      <c r="J799" s="251" t="n">
        <v>365</v>
      </c>
      <c r="K799" s="254" t="n"/>
    </row>
    <row r="800">
      <c r="B800" s="254" t="inlineStr">
        <is>
          <t>2026-09-26</t>
        </is>
      </c>
      <c r="C800" s="254" t="inlineStr">
        <is>
          <t>licensed-low-volume</t>
        </is>
      </c>
      <c r="D800" s="254" t="inlineStr">
        <is>
          <t>clean</t>
        </is>
      </c>
      <c r="E800" s="254" t="inlineStr">
        <is>
          <t>standard</t>
        </is>
      </c>
      <c r="F800" s="254" t="inlineStr">
        <is>
          <t>buyer_fee</t>
        </is>
      </c>
      <c r="G800" s="254" t="inlineStr">
        <is>
          <t>secured</t>
        </is>
      </c>
      <c r="H800" s="251" t="n">
        <v>1400</v>
      </c>
      <c r="I800" s="251" t="n">
        <v>1499.99</v>
      </c>
      <c r="J800" s="251" t="n">
        <v>380</v>
      </c>
      <c r="K800" s="254" t="n"/>
    </row>
    <row r="801">
      <c r="B801" s="254" t="inlineStr">
        <is>
          <t>2026-09-26</t>
        </is>
      </c>
      <c r="C801" s="254" t="inlineStr">
        <is>
          <t>licensed-low-volume</t>
        </is>
      </c>
      <c r="D801" s="254" t="inlineStr">
        <is>
          <t>clean</t>
        </is>
      </c>
      <c r="E801" s="254" t="inlineStr">
        <is>
          <t>standard</t>
        </is>
      </c>
      <c r="F801" s="254" t="inlineStr">
        <is>
          <t>buyer_fee</t>
        </is>
      </c>
      <c r="G801" s="254" t="inlineStr">
        <is>
          <t>secured</t>
        </is>
      </c>
      <c r="H801" s="251" t="n">
        <v>1500</v>
      </c>
      <c r="I801" s="251" t="n">
        <v>1599.99</v>
      </c>
      <c r="J801" s="251" t="n">
        <v>390</v>
      </c>
      <c r="K801" s="254" t="n"/>
    </row>
    <row r="802">
      <c r="B802" s="254" t="inlineStr">
        <is>
          <t>2026-09-26</t>
        </is>
      </c>
      <c r="C802" s="254" t="inlineStr">
        <is>
          <t>licensed-low-volume</t>
        </is>
      </c>
      <c r="D802" s="254" t="inlineStr">
        <is>
          <t>clean</t>
        </is>
      </c>
      <c r="E802" s="254" t="inlineStr">
        <is>
          <t>standard</t>
        </is>
      </c>
      <c r="F802" s="254" t="inlineStr">
        <is>
          <t>buyer_fee</t>
        </is>
      </c>
      <c r="G802" s="254" t="inlineStr">
        <is>
          <t>secured</t>
        </is>
      </c>
      <c r="H802" s="251" t="n">
        <v>1600</v>
      </c>
      <c r="I802" s="251" t="n">
        <v>1699.99</v>
      </c>
      <c r="J802" s="251" t="n">
        <v>410</v>
      </c>
      <c r="K802" s="254" t="n"/>
    </row>
    <row r="803">
      <c r="B803" s="254" t="inlineStr">
        <is>
          <t>2026-09-26</t>
        </is>
      </c>
      <c r="C803" s="254" t="inlineStr">
        <is>
          <t>licensed-low-volume</t>
        </is>
      </c>
      <c r="D803" s="254" t="inlineStr">
        <is>
          <t>clean</t>
        </is>
      </c>
      <c r="E803" s="254" t="inlineStr">
        <is>
          <t>standard</t>
        </is>
      </c>
      <c r="F803" s="254" t="inlineStr">
        <is>
          <t>buyer_fee</t>
        </is>
      </c>
      <c r="G803" s="254" t="inlineStr">
        <is>
          <t>secured</t>
        </is>
      </c>
      <c r="H803" s="251" t="n">
        <v>1700</v>
      </c>
      <c r="I803" s="251" t="n">
        <v>1799.99</v>
      </c>
      <c r="J803" s="251" t="n">
        <v>420</v>
      </c>
      <c r="K803" s="254" t="n"/>
    </row>
    <row r="804">
      <c r="B804" s="254" t="inlineStr">
        <is>
          <t>2026-09-26</t>
        </is>
      </c>
      <c r="C804" s="254" t="inlineStr">
        <is>
          <t>licensed-low-volume</t>
        </is>
      </c>
      <c r="D804" s="254" t="inlineStr">
        <is>
          <t>clean</t>
        </is>
      </c>
      <c r="E804" s="254" t="inlineStr">
        <is>
          <t>standard</t>
        </is>
      </c>
      <c r="F804" s="254" t="inlineStr">
        <is>
          <t>buyer_fee</t>
        </is>
      </c>
      <c r="G804" s="254" t="inlineStr">
        <is>
          <t>secured</t>
        </is>
      </c>
      <c r="H804" s="251" t="n">
        <v>1800</v>
      </c>
      <c r="I804" s="251" t="n">
        <v>1999.99</v>
      </c>
      <c r="J804" s="251" t="n">
        <v>440</v>
      </c>
      <c r="K804" s="254" t="n"/>
    </row>
    <row r="805">
      <c r="B805" s="254" t="inlineStr">
        <is>
          <t>2026-09-26</t>
        </is>
      </c>
      <c r="C805" s="254" t="inlineStr">
        <is>
          <t>licensed-low-volume</t>
        </is>
      </c>
      <c r="D805" s="254" t="inlineStr">
        <is>
          <t>clean</t>
        </is>
      </c>
      <c r="E805" s="254" t="inlineStr">
        <is>
          <t>standard</t>
        </is>
      </c>
      <c r="F805" s="254" t="inlineStr">
        <is>
          <t>buyer_fee</t>
        </is>
      </c>
      <c r="G805" s="254" t="inlineStr">
        <is>
          <t>secured</t>
        </is>
      </c>
      <c r="H805" s="251" t="n">
        <v>2000</v>
      </c>
      <c r="I805" s="251" t="n">
        <v>2399.99</v>
      </c>
      <c r="J805" s="251" t="n">
        <v>470</v>
      </c>
      <c r="K805" s="254" t="n"/>
    </row>
    <row r="806">
      <c r="B806" s="254" t="inlineStr">
        <is>
          <t>2026-09-26</t>
        </is>
      </c>
      <c r="C806" s="254" t="inlineStr">
        <is>
          <t>licensed-low-volume</t>
        </is>
      </c>
      <c r="D806" s="254" t="inlineStr">
        <is>
          <t>clean</t>
        </is>
      </c>
      <c r="E806" s="254" t="inlineStr">
        <is>
          <t>standard</t>
        </is>
      </c>
      <c r="F806" s="254" t="inlineStr">
        <is>
          <t>buyer_fee</t>
        </is>
      </c>
      <c r="G806" s="254" t="inlineStr">
        <is>
          <t>secured</t>
        </is>
      </c>
      <c r="H806" s="251" t="n">
        <v>2400</v>
      </c>
      <c r="I806" s="251" t="n">
        <v>2499.99</v>
      </c>
      <c r="J806" s="251" t="n">
        <v>480</v>
      </c>
      <c r="K806" s="254" t="n"/>
    </row>
    <row r="807">
      <c r="B807" s="254" t="inlineStr">
        <is>
          <t>2026-09-26</t>
        </is>
      </c>
      <c r="C807" s="254" t="inlineStr">
        <is>
          <t>licensed-low-volume</t>
        </is>
      </c>
      <c r="D807" s="254" t="inlineStr">
        <is>
          <t>clean</t>
        </is>
      </c>
      <c r="E807" s="254" t="inlineStr">
        <is>
          <t>standard</t>
        </is>
      </c>
      <c r="F807" s="254" t="inlineStr">
        <is>
          <t>buyer_fee</t>
        </is>
      </c>
      <c r="G807" s="254" t="inlineStr">
        <is>
          <t>secured</t>
        </is>
      </c>
      <c r="H807" s="251" t="n">
        <v>2500</v>
      </c>
      <c r="I807" s="251" t="n">
        <v>2999.99</v>
      </c>
      <c r="J807" s="251" t="n">
        <v>500</v>
      </c>
      <c r="K807" s="254" t="n"/>
    </row>
    <row r="808">
      <c r="B808" s="254" t="inlineStr">
        <is>
          <t>2026-09-26</t>
        </is>
      </c>
      <c r="C808" s="254" t="inlineStr">
        <is>
          <t>licensed-low-volume</t>
        </is>
      </c>
      <c r="D808" s="254" t="inlineStr">
        <is>
          <t>clean</t>
        </is>
      </c>
      <c r="E808" s="254" t="inlineStr">
        <is>
          <t>standard</t>
        </is>
      </c>
      <c r="F808" s="254" t="inlineStr">
        <is>
          <t>buyer_fee</t>
        </is>
      </c>
      <c r="G808" s="254" t="inlineStr">
        <is>
          <t>secured</t>
        </is>
      </c>
      <c r="H808" s="251" t="n">
        <v>3000</v>
      </c>
      <c r="I808" s="251" t="n">
        <v>3499.99</v>
      </c>
      <c r="J808" s="251" t="n">
        <v>600</v>
      </c>
      <c r="K808" s="254" t="n"/>
    </row>
    <row r="809">
      <c r="B809" s="254" t="inlineStr">
        <is>
          <t>2026-09-26</t>
        </is>
      </c>
      <c r="C809" s="254" t="inlineStr">
        <is>
          <t>licensed-low-volume</t>
        </is>
      </c>
      <c r="D809" s="254" t="inlineStr">
        <is>
          <t>clean</t>
        </is>
      </c>
      <c r="E809" s="254" t="inlineStr">
        <is>
          <t>standard</t>
        </is>
      </c>
      <c r="F809" s="254" t="inlineStr">
        <is>
          <t>buyer_fee</t>
        </is>
      </c>
      <c r="G809" s="254" t="inlineStr">
        <is>
          <t>secured</t>
        </is>
      </c>
      <c r="H809" s="251" t="n">
        <v>3500</v>
      </c>
      <c r="I809" s="251" t="n">
        <v>3999.99</v>
      </c>
      <c r="J809" s="251" t="n">
        <v>675</v>
      </c>
      <c r="K809" s="254" t="n"/>
    </row>
    <row r="810">
      <c r="B810" s="254" t="inlineStr">
        <is>
          <t>2026-09-26</t>
        </is>
      </c>
      <c r="C810" s="254" t="inlineStr">
        <is>
          <t>licensed-low-volume</t>
        </is>
      </c>
      <c r="D810" s="254" t="inlineStr">
        <is>
          <t>clean</t>
        </is>
      </c>
      <c r="E810" s="254" t="inlineStr">
        <is>
          <t>standard</t>
        </is>
      </c>
      <c r="F810" s="254" t="inlineStr">
        <is>
          <t>buyer_fee</t>
        </is>
      </c>
      <c r="G810" s="254" t="inlineStr">
        <is>
          <t>secured</t>
        </is>
      </c>
      <c r="H810" s="251" t="n">
        <v>4000</v>
      </c>
      <c r="I810" s="251" t="n">
        <v>4499.99</v>
      </c>
      <c r="J810" s="251" t="n">
        <v>710</v>
      </c>
      <c r="K810" s="254" t="n"/>
    </row>
    <row r="811">
      <c r="B811" s="254" t="inlineStr">
        <is>
          <t>2026-09-26</t>
        </is>
      </c>
      <c r="C811" s="254" t="inlineStr">
        <is>
          <t>licensed-low-volume</t>
        </is>
      </c>
      <c r="D811" s="254" t="inlineStr">
        <is>
          <t>clean</t>
        </is>
      </c>
      <c r="E811" s="254" t="inlineStr">
        <is>
          <t>standard</t>
        </is>
      </c>
      <c r="F811" s="254" t="inlineStr">
        <is>
          <t>buyer_fee</t>
        </is>
      </c>
      <c r="G811" s="254" t="inlineStr">
        <is>
          <t>secured</t>
        </is>
      </c>
      <c r="H811" s="251" t="n">
        <v>4500</v>
      </c>
      <c r="I811" s="251" t="n">
        <v>4999.99</v>
      </c>
      <c r="J811" s="251" t="n">
        <v>750</v>
      </c>
      <c r="K811" s="254" t="n"/>
    </row>
    <row r="812">
      <c r="B812" s="254" t="inlineStr">
        <is>
          <t>2026-09-26</t>
        </is>
      </c>
      <c r="C812" s="254" t="inlineStr">
        <is>
          <t>licensed-low-volume</t>
        </is>
      </c>
      <c r="D812" s="254" t="inlineStr">
        <is>
          <t>clean</t>
        </is>
      </c>
      <c r="E812" s="254" t="inlineStr">
        <is>
          <t>standard</t>
        </is>
      </c>
      <c r="F812" s="254" t="inlineStr">
        <is>
          <t>buyer_fee</t>
        </is>
      </c>
      <c r="G812" s="254" t="inlineStr">
        <is>
          <t>secured</t>
        </is>
      </c>
      <c r="H812" s="251" t="n">
        <v>5000</v>
      </c>
      <c r="I812" s="251" t="n">
        <v>5499.99</v>
      </c>
      <c r="J812" s="251" t="n">
        <v>750</v>
      </c>
      <c r="K812" s="254" t="n"/>
    </row>
    <row r="813">
      <c r="B813" s="254" t="inlineStr">
        <is>
          <t>2026-09-26</t>
        </is>
      </c>
      <c r="C813" s="254" t="inlineStr">
        <is>
          <t>licensed-low-volume</t>
        </is>
      </c>
      <c r="D813" s="254" t="inlineStr">
        <is>
          <t>clean</t>
        </is>
      </c>
      <c r="E813" s="254" t="inlineStr">
        <is>
          <t>standard</t>
        </is>
      </c>
      <c r="F813" s="254" t="inlineStr">
        <is>
          <t>buyer_fee</t>
        </is>
      </c>
      <c r="G813" s="254" t="inlineStr">
        <is>
          <t>secured</t>
        </is>
      </c>
      <c r="H813" s="251" t="n">
        <v>5500</v>
      </c>
      <c r="I813" s="251" t="n">
        <v>5999.99</v>
      </c>
      <c r="J813" s="251" t="n">
        <v>750</v>
      </c>
      <c r="K813" s="254" t="n"/>
    </row>
    <row r="814">
      <c r="B814" s="254" t="inlineStr">
        <is>
          <t>2026-09-26</t>
        </is>
      </c>
      <c r="C814" s="254" t="inlineStr">
        <is>
          <t>licensed-low-volume</t>
        </is>
      </c>
      <c r="D814" s="254" t="inlineStr">
        <is>
          <t>clean</t>
        </is>
      </c>
      <c r="E814" s="254" t="inlineStr">
        <is>
          <t>standard</t>
        </is>
      </c>
      <c r="F814" s="254" t="inlineStr">
        <is>
          <t>buyer_fee</t>
        </is>
      </c>
      <c r="G814" s="254" t="inlineStr">
        <is>
          <t>secured</t>
        </is>
      </c>
      <c r="H814" s="251" t="n">
        <v>6000</v>
      </c>
      <c r="I814" s="251" t="n">
        <v>6499.99</v>
      </c>
      <c r="J814" s="251" t="n">
        <v>800</v>
      </c>
      <c r="K814" s="254" t="n"/>
    </row>
    <row r="815">
      <c r="B815" s="254" t="inlineStr">
        <is>
          <t>2026-09-26</t>
        </is>
      </c>
      <c r="C815" s="254" t="inlineStr">
        <is>
          <t>licensed-low-volume</t>
        </is>
      </c>
      <c r="D815" s="254" t="inlineStr">
        <is>
          <t>clean</t>
        </is>
      </c>
      <c r="E815" s="254" t="inlineStr">
        <is>
          <t>standard</t>
        </is>
      </c>
      <c r="F815" s="254" t="inlineStr">
        <is>
          <t>buyer_fee</t>
        </is>
      </c>
      <c r="G815" s="254" t="inlineStr">
        <is>
          <t>secured</t>
        </is>
      </c>
      <c r="H815" s="251" t="n">
        <v>6500</v>
      </c>
      <c r="I815" s="251" t="n">
        <v>6999.99</v>
      </c>
      <c r="J815" s="251" t="n">
        <v>800</v>
      </c>
      <c r="K815" s="254" t="n"/>
    </row>
    <row r="816">
      <c r="B816" s="254" t="inlineStr">
        <is>
          <t>2026-09-26</t>
        </is>
      </c>
      <c r="C816" s="254" t="inlineStr">
        <is>
          <t>licensed-low-volume</t>
        </is>
      </c>
      <c r="D816" s="254" t="inlineStr">
        <is>
          <t>clean</t>
        </is>
      </c>
      <c r="E816" s="254" t="inlineStr">
        <is>
          <t>standard</t>
        </is>
      </c>
      <c r="F816" s="254" t="inlineStr">
        <is>
          <t>buyer_fee</t>
        </is>
      </c>
      <c r="G816" s="254" t="inlineStr">
        <is>
          <t>secured</t>
        </is>
      </c>
      <c r="H816" s="251" t="n">
        <v>7000</v>
      </c>
      <c r="I816" s="251" t="n">
        <v>7499.99</v>
      </c>
      <c r="J816" s="251" t="n">
        <v>800</v>
      </c>
      <c r="K816" s="254" t="n"/>
    </row>
    <row r="817">
      <c r="B817" s="254" t="inlineStr">
        <is>
          <t>2026-09-26</t>
        </is>
      </c>
      <c r="C817" s="254" t="inlineStr">
        <is>
          <t>licensed-low-volume</t>
        </is>
      </c>
      <c r="D817" s="254" t="inlineStr">
        <is>
          <t>clean</t>
        </is>
      </c>
      <c r="E817" s="254" t="inlineStr">
        <is>
          <t>standard</t>
        </is>
      </c>
      <c r="F817" s="254" t="inlineStr">
        <is>
          <t>buyer_fee</t>
        </is>
      </c>
      <c r="G817" s="254" t="inlineStr">
        <is>
          <t>secured</t>
        </is>
      </c>
      <c r="H817" s="251" t="n">
        <v>7500</v>
      </c>
      <c r="I817" s="251" t="n">
        <v>7999.99</v>
      </c>
      <c r="J817" s="251" t="n">
        <v>815</v>
      </c>
      <c r="K817" s="254" t="n"/>
    </row>
    <row r="818">
      <c r="B818" s="254" t="inlineStr">
        <is>
          <t>2026-09-26</t>
        </is>
      </c>
      <c r="C818" s="254" t="inlineStr">
        <is>
          <t>licensed-low-volume</t>
        </is>
      </c>
      <c r="D818" s="254" t="inlineStr">
        <is>
          <t>clean</t>
        </is>
      </c>
      <c r="E818" s="254" t="inlineStr">
        <is>
          <t>standard</t>
        </is>
      </c>
      <c r="F818" s="254" t="inlineStr">
        <is>
          <t>buyer_fee</t>
        </is>
      </c>
      <c r="G818" s="254" t="inlineStr">
        <is>
          <t>secured</t>
        </is>
      </c>
      <c r="H818" s="251" t="n">
        <v>8000</v>
      </c>
      <c r="I818" s="251" t="n">
        <v>8499.99</v>
      </c>
      <c r="J818" s="251" t="n">
        <v>840</v>
      </c>
      <c r="K818" s="254" t="n"/>
    </row>
    <row r="819">
      <c r="B819" s="254" t="inlineStr">
        <is>
          <t>2026-09-26</t>
        </is>
      </c>
      <c r="C819" s="254" t="inlineStr">
        <is>
          <t>licensed-low-volume</t>
        </is>
      </c>
      <c r="D819" s="254" t="inlineStr">
        <is>
          <t>clean</t>
        </is>
      </c>
      <c r="E819" s="254" t="inlineStr">
        <is>
          <t>standard</t>
        </is>
      </c>
      <c r="F819" s="254" t="inlineStr">
        <is>
          <t>buyer_fee</t>
        </is>
      </c>
      <c r="G819" s="254" t="inlineStr">
        <is>
          <t>secured</t>
        </is>
      </c>
      <c r="H819" s="251" t="n">
        <v>8500</v>
      </c>
      <c r="I819" s="251" t="n">
        <v>8999.99</v>
      </c>
      <c r="J819" s="251" t="n">
        <v>840</v>
      </c>
      <c r="K819" s="254" t="n"/>
    </row>
    <row r="820">
      <c r="B820" s="254" t="inlineStr">
        <is>
          <t>2026-09-26</t>
        </is>
      </c>
      <c r="C820" s="254" t="inlineStr">
        <is>
          <t>licensed-low-volume</t>
        </is>
      </c>
      <c r="D820" s="254" t="inlineStr">
        <is>
          <t>clean</t>
        </is>
      </c>
      <c r="E820" s="254" t="inlineStr">
        <is>
          <t>standard</t>
        </is>
      </c>
      <c r="F820" s="254" t="inlineStr">
        <is>
          <t>buyer_fee</t>
        </is>
      </c>
      <c r="G820" s="254" t="inlineStr">
        <is>
          <t>secured</t>
        </is>
      </c>
      <c r="H820" s="251" t="n">
        <v>9000</v>
      </c>
      <c r="I820" s="251" t="n">
        <v>9999.99</v>
      </c>
      <c r="J820" s="251" t="n">
        <v>840</v>
      </c>
      <c r="K820" s="254" t="n"/>
    </row>
    <row r="821">
      <c r="B821" s="254" t="inlineStr">
        <is>
          <t>2026-09-26</t>
        </is>
      </c>
      <c r="C821" s="254" t="inlineStr">
        <is>
          <t>licensed-low-volume</t>
        </is>
      </c>
      <c r="D821" s="254" t="inlineStr">
        <is>
          <t>clean</t>
        </is>
      </c>
      <c r="E821" s="254" t="inlineStr">
        <is>
          <t>standard</t>
        </is>
      </c>
      <c r="F821" s="254" t="inlineStr">
        <is>
          <t>buyer_fee</t>
        </is>
      </c>
      <c r="G821" s="254" t="inlineStr">
        <is>
          <t>secured</t>
        </is>
      </c>
      <c r="H821" s="251" t="n">
        <v>10000</v>
      </c>
      <c r="I821" s="251" t="n">
        <v>10499.99</v>
      </c>
      <c r="J821" s="251" t="n">
        <v>850</v>
      </c>
      <c r="K821" s="254" t="n"/>
    </row>
    <row r="822">
      <c r="B822" s="254" t="inlineStr">
        <is>
          <t>2026-09-26</t>
        </is>
      </c>
      <c r="C822" s="254" t="inlineStr">
        <is>
          <t>licensed-low-volume</t>
        </is>
      </c>
      <c r="D822" s="254" t="inlineStr">
        <is>
          <t>clean</t>
        </is>
      </c>
      <c r="E822" s="254" t="inlineStr">
        <is>
          <t>standard</t>
        </is>
      </c>
      <c r="F822" s="254" t="inlineStr">
        <is>
          <t>buyer_fee</t>
        </is>
      </c>
      <c r="G822" s="254" t="inlineStr">
        <is>
          <t>secured</t>
        </is>
      </c>
      <c r="H822" s="251" t="n">
        <v>10500</v>
      </c>
      <c r="I822" s="251" t="n">
        <v>10999.99</v>
      </c>
      <c r="J822" s="251" t="n">
        <v>850</v>
      </c>
      <c r="K822" s="254" t="n"/>
    </row>
    <row r="823">
      <c r="B823" s="254" t="inlineStr">
        <is>
          <t>2026-09-26</t>
        </is>
      </c>
      <c r="C823" s="254" t="inlineStr">
        <is>
          <t>licensed-low-volume</t>
        </is>
      </c>
      <c r="D823" s="254" t="inlineStr">
        <is>
          <t>clean</t>
        </is>
      </c>
      <c r="E823" s="254" t="inlineStr">
        <is>
          <t>standard</t>
        </is>
      </c>
      <c r="F823" s="254" t="inlineStr">
        <is>
          <t>buyer_fee</t>
        </is>
      </c>
      <c r="G823" s="254" t="inlineStr">
        <is>
          <t>secured</t>
        </is>
      </c>
      <c r="H823" s="251" t="n">
        <v>11000</v>
      </c>
      <c r="I823" s="251" t="n">
        <v>11499.99</v>
      </c>
      <c r="J823" s="251" t="n">
        <v>850</v>
      </c>
      <c r="K823" s="254" t="n"/>
    </row>
    <row r="824">
      <c r="B824" s="254" t="inlineStr">
        <is>
          <t>2026-09-26</t>
        </is>
      </c>
      <c r="C824" s="254" t="inlineStr">
        <is>
          <t>licensed-low-volume</t>
        </is>
      </c>
      <c r="D824" s="254" t="inlineStr">
        <is>
          <t>clean</t>
        </is>
      </c>
      <c r="E824" s="254" t="inlineStr">
        <is>
          <t>standard</t>
        </is>
      </c>
      <c r="F824" s="254" t="inlineStr">
        <is>
          <t>buyer_fee</t>
        </is>
      </c>
      <c r="G824" s="254" t="inlineStr">
        <is>
          <t>secured</t>
        </is>
      </c>
      <c r="H824" s="251" t="n">
        <v>11500</v>
      </c>
      <c r="I824" s="251" t="n">
        <v>11999.99</v>
      </c>
      <c r="J824" s="251" t="n">
        <v>850</v>
      </c>
      <c r="K824" s="254" t="n"/>
    </row>
    <row r="825">
      <c r="B825" s="254" t="inlineStr">
        <is>
          <t>2026-09-26</t>
        </is>
      </c>
      <c r="C825" s="254" t="inlineStr">
        <is>
          <t>licensed-low-volume</t>
        </is>
      </c>
      <c r="D825" s="254" t="inlineStr">
        <is>
          <t>clean</t>
        </is>
      </c>
      <c r="E825" s="254" t="inlineStr">
        <is>
          <t>standard</t>
        </is>
      </c>
      <c r="F825" s="254" t="inlineStr">
        <is>
          <t>buyer_fee</t>
        </is>
      </c>
      <c r="G825" s="254" t="inlineStr">
        <is>
          <t>secured</t>
        </is>
      </c>
      <c r="H825" s="251" t="n">
        <v>12000</v>
      </c>
      <c r="I825" s="251" t="n">
        <v>12499.99</v>
      </c>
      <c r="J825" s="251" t="n">
        <v>850</v>
      </c>
      <c r="K825" s="254" t="n"/>
    </row>
    <row r="826">
      <c r="B826" s="254" t="inlineStr">
        <is>
          <t>2026-09-26</t>
        </is>
      </c>
      <c r="C826" s="254" t="inlineStr">
        <is>
          <t>licensed-low-volume</t>
        </is>
      </c>
      <c r="D826" s="254" t="inlineStr">
        <is>
          <t>clean</t>
        </is>
      </c>
      <c r="E826" s="254" t="inlineStr">
        <is>
          <t>standard</t>
        </is>
      </c>
      <c r="F826" s="254" t="inlineStr">
        <is>
          <t>buyer_fee</t>
        </is>
      </c>
      <c r="G826" s="254" t="inlineStr">
        <is>
          <t>secured</t>
        </is>
      </c>
      <c r="H826" s="251" t="n">
        <v>12500</v>
      </c>
      <c r="I826" s="251" t="n">
        <v>14999.99</v>
      </c>
      <c r="J826" s="251" t="n">
        <v>850</v>
      </c>
      <c r="K826" s="254" t="n"/>
    </row>
    <row r="827">
      <c r="B827" s="254" t="inlineStr">
        <is>
          <t>2026-09-26</t>
        </is>
      </c>
      <c r="C827" s="254" t="inlineStr">
        <is>
          <t>licensed-low-volume</t>
        </is>
      </c>
      <c r="D827" s="254" t="inlineStr">
        <is>
          <t>clean</t>
        </is>
      </c>
      <c r="E827" s="254" t="inlineStr">
        <is>
          <t>standard</t>
        </is>
      </c>
      <c r="F827" s="254" t="inlineStr">
        <is>
          <t>buyer_fee</t>
        </is>
      </c>
      <c r="G827" s="254" t="inlineStr">
        <is>
          <t>secured</t>
        </is>
      </c>
      <c r="H827" s="251" t="n">
        <v>15000</v>
      </c>
      <c r="I827" s="254" t="n"/>
      <c r="J827" s="254" t="n"/>
      <c r="K827" s="251" t="n">
        <v>7.25</v>
      </c>
    </row>
    <row r="828">
      <c r="B828" s="254" t="inlineStr">
        <is>
          <t>2026-09-26</t>
        </is>
      </c>
      <c r="C828" s="254" t="inlineStr">
        <is>
          <t>licensed-low-volume</t>
        </is>
      </c>
      <c r="D828" s="254" t="inlineStr">
        <is>
          <t>clean</t>
        </is>
      </c>
      <c r="E828" s="254" t="inlineStr">
        <is>
          <t>standard</t>
        </is>
      </c>
      <c r="F828" s="254" t="inlineStr">
        <is>
          <t>buyer_fee</t>
        </is>
      </c>
      <c r="G828" s="254" t="inlineStr">
        <is>
          <t>unsecured</t>
        </is>
      </c>
      <c r="H828" s="251" t="n">
        <v>0</v>
      </c>
      <c r="I828" s="251" t="n">
        <v>49.99</v>
      </c>
      <c r="J828" s="251" t="n">
        <v>27.5</v>
      </c>
      <c r="K828" s="254" t="n"/>
    </row>
    <row r="829">
      <c r="B829" s="254" t="inlineStr">
        <is>
          <t>2026-09-26</t>
        </is>
      </c>
      <c r="C829" s="254" t="inlineStr">
        <is>
          <t>licensed-low-volume</t>
        </is>
      </c>
      <c r="D829" s="254" t="inlineStr">
        <is>
          <t>clean</t>
        </is>
      </c>
      <c r="E829" s="254" t="inlineStr">
        <is>
          <t>standard</t>
        </is>
      </c>
      <c r="F829" s="254" t="inlineStr">
        <is>
          <t>buyer_fee</t>
        </is>
      </c>
      <c r="G829" s="254" t="inlineStr">
        <is>
          <t>unsecured</t>
        </is>
      </c>
      <c r="H829" s="251" t="n">
        <v>50</v>
      </c>
      <c r="I829" s="251" t="n">
        <v>99.98999999999999</v>
      </c>
      <c r="J829" s="251" t="n">
        <v>50</v>
      </c>
      <c r="K829" s="254" t="n"/>
    </row>
    <row r="830">
      <c r="B830" s="254" t="inlineStr">
        <is>
          <t>2026-09-26</t>
        </is>
      </c>
      <c r="C830" s="254" t="inlineStr">
        <is>
          <t>licensed-low-volume</t>
        </is>
      </c>
      <c r="D830" s="254" t="inlineStr">
        <is>
          <t>clean</t>
        </is>
      </c>
      <c r="E830" s="254" t="inlineStr">
        <is>
          <t>standard</t>
        </is>
      </c>
      <c r="F830" s="254" t="inlineStr">
        <is>
          <t>buyer_fee</t>
        </is>
      </c>
      <c r="G830" s="254" t="inlineStr">
        <is>
          <t>unsecured</t>
        </is>
      </c>
      <c r="H830" s="251" t="n">
        <v>100</v>
      </c>
      <c r="I830" s="251" t="n">
        <v>199.99</v>
      </c>
      <c r="J830" s="251" t="n">
        <v>90</v>
      </c>
      <c r="K830" s="254" t="n"/>
    </row>
    <row r="831">
      <c r="B831" s="254" t="inlineStr">
        <is>
          <t>2026-09-26</t>
        </is>
      </c>
      <c r="C831" s="254" t="inlineStr">
        <is>
          <t>licensed-low-volume</t>
        </is>
      </c>
      <c r="D831" s="254" t="inlineStr">
        <is>
          <t>clean</t>
        </is>
      </c>
      <c r="E831" s="254" t="inlineStr">
        <is>
          <t>standard</t>
        </is>
      </c>
      <c r="F831" s="254" t="inlineStr">
        <is>
          <t>buyer_fee</t>
        </is>
      </c>
      <c r="G831" s="254" t="inlineStr">
        <is>
          <t>unsecured</t>
        </is>
      </c>
      <c r="H831" s="251" t="n">
        <v>200</v>
      </c>
      <c r="I831" s="251" t="n">
        <v>299.99</v>
      </c>
      <c r="J831" s="251" t="n">
        <v>135</v>
      </c>
      <c r="K831" s="254" t="n"/>
    </row>
    <row r="832">
      <c r="B832" s="254" t="inlineStr">
        <is>
          <t>2026-09-26</t>
        </is>
      </c>
      <c r="C832" s="254" t="inlineStr">
        <is>
          <t>licensed-low-volume</t>
        </is>
      </c>
      <c r="D832" s="254" t="inlineStr">
        <is>
          <t>clean</t>
        </is>
      </c>
      <c r="E832" s="254" t="inlineStr">
        <is>
          <t>standard</t>
        </is>
      </c>
      <c r="F832" s="254" t="inlineStr">
        <is>
          <t>buyer_fee</t>
        </is>
      </c>
      <c r="G832" s="254" t="inlineStr">
        <is>
          <t>unsecured</t>
        </is>
      </c>
      <c r="H832" s="251" t="n">
        <v>300</v>
      </c>
      <c r="I832" s="251" t="n">
        <v>349.99</v>
      </c>
      <c r="J832" s="251" t="n">
        <v>137.5</v>
      </c>
      <c r="K832" s="254" t="n"/>
    </row>
    <row r="833">
      <c r="B833" s="254" t="inlineStr">
        <is>
          <t>2026-09-26</t>
        </is>
      </c>
      <c r="C833" s="254" t="inlineStr">
        <is>
          <t>licensed-low-volume</t>
        </is>
      </c>
      <c r="D833" s="254" t="inlineStr">
        <is>
          <t>clean</t>
        </is>
      </c>
      <c r="E833" s="254" t="inlineStr">
        <is>
          <t>standard</t>
        </is>
      </c>
      <c r="F833" s="254" t="inlineStr">
        <is>
          <t>buyer_fee</t>
        </is>
      </c>
      <c r="G833" s="254" t="inlineStr">
        <is>
          <t>unsecured</t>
        </is>
      </c>
      <c r="H833" s="251" t="n">
        <v>350</v>
      </c>
      <c r="I833" s="251" t="n">
        <v>399.99</v>
      </c>
      <c r="J833" s="251" t="n">
        <v>140</v>
      </c>
      <c r="K833" s="254" t="n"/>
    </row>
    <row r="834">
      <c r="B834" s="254" t="inlineStr">
        <is>
          <t>2026-09-26</t>
        </is>
      </c>
      <c r="C834" s="254" t="inlineStr">
        <is>
          <t>licensed-low-volume</t>
        </is>
      </c>
      <c r="D834" s="254" t="inlineStr">
        <is>
          <t>clean</t>
        </is>
      </c>
      <c r="E834" s="254" t="inlineStr">
        <is>
          <t>standard</t>
        </is>
      </c>
      <c r="F834" s="254" t="inlineStr">
        <is>
          <t>buyer_fee</t>
        </is>
      </c>
      <c r="G834" s="254" t="inlineStr">
        <is>
          <t>unsecured</t>
        </is>
      </c>
      <c r="H834" s="251" t="n">
        <v>400</v>
      </c>
      <c r="I834" s="251" t="n">
        <v>449.99</v>
      </c>
      <c r="J834" s="251" t="n">
        <v>182.5</v>
      </c>
      <c r="K834" s="254" t="n"/>
    </row>
    <row r="835">
      <c r="B835" s="254" t="inlineStr">
        <is>
          <t>2026-09-26</t>
        </is>
      </c>
      <c r="C835" s="254" t="inlineStr">
        <is>
          <t>licensed-low-volume</t>
        </is>
      </c>
      <c r="D835" s="254" t="inlineStr">
        <is>
          <t>clean</t>
        </is>
      </c>
      <c r="E835" s="254" t="inlineStr">
        <is>
          <t>standard</t>
        </is>
      </c>
      <c r="F835" s="254" t="inlineStr">
        <is>
          <t>buyer_fee</t>
        </is>
      </c>
      <c r="G835" s="254" t="inlineStr">
        <is>
          <t>unsecured</t>
        </is>
      </c>
      <c r="H835" s="251" t="n">
        <v>450</v>
      </c>
      <c r="I835" s="251" t="n">
        <v>499.99</v>
      </c>
      <c r="J835" s="251" t="n">
        <v>185</v>
      </c>
      <c r="K835" s="254" t="n"/>
    </row>
    <row r="836">
      <c r="B836" s="254" t="inlineStr">
        <is>
          <t>2026-09-26</t>
        </is>
      </c>
      <c r="C836" s="254" t="inlineStr">
        <is>
          <t>licensed-low-volume</t>
        </is>
      </c>
      <c r="D836" s="254" t="inlineStr">
        <is>
          <t>clean</t>
        </is>
      </c>
      <c r="E836" s="254" t="inlineStr">
        <is>
          <t>standard</t>
        </is>
      </c>
      <c r="F836" s="254" t="inlineStr">
        <is>
          <t>buyer_fee</t>
        </is>
      </c>
      <c r="G836" s="254" t="inlineStr">
        <is>
          <t>unsecured</t>
        </is>
      </c>
      <c r="H836" s="251" t="n">
        <v>500</v>
      </c>
      <c r="I836" s="251" t="n">
        <v>549.99</v>
      </c>
      <c r="J836" s="251" t="n">
        <v>212.5</v>
      </c>
      <c r="K836" s="254" t="n"/>
    </row>
    <row r="837">
      <c r="B837" s="254" t="inlineStr">
        <is>
          <t>2026-09-26</t>
        </is>
      </c>
      <c r="C837" s="254" t="inlineStr">
        <is>
          <t>licensed-low-volume</t>
        </is>
      </c>
      <c r="D837" s="254" t="inlineStr">
        <is>
          <t>clean</t>
        </is>
      </c>
      <c r="E837" s="254" t="inlineStr">
        <is>
          <t>standard</t>
        </is>
      </c>
      <c r="F837" s="254" t="inlineStr">
        <is>
          <t>buyer_fee</t>
        </is>
      </c>
      <c r="G837" s="254" t="inlineStr">
        <is>
          <t>unsecured</t>
        </is>
      </c>
      <c r="H837" s="251" t="n">
        <v>550</v>
      </c>
      <c r="I837" s="251" t="n">
        <v>599.99</v>
      </c>
      <c r="J837" s="251" t="n">
        <v>215</v>
      </c>
      <c r="K837" s="254" t="n"/>
    </row>
    <row r="838">
      <c r="B838" s="254" t="inlineStr">
        <is>
          <t>2026-09-26</t>
        </is>
      </c>
      <c r="C838" s="254" t="inlineStr">
        <is>
          <t>licensed-low-volume</t>
        </is>
      </c>
      <c r="D838" s="254" t="inlineStr">
        <is>
          <t>clean</t>
        </is>
      </c>
      <c r="E838" s="254" t="inlineStr">
        <is>
          <t>standard</t>
        </is>
      </c>
      <c r="F838" s="254" t="inlineStr">
        <is>
          <t>buyer_fee</t>
        </is>
      </c>
      <c r="G838" s="254" t="inlineStr">
        <is>
          <t>unsecured</t>
        </is>
      </c>
      <c r="H838" s="251" t="n">
        <v>600</v>
      </c>
      <c r="I838" s="251" t="n">
        <v>699.99</v>
      </c>
      <c r="J838" s="251" t="n">
        <v>245</v>
      </c>
      <c r="K838" s="254" t="n"/>
    </row>
    <row r="839">
      <c r="B839" s="254" t="inlineStr">
        <is>
          <t>2026-09-26</t>
        </is>
      </c>
      <c r="C839" s="254" t="inlineStr">
        <is>
          <t>licensed-low-volume</t>
        </is>
      </c>
      <c r="D839" s="254" t="inlineStr">
        <is>
          <t>clean</t>
        </is>
      </c>
      <c r="E839" s="254" t="inlineStr">
        <is>
          <t>standard</t>
        </is>
      </c>
      <c r="F839" s="254" t="inlineStr">
        <is>
          <t>buyer_fee</t>
        </is>
      </c>
      <c r="G839" s="254" t="inlineStr">
        <is>
          <t>unsecured</t>
        </is>
      </c>
      <c r="H839" s="251" t="n">
        <v>700</v>
      </c>
      <c r="I839" s="251" t="n">
        <v>799.99</v>
      </c>
      <c r="J839" s="251" t="n">
        <v>270</v>
      </c>
      <c r="K839" s="254" t="n"/>
    </row>
    <row r="840">
      <c r="B840" s="254" t="inlineStr">
        <is>
          <t>2026-09-26</t>
        </is>
      </c>
      <c r="C840" s="254" t="inlineStr">
        <is>
          <t>licensed-low-volume</t>
        </is>
      </c>
      <c r="D840" s="254" t="inlineStr">
        <is>
          <t>clean</t>
        </is>
      </c>
      <c r="E840" s="254" t="inlineStr">
        <is>
          <t>standard</t>
        </is>
      </c>
      <c r="F840" s="254" t="inlineStr">
        <is>
          <t>buyer_fee</t>
        </is>
      </c>
      <c r="G840" s="254" t="inlineStr">
        <is>
          <t>unsecured</t>
        </is>
      </c>
      <c r="H840" s="251" t="n">
        <v>800</v>
      </c>
      <c r="I840" s="251" t="n">
        <v>899.99</v>
      </c>
      <c r="J840" s="251" t="n">
        <v>295</v>
      </c>
      <c r="K840" s="254" t="n"/>
    </row>
    <row r="841">
      <c r="B841" s="254" t="inlineStr">
        <is>
          <t>2026-09-26</t>
        </is>
      </c>
      <c r="C841" s="254" t="inlineStr">
        <is>
          <t>licensed-low-volume</t>
        </is>
      </c>
      <c r="D841" s="254" t="inlineStr">
        <is>
          <t>clean</t>
        </is>
      </c>
      <c r="E841" s="254" t="inlineStr">
        <is>
          <t>standard</t>
        </is>
      </c>
      <c r="F841" s="254" t="inlineStr">
        <is>
          <t>buyer_fee</t>
        </is>
      </c>
      <c r="G841" s="254" t="inlineStr">
        <is>
          <t>unsecured</t>
        </is>
      </c>
      <c r="H841" s="251" t="n">
        <v>900</v>
      </c>
      <c r="I841" s="251" t="n">
        <v>999.99</v>
      </c>
      <c r="J841" s="251" t="n">
        <v>325</v>
      </c>
      <c r="K841" s="254" t="n"/>
    </row>
    <row r="842">
      <c r="B842" s="254" t="inlineStr">
        <is>
          <t>2026-09-26</t>
        </is>
      </c>
      <c r="C842" s="254" t="inlineStr">
        <is>
          <t>licensed-low-volume</t>
        </is>
      </c>
      <c r="D842" s="254" t="inlineStr">
        <is>
          <t>clean</t>
        </is>
      </c>
      <c r="E842" s="254" t="inlineStr">
        <is>
          <t>standard</t>
        </is>
      </c>
      <c r="F842" s="254" t="inlineStr">
        <is>
          <t>buyer_fee</t>
        </is>
      </c>
      <c r="G842" s="254" t="inlineStr">
        <is>
          <t>unsecured</t>
        </is>
      </c>
      <c r="H842" s="251" t="n">
        <v>1000</v>
      </c>
      <c r="I842" s="251" t="n">
        <v>1199.99</v>
      </c>
      <c r="J842" s="251" t="n">
        <v>385</v>
      </c>
      <c r="K842" s="254" t="n"/>
    </row>
    <row r="843">
      <c r="B843" s="254" t="inlineStr">
        <is>
          <t>2026-09-26</t>
        </is>
      </c>
      <c r="C843" s="254" t="inlineStr">
        <is>
          <t>licensed-low-volume</t>
        </is>
      </c>
      <c r="D843" s="254" t="inlineStr">
        <is>
          <t>clean</t>
        </is>
      </c>
      <c r="E843" s="254" t="inlineStr">
        <is>
          <t>standard</t>
        </is>
      </c>
      <c r="F843" s="254" t="inlineStr">
        <is>
          <t>buyer_fee</t>
        </is>
      </c>
      <c r="G843" s="254" t="inlineStr">
        <is>
          <t>unsecured</t>
        </is>
      </c>
      <c r="H843" s="251" t="n">
        <v>1200</v>
      </c>
      <c r="I843" s="251" t="n">
        <v>1299.99</v>
      </c>
      <c r="J843" s="251" t="n">
        <v>415</v>
      </c>
      <c r="K843" s="254" t="n"/>
    </row>
    <row r="844">
      <c r="B844" s="254" t="inlineStr">
        <is>
          <t>2026-09-26</t>
        </is>
      </c>
      <c r="C844" s="254" t="inlineStr">
        <is>
          <t>licensed-low-volume</t>
        </is>
      </c>
      <c r="D844" s="254" t="inlineStr">
        <is>
          <t>clean</t>
        </is>
      </c>
      <c r="E844" s="254" t="inlineStr">
        <is>
          <t>standard</t>
        </is>
      </c>
      <c r="F844" s="254" t="inlineStr">
        <is>
          <t>buyer_fee</t>
        </is>
      </c>
      <c r="G844" s="254" t="inlineStr">
        <is>
          <t>unsecured</t>
        </is>
      </c>
      <c r="H844" s="251" t="n">
        <v>1300</v>
      </c>
      <c r="I844" s="251" t="n">
        <v>1399.99</v>
      </c>
      <c r="J844" s="251" t="n">
        <v>435</v>
      </c>
      <c r="K844" s="254" t="n"/>
    </row>
    <row r="845">
      <c r="B845" s="254" t="inlineStr">
        <is>
          <t>2026-09-26</t>
        </is>
      </c>
      <c r="C845" s="254" t="inlineStr">
        <is>
          <t>licensed-low-volume</t>
        </is>
      </c>
      <c r="D845" s="254" t="inlineStr">
        <is>
          <t>clean</t>
        </is>
      </c>
      <c r="E845" s="254" t="inlineStr">
        <is>
          <t>standard</t>
        </is>
      </c>
      <c r="F845" s="254" t="inlineStr">
        <is>
          <t>buyer_fee</t>
        </is>
      </c>
      <c r="G845" s="254" t="inlineStr">
        <is>
          <t>unsecured</t>
        </is>
      </c>
      <c r="H845" s="251" t="n">
        <v>1400</v>
      </c>
      <c r="I845" s="251" t="n">
        <v>1499.99</v>
      </c>
      <c r="J845" s="251" t="n">
        <v>455</v>
      </c>
      <c r="K845" s="254" t="n"/>
    </row>
    <row r="846">
      <c r="B846" s="254" t="inlineStr">
        <is>
          <t>2026-09-26</t>
        </is>
      </c>
      <c r="C846" s="254" t="inlineStr">
        <is>
          <t>licensed-low-volume</t>
        </is>
      </c>
      <c r="D846" s="254" t="inlineStr">
        <is>
          <t>clean</t>
        </is>
      </c>
      <c r="E846" s="254" t="inlineStr">
        <is>
          <t>standard</t>
        </is>
      </c>
      <c r="F846" s="254" t="inlineStr">
        <is>
          <t>buyer_fee</t>
        </is>
      </c>
      <c r="G846" s="254" t="inlineStr">
        <is>
          <t>unsecured</t>
        </is>
      </c>
      <c r="H846" s="251" t="n">
        <v>1500</v>
      </c>
      <c r="I846" s="251" t="n">
        <v>1599.99</v>
      </c>
      <c r="J846" s="251" t="n">
        <v>470</v>
      </c>
      <c r="K846" s="254" t="n"/>
    </row>
    <row r="847">
      <c r="B847" s="254" t="inlineStr">
        <is>
          <t>2026-09-26</t>
        </is>
      </c>
      <c r="C847" s="254" t="inlineStr">
        <is>
          <t>licensed-low-volume</t>
        </is>
      </c>
      <c r="D847" s="254" t="inlineStr">
        <is>
          <t>clean</t>
        </is>
      </c>
      <c r="E847" s="254" t="inlineStr">
        <is>
          <t>standard</t>
        </is>
      </c>
      <c r="F847" s="254" t="inlineStr">
        <is>
          <t>buyer_fee</t>
        </is>
      </c>
      <c r="G847" s="254" t="inlineStr">
        <is>
          <t>unsecured</t>
        </is>
      </c>
      <c r="H847" s="251" t="n">
        <v>1600</v>
      </c>
      <c r="I847" s="251" t="n">
        <v>1699.99</v>
      </c>
      <c r="J847" s="251" t="n">
        <v>495</v>
      </c>
      <c r="K847" s="254" t="n"/>
    </row>
    <row r="848">
      <c r="B848" s="254" t="inlineStr">
        <is>
          <t>2026-09-26</t>
        </is>
      </c>
      <c r="C848" s="254" t="inlineStr">
        <is>
          <t>licensed-low-volume</t>
        </is>
      </c>
      <c r="D848" s="254" t="inlineStr">
        <is>
          <t>clean</t>
        </is>
      </c>
      <c r="E848" s="254" t="inlineStr">
        <is>
          <t>standard</t>
        </is>
      </c>
      <c r="F848" s="254" t="inlineStr">
        <is>
          <t>buyer_fee</t>
        </is>
      </c>
      <c r="G848" s="254" t="inlineStr">
        <is>
          <t>unsecured</t>
        </is>
      </c>
      <c r="H848" s="251" t="n">
        <v>1700</v>
      </c>
      <c r="I848" s="251" t="n">
        <v>1799.99</v>
      </c>
      <c r="J848" s="251" t="n">
        <v>510</v>
      </c>
      <c r="K848" s="254" t="n"/>
    </row>
    <row r="849">
      <c r="B849" s="254" t="inlineStr">
        <is>
          <t>2026-09-26</t>
        </is>
      </c>
      <c r="C849" s="254" t="inlineStr">
        <is>
          <t>licensed-low-volume</t>
        </is>
      </c>
      <c r="D849" s="254" t="inlineStr">
        <is>
          <t>clean</t>
        </is>
      </c>
      <c r="E849" s="254" t="inlineStr">
        <is>
          <t>standard</t>
        </is>
      </c>
      <c r="F849" s="254" t="inlineStr">
        <is>
          <t>buyer_fee</t>
        </is>
      </c>
      <c r="G849" s="254" t="inlineStr">
        <is>
          <t>unsecured</t>
        </is>
      </c>
      <c r="H849" s="251" t="n">
        <v>1800</v>
      </c>
      <c r="I849" s="251" t="n">
        <v>1999.99</v>
      </c>
      <c r="J849" s="251" t="n">
        <v>540</v>
      </c>
      <c r="K849" s="254" t="n"/>
    </row>
    <row r="850">
      <c r="B850" s="254" t="inlineStr">
        <is>
          <t>2026-09-26</t>
        </is>
      </c>
      <c r="C850" s="254" t="inlineStr">
        <is>
          <t>licensed-low-volume</t>
        </is>
      </c>
      <c r="D850" s="254" t="inlineStr">
        <is>
          <t>clean</t>
        </is>
      </c>
      <c r="E850" s="254" t="inlineStr">
        <is>
          <t>standard</t>
        </is>
      </c>
      <c r="F850" s="254" t="inlineStr">
        <is>
          <t>buyer_fee</t>
        </is>
      </c>
      <c r="G850" s="254" t="inlineStr">
        <is>
          <t>unsecured</t>
        </is>
      </c>
      <c r="H850" s="251" t="n">
        <v>2000</v>
      </c>
      <c r="I850" s="251" t="n">
        <v>2399.99</v>
      </c>
      <c r="J850" s="251" t="n">
        <v>590</v>
      </c>
      <c r="K850" s="254" t="n"/>
    </row>
    <row r="851">
      <c r="B851" s="254" t="inlineStr">
        <is>
          <t>2026-09-26</t>
        </is>
      </c>
      <c r="C851" s="254" t="inlineStr">
        <is>
          <t>licensed-low-volume</t>
        </is>
      </c>
      <c r="D851" s="254" t="inlineStr">
        <is>
          <t>clean</t>
        </is>
      </c>
      <c r="E851" s="254" t="inlineStr">
        <is>
          <t>standard</t>
        </is>
      </c>
      <c r="F851" s="254" t="inlineStr">
        <is>
          <t>buyer_fee</t>
        </is>
      </c>
      <c r="G851" s="254" t="inlineStr">
        <is>
          <t>unsecured</t>
        </is>
      </c>
      <c r="H851" s="251" t="n">
        <v>2400</v>
      </c>
      <c r="I851" s="251" t="n">
        <v>2499.99</v>
      </c>
      <c r="J851" s="251" t="n">
        <v>605</v>
      </c>
      <c r="K851" s="254" t="n"/>
    </row>
    <row r="852">
      <c r="B852" s="254" t="inlineStr">
        <is>
          <t>2026-09-26</t>
        </is>
      </c>
      <c r="C852" s="254" t="inlineStr">
        <is>
          <t>licensed-low-volume</t>
        </is>
      </c>
      <c r="D852" s="254" t="inlineStr">
        <is>
          <t>clean</t>
        </is>
      </c>
      <c r="E852" s="254" t="inlineStr">
        <is>
          <t>standard</t>
        </is>
      </c>
      <c r="F852" s="254" t="inlineStr">
        <is>
          <t>buyer_fee</t>
        </is>
      </c>
      <c r="G852" s="254" t="inlineStr">
        <is>
          <t>unsecured</t>
        </is>
      </c>
      <c r="H852" s="251" t="n">
        <v>2500</v>
      </c>
      <c r="I852" s="251" t="n">
        <v>2999.99</v>
      </c>
      <c r="J852" s="251" t="n">
        <v>650</v>
      </c>
      <c r="K852" s="254" t="n"/>
    </row>
    <row r="853">
      <c r="B853" s="254" t="inlineStr">
        <is>
          <t>2026-09-26</t>
        </is>
      </c>
      <c r="C853" s="254" t="inlineStr">
        <is>
          <t>licensed-low-volume</t>
        </is>
      </c>
      <c r="D853" s="254" t="inlineStr">
        <is>
          <t>clean</t>
        </is>
      </c>
      <c r="E853" s="254" t="inlineStr">
        <is>
          <t>standard</t>
        </is>
      </c>
      <c r="F853" s="254" t="inlineStr">
        <is>
          <t>buyer_fee</t>
        </is>
      </c>
      <c r="G853" s="254" t="inlineStr">
        <is>
          <t>unsecured</t>
        </is>
      </c>
      <c r="H853" s="251" t="n">
        <v>3000</v>
      </c>
      <c r="I853" s="251" t="n">
        <v>3499.99</v>
      </c>
      <c r="J853" s="251" t="n">
        <v>775</v>
      </c>
      <c r="K853" s="254" t="n"/>
    </row>
    <row r="854">
      <c r="B854" s="254" t="inlineStr">
        <is>
          <t>2026-09-26</t>
        </is>
      </c>
      <c r="C854" s="254" t="inlineStr">
        <is>
          <t>licensed-low-volume</t>
        </is>
      </c>
      <c r="D854" s="254" t="inlineStr">
        <is>
          <t>clean</t>
        </is>
      </c>
      <c r="E854" s="254" t="inlineStr">
        <is>
          <t>standard</t>
        </is>
      </c>
      <c r="F854" s="254" t="inlineStr">
        <is>
          <t>buyer_fee</t>
        </is>
      </c>
      <c r="G854" s="254" t="inlineStr">
        <is>
          <t>unsecured</t>
        </is>
      </c>
      <c r="H854" s="251" t="n">
        <v>3500</v>
      </c>
      <c r="I854" s="251" t="n">
        <v>3999.99</v>
      </c>
      <c r="J854" s="251" t="n">
        <v>875</v>
      </c>
      <c r="K854" s="254" t="n"/>
    </row>
    <row r="855">
      <c r="B855" s="254" t="inlineStr">
        <is>
          <t>2026-09-26</t>
        </is>
      </c>
      <c r="C855" s="254" t="inlineStr">
        <is>
          <t>licensed-low-volume</t>
        </is>
      </c>
      <c r="D855" s="254" t="inlineStr">
        <is>
          <t>clean</t>
        </is>
      </c>
      <c r="E855" s="254" t="inlineStr">
        <is>
          <t>standard</t>
        </is>
      </c>
      <c r="F855" s="254" t="inlineStr">
        <is>
          <t>buyer_fee</t>
        </is>
      </c>
      <c r="G855" s="254" t="inlineStr">
        <is>
          <t>unsecured</t>
        </is>
      </c>
      <c r="H855" s="251" t="n">
        <v>4000</v>
      </c>
      <c r="I855" s="251" t="n">
        <v>4499.99</v>
      </c>
      <c r="J855" s="251" t="n">
        <v>935</v>
      </c>
      <c r="K855" s="254" t="n"/>
    </row>
    <row r="856">
      <c r="B856" s="254" t="inlineStr">
        <is>
          <t>2026-09-26</t>
        </is>
      </c>
      <c r="C856" s="254" t="inlineStr">
        <is>
          <t>licensed-low-volume</t>
        </is>
      </c>
      <c r="D856" s="254" t="inlineStr">
        <is>
          <t>clean</t>
        </is>
      </c>
      <c r="E856" s="254" t="inlineStr">
        <is>
          <t>standard</t>
        </is>
      </c>
      <c r="F856" s="254" t="inlineStr">
        <is>
          <t>buyer_fee</t>
        </is>
      </c>
      <c r="G856" s="254" t="inlineStr">
        <is>
          <t>unsecured</t>
        </is>
      </c>
      <c r="H856" s="251" t="n">
        <v>4500</v>
      </c>
      <c r="I856" s="251" t="n">
        <v>4999.99</v>
      </c>
      <c r="J856" s="251" t="n">
        <v>1000</v>
      </c>
      <c r="K856" s="254" t="n"/>
    </row>
    <row r="857">
      <c r="B857" s="254" t="inlineStr">
        <is>
          <t>2026-09-26</t>
        </is>
      </c>
      <c r="C857" s="254" t="inlineStr">
        <is>
          <t>licensed-low-volume</t>
        </is>
      </c>
      <c r="D857" s="254" t="inlineStr">
        <is>
          <t>clean</t>
        </is>
      </c>
      <c r="E857" s="254" t="inlineStr">
        <is>
          <t>standard</t>
        </is>
      </c>
      <c r="F857" s="254" t="inlineStr">
        <is>
          <t>buyer_fee</t>
        </is>
      </c>
      <c r="G857" s="254" t="inlineStr">
        <is>
          <t>unsecured</t>
        </is>
      </c>
      <c r="H857" s="251" t="n">
        <v>5000</v>
      </c>
      <c r="I857" s="251" t="n">
        <v>5499.99</v>
      </c>
      <c r="J857" s="251" t="n">
        <v>1000</v>
      </c>
      <c r="K857" s="254" t="n"/>
    </row>
    <row r="858">
      <c r="B858" s="254" t="inlineStr">
        <is>
          <t>2026-09-26</t>
        </is>
      </c>
      <c r="C858" s="254" t="inlineStr">
        <is>
          <t>licensed-low-volume</t>
        </is>
      </c>
      <c r="D858" s="254" t="inlineStr">
        <is>
          <t>clean</t>
        </is>
      </c>
      <c r="E858" s="254" t="inlineStr">
        <is>
          <t>standard</t>
        </is>
      </c>
      <c r="F858" s="254" t="inlineStr">
        <is>
          <t>buyer_fee</t>
        </is>
      </c>
      <c r="G858" s="254" t="inlineStr">
        <is>
          <t>unsecured</t>
        </is>
      </c>
      <c r="H858" s="251" t="n">
        <v>5500</v>
      </c>
      <c r="I858" s="251" t="n">
        <v>5999.99</v>
      </c>
      <c r="J858" s="251" t="n">
        <v>1000</v>
      </c>
      <c r="K858" s="254" t="n"/>
    </row>
    <row r="859">
      <c r="B859" s="254" t="inlineStr">
        <is>
          <t>2026-09-26</t>
        </is>
      </c>
      <c r="C859" s="254" t="inlineStr">
        <is>
          <t>licensed-low-volume</t>
        </is>
      </c>
      <c r="D859" s="254" t="inlineStr">
        <is>
          <t>clean</t>
        </is>
      </c>
      <c r="E859" s="254" t="inlineStr">
        <is>
          <t>standard</t>
        </is>
      </c>
      <c r="F859" s="254" t="inlineStr">
        <is>
          <t>buyer_fee</t>
        </is>
      </c>
      <c r="G859" s="254" t="inlineStr">
        <is>
          <t>unsecured</t>
        </is>
      </c>
      <c r="H859" s="251" t="n">
        <v>6000</v>
      </c>
      <c r="I859" s="251" t="n">
        <v>6499.99</v>
      </c>
      <c r="J859" s="251" t="n">
        <v>1050</v>
      </c>
      <c r="K859" s="254" t="n"/>
    </row>
    <row r="860">
      <c r="B860" s="254" t="inlineStr">
        <is>
          <t>2026-09-26</t>
        </is>
      </c>
      <c r="C860" s="254" t="inlineStr">
        <is>
          <t>licensed-low-volume</t>
        </is>
      </c>
      <c r="D860" s="254" t="inlineStr">
        <is>
          <t>clean</t>
        </is>
      </c>
      <c r="E860" s="254" t="inlineStr">
        <is>
          <t>standard</t>
        </is>
      </c>
      <c r="F860" s="254" t="inlineStr">
        <is>
          <t>buyer_fee</t>
        </is>
      </c>
      <c r="G860" s="254" t="inlineStr">
        <is>
          <t>unsecured</t>
        </is>
      </c>
      <c r="H860" s="251" t="n">
        <v>6500</v>
      </c>
      <c r="I860" s="251" t="n">
        <v>6999.99</v>
      </c>
      <c r="J860" s="251" t="n">
        <v>1050</v>
      </c>
      <c r="K860" s="254" t="n"/>
    </row>
    <row r="861">
      <c r="B861" s="254" t="inlineStr">
        <is>
          <t>2026-09-26</t>
        </is>
      </c>
      <c r="C861" s="254" t="inlineStr">
        <is>
          <t>licensed-low-volume</t>
        </is>
      </c>
      <c r="D861" s="254" t="inlineStr">
        <is>
          <t>clean</t>
        </is>
      </c>
      <c r="E861" s="254" t="inlineStr">
        <is>
          <t>standard</t>
        </is>
      </c>
      <c r="F861" s="254" t="inlineStr">
        <is>
          <t>buyer_fee</t>
        </is>
      </c>
      <c r="G861" s="254" t="inlineStr">
        <is>
          <t>unsecured</t>
        </is>
      </c>
      <c r="H861" s="251" t="n">
        <v>7000</v>
      </c>
      <c r="I861" s="251" t="n">
        <v>7499.99</v>
      </c>
      <c r="J861" s="251" t="n">
        <v>1050</v>
      </c>
      <c r="K861" s="254" t="n"/>
    </row>
    <row r="862">
      <c r="B862" s="254" t="inlineStr">
        <is>
          <t>2026-09-26</t>
        </is>
      </c>
      <c r="C862" s="254" t="inlineStr">
        <is>
          <t>licensed-low-volume</t>
        </is>
      </c>
      <c r="D862" s="254" t="inlineStr">
        <is>
          <t>clean</t>
        </is>
      </c>
      <c r="E862" s="254" t="inlineStr">
        <is>
          <t>standard</t>
        </is>
      </c>
      <c r="F862" s="254" t="inlineStr">
        <is>
          <t>buyer_fee</t>
        </is>
      </c>
      <c r="G862" s="254" t="inlineStr">
        <is>
          <t>unsecured</t>
        </is>
      </c>
      <c r="H862" s="251" t="n">
        <v>7500</v>
      </c>
      <c r="I862" s="251" t="n">
        <v>7999.99</v>
      </c>
      <c r="J862" s="251" t="n">
        <v>1065</v>
      </c>
      <c r="K862" s="254" t="n"/>
    </row>
    <row r="863">
      <c r="B863" s="254" t="inlineStr">
        <is>
          <t>2026-09-26</t>
        </is>
      </c>
      <c r="C863" s="254" t="inlineStr">
        <is>
          <t>licensed-low-volume</t>
        </is>
      </c>
      <c r="D863" s="254" t="inlineStr">
        <is>
          <t>clean</t>
        </is>
      </c>
      <c r="E863" s="254" t="inlineStr">
        <is>
          <t>standard</t>
        </is>
      </c>
      <c r="F863" s="254" t="inlineStr">
        <is>
          <t>buyer_fee</t>
        </is>
      </c>
      <c r="G863" s="254" t="inlineStr">
        <is>
          <t>unsecured</t>
        </is>
      </c>
      <c r="H863" s="251" t="n">
        <v>8000</v>
      </c>
      <c r="I863" s="251" t="n">
        <v>8499.99</v>
      </c>
      <c r="J863" s="251" t="n">
        <v>1090</v>
      </c>
      <c r="K863" s="254" t="n"/>
    </row>
    <row r="864">
      <c r="B864" s="254" t="inlineStr">
        <is>
          <t>2026-09-26</t>
        </is>
      </c>
      <c r="C864" s="254" t="inlineStr">
        <is>
          <t>licensed-low-volume</t>
        </is>
      </c>
      <c r="D864" s="254" t="inlineStr">
        <is>
          <t>clean</t>
        </is>
      </c>
      <c r="E864" s="254" t="inlineStr">
        <is>
          <t>standard</t>
        </is>
      </c>
      <c r="F864" s="254" t="inlineStr">
        <is>
          <t>buyer_fee</t>
        </is>
      </c>
      <c r="G864" s="254" t="inlineStr">
        <is>
          <t>unsecured</t>
        </is>
      </c>
      <c r="H864" s="251" t="n">
        <v>8500</v>
      </c>
      <c r="I864" s="251" t="n">
        <v>8999.99</v>
      </c>
      <c r="J864" s="251" t="n">
        <v>1090</v>
      </c>
      <c r="K864" s="254" t="n"/>
    </row>
    <row r="865">
      <c r="B865" s="254" t="inlineStr">
        <is>
          <t>2026-09-26</t>
        </is>
      </c>
      <c r="C865" s="254" t="inlineStr">
        <is>
          <t>licensed-low-volume</t>
        </is>
      </c>
      <c r="D865" s="254" t="inlineStr">
        <is>
          <t>clean</t>
        </is>
      </c>
      <c r="E865" s="254" t="inlineStr">
        <is>
          <t>standard</t>
        </is>
      </c>
      <c r="F865" s="254" t="inlineStr">
        <is>
          <t>buyer_fee</t>
        </is>
      </c>
      <c r="G865" s="254" t="inlineStr">
        <is>
          <t>unsecured</t>
        </is>
      </c>
      <c r="H865" s="251" t="n">
        <v>9000</v>
      </c>
      <c r="I865" s="251" t="n">
        <v>9999.99</v>
      </c>
      <c r="J865" s="251" t="n">
        <v>1090</v>
      </c>
      <c r="K865" s="254" t="n"/>
    </row>
    <row r="866">
      <c r="B866" s="254" t="inlineStr">
        <is>
          <t>2026-09-26</t>
        </is>
      </c>
      <c r="C866" s="254" t="inlineStr">
        <is>
          <t>licensed-low-volume</t>
        </is>
      </c>
      <c r="D866" s="254" t="inlineStr">
        <is>
          <t>clean</t>
        </is>
      </c>
      <c r="E866" s="254" t="inlineStr">
        <is>
          <t>standard</t>
        </is>
      </c>
      <c r="F866" s="254" t="inlineStr">
        <is>
          <t>buyer_fee</t>
        </is>
      </c>
      <c r="G866" s="254" t="inlineStr">
        <is>
          <t>unsecured</t>
        </is>
      </c>
      <c r="H866" s="251" t="n">
        <v>10000</v>
      </c>
      <c r="I866" s="251" t="n">
        <v>10499.99</v>
      </c>
      <c r="J866" s="251" t="n">
        <v>1200</v>
      </c>
      <c r="K866" s="254" t="n"/>
    </row>
    <row r="867">
      <c r="B867" s="254" t="inlineStr">
        <is>
          <t>2026-09-26</t>
        </is>
      </c>
      <c r="C867" s="254" t="inlineStr">
        <is>
          <t>licensed-low-volume</t>
        </is>
      </c>
      <c r="D867" s="254" t="inlineStr">
        <is>
          <t>clean</t>
        </is>
      </c>
      <c r="E867" s="254" t="inlineStr">
        <is>
          <t>standard</t>
        </is>
      </c>
      <c r="F867" s="254" t="inlineStr">
        <is>
          <t>buyer_fee</t>
        </is>
      </c>
      <c r="G867" s="254" t="inlineStr">
        <is>
          <t>unsecured</t>
        </is>
      </c>
      <c r="H867" s="251" t="n">
        <v>10500</v>
      </c>
      <c r="I867" s="251" t="n">
        <v>10999.99</v>
      </c>
      <c r="J867" s="251" t="n">
        <v>1200</v>
      </c>
      <c r="K867" s="254" t="n"/>
    </row>
    <row r="868">
      <c r="B868" s="254" t="inlineStr">
        <is>
          <t>2026-09-26</t>
        </is>
      </c>
      <c r="C868" s="254" t="inlineStr">
        <is>
          <t>licensed-low-volume</t>
        </is>
      </c>
      <c r="D868" s="254" t="inlineStr">
        <is>
          <t>clean</t>
        </is>
      </c>
      <c r="E868" s="254" t="inlineStr">
        <is>
          <t>standard</t>
        </is>
      </c>
      <c r="F868" s="254" t="inlineStr">
        <is>
          <t>buyer_fee</t>
        </is>
      </c>
      <c r="G868" s="254" t="inlineStr">
        <is>
          <t>unsecured</t>
        </is>
      </c>
      <c r="H868" s="251" t="n">
        <v>11000</v>
      </c>
      <c r="I868" s="251" t="n">
        <v>11499.99</v>
      </c>
      <c r="J868" s="251" t="n">
        <v>1200</v>
      </c>
      <c r="K868" s="254" t="n"/>
    </row>
    <row r="869">
      <c r="B869" s="254" t="inlineStr">
        <is>
          <t>2026-09-26</t>
        </is>
      </c>
      <c r="C869" s="254" t="inlineStr">
        <is>
          <t>licensed-low-volume</t>
        </is>
      </c>
      <c r="D869" s="254" t="inlineStr">
        <is>
          <t>clean</t>
        </is>
      </c>
      <c r="E869" s="254" t="inlineStr">
        <is>
          <t>standard</t>
        </is>
      </c>
      <c r="F869" s="254" t="inlineStr">
        <is>
          <t>buyer_fee</t>
        </is>
      </c>
      <c r="G869" s="254" t="inlineStr">
        <is>
          <t>unsecured</t>
        </is>
      </c>
      <c r="H869" s="251" t="n">
        <v>11500</v>
      </c>
      <c r="I869" s="251" t="n">
        <v>11999.99</v>
      </c>
      <c r="J869" s="251" t="n">
        <v>1200</v>
      </c>
      <c r="K869" s="254" t="n"/>
    </row>
    <row r="870">
      <c r="B870" s="254" t="inlineStr">
        <is>
          <t>2026-09-26</t>
        </is>
      </c>
      <c r="C870" s="254" t="inlineStr">
        <is>
          <t>licensed-low-volume</t>
        </is>
      </c>
      <c r="D870" s="254" t="inlineStr">
        <is>
          <t>clean</t>
        </is>
      </c>
      <c r="E870" s="254" t="inlineStr">
        <is>
          <t>standard</t>
        </is>
      </c>
      <c r="F870" s="254" t="inlineStr">
        <is>
          <t>buyer_fee</t>
        </is>
      </c>
      <c r="G870" s="254" t="inlineStr">
        <is>
          <t>unsecured</t>
        </is>
      </c>
      <c r="H870" s="251" t="n">
        <v>12000</v>
      </c>
      <c r="I870" s="251" t="n">
        <v>12499.99</v>
      </c>
      <c r="J870" s="251" t="n">
        <v>1200</v>
      </c>
      <c r="K870" s="254" t="n"/>
    </row>
    <row r="871">
      <c r="B871" s="254" t="inlineStr">
        <is>
          <t>2026-09-26</t>
        </is>
      </c>
      <c r="C871" s="254" t="inlineStr">
        <is>
          <t>licensed-low-volume</t>
        </is>
      </c>
      <c r="D871" s="254" t="inlineStr">
        <is>
          <t>clean</t>
        </is>
      </c>
      <c r="E871" s="254" t="inlineStr">
        <is>
          <t>standard</t>
        </is>
      </c>
      <c r="F871" s="254" t="inlineStr">
        <is>
          <t>buyer_fee</t>
        </is>
      </c>
      <c r="G871" s="254" t="inlineStr">
        <is>
          <t>unsecured</t>
        </is>
      </c>
      <c r="H871" s="251" t="n">
        <v>12500</v>
      </c>
      <c r="I871" s="251" t="n">
        <v>14999.99</v>
      </c>
      <c r="J871" s="251" t="n">
        <v>1200</v>
      </c>
      <c r="K871" s="254" t="n"/>
    </row>
    <row r="872">
      <c r="B872" s="254" t="inlineStr">
        <is>
          <t>2026-09-26</t>
        </is>
      </c>
      <c r="C872" s="254" t="inlineStr">
        <is>
          <t>licensed-low-volume</t>
        </is>
      </c>
      <c r="D872" s="254" t="inlineStr">
        <is>
          <t>clean</t>
        </is>
      </c>
      <c r="E872" s="254" t="inlineStr">
        <is>
          <t>standard</t>
        </is>
      </c>
      <c r="F872" s="254" t="inlineStr">
        <is>
          <t>buyer_fee</t>
        </is>
      </c>
      <c r="G872" s="254" t="inlineStr">
        <is>
          <t>unsecured</t>
        </is>
      </c>
      <c r="H872" s="251" t="n">
        <v>15000</v>
      </c>
      <c r="I872" s="254" t="n"/>
      <c r="J872" s="254" t="n"/>
      <c r="K872" s="251" t="n">
        <v>12.25</v>
      </c>
    </row>
    <row r="873">
      <c r="B873" s="254" t="inlineStr">
        <is>
          <t>2026-09-26</t>
        </is>
      </c>
      <c r="C873" s="254" t="inlineStr">
        <is>
          <t>licensed-low-volume</t>
        </is>
      </c>
      <c r="D873" s="254" t="inlineStr">
        <is>
          <t>clean</t>
        </is>
      </c>
      <c r="E873" s="254" t="inlineStr">
        <is>
          <t>standard</t>
        </is>
      </c>
      <c r="F873" s="254" t="inlineStr">
        <is>
          <t>virtual_bid_pre_bid</t>
        </is>
      </c>
      <c r="G873" s="254" t="inlineStr">
        <is>
          <t>any</t>
        </is>
      </c>
      <c r="H873" s="251" t="n">
        <v>0</v>
      </c>
      <c r="I873" s="251" t="n">
        <v>99.98999999999999</v>
      </c>
      <c r="J873" s="251" t="n">
        <v>0</v>
      </c>
      <c r="K873" s="254" t="n"/>
    </row>
    <row r="874">
      <c r="B874" s="254" t="inlineStr">
        <is>
          <t>2026-09-26</t>
        </is>
      </c>
      <c r="C874" s="254" t="inlineStr">
        <is>
          <t>licensed-low-volume</t>
        </is>
      </c>
      <c r="D874" s="254" t="inlineStr">
        <is>
          <t>clean</t>
        </is>
      </c>
      <c r="E874" s="254" t="inlineStr">
        <is>
          <t>standard</t>
        </is>
      </c>
      <c r="F874" s="254" t="inlineStr">
        <is>
          <t>virtual_bid_pre_bid</t>
        </is>
      </c>
      <c r="G874" s="254" t="inlineStr">
        <is>
          <t>any</t>
        </is>
      </c>
      <c r="H874" s="251" t="n">
        <v>100</v>
      </c>
      <c r="I874" s="251" t="n">
        <v>499.99</v>
      </c>
      <c r="J874" s="251" t="n">
        <v>39</v>
      </c>
      <c r="K874" s="254" t="n"/>
    </row>
    <row r="875">
      <c r="B875" s="254" t="inlineStr">
        <is>
          <t>2026-09-26</t>
        </is>
      </c>
      <c r="C875" s="254" t="inlineStr">
        <is>
          <t>licensed-low-volume</t>
        </is>
      </c>
      <c r="D875" s="254" t="inlineStr">
        <is>
          <t>clean</t>
        </is>
      </c>
      <c r="E875" s="254" t="inlineStr">
        <is>
          <t>standard</t>
        </is>
      </c>
      <c r="F875" s="254" t="inlineStr">
        <is>
          <t>virtual_bid_pre_bid</t>
        </is>
      </c>
      <c r="G875" s="254" t="inlineStr">
        <is>
          <t>any</t>
        </is>
      </c>
      <c r="H875" s="251" t="n">
        <v>500</v>
      </c>
      <c r="I875" s="251" t="n">
        <v>999.99</v>
      </c>
      <c r="J875" s="251" t="n">
        <v>49</v>
      </c>
      <c r="K875" s="254" t="n"/>
    </row>
    <row r="876">
      <c r="B876" s="254" t="inlineStr">
        <is>
          <t>2026-09-26</t>
        </is>
      </c>
      <c r="C876" s="254" t="inlineStr">
        <is>
          <t>licensed-low-volume</t>
        </is>
      </c>
      <c r="D876" s="254" t="inlineStr">
        <is>
          <t>clean</t>
        </is>
      </c>
      <c r="E876" s="254" t="inlineStr">
        <is>
          <t>standard</t>
        </is>
      </c>
      <c r="F876" s="254" t="inlineStr">
        <is>
          <t>virtual_bid_pre_bid</t>
        </is>
      </c>
      <c r="G876" s="254" t="inlineStr">
        <is>
          <t>any</t>
        </is>
      </c>
      <c r="H876" s="251" t="n">
        <v>1000</v>
      </c>
      <c r="I876" s="251" t="n">
        <v>1499.99</v>
      </c>
      <c r="J876" s="251" t="n">
        <v>69</v>
      </c>
      <c r="K876" s="254" t="n"/>
    </row>
    <row r="877">
      <c r="B877" s="254" t="inlineStr">
        <is>
          <t>2026-09-26</t>
        </is>
      </c>
      <c r="C877" s="254" t="inlineStr">
        <is>
          <t>licensed-low-volume</t>
        </is>
      </c>
      <c r="D877" s="254" t="inlineStr">
        <is>
          <t>clean</t>
        </is>
      </c>
      <c r="E877" s="254" t="inlineStr">
        <is>
          <t>standard</t>
        </is>
      </c>
      <c r="F877" s="254" t="inlineStr">
        <is>
          <t>virtual_bid_pre_bid</t>
        </is>
      </c>
      <c r="G877" s="254" t="inlineStr">
        <is>
          <t>any</t>
        </is>
      </c>
      <c r="H877" s="251" t="n">
        <v>1500</v>
      </c>
      <c r="I877" s="251" t="n">
        <v>1999.99</v>
      </c>
      <c r="J877" s="251" t="n">
        <v>79</v>
      </c>
      <c r="K877" s="254" t="n"/>
    </row>
    <row r="878">
      <c r="B878" s="254" t="inlineStr">
        <is>
          <t>2026-09-26</t>
        </is>
      </c>
      <c r="C878" s="254" t="inlineStr">
        <is>
          <t>licensed-low-volume</t>
        </is>
      </c>
      <c r="D878" s="254" t="inlineStr">
        <is>
          <t>clean</t>
        </is>
      </c>
      <c r="E878" s="254" t="inlineStr">
        <is>
          <t>standard</t>
        </is>
      </c>
      <c r="F878" s="254" t="inlineStr">
        <is>
          <t>virtual_bid_pre_bid</t>
        </is>
      </c>
      <c r="G878" s="254" t="inlineStr">
        <is>
          <t>any</t>
        </is>
      </c>
      <c r="H878" s="251" t="n">
        <v>2000</v>
      </c>
      <c r="I878" s="251" t="n">
        <v>3999.99</v>
      </c>
      <c r="J878" s="251" t="n">
        <v>89</v>
      </c>
      <c r="K878" s="254" t="n"/>
    </row>
    <row r="879">
      <c r="B879" s="254" t="inlineStr">
        <is>
          <t>2026-09-26</t>
        </is>
      </c>
      <c r="C879" s="254" t="inlineStr">
        <is>
          <t>licensed-low-volume</t>
        </is>
      </c>
      <c r="D879" s="254" t="inlineStr">
        <is>
          <t>clean</t>
        </is>
      </c>
      <c r="E879" s="254" t="inlineStr">
        <is>
          <t>standard</t>
        </is>
      </c>
      <c r="F879" s="254" t="inlineStr">
        <is>
          <t>virtual_bid_pre_bid</t>
        </is>
      </c>
      <c r="G879" s="254" t="inlineStr">
        <is>
          <t>any</t>
        </is>
      </c>
      <c r="H879" s="251" t="n">
        <v>4000</v>
      </c>
      <c r="I879" s="251" t="n">
        <v>5999.99</v>
      </c>
      <c r="J879" s="251" t="n">
        <v>99</v>
      </c>
      <c r="K879" s="254" t="n"/>
    </row>
    <row r="880">
      <c r="B880" s="254" t="inlineStr">
        <is>
          <t>2026-09-26</t>
        </is>
      </c>
      <c r="C880" s="254" t="inlineStr">
        <is>
          <t>licensed-low-volume</t>
        </is>
      </c>
      <c r="D880" s="254" t="inlineStr">
        <is>
          <t>clean</t>
        </is>
      </c>
      <c r="E880" s="254" t="inlineStr">
        <is>
          <t>standard</t>
        </is>
      </c>
      <c r="F880" s="254" t="inlineStr">
        <is>
          <t>virtual_bid_pre_bid</t>
        </is>
      </c>
      <c r="G880" s="254" t="inlineStr">
        <is>
          <t>any</t>
        </is>
      </c>
      <c r="H880" s="251" t="n">
        <v>6000</v>
      </c>
      <c r="I880" s="251" t="n">
        <v>7999.99</v>
      </c>
      <c r="J880" s="251" t="n">
        <v>119</v>
      </c>
      <c r="K880" s="254" t="n"/>
    </row>
    <row r="881">
      <c r="B881" s="254" t="inlineStr">
        <is>
          <t>2026-09-26</t>
        </is>
      </c>
      <c r="C881" s="254" t="inlineStr">
        <is>
          <t>licensed-low-volume</t>
        </is>
      </c>
      <c r="D881" s="254" t="inlineStr">
        <is>
          <t>clean</t>
        </is>
      </c>
      <c r="E881" s="254" t="inlineStr">
        <is>
          <t>standard</t>
        </is>
      </c>
      <c r="F881" s="254" t="inlineStr">
        <is>
          <t>virtual_bid_pre_bid</t>
        </is>
      </c>
      <c r="G881" s="254" t="inlineStr">
        <is>
          <t>any</t>
        </is>
      </c>
      <c r="H881" s="251" t="n">
        <v>8000</v>
      </c>
      <c r="I881" s="254" t="n"/>
      <c r="J881" s="251" t="n">
        <v>129</v>
      </c>
      <c r="K881" s="254" t="n"/>
    </row>
    <row r="882">
      <c r="B882" s="254" t="inlineStr">
        <is>
          <t>2026-09-26</t>
        </is>
      </c>
      <c r="C882" s="254" t="inlineStr">
        <is>
          <t>licensed-low-volume</t>
        </is>
      </c>
      <c r="D882" s="254" t="inlineStr">
        <is>
          <t>clean</t>
        </is>
      </c>
      <c r="E882" s="254" t="inlineStr">
        <is>
          <t>standard</t>
        </is>
      </c>
      <c r="F882" s="254" t="inlineStr">
        <is>
          <t>virtual_bid_live_bid</t>
        </is>
      </c>
      <c r="G882" s="254" t="inlineStr">
        <is>
          <t>any</t>
        </is>
      </c>
      <c r="H882" s="251" t="n">
        <v>0</v>
      </c>
      <c r="I882" s="251" t="n">
        <v>99.98999999999999</v>
      </c>
      <c r="J882" s="251" t="n">
        <v>0</v>
      </c>
      <c r="K882" s="254" t="n"/>
    </row>
    <row r="883">
      <c r="B883" s="254" t="inlineStr">
        <is>
          <t>2026-09-26</t>
        </is>
      </c>
      <c r="C883" s="254" t="inlineStr">
        <is>
          <t>licensed-low-volume</t>
        </is>
      </c>
      <c r="D883" s="254" t="inlineStr">
        <is>
          <t>clean</t>
        </is>
      </c>
      <c r="E883" s="254" t="inlineStr">
        <is>
          <t>standard</t>
        </is>
      </c>
      <c r="F883" s="254" t="inlineStr">
        <is>
          <t>virtual_bid_live_bid</t>
        </is>
      </c>
      <c r="G883" s="254" t="inlineStr">
        <is>
          <t>any</t>
        </is>
      </c>
      <c r="H883" s="251" t="n">
        <v>100</v>
      </c>
      <c r="I883" s="251" t="n">
        <v>499.99</v>
      </c>
      <c r="J883" s="251" t="n">
        <v>49</v>
      </c>
      <c r="K883" s="254" t="n"/>
    </row>
    <row r="884">
      <c r="B884" s="254" t="inlineStr">
        <is>
          <t>2026-09-26</t>
        </is>
      </c>
      <c r="C884" s="254" t="inlineStr">
        <is>
          <t>licensed-low-volume</t>
        </is>
      </c>
      <c r="D884" s="254" t="inlineStr">
        <is>
          <t>clean</t>
        </is>
      </c>
      <c r="E884" s="254" t="inlineStr">
        <is>
          <t>standard</t>
        </is>
      </c>
      <c r="F884" s="254" t="inlineStr">
        <is>
          <t>virtual_bid_live_bid</t>
        </is>
      </c>
      <c r="G884" s="254" t="inlineStr">
        <is>
          <t>any</t>
        </is>
      </c>
      <c r="H884" s="251" t="n">
        <v>500</v>
      </c>
      <c r="I884" s="251" t="n">
        <v>999.99</v>
      </c>
      <c r="J884" s="251" t="n">
        <v>59</v>
      </c>
      <c r="K884" s="254" t="n"/>
    </row>
    <row r="885">
      <c r="B885" s="254" t="inlineStr">
        <is>
          <t>2026-09-26</t>
        </is>
      </c>
      <c r="C885" s="254" t="inlineStr">
        <is>
          <t>licensed-low-volume</t>
        </is>
      </c>
      <c r="D885" s="254" t="inlineStr">
        <is>
          <t>clean</t>
        </is>
      </c>
      <c r="E885" s="254" t="inlineStr">
        <is>
          <t>standard</t>
        </is>
      </c>
      <c r="F885" s="254" t="inlineStr">
        <is>
          <t>virtual_bid_live_bid</t>
        </is>
      </c>
      <c r="G885" s="254" t="inlineStr">
        <is>
          <t>any</t>
        </is>
      </c>
      <c r="H885" s="251" t="n">
        <v>1000</v>
      </c>
      <c r="I885" s="251" t="n">
        <v>1499.99</v>
      </c>
      <c r="J885" s="251" t="n">
        <v>79</v>
      </c>
      <c r="K885" s="254" t="n"/>
    </row>
    <row r="886">
      <c r="B886" s="254" t="inlineStr">
        <is>
          <t>2026-09-26</t>
        </is>
      </c>
      <c r="C886" s="254" t="inlineStr">
        <is>
          <t>licensed-low-volume</t>
        </is>
      </c>
      <c r="D886" s="254" t="inlineStr">
        <is>
          <t>clean</t>
        </is>
      </c>
      <c r="E886" s="254" t="inlineStr">
        <is>
          <t>standard</t>
        </is>
      </c>
      <c r="F886" s="254" t="inlineStr">
        <is>
          <t>virtual_bid_live_bid</t>
        </is>
      </c>
      <c r="G886" s="254" t="inlineStr">
        <is>
          <t>any</t>
        </is>
      </c>
      <c r="H886" s="251" t="n">
        <v>1500</v>
      </c>
      <c r="I886" s="251" t="n">
        <v>1999.99</v>
      </c>
      <c r="J886" s="251" t="n">
        <v>89</v>
      </c>
      <c r="K886" s="254" t="n"/>
    </row>
    <row r="887">
      <c r="B887" s="254" t="inlineStr">
        <is>
          <t>2026-09-26</t>
        </is>
      </c>
      <c r="C887" s="254" t="inlineStr">
        <is>
          <t>licensed-low-volume</t>
        </is>
      </c>
      <c r="D887" s="254" t="inlineStr">
        <is>
          <t>clean</t>
        </is>
      </c>
      <c r="E887" s="254" t="inlineStr">
        <is>
          <t>standard</t>
        </is>
      </c>
      <c r="F887" s="254" t="inlineStr">
        <is>
          <t>virtual_bid_live_bid</t>
        </is>
      </c>
      <c r="G887" s="254" t="inlineStr">
        <is>
          <t>any</t>
        </is>
      </c>
      <c r="H887" s="251" t="n">
        <v>2000</v>
      </c>
      <c r="I887" s="251" t="n">
        <v>3999.99</v>
      </c>
      <c r="J887" s="251" t="n">
        <v>99</v>
      </c>
      <c r="K887" s="254" t="n"/>
    </row>
    <row r="888">
      <c r="B888" s="254" t="inlineStr">
        <is>
          <t>2026-09-26</t>
        </is>
      </c>
      <c r="C888" s="254" t="inlineStr">
        <is>
          <t>licensed-low-volume</t>
        </is>
      </c>
      <c r="D888" s="254" t="inlineStr">
        <is>
          <t>clean</t>
        </is>
      </c>
      <c r="E888" s="254" t="inlineStr">
        <is>
          <t>standard</t>
        </is>
      </c>
      <c r="F888" s="254" t="inlineStr">
        <is>
          <t>virtual_bid_live_bid</t>
        </is>
      </c>
      <c r="G888" s="254" t="inlineStr">
        <is>
          <t>any</t>
        </is>
      </c>
      <c r="H888" s="251" t="n">
        <v>4000</v>
      </c>
      <c r="I888" s="251" t="n">
        <v>5999.99</v>
      </c>
      <c r="J888" s="251" t="n">
        <v>109</v>
      </c>
      <c r="K888" s="254" t="n"/>
    </row>
    <row r="889">
      <c r="B889" s="254" t="inlineStr">
        <is>
          <t>2026-09-26</t>
        </is>
      </c>
      <c r="C889" s="254" t="inlineStr">
        <is>
          <t>licensed-low-volume</t>
        </is>
      </c>
      <c r="D889" s="254" t="inlineStr">
        <is>
          <t>clean</t>
        </is>
      </c>
      <c r="E889" s="254" t="inlineStr">
        <is>
          <t>standard</t>
        </is>
      </c>
      <c r="F889" s="254" t="inlineStr">
        <is>
          <t>virtual_bid_live_bid</t>
        </is>
      </c>
      <c r="G889" s="254" t="inlineStr">
        <is>
          <t>any</t>
        </is>
      </c>
      <c r="H889" s="251" t="n">
        <v>6000</v>
      </c>
      <c r="I889" s="251" t="n">
        <v>7999.99</v>
      </c>
      <c r="J889" s="251" t="n">
        <v>139</v>
      </c>
      <c r="K889" s="254" t="n"/>
    </row>
    <row r="890">
      <c r="B890" s="254" t="inlineStr">
        <is>
          <t>2026-09-26</t>
        </is>
      </c>
      <c r="C890" s="254" t="inlineStr">
        <is>
          <t>licensed-low-volume</t>
        </is>
      </c>
      <c r="D890" s="254" t="inlineStr">
        <is>
          <t>clean</t>
        </is>
      </c>
      <c r="E890" s="254" t="inlineStr">
        <is>
          <t>standard</t>
        </is>
      </c>
      <c r="F890" s="254" t="inlineStr">
        <is>
          <t>virtual_bid_live_bid</t>
        </is>
      </c>
      <c r="G890" s="254" t="inlineStr">
        <is>
          <t>any</t>
        </is>
      </c>
      <c r="H890" s="251" t="n">
        <v>8000</v>
      </c>
      <c r="I890" s="254" t="n"/>
      <c r="J890" s="251" t="n">
        <v>149</v>
      </c>
      <c r="K890" s="254" t="n"/>
    </row>
    <row r="891">
      <c r="B891" s="254" t="inlineStr">
        <is>
          <t>2026-09-26</t>
        </is>
      </c>
      <c r="C891" s="254" t="inlineStr">
        <is>
          <t>licensed-low-volume</t>
        </is>
      </c>
      <c r="D891" s="254" t="inlineStr">
        <is>
          <t>clean</t>
        </is>
      </c>
      <c r="E891" s="254" t="inlineStr">
        <is>
          <t>standard</t>
        </is>
      </c>
      <c r="F891" s="254" t="inlineStr">
        <is>
          <t>gate_fee</t>
        </is>
      </c>
      <c r="G891" s="254" t="inlineStr">
        <is>
          <t>any</t>
        </is>
      </c>
      <c r="H891" s="251" t="n">
        <v>0</v>
      </c>
      <c r="I891" s="254" t="n"/>
      <c r="J891" s="251" t="n">
        <v>79</v>
      </c>
      <c r="K891" s="254" t="n"/>
    </row>
    <row r="892">
      <c r="B892" s="254" t="inlineStr">
        <is>
          <t>2026-09-26</t>
        </is>
      </c>
      <c r="C892" s="254" t="inlineStr">
        <is>
          <t>licensed-low-volume</t>
        </is>
      </c>
      <c r="D892" s="254" t="inlineStr">
        <is>
          <t>non-clean</t>
        </is>
      </c>
      <c r="E892" s="254" t="inlineStr">
        <is>
          <t>standard</t>
        </is>
      </c>
      <c r="F892" s="254" t="inlineStr">
        <is>
          <t>buyer_fee</t>
        </is>
      </c>
      <c r="G892" s="254" t="inlineStr">
        <is>
          <t>secured</t>
        </is>
      </c>
      <c r="H892" s="251" t="n">
        <v>0</v>
      </c>
      <c r="I892" s="251" t="n">
        <v>49.99</v>
      </c>
      <c r="J892" s="251" t="n">
        <v>25</v>
      </c>
      <c r="K892" s="254" t="n"/>
    </row>
    <row r="893">
      <c r="B893" s="254" t="inlineStr">
        <is>
          <t>2026-09-26</t>
        </is>
      </c>
      <c r="C893" s="254" t="inlineStr">
        <is>
          <t>licensed-low-volume</t>
        </is>
      </c>
      <c r="D893" s="254" t="inlineStr">
        <is>
          <t>non-clean</t>
        </is>
      </c>
      <c r="E893" s="254" t="inlineStr">
        <is>
          <t>standard</t>
        </is>
      </c>
      <c r="F893" s="254" t="inlineStr">
        <is>
          <t>buyer_fee</t>
        </is>
      </c>
      <c r="G893" s="254" t="inlineStr">
        <is>
          <t>secured</t>
        </is>
      </c>
      <c r="H893" s="251" t="n">
        <v>50</v>
      </c>
      <c r="I893" s="251" t="n">
        <v>99.98999999999999</v>
      </c>
      <c r="J893" s="251" t="n">
        <v>45</v>
      </c>
      <c r="K893" s="254" t="n"/>
    </row>
    <row r="894">
      <c r="B894" s="254" t="inlineStr">
        <is>
          <t>2026-09-26</t>
        </is>
      </c>
      <c r="C894" s="254" t="inlineStr">
        <is>
          <t>licensed-low-volume</t>
        </is>
      </c>
      <c r="D894" s="254" t="inlineStr">
        <is>
          <t>non-clean</t>
        </is>
      </c>
      <c r="E894" s="254" t="inlineStr">
        <is>
          <t>standard</t>
        </is>
      </c>
      <c r="F894" s="254" t="inlineStr">
        <is>
          <t>buyer_fee</t>
        </is>
      </c>
      <c r="G894" s="254" t="inlineStr">
        <is>
          <t>secured</t>
        </is>
      </c>
      <c r="H894" s="251" t="n">
        <v>100</v>
      </c>
      <c r="I894" s="251" t="n">
        <v>199.99</v>
      </c>
      <c r="J894" s="251" t="n">
        <v>80</v>
      </c>
      <c r="K894" s="254" t="n"/>
    </row>
    <row r="895">
      <c r="B895" s="254" t="inlineStr">
        <is>
          <t>2026-09-26</t>
        </is>
      </c>
      <c r="C895" s="254" t="inlineStr">
        <is>
          <t>licensed-low-volume</t>
        </is>
      </c>
      <c r="D895" s="254" t="inlineStr">
        <is>
          <t>non-clean</t>
        </is>
      </c>
      <c r="E895" s="254" t="inlineStr">
        <is>
          <t>standard</t>
        </is>
      </c>
      <c r="F895" s="254" t="inlineStr">
        <is>
          <t>buyer_fee</t>
        </is>
      </c>
      <c r="G895" s="254" t="inlineStr">
        <is>
          <t>secured</t>
        </is>
      </c>
      <c r="H895" s="251" t="n">
        <v>200</v>
      </c>
      <c r="I895" s="251" t="n">
        <v>299.99</v>
      </c>
      <c r="J895" s="251" t="n">
        <v>130</v>
      </c>
      <c r="K895" s="254" t="n"/>
    </row>
    <row r="896">
      <c r="B896" s="254" t="inlineStr">
        <is>
          <t>2026-09-26</t>
        </is>
      </c>
      <c r="C896" s="254" t="inlineStr">
        <is>
          <t>licensed-low-volume</t>
        </is>
      </c>
      <c r="D896" s="254" t="inlineStr">
        <is>
          <t>non-clean</t>
        </is>
      </c>
      <c r="E896" s="254" t="inlineStr">
        <is>
          <t>standard</t>
        </is>
      </c>
      <c r="F896" s="254" t="inlineStr">
        <is>
          <t>buyer_fee</t>
        </is>
      </c>
      <c r="G896" s="254" t="inlineStr">
        <is>
          <t>secured</t>
        </is>
      </c>
      <c r="H896" s="251" t="n">
        <v>300</v>
      </c>
      <c r="I896" s="251" t="n">
        <v>349.99</v>
      </c>
      <c r="J896" s="251" t="n">
        <v>137.5</v>
      </c>
      <c r="K896" s="254" t="n"/>
    </row>
    <row r="897">
      <c r="B897" s="254" t="inlineStr">
        <is>
          <t>2026-09-26</t>
        </is>
      </c>
      <c r="C897" s="254" t="inlineStr">
        <is>
          <t>licensed-low-volume</t>
        </is>
      </c>
      <c r="D897" s="254" t="inlineStr">
        <is>
          <t>non-clean</t>
        </is>
      </c>
      <c r="E897" s="254" t="inlineStr">
        <is>
          <t>standard</t>
        </is>
      </c>
      <c r="F897" s="254" t="inlineStr">
        <is>
          <t>buyer_fee</t>
        </is>
      </c>
      <c r="G897" s="254" t="inlineStr">
        <is>
          <t>secured</t>
        </is>
      </c>
      <c r="H897" s="251" t="n">
        <v>350</v>
      </c>
      <c r="I897" s="251" t="n">
        <v>399.99</v>
      </c>
      <c r="J897" s="251" t="n">
        <v>145</v>
      </c>
      <c r="K897" s="254" t="n"/>
    </row>
    <row r="898">
      <c r="B898" s="254" t="inlineStr">
        <is>
          <t>2026-09-26</t>
        </is>
      </c>
      <c r="C898" s="254" t="inlineStr">
        <is>
          <t>licensed-low-volume</t>
        </is>
      </c>
      <c r="D898" s="254" t="inlineStr">
        <is>
          <t>non-clean</t>
        </is>
      </c>
      <c r="E898" s="254" t="inlineStr">
        <is>
          <t>standard</t>
        </is>
      </c>
      <c r="F898" s="254" t="inlineStr">
        <is>
          <t>buyer_fee</t>
        </is>
      </c>
      <c r="G898" s="254" t="inlineStr">
        <is>
          <t>secured</t>
        </is>
      </c>
      <c r="H898" s="251" t="n">
        <v>400</v>
      </c>
      <c r="I898" s="251" t="n">
        <v>449.99</v>
      </c>
      <c r="J898" s="251" t="n">
        <v>175</v>
      </c>
      <c r="K898" s="254" t="n"/>
    </row>
    <row r="899">
      <c r="B899" s="254" t="inlineStr">
        <is>
          <t>2026-09-26</t>
        </is>
      </c>
      <c r="C899" s="254" t="inlineStr">
        <is>
          <t>licensed-low-volume</t>
        </is>
      </c>
      <c r="D899" s="254" t="inlineStr">
        <is>
          <t>non-clean</t>
        </is>
      </c>
      <c r="E899" s="254" t="inlineStr">
        <is>
          <t>standard</t>
        </is>
      </c>
      <c r="F899" s="254" t="inlineStr">
        <is>
          <t>buyer_fee</t>
        </is>
      </c>
      <c r="G899" s="254" t="inlineStr">
        <is>
          <t>secured</t>
        </is>
      </c>
      <c r="H899" s="251" t="n">
        <v>450</v>
      </c>
      <c r="I899" s="251" t="n">
        <v>499.99</v>
      </c>
      <c r="J899" s="251" t="n">
        <v>185</v>
      </c>
      <c r="K899" s="254" t="n"/>
    </row>
    <row r="900">
      <c r="B900" s="254" t="inlineStr">
        <is>
          <t>2026-09-26</t>
        </is>
      </c>
      <c r="C900" s="254" t="inlineStr">
        <is>
          <t>licensed-low-volume</t>
        </is>
      </c>
      <c r="D900" s="254" t="inlineStr">
        <is>
          <t>non-clean</t>
        </is>
      </c>
      <c r="E900" s="254" t="inlineStr">
        <is>
          <t>standard</t>
        </is>
      </c>
      <c r="F900" s="254" t="inlineStr">
        <is>
          <t>buyer_fee</t>
        </is>
      </c>
      <c r="G900" s="254" t="inlineStr">
        <is>
          <t>secured</t>
        </is>
      </c>
      <c r="H900" s="251" t="n">
        <v>500</v>
      </c>
      <c r="I900" s="251" t="n">
        <v>549.99</v>
      </c>
      <c r="J900" s="251" t="n">
        <v>205</v>
      </c>
      <c r="K900" s="254" t="n"/>
    </row>
    <row r="901">
      <c r="B901" s="254" t="inlineStr">
        <is>
          <t>2026-09-26</t>
        </is>
      </c>
      <c r="C901" s="254" t="inlineStr">
        <is>
          <t>licensed-low-volume</t>
        </is>
      </c>
      <c r="D901" s="254" t="inlineStr">
        <is>
          <t>non-clean</t>
        </is>
      </c>
      <c r="E901" s="254" t="inlineStr">
        <is>
          <t>standard</t>
        </is>
      </c>
      <c r="F901" s="254" t="inlineStr">
        <is>
          <t>buyer_fee</t>
        </is>
      </c>
      <c r="G901" s="254" t="inlineStr">
        <is>
          <t>secured</t>
        </is>
      </c>
      <c r="H901" s="251" t="n">
        <v>550</v>
      </c>
      <c r="I901" s="251" t="n">
        <v>599.99</v>
      </c>
      <c r="J901" s="251" t="n">
        <v>210</v>
      </c>
      <c r="K901" s="254" t="n"/>
    </row>
    <row r="902">
      <c r="B902" s="254" t="inlineStr">
        <is>
          <t>2026-09-26</t>
        </is>
      </c>
      <c r="C902" s="254" t="inlineStr">
        <is>
          <t>licensed-low-volume</t>
        </is>
      </c>
      <c r="D902" s="254" t="inlineStr">
        <is>
          <t>non-clean</t>
        </is>
      </c>
      <c r="E902" s="254" t="inlineStr">
        <is>
          <t>standard</t>
        </is>
      </c>
      <c r="F902" s="254" t="inlineStr">
        <is>
          <t>buyer_fee</t>
        </is>
      </c>
      <c r="G902" s="254" t="inlineStr">
        <is>
          <t>secured</t>
        </is>
      </c>
      <c r="H902" s="251" t="n">
        <v>600</v>
      </c>
      <c r="I902" s="251" t="n">
        <v>699.99</v>
      </c>
      <c r="J902" s="251" t="n">
        <v>240</v>
      </c>
      <c r="K902" s="254" t="n"/>
    </row>
    <row r="903">
      <c r="B903" s="254" t="inlineStr">
        <is>
          <t>2026-09-26</t>
        </is>
      </c>
      <c r="C903" s="254" t="inlineStr">
        <is>
          <t>licensed-low-volume</t>
        </is>
      </c>
      <c r="D903" s="254" t="inlineStr">
        <is>
          <t>non-clean</t>
        </is>
      </c>
      <c r="E903" s="254" t="inlineStr">
        <is>
          <t>standard</t>
        </is>
      </c>
      <c r="F903" s="254" t="inlineStr">
        <is>
          <t>buyer_fee</t>
        </is>
      </c>
      <c r="G903" s="254" t="inlineStr">
        <is>
          <t>secured</t>
        </is>
      </c>
      <c r="H903" s="251" t="n">
        <v>700</v>
      </c>
      <c r="I903" s="251" t="n">
        <v>799.99</v>
      </c>
      <c r="J903" s="251" t="n">
        <v>270</v>
      </c>
      <c r="K903" s="254" t="n"/>
    </row>
    <row r="904">
      <c r="B904" s="254" t="inlineStr">
        <is>
          <t>2026-09-26</t>
        </is>
      </c>
      <c r="C904" s="254" t="inlineStr">
        <is>
          <t>licensed-low-volume</t>
        </is>
      </c>
      <c r="D904" s="254" t="inlineStr">
        <is>
          <t>non-clean</t>
        </is>
      </c>
      <c r="E904" s="254" t="inlineStr">
        <is>
          <t>standard</t>
        </is>
      </c>
      <c r="F904" s="254" t="inlineStr">
        <is>
          <t>buyer_fee</t>
        </is>
      </c>
      <c r="G904" s="254" t="inlineStr">
        <is>
          <t>secured</t>
        </is>
      </c>
      <c r="H904" s="251" t="n">
        <v>800</v>
      </c>
      <c r="I904" s="251" t="n">
        <v>899.99</v>
      </c>
      <c r="J904" s="251" t="n">
        <v>295</v>
      </c>
      <c r="K904" s="254" t="n"/>
    </row>
    <row r="905">
      <c r="B905" s="254" t="inlineStr">
        <is>
          <t>2026-09-26</t>
        </is>
      </c>
      <c r="C905" s="254" t="inlineStr">
        <is>
          <t>licensed-low-volume</t>
        </is>
      </c>
      <c r="D905" s="254" t="inlineStr">
        <is>
          <t>non-clean</t>
        </is>
      </c>
      <c r="E905" s="254" t="inlineStr">
        <is>
          <t>standard</t>
        </is>
      </c>
      <c r="F905" s="254" t="inlineStr">
        <is>
          <t>buyer_fee</t>
        </is>
      </c>
      <c r="G905" s="254" t="inlineStr">
        <is>
          <t>secured</t>
        </is>
      </c>
      <c r="H905" s="251" t="n">
        <v>900</v>
      </c>
      <c r="I905" s="251" t="n">
        <v>999.99</v>
      </c>
      <c r="J905" s="251" t="n">
        <v>320</v>
      </c>
      <c r="K905" s="254" t="n"/>
    </row>
    <row r="906">
      <c r="B906" s="254" t="inlineStr">
        <is>
          <t>2026-09-26</t>
        </is>
      </c>
      <c r="C906" s="254" t="inlineStr">
        <is>
          <t>licensed-low-volume</t>
        </is>
      </c>
      <c r="D906" s="254" t="inlineStr">
        <is>
          <t>non-clean</t>
        </is>
      </c>
      <c r="E906" s="254" t="inlineStr">
        <is>
          <t>standard</t>
        </is>
      </c>
      <c r="F906" s="254" t="inlineStr">
        <is>
          <t>buyer_fee</t>
        </is>
      </c>
      <c r="G906" s="254" t="inlineStr">
        <is>
          <t>secured</t>
        </is>
      </c>
      <c r="H906" s="251" t="n">
        <v>1000</v>
      </c>
      <c r="I906" s="251" t="n">
        <v>1199.99</v>
      </c>
      <c r="J906" s="251" t="n">
        <v>375</v>
      </c>
      <c r="K906" s="254" t="n"/>
    </row>
    <row r="907">
      <c r="B907" s="254" t="inlineStr">
        <is>
          <t>2026-09-26</t>
        </is>
      </c>
      <c r="C907" s="254" t="inlineStr">
        <is>
          <t>licensed-low-volume</t>
        </is>
      </c>
      <c r="D907" s="254" t="inlineStr">
        <is>
          <t>non-clean</t>
        </is>
      </c>
      <c r="E907" s="254" t="inlineStr">
        <is>
          <t>standard</t>
        </is>
      </c>
      <c r="F907" s="254" t="inlineStr">
        <is>
          <t>buyer_fee</t>
        </is>
      </c>
      <c r="G907" s="254" t="inlineStr">
        <is>
          <t>secured</t>
        </is>
      </c>
      <c r="H907" s="251" t="n">
        <v>1200</v>
      </c>
      <c r="I907" s="251" t="n">
        <v>1299.99</v>
      </c>
      <c r="J907" s="251" t="n">
        <v>395</v>
      </c>
      <c r="K907" s="254" t="n"/>
    </row>
    <row r="908">
      <c r="B908" s="254" t="inlineStr">
        <is>
          <t>2026-09-26</t>
        </is>
      </c>
      <c r="C908" s="254" t="inlineStr">
        <is>
          <t>licensed-low-volume</t>
        </is>
      </c>
      <c r="D908" s="254" t="inlineStr">
        <is>
          <t>non-clean</t>
        </is>
      </c>
      <c r="E908" s="254" t="inlineStr">
        <is>
          <t>standard</t>
        </is>
      </c>
      <c r="F908" s="254" t="inlineStr">
        <is>
          <t>buyer_fee</t>
        </is>
      </c>
      <c r="G908" s="254" t="inlineStr">
        <is>
          <t>secured</t>
        </is>
      </c>
      <c r="H908" s="251" t="n">
        <v>1300</v>
      </c>
      <c r="I908" s="251" t="n">
        <v>1399.99</v>
      </c>
      <c r="J908" s="251" t="n">
        <v>410</v>
      </c>
      <c r="K908" s="254" t="n"/>
    </row>
    <row r="909">
      <c r="B909" s="254" t="inlineStr">
        <is>
          <t>2026-09-26</t>
        </is>
      </c>
      <c r="C909" s="254" t="inlineStr">
        <is>
          <t>licensed-low-volume</t>
        </is>
      </c>
      <c r="D909" s="254" t="inlineStr">
        <is>
          <t>non-clean</t>
        </is>
      </c>
      <c r="E909" s="254" t="inlineStr">
        <is>
          <t>standard</t>
        </is>
      </c>
      <c r="F909" s="254" t="inlineStr">
        <is>
          <t>buyer_fee</t>
        </is>
      </c>
      <c r="G909" s="254" t="inlineStr">
        <is>
          <t>secured</t>
        </is>
      </c>
      <c r="H909" s="251" t="n">
        <v>1400</v>
      </c>
      <c r="I909" s="251" t="n">
        <v>1499.99</v>
      </c>
      <c r="J909" s="251" t="n">
        <v>430</v>
      </c>
      <c r="K909" s="254" t="n"/>
    </row>
    <row r="910">
      <c r="B910" s="254" t="inlineStr">
        <is>
          <t>2026-09-26</t>
        </is>
      </c>
      <c r="C910" s="254" t="inlineStr">
        <is>
          <t>licensed-low-volume</t>
        </is>
      </c>
      <c r="D910" s="254" t="inlineStr">
        <is>
          <t>non-clean</t>
        </is>
      </c>
      <c r="E910" s="254" t="inlineStr">
        <is>
          <t>standard</t>
        </is>
      </c>
      <c r="F910" s="254" t="inlineStr">
        <is>
          <t>buyer_fee</t>
        </is>
      </c>
      <c r="G910" s="254" t="inlineStr">
        <is>
          <t>secured</t>
        </is>
      </c>
      <c r="H910" s="251" t="n">
        <v>1500</v>
      </c>
      <c r="I910" s="251" t="n">
        <v>1599.99</v>
      </c>
      <c r="J910" s="251" t="n">
        <v>445</v>
      </c>
      <c r="K910" s="254" t="n"/>
    </row>
    <row r="911">
      <c r="B911" s="254" t="inlineStr">
        <is>
          <t>2026-09-26</t>
        </is>
      </c>
      <c r="C911" s="254" t="inlineStr">
        <is>
          <t>licensed-low-volume</t>
        </is>
      </c>
      <c r="D911" s="254" t="inlineStr">
        <is>
          <t>non-clean</t>
        </is>
      </c>
      <c r="E911" s="254" t="inlineStr">
        <is>
          <t>standard</t>
        </is>
      </c>
      <c r="F911" s="254" t="inlineStr">
        <is>
          <t>buyer_fee</t>
        </is>
      </c>
      <c r="G911" s="254" t="inlineStr">
        <is>
          <t>secured</t>
        </is>
      </c>
      <c r="H911" s="251" t="n">
        <v>1600</v>
      </c>
      <c r="I911" s="251" t="n">
        <v>1699.99</v>
      </c>
      <c r="J911" s="251" t="n">
        <v>465</v>
      </c>
      <c r="K911" s="254" t="n"/>
    </row>
    <row r="912">
      <c r="B912" s="254" t="inlineStr">
        <is>
          <t>2026-09-26</t>
        </is>
      </c>
      <c r="C912" s="254" t="inlineStr">
        <is>
          <t>licensed-low-volume</t>
        </is>
      </c>
      <c r="D912" s="254" t="inlineStr">
        <is>
          <t>non-clean</t>
        </is>
      </c>
      <c r="E912" s="254" t="inlineStr">
        <is>
          <t>standard</t>
        </is>
      </c>
      <c r="F912" s="254" t="inlineStr">
        <is>
          <t>buyer_fee</t>
        </is>
      </c>
      <c r="G912" s="254" t="inlineStr">
        <is>
          <t>secured</t>
        </is>
      </c>
      <c r="H912" s="251" t="n">
        <v>1700</v>
      </c>
      <c r="I912" s="251" t="n">
        <v>1799.99</v>
      </c>
      <c r="J912" s="251" t="n">
        <v>485</v>
      </c>
      <c r="K912" s="254" t="n"/>
    </row>
    <row r="913">
      <c r="B913" s="254" t="inlineStr">
        <is>
          <t>2026-09-26</t>
        </is>
      </c>
      <c r="C913" s="254" t="inlineStr">
        <is>
          <t>licensed-low-volume</t>
        </is>
      </c>
      <c r="D913" s="254" t="inlineStr">
        <is>
          <t>non-clean</t>
        </is>
      </c>
      <c r="E913" s="254" t="inlineStr">
        <is>
          <t>standard</t>
        </is>
      </c>
      <c r="F913" s="254" t="inlineStr">
        <is>
          <t>buyer_fee</t>
        </is>
      </c>
      <c r="G913" s="254" t="inlineStr">
        <is>
          <t>secured</t>
        </is>
      </c>
      <c r="H913" s="251" t="n">
        <v>1800</v>
      </c>
      <c r="I913" s="251" t="n">
        <v>1999.99</v>
      </c>
      <c r="J913" s="251" t="n">
        <v>510</v>
      </c>
      <c r="K913" s="254" t="n"/>
    </row>
    <row r="914">
      <c r="B914" s="254" t="inlineStr">
        <is>
          <t>2026-09-26</t>
        </is>
      </c>
      <c r="C914" s="254" t="inlineStr">
        <is>
          <t>licensed-low-volume</t>
        </is>
      </c>
      <c r="D914" s="254" t="inlineStr">
        <is>
          <t>non-clean</t>
        </is>
      </c>
      <c r="E914" s="254" t="inlineStr">
        <is>
          <t>standard</t>
        </is>
      </c>
      <c r="F914" s="254" t="inlineStr">
        <is>
          <t>buyer_fee</t>
        </is>
      </c>
      <c r="G914" s="254" t="inlineStr">
        <is>
          <t>secured</t>
        </is>
      </c>
      <c r="H914" s="251" t="n">
        <v>2000</v>
      </c>
      <c r="I914" s="251" t="n">
        <v>2399.99</v>
      </c>
      <c r="J914" s="251" t="n">
        <v>535</v>
      </c>
      <c r="K914" s="254" t="n"/>
    </row>
    <row r="915">
      <c r="B915" s="254" t="inlineStr">
        <is>
          <t>2026-09-26</t>
        </is>
      </c>
      <c r="C915" s="254" t="inlineStr">
        <is>
          <t>licensed-low-volume</t>
        </is>
      </c>
      <c r="D915" s="254" t="inlineStr">
        <is>
          <t>non-clean</t>
        </is>
      </c>
      <c r="E915" s="254" t="inlineStr">
        <is>
          <t>standard</t>
        </is>
      </c>
      <c r="F915" s="254" t="inlineStr">
        <is>
          <t>buyer_fee</t>
        </is>
      </c>
      <c r="G915" s="254" t="inlineStr">
        <is>
          <t>secured</t>
        </is>
      </c>
      <c r="H915" s="251" t="n">
        <v>2400</v>
      </c>
      <c r="I915" s="251" t="n">
        <v>2499.99</v>
      </c>
      <c r="J915" s="251" t="n">
        <v>570</v>
      </c>
      <c r="K915" s="254" t="n"/>
    </row>
    <row r="916">
      <c r="B916" s="254" t="inlineStr">
        <is>
          <t>2026-09-26</t>
        </is>
      </c>
      <c r="C916" s="254" t="inlineStr">
        <is>
          <t>licensed-low-volume</t>
        </is>
      </c>
      <c r="D916" s="254" t="inlineStr">
        <is>
          <t>non-clean</t>
        </is>
      </c>
      <c r="E916" s="254" t="inlineStr">
        <is>
          <t>standard</t>
        </is>
      </c>
      <c r="F916" s="254" t="inlineStr">
        <is>
          <t>buyer_fee</t>
        </is>
      </c>
      <c r="G916" s="254" t="inlineStr">
        <is>
          <t>secured</t>
        </is>
      </c>
      <c r="H916" s="251" t="n">
        <v>2500</v>
      </c>
      <c r="I916" s="251" t="n">
        <v>2999.99</v>
      </c>
      <c r="J916" s="251" t="n">
        <v>610</v>
      </c>
      <c r="K916" s="254" t="n"/>
    </row>
    <row r="917">
      <c r="B917" s="254" t="inlineStr">
        <is>
          <t>2026-09-26</t>
        </is>
      </c>
      <c r="C917" s="254" t="inlineStr">
        <is>
          <t>licensed-low-volume</t>
        </is>
      </c>
      <c r="D917" s="254" t="inlineStr">
        <is>
          <t>non-clean</t>
        </is>
      </c>
      <c r="E917" s="254" t="inlineStr">
        <is>
          <t>standard</t>
        </is>
      </c>
      <c r="F917" s="254" t="inlineStr">
        <is>
          <t>buyer_fee</t>
        </is>
      </c>
      <c r="G917" s="254" t="inlineStr">
        <is>
          <t>secured</t>
        </is>
      </c>
      <c r="H917" s="251" t="n">
        <v>3000</v>
      </c>
      <c r="I917" s="251" t="n">
        <v>3499.99</v>
      </c>
      <c r="J917" s="251" t="n">
        <v>655</v>
      </c>
      <c r="K917" s="254" t="n"/>
    </row>
    <row r="918">
      <c r="B918" s="254" t="inlineStr">
        <is>
          <t>2026-09-26</t>
        </is>
      </c>
      <c r="C918" s="254" t="inlineStr">
        <is>
          <t>licensed-low-volume</t>
        </is>
      </c>
      <c r="D918" s="254" t="inlineStr">
        <is>
          <t>non-clean</t>
        </is>
      </c>
      <c r="E918" s="254" t="inlineStr">
        <is>
          <t>standard</t>
        </is>
      </c>
      <c r="F918" s="254" t="inlineStr">
        <is>
          <t>buyer_fee</t>
        </is>
      </c>
      <c r="G918" s="254" t="inlineStr">
        <is>
          <t>secured</t>
        </is>
      </c>
      <c r="H918" s="251" t="n">
        <v>3500</v>
      </c>
      <c r="I918" s="251" t="n">
        <v>3999.99</v>
      </c>
      <c r="J918" s="251" t="n">
        <v>705</v>
      </c>
      <c r="K918" s="254" t="n"/>
    </row>
    <row r="919">
      <c r="B919" s="254" t="inlineStr">
        <is>
          <t>2026-09-26</t>
        </is>
      </c>
      <c r="C919" s="254" t="inlineStr">
        <is>
          <t>licensed-low-volume</t>
        </is>
      </c>
      <c r="D919" s="254" t="inlineStr">
        <is>
          <t>non-clean</t>
        </is>
      </c>
      <c r="E919" s="254" t="inlineStr">
        <is>
          <t>standard</t>
        </is>
      </c>
      <c r="F919" s="254" t="inlineStr">
        <is>
          <t>buyer_fee</t>
        </is>
      </c>
      <c r="G919" s="254" t="inlineStr">
        <is>
          <t>secured</t>
        </is>
      </c>
      <c r="H919" s="251" t="n">
        <v>4000</v>
      </c>
      <c r="I919" s="251" t="n">
        <v>4499.99</v>
      </c>
      <c r="J919" s="251" t="n">
        <v>725</v>
      </c>
      <c r="K919" s="254" t="n"/>
    </row>
    <row r="920">
      <c r="B920" s="254" t="inlineStr">
        <is>
          <t>2026-09-26</t>
        </is>
      </c>
      <c r="C920" s="254" t="inlineStr">
        <is>
          <t>licensed-low-volume</t>
        </is>
      </c>
      <c r="D920" s="254" t="inlineStr">
        <is>
          <t>non-clean</t>
        </is>
      </c>
      <c r="E920" s="254" t="inlineStr">
        <is>
          <t>standard</t>
        </is>
      </c>
      <c r="F920" s="254" t="inlineStr">
        <is>
          <t>buyer_fee</t>
        </is>
      </c>
      <c r="G920" s="254" t="inlineStr">
        <is>
          <t>secured</t>
        </is>
      </c>
      <c r="H920" s="251" t="n">
        <v>4500</v>
      </c>
      <c r="I920" s="251" t="n">
        <v>4999.99</v>
      </c>
      <c r="J920" s="251" t="n">
        <v>750</v>
      </c>
      <c r="K920" s="254" t="n"/>
    </row>
    <row r="921">
      <c r="B921" s="254" t="inlineStr">
        <is>
          <t>2026-09-26</t>
        </is>
      </c>
      <c r="C921" s="254" t="inlineStr">
        <is>
          <t>licensed-low-volume</t>
        </is>
      </c>
      <c r="D921" s="254" t="inlineStr">
        <is>
          <t>non-clean</t>
        </is>
      </c>
      <c r="E921" s="254" t="inlineStr">
        <is>
          <t>standard</t>
        </is>
      </c>
      <c r="F921" s="254" t="inlineStr">
        <is>
          <t>buyer_fee</t>
        </is>
      </c>
      <c r="G921" s="254" t="inlineStr">
        <is>
          <t>secured</t>
        </is>
      </c>
      <c r="H921" s="251" t="n">
        <v>5000</v>
      </c>
      <c r="I921" s="251" t="n">
        <v>5499.99</v>
      </c>
      <c r="J921" s="251" t="n">
        <v>775</v>
      </c>
      <c r="K921" s="254" t="n"/>
    </row>
    <row r="922">
      <c r="B922" s="254" t="inlineStr">
        <is>
          <t>2026-09-26</t>
        </is>
      </c>
      <c r="C922" s="254" t="inlineStr">
        <is>
          <t>licensed-low-volume</t>
        </is>
      </c>
      <c r="D922" s="254" t="inlineStr">
        <is>
          <t>non-clean</t>
        </is>
      </c>
      <c r="E922" s="254" t="inlineStr">
        <is>
          <t>standard</t>
        </is>
      </c>
      <c r="F922" s="254" t="inlineStr">
        <is>
          <t>buyer_fee</t>
        </is>
      </c>
      <c r="G922" s="254" t="inlineStr">
        <is>
          <t>secured</t>
        </is>
      </c>
      <c r="H922" s="251" t="n">
        <v>5500</v>
      </c>
      <c r="I922" s="251" t="n">
        <v>5999.99</v>
      </c>
      <c r="J922" s="251" t="n">
        <v>800</v>
      </c>
      <c r="K922" s="254" t="n"/>
    </row>
    <row r="923">
      <c r="B923" s="254" t="inlineStr">
        <is>
          <t>2026-09-26</t>
        </is>
      </c>
      <c r="C923" s="254" t="inlineStr">
        <is>
          <t>licensed-low-volume</t>
        </is>
      </c>
      <c r="D923" s="254" t="inlineStr">
        <is>
          <t>non-clean</t>
        </is>
      </c>
      <c r="E923" s="254" t="inlineStr">
        <is>
          <t>standard</t>
        </is>
      </c>
      <c r="F923" s="254" t="inlineStr">
        <is>
          <t>buyer_fee</t>
        </is>
      </c>
      <c r="G923" s="254" t="inlineStr">
        <is>
          <t>secured</t>
        </is>
      </c>
      <c r="H923" s="251" t="n">
        <v>6000</v>
      </c>
      <c r="I923" s="251" t="n">
        <v>6499.99</v>
      </c>
      <c r="J923" s="251" t="n">
        <v>825</v>
      </c>
      <c r="K923" s="254" t="n"/>
    </row>
    <row r="924">
      <c r="B924" s="254" t="inlineStr">
        <is>
          <t>2026-09-26</t>
        </is>
      </c>
      <c r="C924" s="254" t="inlineStr">
        <is>
          <t>licensed-low-volume</t>
        </is>
      </c>
      <c r="D924" s="254" t="inlineStr">
        <is>
          <t>non-clean</t>
        </is>
      </c>
      <c r="E924" s="254" t="inlineStr">
        <is>
          <t>standard</t>
        </is>
      </c>
      <c r="F924" s="254" t="inlineStr">
        <is>
          <t>buyer_fee</t>
        </is>
      </c>
      <c r="G924" s="254" t="inlineStr">
        <is>
          <t>secured</t>
        </is>
      </c>
      <c r="H924" s="251" t="n">
        <v>6500</v>
      </c>
      <c r="I924" s="251" t="n">
        <v>6999.99</v>
      </c>
      <c r="J924" s="251" t="n">
        <v>845</v>
      </c>
      <c r="K924" s="254" t="n"/>
    </row>
    <row r="925">
      <c r="B925" s="254" t="inlineStr">
        <is>
          <t>2026-09-26</t>
        </is>
      </c>
      <c r="C925" s="254" t="inlineStr">
        <is>
          <t>licensed-low-volume</t>
        </is>
      </c>
      <c r="D925" s="254" t="inlineStr">
        <is>
          <t>non-clean</t>
        </is>
      </c>
      <c r="E925" s="254" t="inlineStr">
        <is>
          <t>standard</t>
        </is>
      </c>
      <c r="F925" s="254" t="inlineStr">
        <is>
          <t>buyer_fee</t>
        </is>
      </c>
      <c r="G925" s="254" t="inlineStr">
        <is>
          <t>secured</t>
        </is>
      </c>
      <c r="H925" s="251" t="n">
        <v>7000</v>
      </c>
      <c r="I925" s="251" t="n">
        <v>7499.99</v>
      </c>
      <c r="J925" s="251" t="n">
        <v>880</v>
      </c>
      <c r="K925" s="254" t="n"/>
    </row>
    <row r="926">
      <c r="B926" s="254" t="inlineStr">
        <is>
          <t>2026-09-26</t>
        </is>
      </c>
      <c r="C926" s="254" t="inlineStr">
        <is>
          <t>licensed-low-volume</t>
        </is>
      </c>
      <c r="D926" s="254" t="inlineStr">
        <is>
          <t>non-clean</t>
        </is>
      </c>
      <c r="E926" s="254" t="inlineStr">
        <is>
          <t>standard</t>
        </is>
      </c>
      <c r="F926" s="254" t="inlineStr">
        <is>
          <t>buyer_fee</t>
        </is>
      </c>
      <c r="G926" s="254" t="inlineStr">
        <is>
          <t>secured</t>
        </is>
      </c>
      <c r="H926" s="251" t="n">
        <v>7500</v>
      </c>
      <c r="I926" s="251" t="n">
        <v>7999.99</v>
      </c>
      <c r="J926" s="251" t="n">
        <v>900</v>
      </c>
      <c r="K926" s="254" t="n"/>
    </row>
    <row r="927">
      <c r="B927" s="254" t="inlineStr">
        <is>
          <t>2026-09-26</t>
        </is>
      </c>
      <c r="C927" s="254" t="inlineStr">
        <is>
          <t>licensed-low-volume</t>
        </is>
      </c>
      <c r="D927" s="254" t="inlineStr">
        <is>
          <t>non-clean</t>
        </is>
      </c>
      <c r="E927" s="254" t="inlineStr">
        <is>
          <t>standard</t>
        </is>
      </c>
      <c r="F927" s="254" t="inlineStr">
        <is>
          <t>buyer_fee</t>
        </is>
      </c>
      <c r="G927" s="254" t="inlineStr">
        <is>
          <t>secured</t>
        </is>
      </c>
      <c r="H927" s="251" t="n">
        <v>8000</v>
      </c>
      <c r="I927" s="251" t="n">
        <v>8499.99</v>
      </c>
      <c r="J927" s="251" t="n">
        <v>925</v>
      </c>
      <c r="K927" s="254" t="n"/>
    </row>
    <row r="928">
      <c r="B928" s="254" t="inlineStr">
        <is>
          <t>2026-09-26</t>
        </is>
      </c>
      <c r="C928" s="254" t="inlineStr">
        <is>
          <t>licensed-low-volume</t>
        </is>
      </c>
      <c r="D928" s="254" t="inlineStr">
        <is>
          <t>non-clean</t>
        </is>
      </c>
      <c r="E928" s="254" t="inlineStr">
        <is>
          <t>standard</t>
        </is>
      </c>
      <c r="F928" s="254" t="inlineStr">
        <is>
          <t>buyer_fee</t>
        </is>
      </c>
      <c r="G928" s="254" t="inlineStr">
        <is>
          <t>secured</t>
        </is>
      </c>
      <c r="H928" s="251" t="n">
        <v>8500</v>
      </c>
      <c r="I928" s="251" t="n">
        <v>8999.99</v>
      </c>
      <c r="J928" s="251" t="n">
        <v>945</v>
      </c>
      <c r="K928" s="254" t="n"/>
    </row>
    <row r="929">
      <c r="B929" s="254" t="inlineStr">
        <is>
          <t>2026-09-26</t>
        </is>
      </c>
      <c r="C929" s="254" t="inlineStr">
        <is>
          <t>licensed-low-volume</t>
        </is>
      </c>
      <c r="D929" s="254" t="inlineStr">
        <is>
          <t>non-clean</t>
        </is>
      </c>
      <c r="E929" s="254" t="inlineStr">
        <is>
          <t>standard</t>
        </is>
      </c>
      <c r="F929" s="254" t="inlineStr">
        <is>
          <t>buyer_fee</t>
        </is>
      </c>
      <c r="G929" s="254" t="inlineStr">
        <is>
          <t>secured</t>
        </is>
      </c>
      <c r="H929" s="251" t="n">
        <v>9000</v>
      </c>
      <c r="I929" s="251" t="n">
        <v>9999.99</v>
      </c>
      <c r="J929" s="251" t="n">
        <v>945</v>
      </c>
      <c r="K929" s="254" t="n"/>
    </row>
    <row r="930">
      <c r="B930" s="254" t="inlineStr">
        <is>
          <t>2026-09-26</t>
        </is>
      </c>
      <c r="C930" s="254" t="inlineStr">
        <is>
          <t>licensed-low-volume</t>
        </is>
      </c>
      <c r="D930" s="254" t="inlineStr">
        <is>
          <t>non-clean</t>
        </is>
      </c>
      <c r="E930" s="254" t="inlineStr">
        <is>
          <t>standard</t>
        </is>
      </c>
      <c r="F930" s="254" t="inlineStr">
        <is>
          <t>buyer_fee</t>
        </is>
      </c>
      <c r="G930" s="254" t="inlineStr">
        <is>
          <t>secured</t>
        </is>
      </c>
      <c r="H930" s="251" t="n">
        <v>10000</v>
      </c>
      <c r="I930" s="251" t="n">
        <v>10499.99</v>
      </c>
      <c r="J930" s="251" t="n">
        <v>1000</v>
      </c>
      <c r="K930" s="254" t="n"/>
    </row>
    <row r="931">
      <c r="B931" s="254" t="inlineStr">
        <is>
          <t>2026-09-26</t>
        </is>
      </c>
      <c r="C931" s="254" t="inlineStr">
        <is>
          <t>licensed-low-volume</t>
        </is>
      </c>
      <c r="D931" s="254" t="inlineStr">
        <is>
          <t>non-clean</t>
        </is>
      </c>
      <c r="E931" s="254" t="inlineStr">
        <is>
          <t>standard</t>
        </is>
      </c>
      <c r="F931" s="254" t="inlineStr">
        <is>
          <t>buyer_fee</t>
        </is>
      </c>
      <c r="G931" s="254" t="inlineStr">
        <is>
          <t>secured</t>
        </is>
      </c>
      <c r="H931" s="251" t="n">
        <v>10500</v>
      </c>
      <c r="I931" s="251" t="n">
        <v>10999.99</v>
      </c>
      <c r="J931" s="251" t="n">
        <v>1000</v>
      </c>
      <c r="K931" s="254" t="n"/>
    </row>
    <row r="932">
      <c r="B932" s="254" t="inlineStr">
        <is>
          <t>2026-09-26</t>
        </is>
      </c>
      <c r="C932" s="254" t="inlineStr">
        <is>
          <t>licensed-low-volume</t>
        </is>
      </c>
      <c r="D932" s="254" t="inlineStr">
        <is>
          <t>non-clean</t>
        </is>
      </c>
      <c r="E932" s="254" t="inlineStr">
        <is>
          <t>standard</t>
        </is>
      </c>
      <c r="F932" s="254" t="inlineStr">
        <is>
          <t>buyer_fee</t>
        </is>
      </c>
      <c r="G932" s="254" t="inlineStr">
        <is>
          <t>secured</t>
        </is>
      </c>
      <c r="H932" s="251" t="n">
        <v>11000</v>
      </c>
      <c r="I932" s="251" t="n">
        <v>11499.99</v>
      </c>
      <c r="J932" s="251" t="n">
        <v>1000</v>
      </c>
      <c r="K932" s="254" t="n"/>
    </row>
    <row r="933">
      <c r="B933" s="254" t="inlineStr">
        <is>
          <t>2026-09-26</t>
        </is>
      </c>
      <c r="C933" s="254" t="inlineStr">
        <is>
          <t>licensed-low-volume</t>
        </is>
      </c>
      <c r="D933" s="254" t="inlineStr">
        <is>
          <t>non-clean</t>
        </is>
      </c>
      <c r="E933" s="254" t="inlineStr">
        <is>
          <t>standard</t>
        </is>
      </c>
      <c r="F933" s="254" t="inlineStr">
        <is>
          <t>buyer_fee</t>
        </is>
      </c>
      <c r="G933" s="254" t="inlineStr">
        <is>
          <t>secured</t>
        </is>
      </c>
      <c r="H933" s="251" t="n">
        <v>11500</v>
      </c>
      <c r="I933" s="251" t="n">
        <v>11999.99</v>
      </c>
      <c r="J933" s="251" t="n">
        <v>1000</v>
      </c>
      <c r="K933" s="254" t="n"/>
    </row>
    <row r="934">
      <c r="B934" s="254" t="inlineStr">
        <is>
          <t>2026-09-26</t>
        </is>
      </c>
      <c r="C934" s="254" t="inlineStr">
        <is>
          <t>licensed-low-volume</t>
        </is>
      </c>
      <c r="D934" s="254" t="inlineStr">
        <is>
          <t>non-clean</t>
        </is>
      </c>
      <c r="E934" s="254" t="inlineStr">
        <is>
          <t>standard</t>
        </is>
      </c>
      <c r="F934" s="254" t="inlineStr">
        <is>
          <t>buyer_fee</t>
        </is>
      </c>
      <c r="G934" s="254" t="inlineStr">
        <is>
          <t>secured</t>
        </is>
      </c>
      <c r="H934" s="251" t="n">
        <v>12000</v>
      </c>
      <c r="I934" s="251" t="n">
        <v>12499.99</v>
      </c>
      <c r="J934" s="251" t="n">
        <v>1000</v>
      </c>
      <c r="K934" s="254" t="n"/>
    </row>
    <row r="935">
      <c r="B935" s="254" t="inlineStr">
        <is>
          <t>2026-09-26</t>
        </is>
      </c>
      <c r="C935" s="254" t="inlineStr">
        <is>
          <t>licensed-low-volume</t>
        </is>
      </c>
      <c r="D935" s="254" t="inlineStr">
        <is>
          <t>non-clean</t>
        </is>
      </c>
      <c r="E935" s="254" t="inlineStr">
        <is>
          <t>standard</t>
        </is>
      </c>
      <c r="F935" s="254" t="inlineStr">
        <is>
          <t>buyer_fee</t>
        </is>
      </c>
      <c r="G935" s="254" t="inlineStr">
        <is>
          <t>secured</t>
        </is>
      </c>
      <c r="H935" s="251" t="n">
        <v>12500</v>
      </c>
      <c r="I935" s="251" t="n">
        <v>14999.99</v>
      </c>
      <c r="J935" s="251" t="n">
        <v>1000</v>
      </c>
      <c r="K935" s="254" t="n"/>
    </row>
    <row r="936">
      <c r="B936" s="254" t="inlineStr">
        <is>
          <t>2026-09-26</t>
        </is>
      </c>
      <c r="C936" s="254" t="inlineStr">
        <is>
          <t>licensed-low-volume</t>
        </is>
      </c>
      <c r="D936" s="254" t="inlineStr">
        <is>
          <t>non-clean</t>
        </is>
      </c>
      <c r="E936" s="254" t="inlineStr">
        <is>
          <t>standard</t>
        </is>
      </c>
      <c r="F936" s="254" t="inlineStr">
        <is>
          <t>buyer_fee</t>
        </is>
      </c>
      <c r="G936" s="254" t="inlineStr">
        <is>
          <t>secured</t>
        </is>
      </c>
      <c r="H936" s="251" t="n">
        <v>15000</v>
      </c>
      <c r="I936" s="254" t="n"/>
      <c r="J936" s="254" t="n"/>
      <c r="K936" s="251" t="n">
        <v>7.5</v>
      </c>
    </row>
    <row r="937">
      <c r="B937" s="254" t="inlineStr">
        <is>
          <t>2026-09-26</t>
        </is>
      </c>
      <c r="C937" s="254" t="inlineStr">
        <is>
          <t>licensed-low-volume</t>
        </is>
      </c>
      <c r="D937" s="254" t="inlineStr">
        <is>
          <t>non-clean</t>
        </is>
      </c>
      <c r="E937" s="254" t="inlineStr">
        <is>
          <t>standard</t>
        </is>
      </c>
      <c r="F937" s="254" t="inlineStr">
        <is>
          <t>buyer_fee</t>
        </is>
      </c>
      <c r="G937" s="254" t="inlineStr">
        <is>
          <t>unsecured</t>
        </is>
      </c>
      <c r="H937" s="251" t="n">
        <v>0</v>
      </c>
      <c r="I937" s="251" t="n">
        <v>49.99</v>
      </c>
      <c r="J937" s="251" t="n">
        <v>27.5</v>
      </c>
      <c r="K937" s="254" t="n"/>
    </row>
    <row r="938">
      <c r="B938" s="254" t="inlineStr">
        <is>
          <t>2026-09-26</t>
        </is>
      </c>
      <c r="C938" s="254" t="inlineStr">
        <is>
          <t>licensed-low-volume</t>
        </is>
      </c>
      <c r="D938" s="254" t="inlineStr">
        <is>
          <t>non-clean</t>
        </is>
      </c>
      <c r="E938" s="254" t="inlineStr">
        <is>
          <t>standard</t>
        </is>
      </c>
      <c r="F938" s="254" t="inlineStr">
        <is>
          <t>buyer_fee</t>
        </is>
      </c>
      <c r="G938" s="254" t="inlineStr">
        <is>
          <t>unsecured</t>
        </is>
      </c>
      <c r="H938" s="251" t="n">
        <v>50</v>
      </c>
      <c r="I938" s="251" t="n">
        <v>99.98999999999999</v>
      </c>
      <c r="J938" s="251" t="n">
        <v>50</v>
      </c>
      <c r="K938" s="254" t="n"/>
    </row>
    <row r="939">
      <c r="B939" s="254" t="inlineStr">
        <is>
          <t>2026-09-26</t>
        </is>
      </c>
      <c r="C939" s="254" t="inlineStr">
        <is>
          <t>licensed-low-volume</t>
        </is>
      </c>
      <c r="D939" s="254" t="inlineStr">
        <is>
          <t>non-clean</t>
        </is>
      </c>
      <c r="E939" s="254" t="inlineStr">
        <is>
          <t>standard</t>
        </is>
      </c>
      <c r="F939" s="254" t="inlineStr">
        <is>
          <t>buyer_fee</t>
        </is>
      </c>
      <c r="G939" s="254" t="inlineStr">
        <is>
          <t>unsecured</t>
        </is>
      </c>
      <c r="H939" s="251" t="n">
        <v>100</v>
      </c>
      <c r="I939" s="251" t="n">
        <v>199.99</v>
      </c>
      <c r="J939" s="251" t="n">
        <v>90</v>
      </c>
      <c r="K939" s="254" t="n"/>
    </row>
    <row r="940">
      <c r="B940" s="254" t="inlineStr">
        <is>
          <t>2026-09-26</t>
        </is>
      </c>
      <c r="C940" s="254" t="inlineStr">
        <is>
          <t>licensed-low-volume</t>
        </is>
      </c>
      <c r="D940" s="254" t="inlineStr">
        <is>
          <t>non-clean</t>
        </is>
      </c>
      <c r="E940" s="254" t="inlineStr">
        <is>
          <t>standard</t>
        </is>
      </c>
      <c r="F940" s="254" t="inlineStr">
        <is>
          <t>buyer_fee</t>
        </is>
      </c>
      <c r="G940" s="254" t="inlineStr">
        <is>
          <t>unsecured</t>
        </is>
      </c>
      <c r="H940" s="251" t="n">
        <v>200</v>
      </c>
      <c r="I940" s="251" t="n">
        <v>299.99</v>
      </c>
      <c r="J940" s="251" t="n">
        <v>145</v>
      </c>
      <c r="K940" s="254" t="n"/>
    </row>
    <row r="941">
      <c r="B941" s="254" t="inlineStr">
        <is>
          <t>2026-09-26</t>
        </is>
      </c>
      <c r="C941" s="254" t="inlineStr">
        <is>
          <t>licensed-low-volume</t>
        </is>
      </c>
      <c r="D941" s="254" t="inlineStr">
        <is>
          <t>non-clean</t>
        </is>
      </c>
      <c r="E941" s="254" t="inlineStr">
        <is>
          <t>standard</t>
        </is>
      </c>
      <c r="F941" s="254" t="inlineStr">
        <is>
          <t>buyer_fee</t>
        </is>
      </c>
      <c r="G941" s="254" t="inlineStr">
        <is>
          <t>unsecured</t>
        </is>
      </c>
      <c r="H941" s="251" t="n">
        <v>300</v>
      </c>
      <c r="I941" s="251" t="n">
        <v>349.99</v>
      </c>
      <c r="J941" s="251" t="n">
        <v>155</v>
      </c>
      <c r="K941" s="254" t="n"/>
    </row>
    <row r="942">
      <c r="B942" s="254" t="inlineStr">
        <is>
          <t>2026-09-26</t>
        </is>
      </c>
      <c r="C942" s="254" t="inlineStr">
        <is>
          <t>licensed-low-volume</t>
        </is>
      </c>
      <c r="D942" s="254" t="inlineStr">
        <is>
          <t>non-clean</t>
        </is>
      </c>
      <c r="E942" s="254" t="inlineStr">
        <is>
          <t>standard</t>
        </is>
      </c>
      <c r="F942" s="254" t="inlineStr">
        <is>
          <t>buyer_fee</t>
        </is>
      </c>
      <c r="G942" s="254" t="inlineStr">
        <is>
          <t>unsecured</t>
        </is>
      </c>
      <c r="H942" s="251" t="n">
        <v>350</v>
      </c>
      <c r="I942" s="251" t="n">
        <v>399.99</v>
      </c>
      <c r="J942" s="251" t="n">
        <v>167.5</v>
      </c>
      <c r="K942" s="254" t="n"/>
    </row>
    <row r="943">
      <c r="B943" s="254" t="inlineStr">
        <is>
          <t>2026-09-26</t>
        </is>
      </c>
      <c r="C943" s="254" t="inlineStr">
        <is>
          <t>licensed-low-volume</t>
        </is>
      </c>
      <c r="D943" s="254" t="inlineStr">
        <is>
          <t>non-clean</t>
        </is>
      </c>
      <c r="E943" s="254" t="inlineStr">
        <is>
          <t>standard</t>
        </is>
      </c>
      <c r="F943" s="254" t="inlineStr">
        <is>
          <t>buyer_fee</t>
        </is>
      </c>
      <c r="G943" s="254" t="inlineStr">
        <is>
          <t>unsecured</t>
        </is>
      </c>
      <c r="H943" s="251" t="n">
        <v>400</v>
      </c>
      <c r="I943" s="251" t="n">
        <v>449.99</v>
      </c>
      <c r="J943" s="251" t="n">
        <v>200</v>
      </c>
      <c r="K943" s="254" t="n"/>
    </row>
    <row r="944">
      <c r="B944" s="254" t="inlineStr">
        <is>
          <t>2026-09-26</t>
        </is>
      </c>
      <c r="C944" s="254" t="inlineStr">
        <is>
          <t>licensed-low-volume</t>
        </is>
      </c>
      <c r="D944" s="254" t="inlineStr">
        <is>
          <t>non-clean</t>
        </is>
      </c>
      <c r="E944" s="254" t="inlineStr">
        <is>
          <t>standard</t>
        </is>
      </c>
      <c r="F944" s="254" t="inlineStr">
        <is>
          <t>buyer_fee</t>
        </is>
      </c>
      <c r="G944" s="254" t="inlineStr">
        <is>
          <t>unsecured</t>
        </is>
      </c>
      <c r="H944" s="251" t="n">
        <v>450</v>
      </c>
      <c r="I944" s="251" t="n">
        <v>499.99</v>
      </c>
      <c r="J944" s="251" t="n">
        <v>210</v>
      </c>
      <c r="K944" s="254" t="n"/>
    </row>
    <row r="945">
      <c r="B945" s="254" t="inlineStr">
        <is>
          <t>2026-09-26</t>
        </is>
      </c>
      <c r="C945" s="254" t="inlineStr">
        <is>
          <t>licensed-low-volume</t>
        </is>
      </c>
      <c r="D945" s="254" t="inlineStr">
        <is>
          <t>non-clean</t>
        </is>
      </c>
      <c r="E945" s="254" t="inlineStr">
        <is>
          <t>standard</t>
        </is>
      </c>
      <c r="F945" s="254" t="inlineStr">
        <is>
          <t>buyer_fee</t>
        </is>
      </c>
      <c r="G945" s="254" t="inlineStr">
        <is>
          <t>unsecured</t>
        </is>
      </c>
      <c r="H945" s="251" t="n">
        <v>500</v>
      </c>
      <c r="I945" s="251" t="n">
        <v>549.99</v>
      </c>
      <c r="J945" s="251" t="n">
        <v>235</v>
      </c>
      <c r="K945" s="254" t="n"/>
    </row>
    <row r="946">
      <c r="B946" s="254" t="inlineStr">
        <is>
          <t>2026-09-26</t>
        </is>
      </c>
      <c r="C946" s="254" t="inlineStr">
        <is>
          <t>licensed-low-volume</t>
        </is>
      </c>
      <c r="D946" s="254" t="inlineStr">
        <is>
          <t>non-clean</t>
        </is>
      </c>
      <c r="E946" s="254" t="inlineStr">
        <is>
          <t>standard</t>
        </is>
      </c>
      <c r="F946" s="254" t="inlineStr">
        <is>
          <t>buyer_fee</t>
        </is>
      </c>
      <c r="G946" s="254" t="inlineStr">
        <is>
          <t>unsecured</t>
        </is>
      </c>
      <c r="H946" s="251" t="n">
        <v>550</v>
      </c>
      <c r="I946" s="251" t="n">
        <v>599.99</v>
      </c>
      <c r="J946" s="251" t="n">
        <v>240</v>
      </c>
      <c r="K946" s="254" t="n"/>
    </row>
    <row r="947">
      <c r="B947" s="254" t="inlineStr">
        <is>
          <t>2026-09-26</t>
        </is>
      </c>
      <c r="C947" s="254" t="inlineStr">
        <is>
          <t>licensed-low-volume</t>
        </is>
      </c>
      <c r="D947" s="254" t="inlineStr">
        <is>
          <t>non-clean</t>
        </is>
      </c>
      <c r="E947" s="254" t="inlineStr">
        <is>
          <t>standard</t>
        </is>
      </c>
      <c r="F947" s="254" t="inlineStr">
        <is>
          <t>buyer_fee</t>
        </is>
      </c>
      <c r="G947" s="254" t="inlineStr">
        <is>
          <t>unsecured</t>
        </is>
      </c>
      <c r="H947" s="251" t="n">
        <v>600</v>
      </c>
      <c r="I947" s="251" t="n">
        <v>699.99</v>
      </c>
      <c r="J947" s="251" t="n">
        <v>275</v>
      </c>
      <c r="K947" s="254" t="n"/>
    </row>
    <row r="948">
      <c r="B948" s="254" t="inlineStr">
        <is>
          <t>2026-09-26</t>
        </is>
      </c>
      <c r="C948" s="254" t="inlineStr">
        <is>
          <t>licensed-low-volume</t>
        </is>
      </c>
      <c r="D948" s="254" t="inlineStr">
        <is>
          <t>non-clean</t>
        </is>
      </c>
      <c r="E948" s="254" t="inlineStr">
        <is>
          <t>standard</t>
        </is>
      </c>
      <c r="F948" s="254" t="inlineStr">
        <is>
          <t>buyer_fee</t>
        </is>
      </c>
      <c r="G948" s="254" t="inlineStr">
        <is>
          <t>unsecured</t>
        </is>
      </c>
      <c r="H948" s="251" t="n">
        <v>700</v>
      </c>
      <c r="I948" s="251" t="n">
        <v>799.99</v>
      </c>
      <c r="J948" s="251" t="n">
        <v>312.5</v>
      </c>
      <c r="K948" s="254" t="n"/>
    </row>
    <row r="949">
      <c r="B949" s="254" t="inlineStr">
        <is>
          <t>2026-09-26</t>
        </is>
      </c>
      <c r="C949" s="254" t="inlineStr">
        <is>
          <t>licensed-low-volume</t>
        </is>
      </c>
      <c r="D949" s="254" t="inlineStr">
        <is>
          <t>non-clean</t>
        </is>
      </c>
      <c r="E949" s="254" t="inlineStr">
        <is>
          <t>standard</t>
        </is>
      </c>
      <c r="F949" s="254" t="inlineStr">
        <is>
          <t>buyer_fee</t>
        </is>
      </c>
      <c r="G949" s="254" t="inlineStr">
        <is>
          <t>unsecured</t>
        </is>
      </c>
      <c r="H949" s="251" t="n">
        <v>800</v>
      </c>
      <c r="I949" s="251" t="n">
        <v>899.99</v>
      </c>
      <c r="J949" s="251" t="n">
        <v>342.5</v>
      </c>
      <c r="K949" s="254" t="n"/>
    </row>
    <row r="950">
      <c r="B950" s="254" t="inlineStr">
        <is>
          <t>2026-09-26</t>
        </is>
      </c>
      <c r="C950" s="254" t="inlineStr">
        <is>
          <t>licensed-low-volume</t>
        </is>
      </c>
      <c r="D950" s="254" t="inlineStr">
        <is>
          <t>non-clean</t>
        </is>
      </c>
      <c r="E950" s="254" t="inlineStr">
        <is>
          <t>standard</t>
        </is>
      </c>
      <c r="F950" s="254" t="inlineStr">
        <is>
          <t>buyer_fee</t>
        </is>
      </c>
      <c r="G950" s="254" t="inlineStr">
        <is>
          <t>unsecured</t>
        </is>
      </c>
      <c r="H950" s="251" t="n">
        <v>900</v>
      </c>
      <c r="I950" s="251" t="n">
        <v>999.99</v>
      </c>
      <c r="J950" s="251" t="n">
        <v>370</v>
      </c>
      <c r="K950" s="254" t="n"/>
    </row>
    <row r="951">
      <c r="B951" s="254" t="inlineStr">
        <is>
          <t>2026-09-26</t>
        </is>
      </c>
      <c r="C951" s="254" t="inlineStr">
        <is>
          <t>licensed-low-volume</t>
        </is>
      </c>
      <c r="D951" s="254" t="inlineStr">
        <is>
          <t>non-clean</t>
        </is>
      </c>
      <c r="E951" s="254" t="inlineStr">
        <is>
          <t>standard</t>
        </is>
      </c>
      <c r="F951" s="254" t="inlineStr">
        <is>
          <t>buyer_fee</t>
        </is>
      </c>
      <c r="G951" s="254" t="inlineStr">
        <is>
          <t>unsecured</t>
        </is>
      </c>
      <c r="H951" s="251" t="n">
        <v>1000</v>
      </c>
      <c r="I951" s="251" t="n">
        <v>1199.99</v>
      </c>
      <c r="J951" s="251" t="n">
        <v>440</v>
      </c>
      <c r="K951" s="254" t="n"/>
    </row>
    <row r="952">
      <c r="B952" s="254" t="inlineStr">
        <is>
          <t>2026-09-26</t>
        </is>
      </c>
      <c r="C952" s="254" t="inlineStr">
        <is>
          <t>licensed-low-volume</t>
        </is>
      </c>
      <c r="D952" s="254" t="inlineStr">
        <is>
          <t>non-clean</t>
        </is>
      </c>
      <c r="E952" s="254" t="inlineStr">
        <is>
          <t>standard</t>
        </is>
      </c>
      <c r="F952" s="254" t="inlineStr">
        <is>
          <t>buyer_fee</t>
        </is>
      </c>
      <c r="G952" s="254" t="inlineStr">
        <is>
          <t>unsecured</t>
        </is>
      </c>
      <c r="H952" s="251" t="n">
        <v>1200</v>
      </c>
      <c r="I952" s="251" t="n">
        <v>1299.99</v>
      </c>
      <c r="J952" s="251" t="n">
        <v>460</v>
      </c>
      <c r="K952" s="254" t="n"/>
    </row>
    <row r="953">
      <c r="B953" s="254" t="inlineStr">
        <is>
          <t>2026-09-26</t>
        </is>
      </c>
      <c r="C953" s="254" t="inlineStr">
        <is>
          <t>licensed-low-volume</t>
        </is>
      </c>
      <c r="D953" s="254" t="inlineStr">
        <is>
          <t>non-clean</t>
        </is>
      </c>
      <c r="E953" s="254" t="inlineStr">
        <is>
          <t>standard</t>
        </is>
      </c>
      <c r="F953" s="254" t="inlineStr">
        <is>
          <t>buyer_fee</t>
        </is>
      </c>
      <c r="G953" s="254" t="inlineStr">
        <is>
          <t>unsecured</t>
        </is>
      </c>
      <c r="H953" s="251" t="n">
        <v>1300</v>
      </c>
      <c r="I953" s="251" t="n">
        <v>1399.99</v>
      </c>
      <c r="J953" s="251" t="n">
        <v>482.5</v>
      </c>
      <c r="K953" s="254" t="n"/>
    </row>
    <row r="954">
      <c r="B954" s="254" t="inlineStr">
        <is>
          <t>2026-09-26</t>
        </is>
      </c>
      <c r="C954" s="254" t="inlineStr">
        <is>
          <t>licensed-low-volume</t>
        </is>
      </c>
      <c r="D954" s="254" t="inlineStr">
        <is>
          <t>non-clean</t>
        </is>
      </c>
      <c r="E954" s="254" t="inlineStr">
        <is>
          <t>standard</t>
        </is>
      </c>
      <c r="F954" s="254" t="inlineStr">
        <is>
          <t>buyer_fee</t>
        </is>
      </c>
      <c r="G954" s="254" t="inlineStr">
        <is>
          <t>unsecured</t>
        </is>
      </c>
      <c r="H954" s="251" t="n">
        <v>1400</v>
      </c>
      <c r="I954" s="251" t="n">
        <v>1499.99</v>
      </c>
      <c r="J954" s="251" t="n">
        <v>510</v>
      </c>
      <c r="K954" s="254" t="n"/>
    </row>
    <row r="955">
      <c r="B955" s="254" t="inlineStr">
        <is>
          <t>2026-09-26</t>
        </is>
      </c>
      <c r="C955" s="254" t="inlineStr">
        <is>
          <t>licensed-low-volume</t>
        </is>
      </c>
      <c r="D955" s="254" t="inlineStr">
        <is>
          <t>non-clean</t>
        </is>
      </c>
      <c r="E955" s="254" t="inlineStr">
        <is>
          <t>standard</t>
        </is>
      </c>
      <c r="F955" s="254" t="inlineStr">
        <is>
          <t>buyer_fee</t>
        </is>
      </c>
      <c r="G955" s="254" t="inlineStr">
        <is>
          <t>unsecured</t>
        </is>
      </c>
      <c r="H955" s="251" t="n">
        <v>1500</v>
      </c>
      <c r="I955" s="251" t="n">
        <v>1599.99</v>
      </c>
      <c r="J955" s="251" t="n">
        <v>530</v>
      </c>
      <c r="K955" s="254" t="n"/>
    </row>
    <row r="956">
      <c r="B956" s="254" t="inlineStr">
        <is>
          <t>2026-09-26</t>
        </is>
      </c>
      <c r="C956" s="254" t="inlineStr">
        <is>
          <t>licensed-low-volume</t>
        </is>
      </c>
      <c r="D956" s="254" t="inlineStr">
        <is>
          <t>non-clean</t>
        </is>
      </c>
      <c r="E956" s="254" t="inlineStr">
        <is>
          <t>standard</t>
        </is>
      </c>
      <c r="F956" s="254" t="inlineStr">
        <is>
          <t>buyer_fee</t>
        </is>
      </c>
      <c r="G956" s="254" t="inlineStr">
        <is>
          <t>unsecured</t>
        </is>
      </c>
      <c r="H956" s="251" t="n">
        <v>1600</v>
      </c>
      <c r="I956" s="251" t="n">
        <v>1699.99</v>
      </c>
      <c r="J956" s="251" t="n">
        <v>555</v>
      </c>
      <c r="K956" s="254" t="n"/>
    </row>
    <row r="957">
      <c r="B957" s="254" t="inlineStr">
        <is>
          <t>2026-09-26</t>
        </is>
      </c>
      <c r="C957" s="254" t="inlineStr">
        <is>
          <t>licensed-low-volume</t>
        </is>
      </c>
      <c r="D957" s="254" t="inlineStr">
        <is>
          <t>non-clean</t>
        </is>
      </c>
      <c r="E957" s="254" t="inlineStr">
        <is>
          <t>standard</t>
        </is>
      </c>
      <c r="F957" s="254" t="inlineStr">
        <is>
          <t>buyer_fee</t>
        </is>
      </c>
      <c r="G957" s="254" t="inlineStr">
        <is>
          <t>unsecured</t>
        </is>
      </c>
      <c r="H957" s="251" t="n">
        <v>1700</v>
      </c>
      <c r="I957" s="251" t="n">
        <v>1799.99</v>
      </c>
      <c r="J957" s="251" t="n">
        <v>582.5</v>
      </c>
      <c r="K957" s="254" t="n"/>
    </row>
    <row r="958">
      <c r="B958" s="254" t="inlineStr">
        <is>
          <t>2026-09-26</t>
        </is>
      </c>
      <c r="C958" s="254" t="inlineStr">
        <is>
          <t>licensed-low-volume</t>
        </is>
      </c>
      <c r="D958" s="254" t="inlineStr">
        <is>
          <t>non-clean</t>
        </is>
      </c>
      <c r="E958" s="254" t="inlineStr">
        <is>
          <t>standard</t>
        </is>
      </c>
      <c r="F958" s="254" t="inlineStr">
        <is>
          <t>buyer_fee</t>
        </is>
      </c>
      <c r="G958" s="254" t="inlineStr">
        <is>
          <t>unsecured</t>
        </is>
      </c>
      <c r="H958" s="251" t="n">
        <v>1800</v>
      </c>
      <c r="I958" s="251" t="n">
        <v>1999.99</v>
      </c>
      <c r="J958" s="251" t="n">
        <v>620</v>
      </c>
      <c r="K958" s="254" t="n"/>
    </row>
    <row r="959">
      <c r="B959" s="254" t="inlineStr">
        <is>
          <t>2026-09-26</t>
        </is>
      </c>
      <c r="C959" s="254" t="inlineStr">
        <is>
          <t>licensed-low-volume</t>
        </is>
      </c>
      <c r="D959" s="254" t="inlineStr">
        <is>
          <t>non-clean</t>
        </is>
      </c>
      <c r="E959" s="254" t="inlineStr">
        <is>
          <t>standard</t>
        </is>
      </c>
      <c r="F959" s="254" t="inlineStr">
        <is>
          <t>buyer_fee</t>
        </is>
      </c>
      <c r="G959" s="254" t="inlineStr">
        <is>
          <t>unsecured</t>
        </is>
      </c>
      <c r="H959" s="251" t="n">
        <v>2000</v>
      </c>
      <c r="I959" s="251" t="n">
        <v>2399.99</v>
      </c>
      <c r="J959" s="251" t="n">
        <v>662.5</v>
      </c>
      <c r="K959" s="254" t="n"/>
    </row>
    <row r="960">
      <c r="B960" s="254" t="inlineStr">
        <is>
          <t>2026-09-26</t>
        </is>
      </c>
      <c r="C960" s="254" t="inlineStr">
        <is>
          <t>licensed-low-volume</t>
        </is>
      </c>
      <c r="D960" s="254" t="inlineStr">
        <is>
          <t>non-clean</t>
        </is>
      </c>
      <c r="E960" s="254" t="inlineStr">
        <is>
          <t>standard</t>
        </is>
      </c>
      <c r="F960" s="254" t="inlineStr">
        <is>
          <t>buyer_fee</t>
        </is>
      </c>
      <c r="G960" s="254" t="inlineStr">
        <is>
          <t>unsecured</t>
        </is>
      </c>
      <c r="H960" s="251" t="n">
        <v>2400</v>
      </c>
      <c r="I960" s="251" t="n">
        <v>2499.99</v>
      </c>
      <c r="J960" s="251" t="n">
        <v>705</v>
      </c>
      <c r="K960" s="254" t="n"/>
    </row>
    <row r="961">
      <c r="B961" s="254" t="inlineStr">
        <is>
          <t>2026-09-26</t>
        </is>
      </c>
      <c r="C961" s="254" t="inlineStr">
        <is>
          <t>licensed-low-volume</t>
        </is>
      </c>
      <c r="D961" s="254" t="inlineStr">
        <is>
          <t>non-clean</t>
        </is>
      </c>
      <c r="E961" s="254" t="inlineStr">
        <is>
          <t>standard</t>
        </is>
      </c>
      <c r="F961" s="254" t="inlineStr">
        <is>
          <t>buyer_fee</t>
        </is>
      </c>
      <c r="G961" s="254" t="inlineStr">
        <is>
          <t>unsecured</t>
        </is>
      </c>
      <c r="H961" s="251" t="n">
        <v>2500</v>
      </c>
      <c r="I961" s="251" t="n">
        <v>2999.99</v>
      </c>
      <c r="J961" s="251" t="n">
        <v>775</v>
      </c>
      <c r="K961" s="254" t="n"/>
    </row>
    <row r="962">
      <c r="B962" s="254" t="inlineStr">
        <is>
          <t>2026-09-26</t>
        </is>
      </c>
      <c r="C962" s="254" t="inlineStr">
        <is>
          <t>licensed-low-volume</t>
        </is>
      </c>
      <c r="D962" s="254" t="inlineStr">
        <is>
          <t>non-clean</t>
        </is>
      </c>
      <c r="E962" s="254" t="inlineStr">
        <is>
          <t>standard</t>
        </is>
      </c>
      <c r="F962" s="254" t="inlineStr">
        <is>
          <t>buyer_fee</t>
        </is>
      </c>
      <c r="G962" s="254" t="inlineStr">
        <is>
          <t>unsecured</t>
        </is>
      </c>
      <c r="H962" s="251" t="n">
        <v>3000</v>
      </c>
      <c r="I962" s="251" t="n">
        <v>3499.99</v>
      </c>
      <c r="J962" s="251" t="n">
        <v>830</v>
      </c>
      <c r="K962" s="254" t="n"/>
    </row>
    <row r="963">
      <c r="B963" s="254" t="inlineStr">
        <is>
          <t>2026-09-26</t>
        </is>
      </c>
      <c r="C963" s="254" t="inlineStr">
        <is>
          <t>licensed-low-volume</t>
        </is>
      </c>
      <c r="D963" s="254" t="inlineStr">
        <is>
          <t>non-clean</t>
        </is>
      </c>
      <c r="E963" s="254" t="inlineStr">
        <is>
          <t>standard</t>
        </is>
      </c>
      <c r="F963" s="254" t="inlineStr">
        <is>
          <t>buyer_fee</t>
        </is>
      </c>
      <c r="G963" s="254" t="inlineStr">
        <is>
          <t>unsecured</t>
        </is>
      </c>
      <c r="H963" s="251" t="n">
        <v>3500</v>
      </c>
      <c r="I963" s="251" t="n">
        <v>3999.99</v>
      </c>
      <c r="J963" s="251" t="n">
        <v>927.5</v>
      </c>
      <c r="K963" s="254" t="n"/>
    </row>
    <row r="964">
      <c r="B964" s="254" t="inlineStr">
        <is>
          <t>2026-09-26</t>
        </is>
      </c>
      <c r="C964" s="254" t="inlineStr">
        <is>
          <t>licensed-low-volume</t>
        </is>
      </c>
      <c r="D964" s="254" t="inlineStr">
        <is>
          <t>non-clean</t>
        </is>
      </c>
      <c r="E964" s="254" t="inlineStr">
        <is>
          <t>standard</t>
        </is>
      </c>
      <c r="F964" s="254" t="inlineStr">
        <is>
          <t>buyer_fee</t>
        </is>
      </c>
      <c r="G964" s="254" t="inlineStr">
        <is>
          <t>unsecured</t>
        </is>
      </c>
      <c r="H964" s="251" t="n">
        <v>4000</v>
      </c>
      <c r="I964" s="251" t="n">
        <v>4499.99</v>
      </c>
      <c r="J964" s="251" t="n">
        <v>935</v>
      </c>
      <c r="K964" s="254" t="n"/>
    </row>
    <row r="965">
      <c r="B965" s="254" t="inlineStr">
        <is>
          <t>2026-09-26</t>
        </is>
      </c>
      <c r="C965" s="254" t="inlineStr">
        <is>
          <t>licensed-low-volume</t>
        </is>
      </c>
      <c r="D965" s="254" t="inlineStr">
        <is>
          <t>non-clean</t>
        </is>
      </c>
      <c r="E965" s="254" t="inlineStr">
        <is>
          <t>standard</t>
        </is>
      </c>
      <c r="F965" s="254" t="inlineStr">
        <is>
          <t>buyer_fee</t>
        </is>
      </c>
      <c r="G965" s="254" t="inlineStr">
        <is>
          <t>unsecured</t>
        </is>
      </c>
      <c r="H965" s="251" t="n">
        <v>4500</v>
      </c>
      <c r="I965" s="251" t="n">
        <v>4999.99</v>
      </c>
      <c r="J965" s="251" t="n">
        <v>1000</v>
      </c>
      <c r="K965" s="254" t="n"/>
    </row>
    <row r="966">
      <c r="B966" s="254" t="inlineStr">
        <is>
          <t>2026-09-26</t>
        </is>
      </c>
      <c r="C966" s="254" t="inlineStr">
        <is>
          <t>licensed-low-volume</t>
        </is>
      </c>
      <c r="D966" s="254" t="inlineStr">
        <is>
          <t>non-clean</t>
        </is>
      </c>
      <c r="E966" s="254" t="inlineStr">
        <is>
          <t>standard</t>
        </is>
      </c>
      <c r="F966" s="254" t="inlineStr">
        <is>
          <t>buyer_fee</t>
        </is>
      </c>
      <c r="G966" s="254" t="inlineStr">
        <is>
          <t>unsecured</t>
        </is>
      </c>
      <c r="H966" s="251" t="n">
        <v>5000</v>
      </c>
      <c r="I966" s="251" t="n">
        <v>5499.99</v>
      </c>
      <c r="J966" s="251" t="n">
        <v>1025</v>
      </c>
      <c r="K966" s="254" t="n"/>
    </row>
    <row r="967">
      <c r="B967" s="254" t="inlineStr">
        <is>
          <t>2026-09-26</t>
        </is>
      </c>
      <c r="C967" s="254" t="inlineStr">
        <is>
          <t>licensed-low-volume</t>
        </is>
      </c>
      <c r="D967" s="254" t="inlineStr">
        <is>
          <t>non-clean</t>
        </is>
      </c>
      <c r="E967" s="254" t="inlineStr">
        <is>
          <t>standard</t>
        </is>
      </c>
      <c r="F967" s="254" t="inlineStr">
        <is>
          <t>buyer_fee</t>
        </is>
      </c>
      <c r="G967" s="254" t="inlineStr">
        <is>
          <t>unsecured</t>
        </is>
      </c>
      <c r="H967" s="251" t="n">
        <v>5500</v>
      </c>
      <c r="I967" s="251" t="n">
        <v>5999.99</v>
      </c>
      <c r="J967" s="251" t="n">
        <v>1055</v>
      </c>
      <c r="K967" s="254" t="n"/>
    </row>
    <row r="968">
      <c r="B968" s="254" t="inlineStr">
        <is>
          <t>2026-09-26</t>
        </is>
      </c>
      <c r="C968" s="254" t="inlineStr">
        <is>
          <t>licensed-low-volume</t>
        </is>
      </c>
      <c r="D968" s="254" t="inlineStr">
        <is>
          <t>non-clean</t>
        </is>
      </c>
      <c r="E968" s="254" t="inlineStr">
        <is>
          <t>standard</t>
        </is>
      </c>
      <c r="F968" s="254" t="inlineStr">
        <is>
          <t>buyer_fee</t>
        </is>
      </c>
      <c r="G968" s="254" t="inlineStr">
        <is>
          <t>unsecured</t>
        </is>
      </c>
      <c r="H968" s="251" t="n">
        <v>6000</v>
      </c>
      <c r="I968" s="251" t="n">
        <v>6499.99</v>
      </c>
      <c r="J968" s="251" t="n">
        <v>1085</v>
      </c>
      <c r="K968" s="254" t="n"/>
    </row>
    <row r="969">
      <c r="B969" s="254" t="inlineStr">
        <is>
          <t>2026-09-26</t>
        </is>
      </c>
      <c r="C969" s="254" t="inlineStr">
        <is>
          <t>licensed-low-volume</t>
        </is>
      </c>
      <c r="D969" s="254" t="inlineStr">
        <is>
          <t>non-clean</t>
        </is>
      </c>
      <c r="E969" s="254" t="inlineStr">
        <is>
          <t>standard</t>
        </is>
      </c>
      <c r="F969" s="254" t="inlineStr">
        <is>
          <t>buyer_fee</t>
        </is>
      </c>
      <c r="G969" s="254" t="inlineStr">
        <is>
          <t>unsecured</t>
        </is>
      </c>
      <c r="H969" s="251" t="n">
        <v>6500</v>
      </c>
      <c r="I969" s="251" t="n">
        <v>6999.99</v>
      </c>
      <c r="J969" s="251" t="n">
        <v>1110</v>
      </c>
      <c r="K969" s="254" t="n"/>
    </row>
    <row r="970">
      <c r="B970" s="254" t="inlineStr">
        <is>
          <t>2026-09-26</t>
        </is>
      </c>
      <c r="C970" s="254" t="inlineStr">
        <is>
          <t>licensed-low-volume</t>
        </is>
      </c>
      <c r="D970" s="254" t="inlineStr">
        <is>
          <t>non-clean</t>
        </is>
      </c>
      <c r="E970" s="254" t="inlineStr">
        <is>
          <t>standard</t>
        </is>
      </c>
      <c r="F970" s="254" t="inlineStr">
        <is>
          <t>buyer_fee</t>
        </is>
      </c>
      <c r="G970" s="254" t="inlineStr">
        <is>
          <t>unsecured</t>
        </is>
      </c>
      <c r="H970" s="251" t="n">
        <v>7000</v>
      </c>
      <c r="I970" s="251" t="n">
        <v>7499.99</v>
      </c>
      <c r="J970" s="251" t="n">
        <v>1145</v>
      </c>
      <c r="K970" s="254" t="n"/>
    </row>
    <row r="971">
      <c r="B971" s="254" t="inlineStr">
        <is>
          <t>2026-09-26</t>
        </is>
      </c>
      <c r="C971" s="254" t="inlineStr">
        <is>
          <t>licensed-low-volume</t>
        </is>
      </c>
      <c r="D971" s="254" t="inlineStr">
        <is>
          <t>non-clean</t>
        </is>
      </c>
      <c r="E971" s="254" t="inlineStr">
        <is>
          <t>standard</t>
        </is>
      </c>
      <c r="F971" s="254" t="inlineStr">
        <is>
          <t>buyer_fee</t>
        </is>
      </c>
      <c r="G971" s="254" t="inlineStr">
        <is>
          <t>unsecured</t>
        </is>
      </c>
      <c r="H971" s="251" t="n">
        <v>7500</v>
      </c>
      <c r="I971" s="251" t="n">
        <v>7999.99</v>
      </c>
      <c r="J971" s="251" t="n">
        <v>1175</v>
      </c>
      <c r="K971" s="254" t="n"/>
    </row>
    <row r="972">
      <c r="B972" s="254" t="inlineStr">
        <is>
          <t>2026-09-26</t>
        </is>
      </c>
      <c r="C972" s="254" t="inlineStr">
        <is>
          <t>licensed-low-volume</t>
        </is>
      </c>
      <c r="D972" s="254" t="inlineStr">
        <is>
          <t>non-clean</t>
        </is>
      </c>
      <c r="E972" s="254" t="inlineStr">
        <is>
          <t>standard</t>
        </is>
      </c>
      <c r="F972" s="254" t="inlineStr">
        <is>
          <t>buyer_fee</t>
        </is>
      </c>
      <c r="G972" s="254" t="inlineStr">
        <is>
          <t>unsecured</t>
        </is>
      </c>
      <c r="H972" s="251" t="n">
        <v>8000</v>
      </c>
      <c r="I972" s="251" t="n">
        <v>8499.99</v>
      </c>
      <c r="J972" s="251" t="n">
        <v>1200</v>
      </c>
      <c r="K972" s="254" t="n"/>
    </row>
    <row r="973">
      <c r="B973" s="254" t="inlineStr">
        <is>
          <t>2026-09-26</t>
        </is>
      </c>
      <c r="C973" s="254" t="inlineStr">
        <is>
          <t>licensed-low-volume</t>
        </is>
      </c>
      <c r="D973" s="254" t="inlineStr">
        <is>
          <t>non-clean</t>
        </is>
      </c>
      <c r="E973" s="254" t="inlineStr">
        <is>
          <t>standard</t>
        </is>
      </c>
      <c r="F973" s="254" t="inlineStr">
        <is>
          <t>buyer_fee</t>
        </is>
      </c>
      <c r="G973" s="254" t="inlineStr">
        <is>
          <t>unsecured</t>
        </is>
      </c>
      <c r="H973" s="251" t="n">
        <v>8500</v>
      </c>
      <c r="I973" s="251" t="n">
        <v>8999.99</v>
      </c>
      <c r="J973" s="251" t="n">
        <v>1225</v>
      </c>
      <c r="K973" s="254" t="n"/>
    </row>
    <row r="974">
      <c r="B974" s="254" t="inlineStr">
        <is>
          <t>2026-09-26</t>
        </is>
      </c>
      <c r="C974" s="254" t="inlineStr">
        <is>
          <t>licensed-low-volume</t>
        </is>
      </c>
      <c r="D974" s="254" t="inlineStr">
        <is>
          <t>non-clean</t>
        </is>
      </c>
      <c r="E974" s="254" t="inlineStr">
        <is>
          <t>standard</t>
        </is>
      </c>
      <c r="F974" s="254" t="inlineStr">
        <is>
          <t>buyer_fee</t>
        </is>
      </c>
      <c r="G974" s="254" t="inlineStr">
        <is>
          <t>unsecured</t>
        </is>
      </c>
      <c r="H974" s="251" t="n">
        <v>9000</v>
      </c>
      <c r="I974" s="251" t="n">
        <v>9999.99</v>
      </c>
      <c r="J974" s="251" t="n">
        <v>1225</v>
      </c>
      <c r="K974" s="254" t="n"/>
    </row>
    <row r="975">
      <c r="B975" s="254" t="inlineStr">
        <is>
          <t>2026-09-26</t>
        </is>
      </c>
      <c r="C975" s="254" t="inlineStr">
        <is>
          <t>licensed-low-volume</t>
        </is>
      </c>
      <c r="D975" s="254" t="inlineStr">
        <is>
          <t>non-clean</t>
        </is>
      </c>
      <c r="E975" s="254" t="inlineStr">
        <is>
          <t>standard</t>
        </is>
      </c>
      <c r="F975" s="254" t="inlineStr">
        <is>
          <t>buyer_fee</t>
        </is>
      </c>
      <c r="G975" s="254" t="inlineStr">
        <is>
          <t>unsecured</t>
        </is>
      </c>
      <c r="H975" s="251" t="n">
        <v>10000</v>
      </c>
      <c r="I975" s="251" t="n">
        <v>10499.99</v>
      </c>
      <c r="J975" s="251" t="n">
        <v>1390</v>
      </c>
      <c r="K975" s="254" t="n"/>
    </row>
    <row r="976">
      <c r="B976" s="254" t="inlineStr">
        <is>
          <t>2026-09-26</t>
        </is>
      </c>
      <c r="C976" s="254" t="inlineStr">
        <is>
          <t>licensed-low-volume</t>
        </is>
      </c>
      <c r="D976" s="254" t="inlineStr">
        <is>
          <t>non-clean</t>
        </is>
      </c>
      <c r="E976" s="254" t="inlineStr">
        <is>
          <t>standard</t>
        </is>
      </c>
      <c r="F976" s="254" t="inlineStr">
        <is>
          <t>buyer_fee</t>
        </is>
      </c>
      <c r="G976" s="254" t="inlineStr">
        <is>
          <t>unsecured</t>
        </is>
      </c>
      <c r="H976" s="251" t="n">
        <v>10500</v>
      </c>
      <c r="I976" s="251" t="n">
        <v>10999.99</v>
      </c>
      <c r="J976" s="251" t="n">
        <v>1390</v>
      </c>
      <c r="K976" s="254" t="n"/>
    </row>
    <row r="977">
      <c r="B977" s="254" t="inlineStr">
        <is>
          <t>2026-09-26</t>
        </is>
      </c>
      <c r="C977" s="254" t="inlineStr">
        <is>
          <t>licensed-low-volume</t>
        </is>
      </c>
      <c r="D977" s="254" t="inlineStr">
        <is>
          <t>non-clean</t>
        </is>
      </c>
      <c r="E977" s="254" t="inlineStr">
        <is>
          <t>standard</t>
        </is>
      </c>
      <c r="F977" s="254" t="inlineStr">
        <is>
          <t>buyer_fee</t>
        </is>
      </c>
      <c r="G977" s="254" t="inlineStr">
        <is>
          <t>unsecured</t>
        </is>
      </c>
      <c r="H977" s="251" t="n">
        <v>11000</v>
      </c>
      <c r="I977" s="251" t="n">
        <v>11499.99</v>
      </c>
      <c r="J977" s="251" t="n">
        <v>1390</v>
      </c>
      <c r="K977" s="254" t="n"/>
    </row>
    <row r="978">
      <c r="B978" s="254" t="inlineStr">
        <is>
          <t>2026-09-26</t>
        </is>
      </c>
      <c r="C978" s="254" t="inlineStr">
        <is>
          <t>licensed-low-volume</t>
        </is>
      </c>
      <c r="D978" s="254" t="inlineStr">
        <is>
          <t>non-clean</t>
        </is>
      </c>
      <c r="E978" s="254" t="inlineStr">
        <is>
          <t>standard</t>
        </is>
      </c>
      <c r="F978" s="254" t="inlineStr">
        <is>
          <t>buyer_fee</t>
        </is>
      </c>
      <c r="G978" s="254" t="inlineStr">
        <is>
          <t>unsecured</t>
        </is>
      </c>
      <c r="H978" s="251" t="n">
        <v>11500</v>
      </c>
      <c r="I978" s="251" t="n">
        <v>11999.99</v>
      </c>
      <c r="J978" s="251" t="n">
        <v>1400</v>
      </c>
      <c r="K978" s="254" t="n"/>
    </row>
    <row r="979">
      <c r="B979" s="254" t="inlineStr">
        <is>
          <t>2026-09-26</t>
        </is>
      </c>
      <c r="C979" s="254" t="inlineStr">
        <is>
          <t>licensed-low-volume</t>
        </is>
      </c>
      <c r="D979" s="254" t="inlineStr">
        <is>
          <t>non-clean</t>
        </is>
      </c>
      <c r="E979" s="254" t="inlineStr">
        <is>
          <t>standard</t>
        </is>
      </c>
      <c r="F979" s="254" t="inlineStr">
        <is>
          <t>buyer_fee</t>
        </is>
      </c>
      <c r="G979" s="254" t="inlineStr">
        <is>
          <t>unsecured</t>
        </is>
      </c>
      <c r="H979" s="251" t="n">
        <v>12000</v>
      </c>
      <c r="I979" s="251" t="n">
        <v>12499.99</v>
      </c>
      <c r="J979" s="251" t="n">
        <v>1400</v>
      </c>
      <c r="K979" s="254" t="n"/>
    </row>
    <row r="980">
      <c r="B980" s="254" t="inlineStr">
        <is>
          <t>2026-09-26</t>
        </is>
      </c>
      <c r="C980" s="254" t="inlineStr">
        <is>
          <t>licensed-low-volume</t>
        </is>
      </c>
      <c r="D980" s="254" t="inlineStr">
        <is>
          <t>non-clean</t>
        </is>
      </c>
      <c r="E980" s="254" t="inlineStr">
        <is>
          <t>standard</t>
        </is>
      </c>
      <c r="F980" s="254" t="inlineStr">
        <is>
          <t>buyer_fee</t>
        </is>
      </c>
      <c r="G980" s="254" t="inlineStr">
        <is>
          <t>unsecured</t>
        </is>
      </c>
      <c r="H980" s="251" t="n">
        <v>12500</v>
      </c>
      <c r="I980" s="251" t="n">
        <v>14999.99</v>
      </c>
      <c r="J980" s="251" t="n">
        <v>1400</v>
      </c>
      <c r="K980" s="254" t="n"/>
    </row>
    <row r="981">
      <c r="B981" s="254" t="inlineStr">
        <is>
          <t>2026-09-26</t>
        </is>
      </c>
      <c r="C981" s="254" t="inlineStr">
        <is>
          <t>licensed-low-volume</t>
        </is>
      </c>
      <c r="D981" s="254" t="inlineStr">
        <is>
          <t>non-clean</t>
        </is>
      </c>
      <c r="E981" s="254" t="inlineStr">
        <is>
          <t>standard</t>
        </is>
      </c>
      <c r="F981" s="254" t="inlineStr">
        <is>
          <t>buyer_fee</t>
        </is>
      </c>
      <c r="G981" s="254" t="inlineStr">
        <is>
          <t>unsecured</t>
        </is>
      </c>
      <c r="H981" s="251" t="n">
        <v>15000</v>
      </c>
      <c r="I981" s="254" t="n"/>
      <c r="J981" s="254" t="n"/>
      <c r="K981" s="251" t="n">
        <v>12.5</v>
      </c>
    </row>
    <row r="982">
      <c r="B982" s="254" t="inlineStr">
        <is>
          <t>2026-09-26</t>
        </is>
      </c>
      <c r="C982" s="254" t="inlineStr">
        <is>
          <t>licensed-low-volume</t>
        </is>
      </c>
      <c r="D982" s="254" t="inlineStr">
        <is>
          <t>non-clean</t>
        </is>
      </c>
      <c r="E982" s="254" t="inlineStr">
        <is>
          <t>standard</t>
        </is>
      </c>
      <c r="F982" s="254" t="inlineStr">
        <is>
          <t>virtual_bid_pre_bid</t>
        </is>
      </c>
      <c r="G982" s="254" t="inlineStr">
        <is>
          <t>any</t>
        </is>
      </c>
      <c r="H982" s="251" t="n">
        <v>0</v>
      </c>
      <c r="I982" s="251" t="n">
        <v>99.98999999999999</v>
      </c>
      <c r="J982" s="251" t="n">
        <v>0</v>
      </c>
      <c r="K982" s="254" t="n"/>
    </row>
    <row r="983">
      <c r="B983" s="254" t="inlineStr">
        <is>
          <t>2026-09-26</t>
        </is>
      </c>
      <c r="C983" s="254" t="inlineStr">
        <is>
          <t>licensed-low-volume</t>
        </is>
      </c>
      <c r="D983" s="254" t="inlineStr">
        <is>
          <t>non-clean</t>
        </is>
      </c>
      <c r="E983" s="254" t="inlineStr">
        <is>
          <t>standard</t>
        </is>
      </c>
      <c r="F983" s="254" t="inlineStr">
        <is>
          <t>virtual_bid_pre_bid</t>
        </is>
      </c>
      <c r="G983" s="254" t="inlineStr">
        <is>
          <t>any</t>
        </is>
      </c>
      <c r="H983" s="251" t="n">
        <v>100</v>
      </c>
      <c r="I983" s="251" t="n">
        <v>499.99</v>
      </c>
      <c r="J983" s="251" t="n">
        <v>40</v>
      </c>
      <c r="K983" s="254" t="n"/>
    </row>
    <row r="984">
      <c r="B984" s="254" t="inlineStr">
        <is>
          <t>2026-09-26</t>
        </is>
      </c>
      <c r="C984" s="254" t="inlineStr">
        <is>
          <t>licensed-low-volume</t>
        </is>
      </c>
      <c r="D984" s="254" t="inlineStr">
        <is>
          <t>non-clean</t>
        </is>
      </c>
      <c r="E984" s="254" t="inlineStr">
        <is>
          <t>standard</t>
        </is>
      </c>
      <c r="F984" s="254" t="inlineStr">
        <is>
          <t>virtual_bid_pre_bid</t>
        </is>
      </c>
      <c r="G984" s="254" t="inlineStr">
        <is>
          <t>any</t>
        </is>
      </c>
      <c r="H984" s="251" t="n">
        <v>500</v>
      </c>
      <c r="I984" s="251" t="n">
        <v>999.99</v>
      </c>
      <c r="J984" s="251" t="n">
        <v>55</v>
      </c>
      <c r="K984" s="254" t="n"/>
    </row>
    <row r="985">
      <c r="B985" s="254" t="inlineStr">
        <is>
          <t>2026-09-26</t>
        </is>
      </c>
      <c r="C985" s="254" t="inlineStr">
        <is>
          <t>licensed-low-volume</t>
        </is>
      </c>
      <c r="D985" s="254" t="inlineStr">
        <is>
          <t>non-clean</t>
        </is>
      </c>
      <c r="E985" s="254" t="inlineStr">
        <is>
          <t>standard</t>
        </is>
      </c>
      <c r="F985" s="254" t="inlineStr">
        <is>
          <t>virtual_bid_pre_bid</t>
        </is>
      </c>
      <c r="G985" s="254" t="inlineStr">
        <is>
          <t>any</t>
        </is>
      </c>
      <c r="H985" s="251" t="n">
        <v>1000</v>
      </c>
      <c r="I985" s="251" t="n">
        <v>1499.99</v>
      </c>
      <c r="J985" s="251" t="n">
        <v>75</v>
      </c>
      <c r="K985" s="254" t="n"/>
    </row>
    <row r="986">
      <c r="B986" s="254" t="inlineStr">
        <is>
          <t>2026-09-26</t>
        </is>
      </c>
      <c r="C986" s="254" t="inlineStr">
        <is>
          <t>licensed-low-volume</t>
        </is>
      </c>
      <c r="D986" s="254" t="inlineStr">
        <is>
          <t>non-clean</t>
        </is>
      </c>
      <c r="E986" s="254" t="inlineStr">
        <is>
          <t>standard</t>
        </is>
      </c>
      <c r="F986" s="254" t="inlineStr">
        <is>
          <t>virtual_bid_pre_bid</t>
        </is>
      </c>
      <c r="G986" s="254" t="inlineStr">
        <is>
          <t>any</t>
        </is>
      </c>
      <c r="H986" s="251" t="n">
        <v>1500</v>
      </c>
      <c r="I986" s="251" t="n">
        <v>1999.99</v>
      </c>
      <c r="J986" s="251" t="n">
        <v>85</v>
      </c>
      <c r="K986" s="254" t="n"/>
    </row>
    <row r="987">
      <c r="B987" s="254" t="inlineStr">
        <is>
          <t>2026-09-26</t>
        </is>
      </c>
      <c r="C987" s="254" t="inlineStr">
        <is>
          <t>licensed-low-volume</t>
        </is>
      </c>
      <c r="D987" s="254" t="inlineStr">
        <is>
          <t>non-clean</t>
        </is>
      </c>
      <c r="E987" s="254" t="inlineStr">
        <is>
          <t>standard</t>
        </is>
      </c>
      <c r="F987" s="254" t="inlineStr">
        <is>
          <t>virtual_bid_pre_bid</t>
        </is>
      </c>
      <c r="G987" s="254" t="inlineStr">
        <is>
          <t>any</t>
        </is>
      </c>
      <c r="H987" s="251" t="n">
        <v>2000</v>
      </c>
      <c r="I987" s="251" t="n">
        <v>3999.99</v>
      </c>
      <c r="J987" s="251" t="n">
        <v>100</v>
      </c>
      <c r="K987" s="254" t="n"/>
    </row>
    <row r="988">
      <c r="B988" s="254" t="inlineStr">
        <is>
          <t>2026-09-26</t>
        </is>
      </c>
      <c r="C988" s="254" t="inlineStr">
        <is>
          <t>licensed-low-volume</t>
        </is>
      </c>
      <c r="D988" s="254" t="inlineStr">
        <is>
          <t>non-clean</t>
        </is>
      </c>
      <c r="E988" s="254" t="inlineStr">
        <is>
          <t>standard</t>
        </is>
      </c>
      <c r="F988" s="254" t="inlineStr">
        <is>
          <t>virtual_bid_pre_bid</t>
        </is>
      </c>
      <c r="G988" s="254" t="inlineStr">
        <is>
          <t>any</t>
        </is>
      </c>
      <c r="H988" s="251" t="n">
        <v>4000</v>
      </c>
      <c r="I988" s="251" t="n">
        <v>5999.99</v>
      </c>
      <c r="J988" s="251" t="n">
        <v>110</v>
      </c>
      <c r="K988" s="254" t="n"/>
    </row>
    <row r="989">
      <c r="B989" s="254" t="inlineStr">
        <is>
          <t>2026-09-26</t>
        </is>
      </c>
      <c r="C989" s="254" t="inlineStr">
        <is>
          <t>licensed-low-volume</t>
        </is>
      </c>
      <c r="D989" s="254" t="inlineStr">
        <is>
          <t>non-clean</t>
        </is>
      </c>
      <c r="E989" s="254" t="inlineStr">
        <is>
          <t>standard</t>
        </is>
      </c>
      <c r="F989" s="254" t="inlineStr">
        <is>
          <t>virtual_bid_pre_bid</t>
        </is>
      </c>
      <c r="G989" s="254" t="inlineStr">
        <is>
          <t>any</t>
        </is>
      </c>
      <c r="H989" s="251" t="n">
        <v>6000</v>
      </c>
      <c r="I989" s="251" t="n">
        <v>7999.99</v>
      </c>
      <c r="J989" s="251" t="n">
        <v>125</v>
      </c>
      <c r="K989" s="254" t="n"/>
    </row>
    <row r="990">
      <c r="B990" s="254" t="inlineStr">
        <is>
          <t>2026-09-26</t>
        </is>
      </c>
      <c r="C990" s="254" t="inlineStr">
        <is>
          <t>licensed-low-volume</t>
        </is>
      </c>
      <c r="D990" s="254" t="inlineStr">
        <is>
          <t>non-clean</t>
        </is>
      </c>
      <c r="E990" s="254" t="inlineStr">
        <is>
          <t>standard</t>
        </is>
      </c>
      <c r="F990" s="254" t="inlineStr">
        <is>
          <t>virtual_bid_pre_bid</t>
        </is>
      </c>
      <c r="G990" s="254" t="inlineStr">
        <is>
          <t>any</t>
        </is>
      </c>
      <c r="H990" s="251" t="n">
        <v>8000</v>
      </c>
      <c r="I990" s="254" t="n"/>
      <c r="J990" s="251" t="n">
        <v>140</v>
      </c>
      <c r="K990" s="254" t="n"/>
    </row>
    <row r="991">
      <c r="B991" s="254" t="inlineStr">
        <is>
          <t>2026-09-26</t>
        </is>
      </c>
      <c r="C991" s="254" t="inlineStr">
        <is>
          <t>licensed-low-volume</t>
        </is>
      </c>
      <c r="D991" s="254" t="inlineStr">
        <is>
          <t>non-clean</t>
        </is>
      </c>
      <c r="E991" s="254" t="inlineStr">
        <is>
          <t>standard</t>
        </is>
      </c>
      <c r="F991" s="254" t="inlineStr">
        <is>
          <t>virtual_bid_live_bid</t>
        </is>
      </c>
      <c r="G991" s="254" t="inlineStr">
        <is>
          <t>any</t>
        </is>
      </c>
      <c r="H991" s="251" t="n">
        <v>0</v>
      </c>
      <c r="I991" s="251" t="n">
        <v>99.98999999999999</v>
      </c>
      <c r="J991" s="251" t="n">
        <v>0</v>
      </c>
      <c r="K991" s="254" t="n"/>
    </row>
    <row r="992">
      <c r="B992" s="254" t="inlineStr">
        <is>
          <t>2026-09-26</t>
        </is>
      </c>
      <c r="C992" s="254" t="inlineStr">
        <is>
          <t>licensed-low-volume</t>
        </is>
      </c>
      <c r="D992" s="254" t="inlineStr">
        <is>
          <t>non-clean</t>
        </is>
      </c>
      <c r="E992" s="254" t="inlineStr">
        <is>
          <t>standard</t>
        </is>
      </c>
      <c r="F992" s="254" t="inlineStr">
        <is>
          <t>virtual_bid_live_bid</t>
        </is>
      </c>
      <c r="G992" s="254" t="inlineStr">
        <is>
          <t>any</t>
        </is>
      </c>
      <c r="H992" s="251" t="n">
        <v>100</v>
      </c>
      <c r="I992" s="251" t="n">
        <v>499.99</v>
      </c>
      <c r="J992" s="251" t="n">
        <v>50</v>
      </c>
      <c r="K992" s="254" t="n"/>
    </row>
    <row r="993">
      <c r="B993" s="254" t="inlineStr">
        <is>
          <t>2026-09-26</t>
        </is>
      </c>
      <c r="C993" s="254" t="inlineStr">
        <is>
          <t>licensed-low-volume</t>
        </is>
      </c>
      <c r="D993" s="254" t="inlineStr">
        <is>
          <t>non-clean</t>
        </is>
      </c>
      <c r="E993" s="254" t="inlineStr">
        <is>
          <t>standard</t>
        </is>
      </c>
      <c r="F993" s="254" t="inlineStr">
        <is>
          <t>virtual_bid_live_bid</t>
        </is>
      </c>
      <c r="G993" s="254" t="inlineStr">
        <is>
          <t>any</t>
        </is>
      </c>
      <c r="H993" s="251" t="n">
        <v>500</v>
      </c>
      <c r="I993" s="251" t="n">
        <v>999.99</v>
      </c>
      <c r="J993" s="251" t="n">
        <v>65</v>
      </c>
      <c r="K993" s="254" t="n"/>
    </row>
    <row r="994">
      <c r="B994" s="254" t="inlineStr">
        <is>
          <t>2026-09-26</t>
        </is>
      </c>
      <c r="C994" s="254" t="inlineStr">
        <is>
          <t>licensed-low-volume</t>
        </is>
      </c>
      <c r="D994" s="254" t="inlineStr">
        <is>
          <t>non-clean</t>
        </is>
      </c>
      <c r="E994" s="254" t="inlineStr">
        <is>
          <t>standard</t>
        </is>
      </c>
      <c r="F994" s="254" t="inlineStr">
        <is>
          <t>virtual_bid_live_bid</t>
        </is>
      </c>
      <c r="G994" s="254" t="inlineStr">
        <is>
          <t>any</t>
        </is>
      </c>
      <c r="H994" s="251" t="n">
        <v>1000</v>
      </c>
      <c r="I994" s="251" t="n">
        <v>1499.99</v>
      </c>
      <c r="J994" s="251" t="n">
        <v>85</v>
      </c>
      <c r="K994" s="254" t="n"/>
    </row>
    <row r="995">
      <c r="B995" s="254" t="inlineStr">
        <is>
          <t>2026-09-26</t>
        </is>
      </c>
      <c r="C995" s="254" t="inlineStr">
        <is>
          <t>licensed-low-volume</t>
        </is>
      </c>
      <c r="D995" s="254" t="inlineStr">
        <is>
          <t>non-clean</t>
        </is>
      </c>
      <c r="E995" s="254" t="inlineStr">
        <is>
          <t>standard</t>
        </is>
      </c>
      <c r="F995" s="254" t="inlineStr">
        <is>
          <t>virtual_bid_live_bid</t>
        </is>
      </c>
      <c r="G995" s="254" t="inlineStr">
        <is>
          <t>any</t>
        </is>
      </c>
      <c r="H995" s="251" t="n">
        <v>1500</v>
      </c>
      <c r="I995" s="251" t="n">
        <v>1999.99</v>
      </c>
      <c r="J995" s="251" t="n">
        <v>95</v>
      </c>
      <c r="K995" s="254" t="n"/>
    </row>
    <row r="996">
      <c r="B996" s="254" t="inlineStr">
        <is>
          <t>2026-09-26</t>
        </is>
      </c>
      <c r="C996" s="254" t="inlineStr">
        <is>
          <t>licensed-low-volume</t>
        </is>
      </c>
      <c r="D996" s="254" t="inlineStr">
        <is>
          <t>non-clean</t>
        </is>
      </c>
      <c r="E996" s="254" t="inlineStr">
        <is>
          <t>standard</t>
        </is>
      </c>
      <c r="F996" s="254" t="inlineStr">
        <is>
          <t>virtual_bid_live_bid</t>
        </is>
      </c>
      <c r="G996" s="254" t="inlineStr">
        <is>
          <t>any</t>
        </is>
      </c>
      <c r="H996" s="251" t="n">
        <v>2000</v>
      </c>
      <c r="I996" s="251" t="n">
        <v>3999.99</v>
      </c>
      <c r="J996" s="251" t="n">
        <v>110</v>
      </c>
      <c r="K996" s="254" t="n"/>
    </row>
    <row r="997">
      <c r="B997" s="254" t="inlineStr">
        <is>
          <t>2026-09-26</t>
        </is>
      </c>
      <c r="C997" s="254" t="inlineStr">
        <is>
          <t>licensed-low-volume</t>
        </is>
      </c>
      <c r="D997" s="254" t="inlineStr">
        <is>
          <t>non-clean</t>
        </is>
      </c>
      <c r="E997" s="254" t="inlineStr">
        <is>
          <t>standard</t>
        </is>
      </c>
      <c r="F997" s="254" t="inlineStr">
        <is>
          <t>virtual_bid_live_bid</t>
        </is>
      </c>
      <c r="G997" s="254" t="inlineStr">
        <is>
          <t>any</t>
        </is>
      </c>
      <c r="H997" s="251" t="n">
        <v>4000</v>
      </c>
      <c r="I997" s="251" t="n">
        <v>5999.99</v>
      </c>
      <c r="J997" s="251" t="n">
        <v>125</v>
      </c>
      <c r="K997" s="254" t="n"/>
    </row>
    <row r="998">
      <c r="B998" s="254" t="inlineStr">
        <is>
          <t>2026-09-26</t>
        </is>
      </c>
      <c r="C998" s="254" t="inlineStr">
        <is>
          <t>licensed-low-volume</t>
        </is>
      </c>
      <c r="D998" s="254" t="inlineStr">
        <is>
          <t>non-clean</t>
        </is>
      </c>
      <c r="E998" s="254" t="inlineStr">
        <is>
          <t>standard</t>
        </is>
      </c>
      <c r="F998" s="254" t="inlineStr">
        <is>
          <t>virtual_bid_live_bid</t>
        </is>
      </c>
      <c r="G998" s="254" t="inlineStr">
        <is>
          <t>any</t>
        </is>
      </c>
      <c r="H998" s="251" t="n">
        <v>6000</v>
      </c>
      <c r="I998" s="251" t="n">
        <v>7999.99</v>
      </c>
      <c r="J998" s="251" t="n">
        <v>145</v>
      </c>
      <c r="K998" s="254" t="n"/>
    </row>
    <row r="999">
      <c r="B999" s="254" t="inlineStr">
        <is>
          <t>2026-09-26</t>
        </is>
      </c>
      <c r="C999" s="254" t="inlineStr">
        <is>
          <t>licensed-low-volume</t>
        </is>
      </c>
      <c r="D999" s="254" t="inlineStr">
        <is>
          <t>non-clean</t>
        </is>
      </c>
      <c r="E999" s="254" t="inlineStr">
        <is>
          <t>standard</t>
        </is>
      </c>
      <c r="F999" s="254" t="inlineStr">
        <is>
          <t>virtual_bid_live_bid</t>
        </is>
      </c>
      <c r="G999" s="254" t="inlineStr">
        <is>
          <t>any</t>
        </is>
      </c>
      <c r="H999" s="251" t="n">
        <v>8000</v>
      </c>
      <c r="I999" s="254" t="n"/>
      <c r="J999" s="251" t="n">
        <v>160</v>
      </c>
      <c r="K999" s="254" t="n"/>
    </row>
    <row r="1000">
      <c r="B1000" s="254" t="inlineStr">
        <is>
          <t>2026-09-26</t>
        </is>
      </c>
      <c r="C1000" s="254" t="inlineStr">
        <is>
          <t>licensed-low-volume</t>
        </is>
      </c>
      <c r="D1000" s="254" t="inlineStr">
        <is>
          <t>non-clean</t>
        </is>
      </c>
      <c r="E1000" s="254" t="inlineStr">
        <is>
          <t>standard</t>
        </is>
      </c>
      <c r="F1000" s="254" t="inlineStr">
        <is>
          <t>gate_fee</t>
        </is>
      </c>
      <c r="G1000" s="254" t="inlineStr">
        <is>
          <t>any</t>
        </is>
      </c>
      <c r="H1000" s="251" t="n">
        <v>0</v>
      </c>
      <c r="I1000" s="254" t="n"/>
      <c r="J1000" s="251" t="n">
        <v>95</v>
      </c>
      <c r="K1000" s="254" t="n"/>
    </row>
    <row r="1002">
      <c r="B1002" s="249" t="inlineStr">
        <is>
          <t>Copart fixed and conditional fees</t>
        </is>
      </c>
    </row>
    <row r="1003">
      <c r="B1003" s="357" t="inlineStr">
        <is>
          <t>read_date</t>
        </is>
      </c>
      <c r="C1003" s="358" t="inlineStr">
        <is>
          <t>page</t>
        </is>
      </c>
      <c r="D1003" s="358" t="inlineStr">
        <is>
          <t>fee</t>
        </is>
      </c>
      <c r="E1003" s="358" t="inlineStr">
        <is>
          <t>amount_usd</t>
        </is>
      </c>
      <c r="F1003" s="358" t="inlineStr">
        <is>
          <t>basis</t>
        </is>
      </c>
      <c r="G1003" s="358" t="inlineStr">
        <is>
          <t>quote</t>
        </is>
      </c>
    </row>
    <row r="1004">
      <c r="B1004" s="254" t="inlineStr">
        <is>
          <t>2026-09-26</t>
        </is>
      </c>
      <c r="C1004" s="254" t="inlineStr">
        <is>
          <t>non-licensed</t>
        </is>
      </c>
      <c r="D1004" s="254" t="inlineStr">
        <is>
          <t>gate_fee</t>
        </is>
      </c>
      <c r="E1004" s="251" t="n">
        <v>79</v>
      </c>
      <c r="F1004" s="254" t="inlineStr">
        <is>
          <t>per purchase</t>
        </is>
      </c>
      <c r="G1004" s="254" t="inlineStr">
        <is>
          <t>A $79.00 Gate Fee is assessed to all Copart purchases</t>
        </is>
      </c>
    </row>
    <row r="1005">
      <c r="B1005" s="254" t="inlineStr">
        <is>
          <t>2026-09-26</t>
        </is>
      </c>
      <c r="C1005" s="254" t="inlineStr">
        <is>
          <t>non-licensed</t>
        </is>
      </c>
      <c r="D1005" s="254" t="inlineStr">
        <is>
          <t>environmental_fee</t>
        </is>
      </c>
      <c r="E1005" s="251" t="n">
        <v>15</v>
      </c>
      <c r="F1005" s="254" t="inlineStr">
        <is>
          <t>per item sold</t>
        </is>
      </c>
      <c r="G1005" s="254" t="inlineStr">
        <is>
          <t>A $15 fee is applied to each item sold</t>
        </is>
      </c>
    </row>
    <row r="1006">
      <c r="B1006" s="254" t="inlineStr">
        <is>
          <t>2026-09-26</t>
        </is>
      </c>
      <c r="C1006" s="254" t="inlineStr">
        <is>
          <t>non-licensed</t>
        </is>
      </c>
      <c r="D1006" s="254" t="inlineStr">
        <is>
          <t>late_payment_fee</t>
        </is>
      </c>
      <c r="E1006" s="251" t="n">
        <v>50</v>
      </c>
      <c r="F1006" s="254" t="inlineStr">
        <is>
          <t>per vehicle after 3 business days</t>
        </is>
      </c>
      <c r="G1006" s="254" t="inlineStr">
        <is>
          <t>fee of $50.00 per vehicle</t>
        </is>
      </c>
    </row>
    <row r="1007">
      <c r="B1007" s="254" t="inlineStr">
        <is>
          <t>2026-09-26</t>
        </is>
      </c>
      <c r="C1007" s="254" t="inlineStr">
        <is>
          <t>non-licensed</t>
        </is>
      </c>
      <c r="D1007" s="254" t="inlineStr">
        <is>
          <t>relist_fee</t>
        </is>
      </c>
      <c r="E1007" s="254" t="inlineStr">
        <is>
          <t>10% min $600</t>
        </is>
      </c>
      <c r="F1007" s="254" t="inlineStr">
        <is>
          <t>of final sale price if unpaid within 8 calendar days</t>
        </is>
      </c>
      <c r="G1007" s="254" t="inlineStr">
        <is>
          <t>The Relist Fee will be 10% of the final sale price with a minimum of $600</t>
        </is>
      </c>
    </row>
    <row r="1008">
      <c r="B1008" s="254" t="inlineStr">
        <is>
          <t>2026-09-26</t>
        </is>
      </c>
      <c r="C1008" s="254" t="inlineStr">
        <is>
          <t>non-licensed</t>
        </is>
      </c>
      <c r="D1008" s="254" t="inlineStr">
        <is>
          <t>third_party_finance_fee</t>
        </is>
      </c>
      <c r="E1008" s="251" t="n">
        <v>69</v>
      </c>
      <c r="F1008" s="254" t="inlineStr">
        <is>
          <t>per vehicle via affiliated finance companies</t>
        </is>
      </c>
      <c r="G1008" s="254" t="inlineStr">
        <is>
          <t>charged a $69 flooring service fee</t>
        </is>
      </c>
    </row>
    <row r="1009">
      <c r="B1009" s="254" t="inlineStr">
        <is>
          <t>2026-09-26</t>
        </is>
      </c>
      <c r="C1009" s="254" t="inlineStr">
        <is>
          <t>non-licensed</t>
        </is>
      </c>
      <c r="D1009" s="254" t="inlineStr">
        <is>
          <t>title_mail_usps</t>
        </is>
      </c>
      <c r="E1009" s="251" t="n">
        <v>15</v>
      </c>
      <c r="F1009" s="254" t="inlineStr">
        <is>
          <t>up to 10 titles per location</t>
        </is>
      </c>
      <c r="G1009" s="254" t="inlineStr">
        <is>
          <t>up to 10 titles mailed from a single location for $15 by US Postal Service</t>
        </is>
      </c>
    </row>
    <row r="1010">
      <c r="B1010" s="254" t="inlineStr">
        <is>
          <t>2026-09-26</t>
        </is>
      </c>
      <c r="C1010" s="254" t="inlineStr">
        <is>
          <t>non-licensed</t>
        </is>
      </c>
      <c r="D1010" s="254" t="inlineStr">
        <is>
          <t>title_mail_fedex</t>
        </is>
      </c>
      <c r="E1010" s="251" t="n">
        <v>20</v>
      </c>
      <c r="F1010" s="254" t="inlineStr">
        <is>
          <t>up to 10 titles per location</t>
        </is>
      </c>
      <c r="G1010" s="254" t="inlineStr">
        <is>
          <t>up to 10 titles for $20 by FedEx</t>
        </is>
      </c>
    </row>
    <row r="1011">
      <c r="B1011" s="254" t="inlineStr">
        <is>
          <t>2026-09-26</t>
        </is>
      </c>
      <c r="C1011" s="254" t="inlineStr">
        <is>
          <t>non-licensed</t>
        </is>
      </c>
      <c r="D1011" s="254" t="inlineStr">
        <is>
          <t>title_pickup_handling</t>
        </is>
      </c>
      <c r="E1011" s="251" t="n">
        <v>20</v>
      </c>
      <c r="F1011" s="254" t="inlineStr">
        <is>
          <t>per title</t>
        </is>
      </c>
      <c r="G1011" s="254" t="inlineStr">
        <is>
          <t>A handling fee of $20 per title will be charged for titles picked up in person</t>
        </is>
      </c>
    </row>
    <row r="1013">
      <c r="B1013" s="249" t="inlineStr">
        <is>
          <t>IAA fixed fees (reference; $105 service fee effective 2026-10-01)</t>
        </is>
      </c>
    </row>
    <row r="1014">
      <c r="B1014" s="357" t="inlineStr">
        <is>
          <t>read_date</t>
        </is>
      </c>
      <c r="C1014" s="358" t="inlineStr">
        <is>
          <t>page</t>
        </is>
      </c>
      <c r="D1014" s="358" t="inlineStr">
        <is>
          <t>fee</t>
        </is>
      </c>
      <c r="E1014" s="358" t="inlineStr">
        <is>
          <t>amount_usd</t>
        </is>
      </c>
      <c r="F1014" s="358" t="inlineStr">
        <is>
          <t>effective</t>
        </is>
      </c>
      <c r="G1014" s="358" t="inlineStr">
        <is>
          <t>quote</t>
        </is>
      </c>
    </row>
    <row r="1015">
      <c r="B1015" s="254" t="inlineStr">
        <is>
          <t>2026-09-26</t>
        </is>
      </c>
      <c r="C1015" s="254" t="inlineStr">
        <is>
          <t>licensed</t>
        </is>
      </c>
      <c r="D1015" s="254" t="inlineStr">
        <is>
          <t>service_fee</t>
        </is>
      </c>
      <c r="E1015" s="251" t="n">
        <v>105</v>
      </c>
      <c r="F1015" s="254" t="inlineStr">
        <is>
          <t>2026-10-01</t>
        </is>
      </c>
      <c r="G1015" s="254" t="inlineStr">
        <is>
          <t>Service Fee: $105 per unit for vehicle handling, including imaging, pull-out, and/or loading</t>
        </is>
      </c>
    </row>
    <row r="1016">
      <c r="B1016" s="254" t="inlineStr">
        <is>
          <t>2026-09-26</t>
        </is>
      </c>
      <c r="C1016" s="254" t="inlineStr">
        <is>
          <t>licensed</t>
        </is>
      </c>
      <c r="D1016" s="254" t="inlineStr">
        <is>
          <t>title_handling_fee</t>
        </is>
      </c>
      <c r="E1016" s="251" t="n">
        <v>20</v>
      </c>
      <c r="F1016" s="254" t="n"/>
      <c r="G1016" s="254" t="inlineStr">
        <is>
          <t>A $20 fee will be applied to all purchases</t>
        </is>
      </c>
    </row>
    <row r="1017">
      <c r="B1017" s="254" t="inlineStr">
        <is>
          <t>2026-09-26</t>
        </is>
      </c>
      <c r="C1017" s="254" t="inlineStr">
        <is>
          <t>licensed</t>
        </is>
      </c>
      <c r="D1017" s="254" t="inlineStr">
        <is>
          <t>premium_imagery_set_fee</t>
        </is>
      </c>
      <c r="E1017" s="251" t="n">
        <v>10</v>
      </c>
      <c r="F1017" s="254" t="n"/>
      <c r="G1017" s="254" t="inlineStr">
        <is>
          <t>$10 per unit, applied only to eligible vehicles that include a Premium Imagery Set</t>
        </is>
      </c>
    </row>
    <row r="1018">
      <c r="B1018" s="254" t="inlineStr">
        <is>
          <t>2026-09-26</t>
        </is>
      </c>
      <c r="C1018" s="254" t="inlineStr">
        <is>
          <t>licensed</t>
        </is>
      </c>
      <c r="D1018" s="254" t="inlineStr">
        <is>
          <t>ehs_fuel_surcharge</t>
        </is>
      </c>
      <c r="E1018" s="254" t="inlineStr">
        <is>
          <t>not stated on page</t>
        </is>
      </c>
      <c r="F1018" s="254" t="n"/>
      <c r="G1018" s="254" t="inlineStr">
        <is>
          <t>surcharge designed to help defray our fluctuating energy, fuel, and utility costs ... not a government-mandated tax or fee</t>
        </is>
      </c>
    </row>
    <row r="1019">
      <c r="B1019" s="254" t="inlineStr">
        <is>
          <t>2026-09-26</t>
        </is>
      </c>
      <c r="C1019" s="254" t="inlineStr">
        <is>
          <t>licensed</t>
        </is>
      </c>
      <c r="D1019" s="254" t="inlineStr">
        <is>
          <t>storage</t>
        </is>
      </c>
      <c r="E1019" s="254" t="inlineStr">
        <is>
          <t>by branch</t>
        </is>
      </c>
      <c r="F1019" s="254" t="n"/>
      <c r="G1019" s="254" t="inlineStr">
        <is>
          <t>Please check with your local branch regarding the total cost of per-day storage fees</t>
        </is>
      </c>
    </row>
  </sheetData>
  <pageMargins left="0.75" right="0.75" top="1" bottom="1" header="0.5" footer="0.5"/>
</worksheet>
</file>

<file path=xl/worksheets/sheet31.xml><?xml version="1.0" encoding="utf-8"?>
<worksheet xmlns="http://schemas.openxmlformats.org/spreadsheetml/2006/main">
  <sheetPr>
    <tabColor rgb="FFBFBFBF"/>
    <outlinePr summaryBelow="1" summaryRight="1"/>
    <pageSetUpPr/>
  </sheetPr>
  <dimension ref="B1:S29"/>
  <sheetViews>
    <sheetView showGridLines="0" zoomScale="90" workbookViewId="0">
      <selection activeCell="A1" sqref="A1"/>
    </sheetView>
  </sheetViews>
  <sheetFormatPr baseColWidth="10" defaultColWidth="8.83203125" defaultRowHeight="15"/>
  <cols>
    <col width="2.5" customWidth="1" style="392" min="1" max="1"/>
    <col width="34" customWidth="1" style="392" min="2" max="2"/>
    <col width="8" customWidth="1" style="392" min="3" max="3"/>
    <col width="13" customWidth="1" style="392" min="4" max="15"/>
    <col width="48" customWidth="1" style="392" min="19" max="19"/>
  </cols>
  <sheetData>
    <row r="1" ht="17" customHeight="1" s="392">
      <c r="B1" s="269" t="inlineStr">
        <is>
          <t>D Carriers — inherited carrier weights and Copart allocation paths (share build, 27 Sep 2026)</t>
        </is>
      </c>
      <c r="C1" s="270" t="n"/>
      <c r="D1" s="270" t="n"/>
      <c r="E1" s="270" t="n"/>
      <c r="F1" s="270" t="n"/>
      <c r="G1" s="270" t="n"/>
      <c r="H1" s="270" t="n"/>
      <c r="I1" s="270" t="n"/>
      <c r="J1" s="270" t="n"/>
      <c r="K1" s="270" t="n"/>
      <c r="L1" s="270" t="n"/>
      <c r="M1" s="270" t="n"/>
      <c r="N1" s="270" t="n"/>
      <c r="O1" s="270" t="n"/>
      <c r="P1" s="270" t="n"/>
      <c r="Q1" s="270" t="n"/>
      <c r="R1" s="270" t="n"/>
      <c r="S1" s="270" t="n"/>
    </row>
    <row r="2">
      <c r="B2" s="252" t="inlineStr">
        <is>
          <t>UNVERIFIED: weights are auto premium shares (AM Best/NAIC, mixed years) with salvage intensity 1.0; allocations are expert-call / quote-bank estimates. No Copart disclosure identifies any carrier. Progressive path fitted to the FQ4 FY26 print.</t>
        </is>
      </c>
    </row>
    <row r="4">
      <c r="B4" s="357" t="inlineStr">
        <is>
          <t>Carrier weight</t>
        </is>
      </c>
      <c r="C4" s="358" t="inlineStr">
        <is>
          <t>Q1 FY26A</t>
        </is>
      </c>
      <c r="D4" s="358" t="inlineStr">
        <is>
          <t>Q2 FY26A</t>
        </is>
      </c>
      <c r="E4" s="358" t="inlineStr">
        <is>
          <t>Q3 FY26A</t>
        </is>
      </c>
      <c r="F4" s="358" t="inlineStr">
        <is>
          <t>Q4 FY26A</t>
        </is>
      </c>
      <c r="G4" s="358" t="inlineStr">
        <is>
          <t>Q1 FY27E</t>
        </is>
      </c>
      <c r="H4" s="358" t="inlineStr">
        <is>
          <t>Q2 FY27E</t>
        </is>
      </c>
      <c r="I4" s="358" t="inlineStr">
        <is>
          <t>Q3 FY27E</t>
        </is>
      </c>
      <c r="J4" s="358" t="inlineStr">
        <is>
          <t>Q4 FY27E</t>
        </is>
      </c>
    </row>
    <row r="5">
      <c r="B5" s="254" t="inlineStr">
        <is>
          <t>State Farm</t>
        </is>
      </c>
      <c r="C5" s="458" t="n">
        <v>0.18707</v>
      </c>
      <c r="D5" s="458" t="n">
        <v>0.186</v>
      </c>
      <c r="E5" s="458" t="n">
        <v>0.1852</v>
      </c>
      <c r="F5" s="458" t="n">
        <v>0.1844</v>
      </c>
      <c r="G5" s="458" t="n">
        <v>0.18354</v>
      </c>
      <c r="H5" s="458" t="n">
        <v>0.18269</v>
      </c>
      <c r="I5" s="458" t="n">
        <v>0.18183</v>
      </c>
      <c r="J5" s="458" t="n">
        <v>0.18097</v>
      </c>
    </row>
    <row r="6">
      <c r="B6" s="254" t="inlineStr">
        <is>
          <t>Progressive</t>
        </is>
      </c>
      <c r="C6" s="458" t="n">
        <v>0.18132</v>
      </c>
      <c r="D6" s="458" t="n">
        <v>0.186</v>
      </c>
      <c r="E6" s="458" t="n">
        <v>0.1895</v>
      </c>
      <c r="F6" s="458" t="n">
        <v>0.193</v>
      </c>
      <c r="G6" s="458" t="n">
        <v>0.19675</v>
      </c>
      <c r="H6" s="458" t="n">
        <v>0.2005</v>
      </c>
      <c r="I6" s="458" t="n">
        <v>0.20425</v>
      </c>
      <c r="J6" s="458" t="n">
        <v>0.208</v>
      </c>
    </row>
    <row r="7">
      <c r="B7" s="254" t="inlineStr">
        <is>
          <t>GEICO</t>
        </is>
      </c>
      <c r="C7" s="458" t="n">
        <v>0.11667</v>
      </c>
      <c r="D7" s="458" t="n">
        <v>0.116</v>
      </c>
      <c r="E7" s="458" t="n">
        <v>0.1155</v>
      </c>
      <c r="F7" s="458" t="n">
        <v>0.115</v>
      </c>
      <c r="G7" s="458" t="n">
        <v>0.11447</v>
      </c>
      <c r="H7" s="458" t="n">
        <v>0.11393</v>
      </c>
      <c r="I7" s="458" t="n">
        <v>0.1134</v>
      </c>
      <c r="J7" s="458" t="n">
        <v>0.11286</v>
      </c>
    </row>
    <row r="8">
      <c r="B8" s="254" t="inlineStr">
        <is>
          <t>Allstate</t>
        </is>
      </c>
      <c r="C8" s="458" t="n">
        <v>0.10259</v>
      </c>
      <c r="D8" s="458" t="n">
        <v>0.102</v>
      </c>
      <c r="E8" s="458" t="n">
        <v>0.10156</v>
      </c>
      <c r="F8" s="458" t="n">
        <v>0.10112</v>
      </c>
      <c r="G8" s="458" t="n">
        <v>0.10065</v>
      </c>
      <c r="H8" s="458" t="n">
        <v>0.10018</v>
      </c>
      <c r="I8" s="458" t="n">
        <v>0.09970999999999999</v>
      </c>
      <c r="J8" s="458" t="n">
        <v>0.09923999999999999</v>
      </c>
    </row>
    <row r="9">
      <c r="B9" s="254" t="inlineStr">
        <is>
          <t>USAA</t>
        </is>
      </c>
      <c r="C9" s="458" t="n">
        <v>0.06236</v>
      </c>
      <c r="D9" s="458" t="n">
        <v>0.062</v>
      </c>
      <c r="E9" s="458" t="n">
        <v>0.06173</v>
      </c>
      <c r="F9" s="458" t="n">
        <v>0.06147</v>
      </c>
      <c r="G9" s="458" t="n">
        <v>0.06118</v>
      </c>
      <c r="H9" s="458" t="n">
        <v>0.0609</v>
      </c>
      <c r="I9" s="458" t="n">
        <v>0.06061</v>
      </c>
      <c r="J9" s="458" t="n">
        <v>0.06032</v>
      </c>
    </row>
    <row r="10">
      <c r="B10" s="254" t="inlineStr">
        <is>
          <t>Farmers</t>
        </is>
      </c>
      <c r="C10" s="458" t="n">
        <v>0.03822</v>
      </c>
      <c r="D10" s="458" t="n">
        <v>0.038</v>
      </c>
      <c r="E10" s="458" t="n">
        <v>0.03784</v>
      </c>
      <c r="F10" s="458" t="n">
        <v>0.03767</v>
      </c>
      <c r="G10" s="458" t="n">
        <v>0.0375</v>
      </c>
      <c r="H10" s="458" t="n">
        <v>0.03732</v>
      </c>
      <c r="I10" s="458" t="n">
        <v>0.03715</v>
      </c>
      <c r="J10" s="458" t="n">
        <v>0.03697</v>
      </c>
    </row>
    <row r="11">
      <c r="B11" s="254" t="inlineStr">
        <is>
          <t>Liberty Mutual</t>
        </is>
      </c>
      <c r="C11" s="458" t="n">
        <v>0.03319</v>
      </c>
      <c r="D11" s="458" t="n">
        <v>0.033</v>
      </c>
      <c r="E11" s="458" t="n">
        <v>0.03286</v>
      </c>
      <c r="F11" s="458" t="n">
        <v>0.03272</v>
      </c>
      <c r="G11" s="458" t="n">
        <v>0.03256</v>
      </c>
      <c r="H11" s="458" t="n">
        <v>0.03241</v>
      </c>
      <c r="I11" s="458" t="n">
        <v>0.03226</v>
      </c>
      <c r="J11" s="458" t="n">
        <v>0.03211</v>
      </c>
    </row>
    <row r="12">
      <c r="B12" s="254" t="inlineStr">
        <is>
          <t>Travelers</t>
        </is>
      </c>
      <c r="C12" s="458" t="n">
        <v>0.02011</v>
      </c>
      <c r="D12" s="458" t="n">
        <v>0.02</v>
      </c>
      <c r="E12" s="458" t="n">
        <v>0.01991</v>
      </c>
      <c r="F12" s="458" t="n">
        <v>0.01983</v>
      </c>
      <c r="G12" s="458" t="n">
        <v>0.01974</v>
      </c>
      <c r="H12" s="458" t="n">
        <v>0.01964</v>
      </c>
      <c r="I12" s="458" t="n">
        <v>0.01955</v>
      </c>
      <c r="J12" s="458" t="n">
        <v>0.01946</v>
      </c>
    </row>
    <row r="13">
      <c r="B13" s="254" t="inlineStr">
        <is>
          <t>Nationwide</t>
        </is>
      </c>
      <c r="C13" s="458" t="n">
        <v>0.01509</v>
      </c>
      <c r="D13" s="458" t="n">
        <v>0.015</v>
      </c>
      <c r="E13" s="458" t="n">
        <v>0.01494</v>
      </c>
      <c r="F13" s="458" t="n">
        <v>0.01487</v>
      </c>
      <c r="G13" s="458" t="n">
        <v>0.0148</v>
      </c>
      <c r="H13" s="458" t="n">
        <v>0.01473</v>
      </c>
      <c r="I13" s="458" t="n">
        <v>0.01466</v>
      </c>
      <c r="J13" s="458" t="n">
        <v>0.01459</v>
      </c>
    </row>
    <row r="14">
      <c r="B14" s="254" t="inlineStr">
        <is>
          <t>Other (Erie, AAA, AmFam, regionals)</t>
        </is>
      </c>
      <c r="C14" s="458" t="n">
        <v>0.24339</v>
      </c>
      <c r="D14" s="458" t="n">
        <v>0.242</v>
      </c>
      <c r="E14" s="458" t="n">
        <v>0.24096</v>
      </c>
      <c r="F14" s="458" t="n">
        <v>0.23992</v>
      </c>
      <c r="G14" s="458" t="n">
        <v>0.2388</v>
      </c>
      <c r="H14" s="458" t="n">
        <v>0.23769</v>
      </c>
      <c r="I14" s="458" t="n">
        <v>0.23657</v>
      </c>
      <c r="J14" s="458" t="n">
        <v>0.23546</v>
      </c>
    </row>
    <row r="16">
      <c r="B16" s="249" t="inlineStr">
        <is>
          <t>Copart allocation by carrier (share of that carrier's total losses assigned to Copart)</t>
        </is>
      </c>
    </row>
    <row r="17">
      <c r="B17" s="357" t="inlineStr">
        <is>
          <t>Allocation</t>
        </is>
      </c>
      <c r="C17" s="358" t="inlineStr">
        <is>
          <t>Q1 FY26A</t>
        </is>
      </c>
      <c r="D17" s="358" t="inlineStr">
        <is>
          <t>Q2 FY26A</t>
        </is>
      </c>
      <c r="E17" s="358" t="inlineStr">
        <is>
          <t>Q3 FY26A</t>
        </is>
      </c>
      <c r="F17" s="358" t="inlineStr">
        <is>
          <t>Q4 FY26A</t>
        </is>
      </c>
      <c r="G17" s="358" t="inlineStr">
        <is>
          <t>Q1 FY27E</t>
        </is>
      </c>
      <c r="H17" s="358" t="inlineStr">
        <is>
          <t>Q2 FY27E</t>
        </is>
      </c>
      <c r="I17" s="358" t="inlineStr">
        <is>
          <t>Q3 FY27E</t>
        </is>
      </c>
      <c r="J17" s="358" t="inlineStr">
        <is>
          <t>Q4 FY27E</t>
        </is>
      </c>
    </row>
    <row r="18">
      <c r="B18" s="254" t="inlineStr">
        <is>
          <t>State Farm</t>
        </is>
      </c>
      <c r="C18" s="330" t="n">
        <v>0.5</v>
      </c>
      <c r="D18" s="330" t="n">
        <v>0.5</v>
      </c>
      <c r="E18" s="330" t="n">
        <v>0.5</v>
      </c>
      <c r="F18" s="330" t="n">
        <v>0.5</v>
      </c>
      <c r="G18" s="330" t="n">
        <v>0.5</v>
      </c>
      <c r="H18" s="330" t="n">
        <v>0.5</v>
      </c>
      <c r="I18" s="330" t="n">
        <v>0.48875</v>
      </c>
      <c r="J18" s="330" t="n">
        <v>0.4775</v>
      </c>
    </row>
    <row r="19">
      <c r="B19" s="254" t="inlineStr">
        <is>
          <t>Progressive</t>
        </is>
      </c>
      <c r="C19" s="330" t="n">
        <v>0.25</v>
      </c>
      <c r="D19" s="330" t="n">
        <v>0.25</v>
      </c>
      <c r="E19" s="330" t="n">
        <v>0.15909</v>
      </c>
      <c r="F19" s="330" t="n">
        <v>0.06818</v>
      </c>
      <c r="G19" s="330" t="n">
        <v>0.05</v>
      </c>
      <c r="H19" s="330" t="n">
        <v>0.05</v>
      </c>
      <c r="I19" s="330" t="n">
        <v>0.05</v>
      </c>
      <c r="J19" s="330" t="n">
        <v>0.05</v>
      </c>
    </row>
    <row r="20">
      <c r="B20" s="254" t="inlineStr">
        <is>
          <t>GEICO</t>
        </is>
      </c>
      <c r="C20" s="330" t="n">
        <v>0.83</v>
      </c>
      <c r="D20" s="330" t="n">
        <v>0.83</v>
      </c>
      <c r="E20" s="330" t="n">
        <v>0.83</v>
      </c>
      <c r="F20" s="330" t="n">
        <v>0.854</v>
      </c>
      <c r="G20" s="330" t="n">
        <v>0.878</v>
      </c>
      <c r="H20" s="330" t="n">
        <v>0.902</v>
      </c>
      <c r="I20" s="330" t="n">
        <v>0.902</v>
      </c>
      <c r="J20" s="330" t="n">
        <v>0.902</v>
      </c>
    </row>
    <row r="21">
      <c r="B21" s="254" t="inlineStr">
        <is>
          <t>Allstate</t>
        </is>
      </c>
      <c r="C21" s="330" t="n">
        <v>0.95</v>
      </c>
      <c r="D21" s="330" t="n">
        <v>0.95</v>
      </c>
      <c r="E21" s="330" t="n">
        <v>0.95</v>
      </c>
      <c r="F21" s="330" t="n">
        <v>0.95</v>
      </c>
      <c r="G21" s="330" t="n">
        <v>0.95</v>
      </c>
      <c r="H21" s="330" t="n">
        <v>0.95</v>
      </c>
      <c r="I21" s="330" t="n">
        <v>0.95</v>
      </c>
      <c r="J21" s="330" t="n">
        <v>0.95</v>
      </c>
    </row>
    <row r="22">
      <c r="B22" s="254" t="inlineStr">
        <is>
          <t>USAA</t>
        </is>
      </c>
      <c r="C22" s="330" t="n">
        <v>0.95</v>
      </c>
      <c r="D22" s="330" t="n">
        <v>0.95</v>
      </c>
      <c r="E22" s="330" t="n">
        <v>0.95</v>
      </c>
      <c r="F22" s="330" t="n">
        <v>0.95</v>
      </c>
      <c r="G22" s="330" t="n">
        <v>0.95</v>
      </c>
      <c r="H22" s="330" t="n">
        <v>0.95</v>
      </c>
      <c r="I22" s="330" t="n">
        <v>0.95</v>
      </c>
      <c r="J22" s="330" t="n">
        <v>0.95</v>
      </c>
    </row>
    <row r="23">
      <c r="B23" s="254" t="inlineStr">
        <is>
          <t>Farmers</t>
        </is>
      </c>
      <c r="C23" s="330" t="n">
        <v>0.9</v>
      </c>
      <c r="D23" s="330" t="n">
        <v>0.9</v>
      </c>
      <c r="E23" s="330" t="n">
        <v>0.9</v>
      </c>
      <c r="F23" s="330" t="n">
        <v>0.9</v>
      </c>
      <c r="G23" s="330" t="n">
        <v>0.9</v>
      </c>
      <c r="H23" s="330" t="n">
        <v>0.9</v>
      </c>
      <c r="I23" s="330" t="n">
        <v>0.9</v>
      </c>
      <c r="J23" s="330" t="n">
        <v>0.9</v>
      </c>
    </row>
    <row r="24">
      <c r="B24" s="254" t="inlineStr">
        <is>
          <t>Liberty Mutual</t>
        </is>
      </c>
      <c r="C24" s="330" t="n">
        <v>0.7</v>
      </c>
      <c r="D24" s="330" t="n">
        <v>0.7</v>
      </c>
      <c r="E24" s="330" t="n">
        <v>0.7</v>
      </c>
      <c r="F24" s="330" t="n">
        <v>0.7</v>
      </c>
      <c r="G24" s="330" t="n">
        <v>0.7</v>
      </c>
      <c r="H24" s="330" t="n">
        <v>0.7</v>
      </c>
      <c r="I24" s="330" t="n">
        <v>0.7</v>
      </c>
      <c r="J24" s="330" t="n">
        <v>0.7</v>
      </c>
    </row>
    <row r="25">
      <c r="B25" s="254" t="inlineStr">
        <is>
          <t>Travelers</t>
        </is>
      </c>
      <c r="C25" s="330" t="n">
        <v>0.85</v>
      </c>
      <c r="D25" s="330" t="n">
        <v>0.85</v>
      </c>
      <c r="E25" s="330" t="n">
        <v>0.85</v>
      </c>
      <c r="F25" s="330" t="n">
        <v>0.85</v>
      </c>
      <c r="G25" s="330" t="n">
        <v>0.85</v>
      </c>
      <c r="H25" s="330" t="n">
        <v>0.85</v>
      </c>
      <c r="I25" s="330" t="n">
        <v>0.85</v>
      </c>
      <c r="J25" s="330" t="n">
        <v>0.85</v>
      </c>
    </row>
    <row r="26">
      <c r="B26" s="254" t="inlineStr">
        <is>
          <t>Nationwide</t>
        </is>
      </c>
      <c r="C26" s="330" t="n">
        <v>0.95</v>
      </c>
      <c r="D26" s="330" t="n">
        <v>0.95</v>
      </c>
      <c r="E26" s="330" t="n">
        <v>0.95</v>
      </c>
      <c r="F26" s="330" t="n">
        <v>0.95</v>
      </c>
      <c r="G26" s="330" t="n">
        <v>0.95</v>
      </c>
      <c r="H26" s="330" t="n">
        <v>0.95</v>
      </c>
      <c r="I26" s="330" t="n">
        <v>0.95</v>
      </c>
      <c r="J26" s="330" t="n">
        <v>0.95</v>
      </c>
    </row>
    <row r="27">
      <c r="B27" s="254" t="inlineStr">
        <is>
          <t>Other (Erie, AAA, AmFam, regionals)</t>
        </is>
      </c>
      <c r="C27" s="330" t="n">
        <v>0.5</v>
      </c>
      <c r="D27" s="330" t="n">
        <v>0.5</v>
      </c>
      <c r="E27" s="330" t="n">
        <v>0.5</v>
      </c>
      <c r="F27" s="330" t="n">
        <v>0.5</v>
      </c>
      <c r="G27" s="330" t="n">
        <v>0.49438</v>
      </c>
      <c r="H27" s="330" t="n">
        <v>0.48875</v>
      </c>
      <c r="I27" s="330" t="n">
        <v>0.48313</v>
      </c>
      <c r="J27" s="330" t="n">
        <v>0.4775</v>
      </c>
    </row>
    <row r="29">
      <c r="B29" s="252" t="inlineStr">
        <is>
          <t>Public anchors: FQ4 FY26 call (US insurance units −7.5%; assignments +2.3% excluding one customer) VERIFIED; listed-inventory split Copart 57.2% of the duopoly, 4 clean nights 11–27 Sep 2026, MEASURED (data/csv/duopoly_daily.csv).</t>
        </is>
      </c>
    </row>
  </sheetData>
  <pageMargins left="0.75" right="0.75" top="1" bottom="1" header="0.5" footer="0.5"/>
</worksheet>
</file>

<file path=xl/worksheets/sheet32.xml><?xml version="1.0" encoding="utf-8"?>
<worksheet xmlns="http://schemas.openxmlformats.org/spreadsheetml/2006/main">
  <sheetPr>
    <tabColor rgb="FFBFBFBF"/>
    <outlinePr summaryBelow="1" summaryRight="1"/>
    <pageSetUpPr/>
  </sheetPr>
  <dimension ref="B1:S144"/>
  <sheetViews>
    <sheetView showGridLines="0" zoomScale="90" workbookViewId="0">
      <selection activeCell="A1" sqref="A1"/>
    </sheetView>
  </sheetViews>
  <sheetFormatPr baseColWidth="10" defaultColWidth="8.83203125" defaultRowHeight="15"/>
  <cols>
    <col width="2.5" customWidth="1" style="392" min="1" max="1"/>
    <col width="44" customWidth="1" style="392" min="2" max="2"/>
    <col width="8" customWidth="1" style="392" min="3" max="3"/>
    <col width="13" customWidth="1" style="392" min="4" max="15"/>
    <col width="48" customWidth="1" style="392" min="19" max="19"/>
  </cols>
  <sheetData>
    <row r="1" ht="17" customHeight="1" s="392">
      <c r="B1" s="269" t="inlineStr">
        <is>
          <t>D Engine — Python engine outputs pasted as values (purple)</t>
        </is>
      </c>
      <c r="C1" s="270" t="n"/>
      <c r="D1" s="270" t="n"/>
      <c r="E1" s="270" t="n"/>
      <c r="F1" s="270" t="n"/>
      <c r="G1" s="270" t="n"/>
      <c r="H1" s="270" t="n"/>
      <c r="I1" s="270" t="n"/>
      <c r="J1" s="270" t="n"/>
      <c r="K1" s="270" t="n"/>
      <c r="L1" s="270" t="n"/>
      <c r="M1" s="270" t="n"/>
      <c r="N1" s="270" t="n"/>
      <c r="O1" s="270" t="n"/>
      <c r="P1" s="270" t="n"/>
      <c r="Q1" s="270" t="n"/>
      <c r="R1" s="270" t="n"/>
      <c r="S1" s="270" t="n"/>
    </row>
    <row r="2">
      <c r="B2" s="252" t="inlineStr">
        <is>
          <t>ENGINE: model/thesis_audit_2026-10-01 (16-subset common-reference scenarios, 1 Oct 2026) and model/ccc_age_body_2026-09-29 (CCC reference and aftermarket cases, 29 Sep 2026). Reproduce with the run.py in each folder.</t>
        </is>
      </c>
    </row>
    <row r="4">
      <c r="B4" s="357" t="inlineStr">
        <is>
          <t>mask</t>
        </is>
      </c>
      <c r="C4" s="358" t="inlineStr">
        <is>
          <t>scenario</t>
        </is>
      </c>
      <c r="D4" s="358" t="inlineStr">
        <is>
          <t>service_musd</t>
        </is>
      </c>
      <c r="E4" s="358" t="inlineStr">
        <is>
          <t>insurance_musd</t>
        </is>
      </c>
      <c r="F4" s="358" t="inlineStr">
        <is>
          <t>modeled_insurance_units</t>
        </is>
      </c>
      <c r="G4" s="358" t="inlineStr">
        <is>
          <t>insurance_allin_RPU</t>
        </is>
      </c>
    </row>
    <row r="5">
      <c r="B5" s="254" t="n">
        <v>0</v>
      </c>
      <c r="C5" s="254" t="inlineStr">
        <is>
          <t>recovery_comparator</t>
        </is>
      </c>
      <c r="D5" s="304" t="n">
        <v>4132.662422084255</v>
      </c>
      <c r="E5" s="304" t="n">
        <v>3122.688228872894</v>
      </c>
      <c r="F5" s="359" t="n">
        <v>3404057.163231479</v>
      </c>
      <c r="G5" s="466" t="n">
        <v>917.3430642123882</v>
      </c>
    </row>
    <row r="6">
      <c r="B6" s="254" t="n">
        <v>1</v>
      </c>
      <c r="C6" s="254" t="inlineStr">
        <is>
          <t>market_allocation</t>
        </is>
      </c>
      <c r="D6" s="304" t="n">
        <v>3997.324308689885</v>
      </c>
      <c r="E6" s="304" t="n">
        <v>2987.350115478524</v>
      </c>
      <c r="F6" s="359" t="n">
        <v>3256568.487807756</v>
      </c>
      <c r="G6" s="466" t="n">
        <v>917.330658533006</v>
      </c>
    </row>
    <row r="7">
      <c r="B7" s="254" t="n">
        <v>2</v>
      </c>
      <c r="C7" s="254" t="inlineStr">
        <is>
          <t>premium_recovery</t>
        </is>
      </c>
      <c r="D7" s="304" t="n">
        <v>4108.93568578827</v>
      </c>
      <c r="E7" s="304" t="n">
        <v>3098.961492576909</v>
      </c>
      <c r="F7" s="359" t="n">
        <v>3378189.645851638</v>
      </c>
      <c r="G7" s="466" t="n">
        <v>917.3438490590319</v>
      </c>
    </row>
    <row r="8">
      <c r="B8" s="254" t="n">
        <v>3</v>
      </c>
      <c r="C8" s="254" t="inlineStr">
        <is>
          <t>market_allocation+premium_recovery</t>
        </is>
      </c>
      <c r="D8" s="304" t="n">
        <v>3974.520103544469</v>
      </c>
      <c r="E8" s="304" t="n">
        <v>2964.545910333108</v>
      </c>
      <c r="F8" s="359" t="n">
        <v>3231706.417616765</v>
      </c>
      <c r="G8" s="466" t="n">
        <v>917.3314426622096</v>
      </c>
    </row>
    <row r="9">
      <c r="B9" s="254" t="n">
        <v>4</v>
      </c>
      <c r="C9" s="254" t="inlineStr">
        <is>
          <t>aftermarket</t>
        </is>
      </c>
      <c r="D9" s="304" t="n">
        <v>4075.42762064511</v>
      </c>
      <c r="E9" s="304" t="n">
        <v>3065.453427433749</v>
      </c>
      <c r="F9" s="359" t="n">
        <v>3360587.950171777</v>
      </c>
      <c r="G9" s="466" t="n">
        <v>912.177712021213</v>
      </c>
    </row>
    <row r="10">
      <c r="B10" s="254" t="n">
        <v>5</v>
      </c>
      <c r="C10" s="254" t="inlineStr">
        <is>
          <t>market_allocation+aftermarket</t>
        </is>
      </c>
      <c r="D10" s="304" t="n">
        <v>3941.963239662224</v>
      </c>
      <c r="E10" s="304" t="n">
        <v>2931.989046450863</v>
      </c>
      <c r="F10" s="359" t="n">
        <v>3214522.640183739</v>
      </c>
      <c r="G10" s="466" t="n">
        <v>912.1071383349389</v>
      </c>
    </row>
    <row r="11">
      <c r="B11" s="254" t="n">
        <v>6</v>
      </c>
      <c r="C11" s="254" t="inlineStr">
        <is>
          <t>premium_recovery+aftermarket</t>
        </is>
      </c>
      <c r="D11" s="304" t="n">
        <v>4052.175472723391</v>
      </c>
      <c r="E11" s="304" t="n">
        <v>3042.20127951203</v>
      </c>
      <c r="F11" s="359" t="n">
        <v>3335080.853031643</v>
      </c>
      <c r="G11" s="466" t="n">
        <v>912.1821669620451</v>
      </c>
    </row>
    <row r="12">
      <c r="B12" s="254" t="n">
        <v>7</v>
      </c>
      <c r="C12" s="254" t="inlineStr">
        <is>
          <t>market_allocation+premium_recovery+aftermarket</t>
        </is>
      </c>
      <c r="D12" s="304" t="n">
        <v>3919.619593811704</v>
      </c>
      <c r="E12" s="304" t="n">
        <v>2909.645400600343</v>
      </c>
      <c r="F12" s="359" t="n">
        <v>3190010.334434816</v>
      </c>
      <c r="G12" s="466" t="n">
        <v>912.1115907343461</v>
      </c>
    </row>
    <row r="13">
      <c r="B13" s="254" t="n">
        <v>8</v>
      </c>
      <c r="C13" s="254" t="inlineStr">
        <is>
          <t>fleet_mix</t>
        </is>
      </c>
      <c r="D13" s="304" t="n">
        <v>4116.682023074879</v>
      </c>
      <c r="E13" s="304" t="n">
        <v>3106.707829863518</v>
      </c>
      <c r="F13" s="359" t="n">
        <v>3392942.331491993</v>
      </c>
      <c r="G13" s="466" t="n">
        <v>915.6382650622274</v>
      </c>
    </row>
    <row r="14">
      <c r="B14" s="254" t="n">
        <v>9</v>
      </c>
      <c r="C14" s="254" t="inlineStr">
        <is>
          <t>market_allocation+fleet_mix</t>
        </is>
      </c>
      <c r="D14" s="304" t="n">
        <v>3982.01631007477</v>
      </c>
      <c r="E14" s="304" t="n">
        <v>2972.042116863409</v>
      </c>
      <c r="F14" s="359" t="n">
        <v>3245904.819907098</v>
      </c>
      <c r="G14" s="466" t="n">
        <v>915.6282398164938</v>
      </c>
    </row>
    <row r="15">
      <c r="B15" s="254" t="n">
        <v>10</v>
      </c>
      <c r="C15" s="254" t="inlineStr">
        <is>
          <t>premium_recovery+fleet_mix</t>
        </is>
      </c>
      <c r="D15" s="304" t="n">
        <v>4093.077730243895</v>
      </c>
      <c r="E15" s="304" t="n">
        <v>3083.103537032534</v>
      </c>
      <c r="F15" s="359" t="n">
        <v>3367160.848567258</v>
      </c>
      <c r="G15" s="466" t="n">
        <v>915.6389242124887</v>
      </c>
    </row>
    <row r="16">
      <c r="B16" s="254" t="n">
        <v>11</v>
      </c>
      <c r="C16" s="254" t="inlineStr">
        <is>
          <t>market_allocation+premium_recovery+fleet_mix</t>
        </is>
      </c>
      <c r="D16" s="304" t="n">
        <v>3959.329945361116</v>
      </c>
      <c r="E16" s="304" t="n">
        <v>2949.355752149755</v>
      </c>
      <c r="F16" s="359" t="n">
        <v>3221125.676442777</v>
      </c>
      <c r="G16" s="466" t="n">
        <v>915.6288975991931</v>
      </c>
    </row>
    <row r="17">
      <c r="B17" s="254" t="n">
        <v>12</v>
      </c>
      <c r="C17" s="254" t="inlineStr">
        <is>
          <t>aftermarket+fleet_mix</t>
        </is>
      </c>
      <c r="D17" s="304" t="n">
        <v>4059.648453516342</v>
      </c>
      <c r="E17" s="304" t="n">
        <v>3049.674260304981</v>
      </c>
      <c r="F17" s="359" t="n">
        <v>3349607.998633471</v>
      </c>
      <c r="G17" s="466" t="n">
        <v>910.4570629008368</v>
      </c>
    </row>
    <row r="18">
      <c r="B18" s="254" t="n">
        <v>13</v>
      </c>
      <c r="C18" s="254" t="inlineStr">
        <is>
          <t>market_allocation+aftermarket+fleet_mix</t>
        </is>
      </c>
      <c r="D18" s="304" t="n">
        <v>3926.851387305016</v>
      </c>
      <c r="E18" s="304" t="n">
        <v>2916.877194093655</v>
      </c>
      <c r="F18" s="359" t="n">
        <v>3203990.469606517</v>
      </c>
      <c r="G18" s="466" t="n">
        <v>910.3888484574293</v>
      </c>
    </row>
    <row r="19">
      <c r="B19" s="254" t="n">
        <v>14</v>
      </c>
      <c r="C19" s="254" t="inlineStr">
        <is>
          <t>premium_recovery+aftermarket+fleet_mix</t>
        </is>
      </c>
      <c r="D19" s="304" t="n">
        <v>4036.517015793495</v>
      </c>
      <c r="E19" s="304" t="n">
        <v>3026.542822582135</v>
      </c>
      <c r="F19" s="359" t="n">
        <v>3324185.772365574</v>
      </c>
      <c r="G19" s="466" t="n">
        <v>910.4613971163143</v>
      </c>
    </row>
    <row r="20">
      <c r="B20" s="254" t="n">
        <v>15</v>
      </c>
      <c r="C20" s="254" t="inlineStr">
        <is>
          <t>market_allocation+premium_recovery+aftermarket+fleet_mix</t>
        </is>
      </c>
      <c r="D20" s="304" t="n">
        <v>3904.623888263005</v>
      </c>
      <c r="E20" s="304" t="n">
        <v>2894.649695051643</v>
      </c>
      <c r="F20" s="359" t="n">
        <v>3179559.953460027</v>
      </c>
      <c r="G20" s="466" t="n">
        <v>910.3931793774352</v>
      </c>
    </row>
    <row r="22">
      <c r="B22" s="249" t="inlineStr">
        <is>
          <t>Four-driver attribution (Shapley, diagnostic)</t>
        </is>
      </c>
    </row>
    <row r="23">
      <c r="B23" s="357" t="inlineStr">
        <is>
          <t>factor</t>
        </is>
      </c>
      <c r="C23" s="358" t="inlineStr">
        <is>
          <t>service_contribution_musd</t>
        </is>
      </c>
      <c r="D23" s="358" t="inlineStr">
        <is>
          <t>share_of_net_shortfall</t>
        </is>
      </c>
      <c r="E23" s="358" t="inlineStr">
        <is>
          <t>modeled_unit_contribution</t>
        </is>
      </c>
      <c r="F23" s="358" t="inlineStr">
        <is>
          <t>allin_RPU_contribution_usd</t>
        </is>
      </c>
      <c r="G23" s="358" t="inlineStr">
        <is>
          <t>standalone_service_delta_musd</t>
        </is>
      </c>
    </row>
    <row r="24">
      <c r="B24" s="254" t="inlineStr">
        <is>
          <t>market_allocation</t>
        </is>
      </c>
      <c r="C24" s="251" t="n">
        <v>-133.6116774172641</v>
      </c>
      <c r="D24" s="251" t="n">
        <v>0.5859171043521828</v>
      </c>
      <c r="E24" s="251" t="n">
        <v>-146054.3960453231</v>
      </c>
      <c r="F24" s="251" t="n">
        <v>-0.0403077390013209</v>
      </c>
      <c r="G24" s="251" t="n">
        <v>-135.3381133943699</v>
      </c>
    </row>
    <row r="25">
      <c r="B25" s="254" t="inlineStr">
        <is>
          <t>premium_recovery</t>
        </is>
      </c>
      <c r="C25" s="251" t="n">
        <v>-22.97373334992725</v>
      </c>
      <c r="D25" s="251" t="n">
        <v>0.1007449616736065</v>
      </c>
      <c r="E25" s="251" t="n">
        <v>-25146.53552633306</v>
      </c>
      <c r="F25" s="251" t="n">
        <v>0.002557493152494317</v>
      </c>
      <c r="G25" s="251" t="n">
        <v>-23.72673629598467</v>
      </c>
    </row>
    <row r="26">
      <c r="B26" s="254" t="inlineStr">
        <is>
          <t>aftermarket</t>
        </is>
      </c>
      <c r="C26" s="251" t="n">
        <v>-55.96696451798034</v>
      </c>
      <c r="D26" s="251" t="n">
        <v>0.2454276633871473</v>
      </c>
      <c r="E26" s="251" t="n">
        <v>-42514.94092617533</v>
      </c>
      <c r="F26" s="251" t="n">
        <v>-5.200532173195521</v>
      </c>
      <c r="G26" s="251" t="n">
        <v>-57.23480143914503</v>
      </c>
    </row>
    <row r="27">
      <c r="B27" s="254" t="inlineStr">
        <is>
          <t>fleet_mix</t>
        </is>
      </c>
      <c r="C27" s="251" t="n">
        <v>-15.48615853607828</v>
      </c>
      <c r="D27" s="251" t="n">
        <v>0.06791027058706332</v>
      </c>
      <c r="E27" s="251" t="n">
        <v>-10781.33727362053</v>
      </c>
      <c r="F27" s="251" t="n">
        <v>-1.71160241590862</v>
      </c>
      <c r="G27" s="251" t="n">
        <v>-15.98039900937601</v>
      </c>
    </row>
    <row r="29">
      <c r="B29" s="249" t="inlineStr">
        <is>
          <t>Quarterly results, all 16 subsets (mask bits: 1 market allocation, 2 premium recovery, 4 aftermarket, 8 fleet mix)</t>
        </is>
      </c>
    </row>
    <row r="30">
      <c r="B30" s="357" t="inlineStr">
        <is>
          <t>mask</t>
        </is>
      </c>
      <c r="C30" s="358" t="inlineStr">
        <is>
          <t>scenario</t>
        </is>
      </c>
      <c r="D30" s="358" t="inlineStr">
        <is>
          <t>period</t>
        </is>
      </c>
      <c r="E30" s="358" t="inlineStr">
        <is>
          <t>service_musd</t>
        </is>
      </c>
      <c r="F30" s="358" t="inlineStr">
        <is>
          <t>insurance_units</t>
        </is>
      </c>
      <c r="G30" s="358" t="inlineStr">
        <is>
          <t>TLF</t>
        </is>
      </c>
      <c r="H30" s="358" t="inlineStr">
        <is>
          <t>insurance_ASP</t>
        </is>
      </c>
    </row>
    <row r="31">
      <c r="B31" s="254" t="n">
        <v>0</v>
      </c>
      <c r="C31" s="254" t="inlineStr">
        <is>
          <t>recovery_comparator</t>
        </is>
      </c>
      <c r="D31" s="254" t="inlineStr">
        <is>
          <t>FY2027Q1</t>
        </is>
      </c>
      <c r="E31" s="304" t="n">
        <v>1029.364134959785</v>
      </c>
      <c r="F31" s="359" t="n">
        <v>856641.6743440034</v>
      </c>
      <c r="G31" s="320" t="n">
        <v>0.2309684149019287</v>
      </c>
      <c r="H31" s="466" t="n">
        <v>3117.098260634563</v>
      </c>
    </row>
    <row r="32">
      <c r="B32" s="254" t="n">
        <v>0</v>
      </c>
      <c r="C32" s="254" t="inlineStr">
        <is>
          <t>recovery_comparator</t>
        </is>
      </c>
      <c r="D32" s="254" t="inlineStr">
        <is>
          <t>FY2027Q2</t>
        </is>
      </c>
      <c r="E32" s="304" t="n">
        <v>990.1625914130836</v>
      </c>
      <c r="F32" s="359" t="n">
        <v>822965.1098413144</v>
      </c>
      <c r="G32" s="320" t="n">
        <v>0.2308874862433383</v>
      </c>
      <c r="H32" s="466" t="n">
        <v>3114.64263949011</v>
      </c>
    </row>
    <row r="33">
      <c r="B33" s="254" t="n">
        <v>0</v>
      </c>
      <c r="C33" s="254" t="inlineStr">
        <is>
          <t>recovery_comparator</t>
        </is>
      </c>
      <c r="D33" s="254" t="inlineStr">
        <is>
          <t>FY2027Q3</t>
        </is>
      </c>
      <c r="E33" s="304" t="n">
        <v>1101.169954876998</v>
      </c>
      <c r="F33" s="359" t="n">
        <v>900826.3217013609</v>
      </c>
      <c r="G33" s="320" t="n">
        <v>0.2308139360994703</v>
      </c>
      <c r="H33" s="466" t="n">
        <v>3112.820776046185</v>
      </c>
    </row>
    <row r="34">
      <c r="B34" s="254" t="n">
        <v>0</v>
      </c>
      <c r="C34" s="254" t="inlineStr">
        <is>
          <t>recovery_comparator</t>
        </is>
      </c>
      <c r="D34" s="254" t="inlineStr">
        <is>
          <t>FY2027Q4</t>
        </is>
      </c>
      <c r="E34" s="304" t="n">
        <v>1011.96574083439</v>
      </c>
      <c r="F34" s="359" t="n">
        <v>823624.0573447999</v>
      </c>
      <c r="G34" s="320" t="n">
        <v>0.2307532535590583</v>
      </c>
      <c r="H34" s="466" t="n">
        <v>3111.192549815287</v>
      </c>
    </row>
    <row r="35">
      <c r="B35" s="254" t="n">
        <v>1</v>
      </c>
      <c r="C35" s="254" t="inlineStr">
        <is>
          <t>market_allocation</t>
        </is>
      </c>
      <c r="D35" s="254" t="inlineStr">
        <is>
          <t>FY2027Q1</t>
        </is>
      </c>
      <c r="E35" s="304" t="n">
        <v>976.0677700048616</v>
      </c>
      <c r="F35" s="359" t="n">
        <v>798585.8399364803</v>
      </c>
      <c r="G35" s="320" t="n">
        <v>0.2309684149019288</v>
      </c>
      <c r="H35" s="466" t="n">
        <v>3117.098260634565</v>
      </c>
    </row>
    <row r="36">
      <c r="B36" s="254" t="n">
        <v>1</v>
      </c>
      <c r="C36" s="254" t="inlineStr">
        <is>
          <t>market_allocation</t>
        </is>
      </c>
      <c r="D36" s="254" t="inlineStr">
        <is>
          <t>FY2027Q2</t>
        </is>
      </c>
      <c r="E36" s="304" t="n">
        <v>941.3484286164836</v>
      </c>
      <c r="F36" s="359" t="n">
        <v>769765.3002082428</v>
      </c>
      <c r="G36" s="320" t="n">
        <v>0.2308874862433384</v>
      </c>
      <c r="H36" s="466" t="n">
        <v>3114.642639490111</v>
      </c>
    </row>
    <row r="37">
      <c r="B37" s="254" t="n">
        <v>1</v>
      </c>
      <c r="C37" s="254" t="inlineStr">
        <is>
          <t>market_allocation</t>
        </is>
      </c>
      <c r="D37" s="254" t="inlineStr">
        <is>
          <t>FY2027Q3</t>
        </is>
      </c>
      <c r="E37" s="304" t="n">
        <v>1072.624992886211</v>
      </c>
      <c r="F37" s="359" t="n">
        <v>869701.5898566847</v>
      </c>
      <c r="G37" s="320" t="n">
        <v>0.2308139360994702</v>
      </c>
      <c r="H37" s="466" t="n">
        <v>3112.820776046185</v>
      </c>
    </row>
    <row r="38">
      <c r="B38" s="254" t="n">
        <v>1</v>
      </c>
      <c r="C38" s="254" t="inlineStr">
        <is>
          <t>market_allocation</t>
        </is>
      </c>
      <c r="D38" s="254" t="inlineStr">
        <is>
          <t>FY2027Q4</t>
        </is>
      </c>
      <c r="E38" s="304" t="n">
        <v>1007.28311718233</v>
      </c>
      <c r="F38" s="359" t="n">
        <v>818515.7578063485</v>
      </c>
      <c r="G38" s="320" t="n">
        <v>0.2307532535590583</v>
      </c>
      <c r="H38" s="466" t="n">
        <v>3111.192549815287</v>
      </c>
    </row>
    <row r="39">
      <c r="B39" s="254" t="n">
        <v>2</v>
      </c>
      <c r="C39" s="254" t="inlineStr">
        <is>
          <t>premium_recovery</t>
        </is>
      </c>
      <c r="D39" s="254" t="inlineStr">
        <is>
          <t>FY2027Q1</t>
        </is>
      </c>
      <c r="E39" s="304" t="n">
        <v>1025.412308726546</v>
      </c>
      <c r="F39" s="359" t="n">
        <v>852336.9423121235</v>
      </c>
      <c r="G39" s="320" t="n">
        <v>0.2311949263789927</v>
      </c>
      <c r="H39" s="466" t="n">
        <v>3117.098260634562</v>
      </c>
    </row>
    <row r="40">
      <c r="B40" s="254" t="n">
        <v>2</v>
      </c>
      <c r="C40" s="254" t="inlineStr">
        <is>
          <t>premium_recovery</t>
        </is>
      </c>
      <c r="D40" s="254" t="inlineStr">
        <is>
          <t>FY2027Q2</t>
        </is>
      </c>
      <c r="E40" s="304" t="n">
        <v>984.5288491051532</v>
      </c>
      <c r="F40" s="359" t="n">
        <v>816825.2110674168</v>
      </c>
      <c r="G40" s="320" t="n">
        <v>0.2312262010477369</v>
      </c>
      <c r="H40" s="466" t="n">
        <v>3114.642639490114</v>
      </c>
    </row>
    <row r="41">
      <c r="B41" s="254" t="n">
        <v>2</v>
      </c>
      <c r="C41" s="254" t="inlineStr">
        <is>
          <t>premium_recovery</t>
        </is>
      </c>
      <c r="D41" s="254" t="inlineStr">
        <is>
          <t>FY2027Q3</t>
        </is>
      </c>
      <c r="E41" s="304" t="n">
        <v>1094.015737527335</v>
      </c>
      <c r="F41" s="359" t="n">
        <v>893025.5372183173</v>
      </c>
      <c r="G41" s="320" t="n">
        <v>0.2312084431026211</v>
      </c>
      <c r="H41" s="466" t="n">
        <v>3112.820776046185</v>
      </c>
    </row>
    <row r="42">
      <c r="B42" s="254" t="n">
        <v>2</v>
      </c>
      <c r="C42" s="254" t="inlineStr">
        <is>
          <t>premium_recovery</t>
        </is>
      </c>
      <c r="D42" s="254" t="inlineStr">
        <is>
          <t>FY2027Q4</t>
        </is>
      </c>
      <c r="E42" s="304" t="n">
        <v>1004.978790429237</v>
      </c>
      <c r="F42" s="359" t="n">
        <v>816001.9552537798</v>
      </c>
      <c r="G42" s="320" t="n">
        <v>0.2311755535758398</v>
      </c>
      <c r="H42" s="466" t="n">
        <v>3111.192549815288</v>
      </c>
    </row>
    <row r="43">
      <c r="B43" s="254" t="n">
        <v>3</v>
      </c>
      <c r="C43" s="254" t="inlineStr">
        <is>
          <t>market_allocation+premium_recovery</t>
        </is>
      </c>
      <c r="D43" s="254" t="inlineStr">
        <is>
          <t>FY2027Q1</t>
        </is>
      </c>
      <c r="E43" s="304" t="n">
        <v>972.3837647010447</v>
      </c>
      <c r="F43" s="359" t="n">
        <v>794572.8457659445</v>
      </c>
      <c r="G43" s="320" t="n">
        <v>0.2311949263789928</v>
      </c>
      <c r="H43" s="466" t="n">
        <v>3117.098260634565</v>
      </c>
    </row>
    <row r="44">
      <c r="B44" s="254" t="n">
        <v>3</v>
      </c>
      <c r="C44" s="254" t="inlineStr">
        <is>
          <t>market_allocation+premium_recovery</t>
        </is>
      </c>
      <c r="D44" s="254" t="inlineStr">
        <is>
          <t>FY2027Q2</t>
        </is>
      </c>
      <c r="E44" s="304" t="n">
        <v>936.0788743096234</v>
      </c>
      <c r="F44" s="359" t="n">
        <v>764022.3094466435</v>
      </c>
      <c r="G44" s="320" t="n">
        <v>0.2312262010477366</v>
      </c>
      <c r="H44" s="466" t="n">
        <v>3114.642639490108</v>
      </c>
    </row>
    <row r="45">
      <c r="B45" s="254" t="n">
        <v>3</v>
      </c>
      <c r="C45" s="254" t="inlineStr">
        <is>
          <t>market_allocation+premium_recovery</t>
        </is>
      </c>
      <c r="D45" s="254" t="inlineStr">
        <is>
          <t>FY2027Q3</t>
        </is>
      </c>
      <c r="E45" s="304" t="n">
        <v>1065.717963136645</v>
      </c>
      <c r="F45" s="359" t="n">
        <v>862170.3327168867</v>
      </c>
      <c r="G45" s="320" t="n">
        <v>0.2312084431026214</v>
      </c>
      <c r="H45" s="466" t="n">
        <v>3112.820776046183</v>
      </c>
    </row>
    <row r="46">
      <c r="B46" s="254" t="n">
        <v>3</v>
      </c>
      <c r="C46" s="254" t="inlineStr">
        <is>
          <t>market_allocation+premium_recovery</t>
        </is>
      </c>
      <c r="D46" s="254" t="inlineStr">
        <is>
          <t>FY2027Q4</t>
        </is>
      </c>
      <c r="E46" s="304" t="n">
        <v>1000.339501397155</v>
      </c>
      <c r="F46" s="359" t="n">
        <v>810940.9296872901</v>
      </c>
      <c r="G46" s="320" t="n">
        <v>0.2311755535758398</v>
      </c>
      <c r="H46" s="466" t="n">
        <v>3111.192549815286</v>
      </c>
    </row>
    <row r="47">
      <c r="B47" s="254" t="n">
        <v>4</v>
      </c>
      <c r="C47" s="254" t="inlineStr">
        <is>
          <t>aftermarket</t>
        </is>
      </c>
      <c r="D47" s="254" t="inlineStr">
        <is>
          <t>FY2027Q1</t>
        </is>
      </c>
      <c r="E47" s="304" t="n">
        <v>1023.601230562588</v>
      </c>
      <c r="F47" s="359" t="n">
        <v>852258.8798105858</v>
      </c>
      <c r="G47" s="320" t="n">
        <v>0.229786375948788</v>
      </c>
      <c r="H47" s="466" t="n">
        <v>3102.012654856643</v>
      </c>
    </row>
    <row r="48">
      <c r="B48" s="254" t="n">
        <v>4</v>
      </c>
      <c r="C48" s="254" t="inlineStr">
        <is>
          <t>aftermarket</t>
        </is>
      </c>
      <c r="D48" s="254" t="inlineStr">
        <is>
          <t>FY2027Q2</t>
        </is>
      </c>
      <c r="E48" s="304" t="n">
        <v>979.0786458114052</v>
      </c>
      <c r="F48" s="359" t="n">
        <v>814545.0698317797</v>
      </c>
      <c r="G48" s="320" t="n">
        <v>0.2285241665519835</v>
      </c>
      <c r="H48" s="466" t="n">
        <v>3084.457226681674</v>
      </c>
    </row>
    <row r="49">
      <c r="B49" s="254" t="n">
        <v>4</v>
      </c>
      <c r="C49" s="254" t="inlineStr">
        <is>
          <t>aftermarket</t>
        </is>
      </c>
      <c r="D49" s="254" t="inlineStr">
        <is>
          <t>FY2027Q3</t>
        </is>
      </c>
      <c r="E49" s="304" t="n">
        <v>1082.962465171545</v>
      </c>
      <c r="F49" s="359" t="n">
        <v>887004.6485715101</v>
      </c>
      <c r="G49" s="320" t="n">
        <v>0.2272706929165285</v>
      </c>
      <c r="H49" s="466" t="n">
        <v>3067.509596547071</v>
      </c>
    </row>
    <row r="50">
      <c r="B50" s="254" t="n">
        <v>4</v>
      </c>
      <c r="C50" s="254" t="inlineStr">
        <is>
          <t>aftermarket</t>
        </is>
      </c>
      <c r="D50" s="254" t="inlineStr">
        <is>
          <t>FY2027Q4</t>
        </is>
      </c>
      <c r="E50" s="304" t="n">
        <v>989.7852790995721</v>
      </c>
      <c r="F50" s="359" t="n">
        <v>806779.3519579009</v>
      </c>
      <c r="G50" s="320" t="n">
        <v>0.226031363899194</v>
      </c>
      <c r="H50" s="466" t="n">
        <v>3050.729139659054</v>
      </c>
    </row>
    <row r="51">
      <c r="B51" s="254" t="n">
        <v>5</v>
      </c>
      <c r="C51" s="254" t="inlineStr">
        <is>
          <t>market_allocation+aftermarket</t>
        </is>
      </c>
      <c r="D51" s="254" t="inlineStr">
        <is>
          <t>FY2027Q1</t>
        </is>
      </c>
      <c r="E51" s="304" t="n">
        <v>970.6954259007376</v>
      </c>
      <c r="F51" s="359" t="n">
        <v>794500.0736720526</v>
      </c>
      <c r="G51" s="320" t="n">
        <v>0.2297863759487881</v>
      </c>
      <c r="H51" s="466" t="n">
        <v>3102.012654856643</v>
      </c>
    </row>
    <row r="52">
      <c r="B52" s="254" t="n">
        <v>5</v>
      </c>
      <c r="C52" s="254" t="inlineStr">
        <is>
          <t>market_allocation+aftermarket</t>
        </is>
      </c>
      <c r="D52" s="254" t="inlineStr">
        <is>
          <t>FY2027Q2</t>
        </is>
      </c>
      <c r="E52" s="304" t="n">
        <v>930.9809943090761</v>
      </c>
      <c r="F52" s="359" t="n">
        <v>761889.5658080879</v>
      </c>
      <c r="G52" s="320" t="n">
        <v>0.2285241665519839</v>
      </c>
      <c r="H52" s="466" t="n">
        <v>3084.45722668167</v>
      </c>
    </row>
    <row r="53">
      <c r="B53" s="254" t="n">
        <v>5</v>
      </c>
      <c r="C53" s="254" t="inlineStr">
        <is>
          <t>market_allocation+aftermarket</t>
        </is>
      </c>
      <c r="D53" s="254" t="inlineStr">
        <is>
          <t>FY2027Q3</t>
        </is>
      </c>
      <c r="E53" s="304" t="n">
        <v>1055.046595849339</v>
      </c>
      <c r="F53" s="359" t="n">
        <v>856357.4736758787</v>
      </c>
      <c r="G53" s="320" t="n">
        <v>0.2272706929165283</v>
      </c>
      <c r="H53" s="466" t="n">
        <v>3067.509596547074</v>
      </c>
    </row>
    <row r="54">
      <c r="B54" s="254" t="n">
        <v>5</v>
      </c>
      <c r="C54" s="254" t="inlineStr">
        <is>
          <t>market_allocation+aftermarket</t>
        </is>
      </c>
      <c r="D54" s="254" t="inlineStr">
        <is>
          <t>FY2027Q4</t>
        </is>
      </c>
      <c r="E54" s="304" t="n">
        <v>985.2402236030709</v>
      </c>
      <c r="F54" s="359" t="n">
        <v>801775.52702772</v>
      </c>
      <c r="G54" s="320" t="n">
        <v>0.226031363899194</v>
      </c>
      <c r="H54" s="466" t="n">
        <v>3050.729139659052</v>
      </c>
    </row>
    <row r="55">
      <c r="B55" s="254" t="n">
        <v>6</v>
      </c>
      <c r="C55" s="254" t="inlineStr">
        <is>
          <t>premium_recovery+aftermarket</t>
        </is>
      </c>
      <c r="D55" s="254" t="inlineStr">
        <is>
          <t>FY2027Q1</t>
        </is>
      </c>
      <c r="E55" s="304" t="n">
        <v>1019.678363647928</v>
      </c>
      <c r="F55" s="359" t="n">
        <v>847976.1718718394</v>
      </c>
      <c r="G55" s="320" t="n">
        <v>0.2300120749139815</v>
      </c>
      <c r="H55" s="466" t="n">
        <v>3102.012654856643</v>
      </c>
    </row>
    <row r="56">
      <c r="B56" s="254" t="n">
        <v>6</v>
      </c>
      <c r="C56" s="254" t="inlineStr">
        <is>
          <t>premium_recovery+aftermarket</t>
        </is>
      </c>
      <c r="D56" s="254" t="inlineStr">
        <is>
          <t>FY2027Q2</t>
        </is>
      </c>
      <c r="E56" s="304" t="n">
        <v>973.5275975365463</v>
      </c>
      <c r="F56" s="359" t="n">
        <v>808467.9904808606</v>
      </c>
      <c r="G56" s="320" t="n">
        <v>0.2288604459983519</v>
      </c>
      <c r="H56" s="466" t="n">
        <v>3084.457226681672</v>
      </c>
    </row>
    <row r="57">
      <c r="B57" s="254" t="n">
        <v>6</v>
      </c>
      <c r="C57" s="254" t="inlineStr">
        <is>
          <t>premium_recovery+aftermarket</t>
        </is>
      </c>
      <c r="D57" s="254" t="inlineStr">
        <is>
          <t>FY2027Q3</t>
        </is>
      </c>
      <c r="E57" s="304" t="n">
        <v>1075.965917174729</v>
      </c>
      <c r="F57" s="359" t="n">
        <v>879323.5540782944</v>
      </c>
      <c r="G57" s="320" t="n">
        <v>0.2276609362764543</v>
      </c>
      <c r="H57" s="466" t="n">
        <v>3067.509596547069</v>
      </c>
    </row>
    <row r="58">
      <c r="B58" s="254" t="n">
        <v>6</v>
      </c>
      <c r="C58" s="254" t="inlineStr">
        <is>
          <t>premium_recovery+aftermarket</t>
        </is>
      </c>
      <c r="D58" s="254" t="inlineStr">
        <is>
          <t>FY2027Q4</t>
        </is>
      </c>
      <c r="E58" s="304" t="n">
        <v>983.0035943641881</v>
      </c>
      <c r="F58" s="359" t="n">
        <v>799313.1366006486</v>
      </c>
      <c r="G58" s="320" t="n">
        <v>0.2264475662642594</v>
      </c>
      <c r="H58" s="466" t="n">
        <v>3050.729139659057</v>
      </c>
    </row>
    <row r="59">
      <c r="B59" s="254" t="n">
        <v>7</v>
      </c>
      <c r="C59" s="254" t="inlineStr">
        <is>
          <t>market_allocation+premium_recovery+aftermarket</t>
        </is>
      </c>
      <c r="D59" s="254" t="inlineStr">
        <is>
          <t>FY2027Q1</t>
        </is>
      </c>
      <c r="E59" s="304" t="n">
        <v>967.0384173009616</v>
      </c>
      <c r="F59" s="359" t="n">
        <v>790507.6109902831</v>
      </c>
      <c r="G59" s="320" t="n">
        <v>0.2300120749139814</v>
      </c>
      <c r="H59" s="466" t="n">
        <v>3102.012654856646</v>
      </c>
    </row>
    <row r="60">
      <c r="B60" s="254" t="n">
        <v>7</v>
      </c>
      <c r="C60" s="254" t="inlineStr">
        <is>
          <t>market_allocation+premium_recovery+aftermarket</t>
        </is>
      </c>
      <c r="D60" s="254" t="inlineStr">
        <is>
          <t>FY2027Q2</t>
        </is>
      </c>
      <c r="E60" s="304" t="n">
        <v>925.7887883568802</v>
      </c>
      <c r="F60" s="359" t="n">
        <v>756205.3335666348</v>
      </c>
      <c r="G60" s="320" t="n">
        <v>0.2288604459983519</v>
      </c>
      <c r="H60" s="466" t="n">
        <v>3084.457226681676</v>
      </c>
    </row>
    <row r="61">
      <c r="B61" s="254" t="n">
        <v>7</v>
      </c>
      <c r="C61" s="254" t="inlineStr">
        <is>
          <t>market_allocation+premium_recovery+aftermarket</t>
        </is>
      </c>
      <c r="D61" s="254" t="inlineStr">
        <is>
          <t>FY2027Q3</t>
        </is>
      </c>
      <c r="E61" s="304" t="n">
        <v>1048.291787769522</v>
      </c>
      <c r="F61" s="359" t="n">
        <v>848941.7710796534</v>
      </c>
      <c r="G61" s="320" t="n">
        <v>0.2276609362764544</v>
      </c>
      <c r="H61" s="466" t="n">
        <v>3067.509596547073</v>
      </c>
    </row>
    <row r="62">
      <c r="B62" s="254" t="n">
        <v>7</v>
      </c>
      <c r="C62" s="254" t="inlineStr">
        <is>
          <t>market_allocation+premium_recovery+aftermarket</t>
        </is>
      </c>
      <c r="D62" s="254" t="inlineStr">
        <is>
          <t>FY2027Q4</t>
        </is>
      </c>
      <c r="E62" s="304" t="n">
        <v>978.5006003843397</v>
      </c>
      <c r="F62" s="359" t="n">
        <v>794355.6187982442</v>
      </c>
      <c r="G62" s="320" t="n">
        <v>0.2264475662642594</v>
      </c>
      <c r="H62" s="466" t="n">
        <v>3050.729139659056</v>
      </c>
    </row>
    <row r="63">
      <c r="B63" s="254" t="n">
        <v>8</v>
      </c>
      <c r="C63" s="254" t="inlineStr">
        <is>
          <t>fleet_mix</t>
        </is>
      </c>
      <c r="D63" s="254" t="inlineStr">
        <is>
          <t>FY2027Q1</t>
        </is>
      </c>
      <c r="E63" s="304" t="n">
        <v>1025.507486459717</v>
      </c>
      <c r="F63" s="359" t="n">
        <v>854111.0012595253</v>
      </c>
      <c r="G63" s="320" t="n">
        <v>0.2309161499901453</v>
      </c>
      <c r="H63" s="466" t="n">
        <v>3109.561956774737</v>
      </c>
    </row>
    <row r="64">
      <c r="B64" s="254" t="n">
        <v>8</v>
      </c>
      <c r="C64" s="254" t="inlineStr">
        <is>
          <t>fleet_mix</t>
        </is>
      </c>
      <c r="D64" s="254" t="inlineStr">
        <is>
          <t>FY2027Q2</t>
        </is>
      </c>
      <c r="E64" s="304" t="n">
        <v>986.4830605061766</v>
      </c>
      <c r="F64" s="359" t="n">
        <v>820545.7130904585</v>
      </c>
      <c r="G64" s="320" t="n">
        <v>0.2307648990700315</v>
      </c>
      <c r="H64" s="466" t="n">
        <v>3107.981665915742</v>
      </c>
    </row>
    <row r="65">
      <c r="B65" s="254" t="n">
        <v>8</v>
      </c>
      <c r="C65" s="254" t="inlineStr">
        <is>
          <t>fleet_mix</t>
        </is>
      </c>
      <c r="D65" s="254" t="inlineStr">
        <is>
          <t>FY2027Q3</t>
        </is>
      </c>
      <c r="E65" s="304" t="n">
        <v>1096.908899781877</v>
      </c>
      <c r="F65" s="359" t="n">
        <v>897827.2260926729</v>
      </c>
      <c r="G65" s="320" t="n">
        <v>0.2305897916177987</v>
      </c>
      <c r="H65" s="466" t="n">
        <v>3107.083953240975</v>
      </c>
    </row>
    <row r="66">
      <c r="B66" s="254" t="n">
        <v>8</v>
      </c>
      <c r="C66" s="254" t="inlineStr">
        <is>
          <t>fleet_mix</t>
        </is>
      </c>
      <c r="D66" s="254" t="inlineStr">
        <is>
          <t>FY2027Q4</t>
        </is>
      </c>
      <c r="E66" s="304" t="n">
        <v>1007.782576327108</v>
      </c>
      <c r="F66" s="359" t="n">
        <v>820458.3910493366</v>
      </c>
      <c r="G66" s="320" t="n">
        <v>0.2304178404853408</v>
      </c>
      <c r="H66" s="466" t="n">
        <v>3106.395211293683</v>
      </c>
    </row>
    <row r="67">
      <c r="B67" s="254" t="n">
        <v>9</v>
      </c>
      <c r="C67" s="254" t="inlineStr">
        <is>
          <t>market_allocation+fleet_mix</t>
        </is>
      </c>
      <c r="D67" s="254" t="inlineStr">
        <is>
          <t>FY2027Q1</t>
        </is>
      </c>
      <c r="E67" s="304" t="n">
        <v>972.4724921027863</v>
      </c>
      <c r="F67" s="359" t="n">
        <v>796226.6741950752</v>
      </c>
      <c r="G67" s="320" t="n">
        <v>0.2309161499901456</v>
      </c>
      <c r="H67" s="466" t="n">
        <v>3109.561956774737</v>
      </c>
    </row>
    <row r="68">
      <c r="B68" s="254" t="n">
        <v>9</v>
      </c>
      <c r="C68" s="254" t="inlineStr">
        <is>
          <t>market_allocation+fleet_mix</t>
        </is>
      </c>
      <c r="D68" s="254" t="inlineStr">
        <is>
          <t>FY2027Q2</t>
        </is>
      </c>
      <c r="E68" s="304" t="n">
        <v>937.9067575428124</v>
      </c>
      <c r="F68" s="359" t="n">
        <v>767502.3030969732</v>
      </c>
      <c r="G68" s="320" t="n">
        <v>0.2307648990700318</v>
      </c>
      <c r="H68" s="466" t="n">
        <v>3107.981665915748</v>
      </c>
    </row>
    <row r="69">
      <c r="B69" s="254" t="n">
        <v>9</v>
      </c>
      <c r="C69" s="254" t="inlineStr">
        <is>
          <t>market_allocation+fleet_mix</t>
        </is>
      </c>
      <c r="D69" s="254" t="inlineStr">
        <is>
          <t>FY2027Q3</t>
        </is>
      </c>
      <c r="E69" s="304" t="n">
        <v>1068.511162837713</v>
      </c>
      <c r="F69" s="359" t="n">
        <v>866806.1169379065</v>
      </c>
      <c r="G69" s="320" t="n">
        <v>0.2305897916177984</v>
      </c>
      <c r="H69" s="466" t="n">
        <v>3107.083953240977</v>
      </c>
    </row>
    <row r="70">
      <c r="B70" s="254" t="n">
        <v>9</v>
      </c>
      <c r="C70" s="254" t="inlineStr">
        <is>
          <t>market_allocation+fleet_mix</t>
        </is>
      </c>
      <c r="D70" s="254" t="inlineStr">
        <is>
          <t>FY2027Q4</t>
        </is>
      </c>
      <c r="E70" s="304" t="n">
        <v>1003.125897591459</v>
      </c>
      <c r="F70" s="359" t="n">
        <v>815369.7256771432</v>
      </c>
      <c r="G70" s="320" t="n">
        <v>0.2304178404853408</v>
      </c>
      <c r="H70" s="466" t="n">
        <v>3106.395211293683</v>
      </c>
    </row>
    <row r="71">
      <c r="B71" s="254" t="n">
        <v>10</v>
      </c>
      <c r="C71" s="254" t="inlineStr">
        <is>
          <t>premium_recovery+fleet_mix</t>
        </is>
      </c>
      <c r="D71" s="254" t="inlineStr">
        <is>
          <t>FY2027Q1</t>
        </is>
      </c>
      <c r="E71" s="304" t="n">
        <v>1021.575040369695</v>
      </c>
      <c r="F71" s="359" t="n">
        <v>849818.986177818</v>
      </c>
      <c r="G71" s="320" t="n">
        <v>0.231142625616621</v>
      </c>
      <c r="H71" s="466" t="n">
        <v>3109.561956774742</v>
      </c>
    </row>
    <row r="72">
      <c r="B72" s="254" t="n">
        <v>10</v>
      </c>
      <c r="C72" s="254" t="inlineStr">
        <is>
          <t>premium_recovery+fleet_mix</t>
        </is>
      </c>
      <c r="D72" s="254" t="inlineStr">
        <is>
          <t>FY2027Q2</t>
        </is>
      </c>
      <c r="E72" s="304" t="n">
        <v>980.8767700878014</v>
      </c>
      <c r="F72" s="359" t="n">
        <v>814423.8647186563</v>
      </c>
      <c r="G72" s="320" t="n">
        <v>0.2311034880750509</v>
      </c>
      <c r="H72" s="466" t="n">
        <v>3107.981665915745</v>
      </c>
    </row>
    <row r="73">
      <c r="B73" s="254" t="n">
        <v>10</v>
      </c>
      <c r="C73" s="254" t="inlineStr">
        <is>
          <t>premium_recovery+fleet_mix</t>
        </is>
      </c>
      <c r="D73" s="254" t="inlineStr">
        <is>
          <t>FY2027Q3</t>
        </is>
      </c>
      <c r="E73" s="304" t="n">
        <v>1089.791581412258</v>
      </c>
      <c r="F73" s="359" t="n">
        <v>890052.4125409003</v>
      </c>
      <c r="G73" s="320" t="n">
        <v>0.2309840305593108</v>
      </c>
      <c r="H73" s="466" t="n">
        <v>3107.083953240974</v>
      </c>
    </row>
    <row r="74">
      <c r="B74" s="254" t="n">
        <v>10</v>
      </c>
      <c r="C74" s="254" t="inlineStr">
        <is>
          <t>premium_recovery+fleet_mix</t>
        </is>
      </c>
      <c r="D74" s="254" t="inlineStr">
        <is>
          <t>FY2027Q4</t>
        </is>
      </c>
      <c r="E74" s="304" t="n">
        <v>1000.83433837414</v>
      </c>
      <c r="F74" s="359" t="n">
        <v>812865.5851298833</v>
      </c>
      <c r="G74" s="320" t="n">
        <v>0.2308397108684518</v>
      </c>
      <c r="H74" s="466" t="n">
        <v>3106.395211293685</v>
      </c>
    </row>
    <row r="75">
      <c r="B75" s="254" t="n">
        <v>11</v>
      </c>
      <c r="C75" s="254" t="inlineStr">
        <is>
          <t>market_allocation+premium_recovery+fleet_mix</t>
        </is>
      </c>
      <c r="D75" s="254" t="inlineStr">
        <is>
          <t>FY2027Q1</t>
        </is>
      </c>
      <c r="E75" s="304" t="n">
        <v>968.8065535220962</v>
      </c>
      <c r="F75" s="359" t="n">
        <v>792225.5351287683</v>
      </c>
      <c r="G75" s="320" t="n">
        <v>0.2311426256166211</v>
      </c>
      <c r="H75" s="466" t="n">
        <v>3109.561956774739</v>
      </c>
    </row>
    <row r="76">
      <c r="B76" s="254" t="n">
        <v>11</v>
      </c>
      <c r="C76" s="254" t="inlineStr">
        <is>
          <t>market_allocation+premium_recovery+fleet_mix</t>
        </is>
      </c>
      <c r="D76" s="254" t="inlineStr">
        <is>
          <t>FY2027Q2</t>
        </is>
      </c>
      <c r="E76" s="304" t="n">
        <v>932.6628805237893</v>
      </c>
      <c r="F76" s="359" t="n">
        <v>761776.1958861137</v>
      </c>
      <c r="G76" s="320" t="n">
        <v>0.2311034880750509</v>
      </c>
      <c r="H76" s="466" t="n">
        <v>3107.981665915745</v>
      </c>
    </row>
    <row r="77">
      <c r="B77" s="254" t="n">
        <v>11</v>
      </c>
      <c r="C77" s="254" t="inlineStr">
        <is>
          <t>market_allocation+premium_recovery+fleet_mix</t>
        </is>
      </c>
      <c r="D77" s="254" t="inlineStr">
        <is>
          <t>FY2027Q3</t>
        </is>
      </c>
      <c r="E77" s="304" t="n">
        <v>1061.639757159997</v>
      </c>
      <c r="F77" s="359" t="n">
        <v>859299.9333996139</v>
      </c>
      <c r="G77" s="320" t="n">
        <v>0.2309840305593108</v>
      </c>
      <c r="H77" s="466" t="n">
        <v>3107.083953240976</v>
      </c>
    </row>
    <row r="78">
      <c r="B78" s="254" t="n">
        <v>11</v>
      </c>
      <c r="C78" s="254" t="inlineStr">
        <is>
          <t>market_allocation+premium_recovery+fleet_mix</t>
        </is>
      </c>
      <c r="D78" s="254" t="inlineStr">
        <is>
          <t>FY2027Q4</t>
        </is>
      </c>
      <c r="E78" s="304" t="n">
        <v>996.2207541552331</v>
      </c>
      <c r="F78" s="359" t="n">
        <v>807824.0120282808</v>
      </c>
      <c r="G78" s="320" t="n">
        <v>0.2308397108684518</v>
      </c>
      <c r="H78" s="466" t="n">
        <v>3106.395211293685</v>
      </c>
    </row>
    <row r="79">
      <c r="B79" s="254" t="n">
        <v>12</v>
      </c>
      <c r="C79" s="254" t="inlineStr">
        <is>
          <t>aftermarket+fleet_mix</t>
        </is>
      </c>
      <c r="D79" s="254" t="inlineStr">
        <is>
          <t>FY2027Q1</t>
        </is>
      </c>
      <c r="E79" s="304" t="n">
        <v>1019.756447743504</v>
      </c>
      <c r="F79" s="359" t="n">
        <v>849735.7418255534</v>
      </c>
      <c r="G79" s="320" t="n">
        <v>0.2297329148627688</v>
      </c>
      <c r="H79" s="466" t="n">
        <v>3094.494833579958</v>
      </c>
    </row>
    <row r="80">
      <c r="B80" s="254" t="n">
        <v>12</v>
      </c>
      <c r="C80" s="254" t="inlineStr">
        <is>
          <t>aftermarket+fleet_mix</t>
        </is>
      </c>
      <c r="D80" s="254" t="inlineStr">
        <is>
          <t>FY2027Q2</t>
        </is>
      </c>
      <c r="E80" s="304" t="n">
        <v>975.4231429609433</v>
      </c>
      <c r="F80" s="359" t="n">
        <v>812141.6884811353</v>
      </c>
      <c r="G80" s="320" t="n">
        <v>0.2284003761465528</v>
      </c>
      <c r="H80" s="466" t="n">
        <v>3077.82238369579</v>
      </c>
    </row>
    <row r="81">
      <c r="B81" s="254" t="n">
        <v>12</v>
      </c>
      <c r="C81" s="254" t="inlineStr">
        <is>
          <t>aftermarket+fleet_mix</t>
        </is>
      </c>
      <c r="D81" s="254" t="inlineStr">
        <is>
          <t>FY2027Q3</t>
        </is>
      </c>
      <c r="E81" s="304" t="n">
        <v>1078.761473144321</v>
      </c>
      <c r="F81" s="359" t="n">
        <v>884045.99239547</v>
      </c>
      <c r="G81" s="320" t="n">
        <v>0.2270485580569535</v>
      </c>
      <c r="H81" s="466" t="n">
        <v>3061.798511058403</v>
      </c>
    </row>
    <row r="82">
      <c r="B82" s="254" t="n">
        <v>12</v>
      </c>
      <c r="C82" s="254" t="inlineStr">
        <is>
          <t>aftermarket+fleet_mix</t>
        </is>
      </c>
      <c r="D82" s="254" t="inlineStr">
        <is>
          <t>FY2027Q4</t>
        </is>
      </c>
      <c r="E82" s="304" t="n">
        <v>985.7073896675735</v>
      </c>
      <c r="F82" s="359" t="n">
        <v>803684.5759313126</v>
      </c>
      <c r="G82" s="320" t="n">
        <v>0.2257045450764831</v>
      </c>
      <c r="H82" s="466" t="n">
        <v>3045.949453154524</v>
      </c>
    </row>
    <row r="83">
      <c r="B83" s="254" t="n">
        <v>13</v>
      </c>
      <c r="C83" s="254" t="inlineStr">
        <is>
          <t>market_allocation+aftermarket+fleet_mix</t>
        </is>
      </c>
      <c r="D83" s="254" t="inlineStr">
        <is>
          <t>FY2027Q1</t>
        </is>
      </c>
      <c r="E83" s="304" t="n">
        <v>967.1112095254349</v>
      </c>
      <c r="F83" s="359" t="n">
        <v>792147.9323656006</v>
      </c>
      <c r="G83" s="320" t="n">
        <v>0.2297329148627689</v>
      </c>
      <c r="H83" s="466" t="n">
        <v>3094.494833579958</v>
      </c>
    </row>
    <row r="84">
      <c r="B84" s="254" t="n">
        <v>13</v>
      </c>
      <c r="C84" s="254" t="inlineStr">
        <is>
          <t>market_allocation+aftermarket+fleet_mix</t>
        </is>
      </c>
      <c r="D84" s="254" t="inlineStr">
        <is>
          <t>FY2027Q2</t>
        </is>
      </c>
      <c r="E84" s="304" t="n">
        <v>927.5617980206206</v>
      </c>
      <c r="F84" s="359" t="n">
        <v>759641.5487964673</v>
      </c>
      <c r="G84" s="320" t="n">
        <v>0.2284003761465531</v>
      </c>
      <c r="H84" s="466" t="n">
        <v>3077.822383695789</v>
      </c>
    </row>
    <row r="85">
      <c r="B85" s="254" t="n">
        <v>13</v>
      </c>
      <c r="C85" s="254" t="inlineStr">
        <is>
          <t>market_allocation+aftermarket+fleet_mix</t>
        </is>
      </c>
      <c r="D85" s="254" t="inlineStr">
        <is>
          <t>FY2027Q3</t>
        </is>
      </c>
      <c r="E85" s="304" t="n">
        <v>1050.990753610902</v>
      </c>
      <c r="F85" s="359" t="n">
        <v>853501.0429542696</v>
      </c>
      <c r="G85" s="320" t="n">
        <v>0.2270485580569532</v>
      </c>
      <c r="H85" s="466" t="n">
        <v>3061.798511058405</v>
      </c>
    </row>
    <row r="86">
      <c r="B86" s="254" t="n">
        <v>13</v>
      </c>
      <c r="C86" s="254" t="inlineStr">
        <is>
          <t>market_allocation+aftermarket+fleet_mix</t>
        </is>
      </c>
      <c r="D86" s="254" t="inlineStr">
        <is>
          <t>FY2027Q4</t>
        </is>
      </c>
      <c r="E86" s="304" t="n">
        <v>981.1876261480581</v>
      </c>
      <c r="F86" s="359" t="n">
        <v>798699.9454901796</v>
      </c>
      <c r="G86" s="320" t="n">
        <v>0.2257045450764831</v>
      </c>
      <c r="H86" s="466" t="n">
        <v>3045.949453154524</v>
      </c>
    </row>
    <row r="87">
      <c r="B87" s="254" t="n">
        <v>14</v>
      </c>
      <c r="C87" s="254" t="inlineStr">
        <is>
          <t>premium_recovery+aftermarket+fleet_mix</t>
        </is>
      </c>
      <c r="D87" s="254" t="inlineStr">
        <is>
          <t>FY2027Q1</t>
        </is>
      </c>
      <c r="E87" s="304" t="n">
        <v>1015.852901345523</v>
      </c>
      <c r="F87" s="359" t="n">
        <v>845465.7129721582</v>
      </c>
      <c r="G87" s="320" t="n">
        <v>0.2299585769955041</v>
      </c>
      <c r="H87" s="466" t="n">
        <v>3094.49483357996</v>
      </c>
    </row>
    <row r="88">
      <c r="B88" s="254" t="n">
        <v>14</v>
      </c>
      <c r="C88" s="254" t="inlineStr">
        <is>
          <t>premium_recovery+aftermarket+fleet_mix</t>
        </is>
      </c>
      <c r="D88" s="254" t="inlineStr">
        <is>
          <t>FY2027Q2</t>
        </is>
      </c>
      <c r="E88" s="304" t="n">
        <v>969.8993673094324</v>
      </c>
      <c r="F88" s="359" t="n">
        <v>806082.5400461577</v>
      </c>
      <c r="G88" s="320" t="n">
        <v>0.2287365274412941</v>
      </c>
      <c r="H88" s="466" t="n">
        <v>3077.82238369579</v>
      </c>
    </row>
    <row r="89">
      <c r="B89" s="254" t="n">
        <v>14</v>
      </c>
      <c r="C89" s="254" t="inlineStr">
        <is>
          <t>premium_recovery+aftermarket+fleet_mix</t>
        </is>
      </c>
      <c r="D89" s="254" t="inlineStr">
        <is>
          <t>FY2027Q3</t>
        </is>
      </c>
      <c r="E89" s="304" t="n">
        <v>1071.801304006148</v>
      </c>
      <c r="F89" s="359" t="n">
        <v>876390.5186447143</v>
      </c>
      <c r="G89" s="320" t="n">
        <v>0.2274385322574677</v>
      </c>
      <c r="H89" s="466" t="n">
        <v>3061.798511058397</v>
      </c>
    </row>
    <row r="90">
      <c r="B90" s="254" t="n">
        <v>14</v>
      </c>
      <c r="C90" s="254" t="inlineStr">
        <is>
          <t>premium_recovery+aftermarket+fleet_mix</t>
        </is>
      </c>
      <c r="D90" s="254" t="inlineStr">
        <is>
          <t>FY2027Q4</t>
        </is>
      </c>
      <c r="E90" s="304" t="n">
        <v>978.9634431323916</v>
      </c>
      <c r="F90" s="359" t="n">
        <v>796247.0007025434</v>
      </c>
      <c r="G90" s="320" t="n">
        <v>0.2261203214707115</v>
      </c>
      <c r="H90" s="466" t="n">
        <v>3045.949453154521</v>
      </c>
    </row>
    <row r="91">
      <c r="B91" s="254" t="n">
        <v>15</v>
      </c>
      <c r="C91" s="254" t="inlineStr">
        <is>
          <t>market_allocation+premium_recovery+aftermarket+fleet_mix</t>
        </is>
      </c>
      <c r="D91" s="254" t="inlineStr">
        <is>
          <t>FY2027Q1</t>
        </is>
      </c>
      <c r="E91" s="304" t="n">
        <v>963.4722120632231</v>
      </c>
      <c r="F91" s="359" t="n">
        <v>788167.2894893914</v>
      </c>
      <c r="G91" s="320" t="n">
        <v>0.2299585769955042</v>
      </c>
      <c r="H91" s="466" t="n">
        <v>3094.494833579958</v>
      </c>
    </row>
    <row r="92">
      <c r="B92" s="254" t="n">
        <v>15</v>
      </c>
      <c r="C92" s="254" t="inlineStr">
        <is>
          <t>market_allocation+premium_recovery+aftermarket+fleet_mix</t>
        </is>
      </c>
      <c r="D92" s="254" t="inlineStr">
        <is>
          <t>FY2027Q2</t>
        </is>
      </c>
      <c r="E92" s="304" t="n">
        <v>922.39510167855</v>
      </c>
      <c r="F92" s="359" t="n">
        <v>753974.0883436708</v>
      </c>
      <c r="G92" s="320" t="n">
        <v>0.2287365274412941</v>
      </c>
      <c r="H92" s="466" t="n">
        <v>3077.82238369579</v>
      </c>
    </row>
    <row r="93">
      <c r="B93" s="254" t="n">
        <v>15</v>
      </c>
      <c r="C93" s="254" t="inlineStr">
        <is>
          <t>market_allocation+premium_recovery+aftermarket+fleet_mix</t>
        </is>
      </c>
      <c r="D93" s="254" t="inlineStr">
        <is>
          <t>FY2027Q3</t>
        </is>
      </c>
      <c r="E93" s="304" t="n">
        <v>1044.271067452411</v>
      </c>
      <c r="F93" s="359" t="n">
        <v>846110.0758702225</v>
      </c>
      <c r="G93" s="320" t="n">
        <v>0.2274385322574679</v>
      </c>
      <c r="H93" s="466" t="n">
        <v>3061.7985110584</v>
      </c>
    </row>
    <row r="94">
      <c r="B94" s="254" t="n">
        <v>15</v>
      </c>
      <c r="C94" s="254" t="inlineStr">
        <is>
          <t>market_allocation+premium_recovery+aftermarket+fleet_mix</t>
        </is>
      </c>
      <c r="D94" s="254" t="inlineStr">
        <is>
          <t>FY2027Q4</t>
        </is>
      </c>
      <c r="E94" s="304" t="n">
        <v>974.4855070688204</v>
      </c>
      <c r="F94" s="359" t="n">
        <v>791308.4997567419</v>
      </c>
      <c r="G94" s="320" t="n">
        <v>0.2261203214707115</v>
      </c>
      <c r="H94" s="466" t="n">
        <v>3045.94945315452</v>
      </c>
    </row>
    <row r="96">
      <c r="B96" s="249" t="inlineStr">
        <is>
          <t>CCC family scenario summary (29 Sep): reference $4,093.08m; larger shift $4,002.41m</t>
        </is>
      </c>
    </row>
    <row r="97">
      <c r="B97" s="357" t="inlineStr">
        <is>
          <t>scenario</t>
        </is>
      </c>
      <c r="C97" s="358" t="inlineStr">
        <is>
          <t>repair_change</t>
        </is>
      </c>
      <c r="D97" s="358" t="inlineStr">
        <is>
          <t>auction_price_change_at_fixed_selection</t>
        </is>
      </c>
      <c r="E97" s="358" t="inlineStr">
        <is>
          <t>expected_salvage_change</t>
        </is>
      </c>
      <c r="F97" s="358" t="inlineStr">
        <is>
          <t>FY_insurance_unit_delta</t>
        </is>
      </c>
      <c r="G97" s="358" t="inlineStr">
        <is>
          <t>FY_insurance_allin_RPU_delta</t>
        </is>
      </c>
      <c r="H97" s="358" t="inlineStr">
        <is>
          <t>FY_legacy_service_musd</t>
        </is>
      </c>
      <c r="I97" s="358" t="inlineStr">
        <is>
          <t>FY_delta_vs_reference_musd</t>
        </is>
      </c>
      <c r="J97" s="358" t="inlineStr">
        <is>
          <t>FY_delta_vs_reference_pct</t>
        </is>
      </c>
      <c r="K97" s="358" t="inlineStr">
        <is>
          <t>FY_gap_to_dated_JPM_service_musd</t>
        </is>
      </c>
      <c r="L97" s="358" t="inlineStr">
        <is>
          <t>FY_gap_to_dated_JPM_service_pct</t>
        </is>
      </c>
      <c r="M97" s="358" t="inlineStr">
        <is>
          <t>H1_delta_vs_reference_musd</t>
        </is>
      </c>
      <c r="N97" s="358" t="inlineStr">
        <is>
          <t>threshold_responsive_fraction</t>
        </is>
      </c>
      <c r="O97" s="358" t="inlineStr">
        <is>
          <t>status</t>
        </is>
      </c>
    </row>
    <row r="98">
      <c r="B98" s="254" t="inlineStr">
        <is>
          <t>ccc_reference</t>
        </is>
      </c>
      <c r="C98" s="251" t="n">
        <v>0</v>
      </c>
      <c r="D98" s="251" t="n">
        <v>-1.862645149230957e-10</v>
      </c>
      <c r="E98" s="251" t="n">
        <v>-1.862645149230957e-10</v>
      </c>
      <c r="F98" s="251" t="n">
        <v>-7.963352199880092e-11</v>
      </c>
      <c r="G98" s="251" t="n">
        <v>-2.592814851709591e-11</v>
      </c>
      <c r="H98" s="251" t="n">
        <v>4093.077729918438</v>
      </c>
      <c r="I98" s="251" t="n">
        <v>-3.254567673138808e-07</v>
      </c>
      <c r="J98" s="251" t="n">
        <v>-7.951395097904879e-11</v>
      </c>
      <c r="K98" s="251" t="n">
        <v>32.07772991843831</v>
      </c>
      <c r="L98" s="251" t="n">
        <v>0.007898973139236265</v>
      </c>
      <c r="M98" s="251" t="n">
        <v>-1.609392938917154e-07</v>
      </c>
      <c r="N98" s="251" t="n">
        <v>1</v>
      </c>
      <c r="O98" s="254" t="inlineStr">
        <is>
          <t>Conditional scenario; not an empirically identified forecast</t>
        </is>
      </c>
    </row>
    <row r="99">
      <c r="B99" s="254" t="inlineStr">
        <is>
          <t>ccc_small_shift</t>
        </is>
      </c>
      <c r="C99" s="251" t="n">
        <v>-0.005029940119760479</v>
      </c>
      <c r="D99" s="251" t="n">
        <v>-0.00431330930441618</v>
      </c>
      <c r="E99" s="251" t="n">
        <v>-0.00431330930441618</v>
      </c>
      <c r="F99" s="251" t="n">
        <v>-0.008361894661812364</v>
      </c>
      <c r="G99" s="251" t="n">
        <v>-0.002569282275936224</v>
      </c>
      <c r="H99" s="251" t="n">
        <v>4059.442017568457</v>
      </c>
      <c r="I99" s="251" t="n">
        <v>-33.63571267543784</v>
      </c>
      <c r="J99" s="251" t="n">
        <v>-0.008217706794792168</v>
      </c>
      <c r="K99" s="251" t="n">
        <v>-1.557982431542769</v>
      </c>
      <c r="L99" s="251" t="n">
        <v>-0.000383645021310719</v>
      </c>
      <c r="M99" s="251" t="n">
        <v>-16.63247359750176</v>
      </c>
      <c r="N99" s="251" t="n">
        <v>1</v>
      </c>
      <c r="O99" s="254" t="inlineStr">
        <is>
          <t>Conditional scenario; not an empirically identified forecast</t>
        </is>
      </c>
    </row>
    <row r="100">
      <c r="B100" s="254" t="inlineStr">
        <is>
          <t>ccc_larger_shift</t>
        </is>
      </c>
      <c r="C100" s="251" t="n">
        <v>-0.01029940119760475</v>
      </c>
      <c r="D100" s="251" t="n">
        <v>-0.01682927366346121</v>
      </c>
      <c r="E100" s="251" t="n">
        <v>-0.01682927366346121</v>
      </c>
      <c r="F100" s="251" t="n">
        <v>-0.02045464153553811</v>
      </c>
      <c r="G100" s="251" t="n">
        <v>-0.009138782559093506</v>
      </c>
      <c r="H100" s="251" t="n">
        <v>4002.414465896287</v>
      </c>
      <c r="I100" s="251" t="n">
        <v>-90.66326434760822</v>
      </c>
      <c r="J100" s="251" t="n">
        <v>-0.02215038910150524</v>
      </c>
      <c r="K100" s="251" t="n">
        <v>-58.58553410371314</v>
      </c>
      <c r="L100" s="251" t="n">
        <v>-0.01442638121243855</v>
      </c>
      <c r="M100" s="251" t="n">
        <v>-44.82998956878635</v>
      </c>
      <c r="N100" s="251" t="n">
        <v>1</v>
      </c>
      <c r="O100" s="254" t="inlineStr">
        <is>
          <t>Conditional scenario; not an empirically identified forecast</t>
        </is>
      </c>
    </row>
    <row r="101">
      <c r="B101" s="254" t="inlineStr">
        <is>
          <t>ccc_large_stress</t>
        </is>
      </c>
      <c r="C101" s="251" t="n">
        <v>-0.01556886227544903</v>
      </c>
      <c r="D101" s="251" t="n">
        <v>-0.0294586380943656</v>
      </c>
      <c r="E101" s="251" t="n">
        <v>-0.0294586380943656</v>
      </c>
      <c r="F101" s="251" t="n">
        <v>-0.0324965962072159</v>
      </c>
      <c r="G101" s="251" t="n">
        <v>-0.01540528688603848</v>
      </c>
      <c r="H101" s="251" t="n">
        <v>3946.934726452539</v>
      </c>
      <c r="I101" s="251" t="n">
        <v>-146.143003791356</v>
      </c>
      <c r="J101" s="251" t="n">
        <v>-0.0357049177716563</v>
      </c>
      <c r="K101" s="251" t="n">
        <v>-114.0652735474609</v>
      </c>
      <c r="L101" s="251" t="n">
        <v>-0.0280879767415565</v>
      </c>
      <c r="M101" s="251" t="n">
        <v>-72.26596372908284</v>
      </c>
      <c r="N101" s="251" t="n">
        <v>1</v>
      </c>
      <c r="O101" s="254" t="inlineStr">
        <is>
          <t>Conditional scenario; not an empirically identified forecast</t>
        </is>
      </c>
    </row>
    <row r="102">
      <c r="B102" s="254" t="inlineStr">
        <is>
          <t>ccc_larger_half_switching</t>
        </is>
      </c>
      <c r="C102" s="251" t="n">
        <v>-0.01029940119760475</v>
      </c>
      <c r="D102" s="251" t="n">
        <v>-0.01973368208855391</v>
      </c>
      <c r="E102" s="251" t="n">
        <v>-0.01973368208855391</v>
      </c>
      <c r="F102" s="251" t="n">
        <v>-0.01083273698875686</v>
      </c>
      <c r="G102" s="251" t="n">
        <v>-0.00970412694382583</v>
      </c>
      <c r="H102" s="251" t="n">
        <v>4030.08455520966</v>
      </c>
      <c r="I102" s="251" t="n">
        <v>-62.99317503423526</v>
      </c>
      <c r="J102" s="251" t="n">
        <v>-0.01539017316206248</v>
      </c>
      <c r="K102" s="251" t="n">
        <v>-30.91544479034019</v>
      </c>
      <c r="L102" s="251" t="n">
        <v>-0.00761276650833298</v>
      </c>
      <c r="M102" s="251" t="n">
        <v>-31.14559996592618</v>
      </c>
      <c r="N102" s="251" t="n">
        <v>0.5</v>
      </c>
      <c r="O102" s="254" t="inlineStr">
        <is>
          <t>Conditional scenario; not an empirically identified forecast</t>
        </is>
      </c>
    </row>
    <row r="104">
      <c r="B104" s="249" t="inlineStr">
        <is>
          <t>CCC family quarterly results (first 12 columns)</t>
        </is>
      </c>
    </row>
    <row r="105">
      <c r="B105" s="357" t="inlineStr">
        <is>
          <t>scenario</t>
        </is>
      </c>
      <c r="C105" s="358" t="inlineStr">
        <is>
          <t>period</t>
        </is>
      </c>
      <c r="D105" s="358" t="inlineStr">
        <is>
          <t>legacy_service_musd</t>
        </is>
      </c>
      <c r="E105" s="358" t="inlineStr">
        <is>
          <t>legacy_total_musd</t>
        </is>
      </c>
      <c r="F105" s="358" t="inlineStr">
        <is>
          <t>insurance_units</t>
        </is>
      </c>
      <c r="G105" s="358" t="inlineStr">
        <is>
          <t>insurance_unit_delta_vs_reference</t>
        </is>
      </c>
      <c r="H105" s="358" t="inlineStr">
        <is>
          <t>insurance_units_yoy</t>
        </is>
      </c>
      <c r="I105" s="358" t="inlineStr">
        <is>
          <t>insurance_allin_RPU</t>
        </is>
      </c>
      <c r="J105" s="358" t="inlineStr">
        <is>
          <t>insurance_RPU_delta_vs_reference</t>
        </is>
      </c>
      <c r="K105" s="358" t="inlineStr">
        <is>
          <t>insurance_RPU_yoy</t>
        </is>
      </c>
      <c r="L105" s="358" t="inlineStr">
        <is>
          <t>selected_ASP_delta_vs_reference</t>
        </is>
      </c>
      <c r="M105" s="358" t="inlineStr">
        <is>
          <t>delta_service_vs_reference_musd</t>
        </is>
      </c>
    </row>
    <row r="106">
      <c r="B106" s="254" t="inlineStr">
        <is>
          <t>ccc_reference</t>
        </is>
      </c>
      <c r="C106" s="254" t="inlineStr">
        <is>
          <t>FY2027Q1</t>
        </is>
      </c>
      <c r="D106" s="251" t="n">
        <v>1021.575040287509</v>
      </c>
      <c r="E106" s="251" t="n">
        <v>1184.760040287509</v>
      </c>
      <c r="F106" s="251" t="n">
        <v>849818.9861101465</v>
      </c>
      <c r="G106" s="251" t="n">
        <v>-7.963052439663443e-11</v>
      </c>
      <c r="H106" s="251" t="n">
        <v>-0.00295417935910014</v>
      </c>
      <c r="I106" s="251" t="n">
        <v>916.2237352523046</v>
      </c>
      <c r="J106" s="251" t="n">
        <v>-2.592337455809002e-11</v>
      </c>
      <c r="K106" s="251" t="n">
        <v>0.01422209465893265</v>
      </c>
      <c r="L106" s="251" t="n">
        <v>-1.928885939861402e-10</v>
      </c>
      <c r="M106" s="251" t="n">
        <v>-8.218682978622383e-08</v>
      </c>
    </row>
    <row r="107">
      <c r="B107" s="254" t="inlineStr">
        <is>
          <t>ccc_reference</t>
        </is>
      </c>
      <c r="C107" s="254" t="inlineStr">
        <is>
          <t>FY2027Q2</t>
        </is>
      </c>
      <c r="D107" s="251" t="n">
        <v>980.876770009049</v>
      </c>
      <c r="E107" s="251" t="n">
        <v>1150.499770009049</v>
      </c>
      <c r="F107" s="251" t="n">
        <v>814423.8646537777</v>
      </c>
      <c r="G107" s="251" t="n">
        <v>-7.966194370823132e-11</v>
      </c>
      <c r="H107" s="251" t="n">
        <v>-0.002939853448574503</v>
      </c>
      <c r="I107" s="251" t="n">
        <v>915.7839393823263</v>
      </c>
      <c r="J107" s="251" t="n">
        <v>-2.592759340558359e-11</v>
      </c>
      <c r="K107" s="251" t="n">
        <v>0.01425738325862946</v>
      </c>
      <c r="L107" s="251" t="n">
        <v>-1.928990300825717e-10</v>
      </c>
      <c r="M107" s="251" t="n">
        <v>-7.875246410549153e-08</v>
      </c>
    </row>
    <row r="108">
      <c r="B108" s="254" t="inlineStr">
        <is>
          <t>ccc_reference</t>
        </is>
      </c>
      <c r="C108" s="254" t="inlineStr">
        <is>
          <t>FY2027Q3</t>
        </is>
      </c>
      <c r="D108" s="251" t="n">
        <v>1089.791581326242</v>
      </c>
      <c r="E108" s="251" t="n">
        <v>1270.777581326241</v>
      </c>
      <c r="F108" s="251" t="n">
        <v>890052.4124700167</v>
      </c>
      <c r="G108" s="251" t="n">
        <v>-7.963973924773882e-11</v>
      </c>
      <c r="H108" s="251" t="n">
        <v>-0.00332927181182463</v>
      </c>
      <c r="I108" s="251" t="n">
        <v>915.4326752712417</v>
      </c>
      <c r="J108" s="251" t="n">
        <v>-2.593036896314516e-11</v>
      </c>
      <c r="K108" s="251" t="n">
        <v>0.01437759470856803</v>
      </c>
      <c r="L108" s="251" t="n">
        <v>-1.928925907890289e-10</v>
      </c>
      <c r="M108" s="251" t="n">
        <v>-8.601682566222735e-08</v>
      </c>
    </row>
    <row r="109">
      <c r="B109" s="254" t="inlineStr">
        <is>
          <t>ccc_reference</t>
        </is>
      </c>
      <c r="C109" s="254" t="inlineStr">
        <is>
          <t>FY2027Q4</t>
        </is>
      </c>
      <c r="D109" s="251" t="n">
        <v>1000.834338295639</v>
      </c>
      <c r="E109" s="251" t="n">
        <v>1183.729338295639</v>
      </c>
      <c r="F109" s="251" t="n">
        <v>812865.5850651779</v>
      </c>
      <c r="G109" s="251" t="n">
        <v>-7.960154757569171e-11</v>
      </c>
      <c r="H109" s="251" t="n">
        <v>-0.003843581707627775</v>
      </c>
      <c r="I109" s="251" t="n">
        <v>915.1080676230164</v>
      </c>
      <c r="J109" s="251" t="n">
        <v>-2.593003589623777e-11</v>
      </c>
      <c r="K109" s="251" t="n">
        <v>0.01452390543132243</v>
      </c>
      <c r="L109" s="251" t="n">
        <v>-1.928817106033875e-10</v>
      </c>
      <c r="M109" s="251" t="n">
        <v>-7.850076144677587e-08</v>
      </c>
    </row>
    <row r="110">
      <c r="B110" s="254" t="inlineStr">
        <is>
          <t>ccc_small_shift</t>
        </is>
      </c>
      <c r="C110" s="254" t="inlineStr">
        <is>
          <t>FY2027Q1</t>
        </is>
      </c>
      <c r="D110" s="251" t="n">
        <v>1013.082328069004</v>
      </c>
      <c r="E110" s="251" t="n">
        <v>1176.267328069004</v>
      </c>
      <c r="F110" s="251" t="n">
        <v>842711.4672222148</v>
      </c>
      <c r="G110" s="251" t="n">
        <v>-0.008363568090623996</v>
      </c>
      <c r="H110" s="251" t="n">
        <v>-0.01129303989077113</v>
      </c>
      <c r="I110" s="251" t="n">
        <v>913.8734234413637</v>
      </c>
      <c r="J110" s="251" t="n">
        <v>-0.002565216053897923</v>
      </c>
      <c r="K110" s="251" t="n">
        <v>0.01162039588572017</v>
      </c>
      <c r="L110" s="251" t="n">
        <v>-0.005472734966226023</v>
      </c>
      <c r="M110" s="251" t="n">
        <v>-8.492712300691664</v>
      </c>
    </row>
    <row r="111">
      <c r="B111" s="254" t="inlineStr">
        <is>
          <t>ccc_small_shift</t>
        </is>
      </c>
      <c r="C111" s="254" t="inlineStr">
        <is>
          <t>FY2027Q2</t>
        </is>
      </c>
      <c r="D111" s="251" t="n">
        <v>972.7370087909914</v>
      </c>
      <c r="E111" s="251" t="n">
        <v>1142.360008790991</v>
      </c>
      <c r="F111" s="251" t="n">
        <v>807610.9068535336</v>
      </c>
      <c r="G111" s="251" t="n">
        <v>-0.008365371104978925</v>
      </c>
      <c r="H111" s="251" t="n">
        <v>-0.01128063150969849</v>
      </c>
      <c r="I111" s="251" t="n">
        <v>913.4306231148315</v>
      </c>
      <c r="J111" s="251" t="n">
        <v>-0.00256972872090877</v>
      </c>
      <c r="K111" s="251" t="n">
        <v>0.01165101695670545</v>
      </c>
      <c r="L111" s="251" t="n">
        <v>-0.005476173937458251</v>
      </c>
      <c r="M111" s="251" t="n">
        <v>-8.139761296810093</v>
      </c>
    </row>
    <row r="112">
      <c r="B112" s="254" t="inlineStr">
        <is>
          <t>ccc_small_shift</t>
        </is>
      </c>
      <c r="C112" s="254" t="inlineStr">
        <is>
          <t>FY2027Q3</t>
        </is>
      </c>
      <c r="D112" s="251" t="n">
        <v>1080.901204485076</v>
      </c>
      <c r="E112" s="251" t="n">
        <v>1261.887204485076</v>
      </c>
      <c r="F112" s="251" t="n">
        <v>882609.91938966</v>
      </c>
      <c r="G112" s="251" t="n">
        <v>-0.008361859421282425</v>
      </c>
      <c r="H112" s="251" t="n">
        <v>-0.01166329225153051</v>
      </c>
      <c r="I112" s="251" t="n">
        <v>913.0791151714828</v>
      </c>
      <c r="J112" s="251" t="n">
        <v>-0.002570981118560023</v>
      </c>
      <c r="K112" s="251" t="n">
        <v>0.0117696490917174</v>
      </c>
      <c r="L112" s="251" t="n">
        <v>-0.005477849887792097</v>
      </c>
      <c r="M112" s="251" t="n">
        <v>-8.890376927182388</v>
      </c>
    </row>
    <row r="113">
      <c r="B113" s="254" t="inlineStr">
        <is>
          <t>ccc_small_shift</t>
        </is>
      </c>
      <c r="C113" s="254" t="inlineStr">
        <is>
          <t>FY2027Q4</t>
        </is>
      </c>
      <c r="D113" s="251" t="n">
        <v>992.7214762233862</v>
      </c>
      <c r="E113" s="251" t="n">
        <v>1175.616476223386</v>
      </c>
      <c r="F113" s="251" t="n">
        <v>806072.7107767507</v>
      </c>
      <c r="G113" s="251" t="n">
        <v>-0.008356700637101255</v>
      </c>
      <c r="H113" s="251" t="n">
        <v>-0.01216816260439113</v>
      </c>
      <c r="I113" s="251" t="n">
        <v>912.7551185860287</v>
      </c>
      <c r="J113" s="251" t="n">
        <v>-0.0025712253491188</v>
      </c>
      <c r="K113" s="251" t="n">
        <v>0.01191533587462934</v>
      </c>
      <c r="L113" s="251" t="n">
        <v>-0.005478982256570952</v>
      </c>
      <c r="M113" s="251" t="n">
        <v>-8.112862150753699</v>
      </c>
    </row>
    <row r="114">
      <c r="B114" s="254" t="inlineStr">
        <is>
          <t>ccc_larger_shift</t>
        </is>
      </c>
      <c r="C114" s="254" t="inlineStr">
        <is>
          <t>FY2027Q1</t>
        </is>
      </c>
      <c r="D114" s="251" t="n">
        <v>998.684833803279</v>
      </c>
      <c r="E114" s="251" t="n">
        <v>1161.869833803279</v>
      </c>
      <c r="F114" s="251" t="n">
        <v>832433.4591683946</v>
      </c>
      <c r="G114" s="251" t="n">
        <v>-0.02045791785332707</v>
      </c>
      <c r="H114" s="251" t="n">
        <v>-0.0233516607760037</v>
      </c>
      <c r="I114" s="251" t="n">
        <v>907.8612962205021</v>
      </c>
      <c r="J114" s="251" t="n">
        <v>-0.009127070969226048</v>
      </c>
      <c r="K114" s="251" t="n">
        <v>0.004965217648475573</v>
      </c>
      <c r="L114" s="251" t="n">
        <v>-0.01944194306907765</v>
      </c>
      <c r="M114" s="251" t="n">
        <v>-22.8902065664164</v>
      </c>
    </row>
    <row r="115">
      <c r="B115" s="254" t="inlineStr">
        <is>
          <t>ccc_larger_shift</t>
        </is>
      </c>
      <c r="C115" s="254" t="inlineStr">
        <is>
          <t>FY2027Q2</t>
        </is>
      </c>
      <c r="D115" s="251" t="n">
        <v>958.9369870854315</v>
      </c>
      <c r="E115" s="251" t="n">
        <v>1128.559987085431</v>
      </c>
      <c r="F115" s="251" t="n">
        <v>797758.405220761</v>
      </c>
      <c r="G115" s="251" t="n">
        <v>-0.02046288206897329</v>
      </c>
      <c r="H115" s="251" t="n">
        <v>-0.02334257756532709</v>
      </c>
      <c r="I115" s="251" t="n">
        <v>907.4132061017597</v>
      </c>
      <c r="J115" s="251" t="n">
        <v>-0.009140511144735131</v>
      </c>
      <c r="K115" s="251" t="n">
        <v>0.004986552369380837</v>
      </c>
      <c r="L115" s="251" t="n">
        <v>-0.01944935603033371</v>
      </c>
      <c r="M115" s="251" t="n">
        <v>-21.93978300236995</v>
      </c>
    </row>
    <row r="116">
      <c r="B116" s="254" t="inlineStr">
        <is>
          <t>ccc_larger_shift</t>
        </is>
      </c>
      <c r="C116" s="254" t="inlineStr">
        <is>
          <t>FY2027Q3</t>
        </is>
      </c>
      <c r="D116" s="251" t="n">
        <v>1065.827544780329</v>
      </c>
      <c r="E116" s="251" t="n">
        <v>1246.813544780329</v>
      </c>
      <c r="F116" s="251" t="n">
        <v>871846.5395196392</v>
      </c>
      <c r="G116" s="251" t="n">
        <v>-0.02045483250732094</v>
      </c>
      <c r="H116" s="251" t="n">
        <v>-0.02371600454411238</v>
      </c>
      <c r="I116" s="251" t="n">
        <v>907.062182031318</v>
      </c>
      <c r="J116" s="251" t="n">
        <v>-0.00914375626909314</v>
      </c>
      <c r="K116" s="251" t="n">
        <v>0.005102373243786484</v>
      </c>
      <c r="L116" s="251" t="n">
        <v>-0.01945249133745497</v>
      </c>
      <c r="M116" s="251" t="n">
        <v>-23.96403663192905</v>
      </c>
    </row>
    <row r="117">
      <c r="B117" s="254" t="inlineStr">
        <is>
          <t>ccc_larger_shift</t>
        </is>
      </c>
      <c r="C117" s="254" t="inlineStr">
        <is>
          <t>FY2027Q4</t>
        </is>
      </c>
      <c r="D117" s="251" t="n">
        <v>978.9651002272467</v>
      </c>
      <c r="E117" s="251" t="n">
        <v>1161.860100227247</v>
      </c>
      <c r="F117" s="251" t="n">
        <v>796248.3765085215</v>
      </c>
      <c r="G117" s="251" t="n">
        <v>-0.02044275083771274</v>
      </c>
      <c r="H117" s="251" t="n">
        <v>-0.02420775908449246</v>
      </c>
      <c r="I117" s="251" t="n">
        <v>906.7404568957742</v>
      </c>
      <c r="J117" s="251" t="n">
        <v>-0.009143849832390694</v>
      </c>
      <c r="K117" s="251" t="n">
        <v>0.005247251214754112</v>
      </c>
      <c r="L117" s="251" t="n">
        <v>-0.01945430582700625</v>
      </c>
      <c r="M117" s="251" t="n">
        <v>-21.86923814689317</v>
      </c>
    </row>
    <row r="118">
      <c r="B118" s="254" t="inlineStr">
        <is>
          <t>ccc_large_stress</t>
        </is>
      </c>
      <c r="C118" s="254" t="inlineStr">
        <is>
          <t>FY2027Q1</t>
        </is>
      </c>
      <c r="D118" s="251" t="n">
        <v>984.6742523845617</v>
      </c>
      <c r="E118" s="251" t="n">
        <v>1147.859252384562</v>
      </c>
      <c r="F118" s="251" t="n">
        <v>822198.6781649828</v>
      </c>
      <c r="G118" s="251" t="n">
        <v>-0.03250140143027569</v>
      </c>
      <c r="H118" s="251" t="n">
        <v>-0.03535956574331389</v>
      </c>
      <c r="I118" s="251" t="n">
        <v>902.1220266306281</v>
      </c>
      <c r="J118" s="251" t="n">
        <v>-0.01539111911478619</v>
      </c>
      <c r="K118" s="251" t="n">
        <v>-0.001387918382923514</v>
      </c>
      <c r="L118" s="251" t="n">
        <v>-0.0334785666320947</v>
      </c>
      <c r="M118" s="251" t="n">
        <v>-36.90078798513377</v>
      </c>
    </row>
    <row r="119">
      <c r="B119" s="254" t="inlineStr">
        <is>
          <t>ccc_large_stress</t>
        </is>
      </c>
      <c r="C119" s="254" t="inlineStr">
        <is>
          <t>FY2027Q2</t>
        </is>
      </c>
      <c r="D119" s="251" t="n">
        <v>945.5115943438524</v>
      </c>
      <c r="E119" s="251" t="n">
        <v>1115.134594343852</v>
      </c>
      <c r="F119" s="251" t="n">
        <v>787947.3456699875</v>
      </c>
      <c r="G119" s="251" t="n">
        <v>-0.03250950788115126</v>
      </c>
      <c r="H119" s="251" t="n">
        <v>-0.03535378806402423</v>
      </c>
      <c r="I119" s="251" t="n">
        <v>901.6733457364571</v>
      </c>
      <c r="J119" s="251" t="n">
        <v>-0.01540821263885084</v>
      </c>
      <c r="K119" s="251" t="n">
        <v>-0.001370510147251869</v>
      </c>
      <c r="L119" s="251" t="n">
        <v>-0.03348986031442192</v>
      </c>
      <c r="M119" s="251" t="n">
        <v>-35.36517574394907</v>
      </c>
    </row>
    <row r="120">
      <c r="B120" s="254" t="inlineStr">
        <is>
          <t>ccc_large_stress</t>
        </is>
      </c>
      <c r="C120" s="254" t="inlineStr">
        <is>
          <t>FY2027Q3</t>
        </is>
      </c>
      <c r="D120" s="251" t="n">
        <v>1051.164627596203</v>
      </c>
      <c r="E120" s="251" t="n">
        <v>1232.150627596203</v>
      </c>
      <c r="F120" s="251" t="n">
        <v>861128.3561843168</v>
      </c>
      <c r="G120" s="251" t="n">
        <v>-0.03249702596054072</v>
      </c>
      <c r="H120" s="251" t="n">
        <v>-0.03571810626307159</v>
      </c>
      <c r="I120" s="251" t="n">
        <v>901.3245258676426</v>
      </c>
      <c r="J120" s="251" t="n">
        <v>-0.01541145494155594</v>
      </c>
      <c r="K120" s="251" t="n">
        <v>-0.001255439860109231</v>
      </c>
      <c r="L120" s="251" t="n">
        <v>-0.03349442583830053</v>
      </c>
      <c r="M120" s="251" t="n">
        <v>-38.62695381605499</v>
      </c>
    </row>
    <row r="121">
      <c r="B121" s="254" t="inlineStr">
        <is>
          <t>ccc_large_stress</t>
        </is>
      </c>
      <c r="C121" s="254" t="inlineStr">
        <is>
          <t>FY2027Q4</t>
        </is>
      </c>
      <c r="D121" s="251" t="n">
        <v>965.5842521279213</v>
      </c>
      <c r="E121" s="251" t="n">
        <v>1148.479252127921</v>
      </c>
      <c r="F121" s="251" t="n">
        <v>786465.2020873337</v>
      </c>
      <c r="G121" s="251" t="n">
        <v>-0.03247816554852823</v>
      </c>
      <c r="H121" s="251" t="n">
        <v>-0.03619691469643604</v>
      </c>
      <c r="I121" s="251" t="n">
        <v>901.0058763411655</v>
      </c>
      <c r="J121" s="251" t="n">
        <v>-0.01541041086201367</v>
      </c>
      <c r="K121" s="251" t="n">
        <v>-0.001110324754807657</v>
      </c>
      <c r="L121" s="251" t="n">
        <v>-0.03349691310838099</v>
      </c>
      <c r="M121" s="251" t="n">
        <v>-35.25008624621853</v>
      </c>
    </row>
    <row r="122">
      <c r="B122" s="254" t="inlineStr">
        <is>
          <t>ccc_larger_half_switching</t>
        </is>
      </c>
      <c r="C122" s="254" t="inlineStr">
        <is>
          <t>FY2027Q1</t>
        </is>
      </c>
      <c r="D122" s="251" t="n">
        <v>1005.672722247023</v>
      </c>
      <c r="E122" s="251" t="n">
        <v>1168.857722247023</v>
      </c>
      <c r="F122" s="251" t="n">
        <v>840611.7454918515</v>
      </c>
      <c r="G122" s="251" t="n">
        <v>-0.01083435512235076</v>
      </c>
      <c r="H122" s="251" t="n">
        <v>-0.0137565277746442</v>
      </c>
      <c r="I122" s="251" t="n">
        <v>907.341601865677</v>
      </c>
      <c r="J122" s="251" t="n">
        <v>-0.009694284341698389</v>
      </c>
      <c r="K122" s="251" t="n">
        <v>0.004389937313713066</v>
      </c>
      <c r="L122" s="251" t="n">
        <v>-0.02107044083619269</v>
      </c>
      <c r="M122" s="251" t="n">
        <v>-15.90231812267223</v>
      </c>
    </row>
    <row r="123">
      <c r="B123" s="254" t="inlineStr">
        <is>
          <t>ccc_larger_half_switching</t>
        </is>
      </c>
      <c r="C123" s="254" t="inlineStr">
        <is>
          <t>FY2027Q2</t>
        </is>
      </c>
      <c r="D123" s="251" t="n">
        <v>965.6334882445475</v>
      </c>
      <c r="E123" s="251" t="n">
        <v>1135.256488244548</v>
      </c>
      <c r="F123" s="251" t="n">
        <v>805597.898807276</v>
      </c>
      <c r="G123" s="251" t="n">
        <v>-0.01083706690548558</v>
      </c>
      <c r="H123" s="251" t="n">
        <v>-0.01374506088697858</v>
      </c>
      <c r="I123" s="251" t="n">
        <v>906.895380954679</v>
      </c>
      <c r="J123" s="251" t="n">
        <v>-0.009705955814376832</v>
      </c>
      <c r="K123" s="251" t="n">
        <v>0.004413045938357563</v>
      </c>
      <c r="L123" s="251" t="n">
        <v>-0.02107417344164075</v>
      </c>
      <c r="M123" s="251" t="n">
        <v>-15.24328184325395</v>
      </c>
    </row>
    <row r="124">
      <c r="B124" s="254" t="inlineStr">
        <is>
          <t>ccc_larger_half_switching</t>
        </is>
      </c>
      <c r="C124" s="254" t="inlineStr">
        <is>
          <t>FY2027Q3</t>
        </is>
      </c>
      <c r="D124" s="251" t="n">
        <v>1073.140606214305</v>
      </c>
      <c r="E124" s="251" t="n">
        <v>1254.126606214305</v>
      </c>
      <c r="F124" s="251" t="n">
        <v>880410.5829512732</v>
      </c>
      <c r="G124" s="251" t="n">
        <v>-0.01083287843926162</v>
      </c>
      <c r="H124" s="251" t="n">
        <v>-0.01412608457574283</v>
      </c>
      <c r="I124" s="251" t="n">
        <v>906.545311270169</v>
      </c>
      <c r="J124" s="251" t="n">
        <v>-0.009708375355889864</v>
      </c>
      <c r="K124" s="251" t="n">
        <v>0.004529636292580186</v>
      </c>
      <c r="L124" s="251" t="n">
        <v>-0.02107568001671078</v>
      </c>
      <c r="M124" s="251" t="n">
        <v>-16.65097519795381</v>
      </c>
    </row>
    <row r="125">
      <c r="B125" s="254" t="inlineStr">
        <is>
          <t>ccc_larger_half_switching</t>
        </is>
      </c>
      <c r="C125" s="254" t="inlineStr">
        <is>
          <t>FY2027Q4</t>
        </is>
      </c>
      <c r="D125" s="251" t="n">
        <v>985.6377385037842</v>
      </c>
      <c r="E125" s="251" t="n">
        <v>1168.532738503784</v>
      </c>
      <c r="F125" s="251" t="n">
        <v>804065.0534454884</v>
      </c>
      <c r="G125" s="251" t="n">
        <v>-0.01082655219434414</v>
      </c>
      <c r="H125" s="251" t="n">
        <v>-0.01462852108556389</v>
      </c>
      <c r="I125" s="251" t="n">
        <v>906.2242561991815</v>
      </c>
      <c r="J125" s="251" t="n">
        <v>-0.009707936976677489</v>
      </c>
      <c r="K125" s="251" t="n">
        <v>0.004674971322113697</v>
      </c>
      <c r="L125" s="251" t="n">
        <v>-0.0210764990029576</v>
      </c>
      <c r="M125" s="251" t="n">
        <v>-15.19659987035561</v>
      </c>
    </row>
    <row r="127">
      <c r="B127" s="249" t="inlineStr">
        <is>
          <t>CCC 2025 cell calibration: observed vs calibrated TLF, repair multiplier, derived claim weight, observed TL mix</t>
        </is>
      </c>
    </row>
    <row r="128">
      <c r="B128" s="357" t="inlineStr">
        <is>
          <t>source_body</t>
        </is>
      </c>
      <c r="C128" s="358" t="inlineStr">
        <is>
          <t>age_group</t>
        </is>
      </c>
      <c r="D128" s="358" t="inlineStr">
        <is>
          <t>observed_tlf</t>
        </is>
      </c>
      <c r="E128" s="358" t="inlineStr">
        <is>
          <t>previous_shape_tlf</t>
        </is>
      </c>
      <c r="F128" s="358" t="inlineStr">
        <is>
          <t>calibrated_tlf</t>
        </is>
      </c>
      <c r="G128" s="358" t="inlineStr">
        <is>
          <t>repair_multiplier</t>
        </is>
      </c>
      <c r="H128" s="358" t="inlineStr">
        <is>
          <t>derived_claim_weight</t>
        </is>
      </c>
      <c r="I128" s="358" t="inlineStr">
        <is>
          <t>observed_tl_mix</t>
        </is>
      </c>
    </row>
    <row r="129">
      <c r="B129" s="254" t="inlineStr">
        <is>
          <t>Car</t>
        </is>
      </c>
      <c r="C129" s="251" t="n">
        <v>0</v>
      </c>
      <c r="D129" s="320" t="n">
        <v>0.1183813516328002</v>
      </c>
      <c r="E129" s="320" t="n">
        <v>0.1091230123939371</v>
      </c>
      <c r="F129" s="320" t="n">
        <v>0.118381351632816</v>
      </c>
      <c r="G129" s="330" t="n">
        <v>1.059633582008694</v>
      </c>
      <c r="H129" s="458" t="n">
        <v>0.01593130178343029</v>
      </c>
      <c r="I129" s="458" t="n">
        <v>0.008156041846226276</v>
      </c>
    </row>
    <row r="130">
      <c r="B130" s="254" t="inlineStr">
        <is>
          <t>Car</t>
        </is>
      </c>
      <c r="C130" s="251" t="n">
        <v>1</v>
      </c>
      <c r="D130" s="320" t="n">
        <v>0.1415623139327181</v>
      </c>
      <c r="E130" s="320" t="n">
        <v>0.1205647558195921</v>
      </c>
      <c r="F130" s="320" t="n">
        <v>0.1415623139327016</v>
      </c>
      <c r="G130" s="330" t="n">
        <v>1.12586789939437</v>
      </c>
      <c r="H130" s="458" t="n">
        <v>0.06094522059338143</v>
      </c>
      <c r="I130" s="458" t="n">
        <v>0.0373105965404406</v>
      </c>
    </row>
    <row r="131">
      <c r="B131" s="254" t="inlineStr">
        <is>
          <t>Car</t>
        </is>
      </c>
      <c r="C131" s="251" t="n">
        <v>2</v>
      </c>
      <c r="D131" s="320" t="n">
        <v>0.1977589061254522</v>
      </c>
      <c r="E131" s="320" t="n">
        <v>0.1735868709385493</v>
      </c>
      <c r="F131" s="320" t="n">
        <v>0.1977589061255647</v>
      </c>
      <c r="G131" s="330" t="n">
        <v>1.113123588957844</v>
      </c>
      <c r="H131" s="458" t="n">
        <v>0.06935348150426961</v>
      </c>
      <c r="I131" s="458" t="n">
        <v>0.05931290634620359</v>
      </c>
    </row>
    <row r="132">
      <c r="B132" s="254" t="inlineStr">
        <is>
          <t>Car</t>
        </is>
      </c>
      <c r="C132" s="251" t="n">
        <v>3</v>
      </c>
      <c r="D132" s="320" t="n">
        <v>0.3725497056948419</v>
      </c>
      <c r="E132" s="320" t="n">
        <v>0.3657485697409447</v>
      </c>
      <c r="F132" s="320" t="n">
        <v>0.3725497056951755</v>
      </c>
      <c r="G132" s="330" t="n">
        <v>1.015330596299799</v>
      </c>
      <c r="H132" s="458" t="n">
        <v>0.2390134418122138</v>
      </c>
      <c r="I132" s="458" t="n">
        <v>0.3850804202277194</v>
      </c>
    </row>
    <row r="133">
      <c r="B133" s="254" t="inlineStr">
        <is>
          <t>Pickup</t>
        </is>
      </c>
      <c r="C133" s="251" t="n">
        <v>0</v>
      </c>
      <c r="D133" s="320" t="n">
        <v>0.07939869462574642</v>
      </c>
      <c r="E133" s="320" t="n">
        <v>0.09021245195389849</v>
      </c>
      <c r="F133" s="320" t="n">
        <v>0.07939869462582583</v>
      </c>
      <c r="G133" s="330" t="n">
        <v>0.9188939735447921</v>
      </c>
      <c r="H133" s="458" t="n">
        <v>0.006134221765749301</v>
      </c>
      <c r="I133" s="458" t="n">
        <v>0.00210628784544408</v>
      </c>
    </row>
    <row r="134">
      <c r="B134" s="254" t="inlineStr">
        <is>
          <t>Pickup</t>
        </is>
      </c>
      <c r="C134" s="251" t="n">
        <v>1</v>
      </c>
      <c r="D134" s="320" t="n">
        <v>0.07724710964719902</v>
      </c>
      <c r="E134" s="320" t="n">
        <v>0.1001470462555045</v>
      </c>
      <c r="F134" s="320" t="n">
        <v>0.07724710964711079</v>
      </c>
      <c r="G134" s="330" t="n">
        <v>0.8406645976928742</v>
      </c>
      <c r="H134" s="458" t="n">
        <v>0.03425588828501813</v>
      </c>
      <c r="I134" s="458" t="n">
        <v>0.01144359182152214</v>
      </c>
    </row>
    <row r="135">
      <c r="B135" s="254" t="inlineStr">
        <is>
          <t>Pickup</t>
        </is>
      </c>
      <c r="C135" s="251" t="n">
        <v>2</v>
      </c>
      <c r="D135" s="320" t="n">
        <v>0.1016189230849166</v>
      </c>
      <c r="E135" s="320" t="n">
        <v>0.1468769091148332</v>
      </c>
      <c r="F135" s="320" t="n">
        <v>0.1016189230849431</v>
      </c>
      <c r="G135" s="330" t="n">
        <v>0.7654177531488167</v>
      </c>
      <c r="H135" s="458" t="n">
        <v>0.03273775762728166</v>
      </c>
      <c r="I135" s="458" t="n">
        <v>0.01438693905373976</v>
      </c>
    </row>
    <row r="136">
      <c r="B136" s="254" t="inlineStr">
        <is>
          <t>Pickup</t>
        </is>
      </c>
      <c r="C136" s="251" t="n">
        <v>3</v>
      </c>
      <c r="D136" s="320" t="n">
        <v>0.2549647815842466</v>
      </c>
      <c r="E136" s="320" t="n">
        <v>0.2878543326055265</v>
      </c>
      <c r="F136" s="320" t="n">
        <v>0.2549647815845643</v>
      </c>
      <c r="G136" s="330" t="n">
        <v>0.918421599541726</v>
      </c>
      <c r="H136" s="458" t="n">
        <v>0.07366484499823636</v>
      </c>
      <c r="I136" s="458" t="n">
        <v>0.08122418479426913</v>
      </c>
    </row>
    <row r="137">
      <c r="B137" s="254" t="inlineStr">
        <is>
          <t>Utility Vehicle</t>
        </is>
      </c>
      <c r="C137" s="251" t="n">
        <v>0</v>
      </c>
      <c r="D137" s="320" t="n">
        <v>0.08619093438151845</v>
      </c>
      <c r="E137" s="320" t="n">
        <v>0.09254120816188083</v>
      </c>
      <c r="F137" s="320" t="n">
        <v>0.08619093438148084</v>
      </c>
      <c r="G137" s="330" t="n">
        <v>0.9534463782637166</v>
      </c>
      <c r="H137" s="458" t="n">
        <v>0.03121188335400751</v>
      </c>
      <c r="I137" s="458" t="n">
        <v>0.01163393011488954</v>
      </c>
    </row>
    <row r="138">
      <c r="B138" s="254" t="inlineStr">
        <is>
          <t>Utility Vehicle</t>
        </is>
      </c>
      <c r="C138" s="251" t="n">
        <v>1</v>
      </c>
      <c r="D138" s="320" t="n">
        <v>0.09858732104120195</v>
      </c>
      <c r="E138" s="320" t="n">
        <v>0.102667897984104</v>
      </c>
      <c r="F138" s="320" t="n">
        <v>0.0985873210410444</v>
      </c>
      <c r="G138" s="330" t="n">
        <v>0.9724109665656389</v>
      </c>
      <c r="H138" s="458" t="n">
        <v>0.1201677668745806</v>
      </c>
      <c r="I138" s="458" t="n">
        <v>0.05123349022194487</v>
      </c>
    </row>
    <row r="139">
      <c r="B139" s="254" t="inlineStr">
        <is>
          <t>Utility Vehicle</t>
        </is>
      </c>
      <c r="C139" s="251" t="n">
        <v>2</v>
      </c>
      <c r="D139" s="320" t="n">
        <v>0.1484455351339005</v>
      </c>
      <c r="E139" s="320" t="n">
        <v>0.1502088112584266</v>
      </c>
      <c r="F139" s="320" t="n">
        <v>0.148445535134037</v>
      </c>
      <c r="G139" s="330" t="n">
        <v>0.9909819917198179</v>
      </c>
      <c r="H139" s="458" t="n">
        <v>0.1067426582228952</v>
      </c>
      <c r="I139" s="458" t="n">
        <v>0.06852515714403061</v>
      </c>
    </row>
    <row r="140">
      <c r="B140" s="254" t="inlineStr">
        <is>
          <t>Utility Vehicle</t>
        </is>
      </c>
      <c r="C140" s="251" t="n">
        <v>3</v>
      </c>
      <c r="D140" s="320" t="n">
        <v>0.3043503197499355</v>
      </c>
      <c r="E140" s="320" t="n">
        <v>0.2947541402853784</v>
      </c>
      <c r="F140" s="320" t="n">
        <v>0.3043503197495744</v>
      </c>
      <c r="G140" s="330" t="n">
        <v>1.023839697436235</v>
      </c>
      <c r="H140" s="458" t="n">
        <v>0.1754738620812766</v>
      </c>
      <c r="I140" s="458" t="n">
        <v>0.2309569755766239</v>
      </c>
    </row>
    <row r="141">
      <c r="B141" s="254" t="inlineStr">
        <is>
          <t>Van</t>
        </is>
      </c>
      <c r="C141" s="251" t="n">
        <v>0</v>
      </c>
      <c r="D141" s="320" t="n">
        <v>0.06411315802265105</v>
      </c>
      <c r="E141" s="320" t="n">
        <v>0.1062068808501724</v>
      </c>
      <c r="F141" s="320" t="n">
        <v>0.06411315802266926</v>
      </c>
      <c r="G141" s="330" t="n">
        <v>0.7168168612368286</v>
      </c>
      <c r="H141" s="458" t="n">
        <v>0.001460310918372159</v>
      </c>
      <c r="I141" s="458" t="n">
        <v>0.0004048903148765467</v>
      </c>
    </row>
    <row r="142">
      <c r="B142" s="254" t="inlineStr">
        <is>
          <t>Van</t>
        </is>
      </c>
      <c r="C142" s="251" t="n">
        <v>1</v>
      </c>
      <c r="D142" s="320" t="n">
        <v>0.0879353362537799</v>
      </c>
      <c r="E142" s="320" t="n">
        <v>0.1174238114088531</v>
      </c>
      <c r="F142" s="320" t="n">
        <v>0.08793533625373584</v>
      </c>
      <c r="G142" s="330" t="n">
        <v>0.8186560039688775</v>
      </c>
      <c r="H142" s="458" t="n">
        <v>0.006164163291097801</v>
      </c>
      <c r="I142" s="458" t="n">
        <v>0.002344134086431362</v>
      </c>
    </row>
    <row r="143">
      <c r="B143" s="254" t="inlineStr">
        <is>
          <t>Van</t>
        </is>
      </c>
      <c r="C143" s="251" t="n">
        <v>2</v>
      </c>
      <c r="D143" s="320" t="n">
        <v>0.1522345377290566</v>
      </c>
      <c r="E143" s="320" t="n">
        <v>0.16951772407095</v>
      </c>
      <c r="F143" s="320" t="n">
        <v>0.1522345377290855</v>
      </c>
      <c r="G143" s="330" t="n">
        <v>0.9190923149676858</v>
      </c>
      <c r="H143" s="458" t="n">
        <v>0.00698900010691186</v>
      </c>
      <c r="I143" s="458" t="n">
        <v>0.004601221352707585</v>
      </c>
    </row>
    <row r="144">
      <c r="B144" s="254" t="inlineStr">
        <is>
          <t>Van</t>
        </is>
      </c>
      <c r="C144" s="251" t="n">
        <v>3</v>
      </c>
      <c r="D144" s="320" t="n">
        <v>0.3661439216994772</v>
      </c>
      <c r="E144" s="320" t="n">
        <v>0.3342167040699808</v>
      </c>
      <c r="F144" s="320" t="n">
        <v>0.3661439216993546</v>
      </c>
      <c r="G144" s="330" t="n">
        <v>1.075743672968322</v>
      </c>
      <c r="H144" s="458" t="n">
        <v>0.01975419678127776</v>
      </c>
      <c r="I144" s="458" t="n">
        <v>0.03127923271293062</v>
      </c>
    </row>
  </sheetData>
  <pageMargins left="0.75" right="0.75" top="1" bottom="1" header="0.5" footer="0.5"/>
</worksheet>
</file>

<file path=xl/worksheets/sheet33.xml><?xml version="1.0" encoding="utf-8"?>
<worksheet xmlns="http://schemas.openxmlformats.org/spreadsheetml/2006/main">
  <sheetPr>
    <tabColor rgb="FF0E2841"/>
    <outlinePr summaryBelow="1" summaryRight="1"/>
    <pageSetUpPr/>
  </sheetPr>
  <dimension ref="B1:O40"/>
  <sheetViews>
    <sheetView showGridLines="0" zoomScale="90" zoomScaleNormal="90" workbookViewId="0">
      <pane xSplit="3" ySplit="5" topLeftCell="L6" activePane="bottomRight" state="frozen"/>
      <selection pane="topRight" activeCell="L1" sqref="L1"/>
      <selection pane="bottomLeft" activeCell="A7" sqref="A7"/>
      <selection pane="bottomRight" activeCell="N28" sqref="N28"/>
    </sheetView>
  </sheetViews>
  <sheetFormatPr baseColWidth="10" defaultColWidth="8.6640625" defaultRowHeight="15"/>
  <cols>
    <col width="2.5" customWidth="1" style="392" min="1" max="1"/>
    <col width="56" customWidth="1" style="392" min="2" max="2"/>
    <col width="8" customWidth="1" style="392" min="3" max="3"/>
    <col width="11.5" customWidth="1" style="392" min="4" max="13"/>
    <col width="13.5" customWidth="1" style="392" min="14" max="14"/>
  </cols>
  <sheetData>
    <row r="1" ht="16.5" customHeight="1" s="392">
      <c r="B1" s="2" t="inlineStr">
        <is>
          <t>Volume Side Build</t>
        </is>
      </c>
      <c r="C1" s="3" t="n"/>
      <c r="D1" s="3" t="n"/>
      <c r="E1" s="3" t="n"/>
      <c r="F1" s="3" t="n"/>
      <c r="G1" s="3" t="n"/>
      <c r="H1" s="3" t="n"/>
      <c r="I1" s="3" t="n"/>
      <c r="J1" s="3" t="n"/>
      <c r="K1" s="3" t="n"/>
      <c r="L1" s="3" t="n"/>
      <c r="M1" s="3" t="n"/>
    </row>
    <row r="2" ht="15" customHeight="1" s="392">
      <c r="B2" s="4" t="inlineStr">
        <is>
          <t>Δunits ≈ Δclaims + ΔTLF + Δ(share of totals reaching commercial auction) + Δ(Copart share)</t>
        </is>
      </c>
    </row>
    <row r="4" ht="15" customHeight="1" s="392">
      <c r="B4" s="5" t="n"/>
      <c r="C4" s="6" t="inlineStr">
        <is>
          <t>Units</t>
        </is>
      </c>
      <c r="D4" s="365" t="inlineStr">
        <is>
          <t>Historicals</t>
        </is>
      </c>
      <c r="E4" s="418" t="n"/>
      <c r="F4" s="418" t="n"/>
      <c r="G4" s="418" t="n"/>
      <c r="H4" s="418" t="n"/>
      <c r="I4" s="367" t="inlineStr">
        <is>
          <t>Projected</t>
        </is>
      </c>
      <c r="J4" s="418" t="n"/>
      <c r="K4" s="418" t="n"/>
      <c r="L4" s="418" t="n"/>
      <c r="M4" s="418" t="n"/>
    </row>
    <row r="5" ht="15" customHeight="1" s="392">
      <c r="B5" s="7" t="inlineStr">
        <is>
          <t>Industry data (all from CCC reports)</t>
        </is>
      </c>
      <c r="C5" s="8" t="n"/>
      <c r="D5" s="9" t="inlineStr">
        <is>
          <t>FY2022A</t>
        </is>
      </c>
      <c r="E5" s="10" t="inlineStr">
        <is>
          <t>FY2023A</t>
        </is>
      </c>
      <c r="F5" s="10" t="inlineStr">
        <is>
          <t>FY2024A</t>
        </is>
      </c>
      <c r="G5" s="10" t="inlineStr">
        <is>
          <t>FY2025A</t>
        </is>
      </c>
      <c r="H5" s="10" t="inlineStr">
        <is>
          <t>FY2026A</t>
        </is>
      </c>
      <c r="I5" s="11" t="inlineStr">
        <is>
          <t>FY2027E</t>
        </is>
      </c>
      <c r="J5" s="10" t="inlineStr">
        <is>
          <t>FY2028E</t>
        </is>
      </c>
      <c r="K5" s="10" t="inlineStr">
        <is>
          <t>FY2029E</t>
        </is>
      </c>
      <c r="L5" s="10" t="inlineStr">
        <is>
          <t>FY2030E</t>
        </is>
      </c>
      <c r="M5" s="10" t="inlineStr">
        <is>
          <t>FY2031E</t>
        </is>
      </c>
    </row>
    <row r="6" ht="15" customHeight="1" s="392">
      <c r="B6" s="26" t="inlineStr">
        <is>
          <t>Total loss frequency, all loss categories</t>
        </is>
      </c>
      <c r="C6" s="21" t="inlineStr">
        <is>
          <t>%</t>
        </is>
      </c>
      <c r="D6" s="50" t="n">
        <v>0.188</v>
      </c>
      <c r="E6" s="51" t="n">
        <v>0.202</v>
      </c>
      <c r="F6" s="51" t="n">
        <v>0.223</v>
      </c>
      <c r="G6" s="51" t="n">
        <v>0.231</v>
      </c>
      <c r="H6" s="26" t="n"/>
      <c r="I6" s="32" t="n"/>
      <c r="J6" s="26" t="n"/>
      <c r="K6" s="26" t="n"/>
      <c r="L6" s="26" t="n"/>
      <c r="M6" s="26" t="n"/>
    </row>
    <row r="7" ht="15" customHeight="1" s="392">
      <c r="B7" s="26" t="inlineStr">
        <is>
          <t>Total loss frequency, non-comprehensive</t>
        </is>
      </c>
      <c r="C7" s="21" t="inlineStr">
        <is>
          <t>%</t>
        </is>
      </c>
      <c r="D7" s="50" t="n">
        <v>0.197</v>
      </c>
      <c r="E7" s="51" t="n">
        <v>0.212</v>
      </c>
      <c r="F7" s="51" t="n">
        <v>0.229</v>
      </c>
      <c r="G7" s="51" t="n">
        <v>0.239</v>
      </c>
      <c r="H7" s="26" t="n"/>
      <c r="I7" s="32" t="n"/>
      <c r="J7" s="26" t="n"/>
      <c r="K7" s="26" t="n"/>
      <c r="L7" s="26" t="n"/>
      <c r="M7" s="26" t="n"/>
    </row>
    <row r="8" ht="15" customHeight="1" s="392">
      <c r="B8" s="26" t="inlineStr">
        <is>
          <t xml:space="preserve">Total-loss VALUATION COUNT, y/y </t>
        </is>
      </c>
      <c r="C8" s="21" t="inlineStr">
        <is>
          <t>%</t>
        </is>
      </c>
      <c r="D8" s="37" t="n"/>
      <c r="E8" s="26" t="n"/>
      <c r="F8" s="26" t="n"/>
      <c r="G8" s="51" t="n">
        <v>-0.029</v>
      </c>
      <c r="H8" s="26" t="n"/>
      <c r="I8" s="32" t="n"/>
      <c r="J8" s="26" t="n"/>
      <c r="K8" s="26" t="n"/>
      <c r="L8" s="26" t="n"/>
      <c r="M8" s="26" t="n"/>
    </row>
    <row r="9" ht="15" customHeight="1" s="392">
      <c r="B9" s="26" t="inlineStr">
        <is>
          <t>Non-comp total-loss valuation count, y/y</t>
        </is>
      </c>
      <c r="C9" s="21" t="inlineStr">
        <is>
          <t>%</t>
        </is>
      </c>
      <c r="D9" s="37" t="n"/>
      <c r="E9" s="26" t="n"/>
      <c r="F9" s="26" t="n"/>
      <c r="G9" s="51" t="n">
        <v>-0.002</v>
      </c>
      <c r="H9" s="26" t="n"/>
      <c r="I9" s="32" t="n"/>
      <c r="J9" s="26" t="n"/>
      <c r="K9" s="26" t="n"/>
      <c r="L9" s="26" t="n"/>
      <c r="M9" s="26" t="n"/>
    </row>
    <row r="10" ht="15" customHeight="1" s="392">
      <c r="B10" s="26" t="inlineStr">
        <is>
          <t>Total claim volume, y/y</t>
        </is>
      </c>
      <c r="C10" s="21" t="inlineStr">
        <is>
          <t>%</t>
        </is>
      </c>
      <c r="D10" s="37" t="n"/>
      <c r="E10" s="26" t="n"/>
      <c r="F10" s="26" t="n"/>
      <c r="G10" s="51" t="n">
        <v>-0.077</v>
      </c>
      <c r="H10" s="51" t="n">
        <v>-0.033</v>
      </c>
      <c r="I10" s="32" t="n"/>
      <c r="J10" s="26" t="n"/>
      <c r="K10" s="26" t="n"/>
      <c r="L10" s="26" t="n"/>
      <c r="M10" s="26" t="n"/>
    </row>
    <row r="11" ht="15" customHeight="1" s="392">
      <c r="B11" s="26" t="inlineStr">
        <is>
          <t>Claim volume ex-comprehensive, y/y</t>
        </is>
      </c>
      <c r="C11" s="21" t="inlineStr">
        <is>
          <t>%</t>
        </is>
      </c>
      <c r="D11" s="37" t="n"/>
      <c r="E11" s="26" t="n"/>
      <c r="F11" s="26" t="n"/>
      <c r="G11" s="51" t="n">
        <v>-0.057</v>
      </c>
      <c r="H11" s="51" t="n">
        <v>-0.016</v>
      </c>
      <c r="I11" s="32" t="n"/>
      <c r="J11" s="26" t="n"/>
      <c r="K11" s="26" t="n"/>
      <c r="L11" s="26" t="n"/>
      <c r="M11" s="26" t="n"/>
    </row>
    <row r="12" ht="15" customHeight="1" s="392">
      <c r="B12" s="26" t="inlineStr">
        <is>
          <t>Repairable claim volume, y/y</t>
        </is>
      </c>
      <c r="C12" s="21" t="inlineStr">
        <is>
          <t>%</t>
        </is>
      </c>
      <c r="D12" s="37" t="n"/>
      <c r="E12" s="26" t="n"/>
      <c r="F12" s="26" t="n"/>
      <c r="G12" s="51" t="n">
        <v>-0.097</v>
      </c>
      <c r="H12" s="26" t="n"/>
      <c r="I12" s="32" t="n"/>
      <c r="J12" s="26" t="n"/>
      <c r="K12" s="26" t="n"/>
      <c r="L12" s="26" t="n"/>
      <c r="M12" s="26" t="n"/>
    </row>
    <row r="13" ht="15" customHeight="1" s="392">
      <c r="B13" s="26" t="inlineStr">
        <is>
          <t>Avg adjusted vehicle value on total-loss valuations</t>
        </is>
      </c>
      <c r="C13" s="21" t="inlineStr">
        <is>
          <t>$</t>
        </is>
      </c>
      <c r="D13" s="52" t="n">
        <v>14993</v>
      </c>
      <c r="E13" s="53" t="n">
        <v>14330</v>
      </c>
      <c r="F13" s="53" t="n">
        <v>13469</v>
      </c>
      <c r="G13" s="53" t="n">
        <v>13610</v>
      </c>
      <c r="H13" s="26" t="n"/>
      <c r="I13" s="32" t="n"/>
      <c r="J13" s="26" t="n"/>
      <c r="K13" s="26" t="n"/>
      <c r="L13" s="26" t="n"/>
      <c r="M13" s="26" t="n"/>
    </row>
    <row r="14" ht="15" customHeight="1" s="392">
      <c r="B14" s="26" t="inlineStr">
        <is>
          <t>Total loss frequency cited by Copart</t>
        </is>
      </c>
      <c r="C14" s="21" t="inlineStr">
        <is>
          <t>%</t>
        </is>
      </c>
      <c r="D14" s="37" t="n"/>
      <c r="E14" s="26" t="n"/>
      <c r="F14" s="26" t="n"/>
      <c r="G14" s="51" t="n">
        <v>0.224</v>
      </c>
      <c r="H14" s="51" t="n">
        <v>0.233</v>
      </c>
      <c r="I14" s="32" t="n"/>
      <c r="J14" s="26" t="n"/>
      <c r="K14" s="26" t="n"/>
      <c r="L14" s="26" t="n"/>
      <c r="M14" s="26" t="n"/>
    </row>
    <row r="16" ht="15" customHeight="1" s="392">
      <c r="B16" s="24" t="inlineStr">
        <is>
          <t>Copart disclosed volume (y/y %)</t>
        </is>
      </c>
      <c r="C16" s="25" t="n"/>
      <c r="D16" s="25" t="n"/>
      <c r="E16" s="25" t="n"/>
      <c r="F16" s="25" t="n"/>
      <c r="G16" s="25" t="n"/>
      <c r="H16" s="25" t="n"/>
      <c r="I16" s="25" t="n"/>
      <c r="J16" s="25" t="n"/>
      <c r="K16" s="25" t="n"/>
      <c r="L16" s="25" t="n"/>
      <c r="M16" s="25" t="n"/>
    </row>
    <row r="17" ht="15" customHeight="1" s="392">
      <c r="B17" s="26" t="inlineStr">
        <is>
          <t>Global units sold</t>
        </is>
      </c>
      <c r="C17" s="21" t="inlineStr">
        <is>
          <t>%</t>
        </is>
      </c>
      <c r="D17" s="37" t="n"/>
      <c r="E17" s="26" t="n"/>
      <c r="F17" s="26" t="n"/>
      <c r="G17" s="51" t="n">
        <v>0.048</v>
      </c>
      <c r="H17" s="51" t="n">
        <v>-0.055</v>
      </c>
      <c r="I17" s="32" t="n"/>
      <c r="J17" s="26" t="n"/>
      <c r="K17" s="26" t="n"/>
      <c r="L17" s="26" t="n"/>
      <c r="M17" s="26" t="n"/>
    </row>
    <row r="18" ht="15" customHeight="1" s="392">
      <c r="B18" s="26" t="inlineStr">
        <is>
          <t>Global units ex-CAT</t>
        </is>
      </c>
      <c r="C18" s="21" t="inlineStr">
        <is>
          <t>%</t>
        </is>
      </c>
      <c r="D18" s="37" t="n"/>
      <c r="E18" s="26" t="n"/>
      <c r="F18" s="26" t="n"/>
      <c r="G18" s="26" t="n"/>
      <c r="H18" s="51" t="n">
        <v>-0.031</v>
      </c>
      <c r="I18" s="32" t="n"/>
      <c r="J18" s="26" t="n"/>
      <c r="K18" s="26" t="n"/>
      <c r="L18" s="26" t="n"/>
      <c r="M18" s="26" t="n"/>
    </row>
    <row r="19" ht="15" customHeight="1" s="392">
      <c r="B19" s="26" t="inlineStr">
        <is>
          <t>US insurance units</t>
        </is>
      </c>
      <c r="C19" s="21" t="inlineStr">
        <is>
          <t>%</t>
        </is>
      </c>
      <c r="D19" s="37" t="n"/>
      <c r="E19" s="26" t="n"/>
      <c r="F19" s="26" t="n"/>
      <c r="G19" s="51" t="n">
        <v>0.042</v>
      </c>
      <c r="H19" s="51" t="n">
        <v>-0.08</v>
      </c>
      <c r="I19" s="32" t="n"/>
      <c r="J19" s="26" t="n"/>
      <c r="K19" s="26" t="n"/>
      <c r="L19" s="26" t="n"/>
      <c r="M19" s="26" t="n"/>
    </row>
    <row r="20" ht="15" customHeight="1" s="392">
      <c r="B20" s="26" t="inlineStr">
        <is>
          <t>US insurance assignments ex- Progressive loss (Q4)</t>
        </is>
      </c>
      <c r="C20" s="21" t="inlineStr">
        <is>
          <t>%</t>
        </is>
      </c>
      <c r="D20" s="37" t="n"/>
      <c r="E20" s="26" t="n"/>
      <c r="F20" s="26" t="n"/>
      <c r="G20" s="26" t="n"/>
      <c r="H20" s="51" t="n">
        <v>0.023</v>
      </c>
      <c r="I20" s="32" t="n"/>
      <c r="J20" s="26" t="n"/>
      <c r="K20" s="26" t="n"/>
      <c r="L20" s="26" t="n"/>
      <c r="M20" s="26" t="n"/>
    </row>
    <row r="21" ht="15" customHeight="1" s="392">
      <c r="B21" s="26" t="inlineStr">
        <is>
          <t>US non-insurance units</t>
        </is>
      </c>
      <c r="C21" s="21" t="inlineStr">
        <is>
          <t>%</t>
        </is>
      </c>
      <c r="D21" s="37" t="n"/>
      <c r="E21" s="26" t="n"/>
      <c r="F21" s="26" t="n"/>
      <c r="G21" s="51" t="n">
        <v>0.028</v>
      </c>
      <c r="H21" s="51" t="n">
        <v>-0.039</v>
      </c>
      <c r="I21" s="32" t="n"/>
      <c r="J21" s="26" t="n"/>
      <c r="K21" s="26" t="n"/>
      <c r="L21" s="26" t="n"/>
      <c r="M21" s="26" t="n"/>
    </row>
    <row r="22" ht="15" customHeight="1" s="392">
      <c r="B22" s="26" t="inlineStr">
        <is>
          <t>International units</t>
        </is>
      </c>
      <c r="C22" s="21" t="inlineStr">
        <is>
          <t>%</t>
        </is>
      </c>
      <c r="D22" s="37" t="n"/>
      <c r="E22" s="26" t="n"/>
      <c r="F22" s="26" t="n"/>
      <c r="G22" s="51" t="n">
        <v>0.081</v>
      </c>
      <c r="H22" s="51" t="n">
        <v>0.037</v>
      </c>
      <c r="I22" s="32" t="n"/>
      <c r="J22" s="26" t="n"/>
      <c r="K22" s="26" t="n"/>
      <c r="L22" s="26" t="n"/>
      <c r="M22" s="26" t="n"/>
    </row>
    <row r="24" ht="15" customHeight="1" s="392">
      <c r="B24" s="24" t="inlineStr">
        <is>
          <t>Forecast decomposition -- US insurance units</t>
        </is>
      </c>
      <c r="C24" s="25" t="n"/>
      <c r="D24" s="25" t="n"/>
      <c r="E24" s="25" t="n"/>
      <c r="F24" s="25" t="n"/>
      <c r="G24" s="25" t="n"/>
      <c r="H24" s="25" t="n"/>
      <c r="I24" s="25" t="n"/>
      <c r="J24" s="25" t="n"/>
      <c r="K24" s="25" t="n"/>
      <c r="L24" s="25" t="n"/>
      <c r="M24" s="25" t="n"/>
    </row>
    <row r="25" ht="15" customHeight="1" s="392">
      <c r="B25" s="36" t="inlineStr">
        <is>
          <t>Δ US insurance units =</t>
        </is>
      </c>
      <c r="O25" t="inlineStr">
        <is>
          <t xml:space="preserve">all depend on our theses -- </t>
        </is>
      </c>
    </row>
    <row r="26" ht="15" customHeight="1" s="392">
      <c r="B26" s="26" t="inlineStr">
        <is>
          <t>Δ insured collision claims (exposure × frequency × coverage)</t>
        </is>
      </c>
      <c r="C26" s="21" t="inlineStr">
        <is>
          <t>%</t>
        </is>
      </c>
      <c r="D26" s="37" t="n"/>
      <c r="E26" s="26" t="n"/>
      <c r="F26" s="26" t="n"/>
      <c r="G26" s="26" t="n"/>
      <c r="H26" s="26" t="n"/>
      <c r="I26" s="54" t="n">
        <v>-0.015</v>
      </c>
      <c r="J26" s="34" t="n">
        <v>0</v>
      </c>
      <c r="K26" s="34" t="n">
        <v>0.005</v>
      </c>
      <c r="L26" s="34" t="n">
        <v>-0.005</v>
      </c>
      <c r="M26" s="34" t="n">
        <v>-0.005</v>
      </c>
      <c r="O26" t="inlineStr">
        <is>
          <t>claims falling with people dropping coverage; decline moderates</t>
        </is>
      </c>
    </row>
    <row r="27" ht="15" customHeight="1" s="392">
      <c r="B27" s="26" t="inlineStr">
        <is>
          <t xml:space="preserve">Δ total loss frequency </t>
        </is>
      </c>
      <c r="C27" s="21" t="inlineStr">
        <is>
          <t>%</t>
        </is>
      </c>
      <c r="D27" s="37" t="n"/>
      <c r="E27" s="26" t="n"/>
      <c r="F27" s="26" t="n"/>
      <c r="G27" s="26" t="n"/>
      <c r="H27" s="26" t="n"/>
      <c r="I27" s="54" t="n">
        <v>0.02</v>
      </c>
      <c r="J27" s="34" t="n">
        <v>0.015</v>
      </c>
      <c r="K27" s="34" t="n">
        <v>0.01</v>
      </c>
      <c r="L27" s="34" t="n">
        <v>0.01</v>
      </c>
      <c r="M27" s="34" t="n">
        <v>0.01</v>
      </c>
      <c r="O27" t="inlineStr">
        <is>
          <t>repair cost vs ACV - add assumptions</t>
        </is>
      </c>
    </row>
    <row r="28" ht="15" customHeight="1" s="392">
      <c r="B28" s="26" t="inlineStr">
        <is>
          <t>Δ share of totals reaching commercial auction</t>
        </is>
      </c>
      <c r="C28" s="21" t="inlineStr">
        <is>
          <t>%</t>
        </is>
      </c>
      <c r="D28" s="37" t="n"/>
      <c r="E28" s="26" t="n"/>
      <c r="F28" s="26" t="n"/>
      <c r="G28" s="26" t="n"/>
      <c r="H28" s="26" t="n"/>
      <c r="I28" s="54" t="n">
        <v>-0.01</v>
      </c>
      <c r="J28" s="34" t="n">
        <v>-0.01</v>
      </c>
      <c r="K28" s="34" t="n">
        <v>-0.005</v>
      </c>
      <c r="L28" s="34" t="n">
        <v>-0.005</v>
      </c>
      <c r="M28" s="34" t="n">
        <v>-0.005</v>
      </c>
      <c r="O28" t="inlineStr">
        <is>
          <t>owner retention, age-tiered salvage title rules - add assumptions</t>
        </is>
      </c>
    </row>
    <row r="29" ht="15" customHeight="1" s="392">
      <c r="B29" s="26" t="inlineStr">
        <is>
          <t>Δ Copart share of US insurance salvage</t>
        </is>
      </c>
      <c r="C29" s="21" t="inlineStr">
        <is>
          <t>%</t>
        </is>
      </c>
      <c r="D29" s="37" t="n"/>
      <c r="E29" s="26" t="n"/>
      <c r="F29" s="26" t="n"/>
      <c r="G29" s="26" t="n"/>
      <c r="H29" s="26" t="n"/>
      <c r="I29" s="54" t="n">
        <v>-0.03</v>
      </c>
      <c r="J29" s="34" t="n">
        <v>0.01</v>
      </c>
      <c r="K29" s="34" t="n"/>
      <c r="L29" s="34" t="n"/>
      <c r="M29" s="34" t="n"/>
      <c r="O29" t="inlineStr">
        <is>
          <t xml:space="preserve">Progressive decline eventually plateaus - geico? </t>
        </is>
      </c>
    </row>
    <row r="30" ht="15" customHeight="1" s="392">
      <c r="B30" s="43" t="inlineStr">
        <is>
          <t>US insurance units, y/y → RPM</t>
        </is>
      </c>
      <c r="C30" s="44" t="inlineStr">
        <is>
          <t>%</t>
        </is>
      </c>
      <c r="D30" s="55" t="n"/>
      <c r="E30" s="56" t="n"/>
      <c r="F30" s="56" t="n"/>
      <c r="G30" s="56" t="n"/>
      <c r="H30" s="56" t="n"/>
      <c r="I30" s="57">
        <f>(1+I26)*(1+I27)*(1+I28)*(1+I29)-1</f>
        <v/>
      </c>
      <c r="J30" s="58">
        <f>(1+J26)*(1+J27)*(1+J28)*(1+J29)-1</f>
        <v/>
      </c>
      <c r="K30" s="58">
        <f>(1+K26)*(1+K27)*(1+K28)*(1+K29)-1</f>
        <v/>
      </c>
      <c r="L30" s="58">
        <f>(1+L26)*(1+L27)*(1+L28)*(1+L29)-1</f>
        <v/>
      </c>
      <c r="M30" s="58">
        <f>(1+M26)*(1+M27)*(1+M28)*(1+M29)-1</f>
        <v/>
      </c>
    </row>
    <row r="32" ht="15" customHeight="1" s="392">
      <c r="B32" s="24" t="inlineStr">
        <is>
          <t>Forecast -- other channels</t>
        </is>
      </c>
      <c r="C32" s="25" t="n"/>
      <c r="D32" s="25" t="n"/>
      <c r="E32" s="25" t="n"/>
      <c r="F32" s="25" t="n"/>
      <c r="G32" s="25" t="n"/>
      <c r="H32" s="25" t="n"/>
      <c r="I32" s="25" t="n"/>
      <c r="J32" s="25" t="n"/>
      <c r="K32" s="25" t="n"/>
      <c r="L32" s="25" t="n"/>
      <c r="M32" s="25" t="n"/>
    </row>
    <row r="33" ht="15" customHeight="1" s="392">
      <c r="B33" s="26" t="inlineStr">
        <is>
          <t>US non-insurance units, y/y → RPM</t>
        </is>
      </c>
      <c r="C33" s="21" t="inlineStr">
        <is>
          <t>%</t>
        </is>
      </c>
      <c r="D33" s="37" t="n"/>
      <c r="E33" s="26" t="n"/>
      <c r="F33" s="26" t="n"/>
      <c r="G33" s="26" t="n"/>
      <c r="H33" s="26" t="n"/>
      <c r="I33" s="54" t="n">
        <v>0.02</v>
      </c>
      <c r="J33" s="34" t="n">
        <v>0.03</v>
      </c>
      <c r="K33" s="34" t="n">
        <v>0.03</v>
      </c>
      <c r="L33" s="34" t="n">
        <v>0.03</v>
      </c>
      <c r="M33" s="34" t="n">
        <v>0.03</v>
      </c>
    </row>
    <row r="34" ht="15" customHeight="1" s="392">
      <c r="B34" s="26" t="inlineStr">
        <is>
          <t>International units, y/y → RPM</t>
        </is>
      </c>
      <c r="C34" s="21" t="inlineStr">
        <is>
          <t>%</t>
        </is>
      </c>
      <c r="D34" s="37" t="n"/>
      <c r="E34" s="26" t="n"/>
      <c r="F34" s="26" t="n"/>
      <c r="G34" s="26" t="n"/>
      <c r="H34" s="26" t="n"/>
      <c r="I34" s="54" t="n">
        <v>0.08</v>
      </c>
      <c r="J34" s="34" t="n">
        <v>0.07000000000000001</v>
      </c>
      <c r="K34" s="34" t="n">
        <v>0.06</v>
      </c>
      <c r="L34" s="34" t="n">
        <v>0.05</v>
      </c>
      <c r="M34" s="34" t="n">
        <v>0.05</v>
      </c>
    </row>
    <row r="36" ht="15" customHeight="1" s="392">
      <c r="B36" s="59" t="n"/>
    </row>
    <row r="37" ht="15" customHeight="1" s="392">
      <c r="B37" s="59" t="n"/>
    </row>
    <row r="38" ht="15" customHeight="1" s="392">
      <c r="B38" s="59" t="n"/>
    </row>
    <row r="39" ht="15" customHeight="1" s="392">
      <c r="B39" s="59" t="n"/>
    </row>
    <row r="40" ht="15" customHeight="1" s="392">
      <c r="B40" s="59" t="n"/>
    </row>
  </sheetData>
  <mergeCells count="2">
    <mergeCell ref="D4:H4"/>
    <mergeCell ref="I4:M4"/>
  </mergeCells>
  <pageMargins left="0.75" right="0.75" top="1" bottom="1" header="0.511811023622047" footer="0.511811023622047"/>
  <pageSetup orientation="portrait" paperSize="9" horizontalDpi="300" verticalDpi="300"/>
</worksheet>
</file>

<file path=xl/worksheets/sheet34.xml><?xml version="1.0" encoding="utf-8"?>
<worksheet xmlns="http://schemas.openxmlformats.org/spreadsheetml/2006/main">
  <sheetPr>
    <tabColor rgb="FF0E2841"/>
    <outlinePr summaryBelow="1" summaryRight="1"/>
    <pageSetUpPr/>
  </sheetPr>
  <dimension ref="B1:O21"/>
  <sheetViews>
    <sheetView showGridLines="0" zoomScale="90" zoomScaleNormal="90" workbookViewId="0">
      <pane xSplit="3" ySplit="5" topLeftCell="H6" activePane="bottomRight" state="frozen"/>
      <selection pane="topRight" activeCell="D1" sqref="D1"/>
      <selection pane="bottomLeft" activeCell="A6" sqref="A6"/>
      <selection pane="bottomRight" activeCell="I16" sqref="I16"/>
    </sheetView>
  </sheetViews>
  <sheetFormatPr baseColWidth="10" defaultColWidth="8.6640625" defaultRowHeight="15"/>
  <cols>
    <col width="2.5" customWidth="1" style="392" min="1" max="1"/>
    <col width="56" customWidth="1" style="392" min="2" max="2"/>
    <col width="8" customWidth="1" style="392" min="3" max="3"/>
    <col width="11.5" customWidth="1" style="392" min="4" max="13"/>
    <col width="13.5" customWidth="1" style="392" min="14" max="14"/>
  </cols>
  <sheetData>
    <row r="1" ht="16.5" customHeight="1" s="392">
      <c r="B1" s="2" t="inlineStr">
        <is>
          <t>RPU Side Build</t>
        </is>
      </c>
      <c r="C1" s="3" t="n"/>
      <c r="D1" s="3" t="n"/>
      <c r="E1" s="3" t="n"/>
      <c r="F1" s="3" t="n"/>
      <c r="G1" s="3" t="n"/>
      <c r="H1" s="3" t="n"/>
      <c r="I1" s="3" t="n"/>
      <c r="J1" s="3" t="n"/>
      <c r="K1" s="3" t="n"/>
      <c r="L1" s="3" t="n"/>
      <c r="M1" s="3" t="n"/>
    </row>
    <row r="2" ht="15" customHeight="1" s="392">
      <c r="B2" s="4" t="inlineStr">
        <is>
          <t xml:space="preserve">RPU ≈ ASP × effective take rate + fixed fees + service attach </t>
        </is>
      </c>
    </row>
    <row r="4" ht="15" customHeight="1" s="392">
      <c r="B4" s="5" t="n"/>
      <c r="C4" s="6" t="inlineStr">
        <is>
          <t>Units</t>
        </is>
      </c>
      <c r="D4" s="365" t="inlineStr">
        <is>
          <t>Historicals</t>
        </is>
      </c>
      <c r="E4" s="418" t="n"/>
      <c r="F4" s="418" t="n"/>
      <c r="G4" s="418" t="n"/>
      <c r="H4" s="418" t="n"/>
      <c r="I4" s="367" t="inlineStr">
        <is>
          <t>Projected</t>
        </is>
      </c>
      <c r="J4" s="418" t="n"/>
      <c r="K4" s="418" t="n"/>
      <c r="L4" s="418" t="n"/>
      <c r="M4" s="418" t="n"/>
    </row>
    <row r="5" ht="15" customHeight="1" s="392">
      <c r="B5" s="7" t="inlineStr">
        <is>
          <t>Disclosed by Copart</t>
        </is>
      </c>
      <c r="C5" s="8" t="n"/>
      <c r="D5" s="9" t="inlineStr">
        <is>
          <t>FY2022A</t>
        </is>
      </c>
      <c r="E5" s="10" t="inlineStr">
        <is>
          <t>FY2023A</t>
        </is>
      </c>
      <c r="F5" s="10" t="inlineStr">
        <is>
          <t>FY2024A</t>
        </is>
      </c>
      <c r="G5" s="10" t="inlineStr">
        <is>
          <t>FY2025A</t>
        </is>
      </c>
      <c r="H5" s="10" t="inlineStr">
        <is>
          <t>FY2026A</t>
        </is>
      </c>
      <c r="I5" s="11" t="inlineStr">
        <is>
          <t>FY2027E</t>
        </is>
      </c>
      <c r="J5" s="10" t="inlineStr">
        <is>
          <t>FY2028E</t>
        </is>
      </c>
      <c r="K5" s="10" t="inlineStr">
        <is>
          <t>FY2029E</t>
        </is>
      </c>
      <c r="L5" s="10" t="inlineStr">
        <is>
          <t>FY2030E</t>
        </is>
      </c>
      <c r="M5" s="10" t="inlineStr">
        <is>
          <t>FY2031E</t>
        </is>
      </c>
    </row>
    <row r="6" ht="15" customHeight="1" s="392">
      <c r="B6" s="26" t="inlineStr">
        <is>
          <t>Global revenue per unit, y/y</t>
        </is>
      </c>
      <c r="C6" s="21" t="inlineStr">
        <is>
          <t>%</t>
        </is>
      </c>
      <c r="D6" s="37" t="n"/>
      <c r="E6" s="26" t="n"/>
      <c r="F6" s="26" t="n"/>
      <c r="G6" s="26" t="n"/>
      <c r="H6" s="51" t="n">
        <v>0.057</v>
      </c>
      <c r="I6" s="32" t="n"/>
      <c r="J6" s="26" t="n"/>
      <c r="K6" s="26" t="n"/>
      <c r="L6" s="26" t="n"/>
      <c r="M6" s="26" t="n"/>
    </row>
    <row r="7" ht="15" customHeight="1" s="392">
      <c r="B7" s="26" t="inlineStr">
        <is>
          <t>Global ASP, y/y</t>
        </is>
      </c>
      <c r="C7" s="21" t="inlineStr">
        <is>
          <t>%</t>
        </is>
      </c>
      <c r="D7" s="37" t="n"/>
      <c r="E7" s="26" t="n"/>
      <c r="F7" s="26" t="n"/>
      <c r="G7" s="26" t="n"/>
      <c r="H7" s="51" t="n">
        <v>0.055</v>
      </c>
      <c r="I7" s="32" t="n"/>
      <c r="J7" s="26" t="n"/>
      <c r="K7" s="26" t="n"/>
      <c r="L7" s="26" t="n"/>
      <c r="M7" s="26" t="n"/>
    </row>
    <row r="8" ht="15" customHeight="1" s="392">
      <c r="B8" s="26" t="inlineStr">
        <is>
          <t>US insurance ASP, y/y (Q4 exit rate)</t>
        </is>
      </c>
      <c r="C8" s="21" t="inlineStr">
        <is>
          <t>%</t>
        </is>
      </c>
      <c r="D8" s="37" t="n"/>
      <c r="E8" s="26" t="n"/>
      <c r="F8" s="26" t="n"/>
      <c r="G8" s="51" t="n">
        <v>0.057</v>
      </c>
      <c r="H8" s="51" t="n">
        <v>0.037</v>
      </c>
      <c r="I8" s="32" t="n"/>
      <c r="J8" s="26" t="n"/>
      <c r="K8" s="26" t="n"/>
      <c r="L8" s="26" t="n"/>
      <c r="M8" s="26" t="n"/>
    </row>
    <row r="9" ht="15" customHeight="1" s="392">
      <c r="B9" s="26" t="inlineStr">
        <is>
          <t>Manheim Used Vehicle Value Index, y/y (Jul/Aug)</t>
        </is>
      </c>
      <c r="C9" s="21" t="inlineStr">
        <is>
          <t>%</t>
        </is>
      </c>
      <c r="D9" s="37" t="n"/>
      <c r="E9" s="26" t="n"/>
      <c r="F9" s="51" t="n">
        <v>-0.05</v>
      </c>
      <c r="G9" s="51" t="n">
        <v>0.028</v>
      </c>
      <c r="H9" s="51" t="n">
        <v>0.004</v>
      </c>
      <c r="I9" s="32" t="n"/>
      <c r="J9" s="26" t="n"/>
      <c r="K9" s="26" t="n"/>
      <c r="L9" s="26" t="n"/>
      <c r="M9" s="26" t="n"/>
    </row>
    <row r="10" ht="15" customHeight="1" s="392">
      <c r="B10" s="26" t="inlineStr">
        <is>
          <t>International buyers: share of US units / of US $</t>
        </is>
      </c>
      <c r="C10" s="21" t="inlineStr">
        <is>
          <t>%</t>
        </is>
      </c>
      <c r="D10" s="37" t="n"/>
      <c r="E10" s="26" t="n"/>
      <c r="F10" s="26" t="n"/>
      <c r="G10" s="26" t="n"/>
      <c r="H10" s="51" t="n">
        <v>0.382</v>
      </c>
      <c r="I10" s="32" t="n"/>
      <c r="J10" s="26" t="n"/>
      <c r="K10" s="26" t="n"/>
      <c r="L10" s="26" t="n"/>
      <c r="M10" s="26" t="n"/>
    </row>
    <row r="12" ht="15" customHeight="1" s="392">
      <c r="B12" s="24" t="inlineStr">
        <is>
          <t>Decomposition</t>
        </is>
      </c>
      <c r="C12" s="25" t="n"/>
      <c r="D12" s="25" t="n"/>
      <c r="E12" s="25" t="n"/>
      <c r="F12" s="25" t="n"/>
      <c r="G12" s="25" t="n"/>
      <c r="H12" s="25" t="n"/>
      <c r="I12" s="25" t="n"/>
      <c r="J12" s="25" t="n"/>
      <c r="K12" s="25" t="n"/>
      <c r="L12" s="25" t="n"/>
      <c r="M12" s="25" t="n"/>
    </row>
    <row r="13" ht="15" customHeight="1" s="392">
      <c r="B13" s="26" t="inlineStr">
        <is>
          <t>Δ ASP</t>
        </is>
      </c>
      <c r="C13" s="21" t="inlineStr">
        <is>
          <t>%</t>
        </is>
      </c>
      <c r="D13" s="37" t="n"/>
      <c r="E13" s="26" t="n"/>
      <c r="F13" s="26" t="n"/>
      <c r="G13" s="26" t="n"/>
      <c r="H13" s="26" t="n"/>
      <c r="I13" s="54" t="n">
        <v>0.015</v>
      </c>
      <c r="J13" s="34" t="n">
        <v>0.015</v>
      </c>
      <c r="K13" s="34" t="n">
        <v>0.015</v>
      </c>
      <c r="L13" s="34" t="n">
        <v>0.015</v>
      </c>
      <c r="M13" s="34" t="n">
        <v>0.015</v>
      </c>
      <c r="O13" t="inlineStr">
        <is>
          <t>Used-car values × mix</t>
        </is>
      </c>
    </row>
    <row r="14" ht="15" customHeight="1" s="392">
      <c r="B14" s="26" t="inlineStr">
        <is>
          <t>Δ effective take rate</t>
        </is>
      </c>
      <c r="C14" s="21" t="inlineStr">
        <is>
          <t>%</t>
        </is>
      </c>
      <c r="D14" s="37" t="n"/>
      <c r="E14" s="26" t="n"/>
      <c r="F14" s="26" t="n"/>
      <c r="G14" s="26" t="n"/>
      <c r="H14" s="26" t="n"/>
      <c r="I14" s="54" t="n">
        <v>-0.005</v>
      </c>
      <c r="J14" s="34" t="n">
        <v>-0.005</v>
      </c>
      <c r="K14" s="34" t="n">
        <v>-0.005</v>
      </c>
      <c r="L14" s="34" t="n">
        <v>-0.005</v>
      </c>
      <c r="M14" s="34" t="n">
        <v>-0.005</v>
      </c>
      <c r="O14" t="inlineStr">
        <is>
          <t>ASP↑ -&gt; take%↓</t>
        </is>
      </c>
    </row>
    <row r="15" ht="15" customHeight="1" s="392">
      <c r="B15" s="26" t="inlineStr">
        <is>
          <t>Δ fee actions</t>
        </is>
      </c>
      <c r="C15" s="21" t="inlineStr">
        <is>
          <t>%</t>
        </is>
      </c>
      <c r="D15" s="37" t="n"/>
      <c r="E15" s="26" t="n"/>
      <c r="F15" s="26" t="n"/>
      <c r="G15" s="26" t="n"/>
      <c r="H15" s="26" t="n"/>
      <c r="I15" s="54" t="n">
        <v>0.005</v>
      </c>
      <c r="J15" s="34" t="n">
        <v>0.01</v>
      </c>
      <c r="K15" s="34" t="n">
        <v>0.01</v>
      </c>
      <c r="L15" s="34" t="n">
        <v>0.01</v>
      </c>
      <c r="M15" s="34" t="n">
        <v>0.01</v>
      </c>
      <c r="O15" t="inlineStr">
        <is>
          <t>Copart raising prices?</t>
        </is>
      </c>
    </row>
    <row r="16" ht="15" customHeight="1" s="392">
      <c r="B16" s="26" t="inlineStr">
        <is>
          <t>Δ service attach</t>
        </is>
      </c>
      <c r="C16" s="21" t="inlineStr">
        <is>
          <t>%</t>
        </is>
      </c>
      <c r="D16" s="37" t="n"/>
      <c r="E16" s="26" t="n"/>
      <c r="F16" s="26" t="n"/>
      <c r="G16" s="26" t="n"/>
      <c r="H16" s="26" t="n"/>
      <c r="I16" s="54" t="n">
        <v>0.01</v>
      </c>
      <c r="J16" s="34" t="n">
        <v>0.01</v>
      </c>
      <c r="K16" s="34" t="n">
        <v>0.01</v>
      </c>
      <c r="L16" s="34" t="n">
        <v>0.005</v>
      </c>
      <c r="M16" s="34" t="n">
        <v>0.005</v>
      </c>
      <c r="O16" t="inlineStr">
        <is>
          <t>more things sold per car -- Title Express, long-haul, loan payoff. *long-haul is freight, 20% margin so raises RPU while lowering gross margin</t>
        </is>
      </c>
    </row>
    <row r="17" ht="15" customHeight="1" s="392">
      <c r="B17" s="43" t="inlineStr">
        <is>
          <t xml:space="preserve">RPU growth, y/y </t>
        </is>
      </c>
      <c r="C17" s="44" t="inlineStr">
        <is>
          <t>%</t>
        </is>
      </c>
      <c r="D17" s="55" t="n"/>
      <c r="E17" s="56" t="n"/>
      <c r="F17" s="56" t="n"/>
      <c r="G17" s="56" t="n"/>
      <c r="H17" s="56" t="n"/>
      <c r="I17" s="57">
        <f>(1+I13)*(1+I14)*(1+I15)*(1+I16)-1</f>
        <v/>
      </c>
      <c r="J17" s="58">
        <f>(1+J13)*(1+J14)*(1+J15)*(1+J16)-1</f>
        <v/>
      </c>
      <c r="K17" s="58">
        <f>(1+K13)*(1+K14)*(1+K15)*(1+K16)-1</f>
        <v/>
      </c>
      <c r="L17" s="58">
        <f>(1+L13)*(1+L14)*(1+L15)*(1+L16)-1</f>
        <v/>
      </c>
      <c r="M17" s="58">
        <f>(1+M13)*(1+M14)*(1+M15)*(1+M16)-1</f>
        <v/>
      </c>
      <c r="O17" t="inlineStr">
        <is>
          <t>Links to RPM (row 34) -- RPM multiplies last yrs fevenue, then multiplies that by units-&gt; service revenue</t>
        </is>
      </c>
    </row>
    <row r="19" ht="15" customHeight="1" s="392">
      <c r="B19" s="24" t="inlineStr">
        <is>
          <t>Street RPU assumptions</t>
        </is>
      </c>
      <c r="C19" s="25" t="n"/>
      <c r="D19" s="25" t="n"/>
      <c r="E19" s="25" t="n"/>
      <c r="F19" s="25" t="n"/>
      <c r="G19" s="25" t="n"/>
      <c r="H19" s="25" t="n"/>
      <c r="I19" s="25" t="n"/>
      <c r="J19" s="25" t="n"/>
      <c r="K19" s="25" t="n"/>
      <c r="L19" s="25" t="n"/>
      <c r="M19" s="25" t="n"/>
    </row>
    <row r="20" ht="15" customHeight="1" s="392">
      <c r="B20" s="29" t="inlineStr">
        <is>
          <t>Stephens: implied US service RPU growth</t>
        </is>
      </c>
      <c r="C20" s="21" t="inlineStr">
        <is>
          <t>%</t>
        </is>
      </c>
      <c r="D20" s="37" t="n"/>
      <c r="E20" s="26" t="n"/>
      <c r="F20" s="26" t="n"/>
      <c r="G20" s="26" t="n"/>
      <c r="H20" s="38" t="n">
        <v>0.037</v>
      </c>
      <c r="I20" s="60" t="n">
        <v>0.02</v>
      </c>
      <c r="J20" s="26" t="n"/>
      <c r="K20" s="26" t="n"/>
      <c r="L20" s="26" t="n"/>
      <c r="M20" s="26" t="n"/>
    </row>
    <row r="21" ht="15" customHeight="1" s="392">
      <c r="B21" s="29" t="inlineStr">
        <is>
          <t>JPM: US service RPU, y/y (F4Q26 est.)</t>
        </is>
      </c>
      <c r="C21" s="21" t="inlineStr">
        <is>
          <t>%</t>
        </is>
      </c>
      <c r="D21" s="37" t="n"/>
      <c r="E21" s="26" t="n"/>
      <c r="F21" s="26" t="n"/>
      <c r="G21" s="26" t="n"/>
      <c r="H21" s="38" t="n">
        <v>0.05</v>
      </c>
      <c r="I21" s="32" t="n"/>
      <c r="J21" s="26" t="n"/>
      <c r="K21" s="26" t="n"/>
      <c r="L21" s="26" t="n"/>
      <c r="M21" s="26" t="n"/>
    </row>
  </sheetData>
  <mergeCells count="2">
    <mergeCell ref="D4:H4"/>
    <mergeCell ref="I4:M4"/>
  </mergeCells>
  <pageMargins left="0.75" right="0.75" top="1" bottom="1" header="0.511811023622047" footer="0.511811023622047"/>
  <pageSetup orientation="portrait" paperSize="9" horizontalDpi="300" verticalDpi="300"/>
</worksheet>
</file>

<file path=xl/worksheets/sheet35.xml><?xml version="1.0" encoding="utf-8"?>
<worksheet xmlns="http://schemas.openxmlformats.org/spreadsheetml/2006/main">
  <sheetPr>
    <tabColor rgb="FFBFBFBF"/>
    <outlinePr summaryBelow="1" summaryRight="1"/>
    <pageSetUpPr/>
  </sheetPr>
  <dimension ref="A1:BR127"/>
  <sheetViews>
    <sheetView showGridLines="0" zoomScaleNormal="100" workbookViewId="0">
      <pane xSplit="3" ySplit="10" topLeftCell="D11" activePane="bottomRight" state="frozen"/>
      <selection pane="topRight" activeCell="D1" sqref="D1"/>
      <selection pane="bottomLeft" activeCell="A11" sqref="A11"/>
      <selection pane="bottomRight" activeCell="A1" sqref="A1"/>
    </sheetView>
  </sheetViews>
  <sheetFormatPr baseColWidth="10" defaultColWidth="8.6640625" defaultRowHeight="15"/>
  <cols>
    <col width="1.1640625" customWidth="1" style="392" min="1" max="1"/>
    <col width="1.83203125" customWidth="1" style="392" min="2" max="2"/>
    <col width="50.6640625" customWidth="1" style="392" min="3" max="3"/>
    <col width="14.6640625" customWidth="1" style="392" min="4" max="4"/>
    <col width="1.83203125" customWidth="1" style="392" min="12" max="12"/>
    <col width="14.6640625" customWidth="1" style="392" min="13" max="13"/>
    <col width="1.83203125" customWidth="1" style="392" min="46" max="46"/>
  </cols>
  <sheetData>
    <row r="1" ht="6" customHeight="1" s="392">
      <c r="A1" s="176" t="n"/>
      <c r="B1" s="176" t="n"/>
      <c r="C1" s="176" t="n"/>
      <c r="D1" s="176" t="n"/>
      <c r="E1" s="176" t="n"/>
      <c r="F1" s="176" t="n"/>
      <c r="G1" s="176" t="n"/>
      <c r="H1" s="176" t="n"/>
      <c r="I1" s="176" t="n"/>
      <c r="J1" s="176" t="n"/>
      <c r="K1" s="176" t="n"/>
      <c r="L1" s="176" t="n"/>
      <c r="M1" s="176" t="n"/>
      <c r="N1" s="176" t="n"/>
      <c r="O1" s="176" t="n"/>
      <c r="P1" s="176" t="n"/>
      <c r="Q1" s="176" t="n"/>
      <c r="R1" s="176" t="n"/>
      <c r="S1" s="176" t="n"/>
      <c r="T1" s="176" t="n"/>
      <c r="U1" s="176" t="n"/>
      <c r="V1" s="176" t="n"/>
      <c r="W1" s="176" t="n"/>
      <c r="X1" s="176" t="n"/>
      <c r="Y1" s="176" t="n"/>
      <c r="Z1" s="176" t="n"/>
      <c r="AA1" s="176" t="n"/>
      <c r="AB1" s="176" t="n"/>
      <c r="AC1" s="176" t="n"/>
      <c r="AD1" s="176" t="n"/>
      <c r="AE1" s="176" t="n"/>
      <c r="AF1" s="176" t="n"/>
      <c r="AG1" s="176" t="n"/>
      <c r="AH1" s="176" t="n"/>
      <c r="AI1" s="176" t="n"/>
      <c r="AJ1" s="176" t="n"/>
      <c r="AK1" s="176" t="n"/>
      <c r="AL1" s="176" t="n"/>
      <c r="AM1" s="176" t="n"/>
      <c r="AN1" s="176" t="n"/>
      <c r="AO1" s="176" t="n"/>
      <c r="AP1" s="176" t="n"/>
      <c r="AQ1" s="176" t="n"/>
      <c r="AR1" s="176" t="n"/>
      <c r="AS1" s="176" t="n"/>
      <c r="AT1" s="176" t="n"/>
      <c r="AU1" s="176" t="n"/>
      <c r="AV1" s="176" t="n"/>
      <c r="AW1" s="176" t="n"/>
      <c r="AX1" s="176" t="n"/>
      <c r="AY1" s="176" t="n"/>
      <c r="AZ1" s="176" t="n"/>
      <c r="BA1" s="176" t="n"/>
      <c r="BB1" s="176" t="n"/>
      <c r="BC1" s="176" t="n"/>
      <c r="BD1" s="176" t="n"/>
      <c r="BE1" s="176" t="n"/>
      <c r="BF1" s="176" t="n"/>
      <c r="BG1" s="176" t="n"/>
      <c r="BH1" s="176" t="n"/>
      <c r="BI1" s="176" t="n"/>
      <c r="BJ1" s="176" t="n"/>
      <c r="BK1" s="176" t="n"/>
      <c r="BL1" s="176" t="n"/>
      <c r="BM1" s="176" t="n"/>
      <c r="BN1" s="176" t="n"/>
      <c r="BO1" s="176" t="n"/>
      <c r="BP1" s="176" t="n"/>
      <c r="BQ1" s="176" t="n"/>
      <c r="BR1" s="176" t="n"/>
    </row>
    <row r="2" ht="39.75" customHeight="1" s="392">
      <c r="A2" s="176" t="n"/>
      <c r="B2" s="177" t="n"/>
      <c r="C2" s="178" t="n"/>
      <c r="D2" s="178" t="n"/>
      <c r="E2" s="178" t="n"/>
      <c r="F2" s="178" t="n"/>
      <c r="G2" s="178" t="n"/>
      <c r="H2" s="178" t="n"/>
      <c r="I2" s="178" t="n"/>
      <c r="J2" s="178" t="n"/>
      <c r="K2" s="178" t="n"/>
      <c r="L2" s="178" t="n"/>
      <c r="M2" s="178" t="n"/>
      <c r="N2" s="178" t="n"/>
      <c r="O2" s="178" t="n"/>
      <c r="P2" s="178" t="n"/>
      <c r="Q2" s="178" t="n"/>
      <c r="R2" s="178" t="n"/>
      <c r="S2" s="178" t="n"/>
      <c r="T2" s="178" t="n"/>
      <c r="U2" s="178" t="n"/>
      <c r="V2" s="178" t="n"/>
      <c r="W2" s="178" t="n"/>
      <c r="X2" s="178" t="n"/>
      <c r="Y2" s="178" t="n"/>
      <c r="Z2" s="178" t="n"/>
      <c r="AA2" s="178" t="n"/>
      <c r="AB2" s="178" t="n"/>
      <c r="AC2" s="178" t="n"/>
      <c r="AD2" s="178" t="n"/>
      <c r="AE2" s="178" t="n"/>
      <c r="AF2" s="178" t="n"/>
      <c r="AG2" s="178" t="n"/>
      <c r="AH2" s="178" t="n"/>
      <c r="AI2" s="178" t="n"/>
      <c r="AJ2" s="178" t="n"/>
      <c r="AK2" s="178" t="n"/>
      <c r="AL2" s="178" t="n"/>
      <c r="AM2" s="178" t="n"/>
      <c r="AN2" s="178" t="n"/>
      <c r="AO2" s="178" t="n"/>
      <c r="AP2" s="178" t="n"/>
      <c r="AQ2" s="178" t="n"/>
      <c r="AR2" s="178" t="n"/>
      <c r="AS2" s="178" t="n"/>
      <c r="AT2" s="179" t="n"/>
      <c r="AU2" s="176" t="n"/>
      <c r="AV2" s="176" t="n"/>
      <c r="AW2" s="176" t="n"/>
      <c r="AX2" s="176" t="n"/>
      <c r="AY2" s="176" t="n"/>
      <c r="AZ2" s="176" t="n"/>
      <c r="BA2" s="176" t="n"/>
      <c r="BB2" s="176" t="n"/>
      <c r="BC2" s="176" t="n"/>
      <c r="BD2" s="176" t="n"/>
      <c r="BE2" s="176" t="n"/>
      <c r="BF2" s="176" t="n"/>
      <c r="BG2" s="176" t="n"/>
      <c r="BH2" s="176" t="n"/>
      <c r="BI2" s="176" t="n"/>
      <c r="BJ2" s="176" t="n"/>
      <c r="BK2" s="176" t="n"/>
      <c r="BL2" s="176" t="n"/>
      <c r="BM2" s="176" t="n"/>
      <c r="BN2" s="176" t="n"/>
      <c r="BO2" s="176" t="n"/>
      <c r="BP2" s="176" t="n"/>
      <c r="BQ2" s="176" t="n"/>
      <c r="BR2" s="176" t="n"/>
    </row>
    <row r="3" ht="19.5" customHeight="1" s="392">
      <c r="A3" s="176" t="n"/>
      <c r="B3" s="180" t="n"/>
      <c r="C3" s="181" t="inlineStr">
        <is>
          <t>Income Statement (Fiscal Year)</t>
        </is>
      </c>
      <c r="AT3" s="182" t="n"/>
      <c r="AU3" s="176" t="n"/>
      <c r="AV3" s="176" t="n"/>
      <c r="AW3" s="176" t="n"/>
      <c r="AX3" s="176" t="n"/>
      <c r="AY3" s="176" t="n"/>
      <c r="AZ3" s="176" t="n"/>
      <c r="BA3" s="176" t="n"/>
      <c r="BB3" s="176" t="n"/>
      <c r="BC3" s="176" t="n"/>
      <c r="BD3" s="176" t="n"/>
      <c r="BE3" s="176" t="n"/>
      <c r="BF3" s="176" t="n"/>
      <c r="BG3" s="176" t="n"/>
      <c r="BH3" s="176" t="n"/>
      <c r="BI3" s="176" t="n"/>
      <c r="BJ3" s="176" t="n"/>
      <c r="BK3" s="176" t="n"/>
      <c r="BL3" s="176" t="n"/>
      <c r="BM3" s="176" t="n"/>
      <c r="BN3" s="176" t="n"/>
      <c r="BO3" s="176" t="n"/>
      <c r="BP3" s="176" t="n"/>
      <c r="BQ3" s="176" t="n"/>
      <c r="BR3" s="176" t="n"/>
    </row>
    <row r="4" ht="22.5" customHeight="1" s="392">
      <c r="A4" s="176" t="n"/>
      <c r="B4" s="180" t="n"/>
      <c r="C4" s="183" t="inlineStr">
        <is>
          <t>Downloaded on: 27-Sep-2026</t>
        </is>
      </c>
      <c r="D4" s="184" t="inlineStr">
        <is>
          <t>Summary Stats</t>
        </is>
      </c>
      <c r="E4" s="185" t="n"/>
      <c r="F4" s="185" t="n"/>
      <c r="G4" s="185" t="n"/>
      <c r="H4" s="185" t="n"/>
      <c r="I4" s="185" t="n"/>
      <c r="J4" s="185" t="n"/>
      <c r="K4" s="185" t="n"/>
      <c r="AT4" s="182" t="n"/>
      <c r="AU4" s="176" t="n"/>
      <c r="AV4" s="176" t="n"/>
      <c r="AW4" s="176" t="n"/>
      <c r="AX4" s="176" t="n"/>
      <c r="AY4" s="176" t="n"/>
      <c r="AZ4" s="176" t="n"/>
      <c r="BA4" s="176" t="n"/>
      <c r="BB4" s="176" t="n"/>
      <c r="BC4" s="176" t="n"/>
      <c r="BD4" s="176" t="n"/>
      <c r="BE4" s="176" t="n"/>
      <c r="BF4" s="176" t="n"/>
      <c r="BG4" s="176" t="n"/>
      <c r="BH4" s="176" t="n"/>
      <c r="BI4" s="176" t="n"/>
      <c r="BJ4" s="176" t="n"/>
      <c r="BK4" s="176" t="n"/>
      <c r="BL4" s="176" t="n"/>
      <c r="BM4" s="176" t="n"/>
      <c r="BN4" s="176" t="n"/>
      <c r="BO4" s="176" t="n"/>
      <c r="BP4" s="176" t="n"/>
      <c r="BQ4" s="176" t="n"/>
      <c r="BR4" s="176" t="n"/>
    </row>
    <row r="5" ht="60" customHeight="1" s="392">
      <c r="A5" s="176" t="n"/>
      <c r="B5" s="180" t="n"/>
      <c r="C5" s="183" t="inlineStr">
        <is>
          <t>Company: Copart (NAS: CPRT)</t>
        </is>
      </c>
      <c r="D5" s="186" t="inlineStr">
        <is>
          <t>Median</t>
        </is>
      </c>
      <c r="E5" s="186" t="inlineStr">
        <is>
          <t>Mean</t>
        </is>
      </c>
      <c r="F5" s="186" t="inlineStr">
        <is>
          <t>Min</t>
        </is>
      </c>
      <c r="G5" s="186" t="inlineStr">
        <is>
          <t>Max</t>
        </is>
      </c>
      <c r="H5" s="186" t="inlineStr">
        <is>
          <t>25th pctile</t>
        </is>
      </c>
      <c r="I5" s="186" t="inlineStr">
        <is>
          <t>75th pctile</t>
        </is>
      </c>
      <c r="J5" s="186" t="inlineStr">
        <is>
          <t>Std. Dev</t>
        </is>
      </c>
      <c r="K5" s="186" t="inlineStr">
        <is>
          <t>Coefficient of Variation</t>
        </is>
      </c>
      <c r="M5" s="187" t="inlineStr">
        <is>
          <t>FY 2026</t>
        </is>
      </c>
      <c r="N5" s="187" t="inlineStr">
        <is>
          <t>FY 2025</t>
        </is>
      </c>
      <c r="O5" s="187" t="inlineStr">
        <is>
          <t>FY 2024</t>
        </is>
      </c>
      <c r="P5" s="187" t="inlineStr">
        <is>
          <t>FY 2023</t>
        </is>
      </c>
      <c r="Q5" s="187" t="inlineStr">
        <is>
          <t>FY 2022</t>
        </is>
      </c>
      <c r="R5" s="187" t="inlineStr">
        <is>
          <t>FY 2021</t>
        </is>
      </c>
      <c r="S5" s="187" t="inlineStr">
        <is>
          <t>FY 2020</t>
        </is>
      </c>
      <c r="T5" s="187" t="inlineStr">
        <is>
          <t>FY 2019</t>
        </is>
      </c>
      <c r="U5" s="187" t="inlineStr">
        <is>
          <t>FY 2018</t>
        </is>
      </c>
      <c r="V5" s="187" t="inlineStr">
        <is>
          <t>FY 2017</t>
        </is>
      </c>
      <c r="W5" s="187" t="inlineStr">
        <is>
          <t>FY 2016</t>
        </is>
      </c>
      <c r="X5" s="187" t="inlineStr">
        <is>
          <t>FY 2015</t>
        </is>
      </c>
      <c r="Y5" s="187" t="inlineStr">
        <is>
          <t>FY 2014</t>
        </is>
      </c>
      <c r="Z5" s="187" t="inlineStr">
        <is>
          <t>FY 2013</t>
        </is>
      </c>
      <c r="AA5" s="187" t="inlineStr">
        <is>
          <t>FY 2012</t>
        </is>
      </c>
      <c r="AB5" s="187" t="inlineStr">
        <is>
          <t>FY 2011</t>
        </is>
      </c>
      <c r="AC5" s="187" t="inlineStr">
        <is>
          <t>FY 2010</t>
        </is>
      </c>
      <c r="AD5" s="187" t="inlineStr">
        <is>
          <t>FY 2009</t>
        </is>
      </c>
      <c r="AE5" s="187" t="inlineStr">
        <is>
          <t>FY 2008</t>
        </is>
      </c>
      <c r="AF5" s="187" t="inlineStr">
        <is>
          <t>FY 2007</t>
        </is>
      </c>
      <c r="AG5" s="187" t="inlineStr">
        <is>
          <t>FY 2006</t>
        </is>
      </c>
      <c r="AH5" s="187" t="inlineStr">
        <is>
          <t>FY 2005</t>
        </is>
      </c>
      <c r="AI5" s="187" t="inlineStr">
        <is>
          <t>FY 2004</t>
        </is>
      </c>
      <c r="AJ5" s="187" t="inlineStr">
        <is>
          <t>FY 2003</t>
        </is>
      </c>
      <c r="AK5" s="187" t="inlineStr">
        <is>
          <t>FY 2002</t>
        </is>
      </c>
      <c r="AL5" s="187" t="inlineStr">
        <is>
          <t>FY 2001</t>
        </is>
      </c>
      <c r="AM5" s="187" t="inlineStr">
        <is>
          <t>FY 2000</t>
        </is>
      </c>
      <c r="AN5" s="187" t="inlineStr">
        <is>
          <t>FY 1999</t>
        </is>
      </c>
      <c r="AO5" s="187" t="inlineStr">
        <is>
          <t>FY 1998</t>
        </is>
      </c>
      <c r="AP5" s="187" t="inlineStr">
        <is>
          <t>FY 1997</t>
        </is>
      </c>
      <c r="AQ5" s="187" t="inlineStr">
        <is>
          <t>FY 1996</t>
        </is>
      </c>
      <c r="AR5" s="187" t="inlineStr">
        <is>
          <t>FY 1995</t>
        </is>
      </c>
      <c r="AS5" s="187" t="inlineStr">
        <is>
          <t>FY 1994</t>
        </is>
      </c>
      <c r="AT5" s="182" t="n"/>
      <c r="AU5" s="176" t="n"/>
      <c r="AV5" s="176" t="n"/>
      <c r="AW5" s="176" t="n"/>
      <c r="AX5" s="176" t="n"/>
      <c r="AY5" s="176" t="n"/>
      <c r="AZ5" s="176" t="n"/>
      <c r="BA5" s="176" t="n"/>
      <c r="BB5" s="176" t="n"/>
      <c r="BC5" s="176" t="n"/>
      <c r="BD5" s="176" t="n"/>
      <c r="BE5" s="176" t="n"/>
      <c r="BF5" s="176" t="n"/>
      <c r="BG5" s="176" t="n"/>
      <c r="BH5" s="176" t="n"/>
      <c r="BI5" s="176" t="n"/>
      <c r="BJ5" s="176" t="n"/>
      <c r="BK5" s="176" t="n"/>
      <c r="BL5" s="176" t="n"/>
      <c r="BM5" s="176" t="n"/>
      <c r="BN5" s="176" t="n"/>
      <c r="BO5" s="176" t="n"/>
      <c r="BP5" s="176" t="n"/>
      <c r="BQ5" s="176" t="n"/>
      <c r="BR5" s="176" t="n"/>
    </row>
    <row r="6" ht="15" customHeight="1" s="392">
      <c r="A6" s="176" t="n"/>
      <c r="B6" s="180" t="n"/>
      <c r="D6" s="185" t="n"/>
      <c r="E6" s="185" t="n"/>
      <c r="F6" s="185" t="n"/>
      <c r="G6" s="185" t="n"/>
      <c r="H6" s="185" t="n"/>
      <c r="I6" s="185" t="n"/>
      <c r="J6" s="185" t="n"/>
      <c r="K6" s="185" t="n"/>
      <c r="M6" s="183" t="inlineStr">
        <is>
          <t>End: 31-Jul-2026</t>
        </is>
      </c>
      <c r="N6" s="183" t="inlineStr">
        <is>
          <t>End: 31-Jul-2025</t>
        </is>
      </c>
      <c r="O6" s="183" t="inlineStr">
        <is>
          <t>End: 31-Jul-2024</t>
        </is>
      </c>
      <c r="P6" s="183" t="inlineStr">
        <is>
          <t>End: 31-Jul-2023</t>
        </is>
      </c>
      <c r="Q6" s="183" t="inlineStr">
        <is>
          <t>End: 31-Jul-2022</t>
        </is>
      </c>
      <c r="R6" s="183" t="inlineStr">
        <is>
          <t>End: 31-Jul-2021</t>
        </is>
      </c>
      <c r="S6" s="183" t="inlineStr">
        <is>
          <t>End: 31-Jul-2020</t>
        </is>
      </c>
      <c r="T6" s="183" t="inlineStr">
        <is>
          <t>End: 31-Jul-2019</t>
        </is>
      </c>
      <c r="U6" s="183" t="inlineStr">
        <is>
          <t>End: 31-Jul-2018</t>
        </is>
      </c>
      <c r="V6" s="183" t="inlineStr">
        <is>
          <t>End: 31-Jul-2017</t>
        </is>
      </c>
      <c r="W6" s="183" t="inlineStr">
        <is>
          <t>End: 31-Jul-2016</t>
        </is>
      </c>
      <c r="X6" s="183" t="inlineStr">
        <is>
          <t>End: 31-Jul-2015</t>
        </is>
      </c>
      <c r="Y6" s="183" t="inlineStr">
        <is>
          <t>End: 31-Jul-2014</t>
        </is>
      </c>
      <c r="Z6" s="183" t="inlineStr">
        <is>
          <t>End: 31-Jul-2013</t>
        </is>
      </c>
      <c r="AA6" s="183" t="inlineStr">
        <is>
          <t>End: 31-Jul-2012</t>
        </is>
      </c>
      <c r="AB6" s="183" t="inlineStr">
        <is>
          <t>End: 31-Jul-2011</t>
        </is>
      </c>
      <c r="AC6" s="183" t="inlineStr">
        <is>
          <t>End: 31-Jul-2010</t>
        </is>
      </c>
      <c r="AD6" s="183" t="inlineStr">
        <is>
          <t>End: 31-Jul-2009</t>
        </is>
      </c>
      <c r="AE6" s="183" t="inlineStr">
        <is>
          <t>End: 31-Jul-2008</t>
        </is>
      </c>
      <c r="AF6" s="183" t="inlineStr">
        <is>
          <t>End: 31-Jul-2007</t>
        </is>
      </c>
      <c r="AG6" s="183" t="inlineStr">
        <is>
          <t>End: 31-Jul-2006</t>
        </is>
      </c>
      <c r="AH6" s="183" t="inlineStr">
        <is>
          <t>End: 31-Jul-2005</t>
        </is>
      </c>
      <c r="AI6" s="183" t="inlineStr">
        <is>
          <t>End: 31-Jul-2004</t>
        </is>
      </c>
      <c r="AJ6" s="183" t="inlineStr">
        <is>
          <t>End: 31-Jul-2003</t>
        </is>
      </c>
      <c r="AK6" s="183" t="inlineStr">
        <is>
          <t>End: 31-Jul-2002</t>
        </is>
      </c>
      <c r="AL6" s="183" t="inlineStr">
        <is>
          <t>End: 31-Jul-2001</t>
        </is>
      </c>
      <c r="AM6" s="183" t="inlineStr">
        <is>
          <t>End: 31-Jul-2000</t>
        </is>
      </c>
      <c r="AN6" s="183" t="inlineStr">
        <is>
          <t>End: 31-Jul-1999</t>
        </is>
      </c>
      <c r="AO6" s="183" t="inlineStr">
        <is>
          <t>End: 31-Jul-1998</t>
        </is>
      </c>
      <c r="AP6" s="183" t="inlineStr">
        <is>
          <t>End: 31-Jul-1997</t>
        </is>
      </c>
      <c r="AQ6" s="183" t="inlineStr">
        <is>
          <t>End: 31-Jul-1996</t>
        </is>
      </c>
      <c r="AR6" s="183" t="inlineStr">
        <is>
          <t>End: 31-Jul-1995</t>
        </is>
      </c>
      <c r="AS6" s="183" t="inlineStr">
        <is>
          <t>End: 31-Jul-1994</t>
        </is>
      </c>
      <c r="AT6" s="182" t="n"/>
      <c r="AU6" s="176" t="n"/>
      <c r="AV6" s="176" t="n"/>
      <c r="AW6" s="176" t="n"/>
      <c r="AX6" s="176" t="n"/>
      <c r="AY6" s="176" t="n"/>
      <c r="AZ6" s="176" t="n"/>
      <c r="BA6" s="176" t="n"/>
      <c r="BB6" s="176" t="n"/>
      <c r="BC6" s="176" t="n"/>
      <c r="BD6" s="176" t="n"/>
      <c r="BE6" s="176" t="n"/>
      <c r="BF6" s="176" t="n"/>
      <c r="BG6" s="176" t="n"/>
      <c r="BH6" s="176" t="n"/>
      <c r="BI6" s="176" t="n"/>
      <c r="BJ6" s="176" t="n"/>
      <c r="BK6" s="176" t="n"/>
      <c r="BL6" s="176" t="n"/>
      <c r="BM6" s="176" t="n"/>
      <c r="BN6" s="176" t="n"/>
      <c r="BO6" s="176" t="n"/>
      <c r="BP6" s="176" t="n"/>
      <c r="BQ6" s="176" t="n"/>
      <c r="BR6" s="176" t="n"/>
    </row>
    <row r="7" ht="15" customHeight="1" s="392">
      <c r="A7" s="176" t="n"/>
      <c r="B7" s="180" t="n"/>
      <c r="C7" s="183" t="inlineStr">
        <is>
          <t>Amount in thousands  (USD) (except Ratios, Multiples &amp; per share items)</t>
        </is>
      </c>
      <c r="D7" s="185" t="n"/>
      <c r="E7" s="185" t="n"/>
      <c r="F7" s="185" t="n"/>
      <c r="G7" s="185" t="n"/>
      <c r="H7" s="185" t="n"/>
      <c r="I7" s="185" t="n"/>
      <c r="J7" s="185" t="n"/>
      <c r="K7" s="185" t="n"/>
      <c r="M7" s="183" t="inlineStr">
        <is>
          <t>Filed: 10-Sep-2026</t>
        </is>
      </c>
      <c r="N7" s="183" t="inlineStr">
        <is>
          <t>Filed: 26-Sep-2025</t>
        </is>
      </c>
      <c r="O7" s="183" t="inlineStr">
        <is>
          <t>Filed: 26-Sep-2025</t>
        </is>
      </c>
      <c r="P7" s="183" t="inlineStr">
        <is>
          <t>Filed: 26-Sep-2025</t>
        </is>
      </c>
      <c r="Q7" s="183" t="inlineStr">
        <is>
          <t>Filed: 30-Sep-2024</t>
        </is>
      </c>
      <c r="R7" s="183" t="inlineStr">
        <is>
          <t>Filed: 28-Sep-2023</t>
        </is>
      </c>
      <c r="S7" s="183" t="inlineStr">
        <is>
          <t>Filed: 27-Sep-2022</t>
        </is>
      </c>
      <c r="T7" s="183" t="inlineStr">
        <is>
          <t>Filed: 27-Sep-2021</t>
        </is>
      </c>
      <c r="U7" s="183" t="inlineStr">
        <is>
          <t>Filed: 28-Sep-2020</t>
        </is>
      </c>
      <c r="V7" s="183" t="inlineStr">
        <is>
          <t>Filed: 30-Sep-2019</t>
        </is>
      </c>
      <c r="W7" s="183" t="inlineStr">
        <is>
          <t>Filed: 01-Oct-2018</t>
        </is>
      </c>
      <c r="X7" s="183" t="inlineStr">
        <is>
          <t>Filed: 28-Sep-2017</t>
        </is>
      </c>
      <c r="Y7" s="183" t="inlineStr">
        <is>
          <t>Filed: 28-Sep-2016</t>
        </is>
      </c>
      <c r="Z7" s="183" t="inlineStr">
        <is>
          <t>Filed: 25-Sep-2015</t>
        </is>
      </c>
      <c r="AA7" s="183" t="inlineStr">
        <is>
          <t>Filed: 31-Jul-2012</t>
        </is>
      </c>
      <c r="AB7" s="183" t="inlineStr">
        <is>
          <t>Filed: 31-Jul-2011</t>
        </is>
      </c>
      <c r="AC7" s="183" t="inlineStr">
        <is>
          <t>Filed: 31-Jul-2010</t>
        </is>
      </c>
      <c r="AD7" s="183" t="inlineStr">
        <is>
          <t>Filed: 31-Jul-2009</t>
        </is>
      </c>
      <c r="AE7" s="183" t="inlineStr">
        <is>
          <t>Filed: 31-Jul-2008</t>
        </is>
      </c>
      <c r="AF7" s="183" t="inlineStr">
        <is>
          <t>Filed: 31-Jul-2007</t>
        </is>
      </c>
      <c r="AG7" s="183" t="inlineStr">
        <is>
          <t>Filed: 31-Jul-2006</t>
        </is>
      </c>
      <c r="AH7" s="183" t="inlineStr">
        <is>
          <t>Filed: 31-Jul-2005</t>
        </is>
      </c>
      <c r="AI7" s="183" t="inlineStr">
        <is>
          <t>Filed: 31-Jul-2004</t>
        </is>
      </c>
      <c r="AJ7" s="183" t="inlineStr">
        <is>
          <t>Filed: 31-Jul-2003</t>
        </is>
      </c>
      <c r="AK7" s="183" t="inlineStr">
        <is>
          <t>Filed: 31-Jul-2002</t>
        </is>
      </c>
      <c r="AL7" s="183" t="inlineStr">
        <is>
          <t>Filed: 31-Jul-2001</t>
        </is>
      </c>
      <c r="AM7" s="183" t="inlineStr">
        <is>
          <t>Filed: 31-Jul-2000</t>
        </is>
      </c>
      <c r="AN7" s="183" t="inlineStr">
        <is>
          <t>Filed: 31-Jul-1999</t>
        </is>
      </c>
      <c r="AO7" s="183" t="inlineStr">
        <is>
          <t>Filed: 31-Jul-1998</t>
        </is>
      </c>
      <c r="AP7" s="183" t="inlineStr">
        <is>
          <t>Filed: 31-Jul-1997</t>
        </is>
      </c>
      <c r="AQ7" s="183" t="inlineStr">
        <is>
          <t>Filed: 31-Jul-1996</t>
        </is>
      </c>
      <c r="AR7" s="183" t="inlineStr">
        <is>
          <t>Filed: 31-Jul-1995</t>
        </is>
      </c>
      <c r="AS7" s="183" t="inlineStr">
        <is>
          <t>Filed: 31-Jul-1994</t>
        </is>
      </c>
      <c r="AT7" s="182" t="n"/>
      <c r="AU7" s="176" t="n"/>
      <c r="AV7" s="176" t="n"/>
      <c r="AW7" s="176" t="n"/>
      <c r="AX7" s="176" t="n"/>
      <c r="AY7" s="176" t="n"/>
      <c r="AZ7" s="176" t="n"/>
      <c r="BA7" s="176" t="n"/>
      <c r="BB7" s="176" t="n"/>
      <c r="BC7" s="176" t="n"/>
      <c r="BD7" s="176" t="n"/>
      <c r="BE7" s="176" t="n"/>
      <c r="BF7" s="176" t="n"/>
      <c r="BG7" s="176" t="n"/>
      <c r="BH7" s="176" t="n"/>
      <c r="BI7" s="176" t="n"/>
      <c r="BJ7" s="176" t="n"/>
      <c r="BK7" s="176" t="n"/>
      <c r="BL7" s="176" t="n"/>
      <c r="BM7" s="176" t="n"/>
      <c r="BN7" s="176" t="n"/>
      <c r="BO7" s="176" t="n"/>
      <c r="BP7" s="176" t="n"/>
      <c r="BQ7" s="176" t="n"/>
      <c r="BR7" s="176" t="n"/>
    </row>
    <row r="8" ht="15" customHeight="1" s="392">
      <c r="A8" s="176" t="n"/>
      <c r="B8" s="180" t="n"/>
      <c r="D8" s="185" t="n"/>
      <c r="E8" s="185" t="n"/>
      <c r="F8" s="185" t="n"/>
      <c r="G8" s="185" t="n"/>
      <c r="H8" s="185" t="n"/>
      <c r="I8" s="185" t="n"/>
      <c r="J8" s="185" t="n"/>
      <c r="K8" s="185" t="n"/>
      <c r="M8" s="188" t="inlineStr">
        <is>
          <t>View 8-KP</t>
        </is>
      </c>
      <c r="N8" s="188" t="inlineStr">
        <is>
          <t>View 10-K</t>
        </is>
      </c>
      <c r="O8" s="188" t="inlineStr">
        <is>
          <t>View 10-K</t>
        </is>
      </c>
      <c r="P8" s="188" t="inlineStr">
        <is>
          <t>View 10-K</t>
        </is>
      </c>
      <c r="Q8" s="188" t="inlineStr">
        <is>
          <t>View 10-K</t>
        </is>
      </c>
      <c r="R8" s="188" t="inlineStr">
        <is>
          <t>View 10-K</t>
        </is>
      </c>
      <c r="S8" s="188" t="inlineStr">
        <is>
          <t>View 10-K</t>
        </is>
      </c>
      <c r="T8" s="188" t="inlineStr">
        <is>
          <t>View 10-K</t>
        </is>
      </c>
      <c r="U8" s="188" t="inlineStr">
        <is>
          <t>View 10-K</t>
        </is>
      </c>
      <c r="V8" s="188" t="inlineStr">
        <is>
          <t>View 10-K</t>
        </is>
      </c>
      <c r="W8" s="188" t="inlineStr">
        <is>
          <t>View 10-K</t>
        </is>
      </c>
      <c r="X8" s="188" t="inlineStr">
        <is>
          <t>View 10-K</t>
        </is>
      </c>
      <c r="Y8" s="188" t="inlineStr">
        <is>
          <t>View 10-K</t>
        </is>
      </c>
      <c r="Z8" s="188" t="inlineStr">
        <is>
          <t>View 10-K</t>
        </is>
      </c>
      <c r="AA8" s="188" t="inlineStr">
        <is>
          <t>View 10-K</t>
        </is>
      </c>
      <c r="AB8" s="188" t="inlineStr">
        <is>
          <t>View 10-K</t>
        </is>
      </c>
      <c r="AC8" s="188" t="inlineStr">
        <is>
          <t>View 10-K</t>
        </is>
      </c>
      <c r="AD8" s="188" t="inlineStr">
        <is>
          <t>View 10-K</t>
        </is>
      </c>
      <c r="AT8" s="182" t="n"/>
      <c r="AU8" s="176" t="n"/>
      <c r="AV8" s="176" t="n"/>
      <c r="AW8" s="176" t="n"/>
      <c r="AX8" s="176" t="n"/>
      <c r="AY8" s="176" t="n"/>
      <c r="AZ8" s="176" t="n"/>
      <c r="BA8" s="176" t="n"/>
      <c r="BB8" s="176" t="n"/>
      <c r="BC8" s="176" t="n"/>
      <c r="BD8" s="176" t="n"/>
      <c r="BE8" s="176" t="n"/>
      <c r="BF8" s="176" t="n"/>
      <c r="BG8" s="176" t="n"/>
      <c r="BH8" s="176" t="n"/>
      <c r="BI8" s="176" t="n"/>
      <c r="BJ8" s="176" t="n"/>
      <c r="BK8" s="176" t="n"/>
      <c r="BL8" s="176" t="n"/>
      <c r="BM8" s="176" t="n"/>
      <c r="BN8" s="176" t="n"/>
      <c r="BO8" s="176" t="n"/>
      <c r="BP8" s="176" t="n"/>
      <c r="BQ8" s="176" t="n"/>
      <c r="BR8" s="176" t="n"/>
    </row>
    <row r="9" ht="15" customHeight="1" s="392">
      <c r="A9" s="176" t="n"/>
      <c r="B9" s="180" t="n"/>
      <c r="D9" s="185" t="n"/>
      <c r="E9" s="185" t="n"/>
      <c r="F9" s="185" t="n"/>
      <c r="G9" s="185" t="n"/>
      <c r="H9" s="185" t="n"/>
      <c r="I9" s="185" t="n"/>
      <c r="J9" s="185" t="n"/>
      <c r="K9" s="185" t="n"/>
      <c r="AT9" s="182" t="n"/>
      <c r="AU9" s="176" t="n"/>
      <c r="AV9" s="176" t="n"/>
      <c r="AW9" s="176" t="n"/>
      <c r="AX9" s="176" t="n"/>
      <c r="AY9" s="176" t="n"/>
      <c r="AZ9" s="176" t="n"/>
      <c r="BA9" s="176" t="n"/>
      <c r="BB9" s="176" t="n"/>
      <c r="BC9" s="176" t="n"/>
      <c r="BD9" s="176" t="n"/>
      <c r="BE9" s="176" t="n"/>
      <c r="BF9" s="176" t="n"/>
      <c r="BG9" s="176" t="n"/>
      <c r="BH9" s="176" t="n"/>
      <c r="BI9" s="176" t="n"/>
      <c r="BJ9" s="176" t="n"/>
      <c r="BK9" s="176" t="n"/>
      <c r="BL9" s="176" t="n"/>
      <c r="BM9" s="176" t="n"/>
      <c r="BN9" s="176" t="n"/>
      <c r="BO9" s="176" t="n"/>
      <c r="BP9" s="176" t="n"/>
      <c r="BQ9" s="176" t="n"/>
      <c r="BR9" s="176" t="n"/>
    </row>
    <row r="10" ht="15" customHeight="1" s="392">
      <c r="A10" s="176" t="n"/>
      <c r="B10" s="180" t="n"/>
      <c r="D10" s="185" t="n"/>
      <c r="E10" s="185" t="n"/>
      <c r="F10" s="185" t="n"/>
      <c r="G10" s="185" t="n"/>
      <c r="H10" s="185" t="n"/>
      <c r="I10" s="185" t="n"/>
      <c r="J10" s="185" t="n"/>
      <c r="K10" s="185" t="n"/>
      <c r="AT10" s="182" t="n"/>
      <c r="AU10" s="176" t="n"/>
      <c r="AV10" s="176" t="n"/>
      <c r="AW10" s="176" t="n"/>
      <c r="AX10" s="176" t="n"/>
      <c r="AY10" s="176" t="n"/>
      <c r="AZ10" s="176" t="n"/>
      <c r="BA10" s="176" t="n"/>
      <c r="BB10" s="176" t="n"/>
      <c r="BC10" s="176" t="n"/>
      <c r="BD10" s="176" t="n"/>
      <c r="BE10" s="176" t="n"/>
      <c r="BF10" s="176" t="n"/>
      <c r="BG10" s="176" t="n"/>
      <c r="BH10" s="176" t="n"/>
      <c r="BI10" s="176" t="n"/>
      <c r="BJ10" s="176" t="n"/>
      <c r="BK10" s="176" t="n"/>
      <c r="BL10" s="176" t="n"/>
      <c r="BM10" s="176" t="n"/>
      <c r="BN10" s="176" t="n"/>
      <c r="BO10" s="176" t="n"/>
      <c r="BP10" s="176" t="n"/>
      <c r="BQ10" s="176" t="n"/>
      <c r="BR10" s="176" t="n"/>
    </row>
    <row r="11" ht="15" customHeight="1" s="392">
      <c r="A11" s="176" t="n"/>
      <c r="B11" s="180" t="n"/>
      <c r="C11" s="189" t="inlineStr">
        <is>
          <t>Gross Profit</t>
        </is>
      </c>
      <c r="D11" s="185" t="n"/>
      <c r="E11" s="185" t="n"/>
      <c r="F11" s="185" t="n"/>
      <c r="G11" s="185" t="n"/>
      <c r="H11" s="185" t="n"/>
      <c r="I11" s="185" t="n"/>
      <c r="J11" s="185" t="n"/>
      <c r="K11" s="185" t="n"/>
      <c r="L11" s="185" t="n"/>
      <c r="M11" s="185" t="n"/>
      <c r="N11" s="185" t="n"/>
      <c r="O11" s="185" t="n"/>
      <c r="P11" s="185" t="n"/>
      <c r="Q11" s="185" t="n"/>
      <c r="R11" s="185" t="n"/>
      <c r="S11" s="185" t="n"/>
      <c r="T11" s="185" t="n"/>
      <c r="U11" s="185" t="n"/>
      <c r="V11" s="185" t="n"/>
      <c r="W11" s="185" t="n"/>
      <c r="X11" s="185" t="n"/>
      <c r="Y11" s="185" t="n"/>
      <c r="Z11" s="185" t="n"/>
      <c r="AA11" s="185" t="n"/>
      <c r="AB11" s="185" t="n"/>
      <c r="AC11" s="185" t="n"/>
      <c r="AD11" s="185" t="n"/>
      <c r="AE11" s="185" t="n"/>
      <c r="AF11" s="185" t="n"/>
      <c r="AG11" s="185" t="n"/>
      <c r="AH11" s="185" t="n"/>
      <c r="AI11" s="185" t="n"/>
      <c r="AJ11" s="185" t="n"/>
      <c r="AK11" s="185" t="n"/>
      <c r="AL11" s="185" t="n"/>
      <c r="AM11" s="185" t="n"/>
      <c r="AN11" s="185" t="n"/>
      <c r="AO11" s="185" t="n"/>
      <c r="AP11" s="185" t="n"/>
      <c r="AQ11" s="185" t="n"/>
      <c r="AR11" s="185" t="n"/>
      <c r="AS11" s="185" t="n"/>
      <c r="AT11" s="182" t="n"/>
      <c r="AU11" s="176" t="n"/>
      <c r="AV11" s="176" t="n"/>
      <c r="AW11" s="176" t="n"/>
      <c r="AX11" s="176" t="n"/>
      <c r="AY11" s="176" t="n"/>
      <c r="AZ11" s="176" t="n"/>
      <c r="BA11" s="176" t="n"/>
      <c r="BB11" s="176" t="n"/>
      <c r="BC11" s="176" t="n"/>
      <c r="BD11" s="176" t="n"/>
      <c r="BE11" s="176" t="n"/>
      <c r="BF11" s="176" t="n"/>
      <c r="BG11" s="176" t="n"/>
      <c r="BH11" s="176" t="n"/>
      <c r="BI11" s="176" t="n"/>
      <c r="BJ11" s="176" t="n"/>
      <c r="BK11" s="176" t="n"/>
      <c r="BL11" s="176" t="n"/>
      <c r="BM11" s="176" t="n"/>
      <c r="BN11" s="176" t="n"/>
      <c r="BO11" s="176" t="n"/>
      <c r="BP11" s="176" t="n"/>
      <c r="BQ11" s="176" t="n"/>
      <c r="BR11" s="176" t="n"/>
    </row>
    <row r="12" ht="15" customHeight="1" s="392">
      <c r="A12" s="176" t="n"/>
      <c r="B12" s="180" t="n"/>
      <c r="C12" s="183" t="inlineStr">
        <is>
          <t xml:space="preserve">    Revenue</t>
        </is>
      </c>
      <c r="D12" s="185" t="n"/>
      <c r="E12" s="185" t="n"/>
      <c r="F12" s="185" t="n"/>
      <c r="G12" s="185" t="n"/>
      <c r="H12" s="185" t="n"/>
      <c r="I12" s="185" t="n"/>
      <c r="J12" s="185" t="n"/>
      <c r="K12" s="185" t="n"/>
      <c r="AT12" s="182" t="n"/>
      <c r="AU12" s="176" t="n"/>
      <c r="AV12" s="176" t="n"/>
      <c r="AW12" s="176" t="n"/>
      <c r="AX12" s="176" t="n"/>
      <c r="AY12" s="176" t="n"/>
      <c r="AZ12" s="176" t="n"/>
      <c r="BA12" s="176" t="n"/>
      <c r="BB12" s="176" t="n"/>
      <c r="BC12" s="176" t="n"/>
      <c r="BD12" s="176" t="n"/>
      <c r="BE12" s="176" t="n"/>
      <c r="BF12" s="176" t="n"/>
      <c r="BG12" s="176" t="n"/>
      <c r="BH12" s="176" t="n"/>
      <c r="BI12" s="176" t="n"/>
      <c r="BJ12" s="176" t="n"/>
      <c r="BK12" s="176" t="n"/>
      <c r="BL12" s="176" t="n"/>
      <c r="BM12" s="176" t="n"/>
      <c r="BN12" s="176" t="n"/>
      <c r="BO12" s="176" t="n"/>
      <c r="BP12" s="176" t="n"/>
      <c r="BQ12" s="176" t="n"/>
      <c r="BR12" s="176" t="n"/>
    </row>
    <row r="13" ht="15" customHeight="1" s="392">
      <c r="A13" s="176" t="n"/>
      <c r="B13" s="180" t="n"/>
      <c r="C13" s="183" t="inlineStr">
        <is>
          <t xml:space="preserve">        Business Revenue</t>
        </is>
      </c>
      <c r="D13" s="190">
        <f>IF(COUNT(M13:AS13)&gt;0,MEDIAN(M13:AS13),"")</f>
        <v/>
      </c>
      <c r="E13" s="190">
        <f>IF(COUNT(M13:AS13)&gt;0,AVERAGE(M13:AS13),"")</f>
        <v/>
      </c>
      <c r="F13" s="190">
        <f>IF(COUNT(M13:AS13)&gt;0,MIN(M13:AS13),"")</f>
        <v/>
      </c>
      <c r="G13" s="190">
        <f>IF(COUNT(M13:AS13)&gt;0,MAX(M13:AS13),"")</f>
        <v/>
      </c>
      <c r="H13" s="190">
        <f>IF(COUNT(M13:AS13)&gt;0,QUARTILE(M13:AS13,1),"")</f>
        <v/>
      </c>
      <c r="I13" s="190">
        <f>IF(COUNT(M13:AS13)&gt;0,QUARTILE(M13:AS13,3),"")</f>
        <v/>
      </c>
      <c r="J13" s="190">
        <f>IF(COUNT(M13:AS13)&gt;1,STDEV(M13:AS13),"")</f>
        <v/>
      </c>
      <c r="K13" s="191">
        <f>IF(COUNT(M13:AS13)&gt;1,STDEV(M13:AS13)/AVERAGE(M13:AS13),"")</f>
        <v/>
      </c>
      <c r="M13" s="192" t="n">
        <v>4666209</v>
      </c>
      <c r="N13" s="192" t="n">
        <v>4646958</v>
      </c>
      <c r="O13" s="192" t="n">
        <v>4236823</v>
      </c>
      <c r="P13" s="192" t="n">
        <v>3869518</v>
      </c>
      <c r="Q13" s="192" t="n">
        <v>3500921</v>
      </c>
      <c r="R13" s="192" t="n">
        <v>2692511</v>
      </c>
      <c r="S13" s="192" t="n">
        <v>2205583</v>
      </c>
      <c r="T13" s="192" t="n">
        <v>2041957</v>
      </c>
      <c r="U13" s="192" t="n">
        <v>1805695</v>
      </c>
      <c r="V13" s="192" t="n">
        <v>1447981</v>
      </c>
      <c r="W13" s="192" t="n">
        <v>1268449</v>
      </c>
      <c r="X13" s="192" t="n">
        <v>1146079</v>
      </c>
      <c r="Y13" s="192" t="n">
        <v>1163489</v>
      </c>
      <c r="Z13" s="192" t="n">
        <v>1046386</v>
      </c>
      <c r="AA13" s="192" t="n">
        <v>924191</v>
      </c>
      <c r="AB13" s="192" t="n">
        <v>872246</v>
      </c>
      <c r="AC13" s="192" t="n">
        <v>772879</v>
      </c>
      <c r="AD13" s="192" t="n">
        <v>743082</v>
      </c>
      <c r="AE13" s="192" t="n">
        <v>784848</v>
      </c>
      <c r="AF13" s="192" t="n">
        <v>560680</v>
      </c>
      <c r="AG13" s="192" t="n">
        <v>528571</v>
      </c>
      <c r="AH13" s="192" t="n">
        <v>447731</v>
      </c>
      <c r="AI13" s="192" t="n">
        <v>391014</v>
      </c>
      <c r="AJ13" s="192" t="n">
        <v>347423</v>
      </c>
      <c r="AK13" s="192" t="n">
        <v>316455.8</v>
      </c>
      <c r="AL13" s="192" t="n">
        <v>253889.4</v>
      </c>
      <c r="AM13" s="192" t="n">
        <v>190042.3</v>
      </c>
      <c r="AN13" s="192" t="n">
        <v>141800</v>
      </c>
      <c r="AO13" s="192" t="n">
        <v>114200</v>
      </c>
      <c r="AP13" s="192" t="n">
        <v>126300</v>
      </c>
      <c r="AQ13" s="192" t="n">
        <v>118200</v>
      </c>
      <c r="AR13" s="192" t="n">
        <v>58100</v>
      </c>
      <c r="AS13" s="192" t="n">
        <v>22800</v>
      </c>
      <c r="AT13" s="182" t="n"/>
      <c r="AU13" s="176" t="n"/>
      <c r="AV13" s="176" t="n"/>
      <c r="AW13" s="176" t="n"/>
      <c r="AX13" s="176" t="n"/>
      <c r="AY13" s="176" t="n"/>
      <c r="AZ13" s="176" t="n"/>
      <c r="BA13" s="176" t="n"/>
      <c r="BB13" s="176" t="n"/>
      <c r="BC13" s="176" t="n"/>
      <c r="BD13" s="176" t="n"/>
      <c r="BE13" s="176" t="n"/>
      <c r="BF13" s="176" t="n"/>
      <c r="BG13" s="176" t="n"/>
      <c r="BH13" s="176" t="n"/>
      <c r="BI13" s="176" t="n"/>
      <c r="BJ13" s="176" t="n"/>
      <c r="BK13" s="176" t="n"/>
      <c r="BL13" s="176" t="n"/>
      <c r="BM13" s="176" t="n"/>
      <c r="BN13" s="176" t="n"/>
      <c r="BO13" s="176" t="n"/>
      <c r="BP13" s="176" t="n"/>
      <c r="BQ13" s="176" t="n"/>
      <c r="BR13" s="176" t="n"/>
    </row>
    <row r="14" ht="15" customHeight="1" s="392">
      <c r="A14" s="176" t="n"/>
      <c r="B14" s="180" t="n"/>
      <c r="C14" s="187" t="inlineStr">
        <is>
          <t xml:space="preserve">    Total Revenue</t>
        </is>
      </c>
      <c r="D14" s="193">
        <f>IF(COUNT(M14:AS14)&gt;0,MEDIAN(M14:AS14),"")</f>
        <v/>
      </c>
      <c r="E14" s="193">
        <f>IF(COUNT(M14:AS14)&gt;0,AVERAGE(M14:AS14),"")</f>
        <v/>
      </c>
      <c r="F14" s="193">
        <f>IF(COUNT(M14:AS14)&gt;0,MIN(M14:AS14),"")</f>
        <v/>
      </c>
      <c r="G14" s="193">
        <f>IF(COUNT(M14:AS14)&gt;0,MAX(M14:AS14),"")</f>
        <v/>
      </c>
      <c r="H14" s="193">
        <f>IF(COUNT(M14:AS14)&gt;0,QUARTILE(M14:AS14,1),"")</f>
        <v/>
      </c>
      <c r="I14" s="193">
        <f>IF(COUNT(M14:AS14)&gt;0,QUARTILE(M14:AS14,3),"")</f>
        <v/>
      </c>
      <c r="J14" s="193">
        <f>IF(COUNT(M14:AS14)&gt;1,STDEV(M14:AS14),"")</f>
        <v/>
      </c>
      <c r="K14" s="194">
        <f>IF(COUNT(M14:AS14)&gt;1,STDEV(M14:AS14)/AVERAGE(M14:AS14),"")</f>
        <v/>
      </c>
      <c r="L14" s="195" t="n"/>
      <c r="M14" s="196" t="n">
        <v>4666209</v>
      </c>
      <c r="N14" s="196" t="n">
        <v>4646958</v>
      </c>
      <c r="O14" s="196" t="n">
        <v>4236823</v>
      </c>
      <c r="P14" s="196" t="n">
        <v>3869518</v>
      </c>
      <c r="Q14" s="196" t="n">
        <v>3500921</v>
      </c>
      <c r="R14" s="196" t="n">
        <v>2692511</v>
      </c>
      <c r="S14" s="196" t="n">
        <v>2205583</v>
      </c>
      <c r="T14" s="196" t="n">
        <v>2041957</v>
      </c>
      <c r="U14" s="196" t="n">
        <v>1805695</v>
      </c>
      <c r="V14" s="196" t="n">
        <v>1447981</v>
      </c>
      <c r="W14" s="196" t="n">
        <v>1268449</v>
      </c>
      <c r="X14" s="196" t="n">
        <v>1146079</v>
      </c>
      <c r="Y14" s="196" t="n">
        <v>1163489</v>
      </c>
      <c r="Z14" s="196" t="n">
        <v>1046386</v>
      </c>
      <c r="AA14" s="196" t="n">
        <v>924191</v>
      </c>
      <c r="AB14" s="196" t="n">
        <v>872246</v>
      </c>
      <c r="AC14" s="196" t="n">
        <v>772879</v>
      </c>
      <c r="AD14" s="196" t="n">
        <v>743082</v>
      </c>
      <c r="AE14" s="196" t="n">
        <v>784848</v>
      </c>
      <c r="AF14" s="196" t="n">
        <v>560680</v>
      </c>
      <c r="AG14" s="196" t="n">
        <v>528571</v>
      </c>
      <c r="AH14" s="196" t="n">
        <v>447731</v>
      </c>
      <c r="AI14" s="196" t="n">
        <v>391014</v>
      </c>
      <c r="AJ14" s="196" t="n">
        <v>347423</v>
      </c>
      <c r="AK14" s="196" t="n">
        <v>316455.8</v>
      </c>
      <c r="AL14" s="196" t="n">
        <v>253889.4</v>
      </c>
      <c r="AM14" s="196" t="n">
        <v>190042.3</v>
      </c>
      <c r="AN14" s="196" t="n">
        <v>141800</v>
      </c>
      <c r="AO14" s="196" t="n">
        <v>114200</v>
      </c>
      <c r="AP14" s="196" t="n">
        <v>126300</v>
      </c>
      <c r="AQ14" s="196" t="n">
        <v>118200</v>
      </c>
      <c r="AR14" s="196" t="n">
        <v>58100</v>
      </c>
      <c r="AS14" s="196" t="n">
        <v>22800</v>
      </c>
      <c r="AT14" s="182" t="n"/>
      <c r="AU14" s="176" t="n"/>
      <c r="AV14" s="176" t="n"/>
      <c r="AW14" s="176" t="n"/>
      <c r="AX14" s="176" t="n"/>
      <c r="AY14" s="176" t="n"/>
      <c r="AZ14" s="176" t="n"/>
      <c r="BA14" s="176" t="n"/>
      <c r="BB14" s="176" t="n"/>
      <c r="BC14" s="176" t="n"/>
      <c r="BD14" s="176" t="n"/>
      <c r="BE14" s="176" t="n"/>
      <c r="BF14" s="176" t="n"/>
      <c r="BG14" s="176" t="n"/>
      <c r="BH14" s="176" t="n"/>
      <c r="BI14" s="176" t="n"/>
      <c r="BJ14" s="176" t="n"/>
      <c r="BK14" s="176" t="n"/>
      <c r="BL14" s="176" t="n"/>
      <c r="BM14" s="176" t="n"/>
      <c r="BN14" s="176" t="n"/>
      <c r="BO14" s="176" t="n"/>
      <c r="BP14" s="176" t="n"/>
      <c r="BQ14" s="176" t="n"/>
      <c r="BR14" s="176" t="n"/>
    </row>
    <row r="15" ht="15" customHeight="1" s="392">
      <c r="A15" s="176" t="n"/>
      <c r="B15" s="180" t="n"/>
      <c r="C15" s="183" t="inlineStr">
        <is>
          <t xml:space="preserve">    Cost of Revenue</t>
        </is>
      </c>
      <c r="D15" s="185" t="n"/>
      <c r="E15" s="185" t="n"/>
      <c r="F15" s="185" t="n"/>
      <c r="G15" s="185" t="n"/>
      <c r="H15" s="185" t="n"/>
      <c r="I15" s="185" t="n"/>
      <c r="J15" s="185" t="n"/>
      <c r="K15" s="185" t="n"/>
      <c r="AT15" s="182" t="n"/>
      <c r="AU15" s="176" t="n"/>
      <c r="AV15" s="176" t="n"/>
      <c r="AW15" s="176" t="n"/>
      <c r="AX15" s="176" t="n"/>
      <c r="AY15" s="176" t="n"/>
      <c r="AZ15" s="176" t="n"/>
      <c r="BA15" s="176" t="n"/>
      <c r="BB15" s="176" t="n"/>
      <c r="BC15" s="176" t="n"/>
      <c r="BD15" s="176" t="n"/>
      <c r="BE15" s="176" t="n"/>
      <c r="BF15" s="176" t="n"/>
      <c r="BG15" s="176" t="n"/>
      <c r="BH15" s="176" t="n"/>
      <c r="BI15" s="176" t="n"/>
      <c r="BJ15" s="176" t="n"/>
      <c r="BK15" s="176" t="n"/>
      <c r="BL15" s="176" t="n"/>
      <c r="BM15" s="176" t="n"/>
      <c r="BN15" s="176" t="n"/>
      <c r="BO15" s="176" t="n"/>
      <c r="BP15" s="176" t="n"/>
      <c r="BQ15" s="176" t="n"/>
      <c r="BR15" s="176" t="n"/>
    </row>
    <row r="16" ht="15" customHeight="1" s="392">
      <c r="A16" s="176" t="n"/>
      <c r="B16" s="180" t="n"/>
      <c r="C16" s="183" t="inlineStr">
        <is>
          <t xml:space="preserve">        Cost of Goods and Services</t>
        </is>
      </c>
      <c r="D16" s="190">
        <f>IF(COUNT(M16:AS16)&gt;0,MEDIAN(M16:AS16),"")</f>
        <v/>
      </c>
      <c r="E16" s="190">
        <f>IF(COUNT(M16:AS16)&gt;0,AVERAGE(M16:AS16),"")</f>
        <v/>
      </c>
      <c r="F16" s="190">
        <f>IF(COUNT(M16:AS16)&gt;0,MIN(M16:AS16),"")</f>
        <v/>
      </c>
      <c r="G16" s="190">
        <f>IF(COUNT(M16:AS16)&gt;0,MAX(M16:AS16),"")</f>
        <v/>
      </c>
      <c r="H16" s="190">
        <f>IF(COUNT(M16:AS16)&gt;0,QUARTILE(M16:AS16,1),"")</f>
        <v/>
      </c>
      <c r="I16" s="190">
        <f>IF(COUNT(M16:AS16)&gt;0,QUARTILE(M16:AS16,3),"")</f>
        <v/>
      </c>
      <c r="J16" s="190">
        <f>IF(COUNT(M16:AS16)&gt;1,STDEV(M16:AS16),"")</f>
        <v/>
      </c>
      <c r="K16" s="191">
        <f>IF(COUNT(M16:AS16)&gt;1,STDEV(M16:AS16)/AVERAGE(M16:AS16),"")</f>
        <v/>
      </c>
      <c r="M16" s="192" t="n">
        <v>2372210</v>
      </c>
      <c r="N16" s="192" t="n">
        <v>2547315</v>
      </c>
      <c r="O16" s="192" t="n">
        <v>2329571</v>
      </c>
      <c r="P16" s="192" t="n">
        <v>2132527</v>
      </c>
      <c r="Q16" s="192" t="n">
        <v>1894700</v>
      </c>
      <c r="R16" s="192" t="n">
        <v>1349420</v>
      </c>
      <c r="S16" s="192" t="n">
        <v>1197781</v>
      </c>
      <c r="T16" s="192" t="n">
        <v>1143615</v>
      </c>
      <c r="U16" s="192" t="n">
        <v>1043329</v>
      </c>
      <c r="V16" s="192" t="n">
        <v>815953</v>
      </c>
      <c r="W16" s="192" t="n">
        <v>723863</v>
      </c>
      <c r="X16" s="192" t="n">
        <v>662703</v>
      </c>
      <c r="Y16" s="192" t="n">
        <v>694916</v>
      </c>
      <c r="Z16" s="192" t="n">
        <v>625464</v>
      </c>
      <c r="AA16" s="192" t="n">
        <v>514575</v>
      </c>
      <c r="AB16" s="192" t="n">
        <v>499351</v>
      </c>
      <c r="AC16" s="192" t="n"/>
      <c r="AD16" s="192" t="n"/>
      <c r="AE16" s="192" t="n"/>
      <c r="AF16" s="192" t="n"/>
      <c r="AG16" s="192" t="n"/>
      <c r="AH16" s="192" t="n"/>
      <c r="AI16" s="192" t="n"/>
      <c r="AJ16" s="192" t="n"/>
      <c r="AK16" s="192" t="n"/>
      <c r="AL16" s="192" t="n"/>
      <c r="AM16" s="192" t="n"/>
      <c r="AN16" s="192" t="n"/>
      <c r="AO16" s="192" t="n"/>
      <c r="AP16" s="192" t="n"/>
      <c r="AQ16" s="192" t="n"/>
      <c r="AR16" s="192" t="n"/>
      <c r="AS16" s="192" t="n"/>
      <c r="AT16" s="182" t="n"/>
      <c r="AU16" s="176" t="n"/>
      <c r="AV16" s="176" t="n"/>
      <c r="AW16" s="176" t="n"/>
      <c r="AX16" s="176" t="n"/>
      <c r="AY16" s="176" t="n"/>
      <c r="AZ16" s="176" t="n"/>
      <c r="BA16" s="176" t="n"/>
      <c r="BB16" s="176" t="n"/>
      <c r="BC16" s="176" t="n"/>
      <c r="BD16" s="176" t="n"/>
      <c r="BE16" s="176" t="n"/>
      <c r="BF16" s="176" t="n"/>
      <c r="BG16" s="176" t="n"/>
      <c r="BH16" s="176" t="n"/>
      <c r="BI16" s="176" t="n"/>
      <c r="BJ16" s="176" t="n"/>
      <c r="BK16" s="176" t="n"/>
      <c r="BL16" s="176" t="n"/>
      <c r="BM16" s="176" t="n"/>
      <c r="BN16" s="176" t="n"/>
      <c r="BO16" s="176" t="n"/>
      <c r="BP16" s="176" t="n"/>
      <c r="BQ16" s="176" t="n"/>
      <c r="BR16" s="176" t="n"/>
    </row>
    <row r="17" ht="15" customHeight="1" s="392">
      <c r="A17" s="176" t="n"/>
      <c r="B17" s="180" t="n"/>
      <c r="C17" s="183" t="inlineStr">
        <is>
          <t xml:space="preserve">        Staff Cost, Cost of Revenue</t>
        </is>
      </c>
      <c r="D17" s="190">
        <f>IF(COUNT(M17:AS17)&gt;0,MEDIAN(M17:AS17),"")</f>
        <v/>
      </c>
      <c r="E17" s="190">
        <f>IF(COUNT(M17:AS17)&gt;0,AVERAGE(M17:AS17),"")</f>
        <v/>
      </c>
      <c r="F17" s="190">
        <f>IF(COUNT(M17:AS17)&gt;0,MIN(M17:AS17),"")</f>
        <v/>
      </c>
      <c r="G17" s="190">
        <f>IF(COUNT(M17:AS17)&gt;0,MAX(M17:AS17),"")</f>
        <v/>
      </c>
      <c r="H17" s="190">
        <f>IF(COUNT(M17:AS17)&gt;0,QUARTILE(M17:AS17,1),"")</f>
        <v/>
      </c>
      <c r="I17" s="190">
        <f>IF(COUNT(M17:AS17)&gt;0,QUARTILE(M17:AS17,3),"")</f>
        <v/>
      </c>
      <c r="J17" s="190">
        <f>IF(COUNT(M17:AS17)&gt;1,STDEV(M17:AS17),"")</f>
        <v/>
      </c>
      <c r="K17" s="191">
        <f>IF(COUNT(M17:AS17)&gt;1,STDEV(M17:AS17)/AVERAGE(M17:AS17),"")</f>
        <v/>
      </c>
      <c r="M17" s="192" t="n">
        <v>8472</v>
      </c>
      <c r="N17" s="192" t="n"/>
      <c r="O17" s="192" t="n"/>
      <c r="P17" s="192" t="n"/>
      <c r="Q17" s="192" t="n"/>
      <c r="R17" s="192" t="n"/>
      <c r="S17" s="192" t="n"/>
      <c r="T17" s="192" t="n"/>
      <c r="U17" s="192" t="n"/>
      <c r="V17" s="192" t="n"/>
      <c r="W17" s="192" t="n"/>
      <c r="X17" s="192" t="n"/>
      <c r="Y17" s="192" t="n"/>
      <c r="Z17" s="192" t="n"/>
      <c r="AA17" s="192" t="n"/>
      <c r="AB17" s="192" t="n"/>
      <c r="AC17" s="192" t="n"/>
      <c r="AD17" s="192" t="n"/>
      <c r="AE17" s="192" t="n"/>
      <c r="AF17" s="192" t="n"/>
      <c r="AG17" s="192" t="n"/>
      <c r="AH17" s="192" t="n"/>
      <c r="AI17" s="192" t="n"/>
      <c r="AJ17" s="192" t="n"/>
      <c r="AK17" s="192" t="n"/>
      <c r="AL17" s="192" t="n"/>
      <c r="AM17" s="192" t="n"/>
      <c r="AN17" s="192" t="n"/>
      <c r="AO17" s="192" t="n"/>
      <c r="AP17" s="192" t="n"/>
      <c r="AQ17" s="192" t="n"/>
      <c r="AR17" s="192" t="n"/>
      <c r="AS17" s="192" t="n"/>
      <c r="AT17" s="182" t="n"/>
      <c r="AU17" s="176" t="n"/>
      <c r="AV17" s="176" t="n"/>
      <c r="AW17" s="176" t="n"/>
      <c r="AX17" s="176" t="n"/>
      <c r="AY17" s="176" t="n"/>
      <c r="AZ17" s="176" t="n"/>
      <c r="BA17" s="176" t="n"/>
      <c r="BB17" s="176" t="n"/>
      <c r="BC17" s="176" t="n"/>
      <c r="BD17" s="176" t="n"/>
      <c r="BE17" s="176" t="n"/>
      <c r="BF17" s="176" t="n"/>
      <c r="BG17" s="176" t="n"/>
      <c r="BH17" s="176" t="n"/>
      <c r="BI17" s="176" t="n"/>
      <c r="BJ17" s="176" t="n"/>
      <c r="BK17" s="176" t="n"/>
      <c r="BL17" s="176" t="n"/>
      <c r="BM17" s="176" t="n"/>
      <c r="BN17" s="176" t="n"/>
      <c r="BO17" s="176" t="n"/>
      <c r="BP17" s="176" t="n"/>
      <c r="BQ17" s="176" t="n"/>
      <c r="BR17" s="176" t="n"/>
    </row>
    <row r="18" ht="15" customHeight="1" s="392">
      <c r="A18" s="176" t="n"/>
      <c r="B18" s="180" t="n"/>
      <c r="C18" s="183" t="inlineStr">
        <is>
          <t xml:space="preserve">        Depreciation &amp; Amortization, Cost of Revenue</t>
        </is>
      </c>
      <c r="D18" s="190">
        <f>IF(COUNT(M18:AS18)&gt;0,MEDIAN(M18:AS18),"")</f>
        <v/>
      </c>
      <c r="E18" s="190">
        <f>IF(COUNT(M18:AS18)&gt;0,AVERAGE(M18:AS18),"")</f>
        <v/>
      </c>
      <c r="F18" s="190">
        <f>IF(COUNT(M18:AS18)&gt;0,MIN(M18:AS18),"")</f>
        <v/>
      </c>
      <c r="G18" s="190">
        <f>IF(COUNT(M18:AS18)&gt;0,MAX(M18:AS18),"")</f>
        <v/>
      </c>
      <c r="H18" s="190">
        <f>IF(COUNT(M18:AS18)&gt;0,QUARTILE(M18:AS18,1),"")</f>
        <v/>
      </c>
      <c r="I18" s="190">
        <f>IF(COUNT(M18:AS18)&gt;0,QUARTILE(M18:AS18,3),"")</f>
        <v/>
      </c>
      <c r="J18" s="190">
        <f>IF(COUNT(M18:AS18)&gt;1,STDEV(M18:AS18),"")</f>
        <v/>
      </c>
      <c r="K18" s="191">
        <f>IF(COUNT(M18:AS18)&gt;1,STDEV(M18:AS18)/AVERAGE(M18:AS18),"")</f>
        <v/>
      </c>
      <c r="M18" s="192" t="n">
        <v>201669</v>
      </c>
      <c r="N18" s="192" t="n"/>
      <c r="O18" s="192" t="n"/>
      <c r="P18" s="192" t="n"/>
      <c r="Q18" s="192" t="n"/>
      <c r="R18" s="192" t="n"/>
      <c r="S18" s="192" t="n"/>
      <c r="T18" s="192" t="n"/>
      <c r="U18" s="192" t="n"/>
      <c r="V18" s="192" t="n"/>
      <c r="W18" s="192" t="n"/>
      <c r="X18" s="192" t="n"/>
      <c r="Y18" s="192" t="n"/>
      <c r="Z18" s="192" t="n"/>
      <c r="AA18" s="192" t="n"/>
      <c r="AB18" s="192" t="n"/>
      <c r="AC18" s="192" t="n"/>
      <c r="AD18" s="192" t="n"/>
      <c r="AE18" s="192" t="n"/>
      <c r="AF18" s="192" t="n"/>
      <c r="AG18" s="192" t="n"/>
      <c r="AH18" s="192" t="n"/>
      <c r="AI18" s="192" t="n"/>
      <c r="AJ18" s="192" t="n"/>
      <c r="AK18" s="192" t="n"/>
      <c r="AL18" s="192" t="n"/>
      <c r="AM18" s="192" t="n"/>
      <c r="AN18" s="192" t="n"/>
      <c r="AO18" s="192" t="n"/>
      <c r="AP18" s="192" t="n"/>
      <c r="AQ18" s="192" t="n"/>
      <c r="AR18" s="192" t="n"/>
      <c r="AS18" s="192" t="n"/>
      <c r="AT18" s="182" t="n"/>
      <c r="AU18" s="176" t="n"/>
      <c r="AV18" s="176" t="n"/>
      <c r="AW18" s="176" t="n"/>
      <c r="AX18" s="176" t="n"/>
      <c r="AY18" s="176" t="n"/>
      <c r="AZ18" s="176" t="n"/>
      <c r="BA18" s="176" t="n"/>
      <c r="BB18" s="176" t="n"/>
      <c r="BC18" s="176" t="n"/>
      <c r="BD18" s="176" t="n"/>
      <c r="BE18" s="176" t="n"/>
      <c r="BF18" s="176" t="n"/>
      <c r="BG18" s="176" t="n"/>
      <c r="BH18" s="176" t="n"/>
      <c r="BI18" s="176" t="n"/>
      <c r="BJ18" s="176" t="n"/>
      <c r="BK18" s="176" t="n"/>
      <c r="BL18" s="176" t="n"/>
      <c r="BM18" s="176" t="n"/>
      <c r="BN18" s="176" t="n"/>
      <c r="BO18" s="176" t="n"/>
      <c r="BP18" s="176" t="n"/>
      <c r="BQ18" s="176" t="n"/>
      <c r="BR18" s="176" t="n"/>
    </row>
    <row r="19" ht="15" customHeight="1" s="392">
      <c r="A19" s="176" t="n"/>
      <c r="B19" s="180" t="n"/>
      <c r="C19" s="187" t="inlineStr">
        <is>
          <t xml:space="preserve">    Total Cost of Revenue</t>
        </is>
      </c>
      <c r="D19" s="193">
        <f>IF(COUNT(M19:AS19)&gt;0,MEDIAN(M19:AS19),"")</f>
        <v/>
      </c>
      <c r="E19" s="193">
        <f>IF(COUNT(M19:AS19)&gt;0,AVERAGE(M19:AS19),"")</f>
        <v/>
      </c>
      <c r="F19" s="193">
        <f>IF(COUNT(M19:AS19)&gt;0,MIN(M19:AS19),"")</f>
        <v/>
      </c>
      <c r="G19" s="193">
        <f>IF(COUNT(M19:AS19)&gt;0,MAX(M19:AS19),"")</f>
        <v/>
      </c>
      <c r="H19" s="193">
        <f>IF(COUNT(M19:AS19)&gt;0,QUARTILE(M19:AS19,1),"")</f>
        <v/>
      </c>
      <c r="I19" s="193">
        <f>IF(COUNT(M19:AS19)&gt;0,QUARTILE(M19:AS19,3),"")</f>
        <v/>
      </c>
      <c r="J19" s="193">
        <f>IF(COUNT(M19:AS19)&gt;1,STDEV(M19:AS19),"")</f>
        <v/>
      </c>
      <c r="K19" s="194">
        <f>IF(COUNT(M19:AS19)&gt;1,STDEV(M19:AS19)/AVERAGE(M19:AS19),"")</f>
        <v/>
      </c>
      <c r="L19" s="195" t="n"/>
      <c r="M19" s="196" t="n">
        <v>2582351</v>
      </c>
      <c r="N19" s="196" t="n">
        <v>2547315</v>
      </c>
      <c r="O19" s="196" t="n">
        <v>2329571</v>
      </c>
      <c r="P19" s="196" t="n">
        <v>2132527</v>
      </c>
      <c r="Q19" s="196" t="n">
        <v>1894700</v>
      </c>
      <c r="R19" s="196" t="n">
        <v>1349420</v>
      </c>
      <c r="S19" s="196" t="n">
        <v>1197781</v>
      </c>
      <c r="T19" s="196" t="n">
        <v>1143615</v>
      </c>
      <c r="U19" s="196" t="n">
        <v>1043329</v>
      </c>
      <c r="V19" s="196" t="n">
        <v>815953</v>
      </c>
      <c r="W19" s="196" t="n">
        <v>723863</v>
      </c>
      <c r="X19" s="196" t="n">
        <v>662703</v>
      </c>
      <c r="Y19" s="196" t="n">
        <v>694916</v>
      </c>
      <c r="Z19" s="196" t="n">
        <v>625464</v>
      </c>
      <c r="AA19" s="196" t="n">
        <v>514575</v>
      </c>
      <c r="AB19" s="196" t="n">
        <v>499351</v>
      </c>
      <c r="AC19" s="196" t="n">
        <v>424885</v>
      </c>
      <c r="AD19" s="196" t="n">
        <v>430822</v>
      </c>
      <c r="AE19" s="196" t="n">
        <v>462589</v>
      </c>
      <c r="AF19" s="196" t="n">
        <v>293898</v>
      </c>
      <c r="AG19" s="196" t="n">
        <v>298023</v>
      </c>
      <c r="AH19" s="196" t="n">
        <v>245666</v>
      </c>
      <c r="AI19" s="196" t="n">
        <v>227625</v>
      </c>
      <c r="AJ19" s="196" t="n">
        <v>224403</v>
      </c>
      <c r="AK19" s="196" t="n">
        <v>186952.5</v>
      </c>
      <c r="AL19" s="196" t="n">
        <v>152052.5</v>
      </c>
      <c r="AM19" s="196" t="n">
        <v>116697.3</v>
      </c>
      <c r="AN19" s="196" t="n">
        <v>86500</v>
      </c>
      <c r="AO19" s="196" t="n">
        <v>71500</v>
      </c>
      <c r="AP19" s="196" t="n">
        <v>89400</v>
      </c>
      <c r="AQ19" s="196" t="n">
        <v>83500</v>
      </c>
      <c r="AR19" s="196" t="n">
        <v>37800</v>
      </c>
      <c r="AS19" s="196" t="n">
        <v>14500</v>
      </c>
      <c r="AT19" s="182" t="n"/>
      <c r="AU19" s="176" t="n"/>
      <c r="AV19" s="176" t="n"/>
      <c r="AW19" s="176" t="n"/>
      <c r="AX19" s="176" t="n"/>
      <c r="AY19" s="176" t="n"/>
      <c r="AZ19" s="176" t="n"/>
      <c r="BA19" s="176" t="n"/>
      <c r="BB19" s="176" t="n"/>
      <c r="BC19" s="176" t="n"/>
      <c r="BD19" s="176" t="n"/>
      <c r="BE19" s="176" t="n"/>
      <c r="BF19" s="176" t="n"/>
      <c r="BG19" s="176" t="n"/>
      <c r="BH19" s="176" t="n"/>
      <c r="BI19" s="176" t="n"/>
      <c r="BJ19" s="176" t="n"/>
      <c r="BK19" s="176" t="n"/>
      <c r="BL19" s="176" t="n"/>
      <c r="BM19" s="176" t="n"/>
      <c r="BN19" s="176" t="n"/>
      <c r="BO19" s="176" t="n"/>
      <c r="BP19" s="176" t="n"/>
      <c r="BQ19" s="176" t="n"/>
      <c r="BR19" s="176" t="n"/>
    </row>
    <row r="20" ht="15" customHeight="1" s="392">
      <c r="A20" s="176" t="n"/>
      <c r="B20" s="180" t="n"/>
      <c r="C20" s="187" t="inlineStr">
        <is>
          <t>Total Gross Profit</t>
        </is>
      </c>
      <c r="D20" s="193">
        <f>IF(COUNT(M20:AS20)&gt;0,MEDIAN(M20:AS20),"")</f>
        <v/>
      </c>
      <c r="E20" s="193">
        <f>IF(COUNT(M20:AS20)&gt;0,AVERAGE(M20:AS20),"")</f>
        <v/>
      </c>
      <c r="F20" s="193">
        <f>IF(COUNT(M20:AS20)&gt;0,MIN(M20:AS20),"")</f>
        <v/>
      </c>
      <c r="G20" s="193">
        <f>IF(COUNT(M20:AS20)&gt;0,MAX(M20:AS20),"")</f>
        <v/>
      </c>
      <c r="H20" s="193">
        <f>IF(COUNT(M20:AS20)&gt;0,QUARTILE(M20:AS20,1),"")</f>
        <v/>
      </c>
      <c r="I20" s="193">
        <f>IF(COUNT(M20:AS20)&gt;0,QUARTILE(M20:AS20,3),"")</f>
        <v/>
      </c>
      <c r="J20" s="193">
        <f>IF(COUNT(M20:AS20)&gt;1,STDEV(M20:AS20),"")</f>
        <v/>
      </c>
      <c r="K20" s="194">
        <f>IF(COUNT(M20:AS20)&gt;1,STDEV(M20:AS20)/AVERAGE(M20:AS20),"")</f>
        <v/>
      </c>
      <c r="L20" s="195" t="n"/>
      <c r="M20" s="196" t="n">
        <v>2083858</v>
      </c>
      <c r="N20" s="196" t="n">
        <v>2099643</v>
      </c>
      <c r="O20" s="196" t="n">
        <v>1907252</v>
      </c>
      <c r="P20" s="196" t="n">
        <v>1736991</v>
      </c>
      <c r="Q20" s="196" t="n">
        <v>1606221</v>
      </c>
      <c r="R20" s="196" t="n">
        <v>1343091</v>
      </c>
      <c r="S20" s="196" t="n">
        <v>1007802</v>
      </c>
      <c r="T20" s="196" t="n">
        <v>898342</v>
      </c>
      <c r="U20" s="196" t="n">
        <v>762366</v>
      </c>
      <c r="V20" s="196" t="n">
        <v>632028</v>
      </c>
      <c r="W20" s="196" t="n">
        <v>544586</v>
      </c>
      <c r="X20" s="196" t="n">
        <v>483376</v>
      </c>
      <c r="Y20" s="196" t="n">
        <v>468573</v>
      </c>
      <c r="Z20" s="196" t="n">
        <v>420922</v>
      </c>
      <c r="AA20" s="196" t="n">
        <v>409616</v>
      </c>
      <c r="AB20" s="196" t="n">
        <v>372895</v>
      </c>
      <c r="AC20" s="196" t="n">
        <v>347994</v>
      </c>
      <c r="AD20" s="196" t="n">
        <v>312260</v>
      </c>
      <c r="AE20" s="196" t="n">
        <v>322259</v>
      </c>
      <c r="AF20" s="196" t="n">
        <v>266782</v>
      </c>
      <c r="AG20" s="196" t="n">
        <v>230548</v>
      </c>
      <c r="AH20" s="196" t="n">
        <v>202065</v>
      </c>
      <c r="AI20" s="196" t="n">
        <v>163389</v>
      </c>
      <c r="AJ20" s="196" t="n">
        <v>123020</v>
      </c>
      <c r="AK20" s="196" t="n">
        <v>129503.3</v>
      </c>
      <c r="AL20" s="196" t="n">
        <v>101836.9</v>
      </c>
      <c r="AM20" s="196" t="n">
        <v>73345</v>
      </c>
      <c r="AN20" s="196" t="n">
        <v>55300</v>
      </c>
      <c r="AO20" s="196" t="n">
        <v>42700</v>
      </c>
      <c r="AP20" s="196" t="n">
        <v>36900</v>
      </c>
      <c r="AQ20" s="196" t="n">
        <v>34700</v>
      </c>
      <c r="AR20" s="196" t="n">
        <v>20300</v>
      </c>
      <c r="AS20" s="196" t="n">
        <v>8300</v>
      </c>
      <c r="AT20" s="182" t="n"/>
      <c r="AU20" s="176" t="n"/>
      <c r="AV20" s="176" t="n"/>
      <c r="AW20" s="176" t="n"/>
      <c r="AX20" s="176" t="n"/>
      <c r="AY20" s="176" t="n"/>
      <c r="AZ20" s="176" t="n"/>
      <c r="BA20" s="176" t="n"/>
      <c r="BB20" s="176" t="n"/>
      <c r="BC20" s="176" t="n"/>
      <c r="BD20" s="176" t="n"/>
      <c r="BE20" s="176" t="n"/>
      <c r="BF20" s="176" t="n"/>
      <c r="BG20" s="176" t="n"/>
      <c r="BH20" s="176" t="n"/>
      <c r="BI20" s="176" t="n"/>
      <c r="BJ20" s="176" t="n"/>
      <c r="BK20" s="176" t="n"/>
      <c r="BL20" s="176" t="n"/>
      <c r="BM20" s="176" t="n"/>
      <c r="BN20" s="176" t="n"/>
      <c r="BO20" s="176" t="n"/>
      <c r="BP20" s="176" t="n"/>
      <c r="BQ20" s="176" t="n"/>
      <c r="BR20" s="176" t="n"/>
    </row>
    <row r="21" ht="15" customHeight="1" s="392">
      <c r="A21" s="176" t="n"/>
      <c r="B21" s="180" t="n"/>
      <c r="C21" s="189" t="inlineStr">
        <is>
          <t>Operating (Income)/Expenses</t>
        </is>
      </c>
      <c r="D21" s="185" t="n"/>
      <c r="E21" s="185" t="n"/>
      <c r="F21" s="185" t="n"/>
      <c r="G21" s="185" t="n"/>
      <c r="H21" s="185" t="n"/>
      <c r="I21" s="185" t="n"/>
      <c r="J21" s="185" t="n"/>
      <c r="K21" s="185" t="n"/>
      <c r="L21" s="185" t="n"/>
      <c r="M21" s="185" t="n"/>
      <c r="N21" s="185" t="n"/>
      <c r="O21" s="185" t="n"/>
      <c r="P21" s="185" t="n"/>
      <c r="Q21" s="185" t="n"/>
      <c r="R21" s="185" t="n"/>
      <c r="S21" s="185" t="n"/>
      <c r="T21" s="185" t="n"/>
      <c r="U21" s="185" t="n"/>
      <c r="V21" s="185" t="n"/>
      <c r="W21" s="185" t="n"/>
      <c r="X21" s="185" t="n"/>
      <c r="Y21" s="185" t="n"/>
      <c r="Z21" s="185" t="n"/>
      <c r="AA21" s="185" t="n"/>
      <c r="AB21" s="185" t="n"/>
      <c r="AC21" s="185" t="n"/>
      <c r="AD21" s="185" t="n"/>
      <c r="AE21" s="185" t="n"/>
      <c r="AF21" s="185" t="n"/>
      <c r="AG21" s="185" t="n"/>
      <c r="AH21" s="185" t="n"/>
      <c r="AI21" s="185" t="n"/>
      <c r="AJ21" s="185" t="n"/>
      <c r="AK21" s="185" t="n"/>
      <c r="AL21" s="185" t="n"/>
      <c r="AM21" s="185" t="n"/>
      <c r="AN21" s="185" t="n"/>
      <c r="AO21" s="185" t="n"/>
      <c r="AP21" s="185" t="n"/>
      <c r="AQ21" s="185" t="n"/>
      <c r="AR21" s="185" t="n"/>
      <c r="AS21" s="185" t="n"/>
      <c r="AT21" s="182" t="n"/>
      <c r="AU21" s="176" t="n"/>
      <c r="AV21" s="176" t="n"/>
      <c r="AW21" s="176" t="n"/>
      <c r="AX21" s="176" t="n"/>
      <c r="AY21" s="176" t="n"/>
      <c r="AZ21" s="176" t="n"/>
      <c r="BA21" s="176" t="n"/>
      <c r="BB21" s="176" t="n"/>
      <c r="BC21" s="176" t="n"/>
      <c r="BD21" s="176" t="n"/>
      <c r="BE21" s="176" t="n"/>
      <c r="BF21" s="176" t="n"/>
      <c r="BG21" s="176" t="n"/>
      <c r="BH21" s="176" t="n"/>
      <c r="BI21" s="176" t="n"/>
      <c r="BJ21" s="176" t="n"/>
      <c r="BK21" s="176" t="n"/>
      <c r="BL21" s="176" t="n"/>
      <c r="BM21" s="176" t="n"/>
      <c r="BN21" s="176" t="n"/>
      <c r="BO21" s="176" t="n"/>
      <c r="BP21" s="176" t="n"/>
      <c r="BQ21" s="176" t="n"/>
      <c r="BR21" s="176" t="n"/>
    </row>
    <row r="22" ht="15" customHeight="1" s="392">
      <c r="A22" s="176" t="n"/>
      <c r="B22" s="180" t="n"/>
      <c r="C22" s="183" t="inlineStr">
        <is>
          <t xml:space="preserve">    Selling, General and Administrative Expenses</t>
        </is>
      </c>
      <c r="D22" s="185" t="n"/>
      <c r="E22" s="185" t="n"/>
      <c r="F22" s="185" t="n"/>
      <c r="G22" s="185" t="n"/>
      <c r="H22" s="185" t="n"/>
      <c r="I22" s="185" t="n"/>
      <c r="J22" s="185" t="n"/>
      <c r="K22" s="185" t="n"/>
      <c r="AT22" s="182" t="n"/>
      <c r="AU22" s="176" t="n"/>
      <c r="AV22" s="176" t="n"/>
      <c r="AW22" s="176" t="n"/>
      <c r="AX22" s="176" t="n"/>
      <c r="AY22" s="176" t="n"/>
      <c r="AZ22" s="176" t="n"/>
      <c r="BA22" s="176" t="n"/>
      <c r="BB22" s="176" t="n"/>
      <c r="BC22" s="176" t="n"/>
      <c r="BD22" s="176" t="n"/>
      <c r="BE22" s="176" t="n"/>
      <c r="BF22" s="176" t="n"/>
      <c r="BG22" s="176" t="n"/>
      <c r="BH22" s="176" t="n"/>
      <c r="BI22" s="176" t="n"/>
      <c r="BJ22" s="176" t="n"/>
      <c r="BK22" s="176" t="n"/>
      <c r="BL22" s="176" t="n"/>
      <c r="BM22" s="176" t="n"/>
      <c r="BN22" s="176" t="n"/>
      <c r="BO22" s="176" t="n"/>
      <c r="BP22" s="176" t="n"/>
      <c r="BQ22" s="176" t="n"/>
      <c r="BR22" s="176" t="n"/>
    </row>
    <row r="23" ht="15" customHeight="1" s="392">
      <c r="A23" s="176" t="n"/>
      <c r="B23" s="180" t="n"/>
      <c r="C23" s="183" t="inlineStr">
        <is>
          <t xml:space="preserve">        Staff Costs</t>
        </is>
      </c>
      <c r="D23" s="185" t="n"/>
      <c r="E23" s="185" t="n"/>
      <c r="F23" s="185" t="n"/>
      <c r="G23" s="185" t="n"/>
      <c r="H23" s="185" t="n"/>
      <c r="I23" s="185" t="n"/>
      <c r="J23" s="185" t="n"/>
      <c r="K23" s="185" t="n"/>
      <c r="AT23" s="182" t="n"/>
      <c r="AU23" s="176" t="n"/>
      <c r="AV23" s="176" t="n"/>
      <c r="AW23" s="176" t="n"/>
      <c r="AX23" s="176" t="n"/>
      <c r="AY23" s="176" t="n"/>
      <c r="AZ23" s="176" t="n"/>
      <c r="BA23" s="176" t="n"/>
      <c r="BB23" s="176" t="n"/>
      <c r="BC23" s="176" t="n"/>
      <c r="BD23" s="176" t="n"/>
      <c r="BE23" s="176" t="n"/>
      <c r="BF23" s="176" t="n"/>
      <c r="BG23" s="176" t="n"/>
      <c r="BH23" s="176" t="n"/>
      <c r="BI23" s="176" t="n"/>
      <c r="BJ23" s="176" t="n"/>
      <c r="BK23" s="176" t="n"/>
      <c r="BL23" s="176" t="n"/>
      <c r="BM23" s="176" t="n"/>
      <c r="BN23" s="176" t="n"/>
      <c r="BO23" s="176" t="n"/>
      <c r="BP23" s="176" t="n"/>
      <c r="BQ23" s="176" t="n"/>
      <c r="BR23" s="176" t="n"/>
    </row>
    <row r="24" ht="15" customHeight="1" s="392">
      <c r="A24" s="176" t="n"/>
      <c r="B24" s="180" t="n"/>
      <c r="C24" s="183" t="inlineStr">
        <is>
          <t xml:space="preserve">            Stock-Based Compensation</t>
        </is>
      </c>
      <c r="D24" s="190">
        <f>IF(COUNT(M24:AS24)&gt;0,MEDIAN(M24:AS24),"")</f>
        <v/>
      </c>
      <c r="E24" s="190">
        <f>IF(COUNT(M24:AS24)&gt;0,AVERAGE(M24:AS24),"")</f>
        <v/>
      </c>
      <c r="F24" s="190">
        <f>IF(COUNT(M24:AS24)&gt;0,MIN(M24:AS24),"")</f>
        <v/>
      </c>
      <c r="G24" s="190">
        <f>IF(COUNT(M24:AS24)&gt;0,MAX(M24:AS24),"")</f>
        <v/>
      </c>
      <c r="H24" s="190">
        <f>IF(COUNT(M24:AS24)&gt;0,QUARTILE(M24:AS24,1),"")</f>
        <v/>
      </c>
      <c r="I24" s="190">
        <f>IF(COUNT(M24:AS24)&gt;0,QUARTILE(M24:AS24,3),"")</f>
        <v/>
      </c>
      <c r="J24" s="190">
        <f>IF(COUNT(M24:AS24)&gt;1,STDEV(M24:AS24),"")</f>
        <v/>
      </c>
      <c r="K24" s="191">
        <f>IF(COUNT(M24:AS24)&gt;1,STDEV(M24:AS24)/AVERAGE(M24:AS24),"")</f>
        <v/>
      </c>
      <c r="M24" s="192" t="n">
        <v>30346</v>
      </c>
      <c r="N24" s="192" t="n"/>
      <c r="O24" s="192" t="n"/>
      <c r="P24" s="192" t="n"/>
      <c r="Q24" s="192" t="n"/>
      <c r="R24" s="192" t="n"/>
      <c r="S24" s="192" t="n"/>
      <c r="T24" s="192" t="n"/>
      <c r="U24" s="192" t="n"/>
      <c r="V24" s="192" t="n"/>
      <c r="W24" s="192" t="n"/>
      <c r="X24" s="192" t="n"/>
      <c r="Y24" s="192" t="n"/>
      <c r="Z24" s="192" t="n"/>
      <c r="AA24" s="192" t="n"/>
      <c r="AB24" s="192" t="n"/>
      <c r="AC24" s="192" t="n"/>
      <c r="AD24" s="192" t="n"/>
      <c r="AE24" s="192" t="n"/>
      <c r="AF24" s="192" t="n"/>
      <c r="AG24" s="192" t="n"/>
      <c r="AH24" s="192" t="n"/>
      <c r="AI24" s="192" t="n"/>
      <c r="AJ24" s="192" t="n"/>
      <c r="AK24" s="192" t="n"/>
      <c r="AL24" s="192" t="n"/>
      <c r="AM24" s="192" t="n"/>
      <c r="AN24" s="192" t="n"/>
      <c r="AO24" s="192" t="n"/>
      <c r="AP24" s="192" t="n"/>
      <c r="AQ24" s="192" t="n"/>
      <c r="AR24" s="192" t="n"/>
      <c r="AS24" s="192" t="n"/>
      <c r="AT24" s="182" t="n"/>
      <c r="AU24" s="176" t="n"/>
      <c r="AV24" s="176" t="n"/>
      <c r="AW24" s="176" t="n"/>
      <c r="AX24" s="176" t="n"/>
      <c r="AY24" s="176" t="n"/>
      <c r="AZ24" s="176" t="n"/>
      <c r="BA24" s="176" t="n"/>
      <c r="BB24" s="176" t="n"/>
      <c r="BC24" s="176" t="n"/>
      <c r="BD24" s="176" t="n"/>
      <c r="BE24" s="176" t="n"/>
      <c r="BF24" s="176" t="n"/>
      <c r="BG24" s="176" t="n"/>
      <c r="BH24" s="176" t="n"/>
      <c r="BI24" s="176" t="n"/>
      <c r="BJ24" s="176" t="n"/>
      <c r="BK24" s="176" t="n"/>
      <c r="BL24" s="176" t="n"/>
      <c r="BM24" s="176" t="n"/>
      <c r="BN24" s="176" t="n"/>
      <c r="BO24" s="176" t="n"/>
      <c r="BP24" s="176" t="n"/>
      <c r="BQ24" s="176" t="n"/>
      <c r="BR24" s="176" t="n"/>
    </row>
    <row r="25" ht="15" customHeight="1" s="392">
      <c r="A25" s="176" t="n"/>
      <c r="B25" s="180" t="n"/>
      <c r="C25" s="187" t="inlineStr">
        <is>
          <t xml:space="preserve">        Total Staff Costs</t>
        </is>
      </c>
      <c r="D25" s="193">
        <f>IF(COUNT(M25:AS25)&gt;0,MEDIAN(M25:AS25),"")</f>
        <v/>
      </c>
      <c r="E25" s="193">
        <f>IF(COUNT(M25:AS25)&gt;0,AVERAGE(M25:AS25),"")</f>
        <v/>
      </c>
      <c r="F25" s="193">
        <f>IF(COUNT(M25:AS25)&gt;0,MIN(M25:AS25),"")</f>
        <v/>
      </c>
      <c r="G25" s="193">
        <f>IF(COUNT(M25:AS25)&gt;0,MAX(M25:AS25),"")</f>
        <v/>
      </c>
      <c r="H25" s="193">
        <f>IF(COUNT(M25:AS25)&gt;0,QUARTILE(M25:AS25,1),"")</f>
        <v/>
      </c>
      <c r="I25" s="193">
        <f>IF(COUNT(M25:AS25)&gt;0,QUARTILE(M25:AS25,3),"")</f>
        <v/>
      </c>
      <c r="J25" s="193">
        <f>IF(COUNT(M25:AS25)&gt;1,STDEV(M25:AS25),"")</f>
        <v/>
      </c>
      <c r="K25" s="194">
        <f>IF(COUNT(M25:AS25)&gt;1,STDEV(M25:AS25)/AVERAGE(M25:AS25),"")</f>
        <v/>
      </c>
      <c r="L25" s="195" t="n"/>
      <c r="M25" s="196" t="n">
        <v>30346</v>
      </c>
      <c r="N25" s="196" t="n"/>
      <c r="O25" s="196" t="n"/>
      <c r="P25" s="196" t="n"/>
      <c r="Q25" s="196" t="n"/>
      <c r="R25" s="196" t="n"/>
      <c r="S25" s="196" t="n"/>
      <c r="T25" s="196" t="n"/>
      <c r="U25" s="196" t="n"/>
      <c r="V25" s="196" t="n"/>
      <c r="W25" s="196" t="n"/>
      <c r="X25" s="196" t="n"/>
      <c r="Y25" s="196" t="n"/>
      <c r="Z25" s="196" t="n"/>
      <c r="AA25" s="196" t="n"/>
      <c r="AB25" s="196" t="n"/>
      <c r="AC25" s="196" t="n"/>
      <c r="AD25" s="196" t="n"/>
      <c r="AE25" s="196" t="n"/>
      <c r="AF25" s="196" t="n"/>
      <c r="AG25" s="196" t="n"/>
      <c r="AH25" s="196" t="n"/>
      <c r="AI25" s="196" t="n"/>
      <c r="AJ25" s="196" t="n"/>
      <c r="AK25" s="196" t="n"/>
      <c r="AL25" s="196" t="n"/>
      <c r="AM25" s="196" t="n"/>
      <c r="AN25" s="196" t="n"/>
      <c r="AO25" s="196" t="n"/>
      <c r="AP25" s="196" t="n"/>
      <c r="AQ25" s="196" t="n"/>
      <c r="AR25" s="196" t="n"/>
      <c r="AS25" s="196" t="n"/>
      <c r="AT25" s="182" t="n"/>
      <c r="AU25" s="176" t="n"/>
      <c r="AV25" s="176" t="n"/>
      <c r="AW25" s="176" t="n"/>
      <c r="AX25" s="176" t="n"/>
      <c r="AY25" s="176" t="n"/>
      <c r="AZ25" s="176" t="n"/>
      <c r="BA25" s="176" t="n"/>
      <c r="BB25" s="176" t="n"/>
      <c r="BC25" s="176" t="n"/>
      <c r="BD25" s="176" t="n"/>
      <c r="BE25" s="176" t="n"/>
      <c r="BF25" s="176" t="n"/>
      <c r="BG25" s="176" t="n"/>
      <c r="BH25" s="176" t="n"/>
      <c r="BI25" s="176" t="n"/>
      <c r="BJ25" s="176" t="n"/>
      <c r="BK25" s="176" t="n"/>
      <c r="BL25" s="176" t="n"/>
      <c r="BM25" s="176" t="n"/>
      <c r="BN25" s="176" t="n"/>
      <c r="BO25" s="176" t="n"/>
      <c r="BP25" s="176" t="n"/>
      <c r="BQ25" s="176" t="n"/>
      <c r="BR25" s="176" t="n"/>
    </row>
    <row r="26" ht="15" customHeight="1" s="392">
      <c r="A26" s="176" t="n"/>
      <c r="B26" s="180" t="n"/>
      <c r="C26" s="183" t="inlineStr">
        <is>
          <t xml:space="preserve">        General and Administrative Expenses</t>
        </is>
      </c>
      <c r="D26" s="190">
        <f>IF(COUNT(M26:AS26)&gt;0,MEDIAN(M26:AS26),"")</f>
        <v/>
      </c>
      <c r="E26" s="190">
        <f>IF(COUNT(M26:AS26)&gt;0,AVERAGE(M26:AS26),"")</f>
        <v/>
      </c>
      <c r="F26" s="190">
        <f>IF(COUNT(M26:AS26)&gt;0,MIN(M26:AS26),"")</f>
        <v/>
      </c>
      <c r="G26" s="190">
        <f>IF(COUNT(M26:AS26)&gt;0,MAX(M26:AS26),"")</f>
        <v/>
      </c>
      <c r="H26" s="190">
        <f>IF(COUNT(M26:AS26)&gt;0,QUARTILE(M26:AS26,1),"")</f>
        <v/>
      </c>
      <c r="I26" s="190">
        <f>IF(COUNT(M26:AS26)&gt;0,QUARTILE(M26:AS26,3),"")</f>
        <v/>
      </c>
      <c r="J26" s="190">
        <f>IF(COUNT(M26:AS26)&gt;1,STDEV(M26:AS26),"")</f>
        <v/>
      </c>
      <c r="K26" s="191">
        <f>IF(COUNT(M26:AS26)&gt;1,STDEV(M26:AS26)/AVERAGE(M26:AS26),"")</f>
        <v/>
      </c>
      <c r="M26" s="192" t="n">
        <v>373218</v>
      </c>
      <c r="N26" s="192" t="n">
        <v>402929</v>
      </c>
      <c r="O26" s="192" t="n">
        <v>335229</v>
      </c>
      <c r="P26" s="192" t="n">
        <v>250422</v>
      </c>
      <c r="Q26" s="192" t="n">
        <v>231224</v>
      </c>
      <c r="R26" s="192" t="n">
        <v>206665</v>
      </c>
      <c r="S26" s="192" t="n">
        <v>191703</v>
      </c>
      <c r="T26" s="192" t="n">
        <v>181867</v>
      </c>
      <c r="U26" s="192" t="n">
        <v>176890</v>
      </c>
      <c r="V26" s="192" t="n">
        <v>151364</v>
      </c>
      <c r="W26" s="192" t="n">
        <v>138116</v>
      </c>
      <c r="X26" s="192" t="n">
        <v>138975</v>
      </c>
      <c r="Y26" s="192" t="n">
        <v>164535</v>
      </c>
      <c r="Z26" s="192" t="n">
        <v>137930</v>
      </c>
      <c r="AA26" s="192" t="n">
        <v>114492</v>
      </c>
      <c r="AB26" s="192" t="n">
        <v>107605</v>
      </c>
      <c r="AC26" s="192" t="n"/>
      <c r="AD26" s="192" t="n"/>
      <c r="AE26" s="192" t="n"/>
      <c r="AF26" s="192" t="n"/>
      <c r="AG26" s="192" t="n"/>
      <c r="AH26" s="192" t="n"/>
      <c r="AI26" s="192" t="n"/>
      <c r="AJ26" s="192" t="n"/>
      <c r="AK26" s="192" t="n"/>
      <c r="AL26" s="192" t="n"/>
      <c r="AM26" s="192" t="n"/>
      <c r="AN26" s="192" t="n"/>
      <c r="AO26" s="192" t="n"/>
      <c r="AP26" s="192" t="n"/>
      <c r="AQ26" s="192" t="n"/>
      <c r="AR26" s="192" t="n"/>
      <c r="AS26" s="192" t="n"/>
      <c r="AT26" s="182" t="n"/>
      <c r="AU26" s="176" t="n"/>
      <c r="AV26" s="176" t="n"/>
      <c r="AW26" s="176" t="n"/>
      <c r="AX26" s="176" t="n"/>
      <c r="AY26" s="176" t="n"/>
      <c r="AZ26" s="176" t="n"/>
      <c r="BA26" s="176" t="n"/>
      <c r="BB26" s="176" t="n"/>
      <c r="BC26" s="176" t="n"/>
      <c r="BD26" s="176" t="n"/>
      <c r="BE26" s="176" t="n"/>
      <c r="BF26" s="176" t="n"/>
      <c r="BG26" s="176" t="n"/>
      <c r="BH26" s="176" t="n"/>
      <c r="BI26" s="176" t="n"/>
      <c r="BJ26" s="176" t="n"/>
      <c r="BK26" s="176" t="n"/>
      <c r="BL26" s="176" t="n"/>
      <c r="BM26" s="176" t="n"/>
      <c r="BN26" s="176" t="n"/>
      <c r="BO26" s="176" t="n"/>
      <c r="BP26" s="176" t="n"/>
      <c r="BQ26" s="176" t="n"/>
      <c r="BR26" s="176" t="n"/>
    </row>
    <row r="27" ht="15" customHeight="1" s="392">
      <c r="A27" s="176" t="n"/>
      <c r="B27" s="180" t="n"/>
      <c r="C27" s="187" t="inlineStr">
        <is>
          <t xml:space="preserve">    Total Selling, General and Administrative Expenses</t>
        </is>
      </c>
      <c r="D27" s="193">
        <f>IF(COUNT(M27:AS27)&gt;0,MEDIAN(M27:AS27),"")</f>
        <v/>
      </c>
      <c r="E27" s="193">
        <f>IF(COUNT(M27:AS27)&gt;0,AVERAGE(M27:AS27),"")</f>
        <v/>
      </c>
      <c r="F27" s="193">
        <f>IF(COUNT(M27:AS27)&gt;0,MIN(M27:AS27),"")</f>
        <v/>
      </c>
      <c r="G27" s="193">
        <f>IF(COUNT(M27:AS27)&gt;0,MAX(M27:AS27),"")</f>
        <v/>
      </c>
      <c r="H27" s="193">
        <f>IF(COUNT(M27:AS27)&gt;0,QUARTILE(M27:AS27,1),"")</f>
        <v/>
      </c>
      <c r="I27" s="193">
        <f>IF(COUNT(M27:AS27)&gt;0,QUARTILE(M27:AS27,3),"")</f>
        <v/>
      </c>
      <c r="J27" s="193">
        <f>IF(COUNT(M27:AS27)&gt;1,STDEV(M27:AS27),"")</f>
        <v/>
      </c>
      <c r="K27" s="194">
        <f>IF(COUNT(M27:AS27)&gt;1,STDEV(M27:AS27)/AVERAGE(M27:AS27),"")</f>
        <v/>
      </c>
      <c r="L27" s="195" t="n"/>
      <c r="M27" s="196" t="n">
        <v>403564</v>
      </c>
      <c r="N27" s="196" t="n">
        <v>402929</v>
      </c>
      <c r="O27" s="196" t="n">
        <v>335229</v>
      </c>
      <c r="P27" s="196" t="n">
        <v>250422</v>
      </c>
      <c r="Q27" s="196" t="n">
        <v>231224</v>
      </c>
      <c r="R27" s="196" t="n">
        <v>206665</v>
      </c>
      <c r="S27" s="196" t="n">
        <v>191703</v>
      </c>
      <c r="T27" s="196" t="n">
        <v>181867</v>
      </c>
      <c r="U27" s="196" t="n">
        <v>176890</v>
      </c>
      <c r="V27" s="196" t="n">
        <v>151364</v>
      </c>
      <c r="W27" s="196" t="n">
        <v>138116</v>
      </c>
      <c r="X27" s="196" t="n">
        <v>138975</v>
      </c>
      <c r="Y27" s="196" t="n">
        <v>164535</v>
      </c>
      <c r="Z27" s="196" t="n">
        <v>137930</v>
      </c>
      <c r="AA27" s="196" t="n">
        <v>114492</v>
      </c>
      <c r="AB27" s="196" t="n">
        <v>107605</v>
      </c>
      <c r="AC27" s="196" t="n">
        <v>108924</v>
      </c>
      <c r="AD27" s="196" t="n">
        <v>86935</v>
      </c>
      <c r="AE27" s="196" t="n">
        <v>84342</v>
      </c>
      <c r="AF27" s="196" t="n">
        <v>63637</v>
      </c>
      <c r="AG27" s="196" t="n">
        <v>58986</v>
      </c>
      <c r="AH27" s="196" t="n">
        <v>45629</v>
      </c>
      <c r="AI27" s="196" t="n">
        <v>38928</v>
      </c>
      <c r="AJ27" s="196" t="n">
        <v>32266</v>
      </c>
      <c r="AK27" s="196" t="n">
        <v>23255.6</v>
      </c>
      <c r="AL27" s="196" t="n">
        <v>19369.6</v>
      </c>
      <c r="AM27" s="196" t="n">
        <v>15649.8</v>
      </c>
      <c r="AN27" s="196" t="n">
        <v>12100</v>
      </c>
      <c r="AO27" s="196" t="n">
        <v>11300</v>
      </c>
      <c r="AP27" s="196" t="n">
        <v>10600</v>
      </c>
      <c r="AQ27" s="196" t="n">
        <v>10900</v>
      </c>
      <c r="AR27" s="196" t="n">
        <v>5700</v>
      </c>
      <c r="AS27" s="196" t="n">
        <v>2400</v>
      </c>
      <c r="AT27" s="182" t="n"/>
      <c r="AU27" s="176" t="n"/>
      <c r="AV27" s="176" t="n"/>
      <c r="AW27" s="176" t="n"/>
      <c r="AX27" s="176" t="n"/>
      <c r="AY27" s="176" t="n"/>
      <c r="AZ27" s="176" t="n"/>
      <c r="BA27" s="176" t="n"/>
      <c r="BB27" s="176" t="n"/>
      <c r="BC27" s="176" t="n"/>
      <c r="BD27" s="176" t="n"/>
      <c r="BE27" s="176" t="n"/>
      <c r="BF27" s="176" t="n"/>
      <c r="BG27" s="176" t="n"/>
      <c r="BH27" s="176" t="n"/>
      <c r="BI27" s="176" t="n"/>
      <c r="BJ27" s="176" t="n"/>
      <c r="BK27" s="176" t="n"/>
      <c r="BL27" s="176" t="n"/>
      <c r="BM27" s="176" t="n"/>
      <c r="BN27" s="176" t="n"/>
      <c r="BO27" s="176" t="n"/>
      <c r="BP27" s="176" t="n"/>
      <c r="BQ27" s="176" t="n"/>
      <c r="BR27" s="176" t="n"/>
    </row>
    <row r="28" ht="15" customHeight="1" s="392">
      <c r="A28" s="176" t="n"/>
      <c r="B28" s="180" t="n"/>
      <c r="C28" s="183" t="inlineStr">
        <is>
          <t xml:space="preserve">    Depreciation, Amortization and Depletion</t>
        </is>
      </c>
      <c r="D28" s="185" t="n"/>
      <c r="E28" s="185" t="n"/>
      <c r="F28" s="185" t="n"/>
      <c r="G28" s="185" t="n"/>
      <c r="H28" s="185" t="n"/>
      <c r="I28" s="185" t="n"/>
      <c r="J28" s="185" t="n"/>
      <c r="K28" s="185" t="n"/>
      <c r="AT28" s="182" t="n"/>
      <c r="AU28" s="176" t="n"/>
      <c r="AV28" s="176" t="n"/>
      <c r="AW28" s="176" t="n"/>
      <c r="AX28" s="176" t="n"/>
      <c r="AY28" s="176" t="n"/>
      <c r="AZ28" s="176" t="n"/>
      <c r="BA28" s="176" t="n"/>
      <c r="BB28" s="176" t="n"/>
      <c r="BC28" s="176" t="n"/>
      <c r="BD28" s="176" t="n"/>
      <c r="BE28" s="176" t="n"/>
      <c r="BF28" s="176" t="n"/>
      <c r="BG28" s="176" t="n"/>
      <c r="BH28" s="176" t="n"/>
      <c r="BI28" s="176" t="n"/>
      <c r="BJ28" s="176" t="n"/>
      <c r="BK28" s="176" t="n"/>
      <c r="BL28" s="176" t="n"/>
      <c r="BM28" s="176" t="n"/>
      <c r="BN28" s="176" t="n"/>
      <c r="BO28" s="176" t="n"/>
      <c r="BP28" s="176" t="n"/>
      <c r="BQ28" s="176" t="n"/>
      <c r="BR28" s="176" t="n"/>
    </row>
    <row r="29" ht="15" customHeight="1" s="392">
      <c r="A29" s="176" t="n"/>
      <c r="B29" s="180" t="n"/>
      <c r="C29" s="183" t="inlineStr">
        <is>
          <t xml:space="preserve">        Depreciation and Amortization</t>
        </is>
      </c>
      <c r="D29" s="190">
        <f>IF(COUNT(M29:AS29)&gt;0,MEDIAN(M29:AS29),"")</f>
        <v/>
      </c>
      <c r="E29" s="190">
        <f>IF(COUNT(M29:AS29)&gt;0,AVERAGE(M29:AS29),"")</f>
        <v/>
      </c>
      <c r="F29" s="190">
        <f>IF(COUNT(M29:AS29)&gt;0,MIN(M29:AS29),"")</f>
        <v/>
      </c>
      <c r="G29" s="190">
        <f>IF(COUNT(M29:AS29)&gt;0,MAX(M29:AS29),"")</f>
        <v/>
      </c>
      <c r="H29" s="190">
        <f>IF(COUNT(M29:AS29)&gt;0,QUARTILE(M29:AS29,1),"")</f>
        <v/>
      </c>
      <c r="I29" s="190">
        <f>IF(COUNT(M29:AS29)&gt;0,QUARTILE(M29:AS29,3),"")</f>
        <v/>
      </c>
      <c r="J29" s="190">
        <f>IF(COUNT(M29:AS29)&gt;1,STDEV(M29:AS29),"")</f>
        <v/>
      </c>
      <c r="K29" s="191">
        <f>IF(COUNT(M29:AS29)&gt;1,STDEV(M29:AS29)/AVERAGE(M29:AS29),"")</f>
        <v/>
      </c>
      <c r="M29" s="192" t="n">
        <v>27704</v>
      </c>
      <c r="N29" s="192" t="n"/>
      <c r="O29" s="192" t="n"/>
      <c r="P29" s="192" t="n"/>
      <c r="Q29" s="192" t="n"/>
      <c r="R29" s="192" t="n"/>
      <c r="S29" s="192" t="n"/>
      <c r="T29" s="192" t="n"/>
      <c r="U29" s="192" t="n"/>
      <c r="V29" s="192" t="n"/>
      <c r="W29" s="192" t="n"/>
      <c r="X29" s="192" t="n"/>
      <c r="Y29" s="192" t="n"/>
      <c r="Z29" s="192" t="n"/>
      <c r="AA29" s="192" t="n"/>
      <c r="AB29" s="192" t="n"/>
      <c r="AC29" s="192" t="n"/>
      <c r="AD29" s="192" t="n"/>
      <c r="AE29" s="192" t="n"/>
      <c r="AF29" s="192" t="n"/>
      <c r="AG29" s="192" t="n"/>
      <c r="AH29" s="192" t="n"/>
      <c r="AI29" s="192" t="n"/>
      <c r="AJ29" s="192" t="n"/>
      <c r="AK29" s="192" t="n">
        <v>16308.2</v>
      </c>
      <c r="AL29" s="192" t="n">
        <v>14350</v>
      </c>
      <c r="AM29" s="192" t="n">
        <v>11479</v>
      </c>
      <c r="AN29" s="192" t="n">
        <v>9800</v>
      </c>
      <c r="AO29" s="192" t="n">
        <v>7800</v>
      </c>
      <c r="AP29" s="192" t="n">
        <v>7500</v>
      </c>
      <c r="AQ29" s="192" t="n">
        <v>6000</v>
      </c>
      <c r="AR29" s="192" t="n">
        <v>3400</v>
      </c>
      <c r="AS29" s="192" t="n">
        <v>1700</v>
      </c>
      <c r="AT29" s="182" t="n"/>
      <c r="AU29" s="176" t="n"/>
      <c r="AV29" s="176" t="n"/>
      <c r="AW29" s="176" t="n"/>
      <c r="AX29" s="176" t="n"/>
      <c r="AY29" s="176" t="n"/>
      <c r="AZ29" s="176" t="n"/>
      <c r="BA29" s="176" t="n"/>
      <c r="BB29" s="176" t="n"/>
      <c r="BC29" s="176" t="n"/>
      <c r="BD29" s="176" t="n"/>
      <c r="BE29" s="176" t="n"/>
      <c r="BF29" s="176" t="n"/>
      <c r="BG29" s="176" t="n"/>
      <c r="BH29" s="176" t="n"/>
      <c r="BI29" s="176" t="n"/>
      <c r="BJ29" s="176" t="n"/>
      <c r="BK29" s="176" t="n"/>
      <c r="BL29" s="176" t="n"/>
      <c r="BM29" s="176" t="n"/>
      <c r="BN29" s="176" t="n"/>
      <c r="BO29" s="176" t="n"/>
      <c r="BP29" s="176" t="n"/>
      <c r="BQ29" s="176" t="n"/>
      <c r="BR29" s="176" t="n"/>
    </row>
    <row r="30" ht="15" customHeight="1" s="392">
      <c r="A30" s="176" t="n"/>
      <c r="B30" s="180" t="n"/>
      <c r="C30" s="187" t="inlineStr">
        <is>
          <t xml:space="preserve">    Total Depreciation, Amortization and Depletion</t>
        </is>
      </c>
      <c r="D30" s="193">
        <f>IF(COUNT(M30:AS30)&gt;0,MEDIAN(M30:AS30),"")</f>
        <v/>
      </c>
      <c r="E30" s="193">
        <f>IF(COUNT(M30:AS30)&gt;0,AVERAGE(M30:AS30),"")</f>
        <v/>
      </c>
      <c r="F30" s="193">
        <f>IF(COUNT(M30:AS30)&gt;0,MIN(M30:AS30),"")</f>
        <v/>
      </c>
      <c r="G30" s="193">
        <f>IF(COUNT(M30:AS30)&gt;0,MAX(M30:AS30),"")</f>
        <v/>
      </c>
      <c r="H30" s="193">
        <f>IF(COUNT(M30:AS30)&gt;0,QUARTILE(M30:AS30,1),"")</f>
        <v/>
      </c>
      <c r="I30" s="193">
        <f>IF(COUNT(M30:AS30)&gt;0,QUARTILE(M30:AS30,3),"")</f>
        <v/>
      </c>
      <c r="J30" s="193">
        <f>IF(COUNT(M30:AS30)&gt;1,STDEV(M30:AS30),"")</f>
        <v/>
      </c>
      <c r="K30" s="194">
        <f>IF(COUNT(M30:AS30)&gt;1,STDEV(M30:AS30)/AVERAGE(M30:AS30),"")</f>
        <v/>
      </c>
      <c r="L30" s="195" t="n"/>
      <c r="M30" s="196" t="n">
        <v>27704</v>
      </c>
      <c r="N30" s="196" t="n"/>
      <c r="O30" s="196" t="n"/>
      <c r="P30" s="196" t="n"/>
      <c r="Q30" s="196" t="n"/>
      <c r="R30" s="196" t="n"/>
      <c r="S30" s="196" t="n"/>
      <c r="T30" s="196" t="n"/>
      <c r="U30" s="196" t="n"/>
      <c r="V30" s="196" t="n"/>
      <c r="W30" s="196" t="n"/>
      <c r="X30" s="196" t="n"/>
      <c r="Y30" s="196" t="n"/>
      <c r="Z30" s="196" t="n"/>
      <c r="AA30" s="196" t="n"/>
      <c r="AB30" s="196" t="n"/>
      <c r="AC30" s="196" t="n"/>
      <c r="AD30" s="196" t="n"/>
      <c r="AE30" s="196" t="n"/>
      <c r="AF30" s="196" t="n"/>
      <c r="AG30" s="196" t="n"/>
      <c r="AH30" s="196" t="n"/>
      <c r="AI30" s="196" t="n"/>
      <c r="AJ30" s="196" t="n"/>
      <c r="AK30" s="196" t="n">
        <v>16308.2</v>
      </c>
      <c r="AL30" s="196" t="n">
        <v>14350</v>
      </c>
      <c r="AM30" s="196" t="n">
        <v>11479</v>
      </c>
      <c r="AN30" s="196" t="n">
        <v>9800</v>
      </c>
      <c r="AO30" s="196" t="n">
        <v>7800</v>
      </c>
      <c r="AP30" s="196" t="n">
        <v>7500</v>
      </c>
      <c r="AQ30" s="196" t="n">
        <v>6000</v>
      </c>
      <c r="AR30" s="196" t="n">
        <v>3400</v>
      </c>
      <c r="AS30" s="196" t="n">
        <v>1700</v>
      </c>
      <c r="AT30" s="182" t="n"/>
      <c r="AU30" s="176" t="n"/>
      <c r="AV30" s="176" t="n"/>
      <c r="AW30" s="176" t="n"/>
      <c r="AX30" s="176" t="n"/>
      <c r="AY30" s="176" t="n"/>
      <c r="AZ30" s="176" t="n"/>
      <c r="BA30" s="176" t="n"/>
      <c r="BB30" s="176" t="n"/>
      <c r="BC30" s="176" t="n"/>
      <c r="BD30" s="176" t="n"/>
      <c r="BE30" s="176" t="n"/>
      <c r="BF30" s="176" t="n"/>
      <c r="BG30" s="176" t="n"/>
      <c r="BH30" s="176" t="n"/>
      <c r="BI30" s="176" t="n"/>
      <c r="BJ30" s="176" t="n"/>
      <c r="BK30" s="176" t="n"/>
      <c r="BL30" s="176" t="n"/>
      <c r="BM30" s="176" t="n"/>
      <c r="BN30" s="176" t="n"/>
      <c r="BO30" s="176" t="n"/>
      <c r="BP30" s="176" t="n"/>
      <c r="BQ30" s="176" t="n"/>
      <c r="BR30" s="176" t="n"/>
    </row>
    <row r="31" ht="15" customHeight="1" s="392">
      <c r="A31" s="176" t="n"/>
      <c r="B31" s="180" t="n"/>
      <c r="C31" s="187" t="inlineStr">
        <is>
          <t>Total Operating (Income)/Expenses</t>
        </is>
      </c>
      <c r="D31" s="193">
        <f>IF(COUNT(M31:AS31)&gt;0,MEDIAN(M31:AS31),"")</f>
        <v/>
      </c>
      <c r="E31" s="193">
        <f>IF(COUNT(M31:AS31)&gt;0,AVERAGE(M31:AS31),"")</f>
        <v/>
      </c>
      <c r="F31" s="193">
        <f>IF(COUNT(M31:AS31)&gt;0,MIN(M31:AS31),"")</f>
        <v/>
      </c>
      <c r="G31" s="193">
        <f>IF(COUNT(M31:AS31)&gt;0,MAX(M31:AS31),"")</f>
        <v/>
      </c>
      <c r="H31" s="193">
        <f>IF(COUNT(M31:AS31)&gt;0,QUARTILE(M31:AS31,1),"")</f>
        <v/>
      </c>
      <c r="I31" s="193">
        <f>IF(COUNT(M31:AS31)&gt;0,QUARTILE(M31:AS31,3),"")</f>
        <v/>
      </c>
      <c r="J31" s="193">
        <f>IF(COUNT(M31:AS31)&gt;1,STDEV(M31:AS31),"")</f>
        <v/>
      </c>
      <c r="K31" s="194">
        <f>IF(COUNT(M31:AS31)&gt;1,STDEV(M31:AS31)/AVERAGE(M31:AS31),"")</f>
        <v/>
      </c>
      <c r="L31" s="195" t="n"/>
      <c r="M31" s="196" t="n">
        <v>431268</v>
      </c>
      <c r="N31" s="196" t="n">
        <v>402929</v>
      </c>
      <c r="O31" s="196" t="n">
        <v>335229</v>
      </c>
      <c r="P31" s="196" t="n">
        <v>250422</v>
      </c>
      <c r="Q31" s="196" t="n">
        <v>231224</v>
      </c>
      <c r="R31" s="196" t="n">
        <v>206665</v>
      </c>
      <c r="S31" s="196" t="n">
        <v>191703</v>
      </c>
      <c r="T31" s="196" t="n">
        <v>181867</v>
      </c>
      <c r="U31" s="196" t="n">
        <v>176890</v>
      </c>
      <c r="V31" s="196" t="n">
        <v>151364</v>
      </c>
      <c r="W31" s="196" t="n">
        <v>138116</v>
      </c>
      <c r="X31" s="196" t="n">
        <v>138975</v>
      </c>
      <c r="Y31" s="196" t="n">
        <v>164535</v>
      </c>
      <c r="Z31" s="196" t="n">
        <v>137930</v>
      </c>
      <c r="AA31" s="196" t="n">
        <v>114492</v>
      </c>
      <c r="AB31" s="196" t="n">
        <v>107605</v>
      </c>
      <c r="AC31" s="196" t="n">
        <v>108924</v>
      </c>
      <c r="AD31" s="196" t="n">
        <v>86935</v>
      </c>
      <c r="AE31" s="196" t="n">
        <v>84342</v>
      </c>
      <c r="AF31" s="196" t="n">
        <v>63637</v>
      </c>
      <c r="AG31" s="196" t="n">
        <v>58986</v>
      </c>
      <c r="AH31" s="196" t="n">
        <v>45629</v>
      </c>
      <c r="AI31" s="196" t="n">
        <v>38928</v>
      </c>
      <c r="AJ31" s="196" t="n">
        <v>32266</v>
      </c>
      <c r="AK31" s="196" t="n">
        <v>39563.8</v>
      </c>
      <c r="AL31" s="196" t="n">
        <v>33719.6</v>
      </c>
      <c r="AM31" s="196" t="n">
        <v>27128.8</v>
      </c>
      <c r="AN31" s="196" t="n">
        <v>21900</v>
      </c>
      <c r="AO31" s="196" t="n">
        <v>19100</v>
      </c>
      <c r="AP31" s="196" t="n">
        <v>18100</v>
      </c>
      <c r="AQ31" s="196" t="n">
        <v>16900</v>
      </c>
      <c r="AR31" s="196" t="n">
        <v>9100</v>
      </c>
      <c r="AS31" s="196" t="n">
        <v>4100</v>
      </c>
      <c r="AT31" s="182" t="n"/>
      <c r="AU31" s="176" t="n"/>
      <c r="AV31" s="176" t="n"/>
      <c r="AW31" s="176" t="n"/>
      <c r="AX31" s="176" t="n"/>
      <c r="AY31" s="176" t="n"/>
      <c r="AZ31" s="176" t="n"/>
      <c r="BA31" s="176" t="n"/>
      <c r="BB31" s="176" t="n"/>
      <c r="BC31" s="176" t="n"/>
      <c r="BD31" s="176" t="n"/>
      <c r="BE31" s="176" t="n"/>
      <c r="BF31" s="176" t="n"/>
      <c r="BG31" s="176" t="n"/>
      <c r="BH31" s="176" t="n"/>
      <c r="BI31" s="176" t="n"/>
      <c r="BJ31" s="176" t="n"/>
      <c r="BK31" s="176" t="n"/>
      <c r="BL31" s="176" t="n"/>
      <c r="BM31" s="176" t="n"/>
      <c r="BN31" s="176" t="n"/>
      <c r="BO31" s="176" t="n"/>
      <c r="BP31" s="176" t="n"/>
      <c r="BQ31" s="176" t="n"/>
      <c r="BR31" s="176" t="n"/>
    </row>
    <row r="32" ht="15" customHeight="1" s="392">
      <c r="A32" s="176" t="n"/>
      <c r="B32" s="180" t="n"/>
      <c r="C32" s="187" t="inlineStr">
        <is>
          <t>Total Operating Profit/(Loss)</t>
        </is>
      </c>
      <c r="D32" s="190">
        <f>IF(COUNT(M32:AS32)&gt;0,MEDIAN(M32:AS32),"")</f>
        <v/>
      </c>
      <c r="E32" s="190">
        <f>IF(COUNT(M32:AS32)&gt;0,AVERAGE(M32:AS32),"")</f>
        <v/>
      </c>
      <c r="F32" s="190">
        <f>IF(COUNT(M32:AS32)&gt;0,MIN(M32:AS32),"")</f>
        <v/>
      </c>
      <c r="G32" s="190">
        <f>IF(COUNT(M32:AS32)&gt;0,MAX(M32:AS32),"")</f>
        <v/>
      </c>
      <c r="H32" s="190">
        <f>IF(COUNT(M32:AS32)&gt;0,QUARTILE(M32:AS32,1),"")</f>
        <v/>
      </c>
      <c r="I32" s="190">
        <f>IF(COUNT(M32:AS32)&gt;0,QUARTILE(M32:AS32,3),"")</f>
        <v/>
      </c>
      <c r="J32" s="190">
        <f>IF(COUNT(M32:AS32)&gt;1,STDEV(M32:AS32),"")</f>
        <v/>
      </c>
      <c r="K32" s="191">
        <f>IF(COUNT(M32:AS32)&gt;1,STDEV(M32:AS32)/AVERAGE(M32:AS32),"")</f>
        <v/>
      </c>
      <c r="M32" s="192" t="n">
        <v>1652590</v>
      </c>
      <c r="N32" s="192" t="n">
        <v>1696714</v>
      </c>
      <c r="O32" s="192" t="n">
        <v>1572023</v>
      </c>
      <c r="P32" s="192" t="n">
        <v>1486569</v>
      </c>
      <c r="Q32" s="192" t="n">
        <v>1374997</v>
      </c>
      <c r="R32" s="192" t="n">
        <v>1136426</v>
      </c>
      <c r="S32" s="192" t="n">
        <v>816099</v>
      </c>
      <c r="T32" s="192" t="n">
        <v>716475</v>
      </c>
      <c r="U32" s="192" t="n">
        <v>585476</v>
      </c>
      <c r="V32" s="192" t="n">
        <v>480664</v>
      </c>
      <c r="W32" s="192" t="n">
        <v>406470</v>
      </c>
      <c r="X32" s="192" t="n">
        <v>344401</v>
      </c>
      <c r="Y32" s="192" t="n">
        <v>304038</v>
      </c>
      <c r="Z32" s="192" t="n">
        <v>282992</v>
      </c>
      <c r="AA32" s="192" t="n">
        <v>295124</v>
      </c>
      <c r="AB32" s="192" t="n">
        <v>265290</v>
      </c>
      <c r="AC32" s="192" t="n">
        <v>239070</v>
      </c>
      <c r="AD32" s="192" t="n">
        <v>225325</v>
      </c>
      <c r="AE32" s="192" t="n">
        <v>237917</v>
      </c>
      <c r="AF32" s="192" t="n">
        <v>203145</v>
      </c>
      <c r="AG32" s="192" t="n">
        <v>171562</v>
      </c>
      <c r="AH32" s="192" t="n">
        <v>156436</v>
      </c>
      <c r="AI32" s="192" t="n">
        <v>124461</v>
      </c>
      <c r="AJ32" s="192" t="n">
        <v>90754</v>
      </c>
      <c r="AK32" s="192" t="n">
        <v>89939.5</v>
      </c>
      <c r="AL32" s="192" t="n">
        <v>68117.3</v>
      </c>
      <c r="AM32" s="192" t="n">
        <v>46216.2</v>
      </c>
      <c r="AN32" s="192" t="n">
        <v>33400</v>
      </c>
      <c r="AO32" s="192" t="n">
        <v>23600</v>
      </c>
      <c r="AP32" s="192" t="n">
        <v>18800</v>
      </c>
      <c r="AQ32" s="192" t="n">
        <v>17800</v>
      </c>
      <c r="AR32" s="192" t="n">
        <v>11200</v>
      </c>
      <c r="AS32" s="192" t="n">
        <v>4200</v>
      </c>
      <c r="AT32" s="182" t="n"/>
      <c r="AU32" s="176" t="n"/>
      <c r="AV32" s="176" t="n"/>
      <c r="AW32" s="176" t="n"/>
      <c r="AX32" s="176" t="n"/>
      <c r="AY32" s="176" t="n"/>
      <c r="AZ32" s="176" t="n"/>
      <c r="BA32" s="176" t="n"/>
      <c r="BB32" s="176" t="n"/>
      <c r="BC32" s="176" t="n"/>
      <c r="BD32" s="176" t="n"/>
      <c r="BE32" s="176" t="n"/>
      <c r="BF32" s="176" t="n"/>
      <c r="BG32" s="176" t="n"/>
      <c r="BH32" s="176" t="n"/>
      <c r="BI32" s="176" t="n"/>
      <c r="BJ32" s="176" t="n"/>
      <c r="BK32" s="176" t="n"/>
      <c r="BL32" s="176" t="n"/>
      <c r="BM32" s="176" t="n"/>
      <c r="BN32" s="176" t="n"/>
      <c r="BO32" s="176" t="n"/>
      <c r="BP32" s="176" t="n"/>
      <c r="BQ32" s="176" t="n"/>
      <c r="BR32" s="176" t="n"/>
    </row>
    <row r="33" ht="15" customHeight="1" s="392">
      <c r="A33" s="176" t="n"/>
      <c r="B33" s="180" t="n"/>
      <c r="C33" s="189" t="inlineStr">
        <is>
          <t>Non-Operating Income/(Expenses)</t>
        </is>
      </c>
      <c r="D33" s="185" t="n"/>
      <c r="E33" s="185" t="n"/>
      <c r="F33" s="185" t="n"/>
      <c r="G33" s="185" t="n"/>
      <c r="H33" s="185" t="n"/>
      <c r="I33" s="185" t="n"/>
      <c r="J33" s="185" t="n"/>
      <c r="K33" s="185" t="n"/>
      <c r="L33" s="185" t="n"/>
      <c r="M33" s="185" t="n"/>
      <c r="N33" s="185" t="n"/>
      <c r="O33" s="185" t="n"/>
      <c r="P33" s="185" t="n"/>
      <c r="Q33" s="185" t="n"/>
      <c r="R33" s="185" t="n"/>
      <c r="S33" s="185" t="n"/>
      <c r="T33" s="185" t="n"/>
      <c r="U33" s="185" t="n"/>
      <c r="V33" s="185" t="n"/>
      <c r="W33" s="185" t="n"/>
      <c r="X33" s="185" t="n"/>
      <c r="Y33" s="185" t="n"/>
      <c r="Z33" s="185" t="n"/>
      <c r="AA33" s="185" t="n"/>
      <c r="AB33" s="185" t="n"/>
      <c r="AC33" s="185" t="n"/>
      <c r="AD33" s="185" t="n"/>
      <c r="AE33" s="185" t="n"/>
      <c r="AF33" s="185" t="n"/>
      <c r="AG33" s="185" t="n"/>
      <c r="AH33" s="185" t="n"/>
      <c r="AI33" s="185" t="n"/>
      <c r="AJ33" s="185" t="n"/>
      <c r="AK33" s="185" t="n"/>
      <c r="AL33" s="185" t="n"/>
      <c r="AM33" s="185" t="n"/>
      <c r="AN33" s="185" t="n"/>
      <c r="AO33" s="185" t="n"/>
      <c r="AP33" s="185" t="n"/>
      <c r="AQ33" s="185" t="n"/>
      <c r="AR33" s="185" t="n"/>
      <c r="AS33" s="185" t="n"/>
      <c r="AT33" s="182" t="n"/>
      <c r="AU33" s="176" t="n"/>
      <c r="AV33" s="176" t="n"/>
      <c r="AW33" s="176" t="n"/>
      <c r="AX33" s="176" t="n"/>
      <c r="AY33" s="176" t="n"/>
      <c r="AZ33" s="176" t="n"/>
      <c r="BA33" s="176" t="n"/>
      <c r="BB33" s="176" t="n"/>
      <c r="BC33" s="176" t="n"/>
      <c r="BD33" s="176" t="n"/>
      <c r="BE33" s="176" t="n"/>
      <c r="BF33" s="176" t="n"/>
      <c r="BG33" s="176" t="n"/>
      <c r="BH33" s="176" t="n"/>
      <c r="BI33" s="176" t="n"/>
      <c r="BJ33" s="176" t="n"/>
      <c r="BK33" s="176" t="n"/>
      <c r="BL33" s="176" t="n"/>
      <c r="BM33" s="176" t="n"/>
      <c r="BN33" s="176" t="n"/>
      <c r="BO33" s="176" t="n"/>
      <c r="BP33" s="176" t="n"/>
      <c r="BQ33" s="176" t="n"/>
      <c r="BR33" s="176" t="n"/>
    </row>
    <row r="34" ht="15" customHeight="1" s="392">
      <c r="A34" s="176" t="n"/>
      <c r="B34" s="180" t="n"/>
      <c r="C34" s="183" t="inlineStr">
        <is>
          <t xml:space="preserve">    Net Finance (Income)/Expense</t>
        </is>
      </c>
      <c r="D34" s="185" t="n"/>
      <c r="E34" s="185" t="n"/>
      <c r="F34" s="185" t="n"/>
      <c r="G34" s="185" t="n"/>
      <c r="H34" s="185" t="n"/>
      <c r="I34" s="185" t="n"/>
      <c r="J34" s="185" t="n"/>
      <c r="K34" s="185" t="n"/>
      <c r="AT34" s="182" t="n"/>
      <c r="AU34" s="176" t="n"/>
      <c r="AV34" s="176" t="n"/>
      <c r="AW34" s="176" t="n"/>
      <c r="AX34" s="176" t="n"/>
      <c r="AY34" s="176" t="n"/>
      <c r="AZ34" s="176" t="n"/>
      <c r="BA34" s="176" t="n"/>
      <c r="BB34" s="176" t="n"/>
      <c r="BC34" s="176" t="n"/>
      <c r="BD34" s="176" t="n"/>
      <c r="BE34" s="176" t="n"/>
      <c r="BF34" s="176" t="n"/>
      <c r="BG34" s="176" t="n"/>
      <c r="BH34" s="176" t="n"/>
      <c r="BI34" s="176" t="n"/>
      <c r="BJ34" s="176" t="n"/>
      <c r="BK34" s="176" t="n"/>
      <c r="BL34" s="176" t="n"/>
      <c r="BM34" s="176" t="n"/>
      <c r="BN34" s="176" t="n"/>
      <c r="BO34" s="176" t="n"/>
      <c r="BP34" s="176" t="n"/>
      <c r="BQ34" s="176" t="n"/>
      <c r="BR34" s="176" t="n"/>
    </row>
    <row r="35" ht="15" customHeight="1" s="392">
      <c r="A35" s="176" t="n"/>
      <c r="B35" s="180" t="n"/>
      <c r="C35" s="183" t="inlineStr">
        <is>
          <t xml:space="preserve">        Net Interest (Income)/Expense</t>
        </is>
      </c>
      <c r="D35" s="185" t="n"/>
      <c r="E35" s="185" t="n"/>
      <c r="F35" s="185" t="n"/>
      <c r="G35" s="185" t="n"/>
      <c r="H35" s="185" t="n"/>
      <c r="I35" s="185" t="n"/>
      <c r="J35" s="185" t="n"/>
      <c r="K35" s="185" t="n"/>
      <c r="AT35" s="182" t="n"/>
      <c r="AU35" s="176" t="n"/>
      <c r="AV35" s="176" t="n"/>
      <c r="AW35" s="176" t="n"/>
      <c r="AX35" s="176" t="n"/>
      <c r="AY35" s="176" t="n"/>
      <c r="AZ35" s="176" t="n"/>
      <c r="BA35" s="176" t="n"/>
      <c r="BB35" s="176" t="n"/>
      <c r="BC35" s="176" t="n"/>
      <c r="BD35" s="176" t="n"/>
      <c r="BE35" s="176" t="n"/>
      <c r="BF35" s="176" t="n"/>
      <c r="BG35" s="176" t="n"/>
      <c r="BH35" s="176" t="n"/>
      <c r="BI35" s="176" t="n"/>
      <c r="BJ35" s="176" t="n"/>
      <c r="BK35" s="176" t="n"/>
      <c r="BL35" s="176" t="n"/>
      <c r="BM35" s="176" t="n"/>
      <c r="BN35" s="176" t="n"/>
      <c r="BO35" s="176" t="n"/>
      <c r="BP35" s="176" t="n"/>
      <c r="BQ35" s="176" t="n"/>
      <c r="BR35" s="176" t="n"/>
    </row>
    <row r="36" ht="15" customHeight="1" s="392">
      <c r="A36" s="176" t="n"/>
      <c r="B36" s="180" t="n"/>
      <c r="C36" s="183" t="inlineStr">
        <is>
          <t xml:space="preserve">            Interest Expense Net of Capitalized Interest</t>
        </is>
      </c>
      <c r="D36" s="190">
        <f>IF(COUNT(M36:AS36)&gt;0,MEDIAN(M36:AS36),"")</f>
        <v/>
      </c>
      <c r="E36" s="190">
        <f>IF(COUNT(M36:AS36)&gt;0,AVERAGE(M36:AS36),"")</f>
        <v/>
      </c>
      <c r="F36" s="190">
        <f>IF(COUNT(M36:AS36)&gt;0,MIN(M36:AS36),"")</f>
        <v/>
      </c>
      <c r="G36" s="190">
        <f>IF(COUNT(M36:AS36)&gt;0,MAX(M36:AS36),"")</f>
        <v/>
      </c>
      <c r="H36" s="190">
        <f>IF(COUNT(M36:AS36)&gt;0,QUARTILE(M36:AS36,1),"")</f>
        <v/>
      </c>
      <c r="I36" s="190">
        <f>IF(COUNT(M36:AS36)&gt;0,QUARTILE(M36:AS36,3),"")</f>
        <v/>
      </c>
      <c r="J36" s="190">
        <f>IF(COUNT(M36:AS36)&gt;1,STDEV(M36:AS36),"")</f>
        <v/>
      </c>
      <c r="K36" s="191">
        <f>IF(COUNT(M36:AS36)&gt;1,STDEV(M36:AS36)/AVERAGE(M36:AS36),"")</f>
        <v/>
      </c>
      <c r="M36" s="192" t="n"/>
      <c r="N36" s="192" t="n"/>
      <c r="O36" s="192" t="n"/>
      <c r="P36" s="192" t="n"/>
      <c r="Q36" s="192" t="n"/>
      <c r="R36" s="192" t="n"/>
      <c r="S36" s="192" t="n">
        <v>18871</v>
      </c>
      <c r="T36" s="192" t="n">
        <v>17585</v>
      </c>
      <c r="U36" s="192" t="n">
        <v>20368</v>
      </c>
      <c r="V36" s="192" t="n">
        <v>23779</v>
      </c>
      <c r="W36" s="192" t="n">
        <v>23606</v>
      </c>
      <c r="X36" s="192" t="n">
        <v>18121</v>
      </c>
      <c r="Y36" s="192" t="n">
        <v>8768</v>
      </c>
      <c r="Z36" s="192" t="n">
        <v>10267</v>
      </c>
      <c r="AA36" s="192" t="n">
        <v>11341</v>
      </c>
      <c r="AB36" s="192" t="n">
        <v>4078</v>
      </c>
      <c r="AC36" s="192" t="n">
        <v>216</v>
      </c>
      <c r="AD36" s="192" t="n">
        <v>274</v>
      </c>
      <c r="AE36" s="192" t="n"/>
      <c r="AF36" s="192" t="n"/>
      <c r="AG36" s="192" t="n"/>
      <c r="AH36" s="192" t="n"/>
      <c r="AI36" s="192" t="n"/>
      <c r="AJ36" s="192" t="n"/>
      <c r="AK36" s="192" t="n"/>
      <c r="AL36" s="192" t="n"/>
      <c r="AM36" s="192" t="n"/>
      <c r="AN36" s="192" t="n"/>
      <c r="AO36" s="192" t="n"/>
      <c r="AP36" s="192" t="n"/>
      <c r="AQ36" s="192" t="n"/>
      <c r="AR36" s="192" t="n"/>
      <c r="AS36" s="192" t="n"/>
      <c r="AT36" s="182" t="n"/>
      <c r="AU36" s="176" t="n"/>
      <c r="AV36" s="176" t="n"/>
      <c r="AW36" s="176" t="n"/>
      <c r="AX36" s="176" t="n"/>
      <c r="AY36" s="176" t="n"/>
      <c r="AZ36" s="176" t="n"/>
      <c r="BA36" s="176" t="n"/>
      <c r="BB36" s="176" t="n"/>
      <c r="BC36" s="176" t="n"/>
      <c r="BD36" s="176" t="n"/>
      <c r="BE36" s="176" t="n"/>
      <c r="BF36" s="176" t="n"/>
      <c r="BG36" s="176" t="n"/>
      <c r="BH36" s="176" t="n"/>
      <c r="BI36" s="176" t="n"/>
      <c r="BJ36" s="176" t="n"/>
      <c r="BK36" s="176" t="n"/>
      <c r="BL36" s="176" t="n"/>
      <c r="BM36" s="176" t="n"/>
      <c r="BN36" s="176" t="n"/>
      <c r="BO36" s="176" t="n"/>
      <c r="BP36" s="176" t="n"/>
      <c r="BQ36" s="176" t="n"/>
      <c r="BR36" s="176" t="n"/>
    </row>
    <row r="37" ht="15" customHeight="1" s="392">
      <c r="A37" s="176" t="n"/>
      <c r="B37" s="180" t="n"/>
      <c r="C37" s="183" t="inlineStr">
        <is>
          <t xml:space="preserve">            Interest Income</t>
        </is>
      </c>
      <c r="D37" s="190">
        <f>IF(COUNT(M37:AS37)&gt;0,MEDIAN(M37:AS37),"")</f>
        <v/>
      </c>
      <c r="E37" s="190">
        <f>IF(COUNT(M37:AS37)&gt;0,AVERAGE(M37:AS37),"")</f>
        <v/>
      </c>
      <c r="F37" s="190">
        <f>IF(COUNT(M37:AS37)&gt;0,MIN(M37:AS37),"")</f>
        <v/>
      </c>
      <c r="G37" s="190">
        <f>IF(COUNT(M37:AS37)&gt;0,MAX(M37:AS37),"")</f>
        <v/>
      </c>
      <c r="H37" s="190">
        <f>IF(COUNT(M37:AS37)&gt;0,QUARTILE(M37:AS37,1),"")</f>
        <v/>
      </c>
      <c r="I37" s="190">
        <f>IF(COUNT(M37:AS37)&gt;0,QUARTILE(M37:AS37,3),"")</f>
        <v/>
      </c>
      <c r="J37" s="190">
        <f>IF(COUNT(M37:AS37)&gt;1,STDEV(M37:AS37),"")</f>
        <v/>
      </c>
      <c r="K37" s="191">
        <f>IF(COUNT(M37:AS37)&gt;1,STDEV(M37:AS37)/AVERAGE(M37:AS37),"")</f>
        <v/>
      </c>
      <c r="M37" s="192" t="n"/>
      <c r="N37" s="192" t="n"/>
      <c r="O37" s="192" t="n"/>
      <c r="P37" s="192" t="n"/>
      <c r="Q37" s="192" t="n"/>
      <c r="R37" s="192" t="n"/>
      <c r="S37" s="192" t="n"/>
      <c r="T37" s="192" t="n"/>
      <c r="U37" s="192" t="n">
        <v>1293</v>
      </c>
      <c r="V37" s="192" t="n">
        <v>1406</v>
      </c>
      <c r="W37" s="192" t="n">
        <v>1449</v>
      </c>
      <c r="X37" s="192" t="n">
        <v>817</v>
      </c>
      <c r="Y37" s="192" t="n">
        <v>491</v>
      </c>
      <c r="Z37" s="192" t="n">
        <v>638</v>
      </c>
      <c r="AA37" s="192" t="n">
        <v>357</v>
      </c>
      <c r="AB37" s="192" t="n">
        <v>493</v>
      </c>
      <c r="AC37" s="192" t="n">
        <v>205</v>
      </c>
      <c r="AD37" s="192" t="n">
        <v>1692</v>
      </c>
      <c r="AE37" s="192" t="n"/>
      <c r="AF37" s="192" t="n"/>
      <c r="AG37" s="192" t="n"/>
      <c r="AH37" s="192" t="n"/>
      <c r="AI37" s="192" t="n"/>
      <c r="AJ37" s="192" t="n"/>
      <c r="AK37" s="192" t="n"/>
      <c r="AL37" s="192" t="n"/>
      <c r="AM37" s="192" t="n"/>
      <c r="AN37" s="192" t="n"/>
      <c r="AO37" s="192" t="n"/>
      <c r="AP37" s="192" t="n"/>
      <c r="AQ37" s="192" t="n"/>
      <c r="AR37" s="192" t="n"/>
      <c r="AS37" s="192" t="n"/>
      <c r="AT37" s="182" t="n"/>
      <c r="AU37" s="176" t="n"/>
      <c r="AV37" s="176" t="n"/>
      <c r="AW37" s="176" t="n"/>
      <c r="AX37" s="176" t="n"/>
      <c r="AY37" s="176" t="n"/>
      <c r="AZ37" s="176" t="n"/>
      <c r="BA37" s="176" t="n"/>
      <c r="BB37" s="176" t="n"/>
      <c r="BC37" s="176" t="n"/>
      <c r="BD37" s="176" t="n"/>
      <c r="BE37" s="176" t="n"/>
      <c r="BF37" s="176" t="n"/>
      <c r="BG37" s="176" t="n"/>
      <c r="BH37" s="176" t="n"/>
      <c r="BI37" s="176" t="n"/>
      <c r="BJ37" s="176" t="n"/>
      <c r="BK37" s="176" t="n"/>
      <c r="BL37" s="176" t="n"/>
      <c r="BM37" s="176" t="n"/>
      <c r="BN37" s="176" t="n"/>
      <c r="BO37" s="176" t="n"/>
      <c r="BP37" s="176" t="n"/>
      <c r="BQ37" s="176" t="n"/>
      <c r="BR37" s="176" t="n"/>
    </row>
    <row r="38" ht="15" customHeight="1" s="392">
      <c r="A38" s="176" t="n"/>
      <c r="B38" s="180" t="n"/>
      <c r="C38" s="187" t="inlineStr">
        <is>
          <t xml:space="preserve">        Total Net Interest (Income)/Expense</t>
        </is>
      </c>
      <c r="D38" s="193">
        <f>IF(COUNT(M38:AS38)&gt;0,MEDIAN(M38:AS38),"")</f>
        <v/>
      </c>
      <c r="E38" s="193">
        <f>IF(COUNT(M38:AS38)&gt;0,AVERAGE(M38:AS38),"")</f>
        <v/>
      </c>
      <c r="F38" s="193">
        <f>IF(COUNT(M38:AS38)&gt;0,MIN(M38:AS38),"")</f>
        <v/>
      </c>
      <c r="G38" s="193">
        <f>IF(COUNT(M38:AS38)&gt;0,MAX(M38:AS38),"")</f>
        <v/>
      </c>
      <c r="H38" s="193">
        <f>IF(COUNT(M38:AS38)&gt;0,QUARTILE(M38:AS38,1),"")</f>
        <v/>
      </c>
      <c r="I38" s="193">
        <f>IF(COUNT(M38:AS38)&gt;0,QUARTILE(M38:AS38,3),"")</f>
        <v/>
      </c>
      <c r="J38" s="193">
        <f>IF(COUNT(M38:AS38)&gt;1,STDEV(M38:AS38),"")</f>
        <v/>
      </c>
      <c r="K38" s="194">
        <f>IF(COUNT(M38:AS38)&gt;1,STDEV(M38:AS38)/AVERAGE(M38:AS38),"")</f>
        <v/>
      </c>
      <c r="L38" s="195" t="n"/>
      <c r="M38" s="196" t="n">
        <v>-181923</v>
      </c>
      <c r="N38" s="196" t="n">
        <v>-178909</v>
      </c>
      <c r="O38" s="196" t="n">
        <v>-145673</v>
      </c>
      <c r="P38" s="196" t="n">
        <v>-65928</v>
      </c>
      <c r="Q38" s="196" t="n">
        <v>16688</v>
      </c>
      <c r="R38" s="196" t="n">
        <v>20247</v>
      </c>
      <c r="S38" s="196" t="n">
        <v>18871</v>
      </c>
      <c r="T38" s="196" t="n">
        <v>17585</v>
      </c>
      <c r="U38" s="196" t="n">
        <v>19075</v>
      </c>
      <c r="V38" s="196" t="n">
        <v>22373</v>
      </c>
      <c r="W38" s="196" t="n">
        <v>22157</v>
      </c>
      <c r="X38" s="196" t="n">
        <v>17304</v>
      </c>
      <c r="Y38" s="196" t="n">
        <v>8277</v>
      </c>
      <c r="Z38" s="196" t="n">
        <v>9629</v>
      </c>
      <c r="AA38" s="196" t="n">
        <v>10984</v>
      </c>
      <c r="AB38" s="196" t="n">
        <v>3585</v>
      </c>
      <c r="AC38" s="196" t="n">
        <v>11</v>
      </c>
      <c r="AD38" s="196" t="n">
        <v>-1418</v>
      </c>
      <c r="AE38" s="196" t="n"/>
      <c r="AF38" s="196" t="n"/>
      <c r="AG38" s="196" t="n"/>
      <c r="AH38" s="196" t="n"/>
      <c r="AI38" s="196" t="n"/>
      <c r="AJ38" s="196" t="n"/>
      <c r="AK38" s="196" t="n"/>
      <c r="AL38" s="196" t="n"/>
      <c r="AM38" s="196" t="n"/>
      <c r="AN38" s="196" t="n"/>
      <c r="AO38" s="196" t="n"/>
      <c r="AP38" s="196" t="n"/>
      <c r="AQ38" s="196" t="n"/>
      <c r="AR38" s="196" t="n"/>
      <c r="AS38" s="196" t="n"/>
      <c r="AT38" s="182" t="n"/>
      <c r="AU38" s="176" t="n"/>
      <c r="AV38" s="176" t="n"/>
      <c r="AW38" s="176" t="n"/>
      <c r="AX38" s="176" t="n"/>
      <c r="AY38" s="176" t="n"/>
      <c r="AZ38" s="176" t="n"/>
      <c r="BA38" s="176" t="n"/>
      <c r="BB38" s="176" t="n"/>
      <c r="BC38" s="176" t="n"/>
      <c r="BD38" s="176" t="n"/>
      <c r="BE38" s="176" t="n"/>
      <c r="BF38" s="176" t="n"/>
      <c r="BG38" s="176" t="n"/>
      <c r="BH38" s="176" t="n"/>
      <c r="BI38" s="176" t="n"/>
      <c r="BJ38" s="176" t="n"/>
      <c r="BK38" s="176" t="n"/>
      <c r="BL38" s="176" t="n"/>
      <c r="BM38" s="176" t="n"/>
      <c r="BN38" s="176" t="n"/>
      <c r="BO38" s="176" t="n"/>
      <c r="BP38" s="176" t="n"/>
      <c r="BQ38" s="176" t="n"/>
      <c r="BR38" s="176" t="n"/>
    </row>
    <row r="39" ht="15" customHeight="1" s="392">
      <c r="A39" s="176" t="n"/>
      <c r="B39" s="180" t="n"/>
      <c r="C39" s="187" t="inlineStr">
        <is>
          <t xml:space="preserve">    Total Net Finance (Income)/Expense</t>
        </is>
      </c>
      <c r="D39" s="193">
        <f>IF(COUNT(M39:AS39)&gt;0,MEDIAN(M39:AS39),"")</f>
        <v/>
      </c>
      <c r="E39" s="193">
        <f>IF(COUNT(M39:AS39)&gt;0,AVERAGE(M39:AS39),"")</f>
        <v/>
      </c>
      <c r="F39" s="193">
        <f>IF(COUNT(M39:AS39)&gt;0,MIN(M39:AS39),"")</f>
        <v/>
      </c>
      <c r="G39" s="193">
        <f>IF(COUNT(M39:AS39)&gt;0,MAX(M39:AS39),"")</f>
        <v/>
      </c>
      <c r="H39" s="193">
        <f>IF(COUNT(M39:AS39)&gt;0,QUARTILE(M39:AS39,1),"")</f>
        <v/>
      </c>
      <c r="I39" s="193">
        <f>IF(COUNT(M39:AS39)&gt;0,QUARTILE(M39:AS39,3),"")</f>
        <v/>
      </c>
      <c r="J39" s="193">
        <f>IF(COUNT(M39:AS39)&gt;1,STDEV(M39:AS39),"")</f>
        <v/>
      </c>
      <c r="K39" s="194">
        <f>IF(COUNT(M39:AS39)&gt;1,STDEV(M39:AS39)/AVERAGE(M39:AS39),"")</f>
        <v/>
      </c>
      <c r="L39" s="195" t="n"/>
      <c r="M39" s="196" t="n">
        <v>-181923</v>
      </c>
      <c r="N39" s="196" t="n">
        <v>-178909</v>
      </c>
      <c r="O39" s="196" t="n">
        <v>-145673</v>
      </c>
      <c r="P39" s="196" t="n">
        <v>-65928</v>
      </c>
      <c r="Q39" s="196" t="n">
        <v>16688</v>
      </c>
      <c r="R39" s="196" t="n">
        <v>20247</v>
      </c>
      <c r="S39" s="196" t="n">
        <v>18871</v>
      </c>
      <c r="T39" s="196" t="n">
        <v>17585</v>
      </c>
      <c r="U39" s="196" t="n">
        <v>19075</v>
      </c>
      <c r="V39" s="196" t="n">
        <v>22373</v>
      </c>
      <c r="W39" s="196" t="n">
        <v>22157</v>
      </c>
      <c r="X39" s="196" t="n">
        <v>17304</v>
      </c>
      <c r="Y39" s="196" t="n">
        <v>8277</v>
      </c>
      <c r="Z39" s="196" t="n">
        <v>9629</v>
      </c>
      <c r="AA39" s="196" t="n">
        <v>10984</v>
      </c>
      <c r="AB39" s="196" t="n">
        <v>3585</v>
      </c>
      <c r="AC39" s="196" t="n">
        <v>11</v>
      </c>
      <c r="AD39" s="196" t="n">
        <v>-1418</v>
      </c>
      <c r="AE39" s="196" t="n"/>
      <c r="AF39" s="196" t="n"/>
      <c r="AG39" s="196" t="n"/>
      <c r="AH39" s="196" t="n"/>
      <c r="AI39" s="196" t="n"/>
      <c r="AJ39" s="196" t="n"/>
      <c r="AK39" s="196" t="n"/>
      <c r="AL39" s="196" t="n"/>
      <c r="AM39" s="196" t="n"/>
      <c r="AN39" s="196" t="n"/>
      <c r="AO39" s="196" t="n"/>
      <c r="AP39" s="196" t="n"/>
      <c r="AQ39" s="196" t="n"/>
      <c r="AR39" s="196" t="n"/>
      <c r="AS39" s="196" t="n"/>
      <c r="AT39" s="182" t="n"/>
      <c r="AU39" s="176" t="n"/>
      <c r="AV39" s="176" t="n"/>
      <c r="AW39" s="176" t="n"/>
      <c r="AX39" s="176" t="n"/>
      <c r="AY39" s="176" t="n"/>
      <c r="AZ39" s="176" t="n"/>
      <c r="BA39" s="176" t="n"/>
      <c r="BB39" s="176" t="n"/>
      <c r="BC39" s="176" t="n"/>
      <c r="BD39" s="176" t="n"/>
      <c r="BE39" s="176" t="n"/>
      <c r="BF39" s="176" t="n"/>
      <c r="BG39" s="176" t="n"/>
      <c r="BH39" s="176" t="n"/>
      <c r="BI39" s="176" t="n"/>
      <c r="BJ39" s="176" t="n"/>
      <c r="BK39" s="176" t="n"/>
      <c r="BL39" s="176" t="n"/>
      <c r="BM39" s="176" t="n"/>
      <c r="BN39" s="176" t="n"/>
      <c r="BO39" s="176" t="n"/>
      <c r="BP39" s="176" t="n"/>
      <c r="BQ39" s="176" t="n"/>
      <c r="BR39" s="176" t="n"/>
    </row>
    <row r="40" ht="15" customHeight="1" s="392">
      <c r="A40" s="176" t="n"/>
      <c r="B40" s="180" t="n"/>
      <c r="C40" s="183" t="inlineStr">
        <is>
          <t xml:space="preserve">    Net Investment Income</t>
        </is>
      </c>
      <c r="D40" s="185" t="n"/>
      <c r="E40" s="185" t="n"/>
      <c r="F40" s="185" t="n"/>
      <c r="G40" s="185" t="n"/>
      <c r="H40" s="185" t="n"/>
      <c r="I40" s="185" t="n"/>
      <c r="J40" s="185" t="n"/>
      <c r="K40" s="185" t="n"/>
      <c r="AT40" s="182" t="n"/>
      <c r="AU40" s="176" t="n"/>
      <c r="AV40" s="176" t="n"/>
      <c r="AW40" s="176" t="n"/>
      <c r="AX40" s="176" t="n"/>
      <c r="AY40" s="176" t="n"/>
      <c r="AZ40" s="176" t="n"/>
      <c r="BA40" s="176" t="n"/>
      <c r="BB40" s="176" t="n"/>
      <c r="BC40" s="176" t="n"/>
      <c r="BD40" s="176" t="n"/>
      <c r="BE40" s="176" t="n"/>
      <c r="BF40" s="176" t="n"/>
      <c r="BG40" s="176" t="n"/>
      <c r="BH40" s="176" t="n"/>
      <c r="BI40" s="176" t="n"/>
      <c r="BJ40" s="176" t="n"/>
      <c r="BK40" s="176" t="n"/>
      <c r="BL40" s="176" t="n"/>
      <c r="BM40" s="176" t="n"/>
      <c r="BN40" s="176" t="n"/>
      <c r="BO40" s="176" t="n"/>
      <c r="BP40" s="176" t="n"/>
      <c r="BQ40" s="176" t="n"/>
      <c r="BR40" s="176" t="n"/>
    </row>
    <row r="41" ht="15" customHeight="1" s="392">
      <c r="A41" s="176" t="n"/>
      <c r="B41" s="180" t="n"/>
      <c r="C41" s="183" t="inlineStr">
        <is>
          <t xml:space="preserve">        Income from Associates, Joint Ventures and Other Participating Interests</t>
        </is>
      </c>
      <c r="D41" s="190">
        <f>IF(COUNT(M41:AS41)&gt;0,MEDIAN(M41:AS41),"")</f>
        <v/>
      </c>
      <c r="E41" s="190">
        <f>IF(COUNT(M41:AS41)&gt;0,AVERAGE(M41:AS41),"")</f>
        <v/>
      </c>
      <c r="F41" s="190">
        <f>IF(COUNT(M41:AS41)&gt;0,MIN(M41:AS41),"")</f>
        <v/>
      </c>
      <c r="G41" s="190">
        <f>IF(COUNT(M41:AS41)&gt;0,MAX(M41:AS41),"")</f>
        <v/>
      </c>
      <c r="H41" s="190">
        <f>IF(COUNT(M41:AS41)&gt;0,QUARTILE(M41:AS41,1),"")</f>
        <v/>
      </c>
      <c r="I41" s="190">
        <f>IF(COUNT(M41:AS41)&gt;0,QUARTILE(M41:AS41,3),"")</f>
        <v/>
      </c>
      <c r="J41" s="190">
        <f>IF(COUNT(M41:AS41)&gt;1,STDEV(M41:AS41),"")</f>
        <v/>
      </c>
      <c r="K41" s="191">
        <f>IF(COUNT(M41:AS41)&gt;1,STDEV(M41:AS41)/AVERAGE(M41:AS41),"")</f>
        <v/>
      </c>
      <c r="M41" s="192" t="n"/>
      <c r="N41" s="192" t="n"/>
      <c r="O41" s="192" t="n"/>
      <c r="P41" s="192" t="n"/>
      <c r="Q41" s="192" t="n"/>
      <c r="R41" s="192" t="n"/>
      <c r="S41" s="192" t="n"/>
      <c r="T41" s="192" t="n"/>
      <c r="U41" s="192" t="n"/>
      <c r="V41" s="192" t="n"/>
      <c r="W41" s="192" t="n"/>
      <c r="X41" s="192" t="n"/>
      <c r="Y41" s="192" t="n"/>
      <c r="Z41" s="192" t="n"/>
      <c r="AA41" s="192" t="n"/>
      <c r="AB41" s="192" t="n"/>
      <c r="AC41" s="192" t="n"/>
      <c r="AD41" s="192" t="n"/>
      <c r="AE41" s="192" t="n"/>
      <c r="AF41" s="192" t="n">
        <v>-2216</v>
      </c>
      <c r="AG41" s="192" t="n">
        <v>-6784</v>
      </c>
      <c r="AH41" s="192" t="n"/>
      <c r="AI41" s="192" t="n"/>
      <c r="AJ41" s="192" t="n"/>
      <c r="AK41" s="192" t="n"/>
      <c r="AL41" s="192" t="n"/>
      <c r="AM41" s="192" t="n"/>
      <c r="AN41" s="192" t="n"/>
      <c r="AO41" s="192" t="n"/>
      <c r="AP41" s="192" t="n"/>
      <c r="AQ41" s="192" t="n"/>
      <c r="AR41" s="192" t="n"/>
      <c r="AS41" s="192" t="n"/>
      <c r="AT41" s="182" t="n"/>
      <c r="AU41" s="176" t="n"/>
      <c r="AV41" s="176" t="n"/>
      <c r="AW41" s="176" t="n"/>
      <c r="AX41" s="176" t="n"/>
      <c r="AY41" s="176" t="n"/>
      <c r="AZ41" s="176" t="n"/>
      <c r="BA41" s="176" t="n"/>
      <c r="BB41" s="176" t="n"/>
      <c r="BC41" s="176" t="n"/>
      <c r="BD41" s="176" t="n"/>
      <c r="BE41" s="176" t="n"/>
      <c r="BF41" s="176" t="n"/>
      <c r="BG41" s="176" t="n"/>
      <c r="BH41" s="176" t="n"/>
      <c r="BI41" s="176" t="n"/>
      <c r="BJ41" s="176" t="n"/>
      <c r="BK41" s="176" t="n"/>
      <c r="BL41" s="176" t="n"/>
      <c r="BM41" s="176" t="n"/>
      <c r="BN41" s="176" t="n"/>
      <c r="BO41" s="176" t="n"/>
      <c r="BP41" s="176" t="n"/>
      <c r="BQ41" s="176" t="n"/>
      <c r="BR41" s="176" t="n"/>
    </row>
    <row r="42" ht="15" customHeight="1" s="392">
      <c r="A42" s="176" t="n"/>
      <c r="B42" s="180" t="n"/>
      <c r="C42" s="187" t="inlineStr">
        <is>
          <t xml:space="preserve">    Total Net Investment Income</t>
        </is>
      </c>
      <c r="D42" s="193">
        <f>IF(COUNT(M42:AS42)&gt;0,MEDIAN(M42:AS42),"")</f>
        <v/>
      </c>
      <c r="E42" s="193">
        <f>IF(COUNT(M42:AS42)&gt;0,AVERAGE(M42:AS42),"")</f>
        <v/>
      </c>
      <c r="F42" s="193">
        <f>IF(COUNT(M42:AS42)&gt;0,MIN(M42:AS42),"")</f>
        <v/>
      </c>
      <c r="G42" s="193">
        <f>IF(COUNT(M42:AS42)&gt;0,MAX(M42:AS42),"")</f>
        <v/>
      </c>
      <c r="H42" s="193">
        <f>IF(COUNT(M42:AS42)&gt;0,QUARTILE(M42:AS42,1),"")</f>
        <v/>
      </c>
      <c r="I42" s="193">
        <f>IF(COUNT(M42:AS42)&gt;0,QUARTILE(M42:AS42,3),"")</f>
        <v/>
      </c>
      <c r="J42" s="193">
        <f>IF(COUNT(M42:AS42)&gt;1,STDEV(M42:AS42),"")</f>
        <v/>
      </c>
      <c r="K42" s="194">
        <f>IF(COUNT(M42:AS42)&gt;1,STDEV(M42:AS42)/AVERAGE(M42:AS42),"")</f>
        <v/>
      </c>
      <c r="L42" s="195" t="n"/>
      <c r="M42" s="196" t="n"/>
      <c r="N42" s="196" t="n"/>
      <c r="O42" s="196" t="n"/>
      <c r="P42" s="196" t="n"/>
      <c r="Q42" s="196" t="n"/>
      <c r="R42" s="196" t="n"/>
      <c r="S42" s="196" t="n"/>
      <c r="T42" s="196" t="n"/>
      <c r="U42" s="196" t="n"/>
      <c r="V42" s="196" t="n"/>
      <c r="W42" s="196" t="n"/>
      <c r="X42" s="196" t="n"/>
      <c r="Y42" s="196" t="n"/>
      <c r="Z42" s="196" t="n"/>
      <c r="AA42" s="196" t="n"/>
      <c r="AB42" s="196" t="n"/>
      <c r="AC42" s="196" t="n"/>
      <c r="AD42" s="196" t="n"/>
      <c r="AE42" s="196" t="n"/>
      <c r="AF42" s="196" t="n">
        <v>-2216</v>
      </c>
      <c r="AG42" s="196" t="n">
        <v>-6784</v>
      </c>
      <c r="AH42" s="196" t="n"/>
      <c r="AI42" s="196" t="n"/>
      <c r="AJ42" s="196" t="n"/>
      <c r="AK42" s="196" t="n"/>
      <c r="AL42" s="196" t="n"/>
      <c r="AM42" s="196" t="n"/>
      <c r="AN42" s="196" t="n"/>
      <c r="AO42" s="196" t="n"/>
      <c r="AP42" s="196" t="n"/>
      <c r="AQ42" s="196" t="n"/>
      <c r="AR42" s="196" t="n"/>
      <c r="AS42" s="196" t="n"/>
      <c r="AT42" s="182" t="n"/>
      <c r="AU42" s="176" t="n"/>
      <c r="AV42" s="176" t="n"/>
      <c r="AW42" s="176" t="n"/>
      <c r="AX42" s="176" t="n"/>
      <c r="AY42" s="176" t="n"/>
      <c r="AZ42" s="176" t="n"/>
      <c r="BA42" s="176" t="n"/>
      <c r="BB42" s="176" t="n"/>
      <c r="BC42" s="176" t="n"/>
      <c r="BD42" s="176" t="n"/>
      <c r="BE42" s="176" t="n"/>
      <c r="BF42" s="176" t="n"/>
      <c r="BG42" s="176" t="n"/>
      <c r="BH42" s="176" t="n"/>
      <c r="BI42" s="176" t="n"/>
      <c r="BJ42" s="176" t="n"/>
      <c r="BK42" s="176" t="n"/>
      <c r="BL42" s="176" t="n"/>
      <c r="BM42" s="176" t="n"/>
      <c r="BN42" s="176" t="n"/>
      <c r="BO42" s="176" t="n"/>
      <c r="BP42" s="176" t="n"/>
      <c r="BQ42" s="176" t="n"/>
      <c r="BR42" s="176" t="n"/>
    </row>
    <row r="43" ht="15" customHeight="1" s="392">
      <c r="A43" s="176" t="n"/>
      <c r="B43" s="180" t="n"/>
      <c r="C43" s="183" t="inlineStr">
        <is>
          <t xml:space="preserve">    Irregular (Income)/Expenses</t>
        </is>
      </c>
      <c r="D43" s="185" t="n"/>
      <c r="E43" s="185" t="n"/>
      <c r="F43" s="185" t="n"/>
      <c r="G43" s="185" t="n"/>
      <c r="H43" s="185" t="n"/>
      <c r="I43" s="185" t="n"/>
      <c r="J43" s="185" t="n"/>
      <c r="K43" s="185" t="n"/>
      <c r="AT43" s="182" t="n"/>
      <c r="AU43" s="176" t="n"/>
      <c r="AV43" s="176" t="n"/>
      <c r="AW43" s="176" t="n"/>
      <c r="AX43" s="176" t="n"/>
      <c r="AY43" s="176" t="n"/>
      <c r="AZ43" s="176" t="n"/>
      <c r="BA43" s="176" t="n"/>
      <c r="BB43" s="176" t="n"/>
      <c r="BC43" s="176" t="n"/>
      <c r="BD43" s="176" t="n"/>
      <c r="BE43" s="176" t="n"/>
      <c r="BF43" s="176" t="n"/>
      <c r="BG43" s="176" t="n"/>
      <c r="BH43" s="176" t="n"/>
      <c r="BI43" s="176" t="n"/>
      <c r="BJ43" s="176" t="n"/>
      <c r="BK43" s="176" t="n"/>
      <c r="BL43" s="176" t="n"/>
      <c r="BM43" s="176" t="n"/>
      <c r="BN43" s="176" t="n"/>
      <c r="BO43" s="176" t="n"/>
      <c r="BP43" s="176" t="n"/>
      <c r="BQ43" s="176" t="n"/>
      <c r="BR43" s="176" t="n"/>
    </row>
    <row r="44" ht="15" customHeight="1" s="392">
      <c r="A44" s="176" t="n"/>
      <c r="B44" s="180" t="n"/>
      <c r="C44" s="183" t="inlineStr">
        <is>
          <t xml:space="preserve">        Impairment/Write Off/Write Down of Capital Assets</t>
        </is>
      </c>
      <c r="D44" s="190">
        <f>IF(COUNT(M44:AS44)&gt;0,MEDIAN(M44:AS44),"")</f>
        <v/>
      </c>
      <c r="E44" s="190">
        <f>IF(COUNT(M44:AS44)&gt;0,AVERAGE(M44:AS44),"")</f>
        <v/>
      </c>
      <c r="F44" s="190">
        <f>IF(COUNT(M44:AS44)&gt;0,MIN(M44:AS44),"")</f>
        <v/>
      </c>
      <c r="G44" s="190">
        <f>IF(COUNT(M44:AS44)&gt;0,MAX(M44:AS44),"")</f>
        <v/>
      </c>
      <c r="H44" s="190">
        <f>IF(COUNT(M44:AS44)&gt;0,QUARTILE(M44:AS44,1),"")</f>
        <v/>
      </c>
      <c r="I44" s="190">
        <f>IF(COUNT(M44:AS44)&gt;0,QUARTILE(M44:AS44,3),"")</f>
        <v/>
      </c>
      <c r="J44" s="190">
        <f>IF(COUNT(M44:AS44)&gt;1,STDEV(M44:AS44),"")</f>
        <v/>
      </c>
      <c r="K44" s="191">
        <f>IF(COUNT(M44:AS44)&gt;1,STDEV(M44:AS44)/AVERAGE(M44:AS44),"")</f>
        <v/>
      </c>
      <c r="M44" s="192" t="n"/>
      <c r="N44" s="192" t="n"/>
      <c r="O44" s="192" t="n"/>
      <c r="P44" s="192" t="n"/>
      <c r="Q44" s="192" t="n"/>
      <c r="R44" s="192" t="n"/>
      <c r="S44" s="192" t="n"/>
      <c r="T44" s="192" t="n"/>
      <c r="U44" s="192" t="n">
        <v>1131</v>
      </c>
      <c r="V44" s="192" t="n">
        <v>19365</v>
      </c>
      <c r="W44" s="192" t="n">
        <v>0</v>
      </c>
      <c r="X44" s="192" t="n">
        <v>0</v>
      </c>
      <c r="Y44" s="192" t="n">
        <v>29104</v>
      </c>
      <c r="Z44" s="192" t="n">
        <v>0</v>
      </c>
      <c r="AA44" s="192" t="n">
        <v>8771</v>
      </c>
      <c r="AB44" s="192" t="n">
        <v>0</v>
      </c>
      <c r="AC44" s="192" t="n"/>
      <c r="AD44" s="192" t="n"/>
      <c r="AE44" s="192" t="n"/>
      <c r="AF44" s="192" t="n"/>
      <c r="AG44" s="192" t="n"/>
      <c r="AH44" s="192" t="n"/>
      <c r="AI44" s="192" t="n"/>
      <c r="AJ44" s="192" t="n"/>
      <c r="AK44" s="192" t="n"/>
      <c r="AL44" s="192" t="n"/>
      <c r="AM44" s="192" t="n"/>
      <c r="AN44" s="192" t="n"/>
      <c r="AO44" s="192" t="n"/>
      <c r="AP44" s="192" t="n"/>
      <c r="AQ44" s="192" t="n"/>
      <c r="AR44" s="192" t="n"/>
      <c r="AS44" s="192" t="n"/>
      <c r="AT44" s="182" t="n"/>
      <c r="AU44" s="176" t="n"/>
      <c r="AV44" s="176" t="n"/>
      <c r="AW44" s="176" t="n"/>
      <c r="AX44" s="176" t="n"/>
      <c r="AY44" s="176" t="n"/>
      <c r="AZ44" s="176" t="n"/>
      <c r="BA44" s="176" t="n"/>
      <c r="BB44" s="176" t="n"/>
      <c r="BC44" s="176" t="n"/>
      <c r="BD44" s="176" t="n"/>
      <c r="BE44" s="176" t="n"/>
      <c r="BF44" s="176" t="n"/>
      <c r="BG44" s="176" t="n"/>
      <c r="BH44" s="176" t="n"/>
      <c r="BI44" s="176" t="n"/>
      <c r="BJ44" s="176" t="n"/>
      <c r="BK44" s="176" t="n"/>
      <c r="BL44" s="176" t="n"/>
      <c r="BM44" s="176" t="n"/>
      <c r="BN44" s="176" t="n"/>
      <c r="BO44" s="176" t="n"/>
      <c r="BP44" s="176" t="n"/>
      <c r="BQ44" s="176" t="n"/>
      <c r="BR44" s="176" t="n"/>
    </row>
    <row r="45" ht="15" customHeight="1" s="392">
      <c r="A45" s="176" t="n"/>
      <c r="B45" s="180" t="n"/>
      <c r="C45" s="183" t="inlineStr">
        <is>
          <t xml:space="preserve">        (Gain)/Loss on Extinguishment of Debt</t>
        </is>
      </c>
      <c r="D45" s="190">
        <f>IF(COUNT(M45:AS45)&gt;0,MEDIAN(M45:AS45),"")</f>
        <v/>
      </c>
      <c r="E45" s="190">
        <f>IF(COUNT(M45:AS45)&gt;0,AVERAGE(M45:AS45),"")</f>
        <v/>
      </c>
      <c r="F45" s="190">
        <f>IF(COUNT(M45:AS45)&gt;0,MIN(M45:AS45),"")</f>
        <v/>
      </c>
      <c r="G45" s="190">
        <f>IF(COUNT(M45:AS45)&gt;0,MAX(M45:AS45),"")</f>
        <v/>
      </c>
      <c r="H45" s="190">
        <f>IF(COUNT(M45:AS45)&gt;0,QUARTILE(M45:AS45,1),"")</f>
        <v/>
      </c>
      <c r="I45" s="190">
        <f>IF(COUNT(M45:AS45)&gt;0,QUARTILE(M45:AS45,3),"")</f>
        <v/>
      </c>
      <c r="J45" s="190">
        <f>IF(COUNT(M45:AS45)&gt;1,STDEV(M45:AS45),"")</f>
        <v/>
      </c>
      <c r="K45" s="191">
        <f>IF(COUNT(M45:AS45)&gt;1,STDEV(M45:AS45)/AVERAGE(M45:AS45),"")</f>
        <v/>
      </c>
      <c r="M45" s="192" t="n"/>
      <c r="N45" s="192" t="n"/>
      <c r="O45" s="192" t="n"/>
      <c r="P45" s="192" t="n"/>
      <c r="Q45" s="192" t="n">
        <v>16759</v>
      </c>
      <c r="R45" s="192" t="n">
        <v>0</v>
      </c>
      <c r="S45" s="192" t="n">
        <v>0</v>
      </c>
      <c r="T45" s="192" t="n"/>
      <c r="U45" s="192" t="n"/>
      <c r="V45" s="192" t="n"/>
      <c r="W45" s="192" t="n"/>
      <c r="X45" s="192" t="n"/>
      <c r="Y45" s="192" t="n"/>
      <c r="Z45" s="192" t="n"/>
      <c r="AA45" s="192" t="n"/>
      <c r="AB45" s="192" t="n"/>
      <c r="AC45" s="192" t="n"/>
      <c r="AD45" s="192" t="n"/>
      <c r="AE45" s="192" t="n"/>
      <c r="AF45" s="192" t="n"/>
      <c r="AG45" s="192" t="n"/>
      <c r="AH45" s="192" t="n"/>
      <c r="AI45" s="192" t="n"/>
      <c r="AJ45" s="192" t="n"/>
      <c r="AK45" s="192" t="n"/>
      <c r="AL45" s="192" t="n"/>
      <c r="AM45" s="192" t="n"/>
      <c r="AN45" s="192" t="n"/>
      <c r="AO45" s="192" t="n"/>
      <c r="AP45" s="192" t="n"/>
      <c r="AQ45" s="192" t="n"/>
      <c r="AR45" s="192" t="n"/>
      <c r="AS45" s="192" t="n"/>
      <c r="AT45" s="182" t="n"/>
      <c r="AU45" s="176" t="n"/>
      <c r="AV45" s="176" t="n"/>
      <c r="AW45" s="176" t="n"/>
      <c r="AX45" s="176" t="n"/>
      <c r="AY45" s="176" t="n"/>
      <c r="AZ45" s="176" t="n"/>
      <c r="BA45" s="176" t="n"/>
      <c r="BB45" s="176" t="n"/>
      <c r="BC45" s="176" t="n"/>
      <c r="BD45" s="176" t="n"/>
      <c r="BE45" s="176" t="n"/>
      <c r="BF45" s="176" t="n"/>
      <c r="BG45" s="176" t="n"/>
      <c r="BH45" s="176" t="n"/>
      <c r="BI45" s="176" t="n"/>
      <c r="BJ45" s="176" t="n"/>
      <c r="BK45" s="176" t="n"/>
      <c r="BL45" s="176" t="n"/>
      <c r="BM45" s="176" t="n"/>
      <c r="BN45" s="176" t="n"/>
      <c r="BO45" s="176" t="n"/>
      <c r="BP45" s="176" t="n"/>
      <c r="BQ45" s="176" t="n"/>
      <c r="BR45" s="176" t="n"/>
    </row>
    <row r="46" ht="15" customHeight="1" s="392">
      <c r="A46" s="176" t="n"/>
      <c r="B46" s="180" t="n"/>
      <c r="C46" s="187" t="inlineStr">
        <is>
          <t xml:space="preserve">    Total Irregular (Income)/Expenses</t>
        </is>
      </c>
      <c r="D46" s="193">
        <f>IF(COUNT(M46:AS46)&gt;0,MEDIAN(M46:AS46),"")</f>
        <v/>
      </c>
      <c r="E46" s="193">
        <f>IF(COUNT(M46:AS46)&gt;0,AVERAGE(M46:AS46),"")</f>
        <v/>
      </c>
      <c r="F46" s="193">
        <f>IF(COUNT(M46:AS46)&gt;0,MIN(M46:AS46),"")</f>
        <v/>
      </c>
      <c r="G46" s="193">
        <f>IF(COUNT(M46:AS46)&gt;0,MAX(M46:AS46),"")</f>
        <v/>
      </c>
      <c r="H46" s="193">
        <f>IF(COUNT(M46:AS46)&gt;0,QUARTILE(M46:AS46,1),"")</f>
        <v/>
      </c>
      <c r="I46" s="193">
        <f>IF(COUNT(M46:AS46)&gt;0,QUARTILE(M46:AS46,3),"")</f>
        <v/>
      </c>
      <c r="J46" s="193">
        <f>IF(COUNT(M46:AS46)&gt;1,STDEV(M46:AS46),"")</f>
        <v/>
      </c>
      <c r="K46" s="194">
        <f>IF(COUNT(M46:AS46)&gt;1,STDEV(M46:AS46)/AVERAGE(M46:AS46),"")</f>
        <v/>
      </c>
      <c r="L46" s="195" t="n"/>
      <c r="M46" s="196" t="n"/>
      <c r="N46" s="196" t="n"/>
      <c r="O46" s="196" t="n"/>
      <c r="P46" s="196" t="n"/>
      <c r="Q46" s="196" t="n">
        <v>16759</v>
      </c>
      <c r="R46" s="196" t="n">
        <v>0</v>
      </c>
      <c r="S46" s="196" t="n">
        <v>0</v>
      </c>
      <c r="T46" s="196" t="n"/>
      <c r="U46" s="196" t="n">
        <v>1131</v>
      </c>
      <c r="V46" s="196" t="n">
        <v>19365</v>
      </c>
      <c r="W46" s="196" t="n">
        <v>0</v>
      </c>
      <c r="X46" s="196" t="n">
        <v>0</v>
      </c>
      <c r="Y46" s="196" t="n">
        <v>29104</v>
      </c>
      <c r="Z46" s="196" t="n">
        <v>0</v>
      </c>
      <c r="AA46" s="196" t="n">
        <v>8771</v>
      </c>
      <c r="AB46" s="196" t="n">
        <v>0</v>
      </c>
      <c r="AC46" s="196" t="n">
        <v>-436</v>
      </c>
      <c r="AD46" s="196" t="n">
        <v>-989</v>
      </c>
      <c r="AE46" s="196" t="n">
        <v>-4181</v>
      </c>
      <c r="AF46" s="196" t="n">
        <v>-2848</v>
      </c>
      <c r="AG46" s="196" t="n">
        <v>-1634</v>
      </c>
      <c r="AH46" s="196" t="n">
        <v>-3313</v>
      </c>
      <c r="AI46" s="196" t="n">
        <v>-3954</v>
      </c>
      <c r="AJ46" s="196" t="n">
        <v>-1783</v>
      </c>
      <c r="AK46" s="196" t="n">
        <v>-1887.8</v>
      </c>
      <c r="AL46" s="196" t="n">
        <v>-1922.8</v>
      </c>
      <c r="AM46" s="196" t="n">
        <v>-667</v>
      </c>
      <c r="AN46" s="196" t="n">
        <v>-700</v>
      </c>
      <c r="AO46" s="196" t="n">
        <v>-2100</v>
      </c>
      <c r="AP46" s="196" t="n">
        <v>-1400</v>
      </c>
      <c r="AQ46" s="196" t="n">
        <v>-800</v>
      </c>
      <c r="AR46" s="196" t="n">
        <v>-600</v>
      </c>
      <c r="AS46" s="196" t="n">
        <v>-500</v>
      </c>
      <c r="AT46" s="182" t="n"/>
      <c r="AU46" s="176" t="n"/>
      <c r="AV46" s="176" t="n"/>
      <c r="AW46" s="176" t="n"/>
      <c r="AX46" s="176" t="n"/>
      <c r="AY46" s="176" t="n"/>
      <c r="AZ46" s="176" t="n"/>
      <c r="BA46" s="176" t="n"/>
      <c r="BB46" s="176" t="n"/>
      <c r="BC46" s="176" t="n"/>
      <c r="BD46" s="176" t="n"/>
      <c r="BE46" s="176" t="n"/>
      <c r="BF46" s="176" t="n"/>
      <c r="BG46" s="176" t="n"/>
      <c r="BH46" s="176" t="n"/>
      <c r="BI46" s="176" t="n"/>
      <c r="BJ46" s="176" t="n"/>
      <c r="BK46" s="176" t="n"/>
      <c r="BL46" s="176" t="n"/>
      <c r="BM46" s="176" t="n"/>
      <c r="BN46" s="176" t="n"/>
      <c r="BO46" s="176" t="n"/>
      <c r="BP46" s="176" t="n"/>
      <c r="BQ46" s="176" t="n"/>
      <c r="BR46" s="176" t="n"/>
    </row>
    <row r="47" ht="15" customHeight="1" s="392">
      <c r="A47" s="176" t="n"/>
      <c r="B47" s="180" t="n"/>
      <c r="C47" s="183" t="inlineStr">
        <is>
          <t xml:space="preserve">    Other Income/(Expense), Non-Operating</t>
        </is>
      </c>
      <c r="D47" s="190">
        <f>IF(COUNT(M47:AS47)&gt;0,MEDIAN(M47:AS47),"")</f>
        <v/>
      </c>
      <c r="E47" s="190">
        <f>IF(COUNT(M47:AS47)&gt;0,AVERAGE(M47:AS47),"")</f>
        <v/>
      </c>
      <c r="F47" s="190">
        <f>IF(COUNT(M47:AS47)&gt;0,MIN(M47:AS47),"")</f>
        <v/>
      </c>
      <c r="G47" s="190">
        <f>IF(COUNT(M47:AS47)&gt;0,MAX(M47:AS47),"")</f>
        <v/>
      </c>
      <c r="H47" s="190">
        <f>IF(COUNT(M47:AS47)&gt;0,QUARTILE(M47:AS47,1),"")</f>
        <v/>
      </c>
      <c r="I47" s="190">
        <f>IF(COUNT(M47:AS47)&gt;0,QUARTILE(M47:AS47,3),"")</f>
        <v/>
      </c>
      <c r="J47" s="190">
        <f>IF(COUNT(M47:AS47)&gt;1,STDEV(M47:AS47),"")</f>
        <v/>
      </c>
      <c r="K47" s="191">
        <f>IF(COUNT(M47:AS47)&gt;1,STDEV(M47:AS47)/AVERAGE(M47:AS47),"")</f>
        <v/>
      </c>
      <c r="M47" s="192" t="n">
        <v>464</v>
      </c>
      <c r="N47" s="192" t="n">
        <v>19958</v>
      </c>
      <c r="O47" s="192" t="n">
        <v>-3095</v>
      </c>
      <c r="P47" s="192" t="n">
        <v>1831</v>
      </c>
      <c r="Q47" s="192" t="n">
        <v>-596</v>
      </c>
      <c r="R47" s="192" t="n">
        <v>5667</v>
      </c>
      <c r="S47" s="192" t="n">
        <v>3611</v>
      </c>
      <c r="T47" s="192" t="n">
        <v>6061</v>
      </c>
      <c r="U47" s="192" t="n">
        <v>-2759</v>
      </c>
      <c r="V47" s="192" t="n">
        <v>1174</v>
      </c>
      <c r="W47" s="192" t="n">
        <v>11552</v>
      </c>
      <c r="X47" s="192" t="n">
        <v>4972</v>
      </c>
      <c r="Y47" s="192" t="n">
        <v>3378</v>
      </c>
      <c r="Z47" s="192" t="n">
        <v>3509</v>
      </c>
      <c r="AA47" s="192" t="n">
        <v>2687</v>
      </c>
      <c r="AB47" s="192" t="n">
        <v>2172</v>
      </c>
      <c r="AC47" s="192" t="n"/>
      <c r="AD47" s="192" t="n"/>
      <c r="AE47" s="192" t="n"/>
      <c r="AF47" s="192" t="n"/>
      <c r="AG47" s="192" t="n"/>
      <c r="AH47" s="192" t="n"/>
      <c r="AI47" s="192" t="n"/>
      <c r="AJ47" s="192" t="n"/>
      <c r="AK47" s="192" t="n"/>
      <c r="AL47" s="192" t="n"/>
      <c r="AM47" s="192" t="n"/>
      <c r="AN47" s="192" t="n"/>
      <c r="AO47" s="192" t="n"/>
      <c r="AP47" s="192" t="n"/>
      <c r="AQ47" s="192" t="n"/>
      <c r="AR47" s="192" t="n"/>
      <c r="AS47" s="192" t="n"/>
      <c r="AT47" s="182" t="n"/>
      <c r="AU47" s="176" t="n"/>
      <c r="AV47" s="176" t="n"/>
      <c r="AW47" s="176" t="n"/>
      <c r="AX47" s="176" t="n"/>
      <c r="AY47" s="176" t="n"/>
      <c r="AZ47" s="176" t="n"/>
      <c r="BA47" s="176" t="n"/>
      <c r="BB47" s="176" t="n"/>
      <c r="BC47" s="176" t="n"/>
      <c r="BD47" s="176" t="n"/>
      <c r="BE47" s="176" t="n"/>
      <c r="BF47" s="176" t="n"/>
      <c r="BG47" s="176" t="n"/>
      <c r="BH47" s="176" t="n"/>
      <c r="BI47" s="176" t="n"/>
      <c r="BJ47" s="176" t="n"/>
      <c r="BK47" s="176" t="n"/>
      <c r="BL47" s="176" t="n"/>
      <c r="BM47" s="176" t="n"/>
      <c r="BN47" s="176" t="n"/>
      <c r="BO47" s="176" t="n"/>
      <c r="BP47" s="176" t="n"/>
      <c r="BQ47" s="176" t="n"/>
      <c r="BR47" s="176" t="n"/>
    </row>
    <row r="48" ht="15" customHeight="1" s="392">
      <c r="A48" s="176" t="n"/>
      <c r="B48" s="180" t="n"/>
      <c r="C48" s="187" t="inlineStr">
        <is>
          <t>Total Non-Operating Income/(Expenses), Total</t>
        </is>
      </c>
      <c r="D48" s="193">
        <f>IF(COUNT(M48:AS48)&gt;0,MEDIAN(M48:AS48),"")</f>
        <v/>
      </c>
      <c r="E48" s="193">
        <f>IF(COUNT(M48:AS48)&gt;0,AVERAGE(M48:AS48),"")</f>
        <v/>
      </c>
      <c r="F48" s="193">
        <f>IF(COUNT(M48:AS48)&gt;0,MIN(M48:AS48),"")</f>
        <v/>
      </c>
      <c r="G48" s="193">
        <f>IF(COUNT(M48:AS48)&gt;0,MAX(M48:AS48),"")</f>
        <v/>
      </c>
      <c r="H48" s="193">
        <f>IF(COUNT(M48:AS48)&gt;0,QUARTILE(M48:AS48,1),"")</f>
        <v/>
      </c>
      <c r="I48" s="193">
        <f>IF(COUNT(M48:AS48)&gt;0,QUARTILE(M48:AS48,3),"")</f>
        <v/>
      </c>
      <c r="J48" s="193">
        <f>IF(COUNT(M48:AS48)&gt;1,STDEV(M48:AS48),"")</f>
        <v/>
      </c>
      <c r="K48" s="194">
        <f>IF(COUNT(M48:AS48)&gt;1,STDEV(M48:AS48)/AVERAGE(M48:AS48),"")</f>
        <v/>
      </c>
      <c r="L48" s="195" t="n"/>
      <c r="M48" s="196" t="n">
        <v>182387</v>
      </c>
      <c r="N48" s="196" t="n">
        <v>198867</v>
      </c>
      <c r="O48" s="196" t="n">
        <v>142578</v>
      </c>
      <c r="P48" s="196" t="n">
        <v>67759</v>
      </c>
      <c r="Q48" s="196" t="n">
        <v>-34043</v>
      </c>
      <c r="R48" s="196" t="n">
        <v>-14580</v>
      </c>
      <c r="S48" s="196" t="n">
        <v>-15260</v>
      </c>
      <c r="T48" s="196" t="n">
        <v>-11524</v>
      </c>
      <c r="U48" s="196" t="n">
        <v>-22965</v>
      </c>
      <c r="V48" s="196" t="n">
        <v>-40564</v>
      </c>
      <c r="W48" s="196" t="n">
        <v>-10605</v>
      </c>
      <c r="X48" s="196" t="n">
        <v>-12332</v>
      </c>
      <c r="Y48" s="196" t="n">
        <v>-34003</v>
      </c>
      <c r="Z48" s="196" t="n">
        <v>-6120</v>
      </c>
      <c r="AA48" s="196" t="n">
        <v>-17068</v>
      </c>
      <c r="AB48" s="196" t="n">
        <v>-1413</v>
      </c>
      <c r="AC48" s="196" t="n">
        <v>425</v>
      </c>
      <c r="AD48" s="196" t="n">
        <v>2407</v>
      </c>
      <c r="AE48" s="196" t="n">
        <v>4181</v>
      </c>
      <c r="AF48" s="196" t="n">
        <v>632</v>
      </c>
      <c r="AG48" s="196" t="n">
        <v>-5150</v>
      </c>
      <c r="AH48" s="196" t="n">
        <v>3313</v>
      </c>
      <c r="AI48" s="196" t="n">
        <v>3954</v>
      </c>
      <c r="AJ48" s="196" t="n">
        <v>1783</v>
      </c>
      <c r="AK48" s="196" t="n">
        <v>1887.8</v>
      </c>
      <c r="AL48" s="196" t="n">
        <v>1922.8</v>
      </c>
      <c r="AM48" s="196" t="n">
        <v>667</v>
      </c>
      <c r="AN48" s="196" t="n">
        <v>700</v>
      </c>
      <c r="AO48" s="196" t="n">
        <v>2100</v>
      </c>
      <c r="AP48" s="196" t="n">
        <v>1400</v>
      </c>
      <c r="AQ48" s="196" t="n">
        <v>800</v>
      </c>
      <c r="AR48" s="196" t="n">
        <v>600</v>
      </c>
      <c r="AS48" s="196" t="n">
        <v>500</v>
      </c>
      <c r="AT48" s="182" t="n"/>
      <c r="AU48" s="176" t="n"/>
      <c r="AV48" s="176" t="n"/>
      <c r="AW48" s="176" t="n"/>
      <c r="AX48" s="176" t="n"/>
      <c r="AY48" s="176" t="n"/>
      <c r="AZ48" s="176" t="n"/>
      <c r="BA48" s="176" t="n"/>
      <c r="BB48" s="176" t="n"/>
      <c r="BC48" s="176" t="n"/>
      <c r="BD48" s="176" t="n"/>
      <c r="BE48" s="176" t="n"/>
      <c r="BF48" s="176" t="n"/>
      <c r="BG48" s="176" t="n"/>
      <c r="BH48" s="176" t="n"/>
      <c r="BI48" s="176" t="n"/>
      <c r="BJ48" s="176" t="n"/>
      <c r="BK48" s="176" t="n"/>
      <c r="BL48" s="176" t="n"/>
      <c r="BM48" s="176" t="n"/>
      <c r="BN48" s="176" t="n"/>
      <c r="BO48" s="176" t="n"/>
      <c r="BP48" s="176" t="n"/>
      <c r="BQ48" s="176" t="n"/>
      <c r="BR48" s="176" t="n"/>
    </row>
    <row r="49" ht="15" customHeight="1" s="392">
      <c r="A49" s="176" t="n"/>
      <c r="B49" s="180" t="n"/>
      <c r="C49" s="187" t="inlineStr">
        <is>
          <t>Pretax Income</t>
        </is>
      </c>
      <c r="D49" s="190">
        <f>IF(COUNT(M49:AS49)&gt;0,MEDIAN(M49:AS49),"")</f>
        <v/>
      </c>
      <c r="E49" s="190">
        <f>IF(COUNT(M49:AS49)&gt;0,AVERAGE(M49:AS49),"")</f>
        <v/>
      </c>
      <c r="F49" s="190">
        <f>IF(COUNT(M49:AS49)&gt;0,MIN(M49:AS49),"")</f>
        <v/>
      </c>
      <c r="G49" s="190">
        <f>IF(COUNT(M49:AS49)&gt;0,MAX(M49:AS49),"")</f>
        <v/>
      </c>
      <c r="H49" s="190">
        <f>IF(COUNT(M49:AS49)&gt;0,QUARTILE(M49:AS49,1),"")</f>
        <v/>
      </c>
      <c r="I49" s="190">
        <f>IF(COUNT(M49:AS49)&gt;0,QUARTILE(M49:AS49,3),"")</f>
        <v/>
      </c>
      <c r="J49" s="190">
        <f>IF(COUNT(M49:AS49)&gt;1,STDEV(M49:AS49),"")</f>
        <v/>
      </c>
      <c r="K49" s="191">
        <f>IF(COUNT(M49:AS49)&gt;1,STDEV(M49:AS49)/AVERAGE(M49:AS49),"")</f>
        <v/>
      </c>
      <c r="M49" s="192" t="n">
        <v>1834977</v>
      </c>
      <c r="N49" s="192" t="n">
        <v>1895581</v>
      </c>
      <c r="O49" s="192" t="n">
        <v>1714601</v>
      </c>
      <c r="P49" s="192" t="n">
        <v>1554328</v>
      </c>
      <c r="Q49" s="192" t="n">
        <v>1340954</v>
      </c>
      <c r="R49" s="192" t="n">
        <v>1121846</v>
      </c>
      <c r="S49" s="192" t="n">
        <v>800839</v>
      </c>
      <c r="T49" s="192" t="n">
        <v>704951</v>
      </c>
      <c r="U49" s="192" t="n">
        <v>562511</v>
      </c>
      <c r="V49" s="192" t="n">
        <v>440100</v>
      </c>
      <c r="W49" s="192" t="n">
        <v>395865</v>
      </c>
      <c r="X49" s="192" t="n">
        <v>332069</v>
      </c>
      <c r="Y49" s="192" t="n">
        <v>270035</v>
      </c>
      <c r="Z49" s="192" t="n">
        <v>276872</v>
      </c>
      <c r="AA49" s="192" t="n">
        <v>278056</v>
      </c>
      <c r="AB49" s="192" t="n">
        <v>263877</v>
      </c>
      <c r="AC49" s="192" t="n">
        <v>239495</v>
      </c>
      <c r="AD49" s="192" t="n">
        <v>227732</v>
      </c>
      <c r="AE49" s="192" t="n">
        <v>249650</v>
      </c>
      <c r="AF49" s="192" t="n">
        <v>217421</v>
      </c>
      <c r="AG49" s="192" t="n">
        <v>174522</v>
      </c>
      <c r="AH49" s="192" t="n">
        <v>164595</v>
      </c>
      <c r="AI49" s="192" t="n">
        <v>129921</v>
      </c>
      <c r="AJ49" s="192" t="n">
        <v>94167</v>
      </c>
      <c r="AK49" s="192" t="n">
        <v>93657.60000000001</v>
      </c>
      <c r="AL49" s="192" t="n">
        <v>71043.7</v>
      </c>
      <c r="AM49" s="192" t="n">
        <v>47974</v>
      </c>
      <c r="AN49" s="192" t="n">
        <v>35200</v>
      </c>
      <c r="AO49" s="192" t="n">
        <v>24900</v>
      </c>
      <c r="AP49" s="192" t="n">
        <v>19500</v>
      </c>
      <c r="AQ49" s="192" t="n">
        <v>18200</v>
      </c>
      <c r="AR49" s="192" t="n">
        <v>11400</v>
      </c>
      <c r="AS49" s="192" t="n">
        <v>3700</v>
      </c>
      <c r="AT49" s="182" t="n"/>
      <c r="AU49" s="176" t="n"/>
      <c r="AV49" s="176" t="n"/>
      <c r="AW49" s="176" t="n"/>
      <c r="AX49" s="176" t="n"/>
      <c r="AY49" s="176" t="n"/>
      <c r="AZ49" s="176" t="n"/>
      <c r="BA49" s="176" t="n"/>
      <c r="BB49" s="176" t="n"/>
      <c r="BC49" s="176" t="n"/>
      <c r="BD49" s="176" t="n"/>
      <c r="BE49" s="176" t="n"/>
      <c r="BF49" s="176" t="n"/>
      <c r="BG49" s="176" t="n"/>
      <c r="BH49" s="176" t="n"/>
      <c r="BI49" s="176" t="n"/>
      <c r="BJ49" s="176" t="n"/>
      <c r="BK49" s="176" t="n"/>
      <c r="BL49" s="176" t="n"/>
      <c r="BM49" s="176" t="n"/>
      <c r="BN49" s="176" t="n"/>
      <c r="BO49" s="176" t="n"/>
      <c r="BP49" s="176" t="n"/>
      <c r="BQ49" s="176" t="n"/>
      <c r="BR49" s="176" t="n"/>
    </row>
    <row r="50" ht="15" customHeight="1" s="392">
      <c r="A50" s="176" t="n"/>
      <c r="B50" s="180" t="n"/>
      <c r="C50" s="187" t="inlineStr">
        <is>
          <t>Provision for Income Tax</t>
        </is>
      </c>
      <c r="D50" s="190">
        <f>IF(COUNT(M50:AS50)&gt;0,MEDIAN(M50:AS50),"")</f>
        <v/>
      </c>
      <c r="E50" s="190">
        <f>IF(COUNT(M50:AS50)&gt;0,AVERAGE(M50:AS50),"")</f>
        <v/>
      </c>
      <c r="F50" s="190">
        <f>IF(COUNT(M50:AS50)&gt;0,MIN(M50:AS50),"")</f>
        <v/>
      </c>
      <c r="G50" s="190">
        <f>IF(COUNT(M50:AS50)&gt;0,MAX(M50:AS50),"")</f>
        <v/>
      </c>
      <c r="H50" s="190">
        <f>IF(COUNT(M50:AS50)&gt;0,QUARTILE(M50:AS50,1),"")</f>
        <v/>
      </c>
      <c r="I50" s="190">
        <f>IF(COUNT(M50:AS50)&gt;0,QUARTILE(M50:AS50,3),"")</f>
        <v/>
      </c>
      <c r="J50" s="190">
        <f>IF(COUNT(M50:AS50)&gt;1,STDEV(M50:AS50),"")</f>
        <v/>
      </c>
      <c r="K50" s="191">
        <f>IF(COUNT(M50:AS50)&gt;1,STDEV(M50:AS50)/AVERAGE(M50:AS50),"")</f>
        <v/>
      </c>
      <c r="M50" s="192" t="n">
        <v>354580</v>
      </c>
      <c r="N50" s="192" t="n">
        <v>347218</v>
      </c>
      <c r="O50" s="192" t="n">
        <v>352254</v>
      </c>
      <c r="P50" s="192" t="n">
        <v>316587</v>
      </c>
      <c r="Q50" s="192" t="n">
        <v>250824</v>
      </c>
      <c r="R50" s="192" t="n">
        <v>185351</v>
      </c>
      <c r="S50" s="192" t="n">
        <v>100932</v>
      </c>
      <c r="T50" s="192" t="n">
        <v>113258</v>
      </c>
      <c r="U50" s="192" t="n">
        <v>144504</v>
      </c>
      <c r="V50" s="192" t="n">
        <v>45839</v>
      </c>
      <c r="W50" s="192" t="n">
        <v>125505</v>
      </c>
      <c r="X50" s="192" t="n">
        <v>112286</v>
      </c>
      <c r="Y50" s="192" t="n">
        <v>91348</v>
      </c>
      <c r="Z50" s="192" t="n">
        <v>96847</v>
      </c>
      <c r="AA50" s="192" t="n">
        <v>95937</v>
      </c>
      <c r="AB50" s="192" t="n">
        <v>97502</v>
      </c>
      <c r="AC50" s="192" t="n">
        <v>87868</v>
      </c>
      <c r="AD50" s="192" t="n">
        <v>88186</v>
      </c>
      <c r="AE50" s="192" t="n">
        <v>92718</v>
      </c>
      <c r="AF50" s="192" t="n">
        <v>81083</v>
      </c>
      <c r="AG50" s="192" t="n">
        <v>61862</v>
      </c>
      <c r="AH50" s="192" t="n">
        <v>62772</v>
      </c>
      <c r="AI50" s="192" t="n">
        <v>50929</v>
      </c>
      <c r="AJ50" s="192" t="n">
        <v>36945</v>
      </c>
      <c r="AK50" s="192" t="n">
        <v>36268.4</v>
      </c>
      <c r="AL50" s="192" t="n">
        <v>28358.7</v>
      </c>
      <c r="AM50" s="192" t="n">
        <v>18544.9</v>
      </c>
      <c r="AN50" s="192" t="n">
        <v>13200</v>
      </c>
      <c r="AO50" s="192" t="n">
        <v>9700</v>
      </c>
      <c r="AP50" s="192" t="n">
        <v>7500</v>
      </c>
      <c r="AQ50" s="192" t="n">
        <v>7000</v>
      </c>
      <c r="AR50" s="192" t="n">
        <v>4500</v>
      </c>
      <c r="AS50" s="192" t="n">
        <v>1500</v>
      </c>
      <c r="AT50" s="182" t="n"/>
      <c r="AU50" s="176" t="n"/>
      <c r="AV50" s="176" t="n"/>
      <c r="AW50" s="176" t="n"/>
      <c r="AX50" s="176" t="n"/>
      <c r="AY50" s="176" t="n"/>
      <c r="AZ50" s="176" t="n"/>
      <c r="BA50" s="176" t="n"/>
      <c r="BB50" s="176" t="n"/>
      <c r="BC50" s="176" t="n"/>
      <c r="BD50" s="176" t="n"/>
      <c r="BE50" s="176" t="n"/>
      <c r="BF50" s="176" t="n"/>
      <c r="BG50" s="176" t="n"/>
      <c r="BH50" s="176" t="n"/>
      <c r="BI50" s="176" t="n"/>
      <c r="BJ50" s="176" t="n"/>
      <c r="BK50" s="176" t="n"/>
      <c r="BL50" s="176" t="n"/>
      <c r="BM50" s="176" t="n"/>
      <c r="BN50" s="176" t="n"/>
      <c r="BO50" s="176" t="n"/>
      <c r="BP50" s="176" t="n"/>
      <c r="BQ50" s="176" t="n"/>
      <c r="BR50" s="176" t="n"/>
    </row>
    <row r="51" ht="15" customHeight="1" s="392">
      <c r="A51" s="176" t="n"/>
      <c r="B51" s="180" t="n"/>
      <c r="C51" s="187" t="inlineStr">
        <is>
          <t>Net Income from Continuing Operations</t>
        </is>
      </c>
      <c r="D51" s="190">
        <f>IF(COUNT(M51:AS51)&gt;0,MEDIAN(M51:AS51),"")</f>
        <v/>
      </c>
      <c r="E51" s="190">
        <f>IF(COUNT(M51:AS51)&gt;0,AVERAGE(M51:AS51),"")</f>
        <v/>
      </c>
      <c r="F51" s="190">
        <f>IF(COUNT(M51:AS51)&gt;0,MIN(M51:AS51),"")</f>
        <v/>
      </c>
      <c r="G51" s="190">
        <f>IF(COUNT(M51:AS51)&gt;0,MAX(M51:AS51),"")</f>
        <v/>
      </c>
      <c r="H51" s="190">
        <f>IF(COUNT(M51:AS51)&gt;0,QUARTILE(M51:AS51,1),"")</f>
        <v/>
      </c>
      <c r="I51" s="190">
        <f>IF(COUNT(M51:AS51)&gt;0,QUARTILE(M51:AS51,3),"")</f>
        <v/>
      </c>
      <c r="J51" s="190">
        <f>IF(COUNT(M51:AS51)&gt;1,STDEV(M51:AS51),"")</f>
        <v/>
      </c>
      <c r="K51" s="191">
        <f>IF(COUNT(M51:AS51)&gt;1,STDEV(M51:AS51)/AVERAGE(M51:AS51),"")</f>
        <v/>
      </c>
      <c r="M51" s="192" t="n">
        <v>1480397</v>
      </c>
      <c r="N51" s="192" t="n">
        <v>1548363</v>
      </c>
      <c r="O51" s="192" t="n">
        <v>1362347</v>
      </c>
      <c r="P51" s="192" t="n">
        <v>1237741</v>
      </c>
      <c r="Q51" s="192" t="n">
        <v>1090130</v>
      </c>
      <c r="R51" s="192" t="n">
        <v>936495</v>
      </c>
      <c r="S51" s="192" t="n">
        <v>699907</v>
      </c>
      <c r="T51" s="192" t="n">
        <v>591693</v>
      </c>
      <c r="U51" s="192" t="n">
        <v>418007</v>
      </c>
      <c r="V51" s="192" t="n">
        <v>394261</v>
      </c>
      <c r="W51" s="192" t="n">
        <v>270360</v>
      </c>
      <c r="X51" s="192" t="n">
        <v>219783</v>
      </c>
      <c r="Y51" s="192" t="n">
        <v>178687</v>
      </c>
      <c r="Z51" s="192" t="n">
        <v>180025</v>
      </c>
      <c r="AA51" s="192" t="n">
        <v>182119</v>
      </c>
      <c r="AB51" s="192" t="n">
        <v>166375</v>
      </c>
      <c r="AC51" s="192" t="n">
        <v>151627</v>
      </c>
      <c r="AD51" s="192" t="n">
        <v>139546</v>
      </c>
      <c r="AE51" s="192" t="n">
        <v>156932</v>
      </c>
      <c r="AF51" s="192" t="n">
        <v>136338</v>
      </c>
      <c r="AG51" s="192" t="n">
        <v>112660</v>
      </c>
      <c r="AH51" s="192" t="n">
        <v>101823</v>
      </c>
      <c r="AI51" s="192" t="n">
        <v>78992</v>
      </c>
      <c r="AJ51" s="192" t="n">
        <v>57222</v>
      </c>
      <c r="AK51" s="192" t="n">
        <v>57389.2</v>
      </c>
      <c r="AL51" s="192" t="n">
        <v>42685</v>
      </c>
      <c r="AM51" s="192" t="n">
        <v>29429.1</v>
      </c>
      <c r="AN51" s="192" t="n">
        <v>22000</v>
      </c>
      <c r="AO51" s="192" t="n">
        <v>15200</v>
      </c>
      <c r="AP51" s="192" t="n">
        <v>12000</v>
      </c>
      <c r="AQ51" s="192" t="n">
        <v>11200</v>
      </c>
      <c r="AR51" s="192" t="n">
        <v>6900</v>
      </c>
      <c r="AS51" s="192" t="n">
        <v>2200</v>
      </c>
      <c r="AT51" s="182" t="n"/>
      <c r="AU51" s="176" t="n"/>
      <c r="AV51" s="176" t="n"/>
      <c r="AW51" s="176" t="n"/>
      <c r="AX51" s="176" t="n"/>
      <c r="AY51" s="176" t="n"/>
      <c r="AZ51" s="176" t="n"/>
      <c r="BA51" s="176" t="n"/>
      <c r="BB51" s="176" t="n"/>
      <c r="BC51" s="176" t="n"/>
      <c r="BD51" s="176" t="n"/>
      <c r="BE51" s="176" t="n"/>
      <c r="BF51" s="176" t="n"/>
      <c r="BG51" s="176" t="n"/>
      <c r="BH51" s="176" t="n"/>
      <c r="BI51" s="176" t="n"/>
      <c r="BJ51" s="176" t="n"/>
      <c r="BK51" s="176" t="n"/>
      <c r="BL51" s="176" t="n"/>
      <c r="BM51" s="176" t="n"/>
      <c r="BN51" s="176" t="n"/>
      <c r="BO51" s="176" t="n"/>
      <c r="BP51" s="176" t="n"/>
      <c r="BQ51" s="176" t="n"/>
      <c r="BR51" s="176" t="n"/>
    </row>
    <row r="52" ht="15" customHeight="1" s="392">
      <c r="A52" s="176" t="n"/>
      <c r="B52" s="180" t="n"/>
      <c r="C52" s="187" t="inlineStr">
        <is>
          <t>Discontinued Operations</t>
        </is>
      </c>
      <c r="D52" s="190">
        <f>IF(COUNT(M52:AS52)&gt;0,MEDIAN(M52:AS52),"")</f>
        <v/>
      </c>
      <c r="E52" s="190">
        <f>IF(COUNT(M52:AS52)&gt;0,AVERAGE(M52:AS52),"")</f>
        <v/>
      </c>
      <c r="F52" s="190">
        <f>IF(COUNT(M52:AS52)&gt;0,MIN(M52:AS52),"")</f>
        <v/>
      </c>
      <c r="G52" s="190">
        <f>IF(COUNT(M52:AS52)&gt;0,MAX(M52:AS52),"")</f>
        <v/>
      </c>
      <c r="H52" s="190">
        <f>IF(COUNT(M52:AS52)&gt;0,QUARTILE(M52:AS52,1),"")</f>
        <v/>
      </c>
      <c r="I52" s="190">
        <f>IF(COUNT(M52:AS52)&gt;0,QUARTILE(M52:AS52,3),"")</f>
        <v/>
      </c>
      <c r="J52" s="190">
        <f>IF(COUNT(M52:AS52)&gt;1,STDEV(M52:AS52),"")</f>
        <v/>
      </c>
      <c r="K52" s="191">
        <f>IF(COUNT(M52:AS52)&gt;1,STDEV(M52:AS52)/AVERAGE(M52:AS52),"")</f>
        <v/>
      </c>
      <c r="M52" s="192" t="n"/>
      <c r="N52" s="192" t="n"/>
      <c r="O52" s="192" t="n"/>
      <c r="P52" s="192" t="n"/>
      <c r="Q52" s="192" t="n"/>
      <c r="R52" s="192" t="n"/>
      <c r="S52" s="192" t="n"/>
      <c r="T52" s="192" t="n"/>
      <c r="U52" s="192" t="n"/>
      <c r="V52" s="192" t="n"/>
      <c r="W52" s="192" t="n"/>
      <c r="X52" s="192" t="n"/>
      <c r="Y52" s="192" t="n"/>
      <c r="Z52" s="192" t="n"/>
      <c r="AA52" s="192" t="n"/>
      <c r="AB52" s="192" t="n"/>
      <c r="AC52" s="192" t="n">
        <v>0</v>
      </c>
      <c r="AD52" s="192" t="n">
        <v>1557</v>
      </c>
      <c r="AE52" s="192" t="n"/>
      <c r="AF52" s="192" t="n"/>
      <c r="AG52" s="192" t="n">
        <v>-15713</v>
      </c>
      <c r="AH52" s="192" t="n">
        <v>293</v>
      </c>
      <c r="AI52" s="192" t="n">
        <v>228</v>
      </c>
      <c r="AJ52" s="192" t="n"/>
      <c r="AK52" s="192" t="n"/>
      <c r="AL52" s="192" t="n"/>
      <c r="AM52" s="192" t="n"/>
      <c r="AN52" s="192" t="n"/>
      <c r="AO52" s="192" t="n"/>
      <c r="AP52" s="192" t="n"/>
      <c r="AQ52" s="192" t="n"/>
      <c r="AR52" s="192" t="n"/>
      <c r="AS52" s="192" t="n"/>
      <c r="AT52" s="182" t="n"/>
      <c r="AU52" s="176" t="n"/>
      <c r="AV52" s="176" t="n"/>
      <c r="AW52" s="176" t="n"/>
      <c r="AX52" s="176" t="n"/>
      <c r="AY52" s="176" t="n"/>
      <c r="AZ52" s="176" t="n"/>
      <c r="BA52" s="176" t="n"/>
      <c r="BB52" s="176" t="n"/>
      <c r="BC52" s="176" t="n"/>
      <c r="BD52" s="176" t="n"/>
      <c r="BE52" s="176" t="n"/>
      <c r="BF52" s="176" t="n"/>
      <c r="BG52" s="176" t="n"/>
      <c r="BH52" s="176" t="n"/>
      <c r="BI52" s="176" t="n"/>
      <c r="BJ52" s="176" t="n"/>
      <c r="BK52" s="176" t="n"/>
      <c r="BL52" s="176" t="n"/>
      <c r="BM52" s="176" t="n"/>
      <c r="BN52" s="176" t="n"/>
      <c r="BO52" s="176" t="n"/>
      <c r="BP52" s="176" t="n"/>
      <c r="BQ52" s="176" t="n"/>
      <c r="BR52" s="176" t="n"/>
    </row>
    <row r="53" ht="15" customHeight="1" s="392">
      <c r="A53" s="176" t="n"/>
      <c r="B53" s="180" t="n"/>
      <c r="C53" s="187" t="inlineStr">
        <is>
          <t>Other Net of Taxes Adjustments</t>
        </is>
      </c>
      <c r="D53" s="190">
        <f>IF(COUNT(M53:AS53)&gt;0,MEDIAN(M53:AS53),"")</f>
        <v/>
      </c>
      <c r="E53" s="190">
        <f>IF(COUNT(M53:AS53)&gt;0,AVERAGE(M53:AS53),"")</f>
        <v/>
      </c>
      <c r="F53" s="190">
        <f>IF(COUNT(M53:AS53)&gt;0,MIN(M53:AS53),"")</f>
        <v/>
      </c>
      <c r="G53" s="190">
        <f>IF(COUNT(M53:AS53)&gt;0,MAX(M53:AS53),"")</f>
        <v/>
      </c>
      <c r="H53" s="190">
        <f>IF(COUNT(M53:AS53)&gt;0,QUARTILE(M53:AS53,1),"")</f>
        <v/>
      </c>
      <c r="I53" s="190">
        <f>IF(COUNT(M53:AS53)&gt;0,QUARTILE(M53:AS53,3),"")</f>
        <v/>
      </c>
      <c r="J53" s="190">
        <f>IF(COUNT(M53:AS53)&gt;1,STDEV(M53:AS53),"")</f>
        <v/>
      </c>
      <c r="K53" s="191">
        <f>IF(COUNT(M53:AS53)&gt;1,STDEV(M53:AS53)/AVERAGE(M53:AS53),"")</f>
        <v/>
      </c>
      <c r="M53" s="192" t="n"/>
      <c r="N53" s="192" t="n"/>
      <c r="O53" s="192" t="n"/>
      <c r="P53" s="192" t="n"/>
      <c r="Q53" s="192" t="n"/>
      <c r="R53" s="192" t="n"/>
      <c r="S53" s="192" t="n"/>
      <c r="T53" s="192" t="n"/>
      <c r="U53" s="192" t="n"/>
      <c r="V53" s="192" t="n"/>
      <c r="W53" s="192" t="n"/>
      <c r="X53" s="192" t="n"/>
      <c r="Y53" s="192" t="n"/>
      <c r="Z53" s="192" t="n"/>
      <c r="AA53" s="192" t="n"/>
      <c r="AB53" s="192" t="n"/>
      <c r="AC53" s="192" t="n"/>
      <c r="AD53" s="192" t="n"/>
      <c r="AE53" s="192" t="n"/>
      <c r="AF53" s="192" t="n"/>
      <c r="AG53" s="192" t="n"/>
      <c r="AH53" s="192" t="n"/>
      <c r="AI53" s="192" t="n"/>
      <c r="AJ53" s="192" t="n"/>
      <c r="AK53" s="192" t="n"/>
      <c r="AL53" s="192" t="n"/>
      <c r="AM53" s="192" t="n"/>
      <c r="AN53" s="192" t="n"/>
      <c r="AO53" s="192" t="n"/>
      <c r="AP53" s="192" t="n"/>
      <c r="AQ53" s="192" t="n"/>
      <c r="AR53" s="192" t="n"/>
      <c r="AS53" s="192" t="n">
        <v>-1600</v>
      </c>
      <c r="AT53" s="182" t="n"/>
      <c r="AU53" s="176" t="n"/>
      <c r="AV53" s="176" t="n"/>
      <c r="AW53" s="176" t="n"/>
      <c r="AX53" s="176" t="n"/>
      <c r="AY53" s="176" t="n"/>
      <c r="AZ53" s="176" t="n"/>
      <c r="BA53" s="176" t="n"/>
      <c r="BB53" s="176" t="n"/>
      <c r="BC53" s="176" t="n"/>
      <c r="BD53" s="176" t="n"/>
      <c r="BE53" s="176" t="n"/>
      <c r="BF53" s="176" t="n"/>
      <c r="BG53" s="176" t="n"/>
      <c r="BH53" s="176" t="n"/>
      <c r="BI53" s="176" t="n"/>
      <c r="BJ53" s="176" t="n"/>
      <c r="BK53" s="176" t="n"/>
      <c r="BL53" s="176" t="n"/>
      <c r="BM53" s="176" t="n"/>
      <c r="BN53" s="176" t="n"/>
      <c r="BO53" s="176" t="n"/>
      <c r="BP53" s="176" t="n"/>
      <c r="BQ53" s="176" t="n"/>
      <c r="BR53" s="176" t="n"/>
    </row>
    <row r="54" ht="15" customHeight="1" s="392">
      <c r="A54" s="176" t="n"/>
      <c r="B54" s="180" t="n"/>
      <c r="C54" s="187" t="inlineStr">
        <is>
          <t>Net Income after Extraordinary Items and Discontinued Operations</t>
        </is>
      </c>
      <c r="D54" s="190">
        <f>IF(COUNT(M54:AS54)&gt;0,MEDIAN(M54:AS54),"")</f>
        <v/>
      </c>
      <c r="E54" s="190">
        <f>IF(COUNT(M54:AS54)&gt;0,AVERAGE(M54:AS54),"")</f>
        <v/>
      </c>
      <c r="F54" s="190">
        <f>IF(COUNT(M54:AS54)&gt;0,MIN(M54:AS54),"")</f>
        <v/>
      </c>
      <c r="G54" s="190">
        <f>IF(COUNT(M54:AS54)&gt;0,MAX(M54:AS54),"")</f>
        <v/>
      </c>
      <c r="H54" s="190">
        <f>IF(COUNT(M54:AS54)&gt;0,QUARTILE(M54:AS54,1),"")</f>
        <v/>
      </c>
      <c r="I54" s="190">
        <f>IF(COUNT(M54:AS54)&gt;0,QUARTILE(M54:AS54,3),"")</f>
        <v/>
      </c>
      <c r="J54" s="190">
        <f>IF(COUNT(M54:AS54)&gt;1,STDEV(M54:AS54),"")</f>
        <v/>
      </c>
      <c r="K54" s="191">
        <f>IF(COUNT(M54:AS54)&gt;1,STDEV(M54:AS54)/AVERAGE(M54:AS54),"")</f>
        <v/>
      </c>
      <c r="M54" s="192" t="n">
        <v>1480397</v>
      </c>
      <c r="N54" s="192" t="n">
        <v>1548363</v>
      </c>
      <c r="O54" s="192" t="n">
        <v>1362347</v>
      </c>
      <c r="P54" s="192" t="n">
        <v>1237741</v>
      </c>
      <c r="Q54" s="192" t="n">
        <v>1090130</v>
      </c>
      <c r="R54" s="192" t="n">
        <v>936495</v>
      </c>
      <c r="S54" s="192" t="n">
        <v>699907</v>
      </c>
      <c r="T54" s="192" t="n">
        <v>591693</v>
      </c>
      <c r="U54" s="192" t="n">
        <v>418007</v>
      </c>
      <c r="V54" s="192" t="n">
        <v>394261</v>
      </c>
      <c r="W54" s="192" t="n">
        <v>270360</v>
      </c>
      <c r="X54" s="192" t="n">
        <v>219783</v>
      </c>
      <c r="Y54" s="192" t="n">
        <v>178687</v>
      </c>
      <c r="Z54" s="192" t="n">
        <v>180025</v>
      </c>
      <c r="AA54" s="192" t="n">
        <v>182119</v>
      </c>
      <c r="AB54" s="192" t="n">
        <v>166375</v>
      </c>
      <c r="AC54" s="192" t="n"/>
      <c r="AD54" s="192" t="n"/>
      <c r="AE54" s="192" t="n"/>
      <c r="AF54" s="192" t="n"/>
      <c r="AG54" s="192" t="n"/>
      <c r="AH54" s="192" t="n"/>
      <c r="AI54" s="192" t="n"/>
      <c r="AJ54" s="192" t="n"/>
      <c r="AK54" s="192" t="n"/>
      <c r="AL54" s="192" t="n"/>
      <c r="AM54" s="192" t="n"/>
      <c r="AN54" s="192" t="n"/>
      <c r="AO54" s="192" t="n"/>
      <c r="AP54" s="192" t="n"/>
      <c r="AQ54" s="192" t="n"/>
      <c r="AR54" s="192" t="n"/>
      <c r="AS54" s="192" t="n"/>
      <c r="AT54" s="182" t="n"/>
      <c r="AU54" s="176" t="n"/>
      <c r="AV54" s="176" t="n"/>
      <c r="AW54" s="176" t="n"/>
      <c r="AX54" s="176" t="n"/>
      <c r="AY54" s="176" t="n"/>
      <c r="AZ54" s="176" t="n"/>
      <c r="BA54" s="176" t="n"/>
      <c r="BB54" s="176" t="n"/>
      <c r="BC54" s="176" t="n"/>
      <c r="BD54" s="176" t="n"/>
      <c r="BE54" s="176" t="n"/>
      <c r="BF54" s="176" t="n"/>
      <c r="BG54" s="176" t="n"/>
      <c r="BH54" s="176" t="n"/>
      <c r="BI54" s="176" t="n"/>
      <c r="BJ54" s="176" t="n"/>
      <c r="BK54" s="176" t="n"/>
      <c r="BL54" s="176" t="n"/>
      <c r="BM54" s="176" t="n"/>
      <c r="BN54" s="176" t="n"/>
      <c r="BO54" s="176" t="n"/>
      <c r="BP54" s="176" t="n"/>
      <c r="BQ54" s="176" t="n"/>
      <c r="BR54" s="176" t="n"/>
    </row>
    <row r="55" ht="15" customHeight="1" s="392">
      <c r="A55" s="176" t="n"/>
      <c r="B55" s="180" t="n"/>
      <c r="C55" s="187" t="inlineStr">
        <is>
          <t>Non-Controlling/Minority Interests</t>
        </is>
      </c>
      <c r="D55" s="190">
        <f>IF(COUNT(M55:AS55)&gt;0,MEDIAN(M55:AS55),"")</f>
        <v/>
      </c>
      <c r="E55" s="190">
        <f>IF(COUNT(M55:AS55)&gt;0,AVERAGE(M55:AS55),"")</f>
        <v/>
      </c>
      <c r="F55" s="190">
        <f>IF(COUNT(M55:AS55)&gt;0,MIN(M55:AS55),"")</f>
        <v/>
      </c>
      <c r="G55" s="190">
        <f>IF(COUNT(M55:AS55)&gt;0,MAX(M55:AS55),"")</f>
        <v/>
      </c>
      <c r="H55" s="190">
        <f>IF(COUNT(M55:AS55)&gt;0,QUARTILE(M55:AS55,1),"")</f>
        <v/>
      </c>
      <c r="I55" s="190">
        <f>IF(COUNT(M55:AS55)&gt;0,QUARTILE(M55:AS55,3),"")</f>
        <v/>
      </c>
      <c r="J55" s="190">
        <f>IF(COUNT(M55:AS55)&gt;1,STDEV(M55:AS55),"")</f>
        <v/>
      </c>
      <c r="K55" s="191">
        <f>IF(COUNT(M55:AS55)&gt;1,STDEV(M55:AS55)/AVERAGE(M55:AS55),"")</f>
        <v/>
      </c>
      <c r="M55" s="192" t="n">
        <v>-3873</v>
      </c>
      <c r="N55" s="192" t="n">
        <v>-4086</v>
      </c>
      <c r="O55" s="192" t="n">
        <v>-673</v>
      </c>
      <c r="P55" s="192" t="n">
        <v>0</v>
      </c>
      <c r="Q55" s="192" t="n">
        <v>0</v>
      </c>
      <c r="R55" s="192" t="n"/>
      <c r="S55" s="192" t="n"/>
      <c r="T55" s="192" t="n"/>
      <c r="U55" s="192" t="n">
        <v>140</v>
      </c>
      <c r="V55" s="192" t="n">
        <v>34</v>
      </c>
      <c r="W55" s="192" t="n">
        <v>0</v>
      </c>
      <c r="X55" s="192" t="n">
        <v>0</v>
      </c>
      <c r="Y55" s="192" t="n"/>
      <c r="Z55" s="192" t="n"/>
      <c r="AA55" s="192" t="n"/>
      <c r="AB55" s="192" t="n"/>
      <c r="AC55" s="192" t="n"/>
      <c r="AD55" s="192" t="n"/>
      <c r="AE55" s="192" t="n"/>
      <c r="AF55" s="192" t="n"/>
      <c r="AG55" s="192" t="n"/>
      <c r="AH55" s="192" t="n"/>
      <c r="AI55" s="192" t="n"/>
      <c r="AJ55" s="192" t="n"/>
      <c r="AK55" s="192" t="n"/>
      <c r="AL55" s="192" t="n"/>
      <c r="AM55" s="192" t="n"/>
      <c r="AN55" s="192" t="n"/>
      <c r="AO55" s="192" t="n"/>
      <c r="AP55" s="192" t="n"/>
      <c r="AQ55" s="192" t="n"/>
      <c r="AR55" s="192" t="n"/>
      <c r="AS55" s="192" t="n"/>
      <c r="AT55" s="182" t="n"/>
      <c r="AU55" s="176" t="n"/>
      <c r="AV55" s="176" t="n"/>
      <c r="AW55" s="176" t="n"/>
      <c r="AX55" s="176" t="n"/>
      <c r="AY55" s="176" t="n"/>
      <c r="AZ55" s="176" t="n"/>
      <c r="BA55" s="176" t="n"/>
      <c r="BB55" s="176" t="n"/>
      <c r="BC55" s="176" t="n"/>
      <c r="BD55" s="176" t="n"/>
      <c r="BE55" s="176" t="n"/>
      <c r="BF55" s="176" t="n"/>
      <c r="BG55" s="176" t="n"/>
      <c r="BH55" s="176" t="n"/>
      <c r="BI55" s="176" t="n"/>
      <c r="BJ55" s="176" t="n"/>
      <c r="BK55" s="176" t="n"/>
      <c r="BL55" s="176" t="n"/>
      <c r="BM55" s="176" t="n"/>
      <c r="BN55" s="176" t="n"/>
      <c r="BO55" s="176" t="n"/>
      <c r="BP55" s="176" t="n"/>
      <c r="BQ55" s="176" t="n"/>
      <c r="BR55" s="176" t="n"/>
    </row>
    <row r="56" ht="15" customHeight="1" s="392">
      <c r="A56" s="176" t="n"/>
      <c r="B56" s="180" t="n"/>
      <c r="C56" s="187" t="inlineStr">
        <is>
          <t>Net Income after Non-Controlling/Minority Interests</t>
        </is>
      </c>
      <c r="D56" s="190">
        <f>IF(COUNT(M56:AS56)&gt;0,MEDIAN(M56:AS56),"")</f>
        <v/>
      </c>
      <c r="E56" s="190">
        <f>IF(COUNT(M56:AS56)&gt;0,AVERAGE(M56:AS56),"")</f>
        <v/>
      </c>
      <c r="F56" s="190">
        <f>IF(COUNT(M56:AS56)&gt;0,MIN(M56:AS56),"")</f>
        <v/>
      </c>
      <c r="G56" s="190">
        <f>IF(COUNT(M56:AS56)&gt;0,MAX(M56:AS56),"")</f>
        <v/>
      </c>
      <c r="H56" s="190">
        <f>IF(COUNT(M56:AS56)&gt;0,QUARTILE(M56:AS56,1),"")</f>
        <v/>
      </c>
      <c r="I56" s="190">
        <f>IF(COUNT(M56:AS56)&gt;0,QUARTILE(M56:AS56,3),"")</f>
        <v/>
      </c>
      <c r="J56" s="190">
        <f>IF(COUNT(M56:AS56)&gt;1,STDEV(M56:AS56),"")</f>
        <v/>
      </c>
      <c r="K56" s="191">
        <f>IF(COUNT(M56:AS56)&gt;1,STDEV(M56:AS56)/AVERAGE(M56:AS56),"")</f>
        <v/>
      </c>
      <c r="M56" s="192" t="n">
        <v>1484270</v>
      </c>
      <c r="N56" s="192" t="n">
        <v>1552449</v>
      </c>
      <c r="O56" s="192" t="n">
        <v>1363020</v>
      </c>
      <c r="P56" s="192" t="n">
        <v>1237741</v>
      </c>
      <c r="Q56" s="192" t="n">
        <v>1090130</v>
      </c>
      <c r="R56" s="192" t="n">
        <v>936495</v>
      </c>
      <c r="S56" s="192" t="n">
        <v>699907</v>
      </c>
      <c r="T56" s="192" t="n">
        <v>591693</v>
      </c>
      <c r="U56" s="192" t="n">
        <v>417867</v>
      </c>
      <c r="V56" s="192" t="n">
        <v>394227</v>
      </c>
      <c r="W56" s="192" t="n">
        <v>270360</v>
      </c>
      <c r="X56" s="192" t="n">
        <v>219783</v>
      </c>
      <c r="Y56" s="192" t="n">
        <v>178687</v>
      </c>
      <c r="Z56" s="192" t="n">
        <v>180025</v>
      </c>
      <c r="AA56" s="192" t="n">
        <v>182119</v>
      </c>
      <c r="AB56" s="192" t="n">
        <v>166375</v>
      </c>
      <c r="AC56" s="192" t="n">
        <v>151627</v>
      </c>
      <c r="AD56" s="192" t="n">
        <v>141103</v>
      </c>
      <c r="AE56" s="192" t="n">
        <v>156932</v>
      </c>
      <c r="AF56" s="192" t="n">
        <v>136338</v>
      </c>
      <c r="AG56" s="192" t="n">
        <v>96947</v>
      </c>
      <c r="AH56" s="192" t="n">
        <v>102116</v>
      </c>
      <c r="AI56" s="192" t="n">
        <v>79220</v>
      </c>
      <c r="AJ56" s="192" t="n">
        <v>57222</v>
      </c>
      <c r="AK56" s="192" t="n">
        <v>57389.2</v>
      </c>
      <c r="AL56" s="192" t="n">
        <v>42685</v>
      </c>
      <c r="AM56" s="192" t="n">
        <v>29429.1</v>
      </c>
      <c r="AN56" s="192" t="n">
        <v>22000</v>
      </c>
      <c r="AO56" s="192" t="n">
        <v>15200</v>
      </c>
      <c r="AP56" s="192" t="n">
        <v>12000</v>
      </c>
      <c r="AQ56" s="192" t="n">
        <v>11200</v>
      </c>
      <c r="AR56" s="192" t="n">
        <v>6900</v>
      </c>
      <c r="AS56" s="192" t="n">
        <v>600</v>
      </c>
      <c r="AT56" s="182" t="n"/>
      <c r="AU56" s="176" t="n"/>
      <c r="AV56" s="176" t="n"/>
      <c r="AW56" s="176" t="n"/>
      <c r="AX56" s="176" t="n"/>
      <c r="AY56" s="176" t="n"/>
      <c r="AZ56" s="176" t="n"/>
      <c r="BA56" s="176" t="n"/>
      <c r="BB56" s="176" t="n"/>
      <c r="BC56" s="176" t="n"/>
      <c r="BD56" s="176" t="n"/>
      <c r="BE56" s="176" t="n"/>
      <c r="BF56" s="176" t="n"/>
      <c r="BG56" s="176" t="n"/>
      <c r="BH56" s="176" t="n"/>
      <c r="BI56" s="176" t="n"/>
      <c r="BJ56" s="176" t="n"/>
      <c r="BK56" s="176" t="n"/>
      <c r="BL56" s="176" t="n"/>
      <c r="BM56" s="176" t="n"/>
      <c r="BN56" s="176" t="n"/>
      <c r="BO56" s="176" t="n"/>
      <c r="BP56" s="176" t="n"/>
      <c r="BQ56" s="176" t="n"/>
      <c r="BR56" s="176" t="n"/>
    </row>
    <row r="57" ht="15" customHeight="1" s="392">
      <c r="A57" s="176" t="n"/>
      <c r="B57" s="180" t="n"/>
      <c r="C57" s="187" t="inlineStr">
        <is>
          <t>Net Income Available to Common Stockholders</t>
        </is>
      </c>
      <c r="D57" s="190">
        <f>IF(COUNT(M57:AS57)&gt;0,MEDIAN(M57:AS57),"")</f>
        <v/>
      </c>
      <c r="E57" s="190">
        <f>IF(COUNT(M57:AS57)&gt;0,AVERAGE(M57:AS57),"")</f>
        <v/>
      </c>
      <c r="F57" s="190">
        <f>IF(COUNT(M57:AS57)&gt;0,MIN(M57:AS57),"")</f>
        <v/>
      </c>
      <c r="G57" s="190">
        <f>IF(COUNT(M57:AS57)&gt;0,MAX(M57:AS57),"")</f>
        <v/>
      </c>
      <c r="H57" s="190">
        <f>IF(COUNT(M57:AS57)&gt;0,QUARTILE(M57:AS57,1),"")</f>
        <v/>
      </c>
      <c r="I57" s="190">
        <f>IF(COUNT(M57:AS57)&gt;0,QUARTILE(M57:AS57,3),"")</f>
        <v/>
      </c>
      <c r="J57" s="190">
        <f>IF(COUNT(M57:AS57)&gt;1,STDEV(M57:AS57),"")</f>
        <v/>
      </c>
      <c r="K57" s="191">
        <f>IF(COUNT(M57:AS57)&gt;1,STDEV(M57:AS57)/AVERAGE(M57:AS57),"")</f>
        <v/>
      </c>
      <c r="M57" s="192" t="n">
        <v>1484270</v>
      </c>
      <c r="N57" s="192" t="n">
        <v>1552449</v>
      </c>
      <c r="O57" s="192" t="n">
        <v>1363020</v>
      </c>
      <c r="P57" s="192" t="n">
        <v>1237741</v>
      </c>
      <c r="Q57" s="192" t="n">
        <v>1090130</v>
      </c>
      <c r="R57" s="192" t="n">
        <v>936495</v>
      </c>
      <c r="S57" s="192" t="n">
        <v>699907</v>
      </c>
      <c r="T57" s="192" t="n">
        <v>591693</v>
      </c>
      <c r="U57" s="192" t="n">
        <v>417867</v>
      </c>
      <c r="V57" s="192" t="n">
        <v>394227</v>
      </c>
      <c r="W57" s="192" t="n">
        <v>270360</v>
      </c>
      <c r="X57" s="192" t="n">
        <v>219783</v>
      </c>
      <c r="Y57" s="192" t="n">
        <v>178687</v>
      </c>
      <c r="Z57" s="192" t="n">
        <v>180025</v>
      </c>
      <c r="AA57" s="192" t="n">
        <v>182119</v>
      </c>
      <c r="AB57" s="192" t="n">
        <v>166375</v>
      </c>
      <c r="AC57" s="192" t="n">
        <v>151627</v>
      </c>
      <c r="AD57" s="192" t="n">
        <v>141103</v>
      </c>
      <c r="AE57" s="192" t="n">
        <v>156932</v>
      </c>
      <c r="AF57" s="192" t="n">
        <v>136338</v>
      </c>
      <c r="AG57" s="192" t="n">
        <v>96947</v>
      </c>
      <c r="AH57" s="192" t="n">
        <v>102116</v>
      </c>
      <c r="AI57" s="192" t="n">
        <v>79220</v>
      </c>
      <c r="AJ57" s="192" t="n">
        <v>57222</v>
      </c>
      <c r="AK57" s="192" t="n">
        <v>57389.2</v>
      </c>
      <c r="AL57" s="192" t="n">
        <v>42685</v>
      </c>
      <c r="AM57" s="192" t="n">
        <v>29429.1</v>
      </c>
      <c r="AN57" s="192" t="n">
        <v>22000</v>
      </c>
      <c r="AO57" s="192" t="n">
        <v>15200</v>
      </c>
      <c r="AP57" s="192" t="n">
        <v>12000</v>
      </c>
      <c r="AQ57" s="192" t="n">
        <v>11200</v>
      </c>
      <c r="AR57" s="192" t="n">
        <v>6900</v>
      </c>
      <c r="AS57" s="192" t="n">
        <v>600</v>
      </c>
      <c r="AT57" s="182" t="n"/>
      <c r="AU57" s="176" t="n"/>
      <c r="AV57" s="176" t="n"/>
      <c r="AW57" s="176" t="n"/>
      <c r="AX57" s="176" t="n"/>
      <c r="AY57" s="176" t="n"/>
      <c r="AZ57" s="176" t="n"/>
      <c r="BA57" s="176" t="n"/>
      <c r="BB57" s="176" t="n"/>
      <c r="BC57" s="176" t="n"/>
      <c r="BD57" s="176" t="n"/>
      <c r="BE57" s="176" t="n"/>
      <c r="BF57" s="176" t="n"/>
      <c r="BG57" s="176" t="n"/>
      <c r="BH57" s="176" t="n"/>
      <c r="BI57" s="176" t="n"/>
      <c r="BJ57" s="176" t="n"/>
      <c r="BK57" s="176" t="n"/>
      <c r="BL57" s="176" t="n"/>
      <c r="BM57" s="176" t="n"/>
      <c r="BN57" s="176" t="n"/>
      <c r="BO57" s="176" t="n"/>
      <c r="BP57" s="176" t="n"/>
      <c r="BQ57" s="176" t="n"/>
      <c r="BR57" s="176" t="n"/>
    </row>
    <row r="58" ht="15" customHeight="1" s="392">
      <c r="A58" s="176" t="n"/>
      <c r="B58" s="180" t="n"/>
      <c r="C58" s="187" t="inlineStr">
        <is>
          <t>Diluted Net Income Available to Common Stockholders</t>
        </is>
      </c>
      <c r="D58" s="190">
        <f>IF(COUNT(M58:AS58)&gt;0,MEDIAN(M58:AS58),"")</f>
        <v/>
      </c>
      <c r="E58" s="190">
        <f>IF(COUNT(M58:AS58)&gt;0,AVERAGE(M58:AS58),"")</f>
        <v/>
      </c>
      <c r="F58" s="190">
        <f>IF(COUNT(M58:AS58)&gt;0,MIN(M58:AS58),"")</f>
        <v/>
      </c>
      <c r="G58" s="190">
        <f>IF(COUNT(M58:AS58)&gt;0,MAX(M58:AS58),"")</f>
        <v/>
      </c>
      <c r="H58" s="190">
        <f>IF(COUNT(M58:AS58)&gt;0,QUARTILE(M58:AS58,1),"")</f>
        <v/>
      </c>
      <c r="I58" s="190">
        <f>IF(COUNT(M58:AS58)&gt;0,QUARTILE(M58:AS58,3),"")</f>
        <v/>
      </c>
      <c r="J58" s="190">
        <f>IF(COUNT(M58:AS58)&gt;1,STDEV(M58:AS58),"")</f>
        <v/>
      </c>
      <c r="K58" s="191">
        <f>IF(COUNT(M58:AS58)&gt;1,STDEV(M58:AS58)/AVERAGE(M58:AS58),"")</f>
        <v/>
      </c>
      <c r="M58" s="192" t="n">
        <v>1484270</v>
      </c>
      <c r="N58" s="192" t="n">
        <v>1552449</v>
      </c>
      <c r="O58" s="192" t="n">
        <v>1363020</v>
      </c>
      <c r="P58" s="192" t="n">
        <v>1237741</v>
      </c>
      <c r="Q58" s="192" t="n">
        <v>1090130</v>
      </c>
      <c r="R58" s="192" t="n">
        <v>936495</v>
      </c>
      <c r="S58" s="192" t="n">
        <v>699907</v>
      </c>
      <c r="T58" s="192" t="n">
        <v>591693</v>
      </c>
      <c r="U58" s="192" t="n">
        <v>417867</v>
      </c>
      <c r="V58" s="192" t="n">
        <v>394227</v>
      </c>
      <c r="W58" s="192" t="n">
        <v>270360</v>
      </c>
      <c r="X58" s="192" t="n">
        <v>219783</v>
      </c>
      <c r="Y58" s="192" t="n">
        <v>178687</v>
      </c>
      <c r="Z58" s="192" t="n">
        <v>180025</v>
      </c>
      <c r="AA58" s="192" t="n">
        <v>182119</v>
      </c>
      <c r="AB58" s="192" t="n">
        <v>166375</v>
      </c>
      <c r="AC58" s="192" t="n">
        <v>151627</v>
      </c>
      <c r="AD58" s="192" t="n">
        <v>141103</v>
      </c>
      <c r="AE58" s="192" t="n">
        <v>156932</v>
      </c>
      <c r="AF58" s="192" t="n">
        <v>136338</v>
      </c>
      <c r="AG58" s="192" t="n">
        <v>96947</v>
      </c>
      <c r="AH58" s="192" t="n">
        <v>102116</v>
      </c>
      <c r="AI58" s="192" t="n">
        <v>79220</v>
      </c>
      <c r="AJ58" s="192" t="n">
        <v>57222</v>
      </c>
      <c r="AK58" s="192" t="n">
        <v>57389.2</v>
      </c>
      <c r="AL58" s="192" t="n">
        <v>42685</v>
      </c>
      <c r="AM58" s="192" t="n">
        <v>29429.1</v>
      </c>
      <c r="AN58" s="192" t="n">
        <v>22000</v>
      </c>
      <c r="AO58" s="192" t="n">
        <v>15200</v>
      </c>
      <c r="AP58" s="192" t="n">
        <v>12000</v>
      </c>
      <c r="AQ58" s="192" t="n">
        <v>11200</v>
      </c>
      <c r="AR58" s="192" t="n">
        <v>6900</v>
      </c>
      <c r="AS58" s="192" t="n">
        <v>600</v>
      </c>
      <c r="AT58" s="182" t="n"/>
      <c r="AU58" s="176" t="n"/>
      <c r="AV58" s="176" t="n"/>
      <c r="AW58" s="176" t="n"/>
      <c r="AX58" s="176" t="n"/>
      <c r="AY58" s="176" t="n"/>
      <c r="AZ58" s="176" t="n"/>
      <c r="BA58" s="176" t="n"/>
      <c r="BB58" s="176" t="n"/>
      <c r="BC58" s="176" t="n"/>
      <c r="BD58" s="176" t="n"/>
      <c r="BE58" s="176" t="n"/>
      <c r="BF58" s="176" t="n"/>
      <c r="BG58" s="176" t="n"/>
      <c r="BH58" s="176" t="n"/>
      <c r="BI58" s="176" t="n"/>
      <c r="BJ58" s="176" t="n"/>
      <c r="BK58" s="176" t="n"/>
      <c r="BL58" s="176" t="n"/>
      <c r="BM58" s="176" t="n"/>
      <c r="BN58" s="176" t="n"/>
      <c r="BO58" s="176" t="n"/>
      <c r="BP58" s="176" t="n"/>
      <c r="BQ58" s="176" t="n"/>
      <c r="BR58" s="176" t="n"/>
    </row>
    <row r="59" ht="15" customHeight="1" s="392">
      <c r="A59" s="176" t="n"/>
      <c r="B59" s="180" t="n"/>
      <c r="C59" s="189" t="inlineStr">
        <is>
          <t>Basic EPS</t>
        </is>
      </c>
      <c r="D59" s="185" t="n"/>
      <c r="E59" s="185" t="n"/>
      <c r="F59" s="185" t="n"/>
      <c r="G59" s="185" t="n"/>
      <c r="H59" s="185" t="n"/>
      <c r="I59" s="185" t="n"/>
      <c r="J59" s="185" t="n"/>
      <c r="K59" s="185" t="n"/>
      <c r="L59" s="185" t="n"/>
      <c r="M59" s="185" t="n"/>
      <c r="N59" s="185" t="n"/>
      <c r="O59" s="185" t="n"/>
      <c r="P59" s="185" t="n"/>
      <c r="Q59" s="185" t="n"/>
      <c r="R59" s="185" t="n"/>
      <c r="S59" s="185" t="n"/>
      <c r="T59" s="185" t="n"/>
      <c r="U59" s="185" t="n"/>
      <c r="V59" s="185" t="n"/>
      <c r="W59" s="185" t="n"/>
      <c r="X59" s="185" t="n"/>
      <c r="Y59" s="185" t="n"/>
      <c r="Z59" s="185" t="n"/>
      <c r="AA59" s="185" t="n"/>
      <c r="AB59" s="185" t="n"/>
      <c r="AC59" s="185" t="n"/>
      <c r="AD59" s="185" t="n"/>
      <c r="AE59" s="185" t="n"/>
      <c r="AF59" s="185" t="n"/>
      <c r="AG59" s="185" t="n"/>
      <c r="AH59" s="185" t="n"/>
      <c r="AI59" s="185" t="n"/>
      <c r="AJ59" s="185" t="n"/>
      <c r="AK59" s="185" t="n"/>
      <c r="AL59" s="185" t="n"/>
      <c r="AM59" s="185" t="n"/>
      <c r="AN59" s="185" t="n"/>
      <c r="AO59" s="185" t="n"/>
      <c r="AP59" s="185" t="n"/>
      <c r="AQ59" s="185" t="n"/>
      <c r="AR59" s="185" t="n"/>
      <c r="AS59" s="185" t="n"/>
      <c r="AT59" s="182" t="n"/>
      <c r="AU59" s="176" t="n"/>
      <c r="AV59" s="176" t="n"/>
      <c r="AW59" s="176" t="n"/>
      <c r="AX59" s="176" t="n"/>
      <c r="AY59" s="176" t="n"/>
      <c r="AZ59" s="176" t="n"/>
      <c r="BA59" s="176" t="n"/>
      <c r="BB59" s="176" t="n"/>
      <c r="BC59" s="176" t="n"/>
      <c r="BD59" s="176" t="n"/>
      <c r="BE59" s="176" t="n"/>
      <c r="BF59" s="176" t="n"/>
      <c r="BG59" s="176" t="n"/>
      <c r="BH59" s="176" t="n"/>
      <c r="BI59" s="176" t="n"/>
      <c r="BJ59" s="176" t="n"/>
      <c r="BK59" s="176" t="n"/>
      <c r="BL59" s="176" t="n"/>
      <c r="BM59" s="176" t="n"/>
      <c r="BN59" s="176" t="n"/>
      <c r="BO59" s="176" t="n"/>
      <c r="BP59" s="176" t="n"/>
      <c r="BQ59" s="176" t="n"/>
      <c r="BR59" s="176" t="n"/>
    </row>
    <row r="60" ht="15" customHeight="1" s="392">
      <c r="A60" s="176" t="n"/>
      <c r="B60" s="180" t="n"/>
      <c r="C60" s="183" t="inlineStr">
        <is>
          <t xml:space="preserve">    Basic EPS from Continuing Operations</t>
        </is>
      </c>
      <c r="D60" s="191">
        <f>IF(COUNT(M60:AS60)&gt;0,MEDIAN(M60:AS60),"")</f>
        <v/>
      </c>
      <c r="E60" s="191">
        <f>IF(COUNT(M60:AS60)&gt;0,AVERAGE(M60:AS60),"")</f>
        <v/>
      </c>
      <c r="F60" s="191">
        <f>IF(COUNT(M60:AS60)&gt;0,MIN(M60:AS60),"")</f>
        <v/>
      </c>
      <c r="G60" s="191">
        <f>IF(COUNT(M60:AS60)&gt;0,MAX(M60:AS60),"")</f>
        <v/>
      </c>
      <c r="H60" s="191">
        <f>IF(COUNT(M60:AS60)&gt;0,QUARTILE(M60:AS60,1),"")</f>
        <v/>
      </c>
      <c r="I60" s="191">
        <f>IF(COUNT(M60:AS60)&gt;0,QUARTILE(M60:AS60,3),"")</f>
        <v/>
      </c>
      <c r="J60" s="191">
        <f>IF(COUNT(M60:AS60)&gt;1,STDEV(M60:AS60),"")</f>
        <v/>
      </c>
      <c r="K60" s="191">
        <f>IF(COUNT(M60:AS60)&gt;1,STDEV(M60:AS60)/AVERAGE(M60:AS60),"")</f>
        <v/>
      </c>
      <c r="M60" s="197" t="n">
        <v>1.56</v>
      </c>
      <c r="N60" s="197" t="n">
        <v>1.61</v>
      </c>
      <c r="O60" s="197" t="n">
        <v>1.42</v>
      </c>
      <c r="P60" s="197" t="n">
        <v>1.3</v>
      </c>
      <c r="Q60" s="197" t="n">
        <v>1.15</v>
      </c>
      <c r="R60" s="197" t="n">
        <v>0.99</v>
      </c>
      <c r="S60" s="197" t="n">
        <v>0.75</v>
      </c>
      <c r="T60" s="197" t="n">
        <v>0.6425</v>
      </c>
      <c r="U60" s="197" t="n">
        <v>0.45</v>
      </c>
      <c r="V60" s="197" t="n">
        <v>0.43</v>
      </c>
      <c r="W60" s="197" t="n">
        <v>0.295</v>
      </c>
      <c r="X60" s="197" t="n">
        <v>0.2175</v>
      </c>
      <c r="Y60" s="197" t="n">
        <v>0.1775</v>
      </c>
      <c r="Z60" s="197" t="n">
        <v>0.18</v>
      </c>
      <c r="AA60" s="197" t="n">
        <v>0.1775</v>
      </c>
      <c r="AB60" s="197" t="n">
        <v>0.1375</v>
      </c>
      <c r="AC60" s="197" t="n">
        <v>0.1125</v>
      </c>
      <c r="AD60" s="197" t="n">
        <v>0.104375</v>
      </c>
      <c r="AE60" s="197" t="n">
        <v>0.1125</v>
      </c>
      <c r="AF60" s="197" t="n">
        <v>0.09375</v>
      </c>
      <c r="AG60" s="197" t="n">
        <v>0.0775</v>
      </c>
      <c r="AH60" s="197" t="n">
        <v>0.07062499999999999</v>
      </c>
      <c r="AI60" s="197" t="n">
        <v>0.055625</v>
      </c>
      <c r="AJ60" s="197" t="n">
        <v>0.039375</v>
      </c>
      <c r="AK60" s="197" t="n">
        <v>0.040625</v>
      </c>
      <c r="AL60" s="197" t="n">
        <v>0.021667</v>
      </c>
      <c r="AM60" s="197" t="n">
        <v>0.022917</v>
      </c>
      <c r="AN60" s="197" t="n">
        <v>0.008541999999999999</v>
      </c>
      <c r="AO60" s="197" t="n">
        <v>0.011979</v>
      </c>
      <c r="AP60" s="197" t="n">
        <v>0.001668</v>
      </c>
      <c r="AQ60" s="197" t="n">
        <v>0.001598</v>
      </c>
      <c r="AR60" s="197" t="n">
        <v>0.001251</v>
      </c>
      <c r="AS60" s="197" t="n">
        <v>0.000625</v>
      </c>
      <c r="AT60" s="182" t="n"/>
      <c r="AU60" s="176" t="n"/>
      <c r="AV60" s="176" t="n"/>
      <c r="AW60" s="176" t="n"/>
      <c r="AX60" s="176" t="n"/>
      <c r="AY60" s="176" t="n"/>
      <c r="AZ60" s="176" t="n"/>
      <c r="BA60" s="176" t="n"/>
      <c r="BB60" s="176" t="n"/>
      <c r="BC60" s="176" t="n"/>
      <c r="BD60" s="176" t="n"/>
      <c r="BE60" s="176" t="n"/>
      <c r="BF60" s="176" t="n"/>
      <c r="BG60" s="176" t="n"/>
      <c r="BH60" s="176" t="n"/>
      <c r="BI60" s="176" t="n"/>
      <c r="BJ60" s="176" t="n"/>
      <c r="BK60" s="176" t="n"/>
      <c r="BL60" s="176" t="n"/>
      <c r="BM60" s="176" t="n"/>
      <c r="BN60" s="176" t="n"/>
      <c r="BO60" s="176" t="n"/>
      <c r="BP60" s="176" t="n"/>
      <c r="BQ60" s="176" t="n"/>
      <c r="BR60" s="176" t="n"/>
    </row>
    <row r="61" ht="15" customHeight="1" s="392">
      <c r="A61" s="176" t="n"/>
      <c r="B61" s="180" t="n"/>
      <c r="C61" s="183" t="inlineStr">
        <is>
          <t xml:space="preserve">    Basic EPS from Discontinued Operations</t>
        </is>
      </c>
      <c r="D61" s="191">
        <f>IF(COUNT(M61:AS61)&gt;0,MEDIAN(M61:AS61),"")</f>
        <v/>
      </c>
      <c r="E61" s="191">
        <f>IF(COUNT(M61:AS61)&gt;0,AVERAGE(M61:AS61),"")</f>
        <v/>
      </c>
      <c r="F61" s="191">
        <f>IF(COUNT(M61:AS61)&gt;0,MIN(M61:AS61),"")</f>
        <v/>
      </c>
      <c r="G61" s="191">
        <f>IF(COUNT(M61:AS61)&gt;0,MAX(M61:AS61),"")</f>
        <v/>
      </c>
      <c r="H61" s="191">
        <f>IF(COUNT(M61:AS61)&gt;0,QUARTILE(M61:AS61,1),"")</f>
        <v/>
      </c>
      <c r="I61" s="191">
        <f>IF(COUNT(M61:AS61)&gt;0,QUARTILE(M61:AS61,3),"")</f>
        <v/>
      </c>
      <c r="J61" s="191">
        <f>IF(COUNT(M61:AS61)&gt;1,STDEV(M61:AS61),"")</f>
        <v/>
      </c>
      <c r="K61" s="191">
        <f>IF(COUNT(M61:AS61)&gt;1,STDEV(M61:AS61)/AVERAGE(M61:AS61),"")</f>
        <v/>
      </c>
      <c r="M61" s="197" t="n"/>
      <c r="N61" s="197" t="n"/>
      <c r="O61" s="197" t="n"/>
      <c r="P61" s="197" t="n"/>
      <c r="Q61" s="197" t="n"/>
      <c r="R61" s="197" t="n"/>
      <c r="S61" s="197" t="n"/>
      <c r="T61" s="197" t="n"/>
      <c r="U61" s="197" t="n"/>
      <c r="V61" s="197" t="n"/>
      <c r="W61" s="197" t="n"/>
      <c r="X61" s="197" t="n"/>
      <c r="Y61" s="197" t="n"/>
      <c r="Z61" s="197" t="n"/>
      <c r="AA61" s="197" t="n"/>
      <c r="AB61" s="197" t="n"/>
      <c r="AC61" s="197" t="n">
        <v>0</v>
      </c>
      <c r="AD61" s="197" t="n">
        <v>0.00125</v>
      </c>
      <c r="AE61" s="197" t="n">
        <v>0</v>
      </c>
      <c r="AF61" s="197" t="n">
        <v>0</v>
      </c>
      <c r="AG61" s="197" t="n">
        <v>-0.010625</v>
      </c>
      <c r="AH61" s="197" t="n">
        <v>0</v>
      </c>
      <c r="AI61" s="197" t="n">
        <v>0</v>
      </c>
      <c r="AJ61" s="197" t="n">
        <v>0</v>
      </c>
      <c r="AK61" s="197" t="n"/>
      <c r="AL61" s="197" t="n"/>
      <c r="AM61" s="197" t="n"/>
      <c r="AN61" s="197" t="n"/>
      <c r="AO61" s="197" t="n"/>
      <c r="AP61" s="197" t="n"/>
      <c r="AQ61" s="197" t="n"/>
      <c r="AR61" s="197" t="n"/>
      <c r="AS61" s="197" t="n"/>
      <c r="AT61" s="182" t="n"/>
      <c r="AU61" s="176" t="n"/>
      <c r="AV61" s="176" t="n"/>
      <c r="AW61" s="176" t="n"/>
      <c r="AX61" s="176" t="n"/>
      <c r="AY61" s="176" t="n"/>
      <c r="AZ61" s="176" t="n"/>
      <c r="BA61" s="176" t="n"/>
      <c r="BB61" s="176" t="n"/>
      <c r="BC61" s="176" t="n"/>
      <c r="BD61" s="176" t="n"/>
      <c r="BE61" s="176" t="n"/>
      <c r="BF61" s="176" t="n"/>
      <c r="BG61" s="176" t="n"/>
      <c r="BH61" s="176" t="n"/>
      <c r="BI61" s="176" t="n"/>
      <c r="BJ61" s="176" t="n"/>
      <c r="BK61" s="176" t="n"/>
      <c r="BL61" s="176" t="n"/>
      <c r="BM61" s="176" t="n"/>
      <c r="BN61" s="176" t="n"/>
      <c r="BO61" s="176" t="n"/>
      <c r="BP61" s="176" t="n"/>
      <c r="BQ61" s="176" t="n"/>
      <c r="BR61" s="176" t="n"/>
    </row>
    <row r="62" ht="15" customHeight="1" s="392">
      <c r="A62" s="176" t="n"/>
      <c r="B62" s="180" t="n"/>
      <c r="C62" s="187" t="inlineStr">
        <is>
          <t>Total Basic EPS</t>
        </is>
      </c>
      <c r="D62" s="194">
        <f>IF(COUNT(M62:AS62)&gt;0,MEDIAN(M62:AS62),"")</f>
        <v/>
      </c>
      <c r="E62" s="194">
        <f>IF(COUNT(M62:AS62)&gt;0,AVERAGE(M62:AS62),"")</f>
        <v/>
      </c>
      <c r="F62" s="194">
        <f>IF(COUNT(M62:AS62)&gt;0,MIN(M62:AS62),"")</f>
        <v/>
      </c>
      <c r="G62" s="194">
        <f>IF(COUNT(M62:AS62)&gt;0,MAX(M62:AS62),"")</f>
        <v/>
      </c>
      <c r="H62" s="194">
        <f>IF(COUNT(M62:AS62)&gt;0,QUARTILE(M62:AS62,1),"")</f>
        <v/>
      </c>
      <c r="I62" s="194">
        <f>IF(COUNT(M62:AS62)&gt;0,QUARTILE(M62:AS62,3),"")</f>
        <v/>
      </c>
      <c r="J62" s="194">
        <f>IF(COUNT(M62:AS62)&gt;1,STDEV(M62:AS62),"")</f>
        <v/>
      </c>
      <c r="K62" s="194">
        <f>IF(COUNT(M62:AS62)&gt;1,STDEV(M62:AS62)/AVERAGE(M62:AS62),"")</f>
        <v/>
      </c>
      <c r="L62" s="195" t="n"/>
      <c r="M62" s="198" t="n">
        <v>1.56</v>
      </c>
      <c r="N62" s="198" t="n">
        <v>1.61</v>
      </c>
      <c r="O62" s="198" t="n">
        <v>1.42</v>
      </c>
      <c r="P62" s="198" t="n">
        <v>1.3</v>
      </c>
      <c r="Q62" s="198" t="n">
        <v>1.15</v>
      </c>
      <c r="R62" s="198" t="n">
        <v>0.99</v>
      </c>
      <c r="S62" s="198" t="n">
        <v>0.75</v>
      </c>
      <c r="T62" s="198" t="n">
        <v>0.6425</v>
      </c>
      <c r="U62" s="198" t="n">
        <v>0.45</v>
      </c>
      <c r="V62" s="198" t="n">
        <v>0.43</v>
      </c>
      <c r="W62" s="198" t="n">
        <v>0.295</v>
      </c>
      <c r="X62" s="198" t="n">
        <v>0.2175</v>
      </c>
      <c r="Y62" s="198" t="n">
        <v>0.1775</v>
      </c>
      <c r="Z62" s="198" t="n">
        <v>0.18</v>
      </c>
      <c r="AA62" s="198" t="n">
        <v>0.1775</v>
      </c>
      <c r="AB62" s="198" t="n">
        <v>0.1375</v>
      </c>
      <c r="AC62" s="198" t="n">
        <v>0.1125</v>
      </c>
      <c r="AD62" s="198" t="n">
        <v>0.105625</v>
      </c>
      <c r="AE62" s="198" t="n">
        <v>0.1125</v>
      </c>
      <c r="AF62" s="198" t="n">
        <v>0.09375</v>
      </c>
      <c r="AG62" s="198" t="n">
        <v>0.066875</v>
      </c>
      <c r="AH62" s="198" t="n">
        <v>0.07062499999999999</v>
      </c>
      <c r="AI62" s="198" t="n">
        <v>0.055625</v>
      </c>
      <c r="AJ62" s="198" t="n">
        <v>0.039375</v>
      </c>
      <c r="AK62" s="198" t="n">
        <v>0.040625</v>
      </c>
      <c r="AL62" s="198" t="n">
        <v>0.021667</v>
      </c>
      <c r="AM62" s="198" t="n">
        <v>0.022917</v>
      </c>
      <c r="AN62" s="198" t="n">
        <v>0.008541999999999999</v>
      </c>
      <c r="AO62" s="198" t="n">
        <v>0.011979</v>
      </c>
      <c r="AP62" s="198" t="n">
        <v>0.001668</v>
      </c>
      <c r="AQ62" s="198" t="n">
        <v>0.001598</v>
      </c>
      <c r="AR62" s="198" t="n">
        <v>0.001251</v>
      </c>
      <c r="AS62" s="198" t="n">
        <v>0.000208</v>
      </c>
      <c r="AT62" s="182" t="n"/>
      <c r="AU62" s="176" t="n"/>
      <c r="AV62" s="176" t="n"/>
      <c r="AW62" s="176" t="n"/>
      <c r="AX62" s="176" t="n"/>
      <c r="AY62" s="176" t="n"/>
      <c r="AZ62" s="176" t="n"/>
      <c r="BA62" s="176" t="n"/>
      <c r="BB62" s="176" t="n"/>
      <c r="BC62" s="176" t="n"/>
      <c r="BD62" s="176" t="n"/>
      <c r="BE62" s="176" t="n"/>
      <c r="BF62" s="176" t="n"/>
      <c r="BG62" s="176" t="n"/>
      <c r="BH62" s="176" t="n"/>
      <c r="BI62" s="176" t="n"/>
      <c r="BJ62" s="176" t="n"/>
      <c r="BK62" s="176" t="n"/>
      <c r="BL62" s="176" t="n"/>
      <c r="BM62" s="176" t="n"/>
      <c r="BN62" s="176" t="n"/>
      <c r="BO62" s="176" t="n"/>
      <c r="BP62" s="176" t="n"/>
      <c r="BQ62" s="176" t="n"/>
      <c r="BR62" s="176" t="n"/>
    </row>
    <row r="63" ht="15" customHeight="1" s="392">
      <c r="A63" s="176" t="n"/>
      <c r="B63" s="180" t="n"/>
      <c r="C63" s="189" t="inlineStr">
        <is>
          <t>Diluted EPS</t>
        </is>
      </c>
      <c r="D63" s="185" t="n"/>
      <c r="E63" s="185" t="n"/>
      <c r="F63" s="185" t="n"/>
      <c r="G63" s="185" t="n"/>
      <c r="H63" s="185" t="n"/>
      <c r="I63" s="185" t="n"/>
      <c r="J63" s="185" t="n"/>
      <c r="K63" s="185" t="n"/>
      <c r="L63" s="185" t="n"/>
      <c r="M63" s="185" t="n"/>
      <c r="N63" s="185" t="n"/>
      <c r="O63" s="185" t="n"/>
      <c r="P63" s="185" t="n"/>
      <c r="Q63" s="185" t="n"/>
      <c r="R63" s="185" t="n"/>
      <c r="S63" s="185" t="n"/>
      <c r="T63" s="185" t="n"/>
      <c r="U63" s="185" t="n"/>
      <c r="V63" s="185" t="n"/>
      <c r="W63" s="185" t="n"/>
      <c r="X63" s="185" t="n"/>
      <c r="Y63" s="185" t="n"/>
      <c r="Z63" s="185" t="n"/>
      <c r="AA63" s="185" t="n"/>
      <c r="AB63" s="185" t="n"/>
      <c r="AC63" s="185" t="n"/>
      <c r="AD63" s="185" t="n"/>
      <c r="AE63" s="185" t="n"/>
      <c r="AF63" s="185" t="n"/>
      <c r="AG63" s="185" t="n"/>
      <c r="AH63" s="185" t="n"/>
      <c r="AI63" s="185" t="n"/>
      <c r="AJ63" s="185" t="n"/>
      <c r="AK63" s="185" t="n"/>
      <c r="AL63" s="185" t="n"/>
      <c r="AM63" s="185" t="n"/>
      <c r="AN63" s="185" t="n"/>
      <c r="AO63" s="185" t="n"/>
      <c r="AP63" s="185" t="n"/>
      <c r="AQ63" s="185" t="n"/>
      <c r="AR63" s="185" t="n"/>
      <c r="AS63" s="185" t="n"/>
      <c r="AT63" s="182" t="n"/>
      <c r="AU63" s="176" t="n"/>
      <c r="AV63" s="176" t="n"/>
      <c r="AW63" s="176" t="n"/>
      <c r="AX63" s="176" t="n"/>
      <c r="AY63" s="176" t="n"/>
      <c r="AZ63" s="176" t="n"/>
      <c r="BA63" s="176" t="n"/>
      <c r="BB63" s="176" t="n"/>
      <c r="BC63" s="176" t="n"/>
      <c r="BD63" s="176" t="n"/>
      <c r="BE63" s="176" t="n"/>
      <c r="BF63" s="176" t="n"/>
      <c r="BG63" s="176" t="n"/>
      <c r="BH63" s="176" t="n"/>
      <c r="BI63" s="176" t="n"/>
      <c r="BJ63" s="176" t="n"/>
      <c r="BK63" s="176" t="n"/>
      <c r="BL63" s="176" t="n"/>
      <c r="BM63" s="176" t="n"/>
      <c r="BN63" s="176" t="n"/>
      <c r="BO63" s="176" t="n"/>
      <c r="BP63" s="176" t="n"/>
      <c r="BQ63" s="176" t="n"/>
      <c r="BR63" s="176" t="n"/>
    </row>
    <row r="64" ht="15" customHeight="1" s="392">
      <c r="A64" s="176" t="n"/>
      <c r="B64" s="180" t="n"/>
      <c r="C64" s="183" t="inlineStr">
        <is>
          <t xml:space="preserve">    Diluted EPS from Continuing Operations</t>
        </is>
      </c>
      <c r="D64" s="191">
        <f>IF(COUNT(M64:AS64)&gt;0,MEDIAN(M64:AS64),"")</f>
        <v/>
      </c>
      <c r="E64" s="191">
        <f>IF(COUNT(M64:AS64)&gt;0,AVERAGE(M64:AS64),"")</f>
        <v/>
      </c>
      <c r="F64" s="191">
        <f>IF(COUNT(M64:AS64)&gt;0,MIN(M64:AS64),"")</f>
        <v/>
      </c>
      <c r="G64" s="191">
        <f>IF(COUNT(M64:AS64)&gt;0,MAX(M64:AS64),"")</f>
        <v/>
      </c>
      <c r="H64" s="191">
        <f>IF(COUNT(M64:AS64)&gt;0,QUARTILE(M64:AS64,1),"")</f>
        <v/>
      </c>
      <c r="I64" s="191">
        <f>IF(COUNT(M64:AS64)&gt;0,QUARTILE(M64:AS64,3),"")</f>
        <v/>
      </c>
      <c r="J64" s="191">
        <f>IF(COUNT(M64:AS64)&gt;1,STDEV(M64:AS64),"")</f>
        <v/>
      </c>
      <c r="K64" s="191">
        <f>IF(COUNT(M64:AS64)&gt;1,STDEV(M64:AS64)/AVERAGE(M64:AS64),"")</f>
        <v/>
      </c>
      <c r="M64" s="197" t="n">
        <v>1.55</v>
      </c>
      <c r="N64" s="197" t="n">
        <v>1.59</v>
      </c>
      <c r="O64" s="197" t="n">
        <v>1.4</v>
      </c>
      <c r="P64" s="197" t="n">
        <v>1.28</v>
      </c>
      <c r="Q64" s="197" t="n">
        <v>1.13</v>
      </c>
      <c r="R64" s="197" t="n">
        <v>0.97</v>
      </c>
      <c r="S64" s="197" t="n">
        <v>0.7325</v>
      </c>
      <c r="T64" s="197" t="n">
        <v>0.615</v>
      </c>
      <c r="U64" s="197" t="n">
        <v>0.4325</v>
      </c>
      <c r="V64" s="197" t="n">
        <v>0.415</v>
      </c>
      <c r="W64" s="197" t="n">
        <v>0.2775</v>
      </c>
      <c r="X64" s="197" t="n">
        <v>0.21</v>
      </c>
      <c r="Y64" s="197" t="n">
        <v>0.17</v>
      </c>
      <c r="Z64" s="197" t="n">
        <v>0.17375</v>
      </c>
      <c r="AA64" s="197" t="n">
        <v>0.17375</v>
      </c>
      <c r="AB64" s="197" t="n">
        <v>0.135</v>
      </c>
      <c r="AC64" s="197" t="n">
        <v>0.11125</v>
      </c>
      <c r="AD64" s="197" t="n">
        <v>0.1025</v>
      </c>
      <c r="AE64" s="197" t="n">
        <v>0.109375</v>
      </c>
      <c r="AF64" s="197" t="n">
        <v>0.09125</v>
      </c>
      <c r="AG64" s="197" t="n">
        <v>0.075625</v>
      </c>
      <c r="AH64" s="197" t="n">
        <v>0.06875000000000001</v>
      </c>
      <c r="AI64" s="197" t="n">
        <v>0.054375</v>
      </c>
      <c r="AJ64" s="197" t="n">
        <v>0.03875</v>
      </c>
      <c r="AK64" s="197" t="n">
        <v>0.039375</v>
      </c>
      <c r="AL64" s="197" t="n">
        <v>0.020833</v>
      </c>
      <c r="AM64" s="197" t="n">
        <v>0.022083</v>
      </c>
      <c r="AN64" s="197" t="n">
        <v>0.008333</v>
      </c>
      <c r="AO64" s="197" t="n">
        <v>0.011771</v>
      </c>
      <c r="AP64" s="197" t="n">
        <v>0.001598</v>
      </c>
      <c r="AQ64" s="197" t="n">
        <v>0.001529</v>
      </c>
      <c r="AR64" s="197" t="n">
        <v>0.001181</v>
      </c>
      <c r="AS64" s="197" t="n">
        <v>0.000556</v>
      </c>
      <c r="AT64" s="182" t="n"/>
      <c r="AU64" s="176" t="n"/>
      <c r="AV64" s="176" t="n"/>
      <c r="AW64" s="176" t="n"/>
      <c r="AX64" s="176" t="n"/>
      <c r="AY64" s="176" t="n"/>
      <c r="AZ64" s="176" t="n"/>
      <c r="BA64" s="176" t="n"/>
      <c r="BB64" s="176" t="n"/>
      <c r="BC64" s="176" t="n"/>
      <c r="BD64" s="176" t="n"/>
      <c r="BE64" s="176" t="n"/>
      <c r="BF64" s="176" t="n"/>
      <c r="BG64" s="176" t="n"/>
      <c r="BH64" s="176" t="n"/>
      <c r="BI64" s="176" t="n"/>
      <c r="BJ64" s="176" t="n"/>
      <c r="BK64" s="176" t="n"/>
      <c r="BL64" s="176" t="n"/>
      <c r="BM64" s="176" t="n"/>
      <c r="BN64" s="176" t="n"/>
      <c r="BO64" s="176" t="n"/>
      <c r="BP64" s="176" t="n"/>
      <c r="BQ64" s="176" t="n"/>
      <c r="BR64" s="176" t="n"/>
    </row>
    <row r="65" ht="15" customHeight="1" s="392">
      <c r="A65" s="176" t="n"/>
      <c r="B65" s="180" t="n"/>
      <c r="C65" s="183" t="inlineStr">
        <is>
          <t xml:space="preserve">    Diluted EPS from Discontinued Operations</t>
        </is>
      </c>
      <c r="D65" s="191">
        <f>IF(COUNT(M65:AS65)&gt;0,MEDIAN(M65:AS65),"")</f>
        <v/>
      </c>
      <c r="E65" s="191">
        <f>IF(COUNT(M65:AS65)&gt;0,AVERAGE(M65:AS65),"")</f>
        <v/>
      </c>
      <c r="F65" s="191">
        <f>IF(COUNT(M65:AS65)&gt;0,MIN(M65:AS65),"")</f>
        <v/>
      </c>
      <c r="G65" s="191">
        <f>IF(COUNT(M65:AS65)&gt;0,MAX(M65:AS65),"")</f>
        <v/>
      </c>
      <c r="H65" s="191">
        <f>IF(COUNT(M65:AS65)&gt;0,QUARTILE(M65:AS65,1),"")</f>
        <v/>
      </c>
      <c r="I65" s="191">
        <f>IF(COUNT(M65:AS65)&gt;0,QUARTILE(M65:AS65,3),"")</f>
        <v/>
      </c>
      <c r="J65" s="191">
        <f>IF(COUNT(M65:AS65)&gt;1,STDEV(M65:AS65),"")</f>
        <v/>
      </c>
      <c r="K65" s="191">
        <f>IF(COUNT(M65:AS65)&gt;1,STDEV(M65:AS65)/AVERAGE(M65:AS65),"")</f>
        <v/>
      </c>
      <c r="M65" s="197" t="n"/>
      <c r="N65" s="197" t="n"/>
      <c r="O65" s="197" t="n"/>
      <c r="P65" s="197" t="n"/>
      <c r="Q65" s="197" t="n"/>
      <c r="R65" s="197" t="n"/>
      <c r="S65" s="197" t="n"/>
      <c r="T65" s="197" t="n"/>
      <c r="U65" s="197" t="n"/>
      <c r="V65" s="197" t="n"/>
      <c r="W65" s="197" t="n"/>
      <c r="X65" s="197" t="n"/>
      <c r="Y65" s="197" t="n"/>
      <c r="Z65" s="197" t="n"/>
      <c r="AA65" s="197" t="n"/>
      <c r="AB65" s="197" t="n"/>
      <c r="AC65" s="197" t="n">
        <v>0</v>
      </c>
      <c r="AD65" s="197" t="n">
        <v>0.00125</v>
      </c>
      <c r="AE65" s="197" t="n">
        <v>0</v>
      </c>
      <c r="AF65" s="197" t="n">
        <v>0</v>
      </c>
      <c r="AG65" s="197" t="n">
        <v>-0.010625</v>
      </c>
      <c r="AH65" s="197" t="n">
        <v>0</v>
      </c>
      <c r="AI65" s="197" t="n">
        <v>0</v>
      </c>
      <c r="AJ65" s="197" t="n">
        <v>0</v>
      </c>
      <c r="AK65" s="197" t="n"/>
      <c r="AL65" s="197" t="n"/>
      <c r="AM65" s="197" t="n"/>
      <c r="AN65" s="197" t="n"/>
      <c r="AO65" s="197" t="n"/>
      <c r="AP65" s="197" t="n"/>
      <c r="AQ65" s="197" t="n"/>
      <c r="AR65" s="197" t="n"/>
      <c r="AS65" s="197" t="n"/>
      <c r="AT65" s="182" t="n"/>
      <c r="AU65" s="176" t="n"/>
      <c r="AV65" s="176" t="n"/>
      <c r="AW65" s="176" t="n"/>
      <c r="AX65" s="176" t="n"/>
      <c r="AY65" s="176" t="n"/>
      <c r="AZ65" s="176" t="n"/>
      <c r="BA65" s="176" t="n"/>
      <c r="BB65" s="176" t="n"/>
      <c r="BC65" s="176" t="n"/>
      <c r="BD65" s="176" t="n"/>
      <c r="BE65" s="176" t="n"/>
      <c r="BF65" s="176" t="n"/>
      <c r="BG65" s="176" t="n"/>
      <c r="BH65" s="176" t="n"/>
      <c r="BI65" s="176" t="n"/>
      <c r="BJ65" s="176" t="n"/>
      <c r="BK65" s="176" t="n"/>
      <c r="BL65" s="176" t="n"/>
      <c r="BM65" s="176" t="n"/>
      <c r="BN65" s="176" t="n"/>
      <c r="BO65" s="176" t="n"/>
      <c r="BP65" s="176" t="n"/>
      <c r="BQ65" s="176" t="n"/>
      <c r="BR65" s="176" t="n"/>
    </row>
    <row r="66" ht="15" customHeight="1" s="392">
      <c r="A66" s="176" t="n"/>
      <c r="B66" s="180" t="n"/>
      <c r="C66" s="187" t="inlineStr">
        <is>
          <t>Total Diluted EPS</t>
        </is>
      </c>
      <c r="D66" s="194">
        <f>IF(COUNT(M66:AS66)&gt;0,MEDIAN(M66:AS66),"")</f>
        <v/>
      </c>
      <c r="E66" s="194">
        <f>IF(COUNT(M66:AS66)&gt;0,AVERAGE(M66:AS66),"")</f>
        <v/>
      </c>
      <c r="F66" s="194">
        <f>IF(COUNT(M66:AS66)&gt;0,MIN(M66:AS66),"")</f>
        <v/>
      </c>
      <c r="G66" s="194">
        <f>IF(COUNT(M66:AS66)&gt;0,MAX(M66:AS66),"")</f>
        <v/>
      </c>
      <c r="H66" s="194">
        <f>IF(COUNT(M66:AS66)&gt;0,QUARTILE(M66:AS66,1),"")</f>
        <v/>
      </c>
      <c r="I66" s="194">
        <f>IF(COUNT(M66:AS66)&gt;0,QUARTILE(M66:AS66,3),"")</f>
        <v/>
      </c>
      <c r="J66" s="194">
        <f>IF(COUNT(M66:AS66)&gt;1,STDEV(M66:AS66),"")</f>
        <v/>
      </c>
      <c r="K66" s="194">
        <f>IF(COUNT(M66:AS66)&gt;1,STDEV(M66:AS66)/AVERAGE(M66:AS66),"")</f>
        <v/>
      </c>
      <c r="L66" s="195" t="n"/>
      <c r="M66" s="198" t="n">
        <v>1.55</v>
      </c>
      <c r="N66" s="198" t="n">
        <v>1.59</v>
      </c>
      <c r="O66" s="198" t="n">
        <v>1.4</v>
      </c>
      <c r="P66" s="198" t="n">
        <v>1.28</v>
      </c>
      <c r="Q66" s="198" t="n">
        <v>1.13</v>
      </c>
      <c r="R66" s="198" t="n">
        <v>0.97</v>
      </c>
      <c r="S66" s="198" t="n">
        <v>0.7325</v>
      </c>
      <c r="T66" s="198" t="n">
        <v>0.615</v>
      </c>
      <c r="U66" s="198" t="n">
        <v>0.4325</v>
      </c>
      <c r="V66" s="198" t="n">
        <v>0.415</v>
      </c>
      <c r="W66" s="198" t="n">
        <v>0.2775</v>
      </c>
      <c r="X66" s="198" t="n">
        <v>0.21</v>
      </c>
      <c r="Y66" s="198" t="n">
        <v>0.17</v>
      </c>
      <c r="Z66" s="198" t="n">
        <v>0.17375</v>
      </c>
      <c r="AA66" s="198" t="n">
        <v>0.17375</v>
      </c>
      <c r="AB66" s="198" t="n">
        <v>0.135</v>
      </c>
      <c r="AC66" s="198" t="n">
        <v>0.11125</v>
      </c>
      <c r="AD66" s="198" t="n">
        <v>0.10375</v>
      </c>
      <c r="AE66" s="198" t="n">
        <v>0.109375</v>
      </c>
      <c r="AF66" s="198" t="n">
        <v>0.09125</v>
      </c>
      <c r="AG66" s="198" t="n">
        <v>0.065</v>
      </c>
      <c r="AH66" s="198" t="n">
        <v>0.06875000000000001</v>
      </c>
      <c r="AI66" s="198" t="n">
        <v>0.054375</v>
      </c>
      <c r="AJ66" s="198" t="n">
        <v>0.03875</v>
      </c>
      <c r="AK66" s="198" t="n">
        <v>0.039375</v>
      </c>
      <c r="AL66" s="198" t="n">
        <v>0.020833</v>
      </c>
      <c r="AM66" s="198" t="n">
        <v>0.022083</v>
      </c>
      <c r="AN66" s="198" t="n">
        <v>0.008333</v>
      </c>
      <c r="AO66" s="198" t="n">
        <v>0.011771</v>
      </c>
      <c r="AP66" s="198" t="n">
        <v>0.001598</v>
      </c>
      <c r="AQ66" s="198" t="n">
        <v>0.001529</v>
      </c>
      <c r="AR66" s="198" t="n">
        <v>0.001181</v>
      </c>
      <c r="AS66" s="198" t="n">
        <v>0.000139</v>
      </c>
      <c r="AT66" s="182" t="n"/>
      <c r="AU66" s="176" t="n"/>
      <c r="AV66" s="176" t="n"/>
      <c r="AW66" s="176" t="n"/>
      <c r="AX66" s="176" t="n"/>
      <c r="AY66" s="176" t="n"/>
      <c r="AZ66" s="176" t="n"/>
      <c r="BA66" s="176" t="n"/>
      <c r="BB66" s="176" t="n"/>
      <c r="BC66" s="176" t="n"/>
      <c r="BD66" s="176" t="n"/>
      <c r="BE66" s="176" t="n"/>
      <c r="BF66" s="176" t="n"/>
      <c r="BG66" s="176" t="n"/>
      <c r="BH66" s="176" t="n"/>
      <c r="BI66" s="176" t="n"/>
      <c r="BJ66" s="176" t="n"/>
      <c r="BK66" s="176" t="n"/>
      <c r="BL66" s="176" t="n"/>
      <c r="BM66" s="176" t="n"/>
      <c r="BN66" s="176" t="n"/>
      <c r="BO66" s="176" t="n"/>
      <c r="BP66" s="176" t="n"/>
      <c r="BQ66" s="176" t="n"/>
      <c r="BR66" s="176" t="n"/>
    </row>
    <row r="67" ht="15" customHeight="1" s="392">
      <c r="A67" s="176" t="n"/>
      <c r="B67" s="180" t="n"/>
      <c r="C67" s="187" t="inlineStr">
        <is>
          <t>Basic Weighted Average Shares Outstanding</t>
        </is>
      </c>
      <c r="D67" s="190">
        <f>IF(COUNT(M67:AS67)&gt;0,MEDIAN(M67:AS67),"")</f>
        <v/>
      </c>
      <c r="E67" s="190">
        <f>IF(COUNT(M67:AS67)&gt;0,AVERAGE(M67:AS67),"")</f>
        <v/>
      </c>
      <c r="F67" s="190">
        <f>IF(COUNT(M67:AS67)&gt;0,MIN(M67:AS67),"")</f>
        <v/>
      </c>
      <c r="G67" s="190">
        <f>IF(COUNT(M67:AS67)&gt;0,MAX(M67:AS67),"")</f>
        <v/>
      </c>
      <c r="H67" s="190">
        <f>IF(COUNT(M67:AS67)&gt;0,QUARTILE(M67:AS67,1),"")</f>
        <v/>
      </c>
      <c r="I67" s="190">
        <f>IF(COUNT(M67:AS67)&gt;0,QUARTILE(M67:AS67,3),"")</f>
        <v/>
      </c>
      <c r="J67" s="190">
        <f>IF(COUNT(M67:AS67)&gt;1,STDEV(M67:AS67),"")</f>
        <v/>
      </c>
      <c r="K67" s="191">
        <f>IF(COUNT(M67:AS67)&gt;1,STDEV(M67:AS67)/AVERAGE(M67:AS67),"")</f>
        <v/>
      </c>
      <c r="M67" s="192" t="n">
        <v>949640000</v>
      </c>
      <c r="N67" s="192" t="n">
        <v>965306000</v>
      </c>
      <c r="O67" s="192" t="n">
        <v>960739000</v>
      </c>
      <c r="P67" s="192" t="n">
        <v>953574000</v>
      </c>
      <c r="Q67" s="192" t="n">
        <v>949676000</v>
      </c>
      <c r="R67" s="192" t="n">
        <v>945008000</v>
      </c>
      <c r="S67" s="192" t="n">
        <v>932808000</v>
      </c>
      <c r="T67" s="192" t="n">
        <v>921956000</v>
      </c>
      <c r="U67" s="192" t="n">
        <v>927172000</v>
      </c>
      <c r="V67" s="192" t="n">
        <v>914744000</v>
      </c>
      <c r="W67" s="192" t="n">
        <v>915384000</v>
      </c>
      <c r="X67" s="192" t="n">
        <v>1007316000</v>
      </c>
      <c r="Y67" s="192" t="n">
        <v>1005544000</v>
      </c>
      <c r="Z67" s="192" t="n">
        <v>999296000</v>
      </c>
      <c r="AA67" s="192" t="n">
        <v>1024960000</v>
      </c>
      <c r="AB67" s="192" t="n">
        <v>1210384000</v>
      </c>
      <c r="AC67" s="192" t="n">
        <v>1346640000</v>
      </c>
      <c r="AD67" s="192" t="n">
        <v>1336592000</v>
      </c>
      <c r="AE67" s="192" t="n">
        <v>1398592000</v>
      </c>
      <c r="AF67" s="192" t="n">
        <v>1450416000</v>
      </c>
      <c r="AG67" s="192" t="n">
        <v>1445952000</v>
      </c>
      <c r="AH67" s="192" t="n">
        <v>1442592000</v>
      </c>
      <c r="AI67" s="192" t="n">
        <v>1431312000</v>
      </c>
      <c r="AJ67" s="192" t="n">
        <v>1462528000</v>
      </c>
      <c r="AK67" s="192" t="n">
        <v>1419481600</v>
      </c>
      <c r="AL67" s="192" t="n">
        <v>1976148000</v>
      </c>
      <c r="AM67" s="192" t="n">
        <v>1293619200</v>
      </c>
      <c r="AN67" s="192" t="n">
        <v>2562009600</v>
      </c>
      <c r="AO67" s="192" t="n">
        <v>1265404800</v>
      </c>
      <c r="AP67" s="192" t="n">
        <v>1214976000</v>
      </c>
      <c r="AQ67" s="192" t="n">
        <v>1188845584</v>
      </c>
      <c r="AR67" s="192" t="n">
        <v>859730128</v>
      </c>
      <c r="AS67" s="192" t="n">
        <v>835838080</v>
      </c>
      <c r="AT67" s="182" t="n"/>
      <c r="AU67" s="176" t="n"/>
      <c r="AV67" s="176" t="n"/>
      <c r="AW67" s="176" t="n"/>
      <c r="AX67" s="176" t="n"/>
      <c r="AY67" s="176" t="n"/>
      <c r="AZ67" s="176" t="n"/>
      <c r="BA67" s="176" t="n"/>
      <c r="BB67" s="176" t="n"/>
      <c r="BC67" s="176" t="n"/>
      <c r="BD67" s="176" t="n"/>
      <c r="BE67" s="176" t="n"/>
      <c r="BF67" s="176" t="n"/>
      <c r="BG67" s="176" t="n"/>
      <c r="BH67" s="176" t="n"/>
      <c r="BI67" s="176" t="n"/>
      <c r="BJ67" s="176" t="n"/>
      <c r="BK67" s="176" t="n"/>
      <c r="BL67" s="176" t="n"/>
      <c r="BM67" s="176" t="n"/>
      <c r="BN67" s="176" t="n"/>
      <c r="BO67" s="176" t="n"/>
      <c r="BP67" s="176" t="n"/>
      <c r="BQ67" s="176" t="n"/>
      <c r="BR67" s="176" t="n"/>
    </row>
    <row r="68" ht="15" customHeight="1" s="392">
      <c r="A68" s="176" t="n"/>
      <c r="B68" s="180" t="n"/>
      <c r="C68" s="187" t="inlineStr">
        <is>
          <t>Diluted Weighted Average Shares Outstanding</t>
        </is>
      </c>
      <c r="D68" s="190">
        <f>IF(COUNT(M68:AS68)&gt;0,MEDIAN(M68:AS68),"")</f>
        <v/>
      </c>
      <c r="E68" s="190">
        <f>IF(COUNT(M68:AS68)&gt;0,AVERAGE(M68:AS68),"")</f>
        <v/>
      </c>
      <c r="F68" s="190">
        <f>IF(COUNT(M68:AS68)&gt;0,MIN(M68:AS68),"")</f>
        <v/>
      </c>
      <c r="G68" s="190">
        <f>IF(COUNT(M68:AS68)&gt;0,MAX(M68:AS68),"")</f>
        <v/>
      </c>
      <c r="H68" s="190">
        <f>IF(COUNT(M68:AS68)&gt;0,QUARTILE(M68:AS68,1),"")</f>
        <v/>
      </c>
      <c r="I68" s="190">
        <f>IF(COUNT(M68:AS68)&gt;0,QUARTILE(M68:AS68,3),"")</f>
        <v/>
      </c>
      <c r="J68" s="190">
        <f>IF(COUNT(M68:AS68)&gt;1,STDEV(M68:AS68),"")</f>
        <v/>
      </c>
      <c r="K68" s="191">
        <f>IF(COUNT(M68:AS68)&gt;1,STDEV(M68:AS68)/AVERAGE(M68:AS68),"")</f>
        <v/>
      </c>
      <c r="M68" s="192" t="n">
        <v>956860000</v>
      </c>
      <c r="N68" s="192" t="n">
        <v>977563000</v>
      </c>
      <c r="O68" s="192" t="n">
        <v>974798000</v>
      </c>
      <c r="P68" s="192" t="n">
        <v>966647000</v>
      </c>
      <c r="Q68" s="192" t="n">
        <v>964604000</v>
      </c>
      <c r="R68" s="192" t="n">
        <v>961160000</v>
      </c>
      <c r="S68" s="192" t="n">
        <v>954624000</v>
      </c>
      <c r="T68" s="192" t="n">
        <v>961812000</v>
      </c>
      <c r="U68" s="192" t="n">
        <v>967508000</v>
      </c>
      <c r="V68" s="192" t="n">
        <v>948076000</v>
      </c>
      <c r="W68" s="192" t="n">
        <v>977180000</v>
      </c>
      <c r="X68" s="192" t="n">
        <v>1051404000</v>
      </c>
      <c r="Y68" s="192" t="n">
        <v>1049840000</v>
      </c>
      <c r="Z68" s="192" t="n">
        <v>1038248000</v>
      </c>
      <c r="AA68" s="192" t="n">
        <v>1051424000</v>
      </c>
      <c r="AB68" s="192" t="n">
        <v>1226816000</v>
      </c>
      <c r="AC68" s="192" t="n">
        <v>1360432000</v>
      </c>
      <c r="AD68" s="192" t="n">
        <v>1358880000</v>
      </c>
      <c r="AE68" s="192" t="n">
        <v>1437728000</v>
      </c>
      <c r="AF68" s="192" t="n">
        <v>1495280000</v>
      </c>
      <c r="AG68" s="192" t="n">
        <v>1486800000</v>
      </c>
      <c r="AH68" s="192" t="n">
        <v>1487744000</v>
      </c>
      <c r="AI68" s="192" t="n">
        <v>1464592000</v>
      </c>
      <c r="AJ68" s="192" t="n">
        <v>1488288000</v>
      </c>
      <c r="AK68" s="192" t="n">
        <v>1460016000</v>
      </c>
      <c r="AL68" s="192" t="n">
        <v>2030745600</v>
      </c>
      <c r="AM68" s="192" t="n">
        <v>1332658606</v>
      </c>
      <c r="AN68" s="192" t="n">
        <v>2562009600</v>
      </c>
      <c r="AO68" s="192" t="n">
        <v>1291171200</v>
      </c>
      <c r="AP68" s="192" t="n">
        <v>1214976000</v>
      </c>
      <c r="AQ68" s="192" t="n">
        <v>1188845584</v>
      </c>
      <c r="AR68" s="192" t="n">
        <v>859730128</v>
      </c>
      <c r="AS68" s="192" t="n">
        <v>835838080</v>
      </c>
      <c r="AT68" s="182" t="n"/>
      <c r="AU68" s="176" t="n"/>
      <c r="AV68" s="176" t="n"/>
      <c r="AW68" s="176" t="n"/>
      <c r="AX68" s="176" t="n"/>
      <c r="AY68" s="176" t="n"/>
      <c r="AZ68" s="176" t="n"/>
      <c r="BA68" s="176" t="n"/>
      <c r="BB68" s="176" t="n"/>
      <c r="BC68" s="176" t="n"/>
      <c r="BD68" s="176" t="n"/>
      <c r="BE68" s="176" t="n"/>
      <c r="BF68" s="176" t="n"/>
      <c r="BG68" s="176" t="n"/>
      <c r="BH68" s="176" t="n"/>
      <c r="BI68" s="176" t="n"/>
      <c r="BJ68" s="176" t="n"/>
      <c r="BK68" s="176" t="n"/>
      <c r="BL68" s="176" t="n"/>
      <c r="BM68" s="176" t="n"/>
      <c r="BN68" s="176" t="n"/>
      <c r="BO68" s="176" t="n"/>
      <c r="BP68" s="176" t="n"/>
      <c r="BQ68" s="176" t="n"/>
      <c r="BR68" s="176" t="n"/>
    </row>
    <row r="69" ht="15" customHeight="1" s="392">
      <c r="A69" s="176" t="n"/>
      <c r="B69" s="180" t="n"/>
      <c r="C69" s="189" t="inlineStr">
        <is>
          <t>Income Statement Supplemental Section</t>
        </is>
      </c>
      <c r="D69" s="185" t="n"/>
      <c r="E69" s="185" t="n"/>
      <c r="F69" s="185" t="n"/>
      <c r="G69" s="185" t="n"/>
      <c r="H69" s="185" t="n"/>
      <c r="I69" s="185" t="n"/>
      <c r="J69" s="185" t="n"/>
      <c r="K69" s="185" t="n"/>
      <c r="L69" s="185" t="n"/>
      <c r="M69" s="185" t="n"/>
      <c r="N69" s="185" t="n"/>
      <c r="O69" s="185" t="n"/>
      <c r="P69" s="185" t="n"/>
      <c r="Q69" s="185" t="n"/>
      <c r="R69" s="185" t="n"/>
      <c r="S69" s="185" t="n"/>
      <c r="T69" s="185" t="n"/>
      <c r="U69" s="185" t="n"/>
      <c r="V69" s="185" t="n"/>
      <c r="W69" s="185" t="n"/>
      <c r="X69" s="185" t="n"/>
      <c r="Y69" s="185" t="n"/>
      <c r="Z69" s="185" t="n"/>
      <c r="AA69" s="185" t="n"/>
      <c r="AB69" s="185" t="n"/>
      <c r="AC69" s="185" t="n"/>
      <c r="AD69" s="185" t="n"/>
      <c r="AE69" s="185" t="n"/>
      <c r="AF69" s="185" t="n"/>
      <c r="AG69" s="185" t="n"/>
      <c r="AH69" s="185" t="n"/>
      <c r="AI69" s="185" t="n"/>
      <c r="AJ69" s="185" t="n"/>
      <c r="AK69" s="185" t="n"/>
      <c r="AL69" s="185" t="n"/>
      <c r="AM69" s="185" t="n"/>
      <c r="AN69" s="185" t="n"/>
      <c r="AO69" s="185" t="n"/>
      <c r="AP69" s="185" t="n"/>
      <c r="AQ69" s="185" t="n"/>
      <c r="AR69" s="185" t="n"/>
      <c r="AS69" s="185" t="n"/>
      <c r="AT69" s="182" t="n"/>
      <c r="AU69" s="176" t="n"/>
      <c r="AV69" s="176" t="n"/>
      <c r="AW69" s="176" t="n"/>
      <c r="AX69" s="176" t="n"/>
      <c r="AY69" s="176" t="n"/>
      <c r="AZ69" s="176" t="n"/>
      <c r="BA69" s="176" t="n"/>
      <c r="BB69" s="176" t="n"/>
      <c r="BC69" s="176" t="n"/>
      <c r="BD69" s="176" t="n"/>
      <c r="BE69" s="176" t="n"/>
      <c r="BF69" s="176" t="n"/>
      <c r="BG69" s="176" t="n"/>
      <c r="BH69" s="176" t="n"/>
      <c r="BI69" s="176" t="n"/>
      <c r="BJ69" s="176" t="n"/>
      <c r="BK69" s="176" t="n"/>
      <c r="BL69" s="176" t="n"/>
      <c r="BM69" s="176" t="n"/>
      <c r="BN69" s="176" t="n"/>
      <c r="BO69" s="176" t="n"/>
      <c r="BP69" s="176" t="n"/>
      <c r="BQ69" s="176" t="n"/>
      <c r="BR69" s="176" t="n"/>
    </row>
    <row r="70" ht="15" customHeight="1" s="392">
      <c r="A70" s="176" t="n"/>
      <c r="B70" s="180" t="n"/>
      <c r="C70" s="183" t="inlineStr">
        <is>
          <t xml:space="preserve">    Per Share Calculations</t>
        </is>
      </c>
      <c r="D70" s="185" t="n"/>
      <c r="E70" s="185" t="n"/>
      <c r="F70" s="185" t="n"/>
      <c r="G70" s="185" t="n"/>
      <c r="H70" s="185" t="n"/>
      <c r="I70" s="185" t="n"/>
      <c r="J70" s="185" t="n"/>
      <c r="K70" s="185" t="n"/>
      <c r="AT70" s="182" t="n"/>
      <c r="AU70" s="176" t="n"/>
      <c r="AV70" s="176" t="n"/>
      <c r="AW70" s="176" t="n"/>
      <c r="AX70" s="176" t="n"/>
      <c r="AY70" s="176" t="n"/>
      <c r="AZ70" s="176" t="n"/>
      <c r="BA70" s="176" t="n"/>
      <c r="BB70" s="176" t="n"/>
      <c r="BC70" s="176" t="n"/>
      <c r="BD70" s="176" t="n"/>
      <c r="BE70" s="176" t="n"/>
      <c r="BF70" s="176" t="n"/>
      <c r="BG70" s="176" t="n"/>
      <c r="BH70" s="176" t="n"/>
      <c r="BI70" s="176" t="n"/>
      <c r="BJ70" s="176" t="n"/>
      <c r="BK70" s="176" t="n"/>
      <c r="BL70" s="176" t="n"/>
      <c r="BM70" s="176" t="n"/>
      <c r="BN70" s="176" t="n"/>
      <c r="BO70" s="176" t="n"/>
      <c r="BP70" s="176" t="n"/>
      <c r="BQ70" s="176" t="n"/>
      <c r="BR70" s="176" t="n"/>
    </row>
    <row r="71" ht="15" customHeight="1" s="392">
      <c r="A71" s="176" t="n"/>
      <c r="B71" s="180" t="n"/>
      <c r="C71" s="183" t="inlineStr">
        <is>
          <t xml:space="preserve">        EBITDA per Share</t>
        </is>
      </c>
      <c r="D71" s="191">
        <f>IF(COUNT(M71:AS71)&gt;0,MEDIAN(M71:AS71),"")</f>
        <v/>
      </c>
      <c r="E71" s="191">
        <f>IF(COUNT(M71:AS71)&gt;0,AVERAGE(M71:AS71),"")</f>
        <v/>
      </c>
      <c r="F71" s="191">
        <f>IF(COUNT(M71:AS71)&gt;0,MIN(M71:AS71),"")</f>
        <v/>
      </c>
      <c r="G71" s="191">
        <f>IF(COUNT(M71:AS71)&gt;0,MAX(M71:AS71),"")</f>
        <v/>
      </c>
      <c r="H71" s="191">
        <f>IF(COUNT(M71:AS71)&gt;0,QUARTILE(M71:AS71,1),"")</f>
        <v/>
      </c>
      <c r="I71" s="191">
        <f>IF(COUNT(M71:AS71)&gt;0,QUARTILE(M71:AS71,3),"")</f>
        <v/>
      </c>
      <c r="J71" s="191">
        <f>IF(COUNT(M71:AS71)&gt;1,STDEV(M71:AS71),"")</f>
        <v/>
      </c>
      <c r="K71" s="191">
        <f>IF(COUNT(M71:AS71)&gt;1,STDEV(M71:AS71)/AVERAGE(M71:AS71),"")</f>
        <v/>
      </c>
      <c r="M71" s="197" t="n">
        <v>1.9672961561775</v>
      </c>
      <c r="N71" s="197" t="n">
        <v>1.97682604599397</v>
      </c>
      <c r="O71" s="197" t="n">
        <v>1.80409479707591</v>
      </c>
      <c r="P71" s="197" t="n">
        <v>1.70475882095532</v>
      </c>
      <c r="Q71" s="197" t="n">
        <v>1.55052436025561</v>
      </c>
      <c r="R71" s="197" t="n">
        <v>1.31507033168255</v>
      </c>
      <c r="S71" s="197" t="n">
        <v>0.9648929840439801</v>
      </c>
      <c r="T71" s="197" t="n">
        <v>0.83949462057034</v>
      </c>
      <c r="U71" s="197" t="n">
        <v>0.682253790149539</v>
      </c>
      <c r="V71" s="197" t="n">
        <v>0.548388525814386</v>
      </c>
      <c r="W71" s="197" t="n">
        <v>0.478586340285311</v>
      </c>
      <c r="X71" s="197" t="n">
        <v>0.378794450087692</v>
      </c>
      <c r="Y71" s="197" t="n">
        <v>0.31627486093119</v>
      </c>
      <c r="Z71" s="197" t="n">
        <v>0.330584792843328</v>
      </c>
      <c r="AA71" s="197" t="n">
        <v>0.320714573759016</v>
      </c>
      <c r="AB71" s="197" t="n">
        <v>0.255259142365277</v>
      </c>
      <c r="AC71" s="197" t="n">
        <v>0.207836922389359</v>
      </c>
      <c r="AD71" s="197" t="n">
        <v>0.1969769221712</v>
      </c>
      <c r="AE71" s="197" t="n">
        <v>0.203413997640722</v>
      </c>
      <c r="AF71" s="197" t="n">
        <v>0.170208924081109</v>
      </c>
      <c r="AG71" s="197" t="n">
        <v>0.138537799300511</v>
      </c>
      <c r="AH71" s="197" t="n">
        <v>0.131111938613095</v>
      </c>
      <c r="AI71" s="197" t="n">
        <v>0.108951844609284</v>
      </c>
      <c r="AJ71" s="197" t="n">
        <v>0.080436044636522</v>
      </c>
      <c r="AK71" s="197" t="n">
        <v>0.075318215690787</v>
      </c>
      <c r="AL71" s="197" t="n">
        <v>0.0420504173442503</v>
      </c>
      <c r="AM71" s="197" t="n">
        <v>0.0446123258667494</v>
      </c>
      <c r="AN71" s="197" t="n">
        <v>0.0175643369954586</v>
      </c>
      <c r="AO71" s="197" t="n">
        <v>0.025325843699116</v>
      </c>
      <c r="AP71" s="197" t="n">
        <v>0.0222226611883692</v>
      </c>
      <c r="AQ71" s="197" t="n">
        <v>0.0203558816432463</v>
      </c>
      <c r="AR71" s="197" t="n">
        <v>0.0172147043798842</v>
      </c>
      <c r="AS71" s="197" t="n">
        <v>0.00646058145615955</v>
      </c>
      <c r="AT71" s="182" t="n"/>
      <c r="AU71" s="176" t="n"/>
      <c r="AV71" s="176" t="n"/>
      <c r="AW71" s="176" t="n"/>
      <c r="AX71" s="176" t="n"/>
      <c r="AY71" s="176" t="n"/>
      <c r="AZ71" s="176" t="n"/>
      <c r="BA71" s="176" t="n"/>
      <c r="BB71" s="176" t="n"/>
      <c r="BC71" s="176" t="n"/>
      <c r="BD71" s="176" t="n"/>
      <c r="BE71" s="176" t="n"/>
      <c r="BF71" s="176" t="n"/>
      <c r="BG71" s="176" t="n"/>
      <c r="BH71" s="176" t="n"/>
      <c r="BI71" s="176" t="n"/>
      <c r="BJ71" s="176" t="n"/>
      <c r="BK71" s="176" t="n"/>
      <c r="BL71" s="176" t="n"/>
      <c r="BM71" s="176" t="n"/>
      <c r="BN71" s="176" t="n"/>
      <c r="BO71" s="176" t="n"/>
      <c r="BP71" s="176" t="n"/>
      <c r="BQ71" s="176" t="n"/>
      <c r="BR71" s="176" t="n"/>
    </row>
    <row r="72" ht="15" customHeight="1" s="392">
      <c r="A72" s="176" t="n"/>
      <c r="B72" s="180" t="n"/>
      <c r="C72" s="183" t="inlineStr">
        <is>
          <t xml:space="preserve">        EBITDAR per Share</t>
        </is>
      </c>
      <c r="D72" s="191">
        <f>IF(COUNT(M72:AS72)&gt;0,MEDIAN(M72:AS72),"")</f>
        <v/>
      </c>
      <c r="E72" s="191">
        <f>IF(COUNT(M72:AS72)&gt;0,AVERAGE(M72:AS72),"")</f>
        <v/>
      </c>
      <c r="F72" s="191">
        <f>IF(COUNT(M72:AS72)&gt;0,MIN(M72:AS72),"")</f>
        <v/>
      </c>
      <c r="G72" s="191">
        <f>IF(COUNT(M72:AS72)&gt;0,MAX(M72:AS72),"")</f>
        <v/>
      </c>
      <c r="H72" s="191">
        <f>IF(COUNT(M72:AS72)&gt;0,QUARTILE(M72:AS72,1),"")</f>
        <v/>
      </c>
      <c r="I72" s="191">
        <f>IF(COUNT(M72:AS72)&gt;0,QUARTILE(M72:AS72,3),"")</f>
        <v/>
      </c>
      <c r="J72" s="191">
        <f>IF(COUNT(M72:AS72)&gt;1,STDEV(M72:AS72),"")</f>
        <v/>
      </c>
      <c r="K72" s="191">
        <f>IF(COUNT(M72:AS72)&gt;1,STDEV(M72:AS72)/AVERAGE(M72:AS72),"")</f>
        <v/>
      </c>
      <c r="M72" s="197" t="n">
        <v>1.9672961561775</v>
      </c>
      <c r="N72" s="197" t="n">
        <v>1.97682604599397</v>
      </c>
      <c r="O72" s="197" t="n">
        <v>1.80409479707591</v>
      </c>
      <c r="P72" s="197" t="n">
        <v>1.70475882095532</v>
      </c>
      <c r="Q72" s="197" t="n">
        <v>1.55052436025561</v>
      </c>
      <c r="R72" s="197" t="n">
        <v>1.31507033168255</v>
      </c>
      <c r="S72" s="197" t="n">
        <v>0.9648929840439801</v>
      </c>
      <c r="T72" s="197" t="n">
        <v>0.83949462057034</v>
      </c>
      <c r="U72" s="197" t="n">
        <v>0.682253790149539</v>
      </c>
      <c r="V72" s="197" t="n">
        <v>0.548388525814386</v>
      </c>
      <c r="W72" s="197" t="n">
        <v>0.478586340285311</v>
      </c>
      <c r="X72" s="197" t="n">
        <v>0.378794450087692</v>
      </c>
      <c r="Y72" s="197" t="n">
        <v>0.31627486093119</v>
      </c>
      <c r="Z72" s="197" t="n">
        <v>0.330584792843328</v>
      </c>
      <c r="AA72" s="197" t="n">
        <v>0.320714573759016</v>
      </c>
      <c r="AB72" s="197" t="n">
        <v>0.255259142365277</v>
      </c>
      <c r="AC72" s="197" t="n">
        <v>0.207836922389359</v>
      </c>
      <c r="AD72" s="197" t="n">
        <v>0.1969769221712</v>
      </c>
      <c r="AE72" s="197" t="n">
        <v>0.203413997640722</v>
      </c>
      <c r="AF72" s="197" t="n">
        <v>0.170208924081109</v>
      </c>
      <c r="AG72" s="197" t="n">
        <v>0.138537799300511</v>
      </c>
      <c r="AH72" s="197" t="n">
        <v>0.131111938613095</v>
      </c>
      <c r="AI72" s="197" t="n">
        <v>0.108951844609284</v>
      </c>
      <c r="AJ72" s="197" t="n">
        <v>0.080436044636522</v>
      </c>
      <c r="AK72" s="197" t="n">
        <v>0.075318215690787</v>
      </c>
      <c r="AL72" s="197" t="n">
        <v>0.0420504173442503</v>
      </c>
      <c r="AM72" s="197" t="n">
        <v>0.0446123258667494</v>
      </c>
      <c r="AN72" s="197" t="n">
        <v>0.0175643369954586</v>
      </c>
      <c r="AO72" s="197" t="n">
        <v>0.025325843699116</v>
      </c>
      <c r="AP72" s="197" t="n">
        <v>0.0222226611883692</v>
      </c>
      <c r="AQ72" s="197" t="n">
        <v>0.0203558816432463</v>
      </c>
      <c r="AR72" s="197" t="n">
        <v>0.0172147043798842</v>
      </c>
      <c r="AS72" s="197" t="n">
        <v>0.00646058145615955</v>
      </c>
      <c r="AT72" s="182" t="n"/>
      <c r="AU72" s="176" t="n"/>
      <c r="AV72" s="176" t="n"/>
      <c r="AW72" s="176" t="n"/>
      <c r="AX72" s="176" t="n"/>
      <c r="AY72" s="176" t="n"/>
      <c r="AZ72" s="176" t="n"/>
      <c r="BA72" s="176" t="n"/>
      <c r="BB72" s="176" t="n"/>
      <c r="BC72" s="176" t="n"/>
      <c r="BD72" s="176" t="n"/>
      <c r="BE72" s="176" t="n"/>
      <c r="BF72" s="176" t="n"/>
      <c r="BG72" s="176" t="n"/>
      <c r="BH72" s="176" t="n"/>
      <c r="BI72" s="176" t="n"/>
      <c r="BJ72" s="176" t="n"/>
      <c r="BK72" s="176" t="n"/>
      <c r="BL72" s="176" t="n"/>
      <c r="BM72" s="176" t="n"/>
      <c r="BN72" s="176" t="n"/>
      <c r="BO72" s="176" t="n"/>
      <c r="BP72" s="176" t="n"/>
      <c r="BQ72" s="176" t="n"/>
      <c r="BR72" s="176" t="n"/>
    </row>
    <row r="73" ht="15" customHeight="1" s="392">
      <c r="A73" s="176" t="n"/>
      <c r="B73" s="180" t="n"/>
      <c r="C73" s="183" t="inlineStr">
        <is>
          <t xml:space="preserve">        Basic EPS (Normalized)</t>
        </is>
      </c>
      <c r="D73" s="191">
        <f>IF(COUNT(M73:AS73)&gt;0,MEDIAN(M73:AS73),"")</f>
        <v/>
      </c>
      <c r="E73" s="191">
        <f>IF(COUNT(M73:AS73)&gt;0,AVERAGE(M73:AS73),"")</f>
        <v/>
      </c>
      <c r="F73" s="191">
        <f>IF(COUNT(M73:AS73)&gt;0,MIN(M73:AS73),"")</f>
        <v/>
      </c>
      <c r="G73" s="191">
        <f>IF(COUNT(M73:AS73)&gt;0,MAX(M73:AS73),"")</f>
        <v/>
      </c>
      <c r="H73" s="191">
        <f>IF(COUNT(M73:AS73)&gt;0,QUARTILE(M73:AS73,1),"")</f>
        <v/>
      </c>
      <c r="I73" s="191">
        <f>IF(COUNT(M73:AS73)&gt;0,QUARTILE(M73:AS73,3),"")</f>
        <v/>
      </c>
      <c r="J73" s="191">
        <f>IF(COUNT(M73:AS73)&gt;1,STDEV(M73:AS73),"")</f>
        <v/>
      </c>
      <c r="K73" s="191">
        <f>IF(COUNT(M73:AS73)&gt;1,STDEV(M73:AS73)/AVERAGE(M73:AS73),"")</f>
        <v/>
      </c>
      <c r="M73" s="197" t="n">
        <v>1.5939377943053</v>
      </c>
      <c r="N73" s="197" t="n">
        <v>1.63054801897015</v>
      </c>
      <c r="O73" s="197" t="n">
        <v>1.44382337971083</v>
      </c>
      <c r="P73" s="197" t="n">
        <v>1.27443911012674</v>
      </c>
      <c r="Q73" s="197" t="n">
        <v>1.13342550511964</v>
      </c>
      <c r="R73" s="197" t="n">
        <v>0.941401554272557</v>
      </c>
      <c r="S73" s="197" t="n">
        <v>0.654499103781271</v>
      </c>
      <c r="T73" s="197" t="n">
        <v>0.581198018126679</v>
      </c>
      <c r="U73" s="197" t="n">
        <v>0.448830421971328</v>
      </c>
      <c r="V73" s="197" t="n">
        <v>0.330788723402395</v>
      </c>
      <c r="W73" s="197" t="n">
        <v>0.276504723700655</v>
      </c>
      <c r="X73" s="197" t="n">
        <v>0.218716867398115</v>
      </c>
      <c r="Y73" s="197" t="n">
        <v>0.21024765102273</v>
      </c>
      <c r="Z73" s="197" t="n">
        <v>0.192095265066607</v>
      </c>
      <c r="AA73" s="197" t="n">
        <v>0.196939241531377</v>
      </c>
      <c r="AB73" s="197" t="n">
        <v>0.148389898577642</v>
      </c>
      <c r="AC73" s="197" t="n">
        <v>0.121251213727311</v>
      </c>
      <c r="AD73" s="197" t="n">
        <v>0.108987033522655</v>
      </c>
      <c r="AE73" s="197" t="n">
        <v>0.1125</v>
      </c>
      <c r="AF73" s="197" t="n">
        <v>0.09375</v>
      </c>
      <c r="AG73" s="197" t="n">
        <v>0.0775</v>
      </c>
      <c r="AH73" s="197" t="n">
        <v>0.07062499999999999</v>
      </c>
      <c r="AI73" s="197" t="n">
        <v>0.055625</v>
      </c>
      <c r="AJ73" s="197" t="n">
        <v>0.039375</v>
      </c>
      <c r="AK73" s="197" t="n">
        <v>0.040625</v>
      </c>
      <c r="AL73" s="197" t="n">
        <v>0.021667</v>
      </c>
      <c r="AM73" s="197" t="n">
        <v>0.022917</v>
      </c>
      <c r="AN73" s="197" t="n">
        <v>0.008541999999999999</v>
      </c>
      <c r="AO73" s="197" t="n">
        <v>0.011979</v>
      </c>
      <c r="AP73" s="197" t="n">
        <v>0.001668</v>
      </c>
      <c r="AQ73" s="197" t="n">
        <v>0.001598</v>
      </c>
      <c r="AR73" s="197" t="n">
        <v>0.001251</v>
      </c>
      <c r="AS73" s="197" t="n">
        <v>0.000625</v>
      </c>
      <c r="AT73" s="182" t="n"/>
      <c r="AU73" s="176" t="n"/>
      <c r="AV73" s="176" t="n"/>
      <c r="AW73" s="176" t="n"/>
      <c r="AX73" s="176" t="n"/>
      <c r="AY73" s="176" t="n"/>
      <c r="AZ73" s="176" t="n"/>
      <c r="BA73" s="176" t="n"/>
      <c r="BB73" s="176" t="n"/>
      <c r="BC73" s="176" t="n"/>
      <c r="BD73" s="176" t="n"/>
      <c r="BE73" s="176" t="n"/>
      <c r="BF73" s="176" t="n"/>
      <c r="BG73" s="176" t="n"/>
      <c r="BH73" s="176" t="n"/>
      <c r="BI73" s="176" t="n"/>
      <c r="BJ73" s="176" t="n"/>
      <c r="BK73" s="176" t="n"/>
      <c r="BL73" s="176" t="n"/>
      <c r="BM73" s="176" t="n"/>
      <c r="BN73" s="176" t="n"/>
      <c r="BO73" s="176" t="n"/>
      <c r="BP73" s="176" t="n"/>
      <c r="BQ73" s="176" t="n"/>
      <c r="BR73" s="176" t="n"/>
    </row>
    <row r="74" ht="15" customHeight="1" s="392">
      <c r="A74" s="176" t="n"/>
      <c r="B74" s="180" t="n"/>
      <c r="C74" s="183" t="inlineStr">
        <is>
          <t xml:space="preserve">        Diluted EPS (Normalized)</t>
        </is>
      </c>
      <c r="D74" s="191">
        <f>IF(COUNT(M74:AS74)&gt;0,MEDIAN(M74:AS74),"")</f>
        <v/>
      </c>
      <c r="E74" s="191">
        <f>IF(COUNT(M74:AS74)&gt;0,AVERAGE(M74:AS74),"")</f>
        <v/>
      </c>
      <c r="F74" s="191">
        <f>IF(COUNT(M74:AS74)&gt;0,MIN(M74:AS74),"")</f>
        <v/>
      </c>
      <c r="G74" s="191">
        <f>IF(COUNT(M74:AS74)&gt;0,MAX(M74:AS74),"")</f>
        <v/>
      </c>
      <c r="H74" s="191">
        <f>IF(COUNT(M74:AS74)&gt;0,QUARTILE(M74:AS74,1),"")</f>
        <v/>
      </c>
      <c r="I74" s="191">
        <f>IF(COUNT(M74:AS74)&gt;0,QUARTILE(M74:AS74,3),"")</f>
        <v/>
      </c>
      <c r="J74" s="191">
        <f>IF(COUNT(M74:AS74)&gt;1,STDEV(M74:AS74),"")</f>
        <v/>
      </c>
      <c r="K74" s="191">
        <f>IF(COUNT(M74:AS74)&gt;1,STDEV(M74:AS74)/AVERAGE(M74:AS74),"")</f>
        <v/>
      </c>
      <c r="M74" s="197" t="n">
        <v>1.5836817162219</v>
      </c>
      <c r="N74" s="197" t="n">
        <v>1.61029038128489</v>
      </c>
      <c r="O74" s="197" t="n">
        <v>1.42347978760728</v>
      </c>
      <c r="P74" s="197" t="n">
        <v>0.63</v>
      </c>
      <c r="Q74" s="197" t="n">
        <v>1.115</v>
      </c>
      <c r="R74" s="197" t="n">
        <v>0.925</v>
      </c>
      <c r="S74" s="197" t="n">
        <v>0.6425</v>
      </c>
      <c r="T74" s="197" t="n">
        <v>0.5625</v>
      </c>
      <c r="U74" s="197" t="n">
        <v>0.4325</v>
      </c>
      <c r="V74" s="197" t="n">
        <v>0.3225</v>
      </c>
      <c r="W74" s="197" t="n">
        <v>0.2625</v>
      </c>
      <c r="X74" s="197" t="n">
        <v>0.21</v>
      </c>
      <c r="Y74" s="197" t="n">
        <v>0.201365926236379</v>
      </c>
      <c r="Z74" s="197" t="n">
        <v>0.185391486427135</v>
      </c>
      <c r="AA74" s="197" t="n">
        <v>0.192699962146575</v>
      </c>
      <c r="AB74" s="197" t="n">
        <v>0.145744039040899</v>
      </c>
      <c r="AC74" s="197" t="n">
        <v>0.119912494306034</v>
      </c>
      <c r="AD74" s="197" t="n">
        <v>0.1070363881359</v>
      </c>
      <c r="AE74" s="197" t="n">
        <v>0.109375</v>
      </c>
      <c r="AF74" s="197" t="n">
        <v>0.09125</v>
      </c>
      <c r="AG74" s="197" t="n">
        <v>0.075625</v>
      </c>
      <c r="AH74" s="197" t="n">
        <v>0.06875000000000001</v>
      </c>
      <c r="AI74" s="197" t="n">
        <v>0.054375</v>
      </c>
      <c r="AJ74" s="197" t="n">
        <v>0.03875</v>
      </c>
      <c r="AK74" s="197" t="n">
        <v>0.039375</v>
      </c>
      <c r="AL74" s="197" t="n">
        <v>0.020833</v>
      </c>
      <c r="AM74" s="197" t="n">
        <v>0.022083</v>
      </c>
      <c r="AN74" s="197" t="n">
        <v>0.008333</v>
      </c>
      <c r="AO74" s="197" t="n">
        <v>0.011771</v>
      </c>
      <c r="AP74" s="197" t="n">
        <v>0.001598</v>
      </c>
      <c r="AQ74" s="197" t="n">
        <v>0.001529</v>
      </c>
      <c r="AR74" s="197" t="n">
        <v>0.001181</v>
      </c>
      <c r="AS74" s="197" t="n">
        <v>0.000556</v>
      </c>
      <c r="AT74" s="182" t="n"/>
      <c r="AU74" s="176" t="n"/>
      <c r="AV74" s="176" t="n"/>
      <c r="AW74" s="176" t="n"/>
      <c r="AX74" s="176" t="n"/>
      <c r="AY74" s="176" t="n"/>
      <c r="AZ74" s="176" t="n"/>
      <c r="BA74" s="176" t="n"/>
      <c r="BB74" s="176" t="n"/>
      <c r="BC74" s="176" t="n"/>
      <c r="BD74" s="176" t="n"/>
      <c r="BE74" s="176" t="n"/>
      <c r="BF74" s="176" t="n"/>
      <c r="BG74" s="176" t="n"/>
      <c r="BH74" s="176" t="n"/>
      <c r="BI74" s="176" t="n"/>
      <c r="BJ74" s="176" t="n"/>
      <c r="BK74" s="176" t="n"/>
      <c r="BL74" s="176" t="n"/>
      <c r="BM74" s="176" t="n"/>
      <c r="BN74" s="176" t="n"/>
      <c r="BO74" s="176" t="n"/>
      <c r="BP74" s="176" t="n"/>
      <c r="BQ74" s="176" t="n"/>
      <c r="BR74" s="176" t="n"/>
    </row>
    <row r="75" ht="15" customHeight="1" s="392">
      <c r="A75" s="176" t="n"/>
      <c r="B75" s="180" t="n"/>
      <c r="C75" s="183" t="inlineStr">
        <is>
          <t xml:space="preserve">        Normalized EBITDA per Share</t>
        </is>
      </c>
      <c r="D75" s="191">
        <f>IF(COUNT(M75:AS75)&gt;0,MEDIAN(M75:AS75),"")</f>
        <v/>
      </c>
      <c r="E75" s="191">
        <f>IF(COUNT(M75:AS75)&gt;0,AVERAGE(M75:AS75),"")</f>
        <v/>
      </c>
      <c r="F75" s="191">
        <f>IF(COUNT(M75:AS75)&gt;0,MIN(M75:AS75),"")</f>
        <v/>
      </c>
      <c r="G75" s="191">
        <f>IF(COUNT(M75:AS75)&gt;0,MAX(M75:AS75),"")</f>
        <v/>
      </c>
      <c r="H75" s="191">
        <f>IF(COUNT(M75:AS75)&gt;0,QUARTILE(M75:AS75,1),"")</f>
        <v/>
      </c>
      <c r="I75" s="191">
        <f>IF(COUNT(M75:AS75)&gt;0,QUARTILE(M75:AS75,3),"")</f>
        <v/>
      </c>
      <c r="J75" s="191">
        <f>IF(COUNT(M75:AS75)&gt;1,STDEV(M75:AS75),"")</f>
        <v/>
      </c>
      <c r="K75" s="191">
        <f>IF(COUNT(M75:AS75)&gt;1,STDEV(M75:AS75)/AVERAGE(M75:AS75),"")</f>
        <v/>
      </c>
      <c r="M75" s="197" t="n">
        <v>2.0090452103756</v>
      </c>
      <c r="N75" s="197" t="n">
        <v>2.00166127400485</v>
      </c>
      <c r="O75" s="197" t="n">
        <v>1.83362912111022</v>
      </c>
      <c r="P75" s="197" t="n">
        <v>1.74389099640303</v>
      </c>
      <c r="Q75" s="197" t="n">
        <v>1.60731968766458</v>
      </c>
      <c r="R75" s="197" t="n">
        <v>1.35610616338591</v>
      </c>
      <c r="S75" s="197" t="n">
        <v>0.987319614843122</v>
      </c>
      <c r="T75" s="197" t="n">
        <v>0.8606754750408599</v>
      </c>
      <c r="U75" s="197" t="n">
        <v>0.710799290548502</v>
      </c>
      <c r="V75" s="197" t="n">
        <v>0.59098954092288</v>
      </c>
      <c r="W75" s="197" t="n">
        <v>0.499882314414949</v>
      </c>
      <c r="X75" s="197" t="n">
        <v>0.395187767975013</v>
      </c>
      <c r="Y75" s="197" t="n">
        <v>0.363655414158348</v>
      </c>
      <c r="Z75" s="197" t="n">
        <v>0.348494771961998</v>
      </c>
      <c r="AA75" s="197" t="n">
        <v>0.349645813677451</v>
      </c>
      <c r="AB75" s="197" t="n">
        <v>0.272286145599666</v>
      </c>
      <c r="AC75" s="197" t="n">
        <v>0.221519340915239</v>
      </c>
      <c r="AD75" s="197" t="n">
        <v>0.204380077711056</v>
      </c>
      <c r="AE75" s="197" t="n">
        <v>0.203413997640722</v>
      </c>
      <c r="AF75" s="197" t="n">
        <v>0.170208924081109</v>
      </c>
      <c r="AG75" s="197" t="n">
        <v>0.138537799300511</v>
      </c>
      <c r="AH75" s="197" t="n">
        <v>0.131111938613095</v>
      </c>
      <c r="AI75" s="197" t="n">
        <v>0.108951844609284</v>
      </c>
      <c r="AJ75" s="197" t="n">
        <v>0.080436044636522</v>
      </c>
      <c r="AK75" s="197" t="n">
        <v>0.075318215690787</v>
      </c>
      <c r="AL75" s="197" t="n">
        <v>0.0420504173442503</v>
      </c>
      <c r="AM75" s="197" t="n">
        <v>0.0446123258667494</v>
      </c>
      <c r="AN75" s="197" t="n">
        <v>0.0175643369954586</v>
      </c>
      <c r="AO75" s="197" t="n">
        <v>0.025325843699116</v>
      </c>
      <c r="AP75" s="197" t="n">
        <v>0.0222226611883692</v>
      </c>
      <c r="AQ75" s="197" t="n">
        <v>0.0203558816432463</v>
      </c>
      <c r="AR75" s="197" t="n">
        <v>0.0172147043798842</v>
      </c>
      <c r="AS75" s="197" t="n">
        <v>0.00646058145615955</v>
      </c>
      <c r="AT75" s="182" t="n"/>
      <c r="AU75" s="176" t="n"/>
      <c r="AV75" s="176" t="n"/>
      <c r="AW75" s="176" t="n"/>
      <c r="AX75" s="176" t="n"/>
      <c r="AY75" s="176" t="n"/>
      <c r="AZ75" s="176" t="n"/>
      <c r="BA75" s="176" t="n"/>
      <c r="BB75" s="176" t="n"/>
      <c r="BC75" s="176" t="n"/>
      <c r="BD75" s="176" t="n"/>
      <c r="BE75" s="176" t="n"/>
      <c r="BF75" s="176" t="n"/>
      <c r="BG75" s="176" t="n"/>
      <c r="BH75" s="176" t="n"/>
      <c r="BI75" s="176" t="n"/>
      <c r="BJ75" s="176" t="n"/>
      <c r="BK75" s="176" t="n"/>
      <c r="BL75" s="176" t="n"/>
      <c r="BM75" s="176" t="n"/>
      <c r="BN75" s="176" t="n"/>
      <c r="BO75" s="176" t="n"/>
      <c r="BP75" s="176" t="n"/>
      <c r="BQ75" s="176" t="n"/>
      <c r="BR75" s="176" t="n"/>
    </row>
    <row r="76" ht="15" customHeight="1" s="392">
      <c r="A76" s="176" t="n"/>
      <c r="B76" s="180" t="n"/>
      <c r="C76" s="183" t="inlineStr">
        <is>
          <t xml:space="preserve">        Normalized EBITDAR per Share</t>
        </is>
      </c>
      <c r="D76" s="191">
        <f>IF(COUNT(M76:AS76)&gt;0,MEDIAN(M76:AS76),"")</f>
        <v/>
      </c>
      <c r="E76" s="191">
        <f>IF(COUNT(M76:AS76)&gt;0,AVERAGE(M76:AS76),"")</f>
        <v/>
      </c>
      <c r="F76" s="191">
        <f>IF(COUNT(M76:AS76)&gt;0,MIN(M76:AS76),"")</f>
        <v/>
      </c>
      <c r="G76" s="191">
        <f>IF(COUNT(M76:AS76)&gt;0,MAX(M76:AS76),"")</f>
        <v/>
      </c>
      <c r="H76" s="191">
        <f>IF(COUNT(M76:AS76)&gt;0,QUARTILE(M76:AS76,1),"")</f>
        <v/>
      </c>
      <c r="I76" s="191">
        <f>IF(COUNT(M76:AS76)&gt;0,QUARTILE(M76:AS76,3),"")</f>
        <v/>
      </c>
      <c r="J76" s="191">
        <f>IF(COUNT(M76:AS76)&gt;1,STDEV(M76:AS76),"")</f>
        <v/>
      </c>
      <c r="K76" s="191">
        <f>IF(COUNT(M76:AS76)&gt;1,STDEV(M76:AS76)/AVERAGE(M76:AS76),"")</f>
        <v/>
      </c>
      <c r="M76" s="197" t="n">
        <v>2.0090452103756</v>
      </c>
      <c r="N76" s="197" t="n">
        <v>2.00166127400485</v>
      </c>
      <c r="O76" s="197" t="n">
        <v>1.83362912111022</v>
      </c>
      <c r="P76" s="197" t="n">
        <v>1.74389099640303</v>
      </c>
      <c r="Q76" s="197" t="n">
        <v>1.60731968766458</v>
      </c>
      <c r="R76" s="197" t="n">
        <v>1.35610616338591</v>
      </c>
      <c r="S76" s="197" t="n">
        <v>0.987319614843122</v>
      </c>
      <c r="T76" s="197" t="n">
        <v>0.8606754750408599</v>
      </c>
      <c r="U76" s="197" t="n">
        <v>0.710799290548502</v>
      </c>
      <c r="V76" s="197" t="n">
        <v>0.59098954092288</v>
      </c>
      <c r="W76" s="197" t="n">
        <v>0.499882314414949</v>
      </c>
      <c r="X76" s="197" t="n">
        <v>0.395187767975013</v>
      </c>
      <c r="Y76" s="197" t="n">
        <v>0.363655414158348</v>
      </c>
      <c r="Z76" s="197" t="n">
        <v>0.348494771961998</v>
      </c>
      <c r="AA76" s="197" t="n">
        <v>0.349645813677451</v>
      </c>
      <c r="AB76" s="197" t="n">
        <v>0.272286145599666</v>
      </c>
      <c r="AC76" s="197" t="n">
        <v>0.221519340915239</v>
      </c>
      <c r="AD76" s="197" t="n">
        <v>0.204380077711056</v>
      </c>
      <c r="AE76" s="197" t="n">
        <v>0.203413997640722</v>
      </c>
      <c r="AF76" s="197" t="n">
        <v>0.170208924081109</v>
      </c>
      <c r="AG76" s="197" t="n">
        <v>0.138537799300511</v>
      </c>
      <c r="AH76" s="197" t="n">
        <v>0.131111938613095</v>
      </c>
      <c r="AI76" s="197" t="n">
        <v>0.108951844609284</v>
      </c>
      <c r="AJ76" s="197" t="n">
        <v>0.080436044636522</v>
      </c>
      <c r="AK76" s="197" t="n">
        <v>0.075318215690787</v>
      </c>
      <c r="AL76" s="197" t="n">
        <v>0.0420504173442503</v>
      </c>
      <c r="AM76" s="197" t="n">
        <v>0.0446123258667494</v>
      </c>
      <c r="AN76" s="197" t="n">
        <v>0.0175643369954586</v>
      </c>
      <c r="AO76" s="197" t="n">
        <v>0.025325843699116</v>
      </c>
      <c r="AP76" s="197" t="n">
        <v>0.0222226611883692</v>
      </c>
      <c r="AQ76" s="197" t="n">
        <v>0.0203558816432463</v>
      </c>
      <c r="AR76" s="197" t="n">
        <v>0.0172147043798842</v>
      </c>
      <c r="AS76" s="197" t="n">
        <v>0.00646058145615955</v>
      </c>
      <c r="AT76" s="182" t="n"/>
      <c r="AU76" s="176" t="n"/>
      <c r="AV76" s="176" t="n"/>
      <c r="AW76" s="176" t="n"/>
      <c r="AX76" s="176" t="n"/>
      <c r="AY76" s="176" t="n"/>
      <c r="AZ76" s="176" t="n"/>
      <c r="BA76" s="176" t="n"/>
      <c r="BB76" s="176" t="n"/>
      <c r="BC76" s="176" t="n"/>
      <c r="BD76" s="176" t="n"/>
      <c r="BE76" s="176" t="n"/>
      <c r="BF76" s="176" t="n"/>
      <c r="BG76" s="176" t="n"/>
      <c r="BH76" s="176" t="n"/>
      <c r="BI76" s="176" t="n"/>
      <c r="BJ76" s="176" t="n"/>
      <c r="BK76" s="176" t="n"/>
      <c r="BL76" s="176" t="n"/>
      <c r="BM76" s="176" t="n"/>
      <c r="BN76" s="176" t="n"/>
      <c r="BO76" s="176" t="n"/>
      <c r="BP76" s="176" t="n"/>
      <c r="BQ76" s="176" t="n"/>
      <c r="BR76" s="176" t="n"/>
    </row>
    <row r="77" ht="15" customHeight="1" s="392">
      <c r="A77" s="176" t="n"/>
      <c r="B77" s="180" t="n"/>
      <c r="C77" s="183" t="inlineStr">
        <is>
          <t xml:space="preserve">        Recommended Normalized Basic EPS</t>
        </is>
      </c>
      <c r="D77" s="191">
        <f>IF(COUNT(M77:AS77)&gt;0,MEDIAN(M77:AS77),"")</f>
        <v/>
      </c>
      <c r="E77" s="191">
        <f>IF(COUNT(M77:AS77)&gt;0,AVERAGE(M77:AS77),"")</f>
        <v/>
      </c>
      <c r="F77" s="191">
        <f>IF(COUNT(M77:AS77)&gt;0,MIN(M77:AS77),"")</f>
        <v/>
      </c>
      <c r="G77" s="191">
        <f>IF(COUNT(M77:AS77)&gt;0,MAX(M77:AS77),"")</f>
        <v/>
      </c>
      <c r="H77" s="191">
        <f>IF(COUNT(M77:AS77)&gt;0,QUARTILE(M77:AS77,1),"")</f>
        <v/>
      </c>
      <c r="I77" s="191">
        <f>IF(COUNT(M77:AS77)&gt;0,QUARTILE(M77:AS77,3),"")</f>
        <v/>
      </c>
      <c r="J77" s="191">
        <f>IF(COUNT(M77:AS77)&gt;1,STDEV(M77:AS77),"")</f>
        <v/>
      </c>
      <c r="K77" s="191">
        <f>IF(COUNT(M77:AS77)&gt;1,STDEV(M77:AS77)/AVERAGE(M77:AS77),"")</f>
        <v/>
      </c>
      <c r="M77" s="197" t="n">
        <v>1.5939377943053</v>
      </c>
      <c r="N77" s="197" t="n">
        <v>1.63054801897015</v>
      </c>
      <c r="O77" s="197" t="n">
        <v>1.44382337971083</v>
      </c>
      <c r="P77" s="197" t="n">
        <v>1.27443911012674</v>
      </c>
      <c r="Q77" s="197" t="n">
        <v>1.13342550511964</v>
      </c>
      <c r="R77" s="197" t="n">
        <v>0.941401554272557</v>
      </c>
      <c r="S77" s="197" t="n">
        <v>0.654499103781271</v>
      </c>
      <c r="T77" s="197" t="n">
        <v>0.581198018126679</v>
      </c>
      <c r="U77" s="197" t="n">
        <v>0.448830421971328</v>
      </c>
      <c r="V77" s="197" t="n">
        <v>0.330788723402395</v>
      </c>
      <c r="W77" s="197" t="n">
        <v>0.276504723700655</v>
      </c>
      <c r="X77" s="197" t="n">
        <v>0.218716867398115</v>
      </c>
      <c r="Y77" s="197" t="n">
        <v>0.21024765102273</v>
      </c>
      <c r="Z77" s="197" t="n">
        <v>0.192095265066607</v>
      </c>
      <c r="AA77" s="197" t="n">
        <v>0.196939241531377</v>
      </c>
      <c r="AB77" s="197" t="n">
        <v>0.148389898577642</v>
      </c>
      <c r="AC77" s="197" t="n">
        <v>0.121251213727311</v>
      </c>
      <c r="AD77" s="197" t="n">
        <v>0.108987033522655</v>
      </c>
      <c r="AE77" s="197" t="n">
        <v>0.1125</v>
      </c>
      <c r="AF77" s="197" t="n">
        <v>0.09375</v>
      </c>
      <c r="AG77" s="197" t="n">
        <v>0.0775</v>
      </c>
      <c r="AH77" s="197" t="n">
        <v>0.07062499999999999</v>
      </c>
      <c r="AI77" s="197" t="n">
        <v>0.055625</v>
      </c>
      <c r="AJ77" s="197" t="n">
        <v>0.039375</v>
      </c>
      <c r="AK77" s="197" t="n">
        <v>0.040625</v>
      </c>
      <c r="AL77" s="197" t="n">
        <v>0.021667</v>
      </c>
      <c r="AM77" s="197" t="n">
        <v>0.022917</v>
      </c>
      <c r="AN77" s="197" t="n">
        <v>0.008541999999999999</v>
      </c>
      <c r="AO77" s="197" t="n">
        <v>0.011979</v>
      </c>
      <c r="AP77" s="197" t="n">
        <v>0.001668</v>
      </c>
      <c r="AQ77" s="197" t="n">
        <v>0.001598</v>
      </c>
      <c r="AR77" s="197" t="n">
        <v>0.001251</v>
      </c>
      <c r="AS77" s="197" t="n">
        <v>0.000625</v>
      </c>
      <c r="AT77" s="182" t="n"/>
      <c r="AU77" s="176" t="n"/>
      <c r="AV77" s="176" t="n"/>
      <c r="AW77" s="176" t="n"/>
      <c r="AX77" s="176" t="n"/>
      <c r="AY77" s="176" t="n"/>
      <c r="AZ77" s="176" t="n"/>
      <c r="BA77" s="176" t="n"/>
      <c r="BB77" s="176" t="n"/>
      <c r="BC77" s="176" t="n"/>
      <c r="BD77" s="176" t="n"/>
      <c r="BE77" s="176" t="n"/>
      <c r="BF77" s="176" t="n"/>
      <c r="BG77" s="176" t="n"/>
      <c r="BH77" s="176" t="n"/>
      <c r="BI77" s="176" t="n"/>
      <c r="BJ77" s="176" t="n"/>
      <c r="BK77" s="176" t="n"/>
      <c r="BL77" s="176" t="n"/>
      <c r="BM77" s="176" t="n"/>
      <c r="BN77" s="176" t="n"/>
      <c r="BO77" s="176" t="n"/>
      <c r="BP77" s="176" t="n"/>
      <c r="BQ77" s="176" t="n"/>
      <c r="BR77" s="176" t="n"/>
    </row>
    <row r="78" ht="15" customHeight="1" s="392">
      <c r="A78" s="176" t="n"/>
      <c r="B78" s="180" t="n"/>
      <c r="C78" s="183" t="inlineStr">
        <is>
          <t xml:space="preserve">        Recommended Normalized Diluted EPS</t>
        </is>
      </c>
      <c r="D78" s="191">
        <f>IF(COUNT(M78:AS78)&gt;0,MEDIAN(M78:AS78),"")</f>
        <v/>
      </c>
      <c r="E78" s="191">
        <f>IF(COUNT(M78:AS78)&gt;0,AVERAGE(M78:AS78),"")</f>
        <v/>
      </c>
      <c r="F78" s="191">
        <f>IF(COUNT(M78:AS78)&gt;0,MIN(M78:AS78),"")</f>
        <v/>
      </c>
      <c r="G78" s="191">
        <f>IF(COUNT(M78:AS78)&gt;0,MAX(M78:AS78),"")</f>
        <v/>
      </c>
      <c r="H78" s="191">
        <f>IF(COUNT(M78:AS78)&gt;0,QUARTILE(M78:AS78,1),"")</f>
        <v/>
      </c>
      <c r="I78" s="191">
        <f>IF(COUNT(M78:AS78)&gt;0,QUARTILE(M78:AS78,3),"")</f>
        <v/>
      </c>
      <c r="J78" s="191">
        <f>IF(COUNT(M78:AS78)&gt;1,STDEV(M78:AS78),"")</f>
        <v/>
      </c>
      <c r="K78" s="191">
        <f>IF(COUNT(M78:AS78)&gt;1,STDEV(M78:AS78)/AVERAGE(M78:AS78),"")</f>
        <v/>
      </c>
      <c r="M78" s="197" t="n">
        <v>1.5836817162219</v>
      </c>
      <c r="N78" s="197" t="n">
        <v>1.61029038128489</v>
      </c>
      <c r="O78" s="197" t="n">
        <v>1.42347978760728</v>
      </c>
      <c r="P78" s="197" t="n">
        <v>0.63</v>
      </c>
      <c r="Q78" s="197" t="n">
        <v>1.115</v>
      </c>
      <c r="R78" s="197" t="n">
        <v>0.925</v>
      </c>
      <c r="S78" s="197" t="n">
        <v>0.6425</v>
      </c>
      <c r="T78" s="197" t="n">
        <v>0.5625</v>
      </c>
      <c r="U78" s="197" t="n">
        <v>0.4325</v>
      </c>
      <c r="V78" s="197" t="n">
        <v>0.3225</v>
      </c>
      <c r="W78" s="197" t="n">
        <v>0.2625</v>
      </c>
      <c r="X78" s="197" t="n">
        <v>0.21</v>
      </c>
      <c r="Y78" s="197" t="n">
        <v>0.201365926236379</v>
      </c>
      <c r="Z78" s="197" t="n">
        <v>0.185391486427135</v>
      </c>
      <c r="AA78" s="197" t="n">
        <v>0.192699962146575</v>
      </c>
      <c r="AB78" s="197" t="n">
        <v>0.145744039040899</v>
      </c>
      <c r="AC78" s="197" t="n">
        <v>0.119912494306034</v>
      </c>
      <c r="AD78" s="197" t="n">
        <v>0.1070363881359</v>
      </c>
      <c r="AE78" s="197" t="n">
        <v>0.109375</v>
      </c>
      <c r="AF78" s="197" t="n">
        <v>0.09125</v>
      </c>
      <c r="AG78" s="197" t="n">
        <v>0.075625</v>
      </c>
      <c r="AH78" s="197" t="n">
        <v>0.06875000000000001</v>
      </c>
      <c r="AI78" s="197" t="n">
        <v>0.054375</v>
      </c>
      <c r="AJ78" s="197" t="n">
        <v>0.03875</v>
      </c>
      <c r="AK78" s="197" t="n">
        <v>0.039375</v>
      </c>
      <c r="AL78" s="197" t="n">
        <v>0.020833</v>
      </c>
      <c r="AM78" s="197" t="n">
        <v>0.022083</v>
      </c>
      <c r="AN78" s="197" t="n">
        <v>0.008333</v>
      </c>
      <c r="AO78" s="197" t="n">
        <v>0.011771</v>
      </c>
      <c r="AP78" s="197" t="n">
        <v>0.001598</v>
      </c>
      <c r="AQ78" s="197" t="n">
        <v>0.001529</v>
      </c>
      <c r="AR78" s="197" t="n">
        <v>0.001181</v>
      </c>
      <c r="AS78" s="197" t="n">
        <v>0.000556</v>
      </c>
      <c r="AT78" s="182" t="n"/>
      <c r="AU78" s="176" t="n"/>
      <c r="AV78" s="176" t="n"/>
      <c r="AW78" s="176" t="n"/>
      <c r="AX78" s="176" t="n"/>
      <c r="AY78" s="176" t="n"/>
      <c r="AZ78" s="176" t="n"/>
      <c r="BA78" s="176" t="n"/>
      <c r="BB78" s="176" t="n"/>
      <c r="BC78" s="176" t="n"/>
      <c r="BD78" s="176" t="n"/>
      <c r="BE78" s="176" t="n"/>
      <c r="BF78" s="176" t="n"/>
      <c r="BG78" s="176" t="n"/>
      <c r="BH78" s="176" t="n"/>
      <c r="BI78" s="176" t="n"/>
      <c r="BJ78" s="176" t="n"/>
      <c r="BK78" s="176" t="n"/>
      <c r="BL78" s="176" t="n"/>
      <c r="BM78" s="176" t="n"/>
      <c r="BN78" s="176" t="n"/>
      <c r="BO78" s="176" t="n"/>
      <c r="BP78" s="176" t="n"/>
      <c r="BQ78" s="176" t="n"/>
      <c r="BR78" s="176" t="n"/>
    </row>
    <row r="79" ht="15" customHeight="1" s="392">
      <c r="A79" s="176" t="n"/>
      <c r="B79" s="180" t="n"/>
      <c r="C79" s="183" t="inlineStr">
        <is>
          <t xml:space="preserve">        Sales per Share</t>
        </is>
      </c>
      <c r="D79" s="191">
        <f>IF(COUNT(M79:AS79)&gt;0,MEDIAN(M79:AS79),"")</f>
        <v/>
      </c>
      <c r="E79" s="191">
        <f>IF(COUNT(M79:AS79)&gt;0,AVERAGE(M79:AS79),"")</f>
        <v/>
      </c>
      <c r="F79" s="191">
        <f>IF(COUNT(M79:AS79)&gt;0,MIN(M79:AS79),"")</f>
        <v/>
      </c>
      <c r="G79" s="191">
        <f>IF(COUNT(M79:AS79)&gt;0,MAX(M79:AS79),"")</f>
        <v/>
      </c>
      <c r="H79" s="191">
        <f>IF(COUNT(M79:AS79)&gt;0,QUARTILE(M79:AS79,1),"")</f>
        <v/>
      </c>
      <c r="I79" s="191">
        <f>IF(COUNT(M79:AS79)&gt;0,QUARTILE(M79:AS79,3),"")</f>
        <v/>
      </c>
      <c r="J79" s="191">
        <f>IF(COUNT(M79:AS79)&gt;1,STDEV(M79:AS79),"")</f>
        <v/>
      </c>
      <c r="K79" s="191">
        <f>IF(COUNT(M79:AS79)&gt;1,STDEV(M79:AS79)/AVERAGE(M79:AS79),"")</f>
        <v/>
      </c>
      <c r="M79" s="197" t="n">
        <v>4.87658487135004</v>
      </c>
      <c r="N79" s="197" t="n">
        <v>4.7536148565361</v>
      </c>
      <c r="O79" s="197" t="n">
        <v>4.34635996380789</v>
      </c>
      <c r="P79" s="197" t="n">
        <v>4.00303109614989</v>
      </c>
      <c r="Q79" s="197" t="n">
        <v>3.62938677426177</v>
      </c>
      <c r="R79" s="197" t="n">
        <v>2.80131403720504</v>
      </c>
      <c r="S79" s="197" t="n">
        <v>2.3104206472915</v>
      </c>
      <c r="T79" s="197" t="n">
        <v>2.12303132005007</v>
      </c>
      <c r="U79" s="197" t="n">
        <v>1.86633598895306</v>
      </c>
      <c r="V79" s="197" t="n">
        <v>1.52728367767985</v>
      </c>
      <c r="W79" s="197" t="n">
        <v>1.29807097975808</v>
      </c>
      <c r="X79" s="197" t="n">
        <v>1.09004626195069</v>
      </c>
      <c r="Y79" s="197" t="n">
        <v>1.1082536386497</v>
      </c>
      <c r="Z79" s="197" t="n">
        <v>1.00783820435965</v>
      </c>
      <c r="AA79" s="197" t="n">
        <v>0.878989827129683</v>
      </c>
      <c r="AB79" s="197" t="n">
        <v>0.710983554176013</v>
      </c>
      <c r="AC79" s="197" t="n">
        <v>0.568112922953885</v>
      </c>
      <c r="AD79" s="197" t="n">
        <v>0.546834157541505</v>
      </c>
      <c r="AE79" s="197" t="n">
        <v>0.545894633755481</v>
      </c>
      <c r="AF79" s="197" t="n">
        <v>0.374966561446686</v>
      </c>
      <c r="AG79" s="197" t="n">
        <v>0.35550914716169</v>
      </c>
      <c r="AH79" s="197" t="n">
        <v>0.300946264948808</v>
      </c>
      <c r="AI79" s="197" t="n">
        <v>0.266978107213477</v>
      </c>
      <c r="AJ79" s="197" t="n">
        <v>0.233438017372982</v>
      </c>
      <c r="AK79" s="197" t="n">
        <v>0.216748172622766</v>
      </c>
      <c r="AL79" s="197" t="n">
        <v>0.12502275026473</v>
      </c>
      <c r="AM79" s="197" t="n">
        <v>0.14260388905634</v>
      </c>
      <c r="AN79" s="197" t="n">
        <v>0.0553471774656894</v>
      </c>
      <c r="AO79" s="197" t="n">
        <v>0.0884468302886558</v>
      </c>
      <c r="AP79" s="197" t="n">
        <v>0.103952670670038</v>
      </c>
      <c r="AQ79" s="197" t="n">
        <v>0.09942418224097981</v>
      </c>
      <c r="AR79" s="197" t="n">
        <v>0.06757934624805891</v>
      </c>
      <c r="AS79" s="197" t="n">
        <v>0.0272780105926736</v>
      </c>
      <c r="AT79" s="182" t="n"/>
      <c r="AU79" s="176" t="n"/>
      <c r="AV79" s="176" t="n"/>
      <c r="AW79" s="176" t="n"/>
      <c r="AX79" s="176" t="n"/>
      <c r="AY79" s="176" t="n"/>
      <c r="AZ79" s="176" t="n"/>
      <c r="BA79" s="176" t="n"/>
      <c r="BB79" s="176" t="n"/>
      <c r="BC79" s="176" t="n"/>
      <c r="BD79" s="176" t="n"/>
      <c r="BE79" s="176" t="n"/>
      <c r="BF79" s="176" t="n"/>
      <c r="BG79" s="176" t="n"/>
      <c r="BH79" s="176" t="n"/>
      <c r="BI79" s="176" t="n"/>
      <c r="BJ79" s="176" t="n"/>
      <c r="BK79" s="176" t="n"/>
      <c r="BL79" s="176" t="n"/>
      <c r="BM79" s="176" t="n"/>
      <c r="BN79" s="176" t="n"/>
      <c r="BO79" s="176" t="n"/>
      <c r="BP79" s="176" t="n"/>
      <c r="BQ79" s="176" t="n"/>
      <c r="BR79" s="176" t="n"/>
    </row>
    <row r="80" ht="15" customHeight="1" s="392">
      <c r="A80" s="176" t="n"/>
      <c r="B80" s="180" t="n"/>
      <c r="C80" s="183" t="inlineStr">
        <is>
          <t xml:space="preserve">    Reported Normalized and Operating Income/Expense Supplemental Section</t>
        </is>
      </c>
      <c r="D80" s="185" t="n"/>
      <c r="E80" s="185" t="n"/>
      <c r="F80" s="185" t="n"/>
      <c r="G80" s="185" t="n"/>
      <c r="H80" s="185" t="n"/>
      <c r="I80" s="185" t="n"/>
      <c r="J80" s="185" t="n"/>
      <c r="K80" s="185" t="n"/>
      <c r="AT80" s="182" t="n"/>
      <c r="AU80" s="176" t="n"/>
      <c r="AV80" s="176" t="n"/>
      <c r="AW80" s="176" t="n"/>
      <c r="AX80" s="176" t="n"/>
      <c r="AY80" s="176" t="n"/>
      <c r="AZ80" s="176" t="n"/>
      <c r="BA80" s="176" t="n"/>
      <c r="BB80" s="176" t="n"/>
      <c r="BC80" s="176" t="n"/>
      <c r="BD80" s="176" t="n"/>
      <c r="BE80" s="176" t="n"/>
      <c r="BF80" s="176" t="n"/>
      <c r="BG80" s="176" t="n"/>
      <c r="BH80" s="176" t="n"/>
      <c r="BI80" s="176" t="n"/>
      <c r="BJ80" s="176" t="n"/>
      <c r="BK80" s="176" t="n"/>
      <c r="BL80" s="176" t="n"/>
      <c r="BM80" s="176" t="n"/>
      <c r="BN80" s="176" t="n"/>
      <c r="BO80" s="176" t="n"/>
      <c r="BP80" s="176" t="n"/>
      <c r="BQ80" s="176" t="n"/>
      <c r="BR80" s="176" t="n"/>
    </row>
    <row r="81" ht="15" customHeight="1" s="392">
      <c r="A81" s="176" t="n"/>
      <c r="B81" s="180" t="n"/>
      <c r="C81" s="183" t="inlineStr">
        <is>
          <t xml:space="preserve">        Reported Total Revenue</t>
        </is>
      </c>
      <c r="D81" s="190">
        <f>IF(COUNT(M81:AS81)&gt;0,MEDIAN(M81:AS81),"")</f>
        <v/>
      </c>
      <c r="E81" s="190">
        <f>IF(COUNT(M81:AS81)&gt;0,AVERAGE(M81:AS81),"")</f>
        <v/>
      </c>
      <c r="F81" s="190">
        <f>IF(COUNT(M81:AS81)&gt;0,MIN(M81:AS81),"")</f>
        <v/>
      </c>
      <c r="G81" s="190">
        <f>IF(COUNT(M81:AS81)&gt;0,MAX(M81:AS81),"")</f>
        <v/>
      </c>
      <c r="H81" s="190">
        <f>IF(COUNT(M81:AS81)&gt;0,QUARTILE(M81:AS81,1),"")</f>
        <v/>
      </c>
      <c r="I81" s="190">
        <f>IF(COUNT(M81:AS81)&gt;0,QUARTILE(M81:AS81,3),"")</f>
        <v/>
      </c>
      <c r="J81" s="190">
        <f>IF(COUNT(M81:AS81)&gt;1,STDEV(M81:AS81),"")</f>
        <v/>
      </c>
      <c r="K81" s="191">
        <f>IF(COUNT(M81:AS81)&gt;1,STDEV(M81:AS81)/AVERAGE(M81:AS81),"")</f>
        <v/>
      </c>
      <c r="M81" s="192" t="n">
        <v>4666209</v>
      </c>
      <c r="N81" s="192" t="n">
        <v>4646958</v>
      </c>
      <c r="O81" s="192" t="n">
        <v>4236823</v>
      </c>
      <c r="P81" s="192" t="n">
        <v>3869518</v>
      </c>
      <c r="Q81" s="192" t="n">
        <v>3500921</v>
      </c>
      <c r="R81" s="192" t="n">
        <v>2692511</v>
      </c>
      <c r="S81" s="192" t="n">
        <v>2205583</v>
      </c>
      <c r="T81" s="192" t="n">
        <v>2041957</v>
      </c>
      <c r="U81" s="192" t="n">
        <v>1805695</v>
      </c>
      <c r="V81" s="192" t="n">
        <v>1447981</v>
      </c>
      <c r="W81" s="192" t="n">
        <v>1268449</v>
      </c>
      <c r="X81" s="192" t="n">
        <v>1146079</v>
      </c>
      <c r="Y81" s="192" t="n">
        <v>1163489</v>
      </c>
      <c r="Z81" s="192" t="n">
        <v>1046386</v>
      </c>
      <c r="AA81" s="192" t="n">
        <v>924191</v>
      </c>
      <c r="AB81" s="192" t="n">
        <v>872246</v>
      </c>
      <c r="AC81" s="192" t="n">
        <v>772879</v>
      </c>
      <c r="AD81" s="192" t="n">
        <v>743082</v>
      </c>
      <c r="AE81" s="192" t="n">
        <v>784848</v>
      </c>
      <c r="AF81" s="192" t="n">
        <v>560680</v>
      </c>
      <c r="AG81" s="192" t="n">
        <v>528571</v>
      </c>
      <c r="AH81" s="192" t="n">
        <v>447731</v>
      </c>
      <c r="AI81" s="192" t="n">
        <v>391014</v>
      </c>
      <c r="AJ81" s="192" t="n">
        <v>347423</v>
      </c>
      <c r="AK81" s="192" t="n">
        <v>316455.8</v>
      </c>
      <c r="AL81" s="192" t="n">
        <v>253889.4</v>
      </c>
      <c r="AM81" s="192" t="n">
        <v>190042.3</v>
      </c>
      <c r="AN81" s="192" t="n">
        <v>141800</v>
      </c>
      <c r="AO81" s="192" t="n">
        <v>114200</v>
      </c>
      <c r="AP81" s="192" t="n">
        <v>126300</v>
      </c>
      <c r="AQ81" s="192" t="n">
        <v>118200</v>
      </c>
      <c r="AR81" s="192" t="n">
        <v>58100</v>
      </c>
      <c r="AS81" s="192" t="n">
        <v>22800</v>
      </c>
      <c r="AT81" s="182" t="n"/>
      <c r="AU81" s="176" t="n"/>
      <c r="AV81" s="176" t="n"/>
      <c r="AW81" s="176" t="n"/>
      <c r="AX81" s="176" t="n"/>
      <c r="AY81" s="176" t="n"/>
      <c r="AZ81" s="176" t="n"/>
      <c r="BA81" s="176" t="n"/>
      <c r="BB81" s="176" t="n"/>
      <c r="BC81" s="176" t="n"/>
      <c r="BD81" s="176" t="n"/>
      <c r="BE81" s="176" t="n"/>
      <c r="BF81" s="176" t="n"/>
      <c r="BG81" s="176" t="n"/>
      <c r="BH81" s="176" t="n"/>
      <c r="BI81" s="176" t="n"/>
      <c r="BJ81" s="176" t="n"/>
      <c r="BK81" s="176" t="n"/>
      <c r="BL81" s="176" t="n"/>
      <c r="BM81" s="176" t="n"/>
      <c r="BN81" s="176" t="n"/>
      <c r="BO81" s="176" t="n"/>
      <c r="BP81" s="176" t="n"/>
      <c r="BQ81" s="176" t="n"/>
      <c r="BR81" s="176" t="n"/>
    </row>
    <row r="82" ht="15" customHeight="1" s="392">
      <c r="A82" s="176" t="n"/>
      <c r="B82" s="180" t="n"/>
      <c r="C82" s="183" t="inlineStr">
        <is>
          <t xml:space="preserve">        Reported Operating Expense</t>
        </is>
      </c>
      <c r="D82" s="190">
        <f>IF(COUNT(M82:AS82)&gt;0,MEDIAN(M82:AS82),"")</f>
        <v/>
      </c>
      <c r="E82" s="190">
        <f>IF(COUNT(M82:AS82)&gt;0,AVERAGE(M82:AS82),"")</f>
        <v/>
      </c>
      <c r="F82" s="190">
        <f>IF(COUNT(M82:AS82)&gt;0,MIN(M82:AS82),"")</f>
        <v/>
      </c>
      <c r="G82" s="190">
        <f>IF(COUNT(M82:AS82)&gt;0,MAX(M82:AS82),"")</f>
        <v/>
      </c>
      <c r="H82" s="190">
        <f>IF(COUNT(M82:AS82)&gt;0,QUARTILE(M82:AS82,1),"")</f>
        <v/>
      </c>
      <c r="I82" s="190">
        <f>IF(COUNT(M82:AS82)&gt;0,QUARTILE(M82:AS82,3),"")</f>
        <v/>
      </c>
      <c r="J82" s="190">
        <f>IF(COUNT(M82:AS82)&gt;1,STDEV(M82:AS82),"")</f>
        <v/>
      </c>
      <c r="K82" s="191">
        <f>IF(COUNT(M82:AS82)&gt;1,STDEV(M82:AS82)/AVERAGE(M82:AS82),"")</f>
        <v/>
      </c>
      <c r="M82" s="192" t="n">
        <v>-3013619</v>
      </c>
      <c r="N82" s="192" t="n">
        <v>-2950244</v>
      </c>
      <c r="O82" s="192" t="n">
        <v>-2664800</v>
      </c>
      <c r="P82" s="192" t="n">
        <v>-2382949</v>
      </c>
      <c r="Q82" s="192" t="n">
        <v>-2125924</v>
      </c>
      <c r="R82" s="192" t="n">
        <v>-1556085</v>
      </c>
      <c r="S82" s="192" t="n">
        <v>-1389484</v>
      </c>
      <c r="T82" s="192" t="n">
        <v>-1325482</v>
      </c>
      <c r="U82" s="192" t="n">
        <v>-1221350</v>
      </c>
      <c r="V82" s="192" t="n">
        <v>-986682</v>
      </c>
      <c r="W82" s="192" t="n">
        <v>-861979</v>
      </c>
      <c r="X82" s="192" t="n">
        <v>-801678</v>
      </c>
      <c r="Y82" s="192" t="n">
        <v>-888555</v>
      </c>
      <c r="Z82" s="192" t="n">
        <v>-763394</v>
      </c>
      <c r="AA82" s="192" t="n">
        <v>-637838</v>
      </c>
      <c r="AB82" s="192" t="n">
        <v>-606956</v>
      </c>
      <c r="AC82" s="192" t="n">
        <v>-108924</v>
      </c>
      <c r="AD82" s="192" t="n">
        <v>-86935</v>
      </c>
      <c r="AE82" s="192" t="n">
        <v>-84342</v>
      </c>
      <c r="AF82" s="192" t="n">
        <v>-63637</v>
      </c>
      <c r="AG82" s="192" t="n">
        <v>-58986</v>
      </c>
      <c r="AH82" s="192" t="n">
        <v>-45629</v>
      </c>
      <c r="AI82" s="192" t="n">
        <v>-38928</v>
      </c>
      <c r="AJ82" s="192" t="n">
        <v>-32266</v>
      </c>
      <c r="AK82" s="192" t="n">
        <v>-39563.8</v>
      </c>
      <c r="AL82" s="192" t="n">
        <v>-33719.6</v>
      </c>
      <c r="AM82" s="192" t="n">
        <v>-27128.8</v>
      </c>
      <c r="AN82" s="192" t="n">
        <v>-21900</v>
      </c>
      <c r="AO82" s="192" t="n">
        <v>-19100</v>
      </c>
      <c r="AP82" s="192" t="n">
        <v>-18100</v>
      </c>
      <c r="AQ82" s="192" t="n">
        <v>-16900</v>
      </c>
      <c r="AR82" s="192" t="n">
        <v>-9100</v>
      </c>
      <c r="AS82" s="192" t="n">
        <v>-4100</v>
      </c>
      <c r="AT82" s="182" t="n"/>
      <c r="AU82" s="176" t="n"/>
      <c r="AV82" s="176" t="n"/>
      <c r="AW82" s="176" t="n"/>
      <c r="AX82" s="176" t="n"/>
      <c r="AY82" s="176" t="n"/>
      <c r="AZ82" s="176" t="n"/>
      <c r="BA82" s="176" t="n"/>
      <c r="BB82" s="176" t="n"/>
      <c r="BC82" s="176" t="n"/>
      <c r="BD82" s="176" t="n"/>
      <c r="BE82" s="176" t="n"/>
      <c r="BF82" s="176" t="n"/>
      <c r="BG82" s="176" t="n"/>
      <c r="BH82" s="176" t="n"/>
      <c r="BI82" s="176" t="n"/>
      <c r="BJ82" s="176" t="n"/>
      <c r="BK82" s="176" t="n"/>
      <c r="BL82" s="176" t="n"/>
      <c r="BM82" s="176" t="n"/>
      <c r="BN82" s="176" t="n"/>
      <c r="BO82" s="176" t="n"/>
      <c r="BP82" s="176" t="n"/>
      <c r="BQ82" s="176" t="n"/>
      <c r="BR82" s="176" t="n"/>
    </row>
    <row r="83" ht="15" customHeight="1" s="392">
      <c r="A83" s="176" t="n"/>
      <c r="B83" s="180" t="n"/>
      <c r="C83" s="183" t="inlineStr">
        <is>
          <t xml:space="preserve">        Reported Total Operating Profit/Loss</t>
        </is>
      </c>
      <c r="D83" s="190">
        <f>IF(COUNT(M83:AS83)&gt;0,MEDIAN(M83:AS83),"")</f>
        <v/>
      </c>
      <c r="E83" s="190">
        <f>IF(COUNT(M83:AS83)&gt;0,AVERAGE(M83:AS83),"")</f>
        <v/>
      </c>
      <c r="F83" s="190">
        <f>IF(COUNT(M83:AS83)&gt;0,MIN(M83:AS83),"")</f>
        <v/>
      </c>
      <c r="G83" s="190">
        <f>IF(COUNT(M83:AS83)&gt;0,MAX(M83:AS83),"")</f>
        <v/>
      </c>
      <c r="H83" s="190">
        <f>IF(COUNT(M83:AS83)&gt;0,QUARTILE(M83:AS83,1),"")</f>
        <v/>
      </c>
      <c r="I83" s="190">
        <f>IF(COUNT(M83:AS83)&gt;0,QUARTILE(M83:AS83,3),"")</f>
        <v/>
      </c>
      <c r="J83" s="190">
        <f>IF(COUNT(M83:AS83)&gt;1,STDEV(M83:AS83),"")</f>
        <v/>
      </c>
      <c r="K83" s="191">
        <f>IF(COUNT(M83:AS83)&gt;1,STDEV(M83:AS83)/AVERAGE(M83:AS83),"")</f>
        <v/>
      </c>
      <c r="M83" s="192" t="n">
        <v>1652590</v>
      </c>
      <c r="N83" s="192" t="n">
        <v>1696714</v>
      </c>
      <c r="O83" s="192" t="n">
        <v>1572023</v>
      </c>
      <c r="P83" s="192" t="n">
        <v>1486569</v>
      </c>
      <c r="Q83" s="192" t="n">
        <v>1374997</v>
      </c>
      <c r="R83" s="192" t="n">
        <v>1136426</v>
      </c>
      <c r="S83" s="192" t="n">
        <v>816099</v>
      </c>
      <c r="T83" s="192" t="n">
        <v>716475</v>
      </c>
      <c r="U83" s="192" t="n">
        <v>584345</v>
      </c>
      <c r="V83" s="192" t="n">
        <v>461299</v>
      </c>
      <c r="W83" s="192" t="n">
        <v>406470</v>
      </c>
      <c r="X83" s="192" t="n">
        <v>344401</v>
      </c>
      <c r="Y83" s="192" t="n">
        <v>274934</v>
      </c>
      <c r="Z83" s="192" t="n">
        <v>282992</v>
      </c>
      <c r="AA83" s="192" t="n">
        <v>286353</v>
      </c>
      <c r="AB83" s="192" t="n">
        <v>265290</v>
      </c>
      <c r="AC83" s="192" t="n">
        <v>239070</v>
      </c>
      <c r="AD83" s="192" t="n">
        <v>225325</v>
      </c>
      <c r="AE83" s="192" t="n">
        <v>237917</v>
      </c>
      <c r="AF83" s="192" t="n">
        <v>203145</v>
      </c>
      <c r="AG83" s="192" t="n">
        <v>171562</v>
      </c>
      <c r="AH83" s="192" t="n">
        <v>156436</v>
      </c>
      <c r="AI83" s="192" t="n">
        <v>124461</v>
      </c>
      <c r="AJ83" s="192" t="n">
        <v>90754</v>
      </c>
      <c r="AK83" s="192" t="n">
        <v>89939.5</v>
      </c>
      <c r="AL83" s="192" t="n">
        <v>68117.3</v>
      </c>
      <c r="AM83" s="192" t="n">
        <v>46216.2</v>
      </c>
      <c r="AN83" s="192" t="n">
        <v>33400</v>
      </c>
      <c r="AO83" s="192" t="n">
        <v>23600</v>
      </c>
      <c r="AP83" s="192" t="n">
        <v>18800</v>
      </c>
      <c r="AQ83" s="192" t="n">
        <v>17800</v>
      </c>
      <c r="AR83" s="192" t="n">
        <v>11200</v>
      </c>
      <c r="AS83" s="192" t="n">
        <v>4200</v>
      </c>
      <c r="AT83" s="182" t="n"/>
      <c r="AU83" s="176" t="n"/>
      <c r="AV83" s="176" t="n"/>
      <c r="AW83" s="176" t="n"/>
      <c r="AX83" s="176" t="n"/>
      <c r="AY83" s="176" t="n"/>
      <c r="AZ83" s="176" t="n"/>
      <c r="BA83" s="176" t="n"/>
      <c r="BB83" s="176" t="n"/>
      <c r="BC83" s="176" t="n"/>
      <c r="BD83" s="176" t="n"/>
      <c r="BE83" s="176" t="n"/>
      <c r="BF83" s="176" t="n"/>
      <c r="BG83" s="176" t="n"/>
      <c r="BH83" s="176" t="n"/>
      <c r="BI83" s="176" t="n"/>
      <c r="BJ83" s="176" t="n"/>
      <c r="BK83" s="176" t="n"/>
      <c r="BL83" s="176" t="n"/>
      <c r="BM83" s="176" t="n"/>
      <c r="BN83" s="176" t="n"/>
      <c r="BO83" s="176" t="n"/>
      <c r="BP83" s="176" t="n"/>
      <c r="BQ83" s="176" t="n"/>
      <c r="BR83" s="176" t="n"/>
    </row>
    <row r="84" ht="15" customHeight="1" s="392">
      <c r="A84" s="176" t="n"/>
      <c r="B84" s="180" t="n"/>
      <c r="C84" s="183" t="inlineStr">
        <is>
          <t xml:space="preserve">        Reported Normalized Income</t>
        </is>
      </c>
      <c r="D84" s="190">
        <f>IF(COUNT(M84:AS84)&gt;0,MEDIAN(M84:AS84),"")</f>
        <v/>
      </c>
      <c r="E84" s="190">
        <f>IF(COUNT(M84:AS84)&gt;0,AVERAGE(M84:AS84),"")</f>
        <v/>
      </c>
      <c r="F84" s="190">
        <f>IF(COUNT(M84:AS84)&gt;0,MIN(M84:AS84),"")</f>
        <v/>
      </c>
      <c r="G84" s="190">
        <f>IF(COUNT(M84:AS84)&gt;0,MAX(M84:AS84),"")</f>
        <v/>
      </c>
      <c r="H84" s="190">
        <f>IF(COUNT(M84:AS84)&gt;0,QUARTILE(M84:AS84,1),"")</f>
        <v/>
      </c>
      <c r="I84" s="190">
        <f>IF(COUNT(M84:AS84)&gt;0,QUARTILE(M84:AS84,3),"")</f>
        <v/>
      </c>
      <c r="J84" s="190">
        <f>IF(COUNT(M84:AS84)&gt;1,STDEV(M84:AS84),"")</f>
        <v/>
      </c>
      <c r="K84" s="191">
        <f>IF(COUNT(M84:AS84)&gt;1,STDEV(M84:AS84)/AVERAGE(M84:AS84),"")</f>
        <v/>
      </c>
      <c r="M84" s="192" t="n"/>
      <c r="N84" s="192" t="n"/>
      <c r="O84" s="192" t="n"/>
      <c r="P84" s="192" t="n">
        <v>1215272</v>
      </c>
      <c r="Q84" s="192" t="n">
        <v>1076387</v>
      </c>
      <c r="R84" s="192" t="n">
        <v>889632</v>
      </c>
      <c r="S84" s="192" t="n">
        <v>610522</v>
      </c>
      <c r="T84" s="192" t="n">
        <v>535839</v>
      </c>
      <c r="U84" s="192" t="n">
        <v>416143</v>
      </c>
      <c r="V84" s="192" t="n">
        <v>302587</v>
      </c>
      <c r="W84" s="192" t="n">
        <v>253108</v>
      </c>
      <c r="X84" s="192" t="n">
        <v>220317</v>
      </c>
      <c r="Y84" s="192" t="n"/>
      <c r="Z84" s="192" t="n"/>
      <c r="AA84" s="192" t="n"/>
      <c r="AB84" s="192" t="n"/>
      <c r="AC84" s="192" t="n"/>
      <c r="AD84" s="192" t="n"/>
      <c r="AE84" s="192" t="n"/>
      <c r="AF84" s="192" t="n"/>
      <c r="AG84" s="192" t="n"/>
      <c r="AH84" s="192" t="n"/>
      <c r="AI84" s="192" t="n"/>
      <c r="AJ84" s="192" t="n"/>
      <c r="AK84" s="192" t="n"/>
      <c r="AL84" s="192" t="n"/>
      <c r="AM84" s="192" t="n"/>
      <c r="AN84" s="192" t="n"/>
      <c r="AO84" s="192" t="n"/>
      <c r="AP84" s="192" t="n"/>
      <c r="AQ84" s="192" t="n"/>
      <c r="AR84" s="192" t="n"/>
      <c r="AS84" s="192" t="n"/>
      <c r="AT84" s="182" t="n"/>
      <c r="AU84" s="176" t="n"/>
      <c r="AV84" s="176" t="n"/>
      <c r="AW84" s="176" t="n"/>
      <c r="AX84" s="176" t="n"/>
      <c r="AY84" s="176" t="n"/>
      <c r="AZ84" s="176" t="n"/>
      <c r="BA84" s="176" t="n"/>
      <c r="BB84" s="176" t="n"/>
      <c r="BC84" s="176" t="n"/>
      <c r="BD84" s="176" t="n"/>
      <c r="BE84" s="176" t="n"/>
      <c r="BF84" s="176" t="n"/>
      <c r="BG84" s="176" t="n"/>
      <c r="BH84" s="176" t="n"/>
      <c r="BI84" s="176" t="n"/>
      <c r="BJ84" s="176" t="n"/>
      <c r="BK84" s="176" t="n"/>
      <c r="BL84" s="176" t="n"/>
      <c r="BM84" s="176" t="n"/>
      <c r="BN84" s="176" t="n"/>
      <c r="BO84" s="176" t="n"/>
      <c r="BP84" s="176" t="n"/>
      <c r="BQ84" s="176" t="n"/>
      <c r="BR84" s="176" t="n"/>
    </row>
    <row r="85" ht="15" customHeight="1" s="392">
      <c r="A85" s="176" t="n"/>
      <c r="B85" s="180" t="n"/>
      <c r="C85" s="183" t="inlineStr">
        <is>
          <t xml:space="preserve">        Reported Normalized Diluted EPS</t>
        </is>
      </c>
      <c r="D85" s="191">
        <f>IF(COUNT(M85:AS85)&gt;0,MEDIAN(M85:AS85),"")</f>
        <v/>
      </c>
      <c r="E85" s="191">
        <f>IF(COUNT(M85:AS85)&gt;0,AVERAGE(M85:AS85),"")</f>
        <v/>
      </c>
      <c r="F85" s="191">
        <f>IF(COUNT(M85:AS85)&gt;0,MIN(M85:AS85),"")</f>
        <v/>
      </c>
      <c r="G85" s="191">
        <f>IF(COUNT(M85:AS85)&gt;0,MAX(M85:AS85),"")</f>
        <v/>
      </c>
      <c r="H85" s="191">
        <f>IF(COUNT(M85:AS85)&gt;0,QUARTILE(M85:AS85,1),"")</f>
        <v/>
      </c>
      <c r="I85" s="191">
        <f>IF(COUNT(M85:AS85)&gt;0,QUARTILE(M85:AS85,3),"")</f>
        <v/>
      </c>
      <c r="J85" s="191">
        <f>IF(COUNT(M85:AS85)&gt;1,STDEV(M85:AS85),"")</f>
        <v/>
      </c>
      <c r="K85" s="191">
        <f>IF(COUNT(M85:AS85)&gt;1,STDEV(M85:AS85)/AVERAGE(M85:AS85),"")</f>
        <v/>
      </c>
      <c r="M85" s="197" t="n"/>
      <c r="N85" s="197" t="n"/>
      <c r="O85" s="197" t="n"/>
      <c r="P85" s="197" t="n">
        <v>0.63</v>
      </c>
      <c r="Q85" s="197" t="n">
        <v>1.115</v>
      </c>
      <c r="R85" s="197" t="n">
        <v>0.925</v>
      </c>
      <c r="S85" s="197" t="n">
        <v>0.6425</v>
      </c>
      <c r="T85" s="197" t="n">
        <v>0.5625</v>
      </c>
      <c r="U85" s="197" t="n">
        <v>0.4325</v>
      </c>
      <c r="V85" s="197" t="n">
        <v>0.3225</v>
      </c>
      <c r="W85" s="197" t="n">
        <v>0.2625</v>
      </c>
      <c r="X85" s="197" t="n">
        <v>0.21</v>
      </c>
      <c r="Y85" s="197" t="n"/>
      <c r="Z85" s="197" t="n"/>
      <c r="AA85" s="197" t="n"/>
      <c r="AB85" s="197" t="n"/>
      <c r="AC85" s="197" t="n"/>
      <c r="AD85" s="197" t="n"/>
      <c r="AE85" s="197" t="n"/>
      <c r="AF85" s="197" t="n"/>
      <c r="AG85" s="197" t="n"/>
      <c r="AH85" s="197" t="n"/>
      <c r="AI85" s="197" t="n"/>
      <c r="AJ85" s="197" t="n"/>
      <c r="AK85" s="197" t="n"/>
      <c r="AL85" s="197" t="n"/>
      <c r="AM85" s="197" t="n"/>
      <c r="AN85" s="197" t="n"/>
      <c r="AO85" s="197" t="n"/>
      <c r="AP85" s="197" t="n"/>
      <c r="AQ85" s="197" t="n"/>
      <c r="AR85" s="197" t="n"/>
      <c r="AS85" s="197" t="n"/>
      <c r="AT85" s="182" t="n"/>
      <c r="AU85" s="176" t="n"/>
      <c r="AV85" s="176" t="n"/>
      <c r="AW85" s="176" t="n"/>
      <c r="AX85" s="176" t="n"/>
      <c r="AY85" s="176" t="n"/>
      <c r="AZ85" s="176" t="n"/>
      <c r="BA85" s="176" t="n"/>
      <c r="BB85" s="176" t="n"/>
      <c r="BC85" s="176" t="n"/>
      <c r="BD85" s="176" t="n"/>
      <c r="BE85" s="176" t="n"/>
      <c r="BF85" s="176" t="n"/>
      <c r="BG85" s="176" t="n"/>
      <c r="BH85" s="176" t="n"/>
      <c r="BI85" s="176" t="n"/>
      <c r="BJ85" s="176" t="n"/>
      <c r="BK85" s="176" t="n"/>
      <c r="BL85" s="176" t="n"/>
      <c r="BM85" s="176" t="n"/>
      <c r="BN85" s="176" t="n"/>
      <c r="BO85" s="176" t="n"/>
      <c r="BP85" s="176" t="n"/>
      <c r="BQ85" s="176" t="n"/>
      <c r="BR85" s="176" t="n"/>
    </row>
    <row r="86" ht="15" customHeight="1" s="392">
      <c r="A86" s="176" t="n"/>
      <c r="B86" s="180" t="n"/>
      <c r="C86" s="183" t="inlineStr">
        <is>
          <t xml:space="preserve">        Reported Effective Tax Rate</t>
        </is>
      </c>
      <c r="D86" s="199">
        <f>IF(COUNT(M86:AS86)&gt;0,MEDIAN(M86:AS86),"")</f>
        <v/>
      </c>
      <c r="E86" s="199">
        <f>IF(COUNT(M86:AS86)&gt;0,AVERAGE(M86:AS86),"")</f>
        <v/>
      </c>
      <c r="F86" s="199">
        <f>IF(COUNT(M86:AS86)&gt;0,MIN(M86:AS86),"")</f>
        <v/>
      </c>
      <c r="G86" s="199">
        <f>IF(COUNT(M86:AS86)&gt;0,MAX(M86:AS86),"")</f>
        <v/>
      </c>
      <c r="H86" s="199">
        <f>IF(COUNT(M86:AS86)&gt;0,QUARTILE(M86:AS86,1),"")</f>
        <v/>
      </c>
      <c r="I86" s="199">
        <f>IF(COUNT(M86:AS86)&gt;0,QUARTILE(M86:AS86,3),"")</f>
        <v/>
      </c>
      <c r="J86" s="199">
        <f>IF(COUNT(M86:AS86)&gt;1,STDEV(M86:AS86),"")</f>
        <v/>
      </c>
      <c r="K86" s="191">
        <f>IF(COUNT(M86:AS86)&gt;1,STDEV(M86:AS86)/AVERAGE(M86:AS86),"")</f>
        <v/>
      </c>
      <c r="M86" s="200" t="n"/>
      <c r="N86" s="200" t="n">
        <v>0.183</v>
      </c>
      <c r="O86" s="200" t="n">
        <v>0.205</v>
      </c>
      <c r="P86" s="200" t="n">
        <v>0.204</v>
      </c>
      <c r="Q86" s="200" t="n">
        <v>0.187</v>
      </c>
      <c r="R86" s="200" t="n">
        <v>0.165</v>
      </c>
      <c r="S86" s="200" t="n">
        <v>0.126</v>
      </c>
      <c r="T86" s="200" t="n">
        <v>0.161</v>
      </c>
      <c r="U86" s="200" t="n">
        <v>0.257</v>
      </c>
      <c r="V86" s="200" t="n">
        <v>0.104</v>
      </c>
      <c r="W86" s="200" t="n">
        <v>0.317</v>
      </c>
      <c r="X86" s="200" t="n">
        <v>0.338</v>
      </c>
      <c r="Y86" s="200" t="n">
        <v>0.338</v>
      </c>
      <c r="Z86" s="200" t="n">
        <v>0.35</v>
      </c>
      <c r="AA86" s="200" t="n">
        <v>0.345</v>
      </c>
      <c r="AB86" s="200" t="n">
        <v>0.369</v>
      </c>
      <c r="AC86" s="200" t="n"/>
      <c r="AD86" s="200" t="n"/>
      <c r="AE86" s="200" t="n"/>
      <c r="AF86" s="200" t="n"/>
      <c r="AG86" s="200" t="n"/>
      <c r="AH86" s="200" t="n"/>
      <c r="AI86" s="200" t="n"/>
      <c r="AJ86" s="200" t="n"/>
      <c r="AK86" s="200" t="n"/>
      <c r="AL86" s="200" t="n"/>
      <c r="AM86" s="200" t="n"/>
      <c r="AN86" s="200" t="n"/>
      <c r="AO86" s="200" t="n"/>
      <c r="AP86" s="200" t="n"/>
      <c r="AQ86" s="200" t="n"/>
      <c r="AR86" s="200" t="n"/>
      <c r="AS86" s="200" t="n"/>
      <c r="AT86" s="182" t="n"/>
      <c r="AU86" s="176" t="n"/>
      <c r="AV86" s="176" t="n"/>
      <c r="AW86" s="176" t="n"/>
      <c r="AX86" s="176" t="n"/>
      <c r="AY86" s="176" t="n"/>
      <c r="AZ86" s="176" t="n"/>
      <c r="BA86" s="176" t="n"/>
      <c r="BB86" s="176" t="n"/>
      <c r="BC86" s="176" t="n"/>
      <c r="BD86" s="176" t="n"/>
      <c r="BE86" s="176" t="n"/>
      <c r="BF86" s="176" t="n"/>
      <c r="BG86" s="176" t="n"/>
      <c r="BH86" s="176" t="n"/>
      <c r="BI86" s="176" t="n"/>
      <c r="BJ86" s="176" t="n"/>
      <c r="BK86" s="176" t="n"/>
      <c r="BL86" s="176" t="n"/>
      <c r="BM86" s="176" t="n"/>
      <c r="BN86" s="176" t="n"/>
      <c r="BO86" s="176" t="n"/>
      <c r="BP86" s="176" t="n"/>
      <c r="BQ86" s="176" t="n"/>
      <c r="BR86" s="176" t="n"/>
    </row>
    <row r="87" ht="15" customHeight="1" s="392">
      <c r="A87" s="176" t="n"/>
      <c r="B87" s="180" t="n"/>
      <c r="C87" s="183" t="inlineStr">
        <is>
          <t xml:space="preserve">    Operating (Income)/Expenses, Supplemental Section</t>
        </is>
      </c>
      <c r="D87" s="185" t="n"/>
      <c r="E87" s="185" t="n"/>
      <c r="F87" s="185" t="n"/>
      <c r="G87" s="185" t="n"/>
      <c r="H87" s="185" t="n"/>
      <c r="I87" s="185" t="n"/>
      <c r="J87" s="185" t="n"/>
      <c r="K87" s="185" t="n"/>
      <c r="AT87" s="182" t="n"/>
      <c r="AU87" s="176" t="n"/>
      <c r="AV87" s="176" t="n"/>
      <c r="AW87" s="176" t="n"/>
      <c r="AX87" s="176" t="n"/>
      <c r="AY87" s="176" t="n"/>
      <c r="AZ87" s="176" t="n"/>
      <c r="BA87" s="176" t="n"/>
      <c r="BB87" s="176" t="n"/>
      <c r="BC87" s="176" t="n"/>
      <c r="BD87" s="176" t="n"/>
      <c r="BE87" s="176" t="n"/>
      <c r="BF87" s="176" t="n"/>
      <c r="BG87" s="176" t="n"/>
      <c r="BH87" s="176" t="n"/>
      <c r="BI87" s="176" t="n"/>
      <c r="BJ87" s="176" t="n"/>
      <c r="BK87" s="176" t="n"/>
      <c r="BL87" s="176" t="n"/>
      <c r="BM87" s="176" t="n"/>
      <c r="BN87" s="176" t="n"/>
      <c r="BO87" s="176" t="n"/>
      <c r="BP87" s="176" t="n"/>
      <c r="BQ87" s="176" t="n"/>
      <c r="BR87" s="176" t="n"/>
    </row>
    <row r="88" ht="15" customHeight="1" s="392">
      <c r="A88" s="176" t="n"/>
      <c r="B88" s="180" t="n"/>
      <c r="C88" s="183" t="inlineStr">
        <is>
          <t xml:space="preserve">        Depreciation, Amortization and Depletion, Supplemental</t>
        </is>
      </c>
      <c r="D88" s="185" t="n"/>
      <c r="E88" s="185" t="n"/>
      <c r="F88" s="185" t="n"/>
      <c r="G88" s="185" t="n"/>
      <c r="H88" s="185" t="n"/>
      <c r="I88" s="185" t="n"/>
      <c r="J88" s="185" t="n"/>
      <c r="K88" s="185" t="n"/>
      <c r="AT88" s="182" t="n"/>
      <c r="AU88" s="176" t="n"/>
      <c r="AV88" s="176" t="n"/>
      <c r="AW88" s="176" t="n"/>
      <c r="AX88" s="176" t="n"/>
      <c r="AY88" s="176" t="n"/>
      <c r="AZ88" s="176" t="n"/>
      <c r="BA88" s="176" t="n"/>
      <c r="BB88" s="176" t="n"/>
      <c r="BC88" s="176" t="n"/>
      <c r="BD88" s="176" t="n"/>
      <c r="BE88" s="176" t="n"/>
      <c r="BF88" s="176" t="n"/>
      <c r="BG88" s="176" t="n"/>
      <c r="BH88" s="176" t="n"/>
      <c r="BI88" s="176" t="n"/>
      <c r="BJ88" s="176" t="n"/>
      <c r="BK88" s="176" t="n"/>
      <c r="BL88" s="176" t="n"/>
      <c r="BM88" s="176" t="n"/>
      <c r="BN88" s="176" t="n"/>
      <c r="BO88" s="176" t="n"/>
      <c r="BP88" s="176" t="n"/>
      <c r="BQ88" s="176" t="n"/>
      <c r="BR88" s="176" t="n"/>
    </row>
    <row r="89" ht="15" customHeight="1" s="392">
      <c r="A89" s="176" t="n"/>
      <c r="B89" s="180" t="n"/>
      <c r="C89" s="183" t="inlineStr">
        <is>
          <t xml:space="preserve">            Depreciation and Amortization, Supplemental</t>
        </is>
      </c>
      <c r="D89" s="185" t="n"/>
      <c r="E89" s="185" t="n"/>
      <c r="F89" s="185" t="n"/>
      <c r="G89" s="185" t="n"/>
      <c r="H89" s="185" t="n"/>
      <c r="I89" s="185" t="n"/>
      <c r="J89" s="185" t="n"/>
      <c r="K89" s="185" t="n"/>
      <c r="AT89" s="182" t="n"/>
      <c r="AU89" s="176" t="n"/>
      <c r="AV89" s="176" t="n"/>
      <c r="AW89" s="176" t="n"/>
      <c r="AX89" s="176" t="n"/>
      <c r="AY89" s="176" t="n"/>
      <c r="AZ89" s="176" t="n"/>
      <c r="BA89" s="176" t="n"/>
      <c r="BB89" s="176" t="n"/>
      <c r="BC89" s="176" t="n"/>
      <c r="BD89" s="176" t="n"/>
      <c r="BE89" s="176" t="n"/>
      <c r="BF89" s="176" t="n"/>
      <c r="BG89" s="176" t="n"/>
      <c r="BH89" s="176" t="n"/>
      <c r="BI89" s="176" t="n"/>
      <c r="BJ89" s="176" t="n"/>
      <c r="BK89" s="176" t="n"/>
      <c r="BL89" s="176" t="n"/>
      <c r="BM89" s="176" t="n"/>
      <c r="BN89" s="176" t="n"/>
      <c r="BO89" s="176" t="n"/>
      <c r="BP89" s="176" t="n"/>
      <c r="BQ89" s="176" t="n"/>
      <c r="BR89" s="176" t="n"/>
    </row>
    <row r="90" ht="15" customHeight="1" s="392">
      <c r="A90" s="176" t="n"/>
      <c r="B90" s="180" t="n"/>
      <c r="C90" s="183" t="inlineStr">
        <is>
          <t xml:space="preserve">                Depreciation, Supplemental</t>
        </is>
      </c>
      <c r="D90" s="190">
        <f>IF(COUNT(M90:AS90)&gt;0,MEDIAN(M90:AS90),"")</f>
        <v/>
      </c>
      <c r="E90" s="190">
        <f>IF(COUNT(M90:AS90)&gt;0,AVERAGE(M90:AS90),"")</f>
        <v/>
      </c>
      <c r="F90" s="190">
        <f>IF(COUNT(M90:AS90)&gt;0,MIN(M90:AS90),"")</f>
        <v/>
      </c>
      <c r="G90" s="190">
        <f>IF(COUNT(M90:AS90)&gt;0,MAX(M90:AS90),"")</f>
        <v/>
      </c>
      <c r="H90" s="190">
        <f>IF(COUNT(M90:AS90)&gt;0,QUARTILE(M90:AS90,1),"")</f>
        <v/>
      </c>
      <c r="I90" s="190">
        <f>IF(COUNT(M90:AS90)&gt;0,QUARTILE(M90:AS90,3),"")</f>
        <v/>
      </c>
      <c r="J90" s="190">
        <f>IF(COUNT(M90:AS90)&gt;1,STDEV(M90:AS90),"")</f>
        <v/>
      </c>
      <c r="K90" s="191">
        <f>IF(COUNT(M90:AS90)&gt;1,STDEV(M90:AS90)/AVERAGE(M90:AS90),"")</f>
        <v/>
      </c>
      <c r="M90" s="192" t="n"/>
      <c r="N90" s="192" t="n">
        <v>188900</v>
      </c>
      <c r="O90" s="192" t="n">
        <v>167700</v>
      </c>
      <c r="P90" s="192" t="n">
        <v>139900</v>
      </c>
      <c r="Q90" s="192" t="n">
        <v>121300</v>
      </c>
      <c r="R90" s="192" t="n">
        <v>105500</v>
      </c>
      <c r="S90" s="192" t="n">
        <v>82100</v>
      </c>
      <c r="T90" s="192" t="n">
        <v>66800</v>
      </c>
      <c r="U90" s="192" t="n">
        <v>58800</v>
      </c>
      <c r="V90" s="192" t="n"/>
      <c r="W90" s="192" t="n"/>
      <c r="X90" s="192" t="n"/>
      <c r="Y90" s="192" t="n"/>
      <c r="Z90" s="192" t="n"/>
      <c r="AA90" s="192" t="n"/>
      <c r="AB90" s="192" t="n"/>
      <c r="AC90" s="192" t="n"/>
      <c r="AD90" s="192" t="n"/>
      <c r="AE90" s="192" t="n"/>
      <c r="AF90" s="192" t="n"/>
      <c r="AG90" s="192" t="n"/>
      <c r="AH90" s="192" t="n"/>
      <c r="AI90" s="192" t="n"/>
      <c r="AJ90" s="192" t="n"/>
      <c r="AK90" s="192" t="n"/>
      <c r="AL90" s="192" t="n"/>
      <c r="AM90" s="192" t="n"/>
      <c r="AN90" s="192" t="n"/>
      <c r="AO90" s="192" t="n"/>
      <c r="AP90" s="192" t="n"/>
      <c r="AQ90" s="192" t="n"/>
      <c r="AR90" s="192" t="n"/>
      <c r="AS90" s="192" t="n"/>
      <c r="AT90" s="182" t="n"/>
      <c r="AU90" s="176" t="n"/>
      <c r="AV90" s="176" t="n"/>
      <c r="AW90" s="176" t="n"/>
      <c r="AX90" s="176" t="n"/>
      <c r="AY90" s="176" t="n"/>
      <c r="AZ90" s="176" t="n"/>
      <c r="BA90" s="176" t="n"/>
      <c r="BB90" s="176" t="n"/>
      <c r="BC90" s="176" t="n"/>
      <c r="BD90" s="176" t="n"/>
      <c r="BE90" s="176" t="n"/>
      <c r="BF90" s="176" t="n"/>
      <c r="BG90" s="176" t="n"/>
      <c r="BH90" s="176" t="n"/>
      <c r="BI90" s="176" t="n"/>
      <c r="BJ90" s="176" t="n"/>
      <c r="BK90" s="176" t="n"/>
      <c r="BL90" s="176" t="n"/>
      <c r="BM90" s="176" t="n"/>
      <c r="BN90" s="176" t="n"/>
      <c r="BO90" s="176" t="n"/>
      <c r="BP90" s="176" t="n"/>
      <c r="BQ90" s="176" t="n"/>
      <c r="BR90" s="176" t="n"/>
    </row>
    <row r="91" ht="15" customHeight="1" s="392">
      <c r="A91" s="176" t="n"/>
      <c r="B91" s="180" t="n"/>
      <c r="C91" s="183" t="inlineStr">
        <is>
          <t xml:space="preserve">                Amortization, Supplemental</t>
        </is>
      </c>
      <c r="D91" s="190">
        <f>IF(COUNT(M91:AS91)&gt;0,MEDIAN(M91:AS91),"")</f>
        <v/>
      </c>
      <c r="E91" s="190">
        <f>IF(COUNT(M91:AS91)&gt;0,AVERAGE(M91:AS91),"")</f>
        <v/>
      </c>
      <c r="F91" s="190">
        <f>IF(COUNT(M91:AS91)&gt;0,MIN(M91:AS91),"")</f>
        <v/>
      </c>
      <c r="G91" s="190">
        <f>IF(COUNT(M91:AS91)&gt;0,MAX(M91:AS91),"")</f>
        <v/>
      </c>
      <c r="H91" s="190">
        <f>IF(COUNT(M91:AS91)&gt;0,QUARTILE(M91:AS91,1),"")</f>
        <v/>
      </c>
      <c r="I91" s="190">
        <f>IF(COUNT(M91:AS91)&gt;0,QUARTILE(M91:AS91,3),"")</f>
        <v/>
      </c>
      <c r="J91" s="190">
        <f>IF(COUNT(M91:AS91)&gt;1,STDEV(M91:AS91),"")</f>
        <v/>
      </c>
      <c r="K91" s="191">
        <f>IF(COUNT(M91:AS91)&gt;1,STDEV(M91:AS91)/AVERAGE(M91:AS91),"")</f>
        <v/>
      </c>
      <c r="M91" s="192" t="n"/>
      <c r="N91" s="192" t="n">
        <v>26900</v>
      </c>
      <c r="O91" s="192" t="n">
        <v>22000</v>
      </c>
      <c r="P91" s="192" t="n">
        <v>19600</v>
      </c>
      <c r="Q91" s="192" t="n">
        <v>16700</v>
      </c>
      <c r="R91" s="192" t="n">
        <v>16400</v>
      </c>
      <c r="S91" s="192" t="n">
        <v>19300</v>
      </c>
      <c r="T91" s="192" t="n">
        <v>18100</v>
      </c>
      <c r="U91" s="192" t="n">
        <v>19700</v>
      </c>
      <c r="V91" s="192" t="n"/>
      <c r="W91" s="192" t="n"/>
      <c r="X91" s="192" t="n"/>
      <c r="Y91" s="192" t="n"/>
      <c r="Z91" s="192" t="n"/>
      <c r="AA91" s="192" t="n"/>
      <c r="AB91" s="192" t="n"/>
      <c r="AC91" s="192" t="n"/>
      <c r="AD91" s="192" t="n"/>
      <c r="AE91" s="192" t="n"/>
      <c r="AF91" s="192" t="n"/>
      <c r="AG91" s="192" t="n"/>
      <c r="AH91" s="192" t="n"/>
      <c r="AI91" s="192" t="n"/>
      <c r="AJ91" s="192" t="n"/>
      <c r="AK91" s="192" t="n"/>
      <c r="AL91" s="192" t="n"/>
      <c r="AM91" s="192" t="n"/>
      <c r="AN91" s="192" t="n"/>
      <c r="AO91" s="192" t="n"/>
      <c r="AP91" s="192" t="n"/>
      <c r="AQ91" s="192" t="n"/>
      <c r="AR91" s="192" t="n"/>
      <c r="AS91" s="192" t="n"/>
      <c r="AT91" s="182" t="n"/>
      <c r="AU91" s="176" t="n"/>
      <c r="AV91" s="176" t="n"/>
      <c r="AW91" s="176" t="n"/>
      <c r="AX91" s="176" t="n"/>
      <c r="AY91" s="176" t="n"/>
      <c r="AZ91" s="176" t="n"/>
      <c r="BA91" s="176" t="n"/>
      <c r="BB91" s="176" t="n"/>
      <c r="BC91" s="176" t="n"/>
      <c r="BD91" s="176" t="n"/>
      <c r="BE91" s="176" t="n"/>
      <c r="BF91" s="176" t="n"/>
      <c r="BG91" s="176" t="n"/>
      <c r="BH91" s="176" t="n"/>
      <c r="BI91" s="176" t="n"/>
      <c r="BJ91" s="176" t="n"/>
      <c r="BK91" s="176" t="n"/>
      <c r="BL91" s="176" t="n"/>
      <c r="BM91" s="176" t="n"/>
      <c r="BN91" s="176" t="n"/>
      <c r="BO91" s="176" t="n"/>
      <c r="BP91" s="176" t="n"/>
      <c r="BQ91" s="176" t="n"/>
      <c r="BR91" s="176" t="n"/>
    </row>
    <row r="92" ht="15" customHeight="1" s="392">
      <c r="A92" s="176" t="n"/>
      <c r="B92" s="180" t="n"/>
      <c r="C92" s="187" t="inlineStr">
        <is>
          <t xml:space="preserve">            Total Depreciation and Amortization, Supplemental</t>
        </is>
      </c>
      <c r="D92" s="193">
        <f>IF(COUNT(M92:AS92)&gt;0,MEDIAN(M92:AS92),"")</f>
        <v/>
      </c>
      <c r="E92" s="193">
        <f>IF(COUNT(M92:AS92)&gt;0,AVERAGE(M92:AS92),"")</f>
        <v/>
      </c>
      <c r="F92" s="193">
        <f>IF(COUNT(M92:AS92)&gt;0,MIN(M92:AS92),"")</f>
        <v/>
      </c>
      <c r="G92" s="193">
        <f>IF(COUNT(M92:AS92)&gt;0,MAX(M92:AS92),"")</f>
        <v/>
      </c>
      <c r="H92" s="193">
        <f>IF(COUNT(M92:AS92)&gt;0,QUARTILE(M92:AS92,1),"")</f>
        <v/>
      </c>
      <c r="I92" s="193">
        <f>IF(COUNT(M92:AS92)&gt;0,QUARTILE(M92:AS92,3),"")</f>
        <v/>
      </c>
      <c r="J92" s="193">
        <f>IF(COUNT(M92:AS92)&gt;1,STDEV(M92:AS92),"")</f>
        <v/>
      </c>
      <c r="K92" s="194">
        <f>IF(COUNT(M92:AS92)&gt;1,STDEV(M92:AS92)/AVERAGE(M92:AS92),"")</f>
        <v/>
      </c>
      <c r="L92" s="195" t="n"/>
      <c r="M92" s="196" t="n">
        <v>229373</v>
      </c>
      <c r="N92" s="196" t="n">
        <v>215800</v>
      </c>
      <c r="O92" s="196" t="n">
        <v>189700</v>
      </c>
      <c r="P92" s="196" t="n">
        <v>159500</v>
      </c>
      <c r="Q92" s="196" t="n">
        <v>138000</v>
      </c>
      <c r="R92" s="196" t="n">
        <v>121900</v>
      </c>
      <c r="S92" s="196" t="n">
        <v>101400</v>
      </c>
      <c r="T92" s="196" t="n">
        <v>84900</v>
      </c>
      <c r="U92" s="196" t="n">
        <v>78500</v>
      </c>
      <c r="V92" s="196" t="n"/>
      <c r="W92" s="196" t="n"/>
      <c r="X92" s="196" t="n"/>
      <c r="Y92" s="196" t="n"/>
      <c r="Z92" s="196" t="n"/>
      <c r="AA92" s="196" t="n"/>
      <c r="AB92" s="196" t="n"/>
      <c r="AC92" s="196" t="n"/>
      <c r="AD92" s="196" t="n"/>
      <c r="AE92" s="196" t="n"/>
      <c r="AF92" s="196" t="n"/>
      <c r="AG92" s="196" t="n"/>
      <c r="AH92" s="196" t="n"/>
      <c r="AI92" s="196" t="n"/>
      <c r="AJ92" s="196" t="n"/>
      <c r="AK92" s="196" t="n"/>
      <c r="AL92" s="196" t="n"/>
      <c r="AM92" s="196" t="n"/>
      <c r="AN92" s="196" t="n"/>
      <c r="AO92" s="196" t="n"/>
      <c r="AP92" s="196" t="n"/>
      <c r="AQ92" s="196" t="n"/>
      <c r="AR92" s="196" t="n"/>
      <c r="AS92" s="196" t="n"/>
      <c r="AT92" s="182" t="n"/>
      <c r="AU92" s="176" t="n"/>
      <c r="AV92" s="176" t="n"/>
      <c r="AW92" s="176" t="n"/>
      <c r="AX92" s="176" t="n"/>
      <c r="AY92" s="176" t="n"/>
      <c r="AZ92" s="176" t="n"/>
      <c r="BA92" s="176" t="n"/>
      <c r="BB92" s="176" t="n"/>
      <c r="BC92" s="176" t="n"/>
      <c r="BD92" s="176" t="n"/>
      <c r="BE92" s="176" t="n"/>
      <c r="BF92" s="176" t="n"/>
      <c r="BG92" s="176" t="n"/>
      <c r="BH92" s="176" t="n"/>
      <c r="BI92" s="176" t="n"/>
      <c r="BJ92" s="176" t="n"/>
      <c r="BK92" s="176" t="n"/>
      <c r="BL92" s="176" t="n"/>
      <c r="BM92" s="176" t="n"/>
      <c r="BN92" s="176" t="n"/>
      <c r="BO92" s="176" t="n"/>
      <c r="BP92" s="176" t="n"/>
      <c r="BQ92" s="176" t="n"/>
      <c r="BR92" s="176" t="n"/>
    </row>
    <row r="93" ht="15" customHeight="1" s="392">
      <c r="A93" s="176" t="n"/>
      <c r="B93" s="180" t="n"/>
      <c r="C93" s="187" t="inlineStr">
        <is>
          <t xml:space="preserve">        Total Depreciation, Amortization and Depletion, Supplemental</t>
        </is>
      </c>
      <c r="D93" s="193">
        <f>IF(COUNT(M93:AS93)&gt;0,MEDIAN(M93:AS93),"")</f>
        <v/>
      </c>
      <c r="E93" s="193">
        <f>IF(COUNT(M93:AS93)&gt;0,AVERAGE(M93:AS93),"")</f>
        <v/>
      </c>
      <c r="F93" s="193">
        <f>IF(COUNT(M93:AS93)&gt;0,MIN(M93:AS93),"")</f>
        <v/>
      </c>
      <c r="G93" s="193">
        <f>IF(COUNT(M93:AS93)&gt;0,MAX(M93:AS93),"")</f>
        <v/>
      </c>
      <c r="H93" s="193">
        <f>IF(COUNT(M93:AS93)&gt;0,QUARTILE(M93:AS93,1),"")</f>
        <v/>
      </c>
      <c r="I93" s="193">
        <f>IF(COUNT(M93:AS93)&gt;0,QUARTILE(M93:AS93,3),"")</f>
        <v/>
      </c>
      <c r="J93" s="193">
        <f>IF(COUNT(M93:AS93)&gt;1,STDEV(M93:AS93),"")</f>
        <v/>
      </c>
      <c r="K93" s="194">
        <f>IF(COUNT(M93:AS93)&gt;1,STDEV(M93:AS93)/AVERAGE(M93:AS93),"")</f>
        <v/>
      </c>
      <c r="L93" s="195" t="n"/>
      <c r="M93" s="196" t="n">
        <v>229373</v>
      </c>
      <c r="N93" s="196" t="n">
        <v>215800</v>
      </c>
      <c r="O93" s="196" t="n">
        <v>189700</v>
      </c>
      <c r="P93" s="196" t="n">
        <v>159500</v>
      </c>
      <c r="Q93" s="196" t="n">
        <v>138000</v>
      </c>
      <c r="R93" s="196" t="n">
        <v>121900</v>
      </c>
      <c r="S93" s="196" t="n">
        <v>101400</v>
      </c>
      <c r="T93" s="196" t="n">
        <v>84900</v>
      </c>
      <c r="U93" s="196" t="n">
        <v>78500</v>
      </c>
      <c r="V93" s="196" t="n"/>
      <c r="W93" s="196" t="n"/>
      <c r="X93" s="196" t="n"/>
      <c r="Y93" s="196" t="n"/>
      <c r="Z93" s="196" t="n"/>
      <c r="AA93" s="196" t="n"/>
      <c r="AB93" s="196" t="n"/>
      <c r="AC93" s="196" t="n"/>
      <c r="AD93" s="196" t="n"/>
      <c r="AE93" s="196" t="n"/>
      <c r="AF93" s="196" t="n"/>
      <c r="AG93" s="196" t="n"/>
      <c r="AH93" s="196" t="n"/>
      <c r="AI93" s="196" t="n"/>
      <c r="AJ93" s="196" t="n"/>
      <c r="AK93" s="196" t="n"/>
      <c r="AL93" s="196" t="n"/>
      <c r="AM93" s="196" t="n"/>
      <c r="AN93" s="196" t="n"/>
      <c r="AO93" s="196" t="n"/>
      <c r="AP93" s="196" t="n"/>
      <c r="AQ93" s="196" t="n"/>
      <c r="AR93" s="196" t="n"/>
      <c r="AS93" s="196" t="n"/>
      <c r="AT93" s="182" t="n"/>
      <c r="AU93" s="176" t="n"/>
      <c r="AV93" s="176" t="n"/>
      <c r="AW93" s="176" t="n"/>
      <c r="AX93" s="176" t="n"/>
      <c r="AY93" s="176" t="n"/>
      <c r="AZ93" s="176" t="n"/>
      <c r="BA93" s="176" t="n"/>
      <c r="BB93" s="176" t="n"/>
      <c r="BC93" s="176" t="n"/>
      <c r="BD93" s="176" t="n"/>
      <c r="BE93" s="176" t="n"/>
      <c r="BF93" s="176" t="n"/>
      <c r="BG93" s="176" t="n"/>
      <c r="BH93" s="176" t="n"/>
      <c r="BI93" s="176" t="n"/>
      <c r="BJ93" s="176" t="n"/>
      <c r="BK93" s="176" t="n"/>
      <c r="BL93" s="176" t="n"/>
      <c r="BM93" s="176" t="n"/>
      <c r="BN93" s="176" t="n"/>
      <c r="BO93" s="176" t="n"/>
      <c r="BP93" s="176" t="n"/>
      <c r="BQ93" s="176" t="n"/>
      <c r="BR93" s="176" t="n"/>
    </row>
    <row r="94" ht="15" customHeight="1" s="392">
      <c r="A94" s="176" t="n"/>
      <c r="B94" s="180" t="n"/>
      <c r="C94" s="189" t="inlineStr">
        <is>
          <t>Profitability Metrics</t>
        </is>
      </c>
      <c r="D94" s="185" t="n"/>
      <c r="E94" s="185" t="n"/>
      <c r="F94" s="185" t="n"/>
      <c r="G94" s="185" t="n"/>
      <c r="H94" s="185" t="n"/>
      <c r="I94" s="185" t="n"/>
      <c r="J94" s="185" t="n"/>
      <c r="K94" s="185" t="n"/>
      <c r="L94" s="185" t="n"/>
      <c r="M94" s="185" t="n"/>
      <c r="N94" s="185" t="n"/>
      <c r="O94" s="185" t="n"/>
      <c r="P94" s="185" t="n"/>
      <c r="Q94" s="185" t="n"/>
      <c r="R94" s="185" t="n"/>
      <c r="S94" s="185" t="n"/>
      <c r="T94" s="185" t="n"/>
      <c r="U94" s="185" t="n"/>
      <c r="V94" s="185" t="n"/>
      <c r="W94" s="185" t="n"/>
      <c r="X94" s="185" t="n"/>
      <c r="Y94" s="185" t="n"/>
      <c r="Z94" s="185" t="n"/>
      <c r="AA94" s="185" t="n"/>
      <c r="AB94" s="185" t="n"/>
      <c r="AC94" s="185" t="n"/>
      <c r="AD94" s="185" t="n"/>
      <c r="AE94" s="185" t="n"/>
      <c r="AF94" s="185" t="n"/>
      <c r="AG94" s="185" t="n"/>
      <c r="AH94" s="185" t="n"/>
      <c r="AI94" s="185" t="n"/>
      <c r="AJ94" s="185" t="n"/>
      <c r="AK94" s="185" t="n"/>
      <c r="AL94" s="185" t="n"/>
      <c r="AM94" s="185" t="n"/>
      <c r="AN94" s="185" t="n"/>
      <c r="AO94" s="185" t="n"/>
      <c r="AP94" s="185" t="n"/>
      <c r="AQ94" s="185" t="n"/>
      <c r="AR94" s="185" t="n"/>
      <c r="AS94" s="185" t="n"/>
      <c r="AT94" s="182" t="n"/>
      <c r="AU94" s="176" t="n"/>
      <c r="AV94" s="176" t="n"/>
      <c r="AW94" s="176" t="n"/>
      <c r="AX94" s="176" t="n"/>
      <c r="AY94" s="176" t="n"/>
      <c r="AZ94" s="176" t="n"/>
      <c r="BA94" s="176" t="n"/>
      <c r="BB94" s="176" t="n"/>
      <c r="BC94" s="176" t="n"/>
      <c r="BD94" s="176" t="n"/>
      <c r="BE94" s="176" t="n"/>
      <c r="BF94" s="176" t="n"/>
      <c r="BG94" s="176" t="n"/>
      <c r="BH94" s="176" t="n"/>
      <c r="BI94" s="176" t="n"/>
      <c r="BJ94" s="176" t="n"/>
      <c r="BK94" s="176" t="n"/>
      <c r="BL94" s="176" t="n"/>
      <c r="BM94" s="176" t="n"/>
      <c r="BN94" s="176" t="n"/>
      <c r="BO94" s="176" t="n"/>
      <c r="BP94" s="176" t="n"/>
      <c r="BQ94" s="176" t="n"/>
      <c r="BR94" s="176" t="n"/>
    </row>
    <row r="95" ht="15" customHeight="1" s="392">
      <c r="A95" s="176" t="n"/>
      <c r="B95" s="180" t="n"/>
      <c r="C95" s="183" t="inlineStr">
        <is>
          <t xml:space="preserve">    Unadjusted Profitability Metrics</t>
        </is>
      </c>
      <c r="D95" s="185" t="n"/>
      <c r="E95" s="185" t="n"/>
      <c r="F95" s="185" t="n"/>
      <c r="G95" s="185" t="n"/>
      <c r="H95" s="185" t="n"/>
      <c r="I95" s="185" t="n"/>
      <c r="J95" s="185" t="n"/>
      <c r="K95" s="185" t="n"/>
      <c r="AT95" s="182" t="n"/>
      <c r="AU95" s="176" t="n"/>
      <c r="AV95" s="176" t="n"/>
      <c r="AW95" s="176" t="n"/>
      <c r="AX95" s="176" t="n"/>
      <c r="AY95" s="176" t="n"/>
      <c r="AZ95" s="176" t="n"/>
      <c r="BA95" s="176" t="n"/>
      <c r="BB95" s="176" t="n"/>
      <c r="BC95" s="176" t="n"/>
      <c r="BD95" s="176" t="n"/>
      <c r="BE95" s="176" t="n"/>
      <c r="BF95" s="176" t="n"/>
      <c r="BG95" s="176" t="n"/>
      <c r="BH95" s="176" t="n"/>
      <c r="BI95" s="176" t="n"/>
      <c r="BJ95" s="176" t="n"/>
      <c r="BK95" s="176" t="n"/>
      <c r="BL95" s="176" t="n"/>
      <c r="BM95" s="176" t="n"/>
      <c r="BN95" s="176" t="n"/>
      <c r="BO95" s="176" t="n"/>
      <c r="BP95" s="176" t="n"/>
      <c r="BQ95" s="176" t="n"/>
      <c r="BR95" s="176" t="n"/>
    </row>
    <row r="96" ht="15" customHeight="1" s="392">
      <c r="A96" s="176" t="n"/>
      <c r="B96" s="180" t="n"/>
      <c r="C96" s="183" t="inlineStr">
        <is>
          <t xml:space="preserve">        EBITDA</t>
        </is>
      </c>
      <c r="D96" s="190">
        <f>IF(COUNT(M96:AS96)&gt;0,MEDIAN(M96:AS96),"")</f>
        <v/>
      </c>
      <c r="E96" s="190">
        <f>IF(COUNT(M96:AS96)&gt;0,AVERAGE(M96:AS96),"")</f>
        <v/>
      </c>
      <c r="F96" s="190">
        <f>IF(COUNT(M96:AS96)&gt;0,MIN(M96:AS96),"")</f>
        <v/>
      </c>
      <c r="G96" s="190">
        <f>IF(COUNT(M96:AS96)&gt;0,MAX(M96:AS96),"")</f>
        <v/>
      </c>
      <c r="H96" s="190">
        <f>IF(COUNT(M96:AS96)&gt;0,QUARTILE(M96:AS96,1),"")</f>
        <v/>
      </c>
      <c r="I96" s="190">
        <f>IF(COUNT(M96:AS96)&gt;0,QUARTILE(M96:AS96,3),"")</f>
        <v/>
      </c>
      <c r="J96" s="190">
        <f>IF(COUNT(M96:AS96)&gt;1,STDEV(M96:AS96),"")</f>
        <v/>
      </c>
      <c r="K96" s="191">
        <f>IF(COUNT(M96:AS96)&gt;1,STDEV(M96:AS96)/AVERAGE(M96:AS96),"")</f>
        <v/>
      </c>
      <c r="M96" s="192" t="n">
        <v>1882427</v>
      </c>
      <c r="N96" s="192" t="n">
        <v>1932472</v>
      </c>
      <c r="O96" s="192" t="n">
        <v>1758628</v>
      </c>
      <c r="P96" s="192" t="n">
        <v>1647900</v>
      </c>
      <c r="Q96" s="192" t="n">
        <v>1495642</v>
      </c>
      <c r="R96" s="192" t="n">
        <v>1263993</v>
      </c>
      <c r="S96" s="192" t="n">
        <v>921110</v>
      </c>
      <c r="T96" s="192" t="n">
        <v>807436</v>
      </c>
      <c r="U96" s="192" t="n">
        <v>660086</v>
      </c>
      <c r="V96" s="192" t="n">
        <v>519914</v>
      </c>
      <c r="W96" s="192" t="n">
        <v>467665</v>
      </c>
      <c r="X96" s="192" t="n">
        <v>398266</v>
      </c>
      <c r="Y96" s="192" t="n">
        <v>332038</v>
      </c>
      <c r="Z96" s="192" t="n">
        <v>343229</v>
      </c>
      <c r="AA96" s="192" t="n">
        <v>337207</v>
      </c>
      <c r="AB96" s="192" t="n">
        <v>313156</v>
      </c>
      <c r="AC96" s="192" t="n">
        <v>282748</v>
      </c>
      <c r="AD96" s="192" t="n">
        <v>267668</v>
      </c>
      <c r="AE96" s="192" t="n">
        <v>292454</v>
      </c>
      <c r="AF96" s="192" t="n">
        <v>254510</v>
      </c>
      <c r="AG96" s="192" t="n">
        <v>205978</v>
      </c>
      <c r="AH96" s="192" t="n">
        <v>195061</v>
      </c>
      <c r="AI96" s="192" t="n">
        <v>159570</v>
      </c>
      <c r="AJ96" s="192" t="n">
        <v>119712</v>
      </c>
      <c r="AK96" s="192" t="n">
        <v>109965.8</v>
      </c>
      <c r="AL96" s="192" t="n">
        <v>85393.7</v>
      </c>
      <c r="AM96" s="192" t="n">
        <v>59453</v>
      </c>
      <c r="AN96" s="192" t="n">
        <v>45000</v>
      </c>
      <c r="AO96" s="192" t="n">
        <v>32700</v>
      </c>
      <c r="AP96" s="192" t="n">
        <v>27000</v>
      </c>
      <c r="AQ96" s="192" t="n">
        <v>24200</v>
      </c>
      <c r="AR96" s="192" t="n">
        <v>14800</v>
      </c>
      <c r="AS96" s="192" t="n">
        <v>5400</v>
      </c>
      <c r="AT96" s="182" t="n"/>
      <c r="AU96" s="176" t="n"/>
      <c r="AV96" s="176" t="n"/>
      <c r="AW96" s="176" t="n"/>
      <c r="AX96" s="176" t="n"/>
      <c r="AY96" s="176" t="n"/>
      <c r="AZ96" s="176" t="n"/>
      <c r="BA96" s="176" t="n"/>
      <c r="BB96" s="176" t="n"/>
      <c r="BC96" s="176" t="n"/>
      <c r="BD96" s="176" t="n"/>
      <c r="BE96" s="176" t="n"/>
      <c r="BF96" s="176" t="n"/>
      <c r="BG96" s="176" t="n"/>
      <c r="BH96" s="176" t="n"/>
      <c r="BI96" s="176" t="n"/>
      <c r="BJ96" s="176" t="n"/>
      <c r="BK96" s="176" t="n"/>
      <c r="BL96" s="176" t="n"/>
      <c r="BM96" s="176" t="n"/>
      <c r="BN96" s="176" t="n"/>
      <c r="BO96" s="176" t="n"/>
      <c r="BP96" s="176" t="n"/>
      <c r="BQ96" s="176" t="n"/>
      <c r="BR96" s="176" t="n"/>
    </row>
    <row r="97" ht="15" customHeight="1" s="392">
      <c r="A97" s="176" t="n"/>
      <c r="B97" s="180" t="n"/>
      <c r="C97" s="183" t="inlineStr">
        <is>
          <t xml:space="preserve">        EBITA</t>
        </is>
      </c>
      <c r="D97" s="190">
        <f>IF(COUNT(M97:AS97)&gt;0,MEDIAN(M97:AS97),"")</f>
        <v/>
      </c>
      <c r="E97" s="190">
        <f>IF(COUNT(M97:AS97)&gt;0,AVERAGE(M97:AS97),"")</f>
        <v/>
      </c>
      <c r="F97" s="190">
        <f>IF(COUNT(M97:AS97)&gt;0,MIN(M97:AS97),"")</f>
        <v/>
      </c>
      <c r="G97" s="190">
        <f>IF(COUNT(M97:AS97)&gt;0,MAX(M97:AS97),"")</f>
        <v/>
      </c>
      <c r="H97" s="190">
        <f>IF(COUNT(M97:AS97)&gt;0,QUARTILE(M97:AS97,1),"")</f>
        <v/>
      </c>
      <c r="I97" s="190">
        <f>IF(COUNT(M97:AS97)&gt;0,QUARTILE(M97:AS97,3),"")</f>
        <v/>
      </c>
      <c r="J97" s="190">
        <f>IF(COUNT(M97:AS97)&gt;1,STDEV(M97:AS97),"")</f>
        <v/>
      </c>
      <c r="K97" s="191">
        <f>IF(COUNT(M97:AS97)&gt;1,STDEV(M97:AS97)/AVERAGE(M97:AS97),"")</f>
        <v/>
      </c>
      <c r="M97" s="192" t="n"/>
      <c r="N97" s="192" t="n">
        <v>1743572</v>
      </c>
      <c r="O97" s="192" t="n">
        <v>1590928</v>
      </c>
      <c r="P97" s="192" t="n">
        <v>1508000</v>
      </c>
      <c r="Q97" s="192" t="n">
        <v>1374342</v>
      </c>
      <c r="R97" s="192" t="n">
        <v>1158493</v>
      </c>
      <c r="S97" s="192" t="n">
        <v>839010</v>
      </c>
      <c r="T97" s="192" t="n">
        <v>740636</v>
      </c>
      <c r="U97" s="192" t="n">
        <v>601286</v>
      </c>
      <c r="V97" s="192" t="n"/>
      <c r="W97" s="192" t="n"/>
      <c r="X97" s="192" t="n"/>
      <c r="Y97" s="192" t="n"/>
      <c r="Z97" s="192" t="n"/>
      <c r="AA97" s="192" t="n"/>
      <c r="AB97" s="192" t="n"/>
      <c r="AC97" s="192" t="n"/>
      <c r="AD97" s="192" t="n"/>
      <c r="AE97" s="192" t="n"/>
      <c r="AF97" s="192" t="n"/>
      <c r="AG97" s="192" t="n"/>
      <c r="AH97" s="192" t="n"/>
      <c r="AI97" s="192" t="n"/>
      <c r="AJ97" s="192" t="n"/>
      <c r="AK97" s="192" t="n"/>
      <c r="AL97" s="192" t="n"/>
      <c r="AM97" s="192" t="n"/>
      <c r="AN97" s="192" t="n"/>
      <c r="AO97" s="192" t="n"/>
      <c r="AP97" s="192" t="n"/>
      <c r="AQ97" s="192" t="n"/>
      <c r="AR97" s="192" t="n"/>
      <c r="AS97" s="192" t="n"/>
      <c r="AT97" s="182" t="n"/>
      <c r="AU97" s="176" t="n"/>
      <c r="AV97" s="176" t="n"/>
      <c r="AW97" s="176" t="n"/>
      <c r="AX97" s="176" t="n"/>
      <c r="AY97" s="176" t="n"/>
      <c r="AZ97" s="176" t="n"/>
      <c r="BA97" s="176" t="n"/>
      <c r="BB97" s="176" t="n"/>
      <c r="BC97" s="176" t="n"/>
      <c r="BD97" s="176" t="n"/>
      <c r="BE97" s="176" t="n"/>
      <c r="BF97" s="176" t="n"/>
      <c r="BG97" s="176" t="n"/>
      <c r="BH97" s="176" t="n"/>
      <c r="BI97" s="176" t="n"/>
      <c r="BJ97" s="176" t="n"/>
      <c r="BK97" s="176" t="n"/>
      <c r="BL97" s="176" t="n"/>
      <c r="BM97" s="176" t="n"/>
      <c r="BN97" s="176" t="n"/>
      <c r="BO97" s="176" t="n"/>
      <c r="BP97" s="176" t="n"/>
      <c r="BQ97" s="176" t="n"/>
      <c r="BR97" s="176" t="n"/>
    </row>
    <row r="98" ht="15" customHeight="1" s="392">
      <c r="A98" s="176" t="n"/>
      <c r="B98" s="180" t="n"/>
      <c r="C98" s="183" t="inlineStr">
        <is>
          <t xml:space="preserve">        EBIT</t>
        </is>
      </c>
      <c r="D98" s="190">
        <f>IF(COUNT(M98:AS98)&gt;0,MEDIAN(M98:AS98),"")</f>
        <v/>
      </c>
      <c r="E98" s="190">
        <f>IF(COUNT(M98:AS98)&gt;0,AVERAGE(M98:AS98),"")</f>
        <v/>
      </c>
      <c r="F98" s="190">
        <f>IF(COUNT(M98:AS98)&gt;0,MIN(M98:AS98),"")</f>
        <v/>
      </c>
      <c r="G98" s="190">
        <f>IF(COUNT(M98:AS98)&gt;0,MAX(M98:AS98),"")</f>
        <v/>
      </c>
      <c r="H98" s="190">
        <f>IF(COUNT(M98:AS98)&gt;0,QUARTILE(M98:AS98,1),"")</f>
        <v/>
      </c>
      <c r="I98" s="190">
        <f>IF(COUNT(M98:AS98)&gt;0,QUARTILE(M98:AS98,3),"")</f>
        <v/>
      </c>
      <c r="J98" s="190">
        <f>IF(COUNT(M98:AS98)&gt;1,STDEV(M98:AS98),"")</f>
        <v/>
      </c>
      <c r="K98" s="191">
        <f>IF(COUNT(M98:AS98)&gt;1,STDEV(M98:AS98)/AVERAGE(M98:AS98),"")</f>
        <v/>
      </c>
      <c r="M98" s="192" t="n">
        <v>1653054</v>
      </c>
      <c r="N98" s="192" t="n">
        <v>1716672</v>
      </c>
      <c r="O98" s="192" t="n">
        <v>1568928</v>
      </c>
      <c r="P98" s="192" t="n">
        <v>1488400</v>
      </c>
      <c r="Q98" s="192" t="n">
        <v>1357642</v>
      </c>
      <c r="R98" s="192" t="n">
        <v>1142093</v>
      </c>
      <c r="S98" s="192" t="n">
        <v>819710</v>
      </c>
      <c r="T98" s="192" t="n">
        <v>722536</v>
      </c>
      <c r="U98" s="192" t="n">
        <v>581586</v>
      </c>
      <c r="V98" s="192" t="n">
        <v>462473</v>
      </c>
      <c r="W98" s="192" t="n">
        <v>418022</v>
      </c>
      <c r="X98" s="192" t="n">
        <v>349373</v>
      </c>
      <c r="Y98" s="192" t="n">
        <v>278312</v>
      </c>
      <c r="Z98" s="192" t="n">
        <v>286501</v>
      </c>
      <c r="AA98" s="192" t="n">
        <v>289040</v>
      </c>
      <c r="AB98" s="192" t="n">
        <v>267462</v>
      </c>
      <c r="AC98" s="192" t="n">
        <v>239506</v>
      </c>
      <c r="AD98" s="192" t="n">
        <v>226314</v>
      </c>
      <c r="AE98" s="192" t="n">
        <v>249650</v>
      </c>
      <c r="AF98" s="192" t="n">
        <v>217421</v>
      </c>
      <c r="AG98" s="192" t="n">
        <v>174522</v>
      </c>
      <c r="AH98" s="192" t="n">
        <v>164595</v>
      </c>
      <c r="AI98" s="192" t="n">
        <v>129921</v>
      </c>
      <c r="AJ98" s="192" t="n">
        <v>94167</v>
      </c>
      <c r="AK98" s="192" t="n">
        <v>93657.60000000001</v>
      </c>
      <c r="AL98" s="192" t="n">
        <v>71043.7</v>
      </c>
      <c r="AM98" s="192" t="n">
        <v>47974</v>
      </c>
      <c r="AN98" s="192" t="n">
        <v>35200</v>
      </c>
      <c r="AO98" s="192" t="n">
        <v>24900</v>
      </c>
      <c r="AP98" s="192" t="n">
        <v>19500</v>
      </c>
      <c r="AQ98" s="192" t="n">
        <v>18200</v>
      </c>
      <c r="AR98" s="192" t="n">
        <v>11400</v>
      </c>
      <c r="AS98" s="192" t="n">
        <v>3700</v>
      </c>
      <c r="AT98" s="182" t="n"/>
      <c r="AU98" s="176" t="n"/>
      <c r="AV98" s="176" t="n"/>
      <c r="AW98" s="176" t="n"/>
      <c r="AX98" s="176" t="n"/>
      <c r="AY98" s="176" t="n"/>
      <c r="AZ98" s="176" t="n"/>
      <c r="BA98" s="176" t="n"/>
      <c r="BB98" s="176" t="n"/>
      <c r="BC98" s="176" t="n"/>
      <c r="BD98" s="176" t="n"/>
      <c r="BE98" s="176" t="n"/>
      <c r="BF98" s="176" t="n"/>
      <c r="BG98" s="176" t="n"/>
      <c r="BH98" s="176" t="n"/>
      <c r="BI98" s="176" t="n"/>
      <c r="BJ98" s="176" t="n"/>
      <c r="BK98" s="176" t="n"/>
      <c r="BL98" s="176" t="n"/>
      <c r="BM98" s="176" t="n"/>
      <c r="BN98" s="176" t="n"/>
      <c r="BO98" s="176" t="n"/>
      <c r="BP98" s="176" t="n"/>
      <c r="BQ98" s="176" t="n"/>
      <c r="BR98" s="176" t="n"/>
    </row>
    <row r="99" ht="15" customHeight="1" s="392">
      <c r="A99" s="176" t="n"/>
      <c r="B99" s="180" t="n"/>
      <c r="C99" s="183" t="inlineStr">
        <is>
          <t xml:space="preserve">        EBITDAR</t>
        </is>
      </c>
      <c r="D99" s="190">
        <f>IF(COUNT(M99:AS99)&gt;0,MEDIAN(M99:AS99),"")</f>
        <v/>
      </c>
      <c r="E99" s="190">
        <f>IF(COUNT(M99:AS99)&gt;0,AVERAGE(M99:AS99),"")</f>
        <v/>
      </c>
      <c r="F99" s="190">
        <f>IF(COUNT(M99:AS99)&gt;0,MIN(M99:AS99),"")</f>
        <v/>
      </c>
      <c r="G99" s="190">
        <f>IF(COUNT(M99:AS99)&gt;0,MAX(M99:AS99),"")</f>
        <v/>
      </c>
      <c r="H99" s="190">
        <f>IF(COUNT(M99:AS99)&gt;0,QUARTILE(M99:AS99,1),"")</f>
        <v/>
      </c>
      <c r="I99" s="190">
        <f>IF(COUNT(M99:AS99)&gt;0,QUARTILE(M99:AS99,3),"")</f>
        <v/>
      </c>
      <c r="J99" s="190">
        <f>IF(COUNT(M99:AS99)&gt;1,STDEV(M99:AS99),"")</f>
        <v/>
      </c>
      <c r="K99" s="191">
        <f>IF(COUNT(M99:AS99)&gt;1,STDEV(M99:AS99)/AVERAGE(M99:AS99),"")</f>
        <v/>
      </c>
      <c r="M99" s="192" t="n">
        <v>1882427</v>
      </c>
      <c r="N99" s="192" t="n">
        <v>1932472</v>
      </c>
      <c r="O99" s="192" t="n">
        <v>1758628</v>
      </c>
      <c r="P99" s="192" t="n">
        <v>1647900</v>
      </c>
      <c r="Q99" s="192" t="n">
        <v>1495642</v>
      </c>
      <c r="R99" s="192" t="n">
        <v>1263993</v>
      </c>
      <c r="S99" s="192" t="n">
        <v>921110</v>
      </c>
      <c r="T99" s="192" t="n">
        <v>807436</v>
      </c>
      <c r="U99" s="192" t="n">
        <v>660086</v>
      </c>
      <c r="V99" s="192" t="n">
        <v>519914</v>
      </c>
      <c r="W99" s="192" t="n">
        <v>467665</v>
      </c>
      <c r="X99" s="192" t="n">
        <v>398266</v>
      </c>
      <c r="Y99" s="192" t="n">
        <v>332038</v>
      </c>
      <c r="Z99" s="192" t="n">
        <v>343229</v>
      </c>
      <c r="AA99" s="192" t="n">
        <v>337207</v>
      </c>
      <c r="AB99" s="192" t="n">
        <v>313156</v>
      </c>
      <c r="AC99" s="192" t="n">
        <v>282748</v>
      </c>
      <c r="AD99" s="192" t="n">
        <v>267668</v>
      </c>
      <c r="AE99" s="192" t="n">
        <v>292454</v>
      </c>
      <c r="AF99" s="192" t="n">
        <v>254510</v>
      </c>
      <c r="AG99" s="192" t="n">
        <v>205978</v>
      </c>
      <c r="AH99" s="192" t="n">
        <v>195061</v>
      </c>
      <c r="AI99" s="192" t="n">
        <v>159570</v>
      </c>
      <c r="AJ99" s="192" t="n">
        <v>119712</v>
      </c>
      <c r="AK99" s="192" t="n">
        <v>109965.8</v>
      </c>
      <c r="AL99" s="192" t="n">
        <v>85393.7</v>
      </c>
      <c r="AM99" s="192" t="n">
        <v>59453</v>
      </c>
      <c r="AN99" s="192" t="n">
        <v>45000</v>
      </c>
      <c r="AO99" s="192" t="n">
        <v>32700</v>
      </c>
      <c r="AP99" s="192" t="n">
        <v>27000</v>
      </c>
      <c r="AQ99" s="192" t="n">
        <v>24200</v>
      </c>
      <c r="AR99" s="192" t="n">
        <v>14800</v>
      </c>
      <c r="AS99" s="192" t="n">
        <v>5400</v>
      </c>
      <c r="AT99" s="182" t="n"/>
      <c r="AU99" s="176" t="n"/>
      <c r="AV99" s="176" t="n"/>
      <c r="AW99" s="176" t="n"/>
      <c r="AX99" s="176" t="n"/>
      <c r="AY99" s="176" t="n"/>
      <c r="AZ99" s="176" t="n"/>
      <c r="BA99" s="176" t="n"/>
      <c r="BB99" s="176" t="n"/>
      <c r="BC99" s="176" t="n"/>
      <c r="BD99" s="176" t="n"/>
      <c r="BE99" s="176" t="n"/>
      <c r="BF99" s="176" t="n"/>
      <c r="BG99" s="176" t="n"/>
      <c r="BH99" s="176" t="n"/>
      <c r="BI99" s="176" t="n"/>
      <c r="BJ99" s="176" t="n"/>
      <c r="BK99" s="176" t="n"/>
      <c r="BL99" s="176" t="n"/>
      <c r="BM99" s="176" t="n"/>
      <c r="BN99" s="176" t="n"/>
      <c r="BO99" s="176" t="n"/>
      <c r="BP99" s="176" t="n"/>
      <c r="BQ99" s="176" t="n"/>
      <c r="BR99" s="176" t="n"/>
    </row>
    <row r="100" ht="15" customHeight="1" s="392">
      <c r="A100" s="176" t="n"/>
      <c r="B100" s="180" t="n"/>
      <c r="C100" s="183" t="inlineStr">
        <is>
          <t xml:space="preserve">        Interest and Dividend Income</t>
        </is>
      </c>
      <c r="D100" s="190">
        <f>IF(COUNT(M100:AS100)&gt;0,MEDIAN(M100:AS100),"")</f>
        <v/>
      </c>
      <c r="E100" s="190">
        <f>IF(COUNT(M100:AS100)&gt;0,AVERAGE(M100:AS100),"")</f>
        <v/>
      </c>
      <c r="F100" s="190">
        <f>IF(COUNT(M100:AS100)&gt;0,MIN(M100:AS100),"")</f>
        <v/>
      </c>
      <c r="G100" s="190">
        <f>IF(COUNT(M100:AS100)&gt;0,MAX(M100:AS100),"")</f>
        <v/>
      </c>
      <c r="H100" s="190">
        <f>IF(COUNT(M100:AS100)&gt;0,QUARTILE(M100:AS100,1),"")</f>
        <v/>
      </c>
      <c r="I100" s="190">
        <f>IF(COUNT(M100:AS100)&gt;0,QUARTILE(M100:AS100,3),"")</f>
        <v/>
      </c>
      <c r="J100" s="190">
        <f>IF(COUNT(M100:AS100)&gt;1,STDEV(M100:AS100),"")</f>
        <v/>
      </c>
      <c r="K100" s="191">
        <f>IF(COUNT(M100:AS100)&gt;1,STDEV(M100:AS100)/AVERAGE(M100:AS100),"")</f>
        <v/>
      </c>
      <c r="M100" s="192" t="n"/>
      <c r="N100" s="192" t="n"/>
      <c r="O100" s="192" t="n"/>
      <c r="P100" s="192" t="n"/>
      <c r="Q100" s="192" t="n"/>
      <c r="R100" s="192" t="n"/>
      <c r="S100" s="192" t="n"/>
      <c r="T100" s="192" t="n"/>
      <c r="U100" s="192" t="n">
        <v>1293</v>
      </c>
      <c r="V100" s="192" t="n">
        <v>1406</v>
      </c>
      <c r="W100" s="192" t="n">
        <v>1449</v>
      </c>
      <c r="X100" s="192" t="n">
        <v>817</v>
      </c>
      <c r="Y100" s="192" t="n">
        <v>491</v>
      </c>
      <c r="Z100" s="192" t="n">
        <v>638</v>
      </c>
      <c r="AA100" s="192" t="n">
        <v>357</v>
      </c>
      <c r="AB100" s="192" t="n">
        <v>493</v>
      </c>
      <c r="AC100" s="192" t="n">
        <v>205</v>
      </c>
      <c r="AD100" s="192" t="n">
        <v>1692</v>
      </c>
      <c r="AE100" s="192" t="n"/>
      <c r="AF100" s="192" t="n"/>
      <c r="AG100" s="192" t="n"/>
      <c r="AH100" s="192" t="n"/>
      <c r="AI100" s="192" t="n"/>
      <c r="AJ100" s="192" t="n"/>
      <c r="AK100" s="192" t="n"/>
      <c r="AL100" s="192" t="n"/>
      <c r="AM100" s="192" t="n"/>
      <c r="AN100" s="192" t="n"/>
      <c r="AO100" s="192" t="n"/>
      <c r="AP100" s="192" t="n"/>
      <c r="AQ100" s="192" t="n"/>
      <c r="AR100" s="192" t="n"/>
      <c r="AS100" s="192" t="n"/>
      <c r="AT100" s="182" t="n"/>
      <c r="AU100" s="176" t="n"/>
      <c r="AV100" s="176" t="n"/>
      <c r="AW100" s="176" t="n"/>
      <c r="AX100" s="176" t="n"/>
      <c r="AY100" s="176" t="n"/>
      <c r="AZ100" s="176" t="n"/>
      <c r="BA100" s="176" t="n"/>
      <c r="BB100" s="176" t="n"/>
      <c r="BC100" s="176" t="n"/>
      <c r="BD100" s="176" t="n"/>
      <c r="BE100" s="176" t="n"/>
      <c r="BF100" s="176" t="n"/>
      <c r="BG100" s="176" t="n"/>
      <c r="BH100" s="176" t="n"/>
      <c r="BI100" s="176" t="n"/>
      <c r="BJ100" s="176" t="n"/>
      <c r="BK100" s="176" t="n"/>
      <c r="BL100" s="176" t="n"/>
      <c r="BM100" s="176" t="n"/>
      <c r="BN100" s="176" t="n"/>
      <c r="BO100" s="176" t="n"/>
      <c r="BP100" s="176" t="n"/>
      <c r="BQ100" s="176" t="n"/>
      <c r="BR100" s="176" t="n"/>
    </row>
    <row r="101" ht="15" customHeight="1" s="392">
      <c r="A101" s="176" t="n"/>
      <c r="B101" s="180" t="n"/>
      <c r="C101" s="183" t="inlineStr">
        <is>
          <t xml:space="preserve">        Tax Effect of Unusual Items</t>
        </is>
      </c>
      <c r="D101" s="190">
        <f>IF(COUNT(M101:AS101)&gt;0,MEDIAN(M101:AS101),"")</f>
        <v/>
      </c>
      <c r="E101" s="190">
        <f>IF(COUNT(M101:AS101)&gt;0,AVERAGE(M101:AS101),"")</f>
        <v/>
      </c>
      <c r="F101" s="190">
        <f>IF(COUNT(M101:AS101)&gt;0,MIN(M101:AS101),"")</f>
        <v/>
      </c>
      <c r="G101" s="190">
        <f>IF(COUNT(M101:AS101)&gt;0,MAX(M101:AS101),"")</f>
        <v/>
      </c>
      <c r="H101" s="190">
        <f>IF(COUNT(M101:AS101)&gt;0,QUARTILE(M101:AS101,1),"")</f>
        <v/>
      </c>
      <c r="I101" s="190">
        <f>IF(COUNT(M101:AS101)&gt;0,QUARTILE(M101:AS101,3),"")</f>
        <v/>
      </c>
      <c r="J101" s="190">
        <f>IF(COUNT(M101:AS101)&gt;1,STDEV(M101:AS101),"")</f>
        <v/>
      </c>
      <c r="K101" s="191">
        <f>IF(COUNT(M101:AS101)&gt;1,STDEV(M101:AS101)/AVERAGE(M101:AS101),"")</f>
        <v/>
      </c>
      <c r="M101" s="192" t="n">
        <v>7719.31301591246</v>
      </c>
      <c r="N101" s="192" t="n">
        <v>4442.874</v>
      </c>
      <c r="O101" s="192" t="n">
        <v>5901.95</v>
      </c>
      <c r="P101" s="192" t="n">
        <v>7716.708</v>
      </c>
      <c r="Q101" s="192" t="n">
        <v>10244.795</v>
      </c>
      <c r="R101" s="192" t="n">
        <v>6507.93</v>
      </c>
      <c r="S101" s="192" t="n">
        <v>2697.534</v>
      </c>
      <c r="T101" s="192" t="n">
        <v>3279.892</v>
      </c>
      <c r="U101" s="192" t="n">
        <v>7097.826</v>
      </c>
      <c r="V101" s="192" t="n">
        <v>4200.456</v>
      </c>
      <c r="W101" s="192" t="n">
        <v>6596.77</v>
      </c>
      <c r="X101" s="192" t="n">
        <v>5825.768</v>
      </c>
      <c r="Y101" s="192" t="n">
        <v>16812.796</v>
      </c>
      <c r="Z101" s="192" t="n">
        <v>6508.25</v>
      </c>
      <c r="AA101" s="192" t="n">
        <v>10494.555</v>
      </c>
      <c r="AB101" s="192" t="n">
        <v>7708.041</v>
      </c>
      <c r="AC101" s="192" t="n">
        <v>6829.26554625358</v>
      </c>
      <c r="AD101" s="192" t="n">
        <v>3895.59288988811</v>
      </c>
      <c r="AE101" s="192" t="n">
        <v>0</v>
      </c>
      <c r="AF101" s="192" t="n">
        <v>0</v>
      </c>
      <c r="AG101" s="192" t="n">
        <v>0</v>
      </c>
      <c r="AH101" s="192" t="n">
        <v>0</v>
      </c>
      <c r="AI101" s="192" t="n">
        <v>0</v>
      </c>
      <c r="AJ101" s="192" t="n">
        <v>0</v>
      </c>
      <c r="AK101" s="192" t="n">
        <v>0</v>
      </c>
      <c r="AL101" s="192" t="n">
        <v>0</v>
      </c>
      <c r="AM101" s="192" t="n">
        <v>0</v>
      </c>
      <c r="AN101" s="192" t="n">
        <v>0</v>
      </c>
      <c r="AO101" s="192" t="n">
        <v>0</v>
      </c>
      <c r="AP101" s="192" t="n">
        <v>0</v>
      </c>
      <c r="AQ101" s="192" t="n">
        <v>0</v>
      </c>
      <c r="AR101" s="192" t="n">
        <v>0</v>
      </c>
      <c r="AS101" s="192" t="n">
        <v>0</v>
      </c>
      <c r="AT101" s="182" t="n"/>
      <c r="AU101" s="176" t="n"/>
      <c r="AV101" s="176" t="n"/>
      <c r="AW101" s="176" t="n"/>
      <c r="AX101" s="176" t="n"/>
      <c r="AY101" s="176" t="n"/>
      <c r="AZ101" s="176" t="n"/>
      <c r="BA101" s="176" t="n"/>
      <c r="BB101" s="176" t="n"/>
      <c r="BC101" s="176" t="n"/>
      <c r="BD101" s="176" t="n"/>
      <c r="BE101" s="176" t="n"/>
      <c r="BF101" s="176" t="n"/>
      <c r="BG101" s="176" t="n"/>
      <c r="BH101" s="176" t="n"/>
      <c r="BI101" s="176" t="n"/>
      <c r="BJ101" s="176" t="n"/>
      <c r="BK101" s="176" t="n"/>
      <c r="BL101" s="176" t="n"/>
      <c r="BM101" s="176" t="n"/>
      <c r="BN101" s="176" t="n"/>
      <c r="BO101" s="176" t="n"/>
      <c r="BP101" s="176" t="n"/>
      <c r="BQ101" s="176" t="n"/>
      <c r="BR101" s="176" t="n"/>
    </row>
    <row r="102" ht="15" customHeight="1" s="392">
      <c r="A102" s="176" t="n"/>
      <c r="B102" s="180" t="n"/>
      <c r="C102" s="183" t="inlineStr">
        <is>
          <t xml:space="preserve">        Total Unusual Items</t>
        </is>
      </c>
      <c r="D102" s="190">
        <f>IF(COUNT(M102:AS102)&gt;0,MEDIAN(M102:AS102),"")</f>
        <v/>
      </c>
      <c r="E102" s="190">
        <f>IF(COUNT(M102:AS102)&gt;0,AVERAGE(M102:AS102),"")</f>
        <v/>
      </c>
      <c r="F102" s="190">
        <f>IF(COUNT(M102:AS102)&gt;0,MIN(M102:AS102),"")</f>
        <v/>
      </c>
      <c r="G102" s="190">
        <f>IF(COUNT(M102:AS102)&gt;0,MAX(M102:AS102),"")</f>
        <v/>
      </c>
      <c r="H102" s="190">
        <f>IF(COUNT(M102:AS102)&gt;0,QUARTILE(M102:AS102,1),"")</f>
        <v/>
      </c>
      <c r="I102" s="190">
        <f>IF(COUNT(M102:AS102)&gt;0,QUARTILE(M102:AS102,3),"")</f>
        <v/>
      </c>
      <c r="J102" s="190">
        <f>IF(COUNT(M102:AS102)&gt;1,STDEV(M102:AS102),"")</f>
        <v/>
      </c>
      <c r="K102" s="191">
        <f>IF(COUNT(M102:AS102)&gt;1,STDEV(M102:AS102)/AVERAGE(M102:AS102),"")</f>
        <v/>
      </c>
      <c r="M102" s="192" t="n">
        <v>39948</v>
      </c>
      <c r="N102" s="192" t="n">
        <v>24278</v>
      </c>
      <c r="O102" s="192" t="n">
        <v>28790</v>
      </c>
      <c r="P102" s="192" t="n">
        <v>37827</v>
      </c>
      <c r="Q102" s="192" t="n">
        <v>54785</v>
      </c>
      <c r="R102" s="192" t="n">
        <v>39442</v>
      </c>
      <c r="S102" s="192" t="n">
        <v>21409</v>
      </c>
      <c r="T102" s="192" t="n">
        <v>20372</v>
      </c>
      <c r="U102" s="192" t="n">
        <v>27618</v>
      </c>
      <c r="V102" s="192" t="n">
        <v>40389</v>
      </c>
      <c r="W102" s="192" t="n">
        <v>20810</v>
      </c>
      <c r="X102" s="192" t="n">
        <v>17236</v>
      </c>
      <c r="Y102" s="192" t="n">
        <v>49742</v>
      </c>
      <c r="Z102" s="192" t="n">
        <v>18595</v>
      </c>
      <c r="AA102" s="192" t="n">
        <v>30419</v>
      </c>
      <c r="AB102" s="192" t="n">
        <v>20889</v>
      </c>
      <c r="AC102" s="192" t="n">
        <v>18614</v>
      </c>
      <c r="AD102" s="192" t="n">
        <v>10060</v>
      </c>
      <c r="AE102" s="192" t="n">
        <v>0</v>
      </c>
      <c r="AF102" s="192" t="n">
        <v>0</v>
      </c>
      <c r="AG102" s="192" t="n">
        <v>0</v>
      </c>
      <c r="AH102" s="192" t="n">
        <v>0</v>
      </c>
      <c r="AI102" s="192" t="n">
        <v>0</v>
      </c>
      <c r="AJ102" s="192" t="n">
        <v>0</v>
      </c>
      <c r="AK102" s="192" t="n">
        <v>0</v>
      </c>
      <c r="AL102" s="192" t="n">
        <v>0</v>
      </c>
      <c r="AM102" s="192" t="n">
        <v>0</v>
      </c>
      <c r="AN102" s="192" t="n">
        <v>0</v>
      </c>
      <c r="AO102" s="192" t="n">
        <v>0</v>
      </c>
      <c r="AP102" s="192" t="n">
        <v>0</v>
      </c>
      <c r="AQ102" s="192" t="n">
        <v>0</v>
      </c>
      <c r="AR102" s="192" t="n">
        <v>0</v>
      </c>
      <c r="AS102" s="192" t="n">
        <v>0</v>
      </c>
      <c r="AT102" s="182" t="n"/>
      <c r="AU102" s="176" t="n"/>
      <c r="AV102" s="176" t="n"/>
      <c r="AW102" s="176" t="n"/>
      <c r="AX102" s="176" t="n"/>
      <c r="AY102" s="176" t="n"/>
      <c r="AZ102" s="176" t="n"/>
      <c r="BA102" s="176" t="n"/>
      <c r="BB102" s="176" t="n"/>
      <c r="BC102" s="176" t="n"/>
      <c r="BD102" s="176" t="n"/>
      <c r="BE102" s="176" t="n"/>
      <c r="BF102" s="176" t="n"/>
      <c r="BG102" s="176" t="n"/>
      <c r="BH102" s="176" t="n"/>
      <c r="BI102" s="176" t="n"/>
      <c r="BJ102" s="176" t="n"/>
      <c r="BK102" s="176" t="n"/>
      <c r="BL102" s="176" t="n"/>
      <c r="BM102" s="176" t="n"/>
      <c r="BN102" s="176" t="n"/>
      <c r="BO102" s="176" t="n"/>
      <c r="BP102" s="176" t="n"/>
      <c r="BQ102" s="176" t="n"/>
      <c r="BR102" s="176" t="n"/>
    </row>
    <row r="103" ht="15" customHeight="1" s="392">
      <c r="A103" s="176" t="n"/>
      <c r="B103" s="180" t="n"/>
      <c r="C103" s="183" t="inlineStr">
        <is>
          <t xml:space="preserve">        Total Unusual Items Excluding Goodwill</t>
        </is>
      </c>
      <c r="D103" s="190">
        <f>IF(COUNT(M103:AS103)&gt;0,MEDIAN(M103:AS103),"")</f>
        <v/>
      </c>
      <c r="E103" s="190">
        <f>IF(COUNT(M103:AS103)&gt;0,AVERAGE(M103:AS103),"")</f>
        <v/>
      </c>
      <c r="F103" s="190">
        <f>IF(COUNT(M103:AS103)&gt;0,MIN(M103:AS103),"")</f>
        <v/>
      </c>
      <c r="G103" s="190">
        <f>IF(COUNT(M103:AS103)&gt;0,MAX(M103:AS103),"")</f>
        <v/>
      </c>
      <c r="H103" s="190">
        <f>IF(COUNT(M103:AS103)&gt;0,QUARTILE(M103:AS103,1),"")</f>
        <v/>
      </c>
      <c r="I103" s="190">
        <f>IF(COUNT(M103:AS103)&gt;0,QUARTILE(M103:AS103,3),"")</f>
        <v/>
      </c>
      <c r="J103" s="190">
        <f>IF(COUNT(M103:AS103)&gt;1,STDEV(M103:AS103),"")</f>
        <v/>
      </c>
      <c r="K103" s="191">
        <f>IF(COUNT(M103:AS103)&gt;1,STDEV(M103:AS103)/AVERAGE(M103:AS103),"")</f>
        <v/>
      </c>
      <c r="M103" s="192" t="n">
        <v>39948</v>
      </c>
      <c r="N103" s="192" t="n">
        <v>24278</v>
      </c>
      <c r="O103" s="192" t="n">
        <v>28790</v>
      </c>
      <c r="P103" s="192" t="n">
        <v>37827</v>
      </c>
      <c r="Q103" s="192" t="n">
        <v>54785</v>
      </c>
      <c r="R103" s="192" t="n">
        <v>39442</v>
      </c>
      <c r="S103" s="192" t="n">
        <v>21409</v>
      </c>
      <c r="T103" s="192" t="n">
        <v>20372</v>
      </c>
      <c r="U103" s="192" t="n">
        <v>27618</v>
      </c>
      <c r="V103" s="192" t="n">
        <v>40389</v>
      </c>
      <c r="W103" s="192" t="n">
        <v>20810</v>
      </c>
      <c r="X103" s="192" t="n">
        <v>17236</v>
      </c>
      <c r="Y103" s="192" t="n">
        <v>49742</v>
      </c>
      <c r="Z103" s="192" t="n">
        <v>18595</v>
      </c>
      <c r="AA103" s="192" t="n">
        <v>30419</v>
      </c>
      <c r="AB103" s="192" t="n">
        <v>20889</v>
      </c>
      <c r="AC103" s="192" t="n">
        <v>18614</v>
      </c>
      <c r="AD103" s="192" t="n">
        <v>10060</v>
      </c>
      <c r="AE103" s="192" t="n">
        <v>0</v>
      </c>
      <c r="AF103" s="192" t="n">
        <v>0</v>
      </c>
      <c r="AG103" s="192" t="n">
        <v>0</v>
      </c>
      <c r="AH103" s="192" t="n">
        <v>0</v>
      </c>
      <c r="AI103" s="192" t="n">
        <v>0</v>
      </c>
      <c r="AJ103" s="192" t="n">
        <v>0</v>
      </c>
      <c r="AK103" s="192" t="n">
        <v>0</v>
      </c>
      <c r="AL103" s="192" t="n">
        <v>0</v>
      </c>
      <c r="AM103" s="192" t="n">
        <v>0</v>
      </c>
      <c r="AN103" s="192" t="n">
        <v>0</v>
      </c>
      <c r="AO103" s="192" t="n">
        <v>0</v>
      </c>
      <c r="AP103" s="192" t="n">
        <v>0</v>
      </c>
      <c r="AQ103" s="192" t="n">
        <v>0</v>
      </c>
      <c r="AR103" s="192" t="n">
        <v>0</v>
      </c>
      <c r="AS103" s="192" t="n">
        <v>0</v>
      </c>
      <c r="AT103" s="182" t="n"/>
      <c r="AU103" s="176" t="n"/>
      <c r="AV103" s="176" t="n"/>
      <c r="AW103" s="176" t="n"/>
      <c r="AX103" s="176" t="n"/>
      <c r="AY103" s="176" t="n"/>
      <c r="AZ103" s="176" t="n"/>
      <c r="BA103" s="176" t="n"/>
      <c r="BB103" s="176" t="n"/>
      <c r="BC103" s="176" t="n"/>
      <c r="BD103" s="176" t="n"/>
      <c r="BE103" s="176" t="n"/>
      <c r="BF103" s="176" t="n"/>
      <c r="BG103" s="176" t="n"/>
      <c r="BH103" s="176" t="n"/>
      <c r="BI103" s="176" t="n"/>
      <c r="BJ103" s="176" t="n"/>
      <c r="BK103" s="176" t="n"/>
      <c r="BL103" s="176" t="n"/>
      <c r="BM103" s="176" t="n"/>
      <c r="BN103" s="176" t="n"/>
      <c r="BO103" s="176" t="n"/>
      <c r="BP103" s="176" t="n"/>
      <c r="BQ103" s="176" t="n"/>
      <c r="BR103" s="176" t="n"/>
    </row>
    <row r="104" ht="15" customHeight="1" s="392">
      <c r="A104" s="176" t="n"/>
      <c r="B104" s="180" t="n"/>
      <c r="C104" s="183" t="inlineStr">
        <is>
          <t xml:space="preserve">        Cost of Revenue and Operating Expense</t>
        </is>
      </c>
      <c r="D104" s="190">
        <f>IF(COUNT(M104:AS104)&gt;0,MEDIAN(M104:AS104),"")</f>
        <v/>
      </c>
      <c r="E104" s="190">
        <f>IF(COUNT(M104:AS104)&gt;0,AVERAGE(M104:AS104),"")</f>
        <v/>
      </c>
      <c r="F104" s="190">
        <f>IF(COUNT(M104:AS104)&gt;0,MIN(M104:AS104),"")</f>
        <v/>
      </c>
      <c r="G104" s="190">
        <f>IF(COUNT(M104:AS104)&gt;0,MAX(M104:AS104),"")</f>
        <v/>
      </c>
      <c r="H104" s="190">
        <f>IF(COUNT(M104:AS104)&gt;0,QUARTILE(M104:AS104,1),"")</f>
        <v/>
      </c>
      <c r="I104" s="190">
        <f>IF(COUNT(M104:AS104)&gt;0,QUARTILE(M104:AS104,3),"")</f>
        <v/>
      </c>
      <c r="J104" s="190">
        <f>IF(COUNT(M104:AS104)&gt;1,STDEV(M104:AS104),"")</f>
        <v/>
      </c>
      <c r="K104" s="191">
        <f>IF(COUNT(M104:AS104)&gt;1,STDEV(M104:AS104)/AVERAGE(M104:AS104),"")</f>
        <v/>
      </c>
      <c r="M104" s="192" t="n">
        <v>3013619</v>
      </c>
      <c r="N104" s="192" t="n">
        <v>2950244</v>
      </c>
      <c r="O104" s="192" t="n">
        <v>2664800</v>
      </c>
      <c r="P104" s="192" t="n">
        <v>2382949</v>
      </c>
      <c r="Q104" s="192" t="n">
        <v>2125924</v>
      </c>
      <c r="R104" s="192" t="n">
        <v>1556085</v>
      </c>
      <c r="S104" s="192" t="n">
        <v>1389484</v>
      </c>
      <c r="T104" s="192" t="n">
        <v>1325482</v>
      </c>
      <c r="U104" s="192" t="n">
        <v>1220219</v>
      </c>
      <c r="V104" s="192" t="n">
        <v>967317</v>
      </c>
      <c r="W104" s="192" t="n">
        <v>861979</v>
      </c>
      <c r="X104" s="192" t="n">
        <v>801678</v>
      </c>
      <c r="Y104" s="192" t="n">
        <v>859451</v>
      </c>
      <c r="Z104" s="192" t="n">
        <v>763394</v>
      </c>
      <c r="AA104" s="192" t="n">
        <v>629067</v>
      </c>
      <c r="AB104" s="192" t="n">
        <v>606956</v>
      </c>
      <c r="AC104" s="192" t="n">
        <v>533809</v>
      </c>
      <c r="AD104" s="192" t="n">
        <v>517757</v>
      </c>
      <c r="AE104" s="192" t="n">
        <v>546931</v>
      </c>
      <c r="AF104" s="192" t="n">
        <v>357535</v>
      </c>
      <c r="AG104" s="192" t="n">
        <v>357009</v>
      </c>
      <c r="AH104" s="192" t="n">
        <v>291295</v>
      </c>
      <c r="AI104" s="192" t="n">
        <v>266553</v>
      </c>
      <c r="AJ104" s="192" t="n">
        <v>256669</v>
      </c>
      <c r="AK104" s="192" t="n">
        <v>226516.3</v>
      </c>
      <c r="AL104" s="192" t="n">
        <v>185772.1</v>
      </c>
      <c r="AM104" s="192" t="n">
        <v>143826.1</v>
      </c>
      <c r="AN104" s="192" t="n">
        <v>108400</v>
      </c>
      <c r="AO104" s="192" t="n">
        <v>90600</v>
      </c>
      <c r="AP104" s="192" t="n">
        <v>107500</v>
      </c>
      <c r="AQ104" s="192" t="n">
        <v>100400</v>
      </c>
      <c r="AR104" s="192" t="n">
        <v>46900</v>
      </c>
      <c r="AS104" s="192" t="n">
        <v>18600</v>
      </c>
      <c r="AT104" s="182" t="n"/>
      <c r="AU104" s="176" t="n"/>
      <c r="AV104" s="176" t="n"/>
      <c r="AW104" s="176" t="n"/>
      <c r="AX104" s="176" t="n"/>
      <c r="AY104" s="176" t="n"/>
      <c r="AZ104" s="176" t="n"/>
      <c r="BA104" s="176" t="n"/>
      <c r="BB104" s="176" t="n"/>
      <c r="BC104" s="176" t="n"/>
      <c r="BD104" s="176" t="n"/>
      <c r="BE104" s="176" t="n"/>
      <c r="BF104" s="176" t="n"/>
      <c r="BG104" s="176" t="n"/>
      <c r="BH104" s="176" t="n"/>
      <c r="BI104" s="176" t="n"/>
      <c r="BJ104" s="176" t="n"/>
      <c r="BK104" s="176" t="n"/>
      <c r="BL104" s="176" t="n"/>
      <c r="BM104" s="176" t="n"/>
      <c r="BN104" s="176" t="n"/>
      <c r="BO104" s="176" t="n"/>
      <c r="BP104" s="176" t="n"/>
      <c r="BQ104" s="176" t="n"/>
      <c r="BR104" s="176" t="n"/>
    </row>
    <row r="105" ht="15" customHeight="1" s="392">
      <c r="A105" s="176" t="n"/>
      <c r="B105" s="180" t="n"/>
      <c r="C105" s="183" t="inlineStr">
        <is>
          <t xml:space="preserve">        Net Operating Profit After Tax (NOPAT)</t>
        </is>
      </c>
      <c r="D105" s="190">
        <f>IF(COUNT(M105:AS105)&gt;0,MEDIAN(M105:AS105),"")</f>
        <v/>
      </c>
      <c r="E105" s="190">
        <f>IF(COUNT(M105:AS105)&gt;0,AVERAGE(M105:AS105),"")</f>
        <v/>
      </c>
      <c r="F105" s="190">
        <f>IF(COUNT(M105:AS105)&gt;0,MIN(M105:AS105),"")</f>
        <v/>
      </c>
      <c r="G105" s="190">
        <f>IF(COUNT(M105:AS105)&gt;0,MAX(M105:AS105),"")</f>
        <v/>
      </c>
      <c r="H105" s="190">
        <f>IF(COUNT(M105:AS105)&gt;0,QUARTILE(M105:AS105,1),"")</f>
        <v/>
      </c>
      <c r="I105" s="190">
        <f>IF(COUNT(M105:AS105)&gt;0,QUARTILE(M105:AS105,3),"")</f>
        <v/>
      </c>
      <c r="J105" s="190">
        <f>IF(COUNT(M105:AS105)&gt;1,STDEV(M105:AS105),"")</f>
        <v/>
      </c>
      <c r="K105" s="191">
        <f>IF(COUNT(M105:AS105)&gt;1,STDEV(M105:AS105)/AVERAGE(M105:AS105),"")</f>
        <v/>
      </c>
      <c r="M105" s="192" t="n">
        <v>1333627.71437353</v>
      </c>
      <c r="N105" s="192" t="n">
        <v>1402194.347</v>
      </c>
      <c r="O105" s="192" t="n">
        <v>1246536.965</v>
      </c>
      <c r="P105" s="192" t="n">
        <v>1185262.312</v>
      </c>
      <c r="Q105" s="192" t="n">
        <v>1103697.344</v>
      </c>
      <c r="R105" s="192" t="n">
        <v>953401.245</v>
      </c>
      <c r="S105" s="192" t="n">
        <v>716400.254</v>
      </c>
      <c r="T105" s="192" t="n">
        <v>606446.8149999999</v>
      </c>
      <c r="U105" s="192" t="n">
        <v>432179.725</v>
      </c>
      <c r="V105" s="192" t="n">
        <v>414307.208</v>
      </c>
      <c r="W105" s="192" t="n">
        <v>285493.231</v>
      </c>
      <c r="X105" s="192" t="n">
        <v>231238.248</v>
      </c>
      <c r="Y105" s="192" t="n">
        <v>184166.374</v>
      </c>
      <c r="Z105" s="192" t="n">
        <v>186283.85</v>
      </c>
      <c r="AA105" s="192" t="n">
        <v>189313.52</v>
      </c>
      <c r="AB105" s="192" t="n">
        <v>168637.135</v>
      </c>
      <c r="AC105" s="192" t="n">
        <v>151633.964224723</v>
      </c>
      <c r="AD105" s="192" t="n">
        <v>138677.100468972</v>
      </c>
      <c r="AE105" s="192" t="n">
        <v>156932</v>
      </c>
      <c r="AF105" s="192" t="n">
        <v>136338</v>
      </c>
      <c r="AG105" s="192" t="n">
        <v>112660</v>
      </c>
      <c r="AH105" s="192" t="n">
        <v>101823</v>
      </c>
      <c r="AI105" s="192" t="n">
        <v>78992</v>
      </c>
      <c r="AJ105" s="192" t="n">
        <v>57222</v>
      </c>
      <c r="AK105" s="192" t="n">
        <v>57389.2</v>
      </c>
      <c r="AL105" s="192" t="n">
        <v>42685</v>
      </c>
      <c r="AM105" s="192" t="n">
        <v>29429.1</v>
      </c>
      <c r="AN105" s="192" t="n">
        <v>22000</v>
      </c>
      <c r="AO105" s="192" t="n">
        <v>15200</v>
      </c>
      <c r="AP105" s="192" t="n">
        <v>12000</v>
      </c>
      <c r="AQ105" s="192" t="n">
        <v>11200</v>
      </c>
      <c r="AR105" s="192" t="n">
        <v>6900</v>
      </c>
      <c r="AS105" s="192" t="n">
        <v>2200</v>
      </c>
      <c r="AT105" s="182" t="n"/>
      <c r="AU105" s="176" t="n"/>
      <c r="AV105" s="176" t="n"/>
      <c r="AW105" s="176" t="n"/>
      <c r="AX105" s="176" t="n"/>
      <c r="AY105" s="176" t="n"/>
      <c r="AZ105" s="176" t="n"/>
      <c r="BA105" s="176" t="n"/>
      <c r="BB105" s="176" t="n"/>
      <c r="BC105" s="176" t="n"/>
      <c r="BD105" s="176" t="n"/>
      <c r="BE105" s="176" t="n"/>
      <c r="BF105" s="176" t="n"/>
      <c r="BG105" s="176" t="n"/>
      <c r="BH105" s="176" t="n"/>
      <c r="BI105" s="176" t="n"/>
      <c r="BJ105" s="176" t="n"/>
      <c r="BK105" s="176" t="n"/>
      <c r="BL105" s="176" t="n"/>
      <c r="BM105" s="176" t="n"/>
      <c r="BN105" s="176" t="n"/>
      <c r="BO105" s="176" t="n"/>
      <c r="BP105" s="176" t="n"/>
      <c r="BQ105" s="176" t="n"/>
      <c r="BR105" s="176" t="n"/>
    </row>
    <row r="106" ht="15" customHeight="1" s="392">
      <c r="A106" s="176" t="n"/>
      <c r="B106" s="180" t="n"/>
      <c r="C106" s="183" t="inlineStr">
        <is>
          <t xml:space="preserve">        Income After Taxes</t>
        </is>
      </c>
      <c r="D106" s="190">
        <f>IF(COUNT(M106:AS106)&gt;0,MEDIAN(M106:AS106),"")</f>
        <v/>
      </c>
      <c r="E106" s="190">
        <f>IF(COUNT(M106:AS106)&gt;0,AVERAGE(M106:AS106),"")</f>
        <v/>
      </c>
      <c r="F106" s="190">
        <f>IF(COUNT(M106:AS106)&gt;0,MIN(M106:AS106),"")</f>
        <v/>
      </c>
      <c r="G106" s="190">
        <f>IF(COUNT(M106:AS106)&gt;0,MAX(M106:AS106),"")</f>
        <v/>
      </c>
      <c r="H106" s="190">
        <f>IF(COUNT(M106:AS106)&gt;0,QUARTILE(M106:AS106,1),"")</f>
        <v/>
      </c>
      <c r="I106" s="190">
        <f>IF(COUNT(M106:AS106)&gt;0,QUARTILE(M106:AS106,3),"")</f>
        <v/>
      </c>
      <c r="J106" s="190">
        <f>IF(COUNT(M106:AS106)&gt;1,STDEV(M106:AS106),"")</f>
        <v/>
      </c>
      <c r="K106" s="191">
        <f>IF(COUNT(M106:AS106)&gt;1,STDEV(M106:AS106)/AVERAGE(M106:AS106),"")</f>
        <v/>
      </c>
      <c r="M106" s="192" t="n">
        <v>1480397</v>
      </c>
      <c r="N106" s="192" t="n">
        <v>1548363</v>
      </c>
      <c r="O106" s="192" t="n">
        <v>1362347</v>
      </c>
      <c r="P106" s="192" t="n">
        <v>1237741</v>
      </c>
      <c r="Q106" s="192" t="n">
        <v>1090130</v>
      </c>
      <c r="R106" s="192" t="n">
        <v>936495</v>
      </c>
      <c r="S106" s="192" t="n">
        <v>699907</v>
      </c>
      <c r="T106" s="192" t="n">
        <v>591693</v>
      </c>
      <c r="U106" s="192" t="n">
        <v>418007</v>
      </c>
      <c r="V106" s="192" t="n">
        <v>394261</v>
      </c>
      <c r="W106" s="192" t="n">
        <v>270360</v>
      </c>
      <c r="X106" s="192" t="n">
        <v>219783</v>
      </c>
      <c r="Y106" s="192" t="n">
        <v>178687</v>
      </c>
      <c r="Z106" s="192" t="n">
        <v>180025</v>
      </c>
      <c r="AA106" s="192" t="n">
        <v>182119</v>
      </c>
      <c r="AB106" s="192" t="n">
        <v>166375</v>
      </c>
      <c r="AC106" s="192" t="n">
        <v>151627</v>
      </c>
      <c r="AD106" s="192" t="n">
        <v>139546</v>
      </c>
      <c r="AE106" s="192" t="n">
        <v>156932</v>
      </c>
      <c r="AF106" s="192" t="n">
        <v>136338</v>
      </c>
      <c r="AG106" s="192" t="n">
        <v>112660</v>
      </c>
      <c r="AH106" s="192" t="n">
        <v>101823</v>
      </c>
      <c r="AI106" s="192" t="n">
        <v>78992</v>
      </c>
      <c r="AJ106" s="192" t="n">
        <v>57222</v>
      </c>
      <c r="AK106" s="192" t="n">
        <v>57389.2</v>
      </c>
      <c r="AL106" s="192" t="n">
        <v>42685</v>
      </c>
      <c r="AM106" s="192" t="n">
        <v>29429.1</v>
      </c>
      <c r="AN106" s="192" t="n">
        <v>22000</v>
      </c>
      <c r="AO106" s="192" t="n">
        <v>15200</v>
      </c>
      <c r="AP106" s="192" t="n">
        <v>12000</v>
      </c>
      <c r="AQ106" s="192" t="n">
        <v>11200</v>
      </c>
      <c r="AR106" s="192" t="n">
        <v>6900</v>
      </c>
      <c r="AS106" s="192" t="n">
        <v>2200</v>
      </c>
      <c r="AT106" s="182" t="n"/>
      <c r="AU106" s="176" t="n"/>
      <c r="AV106" s="176" t="n"/>
      <c r="AW106" s="176" t="n"/>
      <c r="AX106" s="176" t="n"/>
      <c r="AY106" s="176" t="n"/>
      <c r="AZ106" s="176" t="n"/>
      <c r="BA106" s="176" t="n"/>
      <c r="BB106" s="176" t="n"/>
      <c r="BC106" s="176" t="n"/>
      <c r="BD106" s="176" t="n"/>
      <c r="BE106" s="176" t="n"/>
      <c r="BF106" s="176" t="n"/>
      <c r="BG106" s="176" t="n"/>
      <c r="BH106" s="176" t="n"/>
      <c r="BI106" s="176" t="n"/>
      <c r="BJ106" s="176" t="n"/>
      <c r="BK106" s="176" t="n"/>
      <c r="BL106" s="176" t="n"/>
      <c r="BM106" s="176" t="n"/>
      <c r="BN106" s="176" t="n"/>
      <c r="BO106" s="176" t="n"/>
      <c r="BP106" s="176" t="n"/>
      <c r="BQ106" s="176" t="n"/>
      <c r="BR106" s="176" t="n"/>
    </row>
    <row r="107" ht="15" customHeight="1" s="392">
      <c r="A107" s="176" t="n"/>
      <c r="B107" s="180" t="n"/>
      <c r="C107" s="183" t="inlineStr">
        <is>
          <t xml:space="preserve">    Normalized Profitability Metrics</t>
        </is>
      </c>
      <c r="D107" s="185" t="n"/>
      <c r="E107" s="185" t="n"/>
      <c r="F107" s="185" t="n"/>
      <c r="G107" s="185" t="n"/>
      <c r="H107" s="185" t="n"/>
      <c r="I107" s="185" t="n"/>
      <c r="J107" s="185" t="n"/>
      <c r="K107" s="185" t="n"/>
      <c r="AT107" s="182" t="n"/>
      <c r="AU107" s="176" t="n"/>
      <c r="AV107" s="176" t="n"/>
      <c r="AW107" s="176" t="n"/>
      <c r="AX107" s="176" t="n"/>
      <c r="AY107" s="176" t="n"/>
      <c r="AZ107" s="176" t="n"/>
      <c r="BA107" s="176" t="n"/>
      <c r="BB107" s="176" t="n"/>
      <c r="BC107" s="176" t="n"/>
      <c r="BD107" s="176" t="n"/>
      <c r="BE107" s="176" t="n"/>
      <c r="BF107" s="176" t="n"/>
      <c r="BG107" s="176" t="n"/>
      <c r="BH107" s="176" t="n"/>
      <c r="BI107" s="176" t="n"/>
      <c r="BJ107" s="176" t="n"/>
      <c r="BK107" s="176" t="n"/>
      <c r="BL107" s="176" t="n"/>
      <c r="BM107" s="176" t="n"/>
      <c r="BN107" s="176" t="n"/>
      <c r="BO107" s="176" t="n"/>
      <c r="BP107" s="176" t="n"/>
      <c r="BQ107" s="176" t="n"/>
      <c r="BR107" s="176" t="n"/>
    </row>
    <row r="108" ht="15" customHeight="1" s="392">
      <c r="A108" s="176" t="n"/>
      <c r="B108" s="180" t="n"/>
      <c r="C108" s="183" t="inlineStr">
        <is>
          <t xml:space="preserve">        EBITDA (Normalized)</t>
        </is>
      </c>
      <c r="D108" s="190">
        <f>IF(COUNT(M108:AS108)&gt;0,MEDIAN(M108:AS108),"")</f>
        <v/>
      </c>
      <c r="E108" s="190">
        <f>IF(COUNT(M108:AS108)&gt;0,AVERAGE(M108:AS108),"")</f>
        <v/>
      </c>
      <c r="F108" s="190">
        <f>IF(COUNT(M108:AS108)&gt;0,MIN(M108:AS108),"")</f>
        <v/>
      </c>
      <c r="G108" s="190">
        <f>IF(COUNT(M108:AS108)&gt;0,MAX(M108:AS108),"")</f>
        <v/>
      </c>
      <c r="H108" s="190">
        <f>IF(COUNT(M108:AS108)&gt;0,QUARTILE(M108:AS108,1),"")</f>
        <v/>
      </c>
      <c r="I108" s="190">
        <f>IF(COUNT(M108:AS108)&gt;0,QUARTILE(M108:AS108,3),"")</f>
        <v/>
      </c>
      <c r="J108" s="190">
        <f>IF(COUNT(M108:AS108)&gt;1,STDEV(M108:AS108),"")</f>
        <v/>
      </c>
      <c r="K108" s="191">
        <f>IF(COUNT(M108:AS108)&gt;1,STDEV(M108:AS108)/AVERAGE(M108:AS108),"")</f>
        <v/>
      </c>
      <c r="M108" s="192" t="n">
        <v>1922375</v>
      </c>
      <c r="N108" s="192" t="n">
        <v>1956750</v>
      </c>
      <c r="O108" s="192" t="n">
        <v>1787418</v>
      </c>
      <c r="P108" s="192" t="n">
        <v>1685727</v>
      </c>
      <c r="Q108" s="192" t="n">
        <v>1550427</v>
      </c>
      <c r="R108" s="192" t="n">
        <v>1303435</v>
      </c>
      <c r="S108" s="192" t="n">
        <v>942519</v>
      </c>
      <c r="T108" s="192" t="n">
        <v>827808</v>
      </c>
      <c r="U108" s="192" t="n">
        <v>687704</v>
      </c>
      <c r="V108" s="192" t="n">
        <v>560303</v>
      </c>
      <c r="W108" s="192" t="n">
        <v>488475</v>
      </c>
      <c r="X108" s="192" t="n">
        <v>415502</v>
      </c>
      <c r="Y108" s="192" t="n">
        <v>381780</v>
      </c>
      <c r="Z108" s="192" t="n">
        <v>361824</v>
      </c>
      <c r="AA108" s="192" t="n">
        <v>367626</v>
      </c>
      <c r="AB108" s="192" t="n">
        <v>334045</v>
      </c>
      <c r="AC108" s="192" t="n">
        <v>301362</v>
      </c>
      <c r="AD108" s="192" t="n">
        <v>277728</v>
      </c>
      <c r="AE108" s="192" t="n">
        <v>292454</v>
      </c>
      <c r="AF108" s="192" t="n">
        <v>254510</v>
      </c>
      <c r="AG108" s="192" t="n">
        <v>205978</v>
      </c>
      <c r="AH108" s="192" t="n">
        <v>195061</v>
      </c>
      <c r="AI108" s="192" t="n">
        <v>159570</v>
      </c>
      <c r="AJ108" s="192" t="n">
        <v>119712</v>
      </c>
      <c r="AK108" s="192" t="n">
        <v>109965.8</v>
      </c>
      <c r="AL108" s="192" t="n">
        <v>85393.7</v>
      </c>
      <c r="AM108" s="192" t="n">
        <v>59453</v>
      </c>
      <c r="AN108" s="192" t="n">
        <v>45000</v>
      </c>
      <c r="AO108" s="192" t="n">
        <v>32700</v>
      </c>
      <c r="AP108" s="192" t="n">
        <v>27000</v>
      </c>
      <c r="AQ108" s="192" t="n">
        <v>24200</v>
      </c>
      <c r="AR108" s="192" t="n">
        <v>14800</v>
      </c>
      <c r="AS108" s="192" t="n">
        <v>5400</v>
      </c>
      <c r="AT108" s="182" t="n"/>
      <c r="AU108" s="176" t="n"/>
      <c r="AV108" s="176" t="n"/>
      <c r="AW108" s="176" t="n"/>
      <c r="AX108" s="176" t="n"/>
      <c r="AY108" s="176" t="n"/>
      <c r="AZ108" s="176" t="n"/>
      <c r="BA108" s="176" t="n"/>
      <c r="BB108" s="176" t="n"/>
      <c r="BC108" s="176" t="n"/>
      <c r="BD108" s="176" t="n"/>
      <c r="BE108" s="176" t="n"/>
      <c r="BF108" s="176" t="n"/>
      <c r="BG108" s="176" t="n"/>
      <c r="BH108" s="176" t="n"/>
      <c r="BI108" s="176" t="n"/>
      <c r="BJ108" s="176" t="n"/>
      <c r="BK108" s="176" t="n"/>
      <c r="BL108" s="176" t="n"/>
      <c r="BM108" s="176" t="n"/>
      <c r="BN108" s="176" t="n"/>
      <c r="BO108" s="176" t="n"/>
      <c r="BP108" s="176" t="n"/>
      <c r="BQ108" s="176" t="n"/>
      <c r="BR108" s="176" t="n"/>
    </row>
    <row r="109" ht="15" customHeight="1" s="392">
      <c r="A109" s="176" t="n"/>
      <c r="B109" s="180" t="n"/>
      <c r="C109" s="183" t="inlineStr">
        <is>
          <t xml:space="preserve">        EBIT (Normalized)</t>
        </is>
      </c>
      <c r="D109" s="190">
        <f>IF(COUNT(M109:AS109)&gt;0,MEDIAN(M109:AS109),"")</f>
        <v/>
      </c>
      <c r="E109" s="190">
        <f>IF(COUNT(M109:AS109)&gt;0,AVERAGE(M109:AS109),"")</f>
        <v/>
      </c>
      <c r="F109" s="190">
        <f>IF(COUNT(M109:AS109)&gt;0,MIN(M109:AS109),"")</f>
        <v/>
      </c>
      <c r="G109" s="190">
        <f>IF(COUNT(M109:AS109)&gt;0,MAX(M109:AS109),"")</f>
        <v/>
      </c>
      <c r="H109" s="190">
        <f>IF(COUNT(M109:AS109)&gt;0,QUARTILE(M109:AS109,1),"")</f>
        <v/>
      </c>
      <c r="I109" s="190">
        <f>IF(COUNT(M109:AS109)&gt;0,QUARTILE(M109:AS109,3),"")</f>
        <v/>
      </c>
      <c r="J109" s="190">
        <f>IF(COUNT(M109:AS109)&gt;1,STDEV(M109:AS109),"")</f>
        <v/>
      </c>
      <c r="K109" s="191">
        <f>IF(COUNT(M109:AS109)&gt;1,STDEV(M109:AS109)/AVERAGE(M109:AS109),"")</f>
        <v/>
      </c>
      <c r="M109" s="192" t="n">
        <v>1693002</v>
      </c>
      <c r="N109" s="192" t="n">
        <v>1740950</v>
      </c>
      <c r="O109" s="192" t="n">
        <v>1597718</v>
      </c>
      <c r="P109" s="192" t="n">
        <v>1526227</v>
      </c>
      <c r="Q109" s="192" t="n">
        <v>1412427</v>
      </c>
      <c r="R109" s="192" t="n">
        <v>1181535</v>
      </c>
      <c r="S109" s="192" t="n">
        <v>841119</v>
      </c>
      <c r="T109" s="192" t="n">
        <v>742908</v>
      </c>
      <c r="U109" s="192" t="n">
        <v>609204</v>
      </c>
      <c r="V109" s="192" t="n">
        <v>502862</v>
      </c>
      <c r="W109" s="192" t="n">
        <v>438832</v>
      </c>
      <c r="X109" s="192" t="n">
        <v>366609</v>
      </c>
      <c r="Y109" s="192" t="n">
        <v>328054</v>
      </c>
      <c r="Z109" s="192" t="n">
        <v>305096</v>
      </c>
      <c r="AA109" s="192" t="n">
        <v>319459</v>
      </c>
      <c r="AB109" s="192" t="n">
        <v>288351</v>
      </c>
      <c r="AC109" s="192" t="n">
        <v>258120</v>
      </c>
      <c r="AD109" s="192" t="n">
        <v>236374</v>
      </c>
      <c r="AE109" s="192" t="n">
        <v>249650</v>
      </c>
      <c r="AF109" s="192" t="n">
        <v>217421</v>
      </c>
      <c r="AG109" s="192" t="n">
        <v>174522</v>
      </c>
      <c r="AH109" s="192" t="n">
        <v>164595</v>
      </c>
      <c r="AI109" s="192" t="n">
        <v>129921</v>
      </c>
      <c r="AJ109" s="192" t="n">
        <v>94167</v>
      </c>
      <c r="AK109" s="192" t="n">
        <v>93657.60000000001</v>
      </c>
      <c r="AL109" s="192" t="n">
        <v>71043.7</v>
      </c>
      <c r="AM109" s="192" t="n">
        <v>47974</v>
      </c>
      <c r="AN109" s="192" t="n">
        <v>35200</v>
      </c>
      <c r="AO109" s="192" t="n">
        <v>24900</v>
      </c>
      <c r="AP109" s="192" t="n">
        <v>19500</v>
      </c>
      <c r="AQ109" s="192" t="n">
        <v>18200</v>
      </c>
      <c r="AR109" s="192" t="n">
        <v>11400</v>
      </c>
      <c r="AS109" s="192" t="n">
        <v>3700</v>
      </c>
      <c r="AT109" s="182" t="n"/>
      <c r="AU109" s="176" t="n"/>
      <c r="AV109" s="176" t="n"/>
      <c r="AW109" s="176" t="n"/>
      <c r="AX109" s="176" t="n"/>
      <c r="AY109" s="176" t="n"/>
      <c r="AZ109" s="176" t="n"/>
      <c r="BA109" s="176" t="n"/>
      <c r="BB109" s="176" t="n"/>
      <c r="BC109" s="176" t="n"/>
      <c r="BD109" s="176" t="n"/>
      <c r="BE109" s="176" t="n"/>
      <c r="BF109" s="176" t="n"/>
      <c r="BG109" s="176" t="n"/>
      <c r="BH109" s="176" t="n"/>
      <c r="BI109" s="176" t="n"/>
      <c r="BJ109" s="176" t="n"/>
      <c r="BK109" s="176" t="n"/>
      <c r="BL109" s="176" t="n"/>
      <c r="BM109" s="176" t="n"/>
      <c r="BN109" s="176" t="n"/>
      <c r="BO109" s="176" t="n"/>
      <c r="BP109" s="176" t="n"/>
      <c r="BQ109" s="176" t="n"/>
      <c r="BR109" s="176" t="n"/>
    </row>
    <row r="110" ht="15" customHeight="1" s="392">
      <c r="A110" s="176" t="n"/>
      <c r="B110" s="180" t="n"/>
      <c r="C110" s="183" t="inlineStr">
        <is>
          <t xml:space="preserve">        EBITDAR (Normalized)</t>
        </is>
      </c>
      <c r="D110" s="190">
        <f>IF(COUNT(M110:AS110)&gt;0,MEDIAN(M110:AS110),"")</f>
        <v/>
      </c>
      <c r="E110" s="190">
        <f>IF(COUNT(M110:AS110)&gt;0,AVERAGE(M110:AS110),"")</f>
        <v/>
      </c>
      <c r="F110" s="190">
        <f>IF(COUNT(M110:AS110)&gt;0,MIN(M110:AS110),"")</f>
        <v/>
      </c>
      <c r="G110" s="190">
        <f>IF(COUNT(M110:AS110)&gt;0,MAX(M110:AS110),"")</f>
        <v/>
      </c>
      <c r="H110" s="190">
        <f>IF(COUNT(M110:AS110)&gt;0,QUARTILE(M110:AS110,1),"")</f>
        <v/>
      </c>
      <c r="I110" s="190">
        <f>IF(COUNT(M110:AS110)&gt;0,QUARTILE(M110:AS110,3),"")</f>
        <v/>
      </c>
      <c r="J110" s="190">
        <f>IF(COUNT(M110:AS110)&gt;1,STDEV(M110:AS110),"")</f>
        <v/>
      </c>
      <c r="K110" s="191">
        <f>IF(COUNT(M110:AS110)&gt;1,STDEV(M110:AS110)/AVERAGE(M110:AS110),"")</f>
        <v/>
      </c>
      <c r="M110" s="192" t="n">
        <v>1922375</v>
      </c>
      <c r="N110" s="192" t="n">
        <v>1956750</v>
      </c>
      <c r="O110" s="192" t="n">
        <v>1787418</v>
      </c>
      <c r="P110" s="192" t="n">
        <v>1685727</v>
      </c>
      <c r="Q110" s="192" t="n">
        <v>1550427</v>
      </c>
      <c r="R110" s="192" t="n">
        <v>1303435</v>
      </c>
      <c r="S110" s="192" t="n">
        <v>942519</v>
      </c>
      <c r="T110" s="192" t="n">
        <v>827808</v>
      </c>
      <c r="U110" s="192" t="n">
        <v>687704</v>
      </c>
      <c r="V110" s="192" t="n">
        <v>560303</v>
      </c>
      <c r="W110" s="192" t="n">
        <v>488475</v>
      </c>
      <c r="X110" s="192" t="n">
        <v>415502</v>
      </c>
      <c r="Y110" s="192" t="n">
        <v>381780</v>
      </c>
      <c r="Z110" s="192" t="n">
        <v>361824</v>
      </c>
      <c r="AA110" s="192" t="n">
        <v>367626</v>
      </c>
      <c r="AB110" s="192" t="n">
        <v>334045</v>
      </c>
      <c r="AC110" s="192" t="n">
        <v>301362</v>
      </c>
      <c r="AD110" s="192" t="n">
        <v>277728</v>
      </c>
      <c r="AE110" s="192" t="n">
        <v>292454</v>
      </c>
      <c r="AF110" s="192" t="n">
        <v>254510</v>
      </c>
      <c r="AG110" s="192" t="n">
        <v>205978</v>
      </c>
      <c r="AH110" s="192" t="n">
        <v>195061</v>
      </c>
      <c r="AI110" s="192" t="n">
        <v>159570</v>
      </c>
      <c r="AJ110" s="192" t="n">
        <v>119712</v>
      </c>
      <c r="AK110" s="192" t="n">
        <v>109965.8</v>
      </c>
      <c r="AL110" s="192" t="n">
        <v>85393.7</v>
      </c>
      <c r="AM110" s="192" t="n">
        <v>59453</v>
      </c>
      <c r="AN110" s="192" t="n">
        <v>45000</v>
      </c>
      <c r="AO110" s="192" t="n">
        <v>32700</v>
      </c>
      <c r="AP110" s="192" t="n">
        <v>27000</v>
      </c>
      <c r="AQ110" s="192" t="n">
        <v>24200</v>
      </c>
      <c r="AR110" s="192" t="n">
        <v>14800</v>
      </c>
      <c r="AS110" s="192" t="n">
        <v>5400</v>
      </c>
      <c r="AT110" s="182" t="n"/>
      <c r="AU110" s="176" t="n"/>
      <c r="AV110" s="176" t="n"/>
      <c r="AW110" s="176" t="n"/>
      <c r="AX110" s="176" t="n"/>
      <c r="AY110" s="176" t="n"/>
      <c r="AZ110" s="176" t="n"/>
      <c r="BA110" s="176" t="n"/>
      <c r="BB110" s="176" t="n"/>
      <c r="BC110" s="176" t="n"/>
      <c r="BD110" s="176" t="n"/>
      <c r="BE110" s="176" t="n"/>
      <c r="BF110" s="176" t="n"/>
      <c r="BG110" s="176" t="n"/>
      <c r="BH110" s="176" t="n"/>
      <c r="BI110" s="176" t="n"/>
      <c r="BJ110" s="176" t="n"/>
      <c r="BK110" s="176" t="n"/>
      <c r="BL110" s="176" t="n"/>
      <c r="BM110" s="176" t="n"/>
      <c r="BN110" s="176" t="n"/>
      <c r="BO110" s="176" t="n"/>
      <c r="BP110" s="176" t="n"/>
      <c r="BQ110" s="176" t="n"/>
      <c r="BR110" s="176" t="n"/>
    </row>
    <row r="111" ht="15" customHeight="1" s="392">
      <c r="A111" s="176" t="n"/>
      <c r="B111" s="180" t="n"/>
      <c r="C111" s="183" t="inlineStr">
        <is>
          <t xml:space="preserve">        Net Income (Normalized)</t>
        </is>
      </c>
      <c r="D111" s="190">
        <f>IF(COUNT(M111:AS111)&gt;0,MEDIAN(M111:AS111),"")</f>
        <v/>
      </c>
      <c r="E111" s="190">
        <f>IF(COUNT(M111:AS111)&gt;0,AVERAGE(M111:AS111),"")</f>
        <v/>
      </c>
      <c r="F111" s="190">
        <f>IF(COUNT(M111:AS111)&gt;0,MIN(M111:AS111),"")</f>
        <v/>
      </c>
      <c r="G111" s="190">
        <f>IF(COUNT(M111:AS111)&gt;0,MAX(M111:AS111),"")</f>
        <v/>
      </c>
      <c r="H111" s="190">
        <f>IF(COUNT(M111:AS111)&gt;0,QUARTILE(M111:AS111,1),"")</f>
        <v/>
      </c>
      <c r="I111" s="190">
        <f>IF(COUNT(M111:AS111)&gt;0,QUARTILE(M111:AS111,3),"")</f>
        <v/>
      </c>
      <c r="J111" s="190">
        <f>IF(COUNT(M111:AS111)&gt;1,STDEV(M111:AS111),"")</f>
        <v/>
      </c>
      <c r="K111" s="191">
        <f>IF(COUNT(M111:AS111)&gt;1,STDEV(M111:AS111)/AVERAGE(M111:AS111),"")</f>
        <v/>
      </c>
      <c r="M111" s="192" t="n">
        <v>1512625.68698409</v>
      </c>
      <c r="N111" s="192" t="n">
        <v>1568198.126</v>
      </c>
      <c r="O111" s="192" t="n">
        <v>1385235.05</v>
      </c>
      <c r="P111" s="192" t="n">
        <v>1215272</v>
      </c>
      <c r="Q111" s="192" t="n">
        <v>1076387</v>
      </c>
      <c r="R111" s="192" t="n">
        <v>889632</v>
      </c>
      <c r="S111" s="192" t="n">
        <v>610522</v>
      </c>
      <c r="T111" s="192" t="n">
        <v>535839</v>
      </c>
      <c r="U111" s="192" t="n">
        <v>416143</v>
      </c>
      <c r="V111" s="192" t="n">
        <v>302587</v>
      </c>
      <c r="W111" s="192" t="n">
        <v>253108</v>
      </c>
      <c r="X111" s="192" t="n">
        <v>220317</v>
      </c>
      <c r="Y111" s="192" t="n">
        <v>211616.204</v>
      </c>
      <c r="Z111" s="192" t="n">
        <v>192111.75</v>
      </c>
      <c r="AA111" s="192" t="n">
        <v>202043.445</v>
      </c>
      <c r="AB111" s="192" t="n">
        <v>179555.959</v>
      </c>
      <c r="AC111" s="192" t="n">
        <v>163411.734453746</v>
      </c>
      <c r="AD111" s="192" t="n">
        <v>145710.407110112</v>
      </c>
      <c r="AE111" s="192" t="n">
        <v>156932</v>
      </c>
      <c r="AF111" s="192" t="n">
        <v>136338</v>
      </c>
      <c r="AG111" s="192" t="n">
        <v>112660</v>
      </c>
      <c r="AH111" s="192" t="n">
        <v>101823</v>
      </c>
      <c r="AI111" s="192" t="n">
        <v>78992</v>
      </c>
      <c r="AJ111" s="192" t="n">
        <v>57222</v>
      </c>
      <c r="AK111" s="192" t="n">
        <v>57389.2</v>
      </c>
      <c r="AL111" s="192" t="n">
        <v>42685</v>
      </c>
      <c r="AM111" s="192" t="n">
        <v>29429.1</v>
      </c>
      <c r="AN111" s="192" t="n">
        <v>22000</v>
      </c>
      <c r="AO111" s="192" t="n">
        <v>15200</v>
      </c>
      <c r="AP111" s="192" t="n">
        <v>12000</v>
      </c>
      <c r="AQ111" s="192" t="n">
        <v>11200</v>
      </c>
      <c r="AR111" s="192" t="n">
        <v>6900</v>
      </c>
      <c r="AS111" s="192" t="n">
        <v>2200</v>
      </c>
      <c r="AT111" s="182" t="n"/>
      <c r="AU111" s="176" t="n"/>
      <c r="AV111" s="176" t="n"/>
      <c r="AW111" s="176" t="n"/>
      <c r="AX111" s="176" t="n"/>
      <c r="AY111" s="176" t="n"/>
      <c r="AZ111" s="176" t="n"/>
      <c r="BA111" s="176" t="n"/>
      <c r="BB111" s="176" t="n"/>
      <c r="BC111" s="176" t="n"/>
      <c r="BD111" s="176" t="n"/>
      <c r="BE111" s="176" t="n"/>
      <c r="BF111" s="176" t="n"/>
      <c r="BG111" s="176" t="n"/>
      <c r="BH111" s="176" t="n"/>
      <c r="BI111" s="176" t="n"/>
      <c r="BJ111" s="176" t="n"/>
      <c r="BK111" s="176" t="n"/>
      <c r="BL111" s="176" t="n"/>
      <c r="BM111" s="176" t="n"/>
      <c r="BN111" s="176" t="n"/>
      <c r="BO111" s="176" t="n"/>
      <c r="BP111" s="176" t="n"/>
      <c r="BQ111" s="176" t="n"/>
      <c r="BR111" s="176" t="n"/>
    </row>
    <row r="112" ht="15" customHeight="1" s="392">
      <c r="A112" s="176" t="n"/>
      <c r="B112" s="180" t="n"/>
      <c r="C112" s="183" t="inlineStr">
        <is>
          <t xml:space="preserve">    Analyst Normalized Profitability Metrics</t>
        </is>
      </c>
      <c r="D112" s="185" t="n"/>
      <c r="E112" s="185" t="n"/>
      <c r="F112" s="185" t="n"/>
      <c r="G112" s="185" t="n"/>
      <c r="H112" s="185" t="n"/>
      <c r="I112" s="185" t="n"/>
      <c r="J112" s="185" t="n"/>
      <c r="K112" s="185" t="n"/>
      <c r="AT112" s="182" t="n"/>
      <c r="AU112" s="176" t="n"/>
      <c r="AV112" s="176" t="n"/>
      <c r="AW112" s="176" t="n"/>
      <c r="AX112" s="176" t="n"/>
      <c r="AY112" s="176" t="n"/>
      <c r="AZ112" s="176" t="n"/>
      <c r="BA112" s="176" t="n"/>
      <c r="BB112" s="176" t="n"/>
      <c r="BC112" s="176" t="n"/>
      <c r="BD112" s="176" t="n"/>
      <c r="BE112" s="176" t="n"/>
      <c r="BF112" s="176" t="n"/>
      <c r="BG112" s="176" t="n"/>
      <c r="BH112" s="176" t="n"/>
      <c r="BI112" s="176" t="n"/>
      <c r="BJ112" s="176" t="n"/>
      <c r="BK112" s="176" t="n"/>
      <c r="BL112" s="176" t="n"/>
      <c r="BM112" s="176" t="n"/>
      <c r="BN112" s="176" t="n"/>
      <c r="BO112" s="176" t="n"/>
      <c r="BP112" s="176" t="n"/>
      <c r="BQ112" s="176" t="n"/>
      <c r="BR112" s="176" t="n"/>
    </row>
    <row r="113" ht="15" customHeight="1" s="392">
      <c r="A113" s="176" t="n"/>
      <c r="B113" s="180" t="n"/>
      <c r="C113" s="183" t="inlineStr">
        <is>
          <t xml:space="preserve">        EBITDA (Analyst Normalized)</t>
        </is>
      </c>
      <c r="D113" s="190">
        <f>IF(COUNT(M113:AS113)&gt;0,MEDIAN(M113:AS113),"")</f>
        <v/>
      </c>
      <c r="E113" s="190">
        <f>IF(COUNT(M113:AS113)&gt;0,AVERAGE(M113:AS113),"")</f>
        <v/>
      </c>
      <c r="F113" s="190">
        <f>IF(COUNT(M113:AS113)&gt;0,MIN(M113:AS113),"")</f>
        <v/>
      </c>
      <c r="G113" s="190">
        <f>IF(COUNT(M113:AS113)&gt;0,MAX(M113:AS113),"")</f>
        <v/>
      </c>
      <c r="H113" s="190">
        <f>IF(COUNT(M113:AS113)&gt;0,QUARTILE(M113:AS113,1),"")</f>
        <v/>
      </c>
      <c r="I113" s="190">
        <f>IF(COUNT(M113:AS113)&gt;0,QUARTILE(M113:AS113,3),"")</f>
        <v/>
      </c>
      <c r="J113" s="190">
        <f>IF(COUNT(M113:AS113)&gt;1,STDEV(M113:AS113),"")</f>
        <v/>
      </c>
      <c r="K113" s="191">
        <f>IF(COUNT(M113:AS113)&gt;1,STDEV(M113:AS113)/AVERAGE(M113:AS113),"")</f>
        <v/>
      </c>
      <c r="M113" s="192" t="n">
        <v>1883557</v>
      </c>
      <c r="N113" s="192" t="n">
        <v>1918746</v>
      </c>
      <c r="O113" s="192" t="n">
        <v>1752184</v>
      </c>
      <c r="P113" s="192" t="n">
        <v>1646054</v>
      </c>
      <c r="Q113" s="192" t="n">
        <v>1512908</v>
      </c>
      <c r="R113" s="192" t="n">
        <v>1266614.48101266</v>
      </c>
      <c r="S113" s="192" t="n">
        <v>917579.506329114</v>
      </c>
      <c r="T113" s="192" t="n">
        <v>803949.405063292</v>
      </c>
      <c r="U113" s="192" t="n">
        <v>665717</v>
      </c>
      <c r="V113" s="192" t="n">
        <v>540316</v>
      </c>
      <c r="W113" s="192" t="n">
        <v>467719</v>
      </c>
      <c r="X113" s="192" t="n">
        <v>396891</v>
      </c>
      <c r="Y113" s="192" t="n">
        <v>368320</v>
      </c>
      <c r="Z113" s="192" t="n"/>
      <c r="AA113" s="192" t="n"/>
      <c r="AB113" s="192" t="n"/>
      <c r="AC113" s="192" t="n"/>
      <c r="AD113" s="192" t="n"/>
      <c r="AE113" s="192" t="n"/>
      <c r="AF113" s="192" t="n"/>
      <c r="AG113" s="192" t="n"/>
      <c r="AH113" s="192" t="n"/>
      <c r="AI113" s="192" t="n"/>
      <c r="AJ113" s="192" t="n"/>
      <c r="AK113" s="192" t="n"/>
      <c r="AL113" s="192" t="n"/>
      <c r="AM113" s="192" t="n"/>
      <c r="AN113" s="192" t="n"/>
      <c r="AO113" s="192" t="n"/>
      <c r="AP113" s="192" t="n"/>
      <c r="AQ113" s="192" t="n"/>
      <c r="AR113" s="192" t="n"/>
      <c r="AS113" s="192" t="n"/>
      <c r="AT113" s="182" t="n"/>
      <c r="AU113" s="176" t="n"/>
      <c r="AV113" s="176" t="n"/>
      <c r="AW113" s="176" t="n"/>
      <c r="AX113" s="176" t="n"/>
      <c r="AY113" s="176" t="n"/>
      <c r="AZ113" s="176" t="n"/>
      <c r="BA113" s="176" t="n"/>
      <c r="BB113" s="176" t="n"/>
      <c r="BC113" s="176" t="n"/>
      <c r="BD113" s="176" t="n"/>
      <c r="BE113" s="176" t="n"/>
      <c r="BF113" s="176" t="n"/>
      <c r="BG113" s="176" t="n"/>
      <c r="BH113" s="176" t="n"/>
      <c r="BI113" s="176" t="n"/>
      <c r="BJ113" s="176" t="n"/>
      <c r="BK113" s="176" t="n"/>
      <c r="BL113" s="176" t="n"/>
      <c r="BM113" s="176" t="n"/>
      <c r="BN113" s="176" t="n"/>
      <c r="BO113" s="176" t="n"/>
      <c r="BP113" s="176" t="n"/>
      <c r="BQ113" s="176" t="n"/>
      <c r="BR113" s="176" t="n"/>
    </row>
    <row r="114" ht="15" customHeight="1" s="392">
      <c r="A114" s="176" t="n"/>
      <c r="B114" s="180" t="n"/>
      <c r="C114" s="183" t="inlineStr">
        <is>
          <t xml:space="preserve">        EBIT (Analyst Normalized)</t>
        </is>
      </c>
      <c r="D114" s="190">
        <f>IF(COUNT(M114:AS114)&gt;0,MEDIAN(M114:AS114),"")</f>
        <v/>
      </c>
      <c r="E114" s="190">
        <f>IF(COUNT(M114:AS114)&gt;0,AVERAGE(M114:AS114),"")</f>
        <v/>
      </c>
      <c r="F114" s="190">
        <f>IF(COUNT(M114:AS114)&gt;0,MIN(M114:AS114),"")</f>
        <v/>
      </c>
      <c r="G114" s="190">
        <f>IF(COUNT(M114:AS114)&gt;0,MAX(M114:AS114),"")</f>
        <v/>
      </c>
      <c r="H114" s="190">
        <f>IF(COUNT(M114:AS114)&gt;0,QUARTILE(M114:AS114,1),"")</f>
        <v/>
      </c>
      <c r="I114" s="190">
        <f>IF(COUNT(M114:AS114)&gt;0,QUARTILE(M114:AS114,3),"")</f>
        <v/>
      </c>
      <c r="J114" s="190">
        <f>IF(COUNT(M114:AS114)&gt;1,STDEV(M114:AS114),"")</f>
        <v/>
      </c>
      <c r="K114" s="191">
        <f>IF(COUNT(M114:AS114)&gt;1,STDEV(M114:AS114)/AVERAGE(M114:AS114),"")</f>
        <v/>
      </c>
      <c r="M114" s="192" t="n">
        <v>1654184</v>
      </c>
      <c r="N114" s="192" t="n">
        <v>1702946</v>
      </c>
      <c r="O114" s="192" t="n">
        <v>1562484</v>
      </c>
      <c r="P114" s="192" t="n">
        <v>1486554</v>
      </c>
      <c r="Q114" s="192" t="n">
        <v>1374908</v>
      </c>
      <c r="R114" s="192" t="n">
        <v>1144714.48101266</v>
      </c>
      <c r="S114" s="192" t="n">
        <v>816179.506329114</v>
      </c>
      <c r="T114" s="192" t="n">
        <v>719049.405063292</v>
      </c>
      <c r="U114" s="192" t="n">
        <v>587217</v>
      </c>
      <c r="V114" s="192" t="n">
        <v>482875</v>
      </c>
      <c r="W114" s="192" t="n">
        <v>418076</v>
      </c>
      <c r="X114" s="192" t="n">
        <v>347998</v>
      </c>
      <c r="Y114" s="192" t="n">
        <v>314594</v>
      </c>
      <c r="Z114" s="192" t="n"/>
      <c r="AA114" s="192" t="n"/>
      <c r="AB114" s="192" t="n"/>
      <c r="AC114" s="192" t="n"/>
      <c r="AD114" s="192" t="n"/>
      <c r="AE114" s="192" t="n"/>
      <c r="AF114" s="192" t="n"/>
      <c r="AG114" s="192" t="n"/>
      <c r="AH114" s="192" t="n"/>
      <c r="AI114" s="192" t="n"/>
      <c r="AJ114" s="192" t="n"/>
      <c r="AK114" s="192" t="n"/>
      <c r="AL114" s="192" t="n"/>
      <c r="AM114" s="192" t="n"/>
      <c r="AN114" s="192" t="n"/>
      <c r="AO114" s="192" t="n"/>
      <c r="AP114" s="192" t="n"/>
      <c r="AQ114" s="192" t="n"/>
      <c r="AR114" s="192" t="n"/>
      <c r="AS114" s="192" t="n"/>
      <c r="AT114" s="182" t="n"/>
      <c r="AU114" s="176" t="n"/>
      <c r="AV114" s="176" t="n"/>
      <c r="AW114" s="176" t="n"/>
      <c r="AX114" s="176" t="n"/>
      <c r="AY114" s="176" t="n"/>
      <c r="AZ114" s="176" t="n"/>
      <c r="BA114" s="176" t="n"/>
      <c r="BB114" s="176" t="n"/>
      <c r="BC114" s="176" t="n"/>
      <c r="BD114" s="176" t="n"/>
      <c r="BE114" s="176" t="n"/>
      <c r="BF114" s="176" t="n"/>
      <c r="BG114" s="176" t="n"/>
      <c r="BH114" s="176" t="n"/>
      <c r="BI114" s="176" t="n"/>
      <c r="BJ114" s="176" t="n"/>
      <c r="BK114" s="176" t="n"/>
      <c r="BL114" s="176" t="n"/>
      <c r="BM114" s="176" t="n"/>
      <c r="BN114" s="176" t="n"/>
      <c r="BO114" s="176" t="n"/>
      <c r="BP114" s="176" t="n"/>
      <c r="BQ114" s="176" t="n"/>
      <c r="BR114" s="176" t="n"/>
    </row>
    <row r="115" ht="15" customHeight="1" s="392">
      <c r="A115" s="176" t="n"/>
      <c r="B115" s="180" t="n"/>
      <c r="C115" s="183" t="inlineStr">
        <is>
          <t xml:space="preserve">        Net Income (Analyst Normalized)</t>
        </is>
      </c>
      <c r="D115" s="190">
        <f>IF(COUNT(M115:AS115)&gt;0,MEDIAN(M115:AS115),"")</f>
        <v/>
      </c>
      <c r="E115" s="190">
        <f>IF(COUNT(M115:AS115)&gt;0,AVERAGE(M115:AS115),"")</f>
        <v/>
      </c>
      <c r="F115" s="190">
        <f>IF(COUNT(M115:AS115)&gt;0,MIN(M115:AS115),"")</f>
        <v/>
      </c>
      <c r="G115" s="190">
        <f>IF(COUNT(M115:AS115)&gt;0,MAX(M115:AS115),"")</f>
        <v/>
      </c>
      <c r="H115" s="190">
        <f>IF(COUNT(M115:AS115)&gt;0,QUARTILE(M115:AS115,1),"")</f>
        <v/>
      </c>
      <c r="I115" s="190">
        <f>IF(COUNT(M115:AS115)&gt;0,QUARTILE(M115:AS115,3),"")</f>
        <v/>
      </c>
      <c r="J115" s="190">
        <f>IF(COUNT(M115:AS115)&gt;1,STDEV(M115:AS115),"")</f>
        <v/>
      </c>
      <c r="K115" s="191">
        <f>IF(COUNT(M115:AS115)&gt;1,STDEV(M115:AS115)/AVERAGE(M115:AS115),"")</f>
        <v/>
      </c>
      <c r="M115" s="192" t="n">
        <v>1485162.70000741</v>
      </c>
      <c r="N115" s="192" t="n">
        <v>1541605.45991001</v>
      </c>
      <c r="O115" s="192" t="n">
        <v>1357929.23995775</v>
      </c>
      <c r="P115" s="192" t="n">
        <v>1213813.6599879</v>
      </c>
      <c r="Q115" s="192" t="n">
        <v>1073076.46007982</v>
      </c>
      <c r="R115" s="192" t="n">
        <v>888567.969991758</v>
      </c>
      <c r="S115" s="192" t="n">
        <v>609009.729987459</v>
      </c>
      <c r="T115" s="192" t="n">
        <v>535006.329979851</v>
      </c>
      <c r="U115" s="192" t="n">
        <v>414440.139991895</v>
      </c>
      <c r="V115" s="192" t="n">
        <v>300027.399998784</v>
      </c>
      <c r="W115" s="192" t="n">
        <v>257544.100000321</v>
      </c>
      <c r="X115" s="192" t="n">
        <v>214983.099991804</v>
      </c>
      <c r="Y115" s="192" t="n">
        <v>198805.830042784</v>
      </c>
      <c r="Z115" s="192" t="n"/>
      <c r="AA115" s="192" t="n"/>
      <c r="AB115" s="192" t="n"/>
      <c r="AC115" s="192" t="n"/>
      <c r="AD115" s="192" t="n"/>
      <c r="AE115" s="192" t="n"/>
      <c r="AF115" s="192" t="n"/>
      <c r="AG115" s="192" t="n"/>
      <c r="AH115" s="192" t="n"/>
      <c r="AI115" s="192" t="n"/>
      <c r="AJ115" s="192" t="n"/>
      <c r="AK115" s="192" t="n"/>
      <c r="AL115" s="192" t="n"/>
      <c r="AM115" s="192" t="n"/>
      <c r="AN115" s="192" t="n"/>
      <c r="AO115" s="192" t="n"/>
      <c r="AP115" s="192" t="n"/>
      <c r="AQ115" s="192" t="n"/>
      <c r="AR115" s="192" t="n"/>
      <c r="AS115" s="192" t="n"/>
      <c r="AT115" s="182" t="n"/>
      <c r="AU115" s="176" t="n"/>
      <c r="AV115" s="176" t="n"/>
      <c r="AW115" s="176" t="n"/>
      <c r="AX115" s="176" t="n"/>
      <c r="AY115" s="176" t="n"/>
      <c r="AZ115" s="176" t="n"/>
      <c r="BA115" s="176" t="n"/>
      <c r="BB115" s="176" t="n"/>
      <c r="BC115" s="176" t="n"/>
      <c r="BD115" s="176" t="n"/>
      <c r="BE115" s="176" t="n"/>
      <c r="BF115" s="176" t="n"/>
      <c r="BG115" s="176" t="n"/>
      <c r="BH115" s="176" t="n"/>
      <c r="BI115" s="176" t="n"/>
      <c r="BJ115" s="176" t="n"/>
      <c r="BK115" s="176" t="n"/>
      <c r="BL115" s="176" t="n"/>
      <c r="BM115" s="176" t="n"/>
      <c r="BN115" s="176" t="n"/>
      <c r="BO115" s="176" t="n"/>
      <c r="BP115" s="176" t="n"/>
      <c r="BQ115" s="176" t="n"/>
      <c r="BR115" s="176" t="n"/>
    </row>
    <row r="116" ht="15" customHeight="1" s="392">
      <c r="A116" s="176" t="n"/>
      <c r="B116" s="180" t="n"/>
      <c r="C116" s="183" t="inlineStr">
        <is>
          <t xml:space="preserve">        EPS (Analyst Normalized)</t>
        </is>
      </c>
      <c r="D116" s="191">
        <f>IF(COUNT(M116:AS116)&gt;0,MEDIAN(M116:AS116),"")</f>
        <v/>
      </c>
      <c r="E116" s="191">
        <f>IF(COUNT(M116:AS116)&gt;0,AVERAGE(M116:AS116),"")</f>
        <v/>
      </c>
      <c r="F116" s="191">
        <f>IF(COUNT(M116:AS116)&gt;0,MIN(M116:AS116),"")</f>
        <v/>
      </c>
      <c r="G116" s="191">
        <f>IF(COUNT(M116:AS116)&gt;0,MAX(M116:AS116),"")</f>
        <v/>
      </c>
      <c r="H116" s="191">
        <f>IF(COUNT(M116:AS116)&gt;0,QUARTILE(M116:AS116,1),"")</f>
        <v/>
      </c>
      <c r="I116" s="191">
        <f>IF(COUNT(M116:AS116)&gt;0,QUARTILE(M116:AS116,3),"")</f>
        <v/>
      </c>
      <c r="J116" s="191">
        <f>IF(COUNT(M116:AS116)&gt;1,STDEV(M116:AS116),"")</f>
        <v/>
      </c>
      <c r="K116" s="191">
        <f>IF(COUNT(M116:AS116)&gt;1,STDEV(M116:AS116)/AVERAGE(M116:AS116),"")</f>
        <v/>
      </c>
      <c r="M116" s="197" t="n">
        <v>1.550951</v>
      </c>
      <c r="N116" s="197" t="n">
        <v>1.58891</v>
      </c>
      <c r="O116" s="197" t="n">
        <v>1.384782</v>
      </c>
      <c r="P116" s="197" t="n">
        <v>1.257818</v>
      </c>
      <c r="Q116" s="197" t="n">
        <v>1.11959</v>
      </c>
      <c r="R116" s="197" t="n">
        <v>0.927126</v>
      </c>
      <c r="S116" s="197" t="n">
        <v>0.637772</v>
      </c>
      <c r="T116" s="197" t="n">
        <v>0.559563</v>
      </c>
      <c r="U116" s="197" t="n">
        <v>0.429556</v>
      </c>
      <c r="V116" s="197" t="n">
        <v>0.317115</v>
      </c>
      <c r="W116" s="197" t="n">
        <v>0.267158</v>
      </c>
      <c r="X116" s="197" t="n">
        <v>0.205402</v>
      </c>
      <c r="Y116" s="197" t="n">
        <v>0.190703</v>
      </c>
      <c r="Z116" s="197" t="n"/>
      <c r="AA116" s="197" t="n"/>
      <c r="AB116" s="197" t="n"/>
      <c r="AC116" s="197" t="n"/>
      <c r="AD116" s="197" t="n"/>
      <c r="AE116" s="197" t="n"/>
      <c r="AF116" s="197" t="n"/>
      <c r="AG116" s="197" t="n"/>
      <c r="AH116" s="197" t="n"/>
      <c r="AI116" s="197" t="n"/>
      <c r="AJ116" s="197" t="n"/>
      <c r="AK116" s="197" t="n"/>
      <c r="AL116" s="197" t="n"/>
      <c r="AM116" s="197" t="n"/>
      <c r="AN116" s="197" t="n"/>
      <c r="AO116" s="197" t="n"/>
      <c r="AP116" s="197" t="n"/>
      <c r="AQ116" s="197" t="n"/>
      <c r="AR116" s="197" t="n"/>
      <c r="AS116" s="197" t="n"/>
      <c r="AT116" s="182" t="n"/>
      <c r="AU116" s="176" t="n"/>
      <c r="AV116" s="176" t="n"/>
      <c r="AW116" s="176" t="n"/>
      <c r="AX116" s="176" t="n"/>
      <c r="AY116" s="176" t="n"/>
      <c r="AZ116" s="176" t="n"/>
      <c r="BA116" s="176" t="n"/>
      <c r="BB116" s="176" t="n"/>
      <c r="BC116" s="176" t="n"/>
      <c r="BD116" s="176" t="n"/>
      <c r="BE116" s="176" t="n"/>
      <c r="BF116" s="176" t="n"/>
      <c r="BG116" s="176" t="n"/>
      <c r="BH116" s="176" t="n"/>
      <c r="BI116" s="176" t="n"/>
      <c r="BJ116" s="176" t="n"/>
      <c r="BK116" s="176" t="n"/>
      <c r="BL116" s="176" t="n"/>
      <c r="BM116" s="176" t="n"/>
      <c r="BN116" s="176" t="n"/>
      <c r="BO116" s="176" t="n"/>
      <c r="BP116" s="176" t="n"/>
      <c r="BQ116" s="176" t="n"/>
      <c r="BR116" s="176" t="n"/>
    </row>
    <row r="117" ht="15" customHeight="1" s="392">
      <c r="A117" s="176" t="n"/>
      <c r="B117" s="180" t="n"/>
      <c r="C117" s="189" t="inlineStr">
        <is>
          <t>Data Origination</t>
        </is>
      </c>
      <c r="D117" s="185" t="n"/>
      <c r="E117" s="185" t="n"/>
      <c r="F117" s="185" t="n"/>
      <c r="G117" s="185" t="n"/>
      <c r="H117" s="185" t="n"/>
      <c r="I117" s="185" t="n"/>
      <c r="J117" s="185" t="n"/>
      <c r="K117" s="185" t="n"/>
      <c r="L117" s="185" t="n"/>
      <c r="M117" s="185" t="n"/>
      <c r="N117" s="185" t="n"/>
      <c r="O117" s="185" t="n"/>
      <c r="P117" s="185" t="n"/>
      <c r="Q117" s="185" t="n"/>
      <c r="R117" s="185" t="n"/>
      <c r="S117" s="185" t="n"/>
      <c r="T117" s="185" t="n"/>
      <c r="U117" s="185" t="n"/>
      <c r="V117" s="185" t="n"/>
      <c r="W117" s="185" t="n"/>
      <c r="X117" s="185" t="n"/>
      <c r="Y117" s="185" t="n"/>
      <c r="Z117" s="185" t="n"/>
      <c r="AA117" s="185" t="n"/>
      <c r="AB117" s="185" t="n"/>
      <c r="AC117" s="185" t="n"/>
      <c r="AD117" s="185" t="n"/>
      <c r="AE117" s="185" t="n"/>
      <c r="AF117" s="185" t="n"/>
      <c r="AG117" s="185" t="n"/>
      <c r="AH117" s="185" t="n"/>
      <c r="AI117" s="185" t="n"/>
      <c r="AJ117" s="185" t="n"/>
      <c r="AK117" s="185" t="n"/>
      <c r="AL117" s="185" t="n"/>
      <c r="AM117" s="185" t="n"/>
      <c r="AN117" s="185" t="n"/>
      <c r="AO117" s="185" t="n"/>
      <c r="AP117" s="185" t="n"/>
      <c r="AQ117" s="185" t="n"/>
      <c r="AR117" s="185" t="n"/>
      <c r="AS117" s="185" t="n"/>
      <c r="AT117" s="182" t="n"/>
      <c r="AU117" s="176" t="n"/>
      <c r="AV117" s="176" t="n"/>
      <c r="AW117" s="176" t="n"/>
      <c r="AX117" s="176" t="n"/>
      <c r="AY117" s="176" t="n"/>
      <c r="AZ117" s="176" t="n"/>
      <c r="BA117" s="176" t="n"/>
      <c r="BB117" s="176" t="n"/>
      <c r="BC117" s="176" t="n"/>
      <c r="BD117" s="176" t="n"/>
      <c r="BE117" s="176" t="n"/>
      <c r="BF117" s="176" t="n"/>
      <c r="BG117" s="176" t="n"/>
      <c r="BH117" s="176" t="n"/>
      <c r="BI117" s="176" t="n"/>
      <c r="BJ117" s="176" t="n"/>
      <c r="BK117" s="176" t="n"/>
      <c r="BL117" s="176" t="n"/>
      <c r="BM117" s="176" t="n"/>
      <c r="BN117" s="176" t="n"/>
      <c r="BO117" s="176" t="n"/>
      <c r="BP117" s="176" t="n"/>
      <c r="BQ117" s="176" t="n"/>
      <c r="BR117" s="176" t="n"/>
    </row>
    <row r="118" ht="15" customHeight="1" s="392">
      <c r="A118" s="176" t="n"/>
      <c r="B118" s="180" t="n"/>
      <c r="C118" s="183" t="inlineStr">
        <is>
          <t xml:space="preserve">    Preliminary</t>
        </is>
      </c>
      <c r="D118" s="201">
        <f>IF(COUNT(M118:AS118)&gt;0,MEDIAN(M118:AS118),"")</f>
        <v/>
      </c>
      <c r="E118" s="201">
        <f>IF(COUNT(M118:AS118)&gt;0,AVERAGE(M118:AS118),"")</f>
        <v/>
      </c>
      <c r="F118" s="201">
        <f>IF(COUNT(M118:AS118)&gt;0,MIN(M118:AS118),"")</f>
        <v/>
      </c>
      <c r="G118" s="201">
        <f>IF(COUNT(M118:AS118)&gt;0,MAX(M118:AS118),"")</f>
        <v/>
      </c>
      <c r="H118" s="201">
        <f>IF(COUNT(M118:AS118)&gt;0,QUARTILE(M118:AS118,1),"")</f>
        <v/>
      </c>
      <c r="I118" s="201">
        <f>IF(COUNT(M118:AS118)&gt;0,QUARTILE(M118:AS118,3),"")</f>
        <v/>
      </c>
      <c r="J118" s="201">
        <f>IF(COUNT(M118:AS118)&gt;1,STDEV(M118:AS118),"")</f>
        <v/>
      </c>
      <c r="K118" s="191">
        <f>IF(COUNT(M118:AS118)&gt;1,STDEV(M118:AS118)/AVERAGE(M118:AS118),"")</f>
        <v/>
      </c>
      <c r="M118" s="202" t="inlineStr">
        <is>
          <t>Yes</t>
        </is>
      </c>
      <c r="N118" s="202" t="inlineStr">
        <is>
          <t>No</t>
        </is>
      </c>
      <c r="O118" s="202" t="inlineStr">
        <is>
          <t>No</t>
        </is>
      </c>
      <c r="P118" s="202" t="inlineStr">
        <is>
          <t>No</t>
        </is>
      </c>
      <c r="Q118" s="202" t="inlineStr">
        <is>
          <t>No</t>
        </is>
      </c>
      <c r="R118" s="202" t="inlineStr">
        <is>
          <t>No</t>
        </is>
      </c>
      <c r="S118" s="202" t="inlineStr">
        <is>
          <t>No</t>
        </is>
      </c>
      <c r="T118" s="202" t="inlineStr">
        <is>
          <t>No</t>
        </is>
      </c>
      <c r="U118" s="202" t="inlineStr">
        <is>
          <t>No</t>
        </is>
      </c>
      <c r="V118" s="202" t="inlineStr">
        <is>
          <t>No</t>
        </is>
      </c>
      <c r="W118" s="202" t="inlineStr">
        <is>
          <t>No</t>
        </is>
      </c>
      <c r="X118" s="202" t="inlineStr">
        <is>
          <t>No</t>
        </is>
      </c>
      <c r="Y118" s="202" t="inlineStr">
        <is>
          <t>No</t>
        </is>
      </c>
      <c r="Z118" s="202" t="inlineStr">
        <is>
          <t>No</t>
        </is>
      </c>
      <c r="AA118" s="202" t="inlineStr">
        <is>
          <t>No</t>
        </is>
      </c>
      <c r="AB118" s="202" t="inlineStr">
        <is>
          <t>No</t>
        </is>
      </c>
      <c r="AC118" s="202" t="inlineStr">
        <is>
          <t>No</t>
        </is>
      </c>
      <c r="AD118" s="202" t="inlineStr">
        <is>
          <t>No</t>
        </is>
      </c>
      <c r="AE118" s="202" t="inlineStr">
        <is>
          <t>No</t>
        </is>
      </c>
      <c r="AF118" s="202" t="inlineStr">
        <is>
          <t>No</t>
        </is>
      </c>
      <c r="AG118" s="202" t="inlineStr">
        <is>
          <t>No</t>
        </is>
      </c>
      <c r="AH118" s="202" t="inlineStr">
        <is>
          <t>No</t>
        </is>
      </c>
      <c r="AI118" s="202" t="inlineStr">
        <is>
          <t>No</t>
        </is>
      </c>
      <c r="AJ118" s="202" t="inlineStr">
        <is>
          <t>No</t>
        </is>
      </c>
      <c r="AK118" s="202" t="inlineStr">
        <is>
          <t>No</t>
        </is>
      </c>
      <c r="AL118" s="202" t="inlineStr">
        <is>
          <t>No</t>
        </is>
      </c>
      <c r="AM118" s="202" t="inlineStr">
        <is>
          <t>No</t>
        </is>
      </c>
      <c r="AN118" s="202" t="inlineStr">
        <is>
          <t>No</t>
        </is>
      </c>
      <c r="AO118" s="202" t="inlineStr">
        <is>
          <t>No</t>
        </is>
      </c>
      <c r="AP118" s="202" t="inlineStr">
        <is>
          <t>No</t>
        </is>
      </c>
      <c r="AQ118" s="202" t="inlineStr">
        <is>
          <t>No</t>
        </is>
      </c>
      <c r="AR118" s="202" t="inlineStr">
        <is>
          <t>No</t>
        </is>
      </c>
      <c r="AS118" s="202" t="inlineStr">
        <is>
          <t>No</t>
        </is>
      </c>
      <c r="AT118" s="182" t="n"/>
      <c r="AU118" s="176" t="n"/>
      <c r="AV118" s="176" t="n"/>
      <c r="AW118" s="176" t="n"/>
      <c r="AX118" s="176" t="n"/>
      <c r="AY118" s="176" t="n"/>
      <c r="AZ118" s="176" t="n"/>
      <c r="BA118" s="176" t="n"/>
      <c r="BB118" s="176" t="n"/>
      <c r="BC118" s="176" t="n"/>
      <c r="BD118" s="176" t="n"/>
      <c r="BE118" s="176" t="n"/>
      <c r="BF118" s="176" t="n"/>
      <c r="BG118" s="176" t="n"/>
      <c r="BH118" s="176" t="n"/>
      <c r="BI118" s="176" t="n"/>
      <c r="BJ118" s="176" t="n"/>
      <c r="BK118" s="176" t="n"/>
      <c r="BL118" s="176" t="n"/>
      <c r="BM118" s="176" t="n"/>
      <c r="BN118" s="176" t="n"/>
      <c r="BO118" s="176" t="n"/>
      <c r="BP118" s="176" t="n"/>
      <c r="BQ118" s="176" t="n"/>
      <c r="BR118" s="176" t="n"/>
    </row>
    <row r="119" ht="15" customHeight="1" s="392">
      <c r="A119" s="176" t="n"/>
      <c r="B119" s="180" t="n"/>
      <c r="C119" s="183" t="inlineStr">
        <is>
          <t xml:space="preserve">    Original</t>
        </is>
      </c>
      <c r="D119" s="201">
        <f>IF(COUNT(M119:AS119)&gt;0,MEDIAN(M119:AS119),"")</f>
        <v/>
      </c>
      <c r="E119" s="201">
        <f>IF(COUNT(M119:AS119)&gt;0,AVERAGE(M119:AS119),"")</f>
        <v/>
      </c>
      <c r="F119" s="201">
        <f>IF(COUNT(M119:AS119)&gt;0,MIN(M119:AS119),"")</f>
        <v/>
      </c>
      <c r="G119" s="201">
        <f>IF(COUNT(M119:AS119)&gt;0,MAX(M119:AS119),"")</f>
        <v/>
      </c>
      <c r="H119" s="201">
        <f>IF(COUNT(M119:AS119)&gt;0,QUARTILE(M119:AS119,1),"")</f>
        <v/>
      </c>
      <c r="I119" s="201">
        <f>IF(COUNT(M119:AS119)&gt;0,QUARTILE(M119:AS119,3),"")</f>
        <v/>
      </c>
      <c r="J119" s="201">
        <f>IF(COUNT(M119:AS119)&gt;1,STDEV(M119:AS119),"")</f>
        <v/>
      </c>
      <c r="K119" s="191">
        <f>IF(COUNT(M119:AS119)&gt;1,STDEV(M119:AS119)/AVERAGE(M119:AS119),"")</f>
        <v/>
      </c>
      <c r="M119" s="202" t="inlineStr">
        <is>
          <t>No</t>
        </is>
      </c>
      <c r="N119" s="202" t="inlineStr">
        <is>
          <t>No</t>
        </is>
      </c>
      <c r="O119" s="202" t="inlineStr">
        <is>
          <t>No</t>
        </is>
      </c>
      <c r="P119" s="202" t="inlineStr">
        <is>
          <t>No</t>
        </is>
      </c>
      <c r="Q119" s="202" t="inlineStr">
        <is>
          <t>No</t>
        </is>
      </c>
      <c r="R119" s="202" t="inlineStr">
        <is>
          <t>No</t>
        </is>
      </c>
      <c r="S119" s="202" t="inlineStr">
        <is>
          <t>No</t>
        </is>
      </c>
      <c r="T119" s="202" t="inlineStr">
        <is>
          <t>No</t>
        </is>
      </c>
      <c r="U119" s="202" t="inlineStr">
        <is>
          <t>No</t>
        </is>
      </c>
      <c r="V119" s="202" t="inlineStr">
        <is>
          <t>No</t>
        </is>
      </c>
      <c r="W119" s="202" t="inlineStr">
        <is>
          <t>No</t>
        </is>
      </c>
      <c r="X119" s="202" t="inlineStr">
        <is>
          <t>No</t>
        </is>
      </c>
      <c r="Y119" s="202" t="inlineStr">
        <is>
          <t>No</t>
        </is>
      </c>
      <c r="Z119" s="202" t="inlineStr">
        <is>
          <t>No</t>
        </is>
      </c>
      <c r="AA119" s="202" t="inlineStr">
        <is>
          <t>No</t>
        </is>
      </c>
      <c r="AB119" s="202" t="inlineStr">
        <is>
          <t>No</t>
        </is>
      </c>
      <c r="AC119" s="202" t="inlineStr">
        <is>
          <t>No</t>
        </is>
      </c>
      <c r="AD119" s="202" t="inlineStr">
        <is>
          <t>No</t>
        </is>
      </c>
      <c r="AE119" s="202" t="inlineStr">
        <is>
          <t>No</t>
        </is>
      </c>
      <c r="AF119" s="202" t="inlineStr">
        <is>
          <t>No</t>
        </is>
      </c>
      <c r="AG119" s="202" t="inlineStr">
        <is>
          <t>No</t>
        </is>
      </c>
      <c r="AH119" s="202" t="inlineStr">
        <is>
          <t>No</t>
        </is>
      </c>
      <c r="AI119" s="202" t="inlineStr">
        <is>
          <t>No</t>
        </is>
      </c>
      <c r="AJ119" s="202" t="inlineStr">
        <is>
          <t>No</t>
        </is>
      </c>
      <c r="AK119" s="202" t="inlineStr">
        <is>
          <t>No</t>
        </is>
      </c>
      <c r="AL119" s="202" t="inlineStr">
        <is>
          <t>No</t>
        </is>
      </c>
      <c r="AM119" s="202" t="inlineStr">
        <is>
          <t>No</t>
        </is>
      </c>
      <c r="AN119" s="202" t="inlineStr">
        <is>
          <t>No</t>
        </is>
      </c>
      <c r="AO119" s="202" t="inlineStr">
        <is>
          <t>No</t>
        </is>
      </c>
      <c r="AP119" s="202" t="inlineStr">
        <is>
          <t>No</t>
        </is>
      </c>
      <c r="AQ119" s="202" t="inlineStr">
        <is>
          <t>No</t>
        </is>
      </c>
      <c r="AR119" s="202" t="inlineStr">
        <is>
          <t>No</t>
        </is>
      </c>
      <c r="AS119" s="202" t="inlineStr">
        <is>
          <t>No</t>
        </is>
      </c>
      <c r="AT119" s="182" t="n"/>
      <c r="AU119" s="176" t="n"/>
      <c r="AV119" s="176" t="n"/>
      <c r="AW119" s="176" t="n"/>
      <c r="AX119" s="176" t="n"/>
      <c r="AY119" s="176" t="n"/>
      <c r="AZ119" s="176" t="n"/>
      <c r="BA119" s="176" t="n"/>
      <c r="BB119" s="176" t="n"/>
      <c r="BC119" s="176" t="n"/>
      <c r="BD119" s="176" t="n"/>
      <c r="BE119" s="176" t="n"/>
      <c r="BF119" s="176" t="n"/>
      <c r="BG119" s="176" t="n"/>
      <c r="BH119" s="176" t="n"/>
      <c r="BI119" s="176" t="n"/>
      <c r="BJ119" s="176" t="n"/>
      <c r="BK119" s="176" t="n"/>
      <c r="BL119" s="176" t="n"/>
      <c r="BM119" s="176" t="n"/>
      <c r="BN119" s="176" t="n"/>
      <c r="BO119" s="176" t="n"/>
      <c r="BP119" s="176" t="n"/>
      <c r="BQ119" s="176" t="n"/>
      <c r="BR119" s="176" t="n"/>
    </row>
    <row r="120" ht="15" customHeight="1" s="392">
      <c r="A120" s="176" t="n"/>
      <c r="B120" s="180" t="n"/>
      <c r="C120" s="183" t="inlineStr">
        <is>
          <t xml:space="preserve">    Restated</t>
        </is>
      </c>
      <c r="D120" s="201">
        <f>IF(COUNT(M120:AS120)&gt;0,MEDIAN(M120:AS120),"")</f>
        <v/>
      </c>
      <c r="E120" s="201">
        <f>IF(COUNT(M120:AS120)&gt;0,AVERAGE(M120:AS120),"")</f>
        <v/>
      </c>
      <c r="F120" s="201">
        <f>IF(COUNT(M120:AS120)&gt;0,MIN(M120:AS120),"")</f>
        <v/>
      </c>
      <c r="G120" s="201">
        <f>IF(COUNT(M120:AS120)&gt;0,MAX(M120:AS120),"")</f>
        <v/>
      </c>
      <c r="H120" s="201">
        <f>IF(COUNT(M120:AS120)&gt;0,QUARTILE(M120:AS120,1),"")</f>
        <v/>
      </c>
      <c r="I120" s="201">
        <f>IF(COUNT(M120:AS120)&gt;0,QUARTILE(M120:AS120,3),"")</f>
        <v/>
      </c>
      <c r="J120" s="201">
        <f>IF(COUNT(M120:AS120)&gt;1,STDEV(M120:AS120),"")</f>
        <v/>
      </c>
      <c r="K120" s="191">
        <f>IF(COUNT(M120:AS120)&gt;1,STDEV(M120:AS120)/AVERAGE(M120:AS120),"")</f>
        <v/>
      </c>
      <c r="M120" s="202" t="inlineStr">
        <is>
          <t>Yes</t>
        </is>
      </c>
      <c r="N120" s="202" t="inlineStr">
        <is>
          <t>Yes</t>
        </is>
      </c>
      <c r="O120" s="202" t="inlineStr">
        <is>
          <t>Yes</t>
        </is>
      </c>
      <c r="P120" s="202" t="inlineStr">
        <is>
          <t>Yes</t>
        </is>
      </c>
      <c r="Q120" s="202" t="inlineStr">
        <is>
          <t>Yes</t>
        </is>
      </c>
      <c r="R120" s="202" t="inlineStr">
        <is>
          <t>Yes</t>
        </is>
      </c>
      <c r="S120" s="202" t="inlineStr">
        <is>
          <t>Yes</t>
        </is>
      </c>
      <c r="T120" s="202" t="inlineStr">
        <is>
          <t>Yes</t>
        </is>
      </c>
      <c r="U120" s="202" t="inlineStr">
        <is>
          <t>Yes</t>
        </is>
      </c>
      <c r="V120" s="202" t="inlineStr">
        <is>
          <t>Yes</t>
        </is>
      </c>
      <c r="W120" s="202" t="inlineStr">
        <is>
          <t>Yes</t>
        </is>
      </c>
      <c r="X120" s="202" t="inlineStr">
        <is>
          <t>Yes</t>
        </is>
      </c>
      <c r="Y120" s="202" t="inlineStr">
        <is>
          <t>Yes</t>
        </is>
      </c>
      <c r="Z120" s="202" t="inlineStr">
        <is>
          <t>Yes</t>
        </is>
      </c>
      <c r="AA120" s="202" t="inlineStr">
        <is>
          <t>Yes</t>
        </is>
      </c>
      <c r="AB120" s="202" t="inlineStr">
        <is>
          <t>Yes</t>
        </is>
      </c>
      <c r="AC120" s="202" t="inlineStr">
        <is>
          <t>Yes</t>
        </is>
      </c>
      <c r="AD120" s="202" t="inlineStr">
        <is>
          <t>Yes</t>
        </is>
      </c>
      <c r="AE120" s="202" t="inlineStr">
        <is>
          <t>Yes</t>
        </is>
      </c>
      <c r="AF120" s="202" t="inlineStr">
        <is>
          <t>Yes</t>
        </is>
      </c>
      <c r="AG120" s="202" t="inlineStr">
        <is>
          <t>Yes</t>
        </is>
      </c>
      <c r="AH120" s="202" t="inlineStr">
        <is>
          <t>Yes</t>
        </is>
      </c>
      <c r="AI120" s="202" t="inlineStr">
        <is>
          <t>Yes</t>
        </is>
      </c>
      <c r="AJ120" s="202" t="inlineStr">
        <is>
          <t>Yes</t>
        </is>
      </c>
      <c r="AK120" s="202" t="inlineStr">
        <is>
          <t>Yes</t>
        </is>
      </c>
      <c r="AL120" s="202" t="inlineStr">
        <is>
          <t>Yes</t>
        </is>
      </c>
      <c r="AM120" s="202" t="inlineStr">
        <is>
          <t>Yes</t>
        </is>
      </c>
      <c r="AN120" s="202" t="inlineStr">
        <is>
          <t>Yes</t>
        </is>
      </c>
      <c r="AO120" s="202" t="inlineStr">
        <is>
          <t>Yes</t>
        </is>
      </c>
      <c r="AP120" s="202" t="inlineStr">
        <is>
          <t>Yes</t>
        </is>
      </c>
      <c r="AQ120" s="202" t="inlineStr">
        <is>
          <t>Yes</t>
        </is>
      </c>
      <c r="AR120" s="202" t="inlineStr">
        <is>
          <t>Yes</t>
        </is>
      </c>
      <c r="AS120" s="202" t="inlineStr">
        <is>
          <t>Yes</t>
        </is>
      </c>
      <c r="AT120" s="182" t="n"/>
      <c r="AU120" s="176" t="n"/>
      <c r="AV120" s="176" t="n"/>
      <c r="AW120" s="176" t="n"/>
      <c r="AX120" s="176" t="n"/>
      <c r="AY120" s="176" t="n"/>
      <c r="AZ120" s="176" t="n"/>
      <c r="BA120" s="176" t="n"/>
      <c r="BB120" s="176" t="n"/>
      <c r="BC120" s="176" t="n"/>
      <c r="BD120" s="176" t="n"/>
      <c r="BE120" s="176" t="n"/>
      <c r="BF120" s="176" t="n"/>
      <c r="BG120" s="176" t="n"/>
      <c r="BH120" s="176" t="n"/>
      <c r="BI120" s="176" t="n"/>
      <c r="BJ120" s="176" t="n"/>
      <c r="BK120" s="176" t="n"/>
      <c r="BL120" s="176" t="n"/>
      <c r="BM120" s="176" t="n"/>
      <c r="BN120" s="176" t="n"/>
      <c r="BO120" s="176" t="n"/>
      <c r="BP120" s="176" t="n"/>
      <c r="BQ120" s="176" t="n"/>
      <c r="BR120" s="176" t="n"/>
    </row>
    <row r="121" ht="15" customHeight="1" s="392">
      <c r="A121" s="176" t="n"/>
      <c r="B121" s="180" t="n"/>
      <c r="C121" s="183" t="inlineStr">
        <is>
          <t xml:space="preserve">    Calculated</t>
        </is>
      </c>
      <c r="D121" s="201">
        <f>IF(COUNT(M121:AS121)&gt;0,MEDIAN(M121:AS121),"")</f>
        <v/>
      </c>
      <c r="E121" s="201">
        <f>IF(COUNT(M121:AS121)&gt;0,AVERAGE(M121:AS121),"")</f>
        <v/>
      </c>
      <c r="F121" s="201">
        <f>IF(COUNT(M121:AS121)&gt;0,MIN(M121:AS121),"")</f>
        <v/>
      </c>
      <c r="G121" s="201">
        <f>IF(COUNT(M121:AS121)&gt;0,MAX(M121:AS121),"")</f>
        <v/>
      </c>
      <c r="H121" s="201">
        <f>IF(COUNT(M121:AS121)&gt;0,QUARTILE(M121:AS121,1),"")</f>
        <v/>
      </c>
      <c r="I121" s="201">
        <f>IF(COUNT(M121:AS121)&gt;0,QUARTILE(M121:AS121,3),"")</f>
        <v/>
      </c>
      <c r="J121" s="201">
        <f>IF(COUNT(M121:AS121)&gt;1,STDEV(M121:AS121),"")</f>
        <v/>
      </c>
      <c r="K121" s="191">
        <f>IF(COUNT(M121:AS121)&gt;1,STDEV(M121:AS121)/AVERAGE(M121:AS121),"")</f>
        <v/>
      </c>
      <c r="M121" s="202" t="inlineStr">
        <is>
          <t>No</t>
        </is>
      </c>
      <c r="N121" s="202" t="inlineStr">
        <is>
          <t>No</t>
        </is>
      </c>
      <c r="O121" s="202" t="inlineStr">
        <is>
          <t>No</t>
        </is>
      </c>
      <c r="P121" s="202" t="inlineStr">
        <is>
          <t>No</t>
        </is>
      </c>
      <c r="Q121" s="202" t="inlineStr">
        <is>
          <t>No</t>
        </is>
      </c>
      <c r="R121" s="202" t="inlineStr">
        <is>
          <t>No</t>
        </is>
      </c>
      <c r="S121" s="202" t="inlineStr">
        <is>
          <t>No</t>
        </is>
      </c>
      <c r="T121" s="202" t="inlineStr">
        <is>
          <t>No</t>
        </is>
      </c>
      <c r="U121" s="202" t="inlineStr">
        <is>
          <t>No</t>
        </is>
      </c>
      <c r="V121" s="202" t="inlineStr">
        <is>
          <t>No</t>
        </is>
      </c>
      <c r="W121" s="202" t="inlineStr">
        <is>
          <t>No</t>
        </is>
      </c>
      <c r="X121" s="202" t="inlineStr">
        <is>
          <t>No</t>
        </is>
      </c>
      <c r="Y121" s="202" t="inlineStr">
        <is>
          <t>No</t>
        </is>
      </c>
      <c r="Z121" s="202" t="inlineStr">
        <is>
          <t>No</t>
        </is>
      </c>
      <c r="AA121" s="202" t="inlineStr">
        <is>
          <t>No</t>
        </is>
      </c>
      <c r="AB121" s="202" t="inlineStr">
        <is>
          <t>No</t>
        </is>
      </c>
      <c r="AC121" s="202" t="inlineStr">
        <is>
          <t>No</t>
        </is>
      </c>
      <c r="AD121" s="202" t="inlineStr">
        <is>
          <t>No</t>
        </is>
      </c>
      <c r="AE121" s="202" t="inlineStr">
        <is>
          <t>No</t>
        </is>
      </c>
      <c r="AF121" s="202" t="inlineStr">
        <is>
          <t>No</t>
        </is>
      </c>
      <c r="AG121" s="202" t="inlineStr">
        <is>
          <t>No</t>
        </is>
      </c>
      <c r="AH121" s="202" t="inlineStr">
        <is>
          <t>No</t>
        </is>
      </c>
      <c r="AI121" s="202" t="inlineStr">
        <is>
          <t>No</t>
        </is>
      </c>
      <c r="AJ121" s="202" t="inlineStr">
        <is>
          <t>No</t>
        </is>
      </c>
      <c r="AK121" s="202" t="inlineStr">
        <is>
          <t>No</t>
        </is>
      </c>
      <c r="AL121" s="202" t="inlineStr">
        <is>
          <t>No</t>
        </is>
      </c>
      <c r="AM121" s="202" t="inlineStr">
        <is>
          <t>No</t>
        </is>
      </c>
      <c r="AN121" s="202" t="inlineStr">
        <is>
          <t>No</t>
        </is>
      </c>
      <c r="AO121" s="202" t="inlineStr">
        <is>
          <t>No</t>
        </is>
      </c>
      <c r="AP121" s="202" t="inlineStr">
        <is>
          <t>No</t>
        </is>
      </c>
      <c r="AQ121" s="202" t="inlineStr">
        <is>
          <t>No</t>
        </is>
      </c>
      <c r="AR121" s="202" t="inlineStr">
        <is>
          <t>No</t>
        </is>
      </c>
      <c r="AS121" s="202" t="inlineStr">
        <is>
          <t>No</t>
        </is>
      </c>
      <c r="AT121" s="182" t="n"/>
      <c r="AU121" s="176" t="n"/>
      <c r="AV121" s="176" t="n"/>
      <c r="AW121" s="176" t="n"/>
      <c r="AX121" s="176" t="n"/>
      <c r="AY121" s="176" t="n"/>
      <c r="AZ121" s="176" t="n"/>
      <c r="BA121" s="176" t="n"/>
      <c r="BB121" s="176" t="n"/>
      <c r="BC121" s="176" t="n"/>
      <c r="BD121" s="176" t="n"/>
      <c r="BE121" s="176" t="n"/>
      <c r="BF121" s="176" t="n"/>
      <c r="BG121" s="176" t="n"/>
      <c r="BH121" s="176" t="n"/>
      <c r="BI121" s="176" t="n"/>
      <c r="BJ121" s="176" t="n"/>
      <c r="BK121" s="176" t="n"/>
      <c r="BL121" s="176" t="n"/>
      <c r="BM121" s="176" t="n"/>
      <c r="BN121" s="176" t="n"/>
      <c r="BO121" s="176" t="n"/>
      <c r="BP121" s="176" t="n"/>
      <c r="BQ121" s="176" t="n"/>
      <c r="BR121" s="176" t="n"/>
    </row>
    <row r="122" ht="15" customHeight="1" s="392">
      <c r="A122" s="176" t="n"/>
      <c r="B122" s="180" t="n"/>
      <c r="AT122" s="182" t="n"/>
      <c r="AU122" s="176" t="n"/>
      <c r="AV122" s="176" t="n"/>
      <c r="AW122" s="176" t="n"/>
      <c r="AX122" s="176" t="n"/>
      <c r="AY122" s="176" t="n"/>
      <c r="AZ122" s="176" t="n"/>
      <c r="BA122" s="176" t="n"/>
      <c r="BB122" s="176" t="n"/>
      <c r="BC122" s="176" t="n"/>
      <c r="BD122" s="176" t="n"/>
      <c r="BE122" s="176" t="n"/>
      <c r="BF122" s="176" t="n"/>
      <c r="BG122" s="176" t="n"/>
      <c r="BH122" s="176" t="n"/>
      <c r="BI122" s="176" t="n"/>
      <c r="BJ122" s="176" t="n"/>
      <c r="BK122" s="176" t="n"/>
      <c r="BL122" s="176" t="n"/>
      <c r="BM122" s="176" t="n"/>
      <c r="BN122" s="176" t="n"/>
      <c r="BO122" s="176" t="n"/>
      <c r="BP122" s="176" t="n"/>
      <c r="BQ122" s="176" t="n"/>
      <c r="BR122" s="176" t="n"/>
    </row>
    <row r="123" ht="15" customHeight="1" s="392">
      <c r="A123" s="176" t="n"/>
      <c r="B123" s="180" t="n"/>
      <c r="AT123" s="182" t="n"/>
      <c r="AU123" s="176" t="n"/>
      <c r="AV123" s="176" t="n"/>
      <c r="AW123" s="176" t="n"/>
      <c r="AX123" s="176" t="n"/>
      <c r="AY123" s="176" t="n"/>
      <c r="AZ123" s="176" t="n"/>
      <c r="BA123" s="176" t="n"/>
      <c r="BB123" s="176" t="n"/>
      <c r="BC123" s="176" t="n"/>
      <c r="BD123" s="176" t="n"/>
      <c r="BE123" s="176" t="n"/>
      <c r="BF123" s="176" t="n"/>
      <c r="BG123" s="176" t="n"/>
      <c r="BH123" s="176" t="n"/>
      <c r="BI123" s="176" t="n"/>
      <c r="BJ123" s="176" t="n"/>
      <c r="BK123" s="176" t="n"/>
      <c r="BL123" s="176" t="n"/>
      <c r="BM123" s="176" t="n"/>
      <c r="BN123" s="176" t="n"/>
      <c r="BO123" s="176" t="n"/>
      <c r="BP123" s="176" t="n"/>
      <c r="BQ123" s="176" t="n"/>
      <c r="BR123" s="176" t="n"/>
    </row>
    <row r="124" ht="15" customHeight="1" s="392">
      <c r="A124" s="176" t="n"/>
      <c r="B124" s="180" t="n"/>
      <c r="C124" s="183" t="inlineStr">
        <is>
          <t>© PitchBook Data, Inc.  2026</t>
        </is>
      </c>
      <c r="AT124" s="182" t="n"/>
      <c r="AU124" s="176" t="n"/>
      <c r="AV124" s="176" t="n"/>
      <c r="AW124" s="176" t="n"/>
      <c r="AX124" s="176" t="n"/>
      <c r="AY124" s="176" t="n"/>
      <c r="AZ124" s="176" t="n"/>
      <c r="BA124" s="176" t="n"/>
      <c r="BB124" s="176" t="n"/>
      <c r="BC124" s="176" t="n"/>
      <c r="BD124" s="176" t="n"/>
      <c r="BE124" s="176" t="n"/>
      <c r="BF124" s="176" t="n"/>
      <c r="BG124" s="176" t="n"/>
      <c r="BH124" s="176" t="n"/>
      <c r="BI124" s="176" t="n"/>
      <c r="BJ124" s="176" t="n"/>
      <c r="BK124" s="176" t="n"/>
      <c r="BL124" s="176" t="n"/>
      <c r="BM124" s="176" t="n"/>
      <c r="BN124" s="176" t="n"/>
      <c r="BO124" s="176" t="n"/>
      <c r="BP124" s="176" t="n"/>
      <c r="BQ124" s="176" t="n"/>
      <c r="BR124" s="176" t="n"/>
    </row>
    <row r="125" ht="15" customHeight="1" s="392">
      <c r="A125" s="176" t="n"/>
      <c r="B125" s="180" t="n"/>
      <c r="AT125" s="182" t="n"/>
      <c r="AU125" s="176" t="n"/>
      <c r="AV125" s="176" t="n"/>
      <c r="AW125" s="176" t="n"/>
      <c r="AX125" s="176" t="n"/>
      <c r="AY125" s="176" t="n"/>
      <c r="AZ125" s="176" t="n"/>
      <c r="BA125" s="176" t="n"/>
      <c r="BB125" s="176" t="n"/>
      <c r="BC125" s="176" t="n"/>
      <c r="BD125" s="176" t="n"/>
      <c r="BE125" s="176" t="n"/>
      <c r="BF125" s="176" t="n"/>
      <c r="BG125" s="176" t="n"/>
      <c r="BH125" s="176" t="n"/>
      <c r="BI125" s="176" t="n"/>
      <c r="BJ125" s="176" t="n"/>
      <c r="BK125" s="176" t="n"/>
      <c r="BL125" s="176" t="n"/>
      <c r="BM125" s="176" t="n"/>
      <c r="BN125" s="176" t="n"/>
      <c r="BO125" s="176" t="n"/>
      <c r="BP125" s="176" t="n"/>
      <c r="BQ125" s="176" t="n"/>
      <c r="BR125" s="176" t="n"/>
    </row>
    <row r="126" ht="15" customHeight="1" s="392">
      <c r="A126" s="176" t="n"/>
      <c r="B126" s="203" t="n"/>
      <c r="C126" s="204" t="n"/>
      <c r="D126" s="204" t="n"/>
      <c r="E126" s="204" t="n"/>
      <c r="F126" s="204" t="n"/>
      <c r="G126" s="204" t="n"/>
      <c r="H126" s="204" t="n"/>
      <c r="I126" s="204" t="n"/>
      <c r="J126" s="204" t="n"/>
      <c r="K126" s="204" t="n"/>
      <c r="L126" s="204" t="n"/>
      <c r="M126" s="204" t="n"/>
      <c r="N126" s="204" t="n"/>
      <c r="O126" s="204" t="n"/>
      <c r="P126" s="204" t="n"/>
      <c r="Q126" s="204" t="n"/>
      <c r="R126" s="204" t="n"/>
      <c r="S126" s="204" t="n"/>
      <c r="T126" s="204" t="n"/>
      <c r="U126" s="204" t="n"/>
      <c r="V126" s="204" t="n"/>
      <c r="W126" s="204" t="n"/>
      <c r="X126" s="204" t="n"/>
      <c r="Y126" s="204" t="n"/>
      <c r="Z126" s="204" t="n"/>
      <c r="AA126" s="204" t="n"/>
      <c r="AB126" s="204" t="n"/>
      <c r="AC126" s="204" t="n"/>
      <c r="AD126" s="204" t="n"/>
      <c r="AE126" s="204" t="n"/>
      <c r="AF126" s="204" t="n"/>
      <c r="AG126" s="204" t="n"/>
      <c r="AH126" s="204" t="n"/>
      <c r="AI126" s="204" t="n"/>
      <c r="AJ126" s="204" t="n"/>
      <c r="AK126" s="204" t="n"/>
      <c r="AL126" s="204" t="n"/>
      <c r="AM126" s="204" t="n"/>
      <c r="AN126" s="204" t="n"/>
      <c r="AO126" s="204" t="n"/>
      <c r="AP126" s="204" t="n"/>
      <c r="AQ126" s="204" t="n"/>
      <c r="AR126" s="204" t="n"/>
      <c r="AS126" s="204" t="n"/>
      <c r="AT126" s="205" t="n"/>
      <c r="AU126" s="176" t="n"/>
      <c r="AV126" s="176" t="n"/>
      <c r="AW126" s="176" t="n"/>
      <c r="AX126" s="176" t="n"/>
      <c r="AY126" s="176" t="n"/>
      <c r="AZ126" s="176" t="n"/>
      <c r="BA126" s="176" t="n"/>
      <c r="BB126" s="176" t="n"/>
      <c r="BC126" s="176" t="n"/>
      <c r="BD126" s="176" t="n"/>
      <c r="BE126" s="176" t="n"/>
      <c r="BF126" s="176" t="n"/>
      <c r="BG126" s="176" t="n"/>
      <c r="BH126" s="176" t="n"/>
      <c r="BI126" s="176" t="n"/>
      <c r="BJ126" s="176" t="n"/>
      <c r="BK126" s="176" t="n"/>
      <c r="BL126" s="176" t="n"/>
      <c r="BM126" s="176" t="n"/>
      <c r="BN126" s="176" t="n"/>
      <c r="BO126" s="176" t="n"/>
      <c r="BP126" s="176" t="n"/>
      <c r="BQ126" s="176" t="n"/>
      <c r="BR126" s="176" t="n"/>
    </row>
    <row r="127" ht="15" customHeight="1" s="392">
      <c r="A127" s="176" t="n"/>
      <c r="B127" s="176" t="n"/>
      <c r="C127" s="176" t="n"/>
      <c r="D127" s="176" t="n"/>
      <c r="E127" s="176" t="n"/>
      <c r="F127" s="176" t="n"/>
      <c r="G127" s="176" t="n"/>
      <c r="H127" s="176" t="n"/>
      <c r="I127" s="176" t="n"/>
      <c r="J127" s="176" t="n"/>
      <c r="K127" s="176" t="n"/>
      <c r="L127" s="176" t="n"/>
      <c r="M127" s="176" t="n"/>
      <c r="N127" s="176" t="n"/>
      <c r="O127" s="176" t="n"/>
      <c r="P127" s="176" t="n"/>
      <c r="Q127" s="176" t="n"/>
      <c r="R127" s="176" t="n"/>
      <c r="S127" s="176" t="n"/>
      <c r="T127" s="176" t="n"/>
      <c r="U127" s="176" t="n"/>
      <c r="V127" s="176" t="n"/>
      <c r="W127" s="176" t="n"/>
      <c r="X127" s="176" t="n"/>
      <c r="Y127" s="176" t="n"/>
      <c r="Z127" s="176" t="n"/>
      <c r="AA127" s="176" t="n"/>
      <c r="AB127" s="176" t="n"/>
      <c r="AC127" s="176" t="n"/>
      <c r="AD127" s="176" t="n"/>
      <c r="AE127" s="176" t="n"/>
      <c r="AF127" s="176" t="n"/>
      <c r="AG127" s="176" t="n"/>
      <c r="AH127" s="176" t="n"/>
      <c r="AI127" s="176" t="n"/>
      <c r="AJ127" s="176" t="n"/>
      <c r="AK127" s="176" t="n"/>
      <c r="AL127" s="176" t="n"/>
      <c r="AM127" s="176" t="n"/>
      <c r="AN127" s="176" t="n"/>
      <c r="AO127" s="176" t="n"/>
      <c r="AP127" s="176" t="n"/>
      <c r="AQ127" s="176" t="n"/>
      <c r="AR127" s="176" t="n"/>
      <c r="AS127" s="176" t="n"/>
      <c r="AT127" s="176" t="n"/>
      <c r="AU127" s="176" t="n"/>
      <c r="AV127" s="176" t="n"/>
      <c r="AW127" s="176" t="n"/>
      <c r="AX127" s="176" t="n"/>
      <c r="AY127" s="176" t="n"/>
      <c r="AZ127" s="176" t="n"/>
      <c r="BA127" s="176" t="n"/>
      <c r="BB127" s="176" t="n"/>
      <c r="BC127" s="176" t="n"/>
      <c r="BD127" s="176" t="n"/>
      <c r="BE127" s="176" t="n"/>
      <c r="BF127" s="176" t="n"/>
      <c r="BG127" s="176" t="n"/>
      <c r="BH127" s="176" t="n"/>
      <c r="BI127" s="176" t="n"/>
      <c r="BJ127" s="176" t="n"/>
      <c r="BK127" s="176" t="n"/>
      <c r="BL127" s="176" t="n"/>
      <c r="BM127" s="176" t="n"/>
      <c r="BN127" s="176" t="n"/>
      <c r="BO127" s="176" t="n"/>
      <c r="BP127" s="176" t="n"/>
      <c r="BQ127" s="176" t="n"/>
      <c r="BR127" s="176" t="n"/>
    </row>
  </sheetData>
  <pageMargins left="0.75" right="0.75" top="1" bottom="1" header="0.511811023622047" footer="0.511811023622047"/>
  <pageSetup orientation="portrait" paperSize="9" horizontalDpi="300" verticalDpi="300"/>
</worksheet>
</file>

<file path=xl/worksheets/sheet36.xml><?xml version="1.0" encoding="utf-8"?>
<worksheet xmlns="http://schemas.openxmlformats.org/spreadsheetml/2006/main">
  <sheetPr>
    <tabColor rgb="FFBFBFBF"/>
    <outlinePr summaryBelow="1" summaryRight="1"/>
    <pageSetUpPr/>
  </sheetPr>
  <dimension ref="A1:BR234"/>
  <sheetViews>
    <sheetView showGridLines="0" zoomScaleNormal="100" workbookViewId="0">
      <pane xSplit="3" ySplit="10" topLeftCell="D11" activePane="bottomRight" state="frozen"/>
      <selection pane="topRight" activeCell="D1" sqref="D1"/>
      <selection pane="bottomLeft" activeCell="A11" sqref="A11"/>
      <selection pane="bottomRight" activeCell="A1" sqref="A1"/>
    </sheetView>
  </sheetViews>
  <sheetFormatPr baseColWidth="10" defaultColWidth="8.6640625" defaultRowHeight="15"/>
  <cols>
    <col width="1.1640625" customWidth="1" style="392" min="1" max="1"/>
    <col width="1.83203125" customWidth="1" style="392" min="2" max="2"/>
    <col width="50.6640625" customWidth="1" style="392" min="3" max="3"/>
    <col width="14.6640625" customWidth="1" style="392" min="4" max="4"/>
    <col width="1.83203125" customWidth="1" style="392" min="12" max="12"/>
    <col width="14.6640625" customWidth="1" style="392" min="13" max="13"/>
    <col width="1.83203125" customWidth="1" style="392" min="46" max="46"/>
  </cols>
  <sheetData>
    <row r="1" ht="6" customHeight="1" s="392">
      <c r="A1" s="176" t="n"/>
      <c r="B1" s="176" t="n"/>
      <c r="C1" s="176" t="n"/>
      <c r="D1" s="176" t="n"/>
      <c r="E1" s="176" t="n"/>
      <c r="F1" s="176" t="n"/>
      <c r="G1" s="176" t="n"/>
      <c r="H1" s="176" t="n"/>
      <c r="I1" s="176" t="n"/>
      <c r="J1" s="176" t="n"/>
      <c r="K1" s="176" t="n"/>
      <c r="L1" s="176" t="n"/>
      <c r="M1" s="176" t="n"/>
      <c r="N1" s="176" t="n"/>
      <c r="O1" s="176" t="n"/>
      <c r="P1" s="176" t="n"/>
      <c r="Q1" s="176" t="n"/>
      <c r="R1" s="176" t="n"/>
      <c r="S1" s="176" t="n"/>
      <c r="T1" s="176" t="n"/>
      <c r="U1" s="176" t="n"/>
      <c r="V1" s="176" t="n"/>
      <c r="W1" s="176" t="n"/>
      <c r="X1" s="176" t="n"/>
      <c r="Y1" s="176" t="n"/>
      <c r="Z1" s="176" t="n"/>
      <c r="AA1" s="176" t="n"/>
      <c r="AB1" s="176" t="n"/>
      <c r="AC1" s="176" t="n"/>
      <c r="AD1" s="176" t="n"/>
      <c r="AE1" s="176" t="n"/>
      <c r="AF1" s="176" t="n"/>
      <c r="AG1" s="176" t="n"/>
      <c r="AH1" s="176" t="n"/>
      <c r="AI1" s="176" t="n"/>
      <c r="AJ1" s="176" t="n"/>
      <c r="AK1" s="176" t="n"/>
      <c r="AL1" s="176" t="n"/>
      <c r="AM1" s="176" t="n"/>
      <c r="AN1" s="176" t="n"/>
      <c r="AO1" s="176" t="n"/>
      <c r="AP1" s="176" t="n"/>
      <c r="AQ1" s="176" t="n"/>
      <c r="AR1" s="176" t="n"/>
      <c r="AS1" s="176" t="n"/>
      <c r="AT1" s="176" t="n"/>
      <c r="AU1" s="176" t="n"/>
      <c r="AV1" s="176" t="n"/>
      <c r="AW1" s="176" t="n"/>
      <c r="AX1" s="176" t="n"/>
      <c r="AY1" s="176" t="n"/>
      <c r="AZ1" s="176" t="n"/>
      <c r="BA1" s="176" t="n"/>
      <c r="BB1" s="176" t="n"/>
      <c r="BC1" s="176" t="n"/>
      <c r="BD1" s="176" t="n"/>
      <c r="BE1" s="176" t="n"/>
      <c r="BF1" s="176" t="n"/>
      <c r="BG1" s="176" t="n"/>
      <c r="BH1" s="176" t="n"/>
      <c r="BI1" s="176" t="n"/>
      <c r="BJ1" s="176" t="n"/>
      <c r="BK1" s="176" t="n"/>
      <c r="BL1" s="176" t="n"/>
      <c r="BM1" s="176" t="n"/>
      <c r="BN1" s="176" t="n"/>
      <c r="BO1" s="176" t="n"/>
      <c r="BP1" s="176" t="n"/>
      <c r="BQ1" s="176" t="n"/>
      <c r="BR1" s="176" t="n"/>
    </row>
    <row r="2" ht="39.75" customHeight="1" s="392">
      <c r="A2" s="176" t="n"/>
      <c r="B2" s="177" t="n"/>
      <c r="C2" s="178" t="n"/>
      <c r="D2" s="178" t="n"/>
      <c r="E2" s="178" t="n"/>
      <c r="F2" s="178" t="n"/>
      <c r="G2" s="178" t="n"/>
      <c r="H2" s="178" t="n"/>
      <c r="I2" s="178" t="n"/>
      <c r="J2" s="178" t="n"/>
      <c r="K2" s="178" t="n"/>
      <c r="L2" s="178" t="n"/>
      <c r="M2" s="178" t="n"/>
      <c r="N2" s="178" t="n"/>
      <c r="O2" s="178" t="n"/>
      <c r="P2" s="178" t="n"/>
      <c r="Q2" s="178" t="n"/>
      <c r="R2" s="178" t="n"/>
      <c r="S2" s="178" t="n"/>
      <c r="T2" s="178" t="n"/>
      <c r="U2" s="178" t="n"/>
      <c r="V2" s="178" t="n"/>
      <c r="W2" s="178" t="n"/>
      <c r="X2" s="178" t="n"/>
      <c r="Y2" s="178" t="n"/>
      <c r="Z2" s="178" t="n"/>
      <c r="AA2" s="178" t="n"/>
      <c r="AB2" s="178" t="n"/>
      <c r="AC2" s="178" t="n"/>
      <c r="AD2" s="178" t="n"/>
      <c r="AE2" s="178" t="n"/>
      <c r="AF2" s="178" t="n"/>
      <c r="AG2" s="178" t="n"/>
      <c r="AH2" s="178" t="n"/>
      <c r="AI2" s="178" t="n"/>
      <c r="AJ2" s="178" t="n"/>
      <c r="AK2" s="178" t="n"/>
      <c r="AL2" s="178" t="n"/>
      <c r="AM2" s="178" t="n"/>
      <c r="AN2" s="178" t="n"/>
      <c r="AO2" s="178" t="n"/>
      <c r="AP2" s="178" t="n"/>
      <c r="AQ2" s="178" t="n"/>
      <c r="AR2" s="178" t="n"/>
      <c r="AS2" s="178" t="n"/>
      <c r="AT2" s="179" t="n"/>
      <c r="AU2" s="176" t="n"/>
      <c r="AV2" s="176" t="n"/>
      <c r="AW2" s="176" t="n"/>
      <c r="AX2" s="176" t="n"/>
      <c r="AY2" s="176" t="n"/>
      <c r="AZ2" s="176" t="n"/>
      <c r="BA2" s="176" t="n"/>
      <c r="BB2" s="176" t="n"/>
      <c r="BC2" s="176" t="n"/>
      <c r="BD2" s="176" t="n"/>
      <c r="BE2" s="176" t="n"/>
      <c r="BF2" s="176" t="n"/>
      <c r="BG2" s="176" t="n"/>
      <c r="BH2" s="176" t="n"/>
      <c r="BI2" s="176" t="n"/>
      <c r="BJ2" s="176" t="n"/>
      <c r="BK2" s="176" t="n"/>
      <c r="BL2" s="176" t="n"/>
      <c r="BM2" s="176" t="n"/>
      <c r="BN2" s="176" t="n"/>
      <c r="BO2" s="176" t="n"/>
      <c r="BP2" s="176" t="n"/>
      <c r="BQ2" s="176" t="n"/>
      <c r="BR2" s="176" t="n"/>
    </row>
    <row r="3" ht="19.5" customHeight="1" s="392">
      <c r="A3" s="176" t="n"/>
      <c r="B3" s="180" t="n"/>
      <c r="C3" s="181" t="inlineStr">
        <is>
          <t>Balance Sheet (Fiscal Year)</t>
        </is>
      </c>
      <c r="AT3" s="182" t="n"/>
      <c r="AU3" s="176" t="n"/>
      <c r="AV3" s="176" t="n"/>
      <c r="AW3" s="176" t="n"/>
      <c r="AX3" s="176" t="n"/>
      <c r="AY3" s="176" t="n"/>
      <c r="AZ3" s="176" t="n"/>
      <c r="BA3" s="176" t="n"/>
      <c r="BB3" s="176" t="n"/>
      <c r="BC3" s="176" t="n"/>
      <c r="BD3" s="176" t="n"/>
      <c r="BE3" s="176" t="n"/>
      <c r="BF3" s="176" t="n"/>
      <c r="BG3" s="176" t="n"/>
      <c r="BH3" s="176" t="n"/>
      <c r="BI3" s="176" t="n"/>
      <c r="BJ3" s="176" t="n"/>
      <c r="BK3" s="176" t="n"/>
      <c r="BL3" s="176" t="n"/>
      <c r="BM3" s="176" t="n"/>
      <c r="BN3" s="176" t="n"/>
      <c r="BO3" s="176" t="n"/>
      <c r="BP3" s="176" t="n"/>
      <c r="BQ3" s="176" t="n"/>
      <c r="BR3" s="176" t="n"/>
    </row>
    <row r="4" ht="22.5" customHeight="1" s="392">
      <c r="A4" s="176" t="n"/>
      <c r="B4" s="180" t="n"/>
      <c r="C4" s="183" t="inlineStr">
        <is>
          <t>Downloaded on: 27-Sep-2026</t>
        </is>
      </c>
      <c r="D4" s="184" t="inlineStr">
        <is>
          <t>Summary Stats</t>
        </is>
      </c>
      <c r="E4" s="185" t="n"/>
      <c r="F4" s="185" t="n"/>
      <c r="G4" s="185" t="n"/>
      <c r="H4" s="185" t="n"/>
      <c r="I4" s="185" t="n"/>
      <c r="J4" s="185" t="n"/>
      <c r="K4" s="185" t="n"/>
      <c r="AT4" s="182" t="n"/>
      <c r="AU4" s="176" t="n"/>
      <c r="AV4" s="176" t="n"/>
      <c r="AW4" s="176" t="n"/>
      <c r="AX4" s="176" t="n"/>
      <c r="AY4" s="176" t="n"/>
      <c r="AZ4" s="176" t="n"/>
      <c r="BA4" s="176" t="n"/>
      <c r="BB4" s="176" t="n"/>
      <c r="BC4" s="176" t="n"/>
      <c r="BD4" s="176" t="n"/>
      <c r="BE4" s="176" t="n"/>
      <c r="BF4" s="176" t="n"/>
      <c r="BG4" s="176" t="n"/>
      <c r="BH4" s="176" t="n"/>
      <c r="BI4" s="176" t="n"/>
      <c r="BJ4" s="176" t="n"/>
      <c r="BK4" s="176" t="n"/>
      <c r="BL4" s="176" t="n"/>
      <c r="BM4" s="176" t="n"/>
      <c r="BN4" s="176" t="n"/>
      <c r="BO4" s="176" t="n"/>
      <c r="BP4" s="176" t="n"/>
      <c r="BQ4" s="176" t="n"/>
      <c r="BR4" s="176" t="n"/>
    </row>
    <row r="5" ht="60" customHeight="1" s="392">
      <c r="A5" s="176" t="n"/>
      <c r="B5" s="180" t="n"/>
      <c r="C5" s="183" t="inlineStr">
        <is>
          <t>Company: Copart (NAS: CPRT)</t>
        </is>
      </c>
      <c r="D5" s="186" t="inlineStr">
        <is>
          <t>Median</t>
        </is>
      </c>
      <c r="E5" s="186" t="inlineStr">
        <is>
          <t>Mean</t>
        </is>
      </c>
      <c r="F5" s="186" t="inlineStr">
        <is>
          <t>Min</t>
        </is>
      </c>
      <c r="G5" s="186" t="inlineStr">
        <is>
          <t>Max</t>
        </is>
      </c>
      <c r="H5" s="186" t="inlineStr">
        <is>
          <t>25th pctile</t>
        </is>
      </c>
      <c r="I5" s="186" t="inlineStr">
        <is>
          <t>75th pctile</t>
        </is>
      </c>
      <c r="J5" s="186" t="inlineStr">
        <is>
          <t>Std. Dev</t>
        </is>
      </c>
      <c r="K5" s="186" t="inlineStr">
        <is>
          <t>Coefficient of Variation</t>
        </is>
      </c>
      <c r="M5" s="187" t="inlineStr">
        <is>
          <t>FY 2026</t>
        </is>
      </c>
      <c r="N5" s="187" t="inlineStr">
        <is>
          <t>FY 2025</t>
        </is>
      </c>
      <c r="O5" s="187" t="inlineStr">
        <is>
          <t>FY 2024</t>
        </is>
      </c>
      <c r="P5" s="187" t="inlineStr">
        <is>
          <t>FY 2023</t>
        </is>
      </c>
      <c r="Q5" s="187" t="inlineStr">
        <is>
          <t>FY 2022</t>
        </is>
      </c>
      <c r="R5" s="187" t="inlineStr">
        <is>
          <t>FY 2021</t>
        </is>
      </c>
      <c r="S5" s="187" t="inlineStr">
        <is>
          <t>FY 2020</t>
        </is>
      </c>
      <c r="T5" s="187" t="inlineStr">
        <is>
          <t>FY 2019</t>
        </is>
      </c>
      <c r="U5" s="187" t="inlineStr">
        <is>
          <t>FY 2018</t>
        </is>
      </c>
      <c r="V5" s="187" t="inlineStr">
        <is>
          <t>FY 2017</t>
        </is>
      </c>
      <c r="W5" s="187" t="inlineStr">
        <is>
          <t>FY 2016</t>
        </is>
      </c>
      <c r="X5" s="187" t="inlineStr">
        <is>
          <t>FY 2015</t>
        </is>
      </c>
      <c r="Y5" s="187" t="inlineStr">
        <is>
          <t>FY 2014</t>
        </is>
      </c>
      <c r="Z5" s="187" t="inlineStr">
        <is>
          <t>FY 2013</t>
        </is>
      </c>
      <c r="AA5" s="187" t="inlineStr">
        <is>
          <t>FY 2012</t>
        </is>
      </c>
      <c r="AB5" s="187" t="inlineStr">
        <is>
          <t>FY 2011</t>
        </is>
      </c>
      <c r="AC5" s="187" t="inlineStr">
        <is>
          <t>FY 2010</t>
        </is>
      </c>
      <c r="AD5" s="187" t="inlineStr">
        <is>
          <t>FY 2009</t>
        </is>
      </c>
      <c r="AE5" s="187" t="inlineStr">
        <is>
          <t>FY 2008</t>
        </is>
      </c>
      <c r="AF5" s="187" t="inlineStr">
        <is>
          <t>FY 2007</t>
        </is>
      </c>
      <c r="AG5" s="187" t="inlineStr">
        <is>
          <t>FY 2006</t>
        </is>
      </c>
      <c r="AH5" s="187" t="inlineStr">
        <is>
          <t>FY 2005</t>
        </is>
      </c>
      <c r="AI5" s="187" t="inlineStr">
        <is>
          <t>FY 2004</t>
        </is>
      </c>
      <c r="AJ5" s="187" t="inlineStr">
        <is>
          <t>FY 2003</t>
        </is>
      </c>
      <c r="AK5" s="187" t="inlineStr">
        <is>
          <t>FY 2002</t>
        </is>
      </c>
      <c r="AL5" s="187" t="inlineStr">
        <is>
          <t>FY 2001</t>
        </is>
      </c>
      <c r="AM5" s="187" t="inlineStr">
        <is>
          <t>FY 2000</t>
        </is>
      </c>
      <c r="AN5" s="187" t="inlineStr">
        <is>
          <t>FY 1999</t>
        </is>
      </c>
      <c r="AO5" s="187" t="inlineStr">
        <is>
          <t>FY 1998</t>
        </is>
      </c>
      <c r="AP5" s="187" t="inlineStr">
        <is>
          <t>FY 1997</t>
        </is>
      </c>
      <c r="AQ5" s="187" t="inlineStr">
        <is>
          <t>FY 1996</t>
        </is>
      </c>
      <c r="AR5" s="187" t="inlineStr">
        <is>
          <t>FY 1995</t>
        </is>
      </c>
      <c r="AS5" s="187" t="inlineStr">
        <is>
          <t>FY 1994</t>
        </is>
      </c>
      <c r="AT5" s="182" t="n"/>
      <c r="AU5" s="176" t="n"/>
      <c r="AV5" s="176" t="n"/>
      <c r="AW5" s="176" t="n"/>
      <c r="AX5" s="176" t="n"/>
      <c r="AY5" s="176" t="n"/>
      <c r="AZ5" s="176" t="n"/>
      <c r="BA5" s="176" t="n"/>
      <c r="BB5" s="176" t="n"/>
      <c r="BC5" s="176" t="n"/>
      <c r="BD5" s="176" t="n"/>
      <c r="BE5" s="176" t="n"/>
      <c r="BF5" s="176" t="n"/>
      <c r="BG5" s="176" t="n"/>
      <c r="BH5" s="176" t="n"/>
      <c r="BI5" s="176" t="n"/>
      <c r="BJ5" s="176" t="n"/>
      <c r="BK5" s="176" t="n"/>
      <c r="BL5" s="176" t="n"/>
      <c r="BM5" s="176" t="n"/>
      <c r="BN5" s="176" t="n"/>
      <c r="BO5" s="176" t="n"/>
      <c r="BP5" s="176" t="n"/>
      <c r="BQ5" s="176" t="n"/>
      <c r="BR5" s="176" t="n"/>
    </row>
    <row r="6" ht="15" customHeight="1" s="392">
      <c r="A6" s="176" t="n"/>
      <c r="B6" s="180" t="n"/>
      <c r="D6" s="185" t="n"/>
      <c r="E6" s="185" t="n"/>
      <c r="F6" s="185" t="n"/>
      <c r="G6" s="185" t="n"/>
      <c r="H6" s="185" t="n"/>
      <c r="I6" s="185" t="n"/>
      <c r="J6" s="185" t="n"/>
      <c r="K6" s="185" t="n"/>
      <c r="M6" s="183" t="inlineStr">
        <is>
          <t>End: 31-Jul-2026</t>
        </is>
      </c>
      <c r="N6" s="183" t="inlineStr">
        <is>
          <t>End: 31-Jul-2025</t>
        </is>
      </c>
      <c r="O6" s="183" t="inlineStr">
        <is>
          <t>End: 31-Jul-2024</t>
        </is>
      </c>
      <c r="P6" s="183" t="inlineStr">
        <is>
          <t>End: 31-Jul-2023</t>
        </is>
      </c>
      <c r="Q6" s="183" t="inlineStr">
        <is>
          <t>End: 31-Jul-2022</t>
        </is>
      </c>
      <c r="R6" s="183" t="inlineStr">
        <is>
          <t>End: 31-Jul-2021</t>
        </is>
      </c>
      <c r="S6" s="183" t="inlineStr">
        <is>
          <t>End: 31-Jul-2020</t>
        </is>
      </c>
      <c r="T6" s="183" t="inlineStr">
        <is>
          <t>End: 31-Jul-2019</t>
        </is>
      </c>
      <c r="U6" s="183" t="inlineStr">
        <is>
          <t>End: 31-Jul-2018</t>
        </is>
      </c>
      <c r="V6" s="183" t="inlineStr">
        <is>
          <t>End: 31-Jul-2017</t>
        </is>
      </c>
      <c r="W6" s="183" t="inlineStr">
        <is>
          <t>End: 31-Jul-2016</t>
        </is>
      </c>
      <c r="X6" s="183" t="inlineStr">
        <is>
          <t>End: 31-Jul-2015</t>
        </is>
      </c>
      <c r="Y6" s="183" t="inlineStr">
        <is>
          <t>End: 31-Jul-2014</t>
        </is>
      </c>
      <c r="Z6" s="183" t="inlineStr">
        <is>
          <t>End: 31-Jul-2013</t>
        </is>
      </c>
      <c r="AA6" s="183" t="inlineStr">
        <is>
          <t>End: 31-Jul-2012</t>
        </is>
      </c>
      <c r="AB6" s="183" t="inlineStr">
        <is>
          <t>End: 31-Jul-2011</t>
        </is>
      </c>
      <c r="AC6" s="183" t="inlineStr">
        <is>
          <t>End: 31-Jul-2010</t>
        </is>
      </c>
      <c r="AD6" s="183" t="inlineStr">
        <is>
          <t>End: 31-Jul-2009</t>
        </is>
      </c>
      <c r="AE6" s="183" t="inlineStr">
        <is>
          <t>End: 31-Jul-2008</t>
        </is>
      </c>
      <c r="AF6" s="183" t="inlineStr">
        <is>
          <t>End: 31-Jul-2007</t>
        </is>
      </c>
      <c r="AG6" s="183" t="inlineStr">
        <is>
          <t>End: 31-Jul-2006</t>
        </is>
      </c>
      <c r="AH6" s="183" t="inlineStr">
        <is>
          <t>End: 31-Jul-2005</t>
        </is>
      </c>
      <c r="AI6" s="183" t="inlineStr">
        <is>
          <t>End: 31-Jul-2004</t>
        </is>
      </c>
      <c r="AJ6" s="183" t="inlineStr">
        <is>
          <t>End: 31-Jul-2003</t>
        </is>
      </c>
      <c r="AK6" s="183" t="inlineStr">
        <is>
          <t>End: 31-Jul-2002</t>
        </is>
      </c>
      <c r="AL6" s="183" t="inlineStr">
        <is>
          <t>End: 31-Jul-2001</t>
        </is>
      </c>
      <c r="AM6" s="183" t="inlineStr">
        <is>
          <t>End: 31-Jul-2000</t>
        </is>
      </c>
      <c r="AN6" s="183" t="inlineStr">
        <is>
          <t>End: 31-Jul-1999</t>
        </is>
      </c>
      <c r="AO6" s="183" t="inlineStr">
        <is>
          <t>End: 31-Jul-1998</t>
        </is>
      </c>
      <c r="AP6" s="183" t="inlineStr">
        <is>
          <t>End: 31-Jul-1997</t>
        </is>
      </c>
      <c r="AQ6" s="183" t="inlineStr">
        <is>
          <t>End: 31-Jul-1996</t>
        </is>
      </c>
      <c r="AR6" s="183" t="inlineStr">
        <is>
          <t>End: 31-Jul-1995</t>
        </is>
      </c>
      <c r="AS6" s="183" t="inlineStr">
        <is>
          <t>End: 31-Jul-1994</t>
        </is>
      </c>
      <c r="AT6" s="182" t="n"/>
      <c r="AU6" s="176" t="n"/>
      <c r="AV6" s="176" t="n"/>
      <c r="AW6" s="176" t="n"/>
      <c r="AX6" s="176" t="n"/>
      <c r="AY6" s="176" t="n"/>
      <c r="AZ6" s="176" t="n"/>
      <c r="BA6" s="176" t="n"/>
      <c r="BB6" s="176" t="n"/>
      <c r="BC6" s="176" t="n"/>
      <c r="BD6" s="176" t="n"/>
      <c r="BE6" s="176" t="n"/>
      <c r="BF6" s="176" t="n"/>
      <c r="BG6" s="176" t="n"/>
      <c r="BH6" s="176" t="n"/>
      <c r="BI6" s="176" t="n"/>
      <c r="BJ6" s="176" t="n"/>
      <c r="BK6" s="176" t="n"/>
      <c r="BL6" s="176" t="n"/>
      <c r="BM6" s="176" t="n"/>
      <c r="BN6" s="176" t="n"/>
      <c r="BO6" s="176" t="n"/>
      <c r="BP6" s="176" t="n"/>
      <c r="BQ6" s="176" t="n"/>
      <c r="BR6" s="176" t="n"/>
    </row>
    <row r="7" ht="15" customHeight="1" s="392">
      <c r="A7" s="176" t="n"/>
      <c r="B7" s="180" t="n"/>
      <c r="C7" s="183" t="inlineStr">
        <is>
          <t>Amount in thousands  (USD) (except Ratios, Multiples &amp; per share items)</t>
        </is>
      </c>
      <c r="D7" s="185" t="n"/>
      <c r="E7" s="185" t="n"/>
      <c r="F7" s="185" t="n"/>
      <c r="G7" s="185" t="n"/>
      <c r="H7" s="185" t="n"/>
      <c r="I7" s="185" t="n"/>
      <c r="J7" s="185" t="n"/>
      <c r="K7" s="185" t="n"/>
      <c r="M7" s="183" t="inlineStr">
        <is>
          <t>Filed: 10-Sep-2026</t>
        </is>
      </c>
      <c r="N7" s="183" t="inlineStr">
        <is>
          <t>Filed: 26-Sep-2025</t>
        </is>
      </c>
      <c r="O7" s="183" t="inlineStr">
        <is>
          <t>Filed: 26-Sep-2025</t>
        </is>
      </c>
      <c r="P7" s="183" t="inlineStr">
        <is>
          <t>Filed: 30-Sep-2024</t>
        </is>
      </c>
      <c r="Q7" s="183" t="inlineStr">
        <is>
          <t>Filed: 28-Sep-2023</t>
        </is>
      </c>
      <c r="R7" s="183" t="inlineStr">
        <is>
          <t>Filed: 27-Sep-2022</t>
        </is>
      </c>
      <c r="S7" s="183" t="inlineStr">
        <is>
          <t>Filed: 27-Sep-2021</t>
        </is>
      </c>
      <c r="T7" s="183" t="inlineStr">
        <is>
          <t>Filed: 28-Sep-2020</t>
        </is>
      </c>
      <c r="U7" s="183" t="inlineStr">
        <is>
          <t>Filed: 30-Sep-2019</t>
        </is>
      </c>
      <c r="V7" s="183" t="inlineStr">
        <is>
          <t>Filed: 01-Oct-2018</t>
        </is>
      </c>
      <c r="W7" s="183" t="inlineStr">
        <is>
          <t>Filed: 28-Sep-2017</t>
        </is>
      </c>
      <c r="X7" s="183" t="inlineStr">
        <is>
          <t>Filed: 28-Sep-2016</t>
        </is>
      </c>
      <c r="Y7" s="183" t="inlineStr">
        <is>
          <t>Filed: 25-Sep-2015</t>
        </is>
      </c>
      <c r="Z7" s="183" t="inlineStr">
        <is>
          <t>Filed: 29-Sep-2014</t>
        </is>
      </c>
      <c r="AA7" s="183" t="inlineStr">
        <is>
          <t>Filed: 31-Jul-2012</t>
        </is>
      </c>
      <c r="AB7" s="183" t="inlineStr">
        <is>
          <t>Filed: 31-Jul-2011</t>
        </is>
      </c>
      <c r="AC7" s="183" t="inlineStr">
        <is>
          <t>Filed: 31-Jul-2010</t>
        </is>
      </c>
      <c r="AD7" s="183" t="inlineStr">
        <is>
          <t>Filed: 31-Jul-2009</t>
        </is>
      </c>
      <c r="AE7" s="183" t="inlineStr">
        <is>
          <t>Filed: 31-Jul-2008</t>
        </is>
      </c>
      <c r="AF7" s="183" t="inlineStr">
        <is>
          <t>Filed: 31-Jul-2007</t>
        </is>
      </c>
      <c r="AG7" s="183" t="inlineStr">
        <is>
          <t>Filed: 31-Jul-2006</t>
        </is>
      </c>
      <c r="AH7" s="183" t="inlineStr">
        <is>
          <t>Filed: 31-Jul-2005</t>
        </is>
      </c>
      <c r="AI7" s="183" t="inlineStr">
        <is>
          <t>Filed: 31-Jul-2004</t>
        </is>
      </c>
      <c r="AJ7" s="183" t="inlineStr">
        <is>
          <t>Filed: 31-Jul-2003</t>
        </is>
      </c>
      <c r="AK7" s="183" t="inlineStr">
        <is>
          <t>Filed: 31-Jul-2002</t>
        </is>
      </c>
      <c r="AL7" s="183" t="inlineStr">
        <is>
          <t>Filed: 31-Jul-2001</t>
        </is>
      </c>
      <c r="AM7" s="183" t="inlineStr">
        <is>
          <t>Filed: 31-Jul-2000</t>
        </is>
      </c>
      <c r="AN7" s="183" t="inlineStr">
        <is>
          <t>Filed: 31-Jul-1999</t>
        </is>
      </c>
      <c r="AO7" s="183" t="inlineStr">
        <is>
          <t>Filed: 31-Jul-1998</t>
        </is>
      </c>
      <c r="AP7" s="183" t="inlineStr">
        <is>
          <t>Filed: 31-Jul-1997</t>
        </is>
      </c>
      <c r="AQ7" s="183" t="inlineStr">
        <is>
          <t>Filed: 31-Jul-1996</t>
        </is>
      </c>
      <c r="AR7" s="183" t="inlineStr">
        <is>
          <t>Filed: 31-Jul-1995</t>
        </is>
      </c>
      <c r="AS7" s="183" t="inlineStr">
        <is>
          <t>Filed: 31-Jul-1994</t>
        </is>
      </c>
      <c r="AT7" s="182" t="n"/>
      <c r="AU7" s="176" t="n"/>
      <c r="AV7" s="176" t="n"/>
      <c r="AW7" s="176" t="n"/>
      <c r="AX7" s="176" t="n"/>
      <c r="AY7" s="176" t="n"/>
      <c r="AZ7" s="176" t="n"/>
      <c r="BA7" s="176" t="n"/>
      <c r="BB7" s="176" t="n"/>
      <c r="BC7" s="176" t="n"/>
      <c r="BD7" s="176" t="n"/>
      <c r="BE7" s="176" t="n"/>
      <c r="BF7" s="176" t="n"/>
      <c r="BG7" s="176" t="n"/>
      <c r="BH7" s="176" t="n"/>
      <c r="BI7" s="176" t="n"/>
      <c r="BJ7" s="176" t="n"/>
      <c r="BK7" s="176" t="n"/>
      <c r="BL7" s="176" t="n"/>
      <c r="BM7" s="176" t="n"/>
      <c r="BN7" s="176" t="n"/>
      <c r="BO7" s="176" t="n"/>
      <c r="BP7" s="176" t="n"/>
      <c r="BQ7" s="176" t="n"/>
      <c r="BR7" s="176" t="n"/>
    </row>
    <row r="8" ht="15" customHeight="1" s="392">
      <c r="A8" s="176" t="n"/>
      <c r="B8" s="180" t="n"/>
      <c r="D8" s="185" t="n"/>
      <c r="E8" s="185" t="n"/>
      <c r="F8" s="185" t="n"/>
      <c r="G8" s="185" t="n"/>
      <c r="H8" s="185" t="n"/>
      <c r="I8" s="185" t="n"/>
      <c r="J8" s="185" t="n"/>
      <c r="K8" s="185" t="n"/>
      <c r="M8" s="188" t="inlineStr">
        <is>
          <t>View 8-KP</t>
        </is>
      </c>
      <c r="N8" s="188" t="inlineStr">
        <is>
          <t>View 10-K</t>
        </is>
      </c>
      <c r="O8" s="188" t="inlineStr">
        <is>
          <t>View 10-K</t>
        </is>
      </c>
      <c r="P8" s="188" t="inlineStr">
        <is>
          <t>View 10-K</t>
        </is>
      </c>
      <c r="Q8" s="188" t="inlineStr">
        <is>
          <t>View 10-K</t>
        </is>
      </c>
      <c r="R8" s="188" t="inlineStr">
        <is>
          <t>View 10-K</t>
        </is>
      </c>
      <c r="S8" s="188" t="inlineStr">
        <is>
          <t>View 10-K</t>
        </is>
      </c>
      <c r="T8" s="188" t="inlineStr">
        <is>
          <t>View 10-K</t>
        </is>
      </c>
      <c r="U8" s="188" t="inlineStr">
        <is>
          <t>View 10-K</t>
        </is>
      </c>
      <c r="V8" s="188" t="inlineStr">
        <is>
          <t>View 10-K</t>
        </is>
      </c>
      <c r="W8" s="188" t="inlineStr">
        <is>
          <t>View 10-K</t>
        </is>
      </c>
      <c r="X8" s="188" t="inlineStr">
        <is>
          <t>View 10-K</t>
        </is>
      </c>
      <c r="Y8" s="188" t="inlineStr">
        <is>
          <t>View 10-K</t>
        </is>
      </c>
      <c r="Z8" s="188" t="inlineStr">
        <is>
          <t>View 10-K</t>
        </is>
      </c>
      <c r="AA8" s="188" t="inlineStr">
        <is>
          <t>View 10-K</t>
        </is>
      </c>
      <c r="AB8" s="188" t="inlineStr">
        <is>
          <t>View 10-K</t>
        </is>
      </c>
      <c r="AC8" s="188" t="inlineStr">
        <is>
          <t>View 10-K</t>
        </is>
      </c>
      <c r="AD8" s="188" t="inlineStr">
        <is>
          <t>View 10-K</t>
        </is>
      </c>
      <c r="AT8" s="182" t="n"/>
      <c r="AU8" s="176" t="n"/>
      <c r="AV8" s="176" t="n"/>
      <c r="AW8" s="176" t="n"/>
      <c r="AX8" s="176" t="n"/>
      <c r="AY8" s="176" t="n"/>
      <c r="AZ8" s="176" t="n"/>
      <c r="BA8" s="176" t="n"/>
      <c r="BB8" s="176" t="n"/>
      <c r="BC8" s="176" t="n"/>
      <c r="BD8" s="176" t="n"/>
      <c r="BE8" s="176" t="n"/>
      <c r="BF8" s="176" t="n"/>
      <c r="BG8" s="176" t="n"/>
      <c r="BH8" s="176" t="n"/>
      <c r="BI8" s="176" t="n"/>
      <c r="BJ8" s="176" t="n"/>
      <c r="BK8" s="176" t="n"/>
      <c r="BL8" s="176" t="n"/>
      <c r="BM8" s="176" t="n"/>
      <c r="BN8" s="176" t="n"/>
      <c r="BO8" s="176" t="n"/>
      <c r="BP8" s="176" t="n"/>
      <c r="BQ8" s="176" t="n"/>
      <c r="BR8" s="176" t="n"/>
    </row>
    <row r="9" ht="15" customHeight="1" s="392">
      <c r="A9" s="176" t="n"/>
      <c r="B9" s="180" t="n"/>
      <c r="D9" s="185" t="n"/>
      <c r="E9" s="185" t="n"/>
      <c r="F9" s="185" t="n"/>
      <c r="G9" s="185" t="n"/>
      <c r="H9" s="185" t="n"/>
      <c r="I9" s="185" t="n"/>
      <c r="J9" s="185" t="n"/>
      <c r="K9" s="185" t="n"/>
      <c r="AT9" s="182" t="n"/>
      <c r="AU9" s="176" t="n"/>
      <c r="AV9" s="176" t="n"/>
      <c r="AW9" s="176" t="n"/>
      <c r="AX9" s="176" t="n"/>
      <c r="AY9" s="176" t="n"/>
      <c r="AZ9" s="176" t="n"/>
      <c r="BA9" s="176" t="n"/>
      <c r="BB9" s="176" t="n"/>
      <c r="BC9" s="176" t="n"/>
      <c r="BD9" s="176" t="n"/>
      <c r="BE9" s="176" t="n"/>
      <c r="BF9" s="176" t="n"/>
      <c r="BG9" s="176" t="n"/>
      <c r="BH9" s="176" t="n"/>
      <c r="BI9" s="176" t="n"/>
      <c r="BJ9" s="176" t="n"/>
      <c r="BK9" s="176" t="n"/>
      <c r="BL9" s="176" t="n"/>
      <c r="BM9" s="176" t="n"/>
      <c r="BN9" s="176" t="n"/>
      <c r="BO9" s="176" t="n"/>
      <c r="BP9" s="176" t="n"/>
      <c r="BQ9" s="176" t="n"/>
      <c r="BR9" s="176" t="n"/>
    </row>
    <row r="10" ht="15" customHeight="1" s="392">
      <c r="A10" s="176" t="n"/>
      <c r="B10" s="180" t="n"/>
      <c r="D10" s="185" t="n"/>
      <c r="E10" s="185" t="n"/>
      <c r="F10" s="185" t="n"/>
      <c r="G10" s="185" t="n"/>
      <c r="H10" s="185" t="n"/>
      <c r="I10" s="185" t="n"/>
      <c r="J10" s="185" t="n"/>
      <c r="K10" s="185" t="n"/>
      <c r="AT10" s="182" t="n"/>
      <c r="AU10" s="176" t="n"/>
      <c r="AV10" s="176" t="n"/>
      <c r="AW10" s="176" t="n"/>
      <c r="AX10" s="176" t="n"/>
      <c r="AY10" s="176" t="n"/>
      <c r="AZ10" s="176" t="n"/>
      <c r="BA10" s="176" t="n"/>
      <c r="BB10" s="176" t="n"/>
      <c r="BC10" s="176" t="n"/>
      <c r="BD10" s="176" t="n"/>
      <c r="BE10" s="176" t="n"/>
      <c r="BF10" s="176" t="n"/>
      <c r="BG10" s="176" t="n"/>
      <c r="BH10" s="176" t="n"/>
      <c r="BI10" s="176" t="n"/>
      <c r="BJ10" s="176" t="n"/>
      <c r="BK10" s="176" t="n"/>
      <c r="BL10" s="176" t="n"/>
      <c r="BM10" s="176" t="n"/>
      <c r="BN10" s="176" t="n"/>
      <c r="BO10" s="176" t="n"/>
      <c r="BP10" s="176" t="n"/>
      <c r="BQ10" s="176" t="n"/>
      <c r="BR10" s="176" t="n"/>
    </row>
    <row r="11" ht="15" customHeight="1" s="392">
      <c r="A11" s="176" t="n"/>
      <c r="B11" s="180" t="n"/>
      <c r="C11" s="189" t="inlineStr">
        <is>
          <t>Assets</t>
        </is>
      </c>
      <c r="D11" s="185" t="n"/>
      <c r="E11" s="185" t="n"/>
      <c r="F11" s="185" t="n"/>
      <c r="G11" s="185" t="n"/>
      <c r="H11" s="185" t="n"/>
      <c r="I11" s="185" t="n"/>
      <c r="J11" s="185" t="n"/>
      <c r="K11" s="185" t="n"/>
      <c r="L11" s="185" t="n"/>
      <c r="M11" s="185" t="n"/>
      <c r="N11" s="185" t="n"/>
      <c r="O11" s="185" t="n"/>
      <c r="P11" s="185" t="n"/>
      <c r="Q11" s="185" t="n"/>
      <c r="R11" s="185" t="n"/>
      <c r="S11" s="185" t="n"/>
      <c r="T11" s="185" t="n"/>
      <c r="U11" s="185" t="n"/>
      <c r="V11" s="185" t="n"/>
      <c r="W11" s="185" t="n"/>
      <c r="X11" s="185" t="n"/>
      <c r="Y11" s="185" t="n"/>
      <c r="Z11" s="185" t="n"/>
      <c r="AA11" s="185" t="n"/>
      <c r="AB11" s="185" t="n"/>
      <c r="AC11" s="185" t="n"/>
      <c r="AD11" s="185" t="n"/>
      <c r="AE11" s="185" t="n"/>
      <c r="AF11" s="185" t="n"/>
      <c r="AG11" s="185" t="n"/>
      <c r="AH11" s="185" t="n"/>
      <c r="AI11" s="185" t="n"/>
      <c r="AJ11" s="185" t="n"/>
      <c r="AK11" s="185" t="n"/>
      <c r="AL11" s="185" t="n"/>
      <c r="AM11" s="185" t="n"/>
      <c r="AN11" s="185" t="n"/>
      <c r="AO11" s="185" t="n"/>
      <c r="AP11" s="185" t="n"/>
      <c r="AQ11" s="185" t="n"/>
      <c r="AR11" s="185" t="n"/>
      <c r="AS11" s="185" t="n"/>
      <c r="AT11" s="182" t="n"/>
      <c r="AU11" s="176" t="n"/>
      <c r="AV11" s="176" t="n"/>
      <c r="AW11" s="176" t="n"/>
      <c r="AX11" s="176" t="n"/>
      <c r="AY11" s="176" t="n"/>
      <c r="AZ11" s="176" t="n"/>
      <c r="BA11" s="176" t="n"/>
      <c r="BB11" s="176" t="n"/>
      <c r="BC11" s="176" t="n"/>
      <c r="BD11" s="176" t="n"/>
      <c r="BE11" s="176" t="n"/>
      <c r="BF11" s="176" t="n"/>
      <c r="BG11" s="176" t="n"/>
      <c r="BH11" s="176" t="n"/>
      <c r="BI11" s="176" t="n"/>
      <c r="BJ11" s="176" t="n"/>
      <c r="BK11" s="176" t="n"/>
      <c r="BL11" s="176" t="n"/>
      <c r="BM11" s="176" t="n"/>
      <c r="BN11" s="176" t="n"/>
      <c r="BO11" s="176" t="n"/>
      <c r="BP11" s="176" t="n"/>
      <c r="BQ11" s="176" t="n"/>
      <c r="BR11" s="176" t="n"/>
    </row>
    <row r="12" ht="15" customHeight="1" s="392">
      <c r="A12" s="176" t="n"/>
      <c r="B12" s="180" t="n"/>
      <c r="C12" s="183" t="inlineStr">
        <is>
          <t xml:space="preserve">    Current Assets</t>
        </is>
      </c>
      <c r="D12" s="185" t="n"/>
      <c r="E12" s="185" t="n"/>
      <c r="F12" s="185" t="n"/>
      <c r="G12" s="185" t="n"/>
      <c r="H12" s="185" t="n"/>
      <c r="I12" s="185" t="n"/>
      <c r="J12" s="185" t="n"/>
      <c r="K12" s="185" t="n"/>
      <c r="AT12" s="182" t="n"/>
      <c r="AU12" s="176" t="n"/>
      <c r="AV12" s="176" t="n"/>
      <c r="AW12" s="176" t="n"/>
      <c r="AX12" s="176" t="n"/>
      <c r="AY12" s="176" t="n"/>
      <c r="AZ12" s="176" t="n"/>
      <c r="BA12" s="176" t="n"/>
      <c r="BB12" s="176" t="n"/>
      <c r="BC12" s="176" t="n"/>
      <c r="BD12" s="176" t="n"/>
      <c r="BE12" s="176" t="n"/>
      <c r="BF12" s="176" t="n"/>
      <c r="BG12" s="176" t="n"/>
      <c r="BH12" s="176" t="n"/>
      <c r="BI12" s="176" t="n"/>
      <c r="BJ12" s="176" t="n"/>
      <c r="BK12" s="176" t="n"/>
      <c r="BL12" s="176" t="n"/>
      <c r="BM12" s="176" t="n"/>
      <c r="BN12" s="176" t="n"/>
      <c r="BO12" s="176" t="n"/>
      <c r="BP12" s="176" t="n"/>
      <c r="BQ12" s="176" t="n"/>
      <c r="BR12" s="176" t="n"/>
    </row>
    <row r="13" ht="15" customHeight="1" s="392">
      <c r="A13" s="176" t="n"/>
      <c r="B13" s="180" t="n"/>
      <c r="C13" s="183" t="inlineStr">
        <is>
          <t xml:space="preserve">        Cash, Cash Equivalents and Short Term Investments</t>
        </is>
      </c>
      <c r="D13" s="185" t="n"/>
      <c r="E13" s="185" t="n"/>
      <c r="F13" s="185" t="n"/>
      <c r="G13" s="185" t="n"/>
      <c r="H13" s="185" t="n"/>
      <c r="I13" s="185" t="n"/>
      <c r="J13" s="185" t="n"/>
      <c r="K13" s="185" t="n"/>
      <c r="AT13" s="182" t="n"/>
      <c r="AU13" s="176" t="n"/>
      <c r="AV13" s="176" t="n"/>
      <c r="AW13" s="176" t="n"/>
      <c r="AX13" s="176" t="n"/>
      <c r="AY13" s="176" t="n"/>
      <c r="AZ13" s="176" t="n"/>
      <c r="BA13" s="176" t="n"/>
      <c r="BB13" s="176" t="n"/>
      <c r="BC13" s="176" t="n"/>
      <c r="BD13" s="176" t="n"/>
      <c r="BE13" s="176" t="n"/>
      <c r="BF13" s="176" t="n"/>
      <c r="BG13" s="176" t="n"/>
      <c r="BH13" s="176" t="n"/>
      <c r="BI13" s="176" t="n"/>
      <c r="BJ13" s="176" t="n"/>
      <c r="BK13" s="176" t="n"/>
      <c r="BL13" s="176" t="n"/>
      <c r="BM13" s="176" t="n"/>
      <c r="BN13" s="176" t="n"/>
      <c r="BO13" s="176" t="n"/>
      <c r="BP13" s="176" t="n"/>
      <c r="BQ13" s="176" t="n"/>
      <c r="BR13" s="176" t="n"/>
    </row>
    <row r="14" ht="15" customHeight="1" s="392">
      <c r="A14" s="176" t="n"/>
      <c r="B14" s="180" t="n"/>
      <c r="C14" s="183" t="inlineStr">
        <is>
          <t xml:space="preserve">            Cash and Cash Equivalents</t>
        </is>
      </c>
      <c r="D14" s="190">
        <f>IF(COUNT(M14:AS14)&gt;0,MEDIAN(M14:AS14),"")</f>
        <v/>
      </c>
      <c r="E14" s="190">
        <f>IF(COUNT(M14:AS14)&gt;0,AVERAGE(M14:AS14),"")</f>
        <v/>
      </c>
      <c r="F14" s="190">
        <f>IF(COUNT(M14:AS14)&gt;0,MIN(M14:AS14),"")</f>
        <v/>
      </c>
      <c r="G14" s="190">
        <f>IF(COUNT(M14:AS14)&gt;0,MAX(M14:AS14),"")</f>
        <v/>
      </c>
      <c r="H14" s="190">
        <f>IF(COUNT(M14:AS14)&gt;0,QUARTILE(M14:AS14,1),"")</f>
        <v/>
      </c>
      <c r="I14" s="190">
        <f>IF(COUNT(M14:AS14)&gt;0,QUARTILE(M14:AS14,3),"")</f>
        <v/>
      </c>
      <c r="J14" s="190">
        <f>IF(COUNT(M14:AS14)&gt;1,STDEV(M14:AS14),"")</f>
        <v/>
      </c>
      <c r="K14" s="191">
        <f>IF(COUNT(M14:AS14)&gt;1,STDEV(M14:AS14)/AVERAGE(M14:AS14),"")</f>
        <v/>
      </c>
      <c r="M14" s="192" t="n">
        <v>1907901</v>
      </c>
      <c r="N14" s="192" t="n">
        <v>2780531</v>
      </c>
      <c r="O14" s="192" t="n">
        <v>1514111</v>
      </c>
      <c r="P14" s="192" t="n">
        <v>957395</v>
      </c>
      <c r="Q14" s="192" t="n">
        <v>1384236</v>
      </c>
      <c r="R14" s="192" t="n">
        <v>1048260</v>
      </c>
      <c r="S14" s="192" t="n">
        <v>477718</v>
      </c>
      <c r="T14" s="192" t="n">
        <v>186319</v>
      </c>
      <c r="U14" s="192" t="n">
        <v>274520</v>
      </c>
      <c r="V14" s="192" t="n">
        <v>210100</v>
      </c>
      <c r="W14" s="192" t="n">
        <v>155849</v>
      </c>
      <c r="X14" s="192" t="n">
        <v>456012</v>
      </c>
      <c r="Y14" s="192" t="n">
        <v>158668</v>
      </c>
      <c r="Z14" s="192" t="n">
        <v>63631</v>
      </c>
      <c r="AA14" s="192" t="n">
        <v>140112</v>
      </c>
      <c r="AB14" s="192" t="n">
        <v>74009</v>
      </c>
      <c r="AC14" s="192" t="n">
        <v>268188</v>
      </c>
      <c r="AD14" s="192" t="n">
        <v>162691</v>
      </c>
      <c r="AE14" s="192" t="n">
        <v>38954</v>
      </c>
      <c r="AF14" s="192" t="n">
        <v>107621</v>
      </c>
      <c r="AG14" s="192" t="n">
        <v>126590</v>
      </c>
      <c r="AH14" s="192" t="n">
        <v>252548</v>
      </c>
      <c r="AI14" s="192" t="n">
        <v>178320</v>
      </c>
      <c r="AJ14" s="192" t="n">
        <v>116746</v>
      </c>
      <c r="AK14" s="192" t="n">
        <v>132690</v>
      </c>
      <c r="AL14" s="192" t="n">
        <v>15245.2</v>
      </c>
      <c r="AM14" s="192" t="n">
        <v>12164.9</v>
      </c>
      <c r="AN14" s="192" t="n">
        <v>37000</v>
      </c>
      <c r="AO14" s="192" t="n">
        <v>15700</v>
      </c>
      <c r="AP14" s="192" t="n">
        <v>27700</v>
      </c>
      <c r="AQ14" s="192" t="n">
        <v>13000</v>
      </c>
      <c r="AR14" s="192" t="n">
        <v>13800</v>
      </c>
      <c r="AS14" s="192" t="n">
        <v>17900</v>
      </c>
      <c r="AT14" s="182" t="n"/>
      <c r="AU14" s="176" t="n"/>
      <c r="AV14" s="176" t="n"/>
      <c r="AW14" s="176" t="n"/>
      <c r="AX14" s="176" t="n"/>
      <c r="AY14" s="176" t="n"/>
      <c r="AZ14" s="176" t="n"/>
      <c r="BA14" s="176" t="n"/>
      <c r="BB14" s="176" t="n"/>
      <c r="BC14" s="176" t="n"/>
      <c r="BD14" s="176" t="n"/>
      <c r="BE14" s="176" t="n"/>
      <c r="BF14" s="176" t="n"/>
      <c r="BG14" s="176" t="n"/>
      <c r="BH14" s="176" t="n"/>
      <c r="BI14" s="176" t="n"/>
      <c r="BJ14" s="176" t="n"/>
      <c r="BK14" s="176" t="n"/>
      <c r="BL14" s="176" t="n"/>
      <c r="BM14" s="176" t="n"/>
      <c r="BN14" s="176" t="n"/>
      <c r="BO14" s="176" t="n"/>
      <c r="BP14" s="176" t="n"/>
      <c r="BQ14" s="176" t="n"/>
      <c r="BR14" s="176" t="n"/>
    </row>
    <row r="15" ht="15" customHeight="1" s="392">
      <c r="A15" s="176" t="n"/>
      <c r="B15" s="180" t="n"/>
      <c r="C15" s="183" t="inlineStr">
        <is>
          <t xml:space="preserve">            Short Term Investments</t>
        </is>
      </c>
      <c r="D15" s="185" t="n"/>
      <c r="E15" s="185" t="n"/>
      <c r="F15" s="185" t="n"/>
      <c r="G15" s="185" t="n"/>
      <c r="H15" s="185" t="n"/>
      <c r="I15" s="185" t="n"/>
      <c r="J15" s="185" t="n"/>
      <c r="K15" s="185" t="n"/>
      <c r="AT15" s="182" t="n"/>
      <c r="AU15" s="176" t="n"/>
      <c r="AV15" s="176" t="n"/>
      <c r="AW15" s="176" t="n"/>
      <c r="AX15" s="176" t="n"/>
      <c r="AY15" s="176" t="n"/>
      <c r="AZ15" s="176" t="n"/>
      <c r="BA15" s="176" t="n"/>
      <c r="BB15" s="176" t="n"/>
      <c r="BC15" s="176" t="n"/>
      <c r="BD15" s="176" t="n"/>
      <c r="BE15" s="176" t="n"/>
      <c r="BF15" s="176" t="n"/>
      <c r="BG15" s="176" t="n"/>
      <c r="BH15" s="176" t="n"/>
      <c r="BI15" s="176" t="n"/>
      <c r="BJ15" s="176" t="n"/>
      <c r="BK15" s="176" t="n"/>
      <c r="BL15" s="176" t="n"/>
      <c r="BM15" s="176" t="n"/>
      <c r="BN15" s="176" t="n"/>
      <c r="BO15" s="176" t="n"/>
      <c r="BP15" s="176" t="n"/>
      <c r="BQ15" s="176" t="n"/>
      <c r="BR15" s="176" t="n"/>
    </row>
    <row r="16" ht="15" customHeight="1" s="392">
      <c r="A16" s="176" t="n"/>
      <c r="B16" s="180" t="n"/>
      <c r="C16" s="183" t="inlineStr">
        <is>
          <t xml:space="preserve">                Held-to-Maturity Securities, Current</t>
        </is>
      </c>
      <c r="D16" s="190">
        <f>IF(COUNT(M16:AS16)&gt;0,MEDIAN(M16:AS16),"")</f>
        <v/>
      </c>
      <c r="E16" s="190">
        <f>IF(COUNT(M16:AS16)&gt;0,AVERAGE(M16:AS16),"")</f>
        <v/>
      </c>
      <c r="F16" s="190">
        <f>IF(COUNT(M16:AS16)&gt;0,MIN(M16:AS16),"")</f>
        <v/>
      </c>
      <c r="G16" s="190">
        <f>IF(COUNT(M16:AS16)&gt;0,MAX(M16:AS16),"")</f>
        <v/>
      </c>
      <c r="H16" s="190">
        <f>IF(COUNT(M16:AS16)&gt;0,QUARTILE(M16:AS16,1),"")</f>
        <v/>
      </c>
      <c r="I16" s="190">
        <f>IF(COUNT(M16:AS16)&gt;0,QUARTILE(M16:AS16,3),"")</f>
        <v/>
      </c>
      <c r="J16" s="190">
        <f>IF(COUNT(M16:AS16)&gt;1,STDEV(M16:AS16),"")</f>
        <v/>
      </c>
      <c r="K16" s="191">
        <f>IF(COUNT(M16:AS16)&gt;1,STDEV(M16:AS16)/AVERAGE(M16:AS16),"")</f>
        <v/>
      </c>
      <c r="M16" s="192" t="n">
        <v>2581901</v>
      </c>
      <c r="N16" s="192" t="n">
        <v>2008539</v>
      </c>
      <c r="O16" s="192" t="n">
        <v>1908047</v>
      </c>
      <c r="P16" s="192" t="n">
        <v>1406589</v>
      </c>
      <c r="Q16" s="192" t="n">
        <v>0</v>
      </c>
      <c r="R16" s="192" t="n"/>
      <c r="S16" s="192" t="n"/>
      <c r="T16" s="192" t="n"/>
      <c r="U16" s="192" t="n"/>
      <c r="V16" s="192" t="n"/>
      <c r="W16" s="192" t="n"/>
      <c r="X16" s="192" t="n"/>
      <c r="Y16" s="192" t="n"/>
      <c r="Z16" s="192" t="n"/>
      <c r="AA16" s="192" t="n"/>
      <c r="AB16" s="192" t="n"/>
      <c r="AC16" s="192" t="n"/>
      <c r="AD16" s="192" t="n"/>
      <c r="AE16" s="192" t="n"/>
      <c r="AF16" s="192" t="n"/>
      <c r="AG16" s="192" t="n"/>
      <c r="AH16" s="192" t="n"/>
      <c r="AI16" s="192" t="n"/>
      <c r="AJ16" s="192" t="n"/>
      <c r="AK16" s="192" t="n"/>
      <c r="AL16" s="192" t="n"/>
      <c r="AM16" s="192" t="n"/>
      <c r="AN16" s="192" t="n"/>
      <c r="AO16" s="192" t="n"/>
      <c r="AP16" s="192" t="n"/>
      <c r="AQ16" s="192" t="n"/>
      <c r="AR16" s="192" t="n"/>
      <c r="AS16" s="192" t="n"/>
      <c r="AT16" s="182" t="n"/>
      <c r="AU16" s="176" t="n"/>
      <c r="AV16" s="176" t="n"/>
      <c r="AW16" s="176" t="n"/>
      <c r="AX16" s="176" t="n"/>
      <c r="AY16" s="176" t="n"/>
      <c r="AZ16" s="176" t="n"/>
      <c r="BA16" s="176" t="n"/>
      <c r="BB16" s="176" t="n"/>
      <c r="BC16" s="176" t="n"/>
      <c r="BD16" s="176" t="n"/>
      <c r="BE16" s="176" t="n"/>
      <c r="BF16" s="176" t="n"/>
      <c r="BG16" s="176" t="n"/>
      <c r="BH16" s="176" t="n"/>
      <c r="BI16" s="176" t="n"/>
      <c r="BJ16" s="176" t="n"/>
      <c r="BK16" s="176" t="n"/>
      <c r="BL16" s="176" t="n"/>
      <c r="BM16" s="176" t="n"/>
      <c r="BN16" s="176" t="n"/>
      <c r="BO16" s="176" t="n"/>
      <c r="BP16" s="176" t="n"/>
      <c r="BQ16" s="176" t="n"/>
      <c r="BR16" s="176" t="n"/>
    </row>
    <row r="17" ht="15" customHeight="1" s="392">
      <c r="A17" s="176" t="n"/>
      <c r="B17" s="180" t="n"/>
      <c r="C17" s="187" t="inlineStr">
        <is>
          <t xml:space="preserve">            Total Short Term Investments</t>
        </is>
      </c>
      <c r="D17" s="193">
        <f>IF(COUNT(M17:AS17)&gt;0,MEDIAN(M17:AS17),"")</f>
        <v/>
      </c>
      <c r="E17" s="193">
        <f>IF(COUNT(M17:AS17)&gt;0,AVERAGE(M17:AS17),"")</f>
        <v/>
      </c>
      <c r="F17" s="193">
        <f>IF(COUNT(M17:AS17)&gt;0,MIN(M17:AS17),"")</f>
        <v/>
      </c>
      <c r="G17" s="193">
        <f>IF(COUNT(M17:AS17)&gt;0,MAX(M17:AS17),"")</f>
        <v/>
      </c>
      <c r="H17" s="193">
        <f>IF(COUNT(M17:AS17)&gt;0,QUARTILE(M17:AS17,1),"")</f>
        <v/>
      </c>
      <c r="I17" s="193">
        <f>IF(COUNT(M17:AS17)&gt;0,QUARTILE(M17:AS17,3),"")</f>
        <v/>
      </c>
      <c r="J17" s="193">
        <f>IF(COUNT(M17:AS17)&gt;1,STDEV(M17:AS17),"")</f>
        <v/>
      </c>
      <c r="K17" s="194">
        <f>IF(COUNT(M17:AS17)&gt;1,STDEV(M17:AS17)/AVERAGE(M17:AS17),"")</f>
        <v/>
      </c>
      <c r="L17" s="195" t="n"/>
      <c r="M17" s="196" t="n">
        <v>2581901</v>
      </c>
      <c r="N17" s="196" t="n">
        <v>2008539</v>
      </c>
      <c r="O17" s="196" t="n">
        <v>1908047</v>
      </c>
      <c r="P17" s="196" t="n">
        <v>1406589</v>
      </c>
      <c r="Q17" s="196" t="n">
        <v>0</v>
      </c>
      <c r="R17" s="196" t="n"/>
      <c r="S17" s="196" t="n"/>
      <c r="T17" s="196" t="n"/>
      <c r="U17" s="196" t="n"/>
      <c r="V17" s="196" t="n"/>
      <c r="W17" s="196" t="n"/>
      <c r="X17" s="196" t="n"/>
      <c r="Y17" s="196" t="n"/>
      <c r="Z17" s="196" t="n"/>
      <c r="AA17" s="196" t="n"/>
      <c r="AB17" s="196" t="n"/>
      <c r="AC17" s="196" t="n"/>
      <c r="AD17" s="196" t="n"/>
      <c r="AE17" s="196" t="n"/>
      <c r="AF17" s="196" t="n">
        <v>102625</v>
      </c>
      <c r="AG17" s="196" t="n">
        <v>148725</v>
      </c>
      <c r="AH17" s="196" t="n"/>
      <c r="AI17" s="196" t="n"/>
      <c r="AJ17" s="196" t="n"/>
      <c r="AK17" s="196" t="n"/>
      <c r="AL17" s="196" t="n"/>
      <c r="AM17" s="196" t="n"/>
      <c r="AN17" s="196" t="n"/>
      <c r="AO17" s="196" t="n"/>
      <c r="AP17" s="196" t="n"/>
      <c r="AQ17" s="196" t="n"/>
      <c r="AR17" s="196" t="n"/>
      <c r="AS17" s="196" t="n"/>
      <c r="AT17" s="182" t="n"/>
      <c r="AU17" s="176" t="n"/>
      <c r="AV17" s="176" t="n"/>
      <c r="AW17" s="176" t="n"/>
      <c r="AX17" s="176" t="n"/>
      <c r="AY17" s="176" t="n"/>
      <c r="AZ17" s="176" t="n"/>
      <c r="BA17" s="176" t="n"/>
      <c r="BB17" s="176" t="n"/>
      <c r="BC17" s="176" t="n"/>
      <c r="BD17" s="176" t="n"/>
      <c r="BE17" s="176" t="n"/>
      <c r="BF17" s="176" t="n"/>
      <c r="BG17" s="176" t="n"/>
      <c r="BH17" s="176" t="n"/>
      <c r="BI17" s="176" t="n"/>
      <c r="BJ17" s="176" t="n"/>
      <c r="BK17" s="176" t="n"/>
      <c r="BL17" s="176" t="n"/>
      <c r="BM17" s="176" t="n"/>
      <c r="BN17" s="176" t="n"/>
      <c r="BO17" s="176" t="n"/>
      <c r="BP17" s="176" t="n"/>
      <c r="BQ17" s="176" t="n"/>
      <c r="BR17" s="176" t="n"/>
    </row>
    <row r="18" ht="15" customHeight="1" s="392">
      <c r="A18" s="176" t="n"/>
      <c r="B18" s="180" t="n"/>
      <c r="C18" s="187" t="inlineStr">
        <is>
          <t xml:space="preserve">        Total Cash, Cash Equivalents and Short Term Investments</t>
        </is>
      </c>
      <c r="D18" s="193">
        <f>IF(COUNT(M18:AS18)&gt;0,MEDIAN(M18:AS18),"")</f>
        <v/>
      </c>
      <c r="E18" s="193">
        <f>IF(COUNT(M18:AS18)&gt;0,AVERAGE(M18:AS18),"")</f>
        <v/>
      </c>
      <c r="F18" s="193">
        <f>IF(COUNT(M18:AS18)&gt;0,MIN(M18:AS18),"")</f>
        <v/>
      </c>
      <c r="G18" s="193">
        <f>IF(COUNT(M18:AS18)&gt;0,MAX(M18:AS18),"")</f>
        <v/>
      </c>
      <c r="H18" s="193">
        <f>IF(COUNT(M18:AS18)&gt;0,QUARTILE(M18:AS18,1),"")</f>
        <v/>
      </c>
      <c r="I18" s="193">
        <f>IF(COUNT(M18:AS18)&gt;0,QUARTILE(M18:AS18,3),"")</f>
        <v/>
      </c>
      <c r="J18" s="193">
        <f>IF(COUNT(M18:AS18)&gt;1,STDEV(M18:AS18),"")</f>
        <v/>
      </c>
      <c r="K18" s="194">
        <f>IF(COUNT(M18:AS18)&gt;1,STDEV(M18:AS18)/AVERAGE(M18:AS18),"")</f>
        <v/>
      </c>
      <c r="L18" s="195" t="n"/>
      <c r="M18" s="196" t="n">
        <v>4489802</v>
      </c>
      <c r="N18" s="196" t="n">
        <v>4789070</v>
      </c>
      <c r="O18" s="196" t="n">
        <v>3422158</v>
      </c>
      <c r="P18" s="196" t="n">
        <v>2363984</v>
      </c>
      <c r="Q18" s="196" t="n">
        <v>1384236</v>
      </c>
      <c r="R18" s="196" t="n">
        <v>1048260</v>
      </c>
      <c r="S18" s="196" t="n">
        <v>477718</v>
      </c>
      <c r="T18" s="196" t="n">
        <v>186319</v>
      </c>
      <c r="U18" s="196" t="n">
        <v>274520</v>
      </c>
      <c r="V18" s="196" t="n">
        <v>210100</v>
      </c>
      <c r="W18" s="196" t="n">
        <v>155849</v>
      </c>
      <c r="X18" s="196" t="n">
        <v>456012</v>
      </c>
      <c r="Y18" s="196" t="n">
        <v>158668</v>
      </c>
      <c r="Z18" s="196" t="n">
        <v>63631</v>
      </c>
      <c r="AA18" s="196" t="n">
        <v>140112</v>
      </c>
      <c r="AB18" s="196" t="n">
        <v>74009</v>
      </c>
      <c r="AC18" s="196" t="n">
        <v>268188</v>
      </c>
      <c r="AD18" s="196" t="n">
        <v>162691</v>
      </c>
      <c r="AE18" s="196" t="n">
        <v>38954</v>
      </c>
      <c r="AF18" s="196" t="n">
        <v>210246</v>
      </c>
      <c r="AG18" s="196" t="n">
        <v>275315</v>
      </c>
      <c r="AH18" s="196" t="n">
        <v>252548</v>
      </c>
      <c r="AI18" s="196" t="n">
        <v>178320</v>
      </c>
      <c r="AJ18" s="196" t="n">
        <v>116746</v>
      </c>
      <c r="AK18" s="196" t="n">
        <v>132690</v>
      </c>
      <c r="AL18" s="196" t="n">
        <v>15245.2</v>
      </c>
      <c r="AM18" s="196" t="n">
        <v>12164.9</v>
      </c>
      <c r="AN18" s="196" t="n">
        <v>37000</v>
      </c>
      <c r="AO18" s="196" t="n">
        <v>15700</v>
      </c>
      <c r="AP18" s="196" t="n">
        <v>27700</v>
      </c>
      <c r="AQ18" s="196" t="n">
        <v>13000</v>
      </c>
      <c r="AR18" s="196" t="n">
        <v>13800</v>
      </c>
      <c r="AS18" s="196" t="n">
        <v>17900</v>
      </c>
      <c r="AT18" s="182" t="n"/>
      <c r="AU18" s="176" t="n"/>
      <c r="AV18" s="176" t="n"/>
      <c r="AW18" s="176" t="n"/>
      <c r="AX18" s="176" t="n"/>
      <c r="AY18" s="176" t="n"/>
      <c r="AZ18" s="176" t="n"/>
      <c r="BA18" s="176" t="n"/>
      <c r="BB18" s="176" t="n"/>
      <c r="BC18" s="176" t="n"/>
      <c r="BD18" s="176" t="n"/>
      <c r="BE18" s="176" t="n"/>
      <c r="BF18" s="176" t="n"/>
      <c r="BG18" s="176" t="n"/>
      <c r="BH18" s="176" t="n"/>
      <c r="BI18" s="176" t="n"/>
      <c r="BJ18" s="176" t="n"/>
      <c r="BK18" s="176" t="n"/>
      <c r="BL18" s="176" t="n"/>
      <c r="BM18" s="176" t="n"/>
      <c r="BN18" s="176" t="n"/>
      <c r="BO18" s="176" t="n"/>
      <c r="BP18" s="176" t="n"/>
      <c r="BQ18" s="176" t="n"/>
      <c r="BR18" s="176" t="n"/>
    </row>
    <row r="19" ht="15" customHeight="1" s="392">
      <c r="A19" s="176" t="n"/>
      <c r="B19" s="180" t="n"/>
      <c r="C19" s="183" t="inlineStr">
        <is>
          <t xml:space="preserve">        Inventories</t>
        </is>
      </c>
      <c r="D19" s="190">
        <f>IF(COUNT(M19:AS19)&gt;0,MEDIAN(M19:AS19),"")</f>
        <v/>
      </c>
      <c r="E19" s="190">
        <f>IF(COUNT(M19:AS19)&gt;0,AVERAGE(M19:AS19),"")</f>
        <v/>
      </c>
      <c r="F19" s="190">
        <f>IF(COUNT(M19:AS19)&gt;0,MIN(M19:AS19),"")</f>
        <v/>
      </c>
      <c r="G19" s="190">
        <f>IF(COUNT(M19:AS19)&gt;0,MAX(M19:AS19),"")</f>
        <v/>
      </c>
      <c r="H19" s="190">
        <f>IF(COUNT(M19:AS19)&gt;0,QUARTILE(M19:AS19,1),"")</f>
        <v/>
      </c>
      <c r="I19" s="190">
        <f>IF(COUNT(M19:AS19)&gt;0,QUARTILE(M19:AS19,3),"")</f>
        <v/>
      </c>
      <c r="J19" s="190">
        <f>IF(COUNT(M19:AS19)&gt;1,STDEV(M19:AS19),"")</f>
        <v/>
      </c>
      <c r="K19" s="191">
        <f>IF(COUNT(M19:AS19)&gt;1,STDEV(M19:AS19)/AVERAGE(M19:AS19),"")</f>
        <v/>
      </c>
      <c r="M19" s="192" t="n">
        <v>51382</v>
      </c>
      <c r="N19" s="192" t="n">
        <v>39661</v>
      </c>
      <c r="O19" s="192" t="n">
        <v>43639</v>
      </c>
      <c r="P19" s="192" t="n">
        <v>39973</v>
      </c>
      <c r="Q19" s="192" t="n">
        <v>58791</v>
      </c>
      <c r="R19" s="192" t="n">
        <v>44968</v>
      </c>
      <c r="S19" s="192" t="n">
        <v>20080</v>
      </c>
      <c r="T19" s="192" t="n">
        <v>20941</v>
      </c>
      <c r="U19" s="192" t="n">
        <v>16734</v>
      </c>
      <c r="V19" s="192" t="n">
        <v>10163</v>
      </c>
      <c r="W19" s="192" t="n">
        <v>10388</v>
      </c>
      <c r="X19" s="192" t="n">
        <v>8613</v>
      </c>
      <c r="Y19" s="192" t="n">
        <v>7259</v>
      </c>
      <c r="Z19" s="192" t="n">
        <v>10736</v>
      </c>
      <c r="AA19" s="192" t="n">
        <v>8494</v>
      </c>
      <c r="AB19" s="192" t="n">
        <v>8016</v>
      </c>
      <c r="AC19" s="192" t="n">
        <v>4976</v>
      </c>
      <c r="AD19" s="192" t="n">
        <v>4667</v>
      </c>
      <c r="AE19" s="192" t="n">
        <v>5334</v>
      </c>
      <c r="AF19" s="192" t="n">
        <v>5999</v>
      </c>
      <c r="AG19" s="192" t="n">
        <v>971</v>
      </c>
      <c r="AH19" s="192" t="n"/>
      <c r="AI19" s="192" t="n"/>
      <c r="AJ19" s="192" t="n"/>
      <c r="AK19" s="192" t="n"/>
      <c r="AL19" s="192" t="n"/>
      <c r="AM19" s="192" t="n"/>
      <c r="AN19" s="192" t="n"/>
      <c r="AO19" s="192" t="n"/>
      <c r="AP19" s="192" t="n">
        <v>300</v>
      </c>
      <c r="AQ19" s="192" t="n">
        <v>1500</v>
      </c>
      <c r="AR19" s="192" t="n">
        <v>3300</v>
      </c>
      <c r="AS19" s="192" t="n"/>
      <c r="AT19" s="182" t="n"/>
      <c r="AU19" s="176" t="n"/>
      <c r="AV19" s="176" t="n"/>
      <c r="AW19" s="176" t="n"/>
      <c r="AX19" s="176" t="n"/>
      <c r="AY19" s="176" t="n"/>
      <c r="AZ19" s="176" t="n"/>
      <c r="BA19" s="176" t="n"/>
      <c r="BB19" s="176" t="n"/>
      <c r="BC19" s="176" t="n"/>
      <c r="BD19" s="176" t="n"/>
      <c r="BE19" s="176" t="n"/>
      <c r="BF19" s="176" t="n"/>
      <c r="BG19" s="176" t="n"/>
      <c r="BH19" s="176" t="n"/>
      <c r="BI19" s="176" t="n"/>
      <c r="BJ19" s="176" t="n"/>
      <c r="BK19" s="176" t="n"/>
      <c r="BL19" s="176" t="n"/>
      <c r="BM19" s="176" t="n"/>
      <c r="BN19" s="176" t="n"/>
      <c r="BO19" s="176" t="n"/>
      <c r="BP19" s="176" t="n"/>
      <c r="BQ19" s="176" t="n"/>
      <c r="BR19" s="176" t="n"/>
    </row>
    <row r="20" ht="15" customHeight="1" s="392">
      <c r="A20" s="176" t="n"/>
      <c r="B20" s="180" t="n"/>
      <c r="C20" s="183" t="inlineStr">
        <is>
          <t xml:space="preserve">        Trade and Other Receivables, Current</t>
        </is>
      </c>
      <c r="D20" s="185" t="n"/>
      <c r="E20" s="185" t="n"/>
      <c r="F20" s="185" t="n"/>
      <c r="G20" s="185" t="n"/>
      <c r="H20" s="185" t="n"/>
      <c r="I20" s="185" t="n"/>
      <c r="J20" s="185" t="n"/>
      <c r="K20" s="185" t="n"/>
      <c r="AT20" s="182" t="n"/>
      <c r="AU20" s="176" t="n"/>
      <c r="AV20" s="176" t="n"/>
      <c r="AW20" s="176" t="n"/>
      <c r="AX20" s="176" t="n"/>
      <c r="AY20" s="176" t="n"/>
      <c r="AZ20" s="176" t="n"/>
      <c r="BA20" s="176" t="n"/>
      <c r="BB20" s="176" t="n"/>
      <c r="BC20" s="176" t="n"/>
      <c r="BD20" s="176" t="n"/>
      <c r="BE20" s="176" t="n"/>
      <c r="BF20" s="176" t="n"/>
      <c r="BG20" s="176" t="n"/>
      <c r="BH20" s="176" t="n"/>
      <c r="BI20" s="176" t="n"/>
      <c r="BJ20" s="176" t="n"/>
      <c r="BK20" s="176" t="n"/>
      <c r="BL20" s="176" t="n"/>
      <c r="BM20" s="176" t="n"/>
      <c r="BN20" s="176" t="n"/>
      <c r="BO20" s="176" t="n"/>
      <c r="BP20" s="176" t="n"/>
      <c r="BQ20" s="176" t="n"/>
      <c r="BR20" s="176" t="n"/>
    </row>
    <row r="21" ht="15" customHeight="1" s="392">
      <c r="A21" s="176" t="n"/>
      <c r="B21" s="180" t="n"/>
      <c r="C21" s="183" t="inlineStr">
        <is>
          <t xml:space="preserve">            Trade/Accounts Receivable, Current</t>
        </is>
      </c>
      <c r="D21" s="185" t="n"/>
      <c r="E21" s="185" t="n"/>
      <c r="F21" s="185" t="n"/>
      <c r="G21" s="185" t="n"/>
      <c r="H21" s="185" t="n"/>
      <c r="I21" s="185" t="n"/>
      <c r="J21" s="185" t="n"/>
      <c r="K21" s="185" t="n"/>
      <c r="AT21" s="182" t="n"/>
      <c r="AU21" s="176" t="n"/>
      <c r="AV21" s="176" t="n"/>
      <c r="AW21" s="176" t="n"/>
      <c r="AX21" s="176" t="n"/>
      <c r="AY21" s="176" t="n"/>
      <c r="AZ21" s="176" t="n"/>
      <c r="BA21" s="176" t="n"/>
      <c r="BB21" s="176" t="n"/>
      <c r="BC21" s="176" t="n"/>
      <c r="BD21" s="176" t="n"/>
      <c r="BE21" s="176" t="n"/>
      <c r="BF21" s="176" t="n"/>
      <c r="BG21" s="176" t="n"/>
      <c r="BH21" s="176" t="n"/>
      <c r="BI21" s="176" t="n"/>
      <c r="BJ21" s="176" t="n"/>
      <c r="BK21" s="176" t="n"/>
      <c r="BL21" s="176" t="n"/>
      <c r="BM21" s="176" t="n"/>
      <c r="BN21" s="176" t="n"/>
      <c r="BO21" s="176" t="n"/>
      <c r="BP21" s="176" t="n"/>
      <c r="BQ21" s="176" t="n"/>
      <c r="BR21" s="176" t="n"/>
    </row>
    <row r="22" ht="15" customHeight="1" s="392">
      <c r="A22" s="176" t="n"/>
      <c r="B22" s="180" t="n"/>
      <c r="C22" s="183" t="inlineStr">
        <is>
          <t xml:space="preserve">                Gross Trade/Accounts Receivable, Current</t>
        </is>
      </c>
      <c r="D22" s="190">
        <f>IF(COUNT(M22:AS22)&gt;0,MEDIAN(M22:AS22),"")</f>
        <v/>
      </c>
      <c r="E22" s="190">
        <f>IF(COUNT(M22:AS22)&gt;0,AVERAGE(M22:AS22),"")</f>
        <v/>
      </c>
      <c r="F22" s="190">
        <f>IF(COUNT(M22:AS22)&gt;0,MIN(M22:AS22),"")</f>
        <v/>
      </c>
      <c r="G22" s="190">
        <f>IF(COUNT(M22:AS22)&gt;0,MAX(M22:AS22),"")</f>
        <v/>
      </c>
      <c r="H22" s="190">
        <f>IF(COUNT(M22:AS22)&gt;0,QUARTILE(M22:AS22,1),"")</f>
        <v/>
      </c>
      <c r="I22" s="190">
        <f>IF(COUNT(M22:AS22)&gt;0,QUARTILE(M22:AS22,3),"")</f>
        <v/>
      </c>
      <c r="J22" s="190">
        <f>IF(COUNT(M22:AS22)&gt;1,STDEV(M22:AS22),"")</f>
        <v/>
      </c>
      <c r="K22" s="191">
        <f>IF(COUNT(M22:AS22)&gt;1,STDEV(M22:AS22)/AVERAGE(M22:AS22),"")</f>
        <v/>
      </c>
      <c r="M22" s="192" t="n">
        <v>827798</v>
      </c>
      <c r="N22" s="192" t="n"/>
      <c r="O22" s="192" t="n"/>
      <c r="P22" s="192" t="n"/>
      <c r="Q22" s="192" t="n"/>
      <c r="R22" s="192" t="n"/>
      <c r="S22" s="192" t="n"/>
      <c r="T22" s="192" t="n"/>
      <c r="U22" s="192" t="n"/>
      <c r="V22" s="192" t="n"/>
      <c r="W22" s="192" t="n"/>
      <c r="X22" s="192" t="n"/>
      <c r="Y22" s="192" t="n"/>
      <c r="Z22" s="192" t="n"/>
      <c r="AA22" s="192" t="n"/>
      <c r="AB22" s="192" t="n">
        <v>125981</v>
      </c>
      <c r="AC22" s="192" t="n">
        <v>111902</v>
      </c>
      <c r="AD22" s="192" t="n"/>
      <c r="AE22" s="192" t="n"/>
      <c r="AF22" s="192" t="n"/>
      <c r="AG22" s="192" t="n"/>
      <c r="AH22" s="192" t="n"/>
      <c r="AI22" s="192" t="n"/>
      <c r="AJ22" s="192" t="n"/>
      <c r="AK22" s="192" t="n"/>
      <c r="AL22" s="192" t="n"/>
      <c r="AM22" s="192" t="n"/>
      <c r="AN22" s="192" t="n"/>
      <c r="AO22" s="192" t="n"/>
      <c r="AP22" s="192" t="n"/>
      <c r="AQ22" s="192" t="n"/>
      <c r="AR22" s="192" t="n"/>
      <c r="AS22" s="192" t="n"/>
      <c r="AT22" s="182" t="n"/>
      <c r="AU22" s="176" t="n"/>
      <c r="AV22" s="176" t="n"/>
      <c r="AW22" s="176" t="n"/>
      <c r="AX22" s="176" t="n"/>
      <c r="AY22" s="176" t="n"/>
      <c r="AZ22" s="176" t="n"/>
      <c r="BA22" s="176" t="n"/>
      <c r="BB22" s="176" t="n"/>
      <c r="BC22" s="176" t="n"/>
      <c r="BD22" s="176" t="n"/>
      <c r="BE22" s="176" t="n"/>
      <c r="BF22" s="176" t="n"/>
      <c r="BG22" s="176" t="n"/>
      <c r="BH22" s="176" t="n"/>
      <c r="BI22" s="176" t="n"/>
      <c r="BJ22" s="176" t="n"/>
      <c r="BK22" s="176" t="n"/>
      <c r="BL22" s="176" t="n"/>
      <c r="BM22" s="176" t="n"/>
      <c r="BN22" s="176" t="n"/>
      <c r="BO22" s="176" t="n"/>
      <c r="BP22" s="176" t="n"/>
      <c r="BQ22" s="176" t="n"/>
      <c r="BR22" s="176" t="n"/>
    </row>
    <row r="23" ht="15" customHeight="1" s="392">
      <c r="A23" s="176" t="n"/>
      <c r="B23" s="180" t="n"/>
      <c r="C23" s="183" t="inlineStr">
        <is>
          <t xml:space="preserve">                Allowance/Adjustments for Trade/Accounts Receivable, Current</t>
        </is>
      </c>
      <c r="D23" s="190">
        <f>IF(COUNT(M23:AS23)&gt;0,MEDIAN(M23:AS23),"")</f>
        <v/>
      </c>
      <c r="E23" s="190">
        <f>IF(COUNT(M23:AS23)&gt;0,AVERAGE(M23:AS23),"")</f>
        <v/>
      </c>
      <c r="F23" s="190">
        <f>IF(COUNT(M23:AS23)&gt;0,MIN(M23:AS23),"")</f>
        <v/>
      </c>
      <c r="G23" s="190">
        <f>IF(COUNT(M23:AS23)&gt;0,MAX(M23:AS23),"")</f>
        <v/>
      </c>
      <c r="H23" s="190">
        <f>IF(COUNT(M23:AS23)&gt;0,QUARTILE(M23:AS23,1),"")</f>
        <v/>
      </c>
      <c r="I23" s="190">
        <f>IF(COUNT(M23:AS23)&gt;0,QUARTILE(M23:AS23,3),"")</f>
        <v/>
      </c>
      <c r="J23" s="190">
        <f>IF(COUNT(M23:AS23)&gt;1,STDEV(M23:AS23),"")</f>
        <v/>
      </c>
      <c r="K23" s="191">
        <f>IF(COUNT(M23:AS23)&gt;1,STDEV(M23:AS23)/AVERAGE(M23:AS23),"")</f>
        <v/>
      </c>
      <c r="M23" s="192" t="n">
        <v>-18551</v>
      </c>
      <c r="N23" s="192" t="n"/>
      <c r="O23" s="192" t="n"/>
      <c r="P23" s="192" t="n"/>
      <c r="Q23" s="192" t="n"/>
      <c r="R23" s="192" t="n"/>
      <c r="S23" s="192" t="n"/>
      <c r="T23" s="192" t="n"/>
      <c r="U23" s="192" t="n"/>
      <c r="V23" s="192" t="n"/>
      <c r="W23" s="192" t="n"/>
      <c r="X23" s="192" t="n"/>
      <c r="Y23" s="192" t="n"/>
      <c r="Z23" s="192" t="n"/>
      <c r="AA23" s="192" t="n"/>
      <c r="AB23" s="192" t="n">
        <v>-3122</v>
      </c>
      <c r="AC23" s="192" t="n">
        <v>-2841</v>
      </c>
      <c r="AD23" s="192" t="n"/>
      <c r="AE23" s="192" t="n"/>
      <c r="AF23" s="192" t="n"/>
      <c r="AG23" s="192" t="n"/>
      <c r="AH23" s="192" t="n"/>
      <c r="AI23" s="192" t="n"/>
      <c r="AJ23" s="192" t="n"/>
      <c r="AK23" s="192" t="n"/>
      <c r="AL23" s="192" t="n"/>
      <c r="AM23" s="192" t="n"/>
      <c r="AN23" s="192" t="n"/>
      <c r="AO23" s="192" t="n"/>
      <c r="AP23" s="192" t="n"/>
      <c r="AQ23" s="192" t="n"/>
      <c r="AR23" s="192" t="n"/>
      <c r="AS23" s="192" t="n"/>
      <c r="AT23" s="182" t="n"/>
      <c r="AU23" s="176" t="n"/>
      <c r="AV23" s="176" t="n"/>
      <c r="AW23" s="176" t="n"/>
      <c r="AX23" s="176" t="n"/>
      <c r="AY23" s="176" t="n"/>
      <c r="AZ23" s="176" t="n"/>
      <c r="BA23" s="176" t="n"/>
      <c r="BB23" s="176" t="n"/>
      <c r="BC23" s="176" t="n"/>
      <c r="BD23" s="176" t="n"/>
      <c r="BE23" s="176" t="n"/>
      <c r="BF23" s="176" t="n"/>
      <c r="BG23" s="176" t="n"/>
      <c r="BH23" s="176" t="n"/>
      <c r="BI23" s="176" t="n"/>
      <c r="BJ23" s="176" t="n"/>
      <c r="BK23" s="176" t="n"/>
      <c r="BL23" s="176" t="n"/>
      <c r="BM23" s="176" t="n"/>
      <c r="BN23" s="176" t="n"/>
      <c r="BO23" s="176" t="n"/>
      <c r="BP23" s="176" t="n"/>
      <c r="BQ23" s="176" t="n"/>
      <c r="BR23" s="176" t="n"/>
    </row>
    <row r="24" ht="15" customHeight="1" s="392">
      <c r="A24" s="176" t="n"/>
      <c r="B24" s="180" t="n"/>
      <c r="C24" s="187" t="inlineStr">
        <is>
          <t xml:space="preserve">            Total Trade/Accounts Receivable, Current</t>
        </is>
      </c>
      <c r="D24" s="193">
        <f>IF(COUNT(M24:AS24)&gt;0,MEDIAN(M24:AS24),"")</f>
        <v/>
      </c>
      <c r="E24" s="193">
        <f>IF(COUNT(M24:AS24)&gt;0,AVERAGE(M24:AS24),"")</f>
        <v/>
      </c>
      <c r="F24" s="193">
        <f>IF(COUNT(M24:AS24)&gt;0,MIN(M24:AS24),"")</f>
        <v/>
      </c>
      <c r="G24" s="193">
        <f>IF(COUNT(M24:AS24)&gt;0,MAX(M24:AS24),"")</f>
        <v/>
      </c>
      <c r="H24" s="193">
        <f>IF(COUNT(M24:AS24)&gt;0,QUARTILE(M24:AS24,1),"")</f>
        <v/>
      </c>
      <c r="I24" s="193">
        <f>IF(COUNT(M24:AS24)&gt;0,QUARTILE(M24:AS24,3),"")</f>
        <v/>
      </c>
      <c r="J24" s="193">
        <f>IF(COUNT(M24:AS24)&gt;1,STDEV(M24:AS24),"")</f>
        <v/>
      </c>
      <c r="K24" s="194">
        <f>IF(COUNT(M24:AS24)&gt;1,STDEV(M24:AS24)/AVERAGE(M24:AS24),"")</f>
        <v/>
      </c>
      <c r="L24" s="195" t="n"/>
      <c r="M24" s="196" t="n">
        <v>809247</v>
      </c>
      <c r="N24" s="196" t="n">
        <v>200969</v>
      </c>
      <c r="O24" s="196" t="n">
        <v>173652</v>
      </c>
      <c r="P24" s="196" t="n">
        <v>157083</v>
      </c>
      <c r="Q24" s="196" t="n">
        <v>137243</v>
      </c>
      <c r="R24" s="196" t="n">
        <v>97249</v>
      </c>
      <c r="S24" s="196" t="n">
        <v>94281</v>
      </c>
      <c r="T24" s="196" t="n">
        <v>89274</v>
      </c>
      <c r="U24" s="196" t="n">
        <v>125255</v>
      </c>
      <c r="V24" s="196" t="n">
        <v>110189</v>
      </c>
      <c r="W24" s="196" t="n">
        <v>86455</v>
      </c>
      <c r="X24" s="196" t="n">
        <v>73773</v>
      </c>
      <c r="Y24" s="196" t="n">
        <v>72170</v>
      </c>
      <c r="Z24" s="196" t="n">
        <v>65660</v>
      </c>
      <c r="AA24" s="196" t="n">
        <v>53163</v>
      </c>
      <c r="AB24" s="196" t="n">
        <v>122859</v>
      </c>
      <c r="AC24" s="196" t="n">
        <v>109061</v>
      </c>
      <c r="AD24" s="196" t="n">
        <v>109248</v>
      </c>
      <c r="AE24" s="196" t="n">
        <v>111705</v>
      </c>
      <c r="AF24" s="196" t="n">
        <v>109895</v>
      </c>
      <c r="AG24" s="196" t="n">
        <v>99959</v>
      </c>
      <c r="AH24" s="196" t="n">
        <v>89002</v>
      </c>
      <c r="AI24" s="196" t="n">
        <v>81633</v>
      </c>
      <c r="AJ24" s="196" t="n">
        <v>71553</v>
      </c>
      <c r="AK24" s="196" t="n">
        <v>64071.9</v>
      </c>
      <c r="AL24" s="196" t="n">
        <v>64907.3</v>
      </c>
      <c r="AM24" s="196" t="n"/>
      <c r="AN24" s="196" t="n"/>
      <c r="AO24" s="196" t="n"/>
      <c r="AP24" s="196" t="n"/>
      <c r="AQ24" s="196" t="n"/>
      <c r="AR24" s="196" t="n"/>
      <c r="AS24" s="196" t="n"/>
      <c r="AT24" s="182" t="n"/>
      <c r="AU24" s="176" t="n"/>
      <c r="AV24" s="176" t="n"/>
      <c r="AW24" s="176" t="n"/>
      <c r="AX24" s="176" t="n"/>
      <c r="AY24" s="176" t="n"/>
      <c r="AZ24" s="176" t="n"/>
      <c r="BA24" s="176" t="n"/>
      <c r="BB24" s="176" t="n"/>
      <c r="BC24" s="176" t="n"/>
      <c r="BD24" s="176" t="n"/>
      <c r="BE24" s="176" t="n"/>
      <c r="BF24" s="176" t="n"/>
      <c r="BG24" s="176" t="n"/>
      <c r="BH24" s="176" t="n"/>
      <c r="BI24" s="176" t="n"/>
      <c r="BJ24" s="176" t="n"/>
      <c r="BK24" s="176" t="n"/>
      <c r="BL24" s="176" t="n"/>
      <c r="BM24" s="176" t="n"/>
      <c r="BN24" s="176" t="n"/>
      <c r="BO24" s="176" t="n"/>
      <c r="BP24" s="176" t="n"/>
      <c r="BQ24" s="176" t="n"/>
      <c r="BR24" s="176" t="n"/>
    </row>
    <row r="25" ht="15" customHeight="1" s="392">
      <c r="A25" s="176" t="n"/>
      <c r="B25" s="180" t="n"/>
      <c r="C25" s="183" t="inlineStr">
        <is>
          <t xml:space="preserve">            Taxes Receivable, Current</t>
        </is>
      </c>
      <c r="D25" s="190">
        <f>IF(COUNT(M25:AS25)&gt;0,MEDIAN(M25:AS25),"")</f>
        <v/>
      </c>
      <c r="E25" s="190">
        <f>IF(COUNT(M25:AS25)&gt;0,AVERAGE(M25:AS25),"")</f>
        <v/>
      </c>
      <c r="F25" s="190">
        <f>IF(COUNT(M25:AS25)&gt;0,MIN(M25:AS25),"")</f>
        <v/>
      </c>
      <c r="G25" s="190">
        <f>IF(COUNT(M25:AS25)&gt;0,MAX(M25:AS25),"")</f>
        <v/>
      </c>
      <c r="H25" s="190">
        <f>IF(COUNT(M25:AS25)&gt;0,QUARTILE(M25:AS25,1),"")</f>
        <v/>
      </c>
      <c r="I25" s="190">
        <f>IF(COUNT(M25:AS25)&gt;0,QUARTILE(M25:AS25,3),"")</f>
        <v/>
      </c>
      <c r="J25" s="190">
        <f>IF(COUNT(M25:AS25)&gt;1,STDEV(M25:AS25),"")</f>
        <v/>
      </c>
      <c r="K25" s="191">
        <f>IF(COUNT(M25:AS25)&gt;1,STDEV(M25:AS25)/AVERAGE(M25:AS25),"")</f>
        <v/>
      </c>
      <c r="M25" s="192" t="n">
        <v>49856</v>
      </c>
      <c r="N25" s="192" t="n">
        <v>580</v>
      </c>
      <c r="O25" s="192" t="n">
        <v>0</v>
      </c>
      <c r="P25" s="192" t="n">
        <v>6574</v>
      </c>
      <c r="Q25" s="192" t="n">
        <v>49882</v>
      </c>
      <c r="R25" s="192" t="n">
        <v>20012</v>
      </c>
      <c r="S25" s="192" t="n">
        <v>26740</v>
      </c>
      <c r="T25" s="192" t="n">
        <v>19526</v>
      </c>
      <c r="U25" s="192" t="n">
        <v>15312</v>
      </c>
      <c r="V25" s="192" t="n">
        <v>6418</v>
      </c>
      <c r="W25" s="192" t="n">
        <v>18751</v>
      </c>
      <c r="X25" s="192" t="n">
        <v>6092</v>
      </c>
      <c r="Y25" s="192" t="n">
        <v>2288</v>
      </c>
      <c r="Z25" s="192" t="n">
        <v>9416</v>
      </c>
      <c r="AA25" s="192" t="n">
        <v>2312</v>
      </c>
      <c r="AB25" s="192" t="n">
        <v>5145</v>
      </c>
      <c r="AC25" s="192" t="n">
        <v>10958</v>
      </c>
      <c r="AD25" s="192" t="n">
        <v>5426</v>
      </c>
      <c r="AE25" s="192" t="n"/>
      <c r="AF25" s="192" t="n"/>
      <c r="AG25" s="192" t="n"/>
      <c r="AH25" s="192" t="n"/>
      <c r="AI25" s="192" t="n"/>
      <c r="AJ25" s="192" t="n"/>
      <c r="AK25" s="192" t="n"/>
      <c r="AL25" s="192" t="n"/>
      <c r="AM25" s="192" t="n"/>
      <c r="AN25" s="192" t="n"/>
      <c r="AO25" s="192" t="n"/>
      <c r="AP25" s="192" t="n"/>
      <c r="AQ25" s="192" t="n"/>
      <c r="AR25" s="192" t="n"/>
      <c r="AS25" s="192" t="n"/>
      <c r="AT25" s="182" t="n"/>
      <c r="AU25" s="176" t="n"/>
      <c r="AV25" s="176" t="n"/>
      <c r="AW25" s="176" t="n"/>
      <c r="AX25" s="176" t="n"/>
      <c r="AY25" s="176" t="n"/>
      <c r="AZ25" s="176" t="n"/>
      <c r="BA25" s="176" t="n"/>
      <c r="BB25" s="176" t="n"/>
      <c r="BC25" s="176" t="n"/>
      <c r="BD25" s="176" t="n"/>
      <c r="BE25" s="176" t="n"/>
      <c r="BF25" s="176" t="n"/>
      <c r="BG25" s="176" t="n"/>
      <c r="BH25" s="176" t="n"/>
      <c r="BI25" s="176" t="n"/>
      <c r="BJ25" s="176" t="n"/>
      <c r="BK25" s="176" t="n"/>
      <c r="BL25" s="176" t="n"/>
      <c r="BM25" s="176" t="n"/>
      <c r="BN25" s="176" t="n"/>
      <c r="BO25" s="176" t="n"/>
      <c r="BP25" s="176" t="n"/>
      <c r="BQ25" s="176" t="n"/>
      <c r="BR25" s="176" t="n"/>
    </row>
    <row r="26" ht="15" customHeight="1" s="392">
      <c r="A26" s="176" t="n"/>
      <c r="B26" s="180" t="n"/>
      <c r="C26" s="183" t="inlineStr">
        <is>
          <t xml:space="preserve">            Other Receivables, Current</t>
        </is>
      </c>
      <c r="D26" s="190">
        <f>IF(COUNT(M26:AS26)&gt;0,MEDIAN(M26:AS26),"")</f>
        <v/>
      </c>
      <c r="E26" s="190">
        <f>IF(COUNT(M26:AS26)&gt;0,AVERAGE(M26:AS26),"")</f>
        <v/>
      </c>
      <c r="F26" s="190">
        <f>IF(COUNT(M26:AS26)&gt;0,MIN(M26:AS26),"")</f>
        <v/>
      </c>
      <c r="G26" s="190">
        <f>IF(COUNT(M26:AS26)&gt;0,MAX(M26:AS26),"")</f>
        <v/>
      </c>
      <c r="H26" s="190">
        <f>IF(COUNT(M26:AS26)&gt;0,QUARTILE(M26:AS26,1),"")</f>
        <v/>
      </c>
      <c r="I26" s="190">
        <f>IF(COUNT(M26:AS26)&gt;0,QUARTILE(M26:AS26,3),"")</f>
        <v/>
      </c>
      <c r="J26" s="190">
        <f>IF(COUNT(M26:AS26)&gt;1,STDEV(M26:AS26),"")</f>
        <v/>
      </c>
      <c r="K26" s="191">
        <f>IF(COUNT(M26:AS26)&gt;1,STDEV(M26:AS26)/AVERAGE(M26:AS26),"")</f>
        <v/>
      </c>
      <c r="M26" s="192" t="n"/>
      <c r="N26" s="192" t="n">
        <v>574787</v>
      </c>
      <c r="O26" s="192" t="n">
        <v>624758</v>
      </c>
      <c r="P26" s="192" t="n">
        <v>553595</v>
      </c>
      <c r="Q26" s="192" t="n">
        <v>447907</v>
      </c>
      <c r="R26" s="192" t="n">
        <v>389015</v>
      </c>
      <c r="S26" s="192" t="n">
        <v>262316</v>
      </c>
      <c r="T26" s="192" t="n">
        <v>282933</v>
      </c>
      <c r="U26" s="192" t="n">
        <v>231790</v>
      </c>
      <c r="V26" s="192" t="n">
        <v>205968</v>
      </c>
      <c r="W26" s="192" t="n">
        <v>183935</v>
      </c>
      <c r="X26" s="192" t="n">
        <v>144911</v>
      </c>
      <c r="Y26" s="192" t="n">
        <v>128399</v>
      </c>
      <c r="Z26" s="192" t="n">
        <v>119737</v>
      </c>
      <c r="AA26" s="192" t="n">
        <v>87657</v>
      </c>
      <c r="AB26" s="192" t="n"/>
      <c r="AC26" s="192" t="n"/>
      <c r="AD26" s="192" t="n"/>
      <c r="AE26" s="192" t="n">
        <v>19041</v>
      </c>
      <c r="AF26" s="192" t="n">
        <v>3208</v>
      </c>
      <c r="AG26" s="192" t="n">
        <v>2064</v>
      </c>
      <c r="AH26" s="192" t="n"/>
      <c r="AI26" s="192" t="n"/>
      <c r="AJ26" s="192" t="n">
        <v>4018</v>
      </c>
      <c r="AK26" s="192" t="n"/>
      <c r="AL26" s="192" t="n"/>
      <c r="AM26" s="192" t="n"/>
      <c r="AN26" s="192" t="n"/>
      <c r="AO26" s="192" t="n"/>
      <c r="AP26" s="192" t="n"/>
      <c r="AQ26" s="192" t="n"/>
      <c r="AR26" s="192" t="n"/>
      <c r="AS26" s="192" t="n"/>
      <c r="AT26" s="182" t="n"/>
      <c r="AU26" s="176" t="n"/>
      <c r="AV26" s="176" t="n"/>
      <c r="AW26" s="176" t="n"/>
      <c r="AX26" s="176" t="n"/>
      <c r="AY26" s="176" t="n"/>
      <c r="AZ26" s="176" t="n"/>
      <c r="BA26" s="176" t="n"/>
      <c r="BB26" s="176" t="n"/>
      <c r="BC26" s="176" t="n"/>
      <c r="BD26" s="176" t="n"/>
      <c r="BE26" s="176" t="n"/>
      <c r="BF26" s="176" t="n"/>
      <c r="BG26" s="176" t="n"/>
      <c r="BH26" s="176" t="n"/>
      <c r="BI26" s="176" t="n"/>
      <c r="BJ26" s="176" t="n"/>
      <c r="BK26" s="176" t="n"/>
      <c r="BL26" s="176" t="n"/>
      <c r="BM26" s="176" t="n"/>
      <c r="BN26" s="176" t="n"/>
      <c r="BO26" s="176" t="n"/>
      <c r="BP26" s="176" t="n"/>
      <c r="BQ26" s="176" t="n"/>
      <c r="BR26" s="176" t="n"/>
    </row>
    <row r="27" ht="15" customHeight="1" s="392">
      <c r="A27" s="176" t="n"/>
      <c r="B27" s="180" t="n"/>
      <c r="C27" s="183" t="inlineStr">
        <is>
          <t xml:space="preserve">            General Allowance for Receivables and Write Offs, Current</t>
        </is>
      </c>
      <c r="D27" s="190">
        <f>IF(COUNT(M27:AS27)&gt;0,MEDIAN(M27:AS27),"")</f>
        <v/>
      </c>
      <c r="E27" s="190">
        <f>IF(COUNT(M27:AS27)&gt;0,AVERAGE(M27:AS27),"")</f>
        <v/>
      </c>
      <c r="F27" s="190">
        <f>IF(COUNT(M27:AS27)&gt;0,MIN(M27:AS27),"")</f>
        <v/>
      </c>
      <c r="G27" s="190">
        <f>IF(COUNT(M27:AS27)&gt;0,MAX(M27:AS27),"")</f>
        <v/>
      </c>
      <c r="H27" s="190">
        <f>IF(COUNT(M27:AS27)&gt;0,QUARTILE(M27:AS27,1),"")</f>
        <v/>
      </c>
      <c r="I27" s="190">
        <f>IF(COUNT(M27:AS27)&gt;0,QUARTILE(M27:AS27,3),"")</f>
        <v/>
      </c>
      <c r="J27" s="190">
        <f>IF(COUNT(M27:AS27)&gt;1,STDEV(M27:AS27),"")</f>
        <v/>
      </c>
      <c r="K27" s="191">
        <f>IF(COUNT(M27:AS27)&gt;1,STDEV(M27:AS27)/AVERAGE(M27:AS27),"")</f>
        <v/>
      </c>
      <c r="M27" s="192" t="n"/>
      <c r="N27" s="192" t="n">
        <v>-12945</v>
      </c>
      <c r="O27" s="192" t="n">
        <v>-12533</v>
      </c>
      <c r="P27" s="192" t="n">
        <v>-8640</v>
      </c>
      <c r="Q27" s="192" t="n">
        <v>-6577</v>
      </c>
      <c r="R27" s="192" t="n">
        <v>-5636</v>
      </c>
      <c r="S27" s="192" t="n">
        <v>-6390</v>
      </c>
      <c r="T27" s="192" t="n">
        <v>-4942</v>
      </c>
      <c r="U27" s="192" t="n">
        <v>-5444</v>
      </c>
      <c r="V27" s="192" t="n">
        <v>-4311</v>
      </c>
      <c r="W27" s="192" t="n">
        <v>-4120</v>
      </c>
      <c r="X27" s="192" t="n">
        <v>-2988</v>
      </c>
      <c r="Y27" s="192" t="n">
        <v>-3584</v>
      </c>
      <c r="Z27" s="192" t="n">
        <v>-2683</v>
      </c>
      <c r="AA27" s="192" t="n">
        <v>-2920</v>
      </c>
      <c r="AB27" s="192" t="n"/>
      <c r="AC27" s="192" t="n"/>
      <c r="AD27" s="192" t="n"/>
      <c r="AE27" s="192" t="n"/>
      <c r="AF27" s="192" t="n"/>
      <c r="AG27" s="192" t="n"/>
      <c r="AH27" s="192" t="n"/>
      <c r="AI27" s="192" t="n"/>
      <c r="AJ27" s="192" t="n"/>
      <c r="AK27" s="192" t="n"/>
      <c r="AL27" s="192" t="n"/>
      <c r="AM27" s="192" t="n"/>
      <c r="AN27" s="192" t="n"/>
      <c r="AO27" s="192" t="n"/>
      <c r="AP27" s="192" t="n"/>
      <c r="AQ27" s="192" t="n"/>
      <c r="AR27" s="192" t="n"/>
      <c r="AS27" s="192" t="n"/>
      <c r="AT27" s="182" t="n"/>
      <c r="AU27" s="176" t="n"/>
      <c r="AV27" s="176" t="n"/>
      <c r="AW27" s="176" t="n"/>
      <c r="AX27" s="176" t="n"/>
      <c r="AY27" s="176" t="n"/>
      <c r="AZ27" s="176" t="n"/>
      <c r="BA27" s="176" t="n"/>
      <c r="BB27" s="176" t="n"/>
      <c r="BC27" s="176" t="n"/>
      <c r="BD27" s="176" t="n"/>
      <c r="BE27" s="176" t="n"/>
      <c r="BF27" s="176" t="n"/>
      <c r="BG27" s="176" t="n"/>
      <c r="BH27" s="176" t="n"/>
      <c r="BI27" s="176" t="n"/>
      <c r="BJ27" s="176" t="n"/>
      <c r="BK27" s="176" t="n"/>
      <c r="BL27" s="176" t="n"/>
      <c r="BM27" s="176" t="n"/>
      <c r="BN27" s="176" t="n"/>
      <c r="BO27" s="176" t="n"/>
      <c r="BP27" s="176" t="n"/>
      <c r="BQ27" s="176" t="n"/>
      <c r="BR27" s="176" t="n"/>
    </row>
    <row r="28" ht="15" customHeight="1" s="392">
      <c r="A28" s="176" t="n"/>
      <c r="B28" s="180" t="n"/>
      <c r="C28" s="187" t="inlineStr">
        <is>
          <t xml:space="preserve">        Total Trade and Other Receivables, Current</t>
        </is>
      </c>
      <c r="D28" s="193">
        <f>IF(COUNT(M28:AS28)&gt;0,MEDIAN(M28:AS28),"")</f>
        <v/>
      </c>
      <c r="E28" s="193">
        <f>IF(COUNT(M28:AS28)&gt;0,AVERAGE(M28:AS28),"")</f>
        <v/>
      </c>
      <c r="F28" s="193">
        <f>IF(COUNT(M28:AS28)&gt;0,MIN(M28:AS28),"")</f>
        <v/>
      </c>
      <c r="G28" s="193">
        <f>IF(COUNT(M28:AS28)&gt;0,MAX(M28:AS28),"")</f>
        <v/>
      </c>
      <c r="H28" s="193">
        <f>IF(COUNT(M28:AS28)&gt;0,QUARTILE(M28:AS28,1),"")</f>
        <v/>
      </c>
      <c r="I28" s="193">
        <f>IF(COUNT(M28:AS28)&gt;0,QUARTILE(M28:AS28,3),"")</f>
        <v/>
      </c>
      <c r="J28" s="193">
        <f>IF(COUNT(M28:AS28)&gt;1,STDEV(M28:AS28),"")</f>
        <v/>
      </c>
      <c r="K28" s="194">
        <f>IF(COUNT(M28:AS28)&gt;1,STDEV(M28:AS28)/AVERAGE(M28:AS28),"")</f>
        <v/>
      </c>
      <c r="L28" s="195" t="n"/>
      <c r="M28" s="196" t="n">
        <v>859103</v>
      </c>
      <c r="N28" s="196" t="n">
        <v>763391</v>
      </c>
      <c r="O28" s="196" t="n">
        <v>785877</v>
      </c>
      <c r="P28" s="196" t="n">
        <v>708612</v>
      </c>
      <c r="Q28" s="196" t="n">
        <v>628455</v>
      </c>
      <c r="R28" s="196" t="n">
        <v>500640</v>
      </c>
      <c r="S28" s="196" t="n">
        <v>376947</v>
      </c>
      <c r="T28" s="196" t="n">
        <v>386791</v>
      </c>
      <c r="U28" s="196" t="n">
        <v>366913</v>
      </c>
      <c r="V28" s="196" t="n">
        <v>318264</v>
      </c>
      <c r="W28" s="196" t="n">
        <v>285021</v>
      </c>
      <c r="X28" s="196" t="n">
        <v>221788</v>
      </c>
      <c r="Y28" s="196" t="n">
        <v>199273</v>
      </c>
      <c r="Z28" s="196" t="n">
        <v>192130</v>
      </c>
      <c r="AA28" s="196" t="n">
        <v>140212</v>
      </c>
      <c r="AB28" s="196" t="n">
        <v>128004</v>
      </c>
      <c r="AC28" s="196" t="n">
        <v>120019</v>
      </c>
      <c r="AD28" s="196" t="n">
        <v>114674</v>
      </c>
      <c r="AE28" s="196" t="n">
        <v>130746</v>
      </c>
      <c r="AF28" s="196" t="n">
        <v>113103</v>
      </c>
      <c r="AG28" s="196" t="n">
        <v>102023</v>
      </c>
      <c r="AH28" s="196" t="n">
        <v>89002</v>
      </c>
      <c r="AI28" s="196" t="n">
        <v>81633</v>
      </c>
      <c r="AJ28" s="196" t="n">
        <v>75571</v>
      </c>
      <c r="AK28" s="196" t="n">
        <v>64071.9</v>
      </c>
      <c r="AL28" s="196" t="n">
        <v>64907.3</v>
      </c>
      <c r="AM28" s="196" t="n">
        <v>52509.6</v>
      </c>
      <c r="AN28" s="196" t="n">
        <v>37500</v>
      </c>
      <c r="AO28" s="196" t="n">
        <v>32800</v>
      </c>
      <c r="AP28" s="196" t="n">
        <v>31300</v>
      </c>
      <c r="AQ28" s="196" t="n">
        <v>30000</v>
      </c>
      <c r="AR28" s="196" t="n">
        <v>23900</v>
      </c>
      <c r="AS28" s="196" t="n">
        <v>7200</v>
      </c>
      <c r="AT28" s="182" t="n"/>
      <c r="AU28" s="176" t="n"/>
      <c r="AV28" s="176" t="n"/>
      <c r="AW28" s="176" t="n"/>
      <c r="AX28" s="176" t="n"/>
      <c r="AY28" s="176" t="n"/>
      <c r="AZ28" s="176" t="n"/>
      <c r="BA28" s="176" t="n"/>
      <c r="BB28" s="176" t="n"/>
      <c r="BC28" s="176" t="n"/>
      <c r="BD28" s="176" t="n"/>
      <c r="BE28" s="176" t="n"/>
      <c r="BF28" s="176" t="n"/>
      <c r="BG28" s="176" t="n"/>
      <c r="BH28" s="176" t="n"/>
      <c r="BI28" s="176" t="n"/>
      <c r="BJ28" s="176" t="n"/>
      <c r="BK28" s="176" t="n"/>
      <c r="BL28" s="176" t="n"/>
      <c r="BM28" s="176" t="n"/>
      <c r="BN28" s="176" t="n"/>
      <c r="BO28" s="176" t="n"/>
      <c r="BP28" s="176" t="n"/>
      <c r="BQ28" s="176" t="n"/>
      <c r="BR28" s="176" t="n"/>
    </row>
    <row r="29" ht="15" customHeight="1" s="392">
      <c r="A29" s="176" t="n"/>
      <c r="B29" s="180" t="n"/>
      <c r="C29" s="183" t="inlineStr">
        <is>
          <t xml:space="preserve">        Prepayments and Deposits, Current</t>
        </is>
      </c>
      <c r="D29" s="190">
        <f>IF(COUNT(M29:AS29)&gt;0,MEDIAN(M29:AS29),"")</f>
        <v/>
      </c>
      <c r="E29" s="190">
        <f>IF(COUNT(M29:AS29)&gt;0,AVERAGE(M29:AS29),"")</f>
        <v/>
      </c>
      <c r="F29" s="190">
        <f>IF(COUNT(M29:AS29)&gt;0,MIN(M29:AS29),"")</f>
        <v/>
      </c>
      <c r="G29" s="190">
        <f>IF(COUNT(M29:AS29)&gt;0,MAX(M29:AS29),"")</f>
        <v/>
      </c>
      <c r="H29" s="190">
        <f>IF(COUNT(M29:AS29)&gt;0,QUARTILE(M29:AS29,1),"")</f>
        <v/>
      </c>
      <c r="I29" s="190">
        <f>IF(COUNT(M29:AS29)&gt;0,QUARTILE(M29:AS29,3),"")</f>
        <v/>
      </c>
      <c r="J29" s="190">
        <f>IF(COUNT(M29:AS29)&gt;1,STDEV(M29:AS29),"")</f>
        <v/>
      </c>
      <c r="K29" s="191">
        <f>IF(COUNT(M29:AS29)&gt;1,STDEV(M29:AS29)/AVERAGE(M29:AS29),"")</f>
        <v/>
      </c>
      <c r="M29" s="192" t="n"/>
      <c r="N29" s="192" t="n"/>
      <c r="O29" s="192" t="n"/>
      <c r="P29" s="192" t="n"/>
      <c r="Q29" s="192" t="n"/>
      <c r="R29" s="192" t="n"/>
      <c r="S29" s="192" t="n"/>
      <c r="T29" s="192" t="n"/>
      <c r="U29" s="192" t="n"/>
      <c r="V29" s="192" t="n"/>
      <c r="W29" s="192" t="n"/>
      <c r="X29" s="192" t="n"/>
      <c r="Y29" s="192" t="n"/>
      <c r="Z29" s="192" t="n"/>
      <c r="AA29" s="192" t="n"/>
      <c r="AB29" s="192" t="n">
        <v>14813</v>
      </c>
      <c r="AC29" s="192" t="n">
        <v>14342</v>
      </c>
      <c r="AD29" s="192" t="n">
        <v>5216</v>
      </c>
      <c r="AE29" s="192" t="n">
        <v>6932</v>
      </c>
      <c r="AF29" s="192" t="n">
        <v>5518</v>
      </c>
      <c r="AG29" s="192" t="n">
        <v>4864</v>
      </c>
      <c r="AH29" s="192" t="n">
        <v>6274</v>
      </c>
      <c r="AI29" s="192" t="n">
        <v>5437</v>
      </c>
      <c r="AJ29" s="192" t="n">
        <v>10069</v>
      </c>
      <c r="AK29" s="192" t="n">
        <v>9216</v>
      </c>
      <c r="AL29" s="192" t="n">
        <v>7866.2</v>
      </c>
      <c r="AM29" s="192" t="n"/>
      <c r="AN29" s="192" t="n"/>
      <c r="AO29" s="192" t="n"/>
      <c r="AP29" s="192" t="n"/>
      <c r="AQ29" s="192" t="n"/>
      <c r="AR29" s="192" t="n"/>
      <c r="AS29" s="192" t="n"/>
      <c r="AT29" s="182" t="n"/>
      <c r="AU29" s="176" t="n"/>
      <c r="AV29" s="176" t="n"/>
      <c r="AW29" s="176" t="n"/>
      <c r="AX29" s="176" t="n"/>
      <c r="AY29" s="176" t="n"/>
      <c r="AZ29" s="176" t="n"/>
      <c r="BA29" s="176" t="n"/>
      <c r="BB29" s="176" t="n"/>
      <c r="BC29" s="176" t="n"/>
      <c r="BD29" s="176" t="n"/>
      <c r="BE29" s="176" t="n"/>
      <c r="BF29" s="176" t="n"/>
      <c r="BG29" s="176" t="n"/>
      <c r="BH29" s="176" t="n"/>
      <c r="BI29" s="176" t="n"/>
      <c r="BJ29" s="176" t="n"/>
      <c r="BK29" s="176" t="n"/>
      <c r="BL29" s="176" t="n"/>
      <c r="BM29" s="176" t="n"/>
      <c r="BN29" s="176" t="n"/>
      <c r="BO29" s="176" t="n"/>
      <c r="BP29" s="176" t="n"/>
      <c r="BQ29" s="176" t="n"/>
      <c r="BR29" s="176" t="n"/>
    </row>
    <row r="30" ht="15" customHeight="1" s="392">
      <c r="A30" s="176" t="n"/>
      <c r="B30" s="180" t="n"/>
      <c r="C30" s="183" t="inlineStr">
        <is>
          <t xml:space="preserve">        Deferred Tax Assets, Current</t>
        </is>
      </c>
      <c r="D30" s="190">
        <f>IF(COUNT(M30:AS30)&gt;0,MEDIAN(M30:AS30),"")</f>
        <v/>
      </c>
      <c r="E30" s="190">
        <f>IF(COUNT(M30:AS30)&gt;0,AVERAGE(M30:AS30),"")</f>
        <v/>
      </c>
      <c r="F30" s="190">
        <f>IF(COUNT(M30:AS30)&gt;0,MIN(M30:AS30),"")</f>
        <v/>
      </c>
      <c r="G30" s="190">
        <f>IF(COUNT(M30:AS30)&gt;0,MAX(M30:AS30),"")</f>
        <v/>
      </c>
      <c r="H30" s="190">
        <f>IF(COUNT(M30:AS30)&gt;0,QUARTILE(M30:AS30,1),"")</f>
        <v/>
      </c>
      <c r="I30" s="190">
        <f>IF(COUNT(M30:AS30)&gt;0,QUARTILE(M30:AS30,3),"")</f>
        <v/>
      </c>
      <c r="J30" s="190">
        <f>IF(COUNT(M30:AS30)&gt;1,STDEV(M30:AS30),"")</f>
        <v/>
      </c>
      <c r="K30" s="191">
        <f>IF(COUNT(M30:AS30)&gt;1,STDEV(M30:AS30)/AVERAGE(M30:AS30),"")</f>
        <v/>
      </c>
      <c r="M30" s="192" t="n"/>
      <c r="N30" s="192" t="n"/>
      <c r="O30" s="192" t="n"/>
      <c r="P30" s="192" t="n"/>
      <c r="Q30" s="192" t="n"/>
      <c r="R30" s="192" t="n"/>
      <c r="S30" s="192" t="n"/>
      <c r="T30" s="192" t="n"/>
      <c r="U30" s="192" t="n"/>
      <c r="V30" s="192" t="n"/>
      <c r="W30" s="192" t="n">
        <v>1444</v>
      </c>
      <c r="X30" s="192" t="n">
        <v>3396</v>
      </c>
      <c r="Y30" s="192" t="n">
        <v>1803</v>
      </c>
      <c r="Z30" s="192" t="n">
        <v>2216</v>
      </c>
      <c r="AA30" s="192" t="n">
        <v>3600</v>
      </c>
      <c r="AB30" s="192" t="n"/>
      <c r="AC30" s="192" t="n"/>
      <c r="AD30" s="192" t="n"/>
      <c r="AE30" s="192" t="n"/>
      <c r="AF30" s="192" t="n"/>
      <c r="AG30" s="192" t="n"/>
      <c r="AH30" s="192" t="n"/>
      <c r="AI30" s="192" t="n"/>
      <c r="AJ30" s="192" t="n"/>
      <c r="AK30" s="192" t="n"/>
      <c r="AL30" s="192" t="n"/>
      <c r="AM30" s="192" t="n"/>
      <c r="AN30" s="192" t="n"/>
      <c r="AO30" s="192" t="n"/>
      <c r="AP30" s="192" t="n"/>
      <c r="AQ30" s="192" t="n"/>
      <c r="AR30" s="192" t="n"/>
      <c r="AS30" s="192" t="n"/>
      <c r="AT30" s="182" t="n"/>
      <c r="AU30" s="176" t="n"/>
      <c r="AV30" s="176" t="n"/>
      <c r="AW30" s="176" t="n"/>
      <c r="AX30" s="176" t="n"/>
      <c r="AY30" s="176" t="n"/>
      <c r="AZ30" s="176" t="n"/>
      <c r="BA30" s="176" t="n"/>
      <c r="BB30" s="176" t="n"/>
      <c r="BC30" s="176" t="n"/>
      <c r="BD30" s="176" t="n"/>
      <c r="BE30" s="176" t="n"/>
      <c r="BF30" s="176" t="n"/>
      <c r="BG30" s="176" t="n"/>
      <c r="BH30" s="176" t="n"/>
      <c r="BI30" s="176" t="n"/>
      <c r="BJ30" s="176" t="n"/>
      <c r="BK30" s="176" t="n"/>
      <c r="BL30" s="176" t="n"/>
      <c r="BM30" s="176" t="n"/>
      <c r="BN30" s="176" t="n"/>
      <c r="BO30" s="176" t="n"/>
      <c r="BP30" s="176" t="n"/>
      <c r="BQ30" s="176" t="n"/>
      <c r="BR30" s="176" t="n"/>
    </row>
    <row r="31" ht="15" customHeight="1" s="392">
      <c r="A31" s="176" t="n"/>
      <c r="B31" s="180" t="n"/>
      <c r="C31" s="183" t="inlineStr">
        <is>
          <t xml:space="preserve">        Deferred Costs/Assets, Current</t>
        </is>
      </c>
      <c r="D31" s="190">
        <f>IF(COUNT(M31:AS31)&gt;0,MEDIAN(M31:AS31),"")</f>
        <v/>
      </c>
      <c r="E31" s="190">
        <f>IF(COUNT(M31:AS31)&gt;0,AVERAGE(M31:AS31),"")</f>
        <v/>
      </c>
      <c r="F31" s="190">
        <f>IF(COUNT(M31:AS31)&gt;0,MIN(M31:AS31),"")</f>
        <v/>
      </c>
      <c r="G31" s="190">
        <f>IF(COUNT(M31:AS31)&gt;0,MAX(M31:AS31),"")</f>
        <v/>
      </c>
      <c r="H31" s="190">
        <f>IF(COUNT(M31:AS31)&gt;0,QUARTILE(M31:AS31,1),"")</f>
        <v/>
      </c>
      <c r="I31" s="190">
        <f>IF(COUNT(M31:AS31)&gt;0,QUARTILE(M31:AS31,3),"")</f>
        <v/>
      </c>
      <c r="J31" s="190">
        <f>IF(COUNT(M31:AS31)&gt;1,STDEV(M31:AS31),"")</f>
        <v/>
      </c>
      <c r="K31" s="191">
        <f>IF(COUNT(M31:AS31)&gt;1,STDEV(M31:AS31)/AVERAGE(M31:AS31),"")</f>
        <v/>
      </c>
      <c r="M31" s="192" t="n">
        <v>122948</v>
      </c>
      <c r="N31" s="192" t="n">
        <v>116145</v>
      </c>
      <c r="O31" s="192" t="n">
        <v>132638</v>
      </c>
      <c r="P31" s="192" t="n">
        <v>123725</v>
      </c>
      <c r="Q31" s="192" t="n">
        <v>112242</v>
      </c>
      <c r="R31" s="192" t="n">
        <v>94449</v>
      </c>
      <c r="S31" s="192" t="n">
        <v>73684</v>
      </c>
      <c r="T31" s="192" t="n">
        <v>76548</v>
      </c>
      <c r="U31" s="192" t="n">
        <v>34284</v>
      </c>
      <c r="V31" s="192" t="n">
        <v>31118</v>
      </c>
      <c r="W31" s="192" t="n">
        <v>28599</v>
      </c>
      <c r="X31" s="192" t="n">
        <v>24949</v>
      </c>
      <c r="Y31" s="192" t="n">
        <v>24438</v>
      </c>
      <c r="Z31" s="192" t="n">
        <v>20466</v>
      </c>
      <c r="AA31" s="192" t="n">
        <v>15728</v>
      </c>
      <c r="AB31" s="192" t="n"/>
      <c r="AC31" s="192" t="n"/>
      <c r="AD31" s="192" t="n"/>
      <c r="AE31" s="192" t="n"/>
      <c r="AF31" s="192" t="n"/>
      <c r="AG31" s="192" t="n"/>
      <c r="AH31" s="192" t="n"/>
      <c r="AI31" s="192" t="n"/>
      <c r="AJ31" s="192" t="n"/>
      <c r="AK31" s="192" t="n"/>
      <c r="AL31" s="192" t="n"/>
      <c r="AM31" s="192" t="n"/>
      <c r="AN31" s="192" t="n"/>
      <c r="AO31" s="192" t="n"/>
      <c r="AP31" s="192" t="n"/>
      <c r="AQ31" s="192" t="n"/>
      <c r="AR31" s="192" t="n"/>
      <c r="AS31" s="192" t="n"/>
      <c r="AT31" s="182" t="n"/>
      <c r="AU31" s="176" t="n"/>
      <c r="AV31" s="176" t="n"/>
      <c r="AW31" s="176" t="n"/>
      <c r="AX31" s="176" t="n"/>
      <c r="AY31" s="176" t="n"/>
      <c r="AZ31" s="176" t="n"/>
      <c r="BA31" s="176" t="n"/>
      <c r="BB31" s="176" t="n"/>
      <c r="BC31" s="176" t="n"/>
      <c r="BD31" s="176" t="n"/>
      <c r="BE31" s="176" t="n"/>
      <c r="BF31" s="176" t="n"/>
      <c r="BG31" s="176" t="n"/>
      <c r="BH31" s="176" t="n"/>
      <c r="BI31" s="176" t="n"/>
      <c r="BJ31" s="176" t="n"/>
      <c r="BK31" s="176" t="n"/>
      <c r="BL31" s="176" t="n"/>
      <c r="BM31" s="176" t="n"/>
      <c r="BN31" s="176" t="n"/>
      <c r="BO31" s="176" t="n"/>
      <c r="BP31" s="176" t="n"/>
      <c r="BQ31" s="176" t="n"/>
      <c r="BR31" s="176" t="n"/>
    </row>
    <row r="32" ht="15" customHeight="1" s="392">
      <c r="A32" s="176" t="n"/>
      <c r="B32" s="180" t="n"/>
      <c r="C32" s="183" t="inlineStr">
        <is>
          <t xml:space="preserve">        Assets Held for Sale/Discontinued Operations, Current</t>
        </is>
      </c>
      <c r="D32" s="190">
        <f>IF(COUNT(M32:AS32)&gt;0,MEDIAN(M32:AS32),"")</f>
        <v/>
      </c>
      <c r="E32" s="190">
        <f>IF(COUNT(M32:AS32)&gt;0,AVERAGE(M32:AS32),"")</f>
        <v/>
      </c>
      <c r="F32" s="190">
        <f>IF(COUNT(M32:AS32)&gt;0,MIN(M32:AS32),"")</f>
        <v/>
      </c>
      <c r="G32" s="190">
        <f>IF(COUNT(M32:AS32)&gt;0,MAX(M32:AS32),"")</f>
        <v/>
      </c>
      <c r="H32" s="190">
        <f>IF(COUNT(M32:AS32)&gt;0,QUARTILE(M32:AS32,1),"")</f>
        <v/>
      </c>
      <c r="I32" s="190">
        <f>IF(COUNT(M32:AS32)&gt;0,QUARTILE(M32:AS32,3),"")</f>
        <v/>
      </c>
      <c r="J32" s="190">
        <f>IF(COUNT(M32:AS32)&gt;1,STDEV(M32:AS32),"")</f>
        <v/>
      </c>
      <c r="K32" s="191">
        <f>IF(COUNT(M32:AS32)&gt;1,STDEV(M32:AS32)/AVERAGE(M32:AS32),"")</f>
        <v/>
      </c>
      <c r="M32" s="192" t="n"/>
      <c r="N32" s="192" t="n"/>
      <c r="O32" s="192" t="n"/>
      <c r="P32" s="192" t="n"/>
      <c r="Q32" s="192" t="n"/>
      <c r="R32" s="192" t="n"/>
      <c r="S32" s="192" t="n"/>
      <c r="T32" s="192" t="n"/>
      <c r="U32" s="192" t="n"/>
      <c r="V32" s="192" t="n"/>
      <c r="W32" s="192" t="n"/>
      <c r="X32" s="192" t="n"/>
      <c r="Y32" s="192" t="n"/>
      <c r="Z32" s="192" t="n">
        <v>1929</v>
      </c>
      <c r="AA32" s="192" t="n">
        <v>3926</v>
      </c>
      <c r="AB32" s="192" t="n"/>
      <c r="AC32" s="192" t="n"/>
      <c r="AD32" s="192" t="n"/>
      <c r="AE32" s="192" t="n"/>
      <c r="AF32" s="192" t="n"/>
      <c r="AG32" s="192" t="n"/>
      <c r="AH32" s="192" t="n"/>
      <c r="AI32" s="192" t="n"/>
      <c r="AJ32" s="192" t="n"/>
      <c r="AK32" s="192" t="n"/>
      <c r="AL32" s="192" t="n"/>
      <c r="AM32" s="192" t="n"/>
      <c r="AN32" s="192" t="n"/>
      <c r="AO32" s="192" t="n"/>
      <c r="AP32" s="192" t="n"/>
      <c r="AQ32" s="192" t="n"/>
      <c r="AR32" s="192" t="n"/>
      <c r="AS32" s="192" t="n"/>
      <c r="AT32" s="182" t="n"/>
      <c r="AU32" s="176" t="n"/>
      <c r="AV32" s="176" t="n"/>
      <c r="AW32" s="176" t="n"/>
      <c r="AX32" s="176" t="n"/>
      <c r="AY32" s="176" t="n"/>
      <c r="AZ32" s="176" t="n"/>
      <c r="BA32" s="176" t="n"/>
      <c r="BB32" s="176" t="n"/>
      <c r="BC32" s="176" t="n"/>
      <c r="BD32" s="176" t="n"/>
      <c r="BE32" s="176" t="n"/>
      <c r="BF32" s="176" t="n"/>
      <c r="BG32" s="176" t="n"/>
      <c r="BH32" s="176" t="n"/>
      <c r="BI32" s="176" t="n"/>
      <c r="BJ32" s="176" t="n"/>
      <c r="BK32" s="176" t="n"/>
      <c r="BL32" s="176" t="n"/>
      <c r="BM32" s="176" t="n"/>
      <c r="BN32" s="176" t="n"/>
      <c r="BO32" s="176" t="n"/>
      <c r="BP32" s="176" t="n"/>
      <c r="BQ32" s="176" t="n"/>
      <c r="BR32" s="176" t="n"/>
    </row>
    <row r="33" ht="15" customHeight="1" s="392">
      <c r="A33" s="176" t="n"/>
      <c r="B33" s="180" t="n"/>
      <c r="C33" s="183" t="inlineStr">
        <is>
          <t xml:space="preserve">        Other Current Assets</t>
        </is>
      </c>
      <c r="D33" s="190">
        <f>IF(COUNT(M33:AS33)&gt;0,MEDIAN(M33:AS33),"")</f>
        <v/>
      </c>
      <c r="E33" s="190">
        <f>IF(COUNT(M33:AS33)&gt;0,AVERAGE(M33:AS33),"")</f>
        <v/>
      </c>
      <c r="F33" s="190">
        <f>IF(COUNT(M33:AS33)&gt;0,MIN(M33:AS33),"")</f>
        <v/>
      </c>
      <c r="G33" s="190">
        <f>IF(COUNT(M33:AS33)&gt;0,MAX(M33:AS33),"")</f>
        <v/>
      </c>
      <c r="H33" s="190">
        <f>IF(COUNT(M33:AS33)&gt;0,QUARTILE(M33:AS33,1),"")</f>
        <v/>
      </c>
      <c r="I33" s="190">
        <f>IF(COUNT(M33:AS33)&gt;0,QUARTILE(M33:AS33,3),"")</f>
        <v/>
      </c>
      <c r="J33" s="190">
        <f>IF(COUNT(M33:AS33)&gt;1,STDEV(M33:AS33),"")</f>
        <v/>
      </c>
      <c r="K33" s="191">
        <f>IF(COUNT(M33:AS33)&gt;1,STDEV(M33:AS33)/AVERAGE(M33:AS33),"")</f>
        <v/>
      </c>
      <c r="M33" s="192" t="n">
        <v>44959</v>
      </c>
      <c r="N33" s="192" t="n">
        <v>46361</v>
      </c>
      <c r="O33" s="192" t="n">
        <v>33872</v>
      </c>
      <c r="P33" s="192" t="n">
        <v>26310</v>
      </c>
      <c r="Q33" s="192" t="n">
        <v>18731</v>
      </c>
      <c r="R33" s="192" t="n">
        <v>14294</v>
      </c>
      <c r="S33" s="192" t="n">
        <v>15330</v>
      </c>
      <c r="T33" s="192" t="n">
        <v>16568</v>
      </c>
      <c r="U33" s="192" t="n">
        <v>16665</v>
      </c>
      <c r="V33" s="192" t="n">
        <v>17616</v>
      </c>
      <c r="W33" s="192" t="n">
        <v>18005</v>
      </c>
      <c r="X33" s="192" t="n">
        <v>19824</v>
      </c>
      <c r="Y33" s="192" t="n">
        <v>20850</v>
      </c>
      <c r="Z33" s="192" t="n">
        <v>15344</v>
      </c>
      <c r="AA33" s="192" t="n">
        <v>9155</v>
      </c>
      <c r="AB33" s="192" t="n">
        <v>17026</v>
      </c>
      <c r="AC33" s="192" t="n">
        <v>29890</v>
      </c>
      <c r="AD33" s="192" t="n">
        <v>28685</v>
      </c>
      <c r="AE33" s="192" t="n">
        <v>30787</v>
      </c>
      <c r="AF33" s="192" t="n">
        <v>28842</v>
      </c>
      <c r="AG33" s="192" t="n">
        <v>28177</v>
      </c>
      <c r="AH33" s="192" t="n">
        <v>25983</v>
      </c>
      <c r="AI33" s="192" t="n">
        <v>27721</v>
      </c>
      <c r="AJ33" s="192" t="n">
        <v>23380</v>
      </c>
      <c r="AK33" s="192" t="n">
        <v>20014.5</v>
      </c>
      <c r="AL33" s="192" t="n">
        <v>19845.4</v>
      </c>
      <c r="AM33" s="192" t="n">
        <v>26740</v>
      </c>
      <c r="AN33" s="192" t="n">
        <v>14800</v>
      </c>
      <c r="AO33" s="192" t="n">
        <v>26500</v>
      </c>
      <c r="AP33" s="192" t="n">
        <v>12000</v>
      </c>
      <c r="AQ33" s="192" t="n">
        <v>12800</v>
      </c>
      <c r="AR33" s="192" t="n">
        <v>7000</v>
      </c>
      <c r="AS33" s="192" t="n">
        <v>3300</v>
      </c>
      <c r="AT33" s="182" t="n"/>
      <c r="AU33" s="176" t="n"/>
      <c r="AV33" s="176" t="n"/>
      <c r="AW33" s="176" t="n"/>
      <c r="AX33" s="176" t="n"/>
      <c r="AY33" s="176" t="n"/>
      <c r="AZ33" s="176" t="n"/>
      <c r="BA33" s="176" t="n"/>
      <c r="BB33" s="176" t="n"/>
      <c r="BC33" s="176" t="n"/>
      <c r="BD33" s="176" t="n"/>
      <c r="BE33" s="176" t="n"/>
      <c r="BF33" s="176" t="n"/>
      <c r="BG33" s="176" t="n"/>
      <c r="BH33" s="176" t="n"/>
      <c r="BI33" s="176" t="n"/>
      <c r="BJ33" s="176" t="n"/>
      <c r="BK33" s="176" t="n"/>
      <c r="BL33" s="176" t="n"/>
      <c r="BM33" s="176" t="n"/>
      <c r="BN33" s="176" t="n"/>
      <c r="BO33" s="176" t="n"/>
      <c r="BP33" s="176" t="n"/>
      <c r="BQ33" s="176" t="n"/>
      <c r="BR33" s="176" t="n"/>
    </row>
    <row r="34" ht="15" customHeight="1" s="392">
      <c r="A34" s="176" t="n"/>
      <c r="B34" s="180" t="n"/>
      <c r="C34" s="187" t="inlineStr">
        <is>
          <t xml:space="preserve">    Total Current Assets</t>
        </is>
      </c>
      <c r="D34" s="193">
        <f>IF(COUNT(M34:AS34)&gt;0,MEDIAN(M34:AS34),"")</f>
        <v/>
      </c>
      <c r="E34" s="193">
        <f>IF(COUNT(M34:AS34)&gt;0,AVERAGE(M34:AS34),"")</f>
        <v/>
      </c>
      <c r="F34" s="193">
        <f>IF(COUNT(M34:AS34)&gt;0,MIN(M34:AS34),"")</f>
        <v/>
      </c>
      <c r="G34" s="193">
        <f>IF(COUNT(M34:AS34)&gt;0,MAX(M34:AS34),"")</f>
        <v/>
      </c>
      <c r="H34" s="193">
        <f>IF(COUNT(M34:AS34)&gt;0,QUARTILE(M34:AS34,1),"")</f>
        <v/>
      </c>
      <c r="I34" s="193">
        <f>IF(COUNT(M34:AS34)&gt;0,QUARTILE(M34:AS34,3),"")</f>
        <v/>
      </c>
      <c r="J34" s="193">
        <f>IF(COUNT(M34:AS34)&gt;1,STDEV(M34:AS34),"")</f>
        <v/>
      </c>
      <c r="K34" s="194">
        <f>IF(COUNT(M34:AS34)&gt;1,STDEV(M34:AS34)/AVERAGE(M34:AS34),"")</f>
        <v/>
      </c>
      <c r="L34" s="195" t="n"/>
      <c r="M34" s="196" t="n">
        <v>5568194</v>
      </c>
      <c r="N34" s="196" t="n">
        <v>5754628</v>
      </c>
      <c r="O34" s="196" t="n">
        <v>4418184</v>
      </c>
      <c r="P34" s="196" t="n">
        <v>3262604</v>
      </c>
      <c r="Q34" s="196" t="n">
        <v>2202455</v>
      </c>
      <c r="R34" s="196" t="n">
        <v>1702611</v>
      </c>
      <c r="S34" s="196" t="n">
        <v>963759</v>
      </c>
      <c r="T34" s="196" t="n">
        <v>687167</v>
      </c>
      <c r="U34" s="196" t="n">
        <v>709116</v>
      </c>
      <c r="V34" s="196" t="n">
        <v>587261</v>
      </c>
      <c r="W34" s="196" t="n">
        <v>499306</v>
      </c>
      <c r="X34" s="196" t="n">
        <v>734582</v>
      </c>
      <c r="Y34" s="196" t="n">
        <v>412291</v>
      </c>
      <c r="Z34" s="196" t="n">
        <v>306452</v>
      </c>
      <c r="AA34" s="196" t="n">
        <v>321227</v>
      </c>
      <c r="AB34" s="196" t="n">
        <v>241868</v>
      </c>
      <c r="AC34" s="196" t="n">
        <v>437415</v>
      </c>
      <c r="AD34" s="196" t="n">
        <v>315933</v>
      </c>
      <c r="AE34" s="196" t="n">
        <v>212753</v>
      </c>
      <c r="AF34" s="196" t="n">
        <v>363708</v>
      </c>
      <c r="AG34" s="196" t="n">
        <v>411350</v>
      </c>
      <c r="AH34" s="196" t="n">
        <v>373807</v>
      </c>
      <c r="AI34" s="196" t="n">
        <v>293111</v>
      </c>
      <c r="AJ34" s="196" t="n">
        <v>225766</v>
      </c>
      <c r="AK34" s="196" t="n">
        <v>225992.4</v>
      </c>
      <c r="AL34" s="196" t="n">
        <v>107864.1</v>
      </c>
      <c r="AM34" s="196" t="n">
        <v>91414.5</v>
      </c>
      <c r="AN34" s="196" t="n">
        <v>89300</v>
      </c>
      <c r="AO34" s="196" t="n">
        <v>75000</v>
      </c>
      <c r="AP34" s="196" t="n">
        <v>71300</v>
      </c>
      <c r="AQ34" s="196" t="n">
        <v>57300</v>
      </c>
      <c r="AR34" s="196" t="n">
        <v>48000</v>
      </c>
      <c r="AS34" s="196" t="n">
        <v>28400</v>
      </c>
      <c r="AT34" s="182" t="n"/>
      <c r="AU34" s="176" t="n"/>
      <c r="AV34" s="176" t="n"/>
      <c r="AW34" s="176" t="n"/>
      <c r="AX34" s="176" t="n"/>
      <c r="AY34" s="176" t="n"/>
      <c r="AZ34" s="176" t="n"/>
      <c r="BA34" s="176" t="n"/>
      <c r="BB34" s="176" t="n"/>
      <c r="BC34" s="176" t="n"/>
      <c r="BD34" s="176" t="n"/>
      <c r="BE34" s="176" t="n"/>
      <c r="BF34" s="176" t="n"/>
      <c r="BG34" s="176" t="n"/>
      <c r="BH34" s="176" t="n"/>
      <c r="BI34" s="176" t="n"/>
      <c r="BJ34" s="176" t="n"/>
      <c r="BK34" s="176" t="n"/>
      <c r="BL34" s="176" t="n"/>
      <c r="BM34" s="176" t="n"/>
      <c r="BN34" s="176" t="n"/>
      <c r="BO34" s="176" t="n"/>
      <c r="BP34" s="176" t="n"/>
      <c r="BQ34" s="176" t="n"/>
      <c r="BR34" s="176" t="n"/>
    </row>
    <row r="35" ht="15" customHeight="1" s="392">
      <c r="A35" s="176" t="n"/>
      <c r="B35" s="180" t="n"/>
      <c r="C35" s="183" t="inlineStr">
        <is>
          <t xml:space="preserve">    Non-Current Assets</t>
        </is>
      </c>
      <c r="D35" s="185" t="n"/>
      <c r="E35" s="185" t="n"/>
      <c r="F35" s="185" t="n"/>
      <c r="G35" s="185" t="n"/>
      <c r="H35" s="185" t="n"/>
      <c r="I35" s="185" t="n"/>
      <c r="J35" s="185" t="n"/>
      <c r="K35" s="185" t="n"/>
      <c r="AT35" s="182" t="n"/>
      <c r="AU35" s="176" t="n"/>
      <c r="AV35" s="176" t="n"/>
      <c r="AW35" s="176" t="n"/>
      <c r="AX35" s="176" t="n"/>
      <c r="AY35" s="176" t="n"/>
      <c r="AZ35" s="176" t="n"/>
      <c r="BA35" s="176" t="n"/>
      <c r="BB35" s="176" t="n"/>
      <c r="BC35" s="176" t="n"/>
      <c r="BD35" s="176" t="n"/>
      <c r="BE35" s="176" t="n"/>
      <c r="BF35" s="176" t="n"/>
      <c r="BG35" s="176" t="n"/>
      <c r="BH35" s="176" t="n"/>
      <c r="BI35" s="176" t="n"/>
      <c r="BJ35" s="176" t="n"/>
      <c r="BK35" s="176" t="n"/>
      <c r="BL35" s="176" t="n"/>
      <c r="BM35" s="176" t="n"/>
      <c r="BN35" s="176" t="n"/>
      <c r="BO35" s="176" t="n"/>
      <c r="BP35" s="176" t="n"/>
      <c r="BQ35" s="176" t="n"/>
      <c r="BR35" s="176" t="n"/>
    </row>
    <row r="36" ht="15" customHeight="1" s="392">
      <c r="A36" s="176" t="n"/>
      <c r="B36" s="180" t="n"/>
      <c r="C36" s="183" t="inlineStr">
        <is>
          <t xml:space="preserve">        Net Property, Plant and Equipment</t>
        </is>
      </c>
      <c r="D36" s="185" t="n"/>
      <c r="E36" s="185" t="n"/>
      <c r="F36" s="185" t="n"/>
      <c r="G36" s="185" t="n"/>
      <c r="H36" s="185" t="n"/>
      <c r="I36" s="185" t="n"/>
      <c r="J36" s="185" t="n"/>
      <c r="K36" s="185" t="n"/>
      <c r="AT36" s="182" t="n"/>
      <c r="AU36" s="176" t="n"/>
      <c r="AV36" s="176" t="n"/>
      <c r="AW36" s="176" t="n"/>
      <c r="AX36" s="176" t="n"/>
      <c r="AY36" s="176" t="n"/>
      <c r="AZ36" s="176" t="n"/>
      <c r="BA36" s="176" t="n"/>
      <c r="BB36" s="176" t="n"/>
      <c r="BC36" s="176" t="n"/>
      <c r="BD36" s="176" t="n"/>
      <c r="BE36" s="176" t="n"/>
      <c r="BF36" s="176" t="n"/>
      <c r="BG36" s="176" t="n"/>
      <c r="BH36" s="176" t="n"/>
      <c r="BI36" s="176" t="n"/>
      <c r="BJ36" s="176" t="n"/>
      <c r="BK36" s="176" t="n"/>
      <c r="BL36" s="176" t="n"/>
      <c r="BM36" s="176" t="n"/>
      <c r="BN36" s="176" t="n"/>
      <c r="BO36" s="176" t="n"/>
      <c r="BP36" s="176" t="n"/>
      <c r="BQ36" s="176" t="n"/>
      <c r="BR36" s="176" t="n"/>
    </row>
    <row r="37" ht="15" customHeight="1" s="392">
      <c r="A37" s="176" t="n"/>
      <c r="B37" s="180" t="n"/>
      <c r="C37" s="183" t="inlineStr">
        <is>
          <t xml:space="preserve">            Gross Property, Plant and Equipment</t>
        </is>
      </c>
      <c r="D37" s="185" t="n"/>
      <c r="E37" s="185" t="n"/>
      <c r="F37" s="185" t="n"/>
      <c r="G37" s="185" t="n"/>
      <c r="H37" s="185" t="n"/>
      <c r="I37" s="185" t="n"/>
      <c r="J37" s="185" t="n"/>
      <c r="K37" s="185" t="n"/>
      <c r="AT37" s="182" t="n"/>
      <c r="AU37" s="176" t="n"/>
      <c r="AV37" s="176" t="n"/>
      <c r="AW37" s="176" t="n"/>
      <c r="AX37" s="176" t="n"/>
      <c r="AY37" s="176" t="n"/>
      <c r="AZ37" s="176" t="n"/>
      <c r="BA37" s="176" t="n"/>
      <c r="BB37" s="176" t="n"/>
      <c r="BC37" s="176" t="n"/>
      <c r="BD37" s="176" t="n"/>
      <c r="BE37" s="176" t="n"/>
      <c r="BF37" s="176" t="n"/>
      <c r="BG37" s="176" t="n"/>
      <c r="BH37" s="176" t="n"/>
      <c r="BI37" s="176" t="n"/>
      <c r="BJ37" s="176" t="n"/>
      <c r="BK37" s="176" t="n"/>
      <c r="BL37" s="176" t="n"/>
      <c r="BM37" s="176" t="n"/>
      <c r="BN37" s="176" t="n"/>
      <c r="BO37" s="176" t="n"/>
      <c r="BP37" s="176" t="n"/>
      <c r="BQ37" s="176" t="n"/>
      <c r="BR37" s="176" t="n"/>
    </row>
    <row r="38" ht="15" customHeight="1" s="392">
      <c r="A38" s="176" t="n"/>
      <c r="B38" s="180" t="n"/>
      <c r="C38" s="183" t="inlineStr">
        <is>
          <t xml:space="preserve">                Properties</t>
        </is>
      </c>
      <c r="D38" s="185" t="n"/>
      <c r="E38" s="185" t="n"/>
      <c r="F38" s="185" t="n"/>
      <c r="G38" s="185" t="n"/>
      <c r="H38" s="185" t="n"/>
      <c r="I38" s="185" t="n"/>
      <c r="J38" s="185" t="n"/>
      <c r="K38" s="185" t="n"/>
      <c r="AT38" s="182" t="n"/>
      <c r="AU38" s="176" t="n"/>
      <c r="AV38" s="176" t="n"/>
      <c r="AW38" s="176" t="n"/>
      <c r="AX38" s="176" t="n"/>
      <c r="AY38" s="176" t="n"/>
      <c r="AZ38" s="176" t="n"/>
      <c r="BA38" s="176" t="n"/>
      <c r="BB38" s="176" t="n"/>
      <c r="BC38" s="176" t="n"/>
      <c r="BD38" s="176" t="n"/>
      <c r="BE38" s="176" t="n"/>
      <c r="BF38" s="176" t="n"/>
      <c r="BG38" s="176" t="n"/>
      <c r="BH38" s="176" t="n"/>
      <c r="BI38" s="176" t="n"/>
      <c r="BJ38" s="176" t="n"/>
      <c r="BK38" s="176" t="n"/>
      <c r="BL38" s="176" t="n"/>
      <c r="BM38" s="176" t="n"/>
      <c r="BN38" s="176" t="n"/>
      <c r="BO38" s="176" t="n"/>
      <c r="BP38" s="176" t="n"/>
      <c r="BQ38" s="176" t="n"/>
      <c r="BR38" s="176" t="n"/>
    </row>
    <row r="39" ht="15" customHeight="1" s="392">
      <c r="A39" s="176" t="n"/>
      <c r="B39" s="180" t="n"/>
      <c r="C39" s="183" t="inlineStr">
        <is>
          <t xml:space="preserve">                    Land and Improvements</t>
        </is>
      </c>
      <c r="D39" s="190">
        <f>IF(COUNT(M39:AS39)&gt;0,MEDIAN(M39:AS39),"")</f>
        <v/>
      </c>
      <c r="E39" s="190">
        <f>IF(COUNT(M39:AS39)&gt;0,AVERAGE(M39:AS39),"")</f>
        <v/>
      </c>
      <c r="F39" s="190">
        <f>IF(COUNT(M39:AS39)&gt;0,MIN(M39:AS39),"")</f>
        <v/>
      </c>
      <c r="G39" s="190">
        <f>IF(COUNT(M39:AS39)&gt;0,MAX(M39:AS39),"")</f>
        <v/>
      </c>
      <c r="H39" s="190">
        <f>IF(COUNT(M39:AS39)&gt;0,QUARTILE(M39:AS39,1),"")</f>
        <v/>
      </c>
      <c r="I39" s="190">
        <f>IF(COUNT(M39:AS39)&gt;0,QUARTILE(M39:AS39,3),"")</f>
        <v/>
      </c>
      <c r="J39" s="190">
        <f>IF(COUNT(M39:AS39)&gt;1,STDEV(M39:AS39),"")</f>
        <v/>
      </c>
      <c r="K39" s="191">
        <f>IF(COUNT(M39:AS39)&gt;1,STDEV(M39:AS39)/AVERAGE(M39:AS39),"")</f>
        <v/>
      </c>
      <c r="M39" s="192" t="n"/>
      <c r="N39" s="192" t="n">
        <v>2394553</v>
      </c>
      <c r="O39" s="192" t="n">
        <v>2027639</v>
      </c>
      <c r="P39" s="192" t="n">
        <v>1812001</v>
      </c>
      <c r="Q39" s="192" t="n">
        <v>1526446</v>
      </c>
      <c r="R39" s="192" t="n">
        <v>1428262</v>
      </c>
      <c r="S39" s="192" t="n">
        <v>1235315</v>
      </c>
      <c r="T39" s="192" t="n">
        <v>939817</v>
      </c>
      <c r="U39" s="192" t="n">
        <v>762524</v>
      </c>
      <c r="V39" s="192" t="n">
        <v>629826</v>
      </c>
      <c r="W39" s="192" t="n">
        <v>556780</v>
      </c>
      <c r="X39" s="192" t="n">
        <v>481748</v>
      </c>
      <c r="Y39" s="192" t="n">
        <v>475564</v>
      </c>
      <c r="Z39" s="192" t="n">
        <v>443126</v>
      </c>
      <c r="AA39" s="192" t="n">
        <v>350463</v>
      </c>
      <c r="AB39" s="192" t="n">
        <v>343170</v>
      </c>
      <c r="AC39" s="192" t="n">
        <v>306251</v>
      </c>
      <c r="AD39" s="192" t="n">
        <v>285282</v>
      </c>
      <c r="AE39" s="192" t="n">
        <v>261320</v>
      </c>
      <c r="AF39" s="192" t="n">
        <v>218144</v>
      </c>
      <c r="AG39" s="192" t="n">
        <v>155323</v>
      </c>
      <c r="AH39" s="192" t="n">
        <v>125168</v>
      </c>
      <c r="AI39" s="192" t="n">
        <v>105153</v>
      </c>
      <c r="AJ39" s="192" t="n">
        <v>85076</v>
      </c>
      <c r="AK39" s="192" t="n">
        <v>77967.7</v>
      </c>
      <c r="AL39" s="192" t="n">
        <v>115202</v>
      </c>
      <c r="AM39" s="192" t="n"/>
      <c r="AN39" s="192" t="n"/>
      <c r="AO39" s="192" t="n"/>
      <c r="AP39" s="192" t="n"/>
      <c r="AQ39" s="192" t="n"/>
      <c r="AR39" s="192" t="n"/>
      <c r="AS39" s="192" t="n"/>
      <c r="AT39" s="182" t="n"/>
      <c r="AU39" s="176" t="n"/>
      <c r="AV39" s="176" t="n"/>
      <c r="AW39" s="176" t="n"/>
      <c r="AX39" s="176" t="n"/>
      <c r="AY39" s="176" t="n"/>
      <c r="AZ39" s="176" t="n"/>
      <c r="BA39" s="176" t="n"/>
      <c r="BB39" s="176" t="n"/>
      <c r="BC39" s="176" t="n"/>
      <c r="BD39" s="176" t="n"/>
      <c r="BE39" s="176" t="n"/>
      <c r="BF39" s="176" t="n"/>
      <c r="BG39" s="176" t="n"/>
      <c r="BH39" s="176" t="n"/>
      <c r="BI39" s="176" t="n"/>
      <c r="BJ39" s="176" t="n"/>
      <c r="BK39" s="176" t="n"/>
      <c r="BL39" s="176" t="n"/>
      <c r="BM39" s="176" t="n"/>
      <c r="BN39" s="176" t="n"/>
      <c r="BO39" s="176" t="n"/>
      <c r="BP39" s="176" t="n"/>
      <c r="BQ39" s="176" t="n"/>
      <c r="BR39" s="176" t="n"/>
    </row>
    <row r="40" ht="15" customHeight="1" s="392">
      <c r="A40" s="176" t="n"/>
      <c r="B40" s="180" t="n"/>
      <c r="C40" s="183" t="inlineStr">
        <is>
          <t xml:space="preserve">                    Buildings and Improvements</t>
        </is>
      </c>
      <c r="D40" s="190">
        <f>IF(COUNT(M40:AS40)&gt;0,MEDIAN(M40:AS40),"")</f>
        <v/>
      </c>
      <c r="E40" s="190">
        <f>IF(COUNT(M40:AS40)&gt;0,AVERAGE(M40:AS40),"")</f>
        <v/>
      </c>
      <c r="F40" s="190">
        <f>IF(COUNT(M40:AS40)&gt;0,MIN(M40:AS40),"")</f>
        <v/>
      </c>
      <c r="G40" s="190">
        <f>IF(COUNT(M40:AS40)&gt;0,MAX(M40:AS40),"")</f>
        <v/>
      </c>
      <c r="H40" s="190">
        <f>IF(COUNT(M40:AS40)&gt;0,QUARTILE(M40:AS40,1),"")</f>
        <v/>
      </c>
      <c r="I40" s="190">
        <f>IF(COUNT(M40:AS40)&gt;0,QUARTILE(M40:AS40,3),"")</f>
        <v/>
      </c>
      <c r="J40" s="190">
        <f>IF(COUNT(M40:AS40)&gt;1,STDEV(M40:AS40),"")</f>
        <v/>
      </c>
      <c r="K40" s="191">
        <f>IF(COUNT(M40:AS40)&gt;1,STDEV(M40:AS40)/AVERAGE(M40:AS40),"")</f>
        <v/>
      </c>
      <c r="M40" s="192" t="n"/>
      <c r="N40" s="192" t="n">
        <v>1684171</v>
      </c>
      <c r="O40" s="192" t="n">
        <v>1482891</v>
      </c>
      <c r="P40" s="192" t="n">
        <v>1339820</v>
      </c>
      <c r="Q40" s="192" t="n">
        <v>1209331</v>
      </c>
      <c r="R40" s="192" t="n">
        <v>1126414</v>
      </c>
      <c r="S40" s="192" t="n">
        <v>932976</v>
      </c>
      <c r="T40" s="192" t="n">
        <v>686615</v>
      </c>
      <c r="U40" s="192" t="n">
        <v>610964</v>
      </c>
      <c r="V40" s="192" t="n">
        <v>555525</v>
      </c>
      <c r="W40" s="192" t="n">
        <v>489566</v>
      </c>
      <c r="X40" s="192" t="n">
        <v>453965</v>
      </c>
      <c r="Y40" s="192" t="n">
        <v>429895</v>
      </c>
      <c r="Z40" s="192" t="n">
        <v>414284</v>
      </c>
      <c r="AA40" s="192" t="n">
        <v>400302</v>
      </c>
      <c r="AB40" s="192" t="n">
        <v>384366</v>
      </c>
      <c r="AC40" s="192" t="n">
        <v>399350</v>
      </c>
      <c r="AD40" s="192" t="n">
        <v>362262</v>
      </c>
      <c r="AE40" s="192" t="n">
        <v>333154</v>
      </c>
      <c r="AF40" s="192" t="n">
        <v>296860</v>
      </c>
      <c r="AG40" s="192" t="n">
        <v>263707</v>
      </c>
      <c r="AH40" s="192" t="n">
        <v>233407</v>
      </c>
      <c r="AI40" s="192" t="n">
        <v>196231</v>
      </c>
      <c r="AJ40" s="192" t="n">
        <v>179223</v>
      </c>
      <c r="AK40" s="192" t="n">
        <v>124238.4</v>
      </c>
      <c r="AL40" s="192" t="n"/>
      <c r="AM40" s="192" t="n"/>
      <c r="AN40" s="192" t="n"/>
      <c r="AO40" s="192" t="n"/>
      <c r="AP40" s="192" t="n"/>
      <c r="AQ40" s="192" t="n"/>
      <c r="AR40" s="192" t="n"/>
      <c r="AS40" s="192" t="n"/>
      <c r="AT40" s="182" t="n"/>
      <c r="AU40" s="176" t="n"/>
      <c r="AV40" s="176" t="n"/>
      <c r="AW40" s="176" t="n"/>
      <c r="AX40" s="176" t="n"/>
      <c r="AY40" s="176" t="n"/>
      <c r="AZ40" s="176" t="n"/>
      <c r="BA40" s="176" t="n"/>
      <c r="BB40" s="176" t="n"/>
      <c r="BC40" s="176" t="n"/>
      <c r="BD40" s="176" t="n"/>
      <c r="BE40" s="176" t="n"/>
      <c r="BF40" s="176" t="n"/>
      <c r="BG40" s="176" t="n"/>
      <c r="BH40" s="176" t="n"/>
      <c r="BI40" s="176" t="n"/>
      <c r="BJ40" s="176" t="n"/>
      <c r="BK40" s="176" t="n"/>
      <c r="BL40" s="176" t="n"/>
      <c r="BM40" s="176" t="n"/>
      <c r="BN40" s="176" t="n"/>
      <c r="BO40" s="176" t="n"/>
      <c r="BP40" s="176" t="n"/>
      <c r="BQ40" s="176" t="n"/>
      <c r="BR40" s="176" t="n"/>
    </row>
    <row r="41" ht="15" customHeight="1" s="392">
      <c r="A41" s="176" t="n"/>
      <c r="B41" s="180" t="n"/>
      <c r="C41" s="187" t="inlineStr">
        <is>
          <t xml:space="preserve">                Total Properties</t>
        </is>
      </c>
      <c r="D41" s="193">
        <f>IF(COUNT(M41:AS41)&gt;0,MEDIAN(M41:AS41),"")</f>
        <v/>
      </c>
      <c r="E41" s="193">
        <f>IF(COUNT(M41:AS41)&gt;0,AVERAGE(M41:AS41),"")</f>
        <v/>
      </c>
      <c r="F41" s="193">
        <f>IF(COUNT(M41:AS41)&gt;0,MIN(M41:AS41),"")</f>
        <v/>
      </c>
      <c r="G41" s="193">
        <f>IF(COUNT(M41:AS41)&gt;0,MAX(M41:AS41),"")</f>
        <v/>
      </c>
      <c r="H41" s="193">
        <f>IF(COUNT(M41:AS41)&gt;0,QUARTILE(M41:AS41,1),"")</f>
        <v/>
      </c>
      <c r="I41" s="193">
        <f>IF(COUNT(M41:AS41)&gt;0,QUARTILE(M41:AS41,3),"")</f>
        <v/>
      </c>
      <c r="J41" s="193">
        <f>IF(COUNT(M41:AS41)&gt;1,STDEV(M41:AS41),"")</f>
        <v/>
      </c>
      <c r="K41" s="194">
        <f>IF(COUNT(M41:AS41)&gt;1,STDEV(M41:AS41)/AVERAGE(M41:AS41),"")</f>
        <v/>
      </c>
      <c r="L41" s="195" t="n"/>
      <c r="M41" s="196" t="n"/>
      <c r="N41" s="196" t="n">
        <v>4078724</v>
      </c>
      <c r="O41" s="196" t="n">
        <v>3510530</v>
      </c>
      <c r="P41" s="196" t="n">
        <v>3151821</v>
      </c>
      <c r="Q41" s="196" t="n">
        <v>2735777</v>
      </c>
      <c r="R41" s="196" t="n">
        <v>2554676</v>
      </c>
      <c r="S41" s="196" t="n">
        <v>2168291</v>
      </c>
      <c r="T41" s="196" t="n">
        <v>1626432</v>
      </c>
      <c r="U41" s="196" t="n">
        <v>1373488</v>
      </c>
      <c r="V41" s="196" t="n">
        <v>1185351</v>
      </c>
      <c r="W41" s="196" t="n">
        <v>1046346</v>
      </c>
      <c r="X41" s="196" t="n">
        <v>935713</v>
      </c>
      <c r="Y41" s="196" t="n">
        <v>905459</v>
      </c>
      <c r="Z41" s="196" t="n">
        <v>857410</v>
      </c>
      <c r="AA41" s="196" t="n">
        <v>750765</v>
      </c>
      <c r="AB41" s="196" t="n">
        <v>727536</v>
      </c>
      <c r="AC41" s="196" t="n">
        <v>705601</v>
      </c>
      <c r="AD41" s="196" t="n">
        <v>647544</v>
      </c>
      <c r="AE41" s="196" t="n">
        <v>594474</v>
      </c>
      <c r="AF41" s="196" t="n">
        <v>515004</v>
      </c>
      <c r="AG41" s="196" t="n">
        <v>419030</v>
      </c>
      <c r="AH41" s="196" t="n">
        <v>358575</v>
      </c>
      <c r="AI41" s="196" t="n">
        <v>301384</v>
      </c>
      <c r="AJ41" s="196" t="n">
        <v>264299</v>
      </c>
      <c r="AK41" s="196" t="n">
        <v>202206.1</v>
      </c>
      <c r="AL41" s="196" t="n">
        <v>115202</v>
      </c>
      <c r="AM41" s="196" t="n"/>
      <c r="AN41" s="196" t="n"/>
      <c r="AO41" s="196" t="n"/>
      <c r="AP41" s="196" t="n"/>
      <c r="AQ41" s="196" t="n"/>
      <c r="AR41" s="196" t="n"/>
      <c r="AS41" s="196" t="n"/>
      <c r="AT41" s="182" t="n"/>
      <c r="AU41" s="176" t="n"/>
      <c r="AV41" s="176" t="n"/>
      <c r="AW41" s="176" t="n"/>
      <c r="AX41" s="176" t="n"/>
      <c r="AY41" s="176" t="n"/>
      <c r="AZ41" s="176" t="n"/>
      <c r="BA41" s="176" t="n"/>
      <c r="BB41" s="176" t="n"/>
      <c r="BC41" s="176" t="n"/>
      <c r="BD41" s="176" t="n"/>
      <c r="BE41" s="176" t="n"/>
      <c r="BF41" s="176" t="n"/>
      <c r="BG41" s="176" t="n"/>
      <c r="BH41" s="176" t="n"/>
      <c r="BI41" s="176" t="n"/>
      <c r="BJ41" s="176" t="n"/>
      <c r="BK41" s="176" t="n"/>
      <c r="BL41" s="176" t="n"/>
      <c r="BM41" s="176" t="n"/>
      <c r="BN41" s="176" t="n"/>
      <c r="BO41" s="176" t="n"/>
      <c r="BP41" s="176" t="n"/>
      <c r="BQ41" s="176" t="n"/>
      <c r="BR41" s="176" t="n"/>
    </row>
    <row r="42" ht="15" customHeight="1" s="392">
      <c r="A42" s="176" t="n"/>
      <c r="B42" s="180" t="n"/>
      <c r="C42" s="183" t="inlineStr">
        <is>
          <t xml:space="preserve">                Machinery, Furniture and Equipment</t>
        </is>
      </c>
      <c r="D42" s="185" t="n"/>
      <c r="E42" s="185" t="n"/>
      <c r="F42" s="185" t="n"/>
      <c r="G42" s="185" t="n"/>
      <c r="H42" s="185" t="n"/>
      <c r="I42" s="185" t="n"/>
      <c r="J42" s="185" t="n"/>
      <c r="K42" s="185" t="n"/>
      <c r="AT42" s="182" t="n"/>
      <c r="AU42" s="176" t="n"/>
      <c r="AV42" s="176" t="n"/>
      <c r="AW42" s="176" t="n"/>
      <c r="AX42" s="176" t="n"/>
      <c r="AY42" s="176" t="n"/>
      <c r="AZ42" s="176" t="n"/>
      <c r="BA42" s="176" t="n"/>
      <c r="BB42" s="176" t="n"/>
      <c r="BC42" s="176" t="n"/>
      <c r="BD42" s="176" t="n"/>
      <c r="BE42" s="176" t="n"/>
      <c r="BF42" s="176" t="n"/>
      <c r="BG42" s="176" t="n"/>
      <c r="BH42" s="176" t="n"/>
      <c r="BI42" s="176" t="n"/>
      <c r="BJ42" s="176" t="n"/>
      <c r="BK42" s="176" t="n"/>
      <c r="BL42" s="176" t="n"/>
      <c r="BM42" s="176" t="n"/>
      <c r="BN42" s="176" t="n"/>
      <c r="BO42" s="176" t="n"/>
      <c r="BP42" s="176" t="n"/>
      <c r="BQ42" s="176" t="n"/>
      <c r="BR42" s="176" t="n"/>
    </row>
    <row r="43" ht="15" customHeight="1" s="392">
      <c r="A43" s="176" t="n"/>
      <c r="B43" s="180" t="n"/>
      <c r="C43" s="183" t="inlineStr">
        <is>
          <t xml:space="preserve">                    Furniture, Fixtures and Office Equipment</t>
        </is>
      </c>
      <c r="D43" s="190">
        <f>IF(COUNT(M43:AS43)&gt;0,MEDIAN(M43:AS43),"")</f>
        <v/>
      </c>
      <c r="E43" s="190">
        <f>IF(COUNT(M43:AS43)&gt;0,AVERAGE(M43:AS43),"")</f>
        <v/>
      </c>
      <c r="F43" s="190">
        <f>IF(COUNT(M43:AS43)&gt;0,MIN(M43:AS43),"")</f>
        <v/>
      </c>
      <c r="G43" s="190">
        <f>IF(COUNT(M43:AS43)&gt;0,MAX(M43:AS43),"")</f>
        <v/>
      </c>
      <c r="H43" s="190">
        <f>IF(COUNT(M43:AS43)&gt;0,QUARTILE(M43:AS43,1),"")</f>
        <v/>
      </c>
      <c r="I43" s="190">
        <f>IF(COUNT(M43:AS43)&gt;0,QUARTILE(M43:AS43,3),"")</f>
        <v/>
      </c>
      <c r="J43" s="190">
        <f>IF(COUNT(M43:AS43)&gt;1,STDEV(M43:AS43),"")</f>
        <v/>
      </c>
      <c r="K43" s="191">
        <f>IF(COUNT(M43:AS43)&gt;1,STDEV(M43:AS43)/AVERAGE(M43:AS43),"")</f>
        <v/>
      </c>
      <c r="M43" s="192" t="n"/>
      <c r="N43" s="192" t="n">
        <v>220925</v>
      </c>
      <c r="O43" s="192" t="n">
        <v>202577</v>
      </c>
      <c r="P43" s="192" t="n">
        <v>180606</v>
      </c>
      <c r="Q43" s="192" t="n">
        <v>162944</v>
      </c>
      <c r="R43" s="192" t="n">
        <v>146098</v>
      </c>
      <c r="S43" s="192" t="n">
        <v>123547</v>
      </c>
      <c r="T43" s="192" t="n">
        <v>102634</v>
      </c>
      <c r="U43" s="192" t="n">
        <v>89157</v>
      </c>
      <c r="V43" s="192" t="n">
        <v>90279</v>
      </c>
      <c r="W43" s="192" t="n">
        <v>100899</v>
      </c>
      <c r="X43" s="192" t="n">
        <v>109909</v>
      </c>
      <c r="Y43" s="192" t="n">
        <v>103202</v>
      </c>
      <c r="Z43" s="192" t="n">
        <v>134197</v>
      </c>
      <c r="AA43" s="192" t="n">
        <v>107762</v>
      </c>
      <c r="AB43" s="192" t="n"/>
      <c r="AC43" s="192" t="n"/>
      <c r="AD43" s="192" t="n"/>
      <c r="AE43" s="192" t="n"/>
      <c r="AF43" s="192" t="n"/>
      <c r="AG43" s="192" t="n"/>
      <c r="AH43" s="192" t="n"/>
      <c r="AI43" s="192" t="n"/>
      <c r="AJ43" s="192" t="n"/>
      <c r="AK43" s="192" t="n"/>
      <c r="AL43" s="192" t="n"/>
      <c r="AM43" s="192" t="n"/>
      <c r="AN43" s="192" t="n"/>
      <c r="AO43" s="192" t="n"/>
      <c r="AP43" s="192" t="n"/>
      <c r="AQ43" s="192" t="n"/>
      <c r="AR43" s="192" t="n"/>
      <c r="AS43" s="192" t="n"/>
      <c r="AT43" s="182" t="n"/>
      <c r="AU43" s="176" t="n"/>
      <c r="AV43" s="176" t="n"/>
      <c r="AW43" s="176" t="n"/>
      <c r="AX43" s="176" t="n"/>
      <c r="AY43" s="176" t="n"/>
      <c r="AZ43" s="176" t="n"/>
      <c r="BA43" s="176" t="n"/>
      <c r="BB43" s="176" t="n"/>
      <c r="BC43" s="176" t="n"/>
      <c r="BD43" s="176" t="n"/>
      <c r="BE43" s="176" t="n"/>
      <c r="BF43" s="176" t="n"/>
      <c r="BG43" s="176" t="n"/>
      <c r="BH43" s="176" t="n"/>
      <c r="BI43" s="176" t="n"/>
      <c r="BJ43" s="176" t="n"/>
      <c r="BK43" s="176" t="n"/>
      <c r="BL43" s="176" t="n"/>
      <c r="BM43" s="176" t="n"/>
      <c r="BN43" s="176" t="n"/>
      <c r="BO43" s="176" t="n"/>
      <c r="BP43" s="176" t="n"/>
      <c r="BQ43" s="176" t="n"/>
      <c r="BR43" s="176" t="n"/>
    </row>
    <row r="44" ht="15" customHeight="1" s="392">
      <c r="A44" s="176" t="n"/>
      <c r="B44" s="180" t="n"/>
      <c r="C44" s="183" t="inlineStr">
        <is>
          <t xml:space="preserve">                    Flight, Fleet, Vehicle and Related Equipment</t>
        </is>
      </c>
      <c r="D44" s="190">
        <f>IF(COUNT(M44:AS44)&gt;0,MEDIAN(M44:AS44),"")</f>
        <v/>
      </c>
      <c r="E44" s="190">
        <f>IF(COUNT(M44:AS44)&gt;0,AVERAGE(M44:AS44),"")</f>
        <v/>
      </c>
      <c r="F44" s="190">
        <f>IF(COUNT(M44:AS44)&gt;0,MIN(M44:AS44),"")</f>
        <v/>
      </c>
      <c r="G44" s="190">
        <f>IF(COUNT(M44:AS44)&gt;0,MAX(M44:AS44),"")</f>
        <v/>
      </c>
      <c r="H44" s="190">
        <f>IF(COUNT(M44:AS44)&gt;0,QUARTILE(M44:AS44,1),"")</f>
        <v/>
      </c>
      <c r="I44" s="190">
        <f>IF(COUNT(M44:AS44)&gt;0,QUARTILE(M44:AS44,3),"")</f>
        <v/>
      </c>
      <c r="J44" s="190">
        <f>IF(COUNT(M44:AS44)&gt;1,STDEV(M44:AS44),"")</f>
        <v/>
      </c>
      <c r="K44" s="191">
        <f>IF(COUNT(M44:AS44)&gt;1,STDEV(M44:AS44)/AVERAGE(M44:AS44),"")</f>
        <v/>
      </c>
      <c r="M44" s="192" t="n"/>
      <c r="N44" s="192" t="n">
        <v>580029</v>
      </c>
      <c r="O44" s="192" t="n">
        <v>604977</v>
      </c>
      <c r="P44" s="192" t="n">
        <v>490136</v>
      </c>
      <c r="Q44" s="192" t="n">
        <v>429405</v>
      </c>
      <c r="R44" s="192" t="n">
        <v>326622</v>
      </c>
      <c r="S44" s="192" t="n">
        <v>274422</v>
      </c>
      <c r="T44" s="192" t="n">
        <v>236282</v>
      </c>
      <c r="U44" s="192" t="n">
        <v>190900</v>
      </c>
      <c r="V44" s="192" t="n">
        <v>120420</v>
      </c>
      <c r="W44" s="192" t="n">
        <v>85083</v>
      </c>
      <c r="X44" s="192" t="n">
        <v>70133</v>
      </c>
      <c r="Y44" s="192" t="n">
        <v>68956</v>
      </c>
      <c r="Z44" s="192" t="n">
        <v>58016</v>
      </c>
      <c r="AA44" s="192" t="n">
        <v>52066</v>
      </c>
      <c r="AB44" s="192" t="n"/>
      <c r="AC44" s="192" t="n"/>
      <c r="AD44" s="192" t="n"/>
      <c r="AE44" s="192" t="n"/>
      <c r="AF44" s="192" t="n"/>
      <c r="AG44" s="192" t="n"/>
      <c r="AH44" s="192" t="n"/>
      <c r="AI44" s="192" t="n"/>
      <c r="AJ44" s="192" t="n"/>
      <c r="AK44" s="192" t="n"/>
      <c r="AL44" s="192" t="n"/>
      <c r="AM44" s="192" t="n"/>
      <c r="AN44" s="192" t="n"/>
      <c r="AO44" s="192" t="n"/>
      <c r="AP44" s="192" t="n"/>
      <c r="AQ44" s="192" t="n"/>
      <c r="AR44" s="192" t="n"/>
      <c r="AS44" s="192" t="n"/>
      <c r="AT44" s="182" t="n"/>
      <c r="AU44" s="176" t="n"/>
      <c r="AV44" s="176" t="n"/>
      <c r="AW44" s="176" t="n"/>
      <c r="AX44" s="176" t="n"/>
      <c r="AY44" s="176" t="n"/>
      <c r="AZ44" s="176" t="n"/>
      <c r="BA44" s="176" t="n"/>
      <c r="BB44" s="176" t="n"/>
      <c r="BC44" s="176" t="n"/>
      <c r="BD44" s="176" t="n"/>
      <c r="BE44" s="176" t="n"/>
      <c r="BF44" s="176" t="n"/>
      <c r="BG44" s="176" t="n"/>
      <c r="BH44" s="176" t="n"/>
      <c r="BI44" s="176" t="n"/>
      <c r="BJ44" s="176" t="n"/>
      <c r="BK44" s="176" t="n"/>
      <c r="BL44" s="176" t="n"/>
      <c r="BM44" s="176" t="n"/>
      <c r="BN44" s="176" t="n"/>
      <c r="BO44" s="176" t="n"/>
      <c r="BP44" s="176" t="n"/>
      <c r="BQ44" s="176" t="n"/>
      <c r="BR44" s="176" t="n"/>
    </row>
    <row r="45" ht="15" customHeight="1" s="392">
      <c r="A45" s="176" t="n"/>
      <c r="B45" s="180" t="n"/>
      <c r="C45" s="187" t="inlineStr">
        <is>
          <t xml:space="preserve">                Total Machinery, Furniture and Equipment</t>
        </is>
      </c>
      <c r="D45" s="193">
        <f>IF(COUNT(M45:AS45)&gt;0,MEDIAN(M45:AS45),"")</f>
        <v/>
      </c>
      <c r="E45" s="193">
        <f>IF(COUNT(M45:AS45)&gt;0,AVERAGE(M45:AS45),"")</f>
        <v/>
      </c>
      <c r="F45" s="193">
        <f>IF(COUNT(M45:AS45)&gt;0,MIN(M45:AS45),"")</f>
        <v/>
      </c>
      <c r="G45" s="193">
        <f>IF(COUNT(M45:AS45)&gt;0,MAX(M45:AS45),"")</f>
        <v/>
      </c>
      <c r="H45" s="193">
        <f>IF(COUNT(M45:AS45)&gt;0,QUARTILE(M45:AS45,1),"")</f>
        <v/>
      </c>
      <c r="I45" s="193">
        <f>IF(COUNT(M45:AS45)&gt;0,QUARTILE(M45:AS45,3),"")</f>
        <v/>
      </c>
      <c r="J45" s="193">
        <f>IF(COUNT(M45:AS45)&gt;1,STDEV(M45:AS45),"")</f>
        <v/>
      </c>
      <c r="K45" s="194">
        <f>IF(COUNT(M45:AS45)&gt;1,STDEV(M45:AS45)/AVERAGE(M45:AS45),"")</f>
        <v/>
      </c>
      <c r="L45" s="195" t="n"/>
      <c r="M45" s="196" t="n"/>
      <c r="N45" s="196" t="n">
        <v>800954</v>
      </c>
      <c r="O45" s="196" t="n">
        <v>807554</v>
      </c>
      <c r="P45" s="196" t="n">
        <v>670742</v>
      </c>
      <c r="Q45" s="196" t="n">
        <v>592349</v>
      </c>
      <c r="R45" s="196" t="n">
        <v>472720</v>
      </c>
      <c r="S45" s="196" t="n">
        <v>397969</v>
      </c>
      <c r="T45" s="196" t="n">
        <v>338916</v>
      </c>
      <c r="U45" s="196" t="n">
        <v>280057</v>
      </c>
      <c r="V45" s="196" t="n">
        <v>210699</v>
      </c>
      <c r="W45" s="196" t="n">
        <v>185982</v>
      </c>
      <c r="X45" s="196" t="n">
        <v>180042</v>
      </c>
      <c r="Y45" s="196" t="n">
        <v>172158</v>
      </c>
      <c r="Z45" s="196" t="n">
        <v>192213</v>
      </c>
      <c r="AA45" s="196" t="n">
        <v>159828</v>
      </c>
      <c r="AB45" s="196" t="n">
        <v>165181</v>
      </c>
      <c r="AC45" s="196" t="n">
        <v>127467</v>
      </c>
      <c r="AD45" s="196" t="n">
        <v>111092</v>
      </c>
      <c r="AE45" s="196" t="n">
        <v>109618</v>
      </c>
      <c r="AF45" s="196" t="n">
        <v>68381</v>
      </c>
      <c r="AG45" s="196" t="n">
        <v>55793</v>
      </c>
      <c r="AH45" s="196" t="n">
        <v>54579</v>
      </c>
      <c r="AI45" s="196" t="n">
        <v>50735</v>
      </c>
      <c r="AJ45" s="196" t="n">
        <v>49687</v>
      </c>
      <c r="AK45" s="196" t="n">
        <v>43336.9</v>
      </c>
      <c r="AL45" s="196" t="n">
        <v>33994.6</v>
      </c>
      <c r="AM45" s="196" t="n"/>
      <c r="AN45" s="196" t="n"/>
      <c r="AO45" s="196" t="n"/>
      <c r="AP45" s="196" t="n"/>
      <c r="AQ45" s="196" t="n"/>
      <c r="AR45" s="196" t="n"/>
      <c r="AS45" s="196" t="n"/>
      <c r="AT45" s="182" t="n"/>
      <c r="AU45" s="176" t="n"/>
      <c r="AV45" s="176" t="n"/>
      <c r="AW45" s="176" t="n"/>
      <c r="AX45" s="176" t="n"/>
      <c r="AY45" s="176" t="n"/>
      <c r="AZ45" s="176" t="n"/>
      <c r="BA45" s="176" t="n"/>
      <c r="BB45" s="176" t="n"/>
      <c r="BC45" s="176" t="n"/>
      <c r="BD45" s="176" t="n"/>
      <c r="BE45" s="176" t="n"/>
      <c r="BF45" s="176" t="n"/>
      <c r="BG45" s="176" t="n"/>
      <c r="BH45" s="176" t="n"/>
      <c r="BI45" s="176" t="n"/>
      <c r="BJ45" s="176" t="n"/>
      <c r="BK45" s="176" t="n"/>
      <c r="BL45" s="176" t="n"/>
      <c r="BM45" s="176" t="n"/>
      <c r="BN45" s="176" t="n"/>
      <c r="BO45" s="176" t="n"/>
      <c r="BP45" s="176" t="n"/>
      <c r="BQ45" s="176" t="n"/>
      <c r="BR45" s="176" t="n"/>
    </row>
    <row r="46" ht="15" customHeight="1" s="392">
      <c r="A46" s="176" t="n"/>
      <c r="B46" s="180" t="n"/>
      <c r="C46" s="183" t="inlineStr">
        <is>
          <t xml:space="preserve">                Leased Property, Plant and Equipment</t>
        </is>
      </c>
      <c r="D46" s="190">
        <f>IF(COUNT(M46:AS46)&gt;0,MEDIAN(M46:AS46),"")</f>
        <v/>
      </c>
      <c r="E46" s="190">
        <f>IF(COUNT(M46:AS46)&gt;0,AVERAGE(M46:AS46),"")</f>
        <v/>
      </c>
      <c r="F46" s="190">
        <f>IF(COUNT(M46:AS46)&gt;0,MIN(M46:AS46),"")</f>
        <v/>
      </c>
      <c r="G46" s="190">
        <f>IF(COUNT(M46:AS46)&gt;0,MAX(M46:AS46),"")</f>
        <v/>
      </c>
      <c r="H46" s="190">
        <f>IF(COUNT(M46:AS46)&gt;0,QUARTILE(M46:AS46,1),"")</f>
        <v/>
      </c>
      <c r="I46" s="190">
        <f>IF(COUNT(M46:AS46)&gt;0,QUARTILE(M46:AS46,3),"")</f>
        <v/>
      </c>
      <c r="J46" s="190">
        <f>IF(COUNT(M46:AS46)&gt;1,STDEV(M46:AS46),"")</f>
        <v/>
      </c>
      <c r="K46" s="191">
        <f>IF(COUNT(M46:AS46)&gt;1,STDEV(M46:AS46)/AVERAGE(M46:AS46),"")</f>
        <v/>
      </c>
      <c r="M46" s="192" t="n">
        <v>83728</v>
      </c>
      <c r="N46" s="192" t="n">
        <v>99708</v>
      </c>
      <c r="O46" s="192" t="n">
        <v>116301</v>
      </c>
      <c r="P46" s="192" t="n">
        <v>108139</v>
      </c>
      <c r="Q46" s="192" t="n">
        <v>116303</v>
      </c>
      <c r="R46" s="192" t="n">
        <v>119487</v>
      </c>
      <c r="S46" s="192" t="n">
        <v>118455</v>
      </c>
      <c r="T46" s="192" t="n">
        <v>0</v>
      </c>
      <c r="U46" s="192" t="n"/>
      <c r="V46" s="192" t="n"/>
      <c r="W46" s="192" t="n"/>
      <c r="X46" s="192" t="n"/>
      <c r="Y46" s="192" t="n"/>
      <c r="Z46" s="192" t="n"/>
      <c r="AA46" s="192" t="n"/>
      <c r="AB46" s="192" t="n"/>
      <c r="AC46" s="192" t="n"/>
      <c r="AD46" s="192" t="n"/>
      <c r="AE46" s="192" t="n"/>
      <c r="AF46" s="192" t="n"/>
      <c r="AG46" s="192" t="n"/>
      <c r="AH46" s="192" t="n"/>
      <c r="AI46" s="192" t="n"/>
      <c r="AJ46" s="192" t="n"/>
      <c r="AK46" s="192" t="n"/>
      <c r="AL46" s="192" t="n"/>
      <c r="AM46" s="192" t="n"/>
      <c r="AN46" s="192" t="n"/>
      <c r="AO46" s="192" t="n"/>
      <c r="AP46" s="192" t="n"/>
      <c r="AQ46" s="192" t="n"/>
      <c r="AR46" s="192" t="n"/>
      <c r="AS46" s="192" t="n"/>
      <c r="AT46" s="182" t="n"/>
      <c r="AU46" s="176" t="n"/>
      <c r="AV46" s="176" t="n"/>
      <c r="AW46" s="176" t="n"/>
      <c r="AX46" s="176" t="n"/>
      <c r="AY46" s="176" t="n"/>
      <c r="AZ46" s="176" t="n"/>
      <c r="BA46" s="176" t="n"/>
      <c r="BB46" s="176" t="n"/>
      <c r="BC46" s="176" t="n"/>
      <c r="BD46" s="176" t="n"/>
      <c r="BE46" s="176" t="n"/>
      <c r="BF46" s="176" t="n"/>
      <c r="BG46" s="176" t="n"/>
      <c r="BH46" s="176" t="n"/>
      <c r="BI46" s="176" t="n"/>
      <c r="BJ46" s="176" t="n"/>
      <c r="BK46" s="176" t="n"/>
      <c r="BL46" s="176" t="n"/>
      <c r="BM46" s="176" t="n"/>
      <c r="BN46" s="176" t="n"/>
      <c r="BO46" s="176" t="n"/>
      <c r="BP46" s="176" t="n"/>
      <c r="BQ46" s="176" t="n"/>
      <c r="BR46" s="176" t="n"/>
    </row>
    <row r="47" ht="15" customHeight="1" s="392">
      <c r="A47" s="176" t="n"/>
      <c r="B47" s="180" t="n"/>
      <c r="C47" s="183" t="inlineStr">
        <is>
          <t xml:space="preserve">                Other Property, Plant and Equipment</t>
        </is>
      </c>
      <c r="D47" s="190">
        <f>IF(COUNT(M47:AS47)&gt;0,MEDIAN(M47:AS47),"")</f>
        <v/>
      </c>
      <c r="E47" s="190">
        <f>IF(COUNT(M47:AS47)&gt;0,AVERAGE(M47:AS47),"")</f>
        <v/>
      </c>
      <c r="F47" s="190">
        <f>IF(COUNT(M47:AS47)&gt;0,MIN(M47:AS47),"")</f>
        <v/>
      </c>
      <c r="G47" s="190">
        <f>IF(COUNT(M47:AS47)&gt;0,MAX(M47:AS47),"")</f>
        <v/>
      </c>
      <c r="H47" s="190">
        <f>IF(COUNT(M47:AS47)&gt;0,QUARTILE(M47:AS47,1),"")</f>
        <v/>
      </c>
      <c r="I47" s="190">
        <f>IF(COUNT(M47:AS47)&gt;0,QUARTILE(M47:AS47,3),"")</f>
        <v/>
      </c>
      <c r="J47" s="190">
        <f>IF(COUNT(M47:AS47)&gt;1,STDEV(M47:AS47),"")</f>
        <v/>
      </c>
      <c r="K47" s="191">
        <f>IF(COUNT(M47:AS47)&gt;1,STDEV(M47:AS47)/AVERAGE(M47:AS47),"")</f>
        <v/>
      </c>
      <c r="M47" s="192" t="n">
        <v>3733220</v>
      </c>
      <c r="N47" s="192" t="n"/>
      <c r="O47" s="192" t="n"/>
      <c r="P47" s="192" t="n"/>
      <c r="Q47" s="192" t="n"/>
      <c r="R47" s="192" t="n"/>
      <c r="S47" s="192" t="n"/>
      <c r="T47" s="192" t="n"/>
      <c r="U47" s="192" t="n"/>
      <c r="V47" s="192" t="n"/>
      <c r="W47" s="192" t="n"/>
      <c r="X47" s="192" t="n"/>
      <c r="Y47" s="192" t="n"/>
      <c r="Z47" s="192" t="n"/>
      <c r="AA47" s="192" t="n"/>
      <c r="AB47" s="192" t="n"/>
      <c r="AC47" s="192" t="n"/>
      <c r="AD47" s="192" t="n"/>
      <c r="AE47" s="192" t="n"/>
      <c r="AF47" s="192" t="n"/>
      <c r="AG47" s="192" t="n"/>
      <c r="AH47" s="192" t="n"/>
      <c r="AI47" s="192" t="n"/>
      <c r="AJ47" s="192" t="n"/>
      <c r="AK47" s="192" t="n"/>
      <c r="AL47" s="192" t="n"/>
      <c r="AM47" s="192" t="n"/>
      <c r="AN47" s="192" t="n"/>
      <c r="AO47" s="192" t="n"/>
      <c r="AP47" s="192" t="n"/>
      <c r="AQ47" s="192" t="n"/>
      <c r="AR47" s="192" t="n"/>
      <c r="AS47" s="192" t="n"/>
      <c r="AT47" s="182" t="n"/>
      <c r="AU47" s="176" t="n"/>
      <c r="AV47" s="176" t="n"/>
      <c r="AW47" s="176" t="n"/>
      <c r="AX47" s="176" t="n"/>
      <c r="AY47" s="176" t="n"/>
      <c r="AZ47" s="176" t="n"/>
      <c r="BA47" s="176" t="n"/>
      <c r="BB47" s="176" t="n"/>
      <c r="BC47" s="176" t="n"/>
      <c r="BD47" s="176" t="n"/>
      <c r="BE47" s="176" t="n"/>
      <c r="BF47" s="176" t="n"/>
      <c r="BG47" s="176" t="n"/>
      <c r="BH47" s="176" t="n"/>
      <c r="BI47" s="176" t="n"/>
      <c r="BJ47" s="176" t="n"/>
      <c r="BK47" s="176" t="n"/>
      <c r="BL47" s="176" t="n"/>
      <c r="BM47" s="176" t="n"/>
      <c r="BN47" s="176" t="n"/>
      <c r="BO47" s="176" t="n"/>
      <c r="BP47" s="176" t="n"/>
      <c r="BQ47" s="176" t="n"/>
      <c r="BR47" s="176" t="n"/>
    </row>
    <row r="48" ht="15" customHeight="1" s="392">
      <c r="A48" s="176" t="n"/>
      <c r="B48" s="180" t="n"/>
      <c r="C48" s="187" t="inlineStr">
        <is>
          <t xml:space="preserve">            Total Gross Property, Plant and Equipment</t>
        </is>
      </c>
      <c r="D48" s="193">
        <f>IF(COUNT(M48:AS48)&gt;0,MEDIAN(M48:AS48),"")</f>
        <v/>
      </c>
      <c r="E48" s="193">
        <f>IF(COUNT(M48:AS48)&gt;0,AVERAGE(M48:AS48),"")</f>
        <v/>
      </c>
      <c r="F48" s="193">
        <f>IF(COUNT(M48:AS48)&gt;0,MIN(M48:AS48),"")</f>
        <v/>
      </c>
      <c r="G48" s="193">
        <f>IF(COUNT(M48:AS48)&gt;0,MAX(M48:AS48),"")</f>
        <v/>
      </c>
      <c r="H48" s="193">
        <f>IF(COUNT(M48:AS48)&gt;0,QUARTILE(M48:AS48,1),"")</f>
        <v/>
      </c>
      <c r="I48" s="193">
        <f>IF(COUNT(M48:AS48)&gt;0,QUARTILE(M48:AS48,3),"")</f>
        <v/>
      </c>
      <c r="J48" s="193">
        <f>IF(COUNT(M48:AS48)&gt;1,STDEV(M48:AS48),"")</f>
        <v/>
      </c>
      <c r="K48" s="194">
        <f>IF(COUNT(M48:AS48)&gt;1,STDEV(M48:AS48)/AVERAGE(M48:AS48),"")</f>
        <v/>
      </c>
      <c r="L48" s="195" t="n"/>
      <c r="M48" s="196" t="n">
        <v>3816948</v>
      </c>
      <c r="N48" s="196" t="n">
        <v>4979386</v>
      </c>
      <c r="O48" s="196" t="n">
        <v>4434385</v>
      </c>
      <c r="P48" s="196" t="n">
        <v>3930702</v>
      </c>
      <c r="Q48" s="196" t="n">
        <v>3444429</v>
      </c>
      <c r="R48" s="196" t="n">
        <v>3146883</v>
      </c>
      <c r="S48" s="196" t="n">
        <v>2684715</v>
      </c>
      <c r="T48" s="196" t="n">
        <v>1965348</v>
      </c>
      <c r="U48" s="196" t="n">
        <v>1653545</v>
      </c>
      <c r="V48" s="196" t="n">
        <v>1396050</v>
      </c>
      <c r="W48" s="196" t="n">
        <v>1232328</v>
      </c>
      <c r="X48" s="196" t="n">
        <v>1115755</v>
      </c>
      <c r="Y48" s="196" t="n">
        <v>1077617</v>
      </c>
      <c r="Z48" s="196" t="n">
        <v>1049623</v>
      </c>
      <c r="AA48" s="196" t="n">
        <v>910593</v>
      </c>
      <c r="AB48" s="196" t="n">
        <v>892717</v>
      </c>
      <c r="AC48" s="196" t="n">
        <v>833068</v>
      </c>
      <c r="AD48" s="196" t="n">
        <v>758636</v>
      </c>
      <c r="AE48" s="196" t="n">
        <v>704092</v>
      </c>
      <c r="AF48" s="196" t="n">
        <v>583385</v>
      </c>
      <c r="AG48" s="196" t="n">
        <v>474823</v>
      </c>
      <c r="AH48" s="196" t="n">
        <v>413154</v>
      </c>
      <c r="AI48" s="196" t="n">
        <v>352119</v>
      </c>
      <c r="AJ48" s="196" t="n">
        <v>313986</v>
      </c>
      <c r="AK48" s="196" t="n">
        <v>245543</v>
      </c>
      <c r="AL48" s="196" t="n">
        <v>149196.6</v>
      </c>
      <c r="AM48" s="196" t="n">
        <v>106129.2</v>
      </c>
      <c r="AN48" s="196" t="n">
        <v>70600</v>
      </c>
      <c r="AO48" s="196" t="n">
        <v>50800</v>
      </c>
      <c r="AP48" s="196" t="n">
        <v>38400</v>
      </c>
      <c r="AQ48" s="196" t="n">
        <v>33400</v>
      </c>
      <c r="AR48" s="196" t="n">
        <v>17500</v>
      </c>
      <c r="AS48" s="196" t="n">
        <v>7600</v>
      </c>
      <c r="AT48" s="182" t="n"/>
      <c r="AU48" s="176" t="n"/>
      <c r="AV48" s="176" t="n"/>
      <c r="AW48" s="176" t="n"/>
      <c r="AX48" s="176" t="n"/>
      <c r="AY48" s="176" t="n"/>
      <c r="AZ48" s="176" t="n"/>
      <c r="BA48" s="176" t="n"/>
      <c r="BB48" s="176" t="n"/>
      <c r="BC48" s="176" t="n"/>
      <c r="BD48" s="176" t="n"/>
      <c r="BE48" s="176" t="n"/>
      <c r="BF48" s="176" t="n"/>
      <c r="BG48" s="176" t="n"/>
      <c r="BH48" s="176" t="n"/>
      <c r="BI48" s="176" t="n"/>
      <c r="BJ48" s="176" t="n"/>
      <c r="BK48" s="176" t="n"/>
      <c r="BL48" s="176" t="n"/>
      <c r="BM48" s="176" t="n"/>
      <c r="BN48" s="176" t="n"/>
      <c r="BO48" s="176" t="n"/>
      <c r="BP48" s="176" t="n"/>
      <c r="BQ48" s="176" t="n"/>
      <c r="BR48" s="176" t="n"/>
    </row>
    <row r="49" ht="15" customHeight="1" s="392">
      <c r="A49" s="176" t="n"/>
      <c r="B49" s="180" t="n"/>
      <c r="C49" s="183" t="inlineStr">
        <is>
          <t xml:space="preserve">            Accumulated Depreciation and Impairment</t>
        </is>
      </c>
      <c r="D49" s="185" t="n"/>
      <c r="E49" s="185" t="n"/>
      <c r="F49" s="185" t="n"/>
      <c r="G49" s="185" t="n"/>
      <c r="H49" s="185" t="n"/>
      <c r="I49" s="185" t="n"/>
      <c r="J49" s="185" t="n"/>
      <c r="K49" s="185" t="n"/>
      <c r="AT49" s="182" t="n"/>
      <c r="AU49" s="176" t="n"/>
      <c r="AV49" s="176" t="n"/>
      <c r="AW49" s="176" t="n"/>
      <c r="AX49" s="176" t="n"/>
      <c r="AY49" s="176" t="n"/>
      <c r="AZ49" s="176" t="n"/>
      <c r="BA49" s="176" t="n"/>
      <c r="BB49" s="176" t="n"/>
      <c r="BC49" s="176" t="n"/>
      <c r="BD49" s="176" t="n"/>
      <c r="BE49" s="176" t="n"/>
      <c r="BF49" s="176" t="n"/>
      <c r="BG49" s="176" t="n"/>
      <c r="BH49" s="176" t="n"/>
      <c r="BI49" s="176" t="n"/>
      <c r="BJ49" s="176" t="n"/>
      <c r="BK49" s="176" t="n"/>
      <c r="BL49" s="176" t="n"/>
      <c r="BM49" s="176" t="n"/>
      <c r="BN49" s="176" t="n"/>
      <c r="BO49" s="176" t="n"/>
      <c r="BP49" s="176" t="n"/>
      <c r="BQ49" s="176" t="n"/>
      <c r="BR49" s="176" t="n"/>
    </row>
    <row r="50" ht="15" customHeight="1" s="392">
      <c r="A50" s="176" t="n"/>
      <c r="B50" s="180" t="n"/>
      <c r="C50" s="183" t="inlineStr">
        <is>
          <t xml:space="preserve">                Accumulated Depreciation</t>
        </is>
      </c>
      <c r="D50" s="190">
        <f>IF(COUNT(M50:AS50)&gt;0,MEDIAN(M50:AS50),"")</f>
        <v/>
      </c>
      <c r="E50" s="190">
        <f>IF(COUNT(M50:AS50)&gt;0,AVERAGE(M50:AS50),"")</f>
        <v/>
      </c>
      <c r="F50" s="190">
        <f>IF(COUNT(M50:AS50)&gt;0,MIN(M50:AS50),"")</f>
        <v/>
      </c>
      <c r="G50" s="190">
        <f>IF(COUNT(M50:AS50)&gt;0,MAX(M50:AS50),"")</f>
        <v/>
      </c>
      <c r="H50" s="190">
        <f>IF(COUNT(M50:AS50)&gt;0,QUARTILE(M50:AS50,1),"")</f>
        <v/>
      </c>
      <c r="I50" s="190">
        <f>IF(COUNT(M50:AS50)&gt;0,QUARTILE(M50:AS50,3),"")</f>
        <v/>
      </c>
      <c r="J50" s="190">
        <f>IF(COUNT(M50:AS50)&gt;1,STDEV(M50:AS50),"")</f>
        <v/>
      </c>
      <c r="K50" s="191">
        <f>IF(COUNT(M50:AS50)&gt;1,STDEV(M50:AS50)/AVERAGE(M50:AS50),"")</f>
        <v/>
      </c>
      <c r="M50" s="192" t="n"/>
      <c r="N50" s="192" t="n">
        <v>-1281585</v>
      </c>
      <c r="O50" s="192" t="n">
        <v>-1142246</v>
      </c>
      <c r="P50" s="192" t="n">
        <v>-978224</v>
      </c>
      <c r="Q50" s="192" t="n">
        <v>-842362</v>
      </c>
      <c r="R50" s="192" t="n">
        <v>-730772</v>
      </c>
      <c r="S50" s="192" t="n">
        <v>-624541</v>
      </c>
      <c r="T50" s="192" t="n">
        <v>-537622</v>
      </c>
      <c r="U50" s="192" t="n">
        <v>-490120</v>
      </c>
      <c r="V50" s="192" t="n">
        <v>-451994</v>
      </c>
      <c r="W50" s="192" t="n">
        <v>-415537</v>
      </c>
      <c r="X50" s="192" t="n">
        <v>-415353</v>
      </c>
      <c r="Y50" s="192" t="n">
        <v>-385234</v>
      </c>
      <c r="Z50" s="192" t="n">
        <v>-372106</v>
      </c>
      <c r="AA50" s="192" t="n">
        <v>-323430</v>
      </c>
      <c r="AB50" s="192" t="n">
        <v>-292329</v>
      </c>
      <c r="AC50" s="192" t="n">
        <v>-259554</v>
      </c>
      <c r="AD50" s="192" t="n">
        <v>-227750</v>
      </c>
      <c r="AE50" s="192" t="n">
        <v>-193752</v>
      </c>
      <c r="AF50" s="192" t="n">
        <v>-162721</v>
      </c>
      <c r="AG50" s="192" t="n">
        <v>-132880</v>
      </c>
      <c r="AH50" s="192" t="n">
        <v>-117884</v>
      </c>
      <c r="AI50" s="192" t="n">
        <v>-94452</v>
      </c>
      <c r="AJ50" s="192" t="n">
        <v>-69625</v>
      </c>
      <c r="AK50" s="192" t="n">
        <v>-47774.3</v>
      </c>
      <c r="AL50" s="192" t="n">
        <v>-34199</v>
      </c>
      <c r="AM50" s="192" t="n">
        <v>-25615</v>
      </c>
      <c r="AN50" s="192" t="n">
        <v>-19000</v>
      </c>
      <c r="AO50" s="192" t="n">
        <v>-13200</v>
      </c>
      <c r="AP50" s="192" t="n">
        <v>-9600</v>
      </c>
      <c r="AQ50" s="192" t="n">
        <v>-7200</v>
      </c>
      <c r="AR50" s="192" t="n">
        <v>-4400</v>
      </c>
      <c r="AS50" s="192" t="n">
        <v>-2800</v>
      </c>
      <c r="AT50" s="182" t="n"/>
      <c r="AU50" s="176" t="n"/>
      <c r="AV50" s="176" t="n"/>
      <c r="AW50" s="176" t="n"/>
      <c r="AX50" s="176" t="n"/>
      <c r="AY50" s="176" t="n"/>
      <c r="AZ50" s="176" t="n"/>
      <c r="BA50" s="176" t="n"/>
      <c r="BB50" s="176" t="n"/>
      <c r="BC50" s="176" t="n"/>
      <c r="BD50" s="176" t="n"/>
      <c r="BE50" s="176" t="n"/>
      <c r="BF50" s="176" t="n"/>
      <c r="BG50" s="176" t="n"/>
      <c r="BH50" s="176" t="n"/>
      <c r="BI50" s="176" t="n"/>
      <c r="BJ50" s="176" t="n"/>
      <c r="BK50" s="176" t="n"/>
      <c r="BL50" s="176" t="n"/>
      <c r="BM50" s="176" t="n"/>
      <c r="BN50" s="176" t="n"/>
      <c r="BO50" s="176" t="n"/>
      <c r="BP50" s="176" t="n"/>
      <c r="BQ50" s="176" t="n"/>
      <c r="BR50" s="176" t="n"/>
    </row>
    <row r="51" ht="15" customHeight="1" s="392">
      <c r="A51" s="176" t="n"/>
      <c r="B51" s="180" t="n"/>
      <c r="C51" s="187" t="inlineStr">
        <is>
          <t xml:space="preserve">            Total Accumulated Depreciation and Impairment</t>
        </is>
      </c>
      <c r="D51" s="193">
        <f>IF(COUNT(M51:AS51)&gt;0,MEDIAN(M51:AS51),"")</f>
        <v/>
      </c>
      <c r="E51" s="193">
        <f>IF(COUNT(M51:AS51)&gt;0,AVERAGE(M51:AS51),"")</f>
        <v/>
      </c>
      <c r="F51" s="193">
        <f>IF(COUNT(M51:AS51)&gt;0,MIN(M51:AS51),"")</f>
        <v/>
      </c>
      <c r="G51" s="193">
        <f>IF(COUNT(M51:AS51)&gt;0,MAX(M51:AS51),"")</f>
        <v/>
      </c>
      <c r="H51" s="193">
        <f>IF(COUNT(M51:AS51)&gt;0,QUARTILE(M51:AS51,1),"")</f>
        <v/>
      </c>
      <c r="I51" s="193">
        <f>IF(COUNT(M51:AS51)&gt;0,QUARTILE(M51:AS51,3),"")</f>
        <v/>
      </c>
      <c r="J51" s="193">
        <f>IF(COUNT(M51:AS51)&gt;1,STDEV(M51:AS51),"")</f>
        <v/>
      </c>
      <c r="K51" s="194">
        <f>IF(COUNT(M51:AS51)&gt;1,STDEV(M51:AS51)/AVERAGE(M51:AS51),"")</f>
        <v/>
      </c>
      <c r="L51" s="195" t="n"/>
      <c r="M51" s="196" t="n"/>
      <c r="N51" s="196" t="n">
        <v>-1281585</v>
      </c>
      <c r="O51" s="196" t="n">
        <v>-1142246</v>
      </c>
      <c r="P51" s="196" t="n">
        <v>-978224</v>
      </c>
      <c r="Q51" s="196" t="n">
        <v>-842362</v>
      </c>
      <c r="R51" s="196" t="n">
        <v>-730772</v>
      </c>
      <c r="S51" s="196" t="n">
        <v>-624541</v>
      </c>
      <c r="T51" s="196" t="n">
        <v>-537622</v>
      </c>
      <c r="U51" s="196" t="n">
        <v>-490120</v>
      </c>
      <c r="V51" s="196" t="n">
        <v>-451994</v>
      </c>
      <c r="W51" s="196" t="n">
        <v>-415537</v>
      </c>
      <c r="X51" s="196" t="n">
        <v>-415353</v>
      </c>
      <c r="Y51" s="196" t="n">
        <v>-385234</v>
      </c>
      <c r="Z51" s="196" t="n">
        <v>-372106</v>
      </c>
      <c r="AA51" s="196" t="n">
        <v>-323430</v>
      </c>
      <c r="AB51" s="196" t="n">
        <v>-292329</v>
      </c>
      <c r="AC51" s="196" t="n">
        <v>-259554</v>
      </c>
      <c r="AD51" s="196" t="n">
        <v>-227750</v>
      </c>
      <c r="AE51" s="196" t="n">
        <v>-193752</v>
      </c>
      <c r="AF51" s="196" t="n">
        <v>-162721</v>
      </c>
      <c r="AG51" s="196" t="n">
        <v>-132880</v>
      </c>
      <c r="AH51" s="196" t="n">
        <v>-117884</v>
      </c>
      <c r="AI51" s="196" t="n">
        <v>-94452</v>
      </c>
      <c r="AJ51" s="196" t="n">
        <v>-69625</v>
      </c>
      <c r="AK51" s="196" t="n">
        <v>-47774.3</v>
      </c>
      <c r="AL51" s="196" t="n">
        <v>-34199</v>
      </c>
      <c r="AM51" s="196" t="n">
        <v>-25615</v>
      </c>
      <c r="AN51" s="196" t="n">
        <v>-19000</v>
      </c>
      <c r="AO51" s="196" t="n">
        <v>-13200</v>
      </c>
      <c r="AP51" s="196" t="n">
        <v>-9600</v>
      </c>
      <c r="AQ51" s="196" t="n">
        <v>-7200</v>
      </c>
      <c r="AR51" s="196" t="n">
        <v>-4400</v>
      </c>
      <c r="AS51" s="196" t="n">
        <v>-2800</v>
      </c>
      <c r="AT51" s="182" t="n"/>
      <c r="AU51" s="176" t="n"/>
      <c r="AV51" s="176" t="n"/>
      <c r="AW51" s="176" t="n"/>
      <c r="AX51" s="176" t="n"/>
      <c r="AY51" s="176" t="n"/>
      <c r="AZ51" s="176" t="n"/>
      <c r="BA51" s="176" t="n"/>
      <c r="BB51" s="176" t="n"/>
      <c r="BC51" s="176" t="n"/>
      <c r="BD51" s="176" t="n"/>
      <c r="BE51" s="176" t="n"/>
      <c r="BF51" s="176" t="n"/>
      <c r="BG51" s="176" t="n"/>
      <c r="BH51" s="176" t="n"/>
      <c r="BI51" s="176" t="n"/>
      <c r="BJ51" s="176" t="n"/>
      <c r="BK51" s="176" t="n"/>
      <c r="BL51" s="176" t="n"/>
      <c r="BM51" s="176" t="n"/>
      <c r="BN51" s="176" t="n"/>
      <c r="BO51" s="176" t="n"/>
      <c r="BP51" s="176" t="n"/>
      <c r="BQ51" s="176" t="n"/>
      <c r="BR51" s="176" t="n"/>
    </row>
    <row r="52" ht="15" customHeight="1" s="392">
      <c r="A52" s="176" t="n"/>
      <c r="B52" s="180" t="n"/>
      <c r="C52" s="187" t="inlineStr">
        <is>
          <t xml:space="preserve">        Total Net Property, Plant and Equipment</t>
        </is>
      </c>
      <c r="D52" s="193">
        <f>IF(COUNT(M52:AS52)&gt;0,MEDIAN(M52:AS52),"")</f>
        <v/>
      </c>
      <c r="E52" s="193">
        <f>IF(COUNT(M52:AS52)&gt;0,AVERAGE(M52:AS52),"")</f>
        <v/>
      </c>
      <c r="F52" s="193">
        <f>IF(COUNT(M52:AS52)&gt;0,MIN(M52:AS52),"")</f>
        <v/>
      </c>
      <c r="G52" s="193">
        <f>IF(COUNT(M52:AS52)&gt;0,MAX(M52:AS52),"")</f>
        <v/>
      </c>
      <c r="H52" s="193">
        <f>IF(COUNT(M52:AS52)&gt;0,QUARTILE(M52:AS52,1),"")</f>
        <v/>
      </c>
      <c r="I52" s="193">
        <f>IF(COUNT(M52:AS52)&gt;0,QUARTILE(M52:AS52,3),"")</f>
        <v/>
      </c>
      <c r="J52" s="193">
        <f>IF(COUNT(M52:AS52)&gt;1,STDEV(M52:AS52),"")</f>
        <v/>
      </c>
      <c r="K52" s="194">
        <f>IF(COUNT(M52:AS52)&gt;1,STDEV(M52:AS52)/AVERAGE(M52:AS52),"")</f>
        <v/>
      </c>
      <c r="L52" s="195" t="n"/>
      <c r="M52" s="196" t="n">
        <v>3816948</v>
      </c>
      <c r="N52" s="196" t="n">
        <v>3697801</v>
      </c>
      <c r="O52" s="196" t="n">
        <v>3292139</v>
      </c>
      <c r="P52" s="196" t="n">
        <v>2952478</v>
      </c>
      <c r="Q52" s="196" t="n">
        <v>2602067</v>
      </c>
      <c r="R52" s="196" t="n">
        <v>2416111</v>
      </c>
      <c r="S52" s="196" t="n">
        <v>2060174</v>
      </c>
      <c r="T52" s="196" t="n">
        <v>1427726</v>
      </c>
      <c r="U52" s="196" t="n">
        <v>1163425</v>
      </c>
      <c r="V52" s="196" t="n">
        <v>944056</v>
      </c>
      <c r="W52" s="196" t="n">
        <v>816791</v>
      </c>
      <c r="X52" s="196" t="n">
        <v>700402</v>
      </c>
      <c r="Y52" s="196" t="n">
        <v>692383</v>
      </c>
      <c r="Z52" s="196" t="n">
        <v>677517</v>
      </c>
      <c r="AA52" s="196" t="n">
        <v>587163</v>
      </c>
      <c r="AB52" s="196" t="n">
        <v>600388</v>
      </c>
      <c r="AC52" s="196" t="n">
        <v>573514</v>
      </c>
      <c r="AD52" s="196" t="n">
        <v>530886</v>
      </c>
      <c r="AE52" s="196" t="n">
        <v>510340</v>
      </c>
      <c r="AF52" s="196" t="n">
        <v>420664</v>
      </c>
      <c r="AG52" s="196" t="n">
        <v>341943</v>
      </c>
      <c r="AH52" s="196" t="n">
        <v>295270</v>
      </c>
      <c r="AI52" s="196" t="n">
        <v>257667</v>
      </c>
      <c r="AJ52" s="196" t="n">
        <v>244361</v>
      </c>
      <c r="AK52" s="196" t="n">
        <v>197768.7</v>
      </c>
      <c r="AL52" s="196" t="n">
        <v>114997.6</v>
      </c>
      <c r="AM52" s="196" t="n">
        <v>80514.2</v>
      </c>
      <c r="AN52" s="196" t="n">
        <v>51600</v>
      </c>
      <c r="AO52" s="196" t="n">
        <v>37600</v>
      </c>
      <c r="AP52" s="196" t="n">
        <v>28800</v>
      </c>
      <c r="AQ52" s="196" t="n">
        <v>26200</v>
      </c>
      <c r="AR52" s="196" t="n">
        <v>13100</v>
      </c>
      <c r="AS52" s="196" t="n">
        <v>4800</v>
      </c>
      <c r="AT52" s="182" t="n"/>
      <c r="AU52" s="176" t="n"/>
      <c r="AV52" s="176" t="n"/>
      <c r="AW52" s="176" t="n"/>
      <c r="AX52" s="176" t="n"/>
      <c r="AY52" s="176" t="n"/>
      <c r="AZ52" s="176" t="n"/>
      <c r="BA52" s="176" t="n"/>
      <c r="BB52" s="176" t="n"/>
      <c r="BC52" s="176" t="n"/>
      <c r="BD52" s="176" t="n"/>
      <c r="BE52" s="176" t="n"/>
      <c r="BF52" s="176" t="n"/>
      <c r="BG52" s="176" t="n"/>
      <c r="BH52" s="176" t="n"/>
      <c r="BI52" s="176" t="n"/>
      <c r="BJ52" s="176" t="n"/>
      <c r="BK52" s="176" t="n"/>
      <c r="BL52" s="176" t="n"/>
      <c r="BM52" s="176" t="n"/>
      <c r="BN52" s="176" t="n"/>
      <c r="BO52" s="176" t="n"/>
      <c r="BP52" s="176" t="n"/>
      <c r="BQ52" s="176" t="n"/>
      <c r="BR52" s="176" t="n"/>
    </row>
    <row r="53" ht="15" customHeight="1" s="392">
      <c r="A53" s="176" t="n"/>
      <c r="B53" s="180" t="n"/>
      <c r="C53" s="183" t="inlineStr">
        <is>
          <t xml:space="preserve">        Net Intangible Assets</t>
        </is>
      </c>
      <c r="D53" s="185" t="n"/>
      <c r="E53" s="185" t="n"/>
      <c r="F53" s="185" t="n"/>
      <c r="G53" s="185" t="n"/>
      <c r="H53" s="185" t="n"/>
      <c r="I53" s="185" t="n"/>
      <c r="J53" s="185" t="n"/>
      <c r="K53" s="185" t="n"/>
      <c r="AT53" s="182" t="n"/>
      <c r="AU53" s="176" t="n"/>
      <c r="AV53" s="176" t="n"/>
      <c r="AW53" s="176" t="n"/>
      <c r="AX53" s="176" t="n"/>
      <c r="AY53" s="176" t="n"/>
      <c r="AZ53" s="176" t="n"/>
      <c r="BA53" s="176" t="n"/>
      <c r="BB53" s="176" t="n"/>
      <c r="BC53" s="176" t="n"/>
      <c r="BD53" s="176" t="n"/>
      <c r="BE53" s="176" t="n"/>
      <c r="BF53" s="176" t="n"/>
      <c r="BG53" s="176" t="n"/>
      <c r="BH53" s="176" t="n"/>
      <c r="BI53" s="176" t="n"/>
      <c r="BJ53" s="176" t="n"/>
      <c r="BK53" s="176" t="n"/>
      <c r="BL53" s="176" t="n"/>
      <c r="BM53" s="176" t="n"/>
      <c r="BN53" s="176" t="n"/>
      <c r="BO53" s="176" t="n"/>
      <c r="BP53" s="176" t="n"/>
      <c r="BQ53" s="176" t="n"/>
      <c r="BR53" s="176" t="n"/>
    </row>
    <row r="54" ht="15" customHeight="1" s="392">
      <c r="A54" s="176" t="n"/>
      <c r="B54" s="180" t="n"/>
      <c r="C54" s="183" t="inlineStr">
        <is>
          <t xml:space="preserve">            Gross Goodwill and Other Intangible Assets</t>
        </is>
      </c>
      <c r="D54" s="185" t="n"/>
      <c r="E54" s="185" t="n"/>
      <c r="F54" s="185" t="n"/>
      <c r="G54" s="185" t="n"/>
      <c r="H54" s="185" t="n"/>
      <c r="I54" s="185" t="n"/>
      <c r="J54" s="185" t="n"/>
      <c r="K54" s="185" t="n"/>
      <c r="AT54" s="182" t="n"/>
      <c r="AU54" s="176" t="n"/>
      <c r="AV54" s="176" t="n"/>
      <c r="AW54" s="176" t="n"/>
      <c r="AX54" s="176" t="n"/>
      <c r="AY54" s="176" t="n"/>
      <c r="AZ54" s="176" t="n"/>
      <c r="BA54" s="176" t="n"/>
      <c r="BB54" s="176" t="n"/>
      <c r="BC54" s="176" t="n"/>
      <c r="BD54" s="176" t="n"/>
      <c r="BE54" s="176" t="n"/>
      <c r="BF54" s="176" t="n"/>
      <c r="BG54" s="176" t="n"/>
      <c r="BH54" s="176" t="n"/>
      <c r="BI54" s="176" t="n"/>
      <c r="BJ54" s="176" t="n"/>
      <c r="BK54" s="176" t="n"/>
      <c r="BL54" s="176" t="n"/>
      <c r="BM54" s="176" t="n"/>
      <c r="BN54" s="176" t="n"/>
      <c r="BO54" s="176" t="n"/>
      <c r="BP54" s="176" t="n"/>
      <c r="BQ54" s="176" t="n"/>
      <c r="BR54" s="176" t="n"/>
    </row>
    <row r="55" ht="15" customHeight="1" s="392">
      <c r="A55" s="176" t="n"/>
      <c r="B55" s="180" t="n"/>
      <c r="C55" s="183" t="inlineStr">
        <is>
          <t xml:space="preserve">                Goodwill</t>
        </is>
      </c>
      <c r="D55" s="190">
        <f>IF(COUNT(M55:AS55)&gt;0,MEDIAN(M55:AS55),"")</f>
        <v/>
      </c>
      <c r="E55" s="190">
        <f>IF(COUNT(M55:AS55)&gt;0,AVERAGE(M55:AS55),"")</f>
        <v/>
      </c>
      <c r="F55" s="190">
        <f>IF(COUNT(M55:AS55)&gt;0,MIN(M55:AS55),"")</f>
        <v/>
      </c>
      <c r="G55" s="190">
        <f>IF(COUNT(M55:AS55)&gt;0,MAX(M55:AS55),"")</f>
        <v/>
      </c>
      <c r="H55" s="190">
        <f>IF(COUNT(M55:AS55)&gt;0,QUARTILE(M55:AS55,1),"")</f>
        <v/>
      </c>
      <c r="I55" s="190">
        <f>IF(COUNT(M55:AS55)&gt;0,QUARTILE(M55:AS55,3),"")</f>
        <v/>
      </c>
      <c r="J55" s="190">
        <f>IF(COUNT(M55:AS55)&gt;1,STDEV(M55:AS55),"")</f>
        <v/>
      </c>
      <c r="K55" s="191">
        <f>IF(COUNT(M55:AS55)&gt;1,STDEV(M55:AS55)/AVERAGE(M55:AS55),"")</f>
        <v/>
      </c>
      <c r="M55" s="192" t="n">
        <v>511297</v>
      </c>
      <c r="N55" s="192" t="n">
        <v>517779</v>
      </c>
      <c r="O55" s="192" t="n">
        <v>513909</v>
      </c>
      <c r="P55" s="192" t="n">
        <v>394289</v>
      </c>
      <c r="Q55" s="192" t="n">
        <v>401954</v>
      </c>
      <c r="R55" s="192" t="n">
        <v>355717</v>
      </c>
      <c r="S55" s="192" t="n">
        <v>343622</v>
      </c>
      <c r="T55" s="192" t="n">
        <v>333321</v>
      </c>
      <c r="U55" s="192" t="n">
        <v>337235</v>
      </c>
      <c r="V55" s="192" t="n">
        <v>340243</v>
      </c>
      <c r="W55" s="192" t="n">
        <v>260198</v>
      </c>
      <c r="X55" s="192" t="n">
        <v>271850</v>
      </c>
      <c r="Y55" s="192" t="n">
        <v>283780</v>
      </c>
      <c r="Z55" s="192" t="n">
        <v>267463</v>
      </c>
      <c r="AA55" s="192" t="n">
        <v>196438</v>
      </c>
      <c r="AB55" s="192" t="n">
        <v>198620</v>
      </c>
      <c r="AC55" s="192" t="n">
        <v>175870</v>
      </c>
      <c r="AD55" s="192" t="n">
        <v>166327</v>
      </c>
      <c r="AE55" s="192" t="n">
        <v>177164</v>
      </c>
      <c r="AF55" s="192" t="n">
        <v>161645</v>
      </c>
      <c r="AG55" s="192" t="n">
        <v>112291</v>
      </c>
      <c r="AH55" s="192" t="n">
        <v>116375</v>
      </c>
      <c r="AI55" s="192" t="n"/>
      <c r="AJ55" s="192" t="n"/>
      <c r="AK55" s="192" t="n">
        <v>102920.1</v>
      </c>
      <c r="AL55" s="192" t="n">
        <v>82753.39999999999</v>
      </c>
      <c r="AM55" s="192" t="n"/>
      <c r="AN55" s="192" t="n"/>
      <c r="AO55" s="192" t="n"/>
      <c r="AP55" s="192" t="n"/>
      <c r="AQ55" s="192" t="n"/>
      <c r="AR55" s="192" t="n"/>
      <c r="AS55" s="192" t="n"/>
      <c r="AT55" s="182" t="n"/>
      <c r="AU55" s="176" t="n"/>
      <c r="AV55" s="176" t="n"/>
      <c r="AW55" s="176" t="n"/>
      <c r="AX55" s="176" t="n"/>
      <c r="AY55" s="176" t="n"/>
      <c r="AZ55" s="176" t="n"/>
      <c r="BA55" s="176" t="n"/>
      <c r="BB55" s="176" t="n"/>
      <c r="BC55" s="176" t="n"/>
      <c r="BD55" s="176" t="n"/>
      <c r="BE55" s="176" t="n"/>
      <c r="BF55" s="176" t="n"/>
      <c r="BG55" s="176" t="n"/>
      <c r="BH55" s="176" t="n"/>
      <c r="BI55" s="176" t="n"/>
      <c r="BJ55" s="176" t="n"/>
      <c r="BK55" s="176" t="n"/>
      <c r="BL55" s="176" t="n"/>
      <c r="BM55" s="176" t="n"/>
      <c r="BN55" s="176" t="n"/>
      <c r="BO55" s="176" t="n"/>
      <c r="BP55" s="176" t="n"/>
      <c r="BQ55" s="176" t="n"/>
      <c r="BR55" s="176" t="n"/>
    </row>
    <row r="56" ht="15" customHeight="1" s="392">
      <c r="A56" s="176" t="n"/>
      <c r="B56" s="180" t="n"/>
      <c r="C56" s="183" t="inlineStr">
        <is>
          <t xml:space="preserve">                Intangibles other than Goodwill</t>
        </is>
      </c>
      <c r="D56" s="185" t="n"/>
      <c r="E56" s="185" t="n"/>
      <c r="F56" s="185" t="n"/>
      <c r="G56" s="185" t="n"/>
      <c r="H56" s="185" t="n"/>
      <c r="I56" s="185" t="n"/>
      <c r="J56" s="185" t="n"/>
      <c r="K56" s="185" t="n"/>
      <c r="AT56" s="182" t="n"/>
      <c r="AU56" s="176" t="n"/>
      <c r="AV56" s="176" t="n"/>
      <c r="AW56" s="176" t="n"/>
      <c r="AX56" s="176" t="n"/>
      <c r="AY56" s="176" t="n"/>
      <c r="AZ56" s="176" t="n"/>
      <c r="BA56" s="176" t="n"/>
      <c r="BB56" s="176" t="n"/>
      <c r="BC56" s="176" t="n"/>
      <c r="BD56" s="176" t="n"/>
      <c r="BE56" s="176" t="n"/>
      <c r="BF56" s="176" t="n"/>
      <c r="BG56" s="176" t="n"/>
      <c r="BH56" s="176" t="n"/>
      <c r="BI56" s="176" t="n"/>
      <c r="BJ56" s="176" t="n"/>
      <c r="BK56" s="176" t="n"/>
      <c r="BL56" s="176" t="n"/>
      <c r="BM56" s="176" t="n"/>
      <c r="BN56" s="176" t="n"/>
      <c r="BO56" s="176" t="n"/>
      <c r="BP56" s="176" t="n"/>
      <c r="BQ56" s="176" t="n"/>
      <c r="BR56" s="176" t="n"/>
    </row>
    <row r="57" ht="15" customHeight="1" s="392">
      <c r="A57" s="176" t="n"/>
      <c r="B57" s="180" t="n"/>
      <c r="C57" s="183" t="inlineStr">
        <is>
          <t xml:space="preserve">                    Trademarks and Patents</t>
        </is>
      </c>
      <c r="D57" s="190">
        <f>IF(COUNT(M57:AS57)&gt;0,MEDIAN(M57:AS57),"")</f>
        <v/>
      </c>
      <c r="E57" s="190">
        <f>IF(COUNT(M57:AS57)&gt;0,AVERAGE(M57:AS57),"")</f>
        <v/>
      </c>
      <c r="F57" s="190">
        <f>IF(COUNT(M57:AS57)&gt;0,MIN(M57:AS57),"")</f>
        <v/>
      </c>
      <c r="G57" s="190">
        <f>IF(COUNT(M57:AS57)&gt;0,MAX(M57:AS57),"")</f>
        <v/>
      </c>
      <c r="H57" s="190">
        <f>IF(COUNT(M57:AS57)&gt;0,QUARTILE(M57:AS57,1),"")</f>
        <v/>
      </c>
      <c r="I57" s="190">
        <f>IF(COUNT(M57:AS57)&gt;0,QUARTILE(M57:AS57,3),"")</f>
        <v/>
      </c>
      <c r="J57" s="190">
        <f>IF(COUNT(M57:AS57)&gt;1,STDEV(M57:AS57),"")</f>
        <v/>
      </c>
      <c r="K57" s="191">
        <f>IF(COUNT(M57:AS57)&gt;1,STDEV(M57:AS57)/AVERAGE(M57:AS57),"")</f>
        <v/>
      </c>
      <c r="M57" s="192" t="n"/>
      <c r="N57" s="192" t="n">
        <v>36088</v>
      </c>
      <c r="O57" s="192" t="n">
        <v>35854</v>
      </c>
      <c r="P57" s="192" t="n">
        <v>26747</v>
      </c>
      <c r="Q57" s="192" t="n">
        <v>18896</v>
      </c>
      <c r="R57" s="192" t="n">
        <v>18944</v>
      </c>
      <c r="S57" s="192" t="n">
        <v>23635</v>
      </c>
      <c r="T57" s="192" t="n">
        <v>23501</v>
      </c>
      <c r="U57" s="192" t="n">
        <v>24173</v>
      </c>
      <c r="V57" s="192" t="n">
        <v>23859</v>
      </c>
      <c r="W57" s="192" t="n">
        <v>5163</v>
      </c>
      <c r="X57" s="192" t="n">
        <v>5129</v>
      </c>
      <c r="Y57" s="192" t="n">
        <v>5791</v>
      </c>
      <c r="Z57" s="192" t="n">
        <v>2998</v>
      </c>
      <c r="AA57" s="192" t="n"/>
      <c r="AB57" s="192" t="n"/>
      <c r="AC57" s="192" t="n"/>
      <c r="AD57" s="192" t="n"/>
      <c r="AE57" s="192" t="n"/>
      <c r="AF57" s="192" t="n"/>
      <c r="AG57" s="192" t="n"/>
      <c r="AH57" s="192" t="n"/>
      <c r="AI57" s="192" t="n"/>
      <c r="AJ57" s="192" t="n"/>
      <c r="AK57" s="192" t="n"/>
      <c r="AL57" s="192" t="n"/>
      <c r="AM57" s="192" t="n"/>
      <c r="AN57" s="192" t="n"/>
      <c r="AO57" s="192" t="n"/>
      <c r="AP57" s="192" t="n"/>
      <c r="AQ57" s="192" t="n"/>
      <c r="AR57" s="192" t="n"/>
      <c r="AS57" s="192" t="n"/>
      <c r="AT57" s="182" t="n"/>
      <c r="AU57" s="176" t="n"/>
      <c r="AV57" s="176" t="n"/>
      <c r="AW57" s="176" t="n"/>
      <c r="AX57" s="176" t="n"/>
      <c r="AY57" s="176" t="n"/>
      <c r="AZ57" s="176" t="n"/>
      <c r="BA57" s="176" t="n"/>
      <c r="BB57" s="176" t="n"/>
      <c r="BC57" s="176" t="n"/>
      <c r="BD57" s="176" t="n"/>
      <c r="BE57" s="176" t="n"/>
      <c r="BF57" s="176" t="n"/>
      <c r="BG57" s="176" t="n"/>
      <c r="BH57" s="176" t="n"/>
      <c r="BI57" s="176" t="n"/>
      <c r="BJ57" s="176" t="n"/>
      <c r="BK57" s="176" t="n"/>
      <c r="BL57" s="176" t="n"/>
      <c r="BM57" s="176" t="n"/>
      <c r="BN57" s="176" t="n"/>
      <c r="BO57" s="176" t="n"/>
      <c r="BP57" s="176" t="n"/>
      <c r="BQ57" s="176" t="n"/>
      <c r="BR57" s="176" t="n"/>
    </row>
    <row r="58" ht="15" customHeight="1" s="392">
      <c r="A58" s="176" t="n"/>
      <c r="B58" s="180" t="n"/>
      <c r="C58" s="183" t="inlineStr">
        <is>
          <t xml:space="preserve">                    Licenses and Rights</t>
        </is>
      </c>
      <c r="D58" s="190">
        <f>IF(COUNT(M58:AS58)&gt;0,MEDIAN(M58:AS58),"")</f>
        <v/>
      </c>
      <c r="E58" s="190">
        <f>IF(COUNT(M58:AS58)&gt;0,AVERAGE(M58:AS58),"")</f>
        <v/>
      </c>
      <c r="F58" s="190">
        <f>IF(COUNT(M58:AS58)&gt;0,MIN(M58:AS58),"")</f>
        <v/>
      </c>
      <c r="G58" s="190">
        <f>IF(COUNT(M58:AS58)&gt;0,MAX(M58:AS58),"")</f>
        <v/>
      </c>
      <c r="H58" s="190">
        <f>IF(COUNT(M58:AS58)&gt;0,QUARTILE(M58:AS58,1),"")</f>
        <v/>
      </c>
      <c r="I58" s="190">
        <f>IF(COUNT(M58:AS58)&gt;0,QUARTILE(M58:AS58,3),"")</f>
        <v/>
      </c>
      <c r="J58" s="190">
        <f>IF(COUNT(M58:AS58)&gt;1,STDEV(M58:AS58),"")</f>
        <v/>
      </c>
      <c r="K58" s="191">
        <f>IF(COUNT(M58:AS58)&gt;1,STDEV(M58:AS58)/AVERAGE(M58:AS58),"")</f>
        <v/>
      </c>
      <c r="M58" s="192" t="n"/>
      <c r="N58" s="192" t="n">
        <v>16608</v>
      </c>
      <c r="O58" s="192" t="n">
        <v>16571</v>
      </c>
      <c r="P58" s="192" t="n">
        <v>682</v>
      </c>
      <c r="Q58" s="192" t="n">
        <v>633</v>
      </c>
      <c r="R58" s="192" t="n">
        <v>736</v>
      </c>
      <c r="S58" s="192" t="n">
        <v>7630</v>
      </c>
      <c r="T58" s="192" t="n">
        <v>7688</v>
      </c>
      <c r="U58" s="192" t="n">
        <v>9291</v>
      </c>
      <c r="V58" s="192" t="n">
        <v>5385</v>
      </c>
      <c r="W58" s="192" t="n">
        <v>2488</v>
      </c>
      <c r="X58" s="192" t="n">
        <v>2498</v>
      </c>
      <c r="Y58" s="192" t="n">
        <v>1810</v>
      </c>
      <c r="Z58" s="192" t="n">
        <v>3306</v>
      </c>
      <c r="AA58" s="192" t="n">
        <v>1316</v>
      </c>
      <c r="AB58" s="192" t="n"/>
      <c r="AC58" s="192" t="n"/>
      <c r="AD58" s="192" t="n"/>
      <c r="AE58" s="192" t="n"/>
      <c r="AF58" s="192" t="n"/>
      <c r="AG58" s="192" t="n"/>
      <c r="AH58" s="192" t="n"/>
      <c r="AI58" s="192" t="n"/>
      <c r="AJ58" s="192" t="n"/>
      <c r="AK58" s="192" t="n"/>
      <c r="AL58" s="192" t="n"/>
      <c r="AM58" s="192" t="n"/>
      <c r="AN58" s="192" t="n"/>
      <c r="AO58" s="192" t="n"/>
      <c r="AP58" s="192" t="n"/>
      <c r="AQ58" s="192" t="n"/>
      <c r="AR58" s="192" t="n"/>
      <c r="AS58" s="192" t="n"/>
      <c r="AT58" s="182" t="n"/>
      <c r="AU58" s="176" t="n"/>
      <c r="AV58" s="176" t="n"/>
      <c r="AW58" s="176" t="n"/>
      <c r="AX58" s="176" t="n"/>
      <c r="AY58" s="176" t="n"/>
      <c r="AZ58" s="176" t="n"/>
      <c r="BA58" s="176" t="n"/>
      <c r="BB58" s="176" t="n"/>
      <c r="BC58" s="176" t="n"/>
      <c r="BD58" s="176" t="n"/>
      <c r="BE58" s="176" t="n"/>
      <c r="BF58" s="176" t="n"/>
      <c r="BG58" s="176" t="n"/>
      <c r="BH58" s="176" t="n"/>
      <c r="BI58" s="176" t="n"/>
      <c r="BJ58" s="176" t="n"/>
      <c r="BK58" s="176" t="n"/>
      <c r="BL58" s="176" t="n"/>
      <c r="BM58" s="176" t="n"/>
      <c r="BN58" s="176" t="n"/>
      <c r="BO58" s="176" t="n"/>
      <c r="BP58" s="176" t="n"/>
      <c r="BQ58" s="176" t="n"/>
      <c r="BR58" s="176" t="n"/>
    </row>
    <row r="59" ht="15" customHeight="1" s="392">
      <c r="A59" s="176" t="n"/>
      <c r="B59" s="180" t="n"/>
      <c r="C59" s="183" t="inlineStr">
        <is>
          <t xml:space="preserve">                    Customer Relationships</t>
        </is>
      </c>
      <c r="D59" s="190">
        <f>IF(COUNT(M59:AS59)&gt;0,MEDIAN(M59:AS59),"")</f>
        <v/>
      </c>
      <c r="E59" s="190">
        <f>IF(COUNT(M59:AS59)&gt;0,AVERAGE(M59:AS59),"")</f>
        <v/>
      </c>
      <c r="F59" s="190">
        <f>IF(COUNT(M59:AS59)&gt;0,MIN(M59:AS59),"")</f>
        <v/>
      </c>
      <c r="G59" s="190">
        <f>IF(COUNT(M59:AS59)&gt;0,MAX(M59:AS59),"")</f>
        <v/>
      </c>
      <c r="H59" s="190">
        <f>IF(COUNT(M59:AS59)&gt;0,QUARTILE(M59:AS59,1),"")</f>
        <v/>
      </c>
      <c r="I59" s="190">
        <f>IF(COUNT(M59:AS59)&gt;0,QUARTILE(M59:AS59,3),"")</f>
        <v/>
      </c>
      <c r="J59" s="190">
        <f>IF(COUNT(M59:AS59)&gt;1,STDEV(M59:AS59),"")</f>
        <v/>
      </c>
      <c r="K59" s="191">
        <f>IF(COUNT(M59:AS59)&gt;1,STDEV(M59:AS59)/AVERAGE(M59:AS59),"")</f>
        <v/>
      </c>
      <c r="M59" s="192" t="n"/>
      <c r="N59" s="192" t="n">
        <v>86956</v>
      </c>
      <c r="O59" s="192" t="n">
        <v>84228</v>
      </c>
      <c r="P59" s="192" t="n">
        <v>84614</v>
      </c>
      <c r="Q59" s="192" t="n">
        <v>71875</v>
      </c>
      <c r="R59" s="192" t="n">
        <v>55598</v>
      </c>
      <c r="S59" s="192" t="n">
        <v>50600</v>
      </c>
      <c r="T59" s="192" t="n">
        <v>49109</v>
      </c>
      <c r="U59" s="192" t="n">
        <v>71787</v>
      </c>
      <c r="V59" s="192" t="n">
        <v>75462</v>
      </c>
      <c r="W59" s="192" t="n">
        <v>26471</v>
      </c>
      <c r="X59" s="192" t="n">
        <v>27506</v>
      </c>
      <c r="Y59" s="192" t="n">
        <v>29128</v>
      </c>
      <c r="Z59" s="192" t="n">
        <v>33711</v>
      </c>
      <c r="AA59" s="192" t="n">
        <v>26041</v>
      </c>
      <c r="AB59" s="192" t="n"/>
      <c r="AC59" s="192" t="n"/>
      <c r="AD59" s="192" t="n"/>
      <c r="AE59" s="192" t="n"/>
      <c r="AF59" s="192" t="n"/>
      <c r="AG59" s="192" t="n"/>
      <c r="AH59" s="192" t="n"/>
      <c r="AI59" s="192" t="n"/>
      <c r="AJ59" s="192" t="n"/>
      <c r="AK59" s="192" t="n"/>
      <c r="AL59" s="192" t="n"/>
      <c r="AM59" s="192" t="n"/>
      <c r="AN59" s="192" t="n"/>
      <c r="AO59" s="192" t="n"/>
      <c r="AP59" s="192" t="n"/>
      <c r="AQ59" s="192" t="n"/>
      <c r="AR59" s="192" t="n"/>
      <c r="AS59" s="192" t="n"/>
      <c r="AT59" s="182" t="n"/>
      <c r="AU59" s="176" t="n"/>
      <c r="AV59" s="176" t="n"/>
      <c r="AW59" s="176" t="n"/>
      <c r="AX59" s="176" t="n"/>
      <c r="AY59" s="176" t="n"/>
      <c r="AZ59" s="176" t="n"/>
      <c r="BA59" s="176" t="n"/>
      <c r="BB59" s="176" t="n"/>
      <c r="BC59" s="176" t="n"/>
      <c r="BD59" s="176" t="n"/>
      <c r="BE59" s="176" t="n"/>
      <c r="BF59" s="176" t="n"/>
      <c r="BG59" s="176" t="n"/>
      <c r="BH59" s="176" t="n"/>
      <c r="BI59" s="176" t="n"/>
      <c r="BJ59" s="176" t="n"/>
      <c r="BK59" s="176" t="n"/>
      <c r="BL59" s="176" t="n"/>
      <c r="BM59" s="176" t="n"/>
      <c r="BN59" s="176" t="n"/>
      <c r="BO59" s="176" t="n"/>
      <c r="BP59" s="176" t="n"/>
      <c r="BQ59" s="176" t="n"/>
      <c r="BR59" s="176" t="n"/>
    </row>
    <row r="60" ht="15" customHeight="1" s="392">
      <c r="A60" s="176" t="n"/>
      <c r="B60" s="180" t="n"/>
      <c r="C60" s="183" t="inlineStr">
        <is>
          <t xml:space="preserve">                    Other Intangible Assets</t>
        </is>
      </c>
      <c r="D60" s="190">
        <f>IF(COUNT(M60:AS60)&gt;0,MEDIAN(M60:AS60),"")</f>
        <v/>
      </c>
      <c r="E60" s="190">
        <f>IF(COUNT(M60:AS60)&gt;0,AVERAGE(M60:AS60),"")</f>
        <v/>
      </c>
      <c r="F60" s="190">
        <f>IF(COUNT(M60:AS60)&gt;0,MIN(M60:AS60),"")</f>
        <v/>
      </c>
      <c r="G60" s="190">
        <f>IF(COUNT(M60:AS60)&gt;0,MAX(M60:AS60),"")</f>
        <v/>
      </c>
      <c r="H60" s="190">
        <f>IF(COUNT(M60:AS60)&gt;0,QUARTILE(M60:AS60,1),"")</f>
        <v/>
      </c>
      <c r="I60" s="190">
        <f>IF(COUNT(M60:AS60)&gt;0,QUARTILE(M60:AS60,3),"")</f>
        <v/>
      </c>
      <c r="J60" s="190">
        <f>IF(COUNT(M60:AS60)&gt;1,STDEV(M60:AS60),"")</f>
        <v/>
      </c>
      <c r="K60" s="191">
        <f>IF(COUNT(M60:AS60)&gt;1,STDEV(M60:AS60)/AVERAGE(M60:AS60),"")</f>
        <v/>
      </c>
      <c r="M60" s="192" t="n"/>
      <c r="N60" s="192" t="n"/>
      <c r="O60" s="192" t="n"/>
      <c r="P60" s="192" t="n"/>
      <c r="Q60" s="192" t="n"/>
      <c r="R60" s="192" t="n"/>
      <c r="S60" s="192" t="n"/>
      <c r="T60" s="192" t="n"/>
      <c r="U60" s="192" t="n">
        <v>1666</v>
      </c>
      <c r="V60" s="192" t="n">
        <v>1702</v>
      </c>
      <c r="W60" s="192" t="n">
        <v>1702</v>
      </c>
      <c r="X60" s="192" t="n">
        <v>1691</v>
      </c>
      <c r="Y60" s="192" t="n">
        <v>1797</v>
      </c>
      <c r="Z60" s="192" t="n">
        <v>12515</v>
      </c>
      <c r="AA60" s="192" t="n">
        <v>11087</v>
      </c>
      <c r="AB60" s="192" t="n">
        <v>39471</v>
      </c>
      <c r="AC60" s="192" t="n">
        <v>34379</v>
      </c>
      <c r="AD60" s="192" t="n">
        <v>15212</v>
      </c>
      <c r="AE60" s="192" t="n">
        <v>21901</v>
      </c>
      <c r="AF60" s="192" t="n">
        <v>27442</v>
      </c>
      <c r="AG60" s="192" t="n">
        <v>1874</v>
      </c>
      <c r="AH60" s="192" t="n">
        <v>1938</v>
      </c>
      <c r="AI60" s="192" t="n">
        <v>115632</v>
      </c>
      <c r="AJ60" s="192" t="n">
        <v>116973</v>
      </c>
      <c r="AK60" s="192" t="n">
        <v>9166.4</v>
      </c>
      <c r="AL60" s="192" t="n">
        <v>8364.700000000001</v>
      </c>
      <c r="AM60" s="192" t="n">
        <v>90395.60000000001</v>
      </c>
      <c r="AN60" s="192" t="n">
        <v>77800</v>
      </c>
      <c r="AO60" s="192" t="n">
        <v>78400</v>
      </c>
      <c r="AP60" s="192" t="n">
        <v>75300</v>
      </c>
      <c r="AQ60" s="192" t="n">
        <v>74600</v>
      </c>
      <c r="AR60" s="192" t="n">
        <v>73700</v>
      </c>
      <c r="AS60" s="192" t="n">
        <v>29300</v>
      </c>
      <c r="AT60" s="182" t="n"/>
      <c r="AU60" s="176" t="n"/>
      <c r="AV60" s="176" t="n"/>
      <c r="AW60" s="176" t="n"/>
      <c r="AX60" s="176" t="n"/>
      <c r="AY60" s="176" t="n"/>
      <c r="AZ60" s="176" t="n"/>
      <c r="BA60" s="176" t="n"/>
      <c r="BB60" s="176" t="n"/>
      <c r="BC60" s="176" t="n"/>
      <c r="BD60" s="176" t="n"/>
      <c r="BE60" s="176" t="n"/>
      <c r="BF60" s="176" t="n"/>
      <c r="BG60" s="176" t="n"/>
      <c r="BH60" s="176" t="n"/>
      <c r="BI60" s="176" t="n"/>
      <c r="BJ60" s="176" t="n"/>
      <c r="BK60" s="176" t="n"/>
      <c r="BL60" s="176" t="n"/>
      <c r="BM60" s="176" t="n"/>
      <c r="BN60" s="176" t="n"/>
      <c r="BO60" s="176" t="n"/>
      <c r="BP60" s="176" t="n"/>
      <c r="BQ60" s="176" t="n"/>
      <c r="BR60" s="176" t="n"/>
    </row>
    <row r="61" ht="15" customHeight="1" s="392">
      <c r="A61" s="176" t="n"/>
      <c r="B61" s="180" t="n"/>
      <c r="C61" s="187" t="inlineStr">
        <is>
          <t xml:space="preserve">                Total Intangibles other than Goodwill</t>
        </is>
      </c>
      <c r="D61" s="193">
        <f>IF(COUNT(M61:AS61)&gt;0,MEDIAN(M61:AS61),"")</f>
        <v/>
      </c>
      <c r="E61" s="193">
        <f>IF(COUNT(M61:AS61)&gt;0,AVERAGE(M61:AS61),"")</f>
        <v/>
      </c>
      <c r="F61" s="193">
        <f>IF(COUNT(M61:AS61)&gt;0,MIN(M61:AS61),"")</f>
        <v/>
      </c>
      <c r="G61" s="193">
        <f>IF(COUNT(M61:AS61)&gt;0,MAX(M61:AS61),"")</f>
        <v/>
      </c>
      <c r="H61" s="193">
        <f>IF(COUNT(M61:AS61)&gt;0,QUARTILE(M61:AS61,1),"")</f>
        <v/>
      </c>
      <c r="I61" s="193">
        <f>IF(COUNT(M61:AS61)&gt;0,QUARTILE(M61:AS61,3),"")</f>
        <v/>
      </c>
      <c r="J61" s="193">
        <f>IF(COUNT(M61:AS61)&gt;1,STDEV(M61:AS61),"")</f>
        <v/>
      </c>
      <c r="K61" s="194">
        <f>IF(COUNT(M61:AS61)&gt;1,STDEV(M61:AS61)/AVERAGE(M61:AS61),"")</f>
        <v/>
      </c>
      <c r="L61" s="195" t="n"/>
      <c r="M61" s="196" t="n">
        <v>50477</v>
      </c>
      <c r="N61" s="196" t="n">
        <v>139652</v>
      </c>
      <c r="O61" s="196" t="n">
        <v>136653</v>
      </c>
      <c r="P61" s="196" t="n">
        <v>112043</v>
      </c>
      <c r="Q61" s="196" t="n">
        <v>91404</v>
      </c>
      <c r="R61" s="196" t="n">
        <v>75278</v>
      </c>
      <c r="S61" s="196" t="n">
        <v>81865</v>
      </c>
      <c r="T61" s="196" t="n">
        <v>80298</v>
      </c>
      <c r="U61" s="196" t="n">
        <v>106917</v>
      </c>
      <c r="V61" s="196" t="n">
        <v>106408</v>
      </c>
      <c r="W61" s="196" t="n">
        <v>35824</v>
      </c>
      <c r="X61" s="196" t="n">
        <v>36824</v>
      </c>
      <c r="Y61" s="196" t="n">
        <v>38526</v>
      </c>
      <c r="Z61" s="196" t="n">
        <v>52530</v>
      </c>
      <c r="AA61" s="196" t="n">
        <v>38444</v>
      </c>
      <c r="AB61" s="196" t="n">
        <v>39471</v>
      </c>
      <c r="AC61" s="196" t="n">
        <v>34379</v>
      </c>
      <c r="AD61" s="196" t="n">
        <v>15212</v>
      </c>
      <c r="AE61" s="196" t="n">
        <v>21901</v>
      </c>
      <c r="AF61" s="196" t="n">
        <v>27442</v>
      </c>
      <c r="AG61" s="196" t="n">
        <v>1874</v>
      </c>
      <c r="AH61" s="196" t="n">
        <v>1938</v>
      </c>
      <c r="AI61" s="196" t="n">
        <v>115632</v>
      </c>
      <c r="AJ61" s="196" t="n">
        <v>116973</v>
      </c>
      <c r="AK61" s="196" t="n">
        <v>9166.4</v>
      </c>
      <c r="AL61" s="196" t="n">
        <v>8364.700000000001</v>
      </c>
      <c r="AM61" s="196" t="n">
        <v>90395.60000000001</v>
      </c>
      <c r="AN61" s="196" t="n">
        <v>77800</v>
      </c>
      <c r="AO61" s="196" t="n">
        <v>78400</v>
      </c>
      <c r="AP61" s="196" t="n">
        <v>75300</v>
      </c>
      <c r="AQ61" s="196" t="n">
        <v>74600</v>
      </c>
      <c r="AR61" s="196" t="n">
        <v>73700</v>
      </c>
      <c r="AS61" s="196" t="n">
        <v>29300</v>
      </c>
      <c r="AT61" s="182" t="n"/>
      <c r="AU61" s="176" t="n"/>
      <c r="AV61" s="176" t="n"/>
      <c r="AW61" s="176" t="n"/>
      <c r="AX61" s="176" t="n"/>
      <c r="AY61" s="176" t="n"/>
      <c r="AZ61" s="176" t="n"/>
      <c r="BA61" s="176" t="n"/>
      <c r="BB61" s="176" t="n"/>
      <c r="BC61" s="176" t="n"/>
      <c r="BD61" s="176" t="n"/>
      <c r="BE61" s="176" t="n"/>
      <c r="BF61" s="176" t="n"/>
      <c r="BG61" s="176" t="n"/>
      <c r="BH61" s="176" t="n"/>
      <c r="BI61" s="176" t="n"/>
      <c r="BJ61" s="176" t="n"/>
      <c r="BK61" s="176" t="n"/>
      <c r="BL61" s="176" t="n"/>
      <c r="BM61" s="176" t="n"/>
      <c r="BN61" s="176" t="n"/>
      <c r="BO61" s="176" t="n"/>
      <c r="BP61" s="176" t="n"/>
      <c r="BQ61" s="176" t="n"/>
      <c r="BR61" s="176" t="n"/>
    </row>
    <row r="62" ht="15" customHeight="1" s="392">
      <c r="A62" s="176" t="n"/>
      <c r="B62" s="180" t="n"/>
      <c r="C62" s="187" t="inlineStr">
        <is>
          <t xml:space="preserve">            Total Gross Goodwill and Other Intangible Assets</t>
        </is>
      </c>
      <c r="D62" s="193">
        <f>IF(COUNT(M62:AS62)&gt;0,MEDIAN(M62:AS62),"")</f>
        <v/>
      </c>
      <c r="E62" s="193">
        <f>IF(COUNT(M62:AS62)&gt;0,AVERAGE(M62:AS62),"")</f>
        <v/>
      </c>
      <c r="F62" s="193">
        <f>IF(COUNT(M62:AS62)&gt;0,MIN(M62:AS62),"")</f>
        <v/>
      </c>
      <c r="G62" s="193">
        <f>IF(COUNT(M62:AS62)&gt;0,MAX(M62:AS62),"")</f>
        <v/>
      </c>
      <c r="H62" s="193">
        <f>IF(COUNT(M62:AS62)&gt;0,QUARTILE(M62:AS62,1),"")</f>
        <v/>
      </c>
      <c r="I62" s="193">
        <f>IF(COUNT(M62:AS62)&gt;0,QUARTILE(M62:AS62,3),"")</f>
        <v/>
      </c>
      <c r="J62" s="193">
        <f>IF(COUNT(M62:AS62)&gt;1,STDEV(M62:AS62),"")</f>
        <v/>
      </c>
      <c r="K62" s="194">
        <f>IF(COUNT(M62:AS62)&gt;1,STDEV(M62:AS62)/AVERAGE(M62:AS62),"")</f>
        <v/>
      </c>
      <c r="L62" s="195" t="n"/>
      <c r="M62" s="196" t="n">
        <v>561774</v>
      </c>
      <c r="N62" s="196" t="n">
        <v>657431</v>
      </c>
      <c r="O62" s="196" t="n">
        <v>650562</v>
      </c>
      <c r="P62" s="196" t="n">
        <v>506332</v>
      </c>
      <c r="Q62" s="196" t="n">
        <v>493358</v>
      </c>
      <c r="R62" s="196" t="n">
        <v>430995</v>
      </c>
      <c r="S62" s="196" t="n">
        <v>425487</v>
      </c>
      <c r="T62" s="196" t="n">
        <v>413619</v>
      </c>
      <c r="U62" s="196" t="n">
        <v>444152</v>
      </c>
      <c r="V62" s="196" t="n">
        <v>446651</v>
      </c>
      <c r="W62" s="196" t="n">
        <v>296022</v>
      </c>
      <c r="X62" s="196" t="n">
        <v>308674</v>
      </c>
      <c r="Y62" s="196" t="n">
        <v>322306</v>
      </c>
      <c r="Z62" s="196" t="n">
        <v>319993</v>
      </c>
      <c r="AA62" s="196" t="n">
        <v>234882</v>
      </c>
      <c r="AB62" s="196" t="n">
        <v>238091</v>
      </c>
      <c r="AC62" s="196" t="n">
        <v>210249</v>
      </c>
      <c r="AD62" s="196" t="n">
        <v>181539</v>
      </c>
      <c r="AE62" s="196" t="n">
        <v>199065</v>
      </c>
      <c r="AF62" s="196" t="n">
        <v>189087</v>
      </c>
      <c r="AG62" s="196" t="n">
        <v>114165</v>
      </c>
      <c r="AH62" s="196" t="n">
        <v>118313</v>
      </c>
      <c r="AI62" s="196" t="n">
        <v>115632</v>
      </c>
      <c r="AJ62" s="196" t="n">
        <v>116973</v>
      </c>
      <c r="AK62" s="196" t="n">
        <v>112086.5</v>
      </c>
      <c r="AL62" s="196" t="n">
        <v>91118.10000000001</v>
      </c>
      <c r="AM62" s="196" t="n">
        <v>90395.60000000001</v>
      </c>
      <c r="AN62" s="196" t="n">
        <v>77800</v>
      </c>
      <c r="AO62" s="196" t="n">
        <v>78400</v>
      </c>
      <c r="AP62" s="196" t="n">
        <v>75300</v>
      </c>
      <c r="AQ62" s="196" t="n">
        <v>74600</v>
      </c>
      <c r="AR62" s="196" t="n">
        <v>73700</v>
      </c>
      <c r="AS62" s="196" t="n">
        <v>29300</v>
      </c>
      <c r="AT62" s="182" t="n"/>
      <c r="AU62" s="176" t="n"/>
      <c r="AV62" s="176" t="n"/>
      <c r="AW62" s="176" t="n"/>
      <c r="AX62" s="176" t="n"/>
      <c r="AY62" s="176" t="n"/>
      <c r="AZ62" s="176" t="n"/>
      <c r="BA62" s="176" t="n"/>
      <c r="BB62" s="176" t="n"/>
      <c r="BC62" s="176" t="n"/>
      <c r="BD62" s="176" t="n"/>
      <c r="BE62" s="176" t="n"/>
      <c r="BF62" s="176" t="n"/>
      <c r="BG62" s="176" t="n"/>
      <c r="BH62" s="176" t="n"/>
      <c r="BI62" s="176" t="n"/>
      <c r="BJ62" s="176" t="n"/>
      <c r="BK62" s="176" t="n"/>
      <c r="BL62" s="176" t="n"/>
      <c r="BM62" s="176" t="n"/>
      <c r="BN62" s="176" t="n"/>
      <c r="BO62" s="176" t="n"/>
      <c r="BP62" s="176" t="n"/>
      <c r="BQ62" s="176" t="n"/>
      <c r="BR62" s="176" t="n"/>
    </row>
    <row r="63" ht="15" customHeight="1" s="392">
      <c r="A63" s="176" t="n"/>
      <c r="B63" s="180" t="n"/>
      <c r="C63" s="183" t="inlineStr">
        <is>
          <t xml:space="preserve">            Accumulated Amortization and Impairment</t>
        </is>
      </c>
      <c r="D63" s="185" t="n"/>
      <c r="E63" s="185" t="n"/>
      <c r="F63" s="185" t="n"/>
      <c r="G63" s="185" t="n"/>
      <c r="H63" s="185" t="n"/>
      <c r="I63" s="185" t="n"/>
      <c r="J63" s="185" t="n"/>
      <c r="K63" s="185" t="n"/>
      <c r="AT63" s="182" t="n"/>
      <c r="AU63" s="176" t="n"/>
      <c r="AV63" s="176" t="n"/>
      <c r="AW63" s="176" t="n"/>
      <c r="AX63" s="176" t="n"/>
      <c r="AY63" s="176" t="n"/>
      <c r="AZ63" s="176" t="n"/>
      <c r="BA63" s="176" t="n"/>
      <c r="BB63" s="176" t="n"/>
      <c r="BC63" s="176" t="n"/>
      <c r="BD63" s="176" t="n"/>
      <c r="BE63" s="176" t="n"/>
      <c r="BF63" s="176" t="n"/>
      <c r="BG63" s="176" t="n"/>
      <c r="BH63" s="176" t="n"/>
      <c r="BI63" s="176" t="n"/>
      <c r="BJ63" s="176" t="n"/>
      <c r="BK63" s="176" t="n"/>
      <c r="BL63" s="176" t="n"/>
      <c r="BM63" s="176" t="n"/>
      <c r="BN63" s="176" t="n"/>
      <c r="BO63" s="176" t="n"/>
      <c r="BP63" s="176" t="n"/>
      <c r="BQ63" s="176" t="n"/>
      <c r="BR63" s="176" t="n"/>
    </row>
    <row r="64" ht="15" customHeight="1" s="392">
      <c r="A64" s="176" t="n"/>
      <c r="B64" s="180" t="n"/>
      <c r="C64" s="183" t="inlineStr">
        <is>
          <t xml:space="preserve">                Accumulated Amortization of Intangible Assets</t>
        </is>
      </c>
      <c r="D64" s="185" t="n"/>
      <c r="E64" s="185" t="n"/>
      <c r="F64" s="185" t="n"/>
      <c r="G64" s="185" t="n"/>
      <c r="H64" s="185" t="n"/>
      <c r="I64" s="185" t="n"/>
      <c r="J64" s="185" t="n"/>
      <c r="K64" s="185" t="n"/>
      <c r="AT64" s="182" t="n"/>
      <c r="AU64" s="176" t="n"/>
      <c r="AV64" s="176" t="n"/>
      <c r="AW64" s="176" t="n"/>
      <c r="AX64" s="176" t="n"/>
      <c r="AY64" s="176" t="n"/>
      <c r="AZ64" s="176" t="n"/>
      <c r="BA64" s="176" t="n"/>
      <c r="BB64" s="176" t="n"/>
      <c r="BC64" s="176" t="n"/>
      <c r="BD64" s="176" t="n"/>
      <c r="BE64" s="176" t="n"/>
      <c r="BF64" s="176" t="n"/>
      <c r="BG64" s="176" t="n"/>
      <c r="BH64" s="176" t="n"/>
      <c r="BI64" s="176" t="n"/>
      <c r="BJ64" s="176" t="n"/>
      <c r="BK64" s="176" t="n"/>
      <c r="BL64" s="176" t="n"/>
      <c r="BM64" s="176" t="n"/>
      <c r="BN64" s="176" t="n"/>
      <c r="BO64" s="176" t="n"/>
      <c r="BP64" s="176" t="n"/>
      <c r="BQ64" s="176" t="n"/>
      <c r="BR64" s="176" t="n"/>
    </row>
    <row r="65" ht="15" customHeight="1" s="392">
      <c r="A65" s="176" t="n"/>
      <c r="B65" s="180" t="n"/>
      <c r="C65" s="183" t="inlineStr">
        <is>
          <t xml:space="preserve">                    Accumulated Amortization of Intangibles other than Goodwill</t>
        </is>
      </c>
      <c r="D65" s="185" t="n"/>
      <c r="E65" s="185" t="n"/>
      <c r="F65" s="185" t="n"/>
      <c r="G65" s="185" t="n"/>
      <c r="H65" s="185" t="n"/>
      <c r="I65" s="185" t="n"/>
      <c r="J65" s="185" t="n"/>
      <c r="K65" s="185" t="n"/>
      <c r="AT65" s="182" t="n"/>
      <c r="AU65" s="176" t="n"/>
      <c r="AV65" s="176" t="n"/>
      <c r="AW65" s="176" t="n"/>
      <c r="AX65" s="176" t="n"/>
      <c r="AY65" s="176" t="n"/>
      <c r="AZ65" s="176" t="n"/>
      <c r="BA65" s="176" t="n"/>
      <c r="BB65" s="176" t="n"/>
      <c r="BC65" s="176" t="n"/>
      <c r="BD65" s="176" t="n"/>
      <c r="BE65" s="176" t="n"/>
      <c r="BF65" s="176" t="n"/>
      <c r="BG65" s="176" t="n"/>
      <c r="BH65" s="176" t="n"/>
      <c r="BI65" s="176" t="n"/>
      <c r="BJ65" s="176" t="n"/>
      <c r="BK65" s="176" t="n"/>
      <c r="BL65" s="176" t="n"/>
      <c r="BM65" s="176" t="n"/>
      <c r="BN65" s="176" t="n"/>
      <c r="BO65" s="176" t="n"/>
      <c r="BP65" s="176" t="n"/>
      <c r="BQ65" s="176" t="n"/>
      <c r="BR65" s="176" t="n"/>
    </row>
    <row r="66" ht="15" customHeight="1" s="392">
      <c r="A66" s="176" t="n"/>
      <c r="B66" s="180" t="n"/>
      <c r="C66" s="183" t="inlineStr">
        <is>
          <t xml:space="preserve">                        Accumulated Amortization of Trademarks and Patents</t>
        </is>
      </c>
      <c r="D66" s="190">
        <f>IF(COUNT(M66:AS66)&gt;0,MEDIAN(M66:AS66),"")</f>
        <v/>
      </c>
      <c r="E66" s="190">
        <f>IF(COUNT(M66:AS66)&gt;0,AVERAGE(M66:AS66),"")</f>
        <v/>
      </c>
      <c r="F66" s="190">
        <f>IF(COUNT(M66:AS66)&gt;0,MIN(M66:AS66),"")</f>
        <v/>
      </c>
      <c r="G66" s="190">
        <f>IF(COUNT(M66:AS66)&gt;0,MAX(M66:AS66),"")</f>
        <v/>
      </c>
      <c r="H66" s="190">
        <f>IF(COUNT(M66:AS66)&gt;0,QUARTILE(M66:AS66,1),"")</f>
        <v/>
      </c>
      <c r="I66" s="190">
        <f>IF(COUNT(M66:AS66)&gt;0,QUARTILE(M66:AS66,3),"")</f>
        <v/>
      </c>
      <c r="J66" s="190">
        <f>IF(COUNT(M66:AS66)&gt;1,STDEV(M66:AS66),"")</f>
        <v/>
      </c>
      <c r="K66" s="191">
        <f>IF(COUNT(M66:AS66)&gt;1,STDEV(M66:AS66)/AVERAGE(M66:AS66),"")</f>
        <v/>
      </c>
      <c r="M66" s="192" t="n"/>
      <c r="N66" s="192" t="n">
        <v>-14451</v>
      </c>
      <c r="O66" s="192" t="n">
        <v>-12705</v>
      </c>
      <c r="P66" s="192" t="n">
        <v>-11045</v>
      </c>
      <c r="Q66" s="192" t="n">
        <v>-8867</v>
      </c>
      <c r="R66" s="192" t="n">
        <v>-7163</v>
      </c>
      <c r="S66" s="192" t="n">
        <v>-10075</v>
      </c>
      <c r="T66" s="192" t="n">
        <v>-8010</v>
      </c>
      <c r="U66" s="192" t="n">
        <v>-6405</v>
      </c>
      <c r="V66" s="192" t="n">
        <v>-4989</v>
      </c>
      <c r="W66" s="192" t="n">
        <v>-3423</v>
      </c>
      <c r="X66" s="192" t="n">
        <v>-2467</v>
      </c>
      <c r="Y66" s="192" t="n">
        <v>-1479</v>
      </c>
      <c r="Z66" s="192" t="n">
        <v>-402</v>
      </c>
      <c r="AA66" s="192" t="n"/>
      <c r="AB66" s="192" t="n"/>
      <c r="AC66" s="192" t="n"/>
      <c r="AD66" s="192" t="n"/>
      <c r="AE66" s="192" t="n"/>
      <c r="AF66" s="192" t="n"/>
      <c r="AG66" s="192" t="n"/>
      <c r="AH66" s="192" t="n"/>
      <c r="AI66" s="192" t="n"/>
      <c r="AJ66" s="192" t="n"/>
      <c r="AK66" s="192" t="n"/>
      <c r="AL66" s="192" t="n"/>
      <c r="AM66" s="192" t="n"/>
      <c r="AN66" s="192" t="n"/>
      <c r="AO66" s="192" t="n"/>
      <c r="AP66" s="192" t="n"/>
      <c r="AQ66" s="192" t="n"/>
      <c r="AR66" s="192" t="n"/>
      <c r="AS66" s="192" t="n"/>
      <c r="AT66" s="182" t="n"/>
      <c r="AU66" s="176" t="n"/>
      <c r="AV66" s="176" t="n"/>
      <c r="AW66" s="176" t="n"/>
      <c r="AX66" s="176" t="n"/>
      <c r="AY66" s="176" t="n"/>
      <c r="AZ66" s="176" t="n"/>
      <c r="BA66" s="176" t="n"/>
      <c r="BB66" s="176" t="n"/>
      <c r="BC66" s="176" t="n"/>
      <c r="BD66" s="176" t="n"/>
      <c r="BE66" s="176" t="n"/>
      <c r="BF66" s="176" t="n"/>
      <c r="BG66" s="176" t="n"/>
      <c r="BH66" s="176" t="n"/>
      <c r="BI66" s="176" t="n"/>
      <c r="BJ66" s="176" t="n"/>
      <c r="BK66" s="176" t="n"/>
      <c r="BL66" s="176" t="n"/>
      <c r="BM66" s="176" t="n"/>
      <c r="BN66" s="176" t="n"/>
      <c r="BO66" s="176" t="n"/>
      <c r="BP66" s="176" t="n"/>
      <c r="BQ66" s="176" t="n"/>
      <c r="BR66" s="176" t="n"/>
    </row>
    <row r="67" ht="15" customHeight="1" s="392">
      <c r="A67" s="176" t="n"/>
      <c r="B67" s="180" t="n"/>
      <c r="C67" s="183" t="inlineStr">
        <is>
          <t xml:space="preserve">                        Accumulated Amortization of Licences and Rights</t>
        </is>
      </c>
      <c r="D67" s="190">
        <f>IF(COUNT(M67:AS67)&gt;0,MEDIAN(M67:AS67),"")</f>
        <v/>
      </c>
      <c r="E67" s="190">
        <f>IF(COUNT(M67:AS67)&gt;0,AVERAGE(M67:AS67),"")</f>
        <v/>
      </c>
      <c r="F67" s="190">
        <f>IF(COUNT(M67:AS67)&gt;0,MIN(M67:AS67),"")</f>
        <v/>
      </c>
      <c r="G67" s="190">
        <f>IF(COUNT(M67:AS67)&gt;0,MAX(M67:AS67),"")</f>
        <v/>
      </c>
      <c r="H67" s="190">
        <f>IF(COUNT(M67:AS67)&gt;0,QUARTILE(M67:AS67,1),"")</f>
        <v/>
      </c>
      <c r="I67" s="190">
        <f>IF(COUNT(M67:AS67)&gt;0,QUARTILE(M67:AS67,3),"")</f>
        <v/>
      </c>
      <c r="J67" s="190">
        <f>IF(COUNT(M67:AS67)&gt;1,STDEV(M67:AS67),"")</f>
        <v/>
      </c>
      <c r="K67" s="191">
        <f>IF(COUNT(M67:AS67)&gt;1,STDEV(M67:AS67)/AVERAGE(M67:AS67),"")</f>
        <v/>
      </c>
      <c r="M67" s="192" t="n"/>
      <c r="N67" s="192" t="n">
        <v>-3622</v>
      </c>
      <c r="O67" s="192" t="n">
        <v>-1996</v>
      </c>
      <c r="P67" s="192" t="n">
        <v>-682</v>
      </c>
      <c r="Q67" s="192" t="n">
        <v>-560</v>
      </c>
      <c r="R67" s="192" t="n">
        <v>-503</v>
      </c>
      <c r="S67" s="192" t="n">
        <v>-7238</v>
      </c>
      <c r="T67" s="192" t="n">
        <v>-5232</v>
      </c>
      <c r="U67" s="192" t="n">
        <v>-4363</v>
      </c>
      <c r="V67" s="192" t="n">
        <v>-1844</v>
      </c>
      <c r="W67" s="192" t="n">
        <v>-2353</v>
      </c>
      <c r="X67" s="192" t="n">
        <v>-2049</v>
      </c>
      <c r="Y67" s="192" t="n">
        <v>-1443</v>
      </c>
      <c r="Z67" s="192" t="n">
        <v>-1305</v>
      </c>
      <c r="AA67" s="192" t="n">
        <v>-1012</v>
      </c>
      <c r="AB67" s="192" t="n"/>
      <c r="AC67" s="192" t="n"/>
      <c r="AD67" s="192" t="n"/>
      <c r="AE67" s="192" t="n"/>
      <c r="AF67" s="192" t="n"/>
      <c r="AG67" s="192" t="n"/>
      <c r="AH67" s="192" t="n"/>
      <c r="AI67" s="192" t="n"/>
      <c r="AJ67" s="192" t="n"/>
      <c r="AK67" s="192" t="n"/>
      <c r="AL67" s="192" t="n"/>
      <c r="AM67" s="192" t="n"/>
      <c r="AN67" s="192" t="n"/>
      <c r="AO67" s="192" t="n"/>
      <c r="AP67" s="192" t="n"/>
      <c r="AQ67" s="192" t="n"/>
      <c r="AR67" s="192" t="n"/>
      <c r="AS67" s="192" t="n"/>
      <c r="AT67" s="182" t="n"/>
      <c r="AU67" s="176" t="n"/>
      <c r="AV67" s="176" t="n"/>
      <c r="AW67" s="176" t="n"/>
      <c r="AX67" s="176" t="n"/>
      <c r="AY67" s="176" t="n"/>
      <c r="AZ67" s="176" t="n"/>
      <c r="BA67" s="176" t="n"/>
      <c r="BB67" s="176" t="n"/>
      <c r="BC67" s="176" t="n"/>
      <c r="BD67" s="176" t="n"/>
      <c r="BE67" s="176" t="n"/>
      <c r="BF67" s="176" t="n"/>
      <c r="BG67" s="176" t="n"/>
      <c r="BH67" s="176" t="n"/>
      <c r="BI67" s="176" t="n"/>
      <c r="BJ67" s="176" t="n"/>
      <c r="BK67" s="176" t="n"/>
      <c r="BL67" s="176" t="n"/>
      <c r="BM67" s="176" t="n"/>
      <c r="BN67" s="176" t="n"/>
      <c r="BO67" s="176" t="n"/>
      <c r="BP67" s="176" t="n"/>
      <c r="BQ67" s="176" t="n"/>
      <c r="BR67" s="176" t="n"/>
    </row>
    <row r="68" ht="15" customHeight="1" s="392">
      <c r="A68" s="176" t="n"/>
      <c r="B68" s="180" t="n"/>
      <c r="C68" s="183" t="inlineStr">
        <is>
          <t xml:space="preserve">                        Accumulated Amortization of Customer Relationships</t>
        </is>
      </c>
      <c r="D68" s="190">
        <f>IF(COUNT(M68:AS68)&gt;0,MEDIAN(M68:AS68),"")</f>
        <v/>
      </c>
      <c r="E68" s="190">
        <f>IF(COUNT(M68:AS68)&gt;0,AVERAGE(M68:AS68),"")</f>
        <v/>
      </c>
      <c r="F68" s="190">
        <f>IF(COUNT(M68:AS68)&gt;0,MIN(M68:AS68),"")</f>
        <v/>
      </c>
      <c r="G68" s="190">
        <f>IF(COUNT(M68:AS68)&gt;0,MAX(M68:AS68),"")</f>
        <v/>
      </c>
      <c r="H68" s="190">
        <f>IF(COUNT(M68:AS68)&gt;0,QUARTILE(M68:AS68,1),"")</f>
        <v/>
      </c>
      <c r="I68" s="190">
        <f>IF(COUNT(M68:AS68)&gt;0,QUARTILE(M68:AS68,3),"")</f>
        <v/>
      </c>
      <c r="J68" s="190">
        <f>IF(COUNT(M68:AS68)&gt;1,STDEV(M68:AS68),"")</f>
        <v/>
      </c>
      <c r="K68" s="191">
        <f>IF(COUNT(M68:AS68)&gt;1,STDEV(M68:AS68)/AVERAGE(M68:AS68),"")</f>
        <v/>
      </c>
      <c r="M68" s="192" t="n"/>
      <c r="N68" s="192" t="n">
        <v>-58747</v>
      </c>
      <c r="O68" s="192" t="n">
        <v>-47864</v>
      </c>
      <c r="P68" s="192" t="n">
        <v>-37614</v>
      </c>
      <c r="Q68" s="192" t="n">
        <v>-27297</v>
      </c>
      <c r="R68" s="192" t="n">
        <v>-21739</v>
      </c>
      <c r="S68" s="192" t="n">
        <v>-16780</v>
      </c>
      <c r="T68" s="192" t="n">
        <v>-11900</v>
      </c>
      <c r="U68" s="192" t="n">
        <v>-29601</v>
      </c>
      <c r="V68" s="192" t="n">
        <v>-22248</v>
      </c>
      <c r="W68" s="192" t="n">
        <v>-17052</v>
      </c>
      <c r="X68" s="192" t="n">
        <v>-13551</v>
      </c>
      <c r="Y68" s="192" t="n">
        <v>-9747</v>
      </c>
      <c r="Z68" s="192" t="n">
        <v>-22152</v>
      </c>
      <c r="AA68" s="192" t="n">
        <v>-18762</v>
      </c>
      <c r="AB68" s="192" t="n"/>
      <c r="AC68" s="192" t="n"/>
      <c r="AD68" s="192" t="n"/>
      <c r="AE68" s="192" t="n"/>
      <c r="AF68" s="192" t="n"/>
      <c r="AG68" s="192" t="n"/>
      <c r="AH68" s="192" t="n"/>
      <c r="AI68" s="192" t="n"/>
      <c r="AJ68" s="192" t="n"/>
      <c r="AK68" s="192" t="n"/>
      <c r="AL68" s="192" t="n"/>
      <c r="AM68" s="192" t="n"/>
      <c r="AN68" s="192" t="n"/>
      <c r="AO68" s="192" t="n"/>
      <c r="AP68" s="192" t="n"/>
      <c r="AQ68" s="192" t="n"/>
      <c r="AR68" s="192" t="n"/>
      <c r="AS68" s="192" t="n"/>
      <c r="AT68" s="182" t="n"/>
      <c r="AU68" s="176" t="n"/>
      <c r="AV68" s="176" t="n"/>
      <c r="AW68" s="176" t="n"/>
      <c r="AX68" s="176" t="n"/>
      <c r="AY68" s="176" t="n"/>
      <c r="AZ68" s="176" t="n"/>
      <c r="BA68" s="176" t="n"/>
      <c r="BB68" s="176" t="n"/>
      <c r="BC68" s="176" t="n"/>
      <c r="BD68" s="176" t="n"/>
      <c r="BE68" s="176" t="n"/>
      <c r="BF68" s="176" t="n"/>
      <c r="BG68" s="176" t="n"/>
      <c r="BH68" s="176" t="n"/>
      <c r="BI68" s="176" t="n"/>
      <c r="BJ68" s="176" t="n"/>
      <c r="BK68" s="176" t="n"/>
      <c r="BL68" s="176" t="n"/>
      <c r="BM68" s="176" t="n"/>
      <c r="BN68" s="176" t="n"/>
      <c r="BO68" s="176" t="n"/>
      <c r="BP68" s="176" t="n"/>
      <c r="BQ68" s="176" t="n"/>
      <c r="BR68" s="176" t="n"/>
    </row>
    <row r="69" ht="15" customHeight="1" s="392">
      <c r="A69" s="176" t="n"/>
      <c r="B69" s="180" t="n"/>
      <c r="C69" s="183" t="inlineStr">
        <is>
          <t xml:space="preserve">                        Accumulated Amortization of Other Intangible Assets</t>
        </is>
      </c>
      <c r="D69" s="190">
        <f>IF(COUNT(M69:AS69)&gt;0,MEDIAN(M69:AS69),"")</f>
        <v/>
      </c>
      <c r="E69" s="190">
        <f>IF(COUNT(M69:AS69)&gt;0,AVERAGE(M69:AS69),"")</f>
        <v/>
      </c>
      <c r="F69" s="190">
        <f>IF(COUNT(M69:AS69)&gt;0,MIN(M69:AS69),"")</f>
        <v/>
      </c>
      <c r="G69" s="190">
        <f>IF(COUNT(M69:AS69)&gt;0,MAX(M69:AS69),"")</f>
        <v/>
      </c>
      <c r="H69" s="190">
        <f>IF(COUNT(M69:AS69)&gt;0,QUARTILE(M69:AS69,1),"")</f>
        <v/>
      </c>
      <c r="I69" s="190">
        <f>IF(COUNT(M69:AS69)&gt;0,QUARTILE(M69:AS69,3),"")</f>
        <v/>
      </c>
      <c r="J69" s="190">
        <f>IF(COUNT(M69:AS69)&gt;1,STDEV(M69:AS69),"")</f>
        <v/>
      </c>
      <c r="K69" s="191">
        <f>IF(COUNT(M69:AS69)&gt;1,STDEV(M69:AS69)/AVERAGE(M69:AS69),"")</f>
        <v/>
      </c>
      <c r="M69" s="192" t="n"/>
      <c r="N69" s="192" t="n"/>
      <c r="O69" s="192" t="n"/>
      <c r="P69" s="192" t="n"/>
      <c r="Q69" s="192" t="n"/>
      <c r="R69" s="192" t="n"/>
      <c r="S69" s="192" t="n"/>
      <c r="T69" s="192" t="n"/>
      <c r="U69" s="192" t="n">
        <v>-1656</v>
      </c>
      <c r="V69" s="192" t="n">
        <v>-1389</v>
      </c>
      <c r="W69" s="192" t="n">
        <v>-1235</v>
      </c>
      <c r="X69" s="192" t="n">
        <v>-900</v>
      </c>
      <c r="Y69" s="192" t="n">
        <v>-615</v>
      </c>
      <c r="Z69" s="192" t="n">
        <v>-10965</v>
      </c>
      <c r="AA69" s="192" t="n">
        <v>-10685</v>
      </c>
      <c r="AB69" s="192" t="n"/>
      <c r="AC69" s="192" t="n"/>
      <c r="AD69" s="192" t="n"/>
      <c r="AE69" s="192" t="n"/>
      <c r="AF69" s="192" t="n"/>
      <c r="AG69" s="192" t="n"/>
      <c r="AH69" s="192" t="n"/>
      <c r="AI69" s="192" t="n"/>
      <c r="AJ69" s="192" t="n"/>
      <c r="AK69" s="192" t="n"/>
      <c r="AL69" s="192" t="n"/>
      <c r="AM69" s="192" t="n"/>
      <c r="AN69" s="192" t="n"/>
      <c r="AO69" s="192" t="n"/>
      <c r="AP69" s="192" t="n"/>
      <c r="AQ69" s="192" t="n"/>
      <c r="AR69" s="192" t="n"/>
      <c r="AS69" s="192" t="n"/>
      <c r="AT69" s="182" t="n"/>
      <c r="AU69" s="176" t="n"/>
      <c r="AV69" s="176" t="n"/>
      <c r="AW69" s="176" t="n"/>
      <c r="AX69" s="176" t="n"/>
      <c r="AY69" s="176" t="n"/>
      <c r="AZ69" s="176" t="n"/>
      <c r="BA69" s="176" t="n"/>
      <c r="BB69" s="176" t="n"/>
      <c r="BC69" s="176" t="n"/>
      <c r="BD69" s="176" t="n"/>
      <c r="BE69" s="176" t="n"/>
      <c r="BF69" s="176" t="n"/>
      <c r="BG69" s="176" t="n"/>
      <c r="BH69" s="176" t="n"/>
      <c r="BI69" s="176" t="n"/>
      <c r="BJ69" s="176" t="n"/>
      <c r="BK69" s="176" t="n"/>
      <c r="BL69" s="176" t="n"/>
      <c r="BM69" s="176" t="n"/>
      <c r="BN69" s="176" t="n"/>
      <c r="BO69" s="176" t="n"/>
      <c r="BP69" s="176" t="n"/>
      <c r="BQ69" s="176" t="n"/>
      <c r="BR69" s="176" t="n"/>
    </row>
    <row r="70" ht="15" customHeight="1" s="392">
      <c r="A70" s="176" t="n"/>
      <c r="B70" s="180" t="n"/>
      <c r="C70" s="187" t="inlineStr">
        <is>
          <t xml:space="preserve">                    Total Accumulated Amortization of Intangibles other than Goodwill</t>
        </is>
      </c>
      <c r="D70" s="193">
        <f>IF(COUNT(M70:AS70)&gt;0,MEDIAN(M70:AS70),"")</f>
        <v/>
      </c>
      <c r="E70" s="193">
        <f>IF(COUNT(M70:AS70)&gt;0,AVERAGE(M70:AS70),"")</f>
        <v/>
      </c>
      <c r="F70" s="193">
        <f>IF(COUNT(M70:AS70)&gt;0,MIN(M70:AS70),"")</f>
        <v/>
      </c>
      <c r="G70" s="193">
        <f>IF(COUNT(M70:AS70)&gt;0,MAX(M70:AS70),"")</f>
        <v/>
      </c>
      <c r="H70" s="193">
        <f>IF(COUNT(M70:AS70)&gt;0,QUARTILE(M70:AS70,1),"")</f>
        <v/>
      </c>
      <c r="I70" s="193">
        <f>IF(COUNT(M70:AS70)&gt;0,QUARTILE(M70:AS70,3),"")</f>
        <v/>
      </c>
      <c r="J70" s="193">
        <f>IF(COUNT(M70:AS70)&gt;1,STDEV(M70:AS70),"")</f>
        <v/>
      </c>
      <c r="K70" s="194">
        <f>IF(COUNT(M70:AS70)&gt;1,STDEV(M70:AS70)/AVERAGE(M70:AS70),"")</f>
        <v/>
      </c>
      <c r="L70" s="195" t="n"/>
      <c r="M70" s="196" t="n"/>
      <c r="N70" s="196" t="n">
        <v>-76820</v>
      </c>
      <c r="O70" s="196" t="n">
        <v>-62565</v>
      </c>
      <c r="P70" s="196" t="n">
        <v>-49341</v>
      </c>
      <c r="Q70" s="196" t="n">
        <v>-36724</v>
      </c>
      <c r="R70" s="196" t="n">
        <v>-29405</v>
      </c>
      <c r="S70" s="196" t="n">
        <v>-34093</v>
      </c>
      <c r="T70" s="196" t="n">
        <v>-25142</v>
      </c>
      <c r="U70" s="196" t="n">
        <v>-42025</v>
      </c>
      <c r="V70" s="196" t="n">
        <v>-30470</v>
      </c>
      <c r="W70" s="196" t="n">
        <v>-24063</v>
      </c>
      <c r="X70" s="196" t="n">
        <v>-18967</v>
      </c>
      <c r="Y70" s="196" t="n">
        <v>-13284</v>
      </c>
      <c r="Z70" s="196" t="n">
        <v>-34824</v>
      </c>
      <c r="AA70" s="196" t="n">
        <v>-30459</v>
      </c>
      <c r="AB70" s="196" t="n"/>
      <c r="AC70" s="196" t="n"/>
      <c r="AD70" s="196" t="n"/>
      <c r="AE70" s="196" t="n"/>
      <c r="AF70" s="196" t="n"/>
      <c r="AG70" s="196" t="n"/>
      <c r="AH70" s="196" t="n"/>
      <c r="AI70" s="196" t="n"/>
      <c r="AJ70" s="196" t="n"/>
      <c r="AK70" s="196" t="n"/>
      <c r="AL70" s="196" t="n"/>
      <c r="AM70" s="196" t="n"/>
      <c r="AN70" s="196" t="n"/>
      <c r="AO70" s="196" t="n"/>
      <c r="AP70" s="196" t="n"/>
      <c r="AQ70" s="196" t="n"/>
      <c r="AR70" s="196" t="n"/>
      <c r="AS70" s="196" t="n"/>
      <c r="AT70" s="182" t="n"/>
      <c r="AU70" s="176" t="n"/>
      <c r="AV70" s="176" t="n"/>
      <c r="AW70" s="176" t="n"/>
      <c r="AX70" s="176" t="n"/>
      <c r="AY70" s="176" t="n"/>
      <c r="AZ70" s="176" t="n"/>
      <c r="BA70" s="176" t="n"/>
      <c r="BB70" s="176" t="n"/>
      <c r="BC70" s="176" t="n"/>
      <c r="BD70" s="176" t="n"/>
      <c r="BE70" s="176" t="n"/>
      <c r="BF70" s="176" t="n"/>
      <c r="BG70" s="176" t="n"/>
      <c r="BH70" s="176" t="n"/>
      <c r="BI70" s="176" t="n"/>
      <c r="BJ70" s="176" t="n"/>
      <c r="BK70" s="176" t="n"/>
      <c r="BL70" s="176" t="n"/>
      <c r="BM70" s="176" t="n"/>
      <c r="BN70" s="176" t="n"/>
      <c r="BO70" s="176" t="n"/>
      <c r="BP70" s="176" t="n"/>
      <c r="BQ70" s="176" t="n"/>
      <c r="BR70" s="176" t="n"/>
    </row>
    <row r="71" ht="15" customHeight="1" s="392">
      <c r="A71" s="176" t="n"/>
      <c r="B71" s="180" t="n"/>
      <c r="C71" s="187" t="inlineStr">
        <is>
          <t xml:space="preserve">                Total Accumulated Amortization of Intangible Assets</t>
        </is>
      </c>
      <c r="D71" s="193">
        <f>IF(COUNT(M71:AS71)&gt;0,MEDIAN(M71:AS71),"")</f>
        <v/>
      </c>
      <c r="E71" s="193">
        <f>IF(COUNT(M71:AS71)&gt;0,AVERAGE(M71:AS71),"")</f>
        <v/>
      </c>
      <c r="F71" s="193">
        <f>IF(COUNT(M71:AS71)&gt;0,MIN(M71:AS71),"")</f>
        <v/>
      </c>
      <c r="G71" s="193">
        <f>IF(COUNT(M71:AS71)&gt;0,MAX(M71:AS71),"")</f>
        <v/>
      </c>
      <c r="H71" s="193">
        <f>IF(COUNT(M71:AS71)&gt;0,QUARTILE(M71:AS71,1),"")</f>
        <v/>
      </c>
      <c r="I71" s="193">
        <f>IF(COUNT(M71:AS71)&gt;0,QUARTILE(M71:AS71,3),"")</f>
        <v/>
      </c>
      <c r="J71" s="193">
        <f>IF(COUNT(M71:AS71)&gt;1,STDEV(M71:AS71),"")</f>
        <v/>
      </c>
      <c r="K71" s="194">
        <f>IF(COUNT(M71:AS71)&gt;1,STDEV(M71:AS71)/AVERAGE(M71:AS71),"")</f>
        <v/>
      </c>
      <c r="L71" s="195" t="n"/>
      <c r="M71" s="196" t="n"/>
      <c r="N71" s="196" t="n">
        <v>-76820</v>
      </c>
      <c r="O71" s="196" t="n">
        <v>-62565</v>
      </c>
      <c r="P71" s="196" t="n">
        <v>-49341</v>
      </c>
      <c r="Q71" s="196" t="n">
        <v>-36724</v>
      </c>
      <c r="R71" s="196" t="n">
        <v>-29405</v>
      </c>
      <c r="S71" s="196" t="n">
        <v>-34093</v>
      </c>
      <c r="T71" s="196" t="n">
        <v>-25142</v>
      </c>
      <c r="U71" s="196" t="n">
        <v>-42025</v>
      </c>
      <c r="V71" s="196" t="n">
        <v>-30470</v>
      </c>
      <c r="W71" s="196" t="n">
        <v>-24063</v>
      </c>
      <c r="X71" s="196" t="n">
        <v>-18967</v>
      </c>
      <c r="Y71" s="196" t="n">
        <v>-13284</v>
      </c>
      <c r="Z71" s="196" t="n">
        <v>-34824</v>
      </c>
      <c r="AA71" s="196" t="n">
        <v>-30459</v>
      </c>
      <c r="AB71" s="196" t="n">
        <v>-26723</v>
      </c>
      <c r="AC71" s="196" t="n">
        <v>-21363</v>
      </c>
      <c r="AD71" s="196" t="n"/>
      <c r="AE71" s="196" t="n"/>
      <c r="AF71" s="196" t="n"/>
      <c r="AG71" s="196" t="n"/>
      <c r="AH71" s="196" t="n"/>
      <c r="AI71" s="196" t="n"/>
      <c r="AJ71" s="196" t="n"/>
      <c r="AK71" s="196" t="n"/>
      <c r="AL71" s="196" t="n"/>
      <c r="AM71" s="196" t="n"/>
      <c r="AN71" s="196" t="n"/>
      <c r="AO71" s="196" t="n"/>
      <c r="AP71" s="196" t="n"/>
      <c r="AQ71" s="196" t="n"/>
      <c r="AR71" s="196" t="n"/>
      <c r="AS71" s="196" t="n"/>
      <c r="AT71" s="182" t="n"/>
      <c r="AU71" s="176" t="n"/>
      <c r="AV71" s="176" t="n"/>
      <c r="AW71" s="176" t="n"/>
      <c r="AX71" s="176" t="n"/>
      <c r="AY71" s="176" t="n"/>
      <c r="AZ71" s="176" t="n"/>
      <c r="BA71" s="176" t="n"/>
      <c r="BB71" s="176" t="n"/>
      <c r="BC71" s="176" t="n"/>
      <c r="BD71" s="176" t="n"/>
      <c r="BE71" s="176" t="n"/>
      <c r="BF71" s="176" t="n"/>
      <c r="BG71" s="176" t="n"/>
      <c r="BH71" s="176" t="n"/>
      <c r="BI71" s="176" t="n"/>
      <c r="BJ71" s="176" t="n"/>
      <c r="BK71" s="176" t="n"/>
      <c r="BL71" s="176" t="n"/>
      <c r="BM71" s="176" t="n"/>
      <c r="BN71" s="176" t="n"/>
      <c r="BO71" s="176" t="n"/>
      <c r="BP71" s="176" t="n"/>
      <c r="BQ71" s="176" t="n"/>
      <c r="BR71" s="176" t="n"/>
    </row>
    <row r="72" ht="15" customHeight="1" s="392">
      <c r="A72" s="176" t="n"/>
      <c r="B72" s="180" t="n"/>
      <c r="C72" s="187" t="inlineStr">
        <is>
          <t xml:space="preserve">            Total Accumulated Amortization and Impairment</t>
        </is>
      </c>
      <c r="D72" s="193">
        <f>IF(COUNT(M72:AS72)&gt;0,MEDIAN(M72:AS72),"")</f>
        <v/>
      </c>
      <c r="E72" s="193">
        <f>IF(COUNT(M72:AS72)&gt;0,AVERAGE(M72:AS72),"")</f>
        <v/>
      </c>
      <c r="F72" s="193">
        <f>IF(COUNT(M72:AS72)&gt;0,MIN(M72:AS72),"")</f>
        <v/>
      </c>
      <c r="G72" s="193">
        <f>IF(COUNT(M72:AS72)&gt;0,MAX(M72:AS72),"")</f>
        <v/>
      </c>
      <c r="H72" s="193">
        <f>IF(COUNT(M72:AS72)&gt;0,QUARTILE(M72:AS72,1),"")</f>
        <v/>
      </c>
      <c r="I72" s="193">
        <f>IF(COUNT(M72:AS72)&gt;0,QUARTILE(M72:AS72,3),"")</f>
        <v/>
      </c>
      <c r="J72" s="193">
        <f>IF(COUNT(M72:AS72)&gt;1,STDEV(M72:AS72),"")</f>
        <v/>
      </c>
      <c r="K72" s="194">
        <f>IF(COUNT(M72:AS72)&gt;1,STDEV(M72:AS72)/AVERAGE(M72:AS72),"")</f>
        <v/>
      </c>
      <c r="L72" s="195" t="n"/>
      <c r="M72" s="196" t="n"/>
      <c r="N72" s="196" t="n">
        <v>-76820</v>
      </c>
      <c r="O72" s="196" t="n">
        <v>-62565</v>
      </c>
      <c r="P72" s="196" t="n">
        <v>-49341</v>
      </c>
      <c r="Q72" s="196" t="n">
        <v>-36724</v>
      </c>
      <c r="R72" s="196" t="n">
        <v>-29405</v>
      </c>
      <c r="S72" s="196" t="n">
        <v>-34093</v>
      </c>
      <c r="T72" s="196" t="n">
        <v>-25142</v>
      </c>
      <c r="U72" s="196" t="n">
        <v>-42025</v>
      </c>
      <c r="V72" s="196" t="n">
        <v>-30470</v>
      </c>
      <c r="W72" s="196" t="n">
        <v>-24063</v>
      </c>
      <c r="X72" s="196" t="n">
        <v>-18967</v>
      </c>
      <c r="Y72" s="196" t="n">
        <v>-13284</v>
      </c>
      <c r="Z72" s="196" t="n">
        <v>-34824</v>
      </c>
      <c r="AA72" s="196" t="n">
        <v>-30459</v>
      </c>
      <c r="AB72" s="196" t="n">
        <v>-26723</v>
      </c>
      <c r="AC72" s="196" t="n">
        <v>-21363</v>
      </c>
      <c r="AD72" s="196" t="n"/>
      <c r="AE72" s="196" t="n"/>
      <c r="AF72" s="196" t="n"/>
      <c r="AG72" s="196" t="n"/>
      <c r="AH72" s="196" t="n"/>
      <c r="AI72" s="196" t="n"/>
      <c r="AJ72" s="196" t="n"/>
      <c r="AK72" s="196" t="n"/>
      <c r="AL72" s="196" t="n"/>
      <c r="AM72" s="196" t="n"/>
      <c r="AN72" s="196" t="n"/>
      <c r="AO72" s="196" t="n"/>
      <c r="AP72" s="196" t="n"/>
      <c r="AQ72" s="196" t="n"/>
      <c r="AR72" s="196" t="n"/>
      <c r="AS72" s="196" t="n"/>
      <c r="AT72" s="182" t="n"/>
      <c r="AU72" s="176" t="n"/>
      <c r="AV72" s="176" t="n"/>
      <c r="AW72" s="176" t="n"/>
      <c r="AX72" s="176" t="n"/>
      <c r="AY72" s="176" t="n"/>
      <c r="AZ72" s="176" t="n"/>
      <c r="BA72" s="176" t="n"/>
      <c r="BB72" s="176" t="n"/>
      <c r="BC72" s="176" t="n"/>
      <c r="BD72" s="176" t="n"/>
      <c r="BE72" s="176" t="n"/>
      <c r="BF72" s="176" t="n"/>
      <c r="BG72" s="176" t="n"/>
      <c r="BH72" s="176" t="n"/>
      <c r="BI72" s="176" t="n"/>
      <c r="BJ72" s="176" t="n"/>
      <c r="BK72" s="176" t="n"/>
      <c r="BL72" s="176" t="n"/>
      <c r="BM72" s="176" t="n"/>
      <c r="BN72" s="176" t="n"/>
      <c r="BO72" s="176" t="n"/>
      <c r="BP72" s="176" t="n"/>
      <c r="BQ72" s="176" t="n"/>
      <c r="BR72" s="176" t="n"/>
    </row>
    <row r="73" ht="15" customHeight="1" s="392">
      <c r="A73" s="176" t="n"/>
      <c r="B73" s="180" t="n"/>
      <c r="C73" s="187" t="inlineStr">
        <is>
          <t xml:space="preserve">        Total Net Intangible Assets</t>
        </is>
      </c>
      <c r="D73" s="193">
        <f>IF(COUNT(M73:AS73)&gt;0,MEDIAN(M73:AS73),"")</f>
        <v/>
      </c>
      <c r="E73" s="193">
        <f>IF(COUNT(M73:AS73)&gt;0,AVERAGE(M73:AS73),"")</f>
        <v/>
      </c>
      <c r="F73" s="193">
        <f>IF(COUNT(M73:AS73)&gt;0,MIN(M73:AS73),"")</f>
        <v/>
      </c>
      <c r="G73" s="193">
        <f>IF(COUNT(M73:AS73)&gt;0,MAX(M73:AS73),"")</f>
        <v/>
      </c>
      <c r="H73" s="193">
        <f>IF(COUNT(M73:AS73)&gt;0,QUARTILE(M73:AS73,1),"")</f>
        <v/>
      </c>
      <c r="I73" s="193">
        <f>IF(COUNT(M73:AS73)&gt;0,QUARTILE(M73:AS73,3),"")</f>
        <v/>
      </c>
      <c r="J73" s="193">
        <f>IF(COUNT(M73:AS73)&gt;1,STDEV(M73:AS73),"")</f>
        <v/>
      </c>
      <c r="K73" s="194">
        <f>IF(COUNT(M73:AS73)&gt;1,STDEV(M73:AS73)/AVERAGE(M73:AS73),"")</f>
        <v/>
      </c>
      <c r="L73" s="195" t="n"/>
      <c r="M73" s="196" t="n">
        <v>561774</v>
      </c>
      <c r="N73" s="196" t="n">
        <v>580611</v>
      </c>
      <c r="O73" s="196" t="n">
        <v>587997</v>
      </c>
      <c r="P73" s="196" t="n">
        <v>456991</v>
      </c>
      <c r="Q73" s="196" t="n">
        <v>456634</v>
      </c>
      <c r="R73" s="196" t="n">
        <v>401590</v>
      </c>
      <c r="S73" s="196" t="n">
        <v>391394</v>
      </c>
      <c r="T73" s="196" t="n">
        <v>388477</v>
      </c>
      <c r="U73" s="196" t="n">
        <v>402127</v>
      </c>
      <c r="V73" s="196" t="n">
        <v>416181</v>
      </c>
      <c r="W73" s="196" t="n">
        <v>271959</v>
      </c>
      <c r="X73" s="196" t="n">
        <v>289707</v>
      </c>
      <c r="Y73" s="196" t="n">
        <v>309022</v>
      </c>
      <c r="Z73" s="196" t="n">
        <v>285169</v>
      </c>
      <c r="AA73" s="196" t="n">
        <v>204423</v>
      </c>
      <c r="AB73" s="196" t="n">
        <v>211368</v>
      </c>
      <c r="AC73" s="196" t="n">
        <v>188886</v>
      </c>
      <c r="AD73" s="196" t="n">
        <v>181539</v>
      </c>
      <c r="AE73" s="196" t="n">
        <v>199065</v>
      </c>
      <c r="AF73" s="196" t="n">
        <v>189087</v>
      </c>
      <c r="AG73" s="196" t="n">
        <v>114165</v>
      </c>
      <c r="AH73" s="196" t="n">
        <v>118313</v>
      </c>
      <c r="AI73" s="196" t="n">
        <v>115632</v>
      </c>
      <c r="AJ73" s="196" t="n">
        <v>116973</v>
      </c>
      <c r="AK73" s="196" t="n">
        <v>112086.5</v>
      </c>
      <c r="AL73" s="196" t="n">
        <v>91118.10000000001</v>
      </c>
      <c r="AM73" s="196" t="n">
        <v>90395.60000000001</v>
      </c>
      <c r="AN73" s="196" t="n">
        <v>77800</v>
      </c>
      <c r="AO73" s="196" t="n">
        <v>78400</v>
      </c>
      <c r="AP73" s="196" t="n">
        <v>75300</v>
      </c>
      <c r="AQ73" s="196" t="n">
        <v>74600</v>
      </c>
      <c r="AR73" s="196" t="n">
        <v>73700</v>
      </c>
      <c r="AS73" s="196" t="n">
        <v>29300</v>
      </c>
      <c r="AT73" s="182" t="n"/>
      <c r="AU73" s="176" t="n"/>
      <c r="AV73" s="176" t="n"/>
      <c r="AW73" s="176" t="n"/>
      <c r="AX73" s="176" t="n"/>
      <c r="AY73" s="176" t="n"/>
      <c r="AZ73" s="176" t="n"/>
      <c r="BA73" s="176" t="n"/>
      <c r="BB73" s="176" t="n"/>
      <c r="BC73" s="176" t="n"/>
      <c r="BD73" s="176" t="n"/>
      <c r="BE73" s="176" t="n"/>
      <c r="BF73" s="176" t="n"/>
      <c r="BG73" s="176" t="n"/>
      <c r="BH73" s="176" t="n"/>
      <c r="BI73" s="176" t="n"/>
      <c r="BJ73" s="176" t="n"/>
      <c r="BK73" s="176" t="n"/>
      <c r="BL73" s="176" t="n"/>
      <c r="BM73" s="176" t="n"/>
      <c r="BN73" s="176" t="n"/>
      <c r="BO73" s="176" t="n"/>
      <c r="BP73" s="176" t="n"/>
      <c r="BQ73" s="176" t="n"/>
      <c r="BR73" s="176" t="n"/>
    </row>
    <row r="74" ht="15" customHeight="1" s="392">
      <c r="A74" s="176" t="n"/>
      <c r="B74" s="180" t="n"/>
      <c r="C74" s="183" t="inlineStr">
        <is>
          <t xml:space="preserve">        Deferred Tax Assets, Non-Current</t>
        </is>
      </c>
      <c r="D74" s="190">
        <f>IF(COUNT(M74:AS74)&gt;0,MEDIAN(M74:AS74),"")</f>
        <v/>
      </c>
      <c r="E74" s="190">
        <f>IF(COUNT(M74:AS74)&gt;0,AVERAGE(M74:AS74),"")</f>
        <v/>
      </c>
      <c r="F74" s="190">
        <f>IF(COUNT(M74:AS74)&gt;0,MIN(M74:AS74),"")</f>
        <v/>
      </c>
      <c r="G74" s="190">
        <f>IF(COUNT(M74:AS74)&gt;0,MAX(M74:AS74),"")</f>
        <v/>
      </c>
      <c r="H74" s="190">
        <f>IF(COUNT(M74:AS74)&gt;0,QUARTILE(M74:AS74,1),"")</f>
        <v/>
      </c>
      <c r="I74" s="190">
        <f>IF(COUNT(M74:AS74)&gt;0,QUARTILE(M74:AS74,3),"")</f>
        <v/>
      </c>
      <c r="J74" s="190">
        <f>IF(COUNT(M74:AS74)&gt;1,STDEV(M74:AS74),"")</f>
        <v/>
      </c>
      <c r="K74" s="191">
        <f>IF(COUNT(M74:AS74)&gt;1,STDEV(M74:AS74)/AVERAGE(M74:AS74),"")</f>
        <v/>
      </c>
      <c r="M74" s="192" t="n"/>
      <c r="N74" s="192" t="n"/>
      <c r="O74" s="192" t="n"/>
      <c r="P74" s="192" t="n"/>
      <c r="Q74" s="192" t="n"/>
      <c r="R74" s="192" t="n"/>
      <c r="S74" s="192" t="n"/>
      <c r="T74" s="192" t="n">
        <v>411</v>
      </c>
      <c r="U74" s="192" t="n">
        <v>470</v>
      </c>
      <c r="V74" s="192" t="n">
        <v>1287</v>
      </c>
      <c r="W74" s="192" t="n">
        <v>23506</v>
      </c>
      <c r="X74" s="192" t="n">
        <v>28840</v>
      </c>
      <c r="Y74" s="192" t="n">
        <v>36721</v>
      </c>
      <c r="Z74" s="192" t="n">
        <v>30117</v>
      </c>
      <c r="AA74" s="192" t="n">
        <v>22280</v>
      </c>
      <c r="AB74" s="192" t="n">
        <v>9425</v>
      </c>
      <c r="AC74" s="192" t="n">
        <v>10213</v>
      </c>
      <c r="AD74" s="192" t="n">
        <v>7759</v>
      </c>
      <c r="AE74" s="192" t="n">
        <v>2319</v>
      </c>
      <c r="AF74" s="192" t="n">
        <v>7785</v>
      </c>
      <c r="AG74" s="192" t="n">
        <v>5137</v>
      </c>
      <c r="AH74" s="192" t="n"/>
      <c r="AI74" s="192" t="n"/>
      <c r="AJ74" s="192" t="n"/>
      <c r="AK74" s="192" t="n"/>
      <c r="AL74" s="192" t="n">
        <v>1084.4</v>
      </c>
      <c r="AM74" s="192" t="n"/>
      <c r="AN74" s="192" t="n"/>
      <c r="AO74" s="192" t="n"/>
      <c r="AP74" s="192" t="n"/>
      <c r="AQ74" s="192" t="n"/>
      <c r="AR74" s="192" t="n"/>
      <c r="AS74" s="192" t="n"/>
      <c r="AT74" s="182" t="n"/>
      <c r="AU74" s="176" t="n"/>
      <c r="AV74" s="176" t="n"/>
      <c r="AW74" s="176" t="n"/>
      <c r="AX74" s="176" t="n"/>
      <c r="AY74" s="176" t="n"/>
      <c r="AZ74" s="176" t="n"/>
      <c r="BA74" s="176" t="n"/>
      <c r="BB74" s="176" t="n"/>
      <c r="BC74" s="176" t="n"/>
      <c r="BD74" s="176" t="n"/>
      <c r="BE74" s="176" t="n"/>
      <c r="BF74" s="176" t="n"/>
      <c r="BG74" s="176" t="n"/>
      <c r="BH74" s="176" t="n"/>
      <c r="BI74" s="176" t="n"/>
      <c r="BJ74" s="176" t="n"/>
      <c r="BK74" s="176" t="n"/>
      <c r="BL74" s="176" t="n"/>
      <c r="BM74" s="176" t="n"/>
      <c r="BN74" s="176" t="n"/>
      <c r="BO74" s="176" t="n"/>
      <c r="BP74" s="176" t="n"/>
      <c r="BQ74" s="176" t="n"/>
      <c r="BR74" s="176" t="n"/>
    </row>
    <row r="75" ht="15" customHeight="1" s="392">
      <c r="A75" s="176" t="n"/>
      <c r="B75" s="180" t="n"/>
      <c r="C75" s="183" t="inlineStr">
        <is>
          <t xml:space="preserve">        Deferred Costs/Assets, Non-Current</t>
        </is>
      </c>
      <c r="D75" s="190">
        <f>IF(COUNT(M75:AS75)&gt;0,MEDIAN(M75:AS75),"")</f>
        <v/>
      </c>
      <c r="E75" s="190">
        <f>IF(COUNT(M75:AS75)&gt;0,AVERAGE(M75:AS75),"")</f>
        <v/>
      </c>
      <c r="F75" s="190">
        <f>IF(COUNT(M75:AS75)&gt;0,MIN(M75:AS75),"")</f>
        <v/>
      </c>
      <c r="G75" s="190">
        <f>IF(COUNT(M75:AS75)&gt;0,MAX(M75:AS75),"")</f>
        <v/>
      </c>
      <c r="H75" s="190">
        <f>IF(COUNT(M75:AS75)&gt;0,QUARTILE(M75:AS75,1),"")</f>
        <v/>
      </c>
      <c r="I75" s="190">
        <f>IF(COUNT(M75:AS75)&gt;0,QUARTILE(M75:AS75,3),"")</f>
        <v/>
      </c>
      <c r="J75" s="190">
        <f>IF(COUNT(M75:AS75)&gt;1,STDEV(M75:AS75),"")</f>
        <v/>
      </c>
      <c r="K75" s="191">
        <f>IFERROR(IF(COUNT(M75:AS75)&gt;1,STDEV(M75:AS75)/AVERAGE(M75:AS75),""),"")</f>
        <v/>
      </c>
      <c r="M75" s="192" t="n"/>
      <c r="N75" s="192" t="n"/>
      <c r="O75" s="192" t="n"/>
      <c r="P75" s="192" t="n"/>
      <c r="Q75" s="192" t="n"/>
      <c r="R75" s="192" t="n"/>
      <c r="S75" s="192" t="n"/>
      <c r="T75" s="192" t="n"/>
      <c r="U75" s="192" t="n"/>
      <c r="V75" s="192" t="n"/>
      <c r="W75" s="192" t="n"/>
      <c r="X75" s="192" t="n"/>
      <c r="Y75" s="192" t="n"/>
      <c r="Z75" s="192" t="n"/>
      <c r="AA75" s="192" t="n"/>
      <c r="AB75" s="192" t="n">
        <v>0</v>
      </c>
      <c r="AC75" s="192" t="n">
        <v>0</v>
      </c>
      <c r="AD75" s="192" t="n">
        <v>0</v>
      </c>
      <c r="AE75" s="192" t="n">
        <v>0</v>
      </c>
      <c r="AF75" s="192" t="n">
        <v>0</v>
      </c>
      <c r="AG75" s="192" t="n">
        <v>0</v>
      </c>
      <c r="AH75" s="192" t="n"/>
      <c r="AI75" s="192" t="n"/>
      <c r="AJ75" s="192" t="n"/>
      <c r="AK75" s="192" t="n"/>
      <c r="AL75" s="192" t="n">
        <v>0</v>
      </c>
      <c r="AM75" s="192" t="n"/>
      <c r="AN75" s="192" t="n"/>
      <c r="AO75" s="192" t="n"/>
      <c r="AP75" s="192" t="n"/>
      <c r="AQ75" s="192" t="n"/>
      <c r="AR75" s="192" t="n"/>
      <c r="AS75" s="192" t="n"/>
      <c r="AT75" s="182" t="n"/>
      <c r="AU75" s="176" t="n"/>
      <c r="AV75" s="176" t="n"/>
      <c r="AW75" s="176" t="n"/>
      <c r="AX75" s="176" t="n"/>
      <c r="AY75" s="176" t="n"/>
      <c r="AZ75" s="176" t="n"/>
      <c r="BA75" s="176" t="n"/>
      <c r="BB75" s="176" t="n"/>
      <c r="BC75" s="176" t="n"/>
      <c r="BD75" s="176" t="n"/>
      <c r="BE75" s="176" t="n"/>
      <c r="BF75" s="176" t="n"/>
      <c r="BG75" s="176" t="n"/>
      <c r="BH75" s="176" t="n"/>
      <c r="BI75" s="176" t="n"/>
      <c r="BJ75" s="176" t="n"/>
      <c r="BK75" s="176" t="n"/>
      <c r="BL75" s="176" t="n"/>
      <c r="BM75" s="176" t="n"/>
      <c r="BN75" s="176" t="n"/>
      <c r="BO75" s="176" t="n"/>
      <c r="BP75" s="176" t="n"/>
      <c r="BQ75" s="176" t="n"/>
      <c r="BR75" s="176" t="n"/>
    </row>
    <row r="76" ht="15" customHeight="1" s="392">
      <c r="A76" s="176" t="n"/>
      <c r="B76" s="180" t="n"/>
      <c r="C76" s="183" t="inlineStr">
        <is>
          <t xml:space="preserve">        Other Non-Current Assets</t>
        </is>
      </c>
      <c r="D76" s="190">
        <f>IF(COUNT(M76:AS76)&gt;0,MEDIAN(M76:AS76),"")</f>
        <v/>
      </c>
      <c r="E76" s="190">
        <f>IF(COUNT(M76:AS76)&gt;0,AVERAGE(M76:AS76),"")</f>
        <v/>
      </c>
      <c r="F76" s="190">
        <f>IF(COUNT(M76:AS76)&gt;0,MIN(M76:AS76),"")</f>
        <v/>
      </c>
      <c r="G76" s="190">
        <f>IF(COUNT(M76:AS76)&gt;0,MAX(M76:AS76),"")</f>
        <v/>
      </c>
      <c r="H76" s="190">
        <f>IF(COUNT(M76:AS76)&gt;0,QUARTILE(M76:AS76,1),"")</f>
        <v/>
      </c>
      <c r="I76" s="190">
        <f>IF(COUNT(M76:AS76)&gt;0,QUARTILE(M76:AS76,3),"")</f>
        <v/>
      </c>
      <c r="J76" s="190">
        <f>IF(COUNT(M76:AS76)&gt;1,STDEV(M76:AS76),"")</f>
        <v/>
      </c>
      <c r="K76" s="191">
        <f>IF(COUNT(M76:AS76)&gt;1,STDEV(M76:AS76)/AVERAGE(M76:AS76),"")</f>
        <v/>
      </c>
      <c r="M76" s="192" t="n">
        <v>80894</v>
      </c>
      <c r="N76" s="192" t="n">
        <v>57862</v>
      </c>
      <c r="O76" s="192" t="n">
        <v>129444</v>
      </c>
      <c r="P76" s="192" t="n">
        <v>65806</v>
      </c>
      <c r="Q76" s="192" t="n">
        <v>47708</v>
      </c>
      <c r="R76" s="192" t="n">
        <v>41831</v>
      </c>
      <c r="S76" s="192" t="n">
        <v>39934</v>
      </c>
      <c r="T76" s="192" t="n">
        <v>43836</v>
      </c>
      <c r="U76" s="192" t="n">
        <v>32560</v>
      </c>
      <c r="V76" s="192" t="n">
        <v>33716</v>
      </c>
      <c r="W76" s="192" t="n">
        <v>38258</v>
      </c>
      <c r="X76" s="192" t="n">
        <v>45129</v>
      </c>
      <c r="Y76" s="192" t="n">
        <v>56387</v>
      </c>
      <c r="Z76" s="192" t="n">
        <v>35226</v>
      </c>
      <c r="AA76" s="192" t="n">
        <v>18907</v>
      </c>
      <c r="AB76" s="192" t="n">
        <v>21387</v>
      </c>
      <c r="AC76" s="192" t="n">
        <v>18784</v>
      </c>
      <c r="AD76" s="192" t="n">
        <v>21915</v>
      </c>
      <c r="AE76" s="192" t="n">
        <v>31770</v>
      </c>
      <c r="AF76" s="192" t="n">
        <v>33356</v>
      </c>
      <c r="AG76" s="192" t="n">
        <v>22110</v>
      </c>
      <c r="AH76" s="192" t="n">
        <v>6138</v>
      </c>
      <c r="AI76" s="192" t="n">
        <v>6613</v>
      </c>
      <c r="AJ76" s="192" t="n"/>
      <c r="AK76" s="192" t="n"/>
      <c r="AL76" s="192" t="n"/>
      <c r="AM76" s="192" t="n"/>
      <c r="AN76" s="192" t="n"/>
      <c r="AO76" s="192" t="n">
        <v>-100</v>
      </c>
      <c r="AP76" s="192" t="n">
        <v>-100</v>
      </c>
      <c r="AQ76" s="192" t="n"/>
      <c r="AR76" s="192" t="n">
        <v>400</v>
      </c>
      <c r="AS76" s="192" t="n">
        <v>100</v>
      </c>
      <c r="AT76" s="182" t="n"/>
      <c r="AU76" s="176" t="n"/>
      <c r="AV76" s="176" t="n"/>
      <c r="AW76" s="176" t="n"/>
      <c r="AX76" s="176" t="n"/>
      <c r="AY76" s="176" t="n"/>
      <c r="AZ76" s="176" t="n"/>
      <c r="BA76" s="176" t="n"/>
      <c r="BB76" s="176" t="n"/>
      <c r="BC76" s="176" t="n"/>
      <c r="BD76" s="176" t="n"/>
      <c r="BE76" s="176" t="n"/>
      <c r="BF76" s="176" t="n"/>
      <c r="BG76" s="176" t="n"/>
      <c r="BH76" s="176" t="n"/>
      <c r="BI76" s="176" t="n"/>
      <c r="BJ76" s="176" t="n"/>
      <c r="BK76" s="176" t="n"/>
      <c r="BL76" s="176" t="n"/>
      <c r="BM76" s="176" t="n"/>
      <c r="BN76" s="176" t="n"/>
      <c r="BO76" s="176" t="n"/>
      <c r="BP76" s="176" t="n"/>
      <c r="BQ76" s="176" t="n"/>
      <c r="BR76" s="176" t="n"/>
    </row>
    <row r="77" ht="15" customHeight="1" s="392">
      <c r="A77" s="176" t="n"/>
      <c r="B77" s="180" t="n"/>
      <c r="C77" s="187" t="inlineStr">
        <is>
          <t xml:space="preserve">    Total Non-Current Assets</t>
        </is>
      </c>
      <c r="D77" s="193">
        <f>IF(COUNT(M77:AS77)&gt;0,MEDIAN(M77:AS77),"")</f>
        <v/>
      </c>
      <c r="E77" s="193">
        <f>IF(COUNT(M77:AS77)&gt;0,AVERAGE(M77:AS77),"")</f>
        <v/>
      </c>
      <c r="F77" s="193">
        <f>IF(COUNT(M77:AS77)&gt;0,MIN(M77:AS77),"")</f>
        <v/>
      </c>
      <c r="G77" s="193">
        <f>IF(COUNT(M77:AS77)&gt;0,MAX(M77:AS77),"")</f>
        <v/>
      </c>
      <c r="H77" s="193">
        <f>IF(COUNT(M77:AS77)&gt;0,QUARTILE(M77:AS77,1),"")</f>
        <v/>
      </c>
      <c r="I77" s="193">
        <f>IF(COUNT(M77:AS77)&gt;0,QUARTILE(M77:AS77,3),"")</f>
        <v/>
      </c>
      <c r="J77" s="193">
        <f>IF(COUNT(M77:AS77)&gt;1,STDEV(M77:AS77),"")</f>
        <v/>
      </c>
      <c r="K77" s="194">
        <f>IF(COUNT(M77:AS77)&gt;1,STDEV(M77:AS77)/AVERAGE(M77:AS77),"")</f>
        <v/>
      </c>
      <c r="L77" s="195" t="n"/>
      <c r="M77" s="196" t="n">
        <v>4459616</v>
      </c>
      <c r="N77" s="196" t="n">
        <v>4336274</v>
      </c>
      <c r="O77" s="196" t="n">
        <v>4009580</v>
      </c>
      <c r="P77" s="196" t="n">
        <v>3475275</v>
      </c>
      <c r="Q77" s="196" t="n">
        <v>3106409</v>
      </c>
      <c r="R77" s="196" t="n">
        <v>2859532</v>
      </c>
      <c r="S77" s="196" t="n">
        <v>2491502</v>
      </c>
      <c r="T77" s="196" t="n">
        <v>1860450</v>
      </c>
      <c r="U77" s="196" t="n">
        <v>1598582</v>
      </c>
      <c r="V77" s="196" t="n">
        <v>1395240</v>
      </c>
      <c r="W77" s="196" t="n">
        <v>1150514</v>
      </c>
      <c r="X77" s="196" t="n">
        <v>1064078</v>
      </c>
      <c r="Y77" s="196" t="n">
        <v>1094513</v>
      </c>
      <c r="Z77" s="196" t="n">
        <v>1028029</v>
      </c>
      <c r="AA77" s="196" t="n">
        <v>832773</v>
      </c>
      <c r="AB77" s="196" t="n">
        <v>842568</v>
      </c>
      <c r="AC77" s="196" t="n">
        <v>791397</v>
      </c>
      <c r="AD77" s="196" t="n">
        <v>742099</v>
      </c>
      <c r="AE77" s="196" t="n">
        <v>743494</v>
      </c>
      <c r="AF77" s="196" t="n">
        <v>650892</v>
      </c>
      <c r="AG77" s="196" t="n">
        <v>483355</v>
      </c>
      <c r="AH77" s="196" t="n">
        <v>419721</v>
      </c>
      <c r="AI77" s="196" t="n">
        <v>379912</v>
      </c>
      <c r="AJ77" s="196" t="n">
        <v>361334</v>
      </c>
      <c r="AK77" s="196" t="n">
        <v>309855.2</v>
      </c>
      <c r="AL77" s="196" t="n">
        <v>207200.1</v>
      </c>
      <c r="AM77" s="196" t="n">
        <v>170909.8</v>
      </c>
      <c r="AN77" s="196" t="n">
        <v>129400</v>
      </c>
      <c r="AO77" s="196" t="n">
        <v>115900</v>
      </c>
      <c r="AP77" s="196" t="n">
        <v>104000</v>
      </c>
      <c r="AQ77" s="196" t="n">
        <v>100800</v>
      </c>
      <c r="AR77" s="196" t="n">
        <v>87200</v>
      </c>
      <c r="AS77" s="196" t="n">
        <v>34200</v>
      </c>
      <c r="AT77" s="182" t="n"/>
      <c r="AU77" s="176" t="n"/>
      <c r="AV77" s="176" t="n"/>
      <c r="AW77" s="176" t="n"/>
      <c r="AX77" s="176" t="n"/>
      <c r="AY77" s="176" t="n"/>
      <c r="AZ77" s="176" t="n"/>
      <c r="BA77" s="176" t="n"/>
      <c r="BB77" s="176" t="n"/>
      <c r="BC77" s="176" t="n"/>
      <c r="BD77" s="176" t="n"/>
      <c r="BE77" s="176" t="n"/>
      <c r="BF77" s="176" t="n"/>
      <c r="BG77" s="176" t="n"/>
      <c r="BH77" s="176" t="n"/>
      <c r="BI77" s="176" t="n"/>
      <c r="BJ77" s="176" t="n"/>
      <c r="BK77" s="176" t="n"/>
      <c r="BL77" s="176" t="n"/>
      <c r="BM77" s="176" t="n"/>
      <c r="BN77" s="176" t="n"/>
      <c r="BO77" s="176" t="n"/>
      <c r="BP77" s="176" t="n"/>
      <c r="BQ77" s="176" t="n"/>
      <c r="BR77" s="176" t="n"/>
    </row>
    <row r="78" ht="15" customHeight="1" s="392">
      <c r="A78" s="176" t="n"/>
      <c r="B78" s="180" t="n"/>
      <c r="C78" s="187" t="inlineStr">
        <is>
          <t>Total Assets</t>
        </is>
      </c>
      <c r="D78" s="193">
        <f>IF(COUNT(M78:AS78)&gt;0,MEDIAN(M78:AS78),"")</f>
        <v/>
      </c>
      <c r="E78" s="193">
        <f>IF(COUNT(M78:AS78)&gt;0,AVERAGE(M78:AS78),"")</f>
        <v/>
      </c>
      <c r="F78" s="193">
        <f>IF(COUNT(M78:AS78)&gt;0,MIN(M78:AS78),"")</f>
        <v/>
      </c>
      <c r="G78" s="193">
        <f>IF(COUNT(M78:AS78)&gt;0,MAX(M78:AS78),"")</f>
        <v/>
      </c>
      <c r="H78" s="193">
        <f>IF(COUNT(M78:AS78)&gt;0,QUARTILE(M78:AS78,1),"")</f>
        <v/>
      </c>
      <c r="I78" s="193">
        <f>IF(COUNT(M78:AS78)&gt;0,QUARTILE(M78:AS78,3),"")</f>
        <v/>
      </c>
      <c r="J78" s="193">
        <f>IF(COUNT(M78:AS78)&gt;1,STDEV(M78:AS78),"")</f>
        <v/>
      </c>
      <c r="K78" s="194">
        <f>IF(COUNT(M78:AS78)&gt;1,STDEV(M78:AS78)/AVERAGE(M78:AS78),"")</f>
        <v/>
      </c>
      <c r="L78" s="195" t="n"/>
      <c r="M78" s="196" t="n">
        <v>10027810</v>
      </c>
      <c r="N78" s="196" t="n">
        <v>10090902</v>
      </c>
      <c r="O78" s="196" t="n">
        <v>8427764</v>
      </c>
      <c r="P78" s="196" t="n">
        <v>6737879</v>
      </c>
      <c r="Q78" s="196" t="n">
        <v>5308864</v>
      </c>
      <c r="R78" s="196" t="n">
        <v>4562143</v>
      </c>
      <c r="S78" s="196" t="n">
        <v>3455261</v>
      </c>
      <c r="T78" s="196" t="n">
        <v>2547617</v>
      </c>
      <c r="U78" s="196" t="n">
        <v>2307698</v>
      </c>
      <c r="V78" s="196" t="n">
        <v>1982501</v>
      </c>
      <c r="W78" s="196" t="n">
        <v>1649820</v>
      </c>
      <c r="X78" s="196" t="n">
        <v>1798660</v>
      </c>
      <c r="Y78" s="196" t="n">
        <v>1506804</v>
      </c>
      <c r="Z78" s="196" t="n">
        <v>1334481</v>
      </c>
      <c r="AA78" s="196" t="n">
        <v>1154000</v>
      </c>
      <c r="AB78" s="196" t="n">
        <v>1084436</v>
      </c>
      <c r="AC78" s="196" t="n">
        <v>1228812</v>
      </c>
      <c r="AD78" s="196" t="n">
        <v>1058032</v>
      </c>
      <c r="AE78" s="196" t="n">
        <v>956247</v>
      </c>
      <c r="AF78" s="196" t="n">
        <v>1014600</v>
      </c>
      <c r="AG78" s="196" t="n">
        <v>894705</v>
      </c>
      <c r="AH78" s="196" t="n">
        <v>793528</v>
      </c>
      <c r="AI78" s="196" t="n">
        <v>673023</v>
      </c>
      <c r="AJ78" s="196" t="n">
        <v>587100</v>
      </c>
      <c r="AK78" s="196" t="n">
        <v>535847.6</v>
      </c>
      <c r="AL78" s="196" t="n">
        <v>315064.2</v>
      </c>
      <c r="AM78" s="196" t="n">
        <v>262324.3</v>
      </c>
      <c r="AN78" s="196" t="n">
        <v>218700</v>
      </c>
      <c r="AO78" s="196" t="n">
        <v>190900</v>
      </c>
      <c r="AP78" s="196" t="n">
        <v>175300</v>
      </c>
      <c r="AQ78" s="196" t="n">
        <v>158100</v>
      </c>
      <c r="AR78" s="196" t="n">
        <v>135200</v>
      </c>
      <c r="AS78" s="196" t="n">
        <v>62600</v>
      </c>
      <c r="AT78" s="182" t="n"/>
      <c r="AU78" s="176" t="n"/>
      <c r="AV78" s="176" t="n"/>
      <c r="AW78" s="176" t="n"/>
      <c r="AX78" s="176" t="n"/>
      <c r="AY78" s="176" t="n"/>
      <c r="AZ78" s="176" t="n"/>
      <c r="BA78" s="176" t="n"/>
      <c r="BB78" s="176" t="n"/>
      <c r="BC78" s="176" t="n"/>
      <c r="BD78" s="176" t="n"/>
      <c r="BE78" s="176" t="n"/>
      <c r="BF78" s="176" t="n"/>
      <c r="BG78" s="176" t="n"/>
      <c r="BH78" s="176" t="n"/>
      <c r="BI78" s="176" t="n"/>
      <c r="BJ78" s="176" t="n"/>
      <c r="BK78" s="176" t="n"/>
      <c r="BL78" s="176" t="n"/>
      <c r="BM78" s="176" t="n"/>
      <c r="BN78" s="176" t="n"/>
      <c r="BO78" s="176" t="n"/>
      <c r="BP78" s="176" t="n"/>
      <c r="BQ78" s="176" t="n"/>
      <c r="BR78" s="176" t="n"/>
    </row>
    <row r="79" ht="15" customHeight="1" s="392">
      <c r="A79" s="176" t="n"/>
      <c r="B79" s="180" t="n"/>
      <c r="C79" s="189" t="inlineStr">
        <is>
          <t>Liabilities</t>
        </is>
      </c>
      <c r="D79" s="185" t="n"/>
      <c r="E79" s="185" t="n"/>
      <c r="F79" s="185" t="n"/>
      <c r="G79" s="185" t="n"/>
      <c r="H79" s="185" t="n"/>
      <c r="I79" s="185" t="n"/>
      <c r="J79" s="185" t="n"/>
      <c r="K79" s="185" t="n"/>
      <c r="L79" s="185" t="n"/>
      <c r="M79" s="185" t="n"/>
      <c r="N79" s="185" t="n"/>
      <c r="O79" s="185" t="n"/>
      <c r="P79" s="185" t="n"/>
      <c r="Q79" s="185" t="n"/>
      <c r="R79" s="185" t="n"/>
      <c r="S79" s="185" t="n"/>
      <c r="T79" s="185" t="n"/>
      <c r="U79" s="185" t="n"/>
      <c r="V79" s="185" t="n"/>
      <c r="W79" s="185" t="n"/>
      <c r="X79" s="185" t="n"/>
      <c r="Y79" s="185" t="n"/>
      <c r="Z79" s="185" t="n"/>
      <c r="AA79" s="185" t="n"/>
      <c r="AB79" s="185" t="n"/>
      <c r="AC79" s="185" t="n"/>
      <c r="AD79" s="185" t="n"/>
      <c r="AE79" s="185" t="n"/>
      <c r="AF79" s="185" t="n"/>
      <c r="AG79" s="185" t="n"/>
      <c r="AH79" s="185" t="n"/>
      <c r="AI79" s="185" t="n"/>
      <c r="AJ79" s="185" t="n"/>
      <c r="AK79" s="185" t="n"/>
      <c r="AL79" s="185" t="n"/>
      <c r="AM79" s="185" t="n"/>
      <c r="AN79" s="185" t="n"/>
      <c r="AO79" s="185" t="n"/>
      <c r="AP79" s="185" t="n"/>
      <c r="AQ79" s="185" t="n"/>
      <c r="AR79" s="185" t="n"/>
      <c r="AS79" s="185" t="n"/>
      <c r="AT79" s="182" t="n"/>
      <c r="AU79" s="176" t="n"/>
      <c r="AV79" s="176" t="n"/>
      <c r="AW79" s="176" t="n"/>
      <c r="AX79" s="176" t="n"/>
      <c r="AY79" s="176" t="n"/>
      <c r="AZ79" s="176" t="n"/>
      <c r="BA79" s="176" t="n"/>
      <c r="BB79" s="176" t="n"/>
      <c r="BC79" s="176" t="n"/>
      <c r="BD79" s="176" t="n"/>
      <c r="BE79" s="176" t="n"/>
      <c r="BF79" s="176" t="n"/>
      <c r="BG79" s="176" t="n"/>
      <c r="BH79" s="176" t="n"/>
      <c r="BI79" s="176" t="n"/>
      <c r="BJ79" s="176" t="n"/>
      <c r="BK79" s="176" t="n"/>
      <c r="BL79" s="176" t="n"/>
      <c r="BM79" s="176" t="n"/>
      <c r="BN79" s="176" t="n"/>
      <c r="BO79" s="176" t="n"/>
      <c r="BP79" s="176" t="n"/>
      <c r="BQ79" s="176" t="n"/>
      <c r="BR79" s="176" t="n"/>
    </row>
    <row r="80" ht="15" customHeight="1" s="392">
      <c r="A80" s="176" t="n"/>
      <c r="B80" s="180" t="n"/>
      <c r="C80" s="183" t="inlineStr">
        <is>
          <t xml:space="preserve">    Current Liabilities</t>
        </is>
      </c>
      <c r="D80" s="185" t="n"/>
      <c r="E80" s="185" t="n"/>
      <c r="F80" s="185" t="n"/>
      <c r="G80" s="185" t="n"/>
      <c r="H80" s="185" t="n"/>
      <c r="I80" s="185" t="n"/>
      <c r="J80" s="185" t="n"/>
      <c r="K80" s="185" t="n"/>
      <c r="AT80" s="182" t="n"/>
      <c r="AU80" s="176" t="n"/>
      <c r="AV80" s="176" t="n"/>
      <c r="AW80" s="176" t="n"/>
      <c r="AX80" s="176" t="n"/>
      <c r="AY80" s="176" t="n"/>
      <c r="AZ80" s="176" t="n"/>
      <c r="BA80" s="176" t="n"/>
      <c r="BB80" s="176" t="n"/>
      <c r="BC80" s="176" t="n"/>
      <c r="BD80" s="176" t="n"/>
      <c r="BE80" s="176" t="n"/>
      <c r="BF80" s="176" t="n"/>
      <c r="BG80" s="176" t="n"/>
      <c r="BH80" s="176" t="n"/>
      <c r="BI80" s="176" t="n"/>
      <c r="BJ80" s="176" t="n"/>
      <c r="BK80" s="176" t="n"/>
      <c r="BL80" s="176" t="n"/>
      <c r="BM80" s="176" t="n"/>
      <c r="BN80" s="176" t="n"/>
      <c r="BO80" s="176" t="n"/>
      <c r="BP80" s="176" t="n"/>
      <c r="BQ80" s="176" t="n"/>
      <c r="BR80" s="176" t="n"/>
    </row>
    <row r="81" ht="15" customHeight="1" s="392">
      <c r="A81" s="176" t="n"/>
      <c r="B81" s="180" t="n"/>
      <c r="C81" s="183" t="inlineStr">
        <is>
          <t xml:space="preserve">        Payables and Accrued Expenses, Current</t>
        </is>
      </c>
      <c r="D81" s="185" t="n"/>
      <c r="E81" s="185" t="n"/>
      <c r="F81" s="185" t="n"/>
      <c r="G81" s="185" t="n"/>
      <c r="H81" s="185" t="n"/>
      <c r="I81" s="185" t="n"/>
      <c r="J81" s="185" t="n"/>
      <c r="K81" s="185" t="n"/>
      <c r="AT81" s="182" t="n"/>
      <c r="AU81" s="176" t="n"/>
      <c r="AV81" s="176" t="n"/>
      <c r="AW81" s="176" t="n"/>
      <c r="AX81" s="176" t="n"/>
      <c r="AY81" s="176" t="n"/>
      <c r="AZ81" s="176" t="n"/>
      <c r="BA81" s="176" t="n"/>
      <c r="BB81" s="176" t="n"/>
      <c r="BC81" s="176" t="n"/>
      <c r="BD81" s="176" t="n"/>
      <c r="BE81" s="176" t="n"/>
      <c r="BF81" s="176" t="n"/>
      <c r="BG81" s="176" t="n"/>
      <c r="BH81" s="176" t="n"/>
      <c r="BI81" s="176" t="n"/>
      <c r="BJ81" s="176" t="n"/>
      <c r="BK81" s="176" t="n"/>
      <c r="BL81" s="176" t="n"/>
      <c r="BM81" s="176" t="n"/>
      <c r="BN81" s="176" t="n"/>
      <c r="BO81" s="176" t="n"/>
      <c r="BP81" s="176" t="n"/>
      <c r="BQ81" s="176" t="n"/>
      <c r="BR81" s="176" t="n"/>
    </row>
    <row r="82" ht="15" customHeight="1" s="392">
      <c r="A82" s="176" t="n"/>
      <c r="B82" s="180" t="n"/>
      <c r="C82" s="183" t="inlineStr">
        <is>
          <t xml:space="preserve">            Trade and Other Payables, Current</t>
        </is>
      </c>
      <c r="D82" s="185" t="n"/>
      <c r="E82" s="185" t="n"/>
      <c r="F82" s="185" t="n"/>
      <c r="G82" s="185" t="n"/>
      <c r="H82" s="185" t="n"/>
      <c r="I82" s="185" t="n"/>
      <c r="J82" s="185" t="n"/>
      <c r="K82" s="185" t="n"/>
      <c r="AT82" s="182" t="n"/>
      <c r="AU82" s="176" t="n"/>
      <c r="AV82" s="176" t="n"/>
      <c r="AW82" s="176" t="n"/>
      <c r="AX82" s="176" t="n"/>
      <c r="AY82" s="176" t="n"/>
      <c r="AZ82" s="176" t="n"/>
      <c r="BA82" s="176" t="n"/>
      <c r="BB82" s="176" t="n"/>
      <c r="BC82" s="176" t="n"/>
      <c r="BD82" s="176" t="n"/>
      <c r="BE82" s="176" t="n"/>
      <c r="BF82" s="176" t="n"/>
      <c r="BG82" s="176" t="n"/>
      <c r="BH82" s="176" t="n"/>
      <c r="BI82" s="176" t="n"/>
      <c r="BJ82" s="176" t="n"/>
      <c r="BK82" s="176" t="n"/>
      <c r="BL82" s="176" t="n"/>
      <c r="BM82" s="176" t="n"/>
      <c r="BN82" s="176" t="n"/>
      <c r="BO82" s="176" t="n"/>
      <c r="BP82" s="176" t="n"/>
      <c r="BQ82" s="176" t="n"/>
      <c r="BR82" s="176" t="n"/>
    </row>
    <row r="83" ht="15" customHeight="1" s="392">
      <c r="A83" s="176" t="n"/>
      <c r="B83" s="180" t="n"/>
      <c r="C83" s="183" t="inlineStr">
        <is>
          <t xml:space="preserve">                Trade/Accounts Payable, Current</t>
        </is>
      </c>
      <c r="D83" s="190">
        <f>IF(COUNT(M83:AS83)&gt;0,MEDIAN(M83:AS83),"")</f>
        <v/>
      </c>
      <c r="E83" s="190">
        <f>IF(COUNT(M83:AS83)&gt;0,AVERAGE(M83:AS83),"")</f>
        <v/>
      </c>
      <c r="F83" s="190">
        <f>IF(COUNT(M83:AS83)&gt;0,MIN(M83:AS83),"")</f>
        <v/>
      </c>
      <c r="G83" s="190">
        <f>IF(COUNT(M83:AS83)&gt;0,MAX(M83:AS83),"")</f>
        <v/>
      </c>
      <c r="H83" s="190">
        <f>IF(COUNT(M83:AS83)&gt;0,QUARTILE(M83:AS83,1),"")</f>
        <v/>
      </c>
      <c r="I83" s="190">
        <f>IF(COUNT(M83:AS83)&gt;0,QUARTILE(M83:AS83,3),"")</f>
        <v/>
      </c>
      <c r="J83" s="190">
        <f>IF(COUNT(M83:AS83)&gt;1,STDEV(M83:AS83),"")</f>
        <v/>
      </c>
      <c r="K83" s="191">
        <f>IF(COUNT(M83:AS83)&gt;1,STDEV(M83:AS83)/AVERAGE(M83:AS83),"")</f>
        <v/>
      </c>
      <c r="M83" s="192" t="n">
        <v>634675</v>
      </c>
      <c r="N83" s="192" t="n">
        <v>214402</v>
      </c>
      <c r="O83" s="192" t="n">
        <v>193333</v>
      </c>
      <c r="P83" s="192" t="n">
        <v>180016</v>
      </c>
      <c r="Q83" s="192" t="n">
        <v>187170</v>
      </c>
      <c r="R83" s="192" t="n">
        <v>163237</v>
      </c>
      <c r="S83" s="192" t="n">
        <v>132919</v>
      </c>
      <c r="T83" s="192" t="n">
        <v>113947</v>
      </c>
      <c r="U83" s="192" t="n">
        <v>133717</v>
      </c>
      <c r="V83" s="192" t="n">
        <v>71160</v>
      </c>
      <c r="W83" s="192" t="n">
        <v>76953</v>
      </c>
      <c r="X83" s="192" t="n">
        <v>57517</v>
      </c>
      <c r="Y83" s="192" t="n">
        <v>62213</v>
      </c>
      <c r="Z83" s="192" t="n">
        <v>70561</v>
      </c>
      <c r="AA83" s="192" t="n">
        <v>52506</v>
      </c>
      <c r="AB83" s="192" t="n">
        <v>54555</v>
      </c>
      <c r="AC83" s="192" t="n">
        <v>55293</v>
      </c>
      <c r="AD83" s="192" t="n">
        <v>44996</v>
      </c>
      <c r="AE83" s="192" t="n">
        <v>88883</v>
      </c>
      <c r="AF83" s="192" t="n">
        <v>85082</v>
      </c>
      <c r="AG83" s="192" t="n">
        <v>60644</v>
      </c>
      <c r="AH83" s="192" t="n">
        <v>56965</v>
      </c>
      <c r="AI83" s="192" t="n">
        <v>44080</v>
      </c>
      <c r="AJ83" s="192" t="n">
        <v>38309</v>
      </c>
      <c r="AK83" s="192" t="n">
        <v>31893.4</v>
      </c>
      <c r="AL83" s="192" t="n">
        <v>26769.8</v>
      </c>
      <c r="AM83" s="192" t="n">
        <v>19984.5</v>
      </c>
      <c r="AN83" s="192" t="n">
        <v>16600</v>
      </c>
      <c r="AO83" s="192" t="n">
        <v>11700</v>
      </c>
      <c r="AP83" s="192" t="n">
        <v>11800</v>
      </c>
      <c r="AQ83" s="192" t="n">
        <v>10400</v>
      </c>
      <c r="AR83" s="192" t="n">
        <v>9600</v>
      </c>
      <c r="AS83" s="192" t="n">
        <v>4100</v>
      </c>
      <c r="AT83" s="182" t="n"/>
      <c r="AU83" s="176" t="n"/>
      <c r="AV83" s="176" t="n"/>
      <c r="AW83" s="176" t="n"/>
      <c r="AX83" s="176" t="n"/>
      <c r="AY83" s="176" t="n"/>
      <c r="AZ83" s="176" t="n"/>
      <c r="BA83" s="176" t="n"/>
      <c r="BB83" s="176" t="n"/>
      <c r="BC83" s="176" t="n"/>
      <c r="BD83" s="176" t="n"/>
      <c r="BE83" s="176" t="n"/>
      <c r="BF83" s="176" t="n"/>
      <c r="BG83" s="176" t="n"/>
      <c r="BH83" s="176" t="n"/>
      <c r="BI83" s="176" t="n"/>
      <c r="BJ83" s="176" t="n"/>
      <c r="BK83" s="176" t="n"/>
      <c r="BL83" s="176" t="n"/>
      <c r="BM83" s="176" t="n"/>
      <c r="BN83" s="176" t="n"/>
      <c r="BO83" s="176" t="n"/>
      <c r="BP83" s="176" t="n"/>
      <c r="BQ83" s="176" t="n"/>
      <c r="BR83" s="176" t="n"/>
    </row>
    <row r="84" ht="15" customHeight="1" s="392">
      <c r="A84" s="176" t="n"/>
      <c r="B84" s="180" t="n"/>
      <c r="C84" s="183" t="inlineStr">
        <is>
          <t xml:space="preserve">                Taxes Payable, Current</t>
        </is>
      </c>
      <c r="D84" s="185" t="n"/>
      <c r="E84" s="185" t="n"/>
      <c r="F84" s="185" t="n"/>
      <c r="G84" s="185" t="n"/>
      <c r="H84" s="185" t="n"/>
      <c r="I84" s="185" t="n"/>
      <c r="J84" s="185" t="n"/>
      <c r="K84" s="185" t="n"/>
      <c r="AT84" s="182" t="n"/>
      <c r="AU84" s="176" t="n"/>
      <c r="AV84" s="176" t="n"/>
      <c r="AW84" s="176" t="n"/>
      <c r="AX84" s="176" t="n"/>
      <c r="AY84" s="176" t="n"/>
      <c r="AZ84" s="176" t="n"/>
      <c r="BA84" s="176" t="n"/>
      <c r="BB84" s="176" t="n"/>
      <c r="BC84" s="176" t="n"/>
      <c r="BD84" s="176" t="n"/>
      <c r="BE84" s="176" t="n"/>
      <c r="BF84" s="176" t="n"/>
      <c r="BG84" s="176" t="n"/>
      <c r="BH84" s="176" t="n"/>
      <c r="BI84" s="176" t="n"/>
      <c r="BJ84" s="176" t="n"/>
      <c r="BK84" s="176" t="n"/>
      <c r="BL84" s="176" t="n"/>
      <c r="BM84" s="176" t="n"/>
      <c r="BN84" s="176" t="n"/>
      <c r="BO84" s="176" t="n"/>
      <c r="BP84" s="176" t="n"/>
      <c r="BQ84" s="176" t="n"/>
      <c r="BR84" s="176" t="n"/>
    </row>
    <row r="85" ht="15" customHeight="1" s="392">
      <c r="A85" s="176" t="n"/>
      <c r="B85" s="180" t="n"/>
      <c r="C85" s="183" t="inlineStr">
        <is>
          <t xml:space="preserve">                    Income Tax Payable, Current</t>
        </is>
      </c>
      <c r="D85" s="190">
        <f>IF(COUNT(M85:AS85)&gt;0,MEDIAN(M85:AS85),"")</f>
        <v/>
      </c>
      <c r="E85" s="190">
        <f>IF(COUNT(M85:AS85)&gt;0,AVERAGE(M85:AS85),"")</f>
        <v/>
      </c>
      <c r="F85" s="190">
        <f>IF(COUNT(M85:AS85)&gt;0,MIN(M85:AS85),"")</f>
        <v/>
      </c>
      <c r="G85" s="190">
        <f>IF(COUNT(M85:AS85)&gt;0,MAX(M85:AS85),"")</f>
        <v/>
      </c>
      <c r="H85" s="190">
        <f>IF(COUNT(M85:AS85)&gt;0,QUARTILE(M85:AS85,1),"")</f>
        <v/>
      </c>
      <c r="I85" s="190">
        <f>IF(COUNT(M85:AS85)&gt;0,QUARTILE(M85:AS85,3),"")</f>
        <v/>
      </c>
      <c r="J85" s="190">
        <f>IF(COUNT(M85:AS85)&gt;1,STDEV(M85:AS85),"")</f>
        <v/>
      </c>
      <c r="K85" s="191">
        <f>IF(COUNT(M85:AS85)&gt;1,STDEV(M85:AS85)/AVERAGE(M85:AS85),"")</f>
        <v/>
      </c>
      <c r="M85" s="192" t="n">
        <v>21437</v>
      </c>
      <c r="N85" s="192" t="n">
        <v>41141</v>
      </c>
      <c r="O85" s="192" t="n">
        <v>60994</v>
      </c>
      <c r="P85" s="192" t="n">
        <v>4374</v>
      </c>
      <c r="Q85" s="192" t="n">
        <v>0</v>
      </c>
      <c r="R85" s="192" t="n">
        <v>7760</v>
      </c>
      <c r="S85" s="192" t="n">
        <v>3709</v>
      </c>
      <c r="T85" s="192" t="n">
        <v>3482</v>
      </c>
      <c r="U85" s="192" t="n">
        <v>673</v>
      </c>
      <c r="V85" s="192" t="n">
        <v>6472</v>
      </c>
      <c r="W85" s="192" t="n">
        <v>5625</v>
      </c>
      <c r="X85" s="192" t="n">
        <v>8279</v>
      </c>
      <c r="Y85" s="192" t="n">
        <v>8284</v>
      </c>
      <c r="Z85" s="192" t="n">
        <v>4741</v>
      </c>
      <c r="AA85" s="192" t="n">
        <v>3082</v>
      </c>
      <c r="AB85" s="192" t="n">
        <v>3543</v>
      </c>
      <c r="AC85" s="192" t="n">
        <v>1314</v>
      </c>
      <c r="AD85" s="192" t="n">
        <v>5269</v>
      </c>
      <c r="AE85" s="192" t="n"/>
      <c r="AF85" s="192" t="n"/>
      <c r="AG85" s="192" t="n"/>
      <c r="AH85" s="192" t="n"/>
      <c r="AI85" s="192" t="n"/>
      <c r="AJ85" s="192" t="n"/>
      <c r="AK85" s="192" t="n"/>
      <c r="AL85" s="192" t="n"/>
      <c r="AM85" s="192" t="n"/>
      <c r="AN85" s="192" t="n"/>
      <c r="AO85" s="192" t="n"/>
      <c r="AP85" s="192" t="n"/>
      <c r="AQ85" s="192" t="n"/>
      <c r="AR85" s="192" t="n"/>
      <c r="AS85" s="192" t="n"/>
      <c r="AT85" s="182" t="n"/>
      <c r="AU85" s="176" t="n"/>
      <c r="AV85" s="176" t="n"/>
      <c r="AW85" s="176" t="n"/>
      <c r="AX85" s="176" t="n"/>
      <c r="AY85" s="176" t="n"/>
      <c r="AZ85" s="176" t="n"/>
      <c r="BA85" s="176" t="n"/>
      <c r="BB85" s="176" t="n"/>
      <c r="BC85" s="176" t="n"/>
      <c r="BD85" s="176" t="n"/>
      <c r="BE85" s="176" t="n"/>
      <c r="BF85" s="176" t="n"/>
      <c r="BG85" s="176" t="n"/>
      <c r="BH85" s="176" t="n"/>
      <c r="BI85" s="176" t="n"/>
      <c r="BJ85" s="176" t="n"/>
      <c r="BK85" s="176" t="n"/>
      <c r="BL85" s="176" t="n"/>
      <c r="BM85" s="176" t="n"/>
      <c r="BN85" s="176" t="n"/>
      <c r="BO85" s="176" t="n"/>
      <c r="BP85" s="176" t="n"/>
      <c r="BQ85" s="176" t="n"/>
      <c r="BR85" s="176" t="n"/>
    </row>
    <row r="86" ht="15" customHeight="1" s="392">
      <c r="A86" s="176" t="n"/>
      <c r="B86" s="180" t="n"/>
      <c r="C86" s="183" t="inlineStr">
        <is>
          <t xml:space="preserve">                    Other Tax Payable, Current</t>
        </is>
      </c>
      <c r="D86" s="190">
        <f>IF(COUNT(M86:AS86)&gt;0,MEDIAN(M86:AS86),"")</f>
        <v/>
      </c>
      <c r="E86" s="190">
        <f>IF(COUNT(M86:AS86)&gt;0,AVERAGE(M86:AS86),"")</f>
        <v/>
      </c>
      <c r="F86" s="190">
        <f>IF(COUNT(M86:AS86)&gt;0,MIN(M86:AS86),"")</f>
        <v/>
      </c>
      <c r="G86" s="190">
        <f>IF(COUNT(M86:AS86)&gt;0,MAX(M86:AS86),"")</f>
        <v/>
      </c>
      <c r="H86" s="190">
        <f>IF(COUNT(M86:AS86)&gt;0,QUARTILE(M86:AS86,1),"")</f>
        <v/>
      </c>
      <c r="I86" s="190">
        <f>IF(COUNT(M86:AS86)&gt;0,QUARTILE(M86:AS86,3),"")</f>
        <v/>
      </c>
      <c r="J86" s="190">
        <f>IF(COUNT(M86:AS86)&gt;1,STDEV(M86:AS86),"")</f>
        <v/>
      </c>
      <c r="K86" s="191">
        <f>IF(COUNT(M86:AS86)&gt;1,STDEV(M86:AS86)/AVERAGE(M86:AS86),"")</f>
        <v/>
      </c>
      <c r="M86" s="192" t="n"/>
      <c r="N86" s="192" t="n">
        <v>12789</v>
      </c>
      <c r="O86" s="192" t="n">
        <v>8220</v>
      </c>
      <c r="P86" s="192" t="n">
        <v>-512</v>
      </c>
      <c r="Q86" s="192" t="n">
        <v>6906</v>
      </c>
      <c r="R86" s="192" t="n">
        <v>10953</v>
      </c>
      <c r="S86" s="192" t="n">
        <v>17036</v>
      </c>
      <c r="T86" s="192" t="n">
        <v>3881</v>
      </c>
      <c r="U86" s="192" t="n"/>
      <c r="V86" s="192" t="n"/>
      <c r="W86" s="192" t="n"/>
      <c r="X86" s="192" t="n"/>
      <c r="Y86" s="192" t="n"/>
      <c r="Z86" s="192" t="n"/>
      <c r="AA86" s="192" t="n"/>
      <c r="AB86" s="192" t="n">
        <v>0</v>
      </c>
      <c r="AC86" s="192" t="n">
        <v>0</v>
      </c>
      <c r="AD86" s="192" t="n">
        <v>0</v>
      </c>
      <c r="AE86" s="192" t="n"/>
      <c r="AF86" s="192" t="n"/>
      <c r="AG86" s="192" t="n"/>
      <c r="AH86" s="192" t="n"/>
      <c r="AI86" s="192" t="n"/>
      <c r="AJ86" s="192" t="n"/>
      <c r="AK86" s="192" t="n"/>
      <c r="AL86" s="192" t="n"/>
      <c r="AM86" s="192" t="n"/>
      <c r="AN86" s="192" t="n"/>
      <c r="AO86" s="192" t="n"/>
      <c r="AP86" s="192" t="n"/>
      <c r="AQ86" s="192" t="n"/>
      <c r="AR86" s="192" t="n"/>
      <c r="AS86" s="192" t="n"/>
      <c r="AT86" s="182" t="n"/>
      <c r="AU86" s="176" t="n"/>
      <c r="AV86" s="176" t="n"/>
      <c r="AW86" s="176" t="n"/>
      <c r="AX86" s="176" t="n"/>
      <c r="AY86" s="176" t="n"/>
      <c r="AZ86" s="176" t="n"/>
      <c r="BA86" s="176" t="n"/>
      <c r="BB86" s="176" t="n"/>
      <c r="BC86" s="176" t="n"/>
      <c r="BD86" s="176" t="n"/>
      <c r="BE86" s="176" t="n"/>
      <c r="BF86" s="176" t="n"/>
      <c r="BG86" s="176" t="n"/>
      <c r="BH86" s="176" t="n"/>
      <c r="BI86" s="176" t="n"/>
      <c r="BJ86" s="176" t="n"/>
      <c r="BK86" s="176" t="n"/>
      <c r="BL86" s="176" t="n"/>
      <c r="BM86" s="176" t="n"/>
      <c r="BN86" s="176" t="n"/>
      <c r="BO86" s="176" t="n"/>
      <c r="BP86" s="176" t="n"/>
      <c r="BQ86" s="176" t="n"/>
      <c r="BR86" s="176" t="n"/>
    </row>
    <row r="87" ht="15" customHeight="1" s="392">
      <c r="A87" s="176" t="n"/>
      <c r="B87" s="180" t="n"/>
      <c r="C87" s="187" t="inlineStr">
        <is>
          <t xml:space="preserve">                Total Taxes Payable, Current</t>
        </is>
      </c>
      <c r="D87" s="193">
        <f>IF(COUNT(M87:AS87)&gt;0,MEDIAN(M87:AS87),"")</f>
        <v/>
      </c>
      <c r="E87" s="193">
        <f>IF(COUNT(M87:AS87)&gt;0,AVERAGE(M87:AS87),"")</f>
        <v/>
      </c>
      <c r="F87" s="193">
        <f>IF(COUNT(M87:AS87)&gt;0,MIN(M87:AS87),"")</f>
        <v/>
      </c>
      <c r="G87" s="193">
        <f>IF(COUNT(M87:AS87)&gt;0,MAX(M87:AS87),"")</f>
        <v/>
      </c>
      <c r="H87" s="193">
        <f>IF(COUNT(M87:AS87)&gt;0,QUARTILE(M87:AS87,1),"")</f>
        <v/>
      </c>
      <c r="I87" s="193">
        <f>IF(COUNT(M87:AS87)&gt;0,QUARTILE(M87:AS87,3),"")</f>
        <v/>
      </c>
      <c r="J87" s="193">
        <f>IF(COUNT(M87:AS87)&gt;1,STDEV(M87:AS87),"")</f>
        <v/>
      </c>
      <c r="K87" s="194">
        <f>IF(COUNT(M87:AS87)&gt;1,STDEV(M87:AS87)/AVERAGE(M87:AS87),"")</f>
        <v/>
      </c>
      <c r="L87" s="195" t="n"/>
      <c r="M87" s="196" t="n">
        <v>21437</v>
      </c>
      <c r="N87" s="196" t="n">
        <v>53930</v>
      </c>
      <c r="O87" s="196" t="n">
        <v>69214</v>
      </c>
      <c r="P87" s="196" t="n">
        <v>3862</v>
      </c>
      <c r="Q87" s="196" t="n">
        <v>6906</v>
      </c>
      <c r="R87" s="196" t="n">
        <v>18713</v>
      </c>
      <c r="S87" s="196" t="n">
        <v>20745</v>
      </c>
      <c r="T87" s="196" t="n">
        <v>7363</v>
      </c>
      <c r="U87" s="196" t="n">
        <v>673</v>
      </c>
      <c r="V87" s="196" t="n">
        <v>6472</v>
      </c>
      <c r="W87" s="196" t="n">
        <v>5625</v>
      </c>
      <c r="X87" s="196" t="n">
        <v>8279</v>
      </c>
      <c r="Y87" s="196" t="n">
        <v>8284</v>
      </c>
      <c r="Z87" s="196" t="n">
        <v>4741</v>
      </c>
      <c r="AA87" s="196" t="n">
        <v>3082</v>
      </c>
      <c r="AB87" s="196" t="n">
        <v>3543</v>
      </c>
      <c r="AC87" s="196" t="n">
        <v>1314</v>
      </c>
      <c r="AD87" s="196" t="n">
        <v>5269</v>
      </c>
      <c r="AE87" s="196" t="n"/>
      <c r="AF87" s="196" t="n"/>
      <c r="AG87" s="196" t="n"/>
      <c r="AH87" s="196" t="n"/>
      <c r="AI87" s="196" t="n"/>
      <c r="AJ87" s="196" t="n"/>
      <c r="AK87" s="196" t="n"/>
      <c r="AL87" s="196" t="n"/>
      <c r="AM87" s="196" t="n"/>
      <c r="AN87" s="196" t="n"/>
      <c r="AO87" s="196" t="n"/>
      <c r="AP87" s="196" t="n"/>
      <c r="AQ87" s="196" t="n"/>
      <c r="AR87" s="196" t="n"/>
      <c r="AS87" s="196" t="n"/>
      <c r="AT87" s="182" t="n"/>
      <c r="AU87" s="176" t="n"/>
      <c r="AV87" s="176" t="n"/>
      <c r="AW87" s="176" t="n"/>
      <c r="AX87" s="176" t="n"/>
      <c r="AY87" s="176" t="n"/>
      <c r="AZ87" s="176" t="n"/>
      <c r="BA87" s="176" t="n"/>
      <c r="BB87" s="176" t="n"/>
      <c r="BC87" s="176" t="n"/>
      <c r="BD87" s="176" t="n"/>
      <c r="BE87" s="176" t="n"/>
      <c r="BF87" s="176" t="n"/>
      <c r="BG87" s="176" t="n"/>
      <c r="BH87" s="176" t="n"/>
      <c r="BI87" s="176" t="n"/>
      <c r="BJ87" s="176" t="n"/>
      <c r="BK87" s="176" t="n"/>
      <c r="BL87" s="176" t="n"/>
      <c r="BM87" s="176" t="n"/>
      <c r="BN87" s="176" t="n"/>
      <c r="BO87" s="176" t="n"/>
      <c r="BP87" s="176" t="n"/>
      <c r="BQ87" s="176" t="n"/>
      <c r="BR87" s="176" t="n"/>
    </row>
    <row r="88" ht="15" customHeight="1" s="392">
      <c r="A88" s="176" t="n"/>
      <c r="B88" s="180" t="n"/>
      <c r="C88" s="187" t="inlineStr">
        <is>
          <t xml:space="preserve">            Total Trade and Other Payables, Current</t>
        </is>
      </c>
      <c r="D88" s="193">
        <f>IF(COUNT(M88:AS88)&gt;0,MEDIAN(M88:AS88),"")</f>
        <v/>
      </c>
      <c r="E88" s="193">
        <f>IF(COUNT(M88:AS88)&gt;0,AVERAGE(M88:AS88),"")</f>
        <v/>
      </c>
      <c r="F88" s="193">
        <f>IF(COUNT(M88:AS88)&gt;0,MIN(M88:AS88),"")</f>
        <v/>
      </c>
      <c r="G88" s="193">
        <f>IF(COUNT(M88:AS88)&gt;0,MAX(M88:AS88),"")</f>
        <v/>
      </c>
      <c r="H88" s="193">
        <f>IF(COUNT(M88:AS88)&gt;0,QUARTILE(M88:AS88,1),"")</f>
        <v/>
      </c>
      <c r="I88" s="193">
        <f>IF(COUNT(M88:AS88)&gt;0,QUARTILE(M88:AS88,3),"")</f>
        <v/>
      </c>
      <c r="J88" s="193">
        <f>IF(COUNT(M88:AS88)&gt;1,STDEV(M88:AS88),"")</f>
        <v/>
      </c>
      <c r="K88" s="194">
        <f>IF(COUNT(M88:AS88)&gt;1,STDEV(M88:AS88)/AVERAGE(M88:AS88),"")</f>
        <v/>
      </c>
      <c r="L88" s="195" t="n"/>
      <c r="M88" s="196" t="n">
        <v>656112</v>
      </c>
      <c r="N88" s="196" t="n">
        <v>268332</v>
      </c>
      <c r="O88" s="196" t="n">
        <v>262547</v>
      </c>
      <c r="P88" s="196" t="n">
        <v>183878</v>
      </c>
      <c r="Q88" s="196" t="n">
        <v>194076</v>
      </c>
      <c r="R88" s="196" t="n">
        <v>181950</v>
      </c>
      <c r="S88" s="196" t="n">
        <v>153664</v>
      </c>
      <c r="T88" s="196" t="n">
        <v>121310</v>
      </c>
      <c r="U88" s="196" t="n">
        <v>134390</v>
      </c>
      <c r="V88" s="196" t="n">
        <v>77632</v>
      </c>
      <c r="W88" s="196" t="n">
        <v>82578</v>
      </c>
      <c r="X88" s="196" t="n">
        <v>65796</v>
      </c>
      <c r="Y88" s="196" t="n">
        <v>70497</v>
      </c>
      <c r="Z88" s="196" t="n">
        <v>75302</v>
      </c>
      <c r="AA88" s="196" t="n">
        <v>55588</v>
      </c>
      <c r="AB88" s="196" t="n">
        <v>58098</v>
      </c>
      <c r="AC88" s="196" t="n">
        <v>56607</v>
      </c>
      <c r="AD88" s="196" t="n">
        <v>50265</v>
      </c>
      <c r="AE88" s="196" t="n">
        <v>88883</v>
      </c>
      <c r="AF88" s="196" t="n">
        <v>85082</v>
      </c>
      <c r="AG88" s="196" t="n">
        <v>60644</v>
      </c>
      <c r="AH88" s="196" t="n">
        <v>56965</v>
      </c>
      <c r="AI88" s="196" t="n">
        <v>44080</v>
      </c>
      <c r="AJ88" s="196" t="n">
        <v>38309</v>
      </c>
      <c r="AK88" s="196" t="n">
        <v>31893.4</v>
      </c>
      <c r="AL88" s="196" t="n">
        <v>26769.8</v>
      </c>
      <c r="AM88" s="196" t="n">
        <v>19984.5</v>
      </c>
      <c r="AN88" s="196" t="n">
        <v>16600</v>
      </c>
      <c r="AO88" s="196" t="n">
        <v>11700</v>
      </c>
      <c r="AP88" s="196" t="n">
        <v>11800</v>
      </c>
      <c r="AQ88" s="196" t="n">
        <v>10400</v>
      </c>
      <c r="AR88" s="196" t="n">
        <v>9600</v>
      </c>
      <c r="AS88" s="196" t="n">
        <v>4100</v>
      </c>
      <c r="AT88" s="182" t="n"/>
      <c r="AU88" s="176" t="n"/>
      <c r="AV88" s="176" t="n"/>
      <c r="AW88" s="176" t="n"/>
      <c r="AX88" s="176" t="n"/>
      <c r="AY88" s="176" t="n"/>
      <c r="AZ88" s="176" t="n"/>
      <c r="BA88" s="176" t="n"/>
      <c r="BB88" s="176" t="n"/>
      <c r="BC88" s="176" t="n"/>
      <c r="BD88" s="176" t="n"/>
      <c r="BE88" s="176" t="n"/>
      <c r="BF88" s="176" t="n"/>
      <c r="BG88" s="176" t="n"/>
      <c r="BH88" s="176" t="n"/>
      <c r="BI88" s="176" t="n"/>
      <c r="BJ88" s="176" t="n"/>
      <c r="BK88" s="176" t="n"/>
      <c r="BL88" s="176" t="n"/>
      <c r="BM88" s="176" t="n"/>
      <c r="BN88" s="176" t="n"/>
      <c r="BO88" s="176" t="n"/>
      <c r="BP88" s="176" t="n"/>
      <c r="BQ88" s="176" t="n"/>
      <c r="BR88" s="176" t="n"/>
    </row>
    <row r="89" ht="15" customHeight="1" s="392">
      <c r="A89" s="176" t="n"/>
      <c r="B89" s="180" t="n"/>
      <c r="C89" s="183" t="inlineStr">
        <is>
          <t xml:space="preserve">            Accrued Expenses, Current</t>
        </is>
      </c>
      <c r="D89" s="190">
        <f>IF(COUNT(M89:AS89)&gt;0,MEDIAN(M89:AS89),"")</f>
        <v/>
      </c>
      <c r="E89" s="190">
        <f>IF(COUNT(M89:AS89)&gt;0,AVERAGE(M89:AS89),"")</f>
        <v/>
      </c>
      <c r="F89" s="190">
        <f>IF(COUNT(M89:AS89)&gt;0,MIN(M89:AS89),"")</f>
        <v/>
      </c>
      <c r="G89" s="190">
        <f>IF(COUNT(M89:AS89)&gt;0,MAX(M89:AS89),"")</f>
        <v/>
      </c>
      <c r="H89" s="190">
        <f>IF(COUNT(M89:AS89)&gt;0,QUARTILE(M89:AS89,1),"")</f>
        <v/>
      </c>
      <c r="I89" s="190">
        <f>IF(COUNT(M89:AS89)&gt;0,QUARTILE(M89:AS89,3),"")</f>
        <v/>
      </c>
      <c r="J89" s="190">
        <f>IF(COUNT(M89:AS89)&gt;1,STDEV(M89:AS89),"")</f>
        <v/>
      </c>
      <c r="K89" s="191">
        <f>IF(COUNT(M89:AS89)&gt;1,STDEV(M89:AS89)/AVERAGE(M89:AS89),"")</f>
        <v/>
      </c>
      <c r="M89" s="192" t="n"/>
      <c r="N89" s="192" t="n">
        <v>127954</v>
      </c>
      <c r="O89" s="192" t="n">
        <v>96648</v>
      </c>
      <c r="P89" s="192" t="n">
        <v>71916</v>
      </c>
      <c r="Q89" s="192" t="n">
        <v>35821</v>
      </c>
      <c r="R89" s="192" t="n">
        <v>39579</v>
      </c>
      <c r="S89" s="192" t="n">
        <v>37502</v>
      </c>
      <c r="T89" s="192" t="n">
        <v>38269</v>
      </c>
      <c r="U89" s="192" t="n">
        <v>37566</v>
      </c>
      <c r="V89" s="192" t="n">
        <v>55479</v>
      </c>
      <c r="W89" s="192" t="n">
        <v>41544</v>
      </c>
      <c r="X89" s="192" t="n">
        <v>30417</v>
      </c>
      <c r="Y89" s="192" t="n">
        <v>36105</v>
      </c>
      <c r="Z89" s="192" t="n">
        <v>18725</v>
      </c>
      <c r="AA89" s="192" t="n">
        <v>15319</v>
      </c>
      <c r="AB89" s="192" t="n">
        <v>31548</v>
      </c>
      <c r="AC89" s="192" t="n">
        <v>24149</v>
      </c>
      <c r="AD89" s="192" t="n">
        <v>37777</v>
      </c>
      <c r="AE89" s="192" t="n"/>
      <c r="AF89" s="192" t="n"/>
      <c r="AG89" s="192" t="n"/>
      <c r="AH89" s="192" t="n"/>
      <c r="AI89" s="192" t="n"/>
      <c r="AJ89" s="192" t="n"/>
      <c r="AK89" s="192" t="n"/>
      <c r="AL89" s="192" t="n"/>
      <c r="AM89" s="192" t="n"/>
      <c r="AN89" s="192" t="n"/>
      <c r="AO89" s="192" t="n"/>
      <c r="AP89" s="192" t="n"/>
      <c r="AQ89" s="192" t="n"/>
      <c r="AR89" s="192" t="n"/>
      <c r="AS89" s="192" t="n"/>
      <c r="AT89" s="182" t="n"/>
      <c r="AU89" s="176" t="n"/>
      <c r="AV89" s="176" t="n"/>
      <c r="AW89" s="176" t="n"/>
      <c r="AX89" s="176" t="n"/>
      <c r="AY89" s="176" t="n"/>
      <c r="AZ89" s="176" t="n"/>
      <c r="BA89" s="176" t="n"/>
      <c r="BB89" s="176" t="n"/>
      <c r="BC89" s="176" t="n"/>
      <c r="BD89" s="176" t="n"/>
      <c r="BE89" s="176" t="n"/>
      <c r="BF89" s="176" t="n"/>
      <c r="BG89" s="176" t="n"/>
      <c r="BH89" s="176" t="n"/>
      <c r="BI89" s="176" t="n"/>
      <c r="BJ89" s="176" t="n"/>
      <c r="BK89" s="176" t="n"/>
      <c r="BL89" s="176" t="n"/>
      <c r="BM89" s="176" t="n"/>
      <c r="BN89" s="176" t="n"/>
      <c r="BO89" s="176" t="n"/>
      <c r="BP89" s="176" t="n"/>
      <c r="BQ89" s="176" t="n"/>
      <c r="BR89" s="176" t="n"/>
    </row>
    <row r="90" ht="15" customHeight="1" s="392">
      <c r="A90" s="176" t="n"/>
      <c r="B90" s="180" t="n"/>
      <c r="C90" s="187" t="inlineStr">
        <is>
          <t xml:space="preserve">        Total Payables and Accrued Expenses, Current</t>
        </is>
      </c>
      <c r="D90" s="193">
        <f>IF(COUNT(M90:AS90)&gt;0,MEDIAN(M90:AS90),"")</f>
        <v/>
      </c>
      <c r="E90" s="193">
        <f>IF(COUNT(M90:AS90)&gt;0,AVERAGE(M90:AS90),"")</f>
        <v/>
      </c>
      <c r="F90" s="193">
        <f>IF(COUNT(M90:AS90)&gt;0,MIN(M90:AS90),"")</f>
        <v/>
      </c>
      <c r="G90" s="193">
        <f>IF(COUNT(M90:AS90)&gt;0,MAX(M90:AS90),"")</f>
        <v/>
      </c>
      <c r="H90" s="193">
        <f>IF(COUNT(M90:AS90)&gt;0,QUARTILE(M90:AS90,1),"")</f>
        <v/>
      </c>
      <c r="I90" s="193">
        <f>IF(COUNT(M90:AS90)&gt;0,QUARTILE(M90:AS90,3),"")</f>
        <v/>
      </c>
      <c r="J90" s="193">
        <f>IF(COUNT(M90:AS90)&gt;1,STDEV(M90:AS90),"")</f>
        <v/>
      </c>
      <c r="K90" s="194">
        <f>IF(COUNT(M90:AS90)&gt;1,STDEV(M90:AS90)/AVERAGE(M90:AS90),"")</f>
        <v/>
      </c>
      <c r="L90" s="195" t="n"/>
      <c r="M90" s="196" t="n">
        <v>656112</v>
      </c>
      <c r="N90" s="196" t="n">
        <v>396286</v>
      </c>
      <c r="O90" s="196" t="n">
        <v>359195</v>
      </c>
      <c r="P90" s="196" t="n">
        <v>255794</v>
      </c>
      <c r="Q90" s="196" t="n">
        <v>229897</v>
      </c>
      <c r="R90" s="196" t="n">
        <v>221529</v>
      </c>
      <c r="S90" s="196" t="n">
        <v>191166</v>
      </c>
      <c r="T90" s="196" t="n">
        <v>159579</v>
      </c>
      <c r="U90" s="196" t="n">
        <v>171956</v>
      </c>
      <c r="V90" s="196" t="n">
        <v>133111</v>
      </c>
      <c r="W90" s="196" t="n">
        <v>124122</v>
      </c>
      <c r="X90" s="196" t="n">
        <v>96213</v>
      </c>
      <c r="Y90" s="196" t="n">
        <v>106602</v>
      </c>
      <c r="Z90" s="196" t="n">
        <v>94027</v>
      </c>
      <c r="AA90" s="196" t="n">
        <v>70907</v>
      </c>
      <c r="AB90" s="196" t="n">
        <v>89646</v>
      </c>
      <c r="AC90" s="196" t="n">
        <v>80756</v>
      </c>
      <c r="AD90" s="196" t="n">
        <v>88042</v>
      </c>
      <c r="AE90" s="196" t="n">
        <v>88883</v>
      </c>
      <c r="AF90" s="196" t="n">
        <v>85082</v>
      </c>
      <c r="AG90" s="196" t="n">
        <v>60644</v>
      </c>
      <c r="AH90" s="196" t="n">
        <v>56965</v>
      </c>
      <c r="AI90" s="196" t="n">
        <v>44080</v>
      </c>
      <c r="AJ90" s="196" t="n">
        <v>38309</v>
      </c>
      <c r="AK90" s="196" t="n">
        <v>31893.4</v>
      </c>
      <c r="AL90" s="196" t="n">
        <v>26769.8</v>
      </c>
      <c r="AM90" s="196" t="n">
        <v>19984.5</v>
      </c>
      <c r="AN90" s="196" t="n">
        <v>16600</v>
      </c>
      <c r="AO90" s="196" t="n">
        <v>11700</v>
      </c>
      <c r="AP90" s="196" t="n">
        <v>11800</v>
      </c>
      <c r="AQ90" s="196" t="n">
        <v>10400</v>
      </c>
      <c r="AR90" s="196" t="n">
        <v>9600</v>
      </c>
      <c r="AS90" s="196" t="n">
        <v>4100</v>
      </c>
      <c r="AT90" s="182" t="n"/>
      <c r="AU90" s="176" t="n"/>
      <c r="AV90" s="176" t="n"/>
      <c r="AW90" s="176" t="n"/>
      <c r="AX90" s="176" t="n"/>
      <c r="AY90" s="176" t="n"/>
      <c r="AZ90" s="176" t="n"/>
      <c r="BA90" s="176" t="n"/>
      <c r="BB90" s="176" t="n"/>
      <c r="BC90" s="176" t="n"/>
      <c r="BD90" s="176" t="n"/>
      <c r="BE90" s="176" t="n"/>
      <c r="BF90" s="176" t="n"/>
      <c r="BG90" s="176" t="n"/>
      <c r="BH90" s="176" t="n"/>
      <c r="BI90" s="176" t="n"/>
      <c r="BJ90" s="176" t="n"/>
      <c r="BK90" s="176" t="n"/>
      <c r="BL90" s="176" t="n"/>
      <c r="BM90" s="176" t="n"/>
      <c r="BN90" s="176" t="n"/>
      <c r="BO90" s="176" t="n"/>
      <c r="BP90" s="176" t="n"/>
      <c r="BQ90" s="176" t="n"/>
      <c r="BR90" s="176" t="n"/>
    </row>
    <row r="91" ht="15" customHeight="1" s="392">
      <c r="A91" s="176" t="n"/>
      <c r="B91" s="180" t="n"/>
      <c r="C91" s="183" t="inlineStr">
        <is>
          <t xml:space="preserve">        Financial Liabilities, Current</t>
        </is>
      </c>
      <c r="D91" s="185" t="n"/>
      <c r="E91" s="185" t="n"/>
      <c r="F91" s="185" t="n"/>
      <c r="G91" s="185" t="n"/>
      <c r="H91" s="185" t="n"/>
      <c r="I91" s="185" t="n"/>
      <c r="J91" s="185" t="n"/>
      <c r="K91" s="185" t="n"/>
      <c r="AT91" s="182" t="n"/>
      <c r="AU91" s="176" t="n"/>
      <c r="AV91" s="176" t="n"/>
      <c r="AW91" s="176" t="n"/>
      <c r="AX91" s="176" t="n"/>
      <c r="AY91" s="176" t="n"/>
      <c r="AZ91" s="176" t="n"/>
      <c r="BA91" s="176" t="n"/>
      <c r="BB91" s="176" t="n"/>
      <c r="BC91" s="176" t="n"/>
      <c r="BD91" s="176" t="n"/>
      <c r="BE91" s="176" t="n"/>
      <c r="BF91" s="176" t="n"/>
      <c r="BG91" s="176" t="n"/>
      <c r="BH91" s="176" t="n"/>
      <c r="BI91" s="176" t="n"/>
      <c r="BJ91" s="176" t="n"/>
      <c r="BK91" s="176" t="n"/>
      <c r="BL91" s="176" t="n"/>
      <c r="BM91" s="176" t="n"/>
      <c r="BN91" s="176" t="n"/>
      <c r="BO91" s="176" t="n"/>
      <c r="BP91" s="176" t="n"/>
      <c r="BQ91" s="176" t="n"/>
      <c r="BR91" s="176" t="n"/>
    </row>
    <row r="92" ht="15" customHeight="1" s="392">
      <c r="A92" s="176" t="n"/>
      <c r="B92" s="180" t="n"/>
      <c r="C92" s="183" t="inlineStr">
        <is>
          <t xml:space="preserve">            Current Debt and Capital Lease Obligation</t>
        </is>
      </c>
      <c r="D92" s="185" t="n"/>
      <c r="E92" s="185" t="n"/>
      <c r="F92" s="185" t="n"/>
      <c r="G92" s="185" t="n"/>
      <c r="H92" s="185" t="n"/>
      <c r="I92" s="185" t="n"/>
      <c r="J92" s="185" t="n"/>
      <c r="K92" s="185" t="n"/>
      <c r="AT92" s="182" t="n"/>
      <c r="AU92" s="176" t="n"/>
      <c r="AV92" s="176" t="n"/>
      <c r="AW92" s="176" t="n"/>
      <c r="AX92" s="176" t="n"/>
      <c r="AY92" s="176" t="n"/>
      <c r="AZ92" s="176" t="n"/>
      <c r="BA92" s="176" t="n"/>
      <c r="BB92" s="176" t="n"/>
      <c r="BC92" s="176" t="n"/>
      <c r="BD92" s="176" t="n"/>
      <c r="BE92" s="176" t="n"/>
      <c r="BF92" s="176" t="n"/>
      <c r="BG92" s="176" t="n"/>
      <c r="BH92" s="176" t="n"/>
      <c r="BI92" s="176" t="n"/>
      <c r="BJ92" s="176" t="n"/>
      <c r="BK92" s="176" t="n"/>
      <c r="BL92" s="176" t="n"/>
      <c r="BM92" s="176" t="n"/>
      <c r="BN92" s="176" t="n"/>
      <c r="BO92" s="176" t="n"/>
      <c r="BP92" s="176" t="n"/>
      <c r="BQ92" s="176" t="n"/>
      <c r="BR92" s="176" t="n"/>
    </row>
    <row r="93" ht="15" customHeight="1" s="392">
      <c r="A93" s="176" t="n"/>
      <c r="B93" s="180" t="n"/>
      <c r="C93" s="183" t="inlineStr">
        <is>
          <t xml:space="preserve">                Current Debt</t>
        </is>
      </c>
      <c r="D93" s="185" t="n"/>
      <c r="E93" s="185" t="n"/>
      <c r="F93" s="185" t="n"/>
      <c r="G93" s="185" t="n"/>
      <c r="H93" s="185" t="n"/>
      <c r="I93" s="185" t="n"/>
      <c r="J93" s="185" t="n"/>
      <c r="K93" s="185" t="n"/>
      <c r="AT93" s="182" t="n"/>
      <c r="AU93" s="176" t="n"/>
      <c r="AV93" s="176" t="n"/>
      <c r="AW93" s="176" t="n"/>
      <c r="AX93" s="176" t="n"/>
      <c r="AY93" s="176" t="n"/>
      <c r="AZ93" s="176" t="n"/>
      <c r="BA93" s="176" t="n"/>
      <c r="BB93" s="176" t="n"/>
      <c r="BC93" s="176" t="n"/>
      <c r="BD93" s="176" t="n"/>
      <c r="BE93" s="176" t="n"/>
      <c r="BF93" s="176" t="n"/>
      <c r="BG93" s="176" t="n"/>
      <c r="BH93" s="176" t="n"/>
      <c r="BI93" s="176" t="n"/>
      <c r="BJ93" s="176" t="n"/>
      <c r="BK93" s="176" t="n"/>
      <c r="BL93" s="176" t="n"/>
      <c r="BM93" s="176" t="n"/>
      <c r="BN93" s="176" t="n"/>
      <c r="BO93" s="176" t="n"/>
      <c r="BP93" s="176" t="n"/>
      <c r="BQ93" s="176" t="n"/>
      <c r="BR93" s="176" t="n"/>
    </row>
    <row r="94" ht="15" customHeight="1" s="392">
      <c r="A94" s="176" t="n"/>
      <c r="B94" s="180" t="n"/>
      <c r="C94" s="183" t="inlineStr">
        <is>
          <t xml:space="preserve">                    Bank Overdraft, Current Debt</t>
        </is>
      </c>
      <c r="D94" s="190">
        <f>IF(COUNT(M94:AS94)&gt;0,MEDIAN(M94:AS94),"")</f>
        <v/>
      </c>
      <c r="E94" s="190">
        <f>IF(COUNT(M94:AS94)&gt;0,AVERAGE(M94:AS94),"")</f>
        <v/>
      </c>
      <c r="F94" s="190">
        <f>IF(COUNT(M94:AS94)&gt;0,MIN(M94:AS94),"")</f>
        <v/>
      </c>
      <c r="G94" s="190">
        <f>IF(COUNT(M94:AS94)&gt;0,MAX(M94:AS94),"")</f>
        <v/>
      </c>
      <c r="H94" s="190">
        <f>IF(COUNT(M94:AS94)&gt;0,QUARTILE(M94:AS94,1),"")</f>
        <v/>
      </c>
      <c r="I94" s="190">
        <f>IF(COUNT(M94:AS94)&gt;0,QUARTILE(M94:AS94,3),"")</f>
        <v/>
      </c>
      <c r="J94" s="190">
        <f>IF(COUNT(M94:AS94)&gt;1,STDEV(M94:AS94),"")</f>
        <v/>
      </c>
      <c r="K94" s="191">
        <f>IF(COUNT(M94:AS94)&gt;1,STDEV(M94:AS94)/AVERAGE(M94:AS94),"")</f>
        <v/>
      </c>
      <c r="M94" s="192" t="n"/>
      <c r="N94" s="192" t="n"/>
      <c r="O94" s="192" t="n"/>
      <c r="P94" s="192" t="n"/>
      <c r="Q94" s="192" t="n"/>
      <c r="R94" s="192" t="n"/>
      <c r="S94" s="192" t="n"/>
      <c r="T94" s="192" t="n"/>
      <c r="U94" s="192" t="n"/>
      <c r="V94" s="192" t="n"/>
      <c r="W94" s="192" t="n"/>
      <c r="X94" s="192" t="n"/>
      <c r="Y94" s="192" t="n"/>
      <c r="Z94" s="192" t="n">
        <v>16291</v>
      </c>
      <c r="AA94" s="192" t="n">
        <v>0</v>
      </c>
      <c r="AB94" s="192" t="n"/>
      <c r="AC94" s="192" t="n"/>
      <c r="AD94" s="192" t="n"/>
      <c r="AE94" s="192" t="n"/>
      <c r="AF94" s="192" t="n"/>
      <c r="AG94" s="192" t="n"/>
      <c r="AH94" s="192" t="n"/>
      <c r="AI94" s="192" t="n"/>
      <c r="AJ94" s="192" t="n"/>
      <c r="AK94" s="192" t="n"/>
      <c r="AL94" s="192" t="n"/>
      <c r="AM94" s="192" t="n"/>
      <c r="AN94" s="192" t="n"/>
      <c r="AO94" s="192" t="n"/>
      <c r="AP94" s="192" t="n"/>
      <c r="AQ94" s="192" t="n"/>
      <c r="AR94" s="192" t="n"/>
      <c r="AS94" s="192" t="n"/>
      <c r="AT94" s="182" t="n"/>
      <c r="AU94" s="176" t="n"/>
      <c r="AV94" s="176" t="n"/>
      <c r="AW94" s="176" t="n"/>
      <c r="AX94" s="176" t="n"/>
      <c r="AY94" s="176" t="n"/>
      <c r="AZ94" s="176" t="n"/>
      <c r="BA94" s="176" t="n"/>
      <c r="BB94" s="176" t="n"/>
      <c r="BC94" s="176" t="n"/>
      <c r="BD94" s="176" t="n"/>
      <c r="BE94" s="176" t="n"/>
      <c r="BF94" s="176" t="n"/>
      <c r="BG94" s="176" t="n"/>
      <c r="BH94" s="176" t="n"/>
      <c r="BI94" s="176" t="n"/>
      <c r="BJ94" s="176" t="n"/>
      <c r="BK94" s="176" t="n"/>
      <c r="BL94" s="176" t="n"/>
      <c r="BM94" s="176" t="n"/>
      <c r="BN94" s="176" t="n"/>
      <c r="BO94" s="176" t="n"/>
      <c r="BP94" s="176" t="n"/>
      <c r="BQ94" s="176" t="n"/>
      <c r="BR94" s="176" t="n"/>
    </row>
    <row r="95" ht="15" customHeight="1" s="392">
      <c r="A95" s="176" t="n"/>
      <c r="B95" s="180" t="n"/>
      <c r="C95" s="187" t="inlineStr">
        <is>
          <t xml:space="preserve">                Total Current Debt</t>
        </is>
      </c>
      <c r="D95" s="193">
        <f>IF(COUNT(M95:AS95)&gt;0,MEDIAN(M95:AS95),"")</f>
        <v/>
      </c>
      <c r="E95" s="193">
        <f>IF(COUNT(M95:AS95)&gt;0,AVERAGE(M95:AS95),"")</f>
        <v/>
      </c>
      <c r="F95" s="193">
        <f>IF(COUNT(M95:AS95)&gt;0,MIN(M95:AS95),"")</f>
        <v/>
      </c>
      <c r="G95" s="193">
        <f>IF(COUNT(M95:AS95)&gt;0,MAX(M95:AS95),"")</f>
        <v/>
      </c>
      <c r="H95" s="193">
        <f>IF(COUNT(M95:AS95)&gt;0,QUARTILE(M95:AS95,1),"")</f>
        <v/>
      </c>
      <c r="I95" s="193">
        <f>IF(COUNT(M95:AS95)&gt;0,QUARTILE(M95:AS95,3),"")</f>
        <v/>
      </c>
      <c r="J95" s="193">
        <f>IF(COUNT(M95:AS95)&gt;1,STDEV(M95:AS95),"")</f>
        <v/>
      </c>
      <c r="K95" s="194">
        <f>IF(COUNT(M95:AS95)&gt;1,STDEV(M95:AS95)/AVERAGE(M95:AS95),"")</f>
        <v/>
      </c>
      <c r="L95" s="195" t="n"/>
      <c r="M95" s="196" t="n"/>
      <c r="N95" s="196" t="n"/>
      <c r="O95" s="196" t="n"/>
      <c r="P95" s="196" t="n"/>
      <c r="Q95" s="196" t="n"/>
      <c r="R95" s="196" t="n"/>
      <c r="S95" s="196" t="n"/>
      <c r="T95" s="196" t="n"/>
      <c r="U95" s="196" t="n"/>
      <c r="V95" s="196" t="n"/>
      <c r="W95" s="196" t="n"/>
      <c r="X95" s="196" t="n"/>
      <c r="Y95" s="196" t="n"/>
      <c r="Z95" s="196" t="n">
        <v>16291</v>
      </c>
      <c r="AA95" s="196" t="n">
        <v>0</v>
      </c>
      <c r="AB95" s="196" t="n"/>
      <c r="AC95" s="196" t="n"/>
      <c r="AD95" s="196" t="n"/>
      <c r="AE95" s="196" t="n">
        <v>17502</v>
      </c>
      <c r="AF95" s="196" t="n">
        <v>9256</v>
      </c>
      <c r="AG95" s="196" t="n"/>
      <c r="AH95" s="196" t="n"/>
      <c r="AI95" s="196" t="n"/>
      <c r="AJ95" s="196" t="n">
        <v>91</v>
      </c>
      <c r="AK95" s="196" t="n">
        <v>324.5</v>
      </c>
      <c r="AL95" s="196" t="n">
        <v>302.9</v>
      </c>
      <c r="AM95" s="196" t="n">
        <v>7842.3</v>
      </c>
      <c r="AN95" s="196" t="n">
        <v>300</v>
      </c>
      <c r="AO95" s="196" t="n">
        <v>600</v>
      </c>
      <c r="AP95" s="196" t="n">
        <v>1900</v>
      </c>
      <c r="AQ95" s="196" t="n">
        <v>800</v>
      </c>
      <c r="AR95" s="196" t="n">
        <v>600</v>
      </c>
      <c r="AS95" s="196" t="n">
        <v>700</v>
      </c>
      <c r="AT95" s="182" t="n"/>
      <c r="AU95" s="176" t="n"/>
      <c r="AV95" s="176" t="n"/>
      <c r="AW95" s="176" t="n"/>
      <c r="AX95" s="176" t="n"/>
      <c r="AY95" s="176" t="n"/>
      <c r="AZ95" s="176" t="n"/>
      <c r="BA95" s="176" t="n"/>
      <c r="BB95" s="176" t="n"/>
      <c r="BC95" s="176" t="n"/>
      <c r="BD95" s="176" t="n"/>
      <c r="BE95" s="176" t="n"/>
      <c r="BF95" s="176" t="n"/>
      <c r="BG95" s="176" t="n"/>
      <c r="BH95" s="176" t="n"/>
      <c r="BI95" s="176" t="n"/>
      <c r="BJ95" s="176" t="n"/>
      <c r="BK95" s="176" t="n"/>
      <c r="BL95" s="176" t="n"/>
      <c r="BM95" s="176" t="n"/>
      <c r="BN95" s="176" t="n"/>
      <c r="BO95" s="176" t="n"/>
      <c r="BP95" s="176" t="n"/>
      <c r="BQ95" s="176" t="n"/>
      <c r="BR95" s="176" t="n"/>
    </row>
    <row r="96" ht="15" customHeight="1" s="392">
      <c r="A96" s="176" t="n"/>
      <c r="B96" s="180" t="n"/>
      <c r="C96" s="183" t="inlineStr">
        <is>
          <t xml:space="preserve">                Current Portion of Long Term Debt and Capital Lease</t>
        </is>
      </c>
      <c r="D96" s="185" t="n"/>
      <c r="E96" s="185" t="n"/>
      <c r="F96" s="185" t="n"/>
      <c r="G96" s="185" t="n"/>
      <c r="H96" s="185" t="n"/>
      <c r="I96" s="185" t="n"/>
      <c r="J96" s="185" t="n"/>
      <c r="K96" s="185" t="n"/>
      <c r="AT96" s="182" t="n"/>
      <c r="AU96" s="176" t="n"/>
      <c r="AV96" s="176" t="n"/>
      <c r="AW96" s="176" t="n"/>
      <c r="AX96" s="176" t="n"/>
      <c r="AY96" s="176" t="n"/>
      <c r="AZ96" s="176" t="n"/>
      <c r="BA96" s="176" t="n"/>
      <c r="BB96" s="176" t="n"/>
      <c r="BC96" s="176" t="n"/>
      <c r="BD96" s="176" t="n"/>
      <c r="BE96" s="176" t="n"/>
      <c r="BF96" s="176" t="n"/>
      <c r="BG96" s="176" t="n"/>
      <c r="BH96" s="176" t="n"/>
      <c r="BI96" s="176" t="n"/>
      <c r="BJ96" s="176" t="n"/>
      <c r="BK96" s="176" t="n"/>
      <c r="BL96" s="176" t="n"/>
      <c r="BM96" s="176" t="n"/>
      <c r="BN96" s="176" t="n"/>
      <c r="BO96" s="176" t="n"/>
      <c r="BP96" s="176" t="n"/>
      <c r="BQ96" s="176" t="n"/>
      <c r="BR96" s="176" t="n"/>
    </row>
    <row r="97" ht="15" customHeight="1" s="392">
      <c r="A97" s="176" t="n"/>
      <c r="B97" s="180" t="n"/>
      <c r="C97" s="183" t="inlineStr">
        <is>
          <t xml:space="preserve">                    Current Portion of Long Term Debt</t>
        </is>
      </c>
      <c r="D97" s="190">
        <f>IF(COUNT(M97:AS97)&gt;0,MEDIAN(M97:AS97),"")</f>
        <v/>
      </c>
      <c r="E97" s="190">
        <f>IF(COUNT(M97:AS97)&gt;0,AVERAGE(M97:AS97),"")</f>
        <v/>
      </c>
      <c r="F97" s="190">
        <f>IF(COUNT(M97:AS97)&gt;0,MIN(M97:AS97),"")</f>
        <v/>
      </c>
      <c r="G97" s="190">
        <f>IF(COUNT(M97:AS97)&gt;0,MAX(M97:AS97),"")</f>
        <v/>
      </c>
      <c r="H97" s="190">
        <f>IF(COUNT(M97:AS97)&gt;0,QUARTILE(M97:AS97,1),"")</f>
        <v/>
      </c>
      <c r="I97" s="190">
        <f>IF(COUNT(M97:AS97)&gt;0,QUARTILE(M97:AS97,3),"")</f>
        <v/>
      </c>
      <c r="J97" s="190">
        <f>IF(COUNT(M97:AS97)&gt;1,STDEV(M97:AS97),"")</f>
        <v/>
      </c>
      <c r="K97" s="191">
        <f>IF(COUNT(M97:AS97)&gt;1,STDEV(M97:AS97)/AVERAGE(M97:AS97),"")</f>
        <v/>
      </c>
      <c r="M97" s="192" t="n"/>
      <c r="N97" s="192" t="n"/>
      <c r="O97" s="192" t="n"/>
      <c r="P97" s="192" t="n"/>
      <c r="Q97" s="192" t="n"/>
      <c r="R97" s="192" t="n"/>
      <c r="S97" s="192" t="n"/>
      <c r="T97" s="192" t="n"/>
      <c r="U97" s="192" t="n"/>
      <c r="V97" s="192" t="n"/>
      <c r="W97" s="192" t="n"/>
      <c r="X97" s="192" t="n"/>
      <c r="Y97" s="192" t="n"/>
      <c r="Z97" s="192" t="n"/>
      <c r="AA97" s="192" t="n"/>
      <c r="AB97" s="192" t="n">
        <v>50370</v>
      </c>
      <c r="AC97" s="192" t="n">
        <v>374</v>
      </c>
      <c r="AD97" s="192" t="n"/>
      <c r="AE97" s="192" t="n"/>
      <c r="AF97" s="192" t="n"/>
      <c r="AG97" s="192" t="n"/>
      <c r="AH97" s="192" t="n"/>
      <c r="AI97" s="192" t="n"/>
      <c r="AJ97" s="192" t="n"/>
      <c r="AK97" s="192" t="n"/>
      <c r="AL97" s="192" t="n"/>
      <c r="AM97" s="192" t="n"/>
      <c r="AN97" s="192" t="n"/>
      <c r="AO97" s="192" t="n"/>
      <c r="AP97" s="192" t="n"/>
      <c r="AQ97" s="192" t="n"/>
      <c r="AR97" s="192" t="n"/>
      <c r="AS97" s="192" t="n"/>
      <c r="AT97" s="182" t="n"/>
      <c r="AU97" s="176" t="n"/>
      <c r="AV97" s="176" t="n"/>
      <c r="AW97" s="176" t="n"/>
      <c r="AX97" s="176" t="n"/>
      <c r="AY97" s="176" t="n"/>
      <c r="AZ97" s="176" t="n"/>
      <c r="BA97" s="176" t="n"/>
      <c r="BB97" s="176" t="n"/>
      <c r="BC97" s="176" t="n"/>
      <c r="BD97" s="176" t="n"/>
      <c r="BE97" s="176" t="n"/>
      <c r="BF97" s="176" t="n"/>
      <c r="BG97" s="176" t="n"/>
      <c r="BH97" s="176" t="n"/>
      <c r="BI97" s="176" t="n"/>
      <c r="BJ97" s="176" t="n"/>
      <c r="BK97" s="176" t="n"/>
      <c r="BL97" s="176" t="n"/>
      <c r="BM97" s="176" t="n"/>
      <c r="BN97" s="176" t="n"/>
      <c r="BO97" s="176" t="n"/>
      <c r="BP97" s="176" t="n"/>
      <c r="BQ97" s="176" t="n"/>
      <c r="BR97" s="176" t="n"/>
    </row>
    <row r="98" ht="15" customHeight="1" s="392">
      <c r="A98" s="176" t="n"/>
      <c r="B98" s="180" t="n"/>
      <c r="C98" s="183" t="inlineStr">
        <is>
          <t xml:space="preserve">                    Capital Lease Obligations, Current</t>
        </is>
      </c>
      <c r="D98" s="190">
        <f>IF(COUNT(M98:AS98)&gt;0,MEDIAN(M98:AS98),"")</f>
        <v/>
      </c>
      <c r="E98" s="190">
        <f>IF(COUNT(M98:AS98)&gt;0,AVERAGE(M98:AS98),"")</f>
        <v/>
      </c>
      <c r="F98" s="190">
        <f>IF(COUNT(M98:AS98)&gt;0,MIN(M98:AS98),"")</f>
        <v/>
      </c>
      <c r="G98" s="190">
        <f>IF(COUNT(M98:AS98)&gt;0,MAX(M98:AS98),"")</f>
        <v/>
      </c>
      <c r="H98" s="190">
        <f>IF(COUNT(M98:AS98)&gt;0,QUARTILE(M98:AS98,1),"")</f>
        <v/>
      </c>
      <c r="I98" s="190">
        <f>IF(COUNT(M98:AS98)&gt;0,QUARTILE(M98:AS98,3),"")</f>
        <v/>
      </c>
      <c r="J98" s="190">
        <f>IF(COUNT(M98:AS98)&gt;1,STDEV(M98:AS98),"")</f>
        <v/>
      </c>
      <c r="K98" s="191">
        <f>IF(COUNT(M98:AS98)&gt;1,STDEV(M98:AS98)/AVERAGE(M98:AS98),"")</f>
        <v/>
      </c>
      <c r="M98" s="192" t="n">
        <v>15163</v>
      </c>
      <c r="N98" s="192" t="n">
        <v>19869</v>
      </c>
      <c r="O98" s="192" t="n">
        <v>21304</v>
      </c>
      <c r="P98" s="192" t="n">
        <v>21468</v>
      </c>
      <c r="Q98" s="192" t="n">
        <v>21794</v>
      </c>
      <c r="R98" s="192" t="n">
        <v>22472</v>
      </c>
      <c r="S98" s="192" t="n">
        <v>25572</v>
      </c>
      <c r="T98" s="192" t="n">
        <v>1138</v>
      </c>
      <c r="U98" s="192" t="n"/>
      <c r="V98" s="192" t="n"/>
      <c r="W98" s="192" t="n"/>
      <c r="X98" s="192" t="n"/>
      <c r="Y98" s="192" t="n"/>
      <c r="Z98" s="192" t="n"/>
      <c r="AA98" s="192" t="n"/>
      <c r="AB98" s="192" t="n"/>
      <c r="AC98" s="192" t="n"/>
      <c r="AD98" s="192" t="n"/>
      <c r="AE98" s="192" t="n"/>
      <c r="AF98" s="192" t="n"/>
      <c r="AG98" s="192" t="n"/>
      <c r="AH98" s="192" t="n"/>
      <c r="AI98" s="192" t="n"/>
      <c r="AJ98" s="192" t="n"/>
      <c r="AK98" s="192" t="n"/>
      <c r="AL98" s="192" t="n"/>
      <c r="AM98" s="192" t="n"/>
      <c r="AN98" s="192" t="n"/>
      <c r="AO98" s="192" t="n"/>
      <c r="AP98" s="192" t="n"/>
      <c r="AQ98" s="192" t="n"/>
      <c r="AR98" s="192" t="n"/>
      <c r="AS98" s="192" t="n"/>
      <c r="AT98" s="182" t="n"/>
      <c r="AU98" s="176" t="n"/>
      <c r="AV98" s="176" t="n"/>
      <c r="AW98" s="176" t="n"/>
      <c r="AX98" s="176" t="n"/>
      <c r="AY98" s="176" t="n"/>
      <c r="AZ98" s="176" t="n"/>
      <c r="BA98" s="176" t="n"/>
      <c r="BB98" s="176" t="n"/>
      <c r="BC98" s="176" t="n"/>
      <c r="BD98" s="176" t="n"/>
      <c r="BE98" s="176" t="n"/>
      <c r="BF98" s="176" t="n"/>
      <c r="BG98" s="176" t="n"/>
      <c r="BH98" s="176" t="n"/>
      <c r="BI98" s="176" t="n"/>
      <c r="BJ98" s="176" t="n"/>
      <c r="BK98" s="176" t="n"/>
      <c r="BL98" s="176" t="n"/>
      <c r="BM98" s="176" t="n"/>
      <c r="BN98" s="176" t="n"/>
      <c r="BO98" s="176" t="n"/>
      <c r="BP98" s="176" t="n"/>
      <c r="BQ98" s="176" t="n"/>
      <c r="BR98" s="176" t="n"/>
    </row>
    <row r="99" ht="15" customHeight="1" s="392">
      <c r="A99" s="176" t="n"/>
      <c r="B99" s="180" t="n"/>
      <c r="C99" s="187" t="inlineStr">
        <is>
          <t xml:space="preserve">                Total Current Portion of Long Term Debt and Capital Lease</t>
        </is>
      </c>
      <c r="D99" s="193">
        <f>IF(COUNT(M99:AS99)&gt;0,MEDIAN(M99:AS99),"")</f>
        <v/>
      </c>
      <c r="E99" s="193">
        <f>IF(COUNT(M99:AS99)&gt;0,AVERAGE(M99:AS99),"")</f>
        <v/>
      </c>
      <c r="F99" s="193">
        <f>IF(COUNT(M99:AS99)&gt;0,MIN(M99:AS99),"")</f>
        <v/>
      </c>
      <c r="G99" s="193">
        <f>IF(COUNT(M99:AS99)&gt;0,MAX(M99:AS99),"")</f>
        <v/>
      </c>
      <c r="H99" s="193">
        <f>IF(COUNT(M99:AS99)&gt;0,QUARTILE(M99:AS99,1),"")</f>
        <v/>
      </c>
      <c r="I99" s="193">
        <f>IF(COUNT(M99:AS99)&gt;0,QUARTILE(M99:AS99,3),"")</f>
        <v/>
      </c>
      <c r="J99" s="193">
        <f>IF(COUNT(M99:AS99)&gt;1,STDEV(M99:AS99),"")</f>
        <v/>
      </c>
      <c r="K99" s="194">
        <f>IF(COUNT(M99:AS99)&gt;1,STDEV(M99:AS99)/AVERAGE(M99:AS99),"")</f>
        <v/>
      </c>
      <c r="L99" s="195" t="n"/>
      <c r="M99" s="196" t="n">
        <v>15163</v>
      </c>
      <c r="N99" s="196" t="n">
        <v>19869</v>
      </c>
      <c r="O99" s="196" t="n">
        <v>21304</v>
      </c>
      <c r="P99" s="196" t="n">
        <v>21468</v>
      </c>
      <c r="Q99" s="196" t="n">
        <v>21794</v>
      </c>
      <c r="R99" s="196" t="n">
        <v>22472</v>
      </c>
      <c r="S99" s="196" t="n">
        <v>25572</v>
      </c>
      <c r="T99" s="196" t="n">
        <v>1138</v>
      </c>
      <c r="U99" s="196" t="n">
        <v>1151</v>
      </c>
      <c r="V99" s="196" t="n">
        <v>82155</v>
      </c>
      <c r="W99" s="196" t="n">
        <v>76151</v>
      </c>
      <c r="X99" s="196" t="n">
        <v>53671</v>
      </c>
      <c r="Y99" s="196" t="n">
        <v>79674</v>
      </c>
      <c r="Z99" s="196" t="n">
        <v>76047</v>
      </c>
      <c r="AA99" s="196" t="n">
        <v>75170</v>
      </c>
      <c r="AB99" s="196" t="n">
        <v>50370</v>
      </c>
      <c r="AC99" s="196" t="n">
        <v>374</v>
      </c>
      <c r="AD99" s="196" t="n"/>
      <c r="AE99" s="196" t="n"/>
      <c r="AF99" s="196" t="n"/>
      <c r="AG99" s="196" t="n"/>
      <c r="AH99" s="196" t="n"/>
      <c r="AI99" s="196" t="n"/>
      <c r="AJ99" s="196" t="n"/>
      <c r="AK99" s="196" t="n"/>
      <c r="AL99" s="196" t="n"/>
      <c r="AM99" s="196" t="n"/>
      <c r="AN99" s="196" t="n"/>
      <c r="AO99" s="196" t="n"/>
      <c r="AP99" s="196" t="n"/>
      <c r="AQ99" s="196" t="n"/>
      <c r="AR99" s="196" t="n"/>
      <c r="AS99" s="196" t="n"/>
      <c r="AT99" s="182" t="n"/>
      <c r="AU99" s="176" t="n"/>
      <c r="AV99" s="176" t="n"/>
      <c r="AW99" s="176" t="n"/>
      <c r="AX99" s="176" t="n"/>
      <c r="AY99" s="176" t="n"/>
      <c r="AZ99" s="176" t="n"/>
      <c r="BA99" s="176" t="n"/>
      <c r="BB99" s="176" t="n"/>
      <c r="BC99" s="176" t="n"/>
      <c r="BD99" s="176" t="n"/>
      <c r="BE99" s="176" t="n"/>
      <c r="BF99" s="176" t="n"/>
      <c r="BG99" s="176" t="n"/>
      <c r="BH99" s="176" t="n"/>
      <c r="BI99" s="176" t="n"/>
      <c r="BJ99" s="176" t="n"/>
      <c r="BK99" s="176" t="n"/>
      <c r="BL99" s="176" t="n"/>
      <c r="BM99" s="176" t="n"/>
      <c r="BN99" s="176" t="n"/>
      <c r="BO99" s="176" t="n"/>
      <c r="BP99" s="176" t="n"/>
      <c r="BQ99" s="176" t="n"/>
      <c r="BR99" s="176" t="n"/>
    </row>
    <row r="100" ht="15" customHeight="1" s="392">
      <c r="A100" s="176" t="n"/>
      <c r="B100" s="180" t="n"/>
      <c r="C100" s="187" t="inlineStr">
        <is>
          <t xml:space="preserve">            Total Current Debt and Capital Lease Obligation</t>
        </is>
      </c>
      <c r="D100" s="193">
        <f>IF(COUNT(M100:AS100)&gt;0,MEDIAN(M100:AS100),"")</f>
        <v/>
      </c>
      <c r="E100" s="193">
        <f>IF(COUNT(M100:AS100)&gt;0,AVERAGE(M100:AS100),"")</f>
        <v/>
      </c>
      <c r="F100" s="193">
        <f>IF(COUNT(M100:AS100)&gt;0,MIN(M100:AS100),"")</f>
        <v/>
      </c>
      <c r="G100" s="193">
        <f>IF(COUNT(M100:AS100)&gt;0,MAX(M100:AS100),"")</f>
        <v/>
      </c>
      <c r="H100" s="193">
        <f>IF(COUNT(M100:AS100)&gt;0,QUARTILE(M100:AS100,1),"")</f>
        <v/>
      </c>
      <c r="I100" s="193">
        <f>IF(COUNT(M100:AS100)&gt;0,QUARTILE(M100:AS100,3),"")</f>
        <v/>
      </c>
      <c r="J100" s="193">
        <f>IF(COUNT(M100:AS100)&gt;1,STDEV(M100:AS100),"")</f>
        <v/>
      </c>
      <c r="K100" s="194">
        <f>IF(COUNT(M100:AS100)&gt;1,STDEV(M100:AS100)/AVERAGE(M100:AS100),"")</f>
        <v/>
      </c>
      <c r="L100" s="195" t="n"/>
      <c r="M100" s="196" t="n">
        <v>15163</v>
      </c>
      <c r="N100" s="196" t="n">
        <v>19869</v>
      </c>
      <c r="O100" s="196" t="n">
        <v>21304</v>
      </c>
      <c r="P100" s="196" t="n">
        <v>21468</v>
      </c>
      <c r="Q100" s="196" t="n">
        <v>21794</v>
      </c>
      <c r="R100" s="196" t="n">
        <v>22472</v>
      </c>
      <c r="S100" s="196" t="n">
        <v>25572</v>
      </c>
      <c r="T100" s="196" t="n">
        <v>1138</v>
      </c>
      <c r="U100" s="196" t="n">
        <v>1151</v>
      </c>
      <c r="V100" s="196" t="n">
        <v>82155</v>
      </c>
      <c r="W100" s="196" t="n">
        <v>76151</v>
      </c>
      <c r="X100" s="196" t="n">
        <v>53671</v>
      </c>
      <c r="Y100" s="196" t="n">
        <v>79674</v>
      </c>
      <c r="Z100" s="196" t="n">
        <v>92338</v>
      </c>
      <c r="AA100" s="196" t="n">
        <v>75170</v>
      </c>
      <c r="AB100" s="196" t="n">
        <v>50370</v>
      </c>
      <c r="AC100" s="196" t="n">
        <v>374</v>
      </c>
      <c r="AD100" s="196" t="n"/>
      <c r="AE100" s="196" t="n">
        <v>17502</v>
      </c>
      <c r="AF100" s="196" t="n">
        <v>9256</v>
      </c>
      <c r="AG100" s="196" t="n"/>
      <c r="AH100" s="196" t="n"/>
      <c r="AI100" s="196" t="n"/>
      <c r="AJ100" s="196" t="n">
        <v>91</v>
      </c>
      <c r="AK100" s="196" t="n">
        <v>324.5</v>
      </c>
      <c r="AL100" s="196" t="n">
        <v>302.9</v>
      </c>
      <c r="AM100" s="196" t="n">
        <v>7842.3</v>
      </c>
      <c r="AN100" s="196" t="n">
        <v>300</v>
      </c>
      <c r="AO100" s="196" t="n">
        <v>600</v>
      </c>
      <c r="AP100" s="196" t="n">
        <v>1900</v>
      </c>
      <c r="AQ100" s="196" t="n">
        <v>800</v>
      </c>
      <c r="AR100" s="196" t="n">
        <v>600</v>
      </c>
      <c r="AS100" s="196" t="n">
        <v>700</v>
      </c>
      <c r="AT100" s="182" t="n"/>
      <c r="AU100" s="176" t="n"/>
      <c r="AV100" s="176" t="n"/>
      <c r="AW100" s="176" t="n"/>
      <c r="AX100" s="176" t="n"/>
      <c r="AY100" s="176" t="n"/>
      <c r="AZ100" s="176" t="n"/>
      <c r="BA100" s="176" t="n"/>
      <c r="BB100" s="176" t="n"/>
      <c r="BC100" s="176" t="n"/>
      <c r="BD100" s="176" t="n"/>
      <c r="BE100" s="176" t="n"/>
      <c r="BF100" s="176" t="n"/>
      <c r="BG100" s="176" t="n"/>
      <c r="BH100" s="176" t="n"/>
      <c r="BI100" s="176" t="n"/>
      <c r="BJ100" s="176" t="n"/>
      <c r="BK100" s="176" t="n"/>
      <c r="BL100" s="176" t="n"/>
      <c r="BM100" s="176" t="n"/>
      <c r="BN100" s="176" t="n"/>
      <c r="BO100" s="176" t="n"/>
      <c r="BP100" s="176" t="n"/>
      <c r="BQ100" s="176" t="n"/>
      <c r="BR100" s="176" t="n"/>
    </row>
    <row r="101" ht="15" customHeight="1" s="392">
      <c r="A101" s="176" t="n"/>
      <c r="B101" s="180" t="n"/>
      <c r="C101" s="187" t="inlineStr">
        <is>
          <t xml:space="preserve">        Total Financial Liabilities, Current</t>
        </is>
      </c>
      <c r="D101" s="193">
        <f>IF(COUNT(M101:AS101)&gt;0,MEDIAN(M101:AS101),"")</f>
        <v/>
      </c>
      <c r="E101" s="193">
        <f>IF(COUNT(M101:AS101)&gt;0,AVERAGE(M101:AS101),"")</f>
        <v/>
      </c>
      <c r="F101" s="193">
        <f>IF(COUNT(M101:AS101)&gt;0,MIN(M101:AS101),"")</f>
        <v/>
      </c>
      <c r="G101" s="193">
        <f>IF(COUNT(M101:AS101)&gt;0,MAX(M101:AS101),"")</f>
        <v/>
      </c>
      <c r="H101" s="193">
        <f>IF(COUNT(M101:AS101)&gt;0,QUARTILE(M101:AS101,1),"")</f>
        <v/>
      </c>
      <c r="I101" s="193">
        <f>IF(COUNT(M101:AS101)&gt;0,QUARTILE(M101:AS101,3),"")</f>
        <v/>
      </c>
      <c r="J101" s="193">
        <f>IF(COUNT(M101:AS101)&gt;1,STDEV(M101:AS101),"")</f>
        <v/>
      </c>
      <c r="K101" s="194">
        <f>IF(COUNT(M101:AS101)&gt;1,STDEV(M101:AS101)/AVERAGE(M101:AS101),"")</f>
        <v/>
      </c>
      <c r="L101" s="195" t="n"/>
      <c r="M101" s="196" t="n">
        <v>15163</v>
      </c>
      <c r="N101" s="196" t="n">
        <v>19869</v>
      </c>
      <c r="O101" s="196" t="n">
        <v>21304</v>
      </c>
      <c r="P101" s="196" t="n">
        <v>21468</v>
      </c>
      <c r="Q101" s="196" t="n">
        <v>21794</v>
      </c>
      <c r="R101" s="196" t="n">
        <v>22472</v>
      </c>
      <c r="S101" s="196" t="n">
        <v>25572</v>
      </c>
      <c r="T101" s="196" t="n">
        <v>1138</v>
      </c>
      <c r="U101" s="196" t="n">
        <v>1151</v>
      </c>
      <c r="V101" s="196" t="n">
        <v>82155</v>
      </c>
      <c r="W101" s="196" t="n">
        <v>76151</v>
      </c>
      <c r="X101" s="196" t="n">
        <v>53671</v>
      </c>
      <c r="Y101" s="196" t="n">
        <v>79674</v>
      </c>
      <c r="Z101" s="196" t="n">
        <v>92338</v>
      </c>
      <c r="AA101" s="196" t="n">
        <v>75170</v>
      </c>
      <c r="AB101" s="196" t="n">
        <v>50370</v>
      </c>
      <c r="AC101" s="196" t="n">
        <v>374</v>
      </c>
      <c r="AD101" s="196" t="n"/>
      <c r="AE101" s="196" t="n">
        <v>17502</v>
      </c>
      <c r="AF101" s="196" t="n">
        <v>9256</v>
      </c>
      <c r="AG101" s="196" t="n"/>
      <c r="AH101" s="196" t="n"/>
      <c r="AI101" s="196" t="n"/>
      <c r="AJ101" s="196" t="n">
        <v>91</v>
      </c>
      <c r="AK101" s="196" t="n">
        <v>324.5</v>
      </c>
      <c r="AL101" s="196" t="n">
        <v>302.9</v>
      </c>
      <c r="AM101" s="196" t="n">
        <v>7842.3</v>
      </c>
      <c r="AN101" s="196" t="n">
        <v>300</v>
      </c>
      <c r="AO101" s="196" t="n">
        <v>600</v>
      </c>
      <c r="AP101" s="196" t="n">
        <v>1900</v>
      </c>
      <c r="AQ101" s="196" t="n">
        <v>800</v>
      </c>
      <c r="AR101" s="196" t="n">
        <v>600</v>
      </c>
      <c r="AS101" s="196" t="n">
        <v>700</v>
      </c>
      <c r="AT101" s="182" t="n"/>
      <c r="AU101" s="176" t="n"/>
      <c r="AV101" s="176" t="n"/>
      <c r="AW101" s="176" t="n"/>
      <c r="AX101" s="176" t="n"/>
      <c r="AY101" s="176" t="n"/>
      <c r="AZ101" s="176" t="n"/>
      <c r="BA101" s="176" t="n"/>
      <c r="BB101" s="176" t="n"/>
      <c r="BC101" s="176" t="n"/>
      <c r="BD101" s="176" t="n"/>
      <c r="BE101" s="176" t="n"/>
      <c r="BF101" s="176" t="n"/>
      <c r="BG101" s="176" t="n"/>
      <c r="BH101" s="176" t="n"/>
      <c r="BI101" s="176" t="n"/>
      <c r="BJ101" s="176" t="n"/>
      <c r="BK101" s="176" t="n"/>
      <c r="BL101" s="176" t="n"/>
      <c r="BM101" s="176" t="n"/>
      <c r="BN101" s="176" t="n"/>
      <c r="BO101" s="176" t="n"/>
      <c r="BP101" s="176" t="n"/>
      <c r="BQ101" s="176" t="n"/>
      <c r="BR101" s="176" t="n"/>
    </row>
    <row r="102" ht="15" customHeight="1" s="392">
      <c r="A102" s="176" t="n"/>
      <c r="B102" s="180" t="n"/>
      <c r="C102" s="183" t="inlineStr">
        <is>
          <t xml:space="preserve">        Provisions, Current</t>
        </is>
      </c>
      <c r="D102" s="185" t="n"/>
      <c r="E102" s="185" t="n"/>
      <c r="F102" s="185" t="n"/>
      <c r="G102" s="185" t="n"/>
      <c r="H102" s="185" t="n"/>
      <c r="I102" s="185" t="n"/>
      <c r="J102" s="185" t="n"/>
      <c r="K102" s="185" t="n"/>
      <c r="AT102" s="182" t="n"/>
      <c r="AU102" s="176" t="n"/>
      <c r="AV102" s="176" t="n"/>
      <c r="AW102" s="176" t="n"/>
      <c r="AX102" s="176" t="n"/>
      <c r="AY102" s="176" t="n"/>
      <c r="AZ102" s="176" t="n"/>
      <c r="BA102" s="176" t="n"/>
      <c r="BB102" s="176" t="n"/>
      <c r="BC102" s="176" t="n"/>
      <c r="BD102" s="176" t="n"/>
      <c r="BE102" s="176" t="n"/>
      <c r="BF102" s="176" t="n"/>
      <c r="BG102" s="176" t="n"/>
      <c r="BH102" s="176" t="n"/>
      <c r="BI102" s="176" t="n"/>
      <c r="BJ102" s="176" t="n"/>
      <c r="BK102" s="176" t="n"/>
      <c r="BL102" s="176" t="n"/>
      <c r="BM102" s="176" t="n"/>
      <c r="BN102" s="176" t="n"/>
      <c r="BO102" s="176" t="n"/>
      <c r="BP102" s="176" t="n"/>
      <c r="BQ102" s="176" t="n"/>
      <c r="BR102" s="176" t="n"/>
    </row>
    <row r="103" ht="15" customHeight="1" s="392">
      <c r="A103" s="176" t="n"/>
      <c r="B103" s="180" t="n"/>
      <c r="C103" s="183" t="inlineStr">
        <is>
          <t xml:space="preserve">            Provision for Employee Entitlements, Current</t>
        </is>
      </c>
      <c r="D103" s="190">
        <f>IF(COUNT(M103:AS103)&gt;0,MEDIAN(M103:AS103),"")</f>
        <v/>
      </c>
      <c r="E103" s="190">
        <f>IF(COUNT(M103:AS103)&gt;0,AVERAGE(M103:AS103),"")</f>
        <v/>
      </c>
      <c r="F103" s="190">
        <f>IF(COUNT(M103:AS103)&gt;0,MIN(M103:AS103),"")</f>
        <v/>
      </c>
      <c r="G103" s="190">
        <f>IF(COUNT(M103:AS103)&gt;0,MAX(M103:AS103),"")</f>
        <v/>
      </c>
      <c r="H103" s="190">
        <f>IF(COUNT(M103:AS103)&gt;0,QUARTILE(M103:AS103,1),"")</f>
        <v/>
      </c>
      <c r="I103" s="190">
        <f>IF(COUNT(M103:AS103)&gt;0,QUARTILE(M103:AS103,3),"")</f>
        <v/>
      </c>
      <c r="J103" s="190">
        <f>IF(COUNT(M103:AS103)&gt;1,STDEV(M103:AS103),"")</f>
        <v/>
      </c>
      <c r="K103" s="191">
        <f>IF(COUNT(M103:AS103)&gt;1,STDEV(M103:AS103)/AVERAGE(M103:AS103),"")</f>
        <v/>
      </c>
      <c r="M103" s="192" t="n"/>
      <c r="N103" s="192" t="n">
        <v>67057</v>
      </c>
      <c r="O103" s="192" t="n">
        <v>64036</v>
      </c>
      <c r="P103" s="192" t="n">
        <v>50914</v>
      </c>
      <c r="Q103" s="192" t="n">
        <v>47206</v>
      </c>
      <c r="R103" s="192" t="n">
        <v>50688</v>
      </c>
      <c r="S103" s="192" t="n">
        <v>42053</v>
      </c>
      <c r="T103" s="192" t="n">
        <v>41400</v>
      </c>
      <c r="U103" s="192" t="n">
        <v>37218</v>
      </c>
      <c r="V103" s="192" t="n">
        <v>31173</v>
      </c>
      <c r="W103" s="192" t="n">
        <v>33382</v>
      </c>
      <c r="X103" s="192" t="n">
        <v>25647</v>
      </c>
      <c r="Y103" s="192" t="n">
        <v>25721</v>
      </c>
      <c r="Z103" s="192" t="n">
        <v>21978</v>
      </c>
      <c r="AA103" s="192" t="n">
        <v>16791</v>
      </c>
      <c r="AB103" s="192" t="n">
        <v>15605</v>
      </c>
      <c r="AC103" s="192" t="n">
        <v>14298</v>
      </c>
      <c r="AD103" s="192" t="n"/>
      <c r="AE103" s="192" t="n"/>
      <c r="AF103" s="192" t="n"/>
      <c r="AG103" s="192" t="n"/>
      <c r="AH103" s="192" t="n"/>
      <c r="AI103" s="192" t="n"/>
      <c r="AJ103" s="192" t="n"/>
      <c r="AK103" s="192" t="n"/>
      <c r="AL103" s="192" t="n"/>
      <c r="AM103" s="192" t="n"/>
      <c r="AN103" s="192" t="n"/>
      <c r="AO103" s="192" t="n"/>
      <c r="AP103" s="192" t="n"/>
      <c r="AQ103" s="192" t="n"/>
      <c r="AR103" s="192" t="n"/>
      <c r="AS103" s="192" t="n"/>
      <c r="AT103" s="182" t="n"/>
      <c r="AU103" s="176" t="n"/>
      <c r="AV103" s="176" t="n"/>
      <c r="AW103" s="176" t="n"/>
      <c r="AX103" s="176" t="n"/>
      <c r="AY103" s="176" t="n"/>
      <c r="AZ103" s="176" t="n"/>
      <c r="BA103" s="176" t="n"/>
      <c r="BB103" s="176" t="n"/>
      <c r="BC103" s="176" t="n"/>
      <c r="BD103" s="176" t="n"/>
      <c r="BE103" s="176" t="n"/>
      <c r="BF103" s="176" t="n"/>
      <c r="BG103" s="176" t="n"/>
      <c r="BH103" s="176" t="n"/>
      <c r="BI103" s="176" t="n"/>
      <c r="BJ103" s="176" t="n"/>
      <c r="BK103" s="176" t="n"/>
      <c r="BL103" s="176" t="n"/>
      <c r="BM103" s="176" t="n"/>
      <c r="BN103" s="176" t="n"/>
      <c r="BO103" s="176" t="n"/>
      <c r="BP103" s="176" t="n"/>
      <c r="BQ103" s="176" t="n"/>
      <c r="BR103" s="176" t="n"/>
    </row>
    <row r="104" ht="15" customHeight="1" s="392">
      <c r="A104" s="176" t="n"/>
      <c r="B104" s="180" t="n"/>
      <c r="C104" s="187" t="inlineStr">
        <is>
          <t xml:space="preserve">        Total Provisions, Current</t>
        </is>
      </c>
      <c r="D104" s="193">
        <f>IF(COUNT(M104:AS104)&gt;0,MEDIAN(M104:AS104),"")</f>
        <v/>
      </c>
      <c r="E104" s="193">
        <f>IF(COUNT(M104:AS104)&gt;0,AVERAGE(M104:AS104),"")</f>
        <v/>
      </c>
      <c r="F104" s="193">
        <f>IF(COUNT(M104:AS104)&gt;0,MIN(M104:AS104),"")</f>
        <v/>
      </c>
      <c r="G104" s="193">
        <f>IF(COUNT(M104:AS104)&gt;0,MAX(M104:AS104),"")</f>
        <v/>
      </c>
      <c r="H104" s="193">
        <f>IF(COUNT(M104:AS104)&gt;0,QUARTILE(M104:AS104,1),"")</f>
        <v/>
      </c>
      <c r="I104" s="193">
        <f>IF(COUNT(M104:AS104)&gt;0,QUARTILE(M104:AS104,3),"")</f>
        <v/>
      </c>
      <c r="J104" s="193">
        <f>IF(COUNT(M104:AS104)&gt;1,STDEV(M104:AS104),"")</f>
        <v/>
      </c>
      <c r="K104" s="194">
        <f>IF(COUNT(M104:AS104)&gt;1,STDEV(M104:AS104)/AVERAGE(M104:AS104),"")</f>
        <v/>
      </c>
      <c r="L104" s="195" t="n"/>
      <c r="M104" s="196" t="n"/>
      <c r="N104" s="196" t="n">
        <v>67057</v>
      </c>
      <c r="O104" s="196" t="n">
        <v>64036</v>
      </c>
      <c r="P104" s="196" t="n">
        <v>50914</v>
      </c>
      <c r="Q104" s="196" t="n">
        <v>47206</v>
      </c>
      <c r="R104" s="196" t="n">
        <v>50688</v>
      </c>
      <c r="S104" s="196" t="n">
        <v>42053</v>
      </c>
      <c r="T104" s="196" t="n">
        <v>41400</v>
      </c>
      <c r="U104" s="196" t="n">
        <v>37218</v>
      </c>
      <c r="V104" s="196" t="n">
        <v>31173</v>
      </c>
      <c r="W104" s="196" t="n">
        <v>33382</v>
      </c>
      <c r="X104" s="196" t="n">
        <v>25647</v>
      </c>
      <c r="Y104" s="196" t="n">
        <v>25721</v>
      </c>
      <c r="Z104" s="196" t="n">
        <v>21978</v>
      </c>
      <c r="AA104" s="196" t="n">
        <v>16791</v>
      </c>
      <c r="AB104" s="196" t="n">
        <v>15605</v>
      </c>
      <c r="AC104" s="196" t="n">
        <v>14298</v>
      </c>
      <c r="AD104" s="196" t="n"/>
      <c r="AE104" s="196" t="n"/>
      <c r="AF104" s="196" t="n"/>
      <c r="AG104" s="196" t="n"/>
      <c r="AH104" s="196" t="n"/>
      <c r="AI104" s="196" t="n"/>
      <c r="AJ104" s="196" t="n"/>
      <c r="AK104" s="196" t="n"/>
      <c r="AL104" s="196" t="n"/>
      <c r="AM104" s="196" t="n"/>
      <c r="AN104" s="196" t="n"/>
      <c r="AO104" s="196" t="n"/>
      <c r="AP104" s="196" t="n"/>
      <c r="AQ104" s="196" t="n"/>
      <c r="AR104" s="196" t="n"/>
      <c r="AS104" s="196" t="n"/>
      <c r="AT104" s="182" t="n"/>
      <c r="AU104" s="176" t="n"/>
      <c r="AV104" s="176" t="n"/>
      <c r="AW104" s="176" t="n"/>
      <c r="AX104" s="176" t="n"/>
      <c r="AY104" s="176" t="n"/>
      <c r="AZ104" s="176" t="n"/>
      <c r="BA104" s="176" t="n"/>
      <c r="BB104" s="176" t="n"/>
      <c r="BC104" s="176" t="n"/>
      <c r="BD104" s="176" t="n"/>
      <c r="BE104" s="176" t="n"/>
      <c r="BF104" s="176" t="n"/>
      <c r="BG104" s="176" t="n"/>
      <c r="BH104" s="176" t="n"/>
      <c r="BI104" s="176" t="n"/>
      <c r="BJ104" s="176" t="n"/>
      <c r="BK104" s="176" t="n"/>
      <c r="BL104" s="176" t="n"/>
      <c r="BM104" s="176" t="n"/>
      <c r="BN104" s="176" t="n"/>
      <c r="BO104" s="176" t="n"/>
      <c r="BP104" s="176" t="n"/>
      <c r="BQ104" s="176" t="n"/>
      <c r="BR104" s="176" t="n"/>
    </row>
    <row r="105" ht="15" customHeight="1" s="392">
      <c r="A105" s="176" t="n"/>
      <c r="B105" s="180" t="n"/>
      <c r="C105" s="183" t="inlineStr">
        <is>
          <t xml:space="preserve">        Tax Liabilities, Current</t>
        </is>
      </c>
      <c r="D105" s="185" t="n"/>
      <c r="E105" s="185" t="n"/>
      <c r="F105" s="185" t="n"/>
      <c r="G105" s="185" t="n"/>
      <c r="H105" s="185" t="n"/>
      <c r="I105" s="185" t="n"/>
      <c r="J105" s="185" t="n"/>
      <c r="K105" s="185" t="n"/>
      <c r="AT105" s="182" t="n"/>
      <c r="AU105" s="176" t="n"/>
      <c r="AV105" s="176" t="n"/>
      <c r="AW105" s="176" t="n"/>
      <c r="AX105" s="176" t="n"/>
      <c r="AY105" s="176" t="n"/>
      <c r="AZ105" s="176" t="n"/>
      <c r="BA105" s="176" t="n"/>
      <c r="BB105" s="176" t="n"/>
      <c r="BC105" s="176" t="n"/>
      <c r="BD105" s="176" t="n"/>
      <c r="BE105" s="176" t="n"/>
      <c r="BF105" s="176" t="n"/>
      <c r="BG105" s="176" t="n"/>
      <c r="BH105" s="176" t="n"/>
      <c r="BI105" s="176" t="n"/>
      <c r="BJ105" s="176" t="n"/>
      <c r="BK105" s="176" t="n"/>
      <c r="BL105" s="176" t="n"/>
      <c r="BM105" s="176" t="n"/>
      <c r="BN105" s="176" t="n"/>
      <c r="BO105" s="176" t="n"/>
      <c r="BP105" s="176" t="n"/>
      <c r="BQ105" s="176" t="n"/>
      <c r="BR105" s="176" t="n"/>
    </row>
    <row r="106" ht="15" customHeight="1" s="392">
      <c r="A106" s="176" t="n"/>
      <c r="B106" s="180" t="n"/>
      <c r="C106" s="183" t="inlineStr">
        <is>
          <t xml:space="preserve">            Deferred Tax Liabilities, Current</t>
        </is>
      </c>
      <c r="D106" s="190">
        <f>IF(COUNT(M106:AS106)&gt;0,MEDIAN(M106:AS106),"")</f>
        <v/>
      </c>
      <c r="E106" s="190">
        <f>IF(COUNT(M106:AS106)&gt;0,AVERAGE(M106:AS106),"")</f>
        <v/>
      </c>
      <c r="F106" s="190">
        <f>IF(COUNT(M106:AS106)&gt;0,MIN(M106:AS106),"")</f>
        <v/>
      </c>
      <c r="G106" s="190">
        <f>IF(COUNT(M106:AS106)&gt;0,MAX(M106:AS106),"")</f>
        <v/>
      </c>
      <c r="H106" s="190">
        <f>IF(COUNT(M106:AS106)&gt;0,QUARTILE(M106:AS106,1),"")</f>
        <v/>
      </c>
      <c r="I106" s="190">
        <f>IF(COUNT(M106:AS106)&gt;0,QUARTILE(M106:AS106,3),"")</f>
        <v/>
      </c>
      <c r="J106" s="190">
        <f>IF(COUNT(M106:AS106)&gt;1,STDEV(M106:AS106),"")</f>
        <v/>
      </c>
      <c r="K106" s="191">
        <f>IF(COUNT(M106:AS106)&gt;1,STDEV(M106:AS106)/AVERAGE(M106:AS106),"")</f>
        <v/>
      </c>
      <c r="M106" s="192" t="n"/>
      <c r="N106" s="192" t="n"/>
      <c r="O106" s="192" t="n"/>
      <c r="P106" s="192" t="n"/>
      <c r="Q106" s="192" t="n"/>
      <c r="R106" s="192" t="n"/>
      <c r="S106" s="192" t="n"/>
      <c r="T106" s="192" t="n"/>
      <c r="U106" s="192" t="n"/>
      <c r="V106" s="192" t="n">
        <v>92</v>
      </c>
      <c r="W106" s="192" t="n">
        <v>0</v>
      </c>
      <c r="X106" s="192" t="n"/>
      <c r="Y106" s="192" t="n"/>
      <c r="Z106" s="192" t="n"/>
      <c r="AA106" s="192" t="n"/>
      <c r="AB106" s="192" t="n">
        <v>440</v>
      </c>
      <c r="AC106" s="192" t="n">
        <v>1154</v>
      </c>
      <c r="AD106" s="192" t="n">
        <v>1948</v>
      </c>
      <c r="AE106" s="192" t="n">
        <v>2768</v>
      </c>
      <c r="AF106" s="192" t="n">
        <v>3219</v>
      </c>
      <c r="AG106" s="192" t="n">
        <v>7191</v>
      </c>
      <c r="AH106" s="192" t="n">
        <v>3295</v>
      </c>
      <c r="AI106" s="192" t="n">
        <v>5438</v>
      </c>
      <c r="AJ106" s="192" t="n">
        <v>5902</v>
      </c>
      <c r="AK106" s="192" t="n">
        <v>3646.5</v>
      </c>
      <c r="AL106" s="192" t="n">
        <v>2982.5</v>
      </c>
      <c r="AM106" s="192" t="n"/>
      <c r="AN106" s="192" t="n"/>
      <c r="AO106" s="192" t="n"/>
      <c r="AP106" s="192" t="n"/>
      <c r="AQ106" s="192" t="n"/>
      <c r="AR106" s="192" t="n"/>
      <c r="AS106" s="192" t="n"/>
      <c r="AT106" s="182" t="n"/>
      <c r="AU106" s="176" t="n"/>
      <c r="AV106" s="176" t="n"/>
      <c r="AW106" s="176" t="n"/>
      <c r="AX106" s="176" t="n"/>
      <c r="AY106" s="176" t="n"/>
      <c r="AZ106" s="176" t="n"/>
      <c r="BA106" s="176" t="n"/>
      <c r="BB106" s="176" t="n"/>
      <c r="BC106" s="176" t="n"/>
      <c r="BD106" s="176" t="n"/>
      <c r="BE106" s="176" t="n"/>
      <c r="BF106" s="176" t="n"/>
      <c r="BG106" s="176" t="n"/>
      <c r="BH106" s="176" t="n"/>
      <c r="BI106" s="176" t="n"/>
      <c r="BJ106" s="176" t="n"/>
      <c r="BK106" s="176" t="n"/>
      <c r="BL106" s="176" t="n"/>
      <c r="BM106" s="176" t="n"/>
      <c r="BN106" s="176" t="n"/>
      <c r="BO106" s="176" t="n"/>
      <c r="BP106" s="176" t="n"/>
      <c r="BQ106" s="176" t="n"/>
      <c r="BR106" s="176" t="n"/>
    </row>
    <row r="107" ht="15" customHeight="1" s="392">
      <c r="A107" s="176" t="n"/>
      <c r="B107" s="180" t="n"/>
      <c r="C107" s="187" t="inlineStr">
        <is>
          <t xml:space="preserve">        Total Liabilities, Current </t>
        </is>
      </c>
      <c r="D107" s="193">
        <f>IF(COUNT(M107:AS107)&gt;0,MEDIAN(M107:AS107),"")</f>
        <v/>
      </c>
      <c r="E107" s="193">
        <f>IF(COUNT(M107:AS107)&gt;0,AVERAGE(M107:AS107),"")</f>
        <v/>
      </c>
      <c r="F107" s="193">
        <f>IF(COUNT(M107:AS107)&gt;0,MIN(M107:AS107),"")</f>
        <v/>
      </c>
      <c r="G107" s="193">
        <f>IF(COUNT(M107:AS107)&gt;0,MAX(M107:AS107),"")</f>
        <v/>
      </c>
      <c r="H107" s="193">
        <f>IF(COUNT(M107:AS107)&gt;0,QUARTILE(M107:AS107,1),"")</f>
        <v/>
      </c>
      <c r="I107" s="193">
        <f>IF(COUNT(M107:AS107)&gt;0,QUARTILE(M107:AS107,3),"")</f>
        <v/>
      </c>
      <c r="J107" s="193">
        <f>IF(COUNT(M107:AS107)&gt;1,STDEV(M107:AS107),"")</f>
        <v/>
      </c>
      <c r="K107" s="194">
        <f>IF(COUNT(M107:AS107)&gt;1,STDEV(M107:AS107)/AVERAGE(M107:AS107),"")</f>
        <v/>
      </c>
      <c r="L107" s="195" t="n"/>
      <c r="M107" s="196" t="n"/>
      <c r="N107" s="196" t="n"/>
      <c r="O107" s="196" t="n"/>
      <c r="P107" s="196" t="n"/>
      <c r="Q107" s="196" t="n"/>
      <c r="R107" s="196" t="n"/>
      <c r="S107" s="196" t="n"/>
      <c r="T107" s="196" t="n"/>
      <c r="U107" s="196" t="n"/>
      <c r="V107" s="196" t="n">
        <v>92</v>
      </c>
      <c r="W107" s="196" t="n">
        <v>0</v>
      </c>
      <c r="X107" s="196" t="n"/>
      <c r="Y107" s="196" t="n"/>
      <c r="Z107" s="196" t="n"/>
      <c r="AA107" s="196" t="n"/>
      <c r="AB107" s="196" t="n">
        <v>440</v>
      </c>
      <c r="AC107" s="196" t="n">
        <v>1154</v>
      </c>
      <c r="AD107" s="196" t="n">
        <v>1948</v>
      </c>
      <c r="AE107" s="196" t="n">
        <v>2768</v>
      </c>
      <c r="AF107" s="196" t="n">
        <v>3219</v>
      </c>
      <c r="AG107" s="196" t="n">
        <v>7191</v>
      </c>
      <c r="AH107" s="196" t="n">
        <v>3295</v>
      </c>
      <c r="AI107" s="196" t="n">
        <v>5438</v>
      </c>
      <c r="AJ107" s="196" t="n">
        <v>5902</v>
      </c>
      <c r="AK107" s="196" t="n">
        <v>3646.5</v>
      </c>
      <c r="AL107" s="196" t="n">
        <v>2982.5</v>
      </c>
      <c r="AM107" s="196" t="n"/>
      <c r="AN107" s="196" t="n"/>
      <c r="AO107" s="196" t="n"/>
      <c r="AP107" s="196" t="n"/>
      <c r="AQ107" s="196" t="n"/>
      <c r="AR107" s="196" t="n"/>
      <c r="AS107" s="196" t="n"/>
      <c r="AT107" s="182" t="n"/>
      <c r="AU107" s="176" t="n"/>
      <c r="AV107" s="176" t="n"/>
      <c r="AW107" s="176" t="n"/>
      <c r="AX107" s="176" t="n"/>
      <c r="AY107" s="176" t="n"/>
      <c r="AZ107" s="176" t="n"/>
      <c r="BA107" s="176" t="n"/>
      <c r="BB107" s="176" t="n"/>
      <c r="BC107" s="176" t="n"/>
      <c r="BD107" s="176" t="n"/>
      <c r="BE107" s="176" t="n"/>
      <c r="BF107" s="176" t="n"/>
      <c r="BG107" s="176" t="n"/>
      <c r="BH107" s="176" t="n"/>
      <c r="BI107" s="176" t="n"/>
      <c r="BJ107" s="176" t="n"/>
      <c r="BK107" s="176" t="n"/>
      <c r="BL107" s="176" t="n"/>
      <c r="BM107" s="176" t="n"/>
      <c r="BN107" s="176" t="n"/>
      <c r="BO107" s="176" t="n"/>
      <c r="BP107" s="176" t="n"/>
      <c r="BQ107" s="176" t="n"/>
      <c r="BR107" s="176" t="n"/>
    </row>
    <row r="108" ht="15" customHeight="1" s="392">
      <c r="A108" s="176" t="n"/>
      <c r="B108" s="180" t="n"/>
      <c r="C108" s="183" t="inlineStr">
        <is>
          <t xml:space="preserve">        Deferred Liabilities, Current</t>
        </is>
      </c>
      <c r="D108" s="185" t="n"/>
      <c r="E108" s="185" t="n"/>
      <c r="F108" s="185" t="n"/>
      <c r="G108" s="185" t="n"/>
      <c r="H108" s="185" t="n"/>
      <c r="I108" s="185" t="n"/>
      <c r="J108" s="185" t="n"/>
      <c r="K108" s="185" t="n"/>
      <c r="AT108" s="182" t="n"/>
      <c r="AU108" s="176" t="n"/>
      <c r="AV108" s="176" t="n"/>
      <c r="AW108" s="176" t="n"/>
      <c r="AX108" s="176" t="n"/>
      <c r="AY108" s="176" t="n"/>
      <c r="AZ108" s="176" t="n"/>
      <c r="BA108" s="176" t="n"/>
      <c r="BB108" s="176" t="n"/>
      <c r="BC108" s="176" t="n"/>
      <c r="BD108" s="176" t="n"/>
      <c r="BE108" s="176" t="n"/>
      <c r="BF108" s="176" t="n"/>
      <c r="BG108" s="176" t="n"/>
      <c r="BH108" s="176" t="n"/>
      <c r="BI108" s="176" t="n"/>
      <c r="BJ108" s="176" t="n"/>
      <c r="BK108" s="176" t="n"/>
      <c r="BL108" s="176" t="n"/>
      <c r="BM108" s="176" t="n"/>
      <c r="BN108" s="176" t="n"/>
      <c r="BO108" s="176" t="n"/>
      <c r="BP108" s="176" t="n"/>
      <c r="BQ108" s="176" t="n"/>
      <c r="BR108" s="176" t="n"/>
    </row>
    <row r="109" ht="15" customHeight="1" s="392">
      <c r="A109" s="176" t="n"/>
      <c r="B109" s="180" t="n"/>
      <c r="C109" s="183" t="inlineStr">
        <is>
          <t xml:space="preserve">            Deferred Income/Customer Advances/Billings in Excess of Cost, Current</t>
        </is>
      </c>
      <c r="D109" s="190">
        <f>IF(COUNT(M109:AS109)&gt;0,MEDIAN(M109:AS109),"")</f>
        <v/>
      </c>
      <c r="E109" s="190">
        <f>IF(COUNT(M109:AS109)&gt;0,AVERAGE(M109:AS109),"")</f>
        <v/>
      </c>
      <c r="F109" s="190">
        <f>IF(COUNT(M109:AS109)&gt;0,MIN(M109:AS109),"")</f>
        <v/>
      </c>
      <c r="G109" s="190">
        <f>IF(COUNT(M109:AS109)&gt;0,MAX(M109:AS109),"")</f>
        <v/>
      </c>
      <c r="H109" s="190">
        <f>IF(COUNT(M109:AS109)&gt;0,QUARTILE(M109:AS109,1),"")</f>
        <v/>
      </c>
      <c r="I109" s="190">
        <f>IF(COUNT(M109:AS109)&gt;0,QUARTILE(M109:AS109,3),"")</f>
        <v/>
      </c>
      <c r="J109" s="190">
        <f>IF(COUNT(M109:AS109)&gt;1,STDEV(M109:AS109),"")</f>
        <v/>
      </c>
      <c r="K109" s="191">
        <f>IF(COUNT(M109:AS109)&gt;1,STDEV(M109:AS109)/AVERAGE(M109:AS109),"")</f>
        <v/>
      </c>
      <c r="M109" s="192" t="n">
        <v>32466</v>
      </c>
      <c r="N109" s="192" t="n">
        <v>200069</v>
      </c>
      <c r="O109" s="192" t="n">
        <v>184032</v>
      </c>
      <c r="P109" s="192" t="n">
        <v>164593</v>
      </c>
      <c r="Q109" s="192" t="n">
        <v>141992</v>
      </c>
      <c r="R109" s="192" t="n">
        <v>126342</v>
      </c>
      <c r="S109" s="192" t="n">
        <v>97253</v>
      </c>
      <c r="T109" s="192" t="n">
        <v>79887</v>
      </c>
      <c r="U109" s="192" t="n">
        <v>66931</v>
      </c>
      <c r="V109" s="192" t="n">
        <v>55622</v>
      </c>
      <c r="W109" s="192" t="n">
        <v>45128</v>
      </c>
      <c r="X109" s="192" t="n">
        <v>37595</v>
      </c>
      <c r="Y109" s="192" t="n">
        <v>32287</v>
      </c>
      <c r="Z109" s="192" t="n">
        <v>30216</v>
      </c>
      <c r="AA109" s="192" t="n">
        <v>23451</v>
      </c>
      <c r="AB109" s="192" t="n">
        <v>5636</v>
      </c>
      <c r="AC109" s="192" t="n">
        <v>10642</v>
      </c>
      <c r="AD109" s="192" t="n">
        <v>13165</v>
      </c>
      <c r="AE109" s="192" t="n">
        <v>14518</v>
      </c>
      <c r="AF109" s="192" t="n">
        <v>13897</v>
      </c>
      <c r="AG109" s="192" t="n">
        <v>15372</v>
      </c>
      <c r="AH109" s="192" t="n">
        <v>12477</v>
      </c>
      <c r="AI109" s="192" t="n">
        <v>9721</v>
      </c>
      <c r="AJ109" s="192" t="n">
        <v>9708</v>
      </c>
      <c r="AK109" s="192" t="n">
        <v>8352</v>
      </c>
      <c r="AL109" s="192" t="n">
        <v>8863.1</v>
      </c>
      <c r="AM109" s="192" t="n"/>
      <c r="AN109" s="192" t="n"/>
      <c r="AO109" s="192" t="n"/>
      <c r="AP109" s="192" t="n"/>
      <c r="AQ109" s="192" t="n"/>
      <c r="AR109" s="192" t="n"/>
      <c r="AS109" s="192" t="n"/>
      <c r="AT109" s="182" t="n"/>
      <c r="AU109" s="176" t="n"/>
      <c r="AV109" s="176" t="n"/>
      <c r="AW109" s="176" t="n"/>
      <c r="AX109" s="176" t="n"/>
      <c r="AY109" s="176" t="n"/>
      <c r="AZ109" s="176" t="n"/>
      <c r="BA109" s="176" t="n"/>
      <c r="BB109" s="176" t="n"/>
      <c r="BC109" s="176" t="n"/>
      <c r="BD109" s="176" t="n"/>
      <c r="BE109" s="176" t="n"/>
      <c r="BF109" s="176" t="n"/>
      <c r="BG109" s="176" t="n"/>
      <c r="BH109" s="176" t="n"/>
      <c r="BI109" s="176" t="n"/>
      <c r="BJ109" s="176" t="n"/>
      <c r="BK109" s="176" t="n"/>
      <c r="BL109" s="176" t="n"/>
      <c r="BM109" s="176" t="n"/>
      <c r="BN109" s="176" t="n"/>
      <c r="BO109" s="176" t="n"/>
      <c r="BP109" s="176" t="n"/>
      <c r="BQ109" s="176" t="n"/>
      <c r="BR109" s="176" t="n"/>
    </row>
    <row r="110" ht="15" customHeight="1" s="392">
      <c r="A110" s="176" t="n"/>
      <c r="B110" s="180" t="n"/>
      <c r="C110" s="187" t="inlineStr">
        <is>
          <t xml:space="preserve">        Total Deferred Liabilities, Current</t>
        </is>
      </c>
      <c r="D110" s="193">
        <f>IF(COUNT(M110:AS110)&gt;0,MEDIAN(M110:AS110),"")</f>
        <v/>
      </c>
      <c r="E110" s="193">
        <f>IF(COUNT(M110:AS110)&gt;0,AVERAGE(M110:AS110),"")</f>
        <v/>
      </c>
      <c r="F110" s="193">
        <f>IF(COUNT(M110:AS110)&gt;0,MIN(M110:AS110),"")</f>
        <v/>
      </c>
      <c r="G110" s="193">
        <f>IF(COUNT(M110:AS110)&gt;0,MAX(M110:AS110),"")</f>
        <v/>
      </c>
      <c r="H110" s="193">
        <f>IF(COUNT(M110:AS110)&gt;0,QUARTILE(M110:AS110,1),"")</f>
        <v/>
      </c>
      <c r="I110" s="193">
        <f>IF(COUNT(M110:AS110)&gt;0,QUARTILE(M110:AS110,3),"")</f>
        <v/>
      </c>
      <c r="J110" s="193">
        <f>IF(COUNT(M110:AS110)&gt;1,STDEV(M110:AS110),"")</f>
        <v/>
      </c>
      <c r="K110" s="194">
        <f>IF(COUNT(M110:AS110)&gt;1,STDEV(M110:AS110)/AVERAGE(M110:AS110),"")</f>
        <v/>
      </c>
      <c r="L110" s="195" t="n"/>
      <c r="M110" s="196" t="n">
        <v>32466</v>
      </c>
      <c r="N110" s="196" t="n">
        <v>200069</v>
      </c>
      <c r="O110" s="196" t="n">
        <v>184032</v>
      </c>
      <c r="P110" s="196" t="n">
        <v>164593</v>
      </c>
      <c r="Q110" s="196" t="n">
        <v>141992</v>
      </c>
      <c r="R110" s="196" t="n">
        <v>126342</v>
      </c>
      <c r="S110" s="196" t="n">
        <v>97253</v>
      </c>
      <c r="T110" s="196" t="n">
        <v>79887</v>
      </c>
      <c r="U110" s="196" t="n">
        <v>66931</v>
      </c>
      <c r="V110" s="196" t="n">
        <v>55622</v>
      </c>
      <c r="W110" s="196" t="n">
        <v>45128</v>
      </c>
      <c r="X110" s="196" t="n">
        <v>37595</v>
      </c>
      <c r="Y110" s="196" t="n">
        <v>32287</v>
      </c>
      <c r="Z110" s="196" t="n">
        <v>30216</v>
      </c>
      <c r="AA110" s="196" t="n">
        <v>23451</v>
      </c>
      <c r="AB110" s="196" t="n">
        <v>5636</v>
      </c>
      <c r="AC110" s="196" t="n">
        <v>10642</v>
      </c>
      <c r="AD110" s="196" t="n">
        <v>13165</v>
      </c>
      <c r="AE110" s="196" t="n">
        <v>14518</v>
      </c>
      <c r="AF110" s="196" t="n">
        <v>13897</v>
      </c>
      <c r="AG110" s="196" t="n">
        <v>15372</v>
      </c>
      <c r="AH110" s="196" t="n">
        <v>12477</v>
      </c>
      <c r="AI110" s="196" t="n">
        <v>9721</v>
      </c>
      <c r="AJ110" s="196" t="n">
        <v>9708</v>
      </c>
      <c r="AK110" s="196" t="n">
        <v>8352</v>
      </c>
      <c r="AL110" s="196" t="n">
        <v>8863.1</v>
      </c>
      <c r="AM110" s="196" t="n"/>
      <c r="AN110" s="196" t="n"/>
      <c r="AO110" s="196" t="n"/>
      <c r="AP110" s="196" t="n"/>
      <c r="AQ110" s="196" t="n"/>
      <c r="AR110" s="196" t="n"/>
      <c r="AS110" s="196" t="n"/>
      <c r="AT110" s="182" t="n"/>
      <c r="AU110" s="176" t="n"/>
      <c r="AV110" s="176" t="n"/>
      <c r="AW110" s="176" t="n"/>
      <c r="AX110" s="176" t="n"/>
      <c r="AY110" s="176" t="n"/>
      <c r="AZ110" s="176" t="n"/>
      <c r="BA110" s="176" t="n"/>
      <c r="BB110" s="176" t="n"/>
      <c r="BC110" s="176" t="n"/>
      <c r="BD110" s="176" t="n"/>
      <c r="BE110" s="176" t="n"/>
      <c r="BF110" s="176" t="n"/>
      <c r="BG110" s="176" t="n"/>
      <c r="BH110" s="176" t="n"/>
      <c r="BI110" s="176" t="n"/>
      <c r="BJ110" s="176" t="n"/>
      <c r="BK110" s="176" t="n"/>
      <c r="BL110" s="176" t="n"/>
      <c r="BM110" s="176" t="n"/>
      <c r="BN110" s="176" t="n"/>
      <c r="BO110" s="176" t="n"/>
      <c r="BP110" s="176" t="n"/>
      <c r="BQ110" s="176" t="n"/>
      <c r="BR110" s="176" t="n"/>
    </row>
    <row r="111" ht="15" customHeight="1" s="392">
      <c r="A111" s="176" t="n"/>
      <c r="B111" s="180" t="n"/>
      <c r="C111" s="183" t="inlineStr">
        <is>
          <t xml:space="preserve">        Other Current Liabilities</t>
        </is>
      </c>
      <c r="D111" s="190">
        <f>IF(COUNT(M111:AS111)&gt;0,MEDIAN(M111:AS111),"")</f>
        <v/>
      </c>
      <c r="E111" s="190">
        <f>IF(COUNT(M111:AS111)&gt;0,AVERAGE(M111:AS111),"")</f>
        <v/>
      </c>
      <c r="F111" s="190">
        <f>IF(COUNT(M111:AS111)&gt;0,MIN(M111:AS111),"")</f>
        <v/>
      </c>
      <c r="G111" s="190">
        <f>IF(COUNT(M111:AS111)&gt;0,MAX(M111:AS111),"")</f>
        <v/>
      </c>
      <c r="H111" s="190">
        <f>IF(COUNT(M111:AS111)&gt;0,QUARTILE(M111:AS111,1),"")</f>
        <v/>
      </c>
      <c r="I111" s="190">
        <f>IF(COUNT(M111:AS111)&gt;0,QUARTILE(M111:AS111,3),"")</f>
        <v/>
      </c>
      <c r="J111" s="190">
        <f>IF(COUNT(M111:AS111)&gt;1,STDEV(M111:AS111),"")</f>
        <v/>
      </c>
      <c r="K111" s="191">
        <f>IF(COUNT(M111:AS111)&gt;1,STDEV(M111:AS111)/AVERAGE(M111:AS111),"")</f>
        <v/>
      </c>
      <c r="M111" s="192" t="n"/>
      <c r="N111" s="192" t="n"/>
      <c r="O111" s="192" t="n"/>
      <c r="P111" s="192" t="n"/>
      <c r="Q111" s="192" t="n"/>
      <c r="R111" s="192" t="n"/>
      <c r="S111" s="192" t="n"/>
      <c r="T111" s="192" t="n"/>
      <c r="U111" s="192" t="n"/>
      <c r="V111" s="192" t="n"/>
      <c r="W111" s="192" t="n"/>
      <c r="X111" s="192" t="n"/>
      <c r="Y111" s="192" t="n"/>
      <c r="Z111" s="192" t="n"/>
      <c r="AA111" s="192" t="n"/>
      <c r="AB111" s="192" t="n">
        <v>4929</v>
      </c>
      <c r="AC111" s="192" t="n"/>
      <c r="AD111" s="192" t="n">
        <v>429</v>
      </c>
      <c r="AE111" s="192" t="n">
        <v>4581</v>
      </c>
      <c r="AF111" s="192" t="n">
        <v>4404</v>
      </c>
      <c r="AG111" s="192" t="n">
        <v>126</v>
      </c>
      <c r="AH111" s="192" t="n">
        <v>7375</v>
      </c>
      <c r="AI111" s="192" t="n">
        <v>3984</v>
      </c>
      <c r="AJ111" s="192" t="n">
        <v>174</v>
      </c>
      <c r="AK111" s="192" t="n">
        <v>2830</v>
      </c>
      <c r="AL111" s="192" t="n">
        <v>5172</v>
      </c>
      <c r="AM111" s="192" t="n">
        <v>9545.4</v>
      </c>
      <c r="AN111" s="192" t="n">
        <v>7700</v>
      </c>
      <c r="AO111" s="192" t="n">
        <v>7900</v>
      </c>
      <c r="AP111" s="192" t="n">
        <v>8700</v>
      </c>
      <c r="AQ111" s="192" t="n">
        <v>5500</v>
      </c>
      <c r="AR111" s="192" t="n">
        <v>5000</v>
      </c>
      <c r="AS111" s="192" t="n">
        <v>1700</v>
      </c>
      <c r="AT111" s="182" t="n"/>
      <c r="AU111" s="176" t="n"/>
      <c r="AV111" s="176" t="n"/>
      <c r="AW111" s="176" t="n"/>
      <c r="AX111" s="176" t="n"/>
      <c r="AY111" s="176" t="n"/>
      <c r="AZ111" s="176" t="n"/>
      <c r="BA111" s="176" t="n"/>
      <c r="BB111" s="176" t="n"/>
      <c r="BC111" s="176" t="n"/>
      <c r="BD111" s="176" t="n"/>
      <c r="BE111" s="176" t="n"/>
      <c r="BF111" s="176" t="n"/>
      <c r="BG111" s="176" t="n"/>
      <c r="BH111" s="176" t="n"/>
      <c r="BI111" s="176" t="n"/>
      <c r="BJ111" s="176" t="n"/>
      <c r="BK111" s="176" t="n"/>
      <c r="BL111" s="176" t="n"/>
      <c r="BM111" s="176" t="n"/>
      <c r="BN111" s="176" t="n"/>
      <c r="BO111" s="176" t="n"/>
      <c r="BP111" s="176" t="n"/>
      <c r="BQ111" s="176" t="n"/>
      <c r="BR111" s="176" t="n"/>
    </row>
    <row r="112" ht="15" customHeight="1" s="392">
      <c r="A112" s="176" t="n"/>
      <c r="B112" s="180" t="n"/>
      <c r="C112" s="187" t="inlineStr">
        <is>
          <t xml:space="preserve">    Total Current Liabilities</t>
        </is>
      </c>
      <c r="D112" s="193">
        <f>IF(COUNT(M112:AS112)&gt;0,MEDIAN(M112:AS112),"")</f>
        <v/>
      </c>
      <c r="E112" s="193">
        <f>IF(COUNT(M112:AS112)&gt;0,AVERAGE(M112:AS112),"")</f>
        <v/>
      </c>
      <c r="F112" s="193">
        <f>IF(COUNT(M112:AS112)&gt;0,MIN(M112:AS112),"")</f>
        <v/>
      </c>
      <c r="G112" s="193">
        <f>IF(COUNT(M112:AS112)&gt;0,MAX(M112:AS112),"")</f>
        <v/>
      </c>
      <c r="H112" s="193">
        <f>IF(COUNT(M112:AS112)&gt;0,QUARTILE(M112:AS112,1),"")</f>
        <v/>
      </c>
      <c r="I112" s="193">
        <f>IF(COUNT(M112:AS112)&gt;0,QUARTILE(M112:AS112,3),"")</f>
        <v/>
      </c>
      <c r="J112" s="193">
        <f>IF(COUNT(M112:AS112)&gt;1,STDEV(M112:AS112),"")</f>
        <v/>
      </c>
      <c r="K112" s="194">
        <f>IF(COUNT(M112:AS112)&gt;1,STDEV(M112:AS112)/AVERAGE(M112:AS112),"")</f>
        <v/>
      </c>
      <c r="L112" s="195" t="n"/>
      <c r="M112" s="196" t="n">
        <v>703741</v>
      </c>
      <c r="N112" s="196" t="n">
        <v>683281</v>
      </c>
      <c r="O112" s="196" t="n">
        <v>628567</v>
      </c>
      <c r="P112" s="196" t="n">
        <v>492769</v>
      </c>
      <c r="Q112" s="196" t="n">
        <v>440889</v>
      </c>
      <c r="R112" s="196" t="n">
        <v>421031</v>
      </c>
      <c r="S112" s="196" t="n">
        <v>356044</v>
      </c>
      <c r="T112" s="196" t="n">
        <v>282004</v>
      </c>
      <c r="U112" s="196" t="n">
        <v>277256</v>
      </c>
      <c r="V112" s="196" t="n">
        <v>302153</v>
      </c>
      <c r="W112" s="196" t="n">
        <v>278783</v>
      </c>
      <c r="X112" s="196" t="n">
        <v>213126</v>
      </c>
      <c r="Y112" s="196" t="n">
        <v>244284</v>
      </c>
      <c r="Z112" s="196" t="n">
        <v>238559</v>
      </c>
      <c r="AA112" s="196" t="n">
        <v>186319</v>
      </c>
      <c r="AB112" s="196" t="n">
        <v>166626</v>
      </c>
      <c r="AC112" s="196" t="n">
        <v>107224</v>
      </c>
      <c r="AD112" s="196" t="n">
        <v>103584</v>
      </c>
      <c r="AE112" s="196" t="n">
        <v>128252</v>
      </c>
      <c r="AF112" s="196" t="n">
        <v>115858</v>
      </c>
      <c r="AG112" s="196" t="n">
        <v>83333</v>
      </c>
      <c r="AH112" s="196" t="n">
        <v>80112</v>
      </c>
      <c r="AI112" s="196" t="n">
        <v>63223</v>
      </c>
      <c r="AJ112" s="196" t="n">
        <v>54184</v>
      </c>
      <c r="AK112" s="196" t="n">
        <v>47046.4</v>
      </c>
      <c r="AL112" s="196" t="n">
        <v>44090.3</v>
      </c>
      <c r="AM112" s="196" t="n">
        <v>37372.2</v>
      </c>
      <c r="AN112" s="196" t="n">
        <v>24600</v>
      </c>
      <c r="AO112" s="196" t="n">
        <v>20200</v>
      </c>
      <c r="AP112" s="196" t="n">
        <v>22400</v>
      </c>
      <c r="AQ112" s="196" t="n">
        <v>16700</v>
      </c>
      <c r="AR112" s="196" t="n">
        <v>15200</v>
      </c>
      <c r="AS112" s="196" t="n">
        <v>6500</v>
      </c>
      <c r="AT112" s="182" t="n"/>
      <c r="AU112" s="176" t="n"/>
      <c r="AV112" s="176" t="n"/>
      <c r="AW112" s="176" t="n"/>
      <c r="AX112" s="176" t="n"/>
      <c r="AY112" s="176" t="n"/>
      <c r="AZ112" s="176" t="n"/>
      <c r="BA112" s="176" t="n"/>
      <c r="BB112" s="176" t="n"/>
      <c r="BC112" s="176" t="n"/>
      <c r="BD112" s="176" t="n"/>
      <c r="BE112" s="176" t="n"/>
      <c r="BF112" s="176" t="n"/>
      <c r="BG112" s="176" t="n"/>
      <c r="BH112" s="176" t="n"/>
      <c r="BI112" s="176" t="n"/>
      <c r="BJ112" s="176" t="n"/>
      <c r="BK112" s="176" t="n"/>
      <c r="BL112" s="176" t="n"/>
      <c r="BM112" s="176" t="n"/>
      <c r="BN112" s="176" t="n"/>
      <c r="BO112" s="176" t="n"/>
      <c r="BP112" s="176" t="n"/>
      <c r="BQ112" s="176" t="n"/>
      <c r="BR112" s="176" t="n"/>
    </row>
    <row r="113" ht="15" customHeight="1" s="392">
      <c r="A113" s="176" t="n"/>
      <c r="B113" s="180" t="n"/>
      <c r="C113" s="183" t="inlineStr">
        <is>
          <t xml:space="preserve">    Non-Current Liabilities</t>
        </is>
      </c>
      <c r="D113" s="185" t="n"/>
      <c r="E113" s="185" t="n"/>
      <c r="F113" s="185" t="n"/>
      <c r="G113" s="185" t="n"/>
      <c r="H113" s="185" t="n"/>
      <c r="I113" s="185" t="n"/>
      <c r="J113" s="185" t="n"/>
      <c r="K113" s="185" t="n"/>
      <c r="AT113" s="182" t="n"/>
      <c r="AU113" s="176" t="n"/>
      <c r="AV113" s="176" t="n"/>
      <c r="AW113" s="176" t="n"/>
      <c r="AX113" s="176" t="n"/>
      <c r="AY113" s="176" t="n"/>
      <c r="AZ113" s="176" t="n"/>
      <c r="BA113" s="176" t="n"/>
      <c r="BB113" s="176" t="n"/>
      <c r="BC113" s="176" t="n"/>
      <c r="BD113" s="176" t="n"/>
      <c r="BE113" s="176" t="n"/>
      <c r="BF113" s="176" t="n"/>
      <c r="BG113" s="176" t="n"/>
      <c r="BH113" s="176" t="n"/>
      <c r="BI113" s="176" t="n"/>
      <c r="BJ113" s="176" t="n"/>
      <c r="BK113" s="176" t="n"/>
      <c r="BL113" s="176" t="n"/>
      <c r="BM113" s="176" t="n"/>
      <c r="BN113" s="176" t="n"/>
      <c r="BO113" s="176" t="n"/>
      <c r="BP113" s="176" t="n"/>
      <c r="BQ113" s="176" t="n"/>
      <c r="BR113" s="176" t="n"/>
    </row>
    <row r="114" ht="15" customHeight="1" s="392">
      <c r="A114" s="176" t="n"/>
      <c r="B114" s="180" t="n"/>
      <c r="C114" s="183" t="inlineStr">
        <is>
          <t xml:space="preserve">        Financial Liabilities, Non-Current</t>
        </is>
      </c>
      <c r="D114" s="185" t="n"/>
      <c r="E114" s="185" t="n"/>
      <c r="F114" s="185" t="n"/>
      <c r="G114" s="185" t="n"/>
      <c r="H114" s="185" t="n"/>
      <c r="I114" s="185" t="n"/>
      <c r="J114" s="185" t="n"/>
      <c r="K114" s="185" t="n"/>
      <c r="AT114" s="182" t="n"/>
      <c r="AU114" s="176" t="n"/>
      <c r="AV114" s="176" t="n"/>
      <c r="AW114" s="176" t="n"/>
      <c r="AX114" s="176" t="n"/>
      <c r="AY114" s="176" t="n"/>
      <c r="AZ114" s="176" t="n"/>
      <c r="BA114" s="176" t="n"/>
      <c r="BB114" s="176" t="n"/>
      <c r="BC114" s="176" t="n"/>
      <c r="BD114" s="176" t="n"/>
      <c r="BE114" s="176" t="n"/>
      <c r="BF114" s="176" t="n"/>
      <c r="BG114" s="176" t="n"/>
      <c r="BH114" s="176" t="n"/>
      <c r="BI114" s="176" t="n"/>
      <c r="BJ114" s="176" t="n"/>
      <c r="BK114" s="176" t="n"/>
      <c r="BL114" s="176" t="n"/>
      <c r="BM114" s="176" t="n"/>
      <c r="BN114" s="176" t="n"/>
      <c r="BO114" s="176" t="n"/>
      <c r="BP114" s="176" t="n"/>
      <c r="BQ114" s="176" t="n"/>
      <c r="BR114" s="176" t="n"/>
    </row>
    <row r="115" ht="15" customHeight="1" s="392">
      <c r="A115" s="176" t="n"/>
      <c r="B115" s="180" t="n"/>
      <c r="C115" s="183" t="inlineStr">
        <is>
          <t xml:space="preserve">            Long Term Debt and Capital Lease Obligation</t>
        </is>
      </c>
      <c r="D115" s="185" t="n"/>
      <c r="E115" s="185" t="n"/>
      <c r="F115" s="185" t="n"/>
      <c r="G115" s="185" t="n"/>
      <c r="H115" s="185" t="n"/>
      <c r="I115" s="185" t="n"/>
      <c r="J115" s="185" t="n"/>
      <c r="K115" s="185" t="n"/>
      <c r="AT115" s="182" t="n"/>
      <c r="AU115" s="176" t="n"/>
      <c r="AV115" s="176" t="n"/>
      <c r="AW115" s="176" t="n"/>
      <c r="AX115" s="176" t="n"/>
      <c r="AY115" s="176" t="n"/>
      <c r="AZ115" s="176" t="n"/>
      <c r="BA115" s="176" t="n"/>
      <c r="BB115" s="176" t="n"/>
      <c r="BC115" s="176" t="n"/>
      <c r="BD115" s="176" t="n"/>
      <c r="BE115" s="176" t="n"/>
      <c r="BF115" s="176" t="n"/>
      <c r="BG115" s="176" t="n"/>
      <c r="BH115" s="176" t="n"/>
      <c r="BI115" s="176" t="n"/>
      <c r="BJ115" s="176" t="n"/>
      <c r="BK115" s="176" t="n"/>
      <c r="BL115" s="176" t="n"/>
      <c r="BM115" s="176" t="n"/>
      <c r="BN115" s="176" t="n"/>
      <c r="BO115" s="176" t="n"/>
      <c r="BP115" s="176" t="n"/>
      <c r="BQ115" s="176" t="n"/>
      <c r="BR115" s="176" t="n"/>
    </row>
    <row r="116" ht="15" customHeight="1" s="392">
      <c r="A116" s="176" t="n"/>
      <c r="B116" s="180" t="n"/>
      <c r="C116" s="183" t="inlineStr">
        <is>
          <t xml:space="preserve">                Long Term Debt</t>
        </is>
      </c>
      <c r="D116" s="190">
        <f>IF(COUNT(M116:AS116)&gt;0,MEDIAN(M116:AS116),"")</f>
        <v/>
      </c>
      <c r="E116" s="190">
        <f>IF(COUNT(M116:AS116)&gt;0,AVERAGE(M116:AS116),"")</f>
        <v/>
      </c>
      <c r="F116" s="190">
        <f>IF(COUNT(M116:AS116)&gt;0,MIN(M116:AS116),"")</f>
        <v/>
      </c>
      <c r="G116" s="190">
        <f>IF(COUNT(M116:AS116)&gt;0,MAX(M116:AS116),"")</f>
        <v/>
      </c>
      <c r="H116" s="190">
        <f>IF(COUNT(M116:AS116)&gt;0,QUARTILE(M116:AS116,1),"")</f>
        <v/>
      </c>
      <c r="I116" s="190">
        <f>IF(COUNT(M116:AS116)&gt;0,QUARTILE(M116:AS116,3),"")</f>
        <v/>
      </c>
      <c r="J116" s="190">
        <f>IF(COUNT(M116:AS116)&gt;1,STDEV(M116:AS116),"")</f>
        <v/>
      </c>
      <c r="K116" s="191">
        <f>IF(COUNT(M116:AS116)&gt;1,STDEV(M116:AS116)/AVERAGE(M116:AS116),"")</f>
        <v/>
      </c>
      <c r="M116" s="192" t="n"/>
      <c r="N116" s="192" t="n"/>
      <c r="O116" s="192" t="n"/>
      <c r="P116" s="192" t="n">
        <v>10903</v>
      </c>
      <c r="Q116" s="192" t="n">
        <v>1996</v>
      </c>
      <c r="R116" s="192" t="n">
        <v>397636</v>
      </c>
      <c r="S116" s="192" t="n">
        <v>396900</v>
      </c>
      <c r="T116" s="192" t="n">
        <v>400091</v>
      </c>
      <c r="U116" s="192" t="n"/>
      <c r="V116" s="192" t="n"/>
      <c r="W116" s="192" t="n"/>
      <c r="X116" s="192" t="n"/>
      <c r="Y116" s="192" t="n"/>
      <c r="Z116" s="192" t="n"/>
      <c r="AA116" s="192" t="n"/>
      <c r="AB116" s="192" t="n"/>
      <c r="AC116" s="192" t="n"/>
      <c r="AD116" s="192" t="n"/>
      <c r="AE116" s="192" t="n"/>
      <c r="AF116" s="192" t="n"/>
      <c r="AG116" s="192" t="n"/>
      <c r="AH116" s="192" t="n"/>
      <c r="AI116" s="192" t="n"/>
      <c r="AJ116" s="192" t="n">
        <v>16</v>
      </c>
      <c r="AK116" s="192" t="n">
        <v>84.7</v>
      </c>
      <c r="AL116" s="192" t="n">
        <v>409.2</v>
      </c>
      <c r="AM116" s="192" t="n">
        <v>712.2</v>
      </c>
      <c r="AN116" s="192" t="n">
        <v>7600</v>
      </c>
      <c r="AO116" s="192" t="n">
        <v>7800</v>
      </c>
      <c r="AP116" s="192" t="n">
        <v>7800</v>
      </c>
      <c r="AQ116" s="192" t="n">
        <v>10500</v>
      </c>
      <c r="AR116" s="192" t="n">
        <v>3200</v>
      </c>
      <c r="AS116" s="192" t="n">
        <v>3300</v>
      </c>
      <c r="AT116" s="182" t="n"/>
      <c r="AU116" s="176" t="n"/>
      <c r="AV116" s="176" t="n"/>
      <c r="AW116" s="176" t="n"/>
      <c r="AX116" s="176" t="n"/>
      <c r="AY116" s="176" t="n"/>
      <c r="AZ116" s="176" t="n"/>
      <c r="BA116" s="176" t="n"/>
      <c r="BB116" s="176" t="n"/>
      <c r="BC116" s="176" t="n"/>
      <c r="BD116" s="176" t="n"/>
      <c r="BE116" s="176" t="n"/>
      <c r="BF116" s="176" t="n"/>
      <c r="BG116" s="176" t="n"/>
      <c r="BH116" s="176" t="n"/>
      <c r="BI116" s="176" t="n"/>
      <c r="BJ116" s="176" t="n"/>
      <c r="BK116" s="176" t="n"/>
      <c r="BL116" s="176" t="n"/>
      <c r="BM116" s="176" t="n"/>
      <c r="BN116" s="176" t="n"/>
      <c r="BO116" s="176" t="n"/>
      <c r="BP116" s="176" t="n"/>
      <c r="BQ116" s="176" t="n"/>
      <c r="BR116" s="176" t="n"/>
    </row>
    <row r="117" ht="15" customHeight="1" s="392">
      <c r="A117" s="176" t="n"/>
      <c r="B117" s="180" t="n"/>
      <c r="C117" s="183" t="inlineStr">
        <is>
          <t xml:space="preserve">                Capital Lease Obligations, Non-Current</t>
        </is>
      </c>
      <c r="D117" s="190">
        <f>IF(COUNT(M117:AS117)&gt;0,MEDIAN(M117:AS117),"")</f>
        <v/>
      </c>
      <c r="E117" s="190">
        <f>IF(COUNT(M117:AS117)&gt;0,AVERAGE(M117:AS117),"")</f>
        <v/>
      </c>
      <c r="F117" s="190">
        <f>IF(COUNT(M117:AS117)&gt;0,MIN(M117:AS117),"")</f>
        <v/>
      </c>
      <c r="G117" s="190">
        <f>IF(COUNT(M117:AS117)&gt;0,MAX(M117:AS117),"")</f>
        <v/>
      </c>
      <c r="H117" s="190">
        <f>IF(COUNT(M117:AS117)&gt;0,QUARTILE(M117:AS117,1),"")</f>
        <v/>
      </c>
      <c r="I117" s="190">
        <f>IF(COUNT(M117:AS117)&gt;0,QUARTILE(M117:AS117,3),"")</f>
        <v/>
      </c>
      <c r="J117" s="190">
        <f>IF(COUNT(M117:AS117)&gt;1,STDEV(M117:AS117),"")</f>
        <v/>
      </c>
      <c r="K117" s="191">
        <f>IF(COUNT(M117:AS117)&gt;1,STDEV(M117:AS117)/AVERAGE(M117:AS117),"")</f>
        <v/>
      </c>
      <c r="M117" s="192" t="n">
        <v>73204</v>
      </c>
      <c r="N117" s="192" t="n">
        <v>83870</v>
      </c>
      <c r="O117" s="192" t="n">
        <v>97429</v>
      </c>
      <c r="P117" s="192" t="n">
        <v>88082</v>
      </c>
      <c r="Q117" s="192" t="n">
        <v>95683</v>
      </c>
      <c r="R117" s="192" t="n">
        <v>97961</v>
      </c>
      <c r="S117" s="192" t="n">
        <v>96150</v>
      </c>
      <c r="T117" s="192" t="n">
        <v>0</v>
      </c>
      <c r="U117" s="192" t="n"/>
      <c r="V117" s="192" t="n"/>
      <c r="W117" s="192" t="n"/>
      <c r="X117" s="192" t="n"/>
      <c r="Y117" s="192" t="n"/>
      <c r="Z117" s="192" t="n"/>
      <c r="AA117" s="192" t="n"/>
      <c r="AB117" s="192" t="n"/>
      <c r="AC117" s="192" t="n"/>
      <c r="AD117" s="192" t="n"/>
      <c r="AE117" s="192" t="n"/>
      <c r="AF117" s="192" t="n"/>
      <c r="AG117" s="192" t="n"/>
      <c r="AH117" s="192" t="n"/>
      <c r="AI117" s="192" t="n"/>
      <c r="AJ117" s="192" t="n"/>
      <c r="AK117" s="192" t="n"/>
      <c r="AL117" s="192" t="n"/>
      <c r="AM117" s="192" t="n"/>
      <c r="AN117" s="192" t="n"/>
      <c r="AO117" s="192" t="n"/>
      <c r="AP117" s="192" t="n"/>
      <c r="AQ117" s="192" t="n"/>
      <c r="AR117" s="192" t="n"/>
      <c r="AS117" s="192" t="n"/>
      <c r="AT117" s="182" t="n"/>
      <c r="AU117" s="176" t="n"/>
      <c r="AV117" s="176" t="n"/>
      <c r="AW117" s="176" t="n"/>
      <c r="AX117" s="176" t="n"/>
      <c r="AY117" s="176" t="n"/>
      <c r="AZ117" s="176" t="n"/>
      <c r="BA117" s="176" t="n"/>
      <c r="BB117" s="176" t="n"/>
      <c r="BC117" s="176" t="n"/>
      <c r="BD117" s="176" t="n"/>
      <c r="BE117" s="176" t="n"/>
      <c r="BF117" s="176" t="n"/>
      <c r="BG117" s="176" t="n"/>
      <c r="BH117" s="176" t="n"/>
      <c r="BI117" s="176" t="n"/>
      <c r="BJ117" s="176" t="n"/>
      <c r="BK117" s="176" t="n"/>
      <c r="BL117" s="176" t="n"/>
      <c r="BM117" s="176" t="n"/>
      <c r="BN117" s="176" t="n"/>
      <c r="BO117" s="176" t="n"/>
      <c r="BP117" s="176" t="n"/>
      <c r="BQ117" s="176" t="n"/>
      <c r="BR117" s="176" t="n"/>
    </row>
    <row r="118" ht="15" customHeight="1" s="392">
      <c r="A118" s="176" t="n"/>
      <c r="B118" s="180" t="n"/>
      <c r="C118" s="187" t="inlineStr">
        <is>
          <t xml:space="preserve">            Total Long Term Debt and Capital Lease Obligation</t>
        </is>
      </c>
      <c r="D118" s="193">
        <f>IF(COUNT(M118:AS118)&gt;0,MEDIAN(M118:AS118),"")</f>
        <v/>
      </c>
      <c r="E118" s="193">
        <f>IF(COUNT(M118:AS118)&gt;0,AVERAGE(M118:AS118),"")</f>
        <v/>
      </c>
      <c r="F118" s="193">
        <f>IF(COUNT(M118:AS118)&gt;0,MIN(M118:AS118),"")</f>
        <v/>
      </c>
      <c r="G118" s="193">
        <f>IF(COUNT(M118:AS118)&gt;0,MAX(M118:AS118),"")</f>
        <v/>
      </c>
      <c r="H118" s="193">
        <f>IF(COUNT(M118:AS118)&gt;0,QUARTILE(M118:AS118,1),"")</f>
        <v/>
      </c>
      <c r="I118" s="193">
        <f>IF(COUNT(M118:AS118)&gt;0,QUARTILE(M118:AS118,3),"")</f>
        <v/>
      </c>
      <c r="J118" s="193">
        <f>IF(COUNT(M118:AS118)&gt;1,STDEV(M118:AS118),"")</f>
        <v/>
      </c>
      <c r="K118" s="194">
        <f>IF(COUNT(M118:AS118)&gt;1,STDEV(M118:AS118)/AVERAGE(M118:AS118),"")</f>
        <v/>
      </c>
      <c r="L118" s="195" t="n"/>
      <c r="M118" s="196" t="n">
        <v>73204</v>
      </c>
      <c r="N118" s="196" t="n">
        <v>83870</v>
      </c>
      <c r="O118" s="196" t="n">
        <v>97429</v>
      </c>
      <c r="P118" s="196" t="n">
        <v>98985</v>
      </c>
      <c r="Q118" s="196" t="n">
        <v>97679</v>
      </c>
      <c r="R118" s="196" t="n">
        <v>495597</v>
      </c>
      <c r="S118" s="196" t="n">
        <v>493050</v>
      </c>
      <c r="T118" s="196" t="n">
        <v>400091</v>
      </c>
      <c r="U118" s="196" t="n">
        <v>398747</v>
      </c>
      <c r="V118" s="196" t="n">
        <v>550883</v>
      </c>
      <c r="W118" s="196" t="n">
        <v>564341</v>
      </c>
      <c r="X118" s="196" t="n">
        <v>590843</v>
      </c>
      <c r="Y118" s="196" t="n">
        <v>223227</v>
      </c>
      <c r="Z118" s="196" t="n">
        <v>296410</v>
      </c>
      <c r="AA118" s="196" t="n">
        <v>368950</v>
      </c>
      <c r="AB118" s="196" t="n">
        <v>325386</v>
      </c>
      <c r="AC118" s="196" t="n">
        <v>601</v>
      </c>
      <c r="AD118" s="196" t="n"/>
      <c r="AE118" s="196" t="n"/>
      <c r="AF118" s="196" t="n"/>
      <c r="AG118" s="196" t="n"/>
      <c r="AH118" s="196" t="n"/>
      <c r="AI118" s="196" t="n"/>
      <c r="AJ118" s="196" t="n">
        <v>16</v>
      </c>
      <c r="AK118" s="196" t="n">
        <v>84.7</v>
      </c>
      <c r="AL118" s="196" t="n">
        <v>409.2</v>
      </c>
      <c r="AM118" s="196" t="n">
        <v>712.2</v>
      </c>
      <c r="AN118" s="196" t="n">
        <v>7600</v>
      </c>
      <c r="AO118" s="196" t="n">
        <v>7800</v>
      </c>
      <c r="AP118" s="196" t="n">
        <v>7800</v>
      </c>
      <c r="AQ118" s="196" t="n">
        <v>10500</v>
      </c>
      <c r="AR118" s="196" t="n">
        <v>3200</v>
      </c>
      <c r="AS118" s="196" t="n">
        <v>3300</v>
      </c>
      <c r="AT118" s="182" t="n"/>
      <c r="AU118" s="176" t="n"/>
      <c r="AV118" s="176" t="n"/>
      <c r="AW118" s="176" t="n"/>
      <c r="AX118" s="176" t="n"/>
      <c r="AY118" s="176" t="n"/>
      <c r="AZ118" s="176" t="n"/>
      <c r="BA118" s="176" t="n"/>
      <c r="BB118" s="176" t="n"/>
      <c r="BC118" s="176" t="n"/>
      <c r="BD118" s="176" t="n"/>
      <c r="BE118" s="176" t="n"/>
      <c r="BF118" s="176" t="n"/>
      <c r="BG118" s="176" t="n"/>
      <c r="BH118" s="176" t="n"/>
      <c r="BI118" s="176" t="n"/>
      <c r="BJ118" s="176" t="n"/>
      <c r="BK118" s="176" t="n"/>
      <c r="BL118" s="176" t="n"/>
      <c r="BM118" s="176" t="n"/>
      <c r="BN118" s="176" t="n"/>
      <c r="BO118" s="176" t="n"/>
      <c r="BP118" s="176" t="n"/>
      <c r="BQ118" s="176" t="n"/>
      <c r="BR118" s="176" t="n"/>
    </row>
    <row r="119" ht="15" customHeight="1" s="392">
      <c r="A119" s="176" t="n"/>
      <c r="B119" s="180" t="n"/>
      <c r="C119" s="187" t="inlineStr">
        <is>
          <t xml:space="preserve">        Total Financial Liabilities, Non-Current</t>
        </is>
      </c>
      <c r="D119" s="193">
        <f>IF(COUNT(M119:AS119)&gt;0,MEDIAN(M119:AS119),"")</f>
        <v/>
      </c>
      <c r="E119" s="193">
        <f>IF(COUNT(M119:AS119)&gt;0,AVERAGE(M119:AS119),"")</f>
        <v/>
      </c>
      <c r="F119" s="193">
        <f>IF(COUNT(M119:AS119)&gt;0,MIN(M119:AS119),"")</f>
        <v/>
      </c>
      <c r="G119" s="193">
        <f>IF(COUNT(M119:AS119)&gt;0,MAX(M119:AS119),"")</f>
        <v/>
      </c>
      <c r="H119" s="193">
        <f>IF(COUNT(M119:AS119)&gt;0,QUARTILE(M119:AS119,1),"")</f>
        <v/>
      </c>
      <c r="I119" s="193">
        <f>IF(COUNT(M119:AS119)&gt;0,QUARTILE(M119:AS119,3),"")</f>
        <v/>
      </c>
      <c r="J119" s="193">
        <f>IF(COUNT(M119:AS119)&gt;1,STDEV(M119:AS119),"")</f>
        <v/>
      </c>
      <c r="K119" s="194">
        <f>IF(COUNT(M119:AS119)&gt;1,STDEV(M119:AS119)/AVERAGE(M119:AS119),"")</f>
        <v/>
      </c>
      <c r="L119" s="195" t="n"/>
      <c r="M119" s="196" t="n">
        <v>73204</v>
      </c>
      <c r="N119" s="196" t="n">
        <v>83870</v>
      </c>
      <c r="O119" s="196" t="n">
        <v>97429</v>
      </c>
      <c r="P119" s="196" t="n">
        <v>98985</v>
      </c>
      <c r="Q119" s="196" t="n">
        <v>97679</v>
      </c>
      <c r="R119" s="196" t="n">
        <v>495597</v>
      </c>
      <c r="S119" s="196" t="n">
        <v>493050</v>
      </c>
      <c r="T119" s="196" t="n">
        <v>400091</v>
      </c>
      <c r="U119" s="196" t="n">
        <v>398747</v>
      </c>
      <c r="V119" s="196" t="n">
        <v>550883</v>
      </c>
      <c r="W119" s="196" t="n">
        <v>564341</v>
      </c>
      <c r="X119" s="196" t="n">
        <v>590843</v>
      </c>
      <c r="Y119" s="196" t="n">
        <v>223227</v>
      </c>
      <c r="Z119" s="196" t="n">
        <v>296410</v>
      </c>
      <c r="AA119" s="196" t="n">
        <v>368950</v>
      </c>
      <c r="AB119" s="196" t="n">
        <v>325386</v>
      </c>
      <c r="AC119" s="196" t="n">
        <v>601</v>
      </c>
      <c r="AD119" s="196" t="n"/>
      <c r="AE119" s="196" t="n"/>
      <c r="AF119" s="196" t="n"/>
      <c r="AG119" s="196" t="n"/>
      <c r="AH119" s="196" t="n"/>
      <c r="AI119" s="196" t="n"/>
      <c r="AJ119" s="196" t="n">
        <v>16</v>
      </c>
      <c r="AK119" s="196" t="n">
        <v>84.7</v>
      </c>
      <c r="AL119" s="196" t="n">
        <v>409.2</v>
      </c>
      <c r="AM119" s="196" t="n">
        <v>712.2</v>
      </c>
      <c r="AN119" s="196" t="n">
        <v>7600</v>
      </c>
      <c r="AO119" s="196" t="n">
        <v>7800</v>
      </c>
      <c r="AP119" s="196" t="n">
        <v>7800</v>
      </c>
      <c r="AQ119" s="196" t="n">
        <v>10500</v>
      </c>
      <c r="AR119" s="196" t="n">
        <v>3200</v>
      </c>
      <c r="AS119" s="196" t="n">
        <v>3300</v>
      </c>
      <c r="AT119" s="182" t="n"/>
      <c r="AU119" s="176" t="n"/>
      <c r="AV119" s="176" t="n"/>
      <c r="AW119" s="176" t="n"/>
      <c r="AX119" s="176" t="n"/>
      <c r="AY119" s="176" t="n"/>
      <c r="AZ119" s="176" t="n"/>
      <c r="BA119" s="176" t="n"/>
      <c r="BB119" s="176" t="n"/>
      <c r="BC119" s="176" t="n"/>
      <c r="BD119" s="176" t="n"/>
      <c r="BE119" s="176" t="n"/>
      <c r="BF119" s="176" t="n"/>
      <c r="BG119" s="176" t="n"/>
      <c r="BH119" s="176" t="n"/>
      <c r="BI119" s="176" t="n"/>
      <c r="BJ119" s="176" t="n"/>
      <c r="BK119" s="176" t="n"/>
      <c r="BL119" s="176" t="n"/>
      <c r="BM119" s="176" t="n"/>
      <c r="BN119" s="176" t="n"/>
      <c r="BO119" s="176" t="n"/>
      <c r="BP119" s="176" t="n"/>
      <c r="BQ119" s="176" t="n"/>
      <c r="BR119" s="176" t="n"/>
    </row>
    <row r="120" ht="15" customHeight="1" s="392">
      <c r="A120" s="176" t="n"/>
      <c r="B120" s="180" t="n"/>
      <c r="C120" s="183" t="inlineStr">
        <is>
          <t xml:space="preserve">        Tax Liabilities, Non-Current</t>
        </is>
      </c>
      <c r="D120" s="185" t="n"/>
      <c r="E120" s="185" t="n"/>
      <c r="F120" s="185" t="n"/>
      <c r="G120" s="185" t="n"/>
      <c r="H120" s="185" t="n"/>
      <c r="I120" s="185" t="n"/>
      <c r="J120" s="185" t="n"/>
      <c r="K120" s="185" t="n"/>
      <c r="AT120" s="182" t="n"/>
      <c r="AU120" s="176" t="n"/>
      <c r="AV120" s="176" t="n"/>
      <c r="AW120" s="176" t="n"/>
      <c r="AX120" s="176" t="n"/>
      <c r="AY120" s="176" t="n"/>
      <c r="AZ120" s="176" t="n"/>
      <c r="BA120" s="176" t="n"/>
      <c r="BB120" s="176" t="n"/>
      <c r="BC120" s="176" t="n"/>
      <c r="BD120" s="176" t="n"/>
      <c r="BE120" s="176" t="n"/>
      <c r="BF120" s="176" t="n"/>
      <c r="BG120" s="176" t="n"/>
      <c r="BH120" s="176" t="n"/>
      <c r="BI120" s="176" t="n"/>
      <c r="BJ120" s="176" t="n"/>
      <c r="BK120" s="176" t="n"/>
      <c r="BL120" s="176" t="n"/>
      <c r="BM120" s="176" t="n"/>
      <c r="BN120" s="176" t="n"/>
      <c r="BO120" s="176" t="n"/>
      <c r="BP120" s="176" t="n"/>
      <c r="BQ120" s="176" t="n"/>
      <c r="BR120" s="176" t="n"/>
    </row>
    <row r="121" ht="15" customHeight="1" s="392">
      <c r="A121" s="176" t="n"/>
      <c r="B121" s="180" t="n"/>
      <c r="C121" s="183" t="inlineStr">
        <is>
          <t xml:space="preserve">            Deferred Tax Liabilities, Non-Current</t>
        </is>
      </c>
      <c r="D121" s="190">
        <f>IF(COUNT(M121:AS121)&gt;0,MEDIAN(M121:AS121),"")</f>
        <v/>
      </c>
      <c r="E121" s="190">
        <f>IF(COUNT(M121:AS121)&gt;0,AVERAGE(M121:AS121),"")</f>
        <v/>
      </c>
      <c r="F121" s="190">
        <f>IF(COUNT(M121:AS121)&gt;0,MIN(M121:AS121),"")</f>
        <v/>
      </c>
      <c r="G121" s="190">
        <f>IF(COUNT(M121:AS121)&gt;0,MAX(M121:AS121),"")</f>
        <v/>
      </c>
      <c r="H121" s="190">
        <f>IF(COUNT(M121:AS121)&gt;0,QUARTILE(M121:AS121,1),"")</f>
        <v/>
      </c>
      <c r="I121" s="190">
        <f>IF(COUNT(M121:AS121)&gt;0,QUARTILE(M121:AS121,3),"")</f>
        <v/>
      </c>
      <c r="J121" s="190">
        <f>IF(COUNT(M121:AS121)&gt;1,STDEV(M121:AS121),"")</f>
        <v/>
      </c>
      <c r="K121" s="191">
        <f>IF(COUNT(M121:AS121)&gt;1,STDEV(M121:AS121)/AVERAGE(M121:AS121),"")</f>
        <v/>
      </c>
      <c r="M121" s="192" t="n">
        <v>127918</v>
      </c>
      <c r="N121" s="192" t="n">
        <v>80625</v>
      </c>
      <c r="O121" s="192" t="n">
        <v>93653</v>
      </c>
      <c r="P121" s="192" t="n">
        <v>89492</v>
      </c>
      <c r="Q121" s="192" t="n">
        <v>80060</v>
      </c>
      <c r="R121" s="192" t="n">
        <v>63969</v>
      </c>
      <c r="S121" s="192" t="n">
        <v>71686</v>
      </c>
      <c r="T121" s="192" t="n">
        <v>48683</v>
      </c>
      <c r="U121" s="192" t="n">
        <v>19733</v>
      </c>
      <c r="V121" s="192" t="n">
        <v>3192</v>
      </c>
      <c r="W121" s="192" t="n">
        <v>3816</v>
      </c>
      <c r="X121" s="192" t="n">
        <v>5322</v>
      </c>
      <c r="Y121" s="192" t="n">
        <v>7372</v>
      </c>
      <c r="Z121" s="192" t="n">
        <v>8071</v>
      </c>
      <c r="AA121" s="192" t="n">
        <v>7186</v>
      </c>
      <c r="AB121" s="192" t="n">
        <v>10057</v>
      </c>
      <c r="AC121" s="192" t="n">
        <v>9748</v>
      </c>
      <c r="AD121" s="192" t="n">
        <v>31263</v>
      </c>
      <c r="AE121" s="192" t="n">
        <v>14044</v>
      </c>
      <c r="AF121" s="192" t="n">
        <v>13998</v>
      </c>
      <c r="AG121" s="192" t="n"/>
      <c r="AH121" s="192" t="n">
        <v>2878</v>
      </c>
      <c r="AI121" s="192" t="n">
        <v>6355</v>
      </c>
      <c r="AJ121" s="192" t="n">
        <v>6014</v>
      </c>
      <c r="AK121" s="192" t="n">
        <v>1063.1</v>
      </c>
      <c r="AL121" s="192" t="n"/>
      <c r="AM121" s="192" t="n">
        <v>2834.3</v>
      </c>
      <c r="AN121" s="192" t="n">
        <v>800</v>
      </c>
      <c r="AO121" s="192" t="n">
        <v>1100</v>
      </c>
      <c r="AP121" s="192" t="n">
        <v>1000</v>
      </c>
      <c r="AQ121" s="192" t="n">
        <v>600</v>
      </c>
      <c r="AR121" s="192" t="n">
        <v>600</v>
      </c>
      <c r="AS121" s="192" t="n">
        <v>400</v>
      </c>
      <c r="AT121" s="182" t="n"/>
      <c r="AU121" s="176" t="n"/>
      <c r="AV121" s="176" t="n"/>
      <c r="AW121" s="176" t="n"/>
      <c r="AX121" s="176" t="n"/>
      <c r="AY121" s="176" t="n"/>
      <c r="AZ121" s="176" t="n"/>
      <c r="BA121" s="176" t="n"/>
      <c r="BB121" s="176" t="n"/>
      <c r="BC121" s="176" t="n"/>
      <c r="BD121" s="176" t="n"/>
      <c r="BE121" s="176" t="n"/>
      <c r="BF121" s="176" t="n"/>
      <c r="BG121" s="176" t="n"/>
      <c r="BH121" s="176" t="n"/>
      <c r="BI121" s="176" t="n"/>
      <c r="BJ121" s="176" t="n"/>
      <c r="BK121" s="176" t="n"/>
      <c r="BL121" s="176" t="n"/>
      <c r="BM121" s="176" t="n"/>
      <c r="BN121" s="176" t="n"/>
      <c r="BO121" s="176" t="n"/>
      <c r="BP121" s="176" t="n"/>
      <c r="BQ121" s="176" t="n"/>
      <c r="BR121" s="176" t="n"/>
    </row>
    <row r="122" ht="15" customHeight="1" s="392">
      <c r="A122" s="176" t="n"/>
      <c r="B122" s="180" t="n"/>
      <c r="C122" s="187" t="inlineStr">
        <is>
          <t xml:space="preserve">        Total Tax Liabilities, Non-Current</t>
        </is>
      </c>
      <c r="D122" s="193">
        <f>IF(COUNT(M122:AS122)&gt;0,MEDIAN(M122:AS122),"")</f>
        <v/>
      </c>
      <c r="E122" s="193">
        <f>IF(COUNT(M122:AS122)&gt;0,AVERAGE(M122:AS122),"")</f>
        <v/>
      </c>
      <c r="F122" s="193">
        <f>IF(COUNT(M122:AS122)&gt;0,MIN(M122:AS122),"")</f>
        <v/>
      </c>
      <c r="G122" s="193">
        <f>IF(COUNT(M122:AS122)&gt;0,MAX(M122:AS122),"")</f>
        <v/>
      </c>
      <c r="H122" s="193">
        <f>IF(COUNT(M122:AS122)&gt;0,QUARTILE(M122:AS122,1),"")</f>
        <v/>
      </c>
      <c r="I122" s="193">
        <f>IF(COUNT(M122:AS122)&gt;0,QUARTILE(M122:AS122,3),"")</f>
        <v/>
      </c>
      <c r="J122" s="193">
        <f>IF(COUNT(M122:AS122)&gt;1,STDEV(M122:AS122),"")</f>
        <v/>
      </c>
      <c r="K122" s="194">
        <f>IF(COUNT(M122:AS122)&gt;1,STDEV(M122:AS122)/AVERAGE(M122:AS122),"")</f>
        <v/>
      </c>
      <c r="L122" s="195" t="n"/>
      <c r="M122" s="196" t="n">
        <v>127918</v>
      </c>
      <c r="N122" s="196" t="n">
        <v>80625</v>
      </c>
      <c r="O122" s="196" t="n">
        <v>93653</v>
      </c>
      <c r="P122" s="196" t="n">
        <v>89492</v>
      </c>
      <c r="Q122" s="196" t="n">
        <v>80060</v>
      </c>
      <c r="R122" s="196" t="n">
        <v>63969</v>
      </c>
      <c r="S122" s="196" t="n">
        <v>71686</v>
      </c>
      <c r="T122" s="196" t="n">
        <v>48683</v>
      </c>
      <c r="U122" s="196" t="n">
        <v>19733</v>
      </c>
      <c r="V122" s="196" t="n">
        <v>3192</v>
      </c>
      <c r="W122" s="196" t="n">
        <v>3816</v>
      </c>
      <c r="X122" s="196" t="n">
        <v>5322</v>
      </c>
      <c r="Y122" s="196" t="n">
        <v>7372</v>
      </c>
      <c r="Z122" s="196" t="n">
        <v>8071</v>
      </c>
      <c r="AA122" s="196" t="n">
        <v>7186</v>
      </c>
      <c r="AB122" s="196" t="n">
        <v>10057</v>
      </c>
      <c r="AC122" s="196" t="n">
        <v>9748</v>
      </c>
      <c r="AD122" s="196" t="n">
        <v>31263</v>
      </c>
      <c r="AE122" s="196" t="n">
        <v>14044</v>
      </c>
      <c r="AF122" s="196" t="n">
        <v>13998</v>
      </c>
      <c r="AG122" s="196" t="n"/>
      <c r="AH122" s="196" t="n">
        <v>2878</v>
      </c>
      <c r="AI122" s="196" t="n">
        <v>6355</v>
      </c>
      <c r="AJ122" s="196" t="n">
        <v>6014</v>
      </c>
      <c r="AK122" s="196" t="n">
        <v>1063.1</v>
      </c>
      <c r="AL122" s="196" t="n"/>
      <c r="AM122" s="196" t="n">
        <v>2834.3</v>
      </c>
      <c r="AN122" s="196" t="n">
        <v>800</v>
      </c>
      <c r="AO122" s="196" t="n">
        <v>1100</v>
      </c>
      <c r="AP122" s="196" t="n">
        <v>1000</v>
      </c>
      <c r="AQ122" s="196" t="n">
        <v>600</v>
      </c>
      <c r="AR122" s="196" t="n">
        <v>600</v>
      </c>
      <c r="AS122" s="196" t="n">
        <v>400</v>
      </c>
      <c r="AT122" s="182" t="n"/>
      <c r="AU122" s="176" t="n"/>
      <c r="AV122" s="176" t="n"/>
      <c r="AW122" s="176" t="n"/>
      <c r="AX122" s="176" t="n"/>
      <c r="AY122" s="176" t="n"/>
      <c r="AZ122" s="176" t="n"/>
      <c r="BA122" s="176" t="n"/>
      <c r="BB122" s="176" t="n"/>
      <c r="BC122" s="176" t="n"/>
      <c r="BD122" s="176" t="n"/>
      <c r="BE122" s="176" t="n"/>
      <c r="BF122" s="176" t="n"/>
      <c r="BG122" s="176" t="n"/>
      <c r="BH122" s="176" t="n"/>
      <c r="BI122" s="176" t="n"/>
      <c r="BJ122" s="176" t="n"/>
      <c r="BK122" s="176" t="n"/>
      <c r="BL122" s="176" t="n"/>
      <c r="BM122" s="176" t="n"/>
      <c r="BN122" s="176" t="n"/>
      <c r="BO122" s="176" t="n"/>
      <c r="BP122" s="176" t="n"/>
      <c r="BQ122" s="176" t="n"/>
      <c r="BR122" s="176" t="n"/>
    </row>
    <row r="123" ht="15" customHeight="1" s="392">
      <c r="A123" s="176" t="n"/>
      <c r="B123" s="180" t="n"/>
      <c r="C123" s="183" t="inlineStr">
        <is>
          <t xml:space="preserve">        Payables and Accrued Expenses, Non-Current</t>
        </is>
      </c>
      <c r="D123" s="185" t="n"/>
      <c r="E123" s="185" t="n"/>
      <c r="F123" s="185" t="n"/>
      <c r="G123" s="185" t="n"/>
      <c r="H123" s="185" t="n"/>
      <c r="I123" s="185" t="n"/>
      <c r="J123" s="185" t="n"/>
      <c r="K123" s="185" t="n"/>
      <c r="AT123" s="182" t="n"/>
      <c r="AU123" s="176" t="n"/>
      <c r="AV123" s="176" t="n"/>
      <c r="AW123" s="176" t="n"/>
      <c r="AX123" s="176" t="n"/>
      <c r="AY123" s="176" t="n"/>
      <c r="AZ123" s="176" t="n"/>
      <c r="BA123" s="176" t="n"/>
      <c r="BB123" s="176" t="n"/>
      <c r="BC123" s="176" t="n"/>
      <c r="BD123" s="176" t="n"/>
      <c r="BE123" s="176" t="n"/>
      <c r="BF123" s="176" t="n"/>
      <c r="BG123" s="176" t="n"/>
      <c r="BH123" s="176" t="n"/>
      <c r="BI123" s="176" t="n"/>
      <c r="BJ123" s="176" t="n"/>
      <c r="BK123" s="176" t="n"/>
      <c r="BL123" s="176" t="n"/>
      <c r="BM123" s="176" t="n"/>
      <c r="BN123" s="176" t="n"/>
      <c r="BO123" s="176" t="n"/>
      <c r="BP123" s="176" t="n"/>
      <c r="BQ123" s="176" t="n"/>
      <c r="BR123" s="176" t="n"/>
    </row>
    <row r="124" ht="15" customHeight="1" s="392">
      <c r="A124" s="176" t="n"/>
      <c r="B124" s="180" t="n"/>
      <c r="C124" s="183" t="inlineStr">
        <is>
          <t xml:space="preserve">            Trade and Other Payables, Non-Current</t>
        </is>
      </c>
      <c r="D124" s="185" t="n"/>
      <c r="E124" s="185" t="n"/>
      <c r="F124" s="185" t="n"/>
      <c r="G124" s="185" t="n"/>
      <c r="H124" s="185" t="n"/>
      <c r="I124" s="185" t="n"/>
      <c r="J124" s="185" t="n"/>
      <c r="K124" s="185" t="n"/>
      <c r="AT124" s="182" t="n"/>
      <c r="AU124" s="176" t="n"/>
      <c r="AV124" s="176" t="n"/>
      <c r="AW124" s="176" t="n"/>
      <c r="AX124" s="176" t="n"/>
      <c r="AY124" s="176" t="n"/>
      <c r="AZ124" s="176" t="n"/>
      <c r="BA124" s="176" t="n"/>
      <c r="BB124" s="176" t="n"/>
      <c r="BC124" s="176" t="n"/>
      <c r="BD124" s="176" t="n"/>
      <c r="BE124" s="176" t="n"/>
      <c r="BF124" s="176" t="n"/>
      <c r="BG124" s="176" t="n"/>
      <c r="BH124" s="176" t="n"/>
      <c r="BI124" s="176" t="n"/>
      <c r="BJ124" s="176" t="n"/>
      <c r="BK124" s="176" t="n"/>
      <c r="BL124" s="176" t="n"/>
      <c r="BM124" s="176" t="n"/>
      <c r="BN124" s="176" t="n"/>
      <c r="BO124" s="176" t="n"/>
      <c r="BP124" s="176" t="n"/>
      <c r="BQ124" s="176" t="n"/>
      <c r="BR124" s="176" t="n"/>
    </row>
    <row r="125" ht="15" customHeight="1" s="392">
      <c r="A125" s="176" t="n"/>
      <c r="B125" s="180" t="n"/>
      <c r="C125" s="183" t="inlineStr">
        <is>
          <t xml:space="preserve">                Taxes Payable, Non-Current</t>
        </is>
      </c>
      <c r="D125" s="190">
        <f>IF(COUNT(M125:AS125)&gt;0,MEDIAN(M125:AS125),"")</f>
        <v/>
      </c>
      <c r="E125" s="190">
        <f>IF(COUNT(M125:AS125)&gt;0,AVERAGE(M125:AS125),"")</f>
        <v/>
      </c>
      <c r="F125" s="190">
        <f>IF(COUNT(M125:AS125)&gt;0,MIN(M125:AS125),"")</f>
        <v/>
      </c>
      <c r="G125" s="190">
        <f>IF(COUNT(M125:AS125)&gt;0,MAX(M125:AS125),"")</f>
        <v/>
      </c>
      <c r="H125" s="190">
        <f>IF(COUNT(M125:AS125)&gt;0,QUARTILE(M125:AS125,1),"")</f>
        <v/>
      </c>
      <c r="I125" s="190">
        <f>IF(COUNT(M125:AS125)&gt;0,QUARTILE(M125:AS125,3),"")</f>
        <v/>
      </c>
      <c r="J125" s="190">
        <f>IF(COUNT(M125:AS125)&gt;1,STDEV(M125:AS125),"")</f>
        <v/>
      </c>
      <c r="K125" s="191">
        <f>IF(COUNT(M125:AS125)&gt;1,STDEV(M125:AS125)/AVERAGE(M125:AS125),"")</f>
        <v/>
      </c>
      <c r="M125" s="192" t="n">
        <v>9067</v>
      </c>
      <c r="N125" s="192" t="n">
        <v>35635</v>
      </c>
      <c r="O125" s="192" t="n">
        <v>59560</v>
      </c>
      <c r="P125" s="192" t="n">
        <v>69193</v>
      </c>
      <c r="Q125" s="192" t="n">
        <v>64637</v>
      </c>
      <c r="R125" s="192" t="n">
        <v>52345</v>
      </c>
      <c r="S125" s="192" t="n">
        <v>44965</v>
      </c>
      <c r="T125" s="192" t="n">
        <v>35116</v>
      </c>
      <c r="U125" s="192" t="n">
        <v>27277</v>
      </c>
      <c r="V125" s="192" t="n">
        <v>24573</v>
      </c>
      <c r="W125" s="192" t="n">
        <v>25641</v>
      </c>
      <c r="X125" s="192" t="n">
        <v>21157</v>
      </c>
      <c r="Y125" s="192" t="n">
        <v>23771</v>
      </c>
      <c r="Z125" s="192" t="n">
        <v>23091</v>
      </c>
      <c r="AA125" s="192" t="n">
        <v>22531</v>
      </c>
      <c r="AB125" s="192" t="n">
        <v>24773</v>
      </c>
      <c r="AC125" s="192" t="n">
        <v>23369</v>
      </c>
      <c r="AD125" s="192" t="n"/>
      <c r="AE125" s="192" t="n"/>
      <c r="AF125" s="192" t="n"/>
      <c r="AG125" s="192" t="n"/>
      <c r="AH125" s="192" t="n"/>
      <c r="AI125" s="192" t="n"/>
      <c r="AJ125" s="192" t="n"/>
      <c r="AK125" s="192" t="n"/>
      <c r="AL125" s="192" t="n"/>
      <c r="AM125" s="192" t="n"/>
      <c r="AN125" s="192" t="n"/>
      <c r="AO125" s="192" t="n"/>
      <c r="AP125" s="192" t="n"/>
      <c r="AQ125" s="192" t="n"/>
      <c r="AR125" s="192" t="n"/>
      <c r="AS125" s="192" t="n"/>
      <c r="AT125" s="182" t="n"/>
      <c r="AU125" s="176" t="n"/>
      <c r="AV125" s="176" t="n"/>
      <c r="AW125" s="176" t="n"/>
      <c r="AX125" s="176" t="n"/>
      <c r="AY125" s="176" t="n"/>
      <c r="AZ125" s="176" t="n"/>
      <c r="BA125" s="176" t="n"/>
      <c r="BB125" s="176" t="n"/>
      <c r="BC125" s="176" t="n"/>
      <c r="BD125" s="176" t="n"/>
      <c r="BE125" s="176" t="n"/>
      <c r="BF125" s="176" t="n"/>
      <c r="BG125" s="176" t="n"/>
      <c r="BH125" s="176" t="n"/>
      <c r="BI125" s="176" t="n"/>
      <c r="BJ125" s="176" t="n"/>
      <c r="BK125" s="176" t="n"/>
      <c r="BL125" s="176" t="n"/>
      <c r="BM125" s="176" t="n"/>
      <c r="BN125" s="176" t="n"/>
      <c r="BO125" s="176" t="n"/>
      <c r="BP125" s="176" t="n"/>
      <c r="BQ125" s="176" t="n"/>
      <c r="BR125" s="176" t="n"/>
    </row>
    <row r="126" ht="15" customHeight="1" s="392">
      <c r="A126" s="176" t="n"/>
      <c r="B126" s="180" t="n"/>
      <c r="C126" s="187" t="inlineStr">
        <is>
          <t xml:space="preserve">            Total Trade and Other Payables, Non-Current</t>
        </is>
      </c>
      <c r="D126" s="193">
        <f>IF(COUNT(M126:AS126)&gt;0,MEDIAN(M126:AS126),"")</f>
        <v/>
      </c>
      <c r="E126" s="193">
        <f>IF(COUNT(M126:AS126)&gt;0,AVERAGE(M126:AS126),"")</f>
        <v/>
      </c>
      <c r="F126" s="193">
        <f>IF(COUNT(M126:AS126)&gt;0,MIN(M126:AS126),"")</f>
        <v/>
      </c>
      <c r="G126" s="193">
        <f>IF(COUNT(M126:AS126)&gt;0,MAX(M126:AS126),"")</f>
        <v/>
      </c>
      <c r="H126" s="193">
        <f>IF(COUNT(M126:AS126)&gt;0,QUARTILE(M126:AS126,1),"")</f>
        <v/>
      </c>
      <c r="I126" s="193">
        <f>IF(COUNT(M126:AS126)&gt;0,QUARTILE(M126:AS126,3),"")</f>
        <v/>
      </c>
      <c r="J126" s="193">
        <f>IF(COUNT(M126:AS126)&gt;1,STDEV(M126:AS126),"")</f>
        <v/>
      </c>
      <c r="K126" s="194">
        <f>IF(COUNT(M126:AS126)&gt;1,STDEV(M126:AS126)/AVERAGE(M126:AS126),"")</f>
        <v/>
      </c>
      <c r="L126" s="195" t="n"/>
      <c r="M126" s="196" t="n">
        <v>9067</v>
      </c>
      <c r="N126" s="196" t="n">
        <v>35635</v>
      </c>
      <c r="O126" s="196" t="n">
        <v>59560</v>
      </c>
      <c r="P126" s="196" t="n">
        <v>69193</v>
      </c>
      <c r="Q126" s="196" t="n">
        <v>64637</v>
      </c>
      <c r="R126" s="196" t="n">
        <v>52345</v>
      </c>
      <c r="S126" s="196" t="n">
        <v>44965</v>
      </c>
      <c r="T126" s="196" t="n">
        <v>35116</v>
      </c>
      <c r="U126" s="196" t="n">
        <v>27277</v>
      </c>
      <c r="V126" s="196" t="n">
        <v>24573</v>
      </c>
      <c r="W126" s="196" t="n">
        <v>25641</v>
      </c>
      <c r="X126" s="196" t="n">
        <v>21157</v>
      </c>
      <c r="Y126" s="196" t="n">
        <v>23771</v>
      </c>
      <c r="Z126" s="196" t="n">
        <v>23091</v>
      </c>
      <c r="AA126" s="196" t="n">
        <v>22531</v>
      </c>
      <c r="AB126" s="196" t="n">
        <v>24773</v>
      </c>
      <c r="AC126" s="196" t="n">
        <v>23369</v>
      </c>
      <c r="AD126" s="196" t="n"/>
      <c r="AE126" s="196" t="n"/>
      <c r="AF126" s="196" t="n"/>
      <c r="AG126" s="196" t="n"/>
      <c r="AH126" s="196" t="n"/>
      <c r="AI126" s="196" t="n"/>
      <c r="AJ126" s="196" t="n"/>
      <c r="AK126" s="196" t="n"/>
      <c r="AL126" s="196" t="n"/>
      <c r="AM126" s="196" t="n"/>
      <c r="AN126" s="196" t="n"/>
      <c r="AO126" s="196" t="n"/>
      <c r="AP126" s="196" t="n"/>
      <c r="AQ126" s="196" t="n"/>
      <c r="AR126" s="196" t="n"/>
      <c r="AS126" s="196" t="n"/>
      <c r="AT126" s="182" t="n"/>
      <c r="AU126" s="176" t="n"/>
      <c r="AV126" s="176" t="n"/>
      <c r="AW126" s="176" t="n"/>
      <c r="AX126" s="176" t="n"/>
      <c r="AY126" s="176" t="n"/>
      <c r="AZ126" s="176" t="n"/>
      <c r="BA126" s="176" t="n"/>
      <c r="BB126" s="176" t="n"/>
      <c r="BC126" s="176" t="n"/>
      <c r="BD126" s="176" t="n"/>
      <c r="BE126" s="176" t="n"/>
      <c r="BF126" s="176" t="n"/>
      <c r="BG126" s="176" t="n"/>
      <c r="BH126" s="176" t="n"/>
      <c r="BI126" s="176" t="n"/>
      <c r="BJ126" s="176" t="n"/>
      <c r="BK126" s="176" t="n"/>
      <c r="BL126" s="176" t="n"/>
      <c r="BM126" s="176" t="n"/>
      <c r="BN126" s="176" t="n"/>
      <c r="BO126" s="176" t="n"/>
      <c r="BP126" s="176" t="n"/>
      <c r="BQ126" s="176" t="n"/>
      <c r="BR126" s="176" t="n"/>
    </row>
    <row r="127" ht="15" customHeight="1" s="392">
      <c r="A127" s="176" t="n"/>
      <c r="B127" s="180" t="n"/>
      <c r="C127" s="187" t="inlineStr">
        <is>
          <t xml:space="preserve">        Total Payables and Accrued Expenses, Non-Current</t>
        </is>
      </c>
      <c r="D127" s="193">
        <f>IF(COUNT(M127:AS127)&gt;0,MEDIAN(M127:AS127),"")</f>
        <v/>
      </c>
      <c r="E127" s="193">
        <f>IF(COUNT(M127:AS127)&gt;0,AVERAGE(M127:AS127),"")</f>
        <v/>
      </c>
      <c r="F127" s="193">
        <f>IF(COUNT(M127:AS127)&gt;0,MIN(M127:AS127),"")</f>
        <v/>
      </c>
      <c r="G127" s="193">
        <f>IF(COUNT(M127:AS127)&gt;0,MAX(M127:AS127),"")</f>
        <v/>
      </c>
      <c r="H127" s="193">
        <f>IF(COUNT(M127:AS127)&gt;0,QUARTILE(M127:AS127,1),"")</f>
        <v/>
      </c>
      <c r="I127" s="193">
        <f>IF(COUNT(M127:AS127)&gt;0,QUARTILE(M127:AS127,3),"")</f>
        <v/>
      </c>
      <c r="J127" s="193">
        <f>IF(COUNT(M127:AS127)&gt;1,STDEV(M127:AS127),"")</f>
        <v/>
      </c>
      <c r="K127" s="194">
        <f>IF(COUNT(M127:AS127)&gt;1,STDEV(M127:AS127)/AVERAGE(M127:AS127),"")</f>
        <v/>
      </c>
      <c r="L127" s="195" t="n"/>
      <c r="M127" s="196" t="n">
        <v>9067</v>
      </c>
      <c r="N127" s="196" t="n">
        <v>35635</v>
      </c>
      <c r="O127" s="196" t="n">
        <v>59560</v>
      </c>
      <c r="P127" s="196" t="n">
        <v>69193</v>
      </c>
      <c r="Q127" s="196" t="n">
        <v>64637</v>
      </c>
      <c r="R127" s="196" t="n">
        <v>52345</v>
      </c>
      <c r="S127" s="196" t="n">
        <v>44965</v>
      </c>
      <c r="T127" s="196" t="n">
        <v>35116</v>
      </c>
      <c r="U127" s="196" t="n">
        <v>27277</v>
      </c>
      <c r="V127" s="196" t="n">
        <v>24573</v>
      </c>
      <c r="W127" s="196" t="n">
        <v>25641</v>
      </c>
      <c r="X127" s="196" t="n">
        <v>21157</v>
      </c>
      <c r="Y127" s="196" t="n">
        <v>23771</v>
      </c>
      <c r="Z127" s="196" t="n">
        <v>23091</v>
      </c>
      <c r="AA127" s="196" t="n">
        <v>22531</v>
      </c>
      <c r="AB127" s="196" t="n">
        <v>24773</v>
      </c>
      <c r="AC127" s="196" t="n">
        <v>23369</v>
      </c>
      <c r="AD127" s="196" t="n"/>
      <c r="AE127" s="196" t="n"/>
      <c r="AF127" s="196" t="n"/>
      <c r="AG127" s="196" t="n"/>
      <c r="AH127" s="196" t="n"/>
      <c r="AI127" s="196" t="n"/>
      <c r="AJ127" s="196" t="n"/>
      <c r="AK127" s="196" t="n"/>
      <c r="AL127" s="196" t="n"/>
      <c r="AM127" s="196" t="n"/>
      <c r="AN127" s="196" t="n"/>
      <c r="AO127" s="196" t="n"/>
      <c r="AP127" s="196" t="n"/>
      <c r="AQ127" s="196" t="n"/>
      <c r="AR127" s="196" t="n"/>
      <c r="AS127" s="196" t="n"/>
      <c r="AT127" s="182" t="n"/>
      <c r="AU127" s="176" t="n"/>
      <c r="AV127" s="176" t="n"/>
      <c r="AW127" s="176" t="n"/>
      <c r="AX127" s="176" t="n"/>
      <c r="AY127" s="176" t="n"/>
      <c r="AZ127" s="176" t="n"/>
      <c r="BA127" s="176" t="n"/>
      <c r="BB127" s="176" t="n"/>
      <c r="BC127" s="176" t="n"/>
      <c r="BD127" s="176" t="n"/>
      <c r="BE127" s="176" t="n"/>
      <c r="BF127" s="176" t="n"/>
      <c r="BG127" s="176" t="n"/>
      <c r="BH127" s="176" t="n"/>
      <c r="BI127" s="176" t="n"/>
      <c r="BJ127" s="176" t="n"/>
      <c r="BK127" s="176" t="n"/>
      <c r="BL127" s="176" t="n"/>
      <c r="BM127" s="176" t="n"/>
      <c r="BN127" s="176" t="n"/>
      <c r="BO127" s="176" t="n"/>
      <c r="BP127" s="176" t="n"/>
      <c r="BQ127" s="176" t="n"/>
      <c r="BR127" s="176" t="n"/>
    </row>
    <row r="128" ht="15" customHeight="1" s="392">
      <c r="A128" s="176" t="n"/>
      <c r="B128" s="180" t="n"/>
      <c r="C128" s="183" t="inlineStr">
        <is>
          <t xml:space="preserve">        Other Non-Current Liabilities</t>
        </is>
      </c>
      <c r="D128" s="190">
        <f>IF(COUNT(M128:AS128)&gt;0,MEDIAN(M128:AS128),"")</f>
        <v/>
      </c>
      <c r="E128" s="190">
        <f>IF(COUNT(M128:AS128)&gt;0,AVERAGE(M128:AS128),"")</f>
        <v/>
      </c>
      <c r="F128" s="190">
        <f>IF(COUNT(M128:AS128)&gt;0,MIN(M128:AS128),"")</f>
        <v/>
      </c>
      <c r="G128" s="190">
        <f>IF(COUNT(M128:AS128)&gt;0,MAX(M128:AS128),"")</f>
        <v/>
      </c>
      <c r="H128" s="190">
        <f>IF(COUNT(M128:AS128)&gt;0,QUARTILE(M128:AS128,1),"")</f>
        <v/>
      </c>
      <c r="I128" s="190">
        <f>IF(COUNT(M128:AS128)&gt;0,QUARTILE(M128:AS128,3),"")</f>
        <v/>
      </c>
      <c r="J128" s="190">
        <f>IF(COUNT(M128:AS128)&gt;1,STDEV(M128:AS128),"")</f>
        <v/>
      </c>
      <c r="K128" s="191">
        <f>IF(COUNT(M128:AS128)&gt;1,STDEV(M128:AS128)/AVERAGE(M128:AS128),"")</f>
        <v/>
      </c>
      <c r="M128" s="192" t="n"/>
      <c r="N128" s="192" t="n"/>
      <c r="O128" s="192" t="n"/>
      <c r="P128" s="192" t="n"/>
      <c r="Q128" s="192" t="n"/>
      <c r="R128" s="192" t="n"/>
      <c r="S128" s="192" t="n"/>
      <c r="T128" s="192" t="n">
        <v>3342</v>
      </c>
      <c r="U128" s="192" t="n">
        <v>3586</v>
      </c>
      <c r="V128" s="192" t="n">
        <v>3100</v>
      </c>
      <c r="W128" s="192" t="n">
        <v>2783</v>
      </c>
      <c r="X128" s="192" t="n">
        <v>3748</v>
      </c>
      <c r="Y128" s="192" t="n">
        <v>4651</v>
      </c>
      <c r="Z128" s="192" t="n">
        <v>5949</v>
      </c>
      <c r="AA128" s="192" t="n">
        <v>7897</v>
      </c>
      <c r="AB128" s="192" t="n">
        <v>2422</v>
      </c>
      <c r="AC128" s="192" t="n">
        <v>636</v>
      </c>
      <c r="AD128" s="192" t="n">
        <v>1726</v>
      </c>
      <c r="AE128" s="192" t="n">
        <v>14955</v>
      </c>
      <c r="AF128" s="192" t="n">
        <v>3878</v>
      </c>
      <c r="AG128" s="192" t="n"/>
      <c r="AH128" s="192" t="n">
        <v>1159</v>
      </c>
      <c r="AI128" s="192" t="n">
        <v>1182</v>
      </c>
      <c r="AJ128" s="192" t="n">
        <v>1246</v>
      </c>
      <c r="AK128" s="192" t="n">
        <v>1436.4</v>
      </c>
      <c r="AL128" s="192" t="n">
        <v>1412.3</v>
      </c>
      <c r="AM128" s="192" t="n">
        <v>1515.2</v>
      </c>
      <c r="AN128" s="192" t="n">
        <v>1700</v>
      </c>
      <c r="AO128" s="192" t="n">
        <v>1600</v>
      </c>
      <c r="AP128" s="192" t="n">
        <v>1300</v>
      </c>
      <c r="AQ128" s="192" t="n">
        <v>4100</v>
      </c>
      <c r="AR128" s="192" t="n">
        <v>3100</v>
      </c>
      <c r="AS128" s="192" t="n">
        <v>3100</v>
      </c>
      <c r="AT128" s="182" t="n"/>
      <c r="AU128" s="176" t="n"/>
      <c r="AV128" s="176" t="n"/>
      <c r="AW128" s="176" t="n"/>
      <c r="AX128" s="176" t="n"/>
      <c r="AY128" s="176" t="n"/>
      <c r="AZ128" s="176" t="n"/>
      <c r="BA128" s="176" t="n"/>
      <c r="BB128" s="176" t="n"/>
      <c r="BC128" s="176" t="n"/>
      <c r="BD128" s="176" t="n"/>
      <c r="BE128" s="176" t="n"/>
      <c r="BF128" s="176" t="n"/>
      <c r="BG128" s="176" t="n"/>
      <c r="BH128" s="176" t="n"/>
      <c r="BI128" s="176" t="n"/>
      <c r="BJ128" s="176" t="n"/>
      <c r="BK128" s="176" t="n"/>
      <c r="BL128" s="176" t="n"/>
      <c r="BM128" s="176" t="n"/>
      <c r="BN128" s="176" t="n"/>
      <c r="BO128" s="176" t="n"/>
      <c r="BP128" s="176" t="n"/>
      <c r="BQ128" s="176" t="n"/>
      <c r="BR128" s="176" t="n"/>
    </row>
    <row r="129" ht="15" customHeight="1" s="392">
      <c r="A129" s="176" t="n"/>
      <c r="B129" s="180" t="n"/>
      <c r="C129" s="187" t="inlineStr">
        <is>
          <t xml:space="preserve">    Total Non-Current Liabilities</t>
        </is>
      </c>
      <c r="D129" s="193">
        <f>IF(COUNT(M129:AS129)&gt;0,MEDIAN(M129:AS129),"")</f>
        <v/>
      </c>
      <c r="E129" s="193">
        <f>IF(COUNT(M129:AS129)&gt;0,AVERAGE(M129:AS129),"")</f>
        <v/>
      </c>
      <c r="F129" s="193">
        <f>IF(COUNT(M129:AS129)&gt;0,MIN(M129:AS129),"")</f>
        <v/>
      </c>
      <c r="G129" s="193">
        <f>IF(COUNT(M129:AS129)&gt;0,MAX(M129:AS129),"")</f>
        <v/>
      </c>
      <c r="H129" s="193">
        <f>IF(COUNT(M129:AS129)&gt;0,QUARTILE(M129:AS129,1),"")</f>
        <v/>
      </c>
      <c r="I129" s="193">
        <f>IF(COUNT(M129:AS129)&gt;0,QUARTILE(M129:AS129,3),"")</f>
        <v/>
      </c>
      <c r="J129" s="193">
        <f>IF(COUNT(M129:AS129)&gt;1,STDEV(M129:AS129),"")</f>
        <v/>
      </c>
      <c r="K129" s="194">
        <f>IF(COUNT(M129:AS129)&gt;1,STDEV(M129:AS129)/AVERAGE(M129:AS129),"")</f>
        <v/>
      </c>
      <c r="L129" s="195" t="n"/>
      <c r="M129" s="196" t="n">
        <v>210189</v>
      </c>
      <c r="N129" s="196" t="n">
        <v>200130</v>
      </c>
      <c r="O129" s="196" t="n">
        <v>250642</v>
      </c>
      <c r="P129" s="196" t="n">
        <v>257670</v>
      </c>
      <c r="Q129" s="196" t="n">
        <v>242376</v>
      </c>
      <c r="R129" s="196" t="n">
        <v>611911</v>
      </c>
      <c r="S129" s="196" t="n">
        <v>609701</v>
      </c>
      <c r="T129" s="196" t="n">
        <v>487232</v>
      </c>
      <c r="U129" s="196" t="n">
        <v>449343</v>
      </c>
      <c r="V129" s="196" t="n">
        <v>581748</v>
      </c>
      <c r="W129" s="196" t="n">
        <v>596581</v>
      </c>
      <c r="X129" s="196" t="n">
        <v>621070</v>
      </c>
      <c r="Y129" s="196" t="n">
        <v>259021</v>
      </c>
      <c r="Z129" s="196" t="n">
        <v>333521</v>
      </c>
      <c r="AA129" s="196" t="n">
        <v>406564</v>
      </c>
      <c r="AB129" s="196" t="n">
        <v>362638</v>
      </c>
      <c r="AC129" s="196" t="n">
        <v>34354</v>
      </c>
      <c r="AD129" s="196" t="n">
        <v>32989</v>
      </c>
      <c r="AE129" s="196" t="n">
        <v>28999</v>
      </c>
      <c r="AF129" s="196" t="n">
        <v>17876</v>
      </c>
      <c r="AG129" s="196" t="n">
        <v>1402</v>
      </c>
      <c r="AH129" s="196" t="n">
        <v>4037</v>
      </c>
      <c r="AI129" s="196" t="n">
        <v>7537</v>
      </c>
      <c r="AJ129" s="196" t="n">
        <v>7276</v>
      </c>
      <c r="AK129" s="196" t="n">
        <v>2584.2</v>
      </c>
      <c r="AL129" s="196" t="n">
        <v>1821.5</v>
      </c>
      <c r="AM129" s="196" t="n">
        <v>5061.7</v>
      </c>
      <c r="AN129" s="196" t="n">
        <v>10100</v>
      </c>
      <c r="AO129" s="196" t="n">
        <v>10500</v>
      </c>
      <c r="AP129" s="196" t="n">
        <v>10100</v>
      </c>
      <c r="AQ129" s="196" t="n">
        <v>15200</v>
      </c>
      <c r="AR129" s="196" t="n">
        <v>6900</v>
      </c>
      <c r="AS129" s="196" t="n">
        <v>6800</v>
      </c>
      <c r="AT129" s="182" t="n"/>
      <c r="AU129" s="176" t="n"/>
      <c r="AV129" s="176" t="n"/>
      <c r="AW129" s="176" t="n"/>
      <c r="AX129" s="176" t="n"/>
      <c r="AY129" s="176" t="n"/>
      <c r="AZ129" s="176" t="n"/>
      <c r="BA129" s="176" t="n"/>
      <c r="BB129" s="176" t="n"/>
      <c r="BC129" s="176" t="n"/>
      <c r="BD129" s="176" t="n"/>
      <c r="BE129" s="176" t="n"/>
      <c r="BF129" s="176" t="n"/>
      <c r="BG129" s="176" t="n"/>
      <c r="BH129" s="176" t="n"/>
      <c r="BI129" s="176" t="n"/>
      <c r="BJ129" s="176" t="n"/>
      <c r="BK129" s="176" t="n"/>
      <c r="BL129" s="176" t="n"/>
      <c r="BM129" s="176" t="n"/>
      <c r="BN129" s="176" t="n"/>
      <c r="BO129" s="176" t="n"/>
      <c r="BP129" s="176" t="n"/>
      <c r="BQ129" s="176" t="n"/>
      <c r="BR129" s="176" t="n"/>
    </row>
    <row r="130" ht="15" customHeight="1" s="392">
      <c r="A130" s="176" t="n"/>
      <c r="B130" s="180" t="n"/>
      <c r="C130" s="187" t="inlineStr">
        <is>
          <t>Total Liabilities</t>
        </is>
      </c>
      <c r="D130" s="193">
        <f>IF(COUNT(M130:AS130)&gt;0,MEDIAN(M130:AS130),"")</f>
        <v/>
      </c>
      <c r="E130" s="193">
        <f>IF(COUNT(M130:AS130)&gt;0,AVERAGE(M130:AS130),"")</f>
        <v/>
      </c>
      <c r="F130" s="193">
        <f>IF(COUNT(M130:AS130)&gt;0,MIN(M130:AS130),"")</f>
        <v/>
      </c>
      <c r="G130" s="193">
        <f>IF(COUNT(M130:AS130)&gt;0,MAX(M130:AS130),"")</f>
        <v/>
      </c>
      <c r="H130" s="193">
        <f>IF(COUNT(M130:AS130)&gt;0,QUARTILE(M130:AS130,1),"")</f>
        <v/>
      </c>
      <c r="I130" s="193">
        <f>IF(COUNT(M130:AS130)&gt;0,QUARTILE(M130:AS130,3),"")</f>
        <v/>
      </c>
      <c r="J130" s="193">
        <f>IF(COUNT(M130:AS130)&gt;1,STDEV(M130:AS130),"")</f>
        <v/>
      </c>
      <c r="K130" s="194">
        <f>IF(COUNT(M130:AS130)&gt;1,STDEV(M130:AS130)/AVERAGE(M130:AS130),"")</f>
        <v/>
      </c>
      <c r="L130" s="195" t="n"/>
      <c r="M130" s="196" t="n">
        <v>913930</v>
      </c>
      <c r="N130" s="196" t="n">
        <v>883411</v>
      </c>
      <c r="O130" s="196" t="n">
        <v>879209</v>
      </c>
      <c r="P130" s="196" t="n">
        <v>750439</v>
      </c>
      <c r="Q130" s="196" t="n">
        <v>683265</v>
      </c>
      <c r="R130" s="196" t="n">
        <v>1032942</v>
      </c>
      <c r="S130" s="196" t="n">
        <v>965745</v>
      </c>
      <c r="T130" s="196" t="n">
        <v>769236</v>
      </c>
      <c r="U130" s="196" t="n">
        <v>726599</v>
      </c>
      <c r="V130" s="196" t="n">
        <v>883901</v>
      </c>
      <c r="W130" s="196" t="n">
        <v>875364</v>
      </c>
      <c r="X130" s="196" t="n">
        <v>834196</v>
      </c>
      <c r="Y130" s="196" t="n">
        <v>503305</v>
      </c>
      <c r="Z130" s="196" t="n">
        <v>572080</v>
      </c>
      <c r="AA130" s="196" t="n">
        <v>592883</v>
      </c>
      <c r="AB130" s="196" t="n">
        <v>529264</v>
      </c>
      <c r="AC130" s="196" t="n">
        <v>141578</v>
      </c>
      <c r="AD130" s="196" t="n">
        <v>136573</v>
      </c>
      <c r="AE130" s="196" t="n">
        <v>157251</v>
      </c>
      <c r="AF130" s="196" t="n">
        <v>133734</v>
      </c>
      <c r="AG130" s="196" t="n">
        <v>84735</v>
      </c>
      <c r="AH130" s="196" t="n">
        <v>84149</v>
      </c>
      <c r="AI130" s="196" t="n">
        <v>70760</v>
      </c>
      <c r="AJ130" s="196" t="n">
        <v>61460</v>
      </c>
      <c r="AK130" s="196" t="n">
        <v>49630.6</v>
      </c>
      <c r="AL130" s="196" t="n">
        <v>45911.8</v>
      </c>
      <c r="AM130" s="196" t="n">
        <v>42433.9</v>
      </c>
      <c r="AN130" s="196" t="n">
        <v>34700</v>
      </c>
      <c r="AO130" s="196" t="n">
        <v>30700</v>
      </c>
      <c r="AP130" s="196" t="n">
        <v>32500</v>
      </c>
      <c r="AQ130" s="196" t="n">
        <v>31900</v>
      </c>
      <c r="AR130" s="196" t="n">
        <v>22100</v>
      </c>
      <c r="AS130" s="196" t="n">
        <v>13300</v>
      </c>
      <c r="AT130" s="182" t="n"/>
      <c r="AU130" s="176" t="n"/>
      <c r="AV130" s="176" t="n"/>
      <c r="AW130" s="176" t="n"/>
      <c r="AX130" s="176" t="n"/>
      <c r="AY130" s="176" t="n"/>
      <c r="AZ130" s="176" t="n"/>
      <c r="BA130" s="176" t="n"/>
      <c r="BB130" s="176" t="n"/>
      <c r="BC130" s="176" t="n"/>
      <c r="BD130" s="176" t="n"/>
      <c r="BE130" s="176" t="n"/>
      <c r="BF130" s="176" t="n"/>
      <c r="BG130" s="176" t="n"/>
      <c r="BH130" s="176" t="n"/>
      <c r="BI130" s="176" t="n"/>
      <c r="BJ130" s="176" t="n"/>
      <c r="BK130" s="176" t="n"/>
      <c r="BL130" s="176" t="n"/>
      <c r="BM130" s="176" t="n"/>
      <c r="BN130" s="176" t="n"/>
      <c r="BO130" s="176" t="n"/>
      <c r="BP130" s="176" t="n"/>
      <c r="BQ130" s="176" t="n"/>
      <c r="BR130" s="176" t="n"/>
    </row>
    <row r="131" ht="15" customHeight="1" s="392">
      <c r="A131" s="176" t="n"/>
      <c r="B131" s="180" t="n"/>
      <c r="C131" s="189" t="inlineStr">
        <is>
          <t>Equity</t>
        </is>
      </c>
      <c r="D131" s="185" t="n"/>
      <c r="E131" s="185" t="n"/>
      <c r="F131" s="185" t="n"/>
      <c r="G131" s="185" t="n"/>
      <c r="H131" s="185" t="n"/>
      <c r="I131" s="185" t="n"/>
      <c r="J131" s="185" t="n"/>
      <c r="K131" s="185" t="n"/>
      <c r="L131" s="185" t="n"/>
      <c r="M131" s="185" t="n"/>
      <c r="N131" s="185" t="n"/>
      <c r="O131" s="185" t="n"/>
      <c r="P131" s="185" t="n"/>
      <c r="Q131" s="185" t="n"/>
      <c r="R131" s="185" t="n"/>
      <c r="S131" s="185" t="n"/>
      <c r="T131" s="185" t="n"/>
      <c r="U131" s="185" t="n"/>
      <c r="V131" s="185" t="n"/>
      <c r="W131" s="185" t="n"/>
      <c r="X131" s="185" t="n"/>
      <c r="Y131" s="185" t="n"/>
      <c r="Z131" s="185" t="n"/>
      <c r="AA131" s="185" t="n"/>
      <c r="AB131" s="185" t="n"/>
      <c r="AC131" s="185" t="n"/>
      <c r="AD131" s="185" t="n"/>
      <c r="AE131" s="185" t="n"/>
      <c r="AF131" s="185" t="n"/>
      <c r="AG131" s="185" t="n"/>
      <c r="AH131" s="185" t="n"/>
      <c r="AI131" s="185" t="n"/>
      <c r="AJ131" s="185" t="n"/>
      <c r="AK131" s="185" t="n"/>
      <c r="AL131" s="185" t="n"/>
      <c r="AM131" s="185" t="n"/>
      <c r="AN131" s="185" t="n"/>
      <c r="AO131" s="185" t="n"/>
      <c r="AP131" s="185" t="n"/>
      <c r="AQ131" s="185" t="n"/>
      <c r="AR131" s="185" t="n"/>
      <c r="AS131" s="185" t="n"/>
      <c r="AT131" s="182" t="n"/>
      <c r="AU131" s="176" t="n"/>
      <c r="AV131" s="176" t="n"/>
      <c r="AW131" s="176" t="n"/>
      <c r="AX131" s="176" t="n"/>
      <c r="AY131" s="176" t="n"/>
      <c r="AZ131" s="176" t="n"/>
      <c r="BA131" s="176" t="n"/>
      <c r="BB131" s="176" t="n"/>
      <c r="BC131" s="176" t="n"/>
      <c r="BD131" s="176" t="n"/>
      <c r="BE131" s="176" t="n"/>
      <c r="BF131" s="176" t="n"/>
      <c r="BG131" s="176" t="n"/>
      <c r="BH131" s="176" t="n"/>
      <c r="BI131" s="176" t="n"/>
      <c r="BJ131" s="176" t="n"/>
      <c r="BK131" s="176" t="n"/>
      <c r="BL131" s="176" t="n"/>
      <c r="BM131" s="176" t="n"/>
      <c r="BN131" s="176" t="n"/>
      <c r="BO131" s="176" t="n"/>
      <c r="BP131" s="176" t="n"/>
      <c r="BQ131" s="176" t="n"/>
      <c r="BR131" s="176" t="n"/>
    </row>
    <row r="132" ht="15" customHeight="1" s="392">
      <c r="A132" s="176" t="n"/>
      <c r="B132" s="180" t="n"/>
      <c r="C132" s="183" t="inlineStr">
        <is>
          <t xml:space="preserve">    Equity Attributable to Parent Stockholders</t>
        </is>
      </c>
      <c r="D132" s="185" t="n"/>
      <c r="E132" s="185" t="n"/>
      <c r="F132" s="185" t="n"/>
      <c r="G132" s="185" t="n"/>
      <c r="H132" s="185" t="n"/>
      <c r="I132" s="185" t="n"/>
      <c r="J132" s="185" t="n"/>
      <c r="K132" s="185" t="n"/>
      <c r="AT132" s="182" t="n"/>
      <c r="AU132" s="176" t="n"/>
      <c r="AV132" s="176" t="n"/>
      <c r="AW132" s="176" t="n"/>
      <c r="AX132" s="176" t="n"/>
      <c r="AY132" s="176" t="n"/>
      <c r="AZ132" s="176" t="n"/>
      <c r="BA132" s="176" t="n"/>
      <c r="BB132" s="176" t="n"/>
      <c r="BC132" s="176" t="n"/>
      <c r="BD132" s="176" t="n"/>
      <c r="BE132" s="176" t="n"/>
      <c r="BF132" s="176" t="n"/>
      <c r="BG132" s="176" t="n"/>
      <c r="BH132" s="176" t="n"/>
      <c r="BI132" s="176" t="n"/>
      <c r="BJ132" s="176" t="n"/>
      <c r="BK132" s="176" t="n"/>
      <c r="BL132" s="176" t="n"/>
      <c r="BM132" s="176" t="n"/>
      <c r="BN132" s="176" t="n"/>
      <c r="BO132" s="176" t="n"/>
      <c r="BP132" s="176" t="n"/>
      <c r="BQ132" s="176" t="n"/>
      <c r="BR132" s="176" t="n"/>
    </row>
    <row r="133" ht="15" customHeight="1" s="392">
      <c r="A133" s="176" t="n"/>
      <c r="B133" s="180" t="n"/>
      <c r="C133" s="183" t="inlineStr">
        <is>
          <t xml:space="preserve">        Paid in Capital</t>
        </is>
      </c>
      <c r="D133" s="185" t="n"/>
      <c r="E133" s="185" t="n"/>
      <c r="F133" s="185" t="n"/>
      <c r="G133" s="185" t="n"/>
      <c r="H133" s="185" t="n"/>
      <c r="I133" s="185" t="n"/>
      <c r="J133" s="185" t="n"/>
      <c r="K133" s="185" t="n"/>
      <c r="AT133" s="182" t="n"/>
      <c r="AU133" s="176" t="n"/>
      <c r="AV133" s="176" t="n"/>
      <c r="AW133" s="176" t="n"/>
      <c r="AX133" s="176" t="n"/>
      <c r="AY133" s="176" t="n"/>
      <c r="AZ133" s="176" t="n"/>
      <c r="BA133" s="176" t="n"/>
      <c r="BB133" s="176" t="n"/>
      <c r="BC133" s="176" t="n"/>
      <c r="BD133" s="176" t="n"/>
      <c r="BE133" s="176" t="n"/>
      <c r="BF133" s="176" t="n"/>
      <c r="BG133" s="176" t="n"/>
      <c r="BH133" s="176" t="n"/>
      <c r="BI133" s="176" t="n"/>
      <c r="BJ133" s="176" t="n"/>
      <c r="BK133" s="176" t="n"/>
      <c r="BL133" s="176" t="n"/>
      <c r="BM133" s="176" t="n"/>
      <c r="BN133" s="176" t="n"/>
      <c r="BO133" s="176" t="n"/>
      <c r="BP133" s="176" t="n"/>
      <c r="BQ133" s="176" t="n"/>
      <c r="BR133" s="176" t="n"/>
    </row>
    <row r="134" ht="15" customHeight="1" s="392">
      <c r="A134" s="176" t="n"/>
      <c r="B134" s="180" t="n"/>
      <c r="C134" s="183" t="inlineStr">
        <is>
          <t xml:space="preserve">            Capital Stock</t>
        </is>
      </c>
      <c r="D134" s="185" t="n"/>
      <c r="E134" s="185" t="n"/>
      <c r="F134" s="185" t="n"/>
      <c r="G134" s="185" t="n"/>
      <c r="H134" s="185" t="n"/>
      <c r="I134" s="185" t="n"/>
      <c r="J134" s="185" t="n"/>
      <c r="K134" s="185" t="n"/>
      <c r="AT134" s="182" t="n"/>
      <c r="AU134" s="176" t="n"/>
      <c r="AV134" s="176" t="n"/>
      <c r="AW134" s="176" t="n"/>
      <c r="AX134" s="176" t="n"/>
      <c r="AY134" s="176" t="n"/>
      <c r="AZ134" s="176" t="n"/>
      <c r="BA134" s="176" t="n"/>
      <c r="BB134" s="176" t="n"/>
      <c r="BC134" s="176" t="n"/>
      <c r="BD134" s="176" t="n"/>
      <c r="BE134" s="176" t="n"/>
      <c r="BF134" s="176" t="n"/>
      <c r="BG134" s="176" t="n"/>
      <c r="BH134" s="176" t="n"/>
      <c r="BI134" s="176" t="n"/>
      <c r="BJ134" s="176" t="n"/>
      <c r="BK134" s="176" t="n"/>
      <c r="BL134" s="176" t="n"/>
      <c r="BM134" s="176" t="n"/>
      <c r="BN134" s="176" t="n"/>
      <c r="BO134" s="176" t="n"/>
      <c r="BP134" s="176" t="n"/>
      <c r="BQ134" s="176" t="n"/>
      <c r="BR134" s="176" t="n"/>
    </row>
    <row r="135" ht="15" customHeight="1" s="392">
      <c r="A135" s="176" t="n"/>
      <c r="B135" s="180" t="n"/>
      <c r="C135" s="183" t="inlineStr">
        <is>
          <t xml:space="preserve">                Common Stock</t>
        </is>
      </c>
      <c r="D135" s="185" t="n"/>
      <c r="E135" s="185" t="n"/>
      <c r="F135" s="185" t="n"/>
      <c r="G135" s="185" t="n"/>
      <c r="H135" s="185" t="n"/>
      <c r="I135" s="185" t="n"/>
      <c r="J135" s="185" t="n"/>
      <c r="K135" s="185" t="n"/>
      <c r="AT135" s="182" t="n"/>
      <c r="AU135" s="176" t="n"/>
      <c r="AV135" s="176" t="n"/>
      <c r="AW135" s="176" t="n"/>
      <c r="AX135" s="176" t="n"/>
      <c r="AY135" s="176" t="n"/>
      <c r="AZ135" s="176" t="n"/>
      <c r="BA135" s="176" t="n"/>
      <c r="BB135" s="176" t="n"/>
      <c r="BC135" s="176" t="n"/>
      <c r="BD135" s="176" t="n"/>
      <c r="BE135" s="176" t="n"/>
      <c r="BF135" s="176" t="n"/>
      <c r="BG135" s="176" t="n"/>
      <c r="BH135" s="176" t="n"/>
      <c r="BI135" s="176" t="n"/>
      <c r="BJ135" s="176" t="n"/>
      <c r="BK135" s="176" t="n"/>
      <c r="BL135" s="176" t="n"/>
      <c r="BM135" s="176" t="n"/>
      <c r="BN135" s="176" t="n"/>
      <c r="BO135" s="176" t="n"/>
      <c r="BP135" s="176" t="n"/>
      <c r="BQ135" s="176" t="n"/>
      <c r="BR135" s="176" t="n"/>
    </row>
    <row r="136" ht="15" customHeight="1" s="392">
      <c r="A136" s="176" t="n"/>
      <c r="B136" s="180" t="n"/>
      <c r="C136" s="183" t="inlineStr">
        <is>
          <t xml:space="preserve">                    Common Stock, without Par Value</t>
        </is>
      </c>
      <c r="D136" s="190">
        <f>IF(COUNT(M136:AS136)&gt;0,MEDIAN(M136:AS136),"")</f>
        <v/>
      </c>
      <c r="E136" s="190">
        <f>IF(COUNT(M136:AS136)&gt;0,AVERAGE(M136:AS136),"")</f>
        <v/>
      </c>
      <c r="F136" s="190">
        <f>IF(COUNT(M136:AS136)&gt;0,MIN(M136:AS136),"")</f>
        <v/>
      </c>
      <c r="G136" s="190">
        <f>IF(COUNT(M136:AS136)&gt;0,MAX(M136:AS136),"")</f>
        <v/>
      </c>
      <c r="H136" s="190">
        <f>IF(COUNT(M136:AS136)&gt;0,QUARTILE(M136:AS136,1),"")</f>
        <v/>
      </c>
      <c r="I136" s="190">
        <f>IF(COUNT(M136:AS136)&gt;0,QUARTILE(M136:AS136,3),"")</f>
        <v/>
      </c>
      <c r="J136" s="190">
        <f>IF(COUNT(M136:AS136)&gt;1,STDEV(M136:AS136),"")</f>
        <v/>
      </c>
      <c r="K136" s="191">
        <f>IF(COUNT(M136:AS136)&gt;1,STDEV(M136:AS136)/AVERAGE(M136:AS136),"")</f>
        <v/>
      </c>
      <c r="M136" s="192" t="n"/>
      <c r="N136" s="192" t="n"/>
      <c r="O136" s="192" t="n"/>
      <c r="P136" s="192" t="n"/>
      <c r="Q136" s="192" t="n"/>
      <c r="R136" s="192" t="n"/>
      <c r="S136" s="192" t="n"/>
      <c r="T136" s="192" t="n"/>
      <c r="U136" s="192" t="n"/>
      <c r="V136" s="192" t="n"/>
      <c r="W136" s="192" t="n"/>
      <c r="X136" s="192" t="n"/>
      <c r="Y136" s="192" t="n"/>
      <c r="Z136" s="192" t="n"/>
      <c r="AA136" s="192" t="n"/>
      <c r="AB136" s="192" t="n">
        <v>313940</v>
      </c>
      <c r="AC136" s="192" t="n">
        <v>365507</v>
      </c>
      <c r="AD136" s="192" t="n"/>
      <c r="AE136" s="192" t="n"/>
      <c r="AF136" s="192" t="n"/>
      <c r="AG136" s="192" t="n"/>
      <c r="AH136" s="192" t="n"/>
      <c r="AI136" s="192" t="n"/>
      <c r="AJ136" s="192" t="n"/>
      <c r="AK136" s="192" t="n"/>
      <c r="AL136" s="192" t="n"/>
      <c r="AM136" s="192" t="n"/>
      <c r="AN136" s="192" t="n"/>
      <c r="AO136" s="192" t="n"/>
      <c r="AP136" s="192" t="n"/>
      <c r="AQ136" s="192" t="n"/>
      <c r="AR136" s="192" t="n"/>
      <c r="AS136" s="192" t="n"/>
      <c r="AT136" s="182" t="n"/>
      <c r="AU136" s="176" t="n"/>
      <c r="AV136" s="176" t="n"/>
      <c r="AW136" s="176" t="n"/>
      <c r="AX136" s="176" t="n"/>
      <c r="AY136" s="176" t="n"/>
      <c r="AZ136" s="176" t="n"/>
      <c r="BA136" s="176" t="n"/>
      <c r="BB136" s="176" t="n"/>
      <c r="BC136" s="176" t="n"/>
      <c r="BD136" s="176" t="n"/>
      <c r="BE136" s="176" t="n"/>
      <c r="BF136" s="176" t="n"/>
      <c r="BG136" s="176" t="n"/>
      <c r="BH136" s="176" t="n"/>
      <c r="BI136" s="176" t="n"/>
      <c r="BJ136" s="176" t="n"/>
      <c r="BK136" s="176" t="n"/>
      <c r="BL136" s="176" t="n"/>
      <c r="BM136" s="176" t="n"/>
      <c r="BN136" s="176" t="n"/>
      <c r="BO136" s="176" t="n"/>
      <c r="BP136" s="176" t="n"/>
      <c r="BQ136" s="176" t="n"/>
      <c r="BR136" s="176" t="n"/>
    </row>
    <row r="137" ht="15" customHeight="1" s="392">
      <c r="A137" s="176" t="n"/>
      <c r="B137" s="180" t="n"/>
      <c r="C137" s="187" t="inlineStr">
        <is>
          <t xml:space="preserve">                Total Common Stock</t>
        </is>
      </c>
      <c r="D137" s="193">
        <f>IF(COUNT(M137:AS137)&gt;0,MEDIAN(M137:AS137),"")</f>
        <v/>
      </c>
      <c r="E137" s="193">
        <f>IF(COUNT(M137:AS137)&gt;0,AVERAGE(M137:AS137),"")</f>
        <v/>
      </c>
      <c r="F137" s="193">
        <f>IF(COUNT(M137:AS137)&gt;0,MIN(M137:AS137),"")</f>
        <v/>
      </c>
      <c r="G137" s="193">
        <f>IF(COUNT(M137:AS137)&gt;0,MAX(M137:AS137),"")</f>
        <v/>
      </c>
      <c r="H137" s="193">
        <f>IF(COUNT(M137:AS137)&gt;0,QUARTILE(M137:AS137,1),"")</f>
        <v/>
      </c>
      <c r="I137" s="193">
        <f>IF(COUNT(M137:AS137)&gt;0,QUARTILE(M137:AS137,3),"")</f>
        <v/>
      </c>
      <c r="J137" s="193">
        <f>IF(COUNT(M137:AS137)&gt;1,STDEV(M137:AS137),"")</f>
        <v/>
      </c>
      <c r="K137" s="194">
        <f>IF(COUNT(M137:AS137)&gt;1,STDEV(M137:AS137)/AVERAGE(M137:AS137),"")</f>
        <v/>
      </c>
      <c r="L137" s="195" t="n"/>
      <c r="M137" s="196" t="n">
        <v>93</v>
      </c>
      <c r="N137" s="196" t="n">
        <v>97</v>
      </c>
      <c r="O137" s="196" t="n">
        <v>96</v>
      </c>
      <c r="P137" s="196" t="n">
        <v>96</v>
      </c>
      <c r="Q137" s="196" t="n">
        <v>96</v>
      </c>
      <c r="R137" s="196" t="n">
        <v>24</v>
      </c>
      <c r="S137" s="196" t="n">
        <v>24</v>
      </c>
      <c r="T137" s="196" t="n">
        <v>23</v>
      </c>
      <c r="U137" s="196" t="n">
        <v>23</v>
      </c>
      <c r="V137" s="196" t="n">
        <v>23</v>
      </c>
      <c r="W137" s="196" t="n">
        <v>22</v>
      </c>
      <c r="X137" s="196" t="n">
        <v>12</v>
      </c>
      <c r="Y137" s="196" t="n">
        <v>13</v>
      </c>
      <c r="Z137" s="196" t="n">
        <v>13</v>
      </c>
      <c r="AA137" s="196" t="n">
        <v>12</v>
      </c>
      <c r="AB137" s="196" t="n">
        <v>313940</v>
      </c>
      <c r="AC137" s="196" t="n">
        <v>365507</v>
      </c>
      <c r="AD137" s="196" t="n"/>
      <c r="AE137" s="196" t="n"/>
      <c r="AF137" s="196" t="n"/>
      <c r="AG137" s="196" t="n"/>
      <c r="AH137" s="196" t="n"/>
      <c r="AI137" s="196" t="n">
        <v>267276</v>
      </c>
      <c r="AJ137" s="196" t="n">
        <v>269968</v>
      </c>
      <c r="AK137" s="196" t="n">
        <v>287767.4</v>
      </c>
      <c r="AL137" s="196" t="n">
        <v>128092</v>
      </c>
      <c r="AM137" s="196" t="n">
        <v>121515</v>
      </c>
      <c r="AN137" s="196" t="n">
        <v>115000</v>
      </c>
      <c r="AO137" s="196" t="n"/>
      <c r="AP137" s="196" t="n"/>
      <c r="AQ137" s="196" t="n"/>
      <c r="AR137" s="196" t="n"/>
      <c r="AS137" s="196" t="n"/>
      <c r="AT137" s="182" t="n"/>
      <c r="AU137" s="176" t="n"/>
      <c r="AV137" s="176" t="n"/>
      <c r="AW137" s="176" t="n"/>
      <c r="AX137" s="176" t="n"/>
      <c r="AY137" s="176" t="n"/>
      <c r="AZ137" s="176" t="n"/>
      <c r="BA137" s="176" t="n"/>
      <c r="BB137" s="176" t="n"/>
      <c r="BC137" s="176" t="n"/>
      <c r="BD137" s="176" t="n"/>
      <c r="BE137" s="176" t="n"/>
      <c r="BF137" s="176" t="n"/>
      <c r="BG137" s="176" t="n"/>
      <c r="BH137" s="176" t="n"/>
      <c r="BI137" s="176" t="n"/>
      <c r="BJ137" s="176" t="n"/>
      <c r="BK137" s="176" t="n"/>
      <c r="BL137" s="176" t="n"/>
      <c r="BM137" s="176" t="n"/>
      <c r="BN137" s="176" t="n"/>
      <c r="BO137" s="176" t="n"/>
      <c r="BP137" s="176" t="n"/>
      <c r="BQ137" s="176" t="n"/>
      <c r="BR137" s="176" t="n"/>
    </row>
    <row r="138" ht="15" customHeight="1" s="392">
      <c r="A138" s="176" t="n"/>
      <c r="B138" s="180" t="n"/>
      <c r="C138" s="183" t="inlineStr">
        <is>
          <t xml:space="preserve">                Preferred Stock</t>
        </is>
      </c>
      <c r="D138" s="190">
        <f>IF(COUNT(M138:AS138)&gt;0,MEDIAN(M138:AS138),"")</f>
        <v/>
      </c>
      <c r="E138" s="190">
        <f>IF(COUNT(M138:AS138)&gt;0,AVERAGE(M138:AS138),"")</f>
        <v/>
      </c>
      <c r="F138" s="190">
        <f>IF(COUNT(M138:AS138)&gt;0,MIN(M138:AS138),"")</f>
        <v/>
      </c>
      <c r="G138" s="190">
        <f>IF(COUNT(M138:AS138)&gt;0,MAX(M138:AS138),"")</f>
        <v/>
      </c>
      <c r="H138" s="190">
        <f>IF(COUNT(M138:AS138)&gt;0,QUARTILE(M138:AS138,1),"")</f>
        <v/>
      </c>
      <c r="I138" s="190">
        <f>IF(COUNT(M138:AS138)&gt;0,QUARTILE(M138:AS138,3),"")</f>
        <v/>
      </c>
      <c r="J138" s="190">
        <f>IF(COUNT(M138:AS138)&gt;1,STDEV(M138:AS138),"")</f>
        <v/>
      </c>
      <c r="K138" s="191">
        <f>IFERROR(IF(COUNT(M138:AS138)&gt;1,STDEV(M138:AS138)/AVERAGE(M138:AS138),""),"")</f>
        <v/>
      </c>
      <c r="M138" s="192" t="n">
        <v>0</v>
      </c>
      <c r="N138" s="192" t="n">
        <v>0</v>
      </c>
      <c r="O138" s="192" t="n">
        <v>0</v>
      </c>
      <c r="P138" s="192" t="n">
        <v>0</v>
      </c>
      <c r="Q138" s="192" t="n">
        <v>0</v>
      </c>
      <c r="R138" s="192" t="n">
        <v>0</v>
      </c>
      <c r="S138" s="192" t="n">
        <v>0</v>
      </c>
      <c r="T138" s="192" t="n">
        <v>0</v>
      </c>
      <c r="U138" s="192" t="n">
        <v>0</v>
      </c>
      <c r="V138" s="192" t="n">
        <v>0</v>
      </c>
      <c r="W138" s="192" t="n">
        <v>0</v>
      </c>
      <c r="X138" s="192" t="n"/>
      <c r="Y138" s="192" t="n">
        <v>0</v>
      </c>
      <c r="Z138" s="192" t="n">
        <v>0</v>
      </c>
      <c r="AA138" s="192" t="n">
        <v>0</v>
      </c>
      <c r="AB138" s="192" t="n"/>
      <c r="AC138" s="192" t="n"/>
      <c r="AD138" s="192" t="n"/>
      <c r="AE138" s="192" t="n"/>
      <c r="AF138" s="192" t="n"/>
      <c r="AG138" s="192" t="n"/>
      <c r="AH138" s="192" t="n"/>
      <c r="AI138" s="192" t="n"/>
      <c r="AJ138" s="192" t="n"/>
      <c r="AK138" s="192" t="n"/>
      <c r="AL138" s="192" t="n"/>
      <c r="AM138" s="192" t="n"/>
      <c r="AN138" s="192" t="n"/>
      <c r="AO138" s="192" t="n"/>
      <c r="AP138" s="192" t="n"/>
      <c r="AQ138" s="192" t="n"/>
      <c r="AR138" s="192" t="n"/>
      <c r="AS138" s="192" t="n"/>
      <c r="AT138" s="182" t="n"/>
      <c r="AU138" s="176" t="n"/>
      <c r="AV138" s="176" t="n"/>
      <c r="AW138" s="176" t="n"/>
      <c r="AX138" s="176" t="n"/>
      <c r="AY138" s="176" t="n"/>
      <c r="AZ138" s="176" t="n"/>
      <c r="BA138" s="176" t="n"/>
      <c r="BB138" s="176" t="n"/>
      <c r="BC138" s="176" t="n"/>
      <c r="BD138" s="176" t="n"/>
      <c r="BE138" s="176" t="n"/>
      <c r="BF138" s="176" t="n"/>
      <c r="BG138" s="176" t="n"/>
      <c r="BH138" s="176" t="n"/>
      <c r="BI138" s="176" t="n"/>
      <c r="BJ138" s="176" t="n"/>
      <c r="BK138" s="176" t="n"/>
      <c r="BL138" s="176" t="n"/>
      <c r="BM138" s="176" t="n"/>
      <c r="BN138" s="176" t="n"/>
      <c r="BO138" s="176" t="n"/>
      <c r="BP138" s="176" t="n"/>
      <c r="BQ138" s="176" t="n"/>
      <c r="BR138" s="176" t="n"/>
    </row>
    <row r="139" ht="15" customHeight="1" s="392">
      <c r="A139" s="176" t="n"/>
      <c r="B139" s="180" t="n"/>
      <c r="C139" s="183" t="inlineStr">
        <is>
          <t xml:space="preserve">                Additional Paid in Capital/Share Premium</t>
        </is>
      </c>
      <c r="D139" s="190">
        <f>IF(COUNT(M139:AS139)&gt;0,MEDIAN(M139:AS139),"")</f>
        <v/>
      </c>
      <c r="E139" s="190">
        <f>IF(COUNT(M139:AS139)&gt;0,AVERAGE(M139:AS139),"")</f>
        <v/>
      </c>
      <c r="F139" s="190">
        <f>IF(COUNT(M139:AS139)&gt;0,MIN(M139:AS139),"")</f>
        <v/>
      </c>
      <c r="G139" s="190">
        <f>IF(COUNT(M139:AS139)&gt;0,MAX(M139:AS139),"")</f>
        <v/>
      </c>
      <c r="H139" s="190">
        <f>IF(COUNT(M139:AS139)&gt;0,QUARTILE(M139:AS139,1),"")</f>
        <v/>
      </c>
      <c r="I139" s="190">
        <f>IF(COUNT(M139:AS139)&gt;0,QUARTILE(M139:AS139,3),"")</f>
        <v/>
      </c>
      <c r="J139" s="190">
        <f>IF(COUNT(M139:AS139)&gt;1,STDEV(M139:AS139),"")</f>
        <v/>
      </c>
      <c r="K139" s="191">
        <f>IF(COUNT(M139:AS139)&gt;1,STDEV(M139:AS139)/AVERAGE(M139:AS139),"")</f>
        <v/>
      </c>
      <c r="M139" s="192" t="n">
        <v>1226354</v>
      </c>
      <c r="N139" s="192" t="n">
        <v>1214150</v>
      </c>
      <c r="O139" s="192" t="n">
        <v>1120985</v>
      </c>
      <c r="P139" s="192" t="n">
        <v>938910</v>
      </c>
      <c r="Q139" s="192" t="n">
        <v>838460</v>
      </c>
      <c r="R139" s="192" t="n">
        <v>761834</v>
      </c>
      <c r="S139" s="192" t="n">
        <v>672727</v>
      </c>
      <c r="T139" s="192" t="n">
        <v>572559</v>
      </c>
      <c r="U139" s="192" t="n">
        <v>526858</v>
      </c>
      <c r="V139" s="192" t="n">
        <v>453349</v>
      </c>
      <c r="W139" s="192" t="n">
        <v>392434</v>
      </c>
      <c r="X139" s="192" t="n">
        <v>407808</v>
      </c>
      <c r="Y139" s="192" t="n">
        <v>404542</v>
      </c>
      <c r="Z139" s="192" t="n">
        <v>368769</v>
      </c>
      <c r="AA139" s="192" t="n">
        <v>326187</v>
      </c>
      <c r="AB139" s="192" t="n">
        <v>0</v>
      </c>
      <c r="AC139" s="192" t="n">
        <v>0</v>
      </c>
      <c r="AD139" s="192" t="n">
        <v>334440</v>
      </c>
      <c r="AE139" s="192" t="n">
        <v>316673</v>
      </c>
      <c r="AF139" s="192" t="n">
        <v>206126</v>
      </c>
      <c r="AG139" s="192" t="n">
        <v>276052</v>
      </c>
      <c r="AH139" s="192" t="n">
        <v>272017</v>
      </c>
      <c r="AI139" s="192" t="n"/>
      <c r="AJ139" s="192" t="n"/>
      <c r="AK139" s="192" t="n"/>
      <c r="AL139" s="192" t="n"/>
      <c r="AM139" s="192" t="n"/>
      <c r="AN139" s="192" t="n"/>
      <c r="AO139" s="192" t="n"/>
      <c r="AP139" s="192" t="n"/>
      <c r="AQ139" s="192" t="n"/>
      <c r="AR139" s="192" t="n"/>
      <c r="AS139" s="192" t="n"/>
      <c r="AT139" s="182" t="n"/>
      <c r="AU139" s="176" t="n"/>
      <c r="AV139" s="176" t="n"/>
      <c r="AW139" s="176" t="n"/>
      <c r="AX139" s="176" t="n"/>
      <c r="AY139" s="176" t="n"/>
      <c r="AZ139" s="176" t="n"/>
      <c r="BA139" s="176" t="n"/>
      <c r="BB139" s="176" t="n"/>
      <c r="BC139" s="176" t="n"/>
      <c r="BD139" s="176" t="n"/>
      <c r="BE139" s="176" t="n"/>
      <c r="BF139" s="176" t="n"/>
      <c r="BG139" s="176" t="n"/>
      <c r="BH139" s="176" t="n"/>
      <c r="BI139" s="176" t="n"/>
      <c r="BJ139" s="176" t="n"/>
      <c r="BK139" s="176" t="n"/>
      <c r="BL139" s="176" t="n"/>
      <c r="BM139" s="176" t="n"/>
      <c r="BN139" s="176" t="n"/>
      <c r="BO139" s="176" t="n"/>
      <c r="BP139" s="176" t="n"/>
      <c r="BQ139" s="176" t="n"/>
      <c r="BR139" s="176" t="n"/>
    </row>
    <row r="140" ht="15" customHeight="1" s="392">
      <c r="A140" s="176" t="n"/>
      <c r="B140" s="180" t="n"/>
      <c r="C140" s="187" t="inlineStr">
        <is>
          <t xml:space="preserve">            Total Capital Stock</t>
        </is>
      </c>
      <c r="D140" s="193">
        <f>IF(COUNT(M140:AS140)&gt;0,MEDIAN(M140:AS140),"")</f>
        <v/>
      </c>
      <c r="E140" s="193">
        <f>IF(COUNT(M140:AS140)&gt;0,AVERAGE(M140:AS140),"")</f>
        <v/>
      </c>
      <c r="F140" s="193">
        <f>IF(COUNT(M140:AS140)&gt;0,MIN(M140:AS140),"")</f>
        <v/>
      </c>
      <c r="G140" s="193">
        <f>IF(COUNT(M140:AS140)&gt;0,MAX(M140:AS140),"")</f>
        <v/>
      </c>
      <c r="H140" s="193">
        <f>IF(COUNT(M140:AS140)&gt;0,QUARTILE(M140:AS140,1),"")</f>
        <v/>
      </c>
      <c r="I140" s="193">
        <f>IF(COUNT(M140:AS140)&gt;0,QUARTILE(M140:AS140,3),"")</f>
        <v/>
      </c>
      <c r="J140" s="193">
        <f>IF(COUNT(M140:AS140)&gt;1,STDEV(M140:AS140),"")</f>
        <v/>
      </c>
      <c r="K140" s="194">
        <f>IF(COUNT(M140:AS140)&gt;1,STDEV(M140:AS140)/AVERAGE(M140:AS140),"")</f>
        <v/>
      </c>
      <c r="L140" s="195" t="n"/>
      <c r="M140" s="196" t="n">
        <v>1226447</v>
      </c>
      <c r="N140" s="196" t="n">
        <v>1214247</v>
      </c>
      <c r="O140" s="196" t="n">
        <v>1121081</v>
      </c>
      <c r="P140" s="196" t="n">
        <v>939006</v>
      </c>
      <c r="Q140" s="196" t="n">
        <v>838556</v>
      </c>
      <c r="R140" s="196" t="n">
        <v>761858</v>
      </c>
      <c r="S140" s="196" t="n">
        <v>672751</v>
      </c>
      <c r="T140" s="196" t="n">
        <v>572582</v>
      </c>
      <c r="U140" s="196" t="n">
        <v>526881</v>
      </c>
      <c r="V140" s="196" t="n">
        <v>453372</v>
      </c>
      <c r="W140" s="196" t="n">
        <v>392456</v>
      </c>
      <c r="X140" s="196" t="n">
        <v>407820</v>
      </c>
      <c r="Y140" s="196" t="n">
        <v>404555</v>
      </c>
      <c r="Z140" s="196" t="n">
        <v>368782</v>
      </c>
      <c r="AA140" s="196" t="n">
        <v>326199</v>
      </c>
      <c r="AB140" s="196" t="n">
        <v>313940</v>
      </c>
      <c r="AC140" s="196" t="n">
        <v>365507</v>
      </c>
      <c r="AD140" s="196" t="n">
        <v>334440</v>
      </c>
      <c r="AE140" s="196" t="n">
        <v>316673</v>
      </c>
      <c r="AF140" s="196" t="n">
        <v>206126</v>
      </c>
      <c r="AG140" s="196" t="n">
        <v>276052</v>
      </c>
      <c r="AH140" s="196" t="n">
        <v>272017</v>
      </c>
      <c r="AI140" s="196" t="n">
        <v>267276</v>
      </c>
      <c r="AJ140" s="196" t="n">
        <v>269968</v>
      </c>
      <c r="AK140" s="196" t="n">
        <v>287767.4</v>
      </c>
      <c r="AL140" s="196" t="n">
        <v>128092</v>
      </c>
      <c r="AM140" s="196" t="n">
        <v>121515</v>
      </c>
      <c r="AN140" s="196" t="n">
        <v>115000</v>
      </c>
      <c r="AO140" s="196" t="n"/>
      <c r="AP140" s="196" t="n"/>
      <c r="AQ140" s="196" t="n"/>
      <c r="AR140" s="196" t="n"/>
      <c r="AS140" s="196" t="n"/>
      <c r="AT140" s="182" t="n"/>
      <c r="AU140" s="176" t="n"/>
      <c r="AV140" s="176" t="n"/>
      <c r="AW140" s="176" t="n"/>
      <c r="AX140" s="176" t="n"/>
      <c r="AY140" s="176" t="n"/>
      <c r="AZ140" s="176" t="n"/>
      <c r="BA140" s="176" t="n"/>
      <c r="BB140" s="176" t="n"/>
      <c r="BC140" s="176" t="n"/>
      <c r="BD140" s="176" t="n"/>
      <c r="BE140" s="176" t="n"/>
      <c r="BF140" s="176" t="n"/>
      <c r="BG140" s="176" t="n"/>
      <c r="BH140" s="176" t="n"/>
      <c r="BI140" s="176" t="n"/>
      <c r="BJ140" s="176" t="n"/>
      <c r="BK140" s="176" t="n"/>
      <c r="BL140" s="176" t="n"/>
      <c r="BM140" s="176" t="n"/>
      <c r="BN140" s="176" t="n"/>
      <c r="BO140" s="176" t="n"/>
      <c r="BP140" s="176" t="n"/>
      <c r="BQ140" s="176" t="n"/>
      <c r="BR140" s="176" t="n"/>
    </row>
    <row r="141" ht="15" customHeight="1" s="392">
      <c r="A141" s="176" t="n"/>
      <c r="B141" s="180" t="n"/>
      <c r="C141" s="187" t="inlineStr">
        <is>
          <t xml:space="preserve">        Total Paid in Capital</t>
        </is>
      </c>
      <c r="D141" s="193">
        <f>IF(COUNT(M141:AS141)&gt;0,MEDIAN(M141:AS141),"")</f>
        <v/>
      </c>
      <c r="E141" s="193">
        <f>IF(COUNT(M141:AS141)&gt;0,AVERAGE(M141:AS141),"")</f>
        <v/>
      </c>
      <c r="F141" s="193">
        <f>IF(COUNT(M141:AS141)&gt;0,MIN(M141:AS141),"")</f>
        <v/>
      </c>
      <c r="G141" s="193">
        <f>IF(COUNT(M141:AS141)&gt;0,MAX(M141:AS141),"")</f>
        <v/>
      </c>
      <c r="H141" s="193">
        <f>IF(COUNT(M141:AS141)&gt;0,QUARTILE(M141:AS141,1),"")</f>
        <v/>
      </c>
      <c r="I141" s="193">
        <f>IF(COUNT(M141:AS141)&gt;0,QUARTILE(M141:AS141,3),"")</f>
        <v/>
      </c>
      <c r="J141" s="193">
        <f>IF(COUNT(M141:AS141)&gt;1,STDEV(M141:AS141),"")</f>
        <v/>
      </c>
      <c r="K141" s="194">
        <f>IF(COUNT(M141:AS141)&gt;1,STDEV(M141:AS141)/AVERAGE(M141:AS141),"")</f>
        <v/>
      </c>
      <c r="L141" s="195" t="n"/>
      <c r="M141" s="196" t="n">
        <v>1226447</v>
      </c>
      <c r="N141" s="196" t="n">
        <v>1214247</v>
      </c>
      <c r="O141" s="196" t="n">
        <v>1121081</v>
      </c>
      <c r="P141" s="196" t="n">
        <v>939006</v>
      </c>
      <c r="Q141" s="196" t="n">
        <v>838556</v>
      </c>
      <c r="R141" s="196" t="n">
        <v>761858</v>
      </c>
      <c r="S141" s="196" t="n">
        <v>672751</v>
      </c>
      <c r="T141" s="196" t="n">
        <v>572582</v>
      </c>
      <c r="U141" s="196" t="n">
        <v>526881</v>
      </c>
      <c r="V141" s="196" t="n">
        <v>453372</v>
      </c>
      <c r="W141" s="196" t="n">
        <v>392456</v>
      </c>
      <c r="X141" s="196" t="n">
        <v>407820</v>
      </c>
      <c r="Y141" s="196" t="n">
        <v>404555</v>
      </c>
      <c r="Z141" s="196" t="n">
        <v>368782</v>
      </c>
      <c r="AA141" s="196" t="n">
        <v>326199</v>
      </c>
      <c r="AB141" s="196" t="n">
        <v>313940</v>
      </c>
      <c r="AC141" s="196" t="n">
        <v>365507</v>
      </c>
      <c r="AD141" s="196" t="n">
        <v>334440</v>
      </c>
      <c r="AE141" s="196" t="n">
        <v>316673</v>
      </c>
      <c r="AF141" s="196" t="n">
        <v>206126</v>
      </c>
      <c r="AG141" s="196" t="n">
        <v>276052</v>
      </c>
      <c r="AH141" s="196" t="n">
        <v>272017</v>
      </c>
      <c r="AI141" s="196" t="n">
        <v>267276</v>
      </c>
      <c r="AJ141" s="196" t="n">
        <v>269968</v>
      </c>
      <c r="AK141" s="196" t="n">
        <v>287767.4</v>
      </c>
      <c r="AL141" s="196" t="n">
        <v>128092</v>
      </c>
      <c r="AM141" s="196" t="n">
        <v>121515</v>
      </c>
      <c r="AN141" s="196" t="n">
        <v>115000</v>
      </c>
      <c r="AO141" s="196" t="n"/>
      <c r="AP141" s="196" t="n"/>
      <c r="AQ141" s="196" t="n"/>
      <c r="AR141" s="196" t="n"/>
      <c r="AS141" s="196" t="n"/>
      <c r="AT141" s="182" t="n"/>
      <c r="AU141" s="176" t="n"/>
      <c r="AV141" s="176" t="n"/>
      <c r="AW141" s="176" t="n"/>
      <c r="AX141" s="176" t="n"/>
      <c r="AY141" s="176" t="n"/>
      <c r="AZ141" s="176" t="n"/>
      <c r="BA141" s="176" t="n"/>
      <c r="BB141" s="176" t="n"/>
      <c r="BC141" s="176" t="n"/>
      <c r="BD141" s="176" t="n"/>
      <c r="BE141" s="176" t="n"/>
      <c r="BF141" s="176" t="n"/>
      <c r="BG141" s="176" t="n"/>
      <c r="BH141" s="176" t="n"/>
      <c r="BI141" s="176" t="n"/>
      <c r="BJ141" s="176" t="n"/>
      <c r="BK141" s="176" t="n"/>
      <c r="BL141" s="176" t="n"/>
      <c r="BM141" s="176" t="n"/>
      <c r="BN141" s="176" t="n"/>
      <c r="BO141" s="176" t="n"/>
      <c r="BP141" s="176" t="n"/>
      <c r="BQ141" s="176" t="n"/>
      <c r="BR141" s="176" t="n"/>
    </row>
    <row r="142" ht="15" customHeight="1" s="392">
      <c r="A142" s="176" t="n"/>
      <c r="B142" s="180" t="n"/>
      <c r="C142" s="183" t="inlineStr">
        <is>
          <t xml:space="preserve">        Retained Earnings/Accumulated Deficit</t>
        </is>
      </c>
      <c r="D142" s="190">
        <f>IF(COUNT(M142:AS142)&gt;0,MEDIAN(M142:AS142),"")</f>
        <v/>
      </c>
      <c r="E142" s="190">
        <f>IF(COUNT(M142:AS142)&gt;0,AVERAGE(M142:AS142),"")</f>
        <v/>
      </c>
      <c r="F142" s="190">
        <f>IF(COUNT(M142:AS142)&gt;0,MIN(M142:AS142),"")</f>
        <v/>
      </c>
      <c r="G142" s="190">
        <f>IF(COUNT(M142:AS142)&gt;0,MAX(M142:AS142),"")</f>
        <v/>
      </c>
      <c r="H142" s="190">
        <f>IF(COUNT(M142:AS142)&gt;0,QUARTILE(M142:AS142,1),"")</f>
        <v/>
      </c>
      <c r="I142" s="190">
        <f>IF(COUNT(M142:AS142)&gt;0,QUARTILE(M142:AS142,3),"")</f>
        <v/>
      </c>
      <c r="J142" s="190">
        <f>IF(COUNT(M142:AS142)&gt;1,STDEV(M142:AS142),"")</f>
        <v/>
      </c>
      <c r="K142" s="191">
        <f>IF(COUNT(M142:AS142)&gt;1,STDEV(M142:AS142)/AVERAGE(M142:AS142),"")</f>
        <v/>
      </c>
      <c r="M142" s="192" t="n">
        <v>7980626</v>
      </c>
      <c r="N142" s="192" t="n">
        <v>8093069</v>
      </c>
      <c r="O142" s="192" t="n">
        <v>6545902</v>
      </c>
      <c r="P142" s="192" t="n">
        <v>5189440</v>
      </c>
      <c r="Q142" s="192" t="n">
        <v>3956408</v>
      </c>
      <c r="R142" s="192" t="n">
        <v>2868203</v>
      </c>
      <c r="S142" s="192" t="n">
        <v>1937853</v>
      </c>
      <c r="T142" s="192" t="n">
        <v>1338328</v>
      </c>
      <c r="U142" s="192" t="n">
        <v>1162146</v>
      </c>
      <c r="V142" s="192" t="n">
        <v>745370</v>
      </c>
      <c r="W142" s="192" t="n">
        <v>491194</v>
      </c>
      <c r="X142" s="192" t="n">
        <v>625437</v>
      </c>
      <c r="Y142" s="192" t="n">
        <v>619004</v>
      </c>
      <c r="Z142" s="192" t="n">
        <v>440780</v>
      </c>
      <c r="AA142" s="192" t="n">
        <v>272961</v>
      </c>
      <c r="AB142" s="192" t="n">
        <v>264457</v>
      </c>
      <c r="AC142" s="192" t="n">
        <v>754468</v>
      </c>
      <c r="AD142" s="192" t="n">
        <v>614101</v>
      </c>
      <c r="AE142" s="192" t="n">
        <v>481490</v>
      </c>
      <c r="AF142" s="192" t="n">
        <v>670293</v>
      </c>
      <c r="AG142" s="192" t="n">
        <v>533955</v>
      </c>
      <c r="AH142" s="192" t="n">
        <v>437008</v>
      </c>
      <c r="AI142" s="192" t="n">
        <v>334892</v>
      </c>
      <c r="AJ142" s="192" t="n">
        <v>255672</v>
      </c>
      <c r="AK142" s="192" t="n">
        <v>198449.6</v>
      </c>
      <c r="AL142" s="192" t="n">
        <v>141060.4</v>
      </c>
      <c r="AM142" s="192" t="n">
        <v>98375.39999999999</v>
      </c>
      <c r="AN142" s="192" t="n">
        <v>68900</v>
      </c>
      <c r="AO142" s="192" t="n">
        <v>47000</v>
      </c>
      <c r="AP142" s="192" t="n">
        <v>31800</v>
      </c>
      <c r="AQ142" s="192" t="n">
        <v>19800</v>
      </c>
      <c r="AR142" s="192" t="n">
        <v>8600</v>
      </c>
      <c r="AS142" s="192" t="n">
        <v>1700</v>
      </c>
      <c r="AT142" s="182" t="n"/>
      <c r="AU142" s="176" t="n"/>
      <c r="AV142" s="176" t="n"/>
      <c r="AW142" s="176" t="n"/>
      <c r="AX142" s="176" t="n"/>
      <c r="AY142" s="176" t="n"/>
      <c r="AZ142" s="176" t="n"/>
      <c r="BA142" s="176" t="n"/>
      <c r="BB142" s="176" t="n"/>
      <c r="BC142" s="176" t="n"/>
      <c r="BD142" s="176" t="n"/>
      <c r="BE142" s="176" t="n"/>
      <c r="BF142" s="176" t="n"/>
      <c r="BG142" s="176" t="n"/>
      <c r="BH142" s="176" t="n"/>
      <c r="BI142" s="176" t="n"/>
      <c r="BJ142" s="176" t="n"/>
      <c r="BK142" s="176" t="n"/>
      <c r="BL142" s="176" t="n"/>
      <c r="BM142" s="176" t="n"/>
      <c r="BN142" s="176" t="n"/>
      <c r="BO142" s="176" t="n"/>
      <c r="BP142" s="176" t="n"/>
      <c r="BQ142" s="176" t="n"/>
      <c r="BR142" s="176" t="n"/>
    </row>
    <row r="143" ht="15" customHeight="1" s="392">
      <c r="A143" s="176" t="n"/>
      <c r="B143" s="180" t="n"/>
      <c r="C143" s="183" t="inlineStr">
        <is>
          <t xml:space="preserve">        Reserves/Accumulated Comprehensive Income/Losses</t>
        </is>
      </c>
      <c r="D143" s="185" t="n"/>
      <c r="E143" s="185" t="n"/>
      <c r="F143" s="185" t="n"/>
      <c r="G143" s="185" t="n"/>
      <c r="H143" s="185" t="n"/>
      <c r="I143" s="185" t="n"/>
      <c r="J143" s="185" t="n"/>
      <c r="K143" s="185" t="n"/>
      <c r="AT143" s="182" t="n"/>
      <c r="AU143" s="176" t="n"/>
      <c r="AV143" s="176" t="n"/>
      <c r="AW143" s="176" t="n"/>
      <c r="AX143" s="176" t="n"/>
      <c r="AY143" s="176" t="n"/>
      <c r="AZ143" s="176" t="n"/>
      <c r="BA143" s="176" t="n"/>
      <c r="BB143" s="176" t="n"/>
      <c r="BC143" s="176" t="n"/>
      <c r="BD143" s="176" t="n"/>
      <c r="BE143" s="176" t="n"/>
      <c r="BF143" s="176" t="n"/>
      <c r="BG143" s="176" t="n"/>
      <c r="BH143" s="176" t="n"/>
      <c r="BI143" s="176" t="n"/>
      <c r="BJ143" s="176" t="n"/>
      <c r="BK143" s="176" t="n"/>
      <c r="BL143" s="176" t="n"/>
      <c r="BM143" s="176" t="n"/>
      <c r="BN143" s="176" t="n"/>
      <c r="BO143" s="176" t="n"/>
      <c r="BP143" s="176" t="n"/>
      <c r="BQ143" s="176" t="n"/>
      <c r="BR143" s="176" t="n"/>
    </row>
    <row r="144" ht="15" customHeight="1" s="392">
      <c r="A144" s="176" t="n"/>
      <c r="B144" s="180" t="n"/>
      <c r="C144" s="183" t="inlineStr">
        <is>
          <t xml:space="preserve">            Other Reserves/Accum. Comp. Inc</t>
        </is>
      </c>
      <c r="D144" s="190">
        <f>IF(COUNT(M144:AS144)&gt;0,MEDIAN(M144:AS144),"")</f>
        <v/>
      </c>
      <c r="E144" s="190">
        <f>IF(COUNT(M144:AS144)&gt;0,AVERAGE(M144:AS144),"")</f>
        <v/>
      </c>
      <c r="F144" s="190">
        <f>IF(COUNT(M144:AS144)&gt;0,MIN(M144:AS144),"")</f>
        <v/>
      </c>
      <c r="G144" s="190">
        <f>IF(COUNT(M144:AS144)&gt;0,MAX(M144:AS144),"")</f>
        <v/>
      </c>
      <c r="H144" s="190">
        <f>IF(COUNT(M144:AS144)&gt;0,QUARTILE(M144:AS144,1),"")</f>
        <v/>
      </c>
      <c r="I144" s="190">
        <f>IF(COUNT(M144:AS144)&gt;0,QUARTILE(M144:AS144,3),"")</f>
        <v/>
      </c>
      <c r="J144" s="190">
        <f>IF(COUNT(M144:AS144)&gt;1,STDEV(M144:AS144),"")</f>
        <v/>
      </c>
      <c r="K144" s="191">
        <f>IF(COUNT(M144:AS144)&gt;1,STDEV(M144:AS144)/AVERAGE(M144:AS144),"")</f>
        <v/>
      </c>
      <c r="M144" s="192" t="n">
        <v>-109778</v>
      </c>
      <c r="N144" s="192" t="n">
        <v>-120283</v>
      </c>
      <c r="O144" s="192" t="n">
        <v>-142972</v>
      </c>
      <c r="P144" s="192" t="n">
        <v>-141006</v>
      </c>
      <c r="Q144" s="192" t="n">
        <v>-169365</v>
      </c>
      <c r="R144" s="192" t="n">
        <v>-100860</v>
      </c>
      <c r="S144" s="192" t="n">
        <v>-121088</v>
      </c>
      <c r="T144" s="192" t="n">
        <v>-132529</v>
      </c>
      <c r="U144" s="192" t="n">
        <v>-107928</v>
      </c>
      <c r="V144" s="192" t="n">
        <v>-100676</v>
      </c>
      <c r="W144" s="192" t="n">
        <v>-109194</v>
      </c>
      <c r="X144" s="192" t="n">
        <v>-68793</v>
      </c>
      <c r="Y144" s="192" t="n">
        <v>-20060</v>
      </c>
      <c r="Z144" s="192" t="n">
        <v>-47161</v>
      </c>
      <c r="AA144" s="192" t="n">
        <v>-38043</v>
      </c>
      <c r="AB144" s="192" t="n"/>
      <c r="AC144" s="192" t="n"/>
      <c r="AD144" s="192" t="n"/>
      <c r="AE144" s="192" t="n"/>
      <c r="AF144" s="192" t="n"/>
      <c r="AG144" s="192" t="n"/>
      <c r="AH144" s="192" t="n"/>
      <c r="AI144" s="192" t="n"/>
      <c r="AJ144" s="192" t="n"/>
      <c r="AK144" s="192" t="n"/>
      <c r="AL144" s="192" t="n"/>
      <c r="AM144" s="192" t="n"/>
      <c r="AN144" s="192" t="n"/>
      <c r="AO144" s="192" t="n"/>
      <c r="AP144" s="192" t="n"/>
      <c r="AQ144" s="192" t="n"/>
      <c r="AR144" s="192" t="n"/>
      <c r="AS144" s="192" t="n"/>
      <c r="AT144" s="182" t="n"/>
      <c r="AU144" s="176" t="n"/>
      <c r="AV144" s="176" t="n"/>
      <c r="AW144" s="176" t="n"/>
      <c r="AX144" s="176" t="n"/>
      <c r="AY144" s="176" t="n"/>
      <c r="AZ144" s="176" t="n"/>
      <c r="BA144" s="176" t="n"/>
      <c r="BB144" s="176" t="n"/>
      <c r="BC144" s="176" t="n"/>
      <c r="BD144" s="176" t="n"/>
      <c r="BE144" s="176" t="n"/>
      <c r="BF144" s="176" t="n"/>
      <c r="BG144" s="176" t="n"/>
      <c r="BH144" s="176" t="n"/>
      <c r="BI144" s="176" t="n"/>
      <c r="BJ144" s="176" t="n"/>
      <c r="BK144" s="176" t="n"/>
      <c r="BL144" s="176" t="n"/>
      <c r="BM144" s="176" t="n"/>
      <c r="BN144" s="176" t="n"/>
      <c r="BO144" s="176" t="n"/>
      <c r="BP144" s="176" t="n"/>
      <c r="BQ144" s="176" t="n"/>
      <c r="BR144" s="176" t="n"/>
    </row>
    <row r="145" ht="15" customHeight="1" s="392">
      <c r="A145" s="176" t="n"/>
      <c r="B145" s="180" t="n"/>
      <c r="C145" s="187" t="inlineStr">
        <is>
          <t xml:space="preserve">        Total Reserves/Accumulated Comprehensive Income/Losses</t>
        </is>
      </c>
      <c r="D145" s="193">
        <f>IF(COUNT(M145:AS145)&gt;0,MEDIAN(M145:AS145),"")</f>
        <v/>
      </c>
      <c r="E145" s="193">
        <f>IF(COUNT(M145:AS145)&gt;0,AVERAGE(M145:AS145),"")</f>
        <v/>
      </c>
      <c r="F145" s="193">
        <f>IF(COUNT(M145:AS145)&gt;0,MIN(M145:AS145),"")</f>
        <v/>
      </c>
      <c r="G145" s="193">
        <f>IF(COUNT(M145:AS145)&gt;0,MAX(M145:AS145),"")</f>
        <v/>
      </c>
      <c r="H145" s="193">
        <f>IF(COUNT(M145:AS145)&gt;0,QUARTILE(M145:AS145,1),"")</f>
        <v/>
      </c>
      <c r="I145" s="193">
        <f>IF(COUNT(M145:AS145)&gt;0,QUARTILE(M145:AS145,3),"")</f>
        <v/>
      </c>
      <c r="J145" s="193">
        <f>IF(COUNT(M145:AS145)&gt;1,STDEV(M145:AS145),"")</f>
        <v/>
      </c>
      <c r="K145" s="194">
        <f>IF(COUNT(M145:AS145)&gt;1,STDEV(M145:AS145)/AVERAGE(M145:AS145),"")</f>
        <v/>
      </c>
      <c r="L145" s="195" t="n"/>
      <c r="M145" s="196" t="n">
        <v>-109778</v>
      </c>
      <c r="N145" s="196" t="n">
        <v>-120283</v>
      </c>
      <c r="O145" s="196" t="n">
        <v>-142972</v>
      </c>
      <c r="P145" s="196" t="n">
        <v>-141006</v>
      </c>
      <c r="Q145" s="196" t="n">
        <v>-169365</v>
      </c>
      <c r="R145" s="196" t="n">
        <v>-100860</v>
      </c>
      <c r="S145" s="196" t="n">
        <v>-121088</v>
      </c>
      <c r="T145" s="196" t="n">
        <v>-132529</v>
      </c>
      <c r="U145" s="196" t="n">
        <v>-107928</v>
      </c>
      <c r="V145" s="196" t="n">
        <v>-100676</v>
      </c>
      <c r="W145" s="196" t="n">
        <v>-109194</v>
      </c>
      <c r="X145" s="196" t="n">
        <v>-68793</v>
      </c>
      <c r="Y145" s="196" t="n">
        <v>-20060</v>
      </c>
      <c r="Z145" s="196" t="n">
        <v>-47161</v>
      </c>
      <c r="AA145" s="196" t="n">
        <v>-38043</v>
      </c>
      <c r="AB145" s="196" t="n">
        <v>-23225</v>
      </c>
      <c r="AC145" s="196" t="n">
        <v>-32741</v>
      </c>
      <c r="AD145" s="196" t="n">
        <v>-27082</v>
      </c>
      <c r="AE145" s="196" t="n">
        <v>833</v>
      </c>
      <c r="AF145" s="196" t="n">
        <v>4447</v>
      </c>
      <c r="AG145" s="196" t="n">
        <v>-37</v>
      </c>
      <c r="AH145" s="196" t="n">
        <v>354</v>
      </c>
      <c r="AI145" s="196" t="n">
        <v>95</v>
      </c>
      <c r="AJ145" s="196" t="n"/>
      <c r="AK145" s="196" t="n"/>
      <c r="AL145" s="196" t="n"/>
      <c r="AM145" s="196" t="n"/>
      <c r="AN145" s="196" t="n"/>
      <c r="AO145" s="196" t="n"/>
      <c r="AP145" s="196" t="n"/>
      <c r="AQ145" s="196" t="n"/>
      <c r="AR145" s="196" t="n"/>
      <c r="AS145" s="196" t="n"/>
      <c r="AT145" s="182" t="n"/>
      <c r="AU145" s="176" t="n"/>
      <c r="AV145" s="176" t="n"/>
      <c r="AW145" s="176" t="n"/>
      <c r="AX145" s="176" t="n"/>
      <c r="AY145" s="176" t="n"/>
      <c r="AZ145" s="176" t="n"/>
      <c r="BA145" s="176" t="n"/>
      <c r="BB145" s="176" t="n"/>
      <c r="BC145" s="176" t="n"/>
      <c r="BD145" s="176" t="n"/>
      <c r="BE145" s="176" t="n"/>
      <c r="BF145" s="176" t="n"/>
      <c r="BG145" s="176" t="n"/>
      <c r="BH145" s="176" t="n"/>
      <c r="BI145" s="176" t="n"/>
      <c r="BJ145" s="176" t="n"/>
      <c r="BK145" s="176" t="n"/>
      <c r="BL145" s="176" t="n"/>
      <c r="BM145" s="176" t="n"/>
      <c r="BN145" s="176" t="n"/>
      <c r="BO145" s="176" t="n"/>
      <c r="BP145" s="176" t="n"/>
      <c r="BQ145" s="176" t="n"/>
      <c r="BR145" s="176" t="n"/>
    </row>
    <row r="146" ht="15" customHeight="1" s="392">
      <c r="A146" s="176" t="n"/>
      <c r="B146" s="180" t="n"/>
      <c r="C146" s="183" t="inlineStr">
        <is>
          <t xml:space="preserve">        Other Equity Interest</t>
        </is>
      </c>
      <c r="D146" s="190">
        <f>IF(COUNT(M146:AS146)&gt;0,MEDIAN(M146:AS146),"")</f>
        <v/>
      </c>
      <c r="E146" s="190">
        <f>IF(COUNT(M146:AS146)&gt;0,AVERAGE(M146:AS146),"")</f>
        <v/>
      </c>
      <c r="F146" s="190">
        <f>IF(COUNT(M146:AS146)&gt;0,MIN(M146:AS146),"")</f>
        <v/>
      </c>
      <c r="G146" s="190">
        <f>IF(COUNT(M146:AS146)&gt;0,MAX(M146:AS146),"")</f>
        <v/>
      </c>
      <c r="H146" s="190">
        <f>IF(COUNT(M146:AS146)&gt;0,QUARTILE(M146:AS146,1),"")</f>
        <v/>
      </c>
      <c r="I146" s="190">
        <f>IF(COUNT(M146:AS146)&gt;0,QUARTILE(M146:AS146,3),"")</f>
        <v/>
      </c>
      <c r="J146" s="190">
        <f>IF(COUNT(M146:AS146)&gt;1,STDEV(M146:AS146),"")</f>
        <v/>
      </c>
      <c r="K146" s="191">
        <f>IF(COUNT(M146:AS146)&gt;1,STDEV(M146:AS146)/AVERAGE(M146:AS146),"")</f>
        <v/>
      </c>
      <c r="M146" s="192" t="n"/>
      <c r="N146" s="192" t="n"/>
      <c r="O146" s="192" t="n"/>
      <c r="P146" s="192" t="n"/>
      <c r="Q146" s="192" t="n"/>
      <c r="R146" s="192" t="n"/>
      <c r="S146" s="192" t="n"/>
      <c r="T146" s="192" t="n"/>
      <c r="U146" s="192" t="n"/>
      <c r="V146" s="192" t="n"/>
      <c r="W146" s="192" t="n"/>
      <c r="X146" s="192" t="n"/>
      <c r="Y146" s="192" t="n"/>
      <c r="Z146" s="192" t="n"/>
      <c r="AA146" s="192" t="n"/>
      <c r="AB146" s="192" t="n"/>
      <c r="AC146" s="192" t="n"/>
      <c r="AD146" s="192" t="n"/>
      <c r="AE146" s="192" t="n"/>
      <c r="AF146" s="192" t="n"/>
      <c r="AG146" s="192" t="n"/>
      <c r="AH146" s="192" t="n"/>
      <c r="AI146" s="192" t="n"/>
      <c r="AJ146" s="192" t="n"/>
      <c r="AK146" s="192" t="n"/>
      <c r="AL146" s="192" t="n"/>
      <c r="AM146" s="192" t="n"/>
      <c r="AN146" s="192" t="n">
        <v>100</v>
      </c>
      <c r="AO146" s="192" t="n">
        <v>113200</v>
      </c>
      <c r="AP146" s="192" t="n">
        <v>111000</v>
      </c>
      <c r="AQ146" s="192" t="n">
        <v>106400</v>
      </c>
      <c r="AR146" s="192" t="n">
        <v>104500</v>
      </c>
      <c r="AS146" s="192" t="n">
        <v>47600</v>
      </c>
      <c r="AT146" s="182" t="n"/>
      <c r="AU146" s="176" t="n"/>
      <c r="AV146" s="176" t="n"/>
      <c r="AW146" s="176" t="n"/>
      <c r="AX146" s="176" t="n"/>
      <c r="AY146" s="176" t="n"/>
      <c r="AZ146" s="176" t="n"/>
      <c r="BA146" s="176" t="n"/>
      <c r="BB146" s="176" t="n"/>
      <c r="BC146" s="176" t="n"/>
      <c r="BD146" s="176" t="n"/>
      <c r="BE146" s="176" t="n"/>
      <c r="BF146" s="176" t="n"/>
      <c r="BG146" s="176" t="n"/>
      <c r="BH146" s="176" t="n"/>
      <c r="BI146" s="176" t="n"/>
      <c r="BJ146" s="176" t="n"/>
      <c r="BK146" s="176" t="n"/>
      <c r="BL146" s="176" t="n"/>
      <c r="BM146" s="176" t="n"/>
      <c r="BN146" s="176" t="n"/>
      <c r="BO146" s="176" t="n"/>
      <c r="BP146" s="176" t="n"/>
      <c r="BQ146" s="176" t="n"/>
      <c r="BR146" s="176" t="n"/>
    </row>
    <row r="147" ht="15" customHeight="1" s="392">
      <c r="A147" s="176" t="n"/>
      <c r="B147" s="180" t="n"/>
      <c r="C147" s="187" t="inlineStr">
        <is>
          <t xml:space="preserve">    Total Equity Attributable to Parent Stockholders</t>
        </is>
      </c>
      <c r="D147" s="193">
        <f>IF(COUNT(M147:AS147)&gt;0,MEDIAN(M147:AS147),"")</f>
        <v/>
      </c>
      <c r="E147" s="193">
        <f>IF(COUNT(M147:AS147)&gt;0,AVERAGE(M147:AS147),"")</f>
        <v/>
      </c>
      <c r="F147" s="193">
        <f>IF(COUNT(M147:AS147)&gt;0,MIN(M147:AS147),"")</f>
        <v/>
      </c>
      <c r="G147" s="193">
        <f>IF(COUNT(M147:AS147)&gt;0,MAX(M147:AS147),"")</f>
        <v/>
      </c>
      <c r="H147" s="193">
        <f>IF(COUNT(M147:AS147)&gt;0,QUARTILE(M147:AS147,1),"")</f>
        <v/>
      </c>
      <c r="I147" s="193">
        <f>IF(COUNT(M147:AS147)&gt;0,QUARTILE(M147:AS147,3),"")</f>
        <v/>
      </c>
      <c r="J147" s="193">
        <f>IF(COUNT(M147:AS147)&gt;1,STDEV(M147:AS147),"")</f>
        <v/>
      </c>
      <c r="K147" s="194">
        <f>IF(COUNT(M147:AS147)&gt;1,STDEV(M147:AS147)/AVERAGE(M147:AS147),"")</f>
        <v/>
      </c>
      <c r="L147" s="195" t="n"/>
      <c r="M147" s="196" t="n">
        <v>9097295</v>
      </c>
      <c r="N147" s="196" t="n">
        <v>9187033</v>
      </c>
      <c r="O147" s="196" t="n">
        <v>7524011</v>
      </c>
      <c r="P147" s="196" t="n">
        <v>5987440</v>
      </c>
      <c r="Q147" s="196" t="n">
        <v>4625599</v>
      </c>
      <c r="R147" s="196" t="n">
        <v>3529201</v>
      </c>
      <c r="S147" s="196" t="n">
        <v>2489516</v>
      </c>
      <c r="T147" s="196" t="n">
        <v>1778381</v>
      </c>
      <c r="U147" s="196" t="n">
        <v>1581099</v>
      </c>
      <c r="V147" s="196" t="n">
        <v>1098066</v>
      </c>
      <c r="W147" s="196" t="n">
        <v>774456</v>
      </c>
      <c r="X147" s="196" t="n">
        <v>964464</v>
      </c>
      <c r="Y147" s="196" t="n">
        <v>1003499</v>
      </c>
      <c r="Z147" s="196" t="n">
        <v>762401</v>
      </c>
      <c r="AA147" s="196" t="n">
        <v>561117</v>
      </c>
      <c r="AB147" s="196" t="n">
        <v>555172</v>
      </c>
      <c r="AC147" s="196" t="n">
        <v>1087234</v>
      </c>
      <c r="AD147" s="196" t="n">
        <v>921459</v>
      </c>
      <c r="AE147" s="196" t="n">
        <v>798996</v>
      </c>
      <c r="AF147" s="196" t="n">
        <v>880866</v>
      </c>
      <c r="AG147" s="196" t="n">
        <v>809970</v>
      </c>
      <c r="AH147" s="196" t="n">
        <v>709379</v>
      </c>
      <c r="AI147" s="196" t="n">
        <v>602263</v>
      </c>
      <c r="AJ147" s="196" t="n">
        <v>525640</v>
      </c>
      <c r="AK147" s="196" t="n">
        <v>486217</v>
      </c>
      <c r="AL147" s="196" t="n">
        <v>269152.4</v>
      </c>
      <c r="AM147" s="196" t="n">
        <v>219890.4</v>
      </c>
      <c r="AN147" s="196" t="n">
        <v>184000</v>
      </c>
      <c r="AO147" s="196" t="n">
        <v>160200</v>
      </c>
      <c r="AP147" s="196" t="n">
        <v>142800</v>
      </c>
      <c r="AQ147" s="196" t="n">
        <v>126200</v>
      </c>
      <c r="AR147" s="196" t="n">
        <v>113100</v>
      </c>
      <c r="AS147" s="196" t="n">
        <v>49300</v>
      </c>
      <c r="AT147" s="182" t="n"/>
      <c r="AU147" s="176" t="n"/>
      <c r="AV147" s="176" t="n"/>
      <c r="AW147" s="176" t="n"/>
      <c r="AX147" s="176" t="n"/>
      <c r="AY147" s="176" t="n"/>
      <c r="AZ147" s="176" t="n"/>
      <c r="BA147" s="176" t="n"/>
      <c r="BB147" s="176" t="n"/>
      <c r="BC147" s="176" t="n"/>
      <c r="BD147" s="176" t="n"/>
      <c r="BE147" s="176" t="n"/>
      <c r="BF147" s="176" t="n"/>
      <c r="BG147" s="176" t="n"/>
      <c r="BH147" s="176" t="n"/>
      <c r="BI147" s="176" t="n"/>
      <c r="BJ147" s="176" t="n"/>
      <c r="BK147" s="176" t="n"/>
      <c r="BL147" s="176" t="n"/>
      <c r="BM147" s="176" t="n"/>
      <c r="BN147" s="176" t="n"/>
      <c r="BO147" s="176" t="n"/>
      <c r="BP147" s="176" t="n"/>
      <c r="BQ147" s="176" t="n"/>
      <c r="BR147" s="176" t="n"/>
    </row>
    <row r="148" ht="15" customHeight="1" s="392">
      <c r="A148" s="176" t="n"/>
      <c r="B148" s="180" t="n"/>
      <c r="C148" s="183" t="inlineStr">
        <is>
          <t xml:space="preserve">    Non-Controlling/Minority Interests</t>
        </is>
      </c>
      <c r="D148" s="190">
        <f>IF(COUNT(M148:AS148)&gt;0,MEDIAN(M148:AS148),"")</f>
        <v/>
      </c>
      <c r="E148" s="190">
        <f>IF(COUNT(M148:AS148)&gt;0,AVERAGE(M148:AS148),"")</f>
        <v/>
      </c>
      <c r="F148" s="190">
        <f>IF(COUNT(M148:AS148)&gt;0,MIN(M148:AS148),"")</f>
        <v/>
      </c>
      <c r="G148" s="190">
        <f>IF(COUNT(M148:AS148)&gt;0,MAX(M148:AS148),"")</f>
        <v/>
      </c>
      <c r="H148" s="190">
        <f>IF(COUNT(M148:AS148)&gt;0,QUARTILE(M148:AS148,1),"")</f>
        <v/>
      </c>
      <c r="I148" s="190">
        <f>IF(COUNT(M148:AS148)&gt;0,QUARTILE(M148:AS148,3),"")</f>
        <v/>
      </c>
      <c r="J148" s="190">
        <f>IF(COUNT(M148:AS148)&gt;1,STDEV(M148:AS148),"")</f>
        <v/>
      </c>
      <c r="K148" s="191">
        <f>IF(COUNT(M148:AS148)&gt;1,STDEV(M148:AS148)/AVERAGE(M148:AS148),"")</f>
        <v/>
      </c>
      <c r="M148" s="192" t="n">
        <v>16585</v>
      </c>
      <c r="N148" s="192" t="n">
        <v>20458</v>
      </c>
      <c r="O148" s="192" t="n">
        <v>24544</v>
      </c>
      <c r="P148" s="192" t="n">
        <v>0</v>
      </c>
      <c r="Q148" s="192" t="n"/>
      <c r="R148" s="192" t="n"/>
      <c r="S148" s="192" t="n"/>
      <c r="T148" s="192" t="n"/>
      <c r="U148" s="192" t="n"/>
      <c r="V148" s="192" t="n">
        <v>534</v>
      </c>
      <c r="W148" s="192" t="n">
        <v>0</v>
      </c>
      <c r="X148" s="192" t="n"/>
      <c r="Y148" s="192" t="n"/>
      <c r="Z148" s="192" t="n"/>
      <c r="AA148" s="192" t="n"/>
      <c r="AB148" s="192" t="n"/>
      <c r="AC148" s="192" t="n"/>
      <c r="AD148" s="192" t="n"/>
      <c r="AE148" s="192" t="n"/>
      <c r="AF148" s="192" t="n"/>
      <c r="AG148" s="192" t="n"/>
      <c r="AH148" s="192" t="n"/>
      <c r="AI148" s="192" t="n"/>
      <c r="AJ148" s="192" t="n"/>
      <c r="AK148" s="192" t="n"/>
      <c r="AL148" s="192" t="n"/>
      <c r="AM148" s="192" t="n"/>
      <c r="AN148" s="192" t="n"/>
      <c r="AO148" s="192" t="n"/>
      <c r="AP148" s="192" t="n"/>
      <c r="AQ148" s="192" t="n"/>
      <c r="AR148" s="192" t="n"/>
      <c r="AS148" s="192" t="n"/>
      <c r="AT148" s="182" t="n"/>
      <c r="AU148" s="176" t="n"/>
      <c r="AV148" s="176" t="n"/>
      <c r="AW148" s="176" t="n"/>
      <c r="AX148" s="176" t="n"/>
      <c r="AY148" s="176" t="n"/>
      <c r="AZ148" s="176" t="n"/>
      <c r="BA148" s="176" t="n"/>
      <c r="BB148" s="176" t="n"/>
      <c r="BC148" s="176" t="n"/>
      <c r="BD148" s="176" t="n"/>
      <c r="BE148" s="176" t="n"/>
      <c r="BF148" s="176" t="n"/>
      <c r="BG148" s="176" t="n"/>
      <c r="BH148" s="176" t="n"/>
      <c r="BI148" s="176" t="n"/>
      <c r="BJ148" s="176" t="n"/>
      <c r="BK148" s="176" t="n"/>
      <c r="BL148" s="176" t="n"/>
      <c r="BM148" s="176" t="n"/>
      <c r="BN148" s="176" t="n"/>
      <c r="BO148" s="176" t="n"/>
      <c r="BP148" s="176" t="n"/>
      <c r="BQ148" s="176" t="n"/>
      <c r="BR148" s="176" t="n"/>
    </row>
    <row r="149" ht="15" customHeight="1" s="392">
      <c r="A149" s="176" t="n"/>
      <c r="B149" s="180" t="n"/>
      <c r="C149" s="187" t="inlineStr">
        <is>
          <t>Total Equity</t>
        </is>
      </c>
      <c r="D149" s="193">
        <f>IF(COUNT(M149:AS149)&gt;0,MEDIAN(M149:AS149),"")</f>
        <v/>
      </c>
      <c r="E149" s="193">
        <f>IF(COUNT(M149:AS149)&gt;0,AVERAGE(M149:AS149),"")</f>
        <v/>
      </c>
      <c r="F149" s="193">
        <f>IF(COUNT(M149:AS149)&gt;0,MIN(M149:AS149),"")</f>
        <v/>
      </c>
      <c r="G149" s="193">
        <f>IF(COUNT(M149:AS149)&gt;0,MAX(M149:AS149),"")</f>
        <v/>
      </c>
      <c r="H149" s="193">
        <f>IF(COUNT(M149:AS149)&gt;0,QUARTILE(M149:AS149,1),"")</f>
        <v/>
      </c>
      <c r="I149" s="193">
        <f>IF(COUNT(M149:AS149)&gt;0,QUARTILE(M149:AS149,3),"")</f>
        <v/>
      </c>
      <c r="J149" s="193">
        <f>IF(COUNT(M149:AS149)&gt;1,STDEV(M149:AS149),"")</f>
        <v/>
      </c>
      <c r="K149" s="194">
        <f>IF(COUNT(M149:AS149)&gt;1,STDEV(M149:AS149)/AVERAGE(M149:AS149),"")</f>
        <v/>
      </c>
      <c r="L149" s="195" t="n"/>
      <c r="M149" s="196" t="n">
        <v>9113880</v>
      </c>
      <c r="N149" s="196" t="n">
        <v>9207491</v>
      </c>
      <c r="O149" s="196" t="n">
        <v>7548555</v>
      </c>
      <c r="P149" s="196" t="n">
        <v>5987440</v>
      </c>
      <c r="Q149" s="196" t="n">
        <v>4625599</v>
      </c>
      <c r="R149" s="196" t="n">
        <v>3529201</v>
      </c>
      <c r="S149" s="196" t="n">
        <v>2489516</v>
      </c>
      <c r="T149" s="196" t="n">
        <v>1778381</v>
      </c>
      <c r="U149" s="196" t="n">
        <v>1581099</v>
      </c>
      <c r="V149" s="196" t="n">
        <v>1098600</v>
      </c>
      <c r="W149" s="196" t="n">
        <v>774456</v>
      </c>
      <c r="X149" s="196" t="n">
        <v>964464</v>
      </c>
      <c r="Y149" s="196" t="n">
        <v>1003499</v>
      </c>
      <c r="Z149" s="196" t="n">
        <v>762401</v>
      </c>
      <c r="AA149" s="196" t="n">
        <v>561117</v>
      </c>
      <c r="AB149" s="196" t="n">
        <v>555172</v>
      </c>
      <c r="AC149" s="196" t="n">
        <v>1087234</v>
      </c>
      <c r="AD149" s="196" t="n">
        <v>921459</v>
      </c>
      <c r="AE149" s="196" t="n">
        <v>798996</v>
      </c>
      <c r="AF149" s="196" t="n">
        <v>880866</v>
      </c>
      <c r="AG149" s="196" t="n">
        <v>809970</v>
      </c>
      <c r="AH149" s="196" t="n">
        <v>709379</v>
      </c>
      <c r="AI149" s="196" t="n">
        <v>602263</v>
      </c>
      <c r="AJ149" s="196" t="n">
        <v>525640</v>
      </c>
      <c r="AK149" s="196" t="n">
        <v>486217</v>
      </c>
      <c r="AL149" s="196" t="n">
        <v>269152.4</v>
      </c>
      <c r="AM149" s="196" t="n">
        <v>219890.4</v>
      </c>
      <c r="AN149" s="196" t="n">
        <v>184000</v>
      </c>
      <c r="AO149" s="196" t="n">
        <v>160200</v>
      </c>
      <c r="AP149" s="196" t="n">
        <v>142800</v>
      </c>
      <c r="AQ149" s="196" t="n">
        <v>126200</v>
      </c>
      <c r="AR149" s="196" t="n">
        <v>113100</v>
      </c>
      <c r="AS149" s="196" t="n">
        <v>49300</v>
      </c>
      <c r="AT149" s="182" t="n"/>
      <c r="AU149" s="176" t="n"/>
      <c r="AV149" s="176" t="n"/>
      <c r="AW149" s="176" t="n"/>
      <c r="AX149" s="176" t="n"/>
      <c r="AY149" s="176" t="n"/>
      <c r="AZ149" s="176" t="n"/>
      <c r="BA149" s="176" t="n"/>
      <c r="BB149" s="176" t="n"/>
      <c r="BC149" s="176" t="n"/>
      <c r="BD149" s="176" t="n"/>
      <c r="BE149" s="176" t="n"/>
      <c r="BF149" s="176" t="n"/>
      <c r="BG149" s="176" t="n"/>
      <c r="BH149" s="176" t="n"/>
      <c r="BI149" s="176" t="n"/>
      <c r="BJ149" s="176" t="n"/>
      <c r="BK149" s="176" t="n"/>
      <c r="BL149" s="176" t="n"/>
      <c r="BM149" s="176" t="n"/>
      <c r="BN149" s="176" t="n"/>
      <c r="BO149" s="176" t="n"/>
      <c r="BP149" s="176" t="n"/>
      <c r="BQ149" s="176" t="n"/>
      <c r="BR149" s="176" t="n"/>
    </row>
    <row r="150" ht="15" customHeight="1" s="392">
      <c r="A150" s="176" t="n"/>
      <c r="B150" s="180" t="n"/>
      <c r="C150" s="189" t="inlineStr">
        <is>
          <t>Balance Sheet Supplemental Section</t>
        </is>
      </c>
      <c r="D150" s="185" t="n"/>
      <c r="E150" s="185" t="n"/>
      <c r="F150" s="185" t="n"/>
      <c r="G150" s="185" t="n"/>
      <c r="H150" s="185" t="n"/>
      <c r="I150" s="185" t="n"/>
      <c r="J150" s="185" t="n"/>
      <c r="K150" s="185" t="n"/>
      <c r="L150" s="185" t="n"/>
      <c r="M150" s="185" t="n"/>
      <c r="N150" s="185" t="n"/>
      <c r="O150" s="185" t="n"/>
      <c r="P150" s="185" t="n"/>
      <c r="Q150" s="185" t="n"/>
      <c r="R150" s="185" t="n"/>
      <c r="S150" s="185" t="n"/>
      <c r="T150" s="185" t="n"/>
      <c r="U150" s="185" t="n"/>
      <c r="V150" s="185" t="n"/>
      <c r="W150" s="185" t="n"/>
      <c r="X150" s="185" t="n"/>
      <c r="Y150" s="185" t="n"/>
      <c r="Z150" s="185" t="n"/>
      <c r="AA150" s="185" t="n"/>
      <c r="AB150" s="185" t="n"/>
      <c r="AC150" s="185" t="n"/>
      <c r="AD150" s="185" t="n"/>
      <c r="AE150" s="185" t="n"/>
      <c r="AF150" s="185" t="n"/>
      <c r="AG150" s="185" t="n"/>
      <c r="AH150" s="185" t="n"/>
      <c r="AI150" s="185" t="n"/>
      <c r="AJ150" s="185" t="n"/>
      <c r="AK150" s="185" t="n"/>
      <c r="AL150" s="185" t="n"/>
      <c r="AM150" s="185" t="n"/>
      <c r="AN150" s="185" t="n"/>
      <c r="AO150" s="185" t="n"/>
      <c r="AP150" s="185" t="n"/>
      <c r="AQ150" s="185" t="n"/>
      <c r="AR150" s="185" t="n"/>
      <c r="AS150" s="185" t="n"/>
      <c r="AT150" s="182" t="n"/>
      <c r="AU150" s="176" t="n"/>
      <c r="AV150" s="176" t="n"/>
      <c r="AW150" s="176" t="n"/>
      <c r="AX150" s="176" t="n"/>
      <c r="AY150" s="176" t="n"/>
      <c r="AZ150" s="176" t="n"/>
      <c r="BA150" s="176" t="n"/>
      <c r="BB150" s="176" t="n"/>
      <c r="BC150" s="176" t="n"/>
      <c r="BD150" s="176" t="n"/>
      <c r="BE150" s="176" t="n"/>
      <c r="BF150" s="176" t="n"/>
      <c r="BG150" s="176" t="n"/>
      <c r="BH150" s="176" t="n"/>
      <c r="BI150" s="176" t="n"/>
      <c r="BJ150" s="176" t="n"/>
      <c r="BK150" s="176" t="n"/>
      <c r="BL150" s="176" t="n"/>
      <c r="BM150" s="176" t="n"/>
      <c r="BN150" s="176" t="n"/>
      <c r="BO150" s="176" t="n"/>
      <c r="BP150" s="176" t="n"/>
      <c r="BQ150" s="176" t="n"/>
      <c r="BR150" s="176" t="n"/>
    </row>
    <row r="151" ht="15" customHeight="1" s="392">
      <c r="A151" s="176" t="n"/>
      <c r="B151" s="180" t="n"/>
      <c r="C151" s="183" t="inlineStr">
        <is>
          <t xml:space="preserve">    Common Shares Issued</t>
        </is>
      </c>
      <c r="D151" s="185" t="n"/>
      <c r="E151" s="185" t="n"/>
      <c r="F151" s="185" t="n"/>
      <c r="G151" s="185" t="n"/>
      <c r="H151" s="185" t="n"/>
      <c r="I151" s="185" t="n"/>
      <c r="J151" s="185" t="n"/>
      <c r="K151" s="185" t="n"/>
      <c r="AT151" s="182" t="n"/>
      <c r="AU151" s="176" t="n"/>
      <c r="AV151" s="176" t="n"/>
      <c r="AW151" s="176" t="n"/>
      <c r="AX151" s="176" t="n"/>
      <c r="AY151" s="176" t="n"/>
      <c r="AZ151" s="176" t="n"/>
      <c r="BA151" s="176" t="n"/>
      <c r="BB151" s="176" t="n"/>
      <c r="BC151" s="176" t="n"/>
      <c r="BD151" s="176" t="n"/>
      <c r="BE151" s="176" t="n"/>
      <c r="BF151" s="176" t="n"/>
      <c r="BG151" s="176" t="n"/>
      <c r="BH151" s="176" t="n"/>
      <c r="BI151" s="176" t="n"/>
      <c r="BJ151" s="176" t="n"/>
      <c r="BK151" s="176" t="n"/>
      <c r="BL151" s="176" t="n"/>
      <c r="BM151" s="176" t="n"/>
      <c r="BN151" s="176" t="n"/>
      <c r="BO151" s="176" t="n"/>
      <c r="BP151" s="176" t="n"/>
      <c r="BQ151" s="176" t="n"/>
      <c r="BR151" s="176" t="n"/>
    </row>
    <row r="152" ht="15" customHeight="1" s="392">
      <c r="A152" s="176" t="n"/>
      <c r="B152" s="180" t="n"/>
      <c r="C152" s="183" t="inlineStr">
        <is>
          <t xml:space="preserve">        Common Shares Outstanding</t>
        </is>
      </c>
      <c r="D152" s="190">
        <f>IF(COUNT(M152:AS152)&gt;0,MEDIAN(M152:AS152),"")</f>
        <v/>
      </c>
      <c r="E152" s="190">
        <f>IF(COUNT(M152:AS152)&gt;0,AVERAGE(M152:AS152),"")</f>
        <v/>
      </c>
      <c r="F152" s="190">
        <f>IF(COUNT(M152:AS152)&gt;0,MIN(M152:AS152),"")</f>
        <v/>
      </c>
      <c r="G152" s="190">
        <f>IF(COUNT(M152:AS152)&gt;0,MAX(M152:AS152),"")</f>
        <v/>
      </c>
      <c r="H152" s="190">
        <f>IF(COUNT(M152:AS152)&gt;0,QUARTILE(M152:AS152,1),"")</f>
        <v/>
      </c>
      <c r="I152" s="190">
        <f>IF(COUNT(M152:AS152)&gt;0,QUARTILE(M152:AS152,3),"")</f>
        <v/>
      </c>
      <c r="J152" s="190">
        <f>IF(COUNT(M152:AS152)&gt;1,STDEV(M152:AS152),"")</f>
        <v/>
      </c>
      <c r="K152" s="191">
        <f>IF(COUNT(M152:AS152)&gt;1,STDEV(M152:AS152)/AVERAGE(M152:AS152),"")</f>
        <v/>
      </c>
      <c r="M152" s="192" t="n">
        <v>925811482</v>
      </c>
      <c r="N152" s="192" t="n">
        <v>967478690</v>
      </c>
      <c r="O152" s="192" t="n">
        <v>962967011</v>
      </c>
      <c r="P152" s="192" t="n">
        <v>957344162</v>
      </c>
      <c r="Q152" s="192" t="n">
        <v>952163896</v>
      </c>
      <c r="R152" s="192" t="n">
        <v>948057092</v>
      </c>
      <c r="S152" s="192" t="n">
        <v>941261348</v>
      </c>
      <c r="T152" s="192" t="n">
        <v>919161072</v>
      </c>
      <c r="U152" s="192" t="n">
        <v>935595364</v>
      </c>
      <c r="V152" s="192" t="n">
        <v>921953184</v>
      </c>
      <c r="W152" s="192" t="n">
        <v>880976480</v>
      </c>
      <c r="X152" s="192" t="n">
        <v>961250720</v>
      </c>
      <c r="Y152" s="192" t="n">
        <v>1009146928</v>
      </c>
      <c r="Z152" s="192" t="n">
        <v>1003959960</v>
      </c>
      <c r="AA152" s="192" t="n">
        <v>995149600</v>
      </c>
      <c r="AB152" s="192" t="n">
        <v>1056088272</v>
      </c>
      <c r="AC152" s="192" t="n">
        <v>1349809008</v>
      </c>
      <c r="AD152" s="192" t="n">
        <v>1343021024</v>
      </c>
      <c r="AE152" s="192" t="n">
        <v>1332399920</v>
      </c>
      <c r="AF152" s="192" t="n">
        <v>1413717744</v>
      </c>
      <c r="AG152" s="192" t="n">
        <v>1447123328</v>
      </c>
      <c r="AH152" s="192" t="n">
        <v>1445402288</v>
      </c>
      <c r="AI152" s="192" t="n">
        <v>1441213488</v>
      </c>
      <c r="AJ152" s="192" t="n">
        <v>1438134592</v>
      </c>
      <c r="AK152" s="192" t="n">
        <v>1475837744</v>
      </c>
      <c r="AL152" s="192" t="n">
        <v>1328007120</v>
      </c>
      <c r="AM152" s="192" t="n">
        <v>1309274256</v>
      </c>
      <c r="AN152" s="192" t="n">
        <v>1288560000</v>
      </c>
      <c r="AO152" s="192" t="n">
        <v>1274400000</v>
      </c>
      <c r="AP152" s="192" t="n">
        <v>1254816000</v>
      </c>
      <c r="AQ152" s="192" t="n">
        <v>1212929536</v>
      </c>
      <c r="AR152" s="192" t="n">
        <v>1187118448</v>
      </c>
      <c r="AS152" s="192" t="n">
        <v>839868064</v>
      </c>
      <c r="AT152" s="182" t="n"/>
      <c r="AU152" s="176" t="n"/>
      <c r="AV152" s="176" t="n"/>
      <c r="AW152" s="176" t="n"/>
      <c r="AX152" s="176" t="n"/>
      <c r="AY152" s="176" t="n"/>
      <c r="AZ152" s="176" t="n"/>
      <c r="BA152" s="176" t="n"/>
      <c r="BB152" s="176" t="n"/>
      <c r="BC152" s="176" t="n"/>
      <c r="BD152" s="176" t="n"/>
      <c r="BE152" s="176" t="n"/>
      <c r="BF152" s="176" t="n"/>
      <c r="BG152" s="176" t="n"/>
      <c r="BH152" s="176" t="n"/>
      <c r="BI152" s="176" t="n"/>
      <c r="BJ152" s="176" t="n"/>
      <c r="BK152" s="176" t="n"/>
      <c r="BL152" s="176" t="n"/>
      <c r="BM152" s="176" t="n"/>
      <c r="BN152" s="176" t="n"/>
      <c r="BO152" s="176" t="n"/>
      <c r="BP152" s="176" t="n"/>
      <c r="BQ152" s="176" t="n"/>
      <c r="BR152" s="176" t="n"/>
    </row>
    <row r="153" ht="15" customHeight="1" s="392">
      <c r="A153" s="176" t="n"/>
      <c r="B153" s="180" t="n"/>
      <c r="C153" s="187" t="inlineStr">
        <is>
          <t xml:space="preserve">    Total Common Shares Issued</t>
        </is>
      </c>
      <c r="D153" s="193">
        <f>IF(COUNT(M153:AS153)&gt;0,MEDIAN(M153:AS153),"")</f>
        <v/>
      </c>
      <c r="E153" s="193">
        <f>IF(COUNT(M153:AS153)&gt;0,AVERAGE(M153:AS153),"")</f>
        <v/>
      </c>
      <c r="F153" s="193">
        <f>IF(COUNT(M153:AS153)&gt;0,MIN(M153:AS153),"")</f>
        <v/>
      </c>
      <c r="G153" s="193">
        <f>IF(COUNT(M153:AS153)&gt;0,MAX(M153:AS153),"")</f>
        <v/>
      </c>
      <c r="H153" s="193">
        <f>IF(COUNT(M153:AS153)&gt;0,QUARTILE(M153:AS153,1),"")</f>
        <v/>
      </c>
      <c r="I153" s="193">
        <f>IF(COUNT(M153:AS153)&gt;0,QUARTILE(M153:AS153,3),"")</f>
        <v/>
      </c>
      <c r="J153" s="193">
        <f>IF(COUNT(M153:AS153)&gt;1,STDEV(M153:AS153),"")</f>
        <v/>
      </c>
      <c r="K153" s="194">
        <f>IF(COUNT(M153:AS153)&gt;1,STDEV(M153:AS153)/AVERAGE(M153:AS153),"")</f>
        <v/>
      </c>
      <c r="L153" s="195" t="n"/>
      <c r="M153" s="196" t="n">
        <v>925811482</v>
      </c>
      <c r="N153" s="196" t="n">
        <v>967478690</v>
      </c>
      <c r="O153" s="196" t="n">
        <v>962967011</v>
      </c>
      <c r="P153" s="196" t="n">
        <v>957344162</v>
      </c>
      <c r="Q153" s="196" t="n">
        <v>952163896</v>
      </c>
      <c r="R153" s="196" t="n">
        <v>948057092</v>
      </c>
      <c r="S153" s="196" t="n">
        <v>941261348</v>
      </c>
      <c r="T153" s="196" t="n">
        <v>919161072</v>
      </c>
      <c r="U153" s="196" t="n">
        <v>935595364</v>
      </c>
      <c r="V153" s="196" t="n">
        <v>921953184</v>
      </c>
      <c r="W153" s="196" t="n">
        <v>880976480</v>
      </c>
      <c r="X153" s="196" t="n">
        <v>961250720</v>
      </c>
      <c r="Y153" s="196" t="n">
        <v>1009146928</v>
      </c>
      <c r="Z153" s="196" t="n">
        <v>1003959960</v>
      </c>
      <c r="AA153" s="196" t="n">
        <v>995149600</v>
      </c>
      <c r="AB153" s="196" t="n">
        <v>1056088272</v>
      </c>
      <c r="AC153" s="196" t="n">
        <v>1349809008</v>
      </c>
      <c r="AD153" s="196" t="n">
        <v>1343021024</v>
      </c>
      <c r="AE153" s="196" t="n">
        <v>1332399920</v>
      </c>
      <c r="AF153" s="196" t="n">
        <v>1413717744</v>
      </c>
      <c r="AG153" s="196" t="n">
        <v>1447123328</v>
      </c>
      <c r="AH153" s="196" t="n">
        <v>1445402288</v>
      </c>
      <c r="AI153" s="196" t="n">
        <v>1441213488</v>
      </c>
      <c r="AJ153" s="196" t="n">
        <v>1438134592</v>
      </c>
      <c r="AK153" s="196" t="n">
        <v>1475837744</v>
      </c>
      <c r="AL153" s="196" t="n">
        <v>1328007120</v>
      </c>
      <c r="AM153" s="196" t="n">
        <v>1309274256</v>
      </c>
      <c r="AN153" s="196" t="n">
        <v>1288560000</v>
      </c>
      <c r="AO153" s="196" t="n">
        <v>1274400000</v>
      </c>
      <c r="AP153" s="196" t="n">
        <v>1254816000</v>
      </c>
      <c r="AQ153" s="196" t="n">
        <v>1212929536</v>
      </c>
      <c r="AR153" s="196" t="n">
        <v>1187118448</v>
      </c>
      <c r="AS153" s="196" t="n">
        <v>839868064</v>
      </c>
      <c r="AT153" s="182" t="n"/>
      <c r="AU153" s="176" t="n"/>
      <c r="AV153" s="176" t="n"/>
      <c r="AW153" s="176" t="n"/>
      <c r="AX153" s="176" t="n"/>
      <c r="AY153" s="176" t="n"/>
      <c r="AZ153" s="176" t="n"/>
      <c r="BA153" s="176" t="n"/>
      <c r="BB153" s="176" t="n"/>
      <c r="BC153" s="176" t="n"/>
      <c r="BD153" s="176" t="n"/>
      <c r="BE153" s="176" t="n"/>
      <c r="BF153" s="176" t="n"/>
      <c r="BG153" s="176" t="n"/>
      <c r="BH153" s="176" t="n"/>
      <c r="BI153" s="176" t="n"/>
      <c r="BJ153" s="176" t="n"/>
      <c r="BK153" s="176" t="n"/>
      <c r="BL153" s="176" t="n"/>
      <c r="BM153" s="176" t="n"/>
      <c r="BN153" s="176" t="n"/>
      <c r="BO153" s="176" t="n"/>
      <c r="BP153" s="176" t="n"/>
      <c r="BQ153" s="176" t="n"/>
      <c r="BR153" s="176" t="n"/>
    </row>
    <row r="154" ht="15" customHeight="1" s="392">
      <c r="A154" s="176" t="n"/>
      <c r="B154" s="180" t="n"/>
      <c r="C154" s="189" t="inlineStr">
        <is>
          <t>Maturity Schedules</t>
        </is>
      </c>
      <c r="D154" s="185" t="n"/>
      <c r="E154" s="185" t="n"/>
      <c r="F154" s="185" t="n"/>
      <c r="G154" s="185" t="n"/>
      <c r="H154" s="185" t="n"/>
      <c r="I154" s="185" t="n"/>
      <c r="J154" s="185" t="n"/>
      <c r="K154" s="185" t="n"/>
      <c r="L154" s="185" t="n"/>
      <c r="M154" s="185" t="n"/>
      <c r="N154" s="185" t="n"/>
      <c r="O154" s="185" t="n"/>
      <c r="P154" s="185" t="n"/>
      <c r="Q154" s="185" t="n"/>
      <c r="R154" s="185" t="n"/>
      <c r="S154" s="185" t="n"/>
      <c r="T154" s="185" t="n"/>
      <c r="U154" s="185" t="n"/>
      <c r="V154" s="185" t="n"/>
      <c r="W154" s="185" t="n"/>
      <c r="X154" s="185" t="n"/>
      <c r="Y154" s="185" t="n"/>
      <c r="Z154" s="185" t="n"/>
      <c r="AA154" s="185" t="n"/>
      <c r="AB154" s="185" t="n"/>
      <c r="AC154" s="185" t="n"/>
      <c r="AD154" s="185" t="n"/>
      <c r="AE154" s="185" t="n"/>
      <c r="AF154" s="185" t="n"/>
      <c r="AG154" s="185" t="n"/>
      <c r="AH154" s="185" t="n"/>
      <c r="AI154" s="185" t="n"/>
      <c r="AJ154" s="185" t="n"/>
      <c r="AK154" s="185" t="n"/>
      <c r="AL154" s="185" t="n"/>
      <c r="AM154" s="185" t="n"/>
      <c r="AN154" s="185" t="n"/>
      <c r="AO154" s="185" t="n"/>
      <c r="AP154" s="185" t="n"/>
      <c r="AQ154" s="185" t="n"/>
      <c r="AR154" s="185" t="n"/>
      <c r="AS154" s="185" t="n"/>
      <c r="AT154" s="182" t="n"/>
      <c r="AU154" s="176" t="n"/>
      <c r="AV154" s="176" t="n"/>
      <c r="AW154" s="176" t="n"/>
      <c r="AX154" s="176" t="n"/>
      <c r="AY154" s="176" t="n"/>
      <c r="AZ154" s="176" t="n"/>
      <c r="BA154" s="176" t="n"/>
      <c r="BB154" s="176" t="n"/>
      <c r="BC154" s="176" t="n"/>
      <c r="BD154" s="176" t="n"/>
      <c r="BE154" s="176" t="n"/>
      <c r="BF154" s="176" t="n"/>
      <c r="BG154" s="176" t="n"/>
      <c r="BH154" s="176" t="n"/>
      <c r="BI154" s="176" t="n"/>
      <c r="BJ154" s="176" t="n"/>
      <c r="BK154" s="176" t="n"/>
      <c r="BL154" s="176" t="n"/>
      <c r="BM154" s="176" t="n"/>
      <c r="BN154" s="176" t="n"/>
      <c r="BO154" s="176" t="n"/>
      <c r="BP154" s="176" t="n"/>
      <c r="BQ154" s="176" t="n"/>
      <c r="BR154" s="176" t="n"/>
    </row>
    <row r="155" ht="15" customHeight="1" s="392">
      <c r="A155" s="176" t="n"/>
      <c r="B155" s="180" t="n"/>
      <c r="C155" s="183" t="inlineStr">
        <is>
          <t xml:space="preserve">    Debt Maturity Schedule</t>
        </is>
      </c>
      <c r="D155" s="185" t="n"/>
      <c r="E155" s="185" t="n"/>
      <c r="F155" s="185" t="n"/>
      <c r="G155" s="185" t="n"/>
      <c r="H155" s="185" t="n"/>
      <c r="I155" s="185" t="n"/>
      <c r="J155" s="185" t="n"/>
      <c r="K155" s="185" t="n"/>
      <c r="AT155" s="182" t="n"/>
      <c r="AU155" s="176" t="n"/>
      <c r="AV155" s="176" t="n"/>
      <c r="AW155" s="176" t="n"/>
      <c r="AX155" s="176" t="n"/>
      <c r="AY155" s="176" t="n"/>
      <c r="AZ155" s="176" t="n"/>
      <c r="BA155" s="176" t="n"/>
      <c r="BB155" s="176" t="n"/>
      <c r="BC155" s="176" t="n"/>
      <c r="BD155" s="176" t="n"/>
      <c r="BE155" s="176" t="n"/>
      <c r="BF155" s="176" t="n"/>
      <c r="BG155" s="176" t="n"/>
      <c r="BH155" s="176" t="n"/>
      <c r="BI155" s="176" t="n"/>
      <c r="BJ155" s="176" t="n"/>
      <c r="BK155" s="176" t="n"/>
      <c r="BL155" s="176" t="n"/>
      <c r="BM155" s="176" t="n"/>
      <c r="BN155" s="176" t="n"/>
      <c r="BO155" s="176" t="n"/>
      <c r="BP155" s="176" t="n"/>
      <c r="BQ155" s="176" t="n"/>
      <c r="BR155" s="176" t="n"/>
    </row>
    <row r="156" ht="15" customHeight="1" s="392">
      <c r="A156" s="176" t="n"/>
      <c r="B156" s="180" t="n"/>
      <c r="C156" s="183" t="inlineStr">
        <is>
          <t xml:space="preserve">        Debt due in Year 1</t>
        </is>
      </c>
      <c r="D156" s="190">
        <f>IF(COUNT(M156:AS156)&gt;0,MEDIAN(M156:AS156),"")</f>
        <v/>
      </c>
      <c r="E156" s="190">
        <f>IF(COUNT(M156:AS156)&gt;0,AVERAGE(M156:AS156),"")</f>
        <v/>
      </c>
      <c r="F156" s="190">
        <f>IF(COUNT(M156:AS156)&gt;0,MIN(M156:AS156),"")</f>
        <v/>
      </c>
      <c r="G156" s="190">
        <f>IF(COUNT(M156:AS156)&gt;0,MAX(M156:AS156),"")</f>
        <v/>
      </c>
      <c r="H156" s="190">
        <f>IF(COUNT(M156:AS156)&gt;0,QUARTILE(M156:AS156,1),"")</f>
        <v/>
      </c>
      <c r="I156" s="190">
        <f>IF(COUNT(M156:AS156)&gt;0,QUARTILE(M156:AS156,3),"")</f>
        <v/>
      </c>
      <c r="J156" s="190">
        <f>IF(COUNT(M156:AS156)&gt;1,STDEV(M156:AS156),"")</f>
        <v/>
      </c>
      <c r="K156" s="191">
        <f>IF(COUNT(M156:AS156)&gt;1,STDEV(M156:AS156)/AVERAGE(M156:AS156),"")</f>
        <v/>
      </c>
      <c r="M156" s="192" t="n"/>
      <c r="N156" s="192" t="n"/>
      <c r="O156" s="192" t="n"/>
      <c r="P156" s="192" t="n"/>
      <c r="Q156" s="192" t="n"/>
      <c r="R156" s="192" t="n"/>
      <c r="S156" s="192" t="n"/>
      <c r="T156" s="192" t="n"/>
      <c r="U156" s="192" t="n"/>
      <c r="V156" s="192" t="n">
        <v>81000</v>
      </c>
      <c r="W156" s="192" t="n">
        <v>75000</v>
      </c>
      <c r="X156" s="192" t="n">
        <v>52500</v>
      </c>
      <c r="Y156" s="192" t="n">
        <v>75000</v>
      </c>
      <c r="Z156" s="192" t="n">
        <v>75000</v>
      </c>
      <c r="AA156" s="192" t="n">
        <v>150000</v>
      </c>
      <c r="AB156" s="192" t="n"/>
      <c r="AC156" s="192" t="n"/>
      <c r="AD156" s="192" t="n"/>
      <c r="AE156" s="192" t="n"/>
      <c r="AF156" s="192" t="n"/>
      <c r="AG156" s="192" t="n"/>
      <c r="AH156" s="192" t="n"/>
      <c r="AI156" s="192" t="n"/>
      <c r="AJ156" s="192" t="n"/>
      <c r="AK156" s="192" t="n"/>
      <c r="AL156" s="192" t="n"/>
      <c r="AM156" s="192" t="n"/>
      <c r="AN156" s="192" t="n"/>
      <c r="AO156" s="192" t="n"/>
      <c r="AP156" s="192" t="n"/>
      <c r="AQ156" s="192" t="n"/>
      <c r="AR156" s="192" t="n"/>
      <c r="AS156" s="192" t="n"/>
      <c r="AT156" s="182" t="n"/>
      <c r="AU156" s="176" t="n"/>
      <c r="AV156" s="176" t="n"/>
      <c r="AW156" s="176" t="n"/>
      <c r="AX156" s="176" t="n"/>
      <c r="AY156" s="176" t="n"/>
      <c r="AZ156" s="176" t="n"/>
      <c r="BA156" s="176" t="n"/>
      <c r="BB156" s="176" t="n"/>
      <c r="BC156" s="176" t="n"/>
      <c r="BD156" s="176" t="n"/>
      <c r="BE156" s="176" t="n"/>
      <c r="BF156" s="176" t="n"/>
      <c r="BG156" s="176" t="n"/>
      <c r="BH156" s="176" t="n"/>
      <c r="BI156" s="176" t="n"/>
      <c r="BJ156" s="176" t="n"/>
      <c r="BK156" s="176" t="n"/>
      <c r="BL156" s="176" t="n"/>
      <c r="BM156" s="176" t="n"/>
      <c r="BN156" s="176" t="n"/>
      <c r="BO156" s="176" t="n"/>
      <c r="BP156" s="176" t="n"/>
      <c r="BQ156" s="176" t="n"/>
      <c r="BR156" s="176" t="n"/>
    </row>
    <row r="157" ht="15" customHeight="1" s="392">
      <c r="A157" s="176" t="n"/>
      <c r="B157" s="180" t="n"/>
      <c r="C157" s="183" t="inlineStr">
        <is>
          <t xml:space="preserve">        Debt due in Year 2</t>
        </is>
      </c>
      <c r="D157" s="190">
        <f>IF(COUNT(M157:AS157)&gt;0,MEDIAN(M157:AS157),"")</f>
        <v/>
      </c>
      <c r="E157" s="190">
        <f>IF(COUNT(M157:AS157)&gt;0,AVERAGE(M157:AS157),"")</f>
        <v/>
      </c>
      <c r="F157" s="190">
        <f>IF(COUNT(M157:AS157)&gt;0,MIN(M157:AS157),"")</f>
        <v/>
      </c>
      <c r="G157" s="190">
        <f>IF(COUNT(M157:AS157)&gt;0,MAX(M157:AS157),"")</f>
        <v/>
      </c>
      <c r="H157" s="190">
        <f>IF(COUNT(M157:AS157)&gt;0,QUARTILE(M157:AS157,1),"")</f>
        <v/>
      </c>
      <c r="I157" s="190">
        <f>IF(COUNT(M157:AS157)&gt;0,QUARTILE(M157:AS157,3),"")</f>
        <v/>
      </c>
      <c r="J157" s="190">
        <f>IF(COUNT(M157:AS157)&gt;1,STDEV(M157:AS157),"")</f>
        <v/>
      </c>
      <c r="K157" s="191">
        <f>IF(COUNT(M157:AS157)&gt;1,STDEV(M157:AS157)/AVERAGE(M157:AS157),"")</f>
        <v/>
      </c>
      <c r="M157" s="192" t="n"/>
      <c r="N157" s="192" t="n"/>
      <c r="O157" s="192" t="n"/>
      <c r="P157" s="192" t="n"/>
      <c r="Q157" s="192" t="n"/>
      <c r="R157" s="192" t="n"/>
      <c r="S157" s="192" t="n"/>
      <c r="T157" s="192" t="n"/>
      <c r="U157" s="192" t="n"/>
      <c r="V157" s="192" t="n">
        <v>150000</v>
      </c>
      <c r="W157" s="192" t="n">
        <v>163000</v>
      </c>
      <c r="X157" s="192" t="n">
        <v>30000</v>
      </c>
      <c r="Y157" s="192" t="n"/>
      <c r="Z157" s="192" t="n"/>
      <c r="AA157" s="192" t="n"/>
      <c r="AB157" s="192" t="n"/>
      <c r="AC157" s="192" t="n"/>
      <c r="AD157" s="192" t="n"/>
      <c r="AE157" s="192" t="n"/>
      <c r="AF157" s="192" t="n"/>
      <c r="AG157" s="192" t="n"/>
      <c r="AH157" s="192" t="n"/>
      <c r="AI157" s="192" t="n"/>
      <c r="AJ157" s="192" t="n"/>
      <c r="AK157" s="192" t="n"/>
      <c r="AL157" s="192" t="n"/>
      <c r="AM157" s="192" t="n"/>
      <c r="AN157" s="192" t="n"/>
      <c r="AO157" s="192" t="n"/>
      <c r="AP157" s="192" t="n"/>
      <c r="AQ157" s="192" t="n"/>
      <c r="AR157" s="192" t="n"/>
      <c r="AS157" s="192" t="n"/>
      <c r="AT157" s="182" t="n"/>
      <c r="AU157" s="176" t="n"/>
      <c r="AV157" s="176" t="n"/>
      <c r="AW157" s="176" t="n"/>
      <c r="AX157" s="176" t="n"/>
      <c r="AY157" s="176" t="n"/>
      <c r="AZ157" s="176" t="n"/>
      <c r="BA157" s="176" t="n"/>
      <c r="BB157" s="176" t="n"/>
      <c r="BC157" s="176" t="n"/>
      <c r="BD157" s="176" t="n"/>
      <c r="BE157" s="176" t="n"/>
      <c r="BF157" s="176" t="n"/>
      <c r="BG157" s="176" t="n"/>
      <c r="BH157" s="176" t="n"/>
      <c r="BI157" s="176" t="n"/>
      <c r="BJ157" s="176" t="n"/>
      <c r="BK157" s="176" t="n"/>
      <c r="BL157" s="176" t="n"/>
      <c r="BM157" s="176" t="n"/>
      <c r="BN157" s="176" t="n"/>
      <c r="BO157" s="176" t="n"/>
      <c r="BP157" s="176" t="n"/>
      <c r="BQ157" s="176" t="n"/>
      <c r="BR157" s="176" t="n"/>
    </row>
    <row r="158" ht="15" customHeight="1" s="392">
      <c r="A158" s="176" t="n"/>
      <c r="B158" s="180" t="n"/>
      <c r="C158" s="183" t="inlineStr">
        <is>
          <t xml:space="preserve">        Debt due in Year 3</t>
        </is>
      </c>
      <c r="D158" s="190">
        <f>IF(COUNT(M158:AS158)&gt;0,MEDIAN(M158:AS158),"")</f>
        <v/>
      </c>
      <c r="E158" s="190">
        <f>IF(COUNT(M158:AS158)&gt;0,AVERAGE(M158:AS158),"")</f>
        <v/>
      </c>
      <c r="F158" s="190">
        <f>IF(COUNT(M158:AS158)&gt;0,MIN(M158:AS158),"")</f>
        <v/>
      </c>
      <c r="G158" s="190">
        <f>IF(COUNT(M158:AS158)&gt;0,MAX(M158:AS158),"")</f>
        <v/>
      </c>
      <c r="H158" s="190">
        <f>IF(COUNT(M158:AS158)&gt;0,QUARTILE(M158:AS158,1),"")</f>
        <v/>
      </c>
      <c r="I158" s="190">
        <f>IF(COUNT(M158:AS158)&gt;0,QUARTILE(M158:AS158,3),"")</f>
        <v/>
      </c>
      <c r="J158" s="190">
        <f>IF(COUNT(M158:AS158)&gt;1,STDEV(M158:AS158),"")</f>
        <v/>
      </c>
      <c r="K158" s="191">
        <f>IF(COUNT(M158:AS158)&gt;1,STDEV(M158:AS158)/AVERAGE(M158:AS158),"")</f>
        <v/>
      </c>
      <c r="M158" s="192" t="n"/>
      <c r="N158" s="192" t="n"/>
      <c r="O158" s="192" t="n"/>
      <c r="P158" s="192" t="n"/>
      <c r="Q158" s="192" t="n"/>
      <c r="R158" s="192" t="n"/>
      <c r="S158" s="192" t="n"/>
      <c r="T158" s="192" t="n"/>
      <c r="U158" s="192" t="n"/>
      <c r="V158" s="192" t="n"/>
      <c r="W158" s="192" t="n"/>
      <c r="X158" s="192" t="n">
        <v>30000</v>
      </c>
      <c r="Y158" s="192" t="n">
        <v>218750</v>
      </c>
      <c r="Z158" s="192" t="n">
        <v>293750</v>
      </c>
      <c r="AA158" s="192" t="n">
        <v>218750</v>
      </c>
      <c r="AB158" s="192" t="n"/>
      <c r="AC158" s="192" t="n"/>
      <c r="AD158" s="192" t="n"/>
      <c r="AE158" s="192" t="n"/>
      <c r="AF158" s="192" t="n"/>
      <c r="AG158" s="192" t="n"/>
      <c r="AH158" s="192" t="n"/>
      <c r="AI158" s="192" t="n"/>
      <c r="AJ158" s="192" t="n"/>
      <c r="AK158" s="192" t="n"/>
      <c r="AL158" s="192" t="n"/>
      <c r="AM158" s="192" t="n"/>
      <c r="AN158" s="192" t="n"/>
      <c r="AO158" s="192" t="n"/>
      <c r="AP158" s="192" t="n"/>
      <c r="AQ158" s="192" t="n"/>
      <c r="AR158" s="192" t="n"/>
      <c r="AS158" s="192" t="n"/>
      <c r="AT158" s="182" t="n"/>
      <c r="AU158" s="176" t="n"/>
      <c r="AV158" s="176" t="n"/>
      <c r="AW158" s="176" t="n"/>
      <c r="AX158" s="176" t="n"/>
      <c r="AY158" s="176" t="n"/>
      <c r="AZ158" s="176" t="n"/>
      <c r="BA158" s="176" t="n"/>
      <c r="BB158" s="176" t="n"/>
      <c r="BC158" s="176" t="n"/>
      <c r="BD158" s="176" t="n"/>
      <c r="BE158" s="176" t="n"/>
      <c r="BF158" s="176" t="n"/>
      <c r="BG158" s="176" t="n"/>
      <c r="BH158" s="176" t="n"/>
      <c r="BI158" s="176" t="n"/>
      <c r="BJ158" s="176" t="n"/>
      <c r="BK158" s="176" t="n"/>
      <c r="BL158" s="176" t="n"/>
      <c r="BM158" s="176" t="n"/>
      <c r="BN158" s="176" t="n"/>
      <c r="BO158" s="176" t="n"/>
      <c r="BP158" s="176" t="n"/>
      <c r="BQ158" s="176" t="n"/>
      <c r="BR158" s="176" t="n"/>
    </row>
    <row r="159" ht="15" customHeight="1" s="392">
      <c r="A159" s="176" t="n"/>
      <c r="B159" s="180" t="n"/>
      <c r="C159" s="183" t="inlineStr">
        <is>
          <t xml:space="preserve">        Debt due in Year 4</t>
        </is>
      </c>
      <c r="D159" s="190">
        <f>IF(COUNT(M159:AS159)&gt;0,MEDIAN(M159:AS159),"")</f>
        <v/>
      </c>
      <c r="E159" s="190">
        <f>IF(COUNT(M159:AS159)&gt;0,AVERAGE(M159:AS159),"")</f>
        <v/>
      </c>
      <c r="F159" s="190">
        <f>IF(COUNT(M159:AS159)&gt;0,MIN(M159:AS159),"")</f>
        <v/>
      </c>
      <c r="G159" s="190">
        <f>IF(COUNT(M159:AS159)&gt;0,MAX(M159:AS159),"")</f>
        <v/>
      </c>
      <c r="H159" s="190">
        <f>IF(COUNT(M159:AS159)&gt;0,QUARTILE(M159:AS159,1),"")</f>
        <v/>
      </c>
      <c r="I159" s="190">
        <f>IF(COUNT(M159:AS159)&gt;0,QUARTILE(M159:AS159,3),"")</f>
        <v/>
      </c>
      <c r="J159" s="190">
        <f>IF(COUNT(M159:AS159)&gt;1,STDEV(M159:AS159),"")</f>
        <v/>
      </c>
      <c r="K159" s="191">
        <f>IF(COUNT(M159:AS159)&gt;1,STDEV(M159:AS159)/AVERAGE(M159:AS159),"")</f>
        <v/>
      </c>
      <c r="M159" s="192" t="n"/>
      <c r="N159" s="192" t="n"/>
      <c r="O159" s="192" t="n"/>
      <c r="P159" s="192" t="n"/>
      <c r="Q159" s="192" t="n"/>
      <c r="R159" s="192" t="n">
        <v>100000</v>
      </c>
      <c r="S159" s="192" t="n"/>
      <c r="T159" s="192" t="n"/>
      <c r="U159" s="192" t="n"/>
      <c r="V159" s="192" t="n"/>
      <c r="W159" s="192" t="n"/>
      <c r="X159" s="192" t="n">
        <v>30000</v>
      </c>
      <c r="Y159" s="192" t="n"/>
      <c r="Z159" s="192" t="n"/>
      <c r="AA159" s="192" t="n"/>
      <c r="AB159" s="192" t="n"/>
      <c r="AC159" s="192" t="n"/>
      <c r="AD159" s="192" t="n"/>
      <c r="AE159" s="192" t="n"/>
      <c r="AF159" s="192" t="n"/>
      <c r="AG159" s="192" t="n"/>
      <c r="AH159" s="192" t="n"/>
      <c r="AI159" s="192" t="n"/>
      <c r="AJ159" s="192" t="n"/>
      <c r="AK159" s="192" t="n"/>
      <c r="AL159" s="192" t="n"/>
      <c r="AM159" s="192" t="n"/>
      <c r="AN159" s="192" t="n"/>
      <c r="AO159" s="192" t="n"/>
      <c r="AP159" s="192" t="n"/>
      <c r="AQ159" s="192" t="n"/>
      <c r="AR159" s="192" t="n"/>
      <c r="AS159" s="192" t="n"/>
      <c r="AT159" s="182" t="n"/>
      <c r="AU159" s="176" t="n"/>
      <c r="AV159" s="176" t="n"/>
      <c r="AW159" s="176" t="n"/>
      <c r="AX159" s="176" t="n"/>
      <c r="AY159" s="176" t="n"/>
      <c r="AZ159" s="176" t="n"/>
      <c r="BA159" s="176" t="n"/>
      <c r="BB159" s="176" t="n"/>
      <c r="BC159" s="176" t="n"/>
      <c r="BD159" s="176" t="n"/>
      <c r="BE159" s="176" t="n"/>
      <c r="BF159" s="176" t="n"/>
      <c r="BG159" s="176" t="n"/>
      <c r="BH159" s="176" t="n"/>
      <c r="BI159" s="176" t="n"/>
      <c r="BJ159" s="176" t="n"/>
      <c r="BK159" s="176" t="n"/>
      <c r="BL159" s="176" t="n"/>
      <c r="BM159" s="176" t="n"/>
      <c r="BN159" s="176" t="n"/>
      <c r="BO159" s="176" t="n"/>
      <c r="BP159" s="176" t="n"/>
      <c r="BQ159" s="176" t="n"/>
      <c r="BR159" s="176" t="n"/>
    </row>
    <row r="160" ht="15" customHeight="1" s="392">
      <c r="A160" s="176" t="n"/>
      <c r="B160" s="180" t="n"/>
      <c r="C160" s="183" t="inlineStr">
        <is>
          <t xml:space="preserve">        Debt due in Year 5</t>
        </is>
      </c>
      <c r="D160" s="190">
        <f>IF(COUNT(M160:AS160)&gt;0,MEDIAN(M160:AS160),"")</f>
        <v/>
      </c>
      <c r="E160" s="190">
        <f>IF(COUNT(M160:AS160)&gt;0,AVERAGE(M160:AS160),"")</f>
        <v/>
      </c>
      <c r="F160" s="190">
        <f>IF(COUNT(M160:AS160)&gt;0,MIN(M160:AS160),"")</f>
        <v/>
      </c>
      <c r="G160" s="190">
        <f>IF(COUNT(M160:AS160)&gt;0,MAX(M160:AS160),"")</f>
        <v/>
      </c>
      <c r="H160" s="190">
        <f>IF(COUNT(M160:AS160)&gt;0,QUARTILE(M160:AS160,1),"")</f>
        <v/>
      </c>
      <c r="I160" s="190">
        <f>IF(COUNT(M160:AS160)&gt;0,QUARTILE(M160:AS160,3),"")</f>
        <v/>
      </c>
      <c r="J160" s="190">
        <f>IF(COUNT(M160:AS160)&gt;1,STDEV(M160:AS160),"")</f>
        <v/>
      </c>
      <c r="K160" s="191">
        <f>IF(COUNT(M160:AS160)&gt;1,STDEV(M160:AS160)/AVERAGE(M160:AS160),"")</f>
        <v/>
      </c>
      <c r="M160" s="192" t="n"/>
      <c r="N160" s="192" t="n"/>
      <c r="O160" s="192" t="n"/>
      <c r="P160" s="192" t="n"/>
      <c r="Q160" s="192" t="n"/>
      <c r="R160" s="192" t="n"/>
      <c r="S160" s="192" t="n">
        <v>100000</v>
      </c>
      <c r="T160" s="192" t="n">
        <v>100000</v>
      </c>
      <c r="U160" s="192" t="n"/>
      <c r="V160" s="192" t="n"/>
      <c r="W160" s="192" t="n"/>
      <c r="X160" s="192" t="n">
        <v>101250</v>
      </c>
      <c r="Y160" s="192" t="n"/>
      <c r="Z160" s="192" t="n"/>
      <c r="AA160" s="192" t="n"/>
      <c r="AB160" s="192" t="n"/>
      <c r="AC160" s="192" t="n"/>
      <c r="AD160" s="192" t="n"/>
      <c r="AE160" s="192" t="n"/>
      <c r="AF160" s="192" t="n"/>
      <c r="AG160" s="192" t="n"/>
      <c r="AH160" s="192" t="n"/>
      <c r="AI160" s="192" t="n"/>
      <c r="AJ160" s="192" t="n"/>
      <c r="AK160" s="192" t="n"/>
      <c r="AL160" s="192" t="n"/>
      <c r="AM160" s="192" t="n"/>
      <c r="AN160" s="192" t="n"/>
      <c r="AO160" s="192" t="n"/>
      <c r="AP160" s="192" t="n"/>
      <c r="AQ160" s="192" t="n"/>
      <c r="AR160" s="192" t="n"/>
      <c r="AS160" s="192" t="n"/>
      <c r="AT160" s="182" t="n"/>
      <c r="AU160" s="176" t="n"/>
      <c r="AV160" s="176" t="n"/>
      <c r="AW160" s="176" t="n"/>
      <c r="AX160" s="176" t="n"/>
      <c r="AY160" s="176" t="n"/>
      <c r="AZ160" s="176" t="n"/>
      <c r="BA160" s="176" t="n"/>
      <c r="BB160" s="176" t="n"/>
      <c r="BC160" s="176" t="n"/>
      <c r="BD160" s="176" t="n"/>
      <c r="BE160" s="176" t="n"/>
      <c r="BF160" s="176" t="n"/>
      <c r="BG160" s="176" t="n"/>
      <c r="BH160" s="176" t="n"/>
      <c r="BI160" s="176" t="n"/>
      <c r="BJ160" s="176" t="n"/>
      <c r="BK160" s="176" t="n"/>
      <c r="BL160" s="176" t="n"/>
      <c r="BM160" s="176" t="n"/>
      <c r="BN160" s="176" t="n"/>
      <c r="BO160" s="176" t="n"/>
      <c r="BP160" s="176" t="n"/>
      <c r="BQ160" s="176" t="n"/>
      <c r="BR160" s="176" t="n"/>
    </row>
    <row r="161" ht="15" customHeight="1" s="392">
      <c r="A161" s="176" t="n"/>
      <c r="B161" s="180" t="n"/>
      <c r="C161" s="183" t="inlineStr">
        <is>
          <t xml:space="preserve">        Debt due Beyond</t>
        </is>
      </c>
      <c r="D161" s="190">
        <f>IF(COUNT(M161:AS161)&gt;0,MEDIAN(M161:AS161),"")</f>
        <v/>
      </c>
      <c r="E161" s="190">
        <f>IF(COUNT(M161:AS161)&gt;0,AVERAGE(M161:AS161),"")</f>
        <v/>
      </c>
      <c r="F161" s="190">
        <f>IF(COUNT(M161:AS161)&gt;0,MIN(M161:AS161),"")</f>
        <v/>
      </c>
      <c r="G161" s="190">
        <f>IF(COUNT(M161:AS161)&gt;0,MAX(M161:AS161),"")</f>
        <v/>
      </c>
      <c r="H161" s="190">
        <f>IF(COUNT(M161:AS161)&gt;0,QUARTILE(M161:AS161,1),"")</f>
        <v/>
      </c>
      <c r="I161" s="190">
        <f>IF(COUNT(M161:AS161)&gt;0,QUARTILE(M161:AS161,3),"")</f>
        <v/>
      </c>
      <c r="J161" s="190">
        <f>IF(COUNT(M161:AS161)&gt;1,STDEV(M161:AS161),"")</f>
        <v/>
      </c>
      <c r="K161" s="191">
        <f>IF(COUNT(M161:AS161)&gt;1,STDEV(M161:AS161)/AVERAGE(M161:AS161),"")</f>
        <v/>
      </c>
      <c r="M161" s="192" t="n"/>
      <c r="N161" s="192" t="n"/>
      <c r="O161" s="192" t="n"/>
      <c r="P161" s="192" t="n"/>
      <c r="Q161" s="192" t="n"/>
      <c r="R161" s="192" t="n">
        <v>300000</v>
      </c>
      <c r="S161" s="192" t="n">
        <v>300000</v>
      </c>
      <c r="T161" s="192" t="n">
        <v>300000</v>
      </c>
      <c r="U161" s="192" t="n">
        <v>400000</v>
      </c>
      <c r="V161" s="192" t="n">
        <v>400000</v>
      </c>
      <c r="W161" s="192" t="n">
        <v>400000</v>
      </c>
      <c r="X161" s="192" t="n">
        <v>400000</v>
      </c>
      <c r="Y161" s="192" t="n"/>
      <c r="Z161" s="192" t="n"/>
      <c r="AA161" s="192" t="n"/>
      <c r="AB161" s="192" t="n"/>
      <c r="AC161" s="192" t="n"/>
      <c r="AD161" s="192" t="n"/>
      <c r="AE161" s="192" t="n"/>
      <c r="AF161" s="192" t="n"/>
      <c r="AG161" s="192" t="n"/>
      <c r="AH161" s="192" t="n"/>
      <c r="AI161" s="192" t="n"/>
      <c r="AJ161" s="192" t="n"/>
      <c r="AK161" s="192" t="n"/>
      <c r="AL161" s="192" t="n"/>
      <c r="AM161" s="192" t="n"/>
      <c r="AN161" s="192" t="n"/>
      <c r="AO161" s="192" t="n"/>
      <c r="AP161" s="192" t="n"/>
      <c r="AQ161" s="192" t="n"/>
      <c r="AR161" s="192" t="n"/>
      <c r="AS161" s="192" t="n"/>
      <c r="AT161" s="182" t="n"/>
      <c r="AU161" s="176" t="n"/>
      <c r="AV161" s="176" t="n"/>
      <c r="AW161" s="176" t="n"/>
      <c r="AX161" s="176" t="n"/>
      <c r="AY161" s="176" t="n"/>
      <c r="AZ161" s="176" t="n"/>
      <c r="BA161" s="176" t="n"/>
      <c r="BB161" s="176" t="n"/>
      <c r="BC161" s="176" t="n"/>
      <c r="BD161" s="176" t="n"/>
      <c r="BE161" s="176" t="n"/>
      <c r="BF161" s="176" t="n"/>
      <c r="BG161" s="176" t="n"/>
      <c r="BH161" s="176" t="n"/>
      <c r="BI161" s="176" t="n"/>
      <c r="BJ161" s="176" t="n"/>
      <c r="BK161" s="176" t="n"/>
      <c r="BL161" s="176" t="n"/>
      <c r="BM161" s="176" t="n"/>
      <c r="BN161" s="176" t="n"/>
      <c r="BO161" s="176" t="n"/>
      <c r="BP161" s="176" t="n"/>
      <c r="BQ161" s="176" t="n"/>
      <c r="BR161" s="176" t="n"/>
    </row>
    <row r="162" ht="15" customHeight="1" s="392">
      <c r="A162" s="176" t="n"/>
      <c r="B162" s="180" t="n"/>
      <c r="C162" s="183" t="inlineStr">
        <is>
          <t xml:space="preserve">        Debt - Interests Charges and Other Adjustments</t>
        </is>
      </c>
      <c r="D162" s="190">
        <f>IF(COUNT(M162:AS162)&gt;0,MEDIAN(M162:AS162),"")</f>
        <v/>
      </c>
      <c r="E162" s="190">
        <f>IF(COUNT(M162:AS162)&gt;0,AVERAGE(M162:AS162),"")</f>
        <v/>
      </c>
      <c r="F162" s="190">
        <f>IF(COUNT(M162:AS162)&gt;0,MIN(M162:AS162),"")</f>
        <v/>
      </c>
      <c r="G162" s="190">
        <f>IF(COUNT(M162:AS162)&gt;0,MAX(M162:AS162),"")</f>
        <v/>
      </c>
      <c r="H162" s="190">
        <f>IF(COUNT(M162:AS162)&gt;0,QUARTILE(M162:AS162,1),"")</f>
        <v/>
      </c>
      <c r="I162" s="190">
        <f>IF(COUNT(M162:AS162)&gt;0,QUARTILE(M162:AS162,3),"")</f>
        <v/>
      </c>
      <c r="J162" s="190">
        <f>IF(COUNT(M162:AS162)&gt;1,STDEV(M162:AS162),"")</f>
        <v/>
      </c>
      <c r="K162" s="191">
        <f>IF(COUNT(M162:AS162)&gt;1,STDEV(M162:AS162)/AVERAGE(M162:AS162),"")</f>
        <v/>
      </c>
      <c r="M162" s="192" t="n"/>
      <c r="N162" s="192" t="n"/>
      <c r="O162" s="192" t="n"/>
      <c r="P162" s="192" t="n"/>
      <c r="Q162" s="192" t="n"/>
      <c r="R162" s="192" t="n"/>
      <c r="S162" s="192" t="n"/>
      <c r="T162" s="192" t="n"/>
      <c r="U162" s="192" t="n">
        <v>-1082</v>
      </c>
      <c r="V162" s="192" t="n"/>
      <c r="W162" s="192" t="n"/>
      <c r="X162" s="192" t="n"/>
      <c r="Y162" s="192" t="n"/>
      <c r="Z162" s="192" t="n"/>
      <c r="AA162" s="192" t="n"/>
      <c r="AB162" s="192" t="n"/>
      <c r="AC162" s="192" t="n"/>
      <c r="AD162" s="192" t="n"/>
      <c r="AE162" s="192" t="n"/>
      <c r="AF162" s="192" t="n"/>
      <c r="AG162" s="192" t="n"/>
      <c r="AH162" s="192" t="n"/>
      <c r="AI162" s="192" t="n"/>
      <c r="AJ162" s="192" t="n"/>
      <c r="AK162" s="192" t="n"/>
      <c r="AL162" s="192" t="n"/>
      <c r="AM162" s="192" t="n"/>
      <c r="AN162" s="192" t="n"/>
      <c r="AO162" s="192" t="n"/>
      <c r="AP162" s="192" t="n"/>
      <c r="AQ162" s="192" t="n"/>
      <c r="AR162" s="192" t="n"/>
      <c r="AS162" s="192" t="n"/>
      <c r="AT162" s="182" t="n"/>
      <c r="AU162" s="176" t="n"/>
      <c r="AV162" s="176" t="n"/>
      <c r="AW162" s="176" t="n"/>
      <c r="AX162" s="176" t="n"/>
      <c r="AY162" s="176" t="n"/>
      <c r="AZ162" s="176" t="n"/>
      <c r="BA162" s="176" t="n"/>
      <c r="BB162" s="176" t="n"/>
      <c r="BC162" s="176" t="n"/>
      <c r="BD162" s="176" t="n"/>
      <c r="BE162" s="176" t="n"/>
      <c r="BF162" s="176" t="n"/>
      <c r="BG162" s="176" t="n"/>
      <c r="BH162" s="176" t="n"/>
      <c r="BI162" s="176" t="n"/>
      <c r="BJ162" s="176" t="n"/>
      <c r="BK162" s="176" t="n"/>
      <c r="BL162" s="176" t="n"/>
      <c r="BM162" s="176" t="n"/>
      <c r="BN162" s="176" t="n"/>
      <c r="BO162" s="176" t="n"/>
      <c r="BP162" s="176" t="n"/>
      <c r="BQ162" s="176" t="n"/>
      <c r="BR162" s="176" t="n"/>
    </row>
    <row r="163" ht="15" customHeight="1" s="392">
      <c r="A163" s="176" t="n"/>
      <c r="B163" s="180" t="n"/>
      <c r="C163" s="187" t="inlineStr">
        <is>
          <t xml:space="preserve">    Total Debt Maturity Schedule</t>
        </is>
      </c>
      <c r="D163" s="193">
        <f>IF(COUNT(M163:AS163)&gt;0,MEDIAN(M163:AS163),"")</f>
        <v/>
      </c>
      <c r="E163" s="193">
        <f>IF(COUNT(M163:AS163)&gt;0,AVERAGE(M163:AS163),"")</f>
        <v/>
      </c>
      <c r="F163" s="193">
        <f>IF(COUNT(M163:AS163)&gt;0,MIN(M163:AS163),"")</f>
        <v/>
      </c>
      <c r="G163" s="193">
        <f>IF(COUNT(M163:AS163)&gt;0,MAX(M163:AS163),"")</f>
        <v/>
      </c>
      <c r="H163" s="193">
        <f>IF(COUNT(M163:AS163)&gt;0,QUARTILE(M163:AS163,1),"")</f>
        <v/>
      </c>
      <c r="I163" s="193">
        <f>IF(COUNT(M163:AS163)&gt;0,QUARTILE(M163:AS163,3),"")</f>
        <v/>
      </c>
      <c r="J163" s="193">
        <f>IF(COUNT(M163:AS163)&gt;1,STDEV(M163:AS163),"")</f>
        <v/>
      </c>
      <c r="K163" s="194">
        <f>IF(COUNT(M163:AS163)&gt;1,STDEV(M163:AS163)/AVERAGE(M163:AS163),"")</f>
        <v/>
      </c>
      <c r="L163" s="195" t="n"/>
      <c r="M163" s="196" t="n"/>
      <c r="N163" s="196" t="n"/>
      <c r="O163" s="196" t="n"/>
      <c r="P163" s="196" t="n"/>
      <c r="Q163" s="196" t="n"/>
      <c r="R163" s="196" t="n">
        <v>400000</v>
      </c>
      <c r="S163" s="196" t="n">
        <v>400000</v>
      </c>
      <c r="T163" s="196" t="n">
        <v>400000</v>
      </c>
      <c r="U163" s="196" t="n">
        <v>398918</v>
      </c>
      <c r="V163" s="196" t="n">
        <v>631000</v>
      </c>
      <c r="W163" s="196" t="n">
        <v>638000</v>
      </c>
      <c r="X163" s="196" t="n">
        <v>643750</v>
      </c>
      <c r="Y163" s="196" t="n">
        <v>293750</v>
      </c>
      <c r="Z163" s="196" t="n">
        <v>368750</v>
      </c>
      <c r="AA163" s="196" t="n">
        <v>450409</v>
      </c>
      <c r="AB163" s="196" t="n"/>
      <c r="AC163" s="196" t="n"/>
      <c r="AD163" s="196" t="n"/>
      <c r="AE163" s="196" t="n"/>
      <c r="AF163" s="196" t="n"/>
      <c r="AG163" s="196" t="n"/>
      <c r="AH163" s="196" t="n"/>
      <c r="AI163" s="196" t="n"/>
      <c r="AJ163" s="196" t="n"/>
      <c r="AK163" s="196" t="n"/>
      <c r="AL163" s="196" t="n"/>
      <c r="AM163" s="196" t="n"/>
      <c r="AN163" s="196" t="n"/>
      <c r="AO163" s="196" t="n"/>
      <c r="AP163" s="196" t="n"/>
      <c r="AQ163" s="196" t="n"/>
      <c r="AR163" s="196" t="n"/>
      <c r="AS163" s="196" t="n"/>
      <c r="AT163" s="182" t="n"/>
      <c r="AU163" s="176" t="n"/>
      <c r="AV163" s="176" t="n"/>
      <c r="AW163" s="176" t="n"/>
      <c r="AX163" s="176" t="n"/>
      <c r="AY163" s="176" t="n"/>
      <c r="AZ163" s="176" t="n"/>
      <c r="BA163" s="176" t="n"/>
      <c r="BB163" s="176" t="n"/>
      <c r="BC163" s="176" t="n"/>
      <c r="BD163" s="176" t="n"/>
      <c r="BE163" s="176" t="n"/>
      <c r="BF163" s="176" t="n"/>
      <c r="BG163" s="176" t="n"/>
      <c r="BH163" s="176" t="n"/>
      <c r="BI163" s="176" t="n"/>
      <c r="BJ163" s="176" t="n"/>
      <c r="BK163" s="176" t="n"/>
      <c r="BL163" s="176" t="n"/>
      <c r="BM163" s="176" t="n"/>
      <c r="BN163" s="176" t="n"/>
      <c r="BO163" s="176" t="n"/>
      <c r="BP163" s="176" t="n"/>
      <c r="BQ163" s="176" t="n"/>
      <c r="BR163" s="176" t="n"/>
    </row>
    <row r="164" ht="15" customHeight="1" s="392">
      <c r="A164" s="176" t="n"/>
      <c r="B164" s="180" t="n"/>
      <c r="C164" s="183" t="inlineStr">
        <is>
          <t xml:space="preserve">    Capital Lease Obligation Maturity Schedule</t>
        </is>
      </c>
      <c r="D164" s="185" t="n"/>
      <c r="E164" s="185" t="n"/>
      <c r="F164" s="185" t="n"/>
      <c r="G164" s="185" t="n"/>
      <c r="H164" s="185" t="n"/>
      <c r="I164" s="185" t="n"/>
      <c r="J164" s="185" t="n"/>
      <c r="K164" s="185" t="n"/>
      <c r="AT164" s="182" t="n"/>
      <c r="AU164" s="176" t="n"/>
      <c r="AV164" s="176" t="n"/>
      <c r="AW164" s="176" t="n"/>
      <c r="AX164" s="176" t="n"/>
      <c r="AY164" s="176" t="n"/>
      <c r="AZ164" s="176" t="n"/>
      <c r="BA164" s="176" t="n"/>
      <c r="BB164" s="176" t="n"/>
      <c r="BC164" s="176" t="n"/>
      <c r="BD164" s="176" t="n"/>
      <c r="BE164" s="176" t="n"/>
      <c r="BF164" s="176" t="n"/>
      <c r="BG164" s="176" t="n"/>
      <c r="BH164" s="176" t="n"/>
      <c r="BI164" s="176" t="n"/>
      <c r="BJ164" s="176" t="n"/>
      <c r="BK164" s="176" t="n"/>
      <c r="BL164" s="176" t="n"/>
      <c r="BM164" s="176" t="n"/>
      <c r="BN164" s="176" t="n"/>
      <c r="BO164" s="176" t="n"/>
      <c r="BP164" s="176" t="n"/>
      <c r="BQ164" s="176" t="n"/>
      <c r="BR164" s="176" t="n"/>
    </row>
    <row r="165" ht="15" customHeight="1" s="392">
      <c r="A165" s="176" t="n"/>
      <c r="B165" s="180" t="n"/>
      <c r="C165" s="183" t="inlineStr">
        <is>
          <t xml:space="preserve">        Capital Lease due in Year 1</t>
        </is>
      </c>
      <c r="D165" s="190">
        <f>IF(COUNT(M165:AS165)&gt;0,MEDIAN(M165:AS165),"")</f>
        <v/>
      </c>
      <c r="E165" s="190">
        <f>IF(COUNT(M165:AS165)&gt;0,AVERAGE(M165:AS165),"")</f>
        <v/>
      </c>
      <c r="F165" s="190">
        <f>IF(COUNT(M165:AS165)&gt;0,MIN(M165:AS165),"")</f>
        <v/>
      </c>
      <c r="G165" s="190">
        <f>IF(COUNT(M165:AS165)&gt;0,MAX(M165:AS165),"")</f>
        <v/>
      </c>
      <c r="H165" s="190">
        <f>IF(COUNT(M165:AS165)&gt;0,QUARTILE(M165:AS165,1),"")</f>
        <v/>
      </c>
      <c r="I165" s="190">
        <f>IF(COUNT(M165:AS165)&gt;0,QUARTILE(M165:AS165,3),"")</f>
        <v/>
      </c>
      <c r="J165" s="190">
        <f>IF(COUNT(M165:AS165)&gt;1,STDEV(M165:AS165),"")</f>
        <v/>
      </c>
      <c r="K165" s="191">
        <f>IF(COUNT(M165:AS165)&gt;1,STDEV(M165:AS165)/AVERAGE(M165:AS165),"")</f>
        <v/>
      </c>
      <c r="M165" s="192" t="n"/>
      <c r="N165" s="192" t="n">
        <v>135</v>
      </c>
      <c r="O165" s="192" t="n"/>
      <c r="P165" s="192" t="n"/>
      <c r="Q165" s="192" t="n">
        <v>24</v>
      </c>
      <c r="R165" s="192" t="n">
        <v>535</v>
      </c>
      <c r="S165" s="192" t="n">
        <v>768</v>
      </c>
      <c r="T165" s="192" t="n">
        <v>644</v>
      </c>
      <c r="U165" s="192" t="n">
        <v>966</v>
      </c>
      <c r="V165" s="192" t="n">
        <v>1153</v>
      </c>
      <c r="W165" s="192" t="n">
        <v>1124</v>
      </c>
      <c r="X165" s="192" t="n">
        <v>1312</v>
      </c>
      <c r="Y165" s="192" t="n">
        <v>1407</v>
      </c>
      <c r="Z165" s="192" t="n">
        <v>229</v>
      </c>
      <c r="AA165" s="192" t="n">
        <v>198</v>
      </c>
      <c r="AB165" s="192" t="n"/>
      <c r="AC165" s="192" t="n"/>
      <c r="AD165" s="192" t="n"/>
      <c r="AE165" s="192" t="n"/>
      <c r="AF165" s="192" t="n"/>
      <c r="AG165" s="192" t="n"/>
      <c r="AH165" s="192" t="n"/>
      <c r="AI165" s="192" t="n"/>
      <c r="AJ165" s="192" t="n"/>
      <c r="AK165" s="192" t="n"/>
      <c r="AL165" s="192" t="n"/>
      <c r="AM165" s="192" t="n"/>
      <c r="AN165" s="192" t="n"/>
      <c r="AO165" s="192" t="n"/>
      <c r="AP165" s="192" t="n"/>
      <c r="AQ165" s="192" t="n"/>
      <c r="AR165" s="192" t="n"/>
      <c r="AS165" s="192" t="n"/>
      <c r="AT165" s="182" t="n"/>
      <c r="AU165" s="176" t="n"/>
      <c r="AV165" s="176" t="n"/>
      <c r="AW165" s="176" t="n"/>
      <c r="AX165" s="176" t="n"/>
      <c r="AY165" s="176" t="n"/>
      <c r="AZ165" s="176" t="n"/>
      <c r="BA165" s="176" t="n"/>
      <c r="BB165" s="176" t="n"/>
      <c r="BC165" s="176" t="n"/>
      <c r="BD165" s="176" t="n"/>
      <c r="BE165" s="176" t="n"/>
      <c r="BF165" s="176" t="n"/>
      <c r="BG165" s="176" t="n"/>
      <c r="BH165" s="176" t="n"/>
      <c r="BI165" s="176" t="n"/>
      <c r="BJ165" s="176" t="n"/>
      <c r="BK165" s="176" t="n"/>
      <c r="BL165" s="176" t="n"/>
      <c r="BM165" s="176" t="n"/>
      <c r="BN165" s="176" t="n"/>
      <c r="BO165" s="176" t="n"/>
      <c r="BP165" s="176" t="n"/>
      <c r="BQ165" s="176" t="n"/>
      <c r="BR165" s="176" t="n"/>
    </row>
    <row r="166" ht="15" customHeight="1" s="392">
      <c r="A166" s="176" t="n"/>
      <c r="B166" s="180" t="n"/>
      <c r="C166" s="183" t="inlineStr">
        <is>
          <t xml:space="preserve">        Capital Lease due in Year 2</t>
        </is>
      </c>
      <c r="D166" s="190">
        <f>IF(COUNT(M166:AS166)&gt;0,MEDIAN(M166:AS166),"")</f>
        <v/>
      </c>
      <c r="E166" s="190">
        <f>IF(COUNT(M166:AS166)&gt;0,AVERAGE(M166:AS166),"")</f>
        <v/>
      </c>
      <c r="F166" s="190">
        <f>IF(COUNT(M166:AS166)&gt;0,MIN(M166:AS166),"")</f>
        <v/>
      </c>
      <c r="G166" s="190">
        <f>IF(COUNT(M166:AS166)&gt;0,MAX(M166:AS166),"")</f>
        <v/>
      </c>
      <c r="H166" s="190">
        <f>IF(COUNT(M166:AS166)&gt;0,QUARTILE(M166:AS166,1),"")</f>
        <v/>
      </c>
      <c r="I166" s="190">
        <f>IF(COUNT(M166:AS166)&gt;0,QUARTILE(M166:AS166,3),"")</f>
        <v/>
      </c>
      <c r="J166" s="190">
        <f>IF(COUNT(M166:AS166)&gt;1,STDEV(M166:AS166),"")</f>
        <v/>
      </c>
      <c r="K166" s="191">
        <f>IF(COUNT(M166:AS166)&gt;1,STDEV(M166:AS166)/AVERAGE(M166:AS166),"")</f>
        <v/>
      </c>
      <c r="M166" s="192" t="n"/>
      <c r="N166" s="192" t="n">
        <v>135</v>
      </c>
      <c r="O166" s="192" t="n"/>
      <c r="P166" s="192" t="n"/>
      <c r="Q166" s="192" t="n">
        <v>13</v>
      </c>
      <c r="R166" s="192" t="n">
        <v>24</v>
      </c>
      <c r="S166" s="192" t="n">
        <v>534</v>
      </c>
      <c r="T166" s="192" t="n">
        <v>619</v>
      </c>
      <c r="U166" s="192" t="n">
        <v>30</v>
      </c>
      <c r="V166" s="192" t="n">
        <v>966</v>
      </c>
      <c r="W166" s="192" t="n">
        <v>1093</v>
      </c>
      <c r="X166" s="192" t="n">
        <v>37</v>
      </c>
      <c r="Y166" s="192" t="n">
        <v>1312</v>
      </c>
      <c r="Z166" s="192" t="n">
        <v>62</v>
      </c>
      <c r="AA166" s="192" t="n">
        <v>126</v>
      </c>
      <c r="AB166" s="192" t="n"/>
      <c r="AC166" s="192" t="n"/>
      <c r="AD166" s="192" t="n"/>
      <c r="AE166" s="192" t="n"/>
      <c r="AF166" s="192" t="n"/>
      <c r="AG166" s="192" t="n"/>
      <c r="AH166" s="192" t="n"/>
      <c r="AI166" s="192" t="n"/>
      <c r="AJ166" s="192" t="n"/>
      <c r="AK166" s="192" t="n"/>
      <c r="AL166" s="192" t="n"/>
      <c r="AM166" s="192" t="n"/>
      <c r="AN166" s="192" t="n"/>
      <c r="AO166" s="192" t="n"/>
      <c r="AP166" s="192" t="n"/>
      <c r="AQ166" s="192" t="n"/>
      <c r="AR166" s="192" t="n"/>
      <c r="AS166" s="192" t="n"/>
      <c r="AT166" s="182" t="n"/>
      <c r="AU166" s="176" t="n"/>
      <c r="AV166" s="176" t="n"/>
      <c r="AW166" s="176" t="n"/>
      <c r="AX166" s="176" t="n"/>
      <c r="AY166" s="176" t="n"/>
      <c r="AZ166" s="176" t="n"/>
      <c r="BA166" s="176" t="n"/>
      <c r="BB166" s="176" t="n"/>
      <c r="BC166" s="176" t="n"/>
      <c r="BD166" s="176" t="n"/>
      <c r="BE166" s="176" t="n"/>
      <c r="BF166" s="176" t="n"/>
      <c r="BG166" s="176" t="n"/>
      <c r="BH166" s="176" t="n"/>
      <c r="BI166" s="176" t="n"/>
      <c r="BJ166" s="176" t="n"/>
      <c r="BK166" s="176" t="n"/>
      <c r="BL166" s="176" t="n"/>
      <c r="BM166" s="176" t="n"/>
      <c r="BN166" s="176" t="n"/>
      <c r="BO166" s="176" t="n"/>
      <c r="BP166" s="176" t="n"/>
      <c r="BQ166" s="176" t="n"/>
      <c r="BR166" s="176" t="n"/>
    </row>
    <row r="167" ht="15" customHeight="1" s="392">
      <c r="A167" s="176" t="n"/>
      <c r="B167" s="180" t="n"/>
      <c r="C167" s="183" t="inlineStr">
        <is>
          <t xml:space="preserve">        Capital Lease due in Year 3</t>
        </is>
      </c>
      <c r="D167" s="190">
        <f>IF(COUNT(M167:AS167)&gt;0,MEDIAN(M167:AS167),"")</f>
        <v/>
      </c>
      <c r="E167" s="190">
        <f>IF(COUNT(M167:AS167)&gt;0,AVERAGE(M167:AS167),"")</f>
        <v/>
      </c>
      <c r="F167" s="190">
        <f>IF(COUNT(M167:AS167)&gt;0,MIN(M167:AS167),"")</f>
        <v/>
      </c>
      <c r="G167" s="190">
        <f>IF(COUNT(M167:AS167)&gt;0,MAX(M167:AS167),"")</f>
        <v/>
      </c>
      <c r="H167" s="190">
        <f>IF(COUNT(M167:AS167)&gt;0,QUARTILE(M167:AS167,1),"")</f>
        <v/>
      </c>
      <c r="I167" s="190">
        <f>IF(COUNT(M167:AS167)&gt;0,QUARTILE(M167:AS167,3),"")</f>
        <v/>
      </c>
      <c r="J167" s="190">
        <f>IF(COUNT(M167:AS167)&gt;1,STDEV(M167:AS167),"")</f>
        <v/>
      </c>
      <c r="K167" s="191">
        <f>IF(COUNT(M167:AS167)&gt;1,STDEV(M167:AS167)/AVERAGE(M167:AS167),"")</f>
        <v/>
      </c>
      <c r="M167" s="192" t="n"/>
      <c r="N167" s="192" t="n">
        <v>135</v>
      </c>
      <c r="O167" s="192" t="n"/>
      <c r="P167" s="192" t="n"/>
      <c r="Q167" s="192" t="n"/>
      <c r="R167" s="192" t="n">
        <v>13</v>
      </c>
      <c r="S167" s="192" t="n">
        <v>24</v>
      </c>
      <c r="T167" s="192" t="n">
        <v>505</v>
      </c>
      <c r="U167" s="192" t="n">
        <v>13</v>
      </c>
      <c r="V167" s="192" t="n">
        <v>30</v>
      </c>
      <c r="W167" s="192" t="n">
        <v>909</v>
      </c>
      <c r="X167" s="192" t="n">
        <v>3</v>
      </c>
      <c r="Y167" s="192" t="n">
        <v>37</v>
      </c>
      <c r="Z167" s="192" t="n">
        <v>6</v>
      </c>
      <c r="AA167" s="192" t="n"/>
      <c r="AB167" s="192" t="n"/>
      <c r="AC167" s="192" t="n"/>
      <c r="AD167" s="192" t="n"/>
      <c r="AE167" s="192" t="n"/>
      <c r="AF167" s="192" t="n"/>
      <c r="AG167" s="192" t="n"/>
      <c r="AH167" s="192" t="n"/>
      <c r="AI167" s="192" t="n"/>
      <c r="AJ167" s="192" t="n"/>
      <c r="AK167" s="192" t="n"/>
      <c r="AL167" s="192" t="n"/>
      <c r="AM167" s="192" t="n"/>
      <c r="AN167" s="192" t="n"/>
      <c r="AO167" s="192" t="n"/>
      <c r="AP167" s="192" t="n"/>
      <c r="AQ167" s="192" t="n"/>
      <c r="AR167" s="192" t="n"/>
      <c r="AS167" s="192" t="n"/>
      <c r="AT167" s="182" t="n"/>
      <c r="AU167" s="176" t="n"/>
      <c r="AV167" s="176" t="n"/>
      <c r="AW167" s="176" t="n"/>
      <c r="AX167" s="176" t="n"/>
      <c r="AY167" s="176" t="n"/>
      <c r="AZ167" s="176" t="n"/>
      <c r="BA167" s="176" t="n"/>
      <c r="BB167" s="176" t="n"/>
      <c r="BC167" s="176" t="n"/>
      <c r="BD167" s="176" t="n"/>
      <c r="BE167" s="176" t="n"/>
      <c r="BF167" s="176" t="n"/>
      <c r="BG167" s="176" t="n"/>
      <c r="BH167" s="176" t="n"/>
      <c r="BI167" s="176" t="n"/>
      <c r="BJ167" s="176" t="n"/>
      <c r="BK167" s="176" t="n"/>
      <c r="BL167" s="176" t="n"/>
      <c r="BM167" s="176" t="n"/>
      <c r="BN167" s="176" t="n"/>
      <c r="BO167" s="176" t="n"/>
      <c r="BP167" s="176" t="n"/>
      <c r="BQ167" s="176" t="n"/>
      <c r="BR167" s="176" t="n"/>
    </row>
    <row r="168" ht="15" customHeight="1" s="392">
      <c r="A168" s="176" t="n"/>
      <c r="B168" s="180" t="n"/>
      <c r="C168" s="183" t="inlineStr">
        <is>
          <t xml:space="preserve">        Capital Lease due in Year 4</t>
        </is>
      </c>
      <c r="D168" s="190">
        <f>IF(COUNT(M168:AS168)&gt;0,MEDIAN(M168:AS168),"")</f>
        <v/>
      </c>
      <c r="E168" s="190">
        <f>IF(COUNT(M168:AS168)&gt;0,AVERAGE(M168:AS168),"")</f>
        <v/>
      </c>
      <c r="F168" s="190">
        <f>IF(COUNT(M168:AS168)&gt;0,MIN(M168:AS168),"")</f>
        <v/>
      </c>
      <c r="G168" s="190">
        <f>IF(COUNT(M168:AS168)&gt;0,MAX(M168:AS168),"")</f>
        <v/>
      </c>
      <c r="H168" s="190">
        <f>IF(COUNT(M168:AS168)&gt;0,QUARTILE(M168:AS168,1),"")</f>
        <v/>
      </c>
      <c r="I168" s="190">
        <f>IF(COUNT(M168:AS168)&gt;0,QUARTILE(M168:AS168,3),"")</f>
        <v/>
      </c>
      <c r="J168" s="190">
        <f>IF(COUNT(M168:AS168)&gt;1,STDEV(M168:AS168),"")</f>
        <v/>
      </c>
      <c r="K168" s="191">
        <f>IF(COUNT(M168:AS168)&gt;1,STDEV(M168:AS168)/AVERAGE(M168:AS168),"")</f>
        <v/>
      </c>
      <c r="M168" s="192" t="n"/>
      <c r="N168" s="192" t="n">
        <v>135</v>
      </c>
      <c r="O168" s="192" t="n"/>
      <c r="P168" s="192" t="n"/>
      <c r="Q168" s="192" t="n"/>
      <c r="R168" s="192" t="n"/>
      <c r="S168" s="192" t="n">
        <v>13</v>
      </c>
      <c r="T168" s="192" t="n"/>
      <c r="U168" s="192" t="n"/>
      <c r="V168" s="192" t="n">
        <v>13</v>
      </c>
      <c r="W168" s="192" t="n"/>
      <c r="X168" s="192" t="n"/>
      <c r="Y168" s="192" t="n">
        <v>3</v>
      </c>
      <c r="Z168" s="192" t="n"/>
      <c r="AA168" s="192" t="n"/>
      <c r="AB168" s="192" t="n"/>
      <c r="AC168" s="192" t="n"/>
      <c r="AD168" s="192" t="n"/>
      <c r="AE168" s="192" t="n"/>
      <c r="AF168" s="192" t="n"/>
      <c r="AG168" s="192" t="n"/>
      <c r="AH168" s="192" t="n"/>
      <c r="AI168" s="192" t="n"/>
      <c r="AJ168" s="192" t="n"/>
      <c r="AK168" s="192" t="n"/>
      <c r="AL168" s="192" t="n"/>
      <c r="AM168" s="192" t="n"/>
      <c r="AN168" s="192" t="n"/>
      <c r="AO168" s="192" t="n"/>
      <c r="AP168" s="192" t="n"/>
      <c r="AQ168" s="192" t="n"/>
      <c r="AR168" s="192" t="n"/>
      <c r="AS168" s="192" t="n"/>
      <c r="AT168" s="182" t="n"/>
      <c r="AU168" s="176" t="n"/>
      <c r="AV168" s="176" t="n"/>
      <c r="AW168" s="176" t="n"/>
      <c r="AX168" s="176" t="n"/>
      <c r="AY168" s="176" t="n"/>
      <c r="AZ168" s="176" t="n"/>
      <c r="BA168" s="176" t="n"/>
      <c r="BB168" s="176" t="n"/>
      <c r="BC168" s="176" t="n"/>
      <c r="BD168" s="176" t="n"/>
      <c r="BE168" s="176" t="n"/>
      <c r="BF168" s="176" t="n"/>
      <c r="BG168" s="176" t="n"/>
      <c r="BH168" s="176" t="n"/>
      <c r="BI168" s="176" t="n"/>
      <c r="BJ168" s="176" t="n"/>
      <c r="BK168" s="176" t="n"/>
      <c r="BL168" s="176" t="n"/>
      <c r="BM168" s="176" t="n"/>
      <c r="BN168" s="176" t="n"/>
      <c r="BO168" s="176" t="n"/>
      <c r="BP168" s="176" t="n"/>
      <c r="BQ168" s="176" t="n"/>
      <c r="BR168" s="176" t="n"/>
    </row>
    <row r="169" ht="15" customHeight="1" s="392">
      <c r="A169" s="176" t="n"/>
      <c r="B169" s="180" t="n"/>
      <c r="C169" s="183" t="inlineStr">
        <is>
          <t xml:space="preserve">        Capital Lease due in Year 5</t>
        </is>
      </c>
      <c r="D169" s="190">
        <f>IF(COUNT(M169:AS169)&gt;0,MEDIAN(M169:AS169),"")</f>
        <v/>
      </c>
      <c r="E169" s="190">
        <f>IF(COUNT(M169:AS169)&gt;0,AVERAGE(M169:AS169),"")</f>
        <v/>
      </c>
      <c r="F169" s="190">
        <f>IF(COUNT(M169:AS169)&gt;0,MIN(M169:AS169),"")</f>
        <v/>
      </c>
      <c r="G169" s="190">
        <f>IF(COUNT(M169:AS169)&gt;0,MAX(M169:AS169),"")</f>
        <v/>
      </c>
      <c r="H169" s="190">
        <f>IF(COUNT(M169:AS169)&gt;0,QUARTILE(M169:AS169,1),"")</f>
        <v/>
      </c>
      <c r="I169" s="190">
        <f>IF(COUNT(M169:AS169)&gt;0,QUARTILE(M169:AS169,3),"")</f>
        <v/>
      </c>
      <c r="J169" s="190">
        <f>IF(COUNT(M169:AS169)&gt;1,STDEV(M169:AS169),"")</f>
        <v/>
      </c>
      <c r="K169" s="191">
        <f>IF(COUNT(M169:AS169)&gt;1,STDEV(M169:AS169)/AVERAGE(M169:AS169),"")</f>
        <v/>
      </c>
      <c r="M169" s="192" t="n"/>
      <c r="N169" s="192" t="n">
        <v>135</v>
      </c>
      <c r="O169" s="192" t="n"/>
      <c r="P169" s="192" t="n"/>
      <c r="Q169" s="192" t="n"/>
      <c r="R169" s="192" t="n"/>
      <c r="S169" s="192" t="n"/>
      <c r="T169" s="192" t="n"/>
      <c r="U169" s="192" t="n"/>
      <c r="V169" s="192" t="n"/>
      <c r="W169" s="192" t="n"/>
      <c r="X169" s="192" t="n"/>
      <c r="Y169" s="192" t="n"/>
      <c r="Z169" s="192" t="n"/>
      <c r="AA169" s="192" t="n"/>
      <c r="AB169" s="192" t="n"/>
      <c r="AC169" s="192" t="n"/>
      <c r="AD169" s="192" t="n"/>
      <c r="AE169" s="192" t="n"/>
      <c r="AF169" s="192" t="n"/>
      <c r="AG169" s="192" t="n"/>
      <c r="AH169" s="192" t="n"/>
      <c r="AI169" s="192" t="n"/>
      <c r="AJ169" s="192" t="n"/>
      <c r="AK169" s="192" t="n"/>
      <c r="AL169" s="192" t="n"/>
      <c r="AM169" s="192" t="n"/>
      <c r="AN169" s="192" t="n"/>
      <c r="AO169" s="192" t="n"/>
      <c r="AP169" s="192" t="n"/>
      <c r="AQ169" s="192" t="n"/>
      <c r="AR169" s="192" t="n"/>
      <c r="AS169" s="192" t="n"/>
      <c r="AT169" s="182" t="n"/>
      <c r="AU169" s="176" t="n"/>
      <c r="AV169" s="176" t="n"/>
      <c r="AW169" s="176" t="n"/>
      <c r="AX169" s="176" t="n"/>
      <c r="AY169" s="176" t="n"/>
      <c r="AZ169" s="176" t="n"/>
      <c r="BA169" s="176" t="n"/>
      <c r="BB169" s="176" t="n"/>
      <c r="BC169" s="176" t="n"/>
      <c r="BD169" s="176" t="n"/>
      <c r="BE169" s="176" t="n"/>
      <c r="BF169" s="176" t="n"/>
      <c r="BG169" s="176" t="n"/>
      <c r="BH169" s="176" t="n"/>
      <c r="BI169" s="176" t="n"/>
      <c r="BJ169" s="176" t="n"/>
      <c r="BK169" s="176" t="n"/>
      <c r="BL169" s="176" t="n"/>
      <c r="BM169" s="176" t="n"/>
      <c r="BN169" s="176" t="n"/>
      <c r="BO169" s="176" t="n"/>
      <c r="BP169" s="176" t="n"/>
      <c r="BQ169" s="176" t="n"/>
      <c r="BR169" s="176" t="n"/>
    </row>
    <row r="170" ht="15" customHeight="1" s="392">
      <c r="A170" s="176" t="n"/>
      <c r="B170" s="180" t="n"/>
      <c r="C170" s="183" t="inlineStr">
        <is>
          <t xml:space="preserve">        Capital Lease due Beyond</t>
        </is>
      </c>
      <c r="D170" s="190">
        <f>IF(COUNT(M170:AS170)&gt;0,MEDIAN(M170:AS170),"")</f>
        <v/>
      </c>
      <c r="E170" s="190">
        <f>IF(COUNT(M170:AS170)&gt;0,AVERAGE(M170:AS170),"")</f>
        <v/>
      </c>
      <c r="F170" s="190">
        <f>IF(COUNT(M170:AS170)&gt;0,MIN(M170:AS170),"")</f>
        <v/>
      </c>
      <c r="G170" s="190">
        <f>IF(COUNT(M170:AS170)&gt;0,MAX(M170:AS170),"")</f>
        <v/>
      </c>
      <c r="H170" s="190">
        <f>IF(COUNT(M170:AS170)&gt;0,QUARTILE(M170:AS170,1),"")</f>
        <v/>
      </c>
      <c r="I170" s="190">
        <f>IF(COUNT(M170:AS170)&gt;0,QUARTILE(M170:AS170,3),"")</f>
        <v/>
      </c>
      <c r="J170" s="190">
        <f>IF(COUNT(M170:AS170)&gt;1,STDEV(M170:AS170),"")</f>
        <v/>
      </c>
      <c r="K170" s="191">
        <f>IF(COUNT(M170:AS170)&gt;1,STDEV(M170:AS170)/AVERAGE(M170:AS170),"")</f>
        <v/>
      </c>
      <c r="M170" s="192" t="n"/>
      <c r="N170" s="192" t="n">
        <v>4536</v>
      </c>
      <c r="O170" s="192" t="n"/>
      <c r="P170" s="192" t="n"/>
      <c r="Q170" s="192" t="n"/>
      <c r="R170" s="192" t="n"/>
      <c r="S170" s="192" t="n"/>
      <c r="T170" s="192" t="n"/>
      <c r="U170" s="192" t="n"/>
      <c r="V170" s="192" t="n"/>
      <c r="W170" s="192" t="n"/>
      <c r="X170" s="192" t="n"/>
      <c r="Y170" s="192" t="n"/>
      <c r="Z170" s="192" t="n"/>
      <c r="AA170" s="192" t="n"/>
      <c r="AB170" s="192" t="n"/>
      <c r="AC170" s="192" t="n"/>
      <c r="AD170" s="192" t="n"/>
      <c r="AE170" s="192" t="n"/>
      <c r="AF170" s="192" t="n"/>
      <c r="AG170" s="192" t="n"/>
      <c r="AH170" s="192" t="n"/>
      <c r="AI170" s="192" t="n"/>
      <c r="AJ170" s="192" t="n"/>
      <c r="AK170" s="192" t="n"/>
      <c r="AL170" s="192" t="n"/>
      <c r="AM170" s="192" t="n"/>
      <c r="AN170" s="192" t="n"/>
      <c r="AO170" s="192" t="n"/>
      <c r="AP170" s="192" t="n"/>
      <c r="AQ170" s="192" t="n"/>
      <c r="AR170" s="192" t="n"/>
      <c r="AS170" s="192" t="n"/>
      <c r="AT170" s="182" t="n"/>
      <c r="AU170" s="176" t="n"/>
      <c r="AV170" s="176" t="n"/>
      <c r="AW170" s="176" t="n"/>
      <c r="AX170" s="176" t="n"/>
      <c r="AY170" s="176" t="n"/>
      <c r="AZ170" s="176" t="n"/>
      <c r="BA170" s="176" t="n"/>
      <c r="BB170" s="176" t="n"/>
      <c r="BC170" s="176" t="n"/>
      <c r="BD170" s="176" t="n"/>
      <c r="BE170" s="176" t="n"/>
      <c r="BF170" s="176" t="n"/>
      <c r="BG170" s="176" t="n"/>
      <c r="BH170" s="176" t="n"/>
      <c r="BI170" s="176" t="n"/>
      <c r="BJ170" s="176" t="n"/>
      <c r="BK170" s="176" t="n"/>
      <c r="BL170" s="176" t="n"/>
      <c r="BM170" s="176" t="n"/>
      <c r="BN170" s="176" t="n"/>
      <c r="BO170" s="176" t="n"/>
      <c r="BP170" s="176" t="n"/>
      <c r="BQ170" s="176" t="n"/>
      <c r="BR170" s="176" t="n"/>
    </row>
    <row r="171" ht="15" customHeight="1" s="392">
      <c r="A171" s="176" t="n"/>
      <c r="B171" s="180" t="n"/>
      <c r="C171" s="183" t="inlineStr">
        <is>
          <t xml:space="preserve">        Capital Lease - Interests Charges and Other Adjustments</t>
        </is>
      </c>
      <c r="D171" s="190">
        <f>IF(COUNT(M171:AS171)&gt;0,MEDIAN(M171:AS171),"")</f>
        <v/>
      </c>
      <c r="E171" s="190">
        <f>IF(COUNT(M171:AS171)&gt;0,AVERAGE(M171:AS171),"")</f>
        <v/>
      </c>
      <c r="F171" s="190">
        <f>IF(COUNT(M171:AS171)&gt;0,MIN(M171:AS171),"")</f>
        <v/>
      </c>
      <c r="G171" s="190">
        <f>IF(COUNT(M171:AS171)&gt;0,MAX(M171:AS171),"")</f>
        <v/>
      </c>
      <c r="H171" s="190">
        <f>IF(COUNT(M171:AS171)&gt;0,QUARTILE(M171:AS171,1),"")</f>
        <v/>
      </c>
      <c r="I171" s="190">
        <f>IF(COUNT(M171:AS171)&gt;0,QUARTILE(M171:AS171,3),"")</f>
        <v/>
      </c>
      <c r="J171" s="190">
        <f>IF(COUNT(M171:AS171)&gt;1,STDEV(M171:AS171),"")</f>
        <v/>
      </c>
      <c r="K171" s="191">
        <f>IF(COUNT(M171:AS171)&gt;1,STDEV(M171:AS171)/AVERAGE(M171:AS171),"")</f>
        <v/>
      </c>
      <c r="M171" s="192" t="n"/>
      <c r="N171" s="192" t="n">
        <v>-2506</v>
      </c>
      <c r="O171" s="192" t="n"/>
      <c r="P171" s="192" t="n"/>
      <c r="Q171" s="192" t="n">
        <v>-1</v>
      </c>
      <c r="R171" s="192" t="n">
        <v>-6</v>
      </c>
      <c r="S171" s="192" t="n">
        <v>-22</v>
      </c>
      <c r="T171" s="192" t="n">
        <v>-41</v>
      </c>
      <c r="U171" s="192" t="n">
        <v>-29</v>
      </c>
      <c r="V171" s="192" t="n">
        <v>-97</v>
      </c>
      <c r="W171" s="192" t="n">
        <v>-194</v>
      </c>
      <c r="X171" s="192" t="n">
        <v>-28</v>
      </c>
      <c r="Y171" s="192" t="n">
        <v>-92</v>
      </c>
      <c r="Z171" s="192" t="n">
        <v>-8</v>
      </c>
      <c r="AA171" s="192" t="n">
        <v>-17</v>
      </c>
      <c r="AB171" s="192" t="n"/>
      <c r="AC171" s="192" t="n"/>
      <c r="AD171" s="192" t="n"/>
      <c r="AE171" s="192" t="n"/>
      <c r="AF171" s="192" t="n"/>
      <c r="AG171" s="192" t="n"/>
      <c r="AH171" s="192" t="n"/>
      <c r="AI171" s="192" t="n"/>
      <c r="AJ171" s="192" t="n"/>
      <c r="AK171" s="192" t="n"/>
      <c r="AL171" s="192" t="n"/>
      <c r="AM171" s="192" t="n"/>
      <c r="AN171" s="192" t="n"/>
      <c r="AO171" s="192" t="n"/>
      <c r="AP171" s="192" t="n"/>
      <c r="AQ171" s="192" t="n"/>
      <c r="AR171" s="192" t="n"/>
      <c r="AS171" s="192" t="n"/>
      <c r="AT171" s="182" t="n"/>
      <c r="AU171" s="176" t="n"/>
      <c r="AV171" s="176" t="n"/>
      <c r="AW171" s="176" t="n"/>
      <c r="AX171" s="176" t="n"/>
      <c r="AY171" s="176" t="n"/>
      <c r="AZ171" s="176" t="n"/>
      <c r="BA171" s="176" t="n"/>
      <c r="BB171" s="176" t="n"/>
      <c r="BC171" s="176" t="n"/>
      <c r="BD171" s="176" t="n"/>
      <c r="BE171" s="176" t="n"/>
      <c r="BF171" s="176" t="n"/>
      <c r="BG171" s="176" t="n"/>
      <c r="BH171" s="176" t="n"/>
      <c r="BI171" s="176" t="n"/>
      <c r="BJ171" s="176" t="n"/>
      <c r="BK171" s="176" t="n"/>
      <c r="BL171" s="176" t="n"/>
      <c r="BM171" s="176" t="n"/>
      <c r="BN171" s="176" t="n"/>
      <c r="BO171" s="176" t="n"/>
      <c r="BP171" s="176" t="n"/>
      <c r="BQ171" s="176" t="n"/>
      <c r="BR171" s="176" t="n"/>
    </row>
    <row r="172" ht="15" customHeight="1" s="392">
      <c r="A172" s="176" t="n"/>
      <c r="B172" s="180" t="n"/>
      <c r="C172" s="187" t="inlineStr">
        <is>
          <t xml:space="preserve">    Total Capital Lease Obligation Maturity Schedule</t>
        </is>
      </c>
      <c r="D172" s="193">
        <f>IF(COUNT(M172:AS172)&gt;0,MEDIAN(M172:AS172),"")</f>
        <v/>
      </c>
      <c r="E172" s="193">
        <f>IF(COUNT(M172:AS172)&gt;0,AVERAGE(M172:AS172),"")</f>
        <v/>
      </c>
      <c r="F172" s="193">
        <f>IF(COUNT(M172:AS172)&gt;0,MIN(M172:AS172),"")</f>
        <v/>
      </c>
      <c r="G172" s="193">
        <f>IF(COUNT(M172:AS172)&gt;0,MAX(M172:AS172),"")</f>
        <v/>
      </c>
      <c r="H172" s="193">
        <f>IF(COUNT(M172:AS172)&gt;0,QUARTILE(M172:AS172,1),"")</f>
        <v/>
      </c>
      <c r="I172" s="193">
        <f>IF(COUNT(M172:AS172)&gt;0,QUARTILE(M172:AS172,3),"")</f>
        <v/>
      </c>
      <c r="J172" s="193">
        <f>IF(COUNT(M172:AS172)&gt;1,STDEV(M172:AS172),"")</f>
        <v/>
      </c>
      <c r="K172" s="194">
        <f>IF(COUNT(M172:AS172)&gt;1,STDEV(M172:AS172)/AVERAGE(M172:AS172),"")</f>
        <v/>
      </c>
      <c r="L172" s="195" t="n"/>
      <c r="M172" s="196" t="n"/>
      <c r="N172" s="196" t="n">
        <v>2705</v>
      </c>
      <c r="O172" s="196" t="n"/>
      <c r="P172" s="196" t="n"/>
      <c r="Q172" s="196" t="n">
        <v>36</v>
      </c>
      <c r="R172" s="196" t="n">
        <v>566</v>
      </c>
      <c r="S172" s="196" t="n">
        <v>1317</v>
      </c>
      <c r="T172" s="196" t="n">
        <v>1727</v>
      </c>
      <c r="U172" s="196" t="n">
        <v>980</v>
      </c>
      <c r="V172" s="196" t="n">
        <v>2065</v>
      </c>
      <c r="W172" s="196" t="n">
        <v>2932</v>
      </c>
      <c r="X172" s="196" t="n">
        <v>1324</v>
      </c>
      <c r="Y172" s="196" t="n">
        <v>2667</v>
      </c>
      <c r="Z172" s="196" t="n">
        <v>289</v>
      </c>
      <c r="AA172" s="196" t="n">
        <v>307</v>
      </c>
      <c r="AB172" s="196" t="n"/>
      <c r="AC172" s="196" t="n"/>
      <c r="AD172" s="196" t="n"/>
      <c r="AE172" s="196" t="n"/>
      <c r="AF172" s="196" t="n"/>
      <c r="AG172" s="196" t="n"/>
      <c r="AH172" s="196" t="n"/>
      <c r="AI172" s="196" t="n"/>
      <c r="AJ172" s="196" t="n"/>
      <c r="AK172" s="196" t="n"/>
      <c r="AL172" s="196" t="n"/>
      <c r="AM172" s="196" t="n"/>
      <c r="AN172" s="196" t="n"/>
      <c r="AO172" s="196" t="n"/>
      <c r="AP172" s="196" t="n"/>
      <c r="AQ172" s="196" t="n"/>
      <c r="AR172" s="196" t="n"/>
      <c r="AS172" s="196" t="n"/>
      <c r="AT172" s="182" t="n"/>
      <c r="AU172" s="176" t="n"/>
      <c r="AV172" s="176" t="n"/>
      <c r="AW172" s="176" t="n"/>
      <c r="AX172" s="176" t="n"/>
      <c r="AY172" s="176" t="n"/>
      <c r="AZ172" s="176" t="n"/>
      <c r="BA172" s="176" t="n"/>
      <c r="BB172" s="176" t="n"/>
      <c r="BC172" s="176" t="n"/>
      <c r="BD172" s="176" t="n"/>
      <c r="BE172" s="176" t="n"/>
      <c r="BF172" s="176" t="n"/>
      <c r="BG172" s="176" t="n"/>
      <c r="BH172" s="176" t="n"/>
      <c r="BI172" s="176" t="n"/>
      <c r="BJ172" s="176" t="n"/>
      <c r="BK172" s="176" t="n"/>
      <c r="BL172" s="176" t="n"/>
      <c r="BM172" s="176" t="n"/>
      <c r="BN172" s="176" t="n"/>
      <c r="BO172" s="176" t="n"/>
      <c r="BP172" s="176" t="n"/>
      <c r="BQ172" s="176" t="n"/>
      <c r="BR172" s="176" t="n"/>
    </row>
    <row r="173" ht="15" customHeight="1" s="392">
      <c r="A173" s="176" t="n"/>
      <c r="B173" s="180" t="n"/>
      <c r="C173" s="183" t="inlineStr">
        <is>
          <t xml:space="preserve">    Operating Lease Obligation Maturity Schedule</t>
        </is>
      </c>
      <c r="D173" s="185" t="n"/>
      <c r="E173" s="185" t="n"/>
      <c r="F173" s="185" t="n"/>
      <c r="G173" s="185" t="n"/>
      <c r="H173" s="185" t="n"/>
      <c r="I173" s="185" t="n"/>
      <c r="J173" s="185" t="n"/>
      <c r="K173" s="185" t="n"/>
      <c r="AT173" s="182" t="n"/>
      <c r="AU173" s="176" t="n"/>
      <c r="AV173" s="176" t="n"/>
      <c r="AW173" s="176" t="n"/>
      <c r="AX173" s="176" t="n"/>
      <c r="AY173" s="176" t="n"/>
      <c r="AZ173" s="176" t="n"/>
      <c r="BA173" s="176" t="n"/>
      <c r="BB173" s="176" t="n"/>
      <c r="BC173" s="176" t="n"/>
      <c r="BD173" s="176" t="n"/>
      <c r="BE173" s="176" t="n"/>
      <c r="BF173" s="176" t="n"/>
      <c r="BG173" s="176" t="n"/>
      <c r="BH173" s="176" t="n"/>
      <c r="BI173" s="176" t="n"/>
      <c r="BJ173" s="176" t="n"/>
      <c r="BK173" s="176" t="n"/>
      <c r="BL173" s="176" t="n"/>
      <c r="BM173" s="176" t="n"/>
      <c r="BN173" s="176" t="n"/>
      <c r="BO173" s="176" t="n"/>
      <c r="BP173" s="176" t="n"/>
      <c r="BQ173" s="176" t="n"/>
      <c r="BR173" s="176" t="n"/>
    </row>
    <row r="174" ht="15" customHeight="1" s="392">
      <c r="A174" s="176" t="n"/>
      <c r="B174" s="180" t="n"/>
      <c r="C174" s="183" t="inlineStr">
        <is>
          <t xml:space="preserve">        Operating Lease due in year 1</t>
        </is>
      </c>
      <c r="D174" s="190">
        <f>IF(COUNT(M174:AS174)&gt;0,MEDIAN(M174:AS174),"")</f>
        <v/>
      </c>
      <c r="E174" s="190">
        <f>IF(COUNT(M174:AS174)&gt;0,AVERAGE(M174:AS174),"")</f>
        <v/>
      </c>
      <c r="F174" s="190">
        <f>IF(COUNT(M174:AS174)&gt;0,MIN(M174:AS174),"")</f>
        <v/>
      </c>
      <c r="G174" s="190">
        <f>IF(COUNT(M174:AS174)&gt;0,MAX(M174:AS174),"")</f>
        <v/>
      </c>
      <c r="H174" s="190">
        <f>IF(COUNT(M174:AS174)&gt;0,QUARTILE(M174:AS174,1),"")</f>
        <v/>
      </c>
      <c r="I174" s="190">
        <f>IF(COUNT(M174:AS174)&gt;0,QUARTILE(M174:AS174,3),"")</f>
        <v/>
      </c>
      <c r="J174" s="190">
        <f>IF(COUNT(M174:AS174)&gt;1,STDEV(M174:AS174),"")</f>
        <v/>
      </c>
      <c r="K174" s="191">
        <f>IF(COUNT(M174:AS174)&gt;1,STDEV(M174:AS174)/AVERAGE(M174:AS174),"")</f>
        <v/>
      </c>
      <c r="M174" s="192" t="n"/>
      <c r="N174" s="192" t="n">
        <v>22407</v>
      </c>
      <c r="O174" s="192" t="n">
        <v>24745</v>
      </c>
      <c r="P174" s="192" t="n">
        <v>24034</v>
      </c>
      <c r="Q174" s="192" t="n">
        <v>24650</v>
      </c>
      <c r="R174" s="192" t="n">
        <v>24626</v>
      </c>
      <c r="S174" s="192" t="n">
        <v>27718</v>
      </c>
      <c r="T174" s="192" t="n">
        <v>30158</v>
      </c>
      <c r="U174" s="192" t="n">
        <v>29773</v>
      </c>
      <c r="V174" s="192" t="n">
        <v>28126</v>
      </c>
      <c r="W174" s="192" t="n">
        <v>23217</v>
      </c>
      <c r="X174" s="192" t="n">
        <v>22311</v>
      </c>
      <c r="Y174" s="192" t="n">
        <v>23357</v>
      </c>
      <c r="Z174" s="192" t="n">
        <v>23162</v>
      </c>
      <c r="AA174" s="192" t="n"/>
      <c r="AB174" s="192" t="n"/>
      <c r="AC174" s="192" t="n"/>
      <c r="AD174" s="192" t="n"/>
      <c r="AE174" s="192" t="n"/>
      <c r="AF174" s="192" t="n"/>
      <c r="AG174" s="192" t="n"/>
      <c r="AH174" s="192" t="n"/>
      <c r="AI174" s="192" t="n"/>
      <c r="AJ174" s="192" t="n"/>
      <c r="AK174" s="192" t="n"/>
      <c r="AL174" s="192" t="n"/>
      <c r="AM174" s="192" t="n"/>
      <c r="AN174" s="192" t="n"/>
      <c r="AO174" s="192" t="n"/>
      <c r="AP174" s="192" t="n"/>
      <c r="AQ174" s="192" t="n"/>
      <c r="AR174" s="192" t="n"/>
      <c r="AS174" s="192" t="n"/>
      <c r="AT174" s="182" t="n"/>
      <c r="AU174" s="176" t="n"/>
      <c r="AV174" s="176" t="n"/>
      <c r="AW174" s="176" t="n"/>
      <c r="AX174" s="176" t="n"/>
      <c r="AY174" s="176" t="n"/>
      <c r="AZ174" s="176" t="n"/>
      <c r="BA174" s="176" t="n"/>
      <c r="BB174" s="176" t="n"/>
      <c r="BC174" s="176" t="n"/>
      <c r="BD174" s="176" t="n"/>
      <c r="BE174" s="176" t="n"/>
      <c r="BF174" s="176" t="n"/>
      <c r="BG174" s="176" t="n"/>
      <c r="BH174" s="176" t="n"/>
      <c r="BI174" s="176" t="n"/>
      <c r="BJ174" s="176" t="n"/>
      <c r="BK174" s="176" t="n"/>
      <c r="BL174" s="176" t="n"/>
      <c r="BM174" s="176" t="n"/>
      <c r="BN174" s="176" t="n"/>
      <c r="BO174" s="176" t="n"/>
      <c r="BP174" s="176" t="n"/>
      <c r="BQ174" s="176" t="n"/>
      <c r="BR174" s="176" t="n"/>
    </row>
    <row r="175" ht="15" customHeight="1" s="392">
      <c r="A175" s="176" t="n"/>
      <c r="B175" s="180" t="n"/>
      <c r="C175" s="183" t="inlineStr">
        <is>
          <t xml:space="preserve">        Operating Lease due in year 2</t>
        </is>
      </c>
      <c r="D175" s="190">
        <f>IF(COUNT(M175:AS175)&gt;0,MEDIAN(M175:AS175),"")</f>
        <v/>
      </c>
      <c r="E175" s="190">
        <f>IF(COUNT(M175:AS175)&gt;0,AVERAGE(M175:AS175),"")</f>
        <v/>
      </c>
      <c r="F175" s="190">
        <f>IF(COUNT(M175:AS175)&gt;0,MIN(M175:AS175),"")</f>
        <v/>
      </c>
      <c r="G175" s="190">
        <f>IF(COUNT(M175:AS175)&gt;0,MAX(M175:AS175),"")</f>
        <v/>
      </c>
      <c r="H175" s="190">
        <f>IF(COUNT(M175:AS175)&gt;0,QUARTILE(M175:AS175,1),"")</f>
        <v/>
      </c>
      <c r="I175" s="190">
        <f>IF(COUNT(M175:AS175)&gt;0,QUARTILE(M175:AS175,3),"")</f>
        <v/>
      </c>
      <c r="J175" s="190">
        <f>IF(COUNT(M175:AS175)&gt;1,STDEV(M175:AS175),"")</f>
        <v/>
      </c>
      <c r="K175" s="191">
        <f>IF(COUNT(M175:AS175)&gt;1,STDEV(M175:AS175)/AVERAGE(M175:AS175),"")</f>
        <v/>
      </c>
      <c r="M175" s="192" t="n"/>
      <c r="N175" s="192" t="n">
        <v>18104</v>
      </c>
      <c r="O175" s="192" t="n">
        <v>20978</v>
      </c>
      <c r="P175" s="192" t="n">
        <v>20746</v>
      </c>
      <c r="Q175" s="192" t="n">
        <v>20119</v>
      </c>
      <c r="R175" s="192" t="n">
        <v>20818</v>
      </c>
      <c r="S175" s="192" t="n">
        <v>22619</v>
      </c>
      <c r="T175" s="192" t="n">
        <v>25177</v>
      </c>
      <c r="U175" s="192" t="n">
        <v>22471</v>
      </c>
      <c r="V175" s="192" t="n">
        <v>23364</v>
      </c>
      <c r="W175" s="192" t="n">
        <v>20154</v>
      </c>
      <c r="X175" s="192" t="n">
        <v>19734</v>
      </c>
      <c r="Y175" s="192" t="n">
        <v>20718</v>
      </c>
      <c r="Z175" s="192" t="n">
        <v>18493</v>
      </c>
      <c r="AA175" s="192" t="n"/>
      <c r="AB175" s="192" t="n"/>
      <c r="AC175" s="192" t="n"/>
      <c r="AD175" s="192" t="n"/>
      <c r="AE175" s="192" t="n"/>
      <c r="AF175" s="192" t="n"/>
      <c r="AG175" s="192" t="n"/>
      <c r="AH175" s="192" t="n"/>
      <c r="AI175" s="192" t="n"/>
      <c r="AJ175" s="192" t="n"/>
      <c r="AK175" s="192" t="n"/>
      <c r="AL175" s="192" t="n"/>
      <c r="AM175" s="192" t="n"/>
      <c r="AN175" s="192" t="n"/>
      <c r="AO175" s="192" t="n"/>
      <c r="AP175" s="192" t="n"/>
      <c r="AQ175" s="192" t="n"/>
      <c r="AR175" s="192" t="n"/>
      <c r="AS175" s="192" t="n"/>
      <c r="AT175" s="182" t="n"/>
      <c r="AU175" s="176" t="n"/>
      <c r="AV175" s="176" t="n"/>
      <c r="AW175" s="176" t="n"/>
      <c r="AX175" s="176" t="n"/>
      <c r="AY175" s="176" t="n"/>
      <c r="AZ175" s="176" t="n"/>
      <c r="BA175" s="176" t="n"/>
      <c r="BB175" s="176" t="n"/>
      <c r="BC175" s="176" t="n"/>
      <c r="BD175" s="176" t="n"/>
      <c r="BE175" s="176" t="n"/>
      <c r="BF175" s="176" t="n"/>
      <c r="BG175" s="176" t="n"/>
      <c r="BH175" s="176" t="n"/>
      <c r="BI175" s="176" t="n"/>
      <c r="BJ175" s="176" t="n"/>
      <c r="BK175" s="176" t="n"/>
      <c r="BL175" s="176" t="n"/>
      <c r="BM175" s="176" t="n"/>
      <c r="BN175" s="176" t="n"/>
      <c r="BO175" s="176" t="n"/>
      <c r="BP175" s="176" t="n"/>
      <c r="BQ175" s="176" t="n"/>
      <c r="BR175" s="176" t="n"/>
    </row>
    <row r="176" ht="15" customHeight="1" s="392">
      <c r="A176" s="176" t="n"/>
      <c r="B176" s="180" t="n"/>
      <c r="C176" s="183" t="inlineStr">
        <is>
          <t xml:space="preserve">        Operating Lease due in year 3</t>
        </is>
      </c>
      <c r="D176" s="190">
        <f>IF(COUNT(M176:AS176)&gt;0,MEDIAN(M176:AS176),"")</f>
        <v/>
      </c>
      <c r="E176" s="190">
        <f>IF(COUNT(M176:AS176)&gt;0,AVERAGE(M176:AS176),"")</f>
        <v/>
      </c>
      <c r="F176" s="190">
        <f>IF(COUNT(M176:AS176)&gt;0,MIN(M176:AS176),"")</f>
        <v/>
      </c>
      <c r="G176" s="190">
        <f>IF(COUNT(M176:AS176)&gt;0,MAX(M176:AS176),"")</f>
        <v/>
      </c>
      <c r="H176" s="190">
        <f>IF(COUNT(M176:AS176)&gt;0,QUARTILE(M176:AS176,1),"")</f>
        <v/>
      </c>
      <c r="I176" s="190">
        <f>IF(COUNT(M176:AS176)&gt;0,QUARTILE(M176:AS176,3),"")</f>
        <v/>
      </c>
      <c r="J176" s="190">
        <f>IF(COUNT(M176:AS176)&gt;1,STDEV(M176:AS176),"")</f>
        <v/>
      </c>
      <c r="K176" s="191">
        <f>IF(COUNT(M176:AS176)&gt;1,STDEV(M176:AS176)/AVERAGE(M176:AS176),"")</f>
        <v/>
      </c>
      <c r="M176" s="192" t="n"/>
      <c r="N176" s="192" t="n">
        <v>16625</v>
      </c>
      <c r="O176" s="192" t="n">
        <v>17028</v>
      </c>
      <c r="P176" s="192" t="n">
        <v>16795</v>
      </c>
      <c r="Q176" s="192" t="n">
        <v>17683</v>
      </c>
      <c r="R176" s="192" t="n">
        <v>16005</v>
      </c>
      <c r="S176" s="192" t="n">
        <v>19355</v>
      </c>
      <c r="T176" s="192" t="n">
        <v>20211</v>
      </c>
      <c r="U176" s="192" t="n">
        <v>18515</v>
      </c>
      <c r="V176" s="192" t="n">
        <v>17285</v>
      </c>
      <c r="W176" s="192" t="n">
        <v>16179</v>
      </c>
      <c r="X176" s="192" t="n">
        <v>17431</v>
      </c>
      <c r="Y176" s="192" t="n">
        <v>18334</v>
      </c>
      <c r="Z176" s="192" t="n">
        <v>15343</v>
      </c>
      <c r="AA176" s="192" t="n"/>
      <c r="AB176" s="192" t="n"/>
      <c r="AC176" s="192" t="n"/>
      <c r="AD176" s="192" t="n"/>
      <c r="AE176" s="192" t="n"/>
      <c r="AF176" s="192" t="n"/>
      <c r="AG176" s="192" t="n"/>
      <c r="AH176" s="192" t="n"/>
      <c r="AI176" s="192" t="n"/>
      <c r="AJ176" s="192" t="n"/>
      <c r="AK176" s="192" t="n"/>
      <c r="AL176" s="192" t="n"/>
      <c r="AM176" s="192" t="n"/>
      <c r="AN176" s="192" t="n"/>
      <c r="AO176" s="192" t="n"/>
      <c r="AP176" s="192" t="n"/>
      <c r="AQ176" s="192" t="n"/>
      <c r="AR176" s="192" t="n"/>
      <c r="AS176" s="192" t="n"/>
      <c r="AT176" s="182" t="n"/>
      <c r="AU176" s="176" t="n"/>
      <c r="AV176" s="176" t="n"/>
      <c r="AW176" s="176" t="n"/>
      <c r="AX176" s="176" t="n"/>
      <c r="AY176" s="176" t="n"/>
      <c r="AZ176" s="176" t="n"/>
      <c r="BA176" s="176" t="n"/>
      <c r="BB176" s="176" t="n"/>
      <c r="BC176" s="176" t="n"/>
      <c r="BD176" s="176" t="n"/>
      <c r="BE176" s="176" t="n"/>
      <c r="BF176" s="176" t="n"/>
      <c r="BG176" s="176" t="n"/>
      <c r="BH176" s="176" t="n"/>
      <c r="BI176" s="176" t="n"/>
      <c r="BJ176" s="176" t="n"/>
      <c r="BK176" s="176" t="n"/>
      <c r="BL176" s="176" t="n"/>
      <c r="BM176" s="176" t="n"/>
      <c r="BN176" s="176" t="n"/>
      <c r="BO176" s="176" t="n"/>
      <c r="BP176" s="176" t="n"/>
      <c r="BQ176" s="176" t="n"/>
      <c r="BR176" s="176" t="n"/>
    </row>
    <row r="177" ht="15" customHeight="1" s="392">
      <c r="A177" s="176" t="n"/>
      <c r="B177" s="180" t="n"/>
      <c r="C177" s="183" t="inlineStr">
        <is>
          <t xml:space="preserve">        Operating Lease due in year 4</t>
        </is>
      </c>
      <c r="D177" s="190">
        <f>IF(COUNT(M177:AS177)&gt;0,MEDIAN(M177:AS177),"")</f>
        <v/>
      </c>
      <c r="E177" s="190">
        <f>IF(COUNT(M177:AS177)&gt;0,AVERAGE(M177:AS177),"")</f>
        <v/>
      </c>
      <c r="F177" s="190">
        <f>IF(COUNT(M177:AS177)&gt;0,MIN(M177:AS177),"")</f>
        <v/>
      </c>
      <c r="G177" s="190">
        <f>IF(COUNT(M177:AS177)&gt;0,MAX(M177:AS177),"")</f>
        <v/>
      </c>
      <c r="H177" s="190">
        <f>IF(COUNT(M177:AS177)&gt;0,QUARTILE(M177:AS177,1),"")</f>
        <v/>
      </c>
      <c r="I177" s="190">
        <f>IF(COUNT(M177:AS177)&gt;0,QUARTILE(M177:AS177,3),"")</f>
        <v/>
      </c>
      <c r="J177" s="190">
        <f>IF(COUNT(M177:AS177)&gt;1,STDEV(M177:AS177),"")</f>
        <v/>
      </c>
      <c r="K177" s="191">
        <f>IF(COUNT(M177:AS177)&gt;1,STDEV(M177:AS177)/AVERAGE(M177:AS177),"")</f>
        <v/>
      </c>
      <c r="M177" s="192" t="n"/>
      <c r="N177" s="192" t="n">
        <v>13956</v>
      </c>
      <c r="O177" s="192" t="n">
        <v>15513</v>
      </c>
      <c r="P177" s="192" t="n">
        <v>12488</v>
      </c>
      <c r="Q177" s="192" t="n">
        <v>14403</v>
      </c>
      <c r="R177" s="192" t="n">
        <v>13833</v>
      </c>
      <c r="S177" s="192" t="n">
        <v>14980</v>
      </c>
      <c r="T177" s="192" t="n">
        <v>17794</v>
      </c>
      <c r="U177" s="192" t="n">
        <v>13782</v>
      </c>
      <c r="V177" s="192" t="n">
        <v>14409</v>
      </c>
      <c r="W177" s="192" t="n">
        <v>12777</v>
      </c>
      <c r="X177" s="192" t="n">
        <v>14113</v>
      </c>
      <c r="Y177" s="192" t="n">
        <v>16050</v>
      </c>
      <c r="Z177" s="192" t="n">
        <v>13953</v>
      </c>
      <c r="AA177" s="192" t="n"/>
      <c r="AB177" s="192" t="n"/>
      <c r="AC177" s="192" t="n"/>
      <c r="AD177" s="192" t="n"/>
      <c r="AE177" s="192" t="n"/>
      <c r="AF177" s="192" t="n"/>
      <c r="AG177" s="192" t="n"/>
      <c r="AH177" s="192" t="n"/>
      <c r="AI177" s="192" t="n"/>
      <c r="AJ177" s="192" t="n"/>
      <c r="AK177" s="192" t="n"/>
      <c r="AL177" s="192" t="n"/>
      <c r="AM177" s="192" t="n"/>
      <c r="AN177" s="192" t="n"/>
      <c r="AO177" s="192" t="n"/>
      <c r="AP177" s="192" t="n"/>
      <c r="AQ177" s="192" t="n"/>
      <c r="AR177" s="192" t="n"/>
      <c r="AS177" s="192" t="n"/>
      <c r="AT177" s="182" t="n"/>
      <c r="AU177" s="176" t="n"/>
      <c r="AV177" s="176" t="n"/>
      <c r="AW177" s="176" t="n"/>
      <c r="AX177" s="176" t="n"/>
      <c r="AY177" s="176" t="n"/>
      <c r="AZ177" s="176" t="n"/>
      <c r="BA177" s="176" t="n"/>
      <c r="BB177" s="176" t="n"/>
      <c r="BC177" s="176" t="n"/>
      <c r="BD177" s="176" t="n"/>
      <c r="BE177" s="176" t="n"/>
      <c r="BF177" s="176" t="n"/>
      <c r="BG177" s="176" t="n"/>
      <c r="BH177" s="176" t="n"/>
      <c r="BI177" s="176" t="n"/>
      <c r="BJ177" s="176" t="n"/>
      <c r="BK177" s="176" t="n"/>
      <c r="BL177" s="176" t="n"/>
      <c r="BM177" s="176" t="n"/>
      <c r="BN177" s="176" t="n"/>
      <c r="BO177" s="176" t="n"/>
      <c r="BP177" s="176" t="n"/>
      <c r="BQ177" s="176" t="n"/>
      <c r="BR177" s="176" t="n"/>
    </row>
    <row r="178" ht="15" customHeight="1" s="392">
      <c r="A178" s="176" t="n"/>
      <c r="B178" s="180" t="n"/>
      <c r="C178" s="183" t="inlineStr">
        <is>
          <t xml:space="preserve">        Operating Lease due in year 5</t>
        </is>
      </c>
      <c r="D178" s="190">
        <f>IF(COUNT(M178:AS178)&gt;0,MEDIAN(M178:AS178),"")</f>
        <v/>
      </c>
      <c r="E178" s="190">
        <f>IF(COUNT(M178:AS178)&gt;0,AVERAGE(M178:AS178),"")</f>
        <v/>
      </c>
      <c r="F178" s="190">
        <f>IF(COUNT(M178:AS178)&gt;0,MIN(M178:AS178),"")</f>
        <v/>
      </c>
      <c r="G178" s="190">
        <f>IF(COUNT(M178:AS178)&gt;0,MAX(M178:AS178),"")</f>
        <v/>
      </c>
      <c r="H178" s="190">
        <f>IF(COUNT(M178:AS178)&gt;0,QUARTILE(M178:AS178,1),"")</f>
        <v/>
      </c>
      <c r="I178" s="190">
        <f>IF(COUNT(M178:AS178)&gt;0,QUARTILE(M178:AS178,3),"")</f>
        <v/>
      </c>
      <c r="J178" s="190">
        <f>IF(COUNT(M178:AS178)&gt;1,STDEV(M178:AS178),"")</f>
        <v/>
      </c>
      <c r="K178" s="191">
        <f>IF(COUNT(M178:AS178)&gt;1,STDEV(M178:AS178)/AVERAGE(M178:AS178),"")</f>
        <v/>
      </c>
      <c r="M178" s="192" t="n"/>
      <c r="N178" s="192" t="n">
        <v>8534</v>
      </c>
      <c r="O178" s="192" t="n">
        <v>13634</v>
      </c>
      <c r="P178" s="192" t="n">
        <v>10668</v>
      </c>
      <c r="Q178" s="192" t="n">
        <v>10428</v>
      </c>
      <c r="R178" s="192" t="n">
        <v>10870</v>
      </c>
      <c r="S178" s="192" t="n">
        <v>10156</v>
      </c>
      <c r="T178" s="192" t="n">
        <v>13516</v>
      </c>
      <c r="U178" s="192" t="n">
        <v>11680</v>
      </c>
      <c r="V178" s="192" t="n">
        <v>10147</v>
      </c>
      <c r="W178" s="192" t="n">
        <v>9847</v>
      </c>
      <c r="X178" s="192" t="n">
        <v>10895</v>
      </c>
      <c r="Y178" s="192" t="n">
        <v>12685</v>
      </c>
      <c r="Z178" s="192" t="n">
        <v>12168</v>
      </c>
      <c r="AA178" s="192" t="n"/>
      <c r="AB178" s="192" t="n"/>
      <c r="AC178" s="192" t="n"/>
      <c r="AD178" s="192" t="n"/>
      <c r="AE178" s="192" t="n"/>
      <c r="AF178" s="192" t="n"/>
      <c r="AG178" s="192" t="n"/>
      <c r="AH178" s="192" t="n"/>
      <c r="AI178" s="192" t="n"/>
      <c r="AJ178" s="192" t="n"/>
      <c r="AK178" s="192" t="n"/>
      <c r="AL178" s="192" t="n"/>
      <c r="AM178" s="192" t="n"/>
      <c r="AN178" s="192" t="n"/>
      <c r="AO178" s="192" t="n"/>
      <c r="AP178" s="192" t="n"/>
      <c r="AQ178" s="192" t="n"/>
      <c r="AR178" s="192" t="n"/>
      <c r="AS178" s="192" t="n"/>
      <c r="AT178" s="182" t="n"/>
      <c r="AU178" s="176" t="n"/>
      <c r="AV178" s="176" t="n"/>
      <c r="AW178" s="176" t="n"/>
      <c r="AX178" s="176" t="n"/>
      <c r="AY178" s="176" t="n"/>
      <c r="AZ178" s="176" t="n"/>
      <c r="BA178" s="176" t="n"/>
      <c r="BB178" s="176" t="n"/>
      <c r="BC178" s="176" t="n"/>
      <c r="BD178" s="176" t="n"/>
      <c r="BE178" s="176" t="n"/>
      <c r="BF178" s="176" t="n"/>
      <c r="BG178" s="176" t="n"/>
      <c r="BH178" s="176" t="n"/>
      <c r="BI178" s="176" t="n"/>
      <c r="BJ178" s="176" t="n"/>
      <c r="BK178" s="176" t="n"/>
      <c r="BL178" s="176" t="n"/>
      <c r="BM178" s="176" t="n"/>
      <c r="BN178" s="176" t="n"/>
      <c r="BO178" s="176" t="n"/>
      <c r="BP178" s="176" t="n"/>
      <c r="BQ178" s="176" t="n"/>
      <c r="BR178" s="176" t="n"/>
    </row>
    <row r="179" ht="15" customHeight="1" s="392">
      <c r="A179" s="176" t="n"/>
      <c r="B179" s="180" t="n"/>
      <c r="C179" s="183" t="inlineStr">
        <is>
          <t xml:space="preserve">        Operating Lease due Beyond</t>
        </is>
      </c>
      <c r="D179" s="190">
        <f>IF(COUNT(M179:AS179)&gt;0,MEDIAN(M179:AS179),"")</f>
        <v/>
      </c>
      <c r="E179" s="190">
        <f>IF(COUNT(M179:AS179)&gt;0,AVERAGE(M179:AS179),"")</f>
        <v/>
      </c>
      <c r="F179" s="190">
        <f>IF(COUNT(M179:AS179)&gt;0,MIN(M179:AS179),"")</f>
        <v/>
      </c>
      <c r="G179" s="190">
        <f>IF(COUNT(M179:AS179)&gt;0,MAX(M179:AS179),"")</f>
        <v/>
      </c>
      <c r="H179" s="190">
        <f>IF(COUNT(M179:AS179)&gt;0,QUARTILE(M179:AS179,1),"")</f>
        <v/>
      </c>
      <c r="I179" s="190">
        <f>IF(COUNT(M179:AS179)&gt;0,QUARTILE(M179:AS179,3),"")</f>
        <v/>
      </c>
      <c r="J179" s="190">
        <f>IF(COUNT(M179:AS179)&gt;1,STDEV(M179:AS179),"")</f>
        <v/>
      </c>
      <c r="K179" s="191">
        <f>IF(COUNT(M179:AS179)&gt;1,STDEV(M179:AS179)/AVERAGE(M179:AS179),"")</f>
        <v/>
      </c>
      <c r="M179" s="192" t="n"/>
      <c r="N179" s="192" t="n">
        <v>39670</v>
      </c>
      <c r="O179" s="192" t="n">
        <v>47809</v>
      </c>
      <c r="P179" s="192" t="n">
        <v>42305</v>
      </c>
      <c r="Q179" s="192" t="n">
        <v>48447</v>
      </c>
      <c r="R179" s="192" t="n">
        <v>53632</v>
      </c>
      <c r="S179" s="192" t="n">
        <v>45807</v>
      </c>
      <c r="T179" s="192" t="n">
        <v>35291</v>
      </c>
      <c r="U179" s="192" t="n">
        <v>54068</v>
      </c>
      <c r="V179" s="192" t="n">
        <v>59436</v>
      </c>
      <c r="W179" s="192" t="n">
        <v>61904</v>
      </c>
      <c r="X179" s="192" t="n">
        <v>71885</v>
      </c>
      <c r="Y179" s="192" t="n">
        <v>76190</v>
      </c>
      <c r="Z179" s="192" t="n">
        <v>48060</v>
      </c>
      <c r="AA179" s="192" t="n"/>
      <c r="AB179" s="192" t="n"/>
      <c r="AC179" s="192" t="n"/>
      <c r="AD179" s="192" t="n"/>
      <c r="AE179" s="192" t="n"/>
      <c r="AF179" s="192" t="n"/>
      <c r="AG179" s="192" t="n"/>
      <c r="AH179" s="192" t="n"/>
      <c r="AI179" s="192" t="n"/>
      <c r="AJ179" s="192" t="n"/>
      <c r="AK179" s="192" t="n"/>
      <c r="AL179" s="192" t="n"/>
      <c r="AM179" s="192" t="n"/>
      <c r="AN179" s="192" t="n"/>
      <c r="AO179" s="192" t="n"/>
      <c r="AP179" s="192" t="n"/>
      <c r="AQ179" s="192" t="n"/>
      <c r="AR179" s="192" t="n"/>
      <c r="AS179" s="192" t="n"/>
      <c r="AT179" s="182" t="n"/>
      <c r="AU179" s="176" t="n"/>
      <c r="AV179" s="176" t="n"/>
      <c r="AW179" s="176" t="n"/>
      <c r="AX179" s="176" t="n"/>
      <c r="AY179" s="176" t="n"/>
      <c r="AZ179" s="176" t="n"/>
      <c r="BA179" s="176" t="n"/>
      <c r="BB179" s="176" t="n"/>
      <c r="BC179" s="176" t="n"/>
      <c r="BD179" s="176" t="n"/>
      <c r="BE179" s="176" t="n"/>
      <c r="BF179" s="176" t="n"/>
      <c r="BG179" s="176" t="n"/>
      <c r="BH179" s="176" t="n"/>
      <c r="BI179" s="176" t="n"/>
      <c r="BJ179" s="176" t="n"/>
      <c r="BK179" s="176" t="n"/>
      <c r="BL179" s="176" t="n"/>
      <c r="BM179" s="176" t="n"/>
      <c r="BN179" s="176" t="n"/>
      <c r="BO179" s="176" t="n"/>
      <c r="BP179" s="176" t="n"/>
      <c r="BQ179" s="176" t="n"/>
      <c r="BR179" s="176" t="n"/>
    </row>
    <row r="180" ht="15" customHeight="1" s="392">
      <c r="A180" s="176" t="n"/>
      <c r="B180" s="180" t="n"/>
      <c r="C180" s="183" t="inlineStr">
        <is>
          <t xml:space="preserve">        Operating Lease - Interests Charges and Other Adjustments</t>
        </is>
      </c>
      <c r="D180" s="190">
        <f>IF(COUNT(M180:AS180)&gt;0,MEDIAN(M180:AS180),"")</f>
        <v/>
      </c>
      <c r="E180" s="190">
        <f>IF(COUNT(M180:AS180)&gt;0,AVERAGE(M180:AS180),"")</f>
        <v/>
      </c>
      <c r="F180" s="190">
        <f>IF(COUNT(M180:AS180)&gt;0,MIN(M180:AS180),"")</f>
        <v/>
      </c>
      <c r="G180" s="190">
        <f>IF(COUNT(M180:AS180)&gt;0,MAX(M180:AS180),"")</f>
        <v/>
      </c>
      <c r="H180" s="190">
        <f>IF(COUNT(M180:AS180)&gt;0,QUARTILE(M180:AS180,1),"")</f>
        <v/>
      </c>
      <c r="I180" s="190">
        <f>IF(COUNT(M180:AS180)&gt;0,QUARTILE(M180:AS180,3),"")</f>
        <v/>
      </c>
      <c r="J180" s="190">
        <f>IF(COUNT(M180:AS180)&gt;1,STDEV(M180:AS180),"")</f>
        <v/>
      </c>
      <c r="K180" s="191">
        <f>IF(COUNT(M180:AS180)&gt;1,STDEV(M180:AS180)/AVERAGE(M180:AS180),"")</f>
        <v/>
      </c>
      <c r="M180" s="192" t="n"/>
      <c r="N180" s="192" t="n">
        <v>-18262</v>
      </c>
      <c r="O180" s="192" t="n">
        <v>-20974</v>
      </c>
      <c r="P180" s="192" t="n">
        <v>-17499</v>
      </c>
      <c r="Q180" s="192" t="n">
        <v>-18289</v>
      </c>
      <c r="R180" s="192" t="n">
        <v>-19917</v>
      </c>
      <c r="S180" s="192" t="n">
        <v>-20230</v>
      </c>
      <c r="T180" s="192" t="n"/>
      <c r="U180" s="192" t="n"/>
      <c r="V180" s="192" t="n"/>
      <c r="W180" s="192" t="n"/>
      <c r="X180" s="192" t="n"/>
      <c r="Y180" s="192" t="n"/>
      <c r="Z180" s="192" t="n"/>
      <c r="AA180" s="192" t="n"/>
      <c r="AB180" s="192" t="n"/>
      <c r="AC180" s="192" t="n"/>
      <c r="AD180" s="192" t="n"/>
      <c r="AE180" s="192" t="n"/>
      <c r="AF180" s="192" t="n"/>
      <c r="AG180" s="192" t="n"/>
      <c r="AH180" s="192" t="n"/>
      <c r="AI180" s="192" t="n"/>
      <c r="AJ180" s="192" t="n"/>
      <c r="AK180" s="192" t="n"/>
      <c r="AL180" s="192" t="n"/>
      <c r="AM180" s="192" t="n"/>
      <c r="AN180" s="192" t="n"/>
      <c r="AO180" s="192" t="n"/>
      <c r="AP180" s="192" t="n"/>
      <c r="AQ180" s="192" t="n"/>
      <c r="AR180" s="192" t="n"/>
      <c r="AS180" s="192" t="n"/>
      <c r="AT180" s="182" t="n"/>
      <c r="AU180" s="176" t="n"/>
      <c r="AV180" s="176" t="n"/>
      <c r="AW180" s="176" t="n"/>
      <c r="AX180" s="176" t="n"/>
      <c r="AY180" s="176" t="n"/>
      <c r="AZ180" s="176" t="n"/>
      <c r="BA180" s="176" t="n"/>
      <c r="BB180" s="176" t="n"/>
      <c r="BC180" s="176" t="n"/>
      <c r="BD180" s="176" t="n"/>
      <c r="BE180" s="176" t="n"/>
      <c r="BF180" s="176" t="n"/>
      <c r="BG180" s="176" t="n"/>
      <c r="BH180" s="176" t="n"/>
      <c r="BI180" s="176" t="n"/>
      <c r="BJ180" s="176" t="n"/>
      <c r="BK180" s="176" t="n"/>
      <c r="BL180" s="176" t="n"/>
      <c r="BM180" s="176" t="n"/>
      <c r="BN180" s="176" t="n"/>
      <c r="BO180" s="176" t="n"/>
      <c r="BP180" s="176" t="n"/>
      <c r="BQ180" s="176" t="n"/>
      <c r="BR180" s="176" t="n"/>
    </row>
    <row r="181" ht="15" customHeight="1" s="392">
      <c r="A181" s="176" t="n"/>
      <c r="B181" s="180" t="n"/>
      <c r="C181" s="187" t="inlineStr">
        <is>
          <t xml:space="preserve">    Operating Lease Obligation Maturity Schedule Total</t>
        </is>
      </c>
      <c r="D181" s="193">
        <f>IF(COUNT(M181:AS181)&gt;0,MEDIAN(M181:AS181),"")</f>
        <v/>
      </c>
      <c r="E181" s="193">
        <f>IF(COUNT(M181:AS181)&gt;0,AVERAGE(M181:AS181),"")</f>
        <v/>
      </c>
      <c r="F181" s="193">
        <f>IF(COUNT(M181:AS181)&gt;0,MIN(M181:AS181),"")</f>
        <v/>
      </c>
      <c r="G181" s="193">
        <f>IF(COUNT(M181:AS181)&gt;0,MAX(M181:AS181),"")</f>
        <v/>
      </c>
      <c r="H181" s="193">
        <f>IF(COUNT(M181:AS181)&gt;0,QUARTILE(M181:AS181,1),"")</f>
        <v/>
      </c>
      <c r="I181" s="193">
        <f>IF(COUNT(M181:AS181)&gt;0,QUARTILE(M181:AS181,3),"")</f>
        <v/>
      </c>
      <c r="J181" s="193">
        <f>IF(COUNT(M181:AS181)&gt;1,STDEV(M181:AS181),"")</f>
        <v/>
      </c>
      <c r="K181" s="194">
        <f>IF(COUNT(M181:AS181)&gt;1,STDEV(M181:AS181)/AVERAGE(M181:AS181),"")</f>
        <v/>
      </c>
      <c r="L181" s="195" t="n"/>
      <c r="M181" s="196" t="n"/>
      <c r="N181" s="196" t="n">
        <v>101034</v>
      </c>
      <c r="O181" s="196" t="n">
        <v>118733</v>
      </c>
      <c r="P181" s="196" t="n">
        <v>109537</v>
      </c>
      <c r="Q181" s="196" t="n">
        <v>117441</v>
      </c>
      <c r="R181" s="196" t="n">
        <v>119867</v>
      </c>
      <c r="S181" s="196" t="n">
        <v>120405</v>
      </c>
      <c r="T181" s="196" t="n">
        <v>142147</v>
      </c>
      <c r="U181" s="196" t="n">
        <v>150289</v>
      </c>
      <c r="V181" s="196" t="n">
        <v>152767</v>
      </c>
      <c r="W181" s="196" t="n">
        <v>144078</v>
      </c>
      <c r="X181" s="196" t="n">
        <v>156369</v>
      </c>
      <c r="Y181" s="196" t="n">
        <v>167334</v>
      </c>
      <c r="Z181" s="196" t="n">
        <v>131179</v>
      </c>
      <c r="AA181" s="196" t="n"/>
      <c r="AB181" s="196" t="n"/>
      <c r="AC181" s="196" t="n"/>
      <c r="AD181" s="196" t="n"/>
      <c r="AE181" s="196" t="n"/>
      <c r="AF181" s="196" t="n"/>
      <c r="AG181" s="196" t="n"/>
      <c r="AH181" s="196" t="n"/>
      <c r="AI181" s="196" t="n"/>
      <c r="AJ181" s="196" t="n"/>
      <c r="AK181" s="196" t="n"/>
      <c r="AL181" s="196" t="n"/>
      <c r="AM181" s="196" t="n"/>
      <c r="AN181" s="196" t="n"/>
      <c r="AO181" s="196" t="n"/>
      <c r="AP181" s="196" t="n"/>
      <c r="AQ181" s="196" t="n"/>
      <c r="AR181" s="196" t="n"/>
      <c r="AS181" s="196" t="n"/>
      <c r="AT181" s="182" t="n"/>
      <c r="AU181" s="176" t="n"/>
      <c r="AV181" s="176" t="n"/>
      <c r="AW181" s="176" t="n"/>
      <c r="AX181" s="176" t="n"/>
      <c r="AY181" s="176" t="n"/>
      <c r="AZ181" s="176" t="n"/>
      <c r="BA181" s="176" t="n"/>
      <c r="BB181" s="176" t="n"/>
      <c r="BC181" s="176" t="n"/>
      <c r="BD181" s="176" t="n"/>
      <c r="BE181" s="176" t="n"/>
      <c r="BF181" s="176" t="n"/>
      <c r="BG181" s="176" t="n"/>
      <c r="BH181" s="176" t="n"/>
      <c r="BI181" s="176" t="n"/>
      <c r="BJ181" s="176" t="n"/>
      <c r="BK181" s="176" t="n"/>
      <c r="BL181" s="176" t="n"/>
      <c r="BM181" s="176" t="n"/>
      <c r="BN181" s="176" t="n"/>
      <c r="BO181" s="176" t="n"/>
      <c r="BP181" s="176" t="n"/>
      <c r="BQ181" s="176" t="n"/>
      <c r="BR181" s="176" t="n"/>
    </row>
    <row r="182" ht="15" customHeight="1" s="392">
      <c r="A182" s="176" t="n"/>
      <c r="B182" s="180" t="n"/>
      <c r="C182" s="183" t="inlineStr">
        <is>
          <t xml:space="preserve">    Other Contractual Obligations Maturity Schedule</t>
        </is>
      </c>
      <c r="D182" s="185" t="n"/>
      <c r="E182" s="185" t="n"/>
      <c r="F182" s="185" t="n"/>
      <c r="G182" s="185" t="n"/>
      <c r="H182" s="185" t="n"/>
      <c r="I182" s="185" t="n"/>
      <c r="J182" s="185" t="n"/>
      <c r="K182" s="185" t="n"/>
      <c r="AT182" s="182" t="n"/>
      <c r="AU182" s="176" t="n"/>
      <c r="AV182" s="176" t="n"/>
      <c r="AW182" s="176" t="n"/>
      <c r="AX182" s="176" t="n"/>
      <c r="AY182" s="176" t="n"/>
      <c r="AZ182" s="176" t="n"/>
      <c r="BA182" s="176" t="n"/>
      <c r="BB182" s="176" t="n"/>
      <c r="BC182" s="176" t="n"/>
      <c r="BD182" s="176" t="n"/>
      <c r="BE182" s="176" t="n"/>
      <c r="BF182" s="176" t="n"/>
      <c r="BG182" s="176" t="n"/>
      <c r="BH182" s="176" t="n"/>
      <c r="BI182" s="176" t="n"/>
      <c r="BJ182" s="176" t="n"/>
      <c r="BK182" s="176" t="n"/>
      <c r="BL182" s="176" t="n"/>
      <c r="BM182" s="176" t="n"/>
      <c r="BN182" s="176" t="n"/>
      <c r="BO182" s="176" t="n"/>
      <c r="BP182" s="176" t="n"/>
      <c r="BQ182" s="176" t="n"/>
      <c r="BR182" s="176" t="n"/>
    </row>
    <row r="183" ht="15" customHeight="1" s="392">
      <c r="A183" s="176" t="n"/>
      <c r="B183" s="180" t="n"/>
      <c r="C183" s="183" t="inlineStr">
        <is>
          <t xml:space="preserve">        Other Contractual Obligations due in year 1</t>
        </is>
      </c>
      <c r="D183" s="190">
        <f>IF(COUNT(M183:AS183)&gt;0,MEDIAN(M183:AS183),"")</f>
        <v/>
      </c>
      <c r="E183" s="190">
        <f>IF(COUNT(M183:AS183)&gt;0,AVERAGE(M183:AS183),"")</f>
        <v/>
      </c>
      <c r="F183" s="190">
        <f>IF(COUNT(M183:AS183)&gt;0,MIN(M183:AS183),"")</f>
        <v/>
      </c>
      <c r="G183" s="190">
        <f>IF(COUNT(M183:AS183)&gt;0,MAX(M183:AS183),"")</f>
        <v/>
      </c>
      <c r="H183" s="190">
        <f>IF(COUNT(M183:AS183)&gt;0,QUARTILE(M183:AS183,1),"")</f>
        <v/>
      </c>
      <c r="I183" s="190">
        <f>IF(COUNT(M183:AS183)&gt;0,QUARTILE(M183:AS183,3),"")</f>
        <v/>
      </c>
      <c r="J183" s="190">
        <f>IF(COUNT(M183:AS183)&gt;1,STDEV(M183:AS183),"")</f>
        <v/>
      </c>
      <c r="K183" s="191">
        <f>IF(COUNT(M183:AS183)&gt;1,STDEV(M183:AS183)/AVERAGE(M183:AS183),"")</f>
        <v/>
      </c>
      <c r="M183" s="192" t="n"/>
      <c r="N183" s="192" t="n"/>
      <c r="O183" s="192" t="n"/>
      <c r="P183" s="192" t="n"/>
      <c r="Q183" s="192" t="n"/>
      <c r="R183" s="192" t="n"/>
      <c r="S183" s="192" t="n">
        <v>19426</v>
      </c>
      <c r="T183" s="192" t="n">
        <v>42976</v>
      </c>
      <c r="U183" s="192" t="n">
        <v>17901</v>
      </c>
      <c r="V183" s="192" t="n">
        <v>36426</v>
      </c>
      <c r="W183" s="192" t="n">
        <v>35796</v>
      </c>
      <c r="X183" s="192" t="n">
        <v>37908</v>
      </c>
      <c r="Y183" s="192" t="n">
        <v>23260</v>
      </c>
      <c r="Z183" s="192" t="n">
        <v>26379</v>
      </c>
      <c r="AA183" s="192" t="n"/>
      <c r="AB183" s="192" t="n"/>
      <c r="AC183" s="192" t="n"/>
      <c r="AD183" s="192" t="n"/>
      <c r="AE183" s="192" t="n"/>
      <c r="AF183" s="192" t="n"/>
      <c r="AG183" s="192" t="n"/>
      <c r="AH183" s="192" t="n"/>
      <c r="AI183" s="192" t="n"/>
      <c r="AJ183" s="192" t="n"/>
      <c r="AK183" s="192" t="n"/>
      <c r="AL183" s="192" t="n"/>
      <c r="AM183" s="192" t="n"/>
      <c r="AN183" s="192" t="n"/>
      <c r="AO183" s="192" t="n"/>
      <c r="AP183" s="192" t="n"/>
      <c r="AQ183" s="192" t="n"/>
      <c r="AR183" s="192" t="n"/>
      <c r="AS183" s="192" t="n"/>
      <c r="AT183" s="182" t="n"/>
      <c r="AU183" s="176" t="n"/>
      <c r="AV183" s="176" t="n"/>
      <c r="AW183" s="176" t="n"/>
      <c r="AX183" s="176" t="n"/>
      <c r="AY183" s="176" t="n"/>
      <c r="AZ183" s="176" t="n"/>
      <c r="BA183" s="176" t="n"/>
      <c r="BB183" s="176" t="n"/>
      <c r="BC183" s="176" t="n"/>
      <c r="BD183" s="176" t="n"/>
      <c r="BE183" s="176" t="n"/>
      <c r="BF183" s="176" t="n"/>
      <c r="BG183" s="176" t="n"/>
      <c r="BH183" s="176" t="n"/>
      <c r="BI183" s="176" t="n"/>
      <c r="BJ183" s="176" t="n"/>
      <c r="BK183" s="176" t="n"/>
      <c r="BL183" s="176" t="n"/>
      <c r="BM183" s="176" t="n"/>
      <c r="BN183" s="176" t="n"/>
      <c r="BO183" s="176" t="n"/>
      <c r="BP183" s="176" t="n"/>
      <c r="BQ183" s="176" t="n"/>
      <c r="BR183" s="176" t="n"/>
    </row>
    <row r="184" ht="15" customHeight="1" s="392">
      <c r="A184" s="176" t="n"/>
      <c r="B184" s="180" t="n"/>
      <c r="C184" s="183" t="inlineStr">
        <is>
          <t xml:space="preserve">        Other Contractual Obligations due in year 3</t>
        </is>
      </c>
      <c r="D184" s="190">
        <f>IF(COUNT(M184:AS184)&gt;0,MEDIAN(M184:AS184),"")</f>
        <v/>
      </c>
      <c r="E184" s="190">
        <f>IF(COUNT(M184:AS184)&gt;0,AVERAGE(M184:AS184),"")</f>
        <v/>
      </c>
      <c r="F184" s="190">
        <f>IF(COUNT(M184:AS184)&gt;0,MIN(M184:AS184),"")</f>
        <v/>
      </c>
      <c r="G184" s="190">
        <f>IF(COUNT(M184:AS184)&gt;0,MAX(M184:AS184),"")</f>
        <v/>
      </c>
      <c r="H184" s="190">
        <f>IF(COUNT(M184:AS184)&gt;0,QUARTILE(M184:AS184,1),"")</f>
        <v/>
      </c>
      <c r="I184" s="190">
        <f>IF(COUNT(M184:AS184)&gt;0,QUARTILE(M184:AS184,3),"")</f>
        <v/>
      </c>
      <c r="J184" s="190">
        <f>IF(COUNT(M184:AS184)&gt;1,STDEV(M184:AS184),"")</f>
        <v/>
      </c>
      <c r="K184" s="191">
        <f>IF(COUNT(M184:AS184)&gt;1,STDEV(M184:AS184)/AVERAGE(M184:AS184),"")</f>
        <v/>
      </c>
      <c r="M184" s="192" t="n"/>
      <c r="N184" s="192" t="n"/>
      <c r="O184" s="192" t="n"/>
      <c r="P184" s="192" t="n"/>
      <c r="Q184" s="192" t="n"/>
      <c r="R184" s="192" t="n"/>
      <c r="S184" s="192" t="n">
        <v>38788</v>
      </c>
      <c r="T184" s="192" t="n">
        <v>34727</v>
      </c>
      <c r="U184" s="192" t="n">
        <v>35776</v>
      </c>
      <c r="V184" s="192" t="n">
        <v>40410</v>
      </c>
      <c r="W184" s="192" t="n">
        <v>39386</v>
      </c>
      <c r="X184" s="192" t="n">
        <v>38389</v>
      </c>
      <c r="Y184" s="192" t="n">
        <v>1589</v>
      </c>
      <c r="Z184" s="192" t="n">
        <v>7470</v>
      </c>
      <c r="AA184" s="192" t="n"/>
      <c r="AB184" s="192" t="n"/>
      <c r="AC184" s="192" t="n"/>
      <c r="AD184" s="192" t="n"/>
      <c r="AE184" s="192" t="n"/>
      <c r="AF184" s="192" t="n"/>
      <c r="AG184" s="192" t="n"/>
      <c r="AH184" s="192" t="n"/>
      <c r="AI184" s="192" t="n"/>
      <c r="AJ184" s="192" t="n"/>
      <c r="AK184" s="192" t="n"/>
      <c r="AL184" s="192" t="n"/>
      <c r="AM184" s="192" t="n"/>
      <c r="AN184" s="192" t="n"/>
      <c r="AO184" s="192" t="n"/>
      <c r="AP184" s="192" t="n"/>
      <c r="AQ184" s="192" t="n"/>
      <c r="AR184" s="192" t="n"/>
      <c r="AS184" s="192" t="n"/>
      <c r="AT184" s="182" t="n"/>
      <c r="AU184" s="176" t="n"/>
      <c r="AV184" s="176" t="n"/>
      <c r="AW184" s="176" t="n"/>
      <c r="AX184" s="176" t="n"/>
      <c r="AY184" s="176" t="n"/>
      <c r="AZ184" s="176" t="n"/>
      <c r="BA184" s="176" t="n"/>
      <c r="BB184" s="176" t="n"/>
      <c r="BC184" s="176" t="n"/>
      <c r="BD184" s="176" t="n"/>
      <c r="BE184" s="176" t="n"/>
      <c r="BF184" s="176" t="n"/>
      <c r="BG184" s="176" t="n"/>
      <c r="BH184" s="176" t="n"/>
      <c r="BI184" s="176" t="n"/>
      <c r="BJ184" s="176" t="n"/>
      <c r="BK184" s="176" t="n"/>
      <c r="BL184" s="176" t="n"/>
      <c r="BM184" s="176" t="n"/>
      <c r="BN184" s="176" t="n"/>
      <c r="BO184" s="176" t="n"/>
      <c r="BP184" s="176" t="n"/>
      <c r="BQ184" s="176" t="n"/>
      <c r="BR184" s="176" t="n"/>
    </row>
    <row r="185" ht="15" customHeight="1" s="392">
      <c r="A185" s="176" t="n"/>
      <c r="B185" s="180" t="n"/>
      <c r="C185" s="183" t="inlineStr">
        <is>
          <t xml:space="preserve">        Other Contractual Obligations due in year 5</t>
        </is>
      </c>
      <c r="D185" s="190">
        <f>IF(COUNT(M185:AS185)&gt;0,MEDIAN(M185:AS185),"")</f>
        <v/>
      </c>
      <c r="E185" s="190">
        <f>IF(COUNT(M185:AS185)&gt;0,AVERAGE(M185:AS185),"")</f>
        <v/>
      </c>
      <c r="F185" s="190">
        <f>IF(COUNT(M185:AS185)&gt;0,MIN(M185:AS185),"")</f>
        <v/>
      </c>
      <c r="G185" s="190">
        <f>IF(COUNT(M185:AS185)&gt;0,MAX(M185:AS185),"")</f>
        <v/>
      </c>
      <c r="H185" s="190">
        <f>IF(COUNT(M185:AS185)&gt;0,QUARTILE(M185:AS185,1),"")</f>
        <v/>
      </c>
      <c r="I185" s="190">
        <f>IF(COUNT(M185:AS185)&gt;0,QUARTILE(M185:AS185,3),"")</f>
        <v/>
      </c>
      <c r="J185" s="190">
        <f>IF(COUNT(M185:AS185)&gt;1,STDEV(M185:AS185),"")</f>
        <v/>
      </c>
      <c r="K185" s="191">
        <f>IF(COUNT(M185:AS185)&gt;1,STDEV(M185:AS185)/AVERAGE(M185:AS185),"")</f>
        <v/>
      </c>
      <c r="M185" s="192" t="n"/>
      <c r="N185" s="192" t="n"/>
      <c r="O185" s="192" t="n"/>
      <c r="P185" s="192" t="n"/>
      <c r="Q185" s="192" t="n"/>
      <c r="R185" s="192" t="n"/>
      <c r="S185" s="192" t="n">
        <v>31007</v>
      </c>
      <c r="T185" s="192" t="n">
        <v>33720</v>
      </c>
      <c r="U185" s="192" t="n">
        <v>33720</v>
      </c>
      <c r="V185" s="192" t="n">
        <v>37020</v>
      </c>
      <c r="W185" s="192" t="n">
        <v>39150</v>
      </c>
      <c r="X185" s="192" t="n">
        <v>35875</v>
      </c>
      <c r="Y185" s="192" t="n"/>
      <c r="Z185" s="192" t="n"/>
      <c r="AA185" s="192" t="n"/>
      <c r="AB185" s="192" t="n"/>
      <c r="AC185" s="192" t="n"/>
      <c r="AD185" s="192" t="n"/>
      <c r="AE185" s="192" t="n"/>
      <c r="AF185" s="192" t="n"/>
      <c r="AG185" s="192" t="n"/>
      <c r="AH185" s="192" t="n"/>
      <c r="AI185" s="192" t="n"/>
      <c r="AJ185" s="192" t="n"/>
      <c r="AK185" s="192" t="n"/>
      <c r="AL185" s="192" t="n"/>
      <c r="AM185" s="192" t="n"/>
      <c r="AN185" s="192" t="n"/>
      <c r="AO185" s="192" t="n"/>
      <c r="AP185" s="192" t="n"/>
      <c r="AQ185" s="192" t="n"/>
      <c r="AR185" s="192" t="n"/>
      <c r="AS185" s="192" t="n"/>
      <c r="AT185" s="182" t="n"/>
      <c r="AU185" s="176" t="n"/>
      <c r="AV185" s="176" t="n"/>
      <c r="AW185" s="176" t="n"/>
      <c r="AX185" s="176" t="n"/>
      <c r="AY185" s="176" t="n"/>
      <c r="AZ185" s="176" t="n"/>
      <c r="BA185" s="176" t="n"/>
      <c r="BB185" s="176" t="n"/>
      <c r="BC185" s="176" t="n"/>
      <c r="BD185" s="176" t="n"/>
      <c r="BE185" s="176" t="n"/>
      <c r="BF185" s="176" t="n"/>
      <c r="BG185" s="176" t="n"/>
      <c r="BH185" s="176" t="n"/>
      <c r="BI185" s="176" t="n"/>
      <c r="BJ185" s="176" t="n"/>
      <c r="BK185" s="176" t="n"/>
      <c r="BL185" s="176" t="n"/>
      <c r="BM185" s="176" t="n"/>
      <c r="BN185" s="176" t="n"/>
      <c r="BO185" s="176" t="n"/>
      <c r="BP185" s="176" t="n"/>
      <c r="BQ185" s="176" t="n"/>
      <c r="BR185" s="176" t="n"/>
    </row>
    <row r="186" ht="15" customHeight="1" s="392">
      <c r="A186" s="176" t="n"/>
      <c r="B186" s="180" t="n"/>
      <c r="C186" s="183" t="inlineStr">
        <is>
          <t xml:space="preserve">        Other Contractual Obligations due Beyond</t>
        </is>
      </c>
      <c r="D186" s="190">
        <f>IF(COUNT(M186:AS186)&gt;0,MEDIAN(M186:AS186),"")</f>
        <v/>
      </c>
      <c r="E186" s="190">
        <f>IF(COUNT(M186:AS186)&gt;0,AVERAGE(M186:AS186),"")</f>
        <v/>
      </c>
      <c r="F186" s="190">
        <f>IF(COUNT(M186:AS186)&gt;0,MIN(M186:AS186),"")</f>
        <v/>
      </c>
      <c r="G186" s="190">
        <f>IF(COUNT(M186:AS186)&gt;0,MAX(M186:AS186),"")</f>
        <v/>
      </c>
      <c r="H186" s="190">
        <f>IF(COUNT(M186:AS186)&gt;0,QUARTILE(M186:AS186,1),"")</f>
        <v/>
      </c>
      <c r="I186" s="190">
        <f>IF(COUNT(M186:AS186)&gt;0,QUARTILE(M186:AS186,3),"")</f>
        <v/>
      </c>
      <c r="J186" s="190">
        <f>IF(COUNT(M186:AS186)&gt;1,STDEV(M186:AS186),"")</f>
        <v/>
      </c>
      <c r="K186" s="191">
        <f>IF(COUNT(M186:AS186)&gt;1,STDEV(M186:AS186)/AVERAGE(M186:AS186),"")</f>
        <v/>
      </c>
      <c r="M186" s="192" t="n"/>
      <c r="N186" s="192" t="n"/>
      <c r="O186" s="192" t="n"/>
      <c r="P186" s="192" t="n"/>
      <c r="Q186" s="192" t="n"/>
      <c r="R186" s="192" t="n"/>
      <c r="S186" s="192" t="n">
        <v>34354</v>
      </c>
      <c r="T186" s="192" t="n">
        <v>48501</v>
      </c>
      <c r="U186" s="192" t="n">
        <v>65361</v>
      </c>
      <c r="V186" s="192" t="n">
        <v>82221</v>
      </c>
      <c r="W186" s="192" t="n">
        <v>114491</v>
      </c>
      <c r="X186" s="192" t="n">
        <v>114491</v>
      </c>
      <c r="Y186" s="192" t="n"/>
      <c r="Z186" s="192" t="n"/>
      <c r="AA186" s="192" t="n"/>
      <c r="AB186" s="192" t="n"/>
      <c r="AC186" s="192" t="n"/>
      <c r="AD186" s="192" t="n"/>
      <c r="AE186" s="192" t="n"/>
      <c r="AF186" s="192" t="n"/>
      <c r="AG186" s="192" t="n"/>
      <c r="AH186" s="192" t="n"/>
      <c r="AI186" s="192" t="n"/>
      <c r="AJ186" s="192" t="n"/>
      <c r="AK186" s="192" t="n"/>
      <c r="AL186" s="192" t="n"/>
      <c r="AM186" s="192" t="n"/>
      <c r="AN186" s="192" t="n"/>
      <c r="AO186" s="192" t="n"/>
      <c r="AP186" s="192" t="n"/>
      <c r="AQ186" s="192" t="n"/>
      <c r="AR186" s="192" t="n"/>
      <c r="AS186" s="192" t="n"/>
      <c r="AT186" s="182" t="n"/>
      <c r="AU186" s="176" t="n"/>
      <c r="AV186" s="176" t="n"/>
      <c r="AW186" s="176" t="n"/>
      <c r="AX186" s="176" t="n"/>
      <c r="AY186" s="176" t="n"/>
      <c r="AZ186" s="176" t="n"/>
      <c r="BA186" s="176" t="n"/>
      <c r="BB186" s="176" t="n"/>
      <c r="BC186" s="176" t="n"/>
      <c r="BD186" s="176" t="n"/>
      <c r="BE186" s="176" t="n"/>
      <c r="BF186" s="176" t="n"/>
      <c r="BG186" s="176" t="n"/>
      <c r="BH186" s="176" t="n"/>
      <c r="BI186" s="176" t="n"/>
      <c r="BJ186" s="176" t="n"/>
      <c r="BK186" s="176" t="n"/>
      <c r="BL186" s="176" t="n"/>
      <c r="BM186" s="176" t="n"/>
      <c r="BN186" s="176" t="n"/>
      <c r="BO186" s="176" t="n"/>
      <c r="BP186" s="176" t="n"/>
      <c r="BQ186" s="176" t="n"/>
      <c r="BR186" s="176" t="n"/>
    </row>
    <row r="187" ht="15" customHeight="1" s="392">
      <c r="A187" s="176" t="n"/>
      <c r="B187" s="180" t="n"/>
      <c r="C187" s="187" t="inlineStr">
        <is>
          <t xml:space="preserve">    Other Contractual Obligations Maturity Schedule Total</t>
        </is>
      </c>
      <c r="D187" s="193">
        <f>IF(COUNT(M187:AS187)&gt;0,MEDIAN(M187:AS187),"")</f>
        <v/>
      </c>
      <c r="E187" s="193">
        <f>IF(COUNT(M187:AS187)&gt;0,AVERAGE(M187:AS187),"")</f>
        <v/>
      </c>
      <c r="F187" s="193">
        <f>IF(COUNT(M187:AS187)&gt;0,MIN(M187:AS187),"")</f>
        <v/>
      </c>
      <c r="G187" s="193">
        <f>IF(COUNT(M187:AS187)&gt;0,MAX(M187:AS187),"")</f>
        <v/>
      </c>
      <c r="H187" s="193">
        <f>IF(COUNT(M187:AS187)&gt;0,QUARTILE(M187:AS187,1),"")</f>
        <v/>
      </c>
      <c r="I187" s="193">
        <f>IF(COUNT(M187:AS187)&gt;0,QUARTILE(M187:AS187,3),"")</f>
        <v/>
      </c>
      <c r="J187" s="193">
        <f>IF(COUNT(M187:AS187)&gt;1,STDEV(M187:AS187),"")</f>
        <v/>
      </c>
      <c r="K187" s="194">
        <f>IF(COUNT(M187:AS187)&gt;1,STDEV(M187:AS187)/AVERAGE(M187:AS187),"")</f>
        <v/>
      </c>
      <c r="L187" s="195" t="n"/>
      <c r="M187" s="196" t="n"/>
      <c r="N187" s="196" t="n"/>
      <c r="O187" s="196" t="n"/>
      <c r="P187" s="196" t="n"/>
      <c r="Q187" s="196" t="n"/>
      <c r="R187" s="196" t="n"/>
      <c r="S187" s="196" t="n">
        <v>123575</v>
      </c>
      <c r="T187" s="196" t="n">
        <v>159924</v>
      </c>
      <c r="U187" s="196" t="n">
        <v>152758</v>
      </c>
      <c r="V187" s="196" t="n">
        <v>196077</v>
      </c>
      <c r="W187" s="196" t="n">
        <v>228823</v>
      </c>
      <c r="X187" s="196" t="n">
        <v>226663</v>
      </c>
      <c r="Y187" s="196" t="n">
        <v>24849</v>
      </c>
      <c r="Z187" s="196" t="n">
        <v>33849</v>
      </c>
      <c r="AA187" s="196" t="n"/>
      <c r="AB187" s="196" t="n"/>
      <c r="AC187" s="196" t="n"/>
      <c r="AD187" s="196" t="n"/>
      <c r="AE187" s="196" t="n"/>
      <c r="AF187" s="196" t="n"/>
      <c r="AG187" s="196" t="n"/>
      <c r="AH187" s="196" t="n"/>
      <c r="AI187" s="196" t="n"/>
      <c r="AJ187" s="196" t="n"/>
      <c r="AK187" s="196" t="n"/>
      <c r="AL187" s="196" t="n"/>
      <c r="AM187" s="196" t="n"/>
      <c r="AN187" s="196" t="n"/>
      <c r="AO187" s="196" t="n"/>
      <c r="AP187" s="196" t="n"/>
      <c r="AQ187" s="196" t="n"/>
      <c r="AR187" s="196" t="n"/>
      <c r="AS187" s="196" t="n"/>
      <c r="AT187" s="182" t="n"/>
      <c r="AU187" s="176" t="n"/>
      <c r="AV187" s="176" t="n"/>
      <c r="AW187" s="176" t="n"/>
      <c r="AX187" s="176" t="n"/>
      <c r="AY187" s="176" t="n"/>
      <c r="AZ187" s="176" t="n"/>
      <c r="BA187" s="176" t="n"/>
      <c r="BB187" s="176" t="n"/>
      <c r="BC187" s="176" t="n"/>
      <c r="BD187" s="176" t="n"/>
      <c r="BE187" s="176" t="n"/>
      <c r="BF187" s="176" t="n"/>
      <c r="BG187" s="176" t="n"/>
      <c r="BH187" s="176" t="n"/>
      <c r="BI187" s="176" t="n"/>
      <c r="BJ187" s="176" t="n"/>
      <c r="BK187" s="176" t="n"/>
      <c r="BL187" s="176" t="n"/>
      <c r="BM187" s="176" t="n"/>
      <c r="BN187" s="176" t="n"/>
      <c r="BO187" s="176" t="n"/>
      <c r="BP187" s="176" t="n"/>
      <c r="BQ187" s="176" t="n"/>
      <c r="BR187" s="176" t="n"/>
    </row>
    <row r="188" ht="15" customHeight="1" s="392">
      <c r="A188" s="176" t="n"/>
      <c r="B188" s="180" t="n"/>
      <c r="C188" s="183" t="inlineStr">
        <is>
          <t xml:space="preserve">    Lease Liability</t>
        </is>
      </c>
      <c r="D188" s="185" t="n"/>
      <c r="E188" s="185" t="n"/>
      <c r="F188" s="185" t="n"/>
      <c r="G188" s="185" t="n"/>
      <c r="H188" s="185" t="n"/>
      <c r="I188" s="185" t="n"/>
      <c r="J188" s="185" t="n"/>
      <c r="K188" s="185" t="n"/>
      <c r="AT188" s="182" t="n"/>
      <c r="AU188" s="176" t="n"/>
      <c r="AV188" s="176" t="n"/>
      <c r="AW188" s="176" t="n"/>
      <c r="AX188" s="176" t="n"/>
      <c r="AY188" s="176" t="n"/>
      <c r="AZ188" s="176" t="n"/>
      <c r="BA188" s="176" t="n"/>
      <c r="BB188" s="176" t="n"/>
      <c r="BC188" s="176" t="n"/>
      <c r="BD188" s="176" t="n"/>
      <c r="BE188" s="176" t="n"/>
      <c r="BF188" s="176" t="n"/>
      <c r="BG188" s="176" t="n"/>
      <c r="BH188" s="176" t="n"/>
      <c r="BI188" s="176" t="n"/>
      <c r="BJ188" s="176" t="n"/>
      <c r="BK188" s="176" t="n"/>
      <c r="BL188" s="176" t="n"/>
      <c r="BM188" s="176" t="n"/>
      <c r="BN188" s="176" t="n"/>
      <c r="BO188" s="176" t="n"/>
      <c r="BP188" s="176" t="n"/>
      <c r="BQ188" s="176" t="n"/>
      <c r="BR188" s="176" t="n"/>
    </row>
    <row r="189" ht="15" customHeight="1" s="392">
      <c r="A189" s="176" t="n"/>
      <c r="B189" s="180" t="n"/>
      <c r="C189" s="183" t="inlineStr">
        <is>
          <t xml:space="preserve">        Total Lease Liability - Due in year 1</t>
        </is>
      </c>
      <c r="D189" s="190">
        <f>IF(COUNT(M189:AS189)&gt;0,MEDIAN(M189:AS189),"")</f>
        <v/>
      </c>
      <c r="E189" s="190">
        <f>IF(COUNT(M189:AS189)&gt;0,AVERAGE(M189:AS189),"")</f>
        <v/>
      </c>
      <c r="F189" s="190">
        <f>IF(COUNT(M189:AS189)&gt;0,MIN(M189:AS189),"")</f>
        <v/>
      </c>
      <c r="G189" s="190">
        <f>IF(COUNT(M189:AS189)&gt;0,MAX(M189:AS189),"")</f>
        <v/>
      </c>
      <c r="H189" s="190">
        <f>IF(COUNT(M189:AS189)&gt;0,QUARTILE(M189:AS189,1),"")</f>
        <v/>
      </c>
      <c r="I189" s="190">
        <f>IF(COUNT(M189:AS189)&gt;0,QUARTILE(M189:AS189,3),"")</f>
        <v/>
      </c>
      <c r="J189" s="190">
        <f>IF(COUNT(M189:AS189)&gt;1,STDEV(M189:AS189),"")</f>
        <v/>
      </c>
      <c r="K189" s="191">
        <f>IF(COUNT(M189:AS189)&gt;1,STDEV(M189:AS189)/AVERAGE(M189:AS189),"")</f>
        <v/>
      </c>
      <c r="M189" s="192" t="n"/>
      <c r="N189" s="192" t="n">
        <v>22542</v>
      </c>
      <c r="O189" s="192" t="n">
        <v>24745</v>
      </c>
      <c r="P189" s="192" t="n">
        <v>24034</v>
      </c>
      <c r="Q189" s="192" t="n">
        <v>24674</v>
      </c>
      <c r="R189" s="192" t="n">
        <v>25161</v>
      </c>
      <c r="S189" s="192" t="n">
        <v>27718</v>
      </c>
      <c r="T189" s="192" t="n">
        <v>30158</v>
      </c>
      <c r="U189" s="192" t="n">
        <v>30739</v>
      </c>
      <c r="V189" s="192" t="n">
        <v>29279</v>
      </c>
      <c r="W189" s="192" t="n">
        <v>24341</v>
      </c>
      <c r="X189" s="192" t="n">
        <v>23623</v>
      </c>
      <c r="Y189" s="192" t="n">
        <v>24764</v>
      </c>
      <c r="Z189" s="192" t="n">
        <v>23391</v>
      </c>
      <c r="AA189" s="192" t="n">
        <v>198</v>
      </c>
      <c r="AB189" s="192" t="n"/>
      <c r="AC189" s="192" t="n"/>
      <c r="AD189" s="192" t="n"/>
      <c r="AE189" s="192" t="n"/>
      <c r="AF189" s="192" t="n"/>
      <c r="AG189" s="192" t="n"/>
      <c r="AH189" s="192" t="n"/>
      <c r="AI189" s="192" t="n"/>
      <c r="AJ189" s="192" t="n"/>
      <c r="AK189" s="192" t="n"/>
      <c r="AL189" s="192" t="n"/>
      <c r="AM189" s="192" t="n"/>
      <c r="AN189" s="192" t="n"/>
      <c r="AO189" s="192" t="n"/>
      <c r="AP189" s="192" t="n"/>
      <c r="AQ189" s="192" t="n"/>
      <c r="AR189" s="192" t="n"/>
      <c r="AS189" s="192" t="n"/>
      <c r="AT189" s="182" t="n"/>
      <c r="AU189" s="176" t="n"/>
      <c r="AV189" s="176" t="n"/>
      <c r="AW189" s="176" t="n"/>
      <c r="AX189" s="176" t="n"/>
      <c r="AY189" s="176" t="n"/>
      <c r="AZ189" s="176" t="n"/>
      <c r="BA189" s="176" t="n"/>
      <c r="BB189" s="176" t="n"/>
      <c r="BC189" s="176" t="n"/>
      <c r="BD189" s="176" t="n"/>
      <c r="BE189" s="176" t="n"/>
      <c r="BF189" s="176" t="n"/>
      <c r="BG189" s="176" t="n"/>
      <c r="BH189" s="176" t="n"/>
      <c r="BI189" s="176" t="n"/>
      <c r="BJ189" s="176" t="n"/>
      <c r="BK189" s="176" t="n"/>
      <c r="BL189" s="176" t="n"/>
      <c r="BM189" s="176" t="n"/>
      <c r="BN189" s="176" t="n"/>
      <c r="BO189" s="176" t="n"/>
      <c r="BP189" s="176" t="n"/>
      <c r="BQ189" s="176" t="n"/>
      <c r="BR189" s="176" t="n"/>
    </row>
    <row r="190" ht="15" customHeight="1" s="392">
      <c r="A190" s="176" t="n"/>
      <c r="B190" s="180" t="n"/>
      <c r="C190" s="183" t="inlineStr">
        <is>
          <t xml:space="preserve">        Total Lease Liability - Due in year 2</t>
        </is>
      </c>
      <c r="D190" s="190">
        <f>IF(COUNT(M190:AS190)&gt;0,MEDIAN(M190:AS190),"")</f>
        <v/>
      </c>
      <c r="E190" s="190">
        <f>IF(COUNT(M190:AS190)&gt;0,AVERAGE(M190:AS190),"")</f>
        <v/>
      </c>
      <c r="F190" s="190">
        <f>IF(COUNT(M190:AS190)&gt;0,MIN(M190:AS190),"")</f>
        <v/>
      </c>
      <c r="G190" s="190">
        <f>IF(COUNT(M190:AS190)&gt;0,MAX(M190:AS190),"")</f>
        <v/>
      </c>
      <c r="H190" s="190">
        <f>IF(COUNT(M190:AS190)&gt;0,QUARTILE(M190:AS190,1),"")</f>
        <v/>
      </c>
      <c r="I190" s="190">
        <f>IF(COUNT(M190:AS190)&gt;0,QUARTILE(M190:AS190,3),"")</f>
        <v/>
      </c>
      <c r="J190" s="190">
        <f>IF(COUNT(M190:AS190)&gt;1,STDEV(M190:AS190),"")</f>
        <v/>
      </c>
      <c r="K190" s="191">
        <f>IF(COUNT(M190:AS190)&gt;1,STDEV(M190:AS190)/AVERAGE(M190:AS190),"")</f>
        <v/>
      </c>
      <c r="M190" s="192" t="n"/>
      <c r="N190" s="192" t="n">
        <v>18239</v>
      </c>
      <c r="O190" s="192" t="n">
        <v>20978</v>
      </c>
      <c r="P190" s="192" t="n">
        <v>20746</v>
      </c>
      <c r="Q190" s="192" t="n">
        <v>20132</v>
      </c>
      <c r="R190" s="192" t="n">
        <v>20842</v>
      </c>
      <c r="S190" s="192" t="n">
        <v>22619</v>
      </c>
      <c r="T190" s="192" t="n">
        <v>25177</v>
      </c>
      <c r="U190" s="192" t="n">
        <v>22501</v>
      </c>
      <c r="V190" s="192" t="n">
        <v>24330</v>
      </c>
      <c r="W190" s="192" t="n">
        <v>21247</v>
      </c>
      <c r="X190" s="192" t="n">
        <v>19771</v>
      </c>
      <c r="Y190" s="192" t="n">
        <v>22030</v>
      </c>
      <c r="Z190" s="192" t="n">
        <v>18555</v>
      </c>
      <c r="AA190" s="192" t="n">
        <v>126</v>
      </c>
      <c r="AB190" s="192" t="n"/>
      <c r="AC190" s="192" t="n"/>
      <c r="AD190" s="192" t="n"/>
      <c r="AE190" s="192" t="n"/>
      <c r="AF190" s="192" t="n"/>
      <c r="AG190" s="192" t="n"/>
      <c r="AH190" s="192" t="n"/>
      <c r="AI190" s="192" t="n"/>
      <c r="AJ190" s="192" t="n"/>
      <c r="AK190" s="192" t="n"/>
      <c r="AL190" s="192" t="n"/>
      <c r="AM190" s="192" t="n"/>
      <c r="AN190" s="192" t="n"/>
      <c r="AO190" s="192" t="n"/>
      <c r="AP190" s="192" t="n"/>
      <c r="AQ190" s="192" t="n"/>
      <c r="AR190" s="192" t="n"/>
      <c r="AS190" s="192" t="n"/>
      <c r="AT190" s="182" t="n"/>
      <c r="AU190" s="176" t="n"/>
      <c r="AV190" s="176" t="n"/>
      <c r="AW190" s="176" t="n"/>
      <c r="AX190" s="176" t="n"/>
      <c r="AY190" s="176" t="n"/>
      <c r="AZ190" s="176" t="n"/>
      <c r="BA190" s="176" t="n"/>
      <c r="BB190" s="176" t="n"/>
      <c r="BC190" s="176" t="n"/>
      <c r="BD190" s="176" t="n"/>
      <c r="BE190" s="176" t="n"/>
      <c r="BF190" s="176" t="n"/>
      <c r="BG190" s="176" t="n"/>
      <c r="BH190" s="176" t="n"/>
      <c r="BI190" s="176" t="n"/>
      <c r="BJ190" s="176" t="n"/>
      <c r="BK190" s="176" t="n"/>
      <c r="BL190" s="176" t="n"/>
      <c r="BM190" s="176" t="n"/>
      <c r="BN190" s="176" t="n"/>
      <c r="BO190" s="176" t="n"/>
      <c r="BP190" s="176" t="n"/>
      <c r="BQ190" s="176" t="n"/>
      <c r="BR190" s="176" t="n"/>
    </row>
    <row r="191" ht="15" customHeight="1" s="392">
      <c r="A191" s="176" t="n"/>
      <c r="B191" s="180" t="n"/>
      <c r="C191" s="183" t="inlineStr">
        <is>
          <t xml:space="preserve">        Total Lease Liability - Due in year 3</t>
        </is>
      </c>
      <c r="D191" s="190">
        <f>IF(COUNT(M191:AS191)&gt;0,MEDIAN(M191:AS191),"")</f>
        <v/>
      </c>
      <c r="E191" s="190">
        <f>IF(COUNT(M191:AS191)&gt;0,AVERAGE(M191:AS191),"")</f>
        <v/>
      </c>
      <c r="F191" s="190">
        <f>IF(COUNT(M191:AS191)&gt;0,MIN(M191:AS191),"")</f>
        <v/>
      </c>
      <c r="G191" s="190">
        <f>IF(COUNT(M191:AS191)&gt;0,MAX(M191:AS191),"")</f>
        <v/>
      </c>
      <c r="H191" s="190">
        <f>IF(COUNT(M191:AS191)&gt;0,QUARTILE(M191:AS191,1),"")</f>
        <v/>
      </c>
      <c r="I191" s="190">
        <f>IF(COUNT(M191:AS191)&gt;0,QUARTILE(M191:AS191,3),"")</f>
        <v/>
      </c>
      <c r="J191" s="190">
        <f>IF(COUNT(M191:AS191)&gt;1,STDEV(M191:AS191),"")</f>
        <v/>
      </c>
      <c r="K191" s="191">
        <f>IF(COUNT(M191:AS191)&gt;1,STDEV(M191:AS191)/AVERAGE(M191:AS191),"")</f>
        <v/>
      </c>
      <c r="M191" s="192" t="n"/>
      <c r="N191" s="192" t="n">
        <v>16760</v>
      </c>
      <c r="O191" s="192" t="n">
        <v>17028</v>
      </c>
      <c r="P191" s="192" t="n">
        <v>16795</v>
      </c>
      <c r="Q191" s="192" t="n">
        <v>17683</v>
      </c>
      <c r="R191" s="192" t="n">
        <v>16018</v>
      </c>
      <c r="S191" s="192" t="n">
        <v>19355</v>
      </c>
      <c r="T191" s="192" t="n">
        <v>20211</v>
      </c>
      <c r="U191" s="192" t="n">
        <v>18528</v>
      </c>
      <c r="V191" s="192" t="n">
        <v>17315</v>
      </c>
      <c r="W191" s="192" t="n">
        <v>17088</v>
      </c>
      <c r="X191" s="192" t="n">
        <v>17434</v>
      </c>
      <c r="Y191" s="192" t="n">
        <v>18371</v>
      </c>
      <c r="Z191" s="192" t="n">
        <v>15349</v>
      </c>
      <c r="AA191" s="192" t="n"/>
      <c r="AB191" s="192" t="n"/>
      <c r="AC191" s="192" t="n"/>
      <c r="AD191" s="192" t="n"/>
      <c r="AE191" s="192" t="n"/>
      <c r="AF191" s="192" t="n"/>
      <c r="AG191" s="192" t="n"/>
      <c r="AH191" s="192" t="n"/>
      <c r="AI191" s="192" t="n"/>
      <c r="AJ191" s="192" t="n"/>
      <c r="AK191" s="192" t="n"/>
      <c r="AL191" s="192" t="n"/>
      <c r="AM191" s="192" t="n"/>
      <c r="AN191" s="192" t="n"/>
      <c r="AO191" s="192" t="n"/>
      <c r="AP191" s="192" t="n"/>
      <c r="AQ191" s="192" t="n"/>
      <c r="AR191" s="192" t="n"/>
      <c r="AS191" s="192" t="n"/>
      <c r="AT191" s="182" t="n"/>
      <c r="AU191" s="176" t="n"/>
      <c r="AV191" s="176" t="n"/>
      <c r="AW191" s="176" t="n"/>
      <c r="AX191" s="176" t="n"/>
      <c r="AY191" s="176" t="n"/>
      <c r="AZ191" s="176" t="n"/>
      <c r="BA191" s="176" t="n"/>
      <c r="BB191" s="176" t="n"/>
      <c r="BC191" s="176" t="n"/>
      <c r="BD191" s="176" t="n"/>
      <c r="BE191" s="176" t="n"/>
      <c r="BF191" s="176" t="n"/>
      <c r="BG191" s="176" t="n"/>
      <c r="BH191" s="176" t="n"/>
      <c r="BI191" s="176" t="n"/>
      <c r="BJ191" s="176" t="n"/>
      <c r="BK191" s="176" t="n"/>
      <c r="BL191" s="176" t="n"/>
      <c r="BM191" s="176" t="n"/>
      <c r="BN191" s="176" t="n"/>
      <c r="BO191" s="176" t="n"/>
      <c r="BP191" s="176" t="n"/>
      <c r="BQ191" s="176" t="n"/>
      <c r="BR191" s="176" t="n"/>
    </row>
    <row r="192" ht="15" customHeight="1" s="392">
      <c r="A192" s="176" t="n"/>
      <c r="B192" s="180" t="n"/>
      <c r="C192" s="183" t="inlineStr">
        <is>
          <t xml:space="preserve">        Total Lease Liability - Due in year 4</t>
        </is>
      </c>
      <c r="D192" s="190">
        <f>IF(COUNT(M192:AS192)&gt;0,MEDIAN(M192:AS192),"")</f>
        <v/>
      </c>
      <c r="E192" s="190">
        <f>IF(COUNT(M192:AS192)&gt;0,AVERAGE(M192:AS192),"")</f>
        <v/>
      </c>
      <c r="F192" s="190">
        <f>IF(COUNT(M192:AS192)&gt;0,MIN(M192:AS192),"")</f>
        <v/>
      </c>
      <c r="G192" s="190">
        <f>IF(COUNT(M192:AS192)&gt;0,MAX(M192:AS192),"")</f>
        <v/>
      </c>
      <c r="H192" s="190">
        <f>IF(COUNT(M192:AS192)&gt;0,QUARTILE(M192:AS192,1),"")</f>
        <v/>
      </c>
      <c r="I192" s="190">
        <f>IF(COUNT(M192:AS192)&gt;0,QUARTILE(M192:AS192,3),"")</f>
        <v/>
      </c>
      <c r="J192" s="190">
        <f>IF(COUNT(M192:AS192)&gt;1,STDEV(M192:AS192),"")</f>
        <v/>
      </c>
      <c r="K192" s="191">
        <f>IF(COUNT(M192:AS192)&gt;1,STDEV(M192:AS192)/AVERAGE(M192:AS192),"")</f>
        <v/>
      </c>
      <c r="M192" s="192" t="n"/>
      <c r="N192" s="192" t="n">
        <v>14091</v>
      </c>
      <c r="O192" s="192" t="n">
        <v>15513</v>
      </c>
      <c r="P192" s="192" t="n">
        <v>12488</v>
      </c>
      <c r="Q192" s="192" t="n">
        <v>14403</v>
      </c>
      <c r="R192" s="192" t="n">
        <v>13833</v>
      </c>
      <c r="S192" s="192" t="n">
        <v>14980</v>
      </c>
      <c r="T192" s="192" t="n">
        <v>17794</v>
      </c>
      <c r="U192" s="192" t="n">
        <v>13782</v>
      </c>
      <c r="V192" s="192" t="n">
        <v>14422</v>
      </c>
      <c r="W192" s="192" t="n">
        <v>12777</v>
      </c>
      <c r="X192" s="192" t="n">
        <v>14113</v>
      </c>
      <c r="Y192" s="192" t="n">
        <v>16053</v>
      </c>
      <c r="Z192" s="192" t="n">
        <v>13953</v>
      </c>
      <c r="AA192" s="192" t="n"/>
      <c r="AB192" s="192" t="n"/>
      <c r="AC192" s="192" t="n"/>
      <c r="AD192" s="192" t="n"/>
      <c r="AE192" s="192" t="n"/>
      <c r="AF192" s="192" t="n"/>
      <c r="AG192" s="192" t="n"/>
      <c r="AH192" s="192" t="n"/>
      <c r="AI192" s="192" t="n"/>
      <c r="AJ192" s="192" t="n"/>
      <c r="AK192" s="192" t="n"/>
      <c r="AL192" s="192" t="n"/>
      <c r="AM192" s="192" t="n"/>
      <c r="AN192" s="192" t="n"/>
      <c r="AO192" s="192" t="n"/>
      <c r="AP192" s="192" t="n"/>
      <c r="AQ192" s="192" t="n"/>
      <c r="AR192" s="192" t="n"/>
      <c r="AS192" s="192" t="n"/>
      <c r="AT192" s="182" t="n"/>
      <c r="AU192" s="176" t="n"/>
      <c r="AV192" s="176" t="n"/>
      <c r="AW192" s="176" t="n"/>
      <c r="AX192" s="176" t="n"/>
      <c r="AY192" s="176" t="n"/>
      <c r="AZ192" s="176" t="n"/>
      <c r="BA192" s="176" t="n"/>
      <c r="BB192" s="176" t="n"/>
      <c r="BC192" s="176" t="n"/>
      <c r="BD192" s="176" t="n"/>
      <c r="BE192" s="176" t="n"/>
      <c r="BF192" s="176" t="n"/>
      <c r="BG192" s="176" t="n"/>
      <c r="BH192" s="176" t="n"/>
      <c r="BI192" s="176" t="n"/>
      <c r="BJ192" s="176" t="n"/>
      <c r="BK192" s="176" t="n"/>
      <c r="BL192" s="176" t="n"/>
      <c r="BM192" s="176" t="n"/>
      <c r="BN192" s="176" t="n"/>
      <c r="BO192" s="176" t="n"/>
      <c r="BP192" s="176" t="n"/>
      <c r="BQ192" s="176" t="n"/>
      <c r="BR192" s="176" t="n"/>
    </row>
    <row r="193" ht="15" customHeight="1" s="392">
      <c r="A193" s="176" t="n"/>
      <c r="B193" s="180" t="n"/>
      <c r="C193" s="183" t="inlineStr">
        <is>
          <t xml:space="preserve">        Total Lease Liability - Due in year 5</t>
        </is>
      </c>
      <c r="D193" s="190">
        <f>IF(COUNT(M193:AS193)&gt;0,MEDIAN(M193:AS193),"")</f>
        <v/>
      </c>
      <c r="E193" s="190">
        <f>IF(COUNT(M193:AS193)&gt;0,AVERAGE(M193:AS193),"")</f>
        <v/>
      </c>
      <c r="F193" s="190">
        <f>IF(COUNT(M193:AS193)&gt;0,MIN(M193:AS193),"")</f>
        <v/>
      </c>
      <c r="G193" s="190">
        <f>IF(COUNT(M193:AS193)&gt;0,MAX(M193:AS193),"")</f>
        <v/>
      </c>
      <c r="H193" s="190">
        <f>IF(COUNT(M193:AS193)&gt;0,QUARTILE(M193:AS193,1),"")</f>
        <v/>
      </c>
      <c r="I193" s="190">
        <f>IF(COUNT(M193:AS193)&gt;0,QUARTILE(M193:AS193,3),"")</f>
        <v/>
      </c>
      <c r="J193" s="190">
        <f>IF(COUNT(M193:AS193)&gt;1,STDEV(M193:AS193),"")</f>
        <v/>
      </c>
      <c r="K193" s="191">
        <f>IF(COUNT(M193:AS193)&gt;1,STDEV(M193:AS193)/AVERAGE(M193:AS193),"")</f>
        <v/>
      </c>
      <c r="M193" s="192" t="n"/>
      <c r="N193" s="192" t="n">
        <v>8669</v>
      </c>
      <c r="O193" s="192" t="n">
        <v>13634</v>
      </c>
      <c r="P193" s="192" t="n">
        <v>10668</v>
      </c>
      <c r="Q193" s="192" t="n">
        <v>10428</v>
      </c>
      <c r="R193" s="192" t="n">
        <v>10870</v>
      </c>
      <c r="S193" s="192" t="n">
        <v>10156</v>
      </c>
      <c r="T193" s="192" t="n">
        <v>13516</v>
      </c>
      <c r="U193" s="192" t="n">
        <v>11680</v>
      </c>
      <c r="V193" s="192" t="n">
        <v>10147</v>
      </c>
      <c r="W193" s="192" t="n">
        <v>9847</v>
      </c>
      <c r="X193" s="192" t="n">
        <v>10895</v>
      </c>
      <c r="Y193" s="192" t="n">
        <v>12685</v>
      </c>
      <c r="Z193" s="192" t="n">
        <v>12168</v>
      </c>
      <c r="AA193" s="192" t="n"/>
      <c r="AB193" s="192" t="n"/>
      <c r="AC193" s="192" t="n"/>
      <c r="AD193" s="192" t="n"/>
      <c r="AE193" s="192" t="n"/>
      <c r="AF193" s="192" t="n"/>
      <c r="AG193" s="192" t="n"/>
      <c r="AH193" s="192" t="n"/>
      <c r="AI193" s="192" t="n"/>
      <c r="AJ193" s="192" t="n"/>
      <c r="AK193" s="192" t="n"/>
      <c r="AL193" s="192" t="n"/>
      <c r="AM193" s="192" t="n"/>
      <c r="AN193" s="192" t="n"/>
      <c r="AO193" s="192" t="n"/>
      <c r="AP193" s="192" t="n"/>
      <c r="AQ193" s="192" t="n"/>
      <c r="AR193" s="192" t="n"/>
      <c r="AS193" s="192" t="n"/>
      <c r="AT193" s="182" t="n"/>
      <c r="AU193" s="176" t="n"/>
      <c r="AV193" s="176" t="n"/>
      <c r="AW193" s="176" t="n"/>
      <c r="AX193" s="176" t="n"/>
      <c r="AY193" s="176" t="n"/>
      <c r="AZ193" s="176" t="n"/>
      <c r="BA193" s="176" t="n"/>
      <c r="BB193" s="176" t="n"/>
      <c r="BC193" s="176" t="n"/>
      <c r="BD193" s="176" t="n"/>
      <c r="BE193" s="176" t="n"/>
      <c r="BF193" s="176" t="n"/>
      <c r="BG193" s="176" t="n"/>
      <c r="BH193" s="176" t="n"/>
      <c r="BI193" s="176" t="n"/>
      <c r="BJ193" s="176" t="n"/>
      <c r="BK193" s="176" t="n"/>
      <c r="BL193" s="176" t="n"/>
      <c r="BM193" s="176" t="n"/>
      <c r="BN193" s="176" t="n"/>
      <c r="BO193" s="176" t="n"/>
      <c r="BP193" s="176" t="n"/>
      <c r="BQ193" s="176" t="n"/>
      <c r="BR193" s="176" t="n"/>
    </row>
    <row r="194" ht="15" customHeight="1" s="392">
      <c r="A194" s="176" t="n"/>
      <c r="B194" s="180" t="n"/>
      <c r="C194" s="183" t="inlineStr">
        <is>
          <t xml:space="preserve">        Total Lease Liability - Beyond</t>
        </is>
      </c>
      <c r="D194" s="190">
        <f>IF(COUNT(M194:AS194)&gt;0,MEDIAN(M194:AS194),"")</f>
        <v/>
      </c>
      <c r="E194" s="190">
        <f>IF(COUNT(M194:AS194)&gt;0,AVERAGE(M194:AS194),"")</f>
        <v/>
      </c>
      <c r="F194" s="190">
        <f>IF(COUNT(M194:AS194)&gt;0,MIN(M194:AS194),"")</f>
        <v/>
      </c>
      <c r="G194" s="190">
        <f>IF(COUNT(M194:AS194)&gt;0,MAX(M194:AS194),"")</f>
        <v/>
      </c>
      <c r="H194" s="190">
        <f>IF(COUNT(M194:AS194)&gt;0,QUARTILE(M194:AS194,1),"")</f>
        <v/>
      </c>
      <c r="I194" s="190">
        <f>IF(COUNT(M194:AS194)&gt;0,QUARTILE(M194:AS194,3),"")</f>
        <v/>
      </c>
      <c r="J194" s="190">
        <f>IF(COUNT(M194:AS194)&gt;1,STDEV(M194:AS194),"")</f>
        <v/>
      </c>
      <c r="K194" s="191">
        <f>IF(COUNT(M194:AS194)&gt;1,STDEV(M194:AS194)/AVERAGE(M194:AS194),"")</f>
        <v/>
      </c>
      <c r="M194" s="192" t="n"/>
      <c r="N194" s="192" t="n">
        <v>44206</v>
      </c>
      <c r="O194" s="192" t="n">
        <v>47809</v>
      </c>
      <c r="P194" s="192" t="n">
        <v>42305</v>
      </c>
      <c r="Q194" s="192" t="n">
        <v>48447</v>
      </c>
      <c r="R194" s="192" t="n">
        <v>53632</v>
      </c>
      <c r="S194" s="192" t="n">
        <v>45807</v>
      </c>
      <c r="T194" s="192" t="n">
        <v>35291</v>
      </c>
      <c r="U194" s="192" t="n">
        <v>54068</v>
      </c>
      <c r="V194" s="192" t="n">
        <v>59436</v>
      </c>
      <c r="W194" s="192" t="n">
        <v>61904</v>
      </c>
      <c r="X194" s="192" t="n">
        <v>71885</v>
      </c>
      <c r="Y194" s="192" t="n">
        <v>76190</v>
      </c>
      <c r="Z194" s="192" t="n">
        <v>48060</v>
      </c>
      <c r="AA194" s="192" t="n"/>
      <c r="AB194" s="192" t="n"/>
      <c r="AC194" s="192" t="n"/>
      <c r="AD194" s="192" t="n"/>
      <c r="AE194" s="192" t="n"/>
      <c r="AF194" s="192" t="n"/>
      <c r="AG194" s="192" t="n"/>
      <c r="AH194" s="192" t="n"/>
      <c r="AI194" s="192" t="n"/>
      <c r="AJ194" s="192" t="n"/>
      <c r="AK194" s="192" t="n"/>
      <c r="AL194" s="192" t="n"/>
      <c r="AM194" s="192" t="n"/>
      <c r="AN194" s="192" t="n"/>
      <c r="AO194" s="192" t="n"/>
      <c r="AP194" s="192" t="n"/>
      <c r="AQ194" s="192" t="n"/>
      <c r="AR194" s="192" t="n"/>
      <c r="AS194" s="192" t="n"/>
      <c r="AT194" s="182" t="n"/>
      <c r="AU194" s="176" t="n"/>
      <c r="AV194" s="176" t="n"/>
      <c r="AW194" s="176" t="n"/>
      <c r="AX194" s="176" t="n"/>
      <c r="AY194" s="176" t="n"/>
      <c r="AZ194" s="176" t="n"/>
      <c r="BA194" s="176" t="n"/>
      <c r="BB194" s="176" t="n"/>
      <c r="BC194" s="176" t="n"/>
      <c r="BD194" s="176" t="n"/>
      <c r="BE194" s="176" t="n"/>
      <c r="BF194" s="176" t="n"/>
      <c r="BG194" s="176" t="n"/>
      <c r="BH194" s="176" t="n"/>
      <c r="BI194" s="176" t="n"/>
      <c r="BJ194" s="176" t="n"/>
      <c r="BK194" s="176" t="n"/>
      <c r="BL194" s="176" t="n"/>
      <c r="BM194" s="176" t="n"/>
      <c r="BN194" s="176" t="n"/>
      <c r="BO194" s="176" t="n"/>
      <c r="BP194" s="176" t="n"/>
      <c r="BQ194" s="176" t="n"/>
      <c r="BR194" s="176" t="n"/>
    </row>
    <row r="195" ht="15" customHeight="1" s="392">
      <c r="A195" s="176" t="n"/>
      <c r="B195" s="180" t="n"/>
      <c r="C195" s="183" t="inlineStr">
        <is>
          <t xml:space="preserve">        Total Lease Liability - Interest Charges and Other Adjustments</t>
        </is>
      </c>
      <c r="D195" s="190">
        <f>IF(COUNT(M195:AS195)&gt;0,MEDIAN(M195:AS195),"")</f>
        <v/>
      </c>
      <c r="E195" s="190">
        <f>IF(COUNT(M195:AS195)&gt;0,AVERAGE(M195:AS195),"")</f>
        <v/>
      </c>
      <c r="F195" s="190">
        <f>IF(COUNT(M195:AS195)&gt;0,MIN(M195:AS195),"")</f>
        <v/>
      </c>
      <c r="G195" s="190">
        <f>IF(COUNT(M195:AS195)&gt;0,MAX(M195:AS195),"")</f>
        <v/>
      </c>
      <c r="H195" s="190">
        <f>IF(COUNT(M195:AS195)&gt;0,QUARTILE(M195:AS195,1),"")</f>
        <v/>
      </c>
      <c r="I195" s="190">
        <f>IF(COUNT(M195:AS195)&gt;0,QUARTILE(M195:AS195,3),"")</f>
        <v/>
      </c>
      <c r="J195" s="190">
        <f>IF(COUNT(M195:AS195)&gt;1,STDEV(M195:AS195),"")</f>
        <v/>
      </c>
      <c r="K195" s="191">
        <f>IF(COUNT(M195:AS195)&gt;1,STDEV(M195:AS195)/AVERAGE(M195:AS195),"")</f>
        <v/>
      </c>
      <c r="M195" s="192" t="n"/>
      <c r="N195" s="192" t="n">
        <v>-20768</v>
      </c>
      <c r="O195" s="192" t="n">
        <v>-20974</v>
      </c>
      <c r="P195" s="192" t="n">
        <v>-17499</v>
      </c>
      <c r="Q195" s="192" t="n">
        <v>-18290</v>
      </c>
      <c r="R195" s="192" t="n">
        <v>-19923</v>
      </c>
      <c r="S195" s="192" t="n">
        <v>-20230</v>
      </c>
      <c r="T195" s="192" t="n"/>
      <c r="U195" s="192" t="n">
        <v>-29</v>
      </c>
      <c r="V195" s="192" t="n">
        <v>-97</v>
      </c>
      <c r="W195" s="192" t="n">
        <v>-194</v>
      </c>
      <c r="X195" s="192" t="n">
        <v>-28</v>
      </c>
      <c r="Y195" s="192" t="n">
        <v>-92</v>
      </c>
      <c r="Z195" s="192" t="n">
        <v>-8</v>
      </c>
      <c r="AA195" s="192" t="n">
        <v>-17</v>
      </c>
      <c r="AB195" s="192" t="n"/>
      <c r="AC195" s="192" t="n"/>
      <c r="AD195" s="192" t="n"/>
      <c r="AE195" s="192" t="n"/>
      <c r="AF195" s="192" t="n"/>
      <c r="AG195" s="192" t="n"/>
      <c r="AH195" s="192" t="n"/>
      <c r="AI195" s="192" t="n"/>
      <c r="AJ195" s="192" t="n"/>
      <c r="AK195" s="192" t="n"/>
      <c r="AL195" s="192" t="n"/>
      <c r="AM195" s="192" t="n"/>
      <c r="AN195" s="192" t="n"/>
      <c r="AO195" s="192" t="n"/>
      <c r="AP195" s="192" t="n"/>
      <c r="AQ195" s="192" t="n"/>
      <c r="AR195" s="192" t="n"/>
      <c r="AS195" s="192" t="n"/>
      <c r="AT195" s="182" t="n"/>
      <c r="AU195" s="176" t="n"/>
      <c r="AV195" s="176" t="n"/>
      <c r="AW195" s="176" t="n"/>
      <c r="AX195" s="176" t="n"/>
      <c r="AY195" s="176" t="n"/>
      <c r="AZ195" s="176" t="n"/>
      <c r="BA195" s="176" t="n"/>
      <c r="BB195" s="176" t="n"/>
      <c r="BC195" s="176" t="n"/>
      <c r="BD195" s="176" t="n"/>
      <c r="BE195" s="176" t="n"/>
      <c r="BF195" s="176" t="n"/>
      <c r="BG195" s="176" t="n"/>
      <c r="BH195" s="176" t="n"/>
      <c r="BI195" s="176" t="n"/>
      <c r="BJ195" s="176" t="n"/>
      <c r="BK195" s="176" t="n"/>
      <c r="BL195" s="176" t="n"/>
      <c r="BM195" s="176" t="n"/>
      <c r="BN195" s="176" t="n"/>
      <c r="BO195" s="176" t="n"/>
      <c r="BP195" s="176" t="n"/>
      <c r="BQ195" s="176" t="n"/>
      <c r="BR195" s="176" t="n"/>
    </row>
    <row r="196" ht="15" customHeight="1" s="392">
      <c r="A196" s="176" t="n"/>
      <c r="B196" s="180" t="n"/>
      <c r="C196" s="187" t="inlineStr">
        <is>
          <t xml:space="preserve">    Total Lease Liability</t>
        </is>
      </c>
      <c r="D196" s="193">
        <f>IF(COUNT(M196:AS196)&gt;0,MEDIAN(M196:AS196),"")</f>
        <v/>
      </c>
      <c r="E196" s="193">
        <f>IF(COUNT(M196:AS196)&gt;0,AVERAGE(M196:AS196),"")</f>
        <v/>
      </c>
      <c r="F196" s="193">
        <f>IF(COUNT(M196:AS196)&gt;0,MIN(M196:AS196),"")</f>
        <v/>
      </c>
      <c r="G196" s="193">
        <f>IF(COUNT(M196:AS196)&gt;0,MAX(M196:AS196),"")</f>
        <v/>
      </c>
      <c r="H196" s="193">
        <f>IF(COUNT(M196:AS196)&gt;0,QUARTILE(M196:AS196,1),"")</f>
        <v/>
      </c>
      <c r="I196" s="193">
        <f>IF(COUNT(M196:AS196)&gt;0,QUARTILE(M196:AS196,3),"")</f>
        <v/>
      </c>
      <c r="J196" s="193">
        <f>IF(COUNT(M196:AS196)&gt;1,STDEV(M196:AS196),"")</f>
        <v/>
      </c>
      <c r="K196" s="194">
        <f>IF(COUNT(M196:AS196)&gt;1,STDEV(M196:AS196)/AVERAGE(M196:AS196),"")</f>
        <v/>
      </c>
      <c r="L196" s="195" t="n"/>
      <c r="M196" s="196" t="n"/>
      <c r="N196" s="196" t="n">
        <v>103739</v>
      </c>
      <c r="O196" s="196" t="n">
        <v>118733</v>
      </c>
      <c r="P196" s="196" t="n">
        <v>109537</v>
      </c>
      <c r="Q196" s="196" t="n">
        <v>117477</v>
      </c>
      <c r="R196" s="196" t="n">
        <v>120433</v>
      </c>
      <c r="S196" s="196" t="n">
        <v>120405</v>
      </c>
      <c r="T196" s="196" t="n">
        <v>142147</v>
      </c>
      <c r="U196" s="196" t="n">
        <v>151269</v>
      </c>
      <c r="V196" s="196" t="n">
        <v>154832</v>
      </c>
      <c r="W196" s="196" t="n">
        <v>147010</v>
      </c>
      <c r="X196" s="196" t="n">
        <v>157693</v>
      </c>
      <c r="Y196" s="196" t="n">
        <v>170001</v>
      </c>
      <c r="Z196" s="196" t="n">
        <v>131468</v>
      </c>
      <c r="AA196" s="196" t="n">
        <v>307</v>
      </c>
      <c r="AB196" s="196" t="n"/>
      <c r="AC196" s="196" t="n"/>
      <c r="AD196" s="196" t="n"/>
      <c r="AE196" s="196" t="n"/>
      <c r="AF196" s="196" t="n"/>
      <c r="AG196" s="196" t="n"/>
      <c r="AH196" s="196" t="n"/>
      <c r="AI196" s="196" t="n"/>
      <c r="AJ196" s="196" t="n"/>
      <c r="AK196" s="196" t="n"/>
      <c r="AL196" s="196" t="n"/>
      <c r="AM196" s="196" t="n"/>
      <c r="AN196" s="196" t="n"/>
      <c r="AO196" s="196" t="n"/>
      <c r="AP196" s="196" t="n"/>
      <c r="AQ196" s="196" t="n"/>
      <c r="AR196" s="196" t="n"/>
      <c r="AS196" s="196" t="n"/>
      <c r="AT196" s="182" t="n"/>
      <c r="AU196" s="176" t="n"/>
      <c r="AV196" s="176" t="n"/>
      <c r="AW196" s="176" t="n"/>
      <c r="AX196" s="176" t="n"/>
      <c r="AY196" s="176" t="n"/>
      <c r="AZ196" s="176" t="n"/>
      <c r="BA196" s="176" t="n"/>
      <c r="BB196" s="176" t="n"/>
      <c r="BC196" s="176" t="n"/>
      <c r="BD196" s="176" t="n"/>
      <c r="BE196" s="176" t="n"/>
      <c r="BF196" s="176" t="n"/>
      <c r="BG196" s="176" t="n"/>
      <c r="BH196" s="176" t="n"/>
      <c r="BI196" s="176" t="n"/>
      <c r="BJ196" s="176" t="n"/>
      <c r="BK196" s="176" t="n"/>
      <c r="BL196" s="176" t="n"/>
      <c r="BM196" s="176" t="n"/>
      <c r="BN196" s="176" t="n"/>
      <c r="BO196" s="176" t="n"/>
      <c r="BP196" s="176" t="n"/>
      <c r="BQ196" s="176" t="n"/>
      <c r="BR196" s="176" t="n"/>
    </row>
    <row r="197" ht="15" customHeight="1" s="392">
      <c r="A197" s="176" t="n"/>
      <c r="B197" s="180" t="n"/>
      <c r="C197" s="183" t="inlineStr">
        <is>
          <t xml:space="preserve">    Contractual Obligations</t>
        </is>
      </c>
      <c r="D197" s="185" t="n"/>
      <c r="E197" s="185" t="n"/>
      <c r="F197" s="185" t="n"/>
      <c r="G197" s="185" t="n"/>
      <c r="H197" s="185" t="n"/>
      <c r="I197" s="185" t="n"/>
      <c r="J197" s="185" t="n"/>
      <c r="K197" s="185" t="n"/>
      <c r="AT197" s="182" t="n"/>
      <c r="AU197" s="176" t="n"/>
      <c r="AV197" s="176" t="n"/>
      <c r="AW197" s="176" t="n"/>
      <c r="AX197" s="176" t="n"/>
      <c r="AY197" s="176" t="n"/>
      <c r="AZ197" s="176" t="n"/>
      <c r="BA197" s="176" t="n"/>
      <c r="BB197" s="176" t="n"/>
      <c r="BC197" s="176" t="n"/>
      <c r="BD197" s="176" t="n"/>
      <c r="BE197" s="176" t="n"/>
      <c r="BF197" s="176" t="n"/>
      <c r="BG197" s="176" t="n"/>
      <c r="BH197" s="176" t="n"/>
      <c r="BI197" s="176" t="n"/>
      <c r="BJ197" s="176" t="n"/>
      <c r="BK197" s="176" t="n"/>
      <c r="BL197" s="176" t="n"/>
      <c r="BM197" s="176" t="n"/>
      <c r="BN197" s="176" t="n"/>
      <c r="BO197" s="176" t="n"/>
      <c r="BP197" s="176" t="n"/>
      <c r="BQ197" s="176" t="n"/>
      <c r="BR197" s="176" t="n"/>
    </row>
    <row r="198" ht="15" customHeight="1" s="392">
      <c r="A198" s="176" t="n"/>
      <c r="B198" s="180" t="n"/>
      <c r="C198" s="183" t="inlineStr">
        <is>
          <t xml:space="preserve">        Total Contractual Obligations due in year 1</t>
        </is>
      </c>
      <c r="D198" s="190">
        <f>IF(COUNT(M198:AS198)&gt;0,MEDIAN(M198:AS198),"")</f>
        <v/>
      </c>
      <c r="E198" s="190">
        <f>IF(COUNT(M198:AS198)&gt;0,AVERAGE(M198:AS198),"")</f>
        <v/>
      </c>
      <c r="F198" s="190">
        <f>IF(COUNT(M198:AS198)&gt;0,MIN(M198:AS198),"")</f>
        <v/>
      </c>
      <c r="G198" s="190">
        <f>IF(COUNT(M198:AS198)&gt;0,MAX(M198:AS198),"")</f>
        <v/>
      </c>
      <c r="H198" s="190">
        <f>IF(COUNT(M198:AS198)&gt;0,QUARTILE(M198:AS198,1),"")</f>
        <v/>
      </c>
      <c r="I198" s="190">
        <f>IF(COUNT(M198:AS198)&gt;0,QUARTILE(M198:AS198,3),"")</f>
        <v/>
      </c>
      <c r="J198" s="190">
        <f>IF(COUNT(M198:AS198)&gt;1,STDEV(M198:AS198),"")</f>
        <v/>
      </c>
      <c r="K198" s="191">
        <f>IF(COUNT(M198:AS198)&gt;1,STDEV(M198:AS198)/AVERAGE(M198:AS198),"")</f>
        <v/>
      </c>
      <c r="M198" s="192" t="n"/>
      <c r="N198" s="192" t="n">
        <v>22542</v>
      </c>
      <c r="O198" s="192" t="n">
        <v>24745</v>
      </c>
      <c r="P198" s="192" t="n">
        <v>24034</v>
      </c>
      <c r="Q198" s="192" t="n">
        <v>24674</v>
      </c>
      <c r="R198" s="192" t="n">
        <v>25161</v>
      </c>
      <c r="S198" s="192" t="n">
        <v>47144</v>
      </c>
      <c r="T198" s="192" t="n">
        <v>73134</v>
      </c>
      <c r="U198" s="192" t="n">
        <v>48640</v>
      </c>
      <c r="V198" s="192" t="n">
        <v>146705</v>
      </c>
      <c r="W198" s="192" t="n">
        <v>135137</v>
      </c>
      <c r="X198" s="192" t="n">
        <v>114031</v>
      </c>
      <c r="Y198" s="192" t="n">
        <v>48024</v>
      </c>
      <c r="Z198" s="192" t="n">
        <v>124770</v>
      </c>
      <c r="AA198" s="192" t="n">
        <v>198</v>
      </c>
      <c r="AB198" s="192" t="n"/>
      <c r="AC198" s="192" t="n"/>
      <c r="AD198" s="192" t="n"/>
      <c r="AE198" s="192" t="n"/>
      <c r="AF198" s="192" t="n"/>
      <c r="AG198" s="192" t="n"/>
      <c r="AH198" s="192" t="n"/>
      <c r="AI198" s="192" t="n"/>
      <c r="AJ198" s="192" t="n"/>
      <c r="AK198" s="192" t="n"/>
      <c r="AL198" s="192" t="n"/>
      <c r="AM198" s="192" t="n"/>
      <c r="AN198" s="192" t="n"/>
      <c r="AO198" s="192" t="n"/>
      <c r="AP198" s="192" t="n"/>
      <c r="AQ198" s="192" t="n"/>
      <c r="AR198" s="192" t="n"/>
      <c r="AS198" s="192" t="n"/>
      <c r="AT198" s="182" t="n"/>
      <c r="AU198" s="176" t="n"/>
      <c r="AV198" s="176" t="n"/>
      <c r="AW198" s="176" t="n"/>
      <c r="AX198" s="176" t="n"/>
      <c r="AY198" s="176" t="n"/>
      <c r="AZ198" s="176" t="n"/>
      <c r="BA198" s="176" t="n"/>
      <c r="BB198" s="176" t="n"/>
      <c r="BC198" s="176" t="n"/>
      <c r="BD198" s="176" t="n"/>
      <c r="BE198" s="176" t="n"/>
      <c r="BF198" s="176" t="n"/>
      <c r="BG198" s="176" t="n"/>
      <c r="BH198" s="176" t="n"/>
      <c r="BI198" s="176" t="n"/>
      <c r="BJ198" s="176" t="n"/>
      <c r="BK198" s="176" t="n"/>
      <c r="BL198" s="176" t="n"/>
      <c r="BM198" s="176" t="n"/>
      <c r="BN198" s="176" t="n"/>
      <c r="BO198" s="176" t="n"/>
      <c r="BP198" s="176" t="n"/>
      <c r="BQ198" s="176" t="n"/>
      <c r="BR198" s="176" t="n"/>
    </row>
    <row r="199" ht="15" customHeight="1" s="392">
      <c r="A199" s="176" t="n"/>
      <c r="B199" s="180" t="n"/>
      <c r="C199" s="183" t="inlineStr">
        <is>
          <t xml:space="preserve">        Total Contractual Obligations due in year 2</t>
        </is>
      </c>
      <c r="D199" s="190">
        <f>IF(COUNT(M199:AS199)&gt;0,MEDIAN(M199:AS199),"")</f>
        <v/>
      </c>
      <c r="E199" s="190">
        <f>IF(COUNT(M199:AS199)&gt;0,AVERAGE(M199:AS199),"")</f>
        <v/>
      </c>
      <c r="F199" s="190">
        <f>IF(COUNT(M199:AS199)&gt;0,MIN(M199:AS199),"")</f>
        <v/>
      </c>
      <c r="G199" s="190">
        <f>IF(COUNT(M199:AS199)&gt;0,MAX(M199:AS199),"")</f>
        <v/>
      </c>
      <c r="H199" s="190">
        <f>IF(COUNT(M199:AS199)&gt;0,QUARTILE(M199:AS199,1),"")</f>
        <v/>
      </c>
      <c r="I199" s="190">
        <f>IF(COUNT(M199:AS199)&gt;0,QUARTILE(M199:AS199,3),"")</f>
        <v/>
      </c>
      <c r="J199" s="190">
        <f>IF(COUNT(M199:AS199)&gt;1,STDEV(M199:AS199),"")</f>
        <v/>
      </c>
      <c r="K199" s="191">
        <f>IF(COUNT(M199:AS199)&gt;1,STDEV(M199:AS199)/AVERAGE(M199:AS199),"")</f>
        <v/>
      </c>
      <c r="M199" s="192" t="n"/>
      <c r="N199" s="192" t="n">
        <v>18239</v>
      </c>
      <c r="O199" s="192" t="n">
        <v>20978</v>
      </c>
      <c r="P199" s="192" t="n">
        <v>20746</v>
      </c>
      <c r="Q199" s="192" t="n">
        <v>20132</v>
      </c>
      <c r="R199" s="192" t="n">
        <v>20842</v>
      </c>
      <c r="S199" s="192" t="n">
        <v>22619</v>
      </c>
      <c r="T199" s="192" t="n">
        <v>25177</v>
      </c>
      <c r="U199" s="192" t="n">
        <v>22501</v>
      </c>
      <c r="V199" s="192" t="n">
        <v>174330</v>
      </c>
      <c r="W199" s="192" t="n">
        <v>184247</v>
      </c>
      <c r="X199" s="192" t="n">
        <v>49771</v>
      </c>
      <c r="Y199" s="192" t="n">
        <v>22030</v>
      </c>
      <c r="Z199" s="192" t="n">
        <v>18555</v>
      </c>
      <c r="AA199" s="192" t="n">
        <v>126</v>
      </c>
      <c r="AB199" s="192" t="n"/>
      <c r="AC199" s="192" t="n"/>
      <c r="AD199" s="192" t="n"/>
      <c r="AE199" s="192" t="n"/>
      <c r="AF199" s="192" t="n"/>
      <c r="AG199" s="192" t="n"/>
      <c r="AH199" s="192" t="n"/>
      <c r="AI199" s="192" t="n"/>
      <c r="AJ199" s="192" t="n"/>
      <c r="AK199" s="192" t="n"/>
      <c r="AL199" s="192" t="n"/>
      <c r="AM199" s="192" t="n"/>
      <c r="AN199" s="192" t="n"/>
      <c r="AO199" s="192" t="n"/>
      <c r="AP199" s="192" t="n"/>
      <c r="AQ199" s="192" t="n"/>
      <c r="AR199" s="192" t="n"/>
      <c r="AS199" s="192" t="n"/>
      <c r="AT199" s="182" t="n"/>
      <c r="AU199" s="176" t="n"/>
      <c r="AV199" s="176" t="n"/>
      <c r="AW199" s="176" t="n"/>
      <c r="AX199" s="176" t="n"/>
      <c r="AY199" s="176" t="n"/>
      <c r="AZ199" s="176" t="n"/>
      <c r="BA199" s="176" t="n"/>
      <c r="BB199" s="176" t="n"/>
      <c r="BC199" s="176" t="n"/>
      <c r="BD199" s="176" t="n"/>
      <c r="BE199" s="176" t="n"/>
      <c r="BF199" s="176" t="n"/>
      <c r="BG199" s="176" t="n"/>
      <c r="BH199" s="176" t="n"/>
      <c r="BI199" s="176" t="n"/>
      <c r="BJ199" s="176" t="n"/>
      <c r="BK199" s="176" t="n"/>
      <c r="BL199" s="176" t="n"/>
      <c r="BM199" s="176" t="n"/>
      <c r="BN199" s="176" t="n"/>
      <c r="BO199" s="176" t="n"/>
      <c r="BP199" s="176" t="n"/>
      <c r="BQ199" s="176" t="n"/>
      <c r="BR199" s="176" t="n"/>
    </row>
    <row r="200" ht="15" customHeight="1" s="392">
      <c r="A200" s="176" t="n"/>
      <c r="B200" s="180" t="n"/>
      <c r="C200" s="183" t="inlineStr">
        <is>
          <t xml:space="preserve">        Total Contractual Obligations due in year 3</t>
        </is>
      </c>
      <c r="D200" s="190">
        <f>IF(COUNT(M200:AS200)&gt;0,MEDIAN(M200:AS200),"")</f>
        <v/>
      </c>
      <c r="E200" s="190">
        <f>IF(COUNT(M200:AS200)&gt;0,AVERAGE(M200:AS200),"")</f>
        <v/>
      </c>
      <c r="F200" s="190">
        <f>IF(COUNT(M200:AS200)&gt;0,MIN(M200:AS200),"")</f>
        <v/>
      </c>
      <c r="G200" s="190">
        <f>IF(COUNT(M200:AS200)&gt;0,MAX(M200:AS200),"")</f>
        <v/>
      </c>
      <c r="H200" s="190">
        <f>IF(COUNT(M200:AS200)&gt;0,QUARTILE(M200:AS200,1),"")</f>
        <v/>
      </c>
      <c r="I200" s="190">
        <f>IF(COUNT(M200:AS200)&gt;0,QUARTILE(M200:AS200,3),"")</f>
        <v/>
      </c>
      <c r="J200" s="190">
        <f>IF(COUNT(M200:AS200)&gt;1,STDEV(M200:AS200),"")</f>
        <v/>
      </c>
      <c r="K200" s="191">
        <f>IF(COUNT(M200:AS200)&gt;1,STDEV(M200:AS200)/AVERAGE(M200:AS200),"")</f>
        <v/>
      </c>
      <c r="M200" s="192" t="n"/>
      <c r="N200" s="192" t="n">
        <v>16760</v>
      </c>
      <c r="O200" s="192" t="n">
        <v>17028</v>
      </c>
      <c r="P200" s="192" t="n">
        <v>16795</v>
      </c>
      <c r="Q200" s="192" t="n">
        <v>17683</v>
      </c>
      <c r="R200" s="192" t="n">
        <v>16018</v>
      </c>
      <c r="S200" s="192" t="n">
        <v>58143</v>
      </c>
      <c r="T200" s="192" t="n">
        <v>54938</v>
      </c>
      <c r="U200" s="192" t="n">
        <v>54304</v>
      </c>
      <c r="V200" s="192" t="n">
        <v>57725</v>
      </c>
      <c r="W200" s="192" t="n">
        <v>56474</v>
      </c>
      <c r="X200" s="192" t="n">
        <v>85823</v>
      </c>
      <c r="Y200" s="192" t="n">
        <v>19960</v>
      </c>
      <c r="Z200" s="192" t="n">
        <v>316569</v>
      </c>
      <c r="AA200" s="192" t="n"/>
      <c r="AB200" s="192" t="n"/>
      <c r="AC200" s="192" t="n"/>
      <c r="AD200" s="192" t="n"/>
      <c r="AE200" s="192" t="n"/>
      <c r="AF200" s="192" t="n"/>
      <c r="AG200" s="192" t="n"/>
      <c r="AH200" s="192" t="n"/>
      <c r="AI200" s="192" t="n"/>
      <c r="AJ200" s="192" t="n"/>
      <c r="AK200" s="192" t="n"/>
      <c r="AL200" s="192" t="n"/>
      <c r="AM200" s="192" t="n"/>
      <c r="AN200" s="192" t="n"/>
      <c r="AO200" s="192" t="n"/>
      <c r="AP200" s="192" t="n"/>
      <c r="AQ200" s="192" t="n"/>
      <c r="AR200" s="192" t="n"/>
      <c r="AS200" s="192" t="n"/>
      <c r="AT200" s="182" t="n"/>
      <c r="AU200" s="176" t="n"/>
      <c r="AV200" s="176" t="n"/>
      <c r="AW200" s="176" t="n"/>
      <c r="AX200" s="176" t="n"/>
      <c r="AY200" s="176" t="n"/>
      <c r="AZ200" s="176" t="n"/>
      <c r="BA200" s="176" t="n"/>
      <c r="BB200" s="176" t="n"/>
      <c r="BC200" s="176" t="n"/>
      <c r="BD200" s="176" t="n"/>
      <c r="BE200" s="176" t="n"/>
      <c r="BF200" s="176" t="n"/>
      <c r="BG200" s="176" t="n"/>
      <c r="BH200" s="176" t="n"/>
      <c r="BI200" s="176" t="n"/>
      <c r="BJ200" s="176" t="n"/>
      <c r="BK200" s="176" t="n"/>
      <c r="BL200" s="176" t="n"/>
      <c r="BM200" s="176" t="n"/>
      <c r="BN200" s="176" t="n"/>
      <c r="BO200" s="176" t="n"/>
      <c r="BP200" s="176" t="n"/>
      <c r="BQ200" s="176" t="n"/>
      <c r="BR200" s="176" t="n"/>
    </row>
    <row r="201" ht="15" customHeight="1" s="392">
      <c r="A201" s="176" t="n"/>
      <c r="B201" s="180" t="n"/>
      <c r="C201" s="183" t="inlineStr">
        <is>
          <t xml:space="preserve">        Total Contractual Obligations due in year 4</t>
        </is>
      </c>
      <c r="D201" s="190">
        <f>IF(COUNT(M201:AS201)&gt;0,MEDIAN(M201:AS201),"")</f>
        <v/>
      </c>
      <c r="E201" s="190">
        <f>IF(COUNT(M201:AS201)&gt;0,AVERAGE(M201:AS201),"")</f>
        <v/>
      </c>
      <c r="F201" s="190">
        <f>IF(COUNT(M201:AS201)&gt;0,MIN(M201:AS201),"")</f>
        <v/>
      </c>
      <c r="G201" s="190">
        <f>IF(COUNT(M201:AS201)&gt;0,MAX(M201:AS201),"")</f>
        <v/>
      </c>
      <c r="H201" s="190">
        <f>IF(COUNT(M201:AS201)&gt;0,QUARTILE(M201:AS201,1),"")</f>
        <v/>
      </c>
      <c r="I201" s="190">
        <f>IF(COUNT(M201:AS201)&gt;0,QUARTILE(M201:AS201,3),"")</f>
        <v/>
      </c>
      <c r="J201" s="190">
        <f>IF(COUNT(M201:AS201)&gt;1,STDEV(M201:AS201),"")</f>
        <v/>
      </c>
      <c r="K201" s="191">
        <f>IF(COUNT(M201:AS201)&gt;1,STDEV(M201:AS201)/AVERAGE(M201:AS201),"")</f>
        <v/>
      </c>
      <c r="M201" s="192" t="n"/>
      <c r="N201" s="192" t="n">
        <v>14091</v>
      </c>
      <c r="O201" s="192" t="n">
        <v>15513</v>
      </c>
      <c r="P201" s="192" t="n">
        <v>12488</v>
      </c>
      <c r="Q201" s="192" t="n">
        <v>14403</v>
      </c>
      <c r="R201" s="192" t="n">
        <v>113833</v>
      </c>
      <c r="S201" s="192" t="n">
        <v>14980</v>
      </c>
      <c r="T201" s="192" t="n">
        <v>17794</v>
      </c>
      <c r="U201" s="192" t="n">
        <v>13782</v>
      </c>
      <c r="V201" s="192" t="n">
        <v>14422</v>
      </c>
      <c r="W201" s="192" t="n">
        <v>12777</v>
      </c>
      <c r="X201" s="192" t="n">
        <v>44113</v>
      </c>
      <c r="Y201" s="192" t="n">
        <v>16053</v>
      </c>
      <c r="Z201" s="192" t="n">
        <v>13953</v>
      </c>
      <c r="AA201" s="192" t="n"/>
      <c r="AB201" s="192" t="n"/>
      <c r="AC201" s="192" t="n"/>
      <c r="AD201" s="192" t="n"/>
      <c r="AE201" s="192" t="n"/>
      <c r="AF201" s="192" t="n"/>
      <c r="AG201" s="192" t="n"/>
      <c r="AH201" s="192" t="n"/>
      <c r="AI201" s="192" t="n"/>
      <c r="AJ201" s="192" t="n"/>
      <c r="AK201" s="192" t="n"/>
      <c r="AL201" s="192" t="n"/>
      <c r="AM201" s="192" t="n"/>
      <c r="AN201" s="192" t="n"/>
      <c r="AO201" s="192" t="n"/>
      <c r="AP201" s="192" t="n"/>
      <c r="AQ201" s="192" t="n"/>
      <c r="AR201" s="192" t="n"/>
      <c r="AS201" s="192" t="n"/>
      <c r="AT201" s="182" t="n"/>
      <c r="AU201" s="176" t="n"/>
      <c r="AV201" s="176" t="n"/>
      <c r="AW201" s="176" t="n"/>
      <c r="AX201" s="176" t="n"/>
      <c r="AY201" s="176" t="n"/>
      <c r="AZ201" s="176" t="n"/>
      <c r="BA201" s="176" t="n"/>
      <c r="BB201" s="176" t="n"/>
      <c r="BC201" s="176" t="n"/>
      <c r="BD201" s="176" t="n"/>
      <c r="BE201" s="176" t="n"/>
      <c r="BF201" s="176" t="n"/>
      <c r="BG201" s="176" t="n"/>
      <c r="BH201" s="176" t="n"/>
      <c r="BI201" s="176" t="n"/>
      <c r="BJ201" s="176" t="n"/>
      <c r="BK201" s="176" t="n"/>
      <c r="BL201" s="176" t="n"/>
      <c r="BM201" s="176" t="n"/>
      <c r="BN201" s="176" t="n"/>
      <c r="BO201" s="176" t="n"/>
      <c r="BP201" s="176" t="n"/>
      <c r="BQ201" s="176" t="n"/>
      <c r="BR201" s="176" t="n"/>
    </row>
    <row r="202" ht="15" customHeight="1" s="392">
      <c r="A202" s="176" t="n"/>
      <c r="B202" s="180" t="n"/>
      <c r="C202" s="183" t="inlineStr">
        <is>
          <t xml:space="preserve">        Total Contractual Obligations due in year 5</t>
        </is>
      </c>
      <c r="D202" s="190">
        <f>IF(COUNT(M202:AS202)&gt;0,MEDIAN(M202:AS202),"")</f>
        <v/>
      </c>
      <c r="E202" s="190">
        <f>IF(COUNT(M202:AS202)&gt;0,AVERAGE(M202:AS202),"")</f>
        <v/>
      </c>
      <c r="F202" s="190">
        <f>IF(COUNT(M202:AS202)&gt;0,MIN(M202:AS202),"")</f>
        <v/>
      </c>
      <c r="G202" s="190">
        <f>IF(COUNT(M202:AS202)&gt;0,MAX(M202:AS202),"")</f>
        <v/>
      </c>
      <c r="H202" s="190">
        <f>IF(COUNT(M202:AS202)&gt;0,QUARTILE(M202:AS202,1),"")</f>
        <v/>
      </c>
      <c r="I202" s="190">
        <f>IF(COUNT(M202:AS202)&gt;0,QUARTILE(M202:AS202,3),"")</f>
        <v/>
      </c>
      <c r="J202" s="190">
        <f>IF(COUNT(M202:AS202)&gt;1,STDEV(M202:AS202),"")</f>
        <v/>
      </c>
      <c r="K202" s="191">
        <f>IF(COUNT(M202:AS202)&gt;1,STDEV(M202:AS202)/AVERAGE(M202:AS202),"")</f>
        <v/>
      </c>
      <c r="M202" s="192" t="n"/>
      <c r="N202" s="192" t="n">
        <v>8669</v>
      </c>
      <c r="O202" s="192" t="n">
        <v>13634</v>
      </c>
      <c r="P202" s="192" t="n">
        <v>10668</v>
      </c>
      <c r="Q202" s="192" t="n">
        <v>10428</v>
      </c>
      <c r="R202" s="192" t="n">
        <v>10870</v>
      </c>
      <c r="S202" s="192" t="n">
        <v>41163</v>
      </c>
      <c r="T202" s="192" t="n">
        <v>47236</v>
      </c>
      <c r="U202" s="192" t="n">
        <v>45400</v>
      </c>
      <c r="V202" s="192" t="n">
        <v>47167</v>
      </c>
      <c r="W202" s="192" t="n">
        <v>48997</v>
      </c>
      <c r="X202" s="192" t="n">
        <v>148020</v>
      </c>
      <c r="Y202" s="192" t="n">
        <v>12685</v>
      </c>
      <c r="Z202" s="192" t="n">
        <v>12168</v>
      </c>
      <c r="AA202" s="192" t="n"/>
      <c r="AB202" s="192" t="n"/>
      <c r="AC202" s="192" t="n"/>
      <c r="AD202" s="192" t="n"/>
      <c r="AE202" s="192" t="n"/>
      <c r="AF202" s="192" t="n"/>
      <c r="AG202" s="192" t="n"/>
      <c r="AH202" s="192" t="n"/>
      <c r="AI202" s="192" t="n"/>
      <c r="AJ202" s="192" t="n"/>
      <c r="AK202" s="192" t="n"/>
      <c r="AL202" s="192" t="n"/>
      <c r="AM202" s="192" t="n"/>
      <c r="AN202" s="192" t="n"/>
      <c r="AO202" s="192" t="n"/>
      <c r="AP202" s="192" t="n"/>
      <c r="AQ202" s="192" t="n"/>
      <c r="AR202" s="192" t="n"/>
      <c r="AS202" s="192" t="n"/>
      <c r="AT202" s="182" t="n"/>
      <c r="AU202" s="176" t="n"/>
      <c r="AV202" s="176" t="n"/>
      <c r="AW202" s="176" t="n"/>
      <c r="AX202" s="176" t="n"/>
      <c r="AY202" s="176" t="n"/>
      <c r="AZ202" s="176" t="n"/>
      <c r="BA202" s="176" t="n"/>
      <c r="BB202" s="176" t="n"/>
      <c r="BC202" s="176" t="n"/>
      <c r="BD202" s="176" t="n"/>
      <c r="BE202" s="176" t="n"/>
      <c r="BF202" s="176" t="n"/>
      <c r="BG202" s="176" t="n"/>
      <c r="BH202" s="176" t="n"/>
      <c r="BI202" s="176" t="n"/>
      <c r="BJ202" s="176" t="n"/>
      <c r="BK202" s="176" t="n"/>
      <c r="BL202" s="176" t="n"/>
      <c r="BM202" s="176" t="n"/>
      <c r="BN202" s="176" t="n"/>
      <c r="BO202" s="176" t="n"/>
      <c r="BP202" s="176" t="n"/>
      <c r="BQ202" s="176" t="n"/>
      <c r="BR202" s="176" t="n"/>
    </row>
    <row r="203" ht="15" customHeight="1" s="392">
      <c r="A203" s="176" t="n"/>
      <c r="B203" s="180" t="n"/>
      <c r="C203" s="183" t="inlineStr">
        <is>
          <t xml:space="preserve">        Total Contractual Obligations due Beyond</t>
        </is>
      </c>
      <c r="D203" s="190">
        <f>IF(COUNT(M203:AS203)&gt;0,MEDIAN(M203:AS203),"")</f>
        <v/>
      </c>
      <c r="E203" s="190">
        <f>IF(COUNT(M203:AS203)&gt;0,AVERAGE(M203:AS203),"")</f>
        <v/>
      </c>
      <c r="F203" s="190">
        <f>IF(COUNT(M203:AS203)&gt;0,MIN(M203:AS203),"")</f>
        <v/>
      </c>
      <c r="G203" s="190">
        <f>IF(COUNT(M203:AS203)&gt;0,MAX(M203:AS203),"")</f>
        <v/>
      </c>
      <c r="H203" s="190">
        <f>IF(COUNT(M203:AS203)&gt;0,QUARTILE(M203:AS203,1),"")</f>
        <v/>
      </c>
      <c r="I203" s="190">
        <f>IF(COUNT(M203:AS203)&gt;0,QUARTILE(M203:AS203,3),"")</f>
        <v/>
      </c>
      <c r="J203" s="190">
        <f>IF(COUNT(M203:AS203)&gt;1,STDEV(M203:AS203),"")</f>
        <v/>
      </c>
      <c r="K203" s="191">
        <f>IF(COUNT(M203:AS203)&gt;1,STDEV(M203:AS203)/AVERAGE(M203:AS203),"")</f>
        <v/>
      </c>
      <c r="M203" s="192" t="n"/>
      <c r="N203" s="192" t="n">
        <v>44206</v>
      </c>
      <c r="O203" s="192" t="n">
        <v>47809</v>
      </c>
      <c r="P203" s="192" t="n">
        <v>42305</v>
      </c>
      <c r="Q203" s="192" t="n">
        <v>48447</v>
      </c>
      <c r="R203" s="192" t="n">
        <v>353632</v>
      </c>
      <c r="S203" s="192" t="n">
        <v>80161</v>
      </c>
      <c r="T203" s="192" t="n">
        <v>83792</v>
      </c>
      <c r="U203" s="192" t="n">
        <v>519429</v>
      </c>
      <c r="V203" s="192" t="n">
        <v>541657</v>
      </c>
      <c r="W203" s="192" t="n">
        <v>576395</v>
      </c>
      <c r="X203" s="192" t="n">
        <v>586376</v>
      </c>
      <c r="Y203" s="192" t="n">
        <v>76190</v>
      </c>
      <c r="Z203" s="192" t="n">
        <v>48060</v>
      </c>
      <c r="AA203" s="192" t="n"/>
      <c r="AB203" s="192" t="n"/>
      <c r="AC203" s="192" t="n"/>
      <c r="AD203" s="192" t="n"/>
      <c r="AE203" s="192" t="n"/>
      <c r="AF203" s="192" t="n"/>
      <c r="AG203" s="192" t="n"/>
      <c r="AH203" s="192" t="n"/>
      <c r="AI203" s="192" t="n"/>
      <c r="AJ203" s="192" t="n"/>
      <c r="AK203" s="192" t="n"/>
      <c r="AL203" s="192" t="n"/>
      <c r="AM203" s="192" t="n"/>
      <c r="AN203" s="192" t="n"/>
      <c r="AO203" s="192" t="n"/>
      <c r="AP203" s="192" t="n"/>
      <c r="AQ203" s="192" t="n"/>
      <c r="AR203" s="192" t="n"/>
      <c r="AS203" s="192" t="n"/>
      <c r="AT203" s="182" t="n"/>
      <c r="AU203" s="176" t="n"/>
      <c r="AV203" s="176" t="n"/>
      <c r="AW203" s="176" t="n"/>
      <c r="AX203" s="176" t="n"/>
      <c r="AY203" s="176" t="n"/>
      <c r="AZ203" s="176" t="n"/>
      <c r="BA203" s="176" t="n"/>
      <c r="BB203" s="176" t="n"/>
      <c r="BC203" s="176" t="n"/>
      <c r="BD203" s="176" t="n"/>
      <c r="BE203" s="176" t="n"/>
      <c r="BF203" s="176" t="n"/>
      <c r="BG203" s="176" t="n"/>
      <c r="BH203" s="176" t="n"/>
      <c r="BI203" s="176" t="n"/>
      <c r="BJ203" s="176" t="n"/>
      <c r="BK203" s="176" t="n"/>
      <c r="BL203" s="176" t="n"/>
      <c r="BM203" s="176" t="n"/>
      <c r="BN203" s="176" t="n"/>
      <c r="BO203" s="176" t="n"/>
      <c r="BP203" s="176" t="n"/>
      <c r="BQ203" s="176" t="n"/>
      <c r="BR203" s="176" t="n"/>
    </row>
    <row r="204" ht="15" customHeight="1" s="392">
      <c r="A204" s="176" t="n"/>
      <c r="B204" s="180" t="n"/>
      <c r="C204" s="183" t="inlineStr">
        <is>
          <t xml:space="preserve">        Total Contractual Obligations - Interests Charges and Other Adjustments</t>
        </is>
      </c>
      <c r="D204" s="190">
        <f>IF(COUNT(M204:AS204)&gt;0,MEDIAN(M204:AS204),"")</f>
        <v/>
      </c>
      <c r="E204" s="190">
        <f>IF(COUNT(M204:AS204)&gt;0,AVERAGE(M204:AS204),"")</f>
        <v/>
      </c>
      <c r="F204" s="190">
        <f>IF(COUNT(M204:AS204)&gt;0,MIN(M204:AS204),"")</f>
        <v/>
      </c>
      <c r="G204" s="190">
        <f>IF(COUNT(M204:AS204)&gt;0,MAX(M204:AS204),"")</f>
        <v/>
      </c>
      <c r="H204" s="190">
        <f>IF(COUNT(M204:AS204)&gt;0,QUARTILE(M204:AS204,1),"")</f>
        <v/>
      </c>
      <c r="I204" s="190">
        <f>IF(COUNT(M204:AS204)&gt;0,QUARTILE(M204:AS204,3),"")</f>
        <v/>
      </c>
      <c r="J204" s="190">
        <f>IF(COUNT(M204:AS204)&gt;1,STDEV(M204:AS204),"")</f>
        <v/>
      </c>
      <c r="K204" s="191">
        <f>IF(COUNT(M204:AS204)&gt;1,STDEV(M204:AS204)/AVERAGE(M204:AS204),"")</f>
        <v/>
      </c>
      <c r="M204" s="192" t="n"/>
      <c r="N204" s="192" t="n">
        <v>-20768</v>
      </c>
      <c r="O204" s="192" t="n">
        <v>-20974</v>
      </c>
      <c r="P204" s="192" t="n">
        <v>-17499</v>
      </c>
      <c r="Q204" s="192" t="n">
        <v>-18290</v>
      </c>
      <c r="R204" s="192" t="n">
        <v>-19923</v>
      </c>
      <c r="S204" s="192" t="n">
        <v>-20230</v>
      </c>
      <c r="T204" s="192" t="n"/>
      <c r="U204" s="192" t="n">
        <v>-1111</v>
      </c>
      <c r="V204" s="192" t="n">
        <v>-97</v>
      </c>
      <c r="W204" s="192" t="n">
        <v>-194</v>
      </c>
      <c r="X204" s="192" t="n">
        <v>-28</v>
      </c>
      <c r="Y204" s="192" t="n">
        <v>-92</v>
      </c>
      <c r="Z204" s="192" t="n">
        <v>-8</v>
      </c>
      <c r="AA204" s="192" t="n">
        <v>-17</v>
      </c>
      <c r="AB204" s="192" t="n"/>
      <c r="AC204" s="192" t="n"/>
      <c r="AD204" s="192" t="n"/>
      <c r="AE204" s="192" t="n"/>
      <c r="AF204" s="192" t="n"/>
      <c r="AG204" s="192" t="n"/>
      <c r="AH204" s="192" t="n"/>
      <c r="AI204" s="192" t="n"/>
      <c r="AJ204" s="192" t="n"/>
      <c r="AK204" s="192" t="n"/>
      <c r="AL204" s="192" t="n"/>
      <c r="AM204" s="192" t="n"/>
      <c r="AN204" s="192" t="n"/>
      <c r="AO204" s="192" t="n"/>
      <c r="AP204" s="192" t="n"/>
      <c r="AQ204" s="192" t="n"/>
      <c r="AR204" s="192" t="n"/>
      <c r="AS204" s="192" t="n"/>
      <c r="AT204" s="182" t="n"/>
      <c r="AU204" s="176" t="n"/>
      <c r="AV204" s="176" t="n"/>
      <c r="AW204" s="176" t="n"/>
      <c r="AX204" s="176" t="n"/>
      <c r="AY204" s="176" t="n"/>
      <c r="AZ204" s="176" t="n"/>
      <c r="BA204" s="176" t="n"/>
      <c r="BB204" s="176" t="n"/>
      <c r="BC204" s="176" t="n"/>
      <c r="BD204" s="176" t="n"/>
      <c r="BE204" s="176" t="n"/>
      <c r="BF204" s="176" t="n"/>
      <c r="BG204" s="176" t="n"/>
      <c r="BH204" s="176" t="n"/>
      <c r="BI204" s="176" t="n"/>
      <c r="BJ204" s="176" t="n"/>
      <c r="BK204" s="176" t="n"/>
      <c r="BL204" s="176" t="n"/>
      <c r="BM204" s="176" t="n"/>
      <c r="BN204" s="176" t="n"/>
      <c r="BO204" s="176" t="n"/>
      <c r="BP204" s="176" t="n"/>
      <c r="BQ204" s="176" t="n"/>
      <c r="BR204" s="176" t="n"/>
    </row>
    <row r="205" ht="15" customHeight="1" s="392">
      <c r="A205" s="176" t="n"/>
      <c r="B205" s="180" t="n"/>
      <c r="C205" s="187" t="inlineStr">
        <is>
          <t xml:space="preserve">    Total Contractual Obligations</t>
        </is>
      </c>
      <c r="D205" s="193">
        <f>IF(COUNT(M205:AS205)&gt;0,MEDIAN(M205:AS205),"")</f>
        <v/>
      </c>
      <c r="E205" s="193">
        <f>IF(COUNT(M205:AS205)&gt;0,AVERAGE(M205:AS205),"")</f>
        <v/>
      </c>
      <c r="F205" s="193">
        <f>IF(COUNT(M205:AS205)&gt;0,MIN(M205:AS205),"")</f>
        <v/>
      </c>
      <c r="G205" s="193">
        <f>IF(COUNT(M205:AS205)&gt;0,MAX(M205:AS205),"")</f>
        <v/>
      </c>
      <c r="H205" s="193">
        <f>IF(COUNT(M205:AS205)&gt;0,QUARTILE(M205:AS205,1),"")</f>
        <v/>
      </c>
      <c r="I205" s="193">
        <f>IF(COUNT(M205:AS205)&gt;0,QUARTILE(M205:AS205,3),"")</f>
        <v/>
      </c>
      <c r="J205" s="193">
        <f>IF(COUNT(M205:AS205)&gt;1,STDEV(M205:AS205),"")</f>
        <v/>
      </c>
      <c r="K205" s="194">
        <f>IF(COUNT(M205:AS205)&gt;1,STDEV(M205:AS205)/AVERAGE(M205:AS205),"")</f>
        <v/>
      </c>
      <c r="L205" s="195" t="n"/>
      <c r="M205" s="196" t="n"/>
      <c r="N205" s="196" t="n">
        <v>103739</v>
      </c>
      <c r="O205" s="196" t="n">
        <v>118733</v>
      </c>
      <c r="P205" s="196" t="n">
        <v>109537</v>
      </c>
      <c r="Q205" s="196" t="n">
        <v>117477</v>
      </c>
      <c r="R205" s="196" t="n">
        <v>520433</v>
      </c>
      <c r="S205" s="196" t="n">
        <v>243980</v>
      </c>
      <c r="T205" s="196" t="n">
        <v>302071</v>
      </c>
      <c r="U205" s="196" t="n">
        <v>702945</v>
      </c>
      <c r="V205" s="196" t="n">
        <v>981909</v>
      </c>
      <c r="W205" s="196" t="n">
        <v>1013833</v>
      </c>
      <c r="X205" s="196" t="n">
        <v>1028106</v>
      </c>
      <c r="Y205" s="196" t="n">
        <v>194850</v>
      </c>
      <c r="Z205" s="196" t="n">
        <v>534067</v>
      </c>
      <c r="AA205" s="196" t="n">
        <v>307</v>
      </c>
      <c r="AB205" s="196" t="n"/>
      <c r="AC205" s="196" t="n"/>
      <c r="AD205" s="196" t="n"/>
      <c r="AE205" s="196" t="n"/>
      <c r="AF205" s="196" t="n"/>
      <c r="AG205" s="196" t="n"/>
      <c r="AH205" s="196" t="n"/>
      <c r="AI205" s="196" t="n"/>
      <c r="AJ205" s="196" t="n"/>
      <c r="AK205" s="196" t="n"/>
      <c r="AL205" s="196" t="n"/>
      <c r="AM205" s="196" t="n"/>
      <c r="AN205" s="196" t="n"/>
      <c r="AO205" s="196" t="n"/>
      <c r="AP205" s="196" t="n"/>
      <c r="AQ205" s="196" t="n"/>
      <c r="AR205" s="196" t="n"/>
      <c r="AS205" s="196" t="n"/>
      <c r="AT205" s="182" t="n"/>
      <c r="AU205" s="176" t="n"/>
      <c r="AV205" s="176" t="n"/>
      <c r="AW205" s="176" t="n"/>
      <c r="AX205" s="176" t="n"/>
      <c r="AY205" s="176" t="n"/>
      <c r="AZ205" s="176" t="n"/>
      <c r="BA205" s="176" t="n"/>
      <c r="BB205" s="176" t="n"/>
      <c r="BC205" s="176" t="n"/>
      <c r="BD205" s="176" t="n"/>
      <c r="BE205" s="176" t="n"/>
      <c r="BF205" s="176" t="n"/>
      <c r="BG205" s="176" t="n"/>
      <c r="BH205" s="176" t="n"/>
      <c r="BI205" s="176" t="n"/>
      <c r="BJ205" s="176" t="n"/>
      <c r="BK205" s="176" t="n"/>
      <c r="BL205" s="176" t="n"/>
      <c r="BM205" s="176" t="n"/>
      <c r="BN205" s="176" t="n"/>
      <c r="BO205" s="176" t="n"/>
      <c r="BP205" s="176" t="n"/>
      <c r="BQ205" s="176" t="n"/>
      <c r="BR205" s="176" t="n"/>
    </row>
    <row r="206" ht="15" customHeight="1" s="392">
      <c r="A206" s="176" t="n"/>
      <c r="B206" s="180" t="n"/>
      <c r="C206" s="189" t="inlineStr">
        <is>
          <t>Financial Health Metrics</t>
        </is>
      </c>
      <c r="D206" s="185" t="n"/>
      <c r="E206" s="185" t="n"/>
      <c r="F206" s="185" t="n"/>
      <c r="G206" s="185" t="n"/>
      <c r="H206" s="185" t="n"/>
      <c r="I206" s="185" t="n"/>
      <c r="J206" s="185" t="n"/>
      <c r="K206" s="185" t="n"/>
      <c r="L206" s="185" t="n"/>
      <c r="M206" s="185" t="n"/>
      <c r="N206" s="185" t="n"/>
      <c r="O206" s="185" t="n"/>
      <c r="P206" s="185" t="n"/>
      <c r="Q206" s="185" t="n"/>
      <c r="R206" s="185" t="n"/>
      <c r="S206" s="185" t="n"/>
      <c r="T206" s="185" t="n"/>
      <c r="U206" s="185" t="n"/>
      <c r="V206" s="185" t="n"/>
      <c r="W206" s="185" t="n"/>
      <c r="X206" s="185" t="n"/>
      <c r="Y206" s="185" t="n"/>
      <c r="Z206" s="185" t="n"/>
      <c r="AA206" s="185" t="n"/>
      <c r="AB206" s="185" t="n"/>
      <c r="AC206" s="185" t="n"/>
      <c r="AD206" s="185" t="n"/>
      <c r="AE206" s="185" t="n"/>
      <c r="AF206" s="185" t="n"/>
      <c r="AG206" s="185" t="n"/>
      <c r="AH206" s="185" t="n"/>
      <c r="AI206" s="185" t="n"/>
      <c r="AJ206" s="185" t="n"/>
      <c r="AK206" s="185" t="n"/>
      <c r="AL206" s="185" t="n"/>
      <c r="AM206" s="185" t="n"/>
      <c r="AN206" s="185" t="n"/>
      <c r="AO206" s="185" t="n"/>
      <c r="AP206" s="185" t="n"/>
      <c r="AQ206" s="185" t="n"/>
      <c r="AR206" s="185" t="n"/>
      <c r="AS206" s="185" t="n"/>
      <c r="AT206" s="182" t="n"/>
      <c r="AU206" s="176" t="n"/>
      <c r="AV206" s="176" t="n"/>
      <c r="AW206" s="176" t="n"/>
      <c r="AX206" s="176" t="n"/>
      <c r="AY206" s="176" t="n"/>
      <c r="AZ206" s="176" t="n"/>
      <c r="BA206" s="176" t="n"/>
      <c r="BB206" s="176" t="n"/>
      <c r="BC206" s="176" t="n"/>
      <c r="BD206" s="176" t="n"/>
      <c r="BE206" s="176" t="n"/>
      <c r="BF206" s="176" t="n"/>
      <c r="BG206" s="176" t="n"/>
      <c r="BH206" s="176" t="n"/>
      <c r="BI206" s="176" t="n"/>
      <c r="BJ206" s="176" t="n"/>
      <c r="BK206" s="176" t="n"/>
      <c r="BL206" s="176" t="n"/>
      <c r="BM206" s="176" t="n"/>
      <c r="BN206" s="176" t="n"/>
      <c r="BO206" s="176" t="n"/>
      <c r="BP206" s="176" t="n"/>
      <c r="BQ206" s="176" t="n"/>
      <c r="BR206" s="176" t="n"/>
    </row>
    <row r="207" ht="15" customHeight="1" s="392">
      <c r="A207" s="176" t="n"/>
      <c r="B207" s="180" t="n"/>
      <c r="C207" s="183" t="inlineStr">
        <is>
          <t xml:space="preserve">    Total Debt</t>
        </is>
      </c>
      <c r="D207" s="190">
        <f>IF(COUNT(M207:AS207)&gt;0,MEDIAN(M207:AS207),"")</f>
        <v/>
      </c>
      <c r="E207" s="190">
        <f>IF(COUNT(M207:AS207)&gt;0,AVERAGE(M207:AS207),"")</f>
        <v/>
      </c>
      <c r="F207" s="190">
        <f>IF(COUNT(M207:AS207)&gt;0,MIN(M207:AS207),"")</f>
        <v/>
      </c>
      <c r="G207" s="190">
        <f>IF(COUNT(M207:AS207)&gt;0,MAX(M207:AS207),"")</f>
        <v/>
      </c>
      <c r="H207" s="190">
        <f>IF(COUNT(M207:AS207)&gt;0,QUARTILE(M207:AS207,1),"")</f>
        <v/>
      </c>
      <c r="I207" s="190">
        <f>IF(COUNT(M207:AS207)&gt;0,QUARTILE(M207:AS207,3),"")</f>
        <v/>
      </c>
      <c r="J207" s="190">
        <f>IF(COUNT(M207:AS207)&gt;1,STDEV(M207:AS207),"")</f>
        <v/>
      </c>
      <c r="K207" s="191">
        <f>IF(COUNT(M207:AS207)&gt;1,STDEV(M207:AS207)/AVERAGE(M207:AS207),"")</f>
        <v/>
      </c>
      <c r="M207" s="192" t="n">
        <v>88367</v>
      </c>
      <c r="N207" s="192" t="n">
        <v>103739</v>
      </c>
      <c r="O207" s="192" t="n">
        <v>118733</v>
      </c>
      <c r="P207" s="192" t="n">
        <v>120453</v>
      </c>
      <c r="Q207" s="192" t="n">
        <v>119473</v>
      </c>
      <c r="R207" s="192" t="n">
        <v>518069</v>
      </c>
      <c r="S207" s="192" t="n">
        <v>518622</v>
      </c>
      <c r="T207" s="192" t="n">
        <v>401229</v>
      </c>
      <c r="U207" s="192" t="n">
        <v>399898</v>
      </c>
      <c r="V207" s="192" t="n">
        <v>633038</v>
      </c>
      <c r="W207" s="192" t="n">
        <v>640492</v>
      </c>
      <c r="X207" s="192" t="n">
        <v>644514</v>
      </c>
      <c r="Y207" s="192" t="n">
        <v>302901</v>
      </c>
      <c r="Z207" s="192" t="n">
        <v>388748</v>
      </c>
      <c r="AA207" s="192" t="n">
        <v>444120</v>
      </c>
      <c r="AB207" s="192" t="n">
        <v>375756</v>
      </c>
      <c r="AC207" s="192" t="n">
        <v>975</v>
      </c>
      <c r="AD207" s="192" t="n">
        <v>0</v>
      </c>
      <c r="AE207" s="192" t="n">
        <v>17502</v>
      </c>
      <c r="AF207" s="192" t="n">
        <v>9256</v>
      </c>
      <c r="AG207" s="192" t="n"/>
      <c r="AH207" s="192" t="n"/>
      <c r="AI207" s="192" t="n"/>
      <c r="AJ207" s="192" t="n">
        <v>107</v>
      </c>
      <c r="AK207" s="192" t="n">
        <v>409.2</v>
      </c>
      <c r="AL207" s="192" t="n">
        <v>712.1</v>
      </c>
      <c r="AM207" s="192" t="n">
        <v>8554.5</v>
      </c>
      <c r="AN207" s="192" t="n">
        <v>7900</v>
      </c>
      <c r="AO207" s="192" t="n">
        <v>8400</v>
      </c>
      <c r="AP207" s="192" t="n">
        <v>9700</v>
      </c>
      <c r="AQ207" s="192" t="n">
        <v>11300</v>
      </c>
      <c r="AR207" s="192" t="n">
        <v>3800</v>
      </c>
      <c r="AS207" s="192" t="n">
        <v>4000</v>
      </c>
      <c r="AT207" s="182" t="n"/>
      <c r="AU207" s="176" t="n"/>
      <c r="AV207" s="176" t="n"/>
      <c r="AW207" s="176" t="n"/>
      <c r="AX207" s="176" t="n"/>
      <c r="AY207" s="176" t="n"/>
      <c r="AZ207" s="176" t="n"/>
      <c r="BA207" s="176" t="n"/>
      <c r="BB207" s="176" t="n"/>
      <c r="BC207" s="176" t="n"/>
      <c r="BD207" s="176" t="n"/>
      <c r="BE207" s="176" t="n"/>
      <c r="BF207" s="176" t="n"/>
      <c r="BG207" s="176" t="n"/>
      <c r="BH207" s="176" t="n"/>
      <c r="BI207" s="176" t="n"/>
      <c r="BJ207" s="176" t="n"/>
      <c r="BK207" s="176" t="n"/>
      <c r="BL207" s="176" t="n"/>
      <c r="BM207" s="176" t="n"/>
      <c r="BN207" s="176" t="n"/>
      <c r="BO207" s="176" t="n"/>
      <c r="BP207" s="176" t="n"/>
      <c r="BQ207" s="176" t="n"/>
      <c r="BR207" s="176" t="n"/>
    </row>
    <row r="208" ht="15" customHeight="1" s="392">
      <c r="A208" s="176" t="n"/>
      <c r="B208" s="180" t="n"/>
      <c r="C208" s="183" t="inlineStr">
        <is>
          <t xml:space="preserve">    Net Debt</t>
        </is>
      </c>
      <c r="D208" s="190">
        <f>IF(COUNT(M208:AS208)&gt;0,MEDIAN(M208:AS208),"")</f>
        <v/>
      </c>
      <c r="E208" s="190">
        <f>IF(COUNT(M208:AS208)&gt;0,AVERAGE(M208:AS208),"")</f>
        <v/>
      </c>
      <c r="F208" s="190">
        <f>IF(COUNT(M208:AS208)&gt;0,MIN(M208:AS208),"")</f>
        <v/>
      </c>
      <c r="G208" s="190">
        <f>IF(COUNT(M208:AS208)&gt;0,MAX(M208:AS208),"")</f>
        <v/>
      </c>
      <c r="H208" s="190">
        <f>IF(COUNT(M208:AS208)&gt;0,QUARTILE(M208:AS208,1),"")</f>
        <v/>
      </c>
      <c r="I208" s="190">
        <f>IF(COUNT(M208:AS208)&gt;0,QUARTILE(M208:AS208,3),"")</f>
        <v/>
      </c>
      <c r="J208" s="190">
        <f>IF(COUNT(M208:AS208)&gt;1,STDEV(M208:AS208),"")</f>
        <v/>
      </c>
      <c r="K208" s="191">
        <f>IF(COUNT(M208:AS208)&gt;1,STDEV(M208:AS208)/AVERAGE(M208:AS208),"")</f>
        <v/>
      </c>
      <c r="M208" s="192" t="n">
        <v>-4401435</v>
      </c>
      <c r="N208" s="192" t="n">
        <v>-4685331</v>
      </c>
      <c r="O208" s="192" t="n">
        <v>-3303425</v>
      </c>
      <c r="P208" s="192" t="n">
        <v>-2243531</v>
      </c>
      <c r="Q208" s="192" t="n">
        <v>-1264763</v>
      </c>
      <c r="R208" s="192" t="n">
        <v>-530191</v>
      </c>
      <c r="S208" s="192" t="n">
        <v>40904</v>
      </c>
      <c r="T208" s="192" t="n">
        <v>214910</v>
      </c>
      <c r="U208" s="192" t="n">
        <v>125378</v>
      </c>
      <c r="V208" s="192" t="n">
        <v>422938</v>
      </c>
      <c r="W208" s="192" t="n">
        <v>484643</v>
      </c>
      <c r="X208" s="192" t="n">
        <v>188502</v>
      </c>
      <c r="Y208" s="192" t="n">
        <v>144233</v>
      </c>
      <c r="Z208" s="192" t="n">
        <v>325117</v>
      </c>
      <c r="AA208" s="192" t="n">
        <v>304008</v>
      </c>
      <c r="AB208" s="192" t="n">
        <v>301747</v>
      </c>
      <c r="AC208" s="192" t="n">
        <v>-267213</v>
      </c>
      <c r="AD208" s="192" t="n">
        <v>-162691</v>
      </c>
      <c r="AE208" s="192" t="n">
        <v>-21452</v>
      </c>
      <c r="AF208" s="192" t="n">
        <v>-200990</v>
      </c>
      <c r="AG208" s="192" t="n">
        <v>-275315</v>
      </c>
      <c r="AH208" s="192" t="n">
        <v>-252548</v>
      </c>
      <c r="AI208" s="192" t="n">
        <v>-178320</v>
      </c>
      <c r="AJ208" s="192" t="n">
        <v>-116639</v>
      </c>
      <c r="AK208" s="192" t="n">
        <v>-132280.8</v>
      </c>
      <c r="AL208" s="192" t="n">
        <v>-14533.1</v>
      </c>
      <c r="AM208" s="192" t="n">
        <v>-3610.4</v>
      </c>
      <c r="AN208" s="192" t="n">
        <v>-29100</v>
      </c>
      <c r="AO208" s="192" t="n">
        <v>-7300</v>
      </c>
      <c r="AP208" s="192" t="n">
        <v>-18000</v>
      </c>
      <c r="AQ208" s="192" t="n">
        <v>-1700</v>
      </c>
      <c r="AR208" s="192" t="n">
        <v>-10000</v>
      </c>
      <c r="AS208" s="192" t="n">
        <v>-13900</v>
      </c>
      <c r="AT208" s="182" t="n"/>
      <c r="AU208" s="176" t="n"/>
      <c r="AV208" s="176" t="n"/>
      <c r="AW208" s="176" t="n"/>
      <c r="AX208" s="176" t="n"/>
      <c r="AY208" s="176" t="n"/>
      <c r="AZ208" s="176" t="n"/>
      <c r="BA208" s="176" t="n"/>
      <c r="BB208" s="176" t="n"/>
      <c r="BC208" s="176" t="n"/>
      <c r="BD208" s="176" t="n"/>
      <c r="BE208" s="176" t="n"/>
      <c r="BF208" s="176" t="n"/>
      <c r="BG208" s="176" t="n"/>
      <c r="BH208" s="176" t="n"/>
      <c r="BI208" s="176" t="n"/>
      <c r="BJ208" s="176" t="n"/>
      <c r="BK208" s="176" t="n"/>
      <c r="BL208" s="176" t="n"/>
      <c r="BM208" s="176" t="n"/>
      <c r="BN208" s="176" t="n"/>
      <c r="BO208" s="176" t="n"/>
      <c r="BP208" s="176" t="n"/>
      <c r="BQ208" s="176" t="n"/>
      <c r="BR208" s="176" t="n"/>
    </row>
    <row r="209" ht="15" customHeight="1" s="392">
      <c r="A209" s="176" t="n"/>
      <c r="B209" s="180" t="n"/>
      <c r="C209" s="183" t="inlineStr">
        <is>
          <t xml:space="preserve">    Total Capital Lease Obligations</t>
        </is>
      </c>
      <c r="D209" s="190">
        <f>IF(COUNT(M209:AS209)&gt;0,MEDIAN(M209:AS209),"")</f>
        <v/>
      </c>
      <c r="E209" s="190">
        <f>IF(COUNT(M209:AS209)&gt;0,AVERAGE(M209:AS209),"")</f>
        <v/>
      </c>
      <c r="F209" s="190">
        <f>IF(COUNT(M209:AS209)&gt;0,MIN(M209:AS209),"")</f>
        <v/>
      </c>
      <c r="G209" s="190">
        <f>IF(COUNT(M209:AS209)&gt;0,MAX(M209:AS209),"")</f>
        <v/>
      </c>
      <c r="H209" s="190">
        <f>IF(COUNT(M209:AS209)&gt;0,QUARTILE(M209:AS209,1),"")</f>
        <v/>
      </c>
      <c r="I209" s="190">
        <f>IF(COUNT(M209:AS209)&gt;0,QUARTILE(M209:AS209,3),"")</f>
        <v/>
      </c>
      <c r="J209" s="190">
        <f>IF(COUNT(M209:AS209)&gt;1,STDEV(M209:AS209),"")</f>
        <v/>
      </c>
      <c r="K209" s="191">
        <f>IF(COUNT(M209:AS209)&gt;1,STDEV(M209:AS209)/AVERAGE(M209:AS209),"")</f>
        <v/>
      </c>
      <c r="M209" s="192" t="n">
        <v>88367</v>
      </c>
      <c r="N209" s="192" t="n">
        <v>103739</v>
      </c>
      <c r="O209" s="192" t="n">
        <v>118733</v>
      </c>
      <c r="P209" s="192" t="n">
        <v>109550</v>
      </c>
      <c r="Q209" s="192" t="n">
        <v>117477</v>
      </c>
      <c r="R209" s="192" t="n">
        <v>120433</v>
      </c>
      <c r="S209" s="192" t="n">
        <v>121722</v>
      </c>
      <c r="T209" s="192" t="n">
        <v>1138</v>
      </c>
      <c r="U209" s="192" t="n"/>
      <c r="V209" s="192" t="n"/>
      <c r="W209" s="192" t="n"/>
      <c r="X209" s="192" t="n"/>
      <c r="Y209" s="192" t="n"/>
      <c r="Z209" s="192" t="n"/>
      <c r="AA209" s="192" t="n"/>
      <c r="AB209" s="192" t="n"/>
      <c r="AC209" s="192" t="n"/>
      <c r="AD209" s="192" t="n"/>
      <c r="AE209" s="192" t="n"/>
      <c r="AF209" s="192" t="n"/>
      <c r="AG209" s="192" t="n"/>
      <c r="AH209" s="192" t="n"/>
      <c r="AI209" s="192" t="n"/>
      <c r="AJ209" s="192" t="n"/>
      <c r="AK209" s="192" t="n"/>
      <c r="AL209" s="192" t="n"/>
      <c r="AM209" s="192" t="n"/>
      <c r="AN209" s="192" t="n"/>
      <c r="AO209" s="192" t="n"/>
      <c r="AP209" s="192" t="n"/>
      <c r="AQ209" s="192" t="n"/>
      <c r="AR209" s="192" t="n"/>
      <c r="AS209" s="192" t="n"/>
      <c r="AT209" s="182" t="n"/>
      <c r="AU209" s="176" t="n"/>
      <c r="AV209" s="176" t="n"/>
      <c r="AW209" s="176" t="n"/>
      <c r="AX209" s="176" t="n"/>
      <c r="AY209" s="176" t="n"/>
      <c r="AZ209" s="176" t="n"/>
      <c r="BA209" s="176" t="n"/>
      <c r="BB209" s="176" t="n"/>
      <c r="BC209" s="176" t="n"/>
      <c r="BD209" s="176" t="n"/>
      <c r="BE209" s="176" t="n"/>
      <c r="BF209" s="176" t="n"/>
      <c r="BG209" s="176" t="n"/>
      <c r="BH209" s="176" t="n"/>
      <c r="BI209" s="176" t="n"/>
      <c r="BJ209" s="176" t="n"/>
      <c r="BK209" s="176" t="n"/>
      <c r="BL209" s="176" t="n"/>
      <c r="BM209" s="176" t="n"/>
      <c r="BN209" s="176" t="n"/>
      <c r="BO209" s="176" t="n"/>
      <c r="BP209" s="176" t="n"/>
      <c r="BQ209" s="176" t="n"/>
      <c r="BR209" s="176" t="n"/>
    </row>
    <row r="210" ht="15" customHeight="1" s="392">
      <c r="A210" s="176" t="n"/>
      <c r="B210" s="180" t="n"/>
      <c r="C210" s="183" t="inlineStr">
        <is>
          <t xml:space="preserve">    Common Equity Book Value</t>
        </is>
      </c>
      <c r="D210" s="190">
        <f>IF(COUNT(M210:AS210)&gt;0,MEDIAN(M210:AS210),"")</f>
        <v/>
      </c>
      <c r="E210" s="190">
        <f>IF(COUNT(M210:AS210)&gt;0,AVERAGE(M210:AS210),"")</f>
        <v/>
      </c>
      <c r="F210" s="190">
        <f>IF(COUNT(M210:AS210)&gt;0,MIN(M210:AS210),"")</f>
        <v/>
      </c>
      <c r="G210" s="190">
        <f>IF(COUNT(M210:AS210)&gt;0,MAX(M210:AS210),"")</f>
        <v/>
      </c>
      <c r="H210" s="190">
        <f>IF(COUNT(M210:AS210)&gt;0,QUARTILE(M210:AS210,1),"")</f>
        <v/>
      </c>
      <c r="I210" s="190">
        <f>IF(COUNT(M210:AS210)&gt;0,QUARTILE(M210:AS210,3),"")</f>
        <v/>
      </c>
      <c r="J210" s="190">
        <f>IF(COUNT(M210:AS210)&gt;1,STDEV(M210:AS210),"")</f>
        <v/>
      </c>
      <c r="K210" s="191">
        <f>IF(COUNT(M210:AS210)&gt;1,STDEV(M210:AS210)/AVERAGE(M210:AS210),"")</f>
        <v/>
      </c>
      <c r="M210" s="192" t="n">
        <v>9097295</v>
      </c>
      <c r="N210" s="192" t="n">
        <v>9187033</v>
      </c>
      <c r="O210" s="192" t="n">
        <v>7524011</v>
      </c>
      <c r="P210" s="192" t="n">
        <v>5987440</v>
      </c>
      <c r="Q210" s="192" t="n">
        <v>4625599</v>
      </c>
      <c r="R210" s="192" t="n">
        <v>3529201</v>
      </c>
      <c r="S210" s="192" t="n">
        <v>2489516</v>
      </c>
      <c r="T210" s="192" t="n">
        <v>1778381</v>
      </c>
      <c r="U210" s="192" t="n">
        <v>1581099</v>
      </c>
      <c r="V210" s="192" t="n">
        <v>1098066</v>
      </c>
      <c r="W210" s="192" t="n">
        <v>774456</v>
      </c>
      <c r="X210" s="192" t="n">
        <v>964464</v>
      </c>
      <c r="Y210" s="192" t="n">
        <v>1003499</v>
      </c>
      <c r="Z210" s="192" t="n">
        <v>762401</v>
      </c>
      <c r="AA210" s="192" t="n">
        <v>561117</v>
      </c>
      <c r="AB210" s="192" t="n">
        <v>555172</v>
      </c>
      <c r="AC210" s="192" t="n">
        <v>1087234</v>
      </c>
      <c r="AD210" s="192" t="n">
        <v>921459</v>
      </c>
      <c r="AE210" s="192" t="n">
        <v>798996</v>
      </c>
      <c r="AF210" s="192" t="n">
        <v>880866</v>
      </c>
      <c r="AG210" s="192" t="n">
        <v>809970</v>
      </c>
      <c r="AH210" s="192" t="n">
        <v>709379</v>
      </c>
      <c r="AI210" s="192" t="n">
        <v>602263</v>
      </c>
      <c r="AJ210" s="192" t="n">
        <v>525640</v>
      </c>
      <c r="AK210" s="192" t="n">
        <v>486217</v>
      </c>
      <c r="AL210" s="192" t="n">
        <v>269152.4</v>
      </c>
      <c r="AM210" s="192" t="n">
        <v>219890.4</v>
      </c>
      <c r="AN210" s="192" t="n">
        <v>184000</v>
      </c>
      <c r="AO210" s="192" t="n">
        <v>160200</v>
      </c>
      <c r="AP210" s="192" t="n">
        <v>142800</v>
      </c>
      <c r="AQ210" s="192" t="n">
        <v>126200</v>
      </c>
      <c r="AR210" s="192" t="n">
        <v>113100</v>
      </c>
      <c r="AS210" s="192" t="n">
        <v>49300</v>
      </c>
      <c r="AT210" s="182" t="n"/>
      <c r="AU210" s="176" t="n"/>
      <c r="AV210" s="176" t="n"/>
      <c r="AW210" s="176" t="n"/>
      <c r="AX210" s="176" t="n"/>
      <c r="AY210" s="176" t="n"/>
      <c r="AZ210" s="176" t="n"/>
      <c r="BA210" s="176" t="n"/>
      <c r="BB210" s="176" t="n"/>
      <c r="BC210" s="176" t="n"/>
      <c r="BD210" s="176" t="n"/>
      <c r="BE210" s="176" t="n"/>
      <c r="BF210" s="176" t="n"/>
      <c r="BG210" s="176" t="n"/>
      <c r="BH210" s="176" t="n"/>
      <c r="BI210" s="176" t="n"/>
      <c r="BJ210" s="176" t="n"/>
      <c r="BK210" s="176" t="n"/>
      <c r="BL210" s="176" t="n"/>
      <c r="BM210" s="176" t="n"/>
      <c r="BN210" s="176" t="n"/>
      <c r="BO210" s="176" t="n"/>
      <c r="BP210" s="176" t="n"/>
      <c r="BQ210" s="176" t="n"/>
      <c r="BR210" s="176" t="n"/>
    </row>
    <row r="211" ht="15" customHeight="1" s="392">
      <c r="A211" s="176" t="n"/>
      <c r="B211" s="180" t="n"/>
      <c r="C211" s="183" t="inlineStr">
        <is>
          <t xml:space="preserve">    Total Liabilities &amp; Equity</t>
        </is>
      </c>
      <c r="D211" s="190">
        <f>IF(COUNT(M211:AS211)&gt;0,MEDIAN(M211:AS211),"")</f>
        <v/>
      </c>
      <c r="E211" s="190">
        <f>IF(COUNT(M211:AS211)&gt;0,AVERAGE(M211:AS211),"")</f>
        <v/>
      </c>
      <c r="F211" s="190">
        <f>IF(COUNT(M211:AS211)&gt;0,MIN(M211:AS211),"")</f>
        <v/>
      </c>
      <c r="G211" s="190">
        <f>IF(COUNT(M211:AS211)&gt;0,MAX(M211:AS211),"")</f>
        <v/>
      </c>
      <c r="H211" s="190">
        <f>IF(COUNT(M211:AS211)&gt;0,QUARTILE(M211:AS211,1),"")</f>
        <v/>
      </c>
      <c r="I211" s="190">
        <f>IF(COUNT(M211:AS211)&gt;0,QUARTILE(M211:AS211,3),"")</f>
        <v/>
      </c>
      <c r="J211" s="190">
        <f>IF(COUNT(M211:AS211)&gt;1,STDEV(M211:AS211),"")</f>
        <v/>
      </c>
      <c r="K211" s="191">
        <f>IF(COUNT(M211:AS211)&gt;1,STDEV(M211:AS211)/AVERAGE(M211:AS211),"")</f>
        <v/>
      </c>
      <c r="M211" s="192" t="n">
        <v>10027810</v>
      </c>
      <c r="N211" s="192" t="n">
        <v>10090902</v>
      </c>
      <c r="O211" s="192" t="n">
        <v>8427764</v>
      </c>
      <c r="P211" s="192" t="n">
        <v>6737879</v>
      </c>
      <c r="Q211" s="192" t="n">
        <v>5308864</v>
      </c>
      <c r="R211" s="192" t="n">
        <v>4562143</v>
      </c>
      <c r="S211" s="192" t="n">
        <v>3455261</v>
      </c>
      <c r="T211" s="192" t="n">
        <v>2547617</v>
      </c>
      <c r="U211" s="192" t="n">
        <v>2307698</v>
      </c>
      <c r="V211" s="192" t="n">
        <v>1982501</v>
      </c>
      <c r="W211" s="192" t="n">
        <v>1649820</v>
      </c>
      <c r="X211" s="192" t="n">
        <v>1798660</v>
      </c>
      <c r="Y211" s="192" t="n">
        <v>1506804</v>
      </c>
      <c r="Z211" s="192" t="n">
        <v>1334481</v>
      </c>
      <c r="AA211" s="192" t="n">
        <v>1154000</v>
      </c>
      <c r="AB211" s="192" t="n">
        <v>1084436</v>
      </c>
      <c r="AC211" s="192" t="n">
        <v>1228812</v>
      </c>
      <c r="AD211" s="192" t="n">
        <v>1058032</v>
      </c>
      <c r="AE211" s="192" t="n">
        <v>956247</v>
      </c>
      <c r="AF211" s="192" t="n">
        <v>1014600</v>
      </c>
      <c r="AG211" s="192" t="n">
        <v>894705</v>
      </c>
      <c r="AH211" s="192" t="n">
        <v>793528</v>
      </c>
      <c r="AI211" s="192" t="n">
        <v>673023</v>
      </c>
      <c r="AJ211" s="192" t="n">
        <v>587100</v>
      </c>
      <c r="AK211" s="192" t="n">
        <v>535847.6</v>
      </c>
      <c r="AL211" s="192" t="n">
        <v>315064.2</v>
      </c>
      <c r="AM211" s="192" t="n">
        <v>262324.3</v>
      </c>
      <c r="AN211" s="192" t="n">
        <v>218700</v>
      </c>
      <c r="AO211" s="192" t="n">
        <v>190900</v>
      </c>
      <c r="AP211" s="192" t="n">
        <v>175300</v>
      </c>
      <c r="AQ211" s="192" t="n">
        <v>158100</v>
      </c>
      <c r="AR211" s="192" t="n">
        <v>135200</v>
      </c>
      <c r="AS211" s="192" t="n">
        <v>62600</v>
      </c>
      <c r="AT211" s="182" t="n"/>
      <c r="AU211" s="176" t="n"/>
      <c r="AV211" s="176" t="n"/>
      <c r="AW211" s="176" t="n"/>
      <c r="AX211" s="176" t="n"/>
      <c r="AY211" s="176" t="n"/>
      <c r="AZ211" s="176" t="n"/>
      <c r="BA211" s="176" t="n"/>
      <c r="BB211" s="176" t="n"/>
      <c r="BC211" s="176" t="n"/>
      <c r="BD211" s="176" t="n"/>
      <c r="BE211" s="176" t="n"/>
      <c r="BF211" s="176" t="n"/>
      <c r="BG211" s="176" t="n"/>
      <c r="BH211" s="176" t="n"/>
      <c r="BI211" s="176" t="n"/>
      <c r="BJ211" s="176" t="n"/>
      <c r="BK211" s="176" t="n"/>
      <c r="BL211" s="176" t="n"/>
      <c r="BM211" s="176" t="n"/>
      <c r="BN211" s="176" t="n"/>
      <c r="BO211" s="176" t="n"/>
      <c r="BP211" s="176" t="n"/>
      <c r="BQ211" s="176" t="n"/>
      <c r="BR211" s="176" t="n"/>
    </row>
    <row r="212" ht="15" customHeight="1" s="392">
      <c r="A212" s="176" t="n"/>
      <c r="B212" s="180" t="n"/>
      <c r="C212" s="183" t="inlineStr">
        <is>
          <t xml:space="preserve">    Net Tangible Assets</t>
        </is>
      </c>
      <c r="D212" s="190">
        <f>IF(COUNT(M212:AS212)&gt;0,MEDIAN(M212:AS212),"")</f>
        <v/>
      </c>
      <c r="E212" s="190">
        <f>IF(COUNT(M212:AS212)&gt;0,AVERAGE(M212:AS212),"")</f>
        <v/>
      </c>
      <c r="F212" s="190">
        <f>IF(COUNT(M212:AS212)&gt;0,MIN(M212:AS212),"")</f>
        <v/>
      </c>
      <c r="G212" s="190">
        <f>IF(COUNT(M212:AS212)&gt;0,MAX(M212:AS212),"")</f>
        <v/>
      </c>
      <c r="H212" s="190">
        <f>IF(COUNT(M212:AS212)&gt;0,QUARTILE(M212:AS212,1),"")</f>
        <v/>
      </c>
      <c r="I212" s="190">
        <f>IF(COUNT(M212:AS212)&gt;0,QUARTILE(M212:AS212,3),"")</f>
        <v/>
      </c>
      <c r="J212" s="190">
        <f>IF(COUNT(M212:AS212)&gt;1,STDEV(M212:AS212),"")</f>
        <v/>
      </c>
      <c r="K212" s="191">
        <f>IF(COUNT(M212:AS212)&gt;1,STDEV(M212:AS212)/AVERAGE(M212:AS212),"")</f>
        <v/>
      </c>
      <c r="M212" s="192" t="n">
        <v>9466036</v>
      </c>
      <c r="N212" s="192" t="n">
        <v>9510291</v>
      </c>
      <c r="O212" s="192" t="n">
        <v>7839767</v>
      </c>
      <c r="P212" s="192" t="n">
        <v>6280888</v>
      </c>
      <c r="Q212" s="192" t="n">
        <v>4852230</v>
      </c>
      <c r="R212" s="192" t="n">
        <v>4160553</v>
      </c>
      <c r="S212" s="192" t="n">
        <v>3063867</v>
      </c>
      <c r="T212" s="192" t="n">
        <v>2159140</v>
      </c>
      <c r="U212" s="192" t="n">
        <v>1905571</v>
      </c>
      <c r="V212" s="192" t="n">
        <v>1566320</v>
      </c>
      <c r="W212" s="192" t="n">
        <v>1377861</v>
      </c>
      <c r="X212" s="192" t="n">
        <v>1508953</v>
      </c>
      <c r="Y212" s="192" t="n">
        <v>1197782</v>
      </c>
      <c r="Z212" s="192" t="n">
        <v>1049312</v>
      </c>
      <c r="AA212" s="192" t="n">
        <v>949577</v>
      </c>
      <c r="AB212" s="192" t="n">
        <v>873068</v>
      </c>
      <c r="AC212" s="192" t="n">
        <v>1039926</v>
      </c>
      <c r="AD212" s="192" t="n">
        <v>876493</v>
      </c>
      <c r="AE212" s="192" t="n">
        <v>757182</v>
      </c>
      <c r="AF212" s="192" t="n">
        <v>825513</v>
      </c>
      <c r="AG212" s="192" t="n">
        <v>780540</v>
      </c>
      <c r="AH212" s="192" t="n">
        <v>675215</v>
      </c>
      <c r="AI212" s="192" t="n">
        <v>557391</v>
      </c>
      <c r="AJ212" s="192" t="n">
        <v>470127</v>
      </c>
      <c r="AK212" s="192" t="n">
        <v>423761.1</v>
      </c>
      <c r="AL212" s="192" t="n">
        <v>223946.1</v>
      </c>
      <c r="AM212" s="192" t="n">
        <v>171928.7</v>
      </c>
      <c r="AN212" s="192" t="n">
        <v>140900</v>
      </c>
      <c r="AO212" s="192" t="n">
        <v>112500</v>
      </c>
      <c r="AP212" s="192" t="n">
        <v>100000</v>
      </c>
      <c r="AQ212" s="192" t="n">
        <v>83500</v>
      </c>
      <c r="AR212" s="192" t="n">
        <v>61500</v>
      </c>
      <c r="AS212" s="192" t="n">
        <v>33300</v>
      </c>
      <c r="AT212" s="182" t="n"/>
      <c r="AU212" s="176" t="n"/>
      <c r="AV212" s="176" t="n"/>
      <c r="AW212" s="176" t="n"/>
      <c r="AX212" s="176" t="n"/>
      <c r="AY212" s="176" t="n"/>
      <c r="AZ212" s="176" t="n"/>
      <c r="BA212" s="176" t="n"/>
      <c r="BB212" s="176" t="n"/>
      <c r="BC212" s="176" t="n"/>
      <c r="BD212" s="176" t="n"/>
      <c r="BE212" s="176" t="n"/>
      <c r="BF212" s="176" t="n"/>
      <c r="BG212" s="176" t="n"/>
      <c r="BH212" s="176" t="n"/>
      <c r="BI212" s="176" t="n"/>
      <c r="BJ212" s="176" t="n"/>
      <c r="BK212" s="176" t="n"/>
      <c r="BL212" s="176" t="n"/>
      <c r="BM212" s="176" t="n"/>
      <c r="BN212" s="176" t="n"/>
      <c r="BO212" s="176" t="n"/>
      <c r="BP212" s="176" t="n"/>
      <c r="BQ212" s="176" t="n"/>
      <c r="BR212" s="176" t="n"/>
    </row>
    <row r="213" ht="15" customHeight="1" s="392">
      <c r="A213" s="176" t="n"/>
      <c r="B213" s="180" t="n"/>
      <c r="C213" s="183" t="inlineStr">
        <is>
          <t xml:space="preserve">    Tangible Book Value</t>
        </is>
      </c>
      <c r="D213" s="190">
        <f>IF(COUNT(M213:AS213)&gt;0,MEDIAN(M213:AS213),"")</f>
        <v/>
      </c>
      <c r="E213" s="190">
        <f>IF(COUNT(M213:AS213)&gt;0,AVERAGE(M213:AS213),"")</f>
        <v/>
      </c>
      <c r="F213" s="190">
        <f>IF(COUNT(M213:AS213)&gt;0,MIN(M213:AS213),"")</f>
        <v/>
      </c>
      <c r="G213" s="190">
        <f>IF(COUNT(M213:AS213)&gt;0,MAX(M213:AS213),"")</f>
        <v/>
      </c>
      <c r="H213" s="190">
        <f>IF(COUNT(M213:AS213)&gt;0,QUARTILE(M213:AS213,1),"")</f>
        <v/>
      </c>
      <c r="I213" s="190">
        <f>IF(COUNT(M213:AS213)&gt;0,QUARTILE(M213:AS213,3),"")</f>
        <v/>
      </c>
      <c r="J213" s="190">
        <f>IF(COUNT(M213:AS213)&gt;1,STDEV(M213:AS213),"")</f>
        <v/>
      </c>
      <c r="K213" s="191">
        <f>IF(COUNT(M213:AS213)&gt;1,STDEV(M213:AS213)/AVERAGE(M213:AS213),"")</f>
        <v/>
      </c>
      <c r="M213" s="192" t="n">
        <v>8552106</v>
      </c>
      <c r="N213" s="192" t="n">
        <v>8626880</v>
      </c>
      <c r="O213" s="192" t="n">
        <v>6960558</v>
      </c>
      <c r="P213" s="192" t="n">
        <v>5530449</v>
      </c>
      <c r="Q213" s="192" t="n">
        <v>4168965</v>
      </c>
      <c r="R213" s="192" t="n">
        <v>3127611</v>
      </c>
      <c r="S213" s="192" t="n">
        <v>2098122</v>
      </c>
      <c r="T213" s="192" t="n">
        <v>1389904</v>
      </c>
      <c r="U213" s="192" t="n">
        <v>1178972</v>
      </c>
      <c r="V213" s="192" t="n">
        <v>682419</v>
      </c>
      <c r="W213" s="192" t="n">
        <v>502497</v>
      </c>
      <c r="X213" s="192" t="n">
        <v>674757</v>
      </c>
      <c r="Y213" s="192" t="n">
        <v>694477</v>
      </c>
      <c r="Z213" s="192" t="n">
        <v>477232</v>
      </c>
      <c r="AA213" s="192" t="n">
        <v>356694</v>
      </c>
      <c r="AB213" s="192" t="n">
        <v>343804</v>
      </c>
      <c r="AC213" s="192" t="n">
        <v>898348</v>
      </c>
      <c r="AD213" s="192" t="n">
        <v>739920</v>
      </c>
      <c r="AE213" s="192" t="n">
        <v>599931</v>
      </c>
      <c r="AF213" s="192" t="n">
        <v>691779</v>
      </c>
      <c r="AG213" s="192" t="n">
        <v>695805</v>
      </c>
      <c r="AH213" s="192" t="n">
        <v>591066</v>
      </c>
      <c r="AI213" s="192" t="n">
        <v>486631</v>
      </c>
      <c r="AJ213" s="192" t="n">
        <v>408667</v>
      </c>
      <c r="AK213" s="192" t="n">
        <v>374130.5</v>
      </c>
      <c r="AL213" s="192" t="n">
        <v>178034.3</v>
      </c>
      <c r="AM213" s="192" t="n">
        <v>129494.8</v>
      </c>
      <c r="AN213" s="192" t="n">
        <v>106200</v>
      </c>
      <c r="AO213" s="192" t="n">
        <v>81800</v>
      </c>
      <c r="AP213" s="192" t="n">
        <v>67500</v>
      </c>
      <c r="AQ213" s="192" t="n">
        <v>51600</v>
      </c>
      <c r="AR213" s="192" t="n">
        <v>39400</v>
      </c>
      <c r="AS213" s="192" t="n">
        <v>20000</v>
      </c>
      <c r="AT213" s="182" t="n"/>
      <c r="AU213" s="176" t="n"/>
      <c r="AV213" s="176" t="n"/>
      <c r="AW213" s="176" t="n"/>
      <c r="AX213" s="176" t="n"/>
      <c r="AY213" s="176" t="n"/>
      <c r="AZ213" s="176" t="n"/>
      <c r="BA213" s="176" t="n"/>
      <c r="BB213" s="176" t="n"/>
      <c r="BC213" s="176" t="n"/>
      <c r="BD213" s="176" t="n"/>
      <c r="BE213" s="176" t="n"/>
      <c r="BF213" s="176" t="n"/>
      <c r="BG213" s="176" t="n"/>
      <c r="BH213" s="176" t="n"/>
      <c r="BI213" s="176" t="n"/>
      <c r="BJ213" s="176" t="n"/>
      <c r="BK213" s="176" t="n"/>
      <c r="BL213" s="176" t="n"/>
      <c r="BM213" s="176" t="n"/>
      <c r="BN213" s="176" t="n"/>
      <c r="BO213" s="176" t="n"/>
      <c r="BP213" s="176" t="n"/>
      <c r="BQ213" s="176" t="n"/>
      <c r="BR213" s="176" t="n"/>
    </row>
    <row r="214" ht="15" customHeight="1" s="392">
      <c r="A214" s="176" t="n"/>
      <c r="B214" s="180" t="n"/>
      <c r="C214" s="183" t="inlineStr">
        <is>
          <t xml:space="preserve">    Working Capital</t>
        </is>
      </c>
      <c r="D214" s="190">
        <f>IF(COUNT(M214:AS214)&gt;0,MEDIAN(M214:AS214),"")</f>
        <v/>
      </c>
      <c r="E214" s="190">
        <f>IF(COUNT(M214:AS214)&gt;0,AVERAGE(M214:AS214),"")</f>
        <v/>
      </c>
      <c r="F214" s="190">
        <f>IF(COUNT(M214:AS214)&gt;0,MIN(M214:AS214),"")</f>
        <v/>
      </c>
      <c r="G214" s="190">
        <f>IF(COUNT(M214:AS214)&gt;0,MAX(M214:AS214),"")</f>
        <v/>
      </c>
      <c r="H214" s="190">
        <f>IF(COUNT(M214:AS214)&gt;0,QUARTILE(M214:AS214,1),"")</f>
        <v/>
      </c>
      <c r="I214" s="190">
        <f>IF(COUNT(M214:AS214)&gt;0,QUARTILE(M214:AS214,3),"")</f>
        <v/>
      </c>
      <c r="J214" s="190">
        <f>IF(COUNT(M214:AS214)&gt;1,STDEV(M214:AS214),"")</f>
        <v/>
      </c>
      <c r="K214" s="191">
        <f>IF(COUNT(M214:AS214)&gt;1,STDEV(M214:AS214)/AVERAGE(M214:AS214),"")</f>
        <v/>
      </c>
      <c r="M214" s="192" t="n">
        <v>4864453</v>
      </c>
      <c r="N214" s="192" t="n">
        <v>5071347</v>
      </c>
      <c r="O214" s="192" t="n">
        <v>3789617</v>
      </c>
      <c r="P214" s="192" t="n">
        <v>2769835</v>
      </c>
      <c r="Q214" s="192" t="n">
        <v>1761566</v>
      </c>
      <c r="R214" s="192" t="n">
        <v>1281580</v>
      </c>
      <c r="S214" s="192" t="n">
        <v>607715</v>
      </c>
      <c r="T214" s="192" t="n">
        <v>405163</v>
      </c>
      <c r="U214" s="192" t="n">
        <v>431860</v>
      </c>
      <c r="V214" s="192" t="n">
        <v>285108</v>
      </c>
      <c r="W214" s="192" t="n">
        <v>220523</v>
      </c>
      <c r="X214" s="192" t="n">
        <v>521456</v>
      </c>
      <c r="Y214" s="192" t="n">
        <v>168007</v>
      </c>
      <c r="Z214" s="192" t="n">
        <v>67893</v>
      </c>
      <c r="AA214" s="192" t="n">
        <v>134908</v>
      </c>
      <c r="AB214" s="192" t="n">
        <v>75242</v>
      </c>
      <c r="AC214" s="192" t="n">
        <v>330191</v>
      </c>
      <c r="AD214" s="192" t="n">
        <v>212349</v>
      </c>
      <c r="AE214" s="192" t="n">
        <v>84501</v>
      </c>
      <c r="AF214" s="192" t="n">
        <v>247850</v>
      </c>
      <c r="AG214" s="192" t="n">
        <v>328017</v>
      </c>
      <c r="AH214" s="192" t="n">
        <v>293695</v>
      </c>
      <c r="AI214" s="192" t="n">
        <v>229888</v>
      </c>
      <c r="AJ214" s="192" t="n">
        <v>171582</v>
      </c>
      <c r="AK214" s="192" t="n">
        <v>178946</v>
      </c>
      <c r="AL214" s="192" t="n">
        <v>63773.8</v>
      </c>
      <c r="AM214" s="192" t="n">
        <v>54042.3</v>
      </c>
      <c r="AN214" s="192" t="n">
        <v>64700</v>
      </c>
      <c r="AO214" s="192" t="n">
        <v>54800</v>
      </c>
      <c r="AP214" s="192" t="n">
        <v>48900</v>
      </c>
      <c r="AQ214" s="192" t="n">
        <v>40600</v>
      </c>
      <c r="AR214" s="192" t="n">
        <v>32800</v>
      </c>
      <c r="AS214" s="192" t="n">
        <v>21900</v>
      </c>
      <c r="AT214" s="182" t="n"/>
      <c r="AU214" s="176" t="n"/>
      <c r="AV214" s="176" t="n"/>
      <c r="AW214" s="176" t="n"/>
      <c r="AX214" s="176" t="n"/>
      <c r="AY214" s="176" t="n"/>
      <c r="AZ214" s="176" t="n"/>
      <c r="BA214" s="176" t="n"/>
      <c r="BB214" s="176" t="n"/>
      <c r="BC214" s="176" t="n"/>
      <c r="BD214" s="176" t="n"/>
      <c r="BE214" s="176" t="n"/>
      <c r="BF214" s="176" t="n"/>
      <c r="BG214" s="176" t="n"/>
      <c r="BH214" s="176" t="n"/>
      <c r="BI214" s="176" t="n"/>
      <c r="BJ214" s="176" t="n"/>
      <c r="BK214" s="176" t="n"/>
      <c r="BL214" s="176" t="n"/>
      <c r="BM214" s="176" t="n"/>
      <c r="BN214" s="176" t="n"/>
      <c r="BO214" s="176" t="n"/>
      <c r="BP214" s="176" t="n"/>
      <c r="BQ214" s="176" t="n"/>
      <c r="BR214" s="176" t="n"/>
    </row>
    <row r="215" ht="15" customHeight="1" s="392">
      <c r="A215" s="176" t="n"/>
      <c r="B215" s="180" t="n"/>
      <c r="C215" s="183" t="inlineStr">
        <is>
          <t xml:space="preserve">    Invested Capital</t>
        </is>
      </c>
      <c r="D215" s="190">
        <f>IF(COUNT(M215:AS215)&gt;0,MEDIAN(M215:AS215),"")</f>
        <v/>
      </c>
      <c r="E215" s="190">
        <f>IF(COUNT(M215:AS215)&gt;0,AVERAGE(M215:AS215),"")</f>
        <v/>
      </c>
      <c r="F215" s="190">
        <f>IF(COUNT(M215:AS215)&gt;0,MIN(M215:AS215),"")</f>
        <v/>
      </c>
      <c r="G215" s="190">
        <f>IF(COUNT(M215:AS215)&gt;0,MAX(M215:AS215),"")</f>
        <v/>
      </c>
      <c r="H215" s="190">
        <f>IF(COUNT(M215:AS215)&gt;0,QUARTILE(M215:AS215,1),"")</f>
        <v/>
      </c>
      <c r="I215" s="190">
        <f>IF(COUNT(M215:AS215)&gt;0,QUARTILE(M215:AS215,3),"")</f>
        <v/>
      </c>
      <c r="J215" s="190">
        <f>IF(COUNT(M215:AS215)&gt;1,STDEV(M215:AS215),"")</f>
        <v/>
      </c>
      <c r="K215" s="191">
        <f>IF(COUNT(M215:AS215)&gt;1,STDEV(M215:AS215)/AVERAGE(M215:AS215),"")</f>
        <v/>
      </c>
      <c r="M215" s="192" t="n">
        <v>9202247</v>
      </c>
      <c r="N215" s="192" t="n">
        <v>9311230</v>
      </c>
      <c r="O215" s="192" t="n">
        <v>7667288</v>
      </c>
      <c r="P215" s="192" t="n">
        <v>6107893</v>
      </c>
      <c r="Q215" s="192" t="n">
        <v>4745072</v>
      </c>
      <c r="R215" s="192" t="n">
        <v>4047270</v>
      </c>
      <c r="S215" s="192" t="n">
        <v>3008138</v>
      </c>
      <c r="T215" s="192" t="n">
        <v>2179610</v>
      </c>
      <c r="U215" s="192" t="n">
        <v>1980997</v>
      </c>
      <c r="V215" s="192" t="n">
        <v>1731638</v>
      </c>
      <c r="W215" s="192" t="n">
        <v>1414948</v>
      </c>
      <c r="X215" s="192" t="n">
        <v>1608978</v>
      </c>
      <c r="Y215" s="192" t="n">
        <v>1306400</v>
      </c>
      <c r="Z215" s="192" t="n">
        <v>1151149</v>
      </c>
      <c r="AA215" s="192" t="n">
        <v>1005237</v>
      </c>
      <c r="AB215" s="192" t="n">
        <v>930928</v>
      </c>
      <c r="AC215" s="192" t="n">
        <v>1088209</v>
      </c>
      <c r="AD215" s="192" t="n">
        <v>921459</v>
      </c>
      <c r="AE215" s="192" t="n">
        <v>816498</v>
      </c>
      <c r="AF215" s="192" t="n">
        <v>890122</v>
      </c>
      <c r="AG215" s="192" t="n">
        <v>809970</v>
      </c>
      <c r="AH215" s="192" t="n">
        <v>709379</v>
      </c>
      <c r="AI215" s="192" t="n">
        <v>602263</v>
      </c>
      <c r="AJ215" s="192" t="n">
        <v>525747</v>
      </c>
      <c r="AK215" s="192" t="n">
        <v>486626.2</v>
      </c>
      <c r="AL215" s="192" t="n">
        <v>269864.5</v>
      </c>
      <c r="AM215" s="192" t="n">
        <v>228444.9</v>
      </c>
      <c r="AN215" s="192" t="n">
        <v>191900</v>
      </c>
      <c r="AO215" s="192" t="n">
        <v>168600</v>
      </c>
      <c r="AP215" s="192" t="n">
        <v>152500</v>
      </c>
      <c r="AQ215" s="192" t="n">
        <v>137500</v>
      </c>
      <c r="AR215" s="192" t="n">
        <v>116900</v>
      </c>
      <c r="AS215" s="192" t="n">
        <v>53300</v>
      </c>
      <c r="AT215" s="182" t="n"/>
      <c r="AU215" s="176" t="n"/>
      <c r="AV215" s="176" t="n"/>
      <c r="AW215" s="176" t="n"/>
      <c r="AX215" s="176" t="n"/>
      <c r="AY215" s="176" t="n"/>
      <c r="AZ215" s="176" t="n"/>
      <c r="BA215" s="176" t="n"/>
      <c r="BB215" s="176" t="n"/>
      <c r="BC215" s="176" t="n"/>
      <c r="BD215" s="176" t="n"/>
      <c r="BE215" s="176" t="n"/>
      <c r="BF215" s="176" t="n"/>
      <c r="BG215" s="176" t="n"/>
      <c r="BH215" s="176" t="n"/>
      <c r="BI215" s="176" t="n"/>
      <c r="BJ215" s="176" t="n"/>
      <c r="BK215" s="176" t="n"/>
      <c r="BL215" s="176" t="n"/>
      <c r="BM215" s="176" t="n"/>
      <c r="BN215" s="176" t="n"/>
      <c r="BO215" s="176" t="n"/>
      <c r="BP215" s="176" t="n"/>
      <c r="BQ215" s="176" t="n"/>
      <c r="BR215" s="176" t="n"/>
    </row>
    <row r="216" ht="15" customHeight="1" s="392">
      <c r="A216" s="176" t="n"/>
      <c r="B216" s="180" t="n"/>
      <c r="C216" s="183" t="inlineStr">
        <is>
          <t xml:space="preserve">    Total Shares Outstanding (TSO)</t>
        </is>
      </c>
      <c r="D216" s="190">
        <f>IF(COUNT(M216:AS216)&gt;0,MEDIAN(M216:AS216),"")</f>
        <v/>
      </c>
      <c r="E216" s="190">
        <f>IF(COUNT(M216:AS216)&gt;0,AVERAGE(M216:AS216),"")</f>
        <v/>
      </c>
      <c r="F216" s="190">
        <f>IF(COUNT(M216:AS216)&gt;0,MIN(M216:AS216),"")</f>
        <v/>
      </c>
      <c r="G216" s="190">
        <f>IF(COUNT(M216:AS216)&gt;0,MAX(M216:AS216),"")</f>
        <v/>
      </c>
      <c r="H216" s="190">
        <f>IF(COUNT(M216:AS216)&gt;0,QUARTILE(M216:AS216,1),"")</f>
        <v/>
      </c>
      <c r="I216" s="190">
        <f>IF(COUNT(M216:AS216)&gt;0,QUARTILE(M216:AS216,3),"")</f>
        <v/>
      </c>
      <c r="J216" s="190">
        <f>IF(COUNT(M216:AS216)&gt;1,STDEV(M216:AS216),"")</f>
        <v/>
      </c>
      <c r="K216" s="191">
        <f>IF(COUNT(M216:AS216)&gt;1,STDEV(M216:AS216)/AVERAGE(M216:AS216),"")</f>
        <v/>
      </c>
      <c r="M216" s="192" t="n">
        <v>925811482</v>
      </c>
      <c r="N216" s="192" t="n">
        <v>967478690</v>
      </c>
      <c r="O216" s="192" t="n">
        <v>962967011</v>
      </c>
      <c r="P216" s="192" t="n">
        <v>957344162</v>
      </c>
      <c r="Q216" s="192" t="n">
        <v>950690304</v>
      </c>
      <c r="R216" s="192" t="n">
        <v>946313992</v>
      </c>
      <c r="S216" s="192" t="n">
        <v>941261348</v>
      </c>
      <c r="T216" s="192" t="n">
        <v>919161072</v>
      </c>
      <c r="U216" s="192" t="n">
        <v>935595364</v>
      </c>
      <c r="V216" s="192" t="n">
        <v>921953184</v>
      </c>
      <c r="W216" s="192" t="n">
        <v>875059072</v>
      </c>
      <c r="X216" s="192" t="n">
        <v>961250720</v>
      </c>
      <c r="Y216" s="192" t="n">
        <v>1009146928</v>
      </c>
      <c r="Z216" s="192" t="n">
        <v>1003959960</v>
      </c>
      <c r="AA216" s="192" t="n">
        <v>995149600</v>
      </c>
      <c r="AB216" s="192" t="n">
        <v>1100754256</v>
      </c>
      <c r="AC216" s="192" t="n">
        <v>1349381632</v>
      </c>
      <c r="AD216" s="192" t="n">
        <v>1343021024</v>
      </c>
      <c r="AE216" s="192" t="n">
        <v>1332399920</v>
      </c>
      <c r="AF216" s="192" t="n">
        <v>1413717744</v>
      </c>
      <c r="AG216" s="192" t="n">
        <v>1447123328</v>
      </c>
      <c r="AH216" s="192" t="n">
        <v>1443857456</v>
      </c>
      <c r="AI216" s="192" t="n">
        <v>1439722912</v>
      </c>
      <c r="AJ216" s="192" t="n">
        <v>1438134592</v>
      </c>
      <c r="AK216" s="192" t="n">
        <v>1475837744</v>
      </c>
      <c r="AL216" s="192" t="n">
        <v>1328007120</v>
      </c>
      <c r="AM216" s="192" t="n">
        <v>1309274256</v>
      </c>
      <c r="AN216" s="192" t="n">
        <v>1282752000</v>
      </c>
      <c r="AO216" s="192" t="n">
        <v>1274400000</v>
      </c>
      <c r="AP216" s="192" t="n">
        <v>1254816000</v>
      </c>
      <c r="AQ216" s="192" t="n">
        <v>1212929536</v>
      </c>
      <c r="AR216" s="192" t="n">
        <v>1187118448</v>
      </c>
      <c r="AS216" s="192" t="n">
        <v>835838080</v>
      </c>
      <c r="AT216" s="182" t="n"/>
      <c r="AU216" s="176" t="n"/>
      <c r="AV216" s="176" t="n"/>
      <c r="AW216" s="176" t="n"/>
      <c r="AX216" s="176" t="n"/>
      <c r="AY216" s="176" t="n"/>
      <c r="AZ216" s="176" t="n"/>
      <c r="BA216" s="176" t="n"/>
      <c r="BB216" s="176" t="n"/>
      <c r="BC216" s="176" t="n"/>
      <c r="BD216" s="176" t="n"/>
      <c r="BE216" s="176" t="n"/>
      <c r="BF216" s="176" t="n"/>
      <c r="BG216" s="176" t="n"/>
      <c r="BH216" s="176" t="n"/>
      <c r="BI216" s="176" t="n"/>
      <c r="BJ216" s="176" t="n"/>
      <c r="BK216" s="176" t="n"/>
      <c r="BL216" s="176" t="n"/>
      <c r="BM216" s="176" t="n"/>
      <c r="BN216" s="176" t="n"/>
      <c r="BO216" s="176" t="n"/>
      <c r="BP216" s="176" t="n"/>
      <c r="BQ216" s="176" t="n"/>
      <c r="BR216" s="176" t="n"/>
    </row>
    <row r="217" ht="15" customHeight="1" s="392">
      <c r="A217" s="176" t="n"/>
      <c r="B217" s="180" t="n"/>
      <c r="C217" s="183" t="inlineStr">
        <is>
          <t xml:space="preserve">    Number of Employees</t>
        </is>
      </c>
      <c r="D217" s="190">
        <f>IF(COUNT(M217:AS217)&gt;0,MEDIAN(M217:AS217),"")</f>
        <v/>
      </c>
      <c r="E217" s="190">
        <f>IF(COUNT(M217:AS217)&gt;0,AVERAGE(M217:AS217),"")</f>
        <v/>
      </c>
      <c r="F217" s="190">
        <f>IF(COUNT(M217:AS217)&gt;0,MIN(M217:AS217),"")</f>
        <v/>
      </c>
      <c r="G217" s="190">
        <f>IF(COUNT(M217:AS217)&gt;0,MAX(M217:AS217),"")</f>
        <v/>
      </c>
      <c r="H217" s="190">
        <f>IF(COUNT(M217:AS217)&gt;0,QUARTILE(M217:AS217,1),"")</f>
        <v/>
      </c>
      <c r="I217" s="190">
        <f>IF(COUNT(M217:AS217)&gt;0,QUARTILE(M217:AS217,3),"")</f>
        <v/>
      </c>
      <c r="J217" s="190">
        <f>IF(COUNT(M217:AS217)&gt;1,STDEV(M217:AS217),"")</f>
        <v/>
      </c>
      <c r="K217" s="191">
        <f>IF(COUNT(M217:AS217)&gt;1,STDEV(M217:AS217)/AVERAGE(M217:AS217),"")</f>
        <v/>
      </c>
      <c r="M217" s="192" t="n">
        <v>11600</v>
      </c>
      <c r="N217" s="192" t="n">
        <v>11600</v>
      </c>
      <c r="O217" s="192" t="n">
        <v>11700</v>
      </c>
      <c r="P217" s="192" t="n">
        <v>10200</v>
      </c>
      <c r="Q217" s="192" t="n">
        <v>8600</v>
      </c>
      <c r="R217" s="192" t="n">
        <v>7600</v>
      </c>
      <c r="S217" s="192" t="n">
        <v>7600</v>
      </c>
      <c r="T217" s="192" t="n">
        <v>7327</v>
      </c>
      <c r="U217" s="192" t="n">
        <v>6026</v>
      </c>
      <c r="V217" s="192" t="n">
        <v>5323</v>
      </c>
      <c r="W217" s="192" t="n">
        <v>4267</v>
      </c>
      <c r="X217" s="192" t="n">
        <v>4267</v>
      </c>
      <c r="Y217" s="192" t="n">
        <v>4179</v>
      </c>
      <c r="Z217" s="192" t="n">
        <v>3875</v>
      </c>
      <c r="AA217" s="192" t="n">
        <v>2981</v>
      </c>
      <c r="AB217" s="192" t="n">
        <v>2834</v>
      </c>
      <c r="AC217" s="192" t="n">
        <v>2713</v>
      </c>
      <c r="AD217" s="192" t="n">
        <v>2713</v>
      </c>
      <c r="AE217" s="192" t="n">
        <v>2975</v>
      </c>
      <c r="AF217" s="192" t="n">
        <v>2536</v>
      </c>
      <c r="AG217" s="192" t="n">
        <v>2133</v>
      </c>
      <c r="AH217" s="192" t="n">
        <v>2235</v>
      </c>
      <c r="AI217" s="192" t="n">
        <v>2776</v>
      </c>
      <c r="AJ217" s="192" t="n">
        <v>2776</v>
      </c>
      <c r="AK217" s="192" t="n">
        <v>2532</v>
      </c>
      <c r="AL217" s="192" t="n">
        <v>2078</v>
      </c>
      <c r="AM217" s="192" t="n">
        <v>1803</v>
      </c>
      <c r="AN217" s="192" t="n">
        <v>1181</v>
      </c>
      <c r="AO217" s="192" t="n">
        <v>1181</v>
      </c>
      <c r="AP217" s="192" t="n">
        <v>1050</v>
      </c>
      <c r="AQ217" s="192" t="n">
        <v>1030</v>
      </c>
      <c r="AR217" s="192" t="n">
        <v>191</v>
      </c>
      <c r="AS217" s="192" t="n"/>
      <c r="AT217" s="182" t="n"/>
      <c r="AU217" s="176" t="n"/>
      <c r="AV217" s="176" t="n"/>
      <c r="AW217" s="176" t="n"/>
      <c r="AX217" s="176" t="n"/>
      <c r="AY217" s="176" t="n"/>
      <c r="AZ217" s="176" t="n"/>
      <c r="BA217" s="176" t="n"/>
      <c r="BB217" s="176" t="n"/>
      <c r="BC217" s="176" t="n"/>
      <c r="BD217" s="176" t="n"/>
      <c r="BE217" s="176" t="n"/>
      <c r="BF217" s="176" t="n"/>
      <c r="BG217" s="176" t="n"/>
      <c r="BH217" s="176" t="n"/>
      <c r="BI217" s="176" t="n"/>
      <c r="BJ217" s="176" t="n"/>
      <c r="BK217" s="176" t="n"/>
      <c r="BL217" s="176" t="n"/>
      <c r="BM217" s="176" t="n"/>
      <c r="BN217" s="176" t="n"/>
      <c r="BO217" s="176" t="n"/>
      <c r="BP217" s="176" t="n"/>
      <c r="BQ217" s="176" t="n"/>
      <c r="BR217" s="176" t="n"/>
    </row>
    <row r="218" ht="15" customHeight="1" s="392">
      <c r="A218" s="176" t="n"/>
      <c r="B218" s="180" t="n"/>
      <c r="C218" s="189" t="inlineStr">
        <is>
          <t>Per Share Calculations</t>
        </is>
      </c>
      <c r="D218" s="185" t="n"/>
      <c r="E218" s="185" t="n"/>
      <c r="F218" s="185" t="n"/>
      <c r="G218" s="185" t="n"/>
      <c r="H218" s="185" t="n"/>
      <c r="I218" s="185" t="n"/>
      <c r="J218" s="185" t="n"/>
      <c r="K218" s="185" t="n"/>
      <c r="L218" s="185" t="n"/>
      <c r="M218" s="185" t="n"/>
      <c r="N218" s="185" t="n"/>
      <c r="O218" s="185" t="n"/>
      <c r="P218" s="185" t="n"/>
      <c r="Q218" s="185" t="n"/>
      <c r="R218" s="185" t="n"/>
      <c r="S218" s="185" t="n"/>
      <c r="T218" s="185" t="n"/>
      <c r="U218" s="185" t="n"/>
      <c r="V218" s="185" t="n"/>
      <c r="W218" s="185" t="n"/>
      <c r="X218" s="185" t="n"/>
      <c r="Y218" s="185" t="n"/>
      <c r="Z218" s="185" t="n"/>
      <c r="AA218" s="185" t="n"/>
      <c r="AB218" s="185" t="n"/>
      <c r="AC218" s="185" t="n"/>
      <c r="AD218" s="185" t="n"/>
      <c r="AE218" s="185" t="n"/>
      <c r="AF218" s="185" t="n"/>
      <c r="AG218" s="185" t="n"/>
      <c r="AH218" s="185" t="n"/>
      <c r="AI218" s="185" t="n"/>
      <c r="AJ218" s="185" t="n"/>
      <c r="AK218" s="185" t="n"/>
      <c r="AL218" s="185" t="n"/>
      <c r="AM218" s="185" t="n"/>
      <c r="AN218" s="185" t="n"/>
      <c r="AO218" s="185" t="n"/>
      <c r="AP218" s="185" t="n"/>
      <c r="AQ218" s="185" t="n"/>
      <c r="AR218" s="185" t="n"/>
      <c r="AS218" s="185" t="n"/>
      <c r="AT218" s="182" t="n"/>
      <c r="AU218" s="176" t="n"/>
      <c r="AV218" s="176" t="n"/>
      <c r="AW218" s="176" t="n"/>
      <c r="AX218" s="176" t="n"/>
      <c r="AY218" s="176" t="n"/>
      <c r="AZ218" s="176" t="n"/>
      <c r="BA218" s="176" t="n"/>
      <c r="BB218" s="176" t="n"/>
      <c r="BC218" s="176" t="n"/>
      <c r="BD218" s="176" t="n"/>
      <c r="BE218" s="176" t="n"/>
      <c r="BF218" s="176" t="n"/>
      <c r="BG218" s="176" t="n"/>
      <c r="BH218" s="176" t="n"/>
      <c r="BI218" s="176" t="n"/>
      <c r="BJ218" s="176" t="n"/>
      <c r="BK218" s="176" t="n"/>
      <c r="BL218" s="176" t="n"/>
      <c r="BM218" s="176" t="n"/>
      <c r="BN218" s="176" t="n"/>
      <c r="BO218" s="176" t="n"/>
      <c r="BP218" s="176" t="n"/>
      <c r="BQ218" s="176" t="n"/>
      <c r="BR218" s="176" t="n"/>
    </row>
    <row r="219" ht="15" customHeight="1" s="392">
      <c r="A219" s="176" t="n"/>
      <c r="B219" s="180" t="n"/>
      <c r="C219" s="183" t="inlineStr">
        <is>
          <t xml:space="preserve">    Book Value per Share</t>
        </is>
      </c>
      <c r="D219" s="191">
        <f>IF(COUNT(M219:AS219)&gt;0,MEDIAN(M219:AS219),"")</f>
        <v/>
      </c>
      <c r="E219" s="191">
        <f>IF(COUNT(M219:AS219)&gt;0,AVERAGE(M219:AS219),"")</f>
        <v/>
      </c>
      <c r="F219" s="191">
        <f>IF(COUNT(M219:AS219)&gt;0,MIN(M219:AS219),"")</f>
        <v/>
      </c>
      <c r="G219" s="191">
        <f>IF(COUNT(M219:AS219)&gt;0,MAX(M219:AS219),"")</f>
        <v/>
      </c>
      <c r="H219" s="191">
        <f>IF(COUNT(M219:AS219)&gt;0,QUARTILE(M219:AS219,1),"")</f>
        <v/>
      </c>
      <c r="I219" s="191">
        <f>IF(COUNT(M219:AS219)&gt;0,QUARTILE(M219:AS219,3),"")</f>
        <v/>
      </c>
      <c r="J219" s="191">
        <f>IF(COUNT(M219:AS219)&gt;1,STDEV(M219:AS219),"")</f>
        <v/>
      </c>
      <c r="K219" s="191">
        <f>IF(COUNT(M219:AS219)&gt;1,STDEV(M219:AS219)/AVERAGE(M219:AS219),"")</f>
        <v/>
      </c>
      <c r="M219" s="197" t="n">
        <v>9.826293124327441</v>
      </c>
      <c r="N219" s="197" t="n">
        <v>9.49585049775102</v>
      </c>
      <c r="O219" s="197" t="n">
        <v>7.81336319318627</v>
      </c>
      <c r="P219" s="197" t="n">
        <v>6.25421895036322</v>
      </c>
      <c r="Q219" s="197" t="n">
        <v>4.85798612973244</v>
      </c>
      <c r="R219" s="197" t="n">
        <v>3.72256167880658</v>
      </c>
      <c r="S219" s="197" t="n">
        <v>2.64487222947138</v>
      </c>
      <c r="T219" s="197" t="n">
        <v>1.93478711639781</v>
      </c>
      <c r="U219" s="197" t="n">
        <v>1.68993889969724</v>
      </c>
      <c r="V219" s="197" t="n">
        <v>1.19102143043307</v>
      </c>
      <c r="W219" s="197" t="n">
        <v>0.879088168165398</v>
      </c>
      <c r="X219" s="197" t="n">
        <v>1.00334281154037</v>
      </c>
      <c r="Y219" s="197" t="n">
        <v>0.994403264932696</v>
      </c>
      <c r="Z219" s="197" t="n">
        <v>0.7593938308057619</v>
      </c>
      <c r="AA219" s="197" t="n">
        <v>0.563851907291125</v>
      </c>
      <c r="AB219" s="197" t="n">
        <v>0.525687117941974</v>
      </c>
      <c r="AC219" s="197" t="n">
        <v>0.8054724731841471</v>
      </c>
      <c r="AD219" s="197" t="n">
        <v>0.686109140164882</v>
      </c>
      <c r="AE219" s="197" t="n">
        <v>0.599666802741928</v>
      </c>
      <c r="AF219" s="197" t="n">
        <v>0.623084773278477</v>
      </c>
      <c r="AG219" s="197" t="n">
        <v>0.559710416056537</v>
      </c>
      <c r="AH219" s="197" t="n">
        <v>0.490783089171366</v>
      </c>
      <c r="AI219" s="197" t="n">
        <v>0.417886041876955</v>
      </c>
      <c r="AJ219" s="197" t="n">
        <v>0.365501256227345</v>
      </c>
      <c r="AK219" s="197" t="n">
        <v>0.329451528107822</v>
      </c>
      <c r="AL219" s="197" t="n">
        <v>0.202673913374802</v>
      </c>
      <c r="AM219" s="197" t="n">
        <v>0.167948311052715</v>
      </c>
      <c r="AN219" s="197" t="n">
        <v>0.142795058049295</v>
      </c>
      <c r="AO219" s="197" t="n">
        <v>0.125706214689266</v>
      </c>
      <c r="AP219" s="197" t="n">
        <v>0.11380154540586</v>
      </c>
      <c r="AQ219" s="197" t="n">
        <v>0.104045615391791</v>
      </c>
      <c r="AR219" s="197" t="n">
        <v>0.0952727170490404</v>
      </c>
      <c r="AS219" s="197" t="n">
        <v>0.0586996959560544</v>
      </c>
      <c r="AT219" s="182" t="n"/>
      <c r="AU219" s="176" t="n"/>
      <c r="AV219" s="176" t="n"/>
      <c r="AW219" s="176" t="n"/>
      <c r="AX219" s="176" t="n"/>
      <c r="AY219" s="176" t="n"/>
      <c r="AZ219" s="176" t="n"/>
      <c r="BA219" s="176" t="n"/>
      <c r="BB219" s="176" t="n"/>
      <c r="BC219" s="176" t="n"/>
      <c r="BD219" s="176" t="n"/>
      <c r="BE219" s="176" t="n"/>
      <c r="BF219" s="176" t="n"/>
      <c r="BG219" s="176" t="n"/>
      <c r="BH219" s="176" t="n"/>
      <c r="BI219" s="176" t="n"/>
      <c r="BJ219" s="176" t="n"/>
      <c r="BK219" s="176" t="n"/>
      <c r="BL219" s="176" t="n"/>
      <c r="BM219" s="176" t="n"/>
      <c r="BN219" s="176" t="n"/>
      <c r="BO219" s="176" t="n"/>
      <c r="BP219" s="176" t="n"/>
      <c r="BQ219" s="176" t="n"/>
      <c r="BR219" s="176" t="n"/>
    </row>
    <row r="220" ht="15" customHeight="1" s="392">
      <c r="A220" s="176" t="n"/>
      <c r="B220" s="180" t="n"/>
      <c r="C220" s="183" t="inlineStr">
        <is>
          <t xml:space="preserve">    Cash And Cash Equivalents per Share</t>
        </is>
      </c>
      <c r="D220" s="191">
        <f>IF(COUNT(M220:AS220)&gt;0,MEDIAN(M220:AS220),"")</f>
        <v/>
      </c>
      <c r="E220" s="191">
        <f>IF(COUNT(M220:AS220)&gt;0,AVERAGE(M220:AS220),"")</f>
        <v/>
      </c>
      <c r="F220" s="191">
        <f>IF(COUNT(M220:AS220)&gt;0,MIN(M220:AS220),"")</f>
        <v/>
      </c>
      <c r="G220" s="191">
        <f>IF(COUNT(M220:AS220)&gt;0,MAX(M220:AS220),"")</f>
        <v/>
      </c>
      <c r="H220" s="191">
        <f>IF(COUNT(M220:AS220)&gt;0,QUARTILE(M220:AS220,1),"")</f>
        <v/>
      </c>
      <c r="I220" s="191">
        <f>IF(COUNT(M220:AS220)&gt;0,QUARTILE(M220:AS220,3),"")</f>
        <v/>
      </c>
      <c r="J220" s="191">
        <f>IF(COUNT(M220:AS220)&gt;1,STDEV(M220:AS220),"")</f>
        <v/>
      </c>
      <c r="K220" s="191">
        <f>IF(COUNT(M220:AS220)&gt;1,STDEV(M220:AS220)/AVERAGE(M220:AS220),"")</f>
        <v/>
      </c>
      <c r="M220" s="197" t="n">
        <v>2.06078779221708</v>
      </c>
      <c r="N220" s="197" t="n">
        <v>2.87399715233004</v>
      </c>
      <c r="O220" s="197" t="n">
        <v>1.5723394287699</v>
      </c>
      <c r="P220" s="197" t="n">
        <v>1.00005310315978</v>
      </c>
      <c r="Q220" s="197" t="n">
        <v>1.45377912963841</v>
      </c>
      <c r="R220" s="197" t="n">
        <v>1.10569290483194</v>
      </c>
      <c r="S220" s="197" t="n">
        <v>0.507529604838294</v>
      </c>
      <c r="T220" s="197" t="n">
        <v>0.202705494908079</v>
      </c>
      <c r="U220" s="197" t="n">
        <v>0.293417443654627</v>
      </c>
      <c r="V220" s="197" t="n">
        <v>0.227885757808718</v>
      </c>
      <c r="W220" s="197" t="n">
        <v>0.176904836324348</v>
      </c>
      <c r="X220" s="197" t="n">
        <v>0.474394443106373</v>
      </c>
      <c r="Y220" s="197" t="n">
        <v>0.157229830064944</v>
      </c>
      <c r="Z220" s="197" t="n">
        <v>0.0633800176652463</v>
      </c>
      <c r="AA220" s="197" t="n">
        <v>0.140794911639416</v>
      </c>
      <c r="AB220" s="197" t="n">
        <v>0.0700784223839956</v>
      </c>
      <c r="AC220" s="197" t="n">
        <v>0.198685886974019</v>
      </c>
      <c r="AD220" s="197" t="n">
        <v>0.121138088751171</v>
      </c>
      <c r="AE220" s="197" t="n">
        <v>0.0292359669310097</v>
      </c>
      <c r="AF220" s="197" t="n">
        <v>0.0761262284899213</v>
      </c>
      <c r="AG220" s="197" t="n">
        <v>0.08747699491165969</v>
      </c>
      <c r="AH220" s="197" t="n">
        <v>0.174725058965729</v>
      </c>
      <c r="AI220" s="197" t="n">
        <v>0.1237290668487</v>
      </c>
      <c r="AJ220" s="197" t="n">
        <v>0.0811787718961982</v>
      </c>
      <c r="AK220" s="197" t="n">
        <v>0.08990825755707189</v>
      </c>
      <c r="AL220" s="197" t="n">
        <v>0.0114797577290098</v>
      </c>
      <c r="AM220" s="197" t="n">
        <v>0.00929133063164728</v>
      </c>
      <c r="AN220" s="197" t="n">
        <v>0.0287142236294779</v>
      </c>
      <c r="AO220" s="197" t="n">
        <v>0.0123195229127433</v>
      </c>
      <c r="AP220" s="197" t="n">
        <v>0.0220749496340499</v>
      </c>
      <c r="AQ220" s="197" t="n">
        <v>0.0107178526156362</v>
      </c>
      <c r="AR220" s="197" t="n">
        <v>0.0116247877566468</v>
      </c>
      <c r="AS220" s="197" t="n">
        <v>0.021312871351184</v>
      </c>
      <c r="AT220" s="182" t="n"/>
      <c r="AU220" s="176" t="n"/>
      <c r="AV220" s="176" t="n"/>
      <c r="AW220" s="176" t="n"/>
      <c r="AX220" s="176" t="n"/>
      <c r="AY220" s="176" t="n"/>
      <c r="AZ220" s="176" t="n"/>
      <c r="BA220" s="176" t="n"/>
      <c r="BB220" s="176" t="n"/>
      <c r="BC220" s="176" t="n"/>
      <c r="BD220" s="176" t="n"/>
      <c r="BE220" s="176" t="n"/>
      <c r="BF220" s="176" t="n"/>
      <c r="BG220" s="176" t="n"/>
      <c r="BH220" s="176" t="n"/>
      <c r="BI220" s="176" t="n"/>
      <c r="BJ220" s="176" t="n"/>
      <c r="BK220" s="176" t="n"/>
      <c r="BL220" s="176" t="n"/>
      <c r="BM220" s="176" t="n"/>
      <c r="BN220" s="176" t="n"/>
      <c r="BO220" s="176" t="n"/>
      <c r="BP220" s="176" t="n"/>
      <c r="BQ220" s="176" t="n"/>
      <c r="BR220" s="176" t="n"/>
    </row>
    <row r="221" ht="15" customHeight="1" s="392">
      <c r="A221" s="176" t="n"/>
      <c r="B221" s="180" t="n"/>
      <c r="C221" s="183" t="inlineStr">
        <is>
          <t xml:space="preserve">    Cash, Cash Equivalents And Short Term Investments per Share</t>
        </is>
      </c>
      <c r="D221" s="191">
        <f>IF(COUNT(M221:AS221)&gt;0,MEDIAN(M221:AS221),"")</f>
        <v/>
      </c>
      <c r="E221" s="191">
        <f>IF(COUNT(M221:AS221)&gt;0,AVERAGE(M221:AS221),"")</f>
        <v/>
      </c>
      <c r="F221" s="191">
        <f>IF(COUNT(M221:AS221)&gt;0,MIN(M221:AS221),"")</f>
        <v/>
      </c>
      <c r="G221" s="191">
        <f>IF(COUNT(M221:AS221)&gt;0,MAX(M221:AS221),"")</f>
        <v/>
      </c>
      <c r="H221" s="191">
        <f>IF(COUNT(M221:AS221)&gt;0,QUARTILE(M221:AS221,1),"")</f>
        <v/>
      </c>
      <c r="I221" s="191">
        <f>IF(COUNT(M221:AS221)&gt;0,QUARTILE(M221:AS221,3),"")</f>
        <v/>
      </c>
      <c r="J221" s="191">
        <f>IF(COUNT(M221:AS221)&gt;1,STDEV(M221:AS221),"")</f>
        <v/>
      </c>
      <c r="K221" s="191">
        <f>IF(COUNT(M221:AS221)&gt;1,STDEV(M221:AS221)/AVERAGE(M221:AS221),"")</f>
        <v/>
      </c>
      <c r="M221" s="197" t="n">
        <v>4.8495855660602</v>
      </c>
      <c r="N221" s="197" t="n">
        <v>4.9500521815111</v>
      </c>
      <c r="O221" s="197" t="n">
        <v>3.55376452246919</v>
      </c>
      <c r="P221" s="197" t="n">
        <v>2.46931468727126</v>
      </c>
      <c r="Q221" s="197" t="n">
        <v>1.45377912963841</v>
      </c>
      <c r="R221" s="197" t="n">
        <v>1.10569290483194</v>
      </c>
      <c r="S221" s="197" t="n">
        <v>0.507529604838294</v>
      </c>
      <c r="T221" s="197" t="n">
        <v>0.202705494908079</v>
      </c>
      <c r="U221" s="197" t="n">
        <v>0.293417443654627</v>
      </c>
      <c r="V221" s="197" t="n">
        <v>0.227885757808718</v>
      </c>
      <c r="W221" s="197" t="n">
        <v>0.176904836324348</v>
      </c>
      <c r="X221" s="197" t="n">
        <v>0.474394443106373</v>
      </c>
      <c r="Y221" s="197" t="n">
        <v>0.157229830064944</v>
      </c>
      <c r="Z221" s="197" t="n">
        <v>0.0633800176652463</v>
      </c>
      <c r="AA221" s="197" t="n">
        <v>0.140794911639416</v>
      </c>
      <c r="AB221" s="197" t="n">
        <v>0.0700784223839956</v>
      </c>
      <c r="AC221" s="197" t="n">
        <v>0.198685886974019</v>
      </c>
      <c r="AD221" s="197" t="n">
        <v>0.121138088751171</v>
      </c>
      <c r="AE221" s="197" t="n">
        <v>0.0292359669310097</v>
      </c>
      <c r="AF221" s="197" t="n">
        <v>0.148718512512353</v>
      </c>
      <c r="AG221" s="197" t="n">
        <v>0.190249852706403</v>
      </c>
      <c r="AH221" s="197" t="n">
        <v>0.174725058965729</v>
      </c>
      <c r="AI221" s="197" t="n">
        <v>0.1237290668487</v>
      </c>
      <c r="AJ221" s="197" t="n">
        <v>0.0811787718961982</v>
      </c>
      <c r="AK221" s="197" t="n">
        <v>0.08990825755707189</v>
      </c>
      <c r="AL221" s="197" t="n">
        <v>0.0114797577290098</v>
      </c>
      <c r="AM221" s="197" t="n">
        <v>0.00929133063164728</v>
      </c>
      <c r="AN221" s="197" t="n">
        <v>0.0287142236294779</v>
      </c>
      <c r="AO221" s="197" t="n">
        <v>0.0123195229127433</v>
      </c>
      <c r="AP221" s="197" t="n">
        <v>0.0220749496340499</v>
      </c>
      <c r="AQ221" s="197" t="n">
        <v>0.0107178526156362</v>
      </c>
      <c r="AR221" s="197" t="n">
        <v>0.0116247877566468</v>
      </c>
      <c r="AS221" s="197" t="n">
        <v>0.021312871351184</v>
      </c>
      <c r="AT221" s="182" t="n"/>
      <c r="AU221" s="176" t="n"/>
      <c r="AV221" s="176" t="n"/>
      <c r="AW221" s="176" t="n"/>
      <c r="AX221" s="176" t="n"/>
      <c r="AY221" s="176" t="n"/>
      <c r="AZ221" s="176" t="n"/>
      <c r="BA221" s="176" t="n"/>
      <c r="BB221" s="176" t="n"/>
      <c r="BC221" s="176" t="n"/>
      <c r="BD221" s="176" t="n"/>
      <c r="BE221" s="176" t="n"/>
      <c r="BF221" s="176" t="n"/>
      <c r="BG221" s="176" t="n"/>
      <c r="BH221" s="176" t="n"/>
      <c r="BI221" s="176" t="n"/>
      <c r="BJ221" s="176" t="n"/>
      <c r="BK221" s="176" t="n"/>
      <c r="BL221" s="176" t="n"/>
      <c r="BM221" s="176" t="n"/>
      <c r="BN221" s="176" t="n"/>
      <c r="BO221" s="176" t="n"/>
      <c r="BP221" s="176" t="n"/>
      <c r="BQ221" s="176" t="n"/>
      <c r="BR221" s="176" t="n"/>
    </row>
    <row r="222" ht="15" customHeight="1" s="392">
      <c r="A222" s="176" t="n"/>
      <c r="B222" s="180" t="n"/>
      <c r="C222" s="183" t="inlineStr">
        <is>
          <t xml:space="preserve">    Net Intangible Assets per Share</t>
        </is>
      </c>
      <c r="D222" s="191">
        <f>IF(COUNT(M222:AS222)&gt;0,MEDIAN(M222:AS222),"")</f>
        <v/>
      </c>
      <c r="E222" s="191">
        <f>IF(COUNT(M222:AS222)&gt;0,AVERAGE(M222:AS222),"")</f>
        <v/>
      </c>
      <c r="F222" s="191">
        <f>IF(COUNT(M222:AS222)&gt;0,MIN(M222:AS222),"")</f>
        <v/>
      </c>
      <c r="G222" s="191">
        <f>IF(COUNT(M222:AS222)&gt;0,MAX(M222:AS222),"")</f>
        <v/>
      </c>
      <c r="H222" s="191">
        <f>IF(COUNT(M222:AS222)&gt;0,QUARTILE(M222:AS222,1),"")</f>
        <v/>
      </c>
      <c r="I222" s="191">
        <f>IF(COUNT(M222:AS222)&gt;0,QUARTILE(M222:AS222,3),"")</f>
        <v/>
      </c>
      <c r="J222" s="191">
        <f>IF(COUNT(M222:AS222)&gt;1,STDEV(M222:AS222),"")</f>
        <v/>
      </c>
      <c r="K222" s="191">
        <f>IF(COUNT(M222:AS222)&gt;1,STDEV(M222:AS222)/AVERAGE(M222:AS222),"")</f>
        <v/>
      </c>
      <c r="M222" s="197" t="n">
        <v>0.606790919017788</v>
      </c>
      <c r="N222" s="197" t="n">
        <v>0.600127947004187</v>
      </c>
      <c r="O222" s="197" t="n">
        <v>0.610609702391975</v>
      </c>
      <c r="P222" s="197" t="n">
        <v>0.477352887435271</v>
      </c>
      <c r="Q222" s="197" t="n">
        <v>0.479574999554489</v>
      </c>
      <c r="R222" s="197" t="n">
        <v>0.423592633174459</v>
      </c>
      <c r="S222" s="197" t="n">
        <v>0.415818625540757</v>
      </c>
      <c r="T222" s="197" t="n">
        <v>0.422643007666452</v>
      </c>
      <c r="U222" s="197" t="n">
        <v>0.42980867100577</v>
      </c>
      <c r="V222" s="197" t="n">
        <v>0.451412292101808</v>
      </c>
      <c r="W222" s="197" t="n">
        <v>0.308701771470675</v>
      </c>
      <c r="X222" s="197" t="n">
        <v>0.301385469963549</v>
      </c>
      <c r="Y222" s="197" t="n">
        <v>0.306221018392676</v>
      </c>
      <c r="Z222" s="197" t="n">
        <v>0.284044196344245</v>
      </c>
      <c r="AA222" s="197" t="n">
        <v>0.205419366093299</v>
      </c>
      <c r="AB222" s="197" t="n">
        <v>0.200142360827202</v>
      </c>
      <c r="AC222" s="197" t="n">
        <v>0.139935352987361</v>
      </c>
      <c r="AD222" s="197" t="n">
        <v>0.135172120730703</v>
      </c>
      <c r="AE222" s="197" t="n">
        <v>0.149403341303113</v>
      </c>
      <c r="AF222" s="197" t="n">
        <v>0.133751592779046</v>
      </c>
      <c r="AG222" s="197" t="n">
        <v>0.0788909955295807</v>
      </c>
      <c r="AH222" s="197" t="n">
        <v>0.0818547202963885</v>
      </c>
      <c r="AI222" s="197" t="n">
        <v>0.0802323881664921</v>
      </c>
      <c r="AJ222" s="197" t="n">
        <v>0.0813366152588867</v>
      </c>
      <c r="AK222" s="197" t="n">
        <v>0.0759477120406266</v>
      </c>
      <c r="AL222" s="197" t="n">
        <v>0.06861265924538119</v>
      </c>
      <c r="AM222" s="197" t="n">
        <v>0.06904252457859369</v>
      </c>
      <c r="AN222" s="197" t="n">
        <v>0.0603774756317129</v>
      </c>
      <c r="AO222" s="197" t="n">
        <v>0.061519146264909</v>
      </c>
      <c r="AP222" s="197" t="n">
        <v>0.06000879810267</v>
      </c>
      <c r="AQ222" s="197" t="n">
        <v>0.0615039850097277</v>
      </c>
      <c r="AR222" s="197" t="n">
        <v>0.0620831056278893</v>
      </c>
      <c r="AS222" s="197" t="n">
        <v>0.0348864318765191</v>
      </c>
      <c r="AT222" s="182" t="n"/>
      <c r="AU222" s="176" t="n"/>
      <c r="AV222" s="176" t="n"/>
      <c r="AW222" s="176" t="n"/>
      <c r="AX222" s="176" t="n"/>
      <c r="AY222" s="176" t="n"/>
      <c r="AZ222" s="176" t="n"/>
      <c r="BA222" s="176" t="n"/>
      <c r="BB222" s="176" t="n"/>
      <c r="BC222" s="176" t="n"/>
      <c r="BD222" s="176" t="n"/>
      <c r="BE222" s="176" t="n"/>
      <c r="BF222" s="176" t="n"/>
      <c r="BG222" s="176" t="n"/>
      <c r="BH222" s="176" t="n"/>
      <c r="BI222" s="176" t="n"/>
      <c r="BJ222" s="176" t="n"/>
      <c r="BK222" s="176" t="n"/>
      <c r="BL222" s="176" t="n"/>
      <c r="BM222" s="176" t="n"/>
      <c r="BN222" s="176" t="n"/>
      <c r="BO222" s="176" t="n"/>
      <c r="BP222" s="176" t="n"/>
      <c r="BQ222" s="176" t="n"/>
      <c r="BR222" s="176" t="n"/>
    </row>
    <row r="223" ht="15" customHeight="1" s="392">
      <c r="A223" s="176" t="n"/>
      <c r="B223" s="180" t="n"/>
      <c r="C223" s="183" t="inlineStr">
        <is>
          <t xml:space="preserve">    Total Asset per Share</t>
        </is>
      </c>
      <c r="D223" s="191">
        <f>IF(COUNT(M223:AS223)&gt;0,MEDIAN(M223:AS223),"")</f>
        <v/>
      </c>
      <c r="E223" s="191">
        <f>IF(COUNT(M223:AS223)&gt;0,AVERAGE(M223:AS223),"")</f>
        <v/>
      </c>
      <c r="F223" s="191">
        <f>IF(COUNT(M223:AS223)&gt;0,MIN(M223:AS223),"")</f>
        <v/>
      </c>
      <c r="G223" s="191">
        <f>IF(COUNT(M223:AS223)&gt;0,MAX(M223:AS223),"")</f>
        <v/>
      </c>
      <c r="H223" s="191">
        <f>IF(COUNT(M223:AS223)&gt;0,QUARTILE(M223:AS223,1),"")</f>
        <v/>
      </c>
      <c r="I223" s="191">
        <f>IF(COUNT(M223:AS223)&gt;0,QUARTILE(M223:AS223,3),"")</f>
        <v/>
      </c>
      <c r="J223" s="191">
        <f>IF(COUNT(M223:AS223)&gt;1,STDEV(M223:AS223),"")</f>
        <v/>
      </c>
      <c r="K223" s="191">
        <f>IF(COUNT(M223:AS223)&gt;1,STDEV(M223:AS223)/AVERAGE(M223:AS223),"")</f>
        <v/>
      </c>
      <c r="M223" s="197" t="n">
        <v>10.8313735517054</v>
      </c>
      <c r="N223" s="197" t="n">
        <v>10.430102599986</v>
      </c>
      <c r="O223" s="197" t="n">
        <v>8.75187197871724</v>
      </c>
      <c r="P223" s="197" t="n">
        <v>7.0380948330262</v>
      </c>
      <c r="Q223" s="197" t="n">
        <v>5.57557792550454</v>
      </c>
      <c r="R223" s="197" t="n">
        <v>4.81209732883893</v>
      </c>
      <c r="S223" s="197" t="n">
        <v>3.67088376394268</v>
      </c>
      <c r="T223" s="197" t="n">
        <v>2.77167634444815</v>
      </c>
      <c r="U223" s="197" t="n">
        <v>2.46655561666507</v>
      </c>
      <c r="V223" s="197" t="n">
        <v>2.15032719058325</v>
      </c>
      <c r="W223" s="197" t="n">
        <v>1.8727174191983</v>
      </c>
      <c r="X223" s="197" t="n">
        <v>1.87116634877527</v>
      </c>
      <c r="Y223" s="197" t="n">
        <v>1.49314629831584</v>
      </c>
      <c r="Z223" s="197" t="n">
        <v>1.32921735245298</v>
      </c>
      <c r="AA223" s="197" t="n">
        <v>1.1596246433702</v>
      </c>
      <c r="AB223" s="197" t="n">
        <v>1.02684219563041</v>
      </c>
      <c r="AC223" s="197" t="n">
        <v>0.910359904784396</v>
      </c>
      <c r="AD223" s="197" t="n">
        <v>0.787800027767845</v>
      </c>
      <c r="AE223" s="197" t="n">
        <v>0.717687674433364</v>
      </c>
      <c r="AF223" s="197" t="n">
        <v>0.717682157068547</v>
      </c>
      <c r="AG223" s="197" t="n">
        <v>0.61826451325094</v>
      </c>
      <c r="AH223" s="197" t="n">
        <v>0.54900148324658</v>
      </c>
      <c r="AI223" s="197" t="n">
        <v>0.466983556290447</v>
      </c>
      <c r="AJ223" s="197" t="n">
        <v>0.408237172838966</v>
      </c>
      <c r="AK223" s="197" t="n">
        <v>0.363080292653093</v>
      </c>
      <c r="AL223" s="197" t="n">
        <v>0.237245866573366</v>
      </c>
      <c r="AM223" s="197" t="n">
        <v>0.200358556503994</v>
      </c>
      <c r="AN223" s="197" t="n">
        <v>0.169724343453157</v>
      </c>
      <c r="AO223" s="197" t="n">
        <v>0.149795982423101</v>
      </c>
      <c r="AP223" s="197" t="n">
        <v>0.139701757070359</v>
      </c>
      <c r="AQ223" s="197" t="n">
        <v>0.13034557681016</v>
      </c>
      <c r="AR223" s="197" t="n">
        <v>0.113889224978163</v>
      </c>
      <c r="AS223" s="197" t="n">
        <v>0.0745355165689453</v>
      </c>
      <c r="AT223" s="182" t="n"/>
      <c r="AU223" s="176" t="n"/>
      <c r="AV223" s="176" t="n"/>
      <c r="AW223" s="176" t="n"/>
      <c r="AX223" s="176" t="n"/>
      <c r="AY223" s="176" t="n"/>
      <c r="AZ223" s="176" t="n"/>
      <c r="BA223" s="176" t="n"/>
      <c r="BB223" s="176" t="n"/>
      <c r="BC223" s="176" t="n"/>
      <c r="BD223" s="176" t="n"/>
      <c r="BE223" s="176" t="n"/>
      <c r="BF223" s="176" t="n"/>
      <c r="BG223" s="176" t="n"/>
      <c r="BH223" s="176" t="n"/>
      <c r="BI223" s="176" t="n"/>
      <c r="BJ223" s="176" t="n"/>
      <c r="BK223" s="176" t="n"/>
      <c r="BL223" s="176" t="n"/>
      <c r="BM223" s="176" t="n"/>
      <c r="BN223" s="176" t="n"/>
      <c r="BO223" s="176" t="n"/>
      <c r="BP223" s="176" t="n"/>
      <c r="BQ223" s="176" t="n"/>
      <c r="BR223" s="176" t="n"/>
    </row>
    <row r="224" ht="15" customHeight="1" s="392">
      <c r="A224" s="176" t="n"/>
      <c r="B224" s="180" t="n"/>
      <c r="C224" s="189" t="inlineStr">
        <is>
          <t>Data Origination</t>
        </is>
      </c>
      <c r="D224" s="185" t="n"/>
      <c r="E224" s="185" t="n"/>
      <c r="F224" s="185" t="n"/>
      <c r="G224" s="185" t="n"/>
      <c r="H224" s="185" t="n"/>
      <c r="I224" s="185" t="n"/>
      <c r="J224" s="185" t="n"/>
      <c r="K224" s="185" t="n"/>
      <c r="L224" s="185" t="n"/>
      <c r="M224" s="185" t="n"/>
      <c r="N224" s="185" t="n"/>
      <c r="O224" s="185" t="n"/>
      <c r="P224" s="185" t="n"/>
      <c r="Q224" s="185" t="n"/>
      <c r="R224" s="185" t="n"/>
      <c r="S224" s="185" t="n"/>
      <c r="T224" s="185" t="n"/>
      <c r="U224" s="185" t="n"/>
      <c r="V224" s="185" t="n"/>
      <c r="W224" s="185" t="n"/>
      <c r="X224" s="185" t="n"/>
      <c r="Y224" s="185" t="n"/>
      <c r="Z224" s="185" t="n"/>
      <c r="AA224" s="185" t="n"/>
      <c r="AB224" s="185" t="n"/>
      <c r="AC224" s="185" t="n"/>
      <c r="AD224" s="185" t="n"/>
      <c r="AE224" s="185" t="n"/>
      <c r="AF224" s="185" t="n"/>
      <c r="AG224" s="185" t="n"/>
      <c r="AH224" s="185" t="n"/>
      <c r="AI224" s="185" t="n"/>
      <c r="AJ224" s="185" t="n"/>
      <c r="AK224" s="185" t="n"/>
      <c r="AL224" s="185" t="n"/>
      <c r="AM224" s="185" t="n"/>
      <c r="AN224" s="185" t="n"/>
      <c r="AO224" s="185" t="n"/>
      <c r="AP224" s="185" t="n"/>
      <c r="AQ224" s="185" t="n"/>
      <c r="AR224" s="185" t="n"/>
      <c r="AS224" s="185" t="n"/>
      <c r="AT224" s="182" t="n"/>
      <c r="AU224" s="176" t="n"/>
      <c r="AV224" s="176" t="n"/>
      <c r="AW224" s="176" t="n"/>
      <c r="AX224" s="176" t="n"/>
      <c r="AY224" s="176" t="n"/>
      <c r="AZ224" s="176" t="n"/>
      <c r="BA224" s="176" t="n"/>
      <c r="BB224" s="176" t="n"/>
      <c r="BC224" s="176" t="n"/>
      <c r="BD224" s="176" t="n"/>
      <c r="BE224" s="176" t="n"/>
      <c r="BF224" s="176" t="n"/>
      <c r="BG224" s="176" t="n"/>
      <c r="BH224" s="176" t="n"/>
      <c r="BI224" s="176" t="n"/>
      <c r="BJ224" s="176" t="n"/>
      <c r="BK224" s="176" t="n"/>
      <c r="BL224" s="176" t="n"/>
      <c r="BM224" s="176" t="n"/>
      <c r="BN224" s="176" t="n"/>
      <c r="BO224" s="176" t="n"/>
      <c r="BP224" s="176" t="n"/>
      <c r="BQ224" s="176" t="n"/>
      <c r="BR224" s="176" t="n"/>
    </row>
    <row r="225" ht="15" customHeight="1" s="392">
      <c r="A225" s="176" t="n"/>
      <c r="B225" s="180" t="n"/>
      <c r="C225" s="183" t="inlineStr">
        <is>
          <t xml:space="preserve">    Preliminary</t>
        </is>
      </c>
      <c r="D225" s="201">
        <f>IF(COUNT(M225:AS225)&gt;0,MEDIAN(M225:AS225),"")</f>
        <v/>
      </c>
      <c r="E225" s="201">
        <f>IF(COUNT(M225:AS225)&gt;0,AVERAGE(M225:AS225),"")</f>
        <v/>
      </c>
      <c r="F225" s="201">
        <f>IF(COUNT(M225:AS225)&gt;0,MIN(M225:AS225),"")</f>
        <v/>
      </c>
      <c r="G225" s="201">
        <f>IF(COUNT(M225:AS225)&gt;0,MAX(M225:AS225),"")</f>
        <v/>
      </c>
      <c r="H225" s="201">
        <f>IF(COUNT(M225:AS225)&gt;0,QUARTILE(M225:AS225,1),"")</f>
        <v/>
      </c>
      <c r="I225" s="201">
        <f>IF(COUNT(M225:AS225)&gt;0,QUARTILE(M225:AS225,3),"")</f>
        <v/>
      </c>
      <c r="J225" s="201">
        <f>IF(COUNT(M225:AS225)&gt;1,STDEV(M225:AS225),"")</f>
        <v/>
      </c>
      <c r="K225" s="191">
        <f>IF(COUNT(M225:AS225)&gt;1,STDEV(M225:AS225)/AVERAGE(M225:AS225),"")</f>
        <v/>
      </c>
      <c r="M225" s="202" t="inlineStr">
        <is>
          <t>Yes</t>
        </is>
      </c>
      <c r="N225" s="202" t="inlineStr">
        <is>
          <t>No</t>
        </is>
      </c>
      <c r="O225" s="202" t="inlineStr">
        <is>
          <t>No</t>
        </is>
      </c>
      <c r="P225" s="202" t="inlineStr">
        <is>
          <t>No</t>
        </is>
      </c>
      <c r="Q225" s="202" t="inlineStr">
        <is>
          <t>No</t>
        </is>
      </c>
      <c r="R225" s="202" t="inlineStr">
        <is>
          <t>No</t>
        </is>
      </c>
      <c r="S225" s="202" t="inlineStr">
        <is>
          <t>No</t>
        </is>
      </c>
      <c r="T225" s="202" t="inlineStr">
        <is>
          <t>No</t>
        </is>
      </c>
      <c r="U225" s="202" t="inlineStr">
        <is>
          <t>No</t>
        </is>
      </c>
      <c r="V225" s="202" t="inlineStr">
        <is>
          <t>No</t>
        </is>
      </c>
      <c r="W225" s="202" t="inlineStr">
        <is>
          <t>No</t>
        </is>
      </c>
      <c r="X225" s="202" t="inlineStr">
        <is>
          <t>No</t>
        </is>
      </c>
      <c r="Y225" s="202" t="inlineStr">
        <is>
          <t>No</t>
        </is>
      </c>
      <c r="Z225" s="202" t="inlineStr">
        <is>
          <t>No</t>
        </is>
      </c>
      <c r="AA225" s="202" t="inlineStr">
        <is>
          <t>No</t>
        </is>
      </c>
      <c r="AB225" s="202" t="inlineStr">
        <is>
          <t>No</t>
        </is>
      </c>
      <c r="AC225" s="202" t="inlineStr">
        <is>
          <t>No</t>
        </is>
      </c>
      <c r="AD225" s="202" t="inlineStr">
        <is>
          <t>No</t>
        </is>
      </c>
      <c r="AE225" s="202" t="inlineStr">
        <is>
          <t>No</t>
        </is>
      </c>
      <c r="AF225" s="202" t="inlineStr">
        <is>
          <t>No</t>
        </is>
      </c>
      <c r="AG225" s="202" t="inlineStr">
        <is>
          <t>No</t>
        </is>
      </c>
      <c r="AH225" s="202" t="inlineStr">
        <is>
          <t>No</t>
        </is>
      </c>
      <c r="AI225" s="202" t="inlineStr">
        <is>
          <t>No</t>
        </is>
      </c>
      <c r="AJ225" s="202" t="inlineStr">
        <is>
          <t>No</t>
        </is>
      </c>
      <c r="AK225" s="202" t="inlineStr">
        <is>
          <t>No</t>
        </is>
      </c>
      <c r="AL225" s="202" t="inlineStr">
        <is>
          <t>No</t>
        </is>
      </c>
      <c r="AM225" s="202" t="inlineStr">
        <is>
          <t>No</t>
        </is>
      </c>
      <c r="AN225" s="202" t="inlineStr">
        <is>
          <t>No</t>
        </is>
      </c>
      <c r="AO225" s="202" t="inlineStr">
        <is>
          <t>No</t>
        </is>
      </c>
      <c r="AP225" s="202" t="inlineStr">
        <is>
          <t>No</t>
        </is>
      </c>
      <c r="AQ225" s="202" t="inlineStr">
        <is>
          <t>No</t>
        </is>
      </c>
      <c r="AR225" s="202" t="inlineStr">
        <is>
          <t>No</t>
        </is>
      </c>
      <c r="AS225" s="202" t="inlineStr">
        <is>
          <t>No</t>
        </is>
      </c>
      <c r="AT225" s="182" t="n"/>
      <c r="AU225" s="176" t="n"/>
      <c r="AV225" s="176" t="n"/>
      <c r="AW225" s="176" t="n"/>
      <c r="AX225" s="176" t="n"/>
      <c r="AY225" s="176" t="n"/>
      <c r="AZ225" s="176" t="n"/>
      <c r="BA225" s="176" t="n"/>
      <c r="BB225" s="176" t="n"/>
      <c r="BC225" s="176" t="n"/>
      <c r="BD225" s="176" t="n"/>
      <c r="BE225" s="176" t="n"/>
      <c r="BF225" s="176" t="n"/>
      <c r="BG225" s="176" t="n"/>
      <c r="BH225" s="176" t="n"/>
      <c r="BI225" s="176" t="n"/>
      <c r="BJ225" s="176" t="n"/>
      <c r="BK225" s="176" t="n"/>
      <c r="BL225" s="176" t="n"/>
      <c r="BM225" s="176" t="n"/>
      <c r="BN225" s="176" t="n"/>
      <c r="BO225" s="176" t="n"/>
      <c r="BP225" s="176" t="n"/>
      <c r="BQ225" s="176" t="n"/>
      <c r="BR225" s="176" t="n"/>
    </row>
    <row r="226" ht="15" customHeight="1" s="392">
      <c r="A226" s="176" t="n"/>
      <c r="B226" s="180" t="n"/>
      <c r="C226" s="183" t="inlineStr">
        <is>
          <t xml:space="preserve">    Original</t>
        </is>
      </c>
      <c r="D226" s="201">
        <f>IF(COUNT(M226:AS226)&gt;0,MEDIAN(M226:AS226),"")</f>
        <v/>
      </c>
      <c r="E226" s="201">
        <f>IF(COUNT(M226:AS226)&gt;0,AVERAGE(M226:AS226),"")</f>
        <v/>
      </c>
      <c r="F226" s="201">
        <f>IF(COUNT(M226:AS226)&gt;0,MIN(M226:AS226),"")</f>
        <v/>
      </c>
      <c r="G226" s="201">
        <f>IF(COUNT(M226:AS226)&gt;0,MAX(M226:AS226),"")</f>
        <v/>
      </c>
      <c r="H226" s="201">
        <f>IF(COUNT(M226:AS226)&gt;0,QUARTILE(M226:AS226,1),"")</f>
        <v/>
      </c>
      <c r="I226" s="201">
        <f>IF(COUNT(M226:AS226)&gt;0,QUARTILE(M226:AS226,3),"")</f>
        <v/>
      </c>
      <c r="J226" s="201">
        <f>IF(COUNT(M226:AS226)&gt;1,STDEV(M226:AS226),"")</f>
        <v/>
      </c>
      <c r="K226" s="191">
        <f>IF(COUNT(M226:AS226)&gt;1,STDEV(M226:AS226)/AVERAGE(M226:AS226),"")</f>
        <v/>
      </c>
      <c r="M226" s="202" t="inlineStr">
        <is>
          <t>No</t>
        </is>
      </c>
      <c r="N226" s="202" t="inlineStr">
        <is>
          <t>No</t>
        </is>
      </c>
      <c r="O226" s="202" t="inlineStr">
        <is>
          <t>No</t>
        </is>
      </c>
      <c r="P226" s="202" t="inlineStr">
        <is>
          <t>No</t>
        </is>
      </c>
      <c r="Q226" s="202" t="inlineStr">
        <is>
          <t>No</t>
        </is>
      </c>
      <c r="R226" s="202" t="inlineStr">
        <is>
          <t>No</t>
        </is>
      </c>
      <c r="S226" s="202" t="inlineStr">
        <is>
          <t>No</t>
        </is>
      </c>
      <c r="T226" s="202" t="inlineStr">
        <is>
          <t>No</t>
        </is>
      </c>
      <c r="U226" s="202" t="inlineStr">
        <is>
          <t>No</t>
        </is>
      </c>
      <c r="V226" s="202" t="inlineStr">
        <is>
          <t>No</t>
        </is>
      </c>
      <c r="W226" s="202" t="inlineStr">
        <is>
          <t>No</t>
        </is>
      </c>
      <c r="X226" s="202" t="inlineStr">
        <is>
          <t>No</t>
        </is>
      </c>
      <c r="Y226" s="202" t="inlineStr">
        <is>
          <t>No</t>
        </is>
      </c>
      <c r="Z226" s="202" t="inlineStr">
        <is>
          <t>No</t>
        </is>
      </c>
      <c r="AA226" s="202" t="inlineStr">
        <is>
          <t>No</t>
        </is>
      </c>
      <c r="AB226" s="202" t="inlineStr">
        <is>
          <t>No</t>
        </is>
      </c>
      <c r="AC226" s="202" t="inlineStr">
        <is>
          <t>No</t>
        </is>
      </c>
      <c r="AD226" s="202" t="inlineStr">
        <is>
          <t>No</t>
        </is>
      </c>
      <c r="AE226" s="202" t="inlineStr">
        <is>
          <t>No</t>
        </is>
      </c>
      <c r="AF226" s="202" t="inlineStr">
        <is>
          <t>No</t>
        </is>
      </c>
      <c r="AG226" s="202" t="inlineStr">
        <is>
          <t>No</t>
        </is>
      </c>
      <c r="AH226" s="202" t="inlineStr">
        <is>
          <t>No</t>
        </is>
      </c>
      <c r="AI226" s="202" t="inlineStr">
        <is>
          <t>No</t>
        </is>
      </c>
      <c r="AJ226" s="202" t="inlineStr">
        <is>
          <t>No</t>
        </is>
      </c>
      <c r="AK226" s="202" t="inlineStr">
        <is>
          <t>No</t>
        </is>
      </c>
      <c r="AL226" s="202" t="inlineStr">
        <is>
          <t>No</t>
        </is>
      </c>
      <c r="AM226" s="202" t="inlineStr">
        <is>
          <t>No</t>
        </is>
      </c>
      <c r="AN226" s="202" t="inlineStr">
        <is>
          <t>No</t>
        </is>
      </c>
      <c r="AO226" s="202" t="inlineStr">
        <is>
          <t>No</t>
        </is>
      </c>
      <c r="AP226" s="202" t="inlineStr">
        <is>
          <t>No</t>
        </is>
      </c>
      <c r="AQ226" s="202" t="inlineStr">
        <is>
          <t>No</t>
        </is>
      </c>
      <c r="AR226" s="202" t="inlineStr">
        <is>
          <t>No</t>
        </is>
      </c>
      <c r="AS226" s="202" t="inlineStr">
        <is>
          <t>No</t>
        </is>
      </c>
      <c r="AT226" s="182" t="n"/>
      <c r="AU226" s="176" t="n"/>
      <c r="AV226" s="176" t="n"/>
      <c r="AW226" s="176" t="n"/>
      <c r="AX226" s="176" t="n"/>
      <c r="AY226" s="176" t="n"/>
      <c r="AZ226" s="176" t="n"/>
      <c r="BA226" s="176" t="n"/>
      <c r="BB226" s="176" t="n"/>
      <c r="BC226" s="176" t="n"/>
      <c r="BD226" s="176" t="n"/>
      <c r="BE226" s="176" t="n"/>
      <c r="BF226" s="176" t="n"/>
      <c r="BG226" s="176" t="n"/>
      <c r="BH226" s="176" t="n"/>
      <c r="BI226" s="176" t="n"/>
      <c r="BJ226" s="176" t="n"/>
      <c r="BK226" s="176" t="n"/>
      <c r="BL226" s="176" t="n"/>
      <c r="BM226" s="176" t="n"/>
      <c r="BN226" s="176" t="n"/>
      <c r="BO226" s="176" t="n"/>
      <c r="BP226" s="176" t="n"/>
      <c r="BQ226" s="176" t="n"/>
      <c r="BR226" s="176" t="n"/>
    </row>
    <row r="227" ht="15" customHeight="1" s="392">
      <c r="A227" s="176" t="n"/>
      <c r="B227" s="180" t="n"/>
      <c r="C227" s="183" t="inlineStr">
        <is>
          <t xml:space="preserve">    Restated</t>
        </is>
      </c>
      <c r="D227" s="201">
        <f>IF(COUNT(M227:AS227)&gt;0,MEDIAN(M227:AS227),"")</f>
        <v/>
      </c>
      <c r="E227" s="201">
        <f>IF(COUNT(M227:AS227)&gt;0,AVERAGE(M227:AS227),"")</f>
        <v/>
      </c>
      <c r="F227" s="201">
        <f>IF(COUNT(M227:AS227)&gt;0,MIN(M227:AS227),"")</f>
        <v/>
      </c>
      <c r="G227" s="201">
        <f>IF(COUNT(M227:AS227)&gt;0,MAX(M227:AS227),"")</f>
        <v/>
      </c>
      <c r="H227" s="201">
        <f>IF(COUNT(M227:AS227)&gt;0,QUARTILE(M227:AS227,1),"")</f>
        <v/>
      </c>
      <c r="I227" s="201">
        <f>IF(COUNT(M227:AS227)&gt;0,QUARTILE(M227:AS227,3),"")</f>
        <v/>
      </c>
      <c r="J227" s="201">
        <f>IF(COUNT(M227:AS227)&gt;1,STDEV(M227:AS227),"")</f>
        <v/>
      </c>
      <c r="K227" s="191">
        <f>IF(COUNT(M227:AS227)&gt;1,STDEV(M227:AS227)/AVERAGE(M227:AS227),"")</f>
        <v/>
      </c>
      <c r="M227" s="202" t="inlineStr">
        <is>
          <t>Yes</t>
        </is>
      </c>
      <c r="N227" s="202" t="inlineStr">
        <is>
          <t>Yes</t>
        </is>
      </c>
      <c r="O227" s="202" t="inlineStr">
        <is>
          <t>Yes</t>
        </is>
      </c>
      <c r="P227" s="202" t="inlineStr">
        <is>
          <t>Yes</t>
        </is>
      </c>
      <c r="Q227" s="202" t="inlineStr">
        <is>
          <t>Yes</t>
        </is>
      </c>
      <c r="R227" s="202" t="inlineStr">
        <is>
          <t>Yes</t>
        </is>
      </c>
      <c r="S227" s="202" t="inlineStr">
        <is>
          <t>Yes</t>
        </is>
      </c>
      <c r="T227" s="202" t="inlineStr">
        <is>
          <t>Yes</t>
        </is>
      </c>
      <c r="U227" s="202" t="inlineStr">
        <is>
          <t>Yes</t>
        </is>
      </c>
      <c r="V227" s="202" t="inlineStr">
        <is>
          <t>Yes</t>
        </is>
      </c>
      <c r="W227" s="202" t="inlineStr">
        <is>
          <t>Yes</t>
        </is>
      </c>
      <c r="X227" s="202" t="inlineStr">
        <is>
          <t>Yes</t>
        </is>
      </c>
      <c r="Y227" s="202" t="inlineStr">
        <is>
          <t>Yes</t>
        </is>
      </c>
      <c r="Z227" s="202" t="inlineStr">
        <is>
          <t>Yes</t>
        </is>
      </c>
      <c r="AA227" s="202" t="inlineStr">
        <is>
          <t>Yes</t>
        </is>
      </c>
      <c r="AB227" s="202" t="inlineStr">
        <is>
          <t>Yes</t>
        </is>
      </c>
      <c r="AC227" s="202" t="inlineStr">
        <is>
          <t>Yes</t>
        </is>
      </c>
      <c r="AD227" s="202" t="inlineStr">
        <is>
          <t>Yes</t>
        </is>
      </c>
      <c r="AE227" s="202" t="inlineStr">
        <is>
          <t>Yes</t>
        </is>
      </c>
      <c r="AF227" s="202" t="inlineStr">
        <is>
          <t>Yes</t>
        </is>
      </c>
      <c r="AG227" s="202" t="inlineStr">
        <is>
          <t>Yes</t>
        </is>
      </c>
      <c r="AH227" s="202" t="inlineStr">
        <is>
          <t>Yes</t>
        </is>
      </c>
      <c r="AI227" s="202" t="inlineStr">
        <is>
          <t>Yes</t>
        </is>
      </c>
      <c r="AJ227" s="202" t="inlineStr">
        <is>
          <t>Yes</t>
        </is>
      </c>
      <c r="AK227" s="202" t="inlineStr">
        <is>
          <t>Yes</t>
        </is>
      </c>
      <c r="AL227" s="202" t="inlineStr">
        <is>
          <t>Yes</t>
        </is>
      </c>
      <c r="AM227" s="202" t="inlineStr">
        <is>
          <t>Yes</t>
        </is>
      </c>
      <c r="AN227" s="202" t="inlineStr">
        <is>
          <t>Yes</t>
        </is>
      </c>
      <c r="AO227" s="202" t="inlineStr">
        <is>
          <t>Yes</t>
        </is>
      </c>
      <c r="AP227" s="202" t="inlineStr">
        <is>
          <t>Yes</t>
        </is>
      </c>
      <c r="AQ227" s="202" t="inlineStr">
        <is>
          <t>Yes</t>
        </is>
      </c>
      <c r="AR227" s="202" t="inlineStr">
        <is>
          <t>Yes</t>
        </is>
      </c>
      <c r="AS227" s="202" t="inlineStr">
        <is>
          <t>Yes</t>
        </is>
      </c>
      <c r="AT227" s="182" t="n"/>
      <c r="AU227" s="176" t="n"/>
      <c r="AV227" s="176" t="n"/>
      <c r="AW227" s="176" t="n"/>
      <c r="AX227" s="176" t="n"/>
      <c r="AY227" s="176" t="n"/>
      <c r="AZ227" s="176" t="n"/>
      <c r="BA227" s="176" t="n"/>
      <c r="BB227" s="176" t="n"/>
      <c r="BC227" s="176" t="n"/>
      <c r="BD227" s="176" t="n"/>
      <c r="BE227" s="176" t="n"/>
      <c r="BF227" s="176" t="n"/>
      <c r="BG227" s="176" t="n"/>
      <c r="BH227" s="176" t="n"/>
      <c r="BI227" s="176" t="n"/>
      <c r="BJ227" s="176" t="n"/>
      <c r="BK227" s="176" t="n"/>
      <c r="BL227" s="176" t="n"/>
      <c r="BM227" s="176" t="n"/>
      <c r="BN227" s="176" t="n"/>
      <c r="BO227" s="176" t="n"/>
      <c r="BP227" s="176" t="n"/>
      <c r="BQ227" s="176" t="n"/>
      <c r="BR227" s="176" t="n"/>
    </row>
    <row r="228" ht="15" customHeight="1" s="392">
      <c r="A228" s="176" t="n"/>
      <c r="B228" s="180" t="n"/>
      <c r="C228" s="183" t="inlineStr">
        <is>
          <t xml:space="preserve">    Calculated</t>
        </is>
      </c>
      <c r="D228" s="201">
        <f>IF(COUNT(M228:AS228)&gt;0,MEDIAN(M228:AS228),"")</f>
        <v/>
      </c>
      <c r="E228" s="201">
        <f>IF(COUNT(M228:AS228)&gt;0,AVERAGE(M228:AS228),"")</f>
        <v/>
      </c>
      <c r="F228" s="201">
        <f>IF(COUNT(M228:AS228)&gt;0,MIN(M228:AS228),"")</f>
        <v/>
      </c>
      <c r="G228" s="201">
        <f>IF(COUNT(M228:AS228)&gt;0,MAX(M228:AS228),"")</f>
        <v/>
      </c>
      <c r="H228" s="201">
        <f>IF(COUNT(M228:AS228)&gt;0,QUARTILE(M228:AS228,1),"")</f>
        <v/>
      </c>
      <c r="I228" s="201">
        <f>IF(COUNT(M228:AS228)&gt;0,QUARTILE(M228:AS228,3),"")</f>
        <v/>
      </c>
      <c r="J228" s="201">
        <f>IF(COUNT(M228:AS228)&gt;1,STDEV(M228:AS228),"")</f>
        <v/>
      </c>
      <c r="K228" s="191">
        <f>IF(COUNT(M228:AS228)&gt;1,STDEV(M228:AS228)/AVERAGE(M228:AS228),"")</f>
        <v/>
      </c>
      <c r="M228" s="202" t="inlineStr">
        <is>
          <t>No</t>
        </is>
      </c>
      <c r="N228" s="202" t="inlineStr">
        <is>
          <t>No</t>
        </is>
      </c>
      <c r="O228" s="202" t="inlineStr">
        <is>
          <t>No</t>
        </is>
      </c>
      <c r="P228" s="202" t="inlineStr">
        <is>
          <t>No</t>
        </is>
      </c>
      <c r="Q228" s="202" t="inlineStr">
        <is>
          <t>No</t>
        </is>
      </c>
      <c r="R228" s="202" t="inlineStr">
        <is>
          <t>No</t>
        </is>
      </c>
      <c r="S228" s="202" t="inlineStr">
        <is>
          <t>No</t>
        </is>
      </c>
      <c r="T228" s="202" t="inlineStr">
        <is>
          <t>No</t>
        </is>
      </c>
      <c r="U228" s="202" t="inlineStr">
        <is>
          <t>No</t>
        </is>
      </c>
      <c r="V228" s="202" t="inlineStr">
        <is>
          <t>No</t>
        </is>
      </c>
      <c r="W228" s="202" t="inlineStr">
        <is>
          <t>No</t>
        </is>
      </c>
      <c r="X228" s="202" t="inlineStr">
        <is>
          <t>No</t>
        </is>
      </c>
      <c r="Y228" s="202" t="inlineStr">
        <is>
          <t>No</t>
        </is>
      </c>
      <c r="Z228" s="202" t="inlineStr">
        <is>
          <t>No</t>
        </is>
      </c>
      <c r="AA228" s="202" t="inlineStr">
        <is>
          <t>No</t>
        </is>
      </c>
      <c r="AB228" s="202" t="inlineStr">
        <is>
          <t>No</t>
        </is>
      </c>
      <c r="AC228" s="202" t="inlineStr">
        <is>
          <t>No</t>
        </is>
      </c>
      <c r="AD228" s="202" t="inlineStr">
        <is>
          <t>No</t>
        </is>
      </c>
      <c r="AE228" s="202" t="inlineStr">
        <is>
          <t>No</t>
        </is>
      </c>
      <c r="AF228" s="202" t="inlineStr">
        <is>
          <t>No</t>
        </is>
      </c>
      <c r="AG228" s="202" t="inlineStr">
        <is>
          <t>No</t>
        </is>
      </c>
      <c r="AH228" s="202" t="inlineStr">
        <is>
          <t>No</t>
        </is>
      </c>
      <c r="AI228" s="202" t="inlineStr">
        <is>
          <t>No</t>
        </is>
      </c>
      <c r="AJ228" s="202" t="inlineStr">
        <is>
          <t>No</t>
        </is>
      </c>
      <c r="AK228" s="202" t="inlineStr">
        <is>
          <t>No</t>
        </is>
      </c>
      <c r="AL228" s="202" t="inlineStr">
        <is>
          <t>No</t>
        </is>
      </c>
      <c r="AM228" s="202" t="inlineStr">
        <is>
          <t>No</t>
        </is>
      </c>
      <c r="AN228" s="202" t="inlineStr">
        <is>
          <t>No</t>
        </is>
      </c>
      <c r="AO228" s="202" t="inlineStr">
        <is>
          <t>No</t>
        </is>
      </c>
      <c r="AP228" s="202" t="inlineStr">
        <is>
          <t>No</t>
        </is>
      </c>
      <c r="AQ228" s="202" t="inlineStr">
        <is>
          <t>No</t>
        </is>
      </c>
      <c r="AR228" s="202" t="inlineStr">
        <is>
          <t>No</t>
        </is>
      </c>
      <c r="AS228" s="202" t="inlineStr">
        <is>
          <t>No</t>
        </is>
      </c>
      <c r="AT228" s="182" t="n"/>
      <c r="AU228" s="176" t="n"/>
      <c r="AV228" s="176" t="n"/>
      <c r="AW228" s="176" t="n"/>
      <c r="AX228" s="176" t="n"/>
      <c r="AY228" s="176" t="n"/>
      <c r="AZ228" s="176" t="n"/>
      <c r="BA228" s="176" t="n"/>
      <c r="BB228" s="176" t="n"/>
      <c r="BC228" s="176" t="n"/>
      <c r="BD228" s="176" t="n"/>
      <c r="BE228" s="176" t="n"/>
      <c r="BF228" s="176" t="n"/>
      <c r="BG228" s="176" t="n"/>
      <c r="BH228" s="176" t="n"/>
      <c r="BI228" s="176" t="n"/>
      <c r="BJ228" s="176" t="n"/>
      <c r="BK228" s="176" t="n"/>
      <c r="BL228" s="176" t="n"/>
      <c r="BM228" s="176" t="n"/>
      <c r="BN228" s="176" t="n"/>
      <c r="BO228" s="176" t="n"/>
      <c r="BP228" s="176" t="n"/>
      <c r="BQ228" s="176" t="n"/>
      <c r="BR228" s="176" t="n"/>
    </row>
    <row r="229" ht="15" customHeight="1" s="392">
      <c r="A229" s="176" t="n"/>
      <c r="B229" s="180" t="n"/>
      <c r="AT229" s="182" t="n"/>
      <c r="AU229" s="176" t="n"/>
      <c r="AV229" s="176" t="n"/>
      <c r="AW229" s="176" t="n"/>
      <c r="AX229" s="176" t="n"/>
      <c r="AY229" s="176" t="n"/>
      <c r="AZ229" s="176" t="n"/>
      <c r="BA229" s="176" t="n"/>
      <c r="BB229" s="176" t="n"/>
      <c r="BC229" s="176" t="n"/>
      <c r="BD229" s="176" t="n"/>
      <c r="BE229" s="176" t="n"/>
      <c r="BF229" s="176" t="n"/>
      <c r="BG229" s="176" t="n"/>
      <c r="BH229" s="176" t="n"/>
      <c r="BI229" s="176" t="n"/>
      <c r="BJ229" s="176" t="n"/>
      <c r="BK229" s="176" t="n"/>
      <c r="BL229" s="176" t="n"/>
      <c r="BM229" s="176" t="n"/>
      <c r="BN229" s="176" t="n"/>
      <c r="BO229" s="176" t="n"/>
      <c r="BP229" s="176" t="n"/>
      <c r="BQ229" s="176" t="n"/>
      <c r="BR229" s="176" t="n"/>
    </row>
    <row r="230" ht="15" customHeight="1" s="392">
      <c r="A230" s="176" t="n"/>
      <c r="B230" s="180" t="n"/>
      <c r="AT230" s="182" t="n"/>
      <c r="AU230" s="176" t="n"/>
      <c r="AV230" s="176" t="n"/>
      <c r="AW230" s="176" t="n"/>
      <c r="AX230" s="176" t="n"/>
      <c r="AY230" s="176" t="n"/>
      <c r="AZ230" s="176" t="n"/>
      <c r="BA230" s="176" t="n"/>
      <c r="BB230" s="176" t="n"/>
      <c r="BC230" s="176" t="n"/>
      <c r="BD230" s="176" t="n"/>
      <c r="BE230" s="176" t="n"/>
      <c r="BF230" s="176" t="n"/>
      <c r="BG230" s="176" t="n"/>
      <c r="BH230" s="176" t="n"/>
      <c r="BI230" s="176" t="n"/>
      <c r="BJ230" s="176" t="n"/>
      <c r="BK230" s="176" t="n"/>
      <c r="BL230" s="176" t="n"/>
      <c r="BM230" s="176" t="n"/>
      <c r="BN230" s="176" t="n"/>
      <c r="BO230" s="176" t="n"/>
      <c r="BP230" s="176" t="n"/>
      <c r="BQ230" s="176" t="n"/>
      <c r="BR230" s="176" t="n"/>
    </row>
    <row r="231" ht="15" customHeight="1" s="392">
      <c r="A231" s="176" t="n"/>
      <c r="B231" s="180" t="n"/>
      <c r="C231" s="183" t="inlineStr">
        <is>
          <t>© PitchBook Data, Inc.  2026</t>
        </is>
      </c>
      <c r="AT231" s="182" t="n"/>
      <c r="AU231" s="176" t="n"/>
      <c r="AV231" s="176" t="n"/>
      <c r="AW231" s="176" t="n"/>
      <c r="AX231" s="176" t="n"/>
      <c r="AY231" s="176" t="n"/>
      <c r="AZ231" s="176" t="n"/>
      <c r="BA231" s="176" t="n"/>
      <c r="BB231" s="176" t="n"/>
      <c r="BC231" s="176" t="n"/>
      <c r="BD231" s="176" t="n"/>
      <c r="BE231" s="176" t="n"/>
      <c r="BF231" s="176" t="n"/>
      <c r="BG231" s="176" t="n"/>
      <c r="BH231" s="176" t="n"/>
      <c r="BI231" s="176" t="n"/>
      <c r="BJ231" s="176" t="n"/>
      <c r="BK231" s="176" t="n"/>
      <c r="BL231" s="176" t="n"/>
      <c r="BM231" s="176" t="n"/>
      <c r="BN231" s="176" t="n"/>
      <c r="BO231" s="176" t="n"/>
      <c r="BP231" s="176" t="n"/>
      <c r="BQ231" s="176" t="n"/>
      <c r="BR231" s="176" t="n"/>
    </row>
    <row r="232" ht="15" customHeight="1" s="392">
      <c r="A232" s="176" t="n"/>
      <c r="B232" s="180" t="n"/>
      <c r="AT232" s="182" t="n"/>
      <c r="AU232" s="176" t="n"/>
      <c r="AV232" s="176" t="n"/>
      <c r="AW232" s="176" t="n"/>
      <c r="AX232" s="176" t="n"/>
      <c r="AY232" s="176" t="n"/>
      <c r="AZ232" s="176" t="n"/>
      <c r="BA232" s="176" t="n"/>
      <c r="BB232" s="176" t="n"/>
      <c r="BC232" s="176" t="n"/>
      <c r="BD232" s="176" t="n"/>
      <c r="BE232" s="176" t="n"/>
      <c r="BF232" s="176" t="n"/>
      <c r="BG232" s="176" t="n"/>
      <c r="BH232" s="176" t="n"/>
      <c r="BI232" s="176" t="n"/>
      <c r="BJ232" s="176" t="n"/>
      <c r="BK232" s="176" t="n"/>
      <c r="BL232" s="176" t="n"/>
      <c r="BM232" s="176" t="n"/>
      <c r="BN232" s="176" t="n"/>
      <c r="BO232" s="176" t="n"/>
      <c r="BP232" s="176" t="n"/>
      <c r="BQ232" s="176" t="n"/>
      <c r="BR232" s="176" t="n"/>
    </row>
    <row r="233" ht="15" customHeight="1" s="392">
      <c r="A233" s="176" t="n"/>
      <c r="B233" s="203" t="n"/>
      <c r="C233" s="204" t="n"/>
      <c r="D233" s="204" t="n"/>
      <c r="E233" s="204" t="n"/>
      <c r="F233" s="204" t="n"/>
      <c r="G233" s="204" t="n"/>
      <c r="H233" s="204" t="n"/>
      <c r="I233" s="204" t="n"/>
      <c r="J233" s="204" t="n"/>
      <c r="K233" s="204" t="n"/>
      <c r="L233" s="204" t="n"/>
      <c r="M233" s="204" t="n"/>
      <c r="N233" s="204" t="n"/>
      <c r="O233" s="204" t="n"/>
      <c r="P233" s="204" t="n"/>
      <c r="Q233" s="204" t="n"/>
      <c r="R233" s="204" t="n"/>
      <c r="S233" s="204" t="n"/>
      <c r="T233" s="204" t="n"/>
      <c r="U233" s="204" t="n"/>
      <c r="V233" s="204" t="n"/>
      <c r="W233" s="204" t="n"/>
      <c r="X233" s="204" t="n"/>
      <c r="Y233" s="204" t="n"/>
      <c r="Z233" s="204" t="n"/>
      <c r="AA233" s="204" t="n"/>
      <c r="AB233" s="204" t="n"/>
      <c r="AC233" s="204" t="n"/>
      <c r="AD233" s="204" t="n"/>
      <c r="AE233" s="204" t="n"/>
      <c r="AF233" s="204" t="n"/>
      <c r="AG233" s="204" t="n"/>
      <c r="AH233" s="204" t="n"/>
      <c r="AI233" s="204" t="n"/>
      <c r="AJ233" s="204" t="n"/>
      <c r="AK233" s="204" t="n"/>
      <c r="AL233" s="204" t="n"/>
      <c r="AM233" s="204" t="n"/>
      <c r="AN233" s="204" t="n"/>
      <c r="AO233" s="204" t="n"/>
      <c r="AP233" s="204" t="n"/>
      <c r="AQ233" s="204" t="n"/>
      <c r="AR233" s="204" t="n"/>
      <c r="AS233" s="204" t="n"/>
      <c r="AT233" s="205" t="n"/>
      <c r="AU233" s="176" t="n"/>
      <c r="AV233" s="176" t="n"/>
      <c r="AW233" s="176" t="n"/>
      <c r="AX233" s="176" t="n"/>
      <c r="AY233" s="176" t="n"/>
      <c r="AZ233" s="176" t="n"/>
      <c r="BA233" s="176" t="n"/>
      <c r="BB233" s="176" t="n"/>
      <c r="BC233" s="176" t="n"/>
      <c r="BD233" s="176" t="n"/>
      <c r="BE233" s="176" t="n"/>
      <c r="BF233" s="176" t="n"/>
      <c r="BG233" s="176" t="n"/>
      <c r="BH233" s="176" t="n"/>
      <c r="BI233" s="176" t="n"/>
      <c r="BJ233" s="176" t="n"/>
      <c r="BK233" s="176" t="n"/>
      <c r="BL233" s="176" t="n"/>
      <c r="BM233" s="176" t="n"/>
      <c r="BN233" s="176" t="n"/>
      <c r="BO233" s="176" t="n"/>
      <c r="BP233" s="176" t="n"/>
      <c r="BQ233" s="176" t="n"/>
      <c r="BR233" s="176" t="n"/>
    </row>
    <row r="234" ht="15" customHeight="1" s="392">
      <c r="A234" s="176" t="n"/>
      <c r="B234" s="176" t="n"/>
      <c r="C234" s="176" t="n"/>
      <c r="D234" s="176" t="n"/>
      <c r="E234" s="176" t="n"/>
      <c r="F234" s="176" t="n"/>
      <c r="G234" s="176" t="n"/>
      <c r="H234" s="176" t="n"/>
      <c r="I234" s="176" t="n"/>
      <c r="J234" s="176" t="n"/>
      <c r="K234" s="176" t="n"/>
      <c r="L234" s="176" t="n"/>
      <c r="M234" s="176" t="n"/>
      <c r="N234" s="176" t="n"/>
      <c r="O234" s="176" t="n"/>
      <c r="P234" s="176" t="n"/>
      <c r="Q234" s="176" t="n"/>
      <c r="R234" s="176" t="n"/>
      <c r="S234" s="176" t="n"/>
      <c r="T234" s="176" t="n"/>
      <c r="U234" s="176" t="n"/>
      <c r="V234" s="176" t="n"/>
      <c r="W234" s="176" t="n"/>
      <c r="X234" s="176" t="n"/>
      <c r="Y234" s="176" t="n"/>
      <c r="Z234" s="176" t="n"/>
      <c r="AA234" s="176" t="n"/>
      <c r="AB234" s="176" t="n"/>
      <c r="AC234" s="176" t="n"/>
      <c r="AD234" s="176" t="n"/>
      <c r="AE234" s="176" t="n"/>
      <c r="AF234" s="176" t="n"/>
      <c r="AG234" s="176" t="n"/>
      <c r="AH234" s="176" t="n"/>
      <c r="AI234" s="176" t="n"/>
      <c r="AJ234" s="176" t="n"/>
      <c r="AK234" s="176" t="n"/>
      <c r="AL234" s="176" t="n"/>
      <c r="AM234" s="176" t="n"/>
      <c r="AN234" s="176" t="n"/>
      <c r="AO234" s="176" t="n"/>
      <c r="AP234" s="176" t="n"/>
      <c r="AQ234" s="176" t="n"/>
      <c r="AR234" s="176" t="n"/>
      <c r="AS234" s="176" t="n"/>
      <c r="AT234" s="176" t="n"/>
      <c r="AU234" s="176" t="n"/>
      <c r="AV234" s="176" t="n"/>
      <c r="AW234" s="176" t="n"/>
      <c r="AX234" s="176" t="n"/>
      <c r="AY234" s="176" t="n"/>
      <c r="AZ234" s="176" t="n"/>
      <c r="BA234" s="176" t="n"/>
      <c r="BB234" s="176" t="n"/>
      <c r="BC234" s="176" t="n"/>
      <c r="BD234" s="176" t="n"/>
      <c r="BE234" s="176" t="n"/>
      <c r="BF234" s="176" t="n"/>
      <c r="BG234" s="176" t="n"/>
      <c r="BH234" s="176" t="n"/>
      <c r="BI234" s="176" t="n"/>
      <c r="BJ234" s="176" t="n"/>
      <c r="BK234" s="176" t="n"/>
      <c r="BL234" s="176" t="n"/>
      <c r="BM234" s="176" t="n"/>
      <c r="BN234" s="176" t="n"/>
      <c r="BO234" s="176" t="n"/>
      <c r="BP234" s="176" t="n"/>
      <c r="BQ234" s="176" t="n"/>
      <c r="BR234" s="176" t="n"/>
    </row>
  </sheetData>
  <pageMargins left="0.75" right="0.75" top="1" bottom="1" header="0.511811023622047" footer="0.511811023622047"/>
  <pageSetup orientation="portrait" paperSize="9" horizontalDpi="300" verticalDpi="300"/>
</worksheet>
</file>

<file path=xl/worksheets/sheet37.xml><?xml version="1.0" encoding="utf-8"?>
<worksheet xmlns="http://schemas.openxmlformats.org/spreadsheetml/2006/main">
  <sheetPr>
    <tabColor rgb="FFBFBFBF"/>
    <outlinePr summaryBelow="1" summaryRight="1"/>
    <pageSetUpPr/>
  </sheetPr>
  <dimension ref="A1:BR144"/>
  <sheetViews>
    <sheetView showGridLines="0" zoomScaleNormal="100" workbookViewId="0">
      <pane xSplit="3" ySplit="10" topLeftCell="D11" activePane="bottomRight" state="frozen"/>
      <selection pane="topRight" activeCell="D1" sqref="D1"/>
      <selection pane="bottomLeft" activeCell="A11" sqref="A11"/>
      <selection pane="bottomRight" activeCell="A1" sqref="A1"/>
    </sheetView>
  </sheetViews>
  <sheetFormatPr baseColWidth="10" defaultColWidth="8.6640625" defaultRowHeight="15"/>
  <cols>
    <col width="1.1640625" customWidth="1" style="392" min="1" max="1"/>
    <col width="1.83203125" customWidth="1" style="392" min="2" max="2"/>
    <col width="50.6640625" customWidth="1" style="392" min="3" max="3"/>
    <col width="14.6640625" customWidth="1" style="392" min="4" max="4"/>
    <col width="1.83203125" customWidth="1" style="392" min="12" max="12"/>
    <col width="14.6640625" customWidth="1" style="392" min="13" max="13"/>
    <col width="1.83203125" customWidth="1" style="392" min="46" max="46"/>
  </cols>
  <sheetData>
    <row r="1" ht="6" customHeight="1" s="392">
      <c r="A1" s="176" t="n"/>
      <c r="B1" s="176" t="n"/>
      <c r="C1" s="176" t="n"/>
      <c r="D1" s="176" t="n"/>
      <c r="E1" s="176" t="n"/>
      <c r="F1" s="176" t="n"/>
      <c r="G1" s="176" t="n"/>
      <c r="H1" s="176" t="n"/>
      <c r="I1" s="176" t="n"/>
      <c r="J1" s="176" t="n"/>
      <c r="K1" s="176" t="n"/>
      <c r="L1" s="176" t="n"/>
      <c r="M1" s="176" t="n"/>
      <c r="N1" s="176" t="n"/>
      <c r="O1" s="176" t="n"/>
      <c r="P1" s="176" t="n"/>
      <c r="Q1" s="176" t="n"/>
      <c r="R1" s="176" t="n"/>
      <c r="S1" s="176" t="n"/>
      <c r="T1" s="176" t="n"/>
      <c r="U1" s="176" t="n"/>
      <c r="V1" s="176" t="n"/>
      <c r="W1" s="176" t="n"/>
      <c r="X1" s="176" t="n"/>
      <c r="Y1" s="176" t="n"/>
      <c r="Z1" s="176" t="n"/>
      <c r="AA1" s="176" t="n"/>
      <c r="AB1" s="176" t="n"/>
      <c r="AC1" s="176" t="n"/>
      <c r="AD1" s="176" t="n"/>
      <c r="AE1" s="176" t="n"/>
      <c r="AF1" s="176" t="n"/>
      <c r="AG1" s="176" t="n"/>
      <c r="AH1" s="176" t="n"/>
      <c r="AI1" s="176" t="n"/>
      <c r="AJ1" s="176" t="n"/>
      <c r="AK1" s="176" t="n"/>
      <c r="AL1" s="176" t="n"/>
      <c r="AM1" s="176" t="n"/>
      <c r="AN1" s="176" t="n"/>
      <c r="AO1" s="176" t="n"/>
      <c r="AP1" s="176" t="n"/>
      <c r="AQ1" s="176" t="n"/>
      <c r="AR1" s="176" t="n"/>
      <c r="AS1" s="176" t="n"/>
      <c r="AT1" s="176" t="n"/>
      <c r="AU1" s="176" t="n"/>
      <c r="AV1" s="176" t="n"/>
      <c r="AW1" s="176" t="n"/>
      <c r="AX1" s="176" t="n"/>
      <c r="AY1" s="176" t="n"/>
      <c r="AZ1" s="176" t="n"/>
      <c r="BA1" s="176" t="n"/>
      <c r="BB1" s="176" t="n"/>
      <c r="BC1" s="176" t="n"/>
      <c r="BD1" s="176" t="n"/>
      <c r="BE1" s="176" t="n"/>
      <c r="BF1" s="176" t="n"/>
      <c r="BG1" s="176" t="n"/>
      <c r="BH1" s="176" t="n"/>
      <c r="BI1" s="176" t="n"/>
      <c r="BJ1" s="176" t="n"/>
      <c r="BK1" s="176" t="n"/>
      <c r="BL1" s="176" t="n"/>
      <c r="BM1" s="176" t="n"/>
      <c r="BN1" s="176" t="n"/>
      <c r="BO1" s="176" t="n"/>
      <c r="BP1" s="176" t="n"/>
      <c r="BQ1" s="176" t="n"/>
      <c r="BR1" s="176" t="n"/>
    </row>
    <row r="2" ht="39.75" customHeight="1" s="392">
      <c r="A2" s="176" t="n"/>
      <c r="B2" s="177" t="n"/>
      <c r="C2" s="178" t="n"/>
      <c r="D2" s="178" t="n"/>
      <c r="E2" s="178" t="n"/>
      <c r="F2" s="178" t="n"/>
      <c r="G2" s="178" t="n"/>
      <c r="H2" s="178" t="n"/>
      <c r="I2" s="178" t="n"/>
      <c r="J2" s="178" t="n"/>
      <c r="K2" s="178" t="n"/>
      <c r="L2" s="178" t="n"/>
      <c r="M2" s="178" t="n"/>
      <c r="N2" s="178" t="n"/>
      <c r="O2" s="178" t="n"/>
      <c r="P2" s="178" t="n"/>
      <c r="Q2" s="178" t="n"/>
      <c r="R2" s="178" t="n"/>
      <c r="S2" s="178" t="n"/>
      <c r="T2" s="178" t="n"/>
      <c r="U2" s="178" t="n"/>
      <c r="V2" s="178" t="n"/>
      <c r="W2" s="178" t="n"/>
      <c r="X2" s="178" t="n"/>
      <c r="Y2" s="178" t="n"/>
      <c r="Z2" s="178" t="n"/>
      <c r="AA2" s="178" t="n"/>
      <c r="AB2" s="178" t="n"/>
      <c r="AC2" s="178" t="n"/>
      <c r="AD2" s="178" t="n"/>
      <c r="AE2" s="178" t="n"/>
      <c r="AF2" s="178" t="n"/>
      <c r="AG2" s="178" t="n"/>
      <c r="AH2" s="178" t="n"/>
      <c r="AI2" s="178" t="n"/>
      <c r="AJ2" s="178" t="n"/>
      <c r="AK2" s="178" t="n"/>
      <c r="AL2" s="178" t="n"/>
      <c r="AM2" s="178" t="n"/>
      <c r="AN2" s="178" t="n"/>
      <c r="AO2" s="178" t="n"/>
      <c r="AP2" s="178" t="n"/>
      <c r="AQ2" s="178" t="n"/>
      <c r="AR2" s="178" t="n"/>
      <c r="AS2" s="178" t="n"/>
      <c r="AT2" s="179" t="n"/>
      <c r="AU2" s="176" t="n"/>
      <c r="AV2" s="176" t="n"/>
      <c r="AW2" s="176" t="n"/>
      <c r="AX2" s="176" t="n"/>
      <c r="AY2" s="176" t="n"/>
      <c r="AZ2" s="176" t="n"/>
      <c r="BA2" s="176" t="n"/>
      <c r="BB2" s="176" t="n"/>
      <c r="BC2" s="176" t="n"/>
      <c r="BD2" s="176" t="n"/>
      <c r="BE2" s="176" t="n"/>
      <c r="BF2" s="176" t="n"/>
      <c r="BG2" s="176" t="n"/>
      <c r="BH2" s="176" t="n"/>
      <c r="BI2" s="176" t="n"/>
      <c r="BJ2" s="176" t="n"/>
      <c r="BK2" s="176" t="n"/>
      <c r="BL2" s="176" t="n"/>
      <c r="BM2" s="176" t="n"/>
      <c r="BN2" s="176" t="n"/>
      <c r="BO2" s="176" t="n"/>
      <c r="BP2" s="176" t="n"/>
      <c r="BQ2" s="176" t="n"/>
      <c r="BR2" s="176" t="n"/>
    </row>
    <row r="3" ht="19.5" customHeight="1" s="392">
      <c r="A3" s="176" t="n"/>
      <c r="B3" s="180" t="n"/>
      <c r="C3" s="181" t="inlineStr">
        <is>
          <t>Cash Flow (Fiscal Year)</t>
        </is>
      </c>
      <c r="AT3" s="182" t="n"/>
      <c r="AU3" s="176" t="n"/>
      <c r="AV3" s="176" t="n"/>
      <c r="AW3" s="176" t="n"/>
      <c r="AX3" s="176" t="n"/>
      <c r="AY3" s="176" t="n"/>
      <c r="AZ3" s="176" t="n"/>
      <c r="BA3" s="176" t="n"/>
      <c r="BB3" s="176" t="n"/>
      <c r="BC3" s="176" t="n"/>
      <c r="BD3" s="176" t="n"/>
      <c r="BE3" s="176" t="n"/>
      <c r="BF3" s="176" t="n"/>
      <c r="BG3" s="176" t="n"/>
      <c r="BH3" s="176" t="n"/>
      <c r="BI3" s="176" t="n"/>
      <c r="BJ3" s="176" t="n"/>
      <c r="BK3" s="176" t="n"/>
      <c r="BL3" s="176" t="n"/>
      <c r="BM3" s="176" t="n"/>
      <c r="BN3" s="176" t="n"/>
      <c r="BO3" s="176" t="n"/>
      <c r="BP3" s="176" t="n"/>
      <c r="BQ3" s="176" t="n"/>
      <c r="BR3" s="176" t="n"/>
    </row>
    <row r="4" ht="22.5" customHeight="1" s="392">
      <c r="A4" s="176" t="n"/>
      <c r="B4" s="180" t="n"/>
      <c r="C4" s="183" t="inlineStr">
        <is>
          <t>Downloaded on: 27-Sep-2026</t>
        </is>
      </c>
      <c r="D4" s="184" t="inlineStr">
        <is>
          <t>Summary Stats</t>
        </is>
      </c>
      <c r="E4" s="185" t="n"/>
      <c r="F4" s="185" t="n"/>
      <c r="G4" s="185" t="n"/>
      <c r="H4" s="185" t="n"/>
      <c r="I4" s="185" t="n"/>
      <c r="J4" s="185" t="n"/>
      <c r="K4" s="185" t="n"/>
      <c r="AT4" s="182" t="n"/>
      <c r="AU4" s="176" t="n"/>
      <c r="AV4" s="176" t="n"/>
      <c r="AW4" s="176" t="n"/>
      <c r="AX4" s="176" t="n"/>
      <c r="AY4" s="176" t="n"/>
      <c r="AZ4" s="176" t="n"/>
      <c r="BA4" s="176" t="n"/>
      <c r="BB4" s="176" t="n"/>
      <c r="BC4" s="176" t="n"/>
      <c r="BD4" s="176" t="n"/>
      <c r="BE4" s="176" t="n"/>
      <c r="BF4" s="176" t="n"/>
      <c r="BG4" s="176" t="n"/>
      <c r="BH4" s="176" t="n"/>
      <c r="BI4" s="176" t="n"/>
      <c r="BJ4" s="176" t="n"/>
      <c r="BK4" s="176" t="n"/>
      <c r="BL4" s="176" t="n"/>
      <c r="BM4" s="176" t="n"/>
      <c r="BN4" s="176" t="n"/>
      <c r="BO4" s="176" t="n"/>
      <c r="BP4" s="176" t="n"/>
      <c r="BQ4" s="176" t="n"/>
      <c r="BR4" s="176" t="n"/>
    </row>
    <row r="5" ht="60" customHeight="1" s="392">
      <c r="A5" s="176" t="n"/>
      <c r="B5" s="180" t="n"/>
      <c r="C5" s="183" t="inlineStr">
        <is>
          <t>Company: Copart (NAS: CPRT)</t>
        </is>
      </c>
      <c r="D5" s="186" t="inlineStr">
        <is>
          <t>Median</t>
        </is>
      </c>
      <c r="E5" s="186" t="inlineStr">
        <is>
          <t>Mean</t>
        </is>
      </c>
      <c r="F5" s="186" t="inlineStr">
        <is>
          <t>Min</t>
        </is>
      </c>
      <c r="G5" s="186" t="inlineStr">
        <is>
          <t>Max</t>
        </is>
      </c>
      <c r="H5" s="186" t="inlineStr">
        <is>
          <t>25th pctile</t>
        </is>
      </c>
      <c r="I5" s="186" t="inlineStr">
        <is>
          <t>75th pctile</t>
        </is>
      </c>
      <c r="J5" s="186" t="inlineStr">
        <is>
          <t>Std. Dev</t>
        </is>
      </c>
      <c r="K5" s="186" t="inlineStr">
        <is>
          <t>Coefficient of Variation</t>
        </is>
      </c>
      <c r="M5" s="187" t="inlineStr">
        <is>
          <t>FY 2026</t>
        </is>
      </c>
      <c r="N5" s="187" t="inlineStr">
        <is>
          <t>FY 2025</t>
        </is>
      </c>
      <c r="O5" s="187" t="inlineStr">
        <is>
          <t>FY 2024</t>
        </is>
      </c>
      <c r="P5" s="187" t="inlineStr">
        <is>
          <t>FY 2023</t>
        </is>
      </c>
      <c r="Q5" s="187" t="inlineStr">
        <is>
          <t>FY 2022</t>
        </is>
      </c>
      <c r="R5" s="187" t="inlineStr">
        <is>
          <t>FY 2021</t>
        </is>
      </c>
      <c r="S5" s="187" t="inlineStr">
        <is>
          <t>FY 2020</t>
        </is>
      </c>
      <c r="T5" s="187" t="inlineStr">
        <is>
          <t>FY 2019</t>
        </is>
      </c>
      <c r="U5" s="187" t="inlineStr">
        <is>
          <t>FY 2018</t>
        </is>
      </c>
      <c r="V5" s="187" t="inlineStr">
        <is>
          <t>FY 2017</t>
        </is>
      </c>
      <c r="W5" s="187" t="inlineStr">
        <is>
          <t>FY 2016</t>
        </is>
      </c>
      <c r="X5" s="187" t="inlineStr">
        <is>
          <t>FY 2015</t>
        </is>
      </c>
      <c r="Y5" s="187" t="inlineStr">
        <is>
          <t>FY 2014</t>
        </is>
      </c>
      <c r="Z5" s="187" t="inlineStr">
        <is>
          <t>FY 2013</t>
        </is>
      </c>
      <c r="AA5" s="187" t="inlineStr">
        <is>
          <t>FY 2012</t>
        </is>
      </c>
      <c r="AB5" s="187" t="inlineStr">
        <is>
          <t>FY 2011</t>
        </is>
      </c>
      <c r="AC5" s="187" t="inlineStr">
        <is>
          <t>FY 2010</t>
        </is>
      </c>
      <c r="AD5" s="187" t="inlineStr">
        <is>
          <t>FY 2009</t>
        </is>
      </c>
      <c r="AE5" s="187" t="inlineStr">
        <is>
          <t>FY 2008</t>
        </is>
      </c>
      <c r="AF5" s="187" t="inlineStr">
        <is>
          <t>FY 2007</t>
        </is>
      </c>
      <c r="AG5" s="187" t="inlineStr">
        <is>
          <t>FY 2006</t>
        </is>
      </c>
      <c r="AH5" s="187" t="inlineStr">
        <is>
          <t>FY 2005</t>
        </is>
      </c>
      <c r="AI5" s="187" t="inlineStr">
        <is>
          <t>FY 2004</t>
        </is>
      </c>
      <c r="AJ5" s="187" t="inlineStr">
        <is>
          <t>FY 2003</t>
        </is>
      </c>
      <c r="AK5" s="187" t="inlineStr">
        <is>
          <t>FY 2002</t>
        </is>
      </c>
      <c r="AL5" s="187" t="inlineStr">
        <is>
          <t>FY 2001</t>
        </is>
      </c>
      <c r="AM5" s="187" t="inlineStr">
        <is>
          <t>FY 2000</t>
        </is>
      </c>
      <c r="AN5" s="187" t="inlineStr">
        <is>
          <t>FY 1999</t>
        </is>
      </c>
      <c r="AO5" s="187" t="inlineStr">
        <is>
          <t>FY 1998</t>
        </is>
      </c>
      <c r="AP5" s="187" t="inlineStr">
        <is>
          <t>FY 1997</t>
        </is>
      </c>
      <c r="AQ5" s="187" t="inlineStr">
        <is>
          <t>FY 1996</t>
        </is>
      </c>
      <c r="AR5" s="187" t="inlineStr">
        <is>
          <t>FY 1995</t>
        </is>
      </c>
      <c r="AS5" s="187" t="inlineStr">
        <is>
          <t>FY 1994</t>
        </is>
      </c>
      <c r="AT5" s="182" t="n"/>
      <c r="AU5" s="176" t="n"/>
      <c r="AV5" s="176" t="n"/>
      <c r="AW5" s="176" t="n"/>
      <c r="AX5" s="176" t="n"/>
      <c r="AY5" s="176" t="n"/>
      <c r="AZ5" s="176" t="n"/>
      <c r="BA5" s="176" t="n"/>
      <c r="BB5" s="176" t="n"/>
      <c r="BC5" s="176" t="n"/>
      <c r="BD5" s="176" t="n"/>
      <c r="BE5" s="176" t="n"/>
      <c r="BF5" s="176" t="n"/>
      <c r="BG5" s="176" t="n"/>
      <c r="BH5" s="176" t="n"/>
      <c r="BI5" s="176" t="n"/>
      <c r="BJ5" s="176" t="n"/>
      <c r="BK5" s="176" t="n"/>
      <c r="BL5" s="176" t="n"/>
      <c r="BM5" s="176" t="n"/>
      <c r="BN5" s="176" t="n"/>
      <c r="BO5" s="176" t="n"/>
      <c r="BP5" s="176" t="n"/>
      <c r="BQ5" s="176" t="n"/>
      <c r="BR5" s="176" t="n"/>
    </row>
    <row r="6" ht="15" customHeight="1" s="392">
      <c r="A6" s="176" t="n"/>
      <c r="B6" s="180" t="n"/>
      <c r="D6" s="185" t="n"/>
      <c r="E6" s="185" t="n"/>
      <c r="F6" s="185" t="n"/>
      <c r="G6" s="185" t="n"/>
      <c r="H6" s="185" t="n"/>
      <c r="I6" s="185" t="n"/>
      <c r="J6" s="185" t="n"/>
      <c r="K6" s="185" t="n"/>
      <c r="M6" s="183" t="inlineStr">
        <is>
          <t>End: 31-Jul-2026</t>
        </is>
      </c>
      <c r="N6" s="183" t="inlineStr">
        <is>
          <t>End: 31-Jul-2025</t>
        </is>
      </c>
      <c r="O6" s="183" t="inlineStr">
        <is>
          <t>End: 31-Jul-2024</t>
        </is>
      </c>
      <c r="P6" s="183" t="inlineStr">
        <is>
          <t>End: 31-Jul-2023</t>
        </is>
      </c>
      <c r="Q6" s="183" t="inlineStr">
        <is>
          <t>End: 31-Jul-2022</t>
        </is>
      </c>
      <c r="R6" s="183" t="inlineStr">
        <is>
          <t>End: 31-Jul-2021</t>
        </is>
      </c>
      <c r="S6" s="183" t="inlineStr">
        <is>
          <t>End: 31-Jul-2020</t>
        </is>
      </c>
      <c r="T6" s="183" t="inlineStr">
        <is>
          <t>End: 31-Jul-2019</t>
        </is>
      </c>
      <c r="U6" s="183" t="inlineStr">
        <is>
          <t>End: 31-Jul-2018</t>
        </is>
      </c>
      <c r="V6" s="183" t="inlineStr">
        <is>
          <t>End: 31-Jul-2017</t>
        </is>
      </c>
      <c r="W6" s="183" t="inlineStr">
        <is>
          <t>End: 31-Jul-2016</t>
        </is>
      </c>
      <c r="X6" s="183" t="inlineStr">
        <is>
          <t>End: 31-Jul-2015</t>
        </is>
      </c>
      <c r="Y6" s="183" t="inlineStr">
        <is>
          <t>End: 31-Jul-2014</t>
        </is>
      </c>
      <c r="Z6" s="183" t="inlineStr">
        <is>
          <t>End: 31-Jul-2013</t>
        </is>
      </c>
      <c r="AA6" s="183" t="inlineStr">
        <is>
          <t>End: 31-Jul-2012</t>
        </is>
      </c>
      <c r="AB6" s="183" t="inlineStr">
        <is>
          <t>End: 31-Jul-2011</t>
        </is>
      </c>
      <c r="AC6" s="183" t="inlineStr">
        <is>
          <t>End: 31-Jul-2010</t>
        </is>
      </c>
      <c r="AD6" s="183" t="inlineStr">
        <is>
          <t>End: 31-Jul-2009</t>
        </is>
      </c>
      <c r="AE6" s="183" t="inlineStr">
        <is>
          <t>End: 31-Jul-2008</t>
        </is>
      </c>
      <c r="AF6" s="183" t="inlineStr">
        <is>
          <t>End: 31-Jul-2007</t>
        </is>
      </c>
      <c r="AG6" s="183" t="inlineStr">
        <is>
          <t>End: 31-Jul-2006</t>
        </is>
      </c>
      <c r="AH6" s="183" t="inlineStr">
        <is>
          <t>End: 31-Jul-2005</t>
        </is>
      </c>
      <c r="AI6" s="183" t="inlineStr">
        <is>
          <t>End: 31-Jul-2004</t>
        </is>
      </c>
      <c r="AJ6" s="183" t="inlineStr">
        <is>
          <t>End: 31-Jul-2003</t>
        </is>
      </c>
      <c r="AK6" s="183" t="inlineStr">
        <is>
          <t>End: 31-Jul-2002</t>
        </is>
      </c>
      <c r="AL6" s="183" t="inlineStr">
        <is>
          <t>End: 31-Jul-2001</t>
        </is>
      </c>
      <c r="AM6" s="183" t="inlineStr">
        <is>
          <t>End: 31-Jul-2000</t>
        </is>
      </c>
      <c r="AN6" s="183" t="inlineStr">
        <is>
          <t>End: 31-Jul-1999</t>
        </is>
      </c>
      <c r="AO6" s="183" t="inlineStr">
        <is>
          <t>End: 31-Jul-1998</t>
        </is>
      </c>
      <c r="AP6" s="183" t="inlineStr">
        <is>
          <t>End: 31-Jul-1997</t>
        </is>
      </c>
      <c r="AQ6" s="183" t="inlineStr">
        <is>
          <t>End: 31-Jul-1996</t>
        </is>
      </c>
      <c r="AR6" s="183" t="inlineStr">
        <is>
          <t>End: 31-Jul-1995</t>
        </is>
      </c>
      <c r="AS6" s="183" t="inlineStr">
        <is>
          <t>End: 31-Jul-1994</t>
        </is>
      </c>
      <c r="AT6" s="182" t="n"/>
      <c r="AU6" s="176" t="n"/>
      <c r="AV6" s="176" t="n"/>
      <c r="AW6" s="176" t="n"/>
      <c r="AX6" s="176" t="n"/>
      <c r="AY6" s="176" t="n"/>
      <c r="AZ6" s="176" t="n"/>
      <c r="BA6" s="176" t="n"/>
      <c r="BB6" s="176" t="n"/>
      <c r="BC6" s="176" t="n"/>
      <c r="BD6" s="176" t="n"/>
      <c r="BE6" s="176" t="n"/>
      <c r="BF6" s="176" t="n"/>
      <c r="BG6" s="176" t="n"/>
      <c r="BH6" s="176" t="n"/>
      <c r="BI6" s="176" t="n"/>
      <c r="BJ6" s="176" t="n"/>
      <c r="BK6" s="176" t="n"/>
      <c r="BL6" s="176" t="n"/>
      <c r="BM6" s="176" t="n"/>
      <c r="BN6" s="176" t="n"/>
      <c r="BO6" s="176" t="n"/>
      <c r="BP6" s="176" t="n"/>
      <c r="BQ6" s="176" t="n"/>
      <c r="BR6" s="176" t="n"/>
    </row>
    <row r="7" ht="15" customHeight="1" s="392">
      <c r="A7" s="176" t="n"/>
      <c r="B7" s="180" t="n"/>
      <c r="C7" s="183" t="inlineStr">
        <is>
          <t>Amount in thousands  (USD) (except Ratios, Multiples &amp; per share items)</t>
        </is>
      </c>
      <c r="D7" s="185" t="n"/>
      <c r="E7" s="185" t="n"/>
      <c r="F7" s="185" t="n"/>
      <c r="G7" s="185" t="n"/>
      <c r="H7" s="185" t="n"/>
      <c r="I7" s="185" t="n"/>
      <c r="J7" s="185" t="n"/>
      <c r="K7" s="185" t="n"/>
      <c r="M7" s="183" t="inlineStr">
        <is>
          <t>Filed: 10-Sep-2026</t>
        </is>
      </c>
      <c r="N7" s="183" t="inlineStr">
        <is>
          <t>Filed: 26-Sep-2025</t>
        </is>
      </c>
      <c r="O7" s="183" t="inlineStr">
        <is>
          <t>Filed: 26-Sep-2025</t>
        </is>
      </c>
      <c r="P7" s="183" t="inlineStr">
        <is>
          <t>Filed: 26-Sep-2025</t>
        </is>
      </c>
      <c r="Q7" s="183" t="inlineStr">
        <is>
          <t>Filed: 30-Sep-2024</t>
        </is>
      </c>
      <c r="R7" s="183" t="inlineStr">
        <is>
          <t>Filed: 27-Sep-2022</t>
        </is>
      </c>
      <c r="S7" s="183" t="inlineStr">
        <is>
          <t>Filed: 27-Sep-2022</t>
        </is>
      </c>
      <c r="T7" s="183" t="inlineStr">
        <is>
          <t>Filed: 27-Sep-2021</t>
        </is>
      </c>
      <c r="U7" s="183" t="inlineStr">
        <is>
          <t>Filed: 28-Sep-2020</t>
        </is>
      </c>
      <c r="V7" s="183" t="inlineStr">
        <is>
          <t>Filed: 30-Sep-2019</t>
        </is>
      </c>
      <c r="W7" s="183" t="inlineStr">
        <is>
          <t>Filed: 01-Oct-2018</t>
        </is>
      </c>
      <c r="X7" s="183" t="inlineStr">
        <is>
          <t>Filed: 28-Sep-2017</t>
        </is>
      </c>
      <c r="Y7" s="183" t="inlineStr">
        <is>
          <t>Filed: 28-Sep-2016</t>
        </is>
      </c>
      <c r="Z7" s="183" t="inlineStr">
        <is>
          <t>Filed: 25-Sep-2015</t>
        </is>
      </c>
      <c r="AA7" s="183" t="inlineStr">
        <is>
          <t>Filed: 31-Jul-2012</t>
        </is>
      </c>
      <c r="AB7" s="183" t="inlineStr">
        <is>
          <t>Filed: 31-Jul-2011</t>
        </is>
      </c>
      <c r="AC7" s="183" t="inlineStr">
        <is>
          <t>Filed: 31-Jul-2010</t>
        </is>
      </c>
      <c r="AD7" s="183" t="inlineStr">
        <is>
          <t>Filed: 31-Jul-2009</t>
        </is>
      </c>
      <c r="AE7" s="183" t="inlineStr">
        <is>
          <t>Filed: 31-Jul-2008</t>
        </is>
      </c>
      <c r="AF7" s="183" t="inlineStr">
        <is>
          <t>Filed: 31-Jul-2007</t>
        </is>
      </c>
      <c r="AG7" s="183" t="inlineStr">
        <is>
          <t>Filed: 31-Jul-2006</t>
        </is>
      </c>
      <c r="AH7" s="183" t="inlineStr">
        <is>
          <t>Filed: 31-Jul-2005</t>
        </is>
      </c>
      <c r="AI7" s="183" t="inlineStr">
        <is>
          <t>Filed: 31-Jul-2004</t>
        </is>
      </c>
      <c r="AJ7" s="183" t="inlineStr">
        <is>
          <t>Filed: 31-Jul-2003</t>
        </is>
      </c>
      <c r="AK7" s="183" t="inlineStr">
        <is>
          <t>Filed: 31-Jul-2002</t>
        </is>
      </c>
      <c r="AL7" s="183" t="inlineStr">
        <is>
          <t>Filed: 31-Jul-2001</t>
        </is>
      </c>
      <c r="AM7" s="183" t="inlineStr">
        <is>
          <t>Filed: 31-Jul-2000</t>
        </is>
      </c>
      <c r="AN7" s="183" t="inlineStr">
        <is>
          <t>Filed: 31-Jul-1999</t>
        </is>
      </c>
      <c r="AO7" s="183" t="inlineStr">
        <is>
          <t>Filed: 31-Jul-1998</t>
        </is>
      </c>
      <c r="AP7" s="183" t="inlineStr">
        <is>
          <t>Filed: 31-Jul-1997</t>
        </is>
      </c>
      <c r="AQ7" s="183" t="inlineStr">
        <is>
          <t>Filed: 31-Jul-1996</t>
        </is>
      </c>
      <c r="AR7" s="183" t="inlineStr">
        <is>
          <t>Filed: 31-Jul-1995</t>
        </is>
      </c>
      <c r="AS7" s="183" t="inlineStr">
        <is>
          <t>Filed: 31-Jul-1994</t>
        </is>
      </c>
      <c r="AT7" s="182" t="n"/>
      <c r="AU7" s="176" t="n"/>
      <c r="AV7" s="176" t="n"/>
      <c r="AW7" s="176" t="n"/>
      <c r="AX7" s="176" t="n"/>
      <c r="AY7" s="176" t="n"/>
      <c r="AZ7" s="176" t="n"/>
      <c r="BA7" s="176" t="n"/>
      <c r="BB7" s="176" t="n"/>
      <c r="BC7" s="176" t="n"/>
      <c r="BD7" s="176" t="n"/>
      <c r="BE7" s="176" t="n"/>
      <c r="BF7" s="176" t="n"/>
      <c r="BG7" s="176" t="n"/>
      <c r="BH7" s="176" t="n"/>
      <c r="BI7" s="176" t="n"/>
      <c r="BJ7" s="176" t="n"/>
      <c r="BK7" s="176" t="n"/>
      <c r="BL7" s="176" t="n"/>
      <c r="BM7" s="176" t="n"/>
      <c r="BN7" s="176" t="n"/>
      <c r="BO7" s="176" t="n"/>
      <c r="BP7" s="176" t="n"/>
      <c r="BQ7" s="176" t="n"/>
      <c r="BR7" s="176" t="n"/>
    </row>
    <row r="8" ht="15" customHeight="1" s="392">
      <c r="A8" s="176" t="n"/>
      <c r="B8" s="180" t="n"/>
      <c r="D8" s="185" t="n"/>
      <c r="E8" s="185" t="n"/>
      <c r="F8" s="185" t="n"/>
      <c r="G8" s="185" t="n"/>
      <c r="H8" s="185" t="n"/>
      <c r="I8" s="185" t="n"/>
      <c r="J8" s="185" t="n"/>
      <c r="K8" s="185" t="n"/>
      <c r="M8" s="188" t="inlineStr">
        <is>
          <t>View 8-KP</t>
        </is>
      </c>
      <c r="N8" s="188" t="inlineStr">
        <is>
          <t>View 10-K</t>
        </is>
      </c>
      <c r="O8" s="188" t="inlineStr">
        <is>
          <t>View 10-K</t>
        </is>
      </c>
      <c r="P8" s="188" t="inlineStr">
        <is>
          <t>View 10-K</t>
        </is>
      </c>
      <c r="Q8" s="188" t="inlineStr">
        <is>
          <t>View 10-K</t>
        </is>
      </c>
      <c r="R8" s="188" t="inlineStr">
        <is>
          <t>View 10-K</t>
        </is>
      </c>
      <c r="S8" s="188" t="inlineStr">
        <is>
          <t>View 10-K</t>
        </is>
      </c>
      <c r="T8" s="188" t="inlineStr">
        <is>
          <t>View 10-K</t>
        </is>
      </c>
      <c r="U8" s="188" t="inlineStr">
        <is>
          <t>View 10-K</t>
        </is>
      </c>
      <c r="V8" s="188" t="inlineStr">
        <is>
          <t>View 10-K</t>
        </is>
      </c>
      <c r="W8" s="188" t="inlineStr">
        <is>
          <t>View 10-K</t>
        </is>
      </c>
      <c r="X8" s="188" t="inlineStr">
        <is>
          <t>View 10-K</t>
        </is>
      </c>
      <c r="Y8" s="188" t="inlineStr">
        <is>
          <t>View 10-K</t>
        </is>
      </c>
      <c r="Z8" s="188" t="inlineStr">
        <is>
          <t>View 10-K</t>
        </is>
      </c>
      <c r="AA8" s="188" t="inlineStr">
        <is>
          <t>View 10-K</t>
        </is>
      </c>
      <c r="AB8" s="188" t="inlineStr">
        <is>
          <t>View 10-K</t>
        </is>
      </c>
      <c r="AC8" s="188" t="inlineStr">
        <is>
          <t>View 10-K</t>
        </is>
      </c>
      <c r="AD8" s="188" t="inlineStr">
        <is>
          <t>View 10-K</t>
        </is>
      </c>
      <c r="AT8" s="182" t="n"/>
      <c r="AU8" s="176" t="n"/>
      <c r="AV8" s="176" t="n"/>
      <c r="AW8" s="176" t="n"/>
      <c r="AX8" s="176" t="n"/>
      <c r="AY8" s="176" t="n"/>
      <c r="AZ8" s="176" t="n"/>
      <c r="BA8" s="176" t="n"/>
      <c r="BB8" s="176" t="n"/>
      <c r="BC8" s="176" t="n"/>
      <c r="BD8" s="176" t="n"/>
      <c r="BE8" s="176" t="n"/>
      <c r="BF8" s="176" t="n"/>
      <c r="BG8" s="176" t="n"/>
      <c r="BH8" s="176" t="n"/>
      <c r="BI8" s="176" t="n"/>
      <c r="BJ8" s="176" t="n"/>
      <c r="BK8" s="176" t="n"/>
      <c r="BL8" s="176" t="n"/>
      <c r="BM8" s="176" t="n"/>
      <c r="BN8" s="176" t="n"/>
      <c r="BO8" s="176" t="n"/>
      <c r="BP8" s="176" t="n"/>
      <c r="BQ8" s="176" t="n"/>
      <c r="BR8" s="176" t="n"/>
    </row>
    <row r="9" ht="15" customHeight="1" s="392">
      <c r="A9" s="176" t="n"/>
      <c r="B9" s="180" t="n"/>
      <c r="D9" s="185" t="n"/>
      <c r="E9" s="185" t="n"/>
      <c r="F9" s="185" t="n"/>
      <c r="G9" s="185" t="n"/>
      <c r="H9" s="185" t="n"/>
      <c r="I9" s="185" t="n"/>
      <c r="J9" s="185" t="n"/>
      <c r="K9" s="185" t="n"/>
      <c r="AT9" s="182" t="n"/>
      <c r="AU9" s="176" t="n"/>
      <c r="AV9" s="176" t="n"/>
      <c r="AW9" s="176" t="n"/>
      <c r="AX9" s="176" t="n"/>
      <c r="AY9" s="176" t="n"/>
      <c r="AZ9" s="176" t="n"/>
      <c r="BA9" s="176" t="n"/>
      <c r="BB9" s="176" t="n"/>
      <c r="BC9" s="176" t="n"/>
      <c r="BD9" s="176" t="n"/>
      <c r="BE9" s="176" t="n"/>
      <c r="BF9" s="176" t="n"/>
      <c r="BG9" s="176" t="n"/>
      <c r="BH9" s="176" t="n"/>
      <c r="BI9" s="176" t="n"/>
      <c r="BJ9" s="176" t="n"/>
      <c r="BK9" s="176" t="n"/>
      <c r="BL9" s="176" t="n"/>
      <c r="BM9" s="176" t="n"/>
      <c r="BN9" s="176" t="n"/>
      <c r="BO9" s="176" t="n"/>
      <c r="BP9" s="176" t="n"/>
      <c r="BQ9" s="176" t="n"/>
      <c r="BR9" s="176" t="n"/>
    </row>
    <row r="10" ht="15" customHeight="1" s="392">
      <c r="A10" s="176" t="n"/>
      <c r="B10" s="180" t="n"/>
      <c r="D10" s="185" t="n"/>
      <c r="E10" s="185" t="n"/>
      <c r="F10" s="185" t="n"/>
      <c r="G10" s="185" t="n"/>
      <c r="H10" s="185" t="n"/>
      <c r="I10" s="185" t="n"/>
      <c r="J10" s="185" t="n"/>
      <c r="K10" s="185" t="n"/>
      <c r="AT10" s="182" t="n"/>
      <c r="AU10" s="176" t="n"/>
      <c r="AV10" s="176" t="n"/>
      <c r="AW10" s="176" t="n"/>
      <c r="AX10" s="176" t="n"/>
      <c r="AY10" s="176" t="n"/>
      <c r="AZ10" s="176" t="n"/>
      <c r="BA10" s="176" t="n"/>
      <c r="BB10" s="176" t="n"/>
      <c r="BC10" s="176" t="n"/>
      <c r="BD10" s="176" t="n"/>
      <c r="BE10" s="176" t="n"/>
      <c r="BF10" s="176" t="n"/>
      <c r="BG10" s="176" t="n"/>
      <c r="BH10" s="176" t="n"/>
      <c r="BI10" s="176" t="n"/>
      <c r="BJ10" s="176" t="n"/>
      <c r="BK10" s="176" t="n"/>
      <c r="BL10" s="176" t="n"/>
      <c r="BM10" s="176" t="n"/>
      <c r="BN10" s="176" t="n"/>
      <c r="BO10" s="176" t="n"/>
      <c r="BP10" s="176" t="n"/>
      <c r="BQ10" s="176" t="n"/>
      <c r="BR10" s="176" t="n"/>
    </row>
    <row r="11" ht="15" customHeight="1" s="392">
      <c r="A11" s="176" t="n"/>
      <c r="B11" s="180" t="n"/>
      <c r="C11" s="189" t="inlineStr">
        <is>
          <t>Cash Flow from Operating Activities, Indirect</t>
        </is>
      </c>
      <c r="D11" s="185" t="n"/>
      <c r="E11" s="185" t="n"/>
      <c r="F11" s="185" t="n"/>
      <c r="G11" s="185" t="n"/>
      <c r="H11" s="185" t="n"/>
      <c r="I11" s="185" t="n"/>
      <c r="J11" s="185" t="n"/>
      <c r="K11" s="185" t="n"/>
      <c r="L11" s="185" t="n"/>
      <c r="M11" s="185" t="n"/>
      <c r="N11" s="185" t="n"/>
      <c r="O11" s="185" t="n"/>
      <c r="P11" s="185" t="n"/>
      <c r="Q11" s="185" t="n"/>
      <c r="R11" s="185" t="n"/>
      <c r="S11" s="185" t="n"/>
      <c r="T11" s="185" t="n"/>
      <c r="U11" s="185" t="n"/>
      <c r="V11" s="185" t="n"/>
      <c r="W11" s="185" t="n"/>
      <c r="X11" s="185" t="n"/>
      <c r="Y11" s="185" t="n"/>
      <c r="Z11" s="185" t="n"/>
      <c r="AA11" s="185" t="n"/>
      <c r="AB11" s="185" t="n"/>
      <c r="AC11" s="185" t="n"/>
      <c r="AD11" s="185" t="n"/>
      <c r="AE11" s="185" t="n"/>
      <c r="AF11" s="185" t="n"/>
      <c r="AG11" s="185" t="n"/>
      <c r="AH11" s="185" t="n"/>
      <c r="AI11" s="185" t="n"/>
      <c r="AJ11" s="185" t="n"/>
      <c r="AK11" s="185" t="n"/>
      <c r="AL11" s="185" t="n"/>
      <c r="AM11" s="185" t="n"/>
      <c r="AN11" s="185" t="n"/>
      <c r="AO11" s="185" t="n"/>
      <c r="AP11" s="185" t="n"/>
      <c r="AQ11" s="185" t="n"/>
      <c r="AR11" s="185" t="n"/>
      <c r="AS11" s="185" t="n"/>
      <c r="AT11" s="182" t="n"/>
      <c r="AU11" s="176" t="n"/>
      <c r="AV11" s="176" t="n"/>
      <c r="AW11" s="176" t="n"/>
      <c r="AX11" s="176" t="n"/>
      <c r="AY11" s="176" t="n"/>
      <c r="AZ11" s="176" t="n"/>
      <c r="BA11" s="176" t="n"/>
      <c r="BB11" s="176" t="n"/>
      <c r="BC11" s="176" t="n"/>
      <c r="BD11" s="176" t="n"/>
      <c r="BE11" s="176" t="n"/>
      <c r="BF11" s="176" t="n"/>
      <c r="BG11" s="176" t="n"/>
      <c r="BH11" s="176" t="n"/>
      <c r="BI11" s="176" t="n"/>
      <c r="BJ11" s="176" t="n"/>
      <c r="BK11" s="176" t="n"/>
      <c r="BL11" s="176" t="n"/>
      <c r="BM11" s="176" t="n"/>
      <c r="BN11" s="176" t="n"/>
      <c r="BO11" s="176" t="n"/>
      <c r="BP11" s="176" t="n"/>
      <c r="BQ11" s="176" t="n"/>
      <c r="BR11" s="176" t="n"/>
    </row>
    <row r="12" ht="15" customHeight="1" s="392">
      <c r="A12" s="176" t="n"/>
      <c r="B12" s="180" t="n"/>
      <c r="C12" s="183" t="inlineStr">
        <is>
          <t xml:space="preserve">    Net Cash Flow from Continuing Operating Activities, Indirect</t>
        </is>
      </c>
      <c r="D12" s="185" t="n"/>
      <c r="E12" s="185" t="n"/>
      <c r="F12" s="185" t="n"/>
      <c r="G12" s="185" t="n"/>
      <c r="H12" s="185" t="n"/>
      <c r="I12" s="185" t="n"/>
      <c r="J12" s="185" t="n"/>
      <c r="K12" s="185" t="n"/>
      <c r="AT12" s="182" t="n"/>
      <c r="AU12" s="176" t="n"/>
      <c r="AV12" s="176" t="n"/>
      <c r="AW12" s="176" t="n"/>
      <c r="AX12" s="176" t="n"/>
      <c r="AY12" s="176" t="n"/>
      <c r="AZ12" s="176" t="n"/>
      <c r="BA12" s="176" t="n"/>
      <c r="BB12" s="176" t="n"/>
      <c r="BC12" s="176" t="n"/>
      <c r="BD12" s="176" t="n"/>
      <c r="BE12" s="176" t="n"/>
      <c r="BF12" s="176" t="n"/>
      <c r="BG12" s="176" t="n"/>
      <c r="BH12" s="176" t="n"/>
      <c r="BI12" s="176" t="n"/>
      <c r="BJ12" s="176" t="n"/>
      <c r="BK12" s="176" t="n"/>
      <c r="BL12" s="176" t="n"/>
      <c r="BM12" s="176" t="n"/>
      <c r="BN12" s="176" t="n"/>
      <c r="BO12" s="176" t="n"/>
      <c r="BP12" s="176" t="n"/>
      <c r="BQ12" s="176" t="n"/>
      <c r="BR12" s="176" t="n"/>
    </row>
    <row r="13" ht="15" customHeight="1" s="392">
      <c r="A13" s="176" t="n"/>
      <c r="B13" s="180" t="n"/>
      <c r="C13" s="183" t="inlineStr">
        <is>
          <t xml:space="preserve">        Cash Generated from Operating Activities</t>
        </is>
      </c>
      <c r="D13" s="185" t="n"/>
      <c r="E13" s="185" t="n"/>
      <c r="F13" s="185" t="n"/>
      <c r="G13" s="185" t="n"/>
      <c r="H13" s="185" t="n"/>
      <c r="I13" s="185" t="n"/>
      <c r="J13" s="185" t="n"/>
      <c r="K13" s="185" t="n"/>
      <c r="AT13" s="182" t="n"/>
      <c r="AU13" s="176" t="n"/>
      <c r="AV13" s="176" t="n"/>
      <c r="AW13" s="176" t="n"/>
      <c r="AX13" s="176" t="n"/>
      <c r="AY13" s="176" t="n"/>
      <c r="AZ13" s="176" t="n"/>
      <c r="BA13" s="176" t="n"/>
      <c r="BB13" s="176" t="n"/>
      <c r="BC13" s="176" t="n"/>
      <c r="BD13" s="176" t="n"/>
      <c r="BE13" s="176" t="n"/>
      <c r="BF13" s="176" t="n"/>
      <c r="BG13" s="176" t="n"/>
      <c r="BH13" s="176" t="n"/>
      <c r="BI13" s="176" t="n"/>
      <c r="BJ13" s="176" t="n"/>
      <c r="BK13" s="176" t="n"/>
      <c r="BL13" s="176" t="n"/>
      <c r="BM13" s="176" t="n"/>
      <c r="BN13" s="176" t="n"/>
      <c r="BO13" s="176" t="n"/>
      <c r="BP13" s="176" t="n"/>
      <c r="BQ13" s="176" t="n"/>
      <c r="BR13" s="176" t="n"/>
    </row>
    <row r="14" ht="15" customHeight="1" s="392">
      <c r="A14" s="176" t="n"/>
      <c r="B14" s="180" t="n"/>
      <c r="C14" s="183" t="inlineStr">
        <is>
          <t xml:space="preserve">            Income/(Loss) before Non-Cash Adjustment</t>
        </is>
      </c>
      <c r="D14" s="190">
        <f>IF(COUNT(M14:AS14)&gt;0,MEDIAN(M14:AS14),"")</f>
        <v/>
      </c>
      <c r="E14" s="190">
        <f>IF(COUNT(M14:AS14)&gt;0,AVERAGE(M14:AS14),"")</f>
        <v/>
      </c>
      <c r="F14" s="190">
        <f>IF(COUNT(M14:AS14)&gt;0,MIN(M14:AS14),"")</f>
        <v/>
      </c>
      <c r="G14" s="190">
        <f>IF(COUNT(M14:AS14)&gt;0,MAX(M14:AS14),"")</f>
        <v/>
      </c>
      <c r="H14" s="190">
        <f>IF(COUNT(M14:AS14)&gt;0,QUARTILE(M14:AS14,1),"")</f>
        <v/>
      </c>
      <c r="I14" s="190">
        <f>IF(COUNT(M14:AS14)&gt;0,QUARTILE(M14:AS14,3),"")</f>
        <v/>
      </c>
      <c r="J14" s="190">
        <f>IF(COUNT(M14:AS14)&gt;1,STDEV(M14:AS14),"")</f>
        <v/>
      </c>
      <c r="K14" s="191">
        <f>IF(COUNT(M14:AS14)&gt;1,STDEV(M14:AS14)/AVERAGE(M14:AS14),"")</f>
        <v/>
      </c>
      <c r="M14" s="192" t="n">
        <v>1480397</v>
      </c>
      <c r="N14" s="192" t="n">
        <v>1548363</v>
      </c>
      <c r="O14" s="192" t="n">
        <v>1362347</v>
      </c>
      <c r="P14" s="192" t="n">
        <v>1237741</v>
      </c>
      <c r="Q14" s="192" t="n">
        <v>1090130</v>
      </c>
      <c r="R14" s="192" t="n">
        <v>936495</v>
      </c>
      <c r="S14" s="192" t="n">
        <v>699907</v>
      </c>
      <c r="T14" s="192" t="n">
        <v>591693</v>
      </c>
      <c r="U14" s="192" t="n">
        <v>418007</v>
      </c>
      <c r="V14" s="192" t="n">
        <v>394261</v>
      </c>
      <c r="W14" s="192" t="n">
        <v>270360</v>
      </c>
      <c r="X14" s="192" t="n">
        <v>219783</v>
      </c>
      <c r="Y14" s="192" t="n">
        <v>178687</v>
      </c>
      <c r="Z14" s="192" t="n">
        <v>180025</v>
      </c>
      <c r="AA14" s="192" t="n">
        <v>182119</v>
      </c>
      <c r="AB14" s="192" t="n">
        <v>166375</v>
      </c>
      <c r="AC14" s="192" t="n">
        <v>0</v>
      </c>
      <c r="AD14" s="192" t="n">
        <v>138663</v>
      </c>
      <c r="AE14" s="192" t="n">
        <v>156932</v>
      </c>
      <c r="AF14" s="192" t="n">
        <v>136338</v>
      </c>
      <c r="AG14" s="192" t="n">
        <v>96947</v>
      </c>
      <c r="AH14" s="192" t="n">
        <v>102116</v>
      </c>
      <c r="AI14" s="192" t="n">
        <v>79220</v>
      </c>
      <c r="AJ14" s="192" t="n">
        <v>57222</v>
      </c>
      <c r="AK14" s="192" t="n">
        <v>57389.2</v>
      </c>
      <c r="AL14" s="192" t="n">
        <v>42685</v>
      </c>
      <c r="AM14" s="192" t="n">
        <v>29429.1</v>
      </c>
      <c r="AN14" s="192" t="n">
        <v>22000</v>
      </c>
      <c r="AO14" s="192" t="n">
        <v>15200</v>
      </c>
      <c r="AP14" s="192" t="n">
        <v>12000</v>
      </c>
      <c r="AQ14" s="192" t="n">
        <v>11200</v>
      </c>
      <c r="AR14" s="192" t="n">
        <v>6900</v>
      </c>
      <c r="AS14" s="192" t="n">
        <v>2200</v>
      </c>
      <c r="AT14" s="182" t="n"/>
      <c r="AU14" s="176" t="n"/>
      <c r="AV14" s="176" t="n"/>
      <c r="AW14" s="176" t="n"/>
      <c r="AX14" s="176" t="n"/>
      <c r="AY14" s="176" t="n"/>
      <c r="AZ14" s="176" t="n"/>
      <c r="BA14" s="176" t="n"/>
      <c r="BB14" s="176" t="n"/>
      <c r="BC14" s="176" t="n"/>
      <c r="BD14" s="176" t="n"/>
      <c r="BE14" s="176" t="n"/>
      <c r="BF14" s="176" t="n"/>
      <c r="BG14" s="176" t="n"/>
      <c r="BH14" s="176" t="n"/>
      <c r="BI14" s="176" t="n"/>
      <c r="BJ14" s="176" t="n"/>
      <c r="BK14" s="176" t="n"/>
      <c r="BL14" s="176" t="n"/>
      <c r="BM14" s="176" t="n"/>
      <c r="BN14" s="176" t="n"/>
      <c r="BO14" s="176" t="n"/>
      <c r="BP14" s="176" t="n"/>
      <c r="BQ14" s="176" t="n"/>
      <c r="BR14" s="176" t="n"/>
    </row>
    <row r="15" ht="15" customHeight="1" s="392">
      <c r="A15" s="176" t="n"/>
      <c r="B15" s="180" t="n"/>
      <c r="C15" s="183" t="inlineStr">
        <is>
          <t xml:space="preserve">            Adjustments for Non-Cash Items</t>
        </is>
      </c>
      <c r="D15" s="185" t="n"/>
      <c r="E15" s="185" t="n"/>
      <c r="F15" s="185" t="n"/>
      <c r="G15" s="185" t="n"/>
      <c r="H15" s="185" t="n"/>
      <c r="I15" s="185" t="n"/>
      <c r="J15" s="185" t="n"/>
      <c r="K15" s="185" t="n"/>
      <c r="AT15" s="182" t="n"/>
      <c r="AU15" s="176" t="n"/>
      <c r="AV15" s="176" t="n"/>
      <c r="AW15" s="176" t="n"/>
      <c r="AX15" s="176" t="n"/>
      <c r="AY15" s="176" t="n"/>
      <c r="AZ15" s="176" t="n"/>
      <c r="BA15" s="176" t="n"/>
      <c r="BB15" s="176" t="n"/>
      <c r="BC15" s="176" t="n"/>
      <c r="BD15" s="176" t="n"/>
      <c r="BE15" s="176" t="n"/>
      <c r="BF15" s="176" t="n"/>
      <c r="BG15" s="176" t="n"/>
      <c r="BH15" s="176" t="n"/>
      <c r="BI15" s="176" t="n"/>
      <c r="BJ15" s="176" t="n"/>
      <c r="BK15" s="176" t="n"/>
      <c r="BL15" s="176" t="n"/>
      <c r="BM15" s="176" t="n"/>
      <c r="BN15" s="176" t="n"/>
      <c r="BO15" s="176" t="n"/>
      <c r="BP15" s="176" t="n"/>
      <c r="BQ15" s="176" t="n"/>
      <c r="BR15" s="176" t="n"/>
    </row>
    <row r="16" ht="15" customHeight="1" s="392">
      <c r="A16" s="176" t="n"/>
      <c r="B16" s="180" t="n"/>
      <c r="C16" s="183" t="inlineStr">
        <is>
          <t xml:space="preserve">                Depreciation, Amortization and Depletion, Non-Cash Adjustment</t>
        </is>
      </c>
      <c r="D16" s="185" t="n"/>
      <c r="E16" s="185" t="n"/>
      <c r="F16" s="185" t="n"/>
      <c r="G16" s="185" t="n"/>
      <c r="H16" s="185" t="n"/>
      <c r="I16" s="185" t="n"/>
      <c r="J16" s="185" t="n"/>
      <c r="K16" s="185" t="n"/>
      <c r="AT16" s="182" t="n"/>
      <c r="AU16" s="176" t="n"/>
      <c r="AV16" s="176" t="n"/>
      <c r="AW16" s="176" t="n"/>
      <c r="AX16" s="176" t="n"/>
      <c r="AY16" s="176" t="n"/>
      <c r="AZ16" s="176" t="n"/>
      <c r="BA16" s="176" t="n"/>
      <c r="BB16" s="176" t="n"/>
      <c r="BC16" s="176" t="n"/>
      <c r="BD16" s="176" t="n"/>
      <c r="BE16" s="176" t="n"/>
      <c r="BF16" s="176" t="n"/>
      <c r="BG16" s="176" t="n"/>
      <c r="BH16" s="176" t="n"/>
      <c r="BI16" s="176" t="n"/>
      <c r="BJ16" s="176" t="n"/>
      <c r="BK16" s="176" t="n"/>
      <c r="BL16" s="176" t="n"/>
      <c r="BM16" s="176" t="n"/>
      <c r="BN16" s="176" t="n"/>
      <c r="BO16" s="176" t="n"/>
      <c r="BP16" s="176" t="n"/>
      <c r="BQ16" s="176" t="n"/>
      <c r="BR16" s="176" t="n"/>
    </row>
    <row r="17" ht="15" customHeight="1" s="392">
      <c r="A17" s="176" t="n"/>
      <c r="B17" s="180" t="n"/>
      <c r="C17" s="183" t="inlineStr">
        <is>
          <t xml:space="preserve">                    Depreciation and Amortization, Non-Cash Adjustment</t>
        </is>
      </c>
      <c r="D17" s="190">
        <f>IF(COUNT(M17:AS17)&gt;0,MEDIAN(M17:AS17),"")</f>
        <v/>
      </c>
      <c r="E17" s="190">
        <f>IF(COUNT(M17:AS17)&gt;0,AVERAGE(M17:AS17),"")</f>
        <v/>
      </c>
      <c r="F17" s="190">
        <f>IF(COUNT(M17:AS17)&gt;0,MIN(M17:AS17),"")</f>
        <v/>
      </c>
      <c r="G17" s="190">
        <f>IF(COUNT(M17:AS17)&gt;0,MAX(M17:AS17),"")</f>
        <v/>
      </c>
      <c r="H17" s="190">
        <f>IF(COUNT(M17:AS17)&gt;0,QUARTILE(M17:AS17,1),"")</f>
        <v/>
      </c>
      <c r="I17" s="190">
        <f>IF(COUNT(M17:AS17)&gt;0,QUARTILE(M17:AS17,3),"")</f>
        <v/>
      </c>
      <c r="J17" s="190">
        <f>IF(COUNT(M17:AS17)&gt;1,STDEV(M17:AS17),"")</f>
        <v/>
      </c>
      <c r="K17" s="191">
        <f>IF(COUNT(M17:AS17)&gt;1,STDEV(M17:AS17)/AVERAGE(M17:AS17),"")</f>
        <v/>
      </c>
      <c r="M17" s="192" t="n">
        <v>238466</v>
      </c>
      <c r="N17" s="192" t="n">
        <v>217784</v>
      </c>
      <c r="O17" s="192" t="n">
        <v>190256</v>
      </c>
      <c r="P17" s="192" t="n">
        <v>159684</v>
      </c>
      <c r="Q17" s="192" t="n">
        <v>138605</v>
      </c>
      <c r="R17" s="192" t="n">
        <v>123084</v>
      </c>
      <c r="S17" s="192" t="n">
        <v>104257</v>
      </c>
      <c r="T17" s="192" t="n">
        <v>85334</v>
      </c>
      <c r="U17" s="192" t="n">
        <v>79040</v>
      </c>
      <c r="V17" s="192" t="n">
        <v>57441</v>
      </c>
      <c r="W17" s="192" t="n">
        <v>49643</v>
      </c>
      <c r="X17" s="192" t="n">
        <v>48893</v>
      </c>
      <c r="Y17" s="192" t="n">
        <v>53726</v>
      </c>
      <c r="Z17" s="192" t="n">
        <v>56728</v>
      </c>
      <c r="AA17" s="192" t="n">
        <v>48167</v>
      </c>
      <c r="AB17" s="192" t="n">
        <v>45694</v>
      </c>
      <c r="AC17" s="192" t="n">
        <v>43242</v>
      </c>
      <c r="AD17" s="192" t="n">
        <v>41354</v>
      </c>
      <c r="AE17" s="192" t="n">
        <v>42804</v>
      </c>
      <c r="AF17" s="192" t="n">
        <v>37089</v>
      </c>
      <c r="AG17" s="192" t="n">
        <v>31456</v>
      </c>
      <c r="AH17" s="192" t="n">
        <v>30466</v>
      </c>
      <c r="AI17" s="192" t="n">
        <v>29649</v>
      </c>
      <c r="AJ17" s="192" t="n">
        <v>25545</v>
      </c>
      <c r="AK17" s="192" t="n">
        <v>16308.2</v>
      </c>
      <c r="AL17" s="192" t="n">
        <v>14350</v>
      </c>
      <c r="AM17" s="192" t="n">
        <v>11479</v>
      </c>
      <c r="AN17" s="192" t="n">
        <v>9800</v>
      </c>
      <c r="AO17" s="192" t="n">
        <v>7800</v>
      </c>
      <c r="AP17" s="192" t="n">
        <v>7500</v>
      </c>
      <c r="AQ17" s="192" t="n">
        <v>6000</v>
      </c>
      <c r="AR17" s="192" t="n">
        <v>3400</v>
      </c>
      <c r="AS17" s="192" t="n">
        <v>1700</v>
      </c>
      <c r="AT17" s="182" t="n"/>
      <c r="AU17" s="176" t="n"/>
      <c r="AV17" s="176" t="n"/>
      <c r="AW17" s="176" t="n"/>
      <c r="AX17" s="176" t="n"/>
      <c r="AY17" s="176" t="n"/>
      <c r="AZ17" s="176" t="n"/>
      <c r="BA17" s="176" t="n"/>
      <c r="BB17" s="176" t="n"/>
      <c r="BC17" s="176" t="n"/>
      <c r="BD17" s="176" t="n"/>
      <c r="BE17" s="176" t="n"/>
      <c r="BF17" s="176" t="n"/>
      <c r="BG17" s="176" t="n"/>
      <c r="BH17" s="176" t="n"/>
      <c r="BI17" s="176" t="n"/>
      <c r="BJ17" s="176" t="n"/>
      <c r="BK17" s="176" t="n"/>
      <c r="BL17" s="176" t="n"/>
      <c r="BM17" s="176" t="n"/>
      <c r="BN17" s="176" t="n"/>
      <c r="BO17" s="176" t="n"/>
      <c r="BP17" s="176" t="n"/>
      <c r="BQ17" s="176" t="n"/>
      <c r="BR17" s="176" t="n"/>
    </row>
    <row r="18" ht="15" customHeight="1" s="392">
      <c r="A18" s="176" t="n"/>
      <c r="B18" s="180" t="n"/>
      <c r="C18" s="187" t="inlineStr">
        <is>
          <t xml:space="preserve">                Total Depreciation, Amortization and Depletion, Non-Cash Adjustment</t>
        </is>
      </c>
      <c r="D18" s="193">
        <f>IF(COUNT(M18:AS18)&gt;0,MEDIAN(M18:AS18),"")</f>
        <v/>
      </c>
      <c r="E18" s="193">
        <f>IF(COUNT(M18:AS18)&gt;0,AVERAGE(M18:AS18),"")</f>
        <v/>
      </c>
      <c r="F18" s="193">
        <f>IF(COUNT(M18:AS18)&gt;0,MIN(M18:AS18),"")</f>
        <v/>
      </c>
      <c r="G18" s="193">
        <f>IF(COUNT(M18:AS18)&gt;0,MAX(M18:AS18),"")</f>
        <v/>
      </c>
      <c r="H18" s="193">
        <f>IF(COUNT(M18:AS18)&gt;0,QUARTILE(M18:AS18,1),"")</f>
        <v/>
      </c>
      <c r="I18" s="193">
        <f>IF(COUNT(M18:AS18)&gt;0,QUARTILE(M18:AS18,3),"")</f>
        <v/>
      </c>
      <c r="J18" s="193">
        <f>IF(COUNT(M18:AS18)&gt;1,STDEV(M18:AS18),"")</f>
        <v/>
      </c>
      <c r="K18" s="194">
        <f>IF(COUNT(M18:AS18)&gt;1,STDEV(M18:AS18)/AVERAGE(M18:AS18),"")</f>
        <v/>
      </c>
      <c r="L18" s="195" t="n"/>
      <c r="M18" s="196" t="n">
        <v>238466</v>
      </c>
      <c r="N18" s="196" t="n">
        <v>217784</v>
      </c>
      <c r="O18" s="196" t="n">
        <v>190256</v>
      </c>
      <c r="P18" s="196" t="n">
        <v>159684</v>
      </c>
      <c r="Q18" s="196" t="n">
        <v>138605</v>
      </c>
      <c r="R18" s="196" t="n">
        <v>123084</v>
      </c>
      <c r="S18" s="196" t="n">
        <v>104257</v>
      </c>
      <c r="T18" s="196" t="n">
        <v>85334</v>
      </c>
      <c r="U18" s="196" t="n">
        <v>79040</v>
      </c>
      <c r="V18" s="196" t="n">
        <v>57441</v>
      </c>
      <c r="W18" s="196" t="n">
        <v>49643</v>
      </c>
      <c r="X18" s="196" t="n">
        <v>48893</v>
      </c>
      <c r="Y18" s="196" t="n">
        <v>53726</v>
      </c>
      <c r="Z18" s="196" t="n">
        <v>56728</v>
      </c>
      <c r="AA18" s="196" t="n">
        <v>48167</v>
      </c>
      <c r="AB18" s="196" t="n">
        <v>45694</v>
      </c>
      <c r="AC18" s="196" t="n">
        <v>43242</v>
      </c>
      <c r="AD18" s="196" t="n">
        <v>41354</v>
      </c>
      <c r="AE18" s="196" t="n">
        <v>42804</v>
      </c>
      <c r="AF18" s="196" t="n">
        <v>37089</v>
      </c>
      <c r="AG18" s="196" t="n">
        <v>31456</v>
      </c>
      <c r="AH18" s="196" t="n">
        <v>30466</v>
      </c>
      <c r="AI18" s="196" t="n">
        <v>29649</v>
      </c>
      <c r="AJ18" s="196" t="n">
        <v>25545</v>
      </c>
      <c r="AK18" s="196" t="n">
        <v>16308.2</v>
      </c>
      <c r="AL18" s="196" t="n">
        <v>14350</v>
      </c>
      <c r="AM18" s="196" t="n">
        <v>11479</v>
      </c>
      <c r="AN18" s="196" t="n">
        <v>9800</v>
      </c>
      <c r="AO18" s="196" t="n">
        <v>7800</v>
      </c>
      <c r="AP18" s="196" t="n">
        <v>7500</v>
      </c>
      <c r="AQ18" s="196" t="n">
        <v>6000</v>
      </c>
      <c r="AR18" s="196" t="n">
        <v>3400</v>
      </c>
      <c r="AS18" s="196" t="n">
        <v>1700</v>
      </c>
      <c r="AT18" s="182" t="n"/>
      <c r="AU18" s="176" t="n"/>
      <c r="AV18" s="176" t="n"/>
      <c r="AW18" s="176" t="n"/>
      <c r="AX18" s="176" t="n"/>
      <c r="AY18" s="176" t="n"/>
      <c r="AZ18" s="176" t="n"/>
      <c r="BA18" s="176" t="n"/>
      <c r="BB18" s="176" t="n"/>
      <c r="BC18" s="176" t="n"/>
      <c r="BD18" s="176" t="n"/>
      <c r="BE18" s="176" t="n"/>
      <c r="BF18" s="176" t="n"/>
      <c r="BG18" s="176" t="n"/>
      <c r="BH18" s="176" t="n"/>
      <c r="BI18" s="176" t="n"/>
      <c r="BJ18" s="176" t="n"/>
      <c r="BK18" s="176" t="n"/>
      <c r="BL18" s="176" t="n"/>
      <c r="BM18" s="176" t="n"/>
      <c r="BN18" s="176" t="n"/>
      <c r="BO18" s="176" t="n"/>
      <c r="BP18" s="176" t="n"/>
      <c r="BQ18" s="176" t="n"/>
      <c r="BR18" s="176" t="n"/>
    </row>
    <row r="19" ht="15" customHeight="1" s="392">
      <c r="A19" s="176" t="n"/>
      <c r="B19" s="180" t="n"/>
      <c r="C19" s="183" t="inlineStr">
        <is>
          <t xml:space="preserve">                Excess Tax Benefit from Stock-Based Compensation, Non-Cash Adjustment</t>
        </is>
      </c>
      <c r="D19" s="190">
        <f>IF(COUNT(M19:AS19)&gt;0,MEDIAN(M19:AS19),"")</f>
        <v/>
      </c>
      <c r="E19" s="190">
        <f>IF(COUNT(M19:AS19)&gt;0,AVERAGE(M19:AS19),"")</f>
        <v/>
      </c>
      <c r="F19" s="190">
        <f>IF(COUNT(M19:AS19)&gt;0,MIN(M19:AS19),"")</f>
        <v/>
      </c>
      <c r="G19" s="190">
        <f>IF(COUNT(M19:AS19)&gt;0,MAX(M19:AS19),"")</f>
        <v/>
      </c>
      <c r="H19" s="190">
        <f>IF(COUNT(M19:AS19)&gt;0,QUARTILE(M19:AS19,1),"")</f>
        <v/>
      </c>
      <c r="I19" s="190">
        <f>IF(COUNT(M19:AS19)&gt;0,QUARTILE(M19:AS19,3),"")</f>
        <v/>
      </c>
      <c r="J19" s="190">
        <f>IF(COUNT(M19:AS19)&gt;1,STDEV(M19:AS19),"")</f>
        <v/>
      </c>
      <c r="K19" s="191">
        <f>IF(COUNT(M19:AS19)&gt;1,STDEV(M19:AS19)/AVERAGE(M19:AS19),"")</f>
        <v/>
      </c>
      <c r="M19" s="192" t="n"/>
      <c r="N19" s="192" t="n"/>
      <c r="O19" s="192" t="n"/>
      <c r="P19" s="192" t="n"/>
      <c r="Q19" s="192" t="n"/>
      <c r="R19" s="192" t="n"/>
      <c r="S19" s="192" t="n"/>
      <c r="T19" s="192" t="n"/>
      <c r="U19" s="192" t="n"/>
      <c r="V19" s="192" t="n"/>
      <c r="W19" s="192" t="n"/>
      <c r="X19" s="192" t="n">
        <v>-2971</v>
      </c>
      <c r="Y19" s="192" t="n">
        <v>-2289</v>
      </c>
      <c r="Z19" s="192" t="n">
        <v>-6097</v>
      </c>
      <c r="AA19" s="192" t="n">
        <v>-4367</v>
      </c>
      <c r="AB19" s="192" t="n">
        <v>-3547</v>
      </c>
      <c r="AC19" s="192" t="n">
        <v>-5643</v>
      </c>
      <c r="AD19" s="192" t="n">
        <v>-4570</v>
      </c>
      <c r="AE19" s="192" t="n"/>
      <c r="AF19" s="192" t="n"/>
      <c r="AG19" s="192" t="n"/>
      <c r="AH19" s="192" t="n"/>
      <c r="AI19" s="192" t="n"/>
      <c r="AJ19" s="192" t="n"/>
      <c r="AK19" s="192" t="n"/>
      <c r="AL19" s="192" t="n"/>
      <c r="AM19" s="192" t="n"/>
      <c r="AN19" s="192" t="n"/>
      <c r="AO19" s="192" t="n"/>
      <c r="AP19" s="192" t="n"/>
      <c r="AQ19" s="192" t="n"/>
      <c r="AR19" s="192" t="n"/>
      <c r="AS19" s="192" t="n"/>
      <c r="AT19" s="182" t="n"/>
      <c r="AU19" s="176" t="n"/>
      <c r="AV19" s="176" t="n"/>
      <c r="AW19" s="176" t="n"/>
      <c r="AX19" s="176" t="n"/>
      <c r="AY19" s="176" t="n"/>
      <c r="AZ19" s="176" t="n"/>
      <c r="BA19" s="176" t="n"/>
      <c r="BB19" s="176" t="n"/>
      <c r="BC19" s="176" t="n"/>
      <c r="BD19" s="176" t="n"/>
      <c r="BE19" s="176" t="n"/>
      <c r="BF19" s="176" t="n"/>
      <c r="BG19" s="176" t="n"/>
      <c r="BH19" s="176" t="n"/>
      <c r="BI19" s="176" t="n"/>
      <c r="BJ19" s="176" t="n"/>
      <c r="BK19" s="176" t="n"/>
      <c r="BL19" s="176" t="n"/>
      <c r="BM19" s="176" t="n"/>
      <c r="BN19" s="176" t="n"/>
      <c r="BO19" s="176" t="n"/>
      <c r="BP19" s="176" t="n"/>
      <c r="BQ19" s="176" t="n"/>
      <c r="BR19" s="176" t="n"/>
    </row>
    <row r="20" ht="15" customHeight="1" s="392">
      <c r="A20" s="176" t="n"/>
      <c r="B20" s="180" t="n"/>
      <c r="C20" s="183" t="inlineStr">
        <is>
          <t xml:space="preserve">                Stock-Based Compensation, Non-Cash Adjustment</t>
        </is>
      </c>
      <c r="D20" s="190">
        <f>IF(COUNT(M20:AS20)&gt;0,MEDIAN(M20:AS20),"")</f>
        <v/>
      </c>
      <c r="E20" s="190">
        <f>IF(COUNT(M20:AS20)&gt;0,AVERAGE(M20:AS20),"")</f>
        <v/>
      </c>
      <c r="F20" s="190">
        <f>IF(COUNT(M20:AS20)&gt;0,MIN(M20:AS20),"")</f>
        <v/>
      </c>
      <c r="G20" s="190">
        <f>IF(COUNT(M20:AS20)&gt;0,MAX(M20:AS20),"")</f>
        <v/>
      </c>
      <c r="H20" s="190">
        <f>IF(COUNT(M20:AS20)&gt;0,QUARTILE(M20:AS20,1),"")</f>
        <v/>
      </c>
      <c r="I20" s="190">
        <f>IF(COUNT(M20:AS20)&gt;0,QUARTILE(M20:AS20,3),"")</f>
        <v/>
      </c>
      <c r="J20" s="190">
        <f>IF(COUNT(M20:AS20)&gt;1,STDEV(M20:AS20),"")</f>
        <v/>
      </c>
      <c r="K20" s="191">
        <f>IF(COUNT(M20:AS20)&gt;1,STDEV(M20:AS20)/AVERAGE(M20:AS20),"")</f>
        <v/>
      </c>
      <c r="M20" s="192" t="n">
        <v>38818</v>
      </c>
      <c r="N20" s="192" t="n">
        <v>38004</v>
      </c>
      <c r="O20" s="192" t="n">
        <v>35234</v>
      </c>
      <c r="P20" s="192" t="n">
        <v>39673</v>
      </c>
      <c r="Q20" s="192" t="n">
        <v>38965</v>
      </c>
      <c r="R20" s="192" t="n">
        <v>40922</v>
      </c>
      <c r="S20" s="192" t="n">
        <v>23322</v>
      </c>
      <c r="T20" s="192" t="n">
        <v>23445</v>
      </c>
      <c r="U20" s="192" t="n">
        <v>23221</v>
      </c>
      <c r="V20" s="192" t="n">
        <v>20840</v>
      </c>
      <c r="W20" s="192" t="n">
        <v>20864</v>
      </c>
      <c r="X20" s="192" t="n">
        <v>18154</v>
      </c>
      <c r="Y20" s="192" t="n">
        <v>22099</v>
      </c>
      <c r="Z20" s="192" t="n">
        <v>19557</v>
      </c>
      <c r="AA20" s="192" t="n">
        <v>21791</v>
      </c>
      <c r="AB20" s="192" t="n">
        <v>19007</v>
      </c>
      <c r="AC20" s="192" t="n">
        <v>17955</v>
      </c>
      <c r="AD20" s="192" t="n">
        <v>9413</v>
      </c>
      <c r="AE20" s="192" t="n"/>
      <c r="AF20" s="192" t="n"/>
      <c r="AG20" s="192" t="n"/>
      <c r="AH20" s="192" t="n"/>
      <c r="AI20" s="192" t="n"/>
      <c r="AJ20" s="192" t="n"/>
      <c r="AK20" s="192" t="n"/>
      <c r="AL20" s="192" t="n"/>
      <c r="AM20" s="192" t="n"/>
      <c r="AN20" s="192" t="n"/>
      <c r="AO20" s="192" t="n"/>
      <c r="AP20" s="192" t="n"/>
      <c r="AQ20" s="192" t="n"/>
      <c r="AR20" s="192" t="n"/>
      <c r="AS20" s="192" t="n"/>
      <c r="AT20" s="182" t="n"/>
      <c r="AU20" s="176" t="n"/>
      <c r="AV20" s="176" t="n"/>
      <c r="AW20" s="176" t="n"/>
      <c r="AX20" s="176" t="n"/>
      <c r="AY20" s="176" t="n"/>
      <c r="AZ20" s="176" t="n"/>
      <c r="BA20" s="176" t="n"/>
      <c r="BB20" s="176" t="n"/>
      <c r="BC20" s="176" t="n"/>
      <c r="BD20" s="176" t="n"/>
      <c r="BE20" s="176" t="n"/>
      <c r="BF20" s="176" t="n"/>
      <c r="BG20" s="176" t="n"/>
      <c r="BH20" s="176" t="n"/>
      <c r="BI20" s="176" t="n"/>
      <c r="BJ20" s="176" t="n"/>
      <c r="BK20" s="176" t="n"/>
      <c r="BL20" s="176" t="n"/>
      <c r="BM20" s="176" t="n"/>
      <c r="BN20" s="176" t="n"/>
      <c r="BO20" s="176" t="n"/>
      <c r="BP20" s="176" t="n"/>
      <c r="BQ20" s="176" t="n"/>
      <c r="BR20" s="176" t="n"/>
    </row>
    <row r="21" ht="15" customHeight="1" s="392">
      <c r="A21" s="176" t="n"/>
      <c r="B21" s="180" t="n"/>
      <c r="C21" s="183" t="inlineStr">
        <is>
          <t xml:space="preserve">                Taxes, Non-Cash Adjustment</t>
        </is>
      </c>
      <c r="D21" s="190">
        <f>IF(COUNT(M21:AS21)&gt;0,MEDIAN(M21:AS21),"")</f>
        <v/>
      </c>
      <c r="E21" s="190">
        <f>IF(COUNT(M21:AS21)&gt;0,AVERAGE(M21:AS21),"")</f>
        <v/>
      </c>
      <c r="F21" s="190">
        <f>IF(COUNT(M21:AS21)&gt;0,MIN(M21:AS21),"")</f>
        <v/>
      </c>
      <c r="G21" s="190">
        <f>IF(COUNT(M21:AS21)&gt;0,MAX(M21:AS21),"")</f>
        <v/>
      </c>
      <c r="H21" s="190">
        <f>IF(COUNT(M21:AS21)&gt;0,QUARTILE(M21:AS21,1),"")</f>
        <v/>
      </c>
      <c r="I21" s="190">
        <f>IF(COUNT(M21:AS21)&gt;0,QUARTILE(M21:AS21,3),"")</f>
        <v/>
      </c>
      <c r="J21" s="190">
        <f>IF(COUNT(M21:AS21)&gt;1,STDEV(M21:AS21),"")</f>
        <v/>
      </c>
      <c r="K21" s="191">
        <f>IF(COUNT(M21:AS21)&gt;1,STDEV(M21:AS21)/AVERAGE(M21:AS21),"")</f>
        <v/>
      </c>
      <c r="M21" s="192" t="n">
        <v>47359</v>
      </c>
      <c r="N21" s="192" t="n">
        <v>-13440</v>
      </c>
      <c r="O21" s="192" t="n">
        <v>-847</v>
      </c>
      <c r="P21" s="192" t="n">
        <v>9946</v>
      </c>
      <c r="Q21" s="192" t="n">
        <v>17017</v>
      </c>
      <c r="R21" s="192" t="n">
        <v>-7951</v>
      </c>
      <c r="S21" s="192" t="n">
        <v>23082</v>
      </c>
      <c r="T21" s="192" t="n">
        <v>23167</v>
      </c>
      <c r="U21" s="192" t="n">
        <v>16717</v>
      </c>
      <c r="V21" s="192" t="n">
        <v>19901</v>
      </c>
      <c r="W21" s="192" t="n">
        <v>5740</v>
      </c>
      <c r="X21" s="192" t="n">
        <v>4365</v>
      </c>
      <c r="Y21" s="192" t="n">
        <v>-10838</v>
      </c>
      <c r="Z21" s="192" t="n">
        <v>-3605</v>
      </c>
      <c r="AA21" s="192" t="n">
        <v>-17579</v>
      </c>
      <c r="AB21" s="192" t="n">
        <v>-2099</v>
      </c>
      <c r="AC21" s="192" t="n">
        <v>-4512</v>
      </c>
      <c r="AD21" s="192" t="n">
        <v>-2393</v>
      </c>
      <c r="AE21" s="192" t="n">
        <v>5690</v>
      </c>
      <c r="AF21" s="192" t="n">
        <v>-8948</v>
      </c>
      <c r="AG21" s="192" t="n">
        <v>-4120</v>
      </c>
      <c r="AH21" s="192" t="n">
        <v>-5620</v>
      </c>
      <c r="AI21" s="192" t="n">
        <v>-122</v>
      </c>
      <c r="AJ21" s="192" t="n">
        <v>7206</v>
      </c>
      <c r="AK21" s="192" t="n">
        <v>2811.5</v>
      </c>
      <c r="AL21" s="192" t="n">
        <v>772</v>
      </c>
      <c r="AM21" s="192" t="n">
        <v>1312.8</v>
      </c>
      <c r="AN21" s="192" t="n">
        <v>-700</v>
      </c>
      <c r="AO21" s="192" t="n">
        <v>-100</v>
      </c>
      <c r="AP21" s="192" t="n">
        <v>400</v>
      </c>
      <c r="AQ21" s="192" t="n">
        <v>-300</v>
      </c>
      <c r="AR21" s="192" t="n"/>
      <c r="AS21" s="192" t="n">
        <v>-100</v>
      </c>
      <c r="AT21" s="182" t="n"/>
      <c r="AU21" s="176" t="n"/>
      <c r="AV21" s="176" t="n"/>
      <c r="AW21" s="176" t="n"/>
      <c r="AX21" s="176" t="n"/>
      <c r="AY21" s="176" t="n"/>
      <c r="AZ21" s="176" t="n"/>
      <c r="BA21" s="176" t="n"/>
      <c r="BB21" s="176" t="n"/>
      <c r="BC21" s="176" t="n"/>
      <c r="BD21" s="176" t="n"/>
      <c r="BE21" s="176" t="n"/>
      <c r="BF21" s="176" t="n"/>
      <c r="BG21" s="176" t="n"/>
      <c r="BH21" s="176" t="n"/>
      <c r="BI21" s="176" t="n"/>
      <c r="BJ21" s="176" t="n"/>
      <c r="BK21" s="176" t="n"/>
      <c r="BL21" s="176" t="n"/>
      <c r="BM21" s="176" t="n"/>
      <c r="BN21" s="176" t="n"/>
      <c r="BO21" s="176" t="n"/>
      <c r="BP21" s="176" t="n"/>
      <c r="BQ21" s="176" t="n"/>
      <c r="BR21" s="176" t="n"/>
    </row>
    <row r="22" ht="15" customHeight="1" s="392">
      <c r="A22" s="176" t="n"/>
      <c r="B22" s="180" t="n"/>
      <c r="C22" s="183" t="inlineStr">
        <is>
          <t xml:space="preserve">                Other Provisions, Non-Cash Adjustment</t>
        </is>
      </c>
      <c r="D22" s="190">
        <f>IF(COUNT(M22:AS22)&gt;0,MEDIAN(M22:AS22),"")</f>
        <v/>
      </c>
      <c r="E22" s="190">
        <f>IF(COUNT(M22:AS22)&gt;0,AVERAGE(M22:AS22),"")</f>
        <v/>
      </c>
      <c r="F22" s="190">
        <f>IF(COUNT(M22:AS22)&gt;0,MIN(M22:AS22),"")</f>
        <v/>
      </c>
      <c r="G22" s="190">
        <f>IF(COUNT(M22:AS22)&gt;0,MAX(M22:AS22),"")</f>
        <v/>
      </c>
      <c r="H22" s="190">
        <f>IF(COUNT(M22:AS22)&gt;0,QUARTILE(M22:AS22,1),"")</f>
        <v/>
      </c>
      <c r="I22" s="190">
        <f>IF(COUNT(M22:AS22)&gt;0,QUARTILE(M22:AS22,3),"")</f>
        <v/>
      </c>
      <c r="J22" s="190">
        <f>IF(COUNT(M22:AS22)&gt;1,STDEV(M22:AS22),"")</f>
        <v/>
      </c>
      <c r="K22" s="191">
        <f>IF(COUNT(M22:AS22)&gt;1,STDEV(M22:AS22)/AVERAGE(M22:AS22),"")</f>
        <v/>
      </c>
      <c r="M22" s="192" t="n">
        <v>5599</v>
      </c>
      <c r="N22" s="192" t="n">
        <v>354</v>
      </c>
      <c r="O22" s="192" t="n">
        <v>3914</v>
      </c>
      <c r="P22" s="192" t="n">
        <v>1946</v>
      </c>
      <c r="Q22" s="192" t="n">
        <v>1349</v>
      </c>
      <c r="R22" s="192" t="n">
        <v>-1121</v>
      </c>
      <c r="S22" s="192" t="n">
        <v>1670</v>
      </c>
      <c r="T22" s="192" t="n">
        <v>-429</v>
      </c>
      <c r="U22" s="192" t="n">
        <v>1142</v>
      </c>
      <c r="V22" s="192" t="n">
        <v>187</v>
      </c>
      <c r="W22" s="192" t="n">
        <v>1175</v>
      </c>
      <c r="X22" s="192" t="n">
        <v>-578</v>
      </c>
      <c r="Y22" s="192" t="n">
        <v>1087</v>
      </c>
      <c r="Z22" s="192" t="n">
        <v>-356</v>
      </c>
      <c r="AA22" s="192" t="n">
        <v>-192</v>
      </c>
      <c r="AB22" s="192" t="n">
        <v>270</v>
      </c>
      <c r="AC22" s="192" t="n">
        <v>442</v>
      </c>
      <c r="AD22" s="192" t="n"/>
      <c r="AE22" s="192" t="n"/>
      <c r="AF22" s="192" t="n"/>
      <c r="AG22" s="192" t="n"/>
      <c r="AH22" s="192" t="n"/>
      <c r="AI22" s="192" t="n"/>
      <c r="AJ22" s="192" t="n"/>
      <c r="AK22" s="192" t="n"/>
      <c r="AL22" s="192" t="n"/>
      <c r="AM22" s="192" t="n"/>
      <c r="AN22" s="192" t="n"/>
      <c r="AO22" s="192" t="n"/>
      <c r="AP22" s="192" t="n"/>
      <c r="AQ22" s="192" t="n"/>
      <c r="AR22" s="192" t="n"/>
      <c r="AS22" s="192" t="n"/>
      <c r="AT22" s="182" t="n"/>
      <c r="AU22" s="176" t="n"/>
      <c r="AV22" s="176" t="n"/>
      <c r="AW22" s="176" t="n"/>
      <c r="AX22" s="176" t="n"/>
      <c r="AY22" s="176" t="n"/>
      <c r="AZ22" s="176" t="n"/>
      <c r="BA22" s="176" t="n"/>
      <c r="BB22" s="176" t="n"/>
      <c r="BC22" s="176" t="n"/>
      <c r="BD22" s="176" t="n"/>
      <c r="BE22" s="176" t="n"/>
      <c r="BF22" s="176" t="n"/>
      <c r="BG22" s="176" t="n"/>
      <c r="BH22" s="176" t="n"/>
      <c r="BI22" s="176" t="n"/>
      <c r="BJ22" s="176" t="n"/>
      <c r="BK22" s="176" t="n"/>
      <c r="BL22" s="176" t="n"/>
      <c r="BM22" s="176" t="n"/>
      <c r="BN22" s="176" t="n"/>
      <c r="BO22" s="176" t="n"/>
      <c r="BP22" s="176" t="n"/>
      <c r="BQ22" s="176" t="n"/>
      <c r="BR22" s="176" t="n"/>
    </row>
    <row r="23" ht="15" customHeight="1" s="392">
      <c r="A23" s="176" t="n"/>
      <c r="B23" s="180" t="n"/>
      <c r="C23" s="183" t="inlineStr">
        <is>
          <t xml:space="preserve">                Net Investment (Income)/Loss, Non-Cash Adjustment</t>
        </is>
      </c>
      <c r="D23" s="185" t="n"/>
      <c r="E23" s="185" t="n"/>
      <c r="F23" s="185" t="n"/>
      <c r="G23" s="185" t="n"/>
      <c r="H23" s="185" t="n"/>
      <c r="I23" s="185" t="n"/>
      <c r="J23" s="185" t="n"/>
      <c r="K23" s="185" t="n"/>
      <c r="AT23" s="182" t="n"/>
      <c r="AU23" s="176" t="n"/>
      <c r="AV23" s="176" t="n"/>
      <c r="AW23" s="176" t="n"/>
      <c r="AX23" s="176" t="n"/>
      <c r="AY23" s="176" t="n"/>
      <c r="AZ23" s="176" t="n"/>
      <c r="BA23" s="176" t="n"/>
      <c r="BB23" s="176" t="n"/>
      <c r="BC23" s="176" t="n"/>
      <c r="BD23" s="176" t="n"/>
      <c r="BE23" s="176" t="n"/>
      <c r="BF23" s="176" t="n"/>
      <c r="BG23" s="176" t="n"/>
      <c r="BH23" s="176" t="n"/>
      <c r="BI23" s="176" t="n"/>
      <c r="BJ23" s="176" t="n"/>
      <c r="BK23" s="176" t="n"/>
      <c r="BL23" s="176" t="n"/>
      <c r="BM23" s="176" t="n"/>
      <c r="BN23" s="176" t="n"/>
      <c r="BO23" s="176" t="n"/>
      <c r="BP23" s="176" t="n"/>
      <c r="BQ23" s="176" t="n"/>
      <c r="BR23" s="176" t="n"/>
    </row>
    <row r="24" ht="15" customHeight="1" s="392">
      <c r="A24" s="176" t="n"/>
      <c r="B24" s="180" t="n"/>
      <c r="C24" s="183" t="inlineStr">
        <is>
          <t xml:space="preserve">                    Share of (Profit)/Loss from Associates, Joint Ventures and other Equity Investments, Non-Cash Adjustment</t>
        </is>
      </c>
      <c r="D24" s="190">
        <f>IF(COUNT(M24:AS24)&gt;0,MEDIAN(M24:AS24),"")</f>
        <v/>
      </c>
      <c r="E24" s="190">
        <f>IF(COUNT(M24:AS24)&gt;0,AVERAGE(M24:AS24),"")</f>
        <v/>
      </c>
      <c r="F24" s="190">
        <f>IF(COUNT(M24:AS24)&gt;0,MIN(M24:AS24),"")</f>
        <v/>
      </c>
      <c r="G24" s="190">
        <f>IF(COUNT(M24:AS24)&gt;0,MAX(M24:AS24),"")</f>
        <v/>
      </c>
      <c r="H24" s="190">
        <f>IF(COUNT(M24:AS24)&gt;0,QUARTILE(M24:AS24,1),"")</f>
        <v/>
      </c>
      <c r="I24" s="190">
        <f>IF(COUNT(M24:AS24)&gt;0,QUARTILE(M24:AS24,3),"")</f>
        <v/>
      </c>
      <c r="J24" s="190">
        <f>IF(COUNT(M24:AS24)&gt;1,STDEV(M24:AS24),"")</f>
        <v/>
      </c>
      <c r="K24" s="191">
        <f>IF(COUNT(M24:AS24)&gt;1,STDEV(M24:AS24)/AVERAGE(M24:AS24),"")</f>
        <v/>
      </c>
      <c r="M24" s="192" t="n">
        <v>326</v>
      </c>
      <c r="N24" s="192" t="n">
        <v>-149</v>
      </c>
      <c r="O24" s="192" t="n">
        <v>2241</v>
      </c>
      <c r="P24" s="192" t="n">
        <v>5347</v>
      </c>
      <c r="Q24" s="192" t="n">
        <v>284</v>
      </c>
      <c r="R24" s="192" t="n">
        <v>-3240</v>
      </c>
      <c r="S24" s="192" t="n">
        <v>1401</v>
      </c>
      <c r="T24" s="192" t="n">
        <v>419</v>
      </c>
      <c r="U24" s="192" t="n">
        <v>750</v>
      </c>
      <c r="V24" s="192" t="n">
        <v>671</v>
      </c>
      <c r="W24" s="192" t="n">
        <v>895</v>
      </c>
      <c r="X24" s="192" t="n">
        <v>0</v>
      </c>
      <c r="Y24" s="192" t="n"/>
      <c r="Z24" s="192" t="n"/>
      <c r="AA24" s="192" t="n"/>
      <c r="AB24" s="192" t="n"/>
      <c r="AC24" s="192" t="n"/>
      <c r="AD24" s="192" t="n"/>
      <c r="AE24" s="192" t="n"/>
      <c r="AF24" s="192" t="n"/>
      <c r="AG24" s="192" t="n"/>
      <c r="AH24" s="192" t="n"/>
      <c r="AI24" s="192" t="n"/>
      <c r="AJ24" s="192" t="n"/>
      <c r="AK24" s="192" t="n"/>
      <c r="AL24" s="192" t="n"/>
      <c r="AM24" s="192" t="n"/>
      <c r="AN24" s="192" t="n"/>
      <c r="AO24" s="192" t="n"/>
      <c r="AP24" s="192" t="n"/>
      <c r="AQ24" s="192" t="n"/>
      <c r="AR24" s="192" t="n"/>
      <c r="AS24" s="192" t="n"/>
      <c r="AT24" s="182" t="n"/>
      <c r="AU24" s="176" t="n"/>
      <c r="AV24" s="176" t="n"/>
      <c r="AW24" s="176" t="n"/>
      <c r="AX24" s="176" t="n"/>
      <c r="AY24" s="176" t="n"/>
      <c r="AZ24" s="176" t="n"/>
      <c r="BA24" s="176" t="n"/>
      <c r="BB24" s="176" t="n"/>
      <c r="BC24" s="176" t="n"/>
      <c r="BD24" s="176" t="n"/>
      <c r="BE24" s="176" t="n"/>
      <c r="BF24" s="176" t="n"/>
      <c r="BG24" s="176" t="n"/>
      <c r="BH24" s="176" t="n"/>
      <c r="BI24" s="176" t="n"/>
      <c r="BJ24" s="176" t="n"/>
      <c r="BK24" s="176" t="n"/>
      <c r="BL24" s="176" t="n"/>
      <c r="BM24" s="176" t="n"/>
      <c r="BN24" s="176" t="n"/>
      <c r="BO24" s="176" t="n"/>
      <c r="BP24" s="176" t="n"/>
      <c r="BQ24" s="176" t="n"/>
      <c r="BR24" s="176" t="n"/>
    </row>
    <row r="25" ht="15" customHeight="1" s="392">
      <c r="A25" s="176" t="n"/>
      <c r="B25" s="180" t="n"/>
      <c r="C25" s="187" t="inlineStr">
        <is>
          <t xml:space="preserve">                Total Net Investment (Income)/Loss, Non-Cash Adjustment</t>
        </is>
      </c>
      <c r="D25" s="193">
        <f>IF(COUNT(M25:AS25)&gt;0,MEDIAN(M25:AS25),"")</f>
        <v/>
      </c>
      <c r="E25" s="193">
        <f>IF(COUNT(M25:AS25)&gt;0,AVERAGE(M25:AS25),"")</f>
        <v/>
      </c>
      <c r="F25" s="193">
        <f>IF(COUNT(M25:AS25)&gt;0,MIN(M25:AS25),"")</f>
        <v/>
      </c>
      <c r="G25" s="193">
        <f>IF(COUNT(M25:AS25)&gt;0,MAX(M25:AS25),"")</f>
        <v/>
      </c>
      <c r="H25" s="193">
        <f>IF(COUNT(M25:AS25)&gt;0,QUARTILE(M25:AS25,1),"")</f>
        <v/>
      </c>
      <c r="I25" s="193">
        <f>IF(COUNT(M25:AS25)&gt;0,QUARTILE(M25:AS25,3),"")</f>
        <v/>
      </c>
      <c r="J25" s="193">
        <f>IF(COUNT(M25:AS25)&gt;1,STDEV(M25:AS25),"")</f>
        <v/>
      </c>
      <c r="K25" s="194">
        <f>IF(COUNT(M25:AS25)&gt;1,STDEV(M25:AS25)/AVERAGE(M25:AS25),"")</f>
        <v/>
      </c>
      <c r="L25" s="195" t="n"/>
      <c r="M25" s="196" t="n">
        <v>326</v>
      </c>
      <c r="N25" s="196" t="n">
        <v>-149</v>
      </c>
      <c r="O25" s="196" t="n">
        <v>2241</v>
      </c>
      <c r="P25" s="196" t="n">
        <v>5347</v>
      </c>
      <c r="Q25" s="196" t="n">
        <v>284</v>
      </c>
      <c r="R25" s="196" t="n">
        <v>-3240</v>
      </c>
      <c r="S25" s="196" t="n">
        <v>1401</v>
      </c>
      <c r="T25" s="196" t="n">
        <v>419</v>
      </c>
      <c r="U25" s="196" t="n">
        <v>750</v>
      </c>
      <c r="V25" s="196" t="n">
        <v>671</v>
      </c>
      <c r="W25" s="196" t="n">
        <v>895</v>
      </c>
      <c r="X25" s="196" t="n">
        <v>0</v>
      </c>
      <c r="Y25" s="196" t="n"/>
      <c r="Z25" s="196" t="n"/>
      <c r="AA25" s="196" t="n"/>
      <c r="AB25" s="196" t="n"/>
      <c r="AC25" s="196" t="n"/>
      <c r="AD25" s="196" t="n"/>
      <c r="AE25" s="196" t="n"/>
      <c r="AF25" s="196" t="n"/>
      <c r="AG25" s="196" t="n"/>
      <c r="AH25" s="196" t="n"/>
      <c r="AI25" s="196" t="n"/>
      <c r="AJ25" s="196" t="n"/>
      <c r="AK25" s="196" t="n"/>
      <c r="AL25" s="196" t="n"/>
      <c r="AM25" s="196" t="n"/>
      <c r="AN25" s="196" t="n"/>
      <c r="AO25" s="196" t="n"/>
      <c r="AP25" s="196" t="n"/>
      <c r="AQ25" s="196" t="n"/>
      <c r="AR25" s="196" t="n"/>
      <c r="AS25" s="196" t="n"/>
      <c r="AT25" s="182" t="n"/>
      <c r="AU25" s="176" t="n"/>
      <c r="AV25" s="176" t="n"/>
      <c r="AW25" s="176" t="n"/>
      <c r="AX25" s="176" t="n"/>
      <c r="AY25" s="176" t="n"/>
      <c r="AZ25" s="176" t="n"/>
      <c r="BA25" s="176" t="n"/>
      <c r="BB25" s="176" t="n"/>
      <c r="BC25" s="176" t="n"/>
      <c r="BD25" s="176" t="n"/>
      <c r="BE25" s="176" t="n"/>
      <c r="BF25" s="176" t="n"/>
      <c r="BG25" s="176" t="n"/>
      <c r="BH25" s="176" t="n"/>
      <c r="BI25" s="176" t="n"/>
      <c r="BJ25" s="176" t="n"/>
      <c r="BK25" s="176" t="n"/>
      <c r="BL25" s="176" t="n"/>
      <c r="BM25" s="176" t="n"/>
      <c r="BN25" s="176" t="n"/>
      <c r="BO25" s="176" t="n"/>
      <c r="BP25" s="176" t="n"/>
      <c r="BQ25" s="176" t="n"/>
      <c r="BR25" s="176" t="n"/>
    </row>
    <row r="26" ht="15" customHeight="1" s="392">
      <c r="A26" s="176" t="n"/>
      <c r="B26" s="180" t="n"/>
      <c r="C26" s="183" t="inlineStr">
        <is>
          <t xml:space="preserve">                Irregular (Income)/Loss, Non-Cash Adjustment</t>
        </is>
      </c>
      <c r="D26" s="185" t="n"/>
      <c r="E26" s="185" t="n"/>
      <c r="F26" s="185" t="n"/>
      <c r="G26" s="185" t="n"/>
      <c r="H26" s="185" t="n"/>
      <c r="I26" s="185" t="n"/>
      <c r="J26" s="185" t="n"/>
      <c r="K26" s="185" t="n"/>
      <c r="AT26" s="182" t="n"/>
      <c r="AU26" s="176" t="n"/>
      <c r="AV26" s="176" t="n"/>
      <c r="AW26" s="176" t="n"/>
      <c r="AX26" s="176" t="n"/>
      <c r="AY26" s="176" t="n"/>
      <c r="AZ26" s="176" t="n"/>
      <c r="BA26" s="176" t="n"/>
      <c r="BB26" s="176" t="n"/>
      <c r="BC26" s="176" t="n"/>
      <c r="BD26" s="176" t="n"/>
      <c r="BE26" s="176" t="n"/>
      <c r="BF26" s="176" t="n"/>
      <c r="BG26" s="176" t="n"/>
      <c r="BH26" s="176" t="n"/>
      <c r="BI26" s="176" t="n"/>
      <c r="BJ26" s="176" t="n"/>
      <c r="BK26" s="176" t="n"/>
      <c r="BL26" s="176" t="n"/>
      <c r="BM26" s="176" t="n"/>
      <c r="BN26" s="176" t="n"/>
      <c r="BO26" s="176" t="n"/>
      <c r="BP26" s="176" t="n"/>
      <c r="BQ26" s="176" t="n"/>
      <c r="BR26" s="176" t="n"/>
    </row>
    <row r="27" ht="15" customHeight="1" s="392">
      <c r="A27" s="176" t="n"/>
      <c r="B27" s="180" t="n"/>
      <c r="C27" s="183" t="inlineStr">
        <is>
          <t xml:space="preserve">                    (Gain)/Loss on Disposals, Non-Cash Adjustment</t>
        </is>
      </c>
      <c r="D27" s="185" t="n"/>
      <c r="E27" s="185" t="n"/>
      <c r="F27" s="185" t="n"/>
      <c r="G27" s="185" t="n"/>
      <c r="H27" s="185" t="n"/>
      <c r="I27" s="185" t="n"/>
      <c r="J27" s="185" t="n"/>
      <c r="K27" s="185" t="n"/>
      <c r="AT27" s="182" t="n"/>
      <c r="AU27" s="176" t="n"/>
      <c r="AV27" s="176" t="n"/>
      <c r="AW27" s="176" t="n"/>
      <c r="AX27" s="176" t="n"/>
      <c r="AY27" s="176" t="n"/>
      <c r="AZ27" s="176" t="n"/>
      <c r="BA27" s="176" t="n"/>
      <c r="BB27" s="176" t="n"/>
      <c r="BC27" s="176" t="n"/>
      <c r="BD27" s="176" t="n"/>
      <c r="BE27" s="176" t="n"/>
      <c r="BF27" s="176" t="n"/>
      <c r="BG27" s="176" t="n"/>
      <c r="BH27" s="176" t="n"/>
      <c r="BI27" s="176" t="n"/>
      <c r="BJ27" s="176" t="n"/>
      <c r="BK27" s="176" t="n"/>
      <c r="BL27" s="176" t="n"/>
      <c r="BM27" s="176" t="n"/>
      <c r="BN27" s="176" t="n"/>
      <c r="BO27" s="176" t="n"/>
      <c r="BP27" s="176" t="n"/>
      <c r="BQ27" s="176" t="n"/>
      <c r="BR27" s="176" t="n"/>
    </row>
    <row r="28" ht="15" customHeight="1" s="392">
      <c r="A28" s="176" t="n"/>
      <c r="B28" s="180" t="n"/>
      <c r="C28" s="183" t="inlineStr">
        <is>
          <t xml:space="preserve">                        (Gain)/Loss on Disposal/Sale of Fixed Assets, Non-Cash Adjustment</t>
        </is>
      </c>
      <c r="D28" s="190">
        <f>IF(COUNT(M28:AS28)&gt;0,MEDIAN(M28:AS28),"")</f>
        <v/>
      </c>
      <c r="E28" s="190">
        <f>IF(COUNT(M28:AS28)&gt;0,AVERAGE(M28:AS28),"")</f>
        <v/>
      </c>
      <c r="F28" s="190">
        <f>IF(COUNT(M28:AS28)&gt;0,MIN(M28:AS28),"")</f>
        <v/>
      </c>
      <c r="G28" s="190">
        <f>IF(COUNT(M28:AS28)&gt;0,MAX(M28:AS28),"")</f>
        <v/>
      </c>
      <c r="H28" s="190">
        <f>IF(COUNT(M28:AS28)&gt;0,QUARTILE(M28:AS28,1),"")</f>
        <v/>
      </c>
      <c r="I28" s="190">
        <f>IF(COUNT(M28:AS28)&gt;0,QUARTILE(M28:AS28,3),"")</f>
        <v/>
      </c>
      <c r="J28" s="190">
        <f>IF(COUNT(M28:AS28)&gt;1,STDEV(M28:AS28),"")</f>
        <v/>
      </c>
      <c r="K28" s="191">
        <f>IF(COUNT(M28:AS28)&gt;1,STDEV(M28:AS28)/AVERAGE(M28:AS28),"")</f>
        <v/>
      </c>
      <c r="M28" s="192" t="n">
        <v>1130</v>
      </c>
      <c r="N28" s="192" t="n">
        <v>-13726</v>
      </c>
      <c r="O28" s="192" t="n">
        <v>-2386</v>
      </c>
      <c r="P28" s="192" t="n">
        <v>-1846</v>
      </c>
      <c r="Q28" s="192" t="n">
        <v>-939</v>
      </c>
      <c r="R28" s="192" t="n">
        <v>-1480</v>
      </c>
      <c r="S28" s="192" t="n">
        <v>-1913</v>
      </c>
      <c r="T28" s="192" t="n">
        <v>-3073</v>
      </c>
      <c r="U28" s="192" t="n">
        <v>3240</v>
      </c>
      <c r="V28" s="192" t="n">
        <v>184</v>
      </c>
      <c r="W28" s="192" t="n">
        <v>-54</v>
      </c>
      <c r="X28" s="192" t="n">
        <v>-918</v>
      </c>
      <c r="Y28" s="192" t="n">
        <v>-1461</v>
      </c>
      <c r="Z28" s="192" t="n">
        <v>-962</v>
      </c>
      <c r="AA28" s="192" t="n">
        <v>-143</v>
      </c>
      <c r="AB28" s="192" t="n">
        <v>1882</v>
      </c>
      <c r="AC28" s="192" t="n">
        <v>659</v>
      </c>
      <c r="AD28" s="192" t="n">
        <v>647</v>
      </c>
      <c r="AE28" s="192" t="n"/>
      <c r="AF28" s="192" t="n"/>
      <c r="AG28" s="192" t="n"/>
      <c r="AH28" s="192" t="n"/>
      <c r="AI28" s="192" t="n"/>
      <c r="AJ28" s="192" t="n"/>
      <c r="AK28" s="192" t="n"/>
      <c r="AL28" s="192" t="n"/>
      <c r="AM28" s="192" t="n"/>
      <c r="AN28" s="192" t="n"/>
      <c r="AO28" s="192" t="n"/>
      <c r="AP28" s="192" t="n"/>
      <c r="AQ28" s="192" t="n"/>
      <c r="AR28" s="192" t="n"/>
      <c r="AS28" s="192" t="n"/>
      <c r="AT28" s="182" t="n"/>
      <c r="AU28" s="176" t="n"/>
      <c r="AV28" s="176" t="n"/>
      <c r="AW28" s="176" t="n"/>
      <c r="AX28" s="176" t="n"/>
      <c r="AY28" s="176" t="n"/>
      <c r="AZ28" s="176" t="n"/>
      <c r="BA28" s="176" t="n"/>
      <c r="BB28" s="176" t="n"/>
      <c r="BC28" s="176" t="n"/>
      <c r="BD28" s="176" t="n"/>
      <c r="BE28" s="176" t="n"/>
      <c r="BF28" s="176" t="n"/>
      <c r="BG28" s="176" t="n"/>
      <c r="BH28" s="176" t="n"/>
      <c r="BI28" s="176" t="n"/>
      <c r="BJ28" s="176" t="n"/>
      <c r="BK28" s="176" t="n"/>
      <c r="BL28" s="176" t="n"/>
      <c r="BM28" s="176" t="n"/>
      <c r="BN28" s="176" t="n"/>
      <c r="BO28" s="176" t="n"/>
      <c r="BP28" s="176" t="n"/>
      <c r="BQ28" s="176" t="n"/>
      <c r="BR28" s="176" t="n"/>
    </row>
    <row r="29" ht="15" customHeight="1" s="392">
      <c r="A29" s="176" t="n"/>
      <c r="B29" s="180" t="n"/>
      <c r="C29" s="187" t="inlineStr">
        <is>
          <t xml:space="preserve">                    Total (Gain)/Loss on Disposals, Non-Cash Adjustment</t>
        </is>
      </c>
      <c r="D29" s="193">
        <f>IF(COUNT(M29:AS29)&gt;0,MEDIAN(M29:AS29),"")</f>
        <v/>
      </c>
      <c r="E29" s="193">
        <f>IF(COUNT(M29:AS29)&gt;0,AVERAGE(M29:AS29),"")</f>
        <v/>
      </c>
      <c r="F29" s="193">
        <f>IF(COUNT(M29:AS29)&gt;0,MIN(M29:AS29),"")</f>
        <v/>
      </c>
      <c r="G29" s="193">
        <f>IF(COUNT(M29:AS29)&gt;0,MAX(M29:AS29),"")</f>
        <v/>
      </c>
      <c r="H29" s="193">
        <f>IF(COUNT(M29:AS29)&gt;0,QUARTILE(M29:AS29,1),"")</f>
        <v/>
      </c>
      <c r="I29" s="193">
        <f>IF(COUNT(M29:AS29)&gt;0,QUARTILE(M29:AS29,3),"")</f>
        <v/>
      </c>
      <c r="J29" s="193">
        <f>IF(COUNT(M29:AS29)&gt;1,STDEV(M29:AS29),"")</f>
        <v/>
      </c>
      <c r="K29" s="194">
        <f>IF(COUNT(M29:AS29)&gt;1,STDEV(M29:AS29)/AVERAGE(M29:AS29),"")</f>
        <v/>
      </c>
      <c r="L29" s="195" t="n"/>
      <c r="M29" s="196" t="n">
        <v>1130</v>
      </c>
      <c r="N29" s="196" t="n">
        <v>-13726</v>
      </c>
      <c r="O29" s="196" t="n">
        <v>-2386</v>
      </c>
      <c r="P29" s="196" t="n">
        <v>-1846</v>
      </c>
      <c r="Q29" s="196" t="n">
        <v>-939</v>
      </c>
      <c r="R29" s="196" t="n">
        <v>-1480</v>
      </c>
      <c r="S29" s="196" t="n">
        <v>-1913</v>
      </c>
      <c r="T29" s="196" t="n">
        <v>-3073</v>
      </c>
      <c r="U29" s="196" t="n">
        <v>3240</v>
      </c>
      <c r="V29" s="196" t="n">
        <v>184</v>
      </c>
      <c r="W29" s="196" t="n">
        <v>-54</v>
      </c>
      <c r="X29" s="196" t="n">
        <v>-918</v>
      </c>
      <c r="Y29" s="196" t="n">
        <v>-1461</v>
      </c>
      <c r="Z29" s="196" t="n">
        <v>-962</v>
      </c>
      <c r="AA29" s="196" t="n">
        <v>-143</v>
      </c>
      <c r="AB29" s="196" t="n">
        <v>1882</v>
      </c>
      <c r="AC29" s="196" t="n">
        <v>659</v>
      </c>
      <c r="AD29" s="196" t="n">
        <v>647</v>
      </c>
      <c r="AE29" s="196" t="n"/>
      <c r="AF29" s="196" t="n"/>
      <c r="AG29" s="196" t="n"/>
      <c r="AH29" s="196" t="n"/>
      <c r="AI29" s="196" t="n"/>
      <c r="AJ29" s="196" t="n"/>
      <c r="AK29" s="196" t="n"/>
      <c r="AL29" s="196" t="n"/>
      <c r="AM29" s="196" t="n"/>
      <c r="AN29" s="196" t="n"/>
      <c r="AO29" s="196" t="n"/>
      <c r="AP29" s="196" t="n"/>
      <c r="AQ29" s="196" t="n"/>
      <c r="AR29" s="196" t="n"/>
      <c r="AS29" s="196" t="n"/>
      <c r="AT29" s="182" t="n"/>
      <c r="AU29" s="176" t="n"/>
      <c r="AV29" s="176" t="n"/>
      <c r="AW29" s="176" t="n"/>
      <c r="AX29" s="176" t="n"/>
      <c r="AY29" s="176" t="n"/>
      <c r="AZ29" s="176" t="n"/>
      <c r="BA29" s="176" t="n"/>
      <c r="BB29" s="176" t="n"/>
      <c r="BC29" s="176" t="n"/>
      <c r="BD29" s="176" t="n"/>
      <c r="BE29" s="176" t="n"/>
      <c r="BF29" s="176" t="n"/>
      <c r="BG29" s="176" t="n"/>
      <c r="BH29" s="176" t="n"/>
      <c r="BI29" s="176" t="n"/>
      <c r="BJ29" s="176" t="n"/>
      <c r="BK29" s="176" t="n"/>
      <c r="BL29" s="176" t="n"/>
      <c r="BM29" s="176" t="n"/>
      <c r="BN29" s="176" t="n"/>
      <c r="BO29" s="176" t="n"/>
      <c r="BP29" s="176" t="n"/>
      <c r="BQ29" s="176" t="n"/>
      <c r="BR29" s="176" t="n"/>
    </row>
    <row r="30" ht="15" customHeight="1" s="392">
      <c r="A30" s="176" t="n"/>
      <c r="B30" s="180" t="n"/>
      <c r="C30" s="183" t="inlineStr">
        <is>
          <t xml:space="preserve">                    Impairment/Write Off/Write Down of Capital Assets Loss/Reversal, Non-Cash Adjustment</t>
        </is>
      </c>
      <c r="D30" s="190">
        <f>IF(COUNT(M30:AS30)&gt;0,MEDIAN(M30:AS30),"")</f>
        <v/>
      </c>
      <c r="E30" s="190">
        <f>IF(COUNT(M30:AS30)&gt;0,AVERAGE(M30:AS30),"")</f>
        <v/>
      </c>
      <c r="F30" s="190">
        <f>IF(COUNT(M30:AS30)&gt;0,MIN(M30:AS30),"")</f>
        <v/>
      </c>
      <c r="G30" s="190">
        <f>IF(COUNT(M30:AS30)&gt;0,MAX(M30:AS30),"")</f>
        <v/>
      </c>
      <c r="H30" s="190">
        <f>IF(COUNT(M30:AS30)&gt;0,QUARTILE(M30:AS30,1),"")</f>
        <v/>
      </c>
      <c r="I30" s="190">
        <f>IF(COUNT(M30:AS30)&gt;0,QUARTILE(M30:AS30,3),"")</f>
        <v/>
      </c>
      <c r="J30" s="190">
        <f>IF(COUNT(M30:AS30)&gt;1,STDEV(M30:AS30),"")</f>
        <v/>
      </c>
      <c r="K30" s="191">
        <f>IF(COUNT(M30:AS30)&gt;1,STDEV(M30:AS30)/AVERAGE(M30:AS30),"")</f>
        <v/>
      </c>
      <c r="M30" s="192" t="n"/>
      <c r="N30" s="192" t="n"/>
      <c r="O30" s="192" t="n"/>
      <c r="P30" s="192" t="n"/>
      <c r="Q30" s="192" t="n"/>
      <c r="R30" s="192" t="n"/>
      <c r="S30" s="192" t="n"/>
      <c r="T30" s="192" t="n"/>
      <c r="U30" s="192" t="n">
        <v>1157</v>
      </c>
      <c r="V30" s="192" t="n">
        <v>19365</v>
      </c>
      <c r="W30" s="192" t="n">
        <v>0</v>
      </c>
      <c r="X30" s="192" t="n">
        <v>0</v>
      </c>
      <c r="Y30" s="192" t="n">
        <v>29104</v>
      </c>
      <c r="Z30" s="192" t="n">
        <v>0</v>
      </c>
      <c r="AA30" s="192" t="n">
        <v>8771</v>
      </c>
      <c r="AB30" s="192" t="n">
        <v>0</v>
      </c>
      <c r="AC30" s="192" t="n"/>
      <c r="AD30" s="192" t="n"/>
      <c r="AE30" s="192" t="n"/>
      <c r="AF30" s="192" t="n"/>
      <c r="AG30" s="192" t="n"/>
      <c r="AH30" s="192" t="n"/>
      <c r="AI30" s="192" t="n"/>
      <c r="AJ30" s="192" t="n"/>
      <c r="AK30" s="192" t="n"/>
      <c r="AL30" s="192" t="n"/>
      <c r="AM30" s="192" t="n"/>
      <c r="AN30" s="192" t="n"/>
      <c r="AO30" s="192" t="n"/>
      <c r="AP30" s="192" t="n"/>
      <c r="AQ30" s="192" t="n"/>
      <c r="AR30" s="192" t="n"/>
      <c r="AS30" s="192" t="n"/>
      <c r="AT30" s="182" t="n"/>
      <c r="AU30" s="176" t="n"/>
      <c r="AV30" s="176" t="n"/>
      <c r="AW30" s="176" t="n"/>
      <c r="AX30" s="176" t="n"/>
      <c r="AY30" s="176" t="n"/>
      <c r="AZ30" s="176" t="n"/>
      <c r="BA30" s="176" t="n"/>
      <c r="BB30" s="176" t="n"/>
      <c r="BC30" s="176" t="n"/>
      <c r="BD30" s="176" t="n"/>
      <c r="BE30" s="176" t="n"/>
      <c r="BF30" s="176" t="n"/>
      <c r="BG30" s="176" t="n"/>
      <c r="BH30" s="176" t="n"/>
      <c r="BI30" s="176" t="n"/>
      <c r="BJ30" s="176" t="n"/>
      <c r="BK30" s="176" t="n"/>
      <c r="BL30" s="176" t="n"/>
      <c r="BM30" s="176" t="n"/>
      <c r="BN30" s="176" t="n"/>
      <c r="BO30" s="176" t="n"/>
      <c r="BP30" s="176" t="n"/>
      <c r="BQ30" s="176" t="n"/>
      <c r="BR30" s="176" t="n"/>
    </row>
    <row r="31" ht="15" customHeight="1" s="392">
      <c r="A31" s="176" t="n"/>
      <c r="B31" s="180" t="n"/>
      <c r="C31" s="183" t="inlineStr">
        <is>
          <t xml:space="preserve">                    (Gain)/Loss on Extinguishment of Debt, Non-Cash Adjustment</t>
        </is>
      </c>
      <c r="D31" s="190">
        <f>IF(COUNT(M31:AS31)&gt;0,MEDIAN(M31:AS31),"")</f>
        <v/>
      </c>
      <c r="E31" s="190">
        <f>IF(COUNT(M31:AS31)&gt;0,AVERAGE(M31:AS31),"")</f>
        <v/>
      </c>
      <c r="F31" s="190">
        <f>IF(COUNT(M31:AS31)&gt;0,MIN(M31:AS31),"")</f>
        <v/>
      </c>
      <c r="G31" s="190">
        <f>IF(COUNT(M31:AS31)&gt;0,MAX(M31:AS31),"")</f>
        <v/>
      </c>
      <c r="H31" s="190">
        <f>IF(COUNT(M31:AS31)&gt;0,QUARTILE(M31:AS31,1),"")</f>
        <v/>
      </c>
      <c r="I31" s="190">
        <f>IF(COUNT(M31:AS31)&gt;0,QUARTILE(M31:AS31,3),"")</f>
        <v/>
      </c>
      <c r="J31" s="190">
        <f>IF(COUNT(M31:AS31)&gt;1,STDEV(M31:AS31),"")</f>
        <v/>
      </c>
      <c r="K31" s="191">
        <f>IF(COUNT(M31:AS31)&gt;1,STDEV(M31:AS31)/AVERAGE(M31:AS31),"")</f>
        <v/>
      </c>
      <c r="M31" s="192" t="n"/>
      <c r="N31" s="192" t="n">
        <v>0</v>
      </c>
      <c r="O31" s="192" t="n">
        <v>-4058</v>
      </c>
      <c r="P31" s="192" t="n">
        <v>0</v>
      </c>
      <c r="Q31" s="192" t="n">
        <v>16759</v>
      </c>
      <c r="R31" s="192" t="n">
        <v>0</v>
      </c>
      <c r="S31" s="192" t="n">
        <v>0</v>
      </c>
      <c r="T31" s="192" t="n"/>
      <c r="U31" s="192" t="n"/>
      <c r="V31" s="192" t="n"/>
      <c r="W31" s="192" t="n"/>
      <c r="X31" s="192" t="n"/>
      <c r="Y31" s="192" t="n"/>
      <c r="Z31" s="192" t="n"/>
      <c r="AA31" s="192" t="n"/>
      <c r="AB31" s="192" t="n"/>
      <c r="AC31" s="192" t="n"/>
      <c r="AD31" s="192" t="n"/>
      <c r="AE31" s="192" t="n"/>
      <c r="AF31" s="192" t="n"/>
      <c r="AG31" s="192" t="n"/>
      <c r="AH31" s="192" t="n"/>
      <c r="AI31" s="192" t="n"/>
      <c r="AJ31" s="192" t="n"/>
      <c r="AK31" s="192" t="n"/>
      <c r="AL31" s="192" t="n"/>
      <c r="AM31" s="192" t="n"/>
      <c r="AN31" s="192" t="n"/>
      <c r="AO31" s="192" t="n"/>
      <c r="AP31" s="192" t="n"/>
      <c r="AQ31" s="192" t="n"/>
      <c r="AR31" s="192" t="n"/>
      <c r="AS31" s="192" t="n"/>
      <c r="AT31" s="182" t="n"/>
      <c r="AU31" s="176" t="n"/>
      <c r="AV31" s="176" t="n"/>
      <c r="AW31" s="176" t="n"/>
      <c r="AX31" s="176" t="n"/>
      <c r="AY31" s="176" t="n"/>
      <c r="AZ31" s="176" t="n"/>
      <c r="BA31" s="176" t="n"/>
      <c r="BB31" s="176" t="n"/>
      <c r="BC31" s="176" t="n"/>
      <c r="BD31" s="176" t="n"/>
      <c r="BE31" s="176" t="n"/>
      <c r="BF31" s="176" t="n"/>
      <c r="BG31" s="176" t="n"/>
      <c r="BH31" s="176" t="n"/>
      <c r="BI31" s="176" t="n"/>
      <c r="BJ31" s="176" t="n"/>
      <c r="BK31" s="176" t="n"/>
      <c r="BL31" s="176" t="n"/>
      <c r="BM31" s="176" t="n"/>
      <c r="BN31" s="176" t="n"/>
      <c r="BO31" s="176" t="n"/>
      <c r="BP31" s="176" t="n"/>
      <c r="BQ31" s="176" t="n"/>
      <c r="BR31" s="176" t="n"/>
    </row>
    <row r="32" ht="15" customHeight="1" s="392">
      <c r="A32" s="176" t="n"/>
      <c r="B32" s="180" t="n"/>
      <c r="C32" s="187" t="inlineStr">
        <is>
          <t xml:space="preserve">                Total Irregular (Income)/Loss, Non-Cash Adjustment</t>
        </is>
      </c>
      <c r="D32" s="193">
        <f>IF(COUNT(M32:AS32)&gt;0,MEDIAN(M32:AS32),"")</f>
        <v/>
      </c>
      <c r="E32" s="193">
        <f>IF(COUNT(M32:AS32)&gt;0,AVERAGE(M32:AS32),"")</f>
        <v/>
      </c>
      <c r="F32" s="193">
        <f>IF(COUNT(M32:AS32)&gt;0,MIN(M32:AS32),"")</f>
        <v/>
      </c>
      <c r="G32" s="193">
        <f>IF(COUNT(M32:AS32)&gt;0,MAX(M32:AS32),"")</f>
        <v/>
      </c>
      <c r="H32" s="193">
        <f>IF(COUNT(M32:AS32)&gt;0,QUARTILE(M32:AS32,1),"")</f>
        <v/>
      </c>
      <c r="I32" s="193">
        <f>IF(COUNT(M32:AS32)&gt;0,QUARTILE(M32:AS32,3),"")</f>
        <v/>
      </c>
      <c r="J32" s="193">
        <f>IF(COUNT(M32:AS32)&gt;1,STDEV(M32:AS32),"")</f>
        <v/>
      </c>
      <c r="K32" s="194">
        <f>IF(COUNT(M32:AS32)&gt;1,STDEV(M32:AS32)/AVERAGE(M32:AS32),"")</f>
        <v/>
      </c>
      <c r="L32" s="195" t="n"/>
      <c r="M32" s="196" t="n">
        <v>1130</v>
      </c>
      <c r="N32" s="196" t="n">
        <v>-13726</v>
      </c>
      <c r="O32" s="196" t="n">
        <v>-6444</v>
      </c>
      <c r="P32" s="196" t="n">
        <v>-1846</v>
      </c>
      <c r="Q32" s="196" t="n">
        <v>15820</v>
      </c>
      <c r="R32" s="196" t="n">
        <v>-1480</v>
      </c>
      <c r="S32" s="196" t="n">
        <v>-1913</v>
      </c>
      <c r="T32" s="196" t="n">
        <v>-3073</v>
      </c>
      <c r="U32" s="196" t="n">
        <v>4397</v>
      </c>
      <c r="V32" s="196" t="n">
        <v>19549</v>
      </c>
      <c r="W32" s="196" t="n">
        <v>-54</v>
      </c>
      <c r="X32" s="196" t="n">
        <v>-918</v>
      </c>
      <c r="Y32" s="196" t="n">
        <v>27643</v>
      </c>
      <c r="Z32" s="196" t="n">
        <v>-962</v>
      </c>
      <c r="AA32" s="196" t="n">
        <v>8628</v>
      </c>
      <c r="AB32" s="196" t="n">
        <v>1882</v>
      </c>
      <c r="AC32" s="196" t="n">
        <v>659</v>
      </c>
      <c r="AD32" s="196" t="n">
        <v>647</v>
      </c>
      <c r="AE32" s="196" t="n"/>
      <c r="AF32" s="196" t="n"/>
      <c r="AG32" s="196" t="n"/>
      <c r="AH32" s="196" t="n"/>
      <c r="AI32" s="196" t="n"/>
      <c r="AJ32" s="196" t="n"/>
      <c r="AK32" s="196" t="n"/>
      <c r="AL32" s="196" t="n"/>
      <c r="AM32" s="196" t="n"/>
      <c r="AN32" s="196" t="n"/>
      <c r="AO32" s="196" t="n"/>
      <c r="AP32" s="196" t="n"/>
      <c r="AQ32" s="196" t="n"/>
      <c r="AR32" s="196" t="n"/>
      <c r="AS32" s="196" t="n"/>
      <c r="AT32" s="182" t="n"/>
      <c r="AU32" s="176" t="n"/>
      <c r="AV32" s="176" t="n"/>
      <c r="AW32" s="176" t="n"/>
      <c r="AX32" s="176" t="n"/>
      <c r="AY32" s="176" t="n"/>
      <c r="AZ32" s="176" t="n"/>
      <c r="BA32" s="176" t="n"/>
      <c r="BB32" s="176" t="n"/>
      <c r="BC32" s="176" t="n"/>
      <c r="BD32" s="176" t="n"/>
      <c r="BE32" s="176" t="n"/>
      <c r="BF32" s="176" t="n"/>
      <c r="BG32" s="176" t="n"/>
      <c r="BH32" s="176" t="n"/>
      <c r="BI32" s="176" t="n"/>
      <c r="BJ32" s="176" t="n"/>
      <c r="BK32" s="176" t="n"/>
      <c r="BL32" s="176" t="n"/>
      <c r="BM32" s="176" t="n"/>
      <c r="BN32" s="176" t="n"/>
      <c r="BO32" s="176" t="n"/>
      <c r="BP32" s="176" t="n"/>
      <c r="BQ32" s="176" t="n"/>
      <c r="BR32" s="176" t="n"/>
    </row>
    <row r="33" ht="15" customHeight="1" s="392">
      <c r="A33" s="176" t="n"/>
      <c r="B33" s="180" t="n"/>
      <c r="C33" s="183" t="inlineStr">
        <is>
          <t xml:space="preserve">                Other Operating (Gain)/Loss, Non-Cash Adjustment</t>
        </is>
      </c>
      <c r="D33" s="190">
        <f>IF(COUNT(M33:AS33)&gt;0,MEDIAN(M33:AS33),"")</f>
        <v/>
      </c>
      <c r="E33" s="190">
        <f>IF(COUNT(M33:AS33)&gt;0,AVERAGE(M33:AS33),"")</f>
        <v/>
      </c>
      <c r="F33" s="190">
        <f>IF(COUNT(M33:AS33)&gt;0,MIN(M33:AS33),"")</f>
        <v/>
      </c>
      <c r="G33" s="190">
        <f>IF(COUNT(M33:AS33)&gt;0,MAX(M33:AS33),"")</f>
        <v/>
      </c>
      <c r="H33" s="190">
        <f>IF(COUNT(M33:AS33)&gt;0,QUARTILE(M33:AS33,1),"")</f>
        <v/>
      </c>
      <c r="I33" s="190">
        <f>IF(COUNT(M33:AS33)&gt;0,QUARTILE(M33:AS33,3),"")</f>
        <v/>
      </c>
      <c r="J33" s="190">
        <f>IF(COUNT(M33:AS33)&gt;1,STDEV(M33:AS33),"")</f>
        <v/>
      </c>
      <c r="K33" s="191">
        <f>IF(COUNT(M33:AS33)&gt;1,STDEV(M33:AS33)/AVERAGE(M33:AS33),"")</f>
        <v/>
      </c>
      <c r="M33" s="192" t="n"/>
      <c r="N33" s="192" t="n"/>
      <c r="O33" s="192" t="n"/>
      <c r="P33" s="192" t="n"/>
      <c r="Q33" s="192" t="n"/>
      <c r="R33" s="192" t="n"/>
      <c r="S33" s="192" t="n"/>
      <c r="T33" s="192" t="n"/>
      <c r="U33" s="192" t="n"/>
      <c r="V33" s="192" t="n"/>
      <c r="W33" s="192" t="n"/>
      <c r="X33" s="192" t="n"/>
      <c r="Y33" s="192" t="n"/>
      <c r="Z33" s="192" t="n"/>
      <c r="AA33" s="192" t="n"/>
      <c r="AB33" s="192" t="n"/>
      <c r="AC33" s="192" t="n"/>
      <c r="AD33" s="192" t="n"/>
      <c r="AE33" s="192" t="n">
        <v>123</v>
      </c>
      <c r="AF33" s="192" t="n">
        <v>2435</v>
      </c>
      <c r="AG33" s="192" t="n">
        <v>7439</v>
      </c>
      <c r="AH33" s="192" t="n">
        <v>-1349</v>
      </c>
      <c r="AI33" s="192" t="n">
        <v>-937</v>
      </c>
      <c r="AJ33" s="192" t="n">
        <v>-554</v>
      </c>
      <c r="AK33" s="192" t="n">
        <v>-270.5</v>
      </c>
      <c r="AL33" s="192" t="n">
        <v>-255.3</v>
      </c>
      <c r="AM33" s="192" t="n">
        <v>-157</v>
      </c>
      <c r="AN33" s="192" t="n">
        <v>-200</v>
      </c>
      <c r="AO33" s="192" t="n">
        <v>500</v>
      </c>
      <c r="AP33" s="192" t="n">
        <v>300</v>
      </c>
      <c r="AQ33" s="192" t="n">
        <v>1000</v>
      </c>
      <c r="AR33" s="192" t="n">
        <v>100</v>
      </c>
      <c r="AS33" s="192" t="n">
        <v>1300</v>
      </c>
      <c r="AT33" s="182" t="n"/>
      <c r="AU33" s="176" t="n"/>
      <c r="AV33" s="176" t="n"/>
      <c r="AW33" s="176" t="n"/>
      <c r="AX33" s="176" t="n"/>
      <c r="AY33" s="176" t="n"/>
      <c r="AZ33" s="176" t="n"/>
      <c r="BA33" s="176" t="n"/>
      <c r="BB33" s="176" t="n"/>
      <c r="BC33" s="176" t="n"/>
      <c r="BD33" s="176" t="n"/>
      <c r="BE33" s="176" t="n"/>
      <c r="BF33" s="176" t="n"/>
      <c r="BG33" s="176" t="n"/>
      <c r="BH33" s="176" t="n"/>
      <c r="BI33" s="176" t="n"/>
      <c r="BJ33" s="176" t="n"/>
      <c r="BK33" s="176" t="n"/>
      <c r="BL33" s="176" t="n"/>
      <c r="BM33" s="176" t="n"/>
      <c r="BN33" s="176" t="n"/>
      <c r="BO33" s="176" t="n"/>
      <c r="BP33" s="176" t="n"/>
      <c r="BQ33" s="176" t="n"/>
      <c r="BR33" s="176" t="n"/>
    </row>
    <row r="34" ht="15" customHeight="1" s="392">
      <c r="A34" s="176" t="n"/>
      <c r="B34" s="180" t="n"/>
      <c r="C34" s="183" t="inlineStr">
        <is>
          <t xml:space="preserve">                Other Non-Cash Items</t>
        </is>
      </c>
      <c r="D34" s="190">
        <f>IF(COUNT(M34:AS34)&gt;0,MEDIAN(M34:AS34),"")</f>
        <v/>
      </c>
      <c r="E34" s="190">
        <f>IF(COUNT(M34:AS34)&gt;0,AVERAGE(M34:AS34),"")</f>
        <v/>
      </c>
      <c r="F34" s="190">
        <f>IF(COUNT(M34:AS34)&gt;0,MIN(M34:AS34),"")</f>
        <v/>
      </c>
      <c r="G34" s="190">
        <f>IF(COUNT(M34:AS34)&gt;0,MAX(M34:AS34),"")</f>
        <v/>
      </c>
      <c r="H34" s="190">
        <f>IF(COUNT(M34:AS34)&gt;0,QUARTILE(M34:AS34,1),"")</f>
        <v/>
      </c>
      <c r="I34" s="190">
        <f>IF(COUNT(M34:AS34)&gt;0,QUARTILE(M34:AS34,3),"")</f>
        <v/>
      </c>
      <c r="J34" s="190">
        <f>IF(COUNT(M34:AS34)&gt;1,STDEV(M34:AS34),"")</f>
        <v/>
      </c>
      <c r="K34" s="191">
        <f>IF(COUNT(M34:AS34)&gt;1,STDEV(M34:AS34)/AVERAGE(M34:AS34),"")</f>
        <v/>
      </c>
      <c r="M34" s="192" t="n"/>
      <c r="N34" s="192" t="n"/>
      <c r="O34" s="192" t="n"/>
      <c r="P34" s="192" t="n"/>
      <c r="Q34" s="192" t="n"/>
      <c r="R34" s="192" t="n"/>
      <c r="S34" s="192" t="n"/>
      <c r="T34" s="192" t="n"/>
      <c r="U34" s="192" t="n"/>
      <c r="V34" s="192" t="n"/>
      <c r="W34" s="192" t="n"/>
      <c r="X34" s="192" t="n"/>
      <c r="Y34" s="192" t="n"/>
      <c r="Z34" s="192" t="n"/>
      <c r="AA34" s="192" t="n"/>
      <c r="AB34" s="192" t="n"/>
      <c r="AC34" s="192" t="n">
        <v>-440</v>
      </c>
      <c r="AD34" s="192" t="n">
        <v>-1345</v>
      </c>
      <c r="AE34" s="192" t="n">
        <v>6200</v>
      </c>
      <c r="AF34" s="192" t="n">
        <v>4001</v>
      </c>
      <c r="AG34" s="192" t="n">
        <v>4320</v>
      </c>
      <c r="AH34" s="192" t="n"/>
      <c r="AI34" s="192" t="n"/>
      <c r="AJ34" s="192" t="n"/>
      <c r="AK34" s="192" t="n"/>
      <c r="AL34" s="192" t="n"/>
      <c r="AM34" s="192" t="n"/>
      <c r="AN34" s="192" t="n"/>
      <c r="AO34" s="192" t="n"/>
      <c r="AP34" s="192" t="n"/>
      <c r="AQ34" s="192" t="n"/>
      <c r="AR34" s="192" t="n"/>
      <c r="AS34" s="192" t="n"/>
      <c r="AT34" s="182" t="n"/>
      <c r="AU34" s="176" t="n"/>
      <c r="AV34" s="176" t="n"/>
      <c r="AW34" s="176" t="n"/>
      <c r="AX34" s="176" t="n"/>
      <c r="AY34" s="176" t="n"/>
      <c r="AZ34" s="176" t="n"/>
      <c r="BA34" s="176" t="n"/>
      <c r="BB34" s="176" t="n"/>
      <c r="BC34" s="176" t="n"/>
      <c r="BD34" s="176" t="n"/>
      <c r="BE34" s="176" t="n"/>
      <c r="BF34" s="176" t="n"/>
      <c r="BG34" s="176" t="n"/>
      <c r="BH34" s="176" t="n"/>
      <c r="BI34" s="176" t="n"/>
      <c r="BJ34" s="176" t="n"/>
      <c r="BK34" s="176" t="n"/>
      <c r="BL34" s="176" t="n"/>
      <c r="BM34" s="176" t="n"/>
      <c r="BN34" s="176" t="n"/>
      <c r="BO34" s="176" t="n"/>
      <c r="BP34" s="176" t="n"/>
      <c r="BQ34" s="176" t="n"/>
      <c r="BR34" s="176" t="n"/>
    </row>
    <row r="35" ht="15" customHeight="1" s="392">
      <c r="A35" s="176" t="n"/>
      <c r="B35" s="180" t="n"/>
      <c r="C35" s="187" t="inlineStr">
        <is>
          <t xml:space="preserve">            Total Adjustments for Non-Cash Items</t>
        </is>
      </c>
      <c r="D35" s="193">
        <f>IF(COUNT(M35:AS35)&gt;0,MEDIAN(M35:AS35),"")</f>
        <v/>
      </c>
      <c r="E35" s="193">
        <f>IF(COUNT(M35:AS35)&gt;0,AVERAGE(M35:AS35),"")</f>
        <v/>
      </c>
      <c r="F35" s="193">
        <f>IF(COUNT(M35:AS35)&gt;0,MIN(M35:AS35),"")</f>
        <v/>
      </c>
      <c r="G35" s="193">
        <f>IF(COUNT(M35:AS35)&gt;0,MAX(M35:AS35),"")</f>
        <v/>
      </c>
      <c r="H35" s="193">
        <f>IF(COUNT(M35:AS35)&gt;0,QUARTILE(M35:AS35,1),"")</f>
        <v/>
      </c>
      <c r="I35" s="193">
        <f>IF(COUNT(M35:AS35)&gt;0,QUARTILE(M35:AS35,3),"")</f>
        <v/>
      </c>
      <c r="J35" s="193">
        <f>IF(COUNT(M35:AS35)&gt;1,STDEV(M35:AS35),"")</f>
        <v/>
      </c>
      <c r="K35" s="194">
        <f>IF(COUNT(M35:AS35)&gt;1,STDEV(M35:AS35)/AVERAGE(M35:AS35),"")</f>
        <v/>
      </c>
      <c r="L35" s="195" t="n"/>
      <c r="M35" s="196" t="n">
        <v>331698</v>
      </c>
      <c r="N35" s="196" t="n">
        <v>228827</v>
      </c>
      <c r="O35" s="196" t="n">
        <v>224354</v>
      </c>
      <c r="P35" s="196" t="n">
        <v>214750</v>
      </c>
      <c r="Q35" s="196" t="n">
        <v>212040</v>
      </c>
      <c r="R35" s="196" t="n">
        <v>150214</v>
      </c>
      <c r="S35" s="196" t="n">
        <v>151819</v>
      </c>
      <c r="T35" s="196" t="n">
        <v>128863</v>
      </c>
      <c r="U35" s="196" t="n">
        <v>125267</v>
      </c>
      <c r="V35" s="196" t="n">
        <v>118589</v>
      </c>
      <c r="W35" s="196" t="n">
        <v>78263</v>
      </c>
      <c r="X35" s="196" t="n">
        <v>66945</v>
      </c>
      <c r="Y35" s="196" t="n">
        <v>91428</v>
      </c>
      <c r="Z35" s="196" t="n">
        <v>65265</v>
      </c>
      <c r="AA35" s="196" t="n">
        <v>56448</v>
      </c>
      <c r="AB35" s="196" t="n">
        <v>61207</v>
      </c>
      <c r="AC35" s="196" t="n">
        <v>51703</v>
      </c>
      <c r="AD35" s="196" t="n">
        <v>43106</v>
      </c>
      <c r="AE35" s="196" t="n">
        <v>54817</v>
      </c>
      <c r="AF35" s="196" t="n">
        <v>34577</v>
      </c>
      <c r="AG35" s="196" t="n">
        <v>39095</v>
      </c>
      <c r="AH35" s="196" t="n">
        <v>23497</v>
      </c>
      <c r="AI35" s="196" t="n">
        <v>28590</v>
      </c>
      <c r="AJ35" s="196" t="n">
        <v>32197</v>
      </c>
      <c r="AK35" s="196" t="n">
        <v>18849.2</v>
      </c>
      <c r="AL35" s="196" t="n">
        <v>14866.7</v>
      </c>
      <c r="AM35" s="196" t="n">
        <v>12634.8</v>
      </c>
      <c r="AN35" s="196" t="n">
        <v>8900</v>
      </c>
      <c r="AO35" s="196" t="n">
        <v>8200</v>
      </c>
      <c r="AP35" s="196" t="n">
        <v>8200</v>
      </c>
      <c r="AQ35" s="196" t="n">
        <v>6700</v>
      </c>
      <c r="AR35" s="196" t="n">
        <v>3500</v>
      </c>
      <c r="AS35" s="196" t="n">
        <v>2900</v>
      </c>
      <c r="AT35" s="182" t="n"/>
      <c r="AU35" s="176" t="n"/>
      <c r="AV35" s="176" t="n"/>
      <c r="AW35" s="176" t="n"/>
      <c r="AX35" s="176" t="n"/>
      <c r="AY35" s="176" t="n"/>
      <c r="AZ35" s="176" t="n"/>
      <c r="BA35" s="176" t="n"/>
      <c r="BB35" s="176" t="n"/>
      <c r="BC35" s="176" t="n"/>
      <c r="BD35" s="176" t="n"/>
      <c r="BE35" s="176" t="n"/>
      <c r="BF35" s="176" t="n"/>
      <c r="BG35" s="176" t="n"/>
      <c r="BH35" s="176" t="n"/>
      <c r="BI35" s="176" t="n"/>
      <c r="BJ35" s="176" t="n"/>
      <c r="BK35" s="176" t="n"/>
      <c r="BL35" s="176" t="n"/>
      <c r="BM35" s="176" t="n"/>
      <c r="BN35" s="176" t="n"/>
      <c r="BO35" s="176" t="n"/>
      <c r="BP35" s="176" t="n"/>
      <c r="BQ35" s="176" t="n"/>
      <c r="BR35" s="176" t="n"/>
    </row>
    <row r="36" ht="15" customHeight="1" s="392">
      <c r="A36" s="176" t="n"/>
      <c r="B36" s="180" t="n"/>
      <c r="C36" s="183" t="inlineStr">
        <is>
          <t xml:space="preserve">            Changes in Operating Capital</t>
        </is>
      </c>
      <c r="D36" s="185" t="n"/>
      <c r="E36" s="185" t="n"/>
      <c r="F36" s="185" t="n"/>
      <c r="G36" s="185" t="n"/>
      <c r="H36" s="185" t="n"/>
      <c r="I36" s="185" t="n"/>
      <c r="J36" s="185" t="n"/>
      <c r="K36" s="185" t="n"/>
      <c r="AT36" s="182" t="n"/>
      <c r="AU36" s="176" t="n"/>
      <c r="AV36" s="176" t="n"/>
      <c r="AW36" s="176" t="n"/>
      <c r="AX36" s="176" t="n"/>
      <c r="AY36" s="176" t="n"/>
      <c r="AZ36" s="176" t="n"/>
      <c r="BA36" s="176" t="n"/>
      <c r="BB36" s="176" t="n"/>
      <c r="BC36" s="176" t="n"/>
      <c r="BD36" s="176" t="n"/>
      <c r="BE36" s="176" t="n"/>
      <c r="BF36" s="176" t="n"/>
      <c r="BG36" s="176" t="n"/>
      <c r="BH36" s="176" t="n"/>
      <c r="BI36" s="176" t="n"/>
      <c r="BJ36" s="176" t="n"/>
      <c r="BK36" s="176" t="n"/>
      <c r="BL36" s="176" t="n"/>
      <c r="BM36" s="176" t="n"/>
      <c r="BN36" s="176" t="n"/>
      <c r="BO36" s="176" t="n"/>
      <c r="BP36" s="176" t="n"/>
      <c r="BQ36" s="176" t="n"/>
      <c r="BR36" s="176" t="n"/>
    </row>
    <row r="37" ht="15" customHeight="1" s="392">
      <c r="A37" s="176" t="n"/>
      <c r="B37" s="180" t="n"/>
      <c r="C37" s="183" t="inlineStr">
        <is>
          <t xml:space="preserve">                Change in Inventories</t>
        </is>
      </c>
      <c r="D37" s="190">
        <f>IF(COUNT(M37:AS37)&gt;0,MEDIAN(M37:AS37),"")</f>
        <v/>
      </c>
      <c r="E37" s="190">
        <f>IF(COUNT(M37:AS37)&gt;0,AVERAGE(M37:AS37),"")</f>
        <v/>
      </c>
      <c r="F37" s="190">
        <f>IF(COUNT(M37:AS37)&gt;0,MIN(M37:AS37),"")</f>
        <v/>
      </c>
      <c r="G37" s="190">
        <f>IF(COUNT(M37:AS37)&gt;0,MAX(M37:AS37),"")</f>
        <v/>
      </c>
      <c r="H37" s="190">
        <f>IF(COUNT(M37:AS37)&gt;0,QUARTILE(M37:AS37,1),"")</f>
        <v/>
      </c>
      <c r="I37" s="190">
        <f>IF(COUNT(M37:AS37)&gt;0,QUARTILE(M37:AS37,3),"")</f>
        <v/>
      </c>
      <c r="J37" s="190">
        <f>IF(COUNT(M37:AS37)&gt;1,STDEV(M37:AS37),"")</f>
        <v/>
      </c>
      <c r="K37" s="191">
        <f>IF(COUNT(M37:AS37)&gt;1,STDEV(M37:AS37)/AVERAGE(M37:AS37),"")</f>
        <v/>
      </c>
      <c r="M37" s="192" t="n">
        <v>-11443</v>
      </c>
      <c r="N37" s="192" t="n">
        <v>4655</v>
      </c>
      <c r="O37" s="192" t="n">
        <v>-3698</v>
      </c>
      <c r="P37" s="192" t="n">
        <v>26549</v>
      </c>
      <c r="Q37" s="192" t="n">
        <v>-10851</v>
      </c>
      <c r="R37" s="192" t="n">
        <v>-24602</v>
      </c>
      <c r="S37" s="192" t="n">
        <v>1348</v>
      </c>
      <c r="T37" s="192" t="n">
        <v>-4719</v>
      </c>
      <c r="U37" s="192" t="n">
        <v>-3959</v>
      </c>
      <c r="V37" s="192" t="n">
        <v>1294</v>
      </c>
      <c r="W37" s="192" t="n">
        <v>-2509</v>
      </c>
      <c r="X37" s="192" t="n">
        <v>-1731</v>
      </c>
      <c r="Y37" s="192" t="n">
        <v>4012</v>
      </c>
      <c r="Z37" s="192" t="n">
        <v>-1777</v>
      </c>
      <c r="AA37" s="192" t="n">
        <v>-218</v>
      </c>
      <c r="AB37" s="192" t="n">
        <v>-2666</v>
      </c>
      <c r="AC37" s="192" t="n">
        <v>-256</v>
      </c>
      <c r="AD37" s="192" t="n">
        <v>-54</v>
      </c>
      <c r="AE37" s="192" t="n">
        <v>1489</v>
      </c>
      <c r="AF37" s="192" t="n">
        <v>1361</v>
      </c>
      <c r="AG37" s="192" t="n"/>
      <c r="AH37" s="192" t="n"/>
      <c r="AI37" s="192" t="n"/>
      <c r="AJ37" s="192" t="n"/>
      <c r="AK37" s="192" t="n"/>
      <c r="AL37" s="192" t="n"/>
      <c r="AM37" s="192" t="n"/>
      <c r="AN37" s="192" t="n"/>
      <c r="AO37" s="192" t="n"/>
      <c r="AP37" s="192" t="n">
        <v>1200</v>
      </c>
      <c r="AQ37" s="192" t="n">
        <v>1800</v>
      </c>
      <c r="AR37" s="192" t="n">
        <v>-3200</v>
      </c>
      <c r="AS37" s="192" t="n"/>
      <c r="AT37" s="182" t="n"/>
      <c r="AU37" s="176" t="n"/>
      <c r="AV37" s="176" t="n"/>
      <c r="AW37" s="176" t="n"/>
      <c r="AX37" s="176" t="n"/>
      <c r="AY37" s="176" t="n"/>
      <c r="AZ37" s="176" t="n"/>
      <c r="BA37" s="176" t="n"/>
      <c r="BB37" s="176" t="n"/>
      <c r="BC37" s="176" t="n"/>
      <c r="BD37" s="176" t="n"/>
      <c r="BE37" s="176" t="n"/>
      <c r="BF37" s="176" t="n"/>
      <c r="BG37" s="176" t="n"/>
      <c r="BH37" s="176" t="n"/>
      <c r="BI37" s="176" t="n"/>
      <c r="BJ37" s="176" t="n"/>
      <c r="BK37" s="176" t="n"/>
      <c r="BL37" s="176" t="n"/>
      <c r="BM37" s="176" t="n"/>
      <c r="BN37" s="176" t="n"/>
      <c r="BO37" s="176" t="n"/>
      <c r="BP37" s="176" t="n"/>
      <c r="BQ37" s="176" t="n"/>
      <c r="BR37" s="176" t="n"/>
    </row>
    <row r="38" ht="15" customHeight="1" s="392">
      <c r="A38" s="176" t="n"/>
      <c r="B38" s="180" t="n"/>
      <c r="C38" s="183" t="inlineStr">
        <is>
          <t xml:space="preserve">                Change in Trade and Other Receivables</t>
        </is>
      </c>
      <c r="D38" s="185" t="n"/>
      <c r="E38" s="185" t="n"/>
      <c r="F38" s="185" t="n"/>
      <c r="G38" s="185" t="n"/>
      <c r="H38" s="185" t="n"/>
      <c r="I38" s="185" t="n"/>
      <c r="J38" s="185" t="n"/>
      <c r="K38" s="185" t="n"/>
      <c r="AT38" s="182" t="n"/>
      <c r="AU38" s="176" t="n"/>
      <c r="AV38" s="176" t="n"/>
      <c r="AW38" s="176" t="n"/>
      <c r="AX38" s="176" t="n"/>
      <c r="AY38" s="176" t="n"/>
      <c r="AZ38" s="176" t="n"/>
      <c r="BA38" s="176" t="n"/>
      <c r="BB38" s="176" t="n"/>
      <c r="BC38" s="176" t="n"/>
      <c r="BD38" s="176" t="n"/>
      <c r="BE38" s="176" t="n"/>
      <c r="BF38" s="176" t="n"/>
      <c r="BG38" s="176" t="n"/>
      <c r="BH38" s="176" t="n"/>
      <c r="BI38" s="176" t="n"/>
      <c r="BJ38" s="176" t="n"/>
      <c r="BK38" s="176" t="n"/>
      <c r="BL38" s="176" t="n"/>
      <c r="BM38" s="176" t="n"/>
      <c r="BN38" s="176" t="n"/>
      <c r="BO38" s="176" t="n"/>
      <c r="BP38" s="176" t="n"/>
      <c r="BQ38" s="176" t="n"/>
      <c r="BR38" s="176" t="n"/>
    </row>
    <row r="39" ht="15" customHeight="1" s="392">
      <c r="A39" s="176" t="n"/>
      <c r="B39" s="180" t="n"/>
      <c r="C39" s="183" t="inlineStr">
        <is>
          <t xml:space="preserve">                    Change in Trade/Accounts Receivable</t>
        </is>
      </c>
      <c r="D39" s="190">
        <f>IF(COUNT(M39:AS39)&gt;0,MEDIAN(M39:AS39),"")</f>
        <v/>
      </c>
      <c r="E39" s="190">
        <f>IF(COUNT(M39:AS39)&gt;0,AVERAGE(M39:AS39),"")</f>
        <v/>
      </c>
      <c r="F39" s="190">
        <f>IF(COUNT(M39:AS39)&gt;0,MIN(M39:AS39),"")</f>
        <v/>
      </c>
      <c r="G39" s="190">
        <f>IF(COUNT(M39:AS39)&gt;0,MAX(M39:AS39),"")</f>
        <v/>
      </c>
      <c r="H39" s="190">
        <f>IF(COUNT(M39:AS39)&gt;0,QUARTILE(M39:AS39,1),"")</f>
        <v/>
      </c>
      <c r="I39" s="190">
        <f>IF(COUNT(M39:AS39)&gt;0,QUARTILE(M39:AS39,3),"")</f>
        <v/>
      </c>
      <c r="J39" s="190">
        <f>IF(COUNT(M39:AS39)&gt;1,STDEV(M39:AS39),"")</f>
        <v/>
      </c>
      <c r="K39" s="191">
        <f>IF(COUNT(M39:AS39)&gt;1,STDEV(M39:AS39)/AVERAGE(M39:AS39),"")</f>
        <v/>
      </c>
      <c r="M39" s="192" t="n">
        <v>-80629</v>
      </c>
      <c r="N39" s="192" t="n">
        <v>-33950</v>
      </c>
      <c r="O39" s="192" t="n">
        <v>-145385</v>
      </c>
      <c r="P39" s="192" t="n">
        <v>-123207</v>
      </c>
      <c r="Q39" s="192" t="n">
        <v>-97750</v>
      </c>
      <c r="R39" s="192" t="n">
        <v>-127513</v>
      </c>
      <c r="S39" s="192" t="n">
        <v>15993</v>
      </c>
      <c r="T39" s="192" t="n">
        <v>-60808</v>
      </c>
      <c r="U39" s="192" t="n">
        <v>-40335</v>
      </c>
      <c r="V39" s="192" t="n">
        <v>-38542</v>
      </c>
      <c r="W39" s="192" t="n">
        <v>-54213</v>
      </c>
      <c r="X39" s="192" t="n">
        <v>-20417</v>
      </c>
      <c r="Y39" s="192" t="n">
        <v>-12870</v>
      </c>
      <c r="Z39" s="192" t="n">
        <v>-31171</v>
      </c>
      <c r="AA39" s="192" t="n">
        <v>-16004</v>
      </c>
      <c r="AB39" s="192" t="n">
        <v>-12506</v>
      </c>
      <c r="AC39" s="192" t="n">
        <v>2436</v>
      </c>
      <c r="AD39" s="192" t="n">
        <v>982</v>
      </c>
      <c r="AE39" s="192" t="n"/>
      <c r="AF39" s="192" t="n"/>
      <c r="AG39" s="192" t="n"/>
      <c r="AH39" s="192" t="n"/>
      <c r="AI39" s="192" t="n"/>
      <c r="AJ39" s="192" t="n"/>
      <c r="AK39" s="192" t="n"/>
      <c r="AL39" s="192" t="n"/>
      <c r="AM39" s="192" t="n"/>
      <c r="AN39" s="192" t="n"/>
      <c r="AO39" s="192" t="n"/>
      <c r="AP39" s="192" t="n"/>
      <c r="AQ39" s="192" t="n"/>
      <c r="AR39" s="192" t="n"/>
      <c r="AS39" s="192" t="n"/>
      <c r="AT39" s="182" t="n"/>
      <c r="AU39" s="176" t="n"/>
      <c r="AV39" s="176" t="n"/>
      <c r="AW39" s="176" t="n"/>
      <c r="AX39" s="176" t="n"/>
      <c r="AY39" s="176" t="n"/>
      <c r="AZ39" s="176" t="n"/>
      <c r="BA39" s="176" t="n"/>
      <c r="BB39" s="176" t="n"/>
      <c r="BC39" s="176" t="n"/>
      <c r="BD39" s="176" t="n"/>
      <c r="BE39" s="176" t="n"/>
      <c r="BF39" s="176" t="n"/>
      <c r="BG39" s="176" t="n"/>
      <c r="BH39" s="176" t="n"/>
      <c r="BI39" s="176" t="n"/>
      <c r="BJ39" s="176" t="n"/>
      <c r="BK39" s="176" t="n"/>
      <c r="BL39" s="176" t="n"/>
      <c r="BM39" s="176" t="n"/>
      <c r="BN39" s="176" t="n"/>
      <c r="BO39" s="176" t="n"/>
      <c r="BP39" s="176" t="n"/>
      <c r="BQ39" s="176" t="n"/>
      <c r="BR39" s="176" t="n"/>
    </row>
    <row r="40" ht="15" customHeight="1" s="392">
      <c r="A40" s="176" t="n"/>
      <c r="B40" s="180" t="n"/>
      <c r="C40" s="183" t="inlineStr">
        <is>
          <t xml:space="preserve">                    Change in Tax Receivables</t>
        </is>
      </c>
      <c r="D40" s="190">
        <f>IF(COUNT(M40:AS40)&gt;0,MEDIAN(M40:AS40),"")</f>
        <v/>
      </c>
      <c r="E40" s="190">
        <f>IF(COUNT(M40:AS40)&gt;0,AVERAGE(M40:AS40),"")</f>
        <v/>
      </c>
      <c r="F40" s="190">
        <f>IF(COUNT(M40:AS40)&gt;0,MIN(M40:AS40),"")</f>
        <v/>
      </c>
      <c r="G40" s="190">
        <f>IF(COUNT(M40:AS40)&gt;0,MAX(M40:AS40),"")</f>
        <v/>
      </c>
      <c r="H40" s="190">
        <f>IF(COUNT(M40:AS40)&gt;0,QUARTILE(M40:AS40,1),"")</f>
        <v/>
      </c>
      <c r="I40" s="190">
        <f>IF(COUNT(M40:AS40)&gt;0,QUARTILE(M40:AS40,3),"")</f>
        <v/>
      </c>
      <c r="J40" s="190">
        <f>IF(COUNT(M40:AS40)&gt;1,STDEV(M40:AS40),"")</f>
        <v/>
      </c>
      <c r="K40" s="191">
        <f>IF(COUNT(M40:AS40)&gt;1,STDEV(M40:AS40)/AVERAGE(M40:AS40),"")</f>
        <v/>
      </c>
      <c r="M40" s="192" t="n">
        <v>-49277</v>
      </c>
      <c r="N40" s="192" t="n">
        <v>-575</v>
      </c>
      <c r="O40" s="192" t="n">
        <v>6561</v>
      </c>
      <c r="P40" s="192" t="n">
        <v>33193</v>
      </c>
      <c r="Q40" s="192" t="n">
        <v>-29884</v>
      </c>
      <c r="R40" s="192" t="n">
        <v>6739</v>
      </c>
      <c r="S40" s="192" t="n">
        <v>-7216</v>
      </c>
      <c r="T40" s="192" t="n">
        <v>-4215</v>
      </c>
      <c r="U40" s="192" t="n">
        <v>-8916</v>
      </c>
      <c r="V40" s="192" t="n">
        <v>12343</v>
      </c>
      <c r="W40" s="192" t="n">
        <v>-12649</v>
      </c>
      <c r="X40" s="192" t="n">
        <v>-806</v>
      </c>
      <c r="Y40" s="192" t="n">
        <v>9267</v>
      </c>
      <c r="Z40" s="192" t="n">
        <v>-752</v>
      </c>
      <c r="AA40" s="192" t="n">
        <v>7082</v>
      </c>
      <c r="AB40" s="192" t="n">
        <v>9456</v>
      </c>
      <c r="AC40" s="192" t="n"/>
      <c r="AD40" s="192" t="n"/>
      <c r="AE40" s="192" t="n"/>
      <c r="AF40" s="192" t="n"/>
      <c r="AG40" s="192" t="n"/>
      <c r="AH40" s="192" t="n"/>
      <c r="AI40" s="192" t="n"/>
      <c r="AJ40" s="192" t="n"/>
      <c r="AK40" s="192" t="n"/>
      <c r="AL40" s="192" t="n"/>
      <c r="AM40" s="192" t="n"/>
      <c r="AN40" s="192" t="n"/>
      <c r="AO40" s="192" t="n"/>
      <c r="AP40" s="192" t="n"/>
      <c r="AQ40" s="192" t="n"/>
      <c r="AR40" s="192" t="n"/>
      <c r="AS40" s="192" t="n"/>
      <c r="AT40" s="182" t="n"/>
      <c r="AU40" s="176" t="n"/>
      <c r="AV40" s="176" t="n"/>
      <c r="AW40" s="176" t="n"/>
      <c r="AX40" s="176" t="n"/>
      <c r="AY40" s="176" t="n"/>
      <c r="AZ40" s="176" t="n"/>
      <c r="BA40" s="176" t="n"/>
      <c r="BB40" s="176" t="n"/>
      <c r="BC40" s="176" t="n"/>
      <c r="BD40" s="176" t="n"/>
      <c r="BE40" s="176" t="n"/>
      <c r="BF40" s="176" t="n"/>
      <c r="BG40" s="176" t="n"/>
      <c r="BH40" s="176" t="n"/>
      <c r="BI40" s="176" t="n"/>
      <c r="BJ40" s="176" t="n"/>
      <c r="BK40" s="176" t="n"/>
      <c r="BL40" s="176" t="n"/>
      <c r="BM40" s="176" t="n"/>
      <c r="BN40" s="176" t="n"/>
      <c r="BO40" s="176" t="n"/>
      <c r="BP40" s="176" t="n"/>
      <c r="BQ40" s="176" t="n"/>
      <c r="BR40" s="176" t="n"/>
    </row>
    <row r="41" ht="15" customHeight="1" s="392">
      <c r="A41" s="176" t="n"/>
      <c r="B41" s="180" t="n"/>
      <c r="C41" s="183" t="inlineStr">
        <is>
          <t xml:space="preserve">                    Change in Other Receivables</t>
        </is>
      </c>
      <c r="D41" s="190">
        <f>IF(COUNT(M41:AS41)&gt;0,MEDIAN(M41:AS41),"")</f>
        <v/>
      </c>
      <c r="E41" s="190">
        <f>IF(COUNT(M41:AS41)&gt;0,AVERAGE(M41:AS41),"")</f>
        <v/>
      </c>
      <c r="F41" s="190">
        <f>IF(COUNT(M41:AS41)&gt;0,MIN(M41:AS41),"")</f>
        <v/>
      </c>
      <c r="G41" s="190">
        <f>IF(COUNT(M41:AS41)&gt;0,MAX(M41:AS41),"")</f>
        <v/>
      </c>
      <c r="H41" s="190">
        <f>IF(COUNT(M41:AS41)&gt;0,QUARTILE(M41:AS41,1),"")</f>
        <v/>
      </c>
      <c r="I41" s="190">
        <f>IF(COUNT(M41:AS41)&gt;0,QUARTILE(M41:AS41,3),"")</f>
        <v/>
      </c>
      <c r="J41" s="190">
        <f>IF(COUNT(M41:AS41)&gt;1,STDEV(M41:AS41),"")</f>
        <v/>
      </c>
      <c r="K41" s="191">
        <f>IF(COUNT(M41:AS41)&gt;1,STDEV(M41:AS41)/AVERAGE(M41:AS41),"")</f>
        <v/>
      </c>
      <c r="M41" s="192" t="n"/>
      <c r="N41" s="192" t="n"/>
      <c r="O41" s="192" t="n"/>
      <c r="P41" s="192" t="n"/>
      <c r="Q41" s="192" t="n"/>
      <c r="R41" s="192" t="n"/>
      <c r="S41" s="192" t="n"/>
      <c r="T41" s="192" t="n"/>
      <c r="U41" s="192" t="n"/>
      <c r="V41" s="192" t="n"/>
      <c r="W41" s="192" t="n"/>
      <c r="X41" s="192" t="n"/>
      <c r="Y41" s="192" t="n"/>
      <c r="Z41" s="192" t="n"/>
      <c r="AA41" s="192" t="n"/>
      <c r="AB41" s="192" t="n"/>
      <c r="AC41" s="192" t="n">
        <v>861</v>
      </c>
      <c r="AD41" s="192" t="n">
        <v>18021</v>
      </c>
      <c r="AE41" s="192" t="n"/>
      <c r="AF41" s="192" t="n"/>
      <c r="AG41" s="192" t="n"/>
      <c r="AH41" s="192" t="n"/>
      <c r="AI41" s="192" t="n"/>
      <c r="AJ41" s="192" t="n"/>
      <c r="AK41" s="192" t="n"/>
      <c r="AL41" s="192" t="n"/>
      <c r="AM41" s="192" t="n"/>
      <c r="AN41" s="192" t="n"/>
      <c r="AO41" s="192" t="n"/>
      <c r="AP41" s="192" t="n"/>
      <c r="AQ41" s="192" t="n"/>
      <c r="AR41" s="192" t="n"/>
      <c r="AS41" s="192" t="n"/>
      <c r="AT41" s="182" t="n"/>
      <c r="AU41" s="176" t="n"/>
      <c r="AV41" s="176" t="n"/>
      <c r="AW41" s="176" t="n"/>
      <c r="AX41" s="176" t="n"/>
      <c r="AY41" s="176" t="n"/>
      <c r="AZ41" s="176" t="n"/>
      <c r="BA41" s="176" t="n"/>
      <c r="BB41" s="176" t="n"/>
      <c r="BC41" s="176" t="n"/>
      <c r="BD41" s="176" t="n"/>
      <c r="BE41" s="176" t="n"/>
      <c r="BF41" s="176" t="n"/>
      <c r="BG41" s="176" t="n"/>
      <c r="BH41" s="176" t="n"/>
      <c r="BI41" s="176" t="n"/>
      <c r="BJ41" s="176" t="n"/>
      <c r="BK41" s="176" t="n"/>
      <c r="BL41" s="176" t="n"/>
      <c r="BM41" s="176" t="n"/>
      <c r="BN41" s="176" t="n"/>
      <c r="BO41" s="176" t="n"/>
      <c r="BP41" s="176" t="n"/>
      <c r="BQ41" s="176" t="n"/>
      <c r="BR41" s="176" t="n"/>
    </row>
    <row r="42" ht="15" customHeight="1" s="392">
      <c r="A42" s="176" t="n"/>
      <c r="B42" s="180" t="n"/>
      <c r="C42" s="187" t="inlineStr">
        <is>
          <t xml:space="preserve">                Total Change in Trade and Other Receivables</t>
        </is>
      </c>
      <c r="D42" s="193">
        <f>IF(COUNT(M42:AS42)&gt;0,MEDIAN(M42:AS42),"")</f>
        <v/>
      </c>
      <c r="E42" s="193">
        <f>IF(COUNT(M42:AS42)&gt;0,AVERAGE(M42:AS42),"")</f>
        <v/>
      </c>
      <c r="F42" s="193">
        <f>IF(COUNT(M42:AS42)&gt;0,MIN(M42:AS42),"")</f>
        <v/>
      </c>
      <c r="G42" s="193">
        <f>IF(COUNT(M42:AS42)&gt;0,MAX(M42:AS42),"")</f>
        <v/>
      </c>
      <c r="H42" s="193">
        <f>IF(COUNT(M42:AS42)&gt;0,QUARTILE(M42:AS42,1),"")</f>
        <v/>
      </c>
      <c r="I42" s="193">
        <f>IF(COUNT(M42:AS42)&gt;0,QUARTILE(M42:AS42,3),"")</f>
        <v/>
      </c>
      <c r="J42" s="193">
        <f>IF(COUNT(M42:AS42)&gt;1,STDEV(M42:AS42),"")</f>
        <v/>
      </c>
      <c r="K42" s="194">
        <f>IF(COUNT(M42:AS42)&gt;1,STDEV(M42:AS42)/AVERAGE(M42:AS42),"")</f>
        <v/>
      </c>
      <c r="L42" s="195" t="n"/>
      <c r="M42" s="196" t="n">
        <v>-129906</v>
      </c>
      <c r="N42" s="196" t="n">
        <v>-34525</v>
      </c>
      <c r="O42" s="196" t="n">
        <v>-138824</v>
      </c>
      <c r="P42" s="196" t="n">
        <v>-90014</v>
      </c>
      <c r="Q42" s="196" t="n">
        <v>-127634</v>
      </c>
      <c r="R42" s="196" t="n">
        <v>-120774</v>
      </c>
      <c r="S42" s="196" t="n">
        <v>8777</v>
      </c>
      <c r="T42" s="196" t="n">
        <v>-65023</v>
      </c>
      <c r="U42" s="196" t="n">
        <v>-49251</v>
      </c>
      <c r="V42" s="196" t="n">
        <v>-26199</v>
      </c>
      <c r="W42" s="196" t="n">
        <v>-66862</v>
      </c>
      <c r="X42" s="196" t="n">
        <v>-21223</v>
      </c>
      <c r="Y42" s="196" t="n">
        <v>-3603</v>
      </c>
      <c r="Z42" s="196" t="n">
        <v>-31923</v>
      </c>
      <c r="AA42" s="196" t="n">
        <v>-8922</v>
      </c>
      <c r="AB42" s="196" t="n">
        <v>-3050</v>
      </c>
      <c r="AC42" s="196" t="n">
        <v>3297</v>
      </c>
      <c r="AD42" s="196" t="n">
        <v>19003</v>
      </c>
      <c r="AE42" s="196" t="n">
        <v>270</v>
      </c>
      <c r="AF42" s="196" t="n">
        <v>-2416</v>
      </c>
      <c r="AG42" s="196" t="n">
        <v>-12929</v>
      </c>
      <c r="AH42" s="196" t="n">
        <v>-8764</v>
      </c>
      <c r="AI42" s="196" t="n">
        <v>-10542</v>
      </c>
      <c r="AJ42" s="196" t="n">
        <v>-7447</v>
      </c>
      <c r="AK42" s="196" t="n">
        <v>1175.9</v>
      </c>
      <c r="AL42" s="196" t="n">
        <v>-11715.5</v>
      </c>
      <c r="AM42" s="196" t="n">
        <v>-13926.9</v>
      </c>
      <c r="AN42" s="196" t="n">
        <v>-4600</v>
      </c>
      <c r="AO42" s="196" t="n">
        <v>-300</v>
      </c>
      <c r="AP42" s="196" t="n">
        <v>-800</v>
      </c>
      <c r="AQ42" s="196" t="n">
        <v>-5500</v>
      </c>
      <c r="AR42" s="196" t="n">
        <v>-4900</v>
      </c>
      <c r="AS42" s="196" t="n">
        <v>-1300</v>
      </c>
      <c r="AT42" s="182" t="n"/>
      <c r="AU42" s="176" t="n"/>
      <c r="AV42" s="176" t="n"/>
      <c r="AW42" s="176" t="n"/>
      <c r="AX42" s="176" t="n"/>
      <c r="AY42" s="176" t="n"/>
      <c r="AZ42" s="176" t="n"/>
      <c r="BA42" s="176" t="n"/>
      <c r="BB42" s="176" t="n"/>
      <c r="BC42" s="176" t="n"/>
      <c r="BD42" s="176" t="n"/>
      <c r="BE42" s="176" t="n"/>
      <c r="BF42" s="176" t="n"/>
      <c r="BG42" s="176" t="n"/>
      <c r="BH42" s="176" t="n"/>
      <c r="BI42" s="176" t="n"/>
      <c r="BJ42" s="176" t="n"/>
      <c r="BK42" s="176" t="n"/>
      <c r="BL42" s="176" t="n"/>
      <c r="BM42" s="176" t="n"/>
      <c r="BN42" s="176" t="n"/>
      <c r="BO42" s="176" t="n"/>
      <c r="BP42" s="176" t="n"/>
      <c r="BQ42" s="176" t="n"/>
      <c r="BR42" s="176" t="n"/>
    </row>
    <row r="43" ht="15" customHeight="1" s="392">
      <c r="A43" s="176" t="n"/>
      <c r="B43" s="180" t="n"/>
      <c r="C43" s="183" t="inlineStr">
        <is>
          <t xml:space="preserve">                Change in Prepayments and Deposits</t>
        </is>
      </c>
      <c r="D43" s="190">
        <f>IF(COUNT(M43:AS43)&gt;0,MEDIAN(M43:AS43),"")</f>
        <v/>
      </c>
      <c r="E43" s="190">
        <f>IF(COUNT(M43:AS43)&gt;0,AVERAGE(M43:AS43),"")</f>
        <v/>
      </c>
      <c r="F43" s="190">
        <f>IF(COUNT(M43:AS43)&gt;0,MIN(M43:AS43),"")</f>
        <v/>
      </c>
      <c r="G43" s="190">
        <f>IF(COUNT(M43:AS43)&gt;0,MAX(M43:AS43),"")</f>
        <v/>
      </c>
      <c r="H43" s="190">
        <f>IF(COUNT(M43:AS43)&gt;0,QUARTILE(M43:AS43,1),"")</f>
        <v/>
      </c>
      <c r="I43" s="190">
        <f>IF(COUNT(M43:AS43)&gt;0,QUARTILE(M43:AS43,3),"")</f>
        <v/>
      </c>
      <c r="J43" s="190">
        <f>IF(COUNT(M43:AS43)&gt;1,STDEV(M43:AS43),"")</f>
        <v/>
      </c>
      <c r="K43" s="191">
        <f>IF(COUNT(M43:AS43)&gt;1,STDEV(M43:AS43)/AVERAGE(M43:AS43),"")</f>
        <v/>
      </c>
      <c r="M43" s="192" t="n">
        <v>-47613</v>
      </c>
      <c r="N43" s="192" t="n">
        <v>7748</v>
      </c>
      <c r="O43" s="192" t="n">
        <v>-71067</v>
      </c>
      <c r="P43" s="192" t="n">
        <v>-59949</v>
      </c>
      <c r="Q43" s="192" t="n">
        <v>-5156</v>
      </c>
      <c r="R43" s="192" t="n">
        <v>7025</v>
      </c>
      <c r="S43" s="192" t="n">
        <v>141</v>
      </c>
      <c r="T43" s="192" t="n">
        <v>-12265</v>
      </c>
      <c r="U43" s="192" t="n">
        <v>-706</v>
      </c>
      <c r="V43" s="192" t="n">
        <v>1760</v>
      </c>
      <c r="W43" s="192" t="n">
        <v>-738</v>
      </c>
      <c r="X43" s="192" t="n">
        <v>69</v>
      </c>
      <c r="Y43" s="192" t="n">
        <v>-4500</v>
      </c>
      <c r="Z43" s="192" t="n">
        <v>-5971</v>
      </c>
      <c r="AA43" s="192" t="n">
        <v>6026</v>
      </c>
      <c r="AB43" s="192" t="n">
        <v>4785</v>
      </c>
      <c r="AC43" s="192" t="n">
        <v>-8896</v>
      </c>
      <c r="AD43" s="192" t="n">
        <v>1376</v>
      </c>
      <c r="AE43" s="192" t="n">
        <v>-991</v>
      </c>
      <c r="AF43" s="192" t="n">
        <v>1388</v>
      </c>
      <c r="AG43" s="192" t="n">
        <v>1463</v>
      </c>
      <c r="AH43" s="192" t="n">
        <v>-1383</v>
      </c>
      <c r="AI43" s="192" t="n">
        <v>394</v>
      </c>
      <c r="AJ43" s="192" t="n">
        <v>-226</v>
      </c>
      <c r="AK43" s="192" t="n">
        <v>-1339.8</v>
      </c>
      <c r="AL43" s="192" t="n">
        <v>-1422.9</v>
      </c>
      <c r="AM43" s="192" t="n"/>
      <c r="AN43" s="192" t="n"/>
      <c r="AO43" s="192" t="n"/>
      <c r="AP43" s="192" t="n"/>
      <c r="AQ43" s="192" t="n"/>
      <c r="AR43" s="192" t="n"/>
      <c r="AS43" s="192" t="n"/>
      <c r="AT43" s="182" t="n"/>
      <c r="AU43" s="176" t="n"/>
      <c r="AV43" s="176" t="n"/>
      <c r="AW43" s="176" t="n"/>
      <c r="AX43" s="176" t="n"/>
      <c r="AY43" s="176" t="n"/>
      <c r="AZ43" s="176" t="n"/>
      <c r="BA43" s="176" t="n"/>
      <c r="BB43" s="176" t="n"/>
      <c r="BC43" s="176" t="n"/>
      <c r="BD43" s="176" t="n"/>
      <c r="BE43" s="176" t="n"/>
      <c r="BF43" s="176" t="n"/>
      <c r="BG43" s="176" t="n"/>
      <c r="BH43" s="176" t="n"/>
      <c r="BI43" s="176" t="n"/>
      <c r="BJ43" s="176" t="n"/>
      <c r="BK43" s="176" t="n"/>
      <c r="BL43" s="176" t="n"/>
      <c r="BM43" s="176" t="n"/>
      <c r="BN43" s="176" t="n"/>
      <c r="BO43" s="176" t="n"/>
      <c r="BP43" s="176" t="n"/>
      <c r="BQ43" s="176" t="n"/>
      <c r="BR43" s="176" t="n"/>
    </row>
    <row r="44" ht="15" customHeight="1" s="392">
      <c r="A44" s="176" t="n"/>
      <c r="B44" s="180" t="n"/>
      <c r="C44" s="183" t="inlineStr">
        <is>
          <t xml:space="preserve">                Change in Other Current Assets</t>
        </is>
      </c>
      <c r="D44" s="190">
        <f>IF(COUNT(M44:AS44)&gt;0,MEDIAN(M44:AS44),"")</f>
        <v/>
      </c>
      <c r="E44" s="190">
        <f>IF(COUNT(M44:AS44)&gt;0,AVERAGE(M44:AS44),"")</f>
        <v/>
      </c>
      <c r="F44" s="190">
        <f>IF(COUNT(M44:AS44)&gt;0,MIN(M44:AS44),"")</f>
        <v/>
      </c>
      <c r="G44" s="190">
        <f>IF(COUNT(M44:AS44)&gt;0,MAX(M44:AS44),"")</f>
        <v/>
      </c>
      <c r="H44" s="190">
        <f>IF(COUNT(M44:AS44)&gt;0,QUARTILE(M44:AS44,1),"")</f>
        <v/>
      </c>
      <c r="I44" s="190">
        <f>IF(COUNT(M44:AS44)&gt;0,QUARTILE(M44:AS44,3),"")</f>
        <v/>
      </c>
      <c r="J44" s="190">
        <f>IF(COUNT(M44:AS44)&gt;1,STDEV(M44:AS44),"")</f>
        <v/>
      </c>
      <c r="K44" s="191">
        <f>IF(COUNT(M44:AS44)&gt;1,STDEV(M44:AS44)/AVERAGE(M44:AS44),"")</f>
        <v/>
      </c>
      <c r="M44" s="192" t="n">
        <v>-6358</v>
      </c>
      <c r="N44" s="192" t="n">
        <v>16705</v>
      </c>
      <c r="O44" s="192" t="n">
        <v>-9542</v>
      </c>
      <c r="P44" s="192" t="n">
        <v>-10989</v>
      </c>
      <c r="Q44" s="192" t="n">
        <v>-18342</v>
      </c>
      <c r="R44" s="192" t="n">
        <v>-20476</v>
      </c>
      <c r="S44" s="192" t="n">
        <v>2590</v>
      </c>
      <c r="T44" s="192" t="n">
        <v>-16418</v>
      </c>
      <c r="U44" s="192" t="n">
        <v>-3353</v>
      </c>
      <c r="V44" s="192" t="n">
        <v>-1915</v>
      </c>
      <c r="W44" s="192" t="n">
        <v>-4137</v>
      </c>
      <c r="X44" s="192" t="n">
        <v>-891</v>
      </c>
      <c r="Y44" s="192" t="n">
        <v>-3613</v>
      </c>
      <c r="Z44" s="192" t="n">
        <v>-3626</v>
      </c>
      <c r="AA44" s="192" t="n">
        <v>1142</v>
      </c>
      <c r="AB44" s="192" t="n">
        <v>13201</v>
      </c>
      <c r="AC44" s="192" t="n">
        <v>-1210</v>
      </c>
      <c r="AD44" s="192" t="n"/>
      <c r="AE44" s="192" t="n"/>
      <c r="AF44" s="192" t="n">
        <v>229</v>
      </c>
      <c r="AG44" s="192" t="n">
        <v>-2259</v>
      </c>
      <c r="AH44" s="192" t="n">
        <v>-1245</v>
      </c>
      <c r="AI44" s="192" t="n">
        <v>-398</v>
      </c>
      <c r="AJ44" s="192" t="n">
        <v>-4247</v>
      </c>
      <c r="AK44" s="192" t="n">
        <v>828.9</v>
      </c>
      <c r="AL44" s="192" t="n">
        <v>-4133.5</v>
      </c>
      <c r="AM44" s="192" t="n">
        <v>-7327.8</v>
      </c>
      <c r="AN44" s="192" t="n">
        <v>-900</v>
      </c>
      <c r="AO44" s="192" t="n">
        <v>300</v>
      </c>
      <c r="AP44" s="192" t="n">
        <v>-600</v>
      </c>
      <c r="AQ44" s="192" t="n">
        <v>-1700</v>
      </c>
      <c r="AR44" s="192" t="n">
        <v>-1000</v>
      </c>
      <c r="AS44" s="192" t="n">
        <v>-1200</v>
      </c>
      <c r="AT44" s="182" t="n"/>
      <c r="AU44" s="176" t="n"/>
      <c r="AV44" s="176" t="n"/>
      <c r="AW44" s="176" t="n"/>
      <c r="AX44" s="176" t="n"/>
      <c r="AY44" s="176" t="n"/>
      <c r="AZ44" s="176" t="n"/>
      <c r="BA44" s="176" t="n"/>
      <c r="BB44" s="176" t="n"/>
      <c r="BC44" s="176" t="n"/>
      <c r="BD44" s="176" t="n"/>
      <c r="BE44" s="176" t="n"/>
      <c r="BF44" s="176" t="n"/>
      <c r="BG44" s="176" t="n"/>
      <c r="BH44" s="176" t="n"/>
      <c r="BI44" s="176" t="n"/>
      <c r="BJ44" s="176" t="n"/>
      <c r="BK44" s="176" t="n"/>
      <c r="BL44" s="176" t="n"/>
      <c r="BM44" s="176" t="n"/>
      <c r="BN44" s="176" t="n"/>
      <c r="BO44" s="176" t="n"/>
      <c r="BP44" s="176" t="n"/>
      <c r="BQ44" s="176" t="n"/>
      <c r="BR44" s="176" t="n"/>
    </row>
    <row r="45" ht="15" customHeight="1" s="392">
      <c r="A45" s="176" t="n"/>
      <c r="B45" s="180" t="n"/>
      <c r="C45" s="183" t="inlineStr">
        <is>
          <t xml:space="preserve">                Change in Payables and Accrued Expenses</t>
        </is>
      </c>
      <c r="D45" s="185" t="n"/>
      <c r="E45" s="185" t="n"/>
      <c r="F45" s="185" t="n"/>
      <c r="G45" s="185" t="n"/>
      <c r="H45" s="185" t="n"/>
      <c r="I45" s="185" t="n"/>
      <c r="J45" s="185" t="n"/>
      <c r="K45" s="185" t="n"/>
      <c r="AT45" s="182" t="n"/>
      <c r="AU45" s="176" t="n"/>
      <c r="AV45" s="176" t="n"/>
      <c r="AW45" s="176" t="n"/>
      <c r="AX45" s="176" t="n"/>
      <c r="AY45" s="176" t="n"/>
      <c r="AZ45" s="176" t="n"/>
      <c r="BA45" s="176" t="n"/>
      <c r="BB45" s="176" t="n"/>
      <c r="BC45" s="176" t="n"/>
      <c r="BD45" s="176" t="n"/>
      <c r="BE45" s="176" t="n"/>
      <c r="BF45" s="176" t="n"/>
      <c r="BG45" s="176" t="n"/>
      <c r="BH45" s="176" t="n"/>
      <c r="BI45" s="176" t="n"/>
      <c r="BJ45" s="176" t="n"/>
      <c r="BK45" s="176" t="n"/>
      <c r="BL45" s="176" t="n"/>
      <c r="BM45" s="176" t="n"/>
      <c r="BN45" s="176" t="n"/>
      <c r="BO45" s="176" t="n"/>
      <c r="BP45" s="176" t="n"/>
      <c r="BQ45" s="176" t="n"/>
      <c r="BR45" s="176" t="n"/>
    </row>
    <row r="46" ht="15" customHeight="1" s="392">
      <c r="A46" s="176" t="n"/>
      <c r="B46" s="180" t="n"/>
      <c r="C46" s="183" t="inlineStr">
        <is>
          <t xml:space="preserve">                    Change in Trade and Other Payables</t>
        </is>
      </c>
      <c r="D46" s="185" t="n"/>
      <c r="E46" s="185" t="n"/>
      <c r="F46" s="185" t="n"/>
      <c r="G46" s="185" t="n"/>
      <c r="H46" s="185" t="n"/>
      <c r="I46" s="185" t="n"/>
      <c r="J46" s="185" t="n"/>
      <c r="K46" s="185" t="n"/>
      <c r="AT46" s="182" t="n"/>
      <c r="AU46" s="176" t="n"/>
      <c r="AV46" s="176" t="n"/>
      <c r="AW46" s="176" t="n"/>
      <c r="AX46" s="176" t="n"/>
      <c r="AY46" s="176" t="n"/>
      <c r="AZ46" s="176" t="n"/>
      <c r="BA46" s="176" t="n"/>
      <c r="BB46" s="176" t="n"/>
      <c r="BC46" s="176" t="n"/>
      <c r="BD46" s="176" t="n"/>
      <c r="BE46" s="176" t="n"/>
      <c r="BF46" s="176" t="n"/>
      <c r="BG46" s="176" t="n"/>
      <c r="BH46" s="176" t="n"/>
      <c r="BI46" s="176" t="n"/>
      <c r="BJ46" s="176" t="n"/>
      <c r="BK46" s="176" t="n"/>
      <c r="BL46" s="176" t="n"/>
      <c r="BM46" s="176" t="n"/>
      <c r="BN46" s="176" t="n"/>
      <c r="BO46" s="176" t="n"/>
      <c r="BP46" s="176" t="n"/>
      <c r="BQ46" s="176" t="n"/>
      <c r="BR46" s="176" t="n"/>
    </row>
    <row r="47" ht="15" customHeight="1" s="392">
      <c r="A47" s="176" t="n"/>
      <c r="B47" s="180" t="n"/>
      <c r="C47" s="183" t="inlineStr">
        <is>
          <t xml:space="preserve">                        Change in Trade/Accounts Payable</t>
        </is>
      </c>
      <c r="D47" s="190">
        <f>IF(COUNT(M47:AS47)&gt;0,MEDIAN(M47:AS47),"")</f>
        <v/>
      </c>
      <c r="E47" s="190">
        <f>IF(COUNT(M47:AS47)&gt;0,AVERAGE(M47:AS47),"")</f>
        <v/>
      </c>
      <c r="F47" s="190">
        <f>IF(COUNT(M47:AS47)&gt;0,MIN(M47:AS47),"")</f>
        <v/>
      </c>
      <c r="G47" s="190">
        <f>IF(COUNT(M47:AS47)&gt;0,MAX(M47:AS47),"")</f>
        <v/>
      </c>
      <c r="H47" s="190">
        <f>IF(COUNT(M47:AS47)&gt;0,QUARTILE(M47:AS47,1),"")</f>
        <v/>
      </c>
      <c r="I47" s="190">
        <f>IF(COUNT(M47:AS47)&gt;0,QUARTILE(M47:AS47,3),"")</f>
        <v/>
      </c>
      <c r="J47" s="190">
        <f>IF(COUNT(M47:AS47)&gt;1,STDEV(M47:AS47),"")</f>
        <v/>
      </c>
      <c r="K47" s="191">
        <f>IF(COUNT(M47:AS47)&gt;1,STDEV(M47:AS47)/AVERAGE(M47:AS47),"")</f>
        <v/>
      </c>
      <c r="M47" s="192" t="n">
        <v>32507</v>
      </c>
      <c r="N47" s="192" t="n">
        <v>69599</v>
      </c>
      <c r="O47" s="192" t="n">
        <v>59528</v>
      </c>
      <c r="P47" s="192" t="n">
        <v>18010</v>
      </c>
      <c r="Q47" s="192" t="n">
        <v>36306</v>
      </c>
      <c r="R47" s="192" t="n">
        <v>44613</v>
      </c>
      <c r="S47" s="192" t="n">
        <v>41648</v>
      </c>
      <c r="T47" s="192" t="n">
        <v>11126</v>
      </c>
      <c r="U47" s="192" t="n">
        <v>53320</v>
      </c>
      <c r="V47" s="192" t="n">
        <v>4269</v>
      </c>
      <c r="W47" s="192" t="n">
        <v>48347</v>
      </c>
      <c r="X47" s="192" t="n">
        <v>-3926</v>
      </c>
      <c r="Y47" s="192" t="n">
        <v>5425</v>
      </c>
      <c r="Z47" s="192" t="n">
        <v>14749</v>
      </c>
      <c r="AA47" s="192" t="n">
        <v>-3805</v>
      </c>
      <c r="AB47" s="192" t="n">
        <v>5255</v>
      </c>
      <c r="AC47" s="192" t="n"/>
      <c r="AD47" s="192" t="n"/>
      <c r="AE47" s="192" t="n"/>
      <c r="AF47" s="192" t="n"/>
      <c r="AG47" s="192" t="n"/>
      <c r="AH47" s="192" t="n"/>
      <c r="AI47" s="192" t="n"/>
      <c r="AJ47" s="192" t="n"/>
      <c r="AK47" s="192" t="n"/>
      <c r="AL47" s="192" t="n"/>
      <c r="AM47" s="192" t="n"/>
      <c r="AN47" s="192" t="n"/>
      <c r="AO47" s="192" t="n"/>
      <c r="AP47" s="192" t="n"/>
      <c r="AQ47" s="192" t="n"/>
      <c r="AR47" s="192" t="n"/>
      <c r="AS47" s="192" t="n"/>
      <c r="AT47" s="182" t="n"/>
      <c r="AU47" s="176" t="n"/>
      <c r="AV47" s="176" t="n"/>
      <c r="AW47" s="176" t="n"/>
      <c r="AX47" s="176" t="n"/>
      <c r="AY47" s="176" t="n"/>
      <c r="AZ47" s="176" t="n"/>
      <c r="BA47" s="176" t="n"/>
      <c r="BB47" s="176" t="n"/>
      <c r="BC47" s="176" t="n"/>
      <c r="BD47" s="176" t="n"/>
      <c r="BE47" s="176" t="n"/>
      <c r="BF47" s="176" t="n"/>
      <c r="BG47" s="176" t="n"/>
      <c r="BH47" s="176" t="n"/>
      <c r="BI47" s="176" t="n"/>
      <c r="BJ47" s="176" t="n"/>
      <c r="BK47" s="176" t="n"/>
      <c r="BL47" s="176" t="n"/>
      <c r="BM47" s="176" t="n"/>
      <c r="BN47" s="176" t="n"/>
      <c r="BO47" s="176" t="n"/>
      <c r="BP47" s="176" t="n"/>
      <c r="BQ47" s="176" t="n"/>
      <c r="BR47" s="176" t="n"/>
    </row>
    <row r="48" ht="15" customHeight="1" s="392">
      <c r="A48" s="176" t="n"/>
      <c r="B48" s="180" t="n"/>
      <c r="C48" s="183" t="inlineStr">
        <is>
          <t xml:space="preserve">                        Change in Taxes Payable</t>
        </is>
      </c>
      <c r="D48" s="190">
        <f>IF(COUNT(M48:AS48)&gt;0,MEDIAN(M48:AS48),"")</f>
        <v/>
      </c>
      <c r="E48" s="190">
        <f>IF(COUNT(M48:AS48)&gt;0,AVERAGE(M48:AS48),"")</f>
        <v/>
      </c>
      <c r="F48" s="190">
        <f>IF(COUNT(M48:AS48)&gt;0,MIN(M48:AS48),"")</f>
        <v/>
      </c>
      <c r="G48" s="190">
        <f>IF(COUNT(M48:AS48)&gt;0,MAX(M48:AS48),"")</f>
        <v/>
      </c>
      <c r="H48" s="190">
        <f>IF(COUNT(M48:AS48)&gt;0,QUARTILE(M48:AS48,1),"")</f>
        <v/>
      </c>
      <c r="I48" s="190">
        <f>IF(COUNT(M48:AS48)&gt;0,QUARTILE(M48:AS48,3),"")</f>
        <v/>
      </c>
      <c r="J48" s="190">
        <f>IF(COUNT(M48:AS48)&gt;1,STDEV(M48:AS48),"")</f>
        <v/>
      </c>
      <c r="K48" s="191">
        <f>IF(COUNT(M48:AS48)&gt;1,STDEV(M48:AS48)/AVERAGE(M48:AS48),"")</f>
        <v/>
      </c>
      <c r="M48" s="192" t="n">
        <v>-47388</v>
      </c>
      <c r="N48" s="192" t="n">
        <v>-44259</v>
      </c>
      <c r="O48" s="192" t="n">
        <v>46535</v>
      </c>
      <c r="P48" s="192" t="n">
        <v>21866</v>
      </c>
      <c r="Q48" s="192" t="n">
        <v>49</v>
      </c>
      <c r="R48" s="192" t="n">
        <v>9045</v>
      </c>
      <c r="S48" s="192" t="n">
        <v>10114</v>
      </c>
      <c r="T48" s="192" t="n">
        <v>10669</v>
      </c>
      <c r="U48" s="192" t="n">
        <v>-3149</v>
      </c>
      <c r="V48" s="192" t="n">
        <v>-333</v>
      </c>
      <c r="W48" s="192" t="n">
        <v>2788</v>
      </c>
      <c r="X48" s="192" t="n">
        <v>-1971</v>
      </c>
      <c r="Y48" s="192" t="n">
        <v>2816</v>
      </c>
      <c r="Z48" s="192" t="n">
        <v>1609</v>
      </c>
      <c r="AA48" s="192" t="n">
        <v>-2545</v>
      </c>
      <c r="AB48" s="192" t="n">
        <v>2529</v>
      </c>
      <c r="AC48" s="192" t="n">
        <v>-2740</v>
      </c>
      <c r="AD48" s="192" t="n">
        <v>10073</v>
      </c>
      <c r="AE48" s="192" t="n"/>
      <c r="AF48" s="192" t="n"/>
      <c r="AG48" s="192" t="n"/>
      <c r="AH48" s="192" t="n"/>
      <c r="AI48" s="192" t="n"/>
      <c r="AJ48" s="192" t="n"/>
      <c r="AK48" s="192" t="n"/>
      <c r="AL48" s="192" t="n"/>
      <c r="AM48" s="192" t="n"/>
      <c r="AN48" s="192" t="n"/>
      <c r="AO48" s="192" t="n"/>
      <c r="AP48" s="192" t="n"/>
      <c r="AQ48" s="192" t="n"/>
      <c r="AR48" s="192" t="n"/>
      <c r="AS48" s="192" t="n"/>
      <c r="AT48" s="182" t="n"/>
      <c r="AU48" s="176" t="n"/>
      <c r="AV48" s="176" t="n"/>
      <c r="AW48" s="176" t="n"/>
      <c r="AX48" s="176" t="n"/>
      <c r="AY48" s="176" t="n"/>
      <c r="AZ48" s="176" t="n"/>
      <c r="BA48" s="176" t="n"/>
      <c r="BB48" s="176" t="n"/>
      <c r="BC48" s="176" t="n"/>
      <c r="BD48" s="176" t="n"/>
      <c r="BE48" s="176" t="n"/>
      <c r="BF48" s="176" t="n"/>
      <c r="BG48" s="176" t="n"/>
      <c r="BH48" s="176" t="n"/>
      <c r="BI48" s="176" t="n"/>
      <c r="BJ48" s="176" t="n"/>
      <c r="BK48" s="176" t="n"/>
      <c r="BL48" s="176" t="n"/>
      <c r="BM48" s="176" t="n"/>
      <c r="BN48" s="176" t="n"/>
      <c r="BO48" s="176" t="n"/>
      <c r="BP48" s="176" t="n"/>
      <c r="BQ48" s="176" t="n"/>
      <c r="BR48" s="176" t="n"/>
    </row>
    <row r="49" ht="15" customHeight="1" s="392">
      <c r="A49" s="176" t="n"/>
      <c r="B49" s="180" t="n"/>
      <c r="C49" s="183" t="inlineStr">
        <is>
          <t xml:space="preserve">                        Change in Other Payables</t>
        </is>
      </c>
      <c r="D49" s="190">
        <f>IF(COUNT(M49:AS49)&gt;0,MEDIAN(M49:AS49),"")</f>
        <v/>
      </c>
      <c r="E49" s="190">
        <f>IF(COUNT(M49:AS49)&gt;0,AVERAGE(M49:AS49),"")</f>
        <v/>
      </c>
      <c r="F49" s="190">
        <f>IF(COUNT(M49:AS49)&gt;0,MIN(M49:AS49),"")</f>
        <v/>
      </c>
      <c r="G49" s="190">
        <f>IF(COUNT(M49:AS49)&gt;0,MAX(M49:AS49),"")</f>
        <v/>
      </c>
      <c r="H49" s="190">
        <f>IF(COUNT(M49:AS49)&gt;0,QUARTILE(M49:AS49,1),"")</f>
        <v/>
      </c>
      <c r="I49" s="190">
        <f>IF(COUNT(M49:AS49)&gt;0,QUARTILE(M49:AS49,3),"")</f>
        <v/>
      </c>
      <c r="J49" s="190">
        <f>IF(COUNT(M49:AS49)&gt;1,STDEV(M49:AS49),"")</f>
        <v/>
      </c>
      <c r="K49" s="191">
        <f>IF(COUNT(M49:AS49)&gt;1,STDEV(M49:AS49)/AVERAGE(M49:AS49),"")</f>
        <v/>
      </c>
      <c r="M49" s="192" t="n"/>
      <c r="N49" s="192" t="n"/>
      <c r="O49" s="192" t="n"/>
      <c r="P49" s="192" t="n"/>
      <c r="Q49" s="192" t="n"/>
      <c r="R49" s="192" t="n"/>
      <c r="S49" s="192" t="n"/>
      <c r="T49" s="192" t="n"/>
      <c r="U49" s="192" t="n"/>
      <c r="V49" s="192" t="n"/>
      <c r="W49" s="192" t="n"/>
      <c r="X49" s="192" t="n"/>
      <c r="Y49" s="192" t="n"/>
      <c r="Z49" s="192" t="n"/>
      <c r="AA49" s="192" t="n"/>
      <c r="AB49" s="192" t="n"/>
      <c r="AC49" s="192" t="n">
        <v>8098</v>
      </c>
      <c r="AD49" s="192" t="n">
        <v>-2479</v>
      </c>
      <c r="AE49" s="192" t="n"/>
      <c r="AF49" s="192" t="n"/>
      <c r="AG49" s="192" t="n"/>
      <c r="AH49" s="192" t="n"/>
      <c r="AI49" s="192" t="n"/>
      <c r="AJ49" s="192" t="n"/>
      <c r="AK49" s="192" t="n"/>
      <c r="AL49" s="192" t="n"/>
      <c r="AM49" s="192" t="n"/>
      <c r="AN49" s="192" t="n"/>
      <c r="AO49" s="192" t="n"/>
      <c r="AP49" s="192" t="n"/>
      <c r="AQ49" s="192" t="n"/>
      <c r="AR49" s="192" t="n"/>
      <c r="AS49" s="192" t="n"/>
      <c r="AT49" s="182" t="n"/>
      <c r="AU49" s="176" t="n"/>
      <c r="AV49" s="176" t="n"/>
      <c r="AW49" s="176" t="n"/>
      <c r="AX49" s="176" t="n"/>
      <c r="AY49" s="176" t="n"/>
      <c r="AZ49" s="176" t="n"/>
      <c r="BA49" s="176" t="n"/>
      <c r="BB49" s="176" t="n"/>
      <c r="BC49" s="176" t="n"/>
      <c r="BD49" s="176" t="n"/>
      <c r="BE49" s="176" t="n"/>
      <c r="BF49" s="176" t="n"/>
      <c r="BG49" s="176" t="n"/>
      <c r="BH49" s="176" t="n"/>
      <c r="BI49" s="176" t="n"/>
      <c r="BJ49" s="176" t="n"/>
      <c r="BK49" s="176" t="n"/>
      <c r="BL49" s="176" t="n"/>
      <c r="BM49" s="176" t="n"/>
      <c r="BN49" s="176" t="n"/>
      <c r="BO49" s="176" t="n"/>
      <c r="BP49" s="176" t="n"/>
      <c r="BQ49" s="176" t="n"/>
      <c r="BR49" s="176" t="n"/>
    </row>
    <row r="50" ht="15" customHeight="1" s="392">
      <c r="A50" s="176" t="n"/>
      <c r="B50" s="180" t="n"/>
      <c r="C50" s="187" t="inlineStr">
        <is>
          <t xml:space="preserve">                    Total Change in Trade and Other Payables</t>
        </is>
      </c>
      <c r="D50" s="193">
        <f>IF(COUNT(M50:AS50)&gt;0,MEDIAN(M50:AS50),"")</f>
        <v/>
      </c>
      <c r="E50" s="193">
        <f>IF(COUNT(M50:AS50)&gt;0,AVERAGE(M50:AS50),"")</f>
        <v/>
      </c>
      <c r="F50" s="193">
        <f>IF(COUNT(M50:AS50)&gt;0,MIN(M50:AS50),"")</f>
        <v/>
      </c>
      <c r="G50" s="193">
        <f>IF(COUNT(M50:AS50)&gt;0,MAX(M50:AS50),"")</f>
        <v/>
      </c>
      <c r="H50" s="193">
        <f>IF(COUNT(M50:AS50)&gt;0,QUARTILE(M50:AS50,1),"")</f>
        <v/>
      </c>
      <c r="I50" s="193">
        <f>IF(COUNT(M50:AS50)&gt;0,QUARTILE(M50:AS50,3),"")</f>
        <v/>
      </c>
      <c r="J50" s="193">
        <f>IF(COUNT(M50:AS50)&gt;1,STDEV(M50:AS50),"")</f>
        <v/>
      </c>
      <c r="K50" s="194">
        <f>IF(COUNT(M50:AS50)&gt;1,STDEV(M50:AS50)/AVERAGE(M50:AS50),"")</f>
        <v/>
      </c>
      <c r="L50" s="195" t="n"/>
      <c r="M50" s="196" t="n">
        <v>-14881</v>
      </c>
      <c r="N50" s="196" t="n">
        <v>25340</v>
      </c>
      <c r="O50" s="196" t="n">
        <v>106063</v>
      </c>
      <c r="P50" s="196" t="n">
        <v>39876</v>
      </c>
      <c r="Q50" s="196" t="n">
        <v>36355</v>
      </c>
      <c r="R50" s="196" t="n">
        <v>53658</v>
      </c>
      <c r="S50" s="196" t="n">
        <v>51762</v>
      </c>
      <c r="T50" s="196" t="n">
        <v>21795</v>
      </c>
      <c r="U50" s="196" t="n">
        <v>50171</v>
      </c>
      <c r="V50" s="196" t="n">
        <v>3936</v>
      </c>
      <c r="W50" s="196" t="n">
        <v>51135</v>
      </c>
      <c r="X50" s="196" t="n">
        <v>-5897</v>
      </c>
      <c r="Y50" s="196" t="n">
        <v>8241</v>
      </c>
      <c r="Z50" s="196" t="n">
        <v>16358</v>
      </c>
      <c r="AA50" s="196" t="n">
        <v>-6350</v>
      </c>
      <c r="AB50" s="196" t="n">
        <v>7784</v>
      </c>
      <c r="AC50" s="196" t="n">
        <v>5358</v>
      </c>
      <c r="AD50" s="196" t="n">
        <v>7594</v>
      </c>
      <c r="AE50" s="196" t="n"/>
      <c r="AF50" s="196" t="n"/>
      <c r="AG50" s="196" t="n"/>
      <c r="AH50" s="196" t="n"/>
      <c r="AI50" s="196" t="n"/>
      <c r="AJ50" s="196" t="n"/>
      <c r="AK50" s="196" t="n"/>
      <c r="AL50" s="196" t="n"/>
      <c r="AM50" s="196" t="n"/>
      <c r="AN50" s="196" t="n"/>
      <c r="AO50" s="196" t="n"/>
      <c r="AP50" s="196" t="n"/>
      <c r="AQ50" s="196" t="n"/>
      <c r="AR50" s="196" t="n"/>
      <c r="AS50" s="196" t="n"/>
      <c r="AT50" s="182" t="n"/>
      <c r="AU50" s="176" t="n"/>
      <c r="AV50" s="176" t="n"/>
      <c r="AW50" s="176" t="n"/>
      <c r="AX50" s="176" t="n"/>
      <c r="AY50" s="176" t="n"/>
      <c r="AZ50" s="176" t="n"/>
      <c r="BA50" s="176" t="n"/>
      <c r="BB50" s="176" t="n"/>
      <c r="BC50" s="176" t="n"/>
      <c r="BD50" s="176" t="n"/>
      <c r="BE50" s="176" t="n"/>
      <c r="BF50" s="176" t="n"/>
      <c r="BG50" s="176" t="n"/>
      <c r="BH50" s="176" t="n"/>
      <c r="BI50" s="176" t="n"/>
      <c r="BJ50" s="176" t="n"/>
      <c r="BK50" s="176" t="n"/>
      <c r="BL50" s="176" t="n"/>
      <c r="BM50" s="176" t="n"/>
      <c r="BN50" s="176" t="n"/>
      <c r="BO50" s="176" t="n"/>
      <c r="BP50" s="176" t="n"/>
      <c r="BQ50" s="176" t="n"/>
      <c r="BR50" s="176" t="n"/>
    </row>
    <row r="51" ht="15" customHeight="1" s="392">
      <c r="A51" s="176" t="n"/>
      <c r="B51" s="180" t="n"/>
      <c r="C51" s="187" t="inlineStr">
        <is>
          <t xml:space="preserve">                Total Change in Payables and Accrued Expenses</t>
        </is>
      </c>
      <c r="D51" s="193">
        <f>IF(COUNT(M51:AS51)&gt;0,MEDIAN(M51:AS51),"")</f>
        <v/>
      </c>
      <c r="E51" s="193">
        <f>IF(COUNT(M51:AS51)&gt;0,AVERAGE(M51:AS51),"")</f>
        <v/>
      </c>
      <c r="F51" s="193">
        <f>IF(COUNT(M51:AS51)&gt;0,MIN(M51:AS51),"")</f>
        <v/>
      </c>
      <c r="G51" s="193">
        <f>IF(COUNT(M51:AS51)&gt;0,MAX(M51:AS51),"")</f>
        <v/>
      </c>
      <c r="H51" s="193">
        <f>IF(COUNT(M51:AS51)&gt;0,QUARTILE(M51:AS51,1),"")</f>
        <v/>
      </c>
      <c r="I51" s="193">
        <f>IF(COUNT(M51:AS51)&gt;0,QUARTILE(M51:AS51,3),"")</f>
        <v/>
      </c>
      <c r="J51" s="193">
        <f>IF(COUNT(M51:AS51)&gt;1,STDEV(M51:AS51),"")</f>
        <v/>
      </c>
      <c r="K51" s="194">
        <f>IF(COUNT(M51:AS51)&gt;1,STDEV(M51:AS51)/AVERAGE(M51:AS51),"")</f>
        <v/>
      </c>
      <c r="L51" s="195" t="n"/>
      <c r="M51" s="196" t="n">
        <v>-14881</v>
      </c>
      <c r="N51" s="196" t="n">
        <v>25340</v>
      </c>
      <c r="O51" s="196" t="n">
        <v>106063</v>
      </c>
      <c r="P51" s="196" t="n">
        <v>39876</v>
      </c>
      <c r="Q51" s="196" t="n">
        <v>36355</v>
      </c>
      <c r="R51" s="196" t="n">
        <v>53658</v>
      </c>
      <c r="S51" s="196" t="n">
        <v>51762</v>
      </c>
      <c r="T51" s="196" t="n">
        <v>21795</v>
      </c>
      <c r="U51" s="196" t="n">
        <v>50171</v>
      </c>
      <c r="V51" s="196" t="n">
        <v>3936</v>
      </c>
      <c r="W51" s="196" t="n">
        <v>51135</v>
      </c>
      <c r="X51" s="196" t="n">
        <v>-5897</v>
      </c>
      <c r="Y51" s="196" t="n">
        <v>8241</v>
      </c>
      <c r="Z51" s="196" t="n">
        <v>16358</v>
      </c>
      <c r="AA51" s="196" t="n">
        <v>-6350</v>
      </c>
      <c r="AB51" s="196" t="n">
        <v>7784</v>
      </c>
      <c r="AC51" s="196" t="n">
        <v>5358</v>
      </c>
      <c r="AD51" s="196" t="n">
        <v>7594</v>
      </c>
      <c r="AE51" s="196" t="n">
        <v>1208</v>
      </c>
      <c r="AF51" s="196" t="n">
        <v>8648</v>
      </c>
      <c r="AG51" s="196" t="n">
        <v>4371</v>
      </c>
      <c r="AH51" s="196" t="n">
        <v>12837</v>
      </c>
      <c r="AI51" s="196" t="n">
        <v>5455</v>
      </c>
      <c r="AJ51" s="196" t="n">
        <v>6167</v>
      </c>
      <c r="AK51" s="196" t="n">
        <v>5125.1</v>
      </c>
      <c r="AL51" s="196" t="n">
        <v>5124.5</v>
      </c>
      <c r="AM51" s="196" t="n">
        <v>3811.2</v>
      </c>
      <c r="AN51" s="196" t="n">
        <v>4100</v>
      </c>
      <c r="AO51" s="196" t="n">
        <v>-900</v>
      </c>
      <c r="AP51" s="196" t="n">
        <v>1400</v>
      </c>
      <c r="AQ51" s="196" t="n">
        <v>800</v>
      </c>
      <c r="AR51" s="196" t="n">
        <v>1900</v>
      </c>
      <c r="AS51" s="196" t="n">
        <v>1800</v>
      </c>
      <c r="AT51" s="182" t="n"/>
      <c r="AU51" s="176" t="n"/>
      <c r="AV51" s="176" t="n"/>
      <c r="AW51" s="176" t="n"/>
      <c r="AX51" s="176" t="n"/>
      <c r="AY51" s="176" t="n"/>
      <c r="AZ51" s="176" t="n"/>
      <c r="BA51" s="176" t="n"/>
      <c r="BB51" s="176" t="n"/>
      <c r="BC51" s="176" t="n"/>
      <c r="BD51" s="176" t="n"/>
      <c r="BE51" s="176" t="n"/>
      <c r="BF51" s="176" t="n"/>
      <c r="BG51" s="176" t="n"/>
      <c r="BH51" s="176" t="n"/>
      <c r="BI51" s="176" t="n"/>
      <c r="BJ51" s="176" t="n"/>
      <c r="BK51" s="176" t="n"/>
      <c r="BL51" s="176" t="n"/>
      <c r="BM51" s="176" t="n"/>
      <c r="BN51" s="176" t="n"/>
      <c r="BO51" s="176" t="n"/>
      <c r="BP51" s="176" t="n"/>
      <c r="BQ51" s="176" t="n"/>
      <c r="BR51" s="176" t="n"/>
    </row>
    <row r="52" ht="15" customHeight="1" s="392">
      <c r="A52" s="176" t="n"/>
      <c r="B52" s="180" t="n"/>
      <c r="C52" s="183" t="inlineStr">
        <is>
          <t xml:space="preserve">                Change in Deferred Assets/Liabilities</t>
        </is>
      </c>
      <c r="D52" s="190">
        <f>IF(COUNT(M52:AS52)&gt;0,MEDIAN(M52:AS52),"")</f>
        <v/>
      </c>
      <c r="E52" s="190">
        <f>IF(COUNT(M52:AS52)&gt;0,AVERAGE(M52:AS52),"")</f>
        <v/>
      </c>
      <c r="F52" s="190">
        <f>IF(COUNT(M52:AS52)&gt;0,MIN(M52:AS52),"")</f>
        <v/>
      </c>
      <c r="G52" s="190">
        <f>IF(COUNT(M52:AS52)&gt;0,MAX(M52:AS52),"")</f>
        <v/>
      </c>
      <c r="H52" s="190">
        <f>IF(COUNT(M52:AS52)&gt;0,QUARTILE(M52:AS52,1),"")</f>
        <v/>
      </c>
      <c r="I52" s="190">
        <f>IF(COUNT(M52:AS52)&gt;0,QUARTILE(M52:AS52,3),"")</f>
        <v/>
      </c>
      <c r="J52" s="190">
        <f>IF(COUNT(M52:AS52)&gt;1,STDEV(M52:AS52),"")</f>
        <v/>
      </c>
      <c r="K52" s="191">
        <f>IF(COUNT(M52:AS52)&gt;1,STDEV(M52:AS52)/AVERAGE(M52:AS52),"")</f>
        <v/>
      </c>
      <c r="M52" s="192" t="n">
        <v>1908</v>
      </c>
      <c r="N52" s="192" t="n">
        <v>2159</v>
      </c>
      <c r="O52" s="192" t="n">
        <v>1867</v>
      </c>
      <c r="P52" s="192" t="n">
        <v>5896</v>
      </c>
      <c r="Q52" s="192" t="n">
        <v>-574</v>
      </c>
      <c r="R52" s="192" t="n">
        <v>8781</v>
      </c>
      <c r="S52" s="192" t="n">
        <v>1615</v>
      </c>
      <c r="T52" s="192" t="n">
        <v>2056</v>
      </c>
      <c r="U52" s="192" t="n">
        <v>-520</v>
      </c>
      <c r="V52" s="192" t="n">
        <v>392</v>
      </c>
      <c r="W52" s="192" t="n">
        <v>983</v>
      </c>
      <c r="X52" s="192" t="n">
        <v>-438</v>
      </c>
      <c r="Y52" s="192" t="n">
        <v>-661</v>
      </c>
      <c r="Z52" s="192" t="n">
        <v>-871</v>
      </c>
      <c r="AA52" s="192" t="n">
        <v>-243</v>
      </c>
      <c r="AB52" s="192" t="n">
        <v>-5015</v>
      </c>
      <c r="AC52" s="192" t="n"/>
      <c r="AD52" s="192" t="n"/>
      <c r="AE52" s="192" t="n"/>
      <c r="AF52" s="192" t="n"/>
      <c r="AG52" s="192" t="n"/>
      <c r="AH52" s="192" t="n"/>
      <c r="AI52" s="192" t="n"/>
      <c r="AJ52" s="192" t="n"/>
      <c r="AK52" s="192" t="n"/>
      <c r="AL52" s="192" t="n"/>
      <c r="AM52" s="192" t="n"/>
      <c r="AN52" s="192" t="n"/>
      <c r="AO52" s="192" t="n"/>
      <c r="AP52" s="192" t="n"/>
      <c r="AQ52" s="192" t="n"/>
      <c r="AR52" s="192" t="n"/>
      <c r="AS52" s="192" t="n"/>
      <c r="AT52" s="182" t="n"/>
      <c r="AU52" s="176" t="n"/>
      <c r="AV52" s="176" t="n"/>
      <c r="AW52" s="176" t="n"/>
      <c r="AX52" s="176" t="n"/>
      <c r="AY52" s="176" t="n"/>
      <c r="AZ52" s="176" t="n"/>
      <c r="BA52" s="176" t="n"/>
      <c r="BB52" s="176" t="n"/>
      <c r="BC52" s="176" t="n"/>
      <c r="BD52" s="176" t="n"/>
      <c r="BE52" s="176" t="n"/>
      <c r="BF52" s="176" t="n"/>
      <c r="BG52" s="176" t="n"/>
      <c r="BH52" s="176" t="n"/>
      <c r="BI52" s="176" t="n"/>
      <c r="BJ52" s="176" t="n"/>
      <c r="BK52" s="176" t="n"/>
      <c r="BL52" s="176" t="n"/>
      <c r="BM52" s="176" t="n"/>
      <c r="BN52" s="176" t="n"/>
      <c r="BO52" s="176" t="n"/>
      <c r="BP52" s="176" t="n"/>
      <c r="BQ52" s="176" t="n"/>
      <c r="BR52" s="176" t="n"/>
    </row>
    <row r="53" ht="15" customHeight="1" s="392">
      <c r="A53" s="176" t="n"/>
      <c r="B53" s="180" t="n"/>
      <c r="C53" s="183" t="inlineStr">
        <is>
          <t xml:space="preserve">                Change in Other Current Liabilities</t>
        </is>
      </c>
      <c r="D53" s="190">
        <f>IF(COUNT(M53:AS53)&gt;0,MEDIAN(M53:AS53),"")</f>
        <v/>
      </c>
      <c r="E53" s="190">
        <f>IF(COUNT(M53:AS53)&gt;0,AVERAGE(M53:AS53),"")</f>
        <v/>
      </c>
      <c r="F53" s="190">
        <f>IF(COUNT(M53:AS53)&gt;0,MIN(M53:AS53),"")</f>
        <v/>
      </c>
      <c r="G53" s="190">
        <f>IF(COUNT(M53:AS53)&gt;0,MAX(M53:AS53),"")</f>
        <v/>
      </c>
      <c r="H53" s="190">
        <f>IF(COUNT(M53:AS53)&gt;0,QUARTILE(M53:AS53,1),"")</f>
        <v/>
      </c>
      <c r="I53" s="190">
        <f>IF(COUNT(M53:AS53)&gt;0,QUARTILE(M53:AS53,3),"")</f>
        <v/>
      </c>
      <c r="J53" s="190">
        <f>IF(COUNT(M53:AS53)&gt;1,STDEV(M53:AS53),"")</f>
        <v/>
      </c>
      <c r="K53" s="191">
        <f>IF(COUNT(M53:AS53)&gt;1,STDEV(M53:AS53)/AVERAGE(M53:AS53),"")</f>
        <v/>
      </c>
      <c r="M53" s="192" t="n"/>
      <c r="N53" s="192" t="n"/>
      <c r="O53" s="192" t="n"/>
      <c r="P53" s="192" t="n"/>
      <c r="Q53" s="192" t="n"/>
      <c r="R53" s="192" t="n"/>
      <c r="S53" s="192" t="n">
        <v>498</v>
      </c>
      <c r="T53" s="192" t="n">
        <v>664</v>
      </c>
      <c r="U53" s="192" t="n">
        <v>-587</v>
      </c>
      <c r="V53" s="192" t="n">
        <v>-1145</v>
      </c>
      <c r="W53" s="192" t="n">
        <v>1839</v>
      </c>
      <c r="X53" s="192" t="n">
        <v>-1666</v>
      </c>
      <c r="Y53" s="192" t="n">
        <v>1503</v>
      </c>
      <c r="Z53" s="192" t="n">
        <v>560</v>
      </c>
      <c r="AA53" s="192" t="n">
        <v>1622</v>
      </c>
      <c r="AB53" s="192" t="n">
        <v>-428</v>
      </c>
      <c r="AC53" s="192" t="n">
        <v>-2527</v>
      </c>
      <c r="AD53" s="192" t="n"/>
      <c r="AE53" s="192" t="n">
        <v>619</v>
      </c>
      <c r="AF53" s="192" t="n">
        <v>1233</v>
      </c>
      <c r="AG53" s="192" t="n">
        <v>-4330</v>
      </c>
      <c r="AH53" s="192" t="n">
        <v>7773</v>
      </c>
      <c r="AI53" s="192" t="n">
        <v>10699</v>
      </c>
      <c r="AJ53" s="192" t="n">
        <v>-4916</v>
      </c>
      <c r="AK53" s="192" t="n">
        <v>-37.3</v>
      </c>
      <c r="AL53" s="192" t="n">
        <v>11494.1</v>
      </c>
      <c r="AM53" s="192" t="n">
        <v>1574.8</v>
      </c>
      <c r="AN53" s="192" t="n">
        <v>1200</v>
      </c>
      <c r="AO53" s="192" t="n">
        <v>-600</v>
      </c>
      <c r="AP53" s="192" t="n">
        <v>3300</v>
      </c>
      <c r="AQ53" s="192" t="n">
        <v>-2000</v>
      </c>
      <c r="AR53" s="192" t="n">
        <v>1900</v>
      </c>
      <c r="AS53" s="192" t="n">
        <v>300</v>
      </c>
      <c r="AT53" s="182" t="n"/>
      <c r="AU53" s="176" t="n"/>
      <c r="AV53" s="176" t="n"/>
      <c r="AW53" s="176" t="n"/>
      <c r="AX53" s="176" t="n"/>
      <c r="AY53" s="176" t="n"/>
      <c r="AZ53" s="176" t="n"/>
      <c r="BA53" s="176" t="n"/>
      <c r="BB53" s="176" t="n"/>
      <c r="BC53" s="176" t="n"/>
      <c r="BD53" s="176" t="n"/>
      <c r="BE53" s="176" t="n"/>
      <c r="BF53" s="176" t="n"/>
      <c r="BG53" s="176" t="n"/>
      <c r="BH53" s="176" t="n"/>
      <c r="BI53" s="176" t="n"/>
      <c r="BJ53" s="176" t="n"/>
      <c r="BK53" s="176" t="n"/>
      <c r="BL53" s="176" t="n"/>
      <c r="BM53" s="176" t="n"/>
      <c r="BN53" s="176" t="n"/>
      <c r="BO53" s="176" t="n"/>
      <c r="BP53" s="176" t="n"/>
      <c r="BQ53" s="176" t="n"/>
      <c r="BR53" s="176" t="n"/>
    </row>
    <row r="54" ht="15" customHeight="1" s="392">
      <c r="A54" s="176" t="n"/>
      <c r="B54" s="180" t="n"/>
      <c r="C54" s="183" t="inlineStr">
        <is>
          <t xml:space="preserve">                Change in Other Operating Capital</t>
        </is>
      </c>
      <c r="D54" s="190">
        <f>IF(COUNT(M54:AS54)&gt;0,MEDIAN(M54:AS54),"")</f>
        <v/>
      </c>
      <c r="E54" s="190">
        <f>IF(COUNT(M54:AS54)&gt;0,AVERAGE(M54:AS54),"")</f>
        <v/>
      </c>
      <c r="F54" s="190">
        <f>IF(COUNT(M54:AS54)&gt;0,MIN(M54:AS54),"")</f>
        <v/>
      </c>
      <c r="G54" s="190">
        <f>IF(COUNT(M54:AS54)&gt;0,MAX(M54:AS54),"")</f>
        <v/>
      </c>
      <c r="H54" s="190">
        <f>IF(COUNT(M54:AS54)&gt;0,QUARTILE(M54:AS54,1),"")</f>
        <v/>
      </c>
      <c r="I54" s="190">
        <f>IF(COUNT(M54:AS54)&gt;0,QUARTILE(M54:AS54,3),"")</f>
        <v/>
      </c>
      <c r="J54" s="190">
        <f>IF(COUNT(M54:AS54)&gt;1,STDEV(M54:AS54),"")</f>
        <v/>
      </c>
      <c r="K54" s="191">
        <f>IF(COUNT(M54:AS54)&gt;1,STDEV(M54:AS54)/AVERAGE(M54:AS54),"")</f>
        <v/>
      </c>
      <c r="M54" s="192" t="n">
        <v>690</v>
      </c>
      <c r="N54" s="192" t="n">
        <v>478</v>
      </c>
      <c r="O54" s="192" t="n">
        <v>1064</v>
      </c>
      <c r="P54" s="192" t="n">
        <v>350</v>
      </c>
      <c r="Q54" s="192" t="n">
        <v>715</v>
      </c>
      <c r="R54" s="192" t="n">
        <v>570</v>
      </c>
      <c r="S54" s="192" t="n">
        <v>-572</v>
      </c>
      <c r="T54" s="192" t="n">
        <v>0</v>
      </c>
      <c r="U54" s="192" t="n">
        <v>0</v>
      </c>
      <c r="V54" s="192" t="n">
        <v>1085</v>
      </c>
      <c r="W54" s="192" t="n">
        <v>4164</v>
      </c>
      <c r="X54" s="192" t="n">
        <v>10125</v>
      </c>
      <c r="Y54" s="192" t="n">
        <v>-8900</v>
      </c>
      <c r="Z54" s="192" t="n">
        <v>-18714</v>
      </c>
      <c r="AA54" s="192" t="n">
        <v>-1951</v>
      </c>
      <c r="AB54" s="192" t="n">
        <v>739</v>
      </c>
      <c r="AC54" s="192" t="n">
        <v>311</v>
      </c>
      <c r="AD54" s="192" t="n">
        <v>-6349</v>
      </c>
      <c r="AE54" s="192" t="n">
        <v>-20281</v>
      </c>
      <c r="AF54" s="192" t="n">
        <v>695</v>
      </c>
      <c r="AG54" s="192" t="n">
        <v>948</v>
      </c>
      <c r="AH54" s="192" t="n"/>
      <c r="AI54" s="192" t="n"/>
      <c r="AJ54" s="192" t="n"/>
      <c r="AK54" s="192" t="n"/>
      <c r="AL54" s="192" t="n"/>
      <c r="AM54" s="192" t="n"/>
      <c r="AN54" s="192" t="n"/>
      <c r="AO54" s="192" t="n"/>
      <c r="AP54" s="192" t="n"/>
      <c r="AQ54" s="192" t="n"/>
      <c r="AR54" s="192" t="n"/>
      <c r="AS54" s="192" t="n"/>
      <c r="AT54" s="182" t="n"/>
      <c r="AU54" s="176" t="n"/>
      <c r="AV54" s="176" t="n"/>
      <c r="AW54" s="176" t="n"/>
      <c r="AX54" s="176" t="n"/>
      <c r="AY54" s="176" t="n"/>
      <c r="AZ54" s="176" t="n"/>
      <c r="BA54" s="176" t="n"/>
      <c r="BB54" s="176" t="n"/>
      <c r="BC54" s="176" t="n"/>
      <c r="BD54" s="176" t="n"/>
      <c r="BE54" s="176" t="n"/>
      <c r="BF54" s="176" t="n"/>
      <c r="BG54" s="176" t="n"/>
      <c r="BH54" s="176" t="n"/>
      <c r="BI54" s="176" t="n"/>
      <c r="BJ54" s="176" t="n"/>
      <c r="BK54" s="176" t="n"/>
      <c r="BL54" s="176" t="n"/>
      <c r="BM54" s="176" t="n"/>
      <c r="BN54" s="176" t="n"/>
      <c r="BO54" s="176" t="n"/>
      <c r="BP54" s="176" t="n"/>
      <c r="BQ54" s="176" t="n"/>
      <c r="BR54" s="176" t="n"/>
    </row>
    <row r="55" ht="15" customHeight="1" s="392">
      <c r="A55" s="176" t="n"/>
      <c r="B55" s="180" t="n"/>
      <c r="C55" s="187" t="inlineStr">
        <is>
          <t xml:space="preserve">            Total Changes in Operating Capital</t>
        </is>
      </c>
      <c r="D55" s="193">
        <f>IF(COUNT(M55:AS55)&gt;0,MEDIAN(M55:AS55),"")</f>
        <v/>
      </c>
      <c r="E55" s="193">
        <f>IF(COUNT(M55:AS55)&gt;0,AVERAGE(M55:AS55),"")</f>
        <v/>
      </c>
      <c r="F55" s="193">
        <f>IF(COUNT(M55:AS55)&gt;0,MIN(M55:AS55),"")</f>
        <v/>
      </c>
      <c r="G55" s="193">
        <f>IF(COUNT(M55:AS55)&gt;0,MAX(M55:AS55),"")</f>
        <v/>
      </c>
      <c r="H55" s="193">
        <f>IF(COUNT(M55:AS55)&gt;0,QUARTILE(M55:AS55,1),"")</f>
        <v/>
      </c>
      <c r="I55" s="193">
        <f>IF(COUNT(M55:AS55)&gt;0,QUARTILE(M55:AS55,3),"")</f>
        <v/>
      </c>
      <c r="J55" s="193">
        <f>IF(COUNT(M55:AS55)&gt;1,STDEV(M55:AS55),"")</f>
        <v/>
      </c>
      <c r="K55" s="194">
        <f>IF(COUNT(M55:AS55)&gt;1,STDEV(M55:AS55)/AVERAGE(M55:AS55),"")</f>
        <v/>
      </c>
      <c r="L55" s="195" t="n"/>
      <c r="M55" s="196" t="n">
        <v>-207603</v>
      </c>
      <c r="N55" s="196" t="n">
        <v>22560</v>
      </c>
      <c r="O55" s="196" t="n">
        <v>-114137</v>
      </c>
      <c r="P55" s="196" t="n">
        <v>-88281</v>
      </c>
      <c r="Q55" s="196" t="n">
        <v>-125487</v>
      </c>
      <c r="R55" s="196" t="n">
        <v>-95818</v>
      </c>
      <c r="S55" s="196" t="n">
        <v>66159</v>
      </c>
      <c r="T55" s="196" t="n">
        <v>-73910</v>
      </c>
      <c r="U55" s="196" t="n">
        <v>-8205</v>
      </c>
      <c r="V55" s="196" t="n">
        <v>-20792</v>
      </c>
      <c r="W55" s="196" t="n">
        <v>-16125</v>
      </c>
      <c r="X55" s="196" t="n">
        <v>-21652</v>
      </c>
      <c r="Y55" s="196" t="n">
        <v>-7521</v>
      </c>
      <c r="Z55" s="196" t="n">
        <v>-45964</v>
      </c>
      <c r="AA55" s="196" t="n">
        <v>-8894</v>
      </c>
      <c r="AB55" s="196" t="n">
        <v>15350</v>
      </c>
      <c r="AC55" s="196" t="n">
        <v>-3923</v>
      </c>
      <c r="AD55" s="196" t="n">
        <v>21570</v>
      </c>
      <c r="AE55" s="196" t="n">
        <v>-17686</v>
      </c>
      <c r="AF55" s="196" t="n">
        <v>11138</v>
      </c>
      <c r="AG55" s="196" t="n">
        <v>-12736</v>
      </c>
      <c r="AH55" s="196" t="n">
        <v>9218</v>
      </c>
      <c r="AI55" s="196" t="n">
        <v>5608</v>
      </c>
      <c r="AJ55" s="196" t="n">
        <v>-10669</v>
      </c>
      <c r="AK55" s="196" t="n">
        <v>5752.8</v>
      </c>
      <c r="AL55" s="196" t="n">
        <v>-653.3</v>
      </c>
      <c r="AM55" s="196" t="n">
        <v>-15868.7</v>
      </c>
      <c r="AN55" s="196" t="n">
        <v>-200</v>
      </c>
      <c r="AO55" s="196" t="n">
        <v>-1500</v>
      </c>
      <c r="AP55" s="196" t="n">
        <v>4500</v>
      </c>
      <c r="AQ55" s="196" t="n">
        <v>-6600</v>
      </c>
      <c r="AR55" s="196" t="n">
        <v>-5300</v>
      </c>
      <c r="AS55" s="196" t="n">
        <v>-400</v>
      </c>
      <c r="AT55" s="182" t="n"/>
      <c r="AU55" s="176" t="n"/>
      <c r="AV55" s="176" t="n"/>
      <c r="AW55" s="176" t="n"/>
      <c r="AX55" s="176" t="n"/>
      <c r="AY55" s="176" t="n"/>
      <c r="AZ55" s="176" t="n"/>
      <c r="BA55" s="176" t="n"/>
      <c r="BB55" s="176" t="n"/>
      <c r="BC55" s="176" t="n"/>
      <c r="BD55" s="176" t="n"/>
      <c r="BE55" s="176" t="n"/>
      <c r="BF55" s="176" t="n"/>
      <c r="BG55" s="176" t="n"/>
      <c r="BH55" s="176" t="n"/>
      <c r="BI55" s="176" t="n"/>
      <c r="BJ55" s="176" t="n"/>
      <c r="BK55" s="176" t="n"/>
      <c r="BL55" s="176" t="n"/>
      <c r="BM55" s="176" t="n"/>
      <c r="BN55" s="176" t="n"/>
      <c r="BO55" s="176" t="n"/>
      <c r="BP55" s="176" t="n"/>
      <c r="BQ55" s="176" t="n"/>
      <c r="BR55" s="176" t="n"/>
    </row>
    <row r="56" ht="15" customHeight="1" s="392">
      <c r="A56" s="176" t="n"/>
      <c r="B56" s="180" t="n"/>
      <c r="C56" s="187" t="inlineStr">
        <is>
          <t xml:space="preserve">        Total Cash Generated from Operating Activities</t>
        </is>
      </c>
      <c r="D56" s="193">
        <f>IF(COUNT(M56:AS56)&gt;0,MEDIAN(M56:AS56),"")</f>
        <v/>
      </c>
      <c r="E56" s="193">
        <f>IF(COUNT(M56:AS56)&gt;0,AVERAGE(M56:AS56),"")</f>
        <v/>
      </c>
      <c r="F56" s="193">
        <f>IF(COUNT(M56:AS56)&gt;0,MIN(M56:AS56),"")</f>
        <v/>
      </c>
      <c r="G56" s="193">
        <f>IF(COUNT(M56:AS56)&gt;0,MAX(M56:AS56),"")</f>
        <v/>
      </c>
      <c r="H56" s="193">
        <f>IF(COUNT(M56:AS56)&gt;0,QUARTILE(M56:AS56,1),"")</f>
        <v/>
      </c>
      <c r="I56" s="193">
        <f>IF(COUNT(M56:AS56)&gt;0,QUARTILE(M56:AS56,3),"")</f>
        <v/>
      </c>
      <c r="J56" s="193">
        <f>IF(COUNT(M56:AS56)&gt;1,STDEV(M56:AS56),"")</f>
        <v/>
      </c>
      <c r="K56" s="194">
        <f>IF(COUNT(M56:AS56)&gt;1,STDEV(M56:AS56)/AVERAGE(M56:AS56),"")</f>
        <v/>
      </c>
      <c r="L56" s="195" t="n"/>
      <c r="M56" s="196" t="n">
        <v>1604492</v>
      </c>
      <c r="N56" s="196" t="n">
        <v>1799750</v>
      </c>
      <c r="O56" s="196" t="n">
        <v>1472564</v>
      </c>
      <c r="P56" s="196" t="n">
        <v>1364210</v>
      </c>
      <c r="Q56" s="196" t="n">
        <v>1176683</v>
      </c>
      <c r="R56" s="196" t="n">
        <v>990891</v>
      </c>
      <c r="S56" s="196" t="n">
        <v>917885</v>
      </c>
      <c r="T56" s="196" t="n">
        <v>646646</v>
      </c>
      <c r="U56" s="196" t="n">
        <v>535069</v>
      </c>
      <c r="V56" s="196" t="n">
        <v>492058</v>
      </c>
      <c r="W56" s="196" t="n">
        <v>332498</v>
      </c>
      <c r="X56" s="196" t="n">
        <v>265076</v>
      </c>
      <c r="Y56" s="196" t="n">
        <v>262594</v>
      </c>
      <c r="Z56" s="196" t="n">
        <v>199326</v>
      </c>
      <c r="AA56" s="196" t="n">
        <v>229673</v>
      </c>
      <c r="AB56" s="196" t="n">
        <v>242932</v>
      </c>
      <c r="AC56" s="196" t="n">
        <v>47780</v>
      </c>
      <c r="AD56" s="196" t="n">
        <v>203339</v>
      </c>
      <c r="AE56" s="196" t="n">
        <v>194063</v>
      </c>
      <c r="AF56" s="196" t="n">
        <v>182053</v>
      </c>
      <c r="AG56" s="196" t="n">
        <v>123306</v>
      </c>
      <c r="AH56" s="196" t="n">
        <v>134831</v>
      </c>
      <c r="AI56" s="196" t="n">
        <v>113418</v>
      </c>
      <c r="AJ56" s="196" t="n">
        <v>78750</v>
      </c>
      <c r="AK56" s="196" t="n">
        <v>81991.2</v>
      </c>
      <c r="AL56" s="196" t="n">
        <v>56898.4</v>
      </c>
      <c r="AM56" s="196" t="n">
        <v>26195.2</v>
      </c>
      <c r="AN56" s="196" t="n">
        <v>30700</v>
      </c>
      <c r="AO56" s="196" t="n">
        <v>21900</v>
      </c>
      <c r="AP56" s="196" t="n">
        <v>24700</v>
      </c>
      <c r="AQ56" s="196" t="n">
        <v>11300</v>
      </c>
      <c r="AR56" s="196" t="n">
        <v>5100</v>
      </c>
      <c r="AS56" s="196" t="n">
        <v>4700</v>
      </c>
      <c r="AT56" s="182" t="n"/>
      <c r="AU56" s="176" t="n"/>
      <c r="AV56" s="176" t="n"/>
      <c r="AW56" s="176" t="n"/>
      <c r="AX56" s="176" t="n"/>
      <c r="AY56" s="176" t="n"/>
      <c r="AZ56" s="176" t="n"/>
      <c r="BA56" s="176" t="n"/>
      <c r="BB56" s="176" t="n"/>
      <c r="BC56" s="176" t="n"/>
      <c r="BD56" s="176" t="n"/>
      <c r="BE56" s="176" t="n"/>
      <c r="BF56" s="176" t="n"/>
      <c r="BG56" s="176" t="n"/>
      <c r="BH56" s="176" t="n"/>
      <c r="BI56" s="176" t="n"/>
      <c r="BJ56" s="176" t="n"/>
      <c r="BK56" s="176" t="n"/>
      <c r="BL56" s="176" t="n"/>
      <c r="BM56" s="176" t="n"/>
      <c r="BN56" s="176" t="n"/>
      <c r="BO56" s="176" t="n"/>
      <c r="BP56" s="176" t="n"/>
      <c r="BQ56" s="176" t="n"/>
      <c r="BR56" s="176" t="n"/>
    </row>
    <row r="57" ht="15" customHeight="1" s="392">
      <c r="A57" s="176" t="n"/>
      <c r="B57" s="180" t="n"/>
      <c r="C57" s="183" t="inlineStr">
        <is>
          <t xml:space="preserve">        Other Operating Cash Flow</t>
        </is>
      </c>
      <c r="D57" s="190">
        <f>IF(COUNT(M57:AS57)&gt;0,MEDIAN(M57:AS57),"")</f>
        <v/>
      </c>
      <c r="E57" s="190">
        <f>IF(COUNT(M57:AS57)&gt;0,AVERAGE(M57:AS57),"")</f>
        <v/>
      </c>
      <c r="F57" s="190">
        <f>IF(COUNT(M57:AS57)&gt;0,MIN(M57:AS57),"")</f>
        <v/>
      </c>
      <c r="G57" s="190">
        <f>IF(COUNT(M57:AS57)&gt;0,MAX(M57:AS57),"")</f>
        <v/>
      </c>
      <c r="H57" s="190">
        <f>IF(COUNT(M57:AS57)&gt;0,QUARTILE(M57:AS57,1),"")</f>
        <v/>
      </c>
      <c r="I57" s="190">
        <f>IF(COUNT(M57:AS57)&gt;0,QUARTILE(M57:AS57,3),"")</f>
        <v/>
      </c>
      <c r="J57" s="190">
        <f>IF(COUNT(M57:AS57)&gt;1,STDEV(M57:AS57),"")</f>
        <v/>
      </c>
      <c r="K57" s="191">
        <f>IF(COUNT(M57:AS57)&gt;1,STDEV(M57:AS57)/AVERAGE(M57:AS57),"")</f>
        <v/>
      </c>
      <c r="M57" s="192" t="n"/>
      <c r="N57" s="192" t="n"/>
      <c r="O57" s="192" t="n"/>
      <c r="P57" s="192" t="n"/>
      <c r="Q57" s="192" t="n"/>
      <c r="R57" s="192" t="n"/>
      <c r="S57" s="192" t="n"/>
      <c r="T57" s="192" t="n"/>
      <c r="U57" s="192" t="n"/>
      <c r="V57" s="192" t="n"/>
      <c r="W57" s="192" t="n"/>
      <c r="X57" s="192" t="n"/>
      <c r="Y57" s="192" t="n"/>
      <c r="Z57" s="192" t="n"/>
      <c r="AA57" s="192" t="n"/>
      <c r="AB57" s="192" t="n"/>
      <c r="AC57" s="192" t="n">
        <v>151627</v>
      </c>
      <c r="AD57" s="192" t="n"/>
      <c r="AE57" s="192" t="n"/>
      <c r="AF57" s="192" t="n"/>
      <c r="AG57" s="192" t="n"/>
      <c r="AH57" s="192" t="n"/>
      <c r="AI57" s="192" t="n"/>
      <c r="AJ57" s="192" t="n"/>
      <c r="AK57" s="192" t="n"/>
      <c r="AL57" s="192" t="n"/>
      <c r="AM57" s="192" t="n"/>
      <c r="AN57" s="192" t="n"/>
      <c r="AO57" s="192" t="n"/>
      <c r="AP57" s="192" t="n">
        <v>-100</v>
      </c>
      <c r="AQ57" s="192" t="n"/>
      <c r="AR57" s="192" t="n">
        <v>100</v>
      </c>
      <c r="AS57" s="192" t="n"/>
      <c r="AT57" s="182" t="n"/>
      <c r="AU57" s="176" t="n"/>
      <c r="AV57" s="176" t="n"/>
      <c r="AW57" s="176" t="n"/>
      <c r="AX57" s="176" t="n"/>
      <c r="AY57" s="176" t="n"/>
      <c r="AZ57" s="176" t="n"/>
      <c r="BA57" s="176" t="n"/>
      <c r="BB57" s="176" t="n"/>
      <c r="BC57" s="176" t="n"/>
      <c r="BD57" s="176" t="n"/>
      <c r="BE57" s="176" t="n"/>
      <c r="BF57" s="176" t="n"/>
      <c r="BG57" s="176" t="n"/>
      <c r="BH57" s="176" t="n"/>
      <c r="BI57" s="176" t="n"/>
      <c r="BJ57" s="176" t="n"/>
      <c r="BK57" s="176" t="n"/>
      <c r="BL57" s="176" t="n"/>
      <c r="BM57" s="176" t="n"/>
      <c r="BN57" s="176" t="n"/>
      <c r="BO57" s="176" t="n"/>
      <c r="BP57" s="176" t="n"/>
      <c r="BQ57" s="176" t="n"/>
      <c r="BR57" s="176" t="n"/>
    </row>
    <row r="58" ht="15" customHeight="1" s="392">
      <c r="A58" s="176" t="n"/>
      <c r="B58" s="180" t="n"/>
      <c r="C58" s="187" t="inlineStr">
        <is>
          <t xml:space="preserve">    Total Net Cash Flow from Continuing Operating Activities, Indirect</t>
        </is>
      </c>
      <c r="D58" s="193">
        <f>IF(COUNT(M58:AS58)&gt;0,MEDIAN(M58:AS58),"")</f>
        <v/>
      </c>
      <c r="E58" s="193">
        <f>IF(COUNT(M58:AS58)&gt;0,AVERAGE(M58:AS58),"")</f>
        <v/>
      </c>
      <c r="F58" s="193">
        <f>IF(COUNT(M58:AS58)&gt;0,MIN(M58:AS58),"")</f>
        <v/>
      </c>
      <c r="G58" s="193">
        <f>IF(COUNT(M58:AS58)&gt;0,MAX(M58:AS58),"")</f>
        <v/>
      </c>
      <c r="H58" s="193">
        <f>IF(COUNT(M58:AS58)&gt;0,QUARTILE(M58:AS58,1),"")</f>
        <v/>
      </c>
      <c r="I58" s="193">
        <f>IF(COUNT(M58:AS58)&gt;0,QUARTILE(M58:AS58,3),"")</f>
        <v/>
      </c>
      <c r="J58" s="193">
        <f>IF(COUNT(M58:AS58)&gt;1,STDEV(M58:AS58),"")</f>
        <v/>
      </c>
      <c r="K58" s="194">
        <f>IF(COUNT(M58:AS58)&gt;1,STDEV(M58:AS58)/AVERAGE(M58:AS58),"")</f>
        <v/>
      </c>
      <c r="L58" s="195" t="n"/>
      <c r="M58" s="196" t="n">
        <v>1604492</v>
      </c>
      <c r="N58" s="196" t="n">
        <v>1799750</v>
      </c>
      <c r="O58" s="196" t="n">
        <v>1472564</v>
      </c>
      <c r="P58" s="196" t="n">
        <v>1364210</v>
      </c>
      <c r="Q58" s="196" t="n">
        <v>1176683</v>
      </c>
      <c r="R58" s="196" t="n">
        <v>990891</v>
      </c>
      <c r="S58" s="196" t="n">
        <v>917885</v>
      </c>
      <c r="T58" s="196" t="n">
        <v>646646</v>
      </c>
      <c r="U58" s="196" t="n">
        <v>535069</v>
      </c>
      <c r="V58" s="196" t="n">
        <v>492058</v>
      </c>
      <c r="W58" s="196" t="n">
        <v>332498</v>
      </c>
      <c r="X58" s="196" t="n">
        <v>265076</v>
      </c>
      <c r="Y58" s="196" t="n">
        <v>262594</v>
      </c>
      <c r="Z58" s="196" t="n">
        <v>199326</v>
      </c>
      <c r="AA58" s="196" t="n">
        <v>229673</v>
      </c>
      <c r="AB58" s="196" t="n">
        <v>242932</v>
      </c>
      <c r="AC58" s="196" t="n">
        <v>199407</v>
      </c>
      <c r="AD58" s="196" t="n">
        <v>203339</v>
      </c>
      <c r="AE58" s="196" t="n">
        <v>194063</v>
      </c>
      <c r="AF58" s="196" t="n">
        <v>182053</v>
      </c>
      <c r="AG58" s="196" t="n">
        <v>123306</v>
      </c>
      <c r="AH58" s="196" t="n">
        <v>134831</v>
      </c>
      <c r="AI58" s="196" t="n">
        <v>113418</v>
      </c>
      <c r="AJ58" s="196" t="n">
        <v>78750</v>
      </c>
      <c r="AK58" s="196" t="n">
        <v>81991.2</v>
      </c>
      <c r="AL58" s="196" t="n">
        <v>56898.4</v>
      </c>
      <c r="AM58" s="196" t="n">
        <v>26195.2</v>
      </c>
      <c r="AN58" s="196" t="n">
        <v>30700</v>
      </c>
      <c r="AO58" s="196" t="n">
        <v>21900</v>
      </c>
      <c r="AP58" s="196" t="n">
        <v>24600</v>
      </c>
      <c r="AQ58" s="196" t="n">
        <v>11300</v>
      </c>
      <c r="AR58" s="196" t="n">
        <v>5200</v>
      </c>
      <c r="AS58" s="196" t="n">
        <v>4700</v>
      </c>
      <c r="AT58" s="182" t="n"/>
      <c r="AU58" s="176" t="n"/>
      <c r="AV58" s="176" t="n"/>
      <c r="AW58" s="176" t="n"/>
      <c r="AX58" s="176" t="n"/>
      <c r="AY58" s="176" t="n"/>
      <c r="AZ58" s="176" t="n"/>
      <c r="BA58" s="176" t="n"/>
      <c r="BB58" s="176" t="n"/>
      <c r="BC58" s="176" t="n"/>
      <c r="BD58" s="176" t="n"/>
      <c r="BE58" s="176" t="n"/>
      <c r="BF58" s="176" t="n"/>
      <c r="BG58" s="176" t="n"/>
      <c r="BH58" s="176" t="n"/>
      <c r="BI58" s="176" t="n"/>
      <c r="BJ58" s="176" t="n"/>
      <c r="BK58" s="176" t="n"/>
      <c r="BL58" s="176" t="n"/>
      <c r="BM58" s="176" t="n"/>
      <c r="BN58" s="176" t="n"/>
      <c r="BO58" s="176" t="n"/>
      <c r="BP58" s="176" t="n"/>
      <c r="BQ58" s="176" t="n"/>
      <c r="BR58" s="176" t="n"/>
    </row>
    <row r="59" ht="15" customHeight="1" s="392">
      <c r="A59" s="176" t="n"/>
      <c r="B59" s="180" t="n"/>
      <c r="C59" s="183" t="inlineStr">
        <is>
          <t xml:space="preserve">    Net Cash Flow from Discontinued Operating Activities</t>
        </is>
      </c>
      <c r="D59" s="190">
        <f>IF(COUNT(M59:AS59)&gt;0,MEDIAN(M59:AS59),"")</f>
        <v/>
      </c>
      <c r="E59" s="190">
        <f>IF(COUNT(M59:AS59)&gt;0,AVERAGE(M59:AS59),"")</f>
        <v/>
      </c>
      <c r="F59" s="190">
        <f>IF(COUNT(M59:AS59)&gt;0,MIN(M59:AS59),"")</f>
        <v/>
      </c>
      <c r="G59" s="190">
        <f>IF(COUNT(M59:AS59)&gt;0,MAX(M59:AS59),"")</f>
        <v/>
      </c>
      <c r="H59" s="190">
        <f>IF(COUNT(M59:AS59)&gt;0,QUARTILE(M59:AS59,1),"")</f>
        <v/>
      </c>
      <c r="I59" s="190">
        <f>IF(COUNT(M59:AS59)&gt;0,QUARTILE(M59:AS59,3),"")</f>
        <v/>
      </c>
      <c r="J59" s="190">
        <f>IF(COUNT(M59:AS59)&gt;1,STDEV(M59:AS59),"")</f>
        <v/>
      </c>
      <c r="K59" s="191">
        <f>IF(COUNT(M59:AS59)&gt;1,STDEV(M59:AS59)/AVERAGE(M59:AS59),"")</f>
        <v/>
      </c>
      <c r="M59" s="192" t="n"/>
      <c r="N59" s="192" t="n"/>
      <c r="O59" s="192" t="n"/>
      <c r="P59" s="192" t="n"/>
      <c r="Q59" s="192" t="n"/>
      <c r="R59" s="192" t="n"/>
      <c r="S59" s="192" t="n"/>
      <c r="T59" s="192" t="n"/>
      <c r="U59" s="192" t="n"/>
      <c r="V59" s="192" t="n"/>
      <c r="W59" s="192" t="n"/>
      <c r="X59" s="192" t="n"/>
      <c r="Y59" s="192" t="n"/>
      <c r="Z59" s="192" t="n"/>
      <c r="AA59" s="192" t="n"/>
      <c r="AB59" s="192" t="n"/>
      <c r="AC59" s="192" t="n"/>
      <c r="AD59" s="192" t="n"/>
      <c r="AE59" s="192" t="n"/>
      <c r="AF59" s="192" t="n"/>
      <c r="AG59" s="192" t="n">
        <v>18638</v>
      </c>
      <c r="AH59" s="192" t="n">
        <v>1160</v>
      </c>
      <c r="AI59" s="192" t="n">
        <v>1692</v>
      </c>
      <c r="AJ59" s="192" t="n"/>
      <c r="AK59" s="192" t="n"/>
      <c r="AL59" s="192" t="n"/>
      <c r="AM59" s="192" t="n"/>
      <c r="AN59" s="192" t="n"/>
      <c r="AO59" s="192" t="n"/>
      <c r="AP59" s="192" t="n"/>
      <c r="AQ59" s="192" t="n"/>
      <c r="AR59" s="192" t="n"/>
      <c r="AS59" s="192" t="n"/>
      <c r="AT59" s="182" t="n"/>
      <c r="AU59" s="176" t="n"/>
      <c r="AV59" s="176" t="n"/>
      <c r="AW59" s="176" t="n"/>
      <c r="AX59" s="176" t="n"/>
      <c r="AY59" s="176" t="n"/>
      <c r="AZ59" s="176" t="n"/>
      <c r="BA59" s="176" t="n"/>
      <c r="BB59" s="176" t="n"/>
      <c r="BC59" s="176" t="n"/>
      <c r="BD59" s="176" t="n"/>
      <c r="BE59" s="176" t="n"/>
      <c r="BF59" s="176" t="n"/>
      <c r="BG59" s="176" t="n"/>
      <c r="BH59" s="176" t="n"/>
      <c r="BI59" s="176" t="n"/>
      <c r="BJ59" s="176" t="n"/>
      <c r="BK59" s="176" t="n"/>
      <c r="BL59" s="176" t="n"/>
      <c r="BM59" s="176" t="n"/>
      <c r="BN59" s="176" t="n"/>
      <c r="BO59" s="176" t="n"/>
      <c r="BP59" s="176" t="n"/>
      <c r="BQ59" s="176" t="n"/>
      <c r="BR59" s="176" t="n"/>
    </row>
    <row r="60" ht="15" customHeight="1" s="392">
      <c r="A60" s="176" t="n"/>
      <c r="B60" s="180" t="n"/>
      <c r="C60" s="187" t="inlineStr">
        <is>
          <t>Total Cash Flow from Operating Activities, Indirect</t>
        </is>
      </c>
      <c r="D60" s="193">
        <f>IF(COUNT(M60:AS60)&gt;0,MEDIAN(M60:AS60),"")</f>
        <v/>
      </c>
      <c r="E60" s="193">
        <f>IF(COUNT(M60:AS60)&gt;0,AVERAGE(M60:AS60),"")</f>
        <v/>
      </c>
      <c r="F60" s="193">
        <f>IF(COUNT(M60:AS60)&gt;0,MIN(M60:AS60),"")</f>
        <v/>
      </c>
      <c r="G60" s="193">
        <f>IF(COUNT(M60:AS60)&gt;0,MAX(M60:AS60),"")</f>
        <v/>
      </c>
      <c r="H60" s="193">
        <f>IF(COUNT(M60:AS60)&gt;0,QUARTILE(M60:AS60,1),"")</f>
        <v/>
      </c>
      <c r="I60" s="193">
        <f>IF(COUNT(M60:AS60)&gt;0,QUARTILE(M60:AS60,3),"")</f>
        <v/>
      </c>
      <c r="J60" s="193">
        <f>IF(COUNT(M60:AS60)&gt;1,STDEV(M60:AS60),"")</f>
        <v/>
      </c>
      <c r="K60" s="194">
        <f>IF(COUNT(M60:AS60)&gt;1,STDEV(M60:AS60)/AVERAGE(M60:AS60),"")</f>
        <v/>
      </c>
      <c r="L60" s="195" t="n"/>
      <c r="M60" s="196" t="n">
        <v>1604492</v>
      </c>
      <c r="N60" s="196" t="n">
        <v>1799750</v>
      </c>
      <c r="O60" s="196" t="n">
        <v>1472564</v>
      </c>
      <c r="P60" s="196" t="n">
        <v>1364210</v>
      </c>
      <c r="Q60" s="196" t="n">
        <v>1176683</v>
      </c>
      <c r="R60" s="196" t="n">
        <v>990891</v>
      </c>
      <c r="S60" s="196" t="n">
        <v>917885</v>
      </c>
      <c r="T60" s="196" t="n">
        <v>646646</v>
      </c>
      <c r="U60" s="196" t="n">
        <v>535069</v>
      </c>
      <c r="V60" s="196" t="n">
        <v>492058</v>
      </c>
      <c r="W60" s="196" t="n">
        <v>332498</v>
      </c>
      <c r="X60" s="196" t="n">
        <v>265076</v>
      </c>
      <c r="Y60" s="196" t="n">
        <v>262594</v>
      </c>
      <c r="Z60" s="196" t="n">
        <v>199326</v>
      </c>
      <c r="AA60" s="196" t="n">
        <v>229673</v>
      </c>
      <c r="AB60" s="196" t="n">
        <v>242932</v>
      </c>
      <c r="AC60" s="196" t="n">
        <v>199407</v>
      </c>
      <c r="AD60" s="196" t="n">
        <v>203339</v>
      </c>
      <c r="AE60" s="196" t="n">
        <v>194063</v>
      </c>
      <c r="AF60" s="196" t="n">
        <v>182053</v>
      </c>
      <c r="AG60" s="196" t="n">
        <v>141944</v>
      </c>
      <c r="AH60" s="196" t="n">
        <v>135991</v>
      </c>
      <c r="AI60" s="196" t="n">
        <v>115110</v>
      </c>
      <c r="AJ60" s="196" t="n">
        <v>78750</v>
      </c>
      <c r="AK60" s="196" t="n">
        <v>81991.2</v>
      </c>
      <c r="AL60" s="196" t="n">
        <v>56898.4</v>
      </c>
      <c r="AM60" s="196" t="n">
        <v>26195.2</v>
      </c>
      <c r="AN60" s="196" t="n">
        <v>30700</v>
      </c>
      <c r="AO60" s="196" t="n">
        <v>21900</v>
      </c>
      <c r="AP60" s="196" t="n">
        <v>24600</v>
      </c>
      <c r="AQ60" s="196" t="n">
        <v>11300</v>
      </c>
      <c r="AR60" s="196" t="n">
        <v>5200</v>
      </c>
      <c r="AS60" s="196" t="n">
        <v>4700</v>
      </c>
      <c r="AT60" s="182" t="n"/>
      <c r="AU60" s="176" t="n"/>
      <c r="AV60" s="176" t="n"/>
      <c r="AW60" s="176" t="n"/>
      <c r="AX60" s="176" t="n"/>
      <c r="AY60" s="176" t="n"/>
      <c r="AZ60" s="176" t="n"/>
      <c r="BA60" s="176" t="n"/>
      <c r="BB60" s="176" t="n"/>
      <c r="BC60" s="176" t="n"/>
      <c r="BD60" s="176" t="n"/>
      <c r="BE60" s="176" t="n"/>
      <c r="BF60" s="176" t="n"/>
      <c r="BG60" s="176" t="n"/>
      <c r="BH60" s="176" t="n"/>
      <c r="BI60" s="176" t="n"/>
      <c r="BJ60" s="176" t="n"/>
      <c r="BK60" s="176" t="n"/>
      <c r="BL60" s="176" t="n"/>
      <c r="BM60" s="176" t="n"/>
      <c r="BN60" s="176" t="n"/>
      <c r="BO60" s="176" t="n"/>
      <c r="BP60" s="176" t="n"/>
      <c r="BQ60" s="176" t="n"/>
      <c r="BR60" s="176" t="n"/>
    </row>
    <row r="61" ht="15" customHeight="1" s="392">
      <c r="A61" s="176" t="n"/>
      <c r="B61" s="180" t="n"/>
      <c r="C61" s="189" t="inlineStr">
        <is>
          <t>Cash Flow from Investing Activities</t>
        </is>
      </c>
      <c r="D61" s="185" t="n"/>
      <c r="E61" s="185" t="n"/>
      <c r="F61" s="185" t="n"/>
      <c r="G61" s="185" t="n"/>
      <c r="H61" s="185" t="n"/>
      <c r="I61" s="185" t="n"/>
      <c r="J61" s="185" t="n"/>
      <c r="K61" s="185" t="n"/>
      <c r="L61" s="185" t="n"/>
      <c r="M61" s="185" t="n"/>
      <c r="N61" s="185" t="n"/>
      <c r="O61" s="185" t="n"/>
      <c r="P61" s="185" t="n"/>
      <c r="Q61" s="185" t="n"/>
      <c r="R61" s="185" t="n"/>
      <c r="S61" s="185" t="n"/>
      <c r="T61" s="185" t="n"/>
      <c r="U61" s="185" t="n"/>
      <c r="V61" s="185" t="n"/>
      <c r="W61" s="185" t="n"/>
      <c r="X61" s="185" t="n"/>
      <c r="Y61" s="185" t="n"/>
      <c r="Z61" s="185" t="n"/>
      <c r="AA61" s="185" t="n"/>
      <c r="AB61" s="185" t="n"/>
      <c r="AC61" s="185" t="n"/>
      <c r="AD61" s="185" t="n"/>
      <c r="AE61" s="185" t="n"/>
      <c r="AF61" s="185" t="n"/>
      <c r="AG61" s="185" t="n"/>
      <c r="AH61" s="185" t="n"/>
      <c r="AI61" s="185" t="n"/>
      <c r="AJ61" s="185" t="n"/>
      <c r="AK61" s="185" t="n"/>
      <c r="AL61" s="185" t="n"/>
      <c r="AM61" s="185" t="n"/>
      <c r="AN61" s="185" t="n"/>
      <c r="AO61" s="185" t="n"/>
      <c r="AP61" s="185" t="n"/>
      <c r="AQ61" s="185" t="n"/>
      <c r="AR61" s="185" t="n"/>
      <c r="AS61" s="185" t="n"/>
      <c r="AT61" s="182" t="n"/>
      <c r="AU61" s="176" t="n"/>
      <c r="AV61" s="176" t="n"/>
      <c r="AW61" s="176" t="n"/>
      <c r="AX61" s="176" t="n"/>
      <c r="AY61" s="176" t="n"/>
      <c r="AZ61" s="176" t="n"/>
      <c r="BA61" s="176" t="n"/>
      <c r="BB61" s="176" t="n"/>
      <c r="BC61" s="176" t="n"/>
      <c r="BD61" s="176" t="n"/>
      <c r="BE61" s="176" t="n"/>
      <c r="BF61" s="176" t="n"/>
      <c r="BG61" s="176" t="n"/>
      <c r="BH61" s="176" t="n"/>
      <c r="BI61" s="176" t="n"/>
      <c r="BJ61" s="176" t="n"/>
      <c r="BK61" s="176" t="n"/>
      <c r="BL61" s="176" t="n"/>
      <c r="BM61" s="176" t="n"/>
      <c r="BN61" s="176" t="n"/>
      <c r="BO61" s="176" t="n"/>
      <c r="BP61" s="176" t="n"/>
      <c r="BQ61" s="176" t="n"/>
      <c r="BR61" s="176" t="n"/>
    </row>
    <row r="62" ht="15" customHeight="1" s="392">
      <c r="A62" s="176" t="n"/>
      <c r="B62" s="180" t="n"/>
      <c r="C62" s="183" t="inlineStr">
        <is>
          <t xml:space="preserve">    Cash Flow from Continuing Investing Activities</t>
        </is>
      </c>
      <c r="D62" s="185" t="n"/>
      <c r="E62" s="185" t="n"/>
      <c r="F62" s="185" t="n"/>
      <c r="G62" s="185" t="n"/>
      <c r="H62" s="185" t="n"/>
      <c r="I62" s="185" t="n"/>
      <c r="J62" s="185" t="n"/>
      <c r="K62" s="185" t="n"/>
      <c r="AT62" s="182" t="n"/>
      <c r="AU62" s="176" t="n"/>
      <c r="AV62" s="176" t="n"/>
      <c r="AW62" s="176" t="n"/>
      <c r="AX62" s="176" t="n"/>
      <c r="AY62" s="176" t="n"/>
      <c r="AZ62" s="176" t="n"/>
      <c r="BA62" s="176" t="n"/>
      <c r="BB62" s="176" t="n"/>
      <c r="BC62" s="176" t="n"/>
      <c r="BD62" s="176" t="n"/>
      <c r="BE62" s="176" t="n"/>
      <c r="BF62" s="176" t="n"/>
      <c r="BG62" s="176" t="n"/>
      <c r="BH62" s="176" t="n"/>
      <c r="BI62" s="176" t="n"/>
      <c r="BJ62" s="176" t="n"/>
      <c r="BK62" s="176" t="n"/>
      <c r="BL62" s="176" t="n"/>
      <c r="BM62" s="176" t="n"/>
      <c r="BN62" s="176" t="n"/>
      <c r="BO62" s="176" t="n"/>
      <c r="BP62" s="176" t="n"/>
      <c r="BQ62" s="176" t="n"/>
      <c r="BR62" s="176" t="n"/>
    </row>
    <row r="63" ht="15" customHeight="1" s="392">
      <c r="A63" s="176" t="n"/>
      <c r="B63" s="180" t="n"/>
      <c r="C63" s="183" t="inlineStr">
        <is>
          <t xml:space="preserve">        (Purchase)/Sale and Disposal of Property, Plant and Equipment, Net</t>
        </is>
      </c>
      <c r="D63" s="185" t="n"/>
      <c r="E63" s="185" t="n"/>
      <c r="F63" s="185" t="n"/>
      <c r="G63" s="185" t="n"/>
      <c r="H63" s="185" t="n"/>
      <c r="I63" s="185" t="n"/>
      <c r="J63" s="185" t="n"/>
      <c r="K63" s="185" t="n"/>
      <c r="AT63" s="182" t="n"/>
      <c r="AU63" s="176" t="n"/>
      <c r="AV63" s="176" t="n"/>
      <c r="AW63" s="176" t="n"/>
      <c r="AX63" s="176" t="n"/>
      <c r="AY63" s="176" t="n"/>
      <c r="AZ63" s="176" t="n"/>
      <c r="BA63" s="176" t="n"/>
      <c r="BB63" s="176" t="n"/>
      <c r="BC63" s="176" t="n"/>
      <c r="BD63" s="176" t="n"/>
      <c r="BE63" s="176" t="n"/>
      <c r="BF63" s="176" t="n"/>
      <c r="BG63" s="176" t="n"/>
      <c r="BH63" s="176" t="n"/>
      <c r="BI63" s="176" t="n"/>
      <c r="BJ63" s="176" t="n"/>
      <c r="BK63" s="176" t="n"/>
      <c r="BL63" s="176" t="n"/>
      <c r="BM63" s="176" t="n"/>
      <c r="BN63" s="176" t="n"/>
      <c r="BO63" s="176" t="n"/>
      <c r="BP63" s="176" t="n"/>
      <c r="BQ63" s="176" t="n"/>
      <c r="BR63" s="176" t="n"/>
    </row>
    <row r="64" ht="15" customHeight="1" s="392">
      <c r="A64" s="176" t="n"/>
      <c r="B64" s="180" t="n"/>
      <c r="C64" s="183" t="inlineStr">
        <is>
          <t xml:space="preserve">            Purchase of Property, Plant and Equipment</t>
        </is>
      </c>
      <c r="D64" s="190">
        <f>IF(COUNT(M64:AS64)&gt;0,MEDIAN(M64:AS64),"")</f>
        <v/>
      </c>
      <c r="E64" s="190">
        <f>IF(COUNT(M64:AS64)&gt;0,AVERAGE(M64:AS64),"")</f>
        <v/>
      </c>
      <c r="F64" s="190">
        <f>IF(COUNT(M64:AS64)&gt;0,MIN(M64:AS64),"")</f>
        <v/>
      </c>
      <c r="G64" s="190">
        <f>IF(COUNT(M64:AS64)&gt;0,MAX(M64:AS64),"")</f>
        <v/>
      </c>
      <c r="H64" s="190">
        <f>IF(COUNT(M64:AS64)&gt;0,QUARTILE(M64:AS64,1),"")</f>
        <v/>
      </c>
      <c r="I64" s="190">
        <f>IF(COUNT(M64:AS64)&gt;0,QUARTILE(M64:AS64,3),"")</f>
        <v/>
      </c>
      <c r="J64" s="190">
        <f>IF(COUNT(M64:AS64)&gt;1,STDEV(M64:AS64),"")</f>
        <v/>
      </c>
      <c r="K64" s="191">
        <f>IF(COUNT(M64:AS64)&gt;1,STDEV(M64:AS64)/AVERAGE(M64:AS64),"")</f>
        <v/>
      </c>
      <c r="M64" s="192" t="n">
        <v>-337363</v>
      </c>
      <c r="N64" s="192" t="n">
        <v>-568990</v>
      </c>
      <c r="O64" s="192" t="n">
        <v>-510990</v>
      </c>
      <c r="P64" s="192" t="n">
        <v>-516636</v>
      </c>
      <c r="Q64" s="192" t="n">
        <v>-337448</v>
      </c>
      <c r="R64" s="192" t="n">
        <v>-462996</v>
      </c>
      <c r="S64" s="192" t="n">
        <v>-591972</v>
      </c>
      <c r="T64" s="192" t="n">
        <v>-373883</v>
      </c>
      <c r="U64" s="192" t="n">
        <v>-287910</v>
      </c>
      <c r="V64" s="192" t="n">
        <v>-172178</v>
      </c>
      <c r="W64" s="192" t="n">
        <v>-173917</v>
      </c>
      <c r="X64" s="192" t="n">
        <v>-79153</v>
      </c>
      <c r="Y64" s="192" t="n">
        <v>-81510</v>
      </c>
      <c r="Z64" s="192" t="n">
        <v>-130265</v>
      </c>
      <c r="AA64" s="192" t="n">
        <v>-54832</v>
      </c>
      <c r="AB64" s="192" t="n">
        <v>-70170</v>
      </c>
      <c r="AC64" s="192" t="n">
        <v>-75840</v>
      </c>
      <c r="AD64" s="192" t="n">
        <v>-78912</v>
      </c>
      <c r="AE64" s="192" t="n">
        <v>-113364</v>
      </c>
      <c r="AF64" s="192" t="n">
        <v>-196861</v>
      </c>
      <c r="AG64" s="192" t="n">
        <v>-117687</v>
      </c>
      <c r="AH64" s="192" t="n">
        <v>-70241</v>
      </c>
      <c r="AI64" s="192" t="n">
        <v>-65663</v>
      </c>
      <c r="AJ64" s="192" t="n">
        <v>-70721</v>
      </c>
      <c r="AK64" s="192" t="n">
        <v>-85937</v>
      </c>
      <c r="AL64" s="192" t="n">
        <v>-45932.4</v>
      </c>
      <c r="AM64" s="192" t="n">
        <v>-37022.4</v>
      </c>
      <c r="AN64" s="192" t="n">
        <v>-20700</v>
      </c>
      <c r="AO64" s="192" t="n">
        <v>-12200</v>
      </c>
      <c r="AP64" s="192" t="n">
        <v>-7800</v>
      </c>
      <c r="AQ64" s="192" t="n">
        <v>-8600</v>
      </c>
      <c r="AR64" s="192" t="n">
        <v>-9900</v>
      </c>
      <c r="AS64" s="192" t="n">
        <v>-2400</v>
      </c>
      <c r="AT64" s="182" t="n"/>
      <c r="AU64" s="176" t="n"/>
      <c r="AV64" s="176" t="n"/>
      <c r="AW64" s="176" t="n"/>
      <c r="AX64" s="176" t="n"/>
      <c r="AY64" s="176" t="n"/>
      <c r="AZ64" s="176" t="n"/>
      <c r="BA64" s="176" t="n"/>
      <c r="BB64" s="176" t="n"/>
      <c r="BC64" s="176" t="n"/>
      <c r="BD64" s="176" t="n"/>
      <c r="BE64" s="176" t="n"/>
      <c r="BF64" s="176" t="n"/>
      <c r="BG64" s="176" t="n"/>
      <c r="BH64" s="176" t="n"/>
      <c r="BI64" s="176" t="n"/>
      <c r="BJ64" s="176" t="n"/>
      <c r="BK64" s="176" t="n"/>
      <c r="BL64" s="176" t="n"/>
      <c r="BM64" s="176" t="n"/>
      <c r="BN64" s="176" t="n"/>
      <c r="BO64" s="176" t="n"/>
      <c r="BP64" s="176" t="n"/>
      <c r="BQ64" s="176" t="n"/>
      <c r="BR64" s="176" t="n"/>
    </row>
    <row r="65" ht="15" customHeight="1" s="392">
      <c r="A65" s="176" t="n"/>
      <c r="B65" s="180" t="n"/>
      <c r="C65" s="183" t="inlineStr">
        <is>
          <t xml:space="preserve">            Sale and Disposal of Property, Plant and Equipment</t>
        </is>
      </c>
      <c r="D65" s="190">
        <f>IF(COUNT(M65:AS65)&gt;0,MEDIAN(M65:AS65),"")</f>
        <v/>
      </c>
      <c r="E65" s="190">
        <f>IF(COUNT(M65:AS65)&gt;0,AVERAGE(M65:AS65),"")</f>
        <v/>
      </c>
      <c r="F65" s="190">
        <f>IF(COUNT(M65:AS65)&gt;0,MIN(M65:AS65),"")</f>
        <v/>
      </c>
      <c r="G65" s="190">
        <f>IF(COUNT(M65:AS65)&gt;0,MAX(M65:AS65),"")</f>
        <v/>
      </c>
      <c r="H65" s="190">
        <f>IF(COUNT(M65:AS65)&gt;0,QUARTILE(M65:AS65,1),"")</f>
        <v/>
      </c>
      <c r="I65" s="190">
        <f>IF(COUNT(M65:AS65)&gt;0,QUARTILE(M65:AS65,3),"")</f>
        <v/>
      </c>
      <c r="J65" s="190">
        <f>IF(COUNT(M65:AS65)&gt;1,STDEV(M65:AS65),"")</f>
        <v/>
      </c>
      <c r="K65" s="191">
        <f>IF(COUNT(M65:AS65)&gt;1,STDEV(M65:AS65)/AVERAGE(M65:AS65),"")</f>
        <v/>
      </c>
      <c r="M65" s="192" t="n">
        <v>12575</v>
      </c>
      <c r="N65" s="192" t="n">
        <v>31831</v>
      </c>
      <c r="O65" s="192" t="n">
        <v>4166</v>
      </c>
      <c r="P65" s="192" t="n">
        <v>33919</v>
      </c>
      <c r="Q65" s="192" t="n">
        <v>4333</v>
      </c>
      <c r="R65" s="192" t="n">
        <v>2530</v>
      </c>
      <c r="S65" s="192" t="n">
        <v>2466</v>
      </c>
      <c r="T65" s="192" t="n">
        <v>18361</v>
      </c>
      <c r="U65" s="192" t="n">
        <v>6425</v>
      </c>
      <c r="V65" s="192" t="n">
        <v>765</v>
      </c>
      <c r="W65" s="192" t="n">
        <v>662</v>
      </c>
      <c r="X65" s="192" t="n">
        <v>1521</v>
      </c>
      <c r="Y65" s="192" t="n">
        <v>2849</v>
      </c>
      <c r="Z65" s="192" t="n">
        <v>3077</v>
      </c>
      <c r="AA65" s="192" t="n">
        <v>1268</v>
      </c>
      <c r="AB65" s="192" t="n">
        <v>20602</v>
      </c>
      <c r="AC65" s="192" t="n">
        <v>2477</v>
      </c>
      <c r="AD65" s="192" t="n">
        <v>7008</v>
      </c>
      <c r="AE65" s="192" t="n">
        <v>7220</v>
      </c>
      <c r="AF65" s="192" t="n">
        <v>26598</v>
      </c>
      <c r="AG65" s="192" t="n">
        <v>9556</v>
      </c>
      <c r="AH65" s="192" t="n">
        <v>5649</v>
      </c>
      <c r="AI65" s="192" t="n">
        <v>19767</v>
      </c>
      <c r="AJ65" s="192" t="n">
        <v>809</v>
      </c>
      <c r="AK65" s="192" t="n">
        <v>1688.4</v>
      </c>
      <c r="AL65" s="192" t="n">
        <v>1517.8</v>
      </c>
      <c r="AM65" s="192" t="n">
        <v>483.3</v>
      </c>
      <c r="AN65" s="192" t="n">
        <v>300</v>
      </c>
      <c r="AO65" s="192" t="n">
        <v>400</v>
      </c>
      <c r="AP65" s="192" t="n">
        <v>1900</v>
      </c>
      <c r="AQ65" s="192" t="n">
        <v>500</v>
      </c>
      <c r="AR65" s="192" t="n"/>
      <c r="AS65" s="192" t="n">
        <v>100</v>
      </c>
      <c r="AT65" s="182" t="n"/>
      <c r="AU65" s="176" t="n"/>
      <c r="AV65" s="176" t="n"/>
      <c r="AW65" s="176" t="n"/>
      <c r="AX65" s="176" t="n"/>
      <c r="AY65" s="176" t="n"/>
      <c r="AZ65" s="176" t="n"/>
      <c r="BA65" s="176" t="n"/>
      <c r="BB65" s="176" t="n"/>
      <c r="BC65" s="176" t="n"/>
      <c r="BD65" s="176" t="n"/>
      <c r="BE65" s="176" t="n"/>
      <c r="BF65" s="176" t="n"/>
      <c r="BG65" s="176" t="n"/>
      <c r="BH65" s="176" t="n"/>
      <c r="BI65" s="176" t="n"/>
      <c r="BJ65" s="176" t="n"/>
      <c r="BK65" s="176" t="n"/>
      <c r="BL65" s="176" t="n"/>
      <c r="BM65" s="176" t="n"/>
      <c r="BN65" s="176" t="n"/>
      <c r="BO65" s="176" t="n"/>
      <c r="BP65" s="176" t="n"/>
      <c r="BQ65" s="176" t="n"/>
      <c r="BR65" s="176" t="n"/>
    </row>
    <row r="66" ht="15" customHeight="1" s="392">
      <c r="A66" s="176" t="n"/>
      <c r="B66" s="180" t="n"/>
      <c r="C66" s="187" t="inlineStr">
        <is>
          <t xml:space="preserve">        Total (Purchase)/Sale and Disposal of Property, Plant and Equipment, Net</t>
        </is>
      </c>
      <c r="D66" s="193">
        <f>IF(COUNT(M66:AS66)&gt;0,MEDIAN(M66:AS66),"")</f>
        <v/>
      </c>
      <c r="E66" s="193">
        <f>IF(COUNT(M66:AS66)&gt;0,AVERAGE(M66:AS66),"")</f>
        <v/>
      </c>
      <c r="F66" s="193">
        <f>IF(COUNT(M66:AS66)&gt;0,MIN(M66:AS66),"")</f>
        <v/>
      </c>
      <c r="G66" s="193">
        <f>IF(COUNT(M66:AS66)&gt;0,MAX(M66:AS66),"")</f>
        <v/>
      </c>
      <c r="H66" s="193">
        <f>IF(COUNT(M66:AS66)&gt;0,QUARTILE(M66:AS66,1),"")</f>
        <v/>
      </c>
      <c r="I66" s="193">
        <f>IF(COUNT(M66:AS66)&gt;0,QUARTILE(M66:AS66,3),"")</f>
        <v/>
      </c>
      <c r="J66" s="193">
        <f>IF(COUNT(M66:AS66)&gt;1,STDEV(M66:AS66),"")</f>
        <v/>
      </c>
      <c r="K66" s="194">
        <f>IF(COUNT(M66:AS66)&gt;1,STDEV(M66:AS66)/AVERAGE(M66:AS66),"")</f>
        <v/>
      </c>
      <c r="L66" s="195" t="n"/>
      <c r="M66" s="196" t="n">
        <v>-324788</v>
      </c>
      <c r="N66" s="196" t="n">
        <v>-537159</v>
      </c>
      <c r="O66" s="196" t="n">
        <v>-506824</v>
      </c>
      <c r="P66" s="196" t="n">
        <v>-482717</v>
      </c>
      <c r="Q66" s="196" t="n">
        <v>-333115</v>
      </c>
      <c r="R66" s="196" t="n">
        <v>-460466</v>
      </c>
      <c r="S66" s="196" t="n">
        <v>-589506</v>
      </c>
      <c r="T66" s="196" t="n">
        <v>-355522</v>
      </c>
      <c r="U66" s="196" t="n">
        <v>-281485</v>
      </c>
      <c r="V66" s="196" t="n">
        <v>-171413</v>
      </c>
      <c r="W66" s="196" t="n">
        <v>-173255</v>
      </c>
      <c r="X66" s="196" t="n">
        <v>-77632</v>
      </c>
      <c r="Y66" s="196" t="n">
        <v>-78661</v>
      </c>
      <c r="Z66" s="196" t="n">
        <v>-127188</v>
      </c>
      <c r="AA66" s="196" t="n">
        <v>-53564</v>
      </c>
      <c r="AB66" s="196" t="n">
        <v>-49568</v>
      </c>
      <c r="AC66" s="196" t="n">
        <v>-73363</v>
      </c>
      <c r="AD66" s="196" t="n">
        <v>-71904</v>
      </c>
      <c r="AE66" s="196" t="n">
        <v>-106144</v>
      </c>
      <c r="AF66" s="196" t="n">
        <v>-170263</v>
      </c>
      <c r="AG66" s="196" t="n">
        <v>-108131</v>
      </c>
      <c r="AH66" s="196" t="n">
        <v>-64592</v>
      </c>
      <c r="AI66" s="196" t="n">
        <v>-45896</v>
      </c>
      <c r="AJ66" s="196" t="n">
        <v>-69912</v>
      </c>
      <c r="AK66" s="196" t="n">
        <v>-84248.60000000001</v>
      </c>
      <c r="AL66" s="196" t="n">
        <v>-44414.6</v>
      </c>
      <c r="AM66" s="196" t="n">
        <v>-36539.1</v>
      </c>
      <c r="AN66" s="196" t="n">
        <v>-20400</v>
      </c>
      <c r="AO66" s="196" t="n">
        <v>-11800</v>
      </c>
      <c r="AP66" s="196" t="n">
        <v>-5900</v>
      </c>
      <c r="AQ66" s="196" t="n">
        <v>-8100</v>
      </c>
      <c r="AR66" s="196" t="n">
        <v>-9900</v>
      </c>
      <c r="AS66" s="196" t="n">
        <v>-2300</v>
      </c>
      <c r="AT66" s="182" t="n"/>
      <c r="AU66" s="176" t="n"/>
      <c r="AV66" s="176" t="n"/>
      <c r="AW66" s="176" t="n"/>
      <c r="AX66" s="176" t="n"/>
      <c r="AY66" s="176" t="n"/>
      <c r="AZ66" s="176" t="n"/>
      <c r="BA66" s="176" t="n"/>
      <c r="BB66" s="176" t="n"/>
      <c r="BC66" s="176" t="n"/>
      <c r="BD66" s="176" t="n"/>
      <c r="BE66" s="176" t="n"/>
      <c r="BF66" s="176" t="n"/>
      <c r="BG66" s="176" t="n"/>
      <c r="BH66" s="176" t="n"/>
      <c r="BI66" s="176" t="n"/>
      <c r="BJ66" s="176" t="n"/>
      <c r="BK66" s="176" t="n"/>
      <c r="BL66" s="176" t="n"/>
      <c r="BM66" s="176" t="n"/>
      <c r="BN66" s="176" t="n"/>
      <c r="BO66" s="176" t="n"/>
      <c r="BP66" s="176" t="n"/>
      <c r="BQ66" s="176" t="n"/>
      <c r="BR66" s="176" t="n"/>
    </row>
    <row r="67" ht="15" customHeight="1" s="392">
      <c r="A67" s="176" t="n"/>
      <c r="B67" s="180" t="n"/>
      <c r="C67" s="183" t="inlineStr">
        <is>
          <t xml:space="preserve">        (Purchase)/Sale of Business, Net</t>
        </is>
      </c>
      <c r="D67" s="185" t="n"/>
      <c r="E67" s="185" t="n"/>
      <c r="F67" s="185" t="n"/>
      <c r="G67" s="185" t="n"/>
      <c r="H67" s="185" t="n"/>
      <c r="I67" s="185" t="n"/>
      <c r="J67" s="185" t="n"/>
      <c r="K67" s="185" t="n"/>
      <c r="AT67" s="182" t="n"/>
      <c r="AU67" s="176" t="n"/>
      <c r="AV67" s="176" t="n"/>
      <c r="AW67" s="176" t="n"/>
      <c r="AX67" s="176" t="n"/>
      <c r="AY67" s="176" t="n"/>
      <c r="AZ67" s="176" t="n"/>
      <c r="BA67" s="176" t="n"/>
      <c r="BB67" s="176" t="n"/>
      <c r="BC67" s="176" t="n"/>
      <c r="BD67" s="176" t="n"/>
      <c r="BE67" s="176" t="n"/>
      <c r="BF67" s="176" t="n"/>
      <c r="BG67" s="176" t="n"/>
      <c r="BH67" s="176" t="n"/>
      <c r="BI67" s="176" t="n"/>
      <c r="BJ67" s="176" t="n"/>
      <c r="BK67" s="176" t="n"/>
      <c r="BL67" s="176" t="n"/>
      <c r="BM67" s="176" t="n"/>
      <c r="BN67" s="176" t="n"/>
      <c r="BO67" s="176" t="n"/>
      <c r="BP67" s="176" t="n"/>
      <c r="BQ67" s="176" t="n"/>
      <c r="BR67" s="176" t="n"/>
    </row>
    <row r="68" ht="15" customHeight="1" s="392">
      <c r="A68" s="176" t="n"/>
      <c r="B68" s="180" t="n"/>
      <c r="C68" s="183" t="inlineStr">
        <is>
          <t xml:space="preserve">            Purchase/Acquisition of Business</t>
        </is>
      </c>
      <c r="D68" s="190">
        <f>IF(COUNT(M68:AS68)&gt;0,MEDIAN(M68:AS68),"")</f>
        <v/>
      </c>
      <c r="E68" s="190">
        <f>IF(COUNT(M68:AS68)&gt;0,AVERAGE(M68:AS68),"")</f>
        <v/>
      </c>
      <c r="F68" s="190">
        <f>IF(COUNT(M68:AS68)&gt;0,MIN(M68:AS68),"")</f>
        <v/>
      </c>
      <c r="G68" s="190">
        <f>IF(COUNT(M68:AS68)&gt;0,MAX(M68:AS68),"")</f>
        <v/>
      </c>
      <c r="H68" s="190">
        <f>IF(COUNT(M68:AS68)&gt;0,QUARTILE(M68:AS68,1),"")</f>
        <v/>
      </c>
      <c r="I68" s="190">
        <f>IF(COUNT(M68:AS68)&gt;0,QUARTILE(M68:AS68,3),"")</f>
        <v/>
      </c>
      <c r="J68" s="190">
        <f>IF(COUNT(M68:AS68)&gt;1,STDEV(M68:AS68),"")</f>
        <v/>
      </c>
      <c r="K68" s="191">
        <f>IF(COUNT(M68:AS68)&gt;1,STDEV(M68:AS68)/AVERAGE(M68:AS68),"")</f>
        <v/>
      </c>
      <c r="M68" s="192" t="n"/>
      <c r="N68" s="192" t="n">
        <v>-1223</v>
      </c>
      <c r="O68" s="192" t="n"/>
      <c r="P68" s="192" t="n"/>
      <c r="Q68" s="192" t="n">
        <v>-106604</v>
      </c>
      <c r="R68" s="192" t="n">
        <v>-5000</v>
      </c>
      <c r="S68" s="192" t="n">
        <v>-11702</v>
      </c>
      <c r="T68" s="192" t="n">
        <v>-745</v>
      </c>
      <c r="U68" s="192" t="n">
        <v>-8787</v>
      </c>
      <c r="V68" s="192" t="n">
        <v>-160812</v>
      </c>
      <c r="W68" s="192" t="n">
        <v>0</v>
      </c>
      <c r="X68" s="192" t="n"/>
      <c r="Y68" s="192" t="n"/>
      <c r="Z68" s="192" t="n"/>
      <c r="AA68" s="192" t="n"/>
      <c r="AB68" s="192" t="n"/>
      <c r="AC68" s="192" t="n">
        <v>-21362</v>
      </c>
      <c r="AD68" s="192" t="n">
        <v>0</v>
      </c>
      <c r="AE68" s="192" t="n"/>
      <c r="AF68" s="192" t="n"/>
      <c r="AG68" s="192" t="n"/>
      <c r="AH68" s="192" t="n"/>
      <c r="AI68" s="192" t="n"/>
      <c r="AJ68" s="192" t="n"/>
      <c r="AK68" s="192" t="n"/>
      <c r="AL68" s="192" t="n"/>
      <c r="AM68" s="192" t="n"/>
      <c r="AN68" s="192" t="n"/>
      <c r="AO68" s="192" t="n"/>
      <c r="AP68" s="192" t="n"/>
      <c r="AQ68" s="192" t="n"/>
      <c r="AR68" s="192" t="n"/>
      <c r="AS68" s="192" t="n"/>
      <c r="AT68" s="182" t="n"/>
      <c r="AU68" s="176" t="n"/>
      <c r="AV68" s="176" t="n"/>
      <c r="AW68" s="176" t="n"/>
      <c r="AX68" s="176" t="n"/>
      <c r="AY68" s="176" t="n"/>
      <c r="AZ68" s="176" t="n"/>
      <c r="BA68" s="176" t="n"/>
      <c r="BB68" s="176" t="n"/>
      <c r="BC68" s="176" t="n"/>
      <c r="BD68" s="176" t="n"/>
      <c r="BE68" s="176" t="n"/>
      <c r="BF68" s="176" t="n"/>
      <c r="BG68" s="176" t="n"/>
      <c r="BH68" s="176" t="n"/>
      <c r="BI68" s="176" t="n"/>
      <c r="BJ68" s="176" t="n"/>
      <c r="BK68" s="176" t="n"/>
      <c r="BL68" s="176" t="n"/>
      <c r="BM68" s="176" t="n"/>
      <c r="BN68" s="176" t="n"/>
      <c r="BO68" s="176" t="n"/>
      <c r="BP68" s="176" t="n"/>
      <c r="BQ68" s="176" t="n"/>
      <c r="BR68" s="176" t="n"/>
    </row>
    <row r="69" ht="15" customHeight="1" s="392">
      <c r="A69" s="176" t="n"/>
      <c r="B69" s="180" t="n"/>
      <c r="C69" s="183" t="inlineStr">
        <is>
          <t xml:space="preserve">            Sale of Business</t>
        </is>
      </c>
      <c r="D69" s="190">
        <f>IF(COUNT(M69:AS69)&gt;0,MEDIAN(M69:AS69),"")</f>
        <v/>
      </c>
      <c r="E69" s="190">
        <f>IF(COUNT(M69:AS69)&gt;0,AVERAGE(M69:AS69),"")</f>
        <v/>
      </c>
      <c r="F69" s="190">
        <f>IF(COUNT(M69:AS69)&gt;0,MIN(M69:AS69),"")</f>
        <v/>
      </c>
      <c r="G69" s="190">
        <f>IF(COUNT(M69:AS69)&gt;0,MAX(M69:AS69),"")</f>
        <v/>
      </c>
      <c r="H69" s="190">
        <f>IF(COUNT(M69:AS69)&gt;0,QUARTILE(M69:AS69,1),"")</f>
        <v/>
      </c>
      <c r="I69" s="190">
        <f>IF(COUNT(M69:AS69)&gt;0,QUARTILE(M69:AS69,3),"")</f>
        <v/>
      </c>
      <c r="J69" s="190">
        <f>IF(COUNT(M69:AS69)&gt;1,STDEV(M69:AS69),"")</f>
        <v/>
      </c>
      <c r="K69" s="191">
        <f>IF(COUNT(M69:AS69)&gt;1,STDEV(M69:AS69)/AVERAGE(M69:AS69),"")</f>
        <v/>
      </c>
      <c r="M69" s="192" t="n"/>
      <c r="N69" s="192" t="n"/>
      <c r="O69" s="192" t="n">
        <v>17662</v>
      </c>
      <c r="P69" s="192" t="n">
        <v>0</v>
      </c>
      <c r="Q69" s="192" t="n"/>
      <c r="R69" s="192" t="n"/>
      <c r="S69" s="192" t="n"/>
      <c r="T69" s="192" t="n"/>
      <c r="U69" s="192" t="n">
        <v>1796</v>
      </c>
      <c r="V69" s="192" t="n">
        <v>0</v>
      </c>
      <c r="W69" s="192" t="n">
        <v>0</v>
      </c>
      <c r="X69" s="192" t="n"/>
      <c r="Y69" s="192" t="n"/>
      <c r="Z69" s="192" t="n"/>
      <c r="AA69" s="192" t="n"/>
      <c r="AB69" s="192" t="n"/>
      <c r="AC69" s="192" t="n"/>
      <c r="AD69" s="192" t="n"/>
      <c r="AE69" s="192" t="n"/>
      <c r="AF69" s="192" t="n"/>
      <c r="AG69" s="192" t="n"/>
      <c r="AH69" s="192" t="n"/>
      <c r="AI69" s="192" t="n"/>
      <c r="AJ69" s="192" t="n"/>
      <c r="AK69" s="192" t="n"/>
      <c r="AL69" s="192" t="n"/>
      <c r="AM69" s="192" t="n"/>
      <c r="AN69" s="192" t="n"/>
      <c r="AO69" s="192" t="n"/>
      <c r="AP69" s="192" t="n"/>
      <c r="AQ69" s="192" t="n"/>
      <c r="AR69" s="192" t="n"/>
      <c r="AS69" s="192" t="n"/>
      <c r="AT69" s="182" t="n"/>
      <c r="AU69" s="176" t="n"/>
      <c r="AV69" s="176" t="n"/>
      <c r="AW69" s="176" t="n"/>
      <c r="AX69" s="176" t="n"/>
      <c r="AY69" s="176" t="n"/>
      <c r="AZ69" s="176" t="n"/>
      <c r="BA69" s="176" t="n"/>
      <c r="BB69" s="176" t="n"/>
      <c r="BC69" s="176" t="n"/>
      <c r="BD69" s="176" t="n"/>
      <c r="BE69" s="176" t="n"/>
      <c r="BF69" s="176" t="n"/>
      <c r="BG69" s="176" t="n"/>
      <c r="BH69" s="176" t="n"/>
      <c r="BI69" s="176" t="n"/>
      <c r="BJ69" s="176" t="n"/>
      <c r="BK69" s="176" t="n"/>
      <c r="BL69" s="176" t="n"/>
      <c r="BM69" s="176" t="n"/>
      <c r="BN69" s="176" t="n"/>
      <c r="BO69" s="176" t="n"/>
      <c r="BP69" s="176" t="n"/>
      <c r="BQ69" s="176" t="n"/>
      <c r="BR69" s="176" t="n"/>
    </row>
    <row r="70" ht="15" customHeight="1" s="392">
      <c r="A70" s="176" t="n"/>
      <c r="B70" s="180" t="n"/>
      <c r="C70" s="187" t="inlineStr">
        <is>
          <t xml:space="preserve">        Total (Purchase)/Sale of Business, Net</t>
        </is>
      </c>
      <c r="D70" s="193">
        <f>IF(COUNT(M70:AS70)&gt;0,MEDIAN(M70:AS70),"")</f>
        <v/>
      </c>
      <c r="E70" s="193">
        <f>IF(COUNT(M70:AS70)&gt;0,AVERAGE(M70:AS70),"")</f>
        <v/>
      </c>
      <c r="F70" s="193">
        <f>IF(COUNT(M70:AS70)&gt;0,MIN(M70:AS70),"")</f>
        <v/>
      </c>
      <c r="G70" s="193">
        <f>IF(COUNT(M70:AS70)&gt;0,MAX(M70:AS70),"")</f>
        <v/>
      </c>
      <c r="H70" s="193">
        <f>IF(COUNT(M70:AS70)&gt;0,QUARTILE(M70:AS70,1),"")</f>
        <v/>
      </c>
      <c r="I70" s="193">
        <f>IF(COUNT(M70:AS70)&gt;0,QUARTILE(M70:AS70,3),"")</f>
        <v/>
      </c>
      <c r="J70" s="193">
        <f>IF(COUNT(M70:AS70)&gt;1,STDEV(M70:AS70),"")</f>
        <v/>
      </c>
      <c r="K70" s="194">
        <f>IF(COUNT(M70:AS70)&gt;1,STDEV(M70:AS70)/AVERAGE(M70:AS70),"")</f>
        <v/>
      </c>
      <c r="L70" s="195" t="n"/>
      <c r="M70" s="196" t="n">
        <v>-5004</v>
      </c>
      <c r="N70" s="196" t="n">
        <v>-1223</v>
      </c>
      <c r="O70" s="196" t="n">
        <v>17662</v>
      </c>
      <c r="P70" s="196" t="n">
        <v>0</v>
      </c>
      <c r="Q70" s="196" t="n">
        <v>-106604</v>
      </c>
      <c r="R70" s="196" t="n">
        <v>-5000</v>
      </c>
      <c r="S70" s="196" t="n">
        <v>-11702</v>
      </c>
      <c r="T70" s="196" t="n">
        <v>-745</v>
      </c>
      <c r="U70" s="196" t="n">
        <v>-6991</v>
      </c>
      <c r="V70" s="196" t="n">
        <v>-160812</v>
      </c>
      <c r="W70" s="196" t="n">
        <v>0</v>
      </c>
      <c r="X70" s="196" t="n">
        <v>0</v>
      </c>
      <c r="Y70" s="196" t="n">
        <v>-14300</v>
      </c>
      <c r="Z70" s="196" t="n">
        <v>-84022</v>
      </c>
      <c r="AA70" s="196" t="n">
        <v>-2564</v>
      </c>
      <c r="AB70" s="196" t="n">
        <v>-34912</v>
      </c>
      <c r="AC70" s="196" t="n">
        <v>-21362</v>
      </c>
      <c r="AD70" s="196" t="n">
        <v>0</v>
      </c>
      <c r="AE70" s="196" t="n">
        <v>-38229</v>
      </c>
      <c r="AF70" s="196" t="n"/>
      <c r="AG70" s="196" t="n">
        <v>-2325</v>
      </c>
      <c r="AH70" s="196" t="n">
        <v>-504</v>
      </c>
      <c r="AI70" s="196" t="n">
        <v>-867</v>
      </c>
      <c r="AJ70" s="196" t="n">
        <v>-6604</v>
      </c>
      <c r="AK70" s="196" t="n">
        <v>-8561.1</v>
      </c>
      <c r="AL70" s="196" t="n">
        <v>-5099</v>
      </c>
      <c r="AM70" s="196" t="n"/>
      <c r="AN70" s="196" t="n"/>
      <c r="AO70" s="196" t="n"/>
      <c r="AP70" s="196" t="n"/>
      <c r="AQ70" s="196" t="n"/>
      <c r="AR70" s="196" t="n"/>
      <c r="AS70" s="196" t="n"/>
      <c r="AT70" s="182" t="n"/>
      <c r="AU70" s="176" t="n"/>
      <c r="AV70" s="176" t="n"/>
      <c r="AW70" s="176" t="n"/>
      <c r="AX70" s="176" t="n"/>
      <c r="AY70" s="176" t="n"/>
      <c r="AZ70" s="176" t="n"/>
      <c r="BA70" s="176" t="n"/>
      <c r="BB70" s="176" t="n"/>
      <c r="BC70" s="176" t="n"/>
      <c r="BD70" s="176" t="n"/>
      <c r="BE70" s="176" t="n"/>
      <c r="BF70" s="176" t="n"/>
      <c r="BG70" s="176" t="n"/>
      <c r="BH70" s="176" t="n"/>
      <c r="BI70" s="176" t="n"/>
      <c r="BJ70" s="176" t="n"/>
      <c r="BK70" s="176" t="n"/>
      <c r="BL70" s="176" t="n"/>
      <c r="BM70" s="176" t="n"/>
      <c r="BN70" s="176" t="n"/>
      <c r="BO70" s="176" t="n"/>
      <c r="BP70" s="176" t="n"/>
      <c r="BQ70" s="176" t="n"/>
      <c r="BR70" s="176" t="n"/>
    </row>
    <row r="71" ht="15" customHeight="1" s="392">
      <c r="A71" s="176" t="n"/>
      <c r="B71" s="180" t="n"/>
      <c r="C71" s="183" t="inlineStr">
        <is>
          <t xml:space="preserve">        (Purchase)/Sale of Equity Investments</t>
        </is>
      </c>
      <c r="D71" s="185" t="n"/>
      <c r="E71" s="185" t="n"/>
      <c r="F71" s="185" t="n"/>
      <c r="G71" s="185" t="n"/>
      <c r="H71" s="185" t="n"/>
      <c r="I71" s="185" t="n"/>
      <c r="J71" s="185" t="n"/>
      <c r="K71" s="185" t="n"/>
      <c r="AT71" s="182" t="n"/>
      <c r="AU71" s="176" t="n"/>
      <c r="AV71" s="176" t="n"/>
      <c r="AW71" s="176" t="n"/>
      <c r="AX71" s="176" t="n"/>
      <c r="AY71" s="176" t="n"/>
      <c r="AZ71" s="176" t="n"/>
      <c r="BA71" s="176" t="n"/>
      <c r="BB71" s="176" t="n"/>
      <c r="BC71" s="176" t="n"/>
      <c r="BD71" s="176" t="n"/>
      <c r="BE71" s="176" t="n"/>
      <c r="BF71" s="176" t="n"/>
      <c r="BG71" s="176" t="n"/>
      <c r="BH71" s="176" t="n"/>
      <c r="BI71" s="176" t="n"/>
      <c r="BJ71" s="176" t="n"/>
      <c r="BK71" s="176" t="n"/>
      <c r="BL71" s="176" t="n"/>
      <c r="BM71" s="176" t="n"/>
      <c r="BN71" s="176" t="n"/>
      <c r="BO71" s="176" t="n"/>
      <c r="BP71" s="176" t="n"/>
      <c r="BQ71" s="176" t="n"/>
      <c r="BR71" s="176" t="n"/>
    </row>
    <row r="72" ht="15" customHeight="1" s="392">
      <c r="A72" s="176" t="n"/>
      <c r="B72" s="180" t="n"/>
      <c r="C72" s="183" t="inlineStr">
        <is>
          <t xml:space="preserve">            Purchase of Joint Venture/Associate</t>
        </is>
      </c>
      <c r="D72" s="190">
        <f>IF(COUNT(M72:AS72)&gt;0,MEDIAN(M72:AS72),"")</f>
        <v/>
      </c>
      <c r="E72" s="190">
        <f>IF(COUNT(M72:AS72)&gt;0,AVERAGE(M72:AS72),"")</f>
        <v/>
      </c>
      <c r="F72" s="190">
        <f>IF(COUNT(M72:AS72)&gt;0,MIN(M72:AS72),"")</f>
        <v/>
      </c>
      <c r="G72" s="190">
        <f>IF(COUNT(M72:AS72)&gt;0,MAX(M72:AS72),"")</f>
        <v/>
      </c>
      <c r="H72" s="190">
        <f>IF(COUNT(M72:AS72)&gt;0,QUARTILE(M72:AS72,1),"")</f>
        <v/>
      </c>
      <c r="I72" s="190">
        <f>IF(COUNT(M72:AS72)&gt;0,QUARTILE(M72:AS72,3),"")</f>
        <v/>
      </c>
      <c r="J72" s="190">
        <f>IF(COUNT(M72:AS72)&gt;1,STDEV(M72:AS72),"")</f>
        <v/>
      </c>
      <c r="K72" s="191">
        <f>IF(COUNT(M72:AS72)&gt;1,STDEV(M72:AS72)/AVERAGE(M72:AS72),"")</f>
        <v/>
      </c>
      <c r="M72" s="192" t="n">
        <v>-3737</v>
      </c>
      <c r="N72" s="192" t="n">
        <v>-7148</v>
      </c>
      <c r="O72" s="192" t="n">
        <v>-8755</v>
      </c>
      <c r="P72" s="192" t="n">
        <v>-2744</v>
      </c>
      <c r="Q72" s="192" t="n">
        <v>-2591</v>
      </c>
      <c r="R72" s="192" t="n">
        <v>0</v>
      </c>
      <c r="S72" s="192" t="n">
        <v>0</v>
      </c>
      <c r="T72" s="192" t="n"/>
      <c r="U72" s="192" t="n"/>
      <c r="V72" s="192" t="n">
        <v>-3566</v>
      </c>
      <c r="W72" s="192" t="n">
        <v>0</v>
      </c>
      <c r="X72" s="192" t="n">
        <v>-4500</v>
      </c>
      <c r="Y72" s="192" t="n"/>
      <c r="Z72" s="192" t="n">
        <v>0</v>
      </c>
      <c r="AA72" s="192" t="n"/>
      <c r="AB72" s="192" t="n"/>
      <c r="AC72" s="192" t="n"/>
      <c r="AD72" s="192" t="n"/>
      <c r="AE72" s="192" t="n"/>
      <c r="AF72" s="192" t="n"/>
      <c r="AG72" s="192" t="n"/>
      <c r="AH72" s="192" t="n"/>
      <c r="AI72" s="192" t="n"/>
      <c r="AJ72" s="192" t="n"/>
      <c r="AK72" s="192" t="n"/>
      <c r="AL72" s="192" t="n"/>
      <c r="AM72" s="192" t="n"/>
      <c r="AN72" s="192" t="n"/>
      <c r="AO72" s="192" t="n"/>
      <c r="AP72" s="192" t="n"/>
      <c r="AQ72" s="192" t="n"/>
      <c r="AR72" s="192" t="n"/>
      <c r="AS72" s="192" t="n"/>
      <c r="AT72" s="182" t="n"/>
      <c r="AU72" s="176" t="n"/>
      <c r="AV72" s="176" t="n"/>
      <c r="AW72" s="176" t="n"/>
      <c r="AX72" s="176" t="n"/>
      <c r="AY72" s="176" t="n"/>
      <c r="AZ72" s="176" t="n"/>
      <c r="BA72" s="176" t="n"/>
      <c r="BB72" s="176" t="n"/>
      <c r="BC72" s="176" t="n"/>
      <c r="BD72" s="176" t="n"/>
      <c r="BE72" s="176" t="n"/>
      <c r="BF72" s="176" t="n"/>
      <c r="BG72" s="176" t="n"/>
      <c r="BH72" s="176" t="n"/>
      <c r="BI72" s="176" t="n"/>
      <c r="BJ72" s="176" t="n"/>
      <c r="BK72" s="176" t="n"/>
      <c r="BL72" s="176" t="n"/>
      <c r="BM72" s="176" t="n"/>
      <c r="BN72" s="176" t="n"/>
      <c r="BO72" s="176" t="n"/>
      <c r="BP72" s="176" t="n"/>
      <c r="BQ72" s="176" t="n"/>
      <c r="BR72" s="176" t="n"/>
    </row>
    <row r="73" ht="15" customHeight="1" s="392">
      <c r="A73" s="176" t="n"/>
      <c r="B73" s="180" t="n"/>
      <c r="C73" s="187" t="inlineStr">
        <is>
          <t xml:space="preserve">        Total (Purchase)/Sale of Equity Investments</t>
        </is>
      </c>
      <c r="D73" s="193">
        <f>IF(COUNT(M73:AS73)&gt;0,MEDIAN(M73:AS73),"")</f>
        <v/>
      </c>
      <c r="E73" s="193">
        <f>IF(COUNT(M73:AS73)&gt;0,AVERAGE(M73:AS73),"")</f>
        <v/>
      </c>
      <c r="F73" s="193">
        <f>IF(COUNT(M73:AS73)&gt;0,MIN(M73:AS73),"")</f>
        <v/>
      </c>
      <c r="G73" s="193">
        <f>IF(COUNT(M73:AS73)&gt;0,MAX(M73:AS73),"")</f>
        <v/>
      </c>
      <c r="H73" s="193">
        <f>IF(COUNT(M73:AS73)&gt;0,QUARTILE(M73:AS73,1),"")</f>
        <v/>
      </c>
      <c r="I73" s="193">
        <f>IF(COUNT(M73:AS73)&gt;0,QUARTILE(M73:AS73,3),"")</f>
        <v/>
      </c>
      <c r="J73" s="193">
        <f>IF(COUNT(M73:AS73)&gt;1,STDEV(M73:AS73),"")</f>
        <v/>
      </c>
      <c r="K73" s="194">
        <f>IF(COUNT(M73:AS73)&gt;1,STDEV(M73:AS73)/AVERAGE(M73:AS73),"")</f>
        <v/>
      </c>
      <c r="L73" s="195" t="n"/>
      <c r="M73" s="196" t="n">
        <v>-3737</v>
      </c>
      <c r="N73" s="196" t="n">
        <v>-7148</v>
      </c>
      <c r="O73" s="196" t="n">
        <v>-8755</v>
      </c>
      <c r="P73" s="196" t="n">
        <v>-2744</v>
      </c>
      <c r="Q73" s="196" t="n">
        <v>-2591</v>
      </c>
      <c r="R73" s="196" t="n">
        <v>0</v>
      </c>
      <c r="S73" s="196" t="n">
        <v>0</v>
      </c>
      <c r="T73" s="196" t="n"/>
      <c r="U73" s="196" t="n"/>
      <c r="V73" s="196" t="n">
        <v>-3566</v>
      </c>
      <c r="W73" s="196" t="n">
        <v>0</v>
      </c>
      <c r="X73" s="196" t="n">
        <v>-4500</v>
      </c>
      <c r="Y73" s="196" t="n"/>
      <c r="Z73" s="196" t="n">
        <v>0</v>
      </c>
      <c r="AA73" s="196" t="n"/>
      <c r="AB73" s="196" t="n"/>
      <c r="AC73" s="196" t="n"/>
      <c r="AD73" s="196" t="n"/>
      <c r="AE73" s="196" t="n"/>
      <c r="AF73" s="196" t="n"/>
      <c r="AG73" s="196" t="n"/>
      <c r="AH73" s="196" t="n"/>
      <c r="AI73" s="196" t="n"/>
      <c r="AJ73" s="196" t="n"/>
      <c r="AK73" s="196" t="n"/>
      <c r="AL73" s="196" t="n"/>
      <c r="AM73" s="196" t="n"/>
      <c r="AN73" s="196" t="n"/>
      <c r="AO73" s="196" t="n"/>
      <c r="AP73" s="196" t="n"/>
      <c r="AQ73" s="196" t="n"/>
      <c r="AR73" s="196" t="n"/>
      <c r="AS73" s="196" t="n"/>
      <c r="AT73" s="182" t="n"/>
      <c r="AU73" s="176" t="n"/>
      <c r="AV73" s="176" t="n"/>
      <c r="AW73" s="176" t="n"/>
      <c r="AX73" s="176" t="n"/>
      <c r="AY73" s="176" t="n"/>
      <c r="AZ73" s="176" t="n"/>
      <c r="BA73" s="176" t="n"/>
      <c r="BB73" s="176" t="n"/>
      <c r="BC73" s="176" t="n"/>
      <c r="BD73" s="176" t="n"/>
      <c r="BE73" s="176" t="n"/>
      <c r="BF73" s="176" t="n"/>
      <c r="BG73" s="176" t="n"/>
      <c r="BH73" s="176" t="n"/>
      <c r="BI73" s="176" t="n"/>
      <c r="BJ73" s="176" t="n"/>
      <c r="BK73" s="176" t="n"/>
      <c r="BL73" s="176" t="n"/>
      <c r="BM73" s="176" t="n"/>
      <c r="BN73" s="176" t="n"/>
      <c r="BO73" s="176" t="n"/>
      <c r="BP73" s="176" t="n"/>
      <c r="BQ73" s="176" t="n"/>
      <c r="BR73" s="176" t="n"/>
    </row>
    <row r="74" ht="15" customHeight="1" s="392">
      <c r="A74" s="176" t="n"/>
      <c r="B74" s="180" t="n"/>
      <c r="C74" s="183" t="inlineStr">
        <is>
          <t xml:space="preserve">        (Purchase)/Sale of Investments, Net</t>
        </is>
      </c>
      <c r="D74" s="185" t="n"/>
      <c r="E74" s="185" t="n"/>
      <c r="F74" s="185" t="n"/>
      <c r="G74" s="185" t="n"/>
      <c r="H74" s="185" t="n"/>
      <c r="I74" s="185" t="n"/>
      <c r="J74" s="185" t="n"/>
      <c r="K74" s="185" t="n"/>
      <c r="AT74" s="182" t="n"/>
      <c r="AU74" s="176" t="n"/>
      <c r="AV74" s="176" t="n"/>
      <c r="AW74" s="176" t="n"/>
      <c r="AX74" s="176" t="n"/>
      <c r="AY74" s="176" t="n"/>
      <c r="AZ74" s="176" t="n"/>
      <c r="BA74" s="176" t="n"/>
      <c r="BB74" s="176" t="n"/>
      <c r="BC74" s="176" t="n"/>
      <c r="BD74" s="176" t="n"/>
      <c r="BE74" s="176" t="n"/>
      <c r="BF74" s="176" t="n"/>
      <c r="BG74" s="176" t="n"/>
      <c r="BH74" s="176" t="n"/>
      <c r="BI74" s="176" t="n"/>
      <c r="BJ74" s="176" t="n"/>
      <c r="BK74" s="176" t="n"/>
      <c r="BL74" s="176" t="n"/>
      <c r="BM74" s="176" t="n"/>
      <c r="BN74" s="176" t="n"/>
      <c r="BO74" s="176" t="n"/>
      <c r="BP74" s="176" t="n"/>
      <c r="BQ74" s="176" t="n"/>
      <c r="BR74" s="176" t="n"/>
    </row>
    <row r="75" ht="15" customHeight="1" s="392">
      <c r="A75" s="176" t="n"/>
      <c r="B75" s="180" t="n"/>
      <c r="C75" s="183" t="inlineStr">
        <is>
          <t xml:space="preserve">            Purchase of Investments</t>
        </is>
      </c>
      <c r="D75" s="190">
        <f>IF(COUNT(M75:AS75)&gt;0,MEDIAN(M75:AS75),"")</f>
        <v/>
      </c>
      <c r="E75" s="190">
        <f>IF(COUNT(M75:AS75)&gt;0,AVERAGE(M75:AS75),"")</f>
        <v/>
      </c>
      <c r="F75" s="190">
        <f>IF(COUNT(M75:AS75)&gt;0,MIN(M75:AS75),"")</f>
        <v/>
      </c>
      <c r="G75" s="190">
        <f>IF(COUNT(M75:AS75)&gt;0,MAX(M75:AS75),"")</f>
        <v/>
      </c>
      <c r="H75" s="190">
        <f>IF(COUNT(M75:AS75)&gt;0,QUARTILE(M75:AS75,1),"")</f>
        <v/>
      </c>
      <c r="I75" s="190">
        <f>IF(COUNT(M75:AS75)&gt;0,QUARTILE(M75:AS75,3),"")</f>
        <v/>
      </c>
      <c r="J75" s="190">
        <f>IF(COUNT(M75:AS75)&gt;1,STDEV(M75:AS75),"")</f>
        <v/>
      </c>
      <c r="K75" s="191">
        <f>IF(COUNT(M75:AS75)&gt;1,STDEV(M75:AS75)/AVERAGE(M75:AS75),"")</f>
        <v/>
      </c>
      <c r="M75" s="192" t="n">
        <v>-2889072</v>
      </c>
      <c r="N75" s="192" t="n">
        <v>-4001918</v>
      </c>
      <c r="O75" s="192" t="n">
        <v>-4087162</v>
      </c>
      <c r="P75" s="192" t="n">
        <v>-1406588</v>
      </c>
      <c r="Q75" s="192" t="n">
        <v>-374866</v>
      </c>
      <c r="R75" s="192" t="n">
        <v>0</v>
      </c>
      <c r="S75" s="192" t="n">
        <v>0</v>
      </c>
      <c r="T75" s="192" t="n"/>
      <c r="U75" s="192" t="n"/>
      <c r="V75" s="192" t="n"/>
      <c r="W75" s="192" t="n">
        <v>-21119</v>
      </c>
      <c r="X75" s="192" t="n">
        <v>0</v>
      </c>
      <c r="Y75" s="192" t="n"/>
      <c r="Z75" s="192" t="n"/>
      <c r="AA75" s="192" t="n"/>
      <c r="AB75" s="192" t="n"/>
      <c r="AC75" s="192" t="n">
        <v>-1300</v>
      </c>
      <c r="AD75" s="192" t="n">
        <v>0</v>
      </c>
      <c r="AE75" s="192" t="n">
        <v>-154360</v>
      </c>
      <c r="AF75" s="192" t="n">
        <v>-921750</v>
      </c>
      <c r="AG75" s="192" t="n">
        <v>-726012</v>
      </c>
      <c r="AH75" s="192" t="n">
        <v>-755420</v>
      </c>
      <c r="AI75" s="192" t="n">
        <v>-140180</v>
      </c>
      <c r="AJ75" s="192" t="n">
        <v>-155965</v>
      </c>
      <c r="AK75" s="192" t="n"/>
      <c r="AL75" s="192" t="n"/>
      <c r="AM75" s="192" t="n"/>
      <c r="AN75" s="192" t="n"/>
      <c r="AO75" s="192" t="n">
        <v>-13100</v>
      </c>
      <c r="AP75" s="192" t="n"/>
      <c r="AQ75" s="192" t="n"/>
      <c r="AR75" s="192" t="n"/>
      <c r="AS75" s="192" t="n"/>
      <c r="AT75" s="182" t="n"/>
      <c r="AU75" s="176" t="n"/>
      <c r="AV75" s="176" t="n"/>
      <c r="AW75" s="176" t="n"/>
      <c r="AX75" s="176" t="n"/>
      <c r="AY75" s="176" t="n"/>
      <c r="AZ75" s="176" t="n"/>
      <c r="BA75" s="176" t="n"/>
      <c r="BB75" s="176" t="n"/>
      <c r="BC75" s="176" t="n"/>
      <c r="BD75" s="176" t="n"/>
      <c r="BE75" s="176" t="n"/>
      <c r="BF75" s="176" t="n"/>
      <c r="BG75" s="176" t="n"/>
      <c r="BH75" s="176" t="n"/>
      <c r="BI75" s="176" t="n"/>
      <c r="BJ75" s="176" t="n"/>
      <c r="BK75" s="176" t="n"/>
      <c r="BL75" s="176" t="n"/>
      <c r="BM75" s="176" t="n"/>
      <c r="BN75" s="176" t="n"/>
      <c r="BO75" s="176" t="n"/>
      <c r="BP75" s="176" t="n"/>
      <c r="BQ75" s="176" t="n"/>
      <c r="BR75" s="176" t="n"/>
    </row>
    <row r="76" ht="15" customHeight="1" s="392">
      <c r="A76" s="176" t="n"/>
      <c r="B76" s="180" t="n"/>
      <c r="C76" s="183" t="inlineStr">
        <is>
          <t xml:space="preserve">            Sale of Investments</t>
        </is>
      </c>
      <c r="D76" s="190">
        <f>IF(COUNT(M76:AS76)&gt;0,MEDIAN(M76:AS76),"")</f>
        <v/>
      </c>
      <c r="E76" s="190">
        <f>IF(COUNT(M76:AS76)&gt;0,AVERAGE(M76:AS76),"")</f>
        <v/>
      </c>
      <c r="F76" s="190">
        <f>IF(COUNT(M76:AS76)&gt;0,MIN(M76:AS76),"")</f>
        <v/>
      </c>
      <c r="G76" s="190">
        <f>IF(COUNT(M76:AS76)&gt;0,MAX(M76:AS76),"")</f>
        <v/>
      </c>
      <c r="H76" s="190">
        <f>IF(COUNT(M76:AS76)&gt;0,QUARTILE(M76:AS76,1),"")</f>
        <v/>
      </c>
      <c r="I76" s="190">
        <f>IF(COUNT(M76:AS76)&gt;0,QUARTILE(M76:AS76,3),"")</f>
        <v/>
      </c>
      <c r="J76" s="190">
        <f>IF(COUNT(M76:AS76)&gt;1,STDEV(M76:AS76),"")</f>
        <v/>
      </c>
      <c r="K76" s="191">
        <f>IF(COUNT(M76:AS76)&gt;1,STDEV(M76:AS76)/AVERAGE(M76:AS76),"")</f>
        <v/>
      </c>
      <c r="M76" s="192" t="n">
        <v>2345000</v>
      </c>
      <c r="N76" s="192" t="n">
        <v>3960000</v>
      </c>
      <c r="O76" s="192" t="n">
        <v>3645000</v>
      </c>
      <c r="P76" s="192" t="n">
        <v>0</v>
      </c>
      <c r="Q76" s="192" t="n">
        <v>374866</v>
      </c>
      <c r="R76" s="192" t="n">
        <v>0</v>
      </c>
      <c r="S76" s="192" t="n">
        <v>0</v>
      </c>
      <c r="T76" s="192" t="n"/>
      <c r="U76" s="192" t="n"/>
      <c r="V76" s="192" t="n"/>
      <c r="W76" s="192" t="n">
        <v>21498</v>
      </c>
      <c r="X76" s="192" t="n">
        <v>0</v>
      </c>
      <c r="Y76" s="192" t="n">
        <v>0</v>
      </c>
      <c r="Z76" s="192" t="n"/>
      <c r="AA76" s="192" t="n"/>
      <c r="AB76" s="192" t="n"/>
      <c r="AC76" s="192" t="n"/>
      <c r="AD76" s="192" t="n">
        <v>0</v>
      </c>
      <c r="AE76" s="192" t="n">
        <v>266131</v>
      </c>
      <c r="AF76" s="192" t="n">
        <v>967850</v>
      </c>
      <c r="AG76" s="192" t="n">
        <v>568395</v>
      </c>
      <c r="AH76" s="192" t="n">
        <v>928020</v>
      </c>
      <c r="AI76" s="192" t="n">
        <v>78935</v>
      </c>
      <c r="AJ76" s="192" t="n">
        <v>180784</v>
      </c>
      <c r="AK76" s="192" t="n"/>
      <c r="AL76" s="192" t="n"/>
      <c r="AM76" s="192" t="n"/>
      <c r="AN76" s="192" t="n">
        <v>13100</v>
      </c>
      <c r="AO76" s="192" t="n"/>
      <c r="AP76" s="192" t="n"/>
      <c r="AQ76" s="192" t="n"/>
      <c r="AR76" s="192" t="n"/>
      <c r="AS76" s="192" t="n"/>
      <c r="AT76" s="182" t="n"/>
      <c r="AU76" s="176" t="n"/>
      <c r="AV76" s="176" t="n"/>
      <c r="AW76" s="176" t="n"/>
      <c r="AX76" s="176" t="n"/>
      <c r="AY76" s="176" t="n"/>
      <c r="AZ76" s="176" t="n"/>
      <c r="BA76" s="176" t="n"/>
      <c r="BB76" s="176" t="n"/>
      <c r="BC76" s="176" t="n"/>
      <c r="BD76" s="176" t="n"/>
      <c r="BE76" s="176" t="n"/>
      <c r="BF76" s="176" t="n"/>
      <c r="BG76" s="176" t="n"/>
      <c r="BH76" s="176" t="n"/>
      <c r="BI76" s="176" t="n"/>
      <c r="BJ76" s="176" t="n"/>
      <c r="BK76" s="176" t="n"/>
      <c r="BL76" s="176" t="n"/>
      <c r="BM76" s="176" t="n"/>
      <c r="BN76" s="176" t="n"/>
      <c r="BO76" s="176" t="n"/>
      <c r="BP76" s="176" t="n"/>
      <c r="BQ76" s="176" t="n"/>
      <c r="BR76" s="176" t="n"/>
    </row>
    <row r="77" ht="15" customHeight="1" s="392">
      <c r="A77" s="176" t="n"/>
      <c r="B77" s="180" t="n"/>
      <c r="C77" s="187" t="inlineStr">
        <is>
          <t xml:space="preserve">        Total (Purchase)/Sale of Investments, Net</t>
        </is>
      </c>
      <c r="D77" s="193">
        <f>IF(COUNT(M77:AS77)&gt;0,MEDIAN(M77:AS77),"")</f>
        <v/>
      </c>
      <c r="E77" s="193">
        <f>IF(COUNT(M77:AS77)&gt;0,AVERAGE(M77:AS77),"")</f>
        <v/>
      </c>
      <c r="F77" s="193">
        <f>IF(COUNT(M77:AS77)&gt;0,MIN(M77:AS77),"")</f>
        <v/>
      </c>
      <c r="G77" s="193">
        <f>IF(COUNT(M77:AS77)&gt;0,MAX(M77:AS77),"")</f>
        <v/>
      </c>
      <c r="H77" s="193">
        <f>IF(COUNT(M77:AS77)&gt;0,QUARTILE(M77:AS77,1),"")</f>
        <v/>
      </c>
      <c r="I77" s="193">
        <f>IF(COUNT(M77:AS77)&gt;0,QUARTILE(M77:AS77,3),"")</f>
        <v/>
      </c>
      <c r="J77" s="193">
        <f>IF(COUNT(M77:AS77)&gt;1,STDEV(M77:AS77),"")</f>
        <v/>
      </c>
      <c r="K77" s="194">
        <f>IF(COUNT(M77:AS77)&gt;1,STDEV(M77:AS77)/AVERAGE(M77:AS77),"")</f>
        <v/>
      </c>
      <c r="L77" s="195" t="n"/>
      <c r="M77" s="196" t="n">
        <v>-544072</v>
      </c>
      <c r="N77" s="196" t="n">
        <v>-41918</v>
      </c>
      <c r="O77" s="196" t="n">
        <v>-442162</v>
      </c>
      <c r="P77" s="196" t="n">
        <v>-1406588</v>
      </c>
      <c r="Q77" s="196" t="n">
        <v>0</v>
      </c>
      <c r="R77" s="196" t="n">
        <v>0</v>
      </c>
      <c r="S77" s="196" t="n">
        <v>0</v>
      </c>
      <c r="T77" s="196" t="n"/>
      <c r="U77" s="196" t="n"/>
      <c r="V77" s="196" t="n"/>
      <c r="W77" s="196" t="n">
        <v>379</v>
      </c>
      <c r="X77" s="196" t="n">
        <v>0</v>
      </c>
      <c r="Y77" s="196" t="n">
        <v>0</v>
      </c>
      <c r="Z77" s="196" t="n"/>
      <c r="AA77" s="196" t="n"/>
      <c r="AB77" s="196" t="n"/>
      <c r="AC77" s="196" t="n">
        <v>-1300</v>
      </c>
      <c r="AD77" s="196" t="n">
        <v>0</v>
      </c>
      <c r="AE77" s="196" t="n">
        <v>111771</v>
      </c>
      <c r="AF77" s="196" t="n">
        <v>46100</v>
      </c>
      <c r="AG77" s="196" t="n">
        <v>-157617</v>
      </c>
      <c r="AH77" s="196" t="n">
        <v>172600</v>
      </c>
      <c r="AI77" s="196" t="n">
        <v>-61245</v>
      </c>
      <c r="AJ77" s="196" t="n">
        <v>24819</v>
      </c>
      <c r="AK77" s="196" t="n"/>
      <c r="AL77" s="196" t="n"/>
      <c r="AM77" s="196" t="n"/>
      <c r="AN77" s="196" t="n">
        <v>13100</v>
      </c>
      <c r="AO77" s="196" t="n">
        <v>-13100</v>
      </c>
      <c r="AP77" s="196" t="n"/>
      <c r="AQ77" s="196" t="n"/>
      <c r="AR77" s="196" t="n"/>
      <c r="AS77" s="196" t="n"/>
      <c r="AT77" s="182" t="n"/>
      <c r="AU77" s="176" t="n"/>
      <c r="AV77" s="176" t="n"/>
      <c r="AW77" s="176" t="n"/>
      <c r="AX77" s="176" t="n"/>
      <c r="AY77" s="176" t="n"/>
      <c r="AZ77" s="176" t="n"/>
      <c r="BA77" s="176" t="n"/>
      <c r="BB77" s="176" t="n"/>
      <c r="BC77" s="176" t="n"/>
      <c r="BD77" s="176" t="n"/>
      <c r="BE77" s="176" t="n"/>
      <c r="BF77" s="176" t="n"/>
      <c r="BG77" s="176" t="n"/>
      <c r="BH77" s="176" t="n"/>
      <c r="BI77" s="176" t="n"/>
      <c r="BJ77" s="176" t="n"/>
      <c r="BK77" s="176" t="n"/>
      <c r="BL77" s="176" t="n"/>
      <c r="BM77" s="176" t="n"/>
      <c r="BN77" s="176" t="n"/>
      <c r="BO77" s="176" t="n"/>
      <c r="BP77" s="176" t="n"/>
      <c r="BQ77" s="176" t="n"/>
      <c r="BR77" s="176" t="n"/>
    </row>
    <row r="78" ht="15" customHeight="1" s="392">
      <c r="A78" s="176" t="n"/>
      <c r="B78" s="180" t="n"/>
      <c r="C78" s="183" t="inlineStr">
        <is>
          <t xml:space="preserve">        (Purchase)/Sale of Other Non-Current Assets, Net</t>
        </is>
      </c>
      <c r="D78" s="185" t="n"/>
      <c r="E78" s="185" t="n"/>
      <c r="F78" s="185" t="n"/>
      <c r="G78" s="185" t="n"/>
      <c r="H78" s="185" t="n"/>
      <c r="I78" s="185" t="n"/>
      <c r="J78" s="185" t="n"/>
      <c r="K78" s="185" t="n"/>
      <c r="AT78" s="182" t="n"/>
      <c r="AU78" s="176" t="n"/>
      <c r="AV78" s="176" t="n"/>
      <c r="AW78" s="176" t="n"/>
      <c r="AX78" s="176" t="n"/>
      <c r="AY78" s="176" t="n"/>
      <c r="AZ78" s="176" t="n"/>
      <c r="BA78" s="176" t="n"/>
      <c r="BB78" s="176" t="n"/>
      <c r="BC78" s="176" t="n"/>
      <c r="BD78" s="176" t="n"/>
      <c r="BE78" s="176" t="n"/>
      <c r="BF78" s="176" t="n"/>
      <c r="BG78" s="176" t="n"/>
      <c r="BH78" s="176" t="n"/>
      <c r="BI78" s="176" t="n"/>
      <c r="BJ78" s="176" t="n"/>
      <c r="BK78" s="176" t="n"/>
      <c r="BL78" s="176" t="n"/>
      <c r="BM78" s="176" t="n"/>
      <c r="BN78" s="176" t="n"/>
      <c r="BO78" s="176" t="n"/>
      <c r="BP78" s="176" t="n"/>
      <c r="BQ78" s="176" t="n"/>
      <c r="BR78" s="176" t="n"/>
    </row>
    <row r="79" ht="15" customHeight="1" s="392">
      <c r="A79" s="176" t="n"/>
      <c r="B79" s="180" t="n"/>
      <c r="C79" s="183" t="inlineStr">
        <is>
          <t xml:space="preserve">            Sales of Other Non-Current Assets</t>
        </is>
      </c>
      <c r="D79" s="190">
        <f>IF(COUNT(M79:AS79)&gt;0,MEDIAN(M79:AS79),"")</f>
        <v/>
      </c>
      <c r="E79" s="190">
        <f>IF(COUNT(M79:AS79)&gt;0,AVERAGE(M79:AS79),"")</f>
        <v/>
      </c>
      <c r="F79" s="190">
        <f>IF(COUNT(M79:AS79)&gt;0,MIN(M79:AS79),"")</f>
        <v/>
      </c>
      <c r="G79" s="190">
        <f>IF(COUNT(M79:AS79)&gt;0,MAX(M79:AS79),"")</f>
        <v/>
      </c>
      <c r="H79" s="190">
        <f>IF(COUNT(M79:AS79)&gt;0,QUARTILE(M79:AS79,1),"")</f>
        <v/>
      </c>
      <c r="I79" s="190">
        <f>IF(COUNT(M79:AS79)&gt;0,QUARTILE(M79:AS79,3),"")</f>
        <v/>
      </c>
      <c r="J79" s="190">
        <f>IF(COUNT(M79:AS79)&gt;1,STDEV(M79:AS79),"")</f>
        <v/>
      </c>
      <c r="K79" s="191">
        <f>IF(COUNT(M79:AS79)&gt;1,STDEV(M79:AS79)/AVERAGE(M79:AS79),"")</f>
        <v/>
      </c>
      <c r="M79" s="192" t="n"/>
      <c r="N79" s="192" t="n"/>
      <c r="O79" s="192" t="n"/>
      <c r="P79" s="192" t="n"/>
      <c r="Q79" s="192" t="n"/>
      <c r="R79" s="192" t="n"/>
      <c r="S79" s="192" t="n"/>
      <c r="T79" s="192" t="n"/>
      <c r="U79" s="192" t="n"/>
      <c r="V79" s="192" t="n"/>
      <c r="W79" s="192" t="n"/>
      <c r="X79" s="192" t="n">
        <v>217</v>
      </c>
      <c r="Y79" s="192" t="n">
        <v>858</v>
      </c>
      <c r="Z79" s="192" t="n">
        <v>3189</v>
      </c>
      <c r="AA79" s="192" t="n">
        <v>8041</v>
      </c>
      <c r="AB79" s="192" t="n">
        <v>0</v>
      </c>
      <c r="AC79" s="192" t="n"/>
      <c r="AD79" s="192" t="n"/>
      <c r="AE79" s="192" t="n"/>
      <c r="AF79" s="192" t="n"/>
      <c r="AG79" s="192" t="n"/>
      <c r="AH79" s="192" t="n"/>
      <c r="AI79" s="192" t="n"/>
      <c r="AJ79" s="192" t="n"/>
      <c r="AK79" s="192" t="n"/>
      <c r="AL79" s="192" t="n"/>
      <c r="AM79" s="192" t="n"/>
      <c r="AN79" s="192" t="n"/>
      <c r="AO79" s="192" t="n"/>
      <c r="AP79" s="192" t="n"/>
      <c r="AQ79" s="192" t="n"/>
      <c r="AR79" s="192" t="n"/>
      <c r="AS79" s="192" t="n"/>
      <c r="AT79" s="182" t="n"/>
      <c r="AU79" s="176" t="n"/>
      <c r="AV79" s="176" t="n"/>
      <c r="AW79" s="176" t="n"/>
      <c r="AX79" s="176" t="n"/>
      <c r="AY79" s="176" t="n"/>
      <c r="AZ79" s="176" t="n"/>
      <c r="BA79" s="176" t="n"/>
      <c r="BB79" s="176" t="n"/>
      <c r="BC79" s="176" t="n"/>
      <c r="BD79" s="176" t="n"/>
      <c r="BE79" s="176" t="n"/>
      <c r="BF79" s="176" t="n"/>
      <c r="BG79" s="176" t="n"/>
      <c r="BH79" s="176" t="n"/>
      <c r="BI79" s="176" t="n"/>
      <c r="BJ79" s="176" t="n"/>
      <c r="BK79" s="176" t="n"/>
      <c r="BL79" s="176" t="n"/>
      <c r="BM79" s="176" t="n"/>
      <c r="BN79" s="176" t="n"/>
      <c r="BO79" s="176" t="n"/>
      <c r="BP79" s="176" t="n"/>
      <c r="BQ79" s="176" t="n"/>
      <c r="BR79" s="176" t="n"/>
    </row>
    <row r="80" ht="15" customHeight="1" s="392">
      <c r="A80" s="176" t="n"/>
      <c r="B80" s="180" t="n"/>
      <c r="C80" s="187" t="inlineStr">
        <is>
          <t xml:space="preserve">        Total (Purchase)/Sale of Other Non-Current Assets, Net</t>
        </is>
      </c>
      <c r="D80" s="193">
        <f>IF(COUNT(M80:AS80)&gt;0,MEDIAN(M80:AS80),"")</f>
        <v/>
      </c>
      <c r="E80" s="193">
        <f>IF(COUNT(M80:AS80)&gt;0,AVERAGE(M80:AS80),"")</f>
        <v/>
      </c>
      <c r="F80" s="193">
        <f>IF(COUNT(M80:AS80)&gt;0,MIN(M80:AS80),"")</f>
        <v/>
      </c>
      <c r="G80" s="193">
        <f>IF(COUNT(M80:AS80)&gt;0,MAX(M80:AS80),"")</f>
        <v/>
      </c>
      <c r="H80" s="193">
        <f>IF(COUNT(M80:AS80)&gt;0,QUARTILE(M80:AS80,1),"")</f>
        <v/>
      </c>
      <c r="I80" s="193">
        <f>IF(COUNT(M80:AS80)&gt;0,QUARTILE(M80:AS80,3),"")</f>
        <v/>
      </c>
      <c r="J80" s="193">
        <f>IF(COUNT(M80:AS80)&gt;1,STDEV(M80:AS80),"")</f>
        <v/>
      </c>
      <c r="K80" s="194">
        <f>IF(COUNT(M80:AS80)&gt;1,STDEV(M80:AS80)/AVERAGE(M80:AS80),"")</f>
        <v/>
      </c>
      <c r="L80" s="195" t="n"/>
      <c r="M80" s="196" t="n"/>
      <c r="N80" s="196" t="n"/>
      <c r="O80" s="196" t="n"/>
      <c r="P80" s="196" t="n"/>
      <c r="Q80" s="196" t="n"/>
      <c r="R80" s="196" t="n"/>
      <c r="S80" s="196" t="n"/>
      <c r="T80" s="196" t="n"/>
      <c r="U80" s="196" t="n"/>
      <c r="V80" s="196" t="n"/>
      <c r="W80" s="196" t="n"/>
      <c r="X80" s="196" t="n">
        <v>217</v>
      </c>
      <c r="Y80" s="196" t="n">
        <v>858</v>
      </c>
      <c r="Z80" s="196" t="n">
        <v>3189</v>
      </c>
      <c r="AA80" s="196" t="n">
        <v>8041</v>
      </c>
      <c r="AB80" s="196" t="n">
        <v>0</v>
      </c>
      <c r="AC80" s="196" t="n"/>
      <c r="AD80" s="196" t="n"/>
      <c r="AE80" s="196" t="n"/>
      <c r="AF80" s="196" t="n"/>
      <c r="AG80" s="196" t="n"/>
      <c r="AH80" s="196" t="n"/>
      <c r="AI80" s="196" t="n"/>
      <c r="AJ80" s="196" t="n"/>
      <c r="AK80" s="196" t="n"/>
      <c r="AL80" s="196" t="n"/>
      <c r="AM80" s="196" t="n"/>
      <c r="AN80" s="196" t="n"/>
      <c r="AO80" s="196" t="n"/>
      <c r="AP80" s="196" t="n"/>
      <c r="AQ80" s="196" t="n"/>
      <c r="AR80" s="196" t="n"/>
      <c r="AS80" s="196" t="n"/>
      <c r="AT80" s="182" t="n"/>
      <c r="AU80" s="176" t="n"/>
      <c r="AV80" s="176" t="n"/>
      <c r="AW80" s="176" t="n"/>
      <c r="AX80" s="176" t="n"/>
      <c r="AY80" s="176" t="n"/>
      <c r="AZ80" s="176" t="n"/>
      <c r="BA80" s="176" t="n"/>
      <c r="BB80" s="176" t="n"/>
      <c r="BC80" s="176" t="n"/>
      <c r="BD80" s="176" t="n"/>
      <c r="BE80" s="176" t="n"/>
      <c r="BF80" s="176" t="n"/>
      <c r="BG80" s="176" t="n"/>
      <c r="BH80" s="176" t="n"/>
      <c r="BI80" s="176" t="n"/>
      <c r="BJ80" s="176" t="n"/>
      <c r="BK80" s="176" t="n"/>
      <c r="BL80" s="176" t="n"/>
      <c r="BM80" s="176" t="n"/>
      <c r="BN80" s="176" t="n"/>
      <c r="BO80" s="176" t="n"/>
      <c r="BP80" s="176" t="n"/>
      <c r="BQ80" s="176" t="n"/>
      <c r="BR80" s="176" t="n"/>
    </row>
    <row r="81" ht="15" customHeight="1" s="392">
      <c r="A81" s="176" t="n"/>
      <c r="B81" s="180" t="n"/>
      <c r="C81" s="183" t="inlineStr">
        <is>
          <t xml:space="preserve">        Other Investing Cash Flow</t>
        </is>
      </c>
      <c r="D81" s="190">
        <f>IF(COUNT(M81:AS81)&gt;0,MEDIAN(M81:AS81),"")</f>
        <v/>
      </c>
      <c r="E81" s="190">
        <f>IF(COUNT(M81:AS81)&gt;0,AVERAGE(M81:AS81),"")</f>
        <v/>
      </c>
      <c r="F81" s="190">
        <f>IF(COUNT(M81:AS81)&gt;0,MIN(M81:AS81),"")</f>
        <v/>
      </c>
      <c r="G81" s="190">
        <f>IF(COUNT(M81:AS81)&gt;0,MAX(M81:AS81),"")</f>
        <v/>
      </c>
      <c r="H81" s="190">
        <f>IF(COUNT(M81:AS81)&gt;0,QUARTILE(M81:AS81,1),"")</f>
        <v/>
      </c>
      <c r="I81" s="190">
        <f>IF(COUNT(M81:AS81)&gt;0,QUARTILE(M81:AS81,3),"")</f>
        <v/>
      </c>
      <c r="J81" s="190">
        <f>IF(COUNT(M81:AS81)&gt;1,STDEV(M81:AS81),"")</f>
        <v/>
      </c>
      <c r="K81" s="191">
        <f>IF(COUNT(M81:AS81)&gt;1,STDEV(M81:AS81)/AVERAGE(M81:AS81),"")</f>
        <v/>
      </c>
      <c r="M81" s="192" t="n"/>
      <c r="N81" s="192" t="n"/>
      <c r="O81" s="192" t="n"/>
      <c r="P81" s="192" t="n"/>
      <c r="Q81" s="192" t="n"/>
      <c r="R81" s="192" t="n"/>
      <c r="S81" s="192" t="n"/>
      <c r="T81" s="192" t="n"/>
      <c r="U81" s="192" t="n"/>
      <c r="V81" s="192" t="n"/>
      <c r="W81" s="192" t="n"/>
      <c r="X81" s="192" t="n"/>
      <c r="Y81" s="192" t="n"/>
      <c r="Z81" s="192" t="n"/>
      <c r="AA81" s="192" t="n"/>
      <c r="AB81" s="192" t="n"/>
      <c r="AC81" s="192" t="n"/>
      <c r="AD81" s="192" t="n">
        <v>12000</v>
      </c>
      <c r="AE81" s="192" t="n">
        <v>2</v>
      </c>
      <c r="AF81" s="192" t="n">
        <v>-11398</v>
      </c>
      <c r="AG81" s="192" t="n"/>
      <c r="AH81" s="192" t="n"/>
      <c r="AI81" s="192" t="n">
        <v>58</v>
      </c>
      <c r="AJ81" s="192" t="n"/>
      <c r="AK81" s="192" t="n">
        <v>-300</v>
      </c>
      <c r="AL81" s="192" t="n">
        <v>-150</v>
      </c>
      <c r="AM81" s="192" t="n">
        <v>-18190.4</v>
      </c>
      <c r="AN81" s="192" t="n">
        <v>-2900</v>
      </c>
      <c r="AO81" s="192" t="n">
        <v>-9700</v>
      </c>
      <c r="AP81" s="192" t="n">
        <v>-5200</v>
      </c>
      <c r="AQ81" s="192" t="n">
        <v>-4300</v>
      </c>
      <c r="AR81" s="192" t="n">
        <v>-33300</v>
      </c>
      <c r="AS81" s="192" t="n">
        <v>-10800</v>
      </c>
      <c r="AT81" s="182" t="n"/>
      <c r="AU81" s="176" t="n"/>
      <c r="AV81" s="176" t="n"/>
      <c r="AW81" s="176" t="n"/>
      <c r="AX81" s="176" t="n"/>
      <c r="AY81" s="176" t="n"/>
      <c r="AZ81" s="176" t="n"/>
      <c r="BA81" s="176" t="n"/>
      <c r="BB81" s="176" t="n"/>
      <c r="BC81" s="176" t="n"/>
      <c r="BD81" s="176" t="n"/>
      <c r="BE81" s="176" t="n"/>
      <c r="BF81" s="176" t="n"/>
      <c r="BG81" s="176" t="n"/>
      <c r="BH81" s="176" t="n"/>
      <c r="BI81" s="176" t="n"/>
      <c r="BJ81" s="176" t="n"/>
      <c r="BK81" s="176" t="n"/>
      <c r="BL81" s="176" t="n"/>
      <c r="BM81" s="176" t="n"/>
      <c r="BN81" s="176" t="n"/>
      <c r="BO81" s="176" t="n"/>
      <c r="BP81" s="176" t="n"/>
      <c r="BQ81" s="176" t="n"/>
      <c r="BR81" s="176" t="n"/>
    </row>
    <row r="82" ht="15" customHeight="1" s="392">
      <c r="A82" s="176" t="n"/>
      <c r="B82" s="180" t="n"/>
      <c r="C82" s="187" t="inlineStr">
        <is>
          <t xml:space="preserve">    Total Cash Flow from Continuing Investing Activities</t>
        </is>
      </c>
      <c r="D82" s="193">
        <f>IF(COUNT(M82:AS82)&gt;0,MEDIAN(M82:AS82),"")</f>
        <v/>
      </c>
      <c r="E82" s="193">
        <f>IF(COUNT(M82:AS82)&gt;0,AVERAGE(M82:AS82),"")</f>
        <v/>
      </c>
      <c r="F82" s="193">
        <f>IF(COUNT(M82:AS82)&gt;0,MIN(M82:AS82),"")</f>
        <v/>
      </c>
      <c r="G82" s="193">
        <f>IF(COUNT(M82:AS82)&gt;0,MAX(M82:AS82),"")</f>
        <v/>
      </c>
      <c r="H82" s="193">
        <f>IF(COUNT(M82:AS82)&gt;0,QUARTILE(M82:AS82,1),"")</f>
        <v/>
      </c>
      <c r="I82" s="193">
        <f>IF(COUNT(M82:AS82)&gt;0,QUARTILE(M82:AS82,3),"")</f>
        <v/>
      </c>
      <c r="J82" s="193">
        <f>IF(COUNT(M82:AS82)&gt;1,STDEV(M82:AS82),"")</f>
        <v/>
      </c>
      <c r="K82" s="194">
        <f>IF(COUNT(M82:AS82)&gt;1,STDEV(M82:AS82)/AVERAGE(M82:AS82),"")</f>
        <v/>
      </c>
      <c r="L82" s="195" t="n"/>
      <c r="M82" s="196" t="n">
        <v>-877601</v>
      </c>
      <c r="N82" s="196" t="n">
        <v>-587448</v>
      </c>
      <c r="O82" s="196" t="n">
        <v>-940079</v>
      </c>
      <c r="P82" s="196" t="n">
        <v>-1892049</v>
      </c>
      <c r="Q82" s="196" t="n">
        <v>-442310</v>
      </c>
      <c r="R82" s="196" t="n">
        <v>-465466</v>
      </c>
      <c r="S82" s="196" t="n">
        <v>-601208</v>
      </c>
      <c r="T82" s="196" t="n">
        <v>-356267</v>
      </c>
      <c r="U82" s="196" t="n">
        <v>-288476</v>
      </c>
      <c r="V82" s="196" t="n">
        <v>-335791</v>
      </c>
      <c r="W82" s="196" t="n">
        <v>-172876</v>
      </c>
      <c r="X82" s="196" t="n">
        <v>-81915</v>
      </c>
      <c r="Y82" s="196" t="n">
        <v>-92103</v>
      </c>
      <c r="Z82" s="196" t="n">
        <v>-208021</v>
      </c>
      <c r="AA82" s="196" t="n">
        <v>-48087</v>
      </c>
      <c r="AB82" s="196" t="n">
        <v>-84480</v>
      </c>
      <c r="AC82" s="196" t="n">
        <v>-96025</v>
      </c>
      <c r="AD82" s="196" t="n">
        <v>-59904</v>
      </c>
      <c r="AE82" s="196" t="n">
        <v>-32600</v>
      </c>
      <c r="AF82" s="196" t="n">
        <v>-135561</v>
      </c>
      <c r="AG82" s="196" t="n">
        <v>-268073</v>
      </c>
      <c r="AH82" s="196" t="n">
        <v>107504</v>
      </c>
      <c r="AI82" s="196" t="n">
        <v>-107950</v>
      </c>
      <c r="AJ82" s="196" t="n">
        <v>-51697</v>
      </c>
      <c r="AK82" s="196" t="n">
        <v>-93109.7</v>
      </c>
      <c r="AL82" s="196" t="n">
        <v>-49663.6</v>
      </c>
      <c r="AM82" s="196" t="n">
        <v>-54729.5</v>
      </c>
      <c r="AN82" s="196" t="n">
        <v>-10200</v>
      </c>
      <c r="AO82" s="196" t="n">
        <v>-34600</v>
      </c>
      <c r="AP82" s="196" t="n">
        <v>-11100</v>
      </c>
      <c r="AQ82" s="196" t="n">
        <v>-12400</v>
      </c>
      <c r="AR82" s="196" t="n">
        <v>-43200</v>
      </c>
      <c r="AS82" s="196" t="n">
        <v>-13100</v>
      </c>
      <c r="AT82" s="182" t="n"/>
      <c r="AU82" s="176" t="n"/>
      <c r="AV82" s="176" t="n"/>
      <c r="AW82" s="176" t="n"/>
      <c r="AX82" s="176" t="n"/>
      <c r="AY82" s="176" t="n"/>
      <c r="AZ82" s="176" t="n"/>
      <c r="BA82" s="176" t="n"/>
      <c r="BB82" s="176" t="n"/>
      <c r="BC82" s="176" t="n"/>
      <c r="BD82" s="176" t="n"/>
      <c r="BE82" s="176" t="n"/>
      <c r="BF82" s="176" t="n"/>
      <c r="BG82" s="176" t="n"/>
      <c r="BH82" s="176" t="n"/>
      <c r="BI82" s="176" t="n"/>
      <c r="BJ82" s="176" t="n"/>
      <c r="BK82" s="176" t="n"/>
      <c r="BL82" s="176" t="n"/>
      <c r="BM82" s="176" t="n"/>
      <c r="BN82" s="176" t="n"/>
      <c r="BO82" s="176" t="n"/>
      <c r="BP82" s="176" t="n"/>
      <c r="BQ82" s="176" t="n"/>
      <c r="BR82" s="176" t="n"/>
    </row>
    <row r="83" ht="15" customHeight="1" s="392">
      <c r="A83" s="176" t="n"/>
      <c r="B83" s="180" t="n"/>
      <c r="C83" s="183" t="inlineStr">
        <is>
          <t xml:space="preserve">    Net Cash Flow from Discontinued Investing Activities</t>
        </is>
      </c>
      <c r="D83" s="190">
        <f>IF(COUNT(M83:AS83)&gt;0,MEDIAN(M83:AS83),"")</f>
        <v/>
      </c>
      <c r="E83" s="190">
        <f>IF(COUNT(M83:AS83)&gt;0,AVERAGE(M83:AS83),"")</f>
        <v/>
      </c>
      <c r="F83" s="190">
        <f>IF(COUNT(M83:AS83)&gt;0,MIN(M83:AS83),"")</f>
        <v/>
      </c>
      <c r="G83" s="190">
        <f>IF(COUNT(M83:AS83)&gt;0,MAX(M83:AS83),"")</f>
        <v/>
      </c>
      <c r="H83" s="190">
        <f>IF(COUNT(M83:AS83)&gt;0,QUARTILE(M83:AS83,1),"")</f>
        <v/>
      </c>
      <c r="I83" s="190">
        <f>IF(COUNT(M83:AS83)&gt;0,QUARTILE(M83:AS83,3),"")</f>
        <v/>
      </c>
      <c r="J83" s="190">
        <f>IF(COUNT(M83:AS83)&gt;1,STDEV(M83:AS83),"")</f>
        <v/>
      </c>
      <c r="K83" s="191">
        <f>IF(COUNT(M83:AS83)&gt;1,STDEV(M83:AS83)/AVERAGE(M83:AS83),"")</f>
        <v/>
      </c>
      <c r="M83" s="192" t="n"/>
      <c r="N83" s="192" t="n"/>
      <c r="O83" s="192" t="n"/>
      <c r="P83" s="192" t="n"/>
      <c r="Q83" s="192" t="n"/>
      <c r="R83" s="192" t="n"/>
      <c r="S83" s="192" t="n"/>
      <c r="T83" s="192" t="n"/>
      <c r="U83" s="192" t="n"/>
      <c r="V83" s="192" t="n"/>
      <c r="W83" s="192" t="n"/>
      <c r="X83" s="192" t="n"/>
      <c r="Y83" s="192" t="n"/>
      <c r="Z83" s="192" t="n"/>
      <c r="AA83" s="192" t="n"/>
      <c r="AB83" s="192" t="n"/>
      <c r="AC83" s="192" t="n"/>
      <c r="AD83" s="192" t="n"/>
      <c r="AE83" s="192" t="n"/>
      <c r="AF83" s="192" t="n"/>
      <c r="AG83" s="192" t="n">
        <v>158</v>
      </c>
      <c r="AH83" s="192" t="n">
        <v>-56</v>
      </c>
      <c r="AI83" s="192" t="n">
        <v>-2630</v>
      </c>
      <c r="AJ83" s="192" t="n"/>
      <c r="AK83" s="192" t="n"/>
      <c r="AL83" s="192" t="n"/>
      <c r="AM83" s="192" t="n"/>
      <c r="AN83" s="192" t="n"/>
      <c r="AO83" s="192" t="n"/>
      <c r="AP83" s="192" t="n"/>
      <c r="AQ83" s="192" t="n"/>
      <c r="AR83" s="192" t="n"/>
      <c r="AS83" s="192" t="n"/>
      <c r="AT83" s="182" t="n"/>
      <c r="AU83" s="176" t="n"/>
      <c r="AV83" s="176" t="n"/>
      <c r="AW83" s="176" t="n"/>
      <c r="AX83" s="176" t="n"/>
      <c r="AY83" s="176" t="n"/>
      <c r="AZ83" s="176" t="n"/>
      <c r="BA83" s="176" t="n"/>
      <c r="BB83" s="176" t="n"/>
      <c r="BC83" s="176" t="n"/>
      <c r="BD83" s="176" t="n"/>
      <c r="BE83" s="176" t="n"/>
      <c r="BF83" s="176" t="n"/>
      <c r="BG83" s="176" t="n"/>
      <c r="BH83" s="176" t="n"/>
      <c r="BI83" s="176" t="n"/>
      <c r="BJ83" s="176" t="n"/>
      <c r="BK83" s="176" t="n"/>
      <c r="BL83" s="176" t="n"/>
      <c r="BM83" s="176" t="n"/>
      <c r="BN83" s="176" t="n"/>
      <c r="BO83" s="176" t="n"/>
      <c r="BP83" s="176" t="n"/>
      <c r="BQ83" s="176" t="n"/>
      <c r="BR83" s="176" t="n"/>
    </row>
    <row r="84" ht="15" customHeight="1" s="392">
      <c r="A84" s="176" t="n"/>
      <c r="B84" s="180" t="n"/>
      <c r="C84" s="187" t="inlineStr">
        <is>
          <t>Total Cash Flow from Investing Activities</t>
        </is>
      </c>
      <c r="D84" s="193">
        <f>IF(COUNT(M84:AS84)&gt;0,MEDIAN(M84:AS84),"")</f>
        <v/>
      </c>
      <c r="E84" s="193">
        <f>IF(COUNT(M84:AS84)&gt;0,AVERAGE(M84:AS84),"")</f>
        <v/>
      </c>
      <c r="F84" s="193">
        <f>IF(COUNT(M84:AS84)&gt;0,MIN(M84:AS84),"")</f>
        <v/>
      </c>
      <c r="G84" s="193">
        <f>IF(COUNT(M84:AS84)&gt;0,MAX(M84:AS84),"")</f>
        <v/>
      </c>
      <c r="H84" s="193">
        <f>IF(COUNT(M84:AS84)&gt;0,QUARTILE(M84:AS84,1),"")</f>
        <v/>
      </c>
      <c r="I84" s="193">
        <f>IF(COUNT(M84:AS84)&gt;0,QUARTILE(M84:AS84,3),"")</f>
        <v/>
      </c>
      <c r="J84" s="193">
        <f>IF(COUNT(M84:AS84)&gt;1,STDEV(M84:AS84),"")</f>
        <v/>
      </c>
      <c r="K84" s="194">
        <f>IF(COUNT(M84:AS84)&gt;1,STDEV(M84:AS84)/AVERAGE(M84:AS84),"")</f>
        <v/>
      </c>
      <c r="L84" s="195" t="n"/>
      <c r="M84" s="196" t="n">
        <v>-877601</v>
      </c>
      <c r="N84" s="196" t="n">
        <v>-587448</v>
      </c>
      <c r="O84" s="196" t="n">
        <v>-940079</v>
      </c>
      <c r="P84" s="196" t="n">
        <v>-1892049</v>
      </c>
      <c r="Q84" s="196" t="n">
        <v>-442310</v>
      </c>
      <c r="R84" s="196" t="n">
        <v>-465466</v>
      </c>
      <c r="S84" s="196" t="n">
        <v>-601208</v>
      </c>
      <c r="T84" s="196" t="n">
        <v>-356267</v>
      </c>
      <c r="U84" s="196" t="n">
        <v>-288476</v>
      </c>
      <c r="V84" s="196" t="n">
        <v>-335791</v>
      </c>
      <c r="W84" s="196" t="n">
        <v>-172876</v>
      </c>
      <c r="X84" s="196" t="n">
        <v>-81915</v>
      </c>
      <c r="Y84" s="196" t="n">
        <v>-92103</v>
      </c>
      <c r="Z84" s="196" t="n">
        <v>-208021</v>
      </c>
      <c r="AA84" s="196" t="n">
        <v>-48087</v>
      </c>
      <c r="AB84" s="196" t="n">
        <v>-84480</v>
      </c>
      <c r="AC84" s="196" t="n">
        <v>-96025</v>
      </c>
      <c r="AD84" s="196" t="n">
        <v>-59904</v>
      </c>
      <c r="AE84" s="196" t="n">
        <v>-32600</v>
      </c>
      <c r="AF84" s="196" t="n">
        <v>-135561</v>
      </c>
      <c r="AG84" s="196" t="n">
        <v>-267915</v>
      </c>
      <c r="AH84" s="196" t="n">
        <v>107448</v>
      </c>
      <c r="AI84" s="196" t="n">
        <v>-110580</v>
      </c>
      <c r="AJ84" s="196" t="n">
        <v>-51697</v>
      </c>
      <c r="AK84" s="196" t="n">
        <v>-93109.7</v>
      </c>
      <c r="AL84" s="196" t="n">
        <v>-49663.6</v>
      </c>
      <c r="AM84" s="196" t="n">
        <v>-54729.5</v>
      </c>
      <c r="AN84" s="196" t="n">
        <v>-10200</v>
      </c>
      <c r="AO84" s="196" t="n">
        <v>-34600</v>
      </c>
      <c r="AP84" s="196" t="n">
        <v>-11100</v>
      </c>
      <c r="AQ84" s="196" t="n">
        <v>-12400</v>
      </c>
      <c r="AR84" s="196" t="n">
        <v>-43200</v>
      </c>
      <c r="AS84" s="196" t="n">
        <v>-13100</v>
      </c>
      <c r="AT84" s="182" t="n"/>
      <c r="AU84" s="176" t="n"/>
      <c r="AV84" s="176" t="n"/>
      <c r="AW84" s="176" t="n"/>
      <c r="AX84" s="176" t="n"/>
      <c r="AY84" s="176" t="n"/>
      <c r="AZ84" s="176" t="n"/>
      <c r="BA84" s="176" t="n"/>
      <c r="BB84" s="176" t="n"/>
      <c r="BC84" s="176" t="n"/>
      <c r="BD84" s="176" t="n"/>
      <c r="BE84" s="176" t="n"/>
      <c r="BF84" s="176" t="n"/>
      <c r="BG84" s="176" t="n"/>
      <c r="BH84" s="176" t="n"/>
      <c r="BI84" s="176" t="n"/>
      <c r="BJ84" s="176" t="n"/>
      <c r="BK84" s="176" t="n"/>
      <c r="BL84" s="176" t="n"/>
      <c r="BM84" s="176" t="n"/>
      <c r="BN84" s="176" t="n"/>
      <c r="BO84" s="176" t="n"/>
      <c r="BP84" s="176" t="n"/>
      <c r="BQ84" s="176" t="n"/>
      <c r="BR84" s="176" t="n"/>
    </row>
    <row r="85" ht="15" customHeight="1" s="392">
      <c r="A85" s="176" t="n"/>
      <c r="B85" s="180" t="n"/>
      <c r="C85" s="189" t="inlineStr">
        <is>
          <t>Cash Flow from Financing Activities</t>
        </is>
      </c>
      <c r="D85" s="185" t="n"/>
      <c r="E85" s="185" t="n"/>
      <c r="F85" s="185" t="n"/>
      <c r="G85" s="185" t="n"/>
      <c r="H85" s="185" t="n"/>
      <c r="I85" s="185" t="n"/>
      <c r="J85" s="185" t="n"/>
      <c r="K85" s="185" t="n"/>
      <c r="L85" s="185" t="n"/>
      <c r="M85" s="185" t="n"/>
      <c r="N85" s="185" t="n"/>
      <c r="O85" s="185" t="n"/>
      <c r="P85" s="185" t="n"/>
      <c r="Q85" s="185" t="n"/>
      <c r="R85" s="185" t="n"/>
      <c r="S85" s="185" t="n"/>
      <c r="T85" s="185" t="n"/>
      <c r="U85" s="185" t="n"/>
      <c r="V85" s="185" t="n"/>
      <c r="W85" s="185" t="n"/>
      <c r="X85" s="185" t="n"/>
      <c r="Y85" s="185" t="n"/>
      <c r="Z85" s="185" t="n"/>
      <c r="AA85" s="185" t="n"/>
      <c r="AB85" s="185" t="n"/>
      <c r="AC85" s="185" t="n"/>
      <c r="AD85" s="185" t="n"/>
      <c r="AE85" s="185" t="n"/>
      <c r="AF85" s="185" t="n"/>
      <c r="AG85" s="185" t="n"/>
      <c r="AH85" s="185" t="n"/>
      <c r="AI85" s="185" t="n"/>
      <c r="AJ85" s="185" t="n"/>
      <c r="AK85" s="185" t="n"/>
      <c r="AL85" s="185" t="n"/>
      <c r="AM85" s="185" t="n"/>
      <c r="AN85" s="185" t="n"/>
      <c r="AO85" s="185" t="n"/>
      <c r="AP85" s="185" t="n"/>
      <c r="AQ85" s="185" t="n"/>
      <c r="AR85" s="185" t="n"/>
      <c r="AS85" s="185" t="n"/>
      <c r="AT85" s="182" t="n"/>
      <c r="AU85" s="176" t="n"/>
      <c r="AV85" s="176" t="n"/>
      <c r="AW85" s="176" t="n"/>
      <c r="AX85" s="176" t="n"/>
      <c r="AY85" s="176" t="n"/>
      <c r="AZ85" s="176" t="n"/>
      <c r="BA85" s="176" t="n"/>
      <c r="BB85" s="176" t="n"/>
      <c r="BC85" s="176" t="n"/>
      <c r="BD85" s="176" t="n"/>
      <c r="BE85" s="176" t="n"/>
      <c r="BF85" s="176" t="n"/>
      <c r="BG85" s="176" t="n"/>
      <c r="BH85" s="176" t="n"/>
      <c r="BI85" s="176" t="n"/>
      <c r="BJ85" s="176" t="n"/>
      <c r="BK85" s="176" t="n"/>
      <c r="BL85" s="176" t="n"/>
      <c r="BM85" s="176" t="n"/>
      <c r="BN85" s="176" t="n"/>
      <c r="BO85" s="176" t="n"/>
      <c r="BP85" s="176" t="n"/>
      <c r="BQ85" s="176" t="n"/>
      <c r="BR85" s="176" t="n"/>
    </row>
    <row r="86" ht="15" customHeight="1" s="392">
      <c r="A86" s="176" t="n"/>
      <c r="B86" s="180" t="n"/>
      <c r="C86" s="183" t="inlineStr">
        <is>
          <t xml:space="preserve">    Cash Flow from Continuing Financing Activities</t>
        </is>
      </c>
      <c r="D86" s="185" t="n"/>
      <c r="E86" s="185" t="n"/>
      <c r="F86" s="185" t="n"/>
      <c r="G86" s="185" t="n"/>
      <c r="H86" s="185" t="n"/>
      <c r="I86" s="185" t="n"/>
      <c r="J86" s="185" t="n"/>
      <c r="K86" s="185" t="n"/>
      <c r="AT86" s="182" t="n"/>
      <c r="AU86" s="176" t="n"/>
      <c r="AV86" s="176" t="n"/>
      <c r="AW86" s="176" t="n"/>
      <c r="AX86" s="176" t="n"/>
      <c r="AY86" s="176" t="n"/>
      <c r="AZ86" s="176" t="n"/>
      <c r="BA86" s="176" t="n"/>
      <c r="BB86" s="176" t="n"/>
      <c r="BC86" s="176" t="n"/>
      <c r="BD86" s="176" t="n"/>
      <c r="BE86" s="176" t="n"/>
      <c r="BF86" s="176" t="n"/>
      <c r="BG86" s="176" t="n"/>
      <c r="BH86" s="176" t="n"/>
      <c r="BI86" s="176" t="n"/>
      <c r="BJ86" s="176" t="n"/>
      <c r="BK86" s="176" t="n"/>
      <c r="BL86" s="176" t="n"/>
      <c r="BM86" s="176" t="n"/>
      <c r="BN86" s="176" t="n"/>
      <c r="BO86" s="176" t="n"/>
      <c r="BP86" s="176" t="n"/>
      <c r="BQ86" s="176" t="n"/>
      <c r="BR86" s="176" t="n"/>
    </row>
    <row r="87" ht="15" customHeight="1" s="392">
      <c r="A87" s="176" t="n"/>
      <c r="B87" s="180" t="n"/>
      <c r="C87" s="183" t="inlineStr">
        <is>
          <t xml:space="preserve">        Issuance of/(Payments for) Common Stock, Net</t>
        </is>
      </c>
      <c r="D87" s="185" t="n"/>
      <c r="E87" s="185" t="n"/>
      <c r="F87" s="185" t="n"/>
      <c r="G87" s="185" t="n"/>
      <c r="H87" s="185" t="n"/>
      <c r="I87" s="185" t="n"/>
      <c r="J87" s="185" t="n"/>
      <c r="K87" s="185" t="n"/>
      <c r="AT87" s="182" t="n"/>
      <c r="AU87" s="176" t="n"/>
      <c r="AV87" s="176" t="n"/>
      <c r="AW87" s="176" t="n"/>
      <c r="AX87" s="176" t="n"/>
      <c r="AY87" s="176" t="n"/>
      <c r="AZ87" s="176" t="n"/>
      <c r="BA87" s="176" t="n"/>
      <c r="BB87" s="176" t="n"/>
      <c r="BC87" s="176" t="n"/>
      <c r="BD87" s="176" t="n"/>
      <c r="BE87" s="176" t="n"/>
      <c r="BF87" s="176" t="n"/>
      <c r="BG87" s="176" t="n"/>
      <c r="BH87" s="176" t="n"/>
      <c r="BI87" s="176" t="n"/>
      <c r="BJ87" s="176" t="n"/>
      <c r="BK87" s="176" t="n"/>
      <c r="BL87" s="176" t="n"/>
      <c r="BM87" s="176" t="n"/>
      <c r="BN87" s="176" t="n"/>
      <c r="BO87" s="176" t="n"/>
      <c r="BP87" s="176" t="n"/>
      <c r="BQ87" s="176" t="n"/>
      <c r="BR87" s="176" t="n"/>
    </row>
    <row r="88" ht="15" customHeight="1" s="392">
      <c r="A88" s="176" t="n"/>
      <c r="B88" s="180" t="n"/>
      <c r="C88" s="183" t="inlineStr">
        <is>
          <t xml:space="preserve">            Proceeds from Issuance of Common Stock</t>
        </is>
      </c>
      <c r="D88" s="190">
        <f>IF(COUNT(M88:AS88)&gt;0,MEDIAN(M88:AS88),"")</f>
        <v/>
      </c>
      <c r="E88" s="190">
        <f>IF(COUNT(M88:AS88)&gt;0,AVERAGE(M88:AS88),"")</f>
        <v/>
      </c>
      <c r="F88" s="190">
        <f>IF(COUNT(M88:AS88)&gt;0,MIN(M88:AS88),"")</f>
        <v/>
      </c>
      <c r="G88" s="190">
        <f>IF(COUNT(M88:AS88)&gt;0,MAX(M88:AS88),"")</f>
        <v/>
      </c>
      <c r="H88" s="190">
        <f>IF(COUNT(M88:AS88)&gt;0,QUARTILE(M88:AS88,1),"")</f>
        <v/>
      </c>
      <c r="I88" s="190">
        <f>IF(COUNT(M88:AS88)&gt;0,QUARTILE(M88:AS88,3),"")</f>
        <v/>
      </c>
      <c r="J88" s="190">
        <f>IF(COUNT(M88:AS88)&gt;1,STDEV(M88:AS88),"")</f>
        <v/>
      </c>
      <c r="K88" s="191">
        <f>IF(COUNT(M88:AS88)&gt;1,STDEV(M88:AS88)/AVERAGE(M88:AS88),"")</f>
        <v/>
      </c>
      <c r="M88" s="192" t="n"/>
      <c r="N88" s="192" t="n"/>
      <c r="O88" s="192" t="n"/>
      <c r="P88" s="192" t="n"/>
      <c r="Q88" s="192" t="n"/>
      <c r="R88" s="192" t="n"/>
      <c r="S88" s="192" t="n"/>
      <c r="T88" s="192" t="n"/>
      <c r="U88" s="192" t="n"/>
      <c r="V88" s="192" t="n"/>
      <c r="W88" s="192" t="n"/>
      <c r="X88" s="192" t="n"/>
      <c r="Y88" s="192" t="n"/>
      <c r="Z88" s="192" t="n"/>
      <c r="AA88" s="192" t="n"/>
      <c r="AB88" s="192" t="n"/>
      <c r="AC88" s="192" t="n">
        <v>2044</v>
      </c>
      <c r="AD88" s="192" t="n">
        <v>1942</v>
      </c>
      <c r="AE88" s="192" t="n">
        <v>14386</v>
      </c>
      <c r="AF88" s="192" t="n">
        <v>12407</v>
      </c>
      <c r="AG88" s="192" t="n">
        <v>7061</v>
      </c>
      <c r="AH88" s="192" t="n">
        <v>3235</v>
      </c>
      <c r="AI88" s="192" t="n">
        <v>6427</v>
      </c>
      <c r="AJ88" s="192" t="n">
        <v>2270</v>
      </c>
      <c r="AK88" s="192" t="n">
        <v>128866.2</v>
      </c>
      <c r="AL88" s="192" t="n">
        <v>3687.9</v>
      </c>
      <c r="AM88" s="192" t="n">
        <v>2917</v>
      </c>
      <c r="AN88" s="192" t="n">
        <v>1400</v>
      </c>
      <c r="AO88" s="192" t="n">
        <v>2100</v>
      </c>
      <c r="AP88" s="192" t="n">
        <v>2400</v>
      </c>
      <c r="AQ88" s="192" t="n">
        <v>900</v>
      </c>
      <c r="AR88" s="192" t="n">
        <v>34300</v>
      </c>
      <c r="AS88" s="192" t="n">
        <v>32200</v>
      </c>
      <c r="AT88" s="182" t="n"/>
      <c r="AU88" s="176" t="n"/>
      <c r="AV88" s="176" t="n"/>
      <c r="AW88" s="176" t="n"/>
      <c r="AX88" s="176" t="n"/>
      <c r="AY88" s="176" t="n"/>
      <c r="AZ88" s="176" t="n"/>
      <c r="BA88" s="176" t="n"/>
      <c r="BB88" s="176" t="n"/>
      <c r="BC88" s="176" t="n"/>
      <c r="BD88" s="176" t="n"/>
      <c r="BE88" s="176" t="n"/>
      <c r="BF88" s="176" t="n"/>
      <c r="BG88" s="176" t="n"/>
      <c r="BH88" s="176" t="n"/>
      <c r="BI88" s="176" t="n"/>
      <c r="BJ88" s="176" t="n"/>
      <c r="BK88" s="176" t="n"/>
      <c r="BL88" s="176" t="n"/>
      <c r="BM88" s="176" t="n"/>
      <c r="BN88" s="176" t="n"/>
      <c r="BO88" s="176" t="n"/>
      <c r="BP88" s="176" t="n"/>
      <c r="BQ88" s="176" t="n"/>
      <c r="BR88" s="176" t="n"/>
    </row>
    <row r="89" ht="15" customHeight="1" s="392">
      <c r="A89" s="176" t="n"/>
      <c r="B89" s="180" t="n"/>
      <c r="C89" s="183" t="inlineStr">
        <is>
          <t xml:space="preserve">            Payments for Common Stock</t>
        </is>
      </c>
      <c r="D89" s="190">
        <f>IF(COUNT(M89:AS89)&gt;0,MEDIAN(M89:AS89),"")</f>
        <v/>
      </c>
      <c r="E89" s="190">
        <f>IF(COUNT(M89:AS89)&gt;0,AVERAGE(M89:AS89),"")</f>
        <v/>
      </c>
      <c r="F89" s="190">
        <f>IF(COUNT(M89:AS89)&gt;0,MIN(M89:AS89),"")</f>
        <v/>
      </c>
      <c r="G89" s="190">
        <f>IF(COUNT(M89:AS89)&gt;0,MAX(M89:AS89),"")</f>
        <v/>
      </c>
      <c r="H89" s="190">
        <f>IF(COUNT(M89:AS89)&gt;0,QUARTILE(M89:AS89,1),"")</f>
        <v/>
      </c>
      <c r="I89" s="190">
        <f>IF(COUNT(M89:AS89)&gt;0,QUARTILE(M89:AS89,3),"")</f>
        <v/>
      </c>
      <c r="J89" s="190">
        <f>IF(COUNT(M89:AS89)&gt;1,STDEV(M89:AS89),"")</f>
        <v/>
      </c>
      <c r="K89" s="191">
        <f>IF(COUNT(M89:AS89)&gt;1,STDEV(M89:AS89)/AVERAGE(M89:AS89),"")</f>
        <v/>
      </c>
      <c r="M89" s="192" t="n">
        <v>-1632538</v>
      </c>
      <c r="N89" s="192" t="n"/>
      <c r="O89" s="192" t="n"/>
      <c r="P89" s="192" t="n"/>
      <c r="Q89" s="192" t="n"/>
      <c r="R89" s="192" t="n"/>
      <c r="S89" s="192" t="n"/>
      <c r="T89" s="192" t="n">
        <v>-364997</v>
      </c>
      <c r="U89" s="192" t="n">
        <v>0</v>
      </c>
      <c r="V89" s="192" t="n">
        <v>0</v>
      </c>
      <c r="W89" s="192" t="n">
        <v>-442855</v>
      </c>
      <c r="X89" s="192" t="n">
        <v>-233484</v>
      </c>
      <c r="Y89" s="192" t="n">
        <v>-572</v>
      </c>
      <c r="Z89" s="192" t="n">
        <v>-15009</v>
      </c>
      <c r="AA89" s="192" t="n">
        <v>-203285</v>
      </c>
      <c r="AB89" s="192" t="n">
        <v>-739638</v>
      </c>
      <c r="AC89" s="192" t="n">
        <v>-12706</v>
      </c>
      <c r="AD89" s="192" t="n">
        <v>-9769</v>
      </c>
      <c r="AE89" s="192" t="n">
        <v>-269251</v>
      </c>
      <c r="AF89" s="192" t="n">
        <v>-89579</v>
      </c>
      <c r="AG89" s="192" t="n">
        <v>-8873</v>
      </c>
      <c r="AH89" s="192" t="n"/>
      <c r="AI89" s="192" t="n">
        <v>-10723</v>
      </c>
      <c r="AJ89" s="192" t="n">
        <v>-20447</v>
      </c>
      <c r="AK89" s="192" t="n"/>
      <c r="AL89" s="192" t="n"/>
      <c r="AM89" s="192" t="n"/>
      <c r="AN89" s="192" t="n"/>
      <c r="AO89" s="192" t="n"/>
      <c r="AP89" s="192" t="n"/>
      <c r="AQ89" s="192" t="n"/>
      <c r="AR89" s="192" t="n"/>
      <c r="AS89" s="192" t="n"/>
      <c r="AT89" s="182" t="n"/>
      <c r="AU89" s="176" t="n"/>
      <c r="AV89" s="176" t="n"/>
      <c r="AW89" s="176" t="n"/>
      <c r="AX89" s="176" t="n"/>
      <c r="AY89" s="176" t="n"/>
      <c r="AZ89" s="176" t="n"/>
      <c r="BA89" s="176" t="n"/>
      <c r="BB89" s="176" t="n"/>
      <c r="BC89" s="176" t="n"/>
      <c r="BD89" s="176" t="n"/>
      <c r="BE89" s="176" t="n"/>
      <c r="BF89" s="176" t="n"/>
      <c r="BG89" s="176" t="n"/>
      <c r="BH89" s="176" t="n"/>
      <c r="BI89" s="176" t="n"/>
      <c r="BJ89" s="176" t="n"/>
      <c r="BK89" s="176" t="n"/>
      <c r="BL89" s="176" t="n"/>
      <c r="BM89" s="176" t="n"/>
      <c r="BN89" s="176" t="n"/>
      <c r="BO89" s="176" t="n"/>
      <c r="BP89" s="176" t="n"/>
      <c r="BQ89" s="176" t="n"/>
      <c r="BR89" s="176" t="n"/>
    </row>
    <row r="90" ht="15" customHeight="1" s="392">
      <c r="A90" s="176" t="n"/>
      <c r="B90" s="180" t="n"/>
      <c r="C90" s="187" t="inlineStr">
        <is>
          <t xml:space="preserve">        Total Issuance of/(Payments for) Common Stock, Net</t>
        </is>
      </c>
      <c r="D90" s="193">
        <f>IF(COUNT(M90:AS90)&gt;0,MEDIAN(M90:AS90),"")</f>
        <v/>
      </c>
      <c r="E90" s="193">
        <f>IF(COUNT(M90:AS90)&gt;0,AVERAGE(M90:AS90),"")</f>
        <v/>
      </c>
      <c r="F90" s="193">
        <f>IF(COUNT(M90:AS90)&gt;0,MIN(M90:AS90),"")</f>
        <v/>
      </c>
      <c r="G90" s="193">
        <f>IF(COUNT(M90:AS90)&gt;0,MAX(M90:AS90),"")</f>
        <v/>
      </c>
      <c r="H90" s="193">
        <f>IF(COUNT(M90:AS90)&gt;0,QUARTILE(M90:AS90,1),"")</f>
        <v/>
      </c>
      <c r="I90" s="193">
        <f>IF(COUNT(M90:AS90)&gt;0,QUARTILE(M90:AS90,3),"")</f>
        <v/>
      </c>
      <c r="J90" s="193">
        <f>IF(COUNT(M90:AS90)&gt;1,STDEV(M90:AS90),"")</f>
        <v/>
      </c>
      <c r="K90" s="194">
        <f>IF(COUNT(M90:AS90)&gt;1,STDEV(M90:AS90)/AVERAGE(M90:AS90),"")</f>
        <v/>
      </c>
      <c r="L90" s="195" t="n"/>
      <c r="M90" s="196" t="n">
        <v>-1632538</v>
      </c>
      <c r="N90" s="196" t="n"/>
      <c r="O90" s="196" t="n"/>
      <c r="P90" s="196" t="n"/>
      <c r="Q90" s="196" t="n"/>
      <c r="R90" s="196" t="n"/>
      <c r="S90" s="196" t="n"/>
      <c r="T90" s="196" t="n">
        <v>-364997</v>
      </c>
      <c r="U90" s="196" t="n">
        <v>0</v>
      </c>
      <c r="V90" s="196" t="n">
        <v>0</v>
      </c>
      <c r="W90" s="196" t="n">
        <v>-442855</v>
      </c>
      <c r="X90" s="196" t="n">
        <v>-233484</v>
      </c>
      <c r="Y90" s="196" t="n">
        <v>-572</v>
      </c>
      <c r="Z90" s="196" t="n">
        <v>-15009</v>
      </c>
      <c r="AA90" s="196" t="n">
        <v>-203285</v>
      </c>
      <c r="AB90" s="196" t="n">
        <v>-739638</v>
      </c>
      <c r="AC90" s="196" t="n">
        <v>-10662</v>
      </c>
      <c r="AD90" s="196" t="n">
        <v>-7827</v>
      </c>
      <c r="AE90" s="196" t="n">
        <v>-254865</v>
      </c>
      <c r="AF90" s="196" t="n">
        <v>-77172</v>
      </c>
      <c r="AG90" s="196" t="n">
        <v>-1812</v>
      </c>
      <c r="AH90" s="196" t="n">
        <v>3235</v>
      </c>
      <c r="AI90" s="196" t="n">
        <v>-4296</v>
      </c>
      <c r="AJ90" s="196" t="n">
        <v>-18177</v>
      </c>
      <c r="AK90" s="196" t="n">
        <v>128866.2</v>
      </c>
      <c r="AL90" s="196" t="n">
        <v>3687.9</v>
      </c>
      <c r="AM90" s="196" t="n">
        <v>2917</v>
      </c>
      <c r="AN90" s="196" t="n">
        <v>1400</v>
      </c>
      <c r="AO90" s="196" t="n">
        <v>2100</v>
      </c>
      <c r="AP90" s="196" t="n">
        <v>2400</v>
      </c>
      <c r="AQ90" s="196" t="n">
        <v>900</v>
      </c>
      <c r="AR90" s="196" t="n">
        <v>34300</v>
      </c>
      <c r="AS90" s="196" t="n">
        <v>32200</v>
      </c>
      <c r="AT90" s="182" t="n"/>
      <c r="AU90" s="176" t="n"/>
      <c r="AV90" s="176" t="n"/>
      <c r="AW90" s="176" t="n"/>
      <c r="AX90" s="176" t="n"/>
      <c r="AY90" s="176" t="n"/>
      <c r="AZ90" s="176" t="n"/>
      <c r="BA90" s="176" t="n"/>
      <c r="BB90" s="176" t="n"/>
      <c r="BC90" s="176" t="n"/>
      <c r="BD90" s="176" t="n"/>
      <c r="BE90" s="176" t="n"/>
      <c r="BF90" s="176" t="n"/>
      <c r="BG90" s="176" t="n"/>
      <c r="BH90" s="176" t="n"/>
      <c r="BI90" s="176" t="n"/>
      <c r="BJ90" s="176" t="n"/>
      <c r="BK90" s="176" t="n"/>
      <c r="BL90" s="176" t="n"/>
      <c r="BM90" s="176" t="n"/>
      <c r="BN90" s="176" t="n"/>
      <c r="BO90" s="176" t="n"/>
      <c r="BP90" s="176" t="n"/>
      <c r="BQ90" s="176" t="n"/>
      <c r="BR90" s="176" t="n"/>
    </row>
    <row r="91" ht="15" customHeight="1" s="392">
      <c r="A91" s="176" t="n"/>
      <c r="B91" s="180" t="n"/>
      <c r="C91" s="183" t="inlineStr">
        <is>
          <t xml:space="preserve">        Issuance of/(Repayments for) Debt, Net</t>
        </is>
      </c>
      <c r="D91" s="185" t="n"/>
      <c r="E91" s="185" t="n"/>
      <c r="F91" s="185" t="n"/>
      <c r="G91" s="185" t="n"/>
      <c r="H91" s="185" t="n"/>
      <c r="I91" s="185" t="n"/>
      <c r="J91" s="185" t="n"/>
      <c r="K91" s="185" t="n"/>
      <c r="AT91" s="182" t="n"/>
      <c r="AU91" s="176" t="n"/>
      <c r="AV91" s="176" t="n"/>
      <c r="AW91" s="176" t="n"/>
      <c r="AX91" s="176" t="n"/>
      <c r="AY91" s="176" t="n"/>
      <c r="AZ91" s="176" t="n"/>
      <c r="BA91" s="176" t="n"/>
      <c r="BB91" s="176" t="n"/>
      <c r="BC91" s="176" t="n"/>
      <c r="BD91" s="176" t="n"/>
      <c r="BE91" s="176" t="n"/>
      <c r="BF91" s="176" t="n"/>
      <c r="BG91" s="176" t="n"/>
      <c r="BH91" s="176" t="n"/>
      <c r="BI91" s="176" t="n"/>
      <c r="BJ91" s="176" t="n"/>
      <c r="BK91" s="176" t="n"/>
      <c r="BL91" s="176" t="n"/>
      <c r="BM91" s="176" t="n"/>
      <c r="BN91" s="176" t="n"/>
      <c r="BO91" s="176" t="n"/>
      <c r="BP91" s="176" t="n"/>
      <c r="BQ91" s="176" t="n"/>
      <c r="BR91" s="176" t="n"/>
    </row>
    <row r="92" ht="15" customHeight="1" s="392">
      <c r="A92" s="176" t="n"/>
      <c r="B92" s="180" t="n"/>
      <c r="C92" s="183" t="inlineStr">
        <is>
          <t xml:space="preserve">            Issuance of/(Repayments for) Short Term Debt, Net</t>
        </is>
      </c>
      <c r="D92" s="185" t="n"/>
      <c r="E92" s="185" t="n"/>
      <c r="F92" s="185" t="n"/>
      <c r="G92" s="185" t="n"/>
      <c r="H92" s="185" t="n"/>
      <c r="I92" s="185" t="n"/>
      <c r="J92" s="185" t="n"/>
      <c r="K92" s="185" t="n"/>
      <c r="AT92" s="182" t="n"/>
      <c r="AU92" s="176" t="n"/>
      <c r="AV92" s="176" t="n"/>
      <c r="AW92" s="176" t="n"/>
      <c r="AX92" s="176" t="n"/>
      <c r="AY92" s="176" t="n"/>
      <c r="AZ92" s="176" t="n"/>
      <c r="BA92" s="176" t="n"/>
      <c r="BB92" s="176" t="n"/>
      <c r="BC92" s="176" t="n"/>
      <c r="BD92" s="176" t="n"/>
      <c r="BE92" s="176" t="n"/>
      <c r="BF92" s="176" t="n"/>
      <c r="BG92" s="176" t="n"/>
      <c r="BH92" s="176" t="n"/>
      <c r="BI92" s="176" t="n"/>
      <c r="BJ92" s="176" t="n"/>
      <c r="BK92" s="176" t="n"/>
      <c r="BL92" s="176" t="n"/>
      <c r="BM92" s="176" t="n"/>
      <c r="BN92" s="176" t="n"/>
      <c r="BO92" s="176" t="n"/>
      <c r="BP92" s="176" t="n"/>
      <c r="BQ92" s="176" t="n"/>
      <c r="BR92" s="176" t="n"/>
    </row>
    <row r="93" ht="15" customHeight="1" s="392">
      <c r="A93" s="176" t="n"/>
      <c r="B93" s="180" t="n"/>
      <c r="C93" s="183" t="inlineStr">
        <is>
          <t xml:space="preserve">                Proceeds from Issuance of Short Term Debt</t>
        </is>
      </c>
      <c r="D93" s="190">
        <f>IF(COUNT(M93:AS93)&gt;0,MEDIAN(M93:AS93),"")</f>
        <v/>
      </c>
      <c r="E93" s="190">
        <f>IF(COUNT(M93:AS93)&gt;0,AVERAGE(M93:AS93),"")</f>
        <v/>
      </c>
      <c r="F93" s="190">
        <f>IF(COUNT(M93:AS93)&gt;0,MIN(M93:AS93),"")</f>
        <v/>
      </c>
      <c r="G93" s="190">
        <f>IF(COUNT(M93:AS93)&gt;0,MAX(M93:AS93),"")</f>
        <v/>
      </c>
      <c r="H93" s="190">
        <f>IF(COUNT(M93:AS93)&gt;0,QUARTILE(M93:AS93,1),"")</f>
        <v/>
      </c>
      <c r="I93" s="190">
        <f>IF(COUNT(M93:AS93)&gt;0,QUARTILE(M93:AS93,3),"")</f>
        <v/>
      </c>
      <c r="J93" s="190">
        <f>IF(COUNT(M93:AS93)&gt;1,STDEV(M93:AS93),"")</f>
        <v/>
      </c>
      <c r="K93" s="191">
        <f>IF(COUNT(M93:AS93)&gt;1,STDEV(M93:AS93)/AVERAGE(M93:AS93),"")</f>
        <v/>
      </c>
      <c r="M93" s="192" t="n"/>
      <c r="N93" s="192" t="n">
        <v>0</v>
      </c>
      <c r="O93" s="192" t="n">
        <v>0</v>
      </c>
      <c r="P93" s="192" t="n">
        <v>44494</v>
      </c>
      <c r="Q93" s="192" t="n">
        <v>0</v>
      </c>
      <c r="R93" s="192" t="n">
        <v>0</v>
      </c>
      <c r="S93" s="192" t="n"/>
      <c r="T93" s="192" t="n"/>
      <c r="U93" s="192" t="n"/>
      <c r="V93" s="192" t="n"/>
      <c r="W93" s="192" t="n"/>
      <c r="X93" s="192" t="n"/>
      <c r="Y93" s="192" t="n"/>
      <c r="Z93" s="192" t="n"/>
      <c r="AA93" s="192" t="n"/>
      <c r="AB93" s="192" t="n"/>
      <c r="AC93" s="192" t="n"/>
      <c r="AD93" s="192" t="n"/>
      <c r="AE93" s="192" t="n"/>
      <c r="AF93" s="192" t="n"/>
      <c r="AG93" s="192" t="n"/>
      <c r="AH93" s="192" t="n"/>
      <c r="AI93" s="192" t="n"/>
      <c r="AJ93" s="192" t="n"/>
      <c r="AK93" s="192" t="n"/>
      <c r="AL93" s="192" t="n"/>
      <c r="AM93" s="192" t="n"/>
      <c r="AN93" s="192" t="n"/>
      <c r="AO93" s="192" t="n"/>
      <c r="AP93" s="192" t="n"/>
      <c r="AQ93" s="192" t="n"/>
      <c r="AR93" s="192" t="n"/>
      <c r="AS93" s="192" t="n"/>
      <c r="AT93" s="182" t="n"/>
      <c r="AU93" s="176" t="n"/>
      <c r="AV93" s="176" t="n"/>
      <c r="AW93" s="176" t="n"/>
      <c r="AX93" s="176" t="n"/>
      <c r="AY93" s="176" t="n"/>
      <c r="AZ93" s="176" t="n"/>
      <c r="BA93" s="176" t="n"/>
      <c r="BB93" s="176" t="n"/>
      <c r="BC93" s="176" t="n"/>
      <c r="BD93" s="176" t="n"/>
      <c r="BE93" s="176" t="n"/>
      <c r="BF93" s="176" t="n"/>
      <c r="BG93" s="176" t="n"/>
      <c r="BH93" s="176" t="n"/>
      <c r="BI93" s="176" t="n"/>
      <c r="BJ93" s="176" t="n"/>
      <c r="BK93" s="176" t="n"/>
      <c r="BL93" s="176" t="n"/>
      <c r="BM93" s="176" t="n"/>
      <c r="BN93" s="176" t="n"/>
      <c r="BO93" s="176" t="n"/>
      <c r="BP93" s="176" t="n"/>
      <c r="BQ93" s="176" t="n"/>
      <c r="BR93" s="176" t="n"/>
    </row>
    <row r="94" ht="15" customHeight="1" s="392">
      <c r="A94" s="176" t="n"/>
      <c r="B94" s="180" t="n"/>
      <c r="C94" s="183" t="inlineStr">
        <is>
          <t xml:space="preserve">                Repayments for Short Term Debt</t>
        </is>
      </c>
      <c r="D94" s="190">
        <f>IF(COUNT(M94:AS94)&gt;0,MEDIAN(M94:AS94),"")</f>
        <v/>
      </c>
      <c r="E94" s="190">
        <f>IF(COUNT(M94:AS94)&gt;0,AVERAGE(M94:AS94),"")</f>
        <v/>
      </c>
      <c r="F94" s="190">
        <f>IF(COUNT(M94:AS94)&gt;0,MIN(M94:AS94),"")</f>
        <v/>
      </c>
      <c r="G94" s="190">
        <f>IF(COUNT(M94:AS94)&gt;0,MAX(M94:AS94),"")</f>
        <v/>
      </c>
      <c r="H94" s="190">
        <f>IF(COUNT(M94:AS94)&gt;0,QUARTILE(M94:AS94,1),"")</f>
        <v/>
      </c>
      <c r="I94" s="190">
        <f>IF(COUNT(M94:AS94)&gt;0,QUARTILE(M94:AS94,3),"")</f>
        <v/>
      </c>
      <c r="J94" s="190">
        <f>IF(COUNT(M94:AS94)&gt;1,STDEV(M94:AS94),"")</f>
        <v/>
      </c>
      <c r="K94" s="191">
        <f>IF(COUNT(M94:AS94)&gt;1,STDEV(M94:AS94)/AVERAGE(M94:AS94),"")</f>
        <v/>
      </c>
      <c r="M94" s="192" t="n"/>
      <c r="N94" s="192" t="n">
        <v>0</v>
      </c>
      <c r="O94" s="192" t="n">
        <v>-10821</v>
      </c>
      <c r="P94" s="192" t="n">
        <v>-33924</v>
      </c>
      <c r="Q94" s="192" t="n">
        <v>0</v>
      </c>
      <c r="R94" s="192" t="n">
        <v>0</v>
      </c>
      <c r="S94" s="192" t="n"/>
      <c r="T94" s="192" t="n"/>
      <c r="U94" s="192" t="n"/>
      <c r="V94" s="192" t="n"/>
      <c r="W94" s="192" t="n"/>
      <c r="X94" s="192" t="n"/>
      <c r="Y94" s="192" t="n"/>
      <c r="Z94" s="192" t="n"/>
      <c r="AA94" s="192" t="n"/>
      <c r="AB94" s="192" t="n"/>
      <c r="AC94" s="192" t="n"/>
      <c r="AD94" s="192" t="n"/>
      <c r="AE94" s="192" t="n"/>
      <c r="AF94" s="192" t="n"/>
      <c r="AG94" s="192" t="n"/>
      <c r="AH94" s="192" t="n"/>
      <c r="AI94" s="192" t="n"/>
      <c r="AJ94" s="192" t="n"/>
      <c r="AK94" s="192" t="n"/>
      <c r="AL94" s="192" t="n"/>
      <c r="AM94" s="192" t="n"/>
      <c r="AN94" s="192" t="n"/>
      <c r="AO94" s="192" t="n"/>
      <c r="AP94" s="192" t="n"/>
      <c r="AQ94" s="192" t="n"/>
      <c r="AR94" s="192" t="n"/>
      <c r="AS94" s="192" t="n"/>
      <c r="AT94" s="182" t="n"/>
      <c r="AU94" s="176" t="n"/>
      <c r="AV94" s="176" t="n"/>
      <c r="AW94" s="176" t="n"/>
      <c r="AX94" s="176" t="n"/>
      <c r="AY94" s="176" t="n"/>
      <c r="AZ94" s="176" t="n"/>
      <c r="BA94" s="176" t="n"/>
      <c r="BB94" s="176" t="n"/>
      <c r="BC94" s="176" t="n"/>
      <c r="BD94" s="176" t="n"/>
      <c r="BE94" s="176" t="n"/>
      <c r="BF94" s="176" t="n"/>
      <c r="BG94" s="176" t="n"/>
      <c r="BH94" s="176" t="n"/>
      <c r="BI94" s="176" t="n"/>
      <c r="BJ94" s="176" t="n"/>
      <c r="BK94" s="176" t="n"/>
      <c r="BL94" s="176" t="n"/>
      <c r="BM94" s="176" t="n"/>
      <c r="BN94" s="176" t="n"/>
      <c r="BO94" s="176" t="n"/>
      <c r="BP94" s="176" t="n"/>
      <c r="BQ94" s="176" t="n"/>
      <c r="BR94" s="176" t="n"/>
    </row>
    <row r="95" ht="15" customHeight="1" s="392">
      <c r="A95" s="176" t="n"/>
      <c r="B95" s="180" t="n"/>
      <c r="C95" s="187" t="inlineStr">
        <is>
          <t xml:space="preserve">            Total Issuance of/(Repayments for) Short Term Debt, Net</t>
        </is>
      </c>
      <c r="D95" s="193">
        <f>IF(COUNT(M95:AS95)&gt;0,MEDIAN(M95:AS95),"")</f>
        <v/>
      </c>
      <c r="E95" s="193">
        <f>IF(COUNT(M95:AS95)&gt;0,AVERAGE(M95:AS95),"")</f>
        <v/>
      </c>
      <c r="F95" s="193">
        <f>IF(COUNT(M95:AS95)&gt;0,MIN(M95:AS95),"")</f>
        <v/>
      </c>
      <c r="G95" s="193">
        <f>IF(COUNT(M95:AS95)&gt;0,MAX(M95:AS95),"")</f>
        <v/>
      </c>
      <c r="H95" s="193">
        <f>IF(COUNT(M95:AS95)&gt;0,QUARTILE(M95:AS95,1),"")</f>
        <v/>
      </c>
      <c r="I95" s="193">
        <f>IF(COUNT(M95:AS95)&gt;0,QUARTILE(M95:AS95,3),"")</f>
        <v/>
      </c>
      <c r="J95" s="193">
        <f>IF(COUNT(M95:AS95)&gt;1,STDEV(M95:AS95),"")</f>
        <v/>
      </c>
      <c r="K95" s="194">
        <f>IF(COUNT(M95:AS95)&gt;1,STDEV(M95:AS95)/AVERAGE(M95:AS95),"")</f>
        <v/>
      </c>
      <c r="L95" s="195" t="n"/>
      <c r="M95" s="196" t="n"/>
      <c r="N95" s="196" t="n">
        <v>0</v>
      </c>
      <c r="O95" s="196" t="n">
        <v>-10821</v>
      </c>
      <c r="P95" s="196" t="n">
        <v>10570</v>
      </c>
      <c r="Q95" s="196" t="n">
        <v>0</v>
      </c>
      <c r="R95" s="196" t="n">
        <v>0</v>
      </c>
      <c r="S95" s="196" t="n"/>
      <c r="T95" s="196" t="n"/>
      <c r="U95" s="196" t="n"/>
      <c r="V95" s="196" t="n"/>
      <c r="W95" s="196" t="n"/>
      <c r="X95" s="196" t="n"/>
      <c r="Y95" s="196" t="n">
        <v>-16291</v>
      </c>
      <c r="Z95" s="196" t="n">
        <v>16291</v>
      </c>
      <c r="AA95" s="196" t="n">
        <v>0</v>
      </c>
      <c r="AB95" s="196" t="n">
        <v>0</v>
      </c>
      <c r="AC95" s="196" t="n"/>
      <c r="AD95" s="196" t="n"/>
      <c r="AE95" s="196" t="n"/>
      <c r="AF95" s="196" t="n"/>
      <c r="AG95" s="196" t="n"/>
      <c r="AH95" s="196" t="n"/>
      <c r="AI95" s="196" t="n"/>
      <c r="AJ95" s="196" t="n"/>
      <c r="AK95" s="196" t="n"/>
      <c r="AL95" s="196" t="n"/>
      <c r="AM95" s="196" t="n"/>
      <c r="AN95" s="196" t="n"/>
      <c r="AO95" s="196" t="n"/>
      <c r="AP95" s="196" t="n"/>
      <c r="AQ95" s="196" t="n"/>
      <c r="AR95" s="196" t="n"/>
      <c r="AS95" s="196" t="n"/>
      <c r="AT95" s="182" t="n"/>
      <c r="AU95" s="176" t="n"/>
      <c r="AV95" s="176" t="n"/>
      <c r="AW95" s="176" t="n"/>
      <c r="AX95" s="176" t="n"/>
      <c r="AY95" s="176" t="n"/>
      <c r="AZ95" s="176" t="n"/>
      <c r="BA95" s="176" t="n"/>
      <c r="BB95" s="176" t="n"/>
      <c r="BC95" s="176" t="n"/>
      <c r="BD95" s="176" t="n"/>
      <c r="BE95" s="176" t="n"/>
      <c r="BF95" s="176" t="n"/>
      <c r="BG95" s="176" t="n"/>
      <c r="BH95" s="176" t="n"/>
      <c r="BI95" s="176" t="n"/>
      <c r="BJ95" s="176" t="n"/>
      <c r="BK95" s="176" t="n"/>
      <c r="BL95" s="176" t="n"/>
      <c r="BM95" s="176" t="n"/>
      <c r="BN95" s="176" t="n"/>
      <c r="BO95" s="176" t="n"/>
      <c r="BP95" s="176" t="n"/>
      <c r="BQ95" s="176" t="n"/>
      <c r="BR95" s="176" t="n"/>
    </row>
    <row r="96" ht="15" customHeight="1" s="392">
      <c r="A96" s="176" t="n"/>
      <c r="B96" s="180" t="n"/>
      <c r="C96" s="183" t="inlineStr">
        <is>
          <t xml:space="preserve">            Issuance of/(Repayments for) Long Term Debt, Net</t>
        </is>
      </c>
      <c r="D96" s="185" t="n"/>
      <c r="E96" s="185" t="n"/>
      <c r="F96" s="185" t="n"/>
      <c r="G96" s="185" t="n"/>
      <c r="H96" s="185" t="n"/>
      <c r="I96" s="185" t="n"/>
      <c r="J96" s="185" t="n"/>
      <c r="K96" s="185" t="n"/>
      <c r="AT96" s="182" t="n"/>
      <c r="AU96" s="176" t="n"/>
      <c r="AV96" s="176" t="n"/>
      <c r="AW96" s="176" t="n"/>
      <c r="AX96" s="176" t="n"/>
      <c r="AY96" s="176" t="n"/>
      <c r="AZ96" s="176" t="n"/>
      <c r="BA96" s="176" t="n"/>
      <c r="BB96" s="176" t="n"/>
      <c r="BC96" s="176" t="n"/>
      <c r="BD96" s="176" t="n"/>
      <c r="BE96" s="176" t="n"/>
      <c r="BF96" s="176" t="n"/>
      <c r="BG96" s="176" t="n"/>
      <c r="BH96" s="176" t="n"/>
      <c r="BI96" s="176" t="n"/>
      <c r="BJ96" s="176" t="n"/>
      <c r="BK96" s="176" t="n"/>
      <c r="BL96" s="176" t="n"/>
      <c r="BM96" s="176" t="n"/>
      <c r="BN96" s="176" t="n"/>
      <c r="BO96" s="176" t="n"/>
      <c r="BP96" s="176" t="n"/>
      <c r="BQ96" s="176" t="n"/>
      <c r="BR96" s="176" t="n"/>
    </row>
    <row r="97" ht="15" customHeight="1" s="392">
      <c r="A97" s="176" t="n"/>
      <c r="B97" s="180" t="n"/>
      <c r="C97" s="183" t="inlineStr">
        <is>
          <t xml:space="preserve">                Proceeds from Issuance of Long Term Debt</t>
        </is>
      </c>
      <c r="D97" s="190">
        <f>IF(COUNT(M97:AS97)&gt;0,MEDIAN(M97:AS97),"")</f>
        <v/>
      </c>
      <c r="E97" s="190">
        <f>IF(COUNT(M97:AS97)&gt;0,AVERAGE(M97:AS97),"")</f>
        <v/>
      </c>
      <c r="F97" s="190">
        <f>IF(COUNT(M97:AS97)&gt;0,MIN(M97:AS97),"")</f>
        <v/>
      </c>
      <c r="G97" s="190">
        <f>IF(COUNT(M97:AS97)&gt;0,MAX(M97:AS97),"")</f>
        <v/>
      </c>
      <c r="H97" s="190">
        <f>IF(COUNT(M97:AS97)&gt;0,QUARTILE(M97:AS97,1),"")</f>
        <v/>
      </c>
      <c r="I97" s="190">
        <f>IF(COUNT(M97:AS97)&gt;0,QUARTILE(M97:AS97,3),"")</f>
        <v/>
      </c>
      <c r="J97" s="190">
        <f>IF(COUNT(M97:AS97)&gt;1,STDEV(M97:AS97),"")</f>
        <v/>
      </c>
      <c r="K97" s="191">
        <f>IF(COUNT(M97:AS97)&gt;1,STDEV(M97:AS97)/AVERAGE(M97:AS97),"")</f>
        <v/>
      </c>
      <c r="M97" s="192" t="n"/>
      <c r="N97" s="192" t="n"/>
      <c r="O97" s="192" t="n"/>
      <c r="P97" s="192" t="n"/>
      <c r="Q97" s="192" t="n"/>
      <c r="R97" s="192" t="n"/>
      <c r="S97" s="192" t="n"/>
      <c r="T97" s="192" t="n"/>
      <c r="U97" s="192" t="n"/>
      <c r="V97" s="192" t="n"/>
      <c r="W97" s="192" t="n">
        <v>331468</v>
      </c>
      <c r="X97" s="192" t="n">
        <v>698939</v>
      </c>
      <c r="Y97" s="192" t="n"/>
      <c r="Z97" s="192" t="n">
        <v>0</v>
      </c>
      <c r="AA97" s="192" t="n">
        <v>125000</v>
      </c>
      <c r="AB97" s="192" t="n">
        <v>400000</v>
      </c>
      <c r="AC97" s="192" t="n">
        <v>0</v>
      </c>
      <c r="AD97" s="192" t="n"/>
      <c r="AE97" s="192" t="n"/>
      <c r="AF97" s="192" t="n"/>
      <c r="AG97" s="192" t="n"/>
      <c r="AH97" s="192" t="n"/>
      <c r="AI97" s="192" t="n"/>
      <c r="AJ97" s="192" t="n"/>
      <c r="AK97" s="192" t="n"/>
      <c r="AL97" s="192" t="n"/>
      <c r="AM97" s="192" t="n"/>
      <c r="AN97" s="192" t="n"/>
      <c r="AO97" s="192" t="n"/>
      <c r="AP97" s="192" t="n"/>
      <c r="AQ97" s="192" t="n"/>
      <c r="AR97" s="192" t="n"/>
      <c r="AS97" s="192" t="n"/>
      <c r="AT97" s="182" t="n"/>
      <c r="AU97" s="176" t="n"/>
      <c r="AV97" s="176" t="n"/>
      <c r="AW97" s="176" t="n"/>
      <c r="AX97" s="176" t="n"/>
      <c r="AY97" s="176" t="n"/>
      <c r="AZ97" s="176" t="n"/>
      <c r="BA97" s="176" t="n"/>
      <c r="BB97" s="176" t="n"/>
      <c r="BC97" s="176" t="n"/>
      <c r="BD97" s="176" t="n"/>
      <c r="BE97" s="176" t="n"/>
      <c r="BF97" s="176" t="n"/>
      <c r="BG97" s="176" t="n"/>
      <c r="BH97" s="176" t="n"/>
      <c r="BI97" s="176" t="n"/>
      <c r="BJ97" s="176" t="n"/>
      <c r="BK97" s="176" t="n"/>
      <c r="BL97" s="176" t="n"/>
      <c r="BM97" s="176" t="n"/>
      <c r="BN97" s="176" t="n"/>
      <c r="BO97" s="176" t="n"/>
      <c r="BP97" s="176" t="n"/>
      <c r="BQ97" s="176" t="n"/>
      <c r="BR97" s="176" t="n"/>
    </row>
    <row r="98" ht="15" customHeight="1" s="392">
      <c r="A98" s="176" t="n"/>
      <c r="B98" s="180" t="n"/>
      <c r="C98" s="183" t="inlineStr">
        <is>
          <t xml:space="preserve">                Repayments for Long Term Debt</t>
        </is>
      </c>
      <c r="D98" s="190">
        <f>IF(COUNT(M98:AS98)&gt;0,MEDIAN(M98:AS98),"")</f>
        <v/>
      </c>
      <c r="E98" s="190">
        <f>IF(COUNT(M98:AS98)&gt;0,AVERAGE(M98:AS98),"")</f>
        <v/>
      </c>
      <c r="F98" s="190">
        <f>IF(COUNT(M98:AS98)&gt;0,MIN(M98:AS98),"")</f>
        <v/>
      </c>
      <c r="G98" s="190">
        <f>IF(COUNT(M98:AS98)&gt;0,MAX(M98:AS98),"")</f>
        <v/>
      </c>
      <c r="H98" s="190">
        <f>IF(COUNT(M98:AS98)&gt;0,QUARTILE(M98:AS98,1),"")</f>
        <v/>
      </c>
      <c r="I98" s="190">
        <f>IF(COUNT(M98:AS98)&gt;0,QUARTILE(M98:AS98,3),"")</f>
        <v/>
      </c>
      <c r="J98" s="190">
        <f>IF(COUNT(M98:AS98)&gt;1,STDEV(M98:AS98),"")</f>
        <v/>
      </c>
      <c r="K98" s="191">
        <f>IF(COUNT(M98:AS98)&gt;1,STDEV(M98:AS98)/AVERAGE(M98:AS98),"")</f>
        <v/>
      </c>
      <c r="M98" s="192" t="n"/>
      <c r="N98" s="192" t="n"/>
      <c r="O98" s="192" t="n"/>
      <c r="P98" s="192" t="n"/>
      <c r="Q98" s="192" t="n">
        <v>-416759</v>
      </c>
      <c r="R98" s="192" t="n">
        <v>0</v>
      </c>
      <c r="S98" s="192" t="n">
        <v>0</v>
      </c>
      <c r="T98" s="192" t="n"/>
      <c r="U98" s="192" t="n">
        <v>-231000</v>
      </c>
      <c r="V98" s="192" t="n">
        <v>-7000</v>
      </c>
      <c r="W98" s="192" t="n">
        <v>-337500</v>
      </c>
      <c r="X98" s="192" t="n">
        <v>-350000</v>
      </c>
      <c r="Y98" s="192" t="n">
        <v>-75000</v>
      </c>
      <c r="Z98" s="192" t="n">
        <v>-96660</v>
      </c>
      <c r="AA98" s="192" t="n">
        <v>-56250</v>
      </c>
      <c r="AB98" s="192" t="n">
        <v>-25000</v>
      </c>
      <c r="AC98" s="192" t="n">
        <v>0</v>
      </c>
      <c r="AD98" s="192" t="n">
        <v>-17502</v>
      </c>
      <c r="AE98" s="192" t="n"/>
      <c r="AF98" s="192" t="n"/>
      <c r="AG98" s="192" t="n"/>
      <c r="AH98" s="192" t="n"/>
      <c r="AI98" s="192" t="n"/>
      <c r="AJ98" s="192" t="n"/>
      <c r="AK98" s="192" t="n"/>
      <c r="AL98" s="192" t="n"/>
      <c r="AM98" s="192" t="n"/>
      <c r="AN98" s="192" t="n"/>
      <c r="AO98" s="192" t="n"/>
      <c r="AP98" s="192" t="n"/>
      <c r="AQ98" s="192" t="n"/>
      <c r="AR98" s="192" t="n"/>
      <c r="AS98" s="192" t="n"/>
      <c r="AT98" s="182" t="n"/>
      <c r="AU98" s="176" t="n"/>
      <c r="AV98" s="176" t="n"/>
      <c r="AW98" s="176" t="n"/>
      <c r="AX98" s="176" t="n"/>
      <c r="AY98" s="176" t="n"/>
      <c r="AZ98" s="176" t="n"/>
      <c r="BA98" s="176" t="n"/>
      <c r="BB98" s="176" t="n"/>
      <c r="BC98" s="176" t="n"/>
      <c r="BD98" s="176" t="n"/>
      <c r="BE98" s="176" t="n"/>
      <c r="BF98" s="176" t="n"/>
      <c r="BG98" s="176" t="n"/>
      <c r="BH98" s="176" t="n"/>
      <c r="BI98" s="176" t="n"/>
      <c r="BJ98" s="176" t="n"/>
      <c r="BK98" s="176" t="n"/>
      <c r="BL98" s="176" t="n"/>
      <c r="BM98" s="176" t="n"/>
      <c r="BN98" s="176" t="n"/>
      <c r="BO98" s="176" t="n"/>
      <c r="BP98" s="176" t="n"/>
      <c r="BQ98" s="176" t="n"/>
      <c r="BR98" s="176" t="n"/>
    </row>
    <row r="99" ht="15" customHeight="1" s="392">
      <c r="A99" s="176" t="n"/>
      <c r="B99" s="180" t="n"/>
      <c r="C99" s="187" t="inlineStr">
        <is>
          <t xml:space="preserve">            Total Issuance of/(Repayments for) Long Term Debt, Net</t>
        </is>
      </c>
      <c r="D99" s="193">
        <f>IF(COUNT(M99:AS99)&gt;0,MEDIAN(M99:AS99),"")</f>
        <v/>
      </c>
      <c r="E99" s="193">
        <f>IF(COUNT(M99:AS99)&gt;0,AVERAGE(M99:AS99),"")</f>
        <v/>
      </c>
      <c r="F99" s="193">
        <f>IF(COUNT(M99:AS99)&gt;0,MIN(M99:AS99),"")</f>
        <v/>
      </c>
      <c r="G99" s="193">
        <f>IF(COUNT(M99:AS99)&gt;0,MAX(M99:AS99),"")</f>
        <v/>
      </c>
      <c r="H99" s="193">
        <f>IF(COUNT(M99:AS99)&gt;0,QUARTILE(M99:AS99,1),"")</f>
        <v/>
      </c>
      <c r="I99" s="193">
        <f>IF(COUNT(M99:AS99)&gt;0,QUARTILE(M99:AS99,3),"")</f>
        <v/>
      </c>
      <c r="J99" s="193">
        <f>IF(COUNT(M99:AS99)&gt;1,STDEV(M99:AS99),"")</f>
        <v/>
      </c>
      <c r="K99" s="194">
        <f>IF(COUNT(M99:AS99)&gt;1,STDEV(M99:AS99)/AVERAGE(M99:AS99),"")</f>
        <v/>
      </c>
      <c r="L99" s="195" t="n"/>
      <c r="M99" s="196" t="n"/>
      <c r="N99" s="196" t="n"/>
      <c r="O99" s="196" t="n"/>
      <c r="P99" s="196" t="n"/>
      <c r="Q99" s="196" t="n">
        <v>-416759</v>
      </c>
      <c r="R99" s="196" t="n">
        <v>0</v>
      </c>
      <c r="S99" s="196" t="n">
        <v>0</v>
      </c>
      <c r="T99" s="196" t="n"/>
      <c r="U99" s="196" t="n">
        <v>-231000</v>
      </c>
      <c r="V99" s="196" t="n">
        <v>-7000</v>
      </c>
      <c r="W99" s="196" t="n">
        <v>-6032</v>
      </c>
      <c r="X99" s="196" t="n">
        <v>348939</v>
      </c>
      <c r="Y99" s="196" t="n">
        <v>-75000</v>
      </c>
      <c r="Z99" s="196" t="n">
        <v>-96660</v>
      </c>
      <c r="AA99" s="196" t="n">
        <v>68750</v>
      </c>
      <c r="AB99" s="196" t="n">
        <v>375000</v>
      </c>
      <c r="AC99" s="196" t="n">
        <v>0</v>
      </c>
      <c r="AD99" s="196" t="n">
        <v>-17502</v>
      </c>
      <c r="AE99" s="196" t="n"/>
      <c r="AF99" s="196" t="n"/>
      <c r="AG99" s="196" t="n"/>
      <c r="AH99" s="196" t="n"/>
      <c r="AI99" s="196" t="n"/>
      <c r="AJ99" s="196" t="n"/>
      <c r="AK99" s="196" t="n"/>
      <c r="AL99" s="196" t="n"/>
      <c r="AM99" s="196" t="n"/>
      <c r="AN99" s="196" t="n"/>
      <c r="AO99" s="196" t="n"/>
      <c r="AP99" s="196" t="n"/>
      <c r="AQ99" s="196" t="n"/>
      <c r="AR99" s="196" t="n"/>
      <c r="AS99" s="196" t="n"/>
      <c r="AT99" s="182" t="n"/>
      <c r="AU99" s="176" t="n"/>
      <c r="AV99" s="176" t="n"/>
      <c r="AW99" s="176" t="n"/>
      <c r="AX99" s="176" t="n"/>
      <c r="AY99" s="176" t="n"/>
      <c r="AZ99" s="176" t="n"/>
      <c r="BA99" s="176" t="n"/>
      <c r="BB99" s="176" t="n"/>
      <c r="BC99" s="176" t="n"/>
      <c r="BD99" s="176" t="n"/>
      <c r="BE99" s="176" t="n"/>
      <c r="BF99" s="176" t="n"/>
      <c r="BG99" s="176" t="n"/>
      <c r="BH99" s="176" t="n"/>
      <c r="BI99" s="176" t="n"/>
      <c r="BJ99" s="176" t="n"/>
      <c r="BK99" s="176" t="n"/>
      <c r="BL99" s="176" t="n"/>
      <c r="BM99" s="176" t="n"/>
      <c r="BN99" s="176" t="n"/>
      <c r="BO99" s="176" t="n"/>
      <c r="BP99" s="176" t="n"/>
      <c r="BQ99" s="176" t="n"/>
      <c r="BR99" s="176" t="n"/>
    </row>
    <row r="100" ht="15" customHeight="1" s="392">
      <c r="A100" s="176" t="n"/>
      <c r="B100" s="180" t="n"/>
      <c r="C100" s="187" t="inlineStr">
        <is>
          <t xml:space="preserve">        Total Issuance of/(Repayments for) Debt, Net</t>
        </is>
      </c>
      <c r="D100" s="193">
        <f>IF(COUNT(M100:AS100)&gt;0,MEDIAN(M100:AS100),"")</f>
        <v/>
      </c>
      <c r="E100" s="193">
        <f>IF(COUNT(M100:AS100)&gt;0,AVERAGE(M100:AS100),"")</f>
        <v/>
      </c>
      <c r="F100" s="193">
        <f>IF(COUNT(M100:AS100)&gt;0,MIN(M100:AS100),"")</f>
        <v/>
      </c>
      <c r="G100" s="193">
        <f>IF(COUNT(M100:AS100)&gt;0,MAX(M100:AS100),"")</f>
        <v/>
      </c>
      <c r="H100" s="193">
        <f>IF(COUNT(M100:AS100)&gt;0,QUARTILE(M100:AS100,1),"")</f>
        <v/>
      </c>
      <c r="I100" s="193">
        <f>IF(COUNT(M100:AS100)&gt;0,QUARTILE(M100:AS100,3),"")</f>
        <v/>
      </c>
      <c r="J100" s="193">
        <f>IF(COUNT(M100:AS100)&gt;1,STDEV(M100:AS100),"")</f>
        <v/>
      </c>
      <c r="K100" s="194">
        <f>IF(COUNT(M100:AS100)&gt;1,STDEV(M100:AS100)/AVERAGE(M100:AS100),"")</f>
        <v/>
      </c>
      <c r="L100" s="195" t="n"/>
      <c r="M100" s="196" t="n"/>
      <c r="N100" s="196" t="n">
        <v>0</v>
      </c>
      <c r="O100" s="196" t="n">
        <v>-10821</v>
      </c>
      <c r="P100" s="196" t="n">
        <v>10570</v>
      </c>
      <c r="Q100" s="196" t="n">
        <v>-416759</v>
      </c>
      <c r="R100" s="196" t="n">
        <v>0</v>
      </c>
      <c r="S100" s="196" t="n">
        <v>0</v>
      </c>
      <c r="T100" s="196" t="n"/>
      <c r="U100" s="196" t="n">
        <v>-231000</v>
      </c>
      <c r="V100" s="196" t="n">
        <v>-7000</v>
      </c>
      <c r="W100" s="196" t="n">
        <v>-6032</v>
      </c>
      <c r="X100" s="196" t="n">
        <v>348939</v>
      </c>
      <c r="Y100" s="196" t="n">
        <v>-91291</v>
      </c>
      <c r="Z100" s="196" t="n">
        <v>-80369</v>
      </c>
      <c r="AA100" s="196" t="n">
        <v>68750</v>
      </c>
      <c r="AB100" s="196" t="n">
        <v>375000</v>
      </c>
      <c r="AC100" s="196" t="n">
        <v>0</v>
      </c>
      <c r="AD100" s="196" t="n">
        <v>-17502</v>
      </c>
      <c r="AE100" s="196" t="n">
        <v>8246</v>
      </c>
      <c r="AF100" s="196" t="n">
        <v>-2033</v>
      </c>
      <c r="AG100" s="196" t="n"/>
      <c r="AH100" s="196" t="n"/>
      <c r="AI100" s="196" t="n"/>
      <c r="AJ100" s="196" t="n"/>
      <c r="AK100" s="196" t="n">
        <v>-302.9</v>
      </c>
      <c r="AL100" s="196" t="n">
        <v>-7842.4</v>
      </c>
      <c r="AM100" s="196" t="n">
        <v>734.4</v>
      </c>
      <c r="AN100" s="196" t="n">
        <v>-600</v>
      </c>
      <c r="AO100" s="196" t="n">
        <v>-1300</v>
      </c>
      <c r="AP100" s="196" t="n">
        <v>-1500</v>
      </c>
      <c r="AQ100" s="196" t="n">
        <v>-600</v>
      </c>
      <c r="AR100" s="196" t="n">
        <v>-400</v>
      </c>
      <c r="AS100" s="196" t="n">
        <v>-7700</v>
      </c>
      <c r="AT100" s="182" t="n"/>
      <c r="AU100" s="176" t="n"/>
      <c r="AV100" s="176" t="n"/>
      <c r="AW100" s="176" t="n"/>
      <c r="AX100" s="176" t="n"/>
      <c r="AY100" s="176" t="n"/>
      <c r="AZ100" s="176" t="n"/>
      <c r="BA100" s="176" t="n"/>
      <c r="BB100" s="176" t="n"/>
      <c r="BC100" s="176" t="n"/>
      <c r="BD100" s="176" t="n"/>
      <c r="BE100" s="176" t="n"/>
      <c r="BF100" s="176" t="n"/>
      <c r="BG100" s="176" t="n"/>
      <c r="BH100" s="176" t="n"/>
      <c r="BI100" s="176" t="n"/>
      <c r="BJ100" s="176" t="n"/>
      <c r="BK100" s="176" t="n"/>
      <c r="BL100" s="176" t="n"/>
      <c r="BM100" s="176" t="n"/>
      <c r="BN100" s="176" t="n"/>
      <c r="BO100" s="176" t="n"/>
      <c r="BP100" s="176" t="n"/>
      <c r="BQ100" s="176" t="n"/>
      <c r="BR100" s="176" t="n"/>
    </row>
    <row r="101" ht="15" customHeight="1" s="392">
      <c r="A101" s="176" t="n"/>
      <c r="B101" s="180" t="n"/>
      <c r="C101" s="183" t="inlineStr">
        <is>
          <t xml:space="preserve">        Issuance of/(Repayments for) Lease Financing</t>
        </is>
      </c>
      <c r="D101" s="185" t="n"/>
      <c r="E101" s="185" t="n"/>
      <c r="F101" s="185" t="n"/>
      <c r="G101" s="185" t="n"/>
      <c r="H101" s="185" t="n"/>
      <c r="I101" s="185" t="n"/>
      <c r="J101" s="185" t="n"/>
      <c r="K101" s="185" t="n"/>
      <c r="AT101" s="182" t="n"/>
      <c r="AU101" s="176" t="n"/>
      <c r="AV101" s="176" t="n"/>
      <c r="AW101" s="176" t="n"/>
      <c r="AX101" s="176" t="n"/>
      <c r="AY101" s="176" t="n"/>
      <c r="AZ101" s="176" t="n"/>
      <c r="BA101" s="176" t="n"/>
      <c r="BB101" s="176" t="n"/>
      <c r="BC101" s="176" t="n"/>
      <c r="BD101" s="176" t="n"/>
      <c r="BE101" s="176" t="n"/>
      <c r="BF101" s="176" t="n"/>
      <c r="BG101" s="176" t="n"/>
      <c r="BH101" s="176" t="n"/>
      <c r="BI101" s="176" t="n"/>
      <c r="BJ101" s="176" t="n"/>
      <c r="BK101" s="176" t="n"/>
      <c r="BL101" s="176" t="n"/>
      <c r="BM101" s="176" t="n"/>
      <c r="BN101" s="176" t="n"/>
      <c r="BO101" s="176" t="n"/>
      <c r="BP101" s="176" t="n"/>
      <c r="BQ101" s="176" t="n"/>
      <c r="BR101" s="176" t="n"/>
    </row>
    <row r="102" ht="15" customHeight="1" s="392">
      <c r="A102" s="176" t="n"/>
      <c r="B102" s="180" t="n"/>
      <c r="C102" s="183" t="inlineStr">
        <is>
          <t xml:space="preserve">            Repayments for Lease Financing</t>
        </is>
      </c>
      <c r="D102" s="190">
        <f>IF(COUNT(M102:AS102)&gt;0,MEDIAN(M102:AS102),"")</f>
        <v/>
      </c>
      <c r="E102" s="190">
        <f>IF(COUNT(M102:AS102)&gt;0,AVERAGE(M102:AS102),"")</f>
        <v/>
      </c>
      <c r="F102" s="190">
        <f>IF(COUNT(M102:AS102)&gt;0,MIN(M102:AS102),"")</f>
        <v/>
      </c>
      <c r="G102" s="190">
        <f>IF(COUNT(M102:AS102)&gt;0,MAX(M102:AS102),"")</f>
        <v/>
      </c>
      <c r="H102" s="190">
        <f>IF(COUNT(M102:AS102)&gt;0,QUARTILE(M102:AS102,1),"")</f>
        <v/>
      </c>
      <c r="I102" s="190">
        <f>IF(COUNT(M102:AS102)&gt;0,QUARTILE(M102:AS102,3),"")</f>
        <v/>
      </c>
      <c r="J102" s="190">
        <f>IF(COUNT(M102:AS102)&gt;1,STDEV(M102:AS102),"")</f>
        <v/>
      </c>
      <c r="K102" s="191">
        <f>IF(COUNT(M102:AS102)&gt;1,STDEV(M102:AS102)/AVERAGE(M102:AS102),"")</f>
        <v/>
      </c>
      <c r="M102" s="192" t="n">
        <v>-60</v>
      </c>
      <c r="N102" s="192" t="n">
        <v>-49</v>
      </c>
      <c r="O102" s="192" t="n">
        <v>-14</v>
      </c>
      <c r="P102" s="192" t="n">
        <v>-23</v>
      </c>
      <c r="Q102" s="192" t="n">
        <v>-530</v>
      </c>
      <c r="R102" s="192" t="n">
        <v>-1118</v>
      </c>
      <c r="S102" s="192" t="n">
        <v>-1065</v>
      </c>
      <c r="T102" s="192" t="n">
        <v>0</v>
      </c>
      <c r="U102" s="192" t="n">
        <v>0</v>
      </c>
      <c r="V102" s="192" t="n"/>
      <c r="W102" s="192" t="n"/>
      <c r="X102" s="192" t="n"/>
      <c r="Y102" s="192" t="n"/>
      <c r="Z102" s="192" t="n"/>
      <c r="AA102" s="192" t="n"/>
      <c r="AB102" s="192" t="n"/>
      <c r="AC102" s="192" t="n"/>
      <c r="AD102" s="192" t="n"/>
      <c r="AE102" s="192" t="n"/>
      <c r="AF102" s="192" t="n"/>
      <c r="AG102" s="192" t="n"/>
      <c r="AH102" s="192" t="n"/>
      <c r="AI102" s="192" t="n"/>
      <c r="AJ102" s="192" t="n"/>
      <c r="AK102" s="192" t="n"/>
      <c r="AL102" s="192" t="n"/>
      <c r="AM102" s="192" t="n"/>
      <c r="AN102" s="192" t="n"/>
      <c r="AO102" s="192" t="n"/>
      <c r="AP102" s="192" t="n"/>
      <c r="AQ102" s="192" t="n"/>
      <c r="AR102" s="192" t="n"/>
      <c r="AS102" s="192" t="n"/>
      <c r="AT102" s="182" t="n"/>
      <c r="AU102" s="176" t="n"/>
      <c r="AV102" s="176" t="n"/>
      <c r="AW102" s="176" t="n"/>
      <c r="AX102" s="176" t="n"/>
      <c r="AY102" s="176" t="n"/>
      <c r="AZ102" s="176" t="n"/>
      <c r="BA102" s="176" t="n"/>
      <c r="BB102" s="176" t="n"/>
      <c r="BC102" s="176" t="n"/>
      <c r="BD102" s="176" t="n"/>
      <c r="BE102" s="176" t="n"/>
      <c r="BF102" s="176" t="n"/>
      <c r="BG102" s="176" t="n"/>
      <c r="BH102" s="176" t="n"/>
      <c r="BI102" s="176" t="n"/>
      <c r="BJ102" s="176" t="n"/>
      <c r="BK102" s="176" t="n"/>
      <c r="BL102" s="176" t="n"/>
      <c r="BM102" s="176" t="n"/>
      <c r="BN102" s="176" t="n"/>
      <c r="BO102" s="176" t="n"/>
      <c r="BP102" s="176" t="n"/>
      <c r="BQ102" s="176" t="n"/>
      <c r="BR102" s="176" t="n"/>
    </row>
    <row r="103" ht="15" customHeight="1" s="392">
      <c r="A103" s="176" t="n"/>
      <c r="B103" s="180" t="n"/>
      <c r="C103" s="187" t="inlineStr">
        <is>
          <t xml:space="preserve">        Total Issuance of/(Repayments for) Lease Financing</t>
        </is>
      </c>
      <c r="D103" s="193">
        <f>IF(COUNT(M103:AS103)&gt;0,MEDIAN(M103:AS103),"")</f>
        <v/>
      </c>
      <c r="E103" s="193">
        <f>IF(COUNT(M103:AS103)&gt;0,AVERAGE(M103:AS103),"")</f>
        <v/>
      </c>
      <c r="F103" s="193">
        <f>IF(COUNT(M103:AS103)&gt;0,MIN(M103:AS103),"")</f>
        <v/>
      </c>
      <c r="G103" s="193">
        <f>IF(COUNT(M103:AS103)&gt;0,MAX(M103:AS103),"")</f>
        <v/>
      </c>
      <c r="H103" s="193">
        <f>IF(COUNT(M103:AS103)&gt;0,QUARTILE(M103:AS103,1),"")</f>
        <v/>
      </c>
      <c r="I103" s="193">
        <f>IF(COUNT(M103:AS103)&gt;0,QUARTILE(M103:AS103,3),"")</f>
        <v/>
      </c>
      <c r="J103" s="193">
        <f>IF(COUNT(M103:AS103)&gt;1,STDEV(M103:AS103),"")</f>
        <v/>
      </c>
      <c r="K103" s="194">
        <f>IF(COUNT(M103:AS103)&gt;1,STDEV(M103:AS103)/AVERAGE(M103:AS103),"")</f>
        <v/>
      </c>
      <c r="L103" s="195" t="n"/>
      <c r="M103" s="196" t="n">
        <v>-60</v>
      </c>
      <c r="N103" s="196" t="n">
        <v>-49</v>
      </c>
      <c r="O103" s="196" t="n">
        <v>-14</v>
      </c>
      <c r="P103" s="196" t="n">
        <v>-23</v>
      </c>
      <c r="Q103" s="196" t="n">
        <v>-530</v>
      </c>
      <c r="R103" s="196" t="n">
        <v>-1118</v>
      </c>
      <c r="S103" s="196" t="n">
        <v>-1065</v>
      </c>
      <c r="T103" s="196" t="n">
        <v>0</v>
      </c>
      <c r="U103" s="196" t="n">
        <v>0</v>
      </c>
      <c r="V103" s="196" t="n"/>
      <c r="W103" s="196" t="n"/>
      <c r="X103" s="196" t="n"/>
      <c r="Y103" s="196" t="n"/>
      <c r="Z103" s="196" t="n"/>
      <c r="AA103" s="196" t="n"/>
      <c r="AB103" s="196" t="n"/>
      <c r="AC103" s="196" t="n"/>
      <c r="AD103" s="196" t="n"/>
      <c r="AE103" s="196" t="n"/>
      <c r="AF103" s="196" t="n"/>
      <c r="AG103" s="196" t="n"/>
      <c r="AH103" s="196" t="n"/>
      <c r="AI103" s="196" t="n"/>
      <c r="AJ103" s="196" t="n"/>
      <c r="AK103" s="196" t="n"/>
      <c r="AL103" s="196" t="n"/>
      <c r="AM103" s="196" t="n"/>
      <c r="AN103" s="196" t="n"/>
      <c r="AO103" s="196" t="n"/>
      <c r="AP103" s="196" t="n"/>
      <c r="AQ103" s="196" t="n"/>
      <c r="AR103" s="196" t="n"/>
      <c r="AS103" s="196" t="n"/>
      <c r="AT103" s="182" t="n"/>
      <c r="AU103" s="176" t="n"/>
      <c r="AV103" s="176" t="n"/>
      <c r="AW103" s="176" t="n"/>
      <c r="AX103" s="176" t="n"/>
      <c r="AY103" s="176" t="n"/>
      <c r="AZ103" s="176" t="n"/>
      <c r="BA103" s="176" t="n"/>
      <c r="BB103" s="176" t="n"/>
      <c r="BC103" s="176" t="n"/>
      <c r="BD103" s="176" t="n"/>
      <c r="BE103" s="176" t="n"/>
      <c r="BF103" s="176" t="n"/>
      <c r="BG103" s="176" t="n"/>
      <c r="BH103" s="176" t="n"/>
      <c r="BI103" s="176" t="n"/>
      <c r="BJ103" s="176" t="n"/>
      <c r="BK103" s="176" t="n"/>
      <c r="BL103" s="176" t="n"/>
      <c r="BM103" s="176" t="n"/>
      <c r="BN103" s="176" t="n"/>
      <c r="BO103" s="176" t="n"/>
      <c r="BP103" s="176" t="n"/>
      <c r="BQ103" s="176" t="n"/>
      <c r="BR103" s="176" t="n"/>
    </row>
    <row r="104" ht="15" customHeight="1" s="392">
      <c r="A104" s="176" t="n"/>
      <c r="B104" s="180" t="n"/>
      <c r="C104" s="183" t="inlineStr">
        <is>
          <t xml:space="preserve">        Issue and Financing Costs</t>
        </is>
      </c>
      <c r="D104" s="185" t="n"/>
      <c r="E104" s="185" t="n"/>
      <c r="F104" s="185" t="n"/>
      <c r="G104" s="185" t="n"/>
      <c r="H104" s="185" t="n"/>
      <c r="I104" s="185" t="n"/>
      <c r="J104" s="185" t="n"/>
      <c r="K104" s="185" t="n"/>
      <c r="AT104" s="182" t="n"/>
      <c r="AU104" s="176" t="n"/>
      <c r="AV104" s="176" t="n"/>
      <c r="AW104" s="176" t="n"/>
      <c r="AX104" s="176" t="n"/>
      <c r="AY104" s="176" t="n"/>
      <c r="AZ104" s="176" t="n"/>
      <c r="BA104" s="176" t="n"/>
      <c r="BB104" s="176" t="n"/>
      <c r="BC104" s="176" t="n"/>
      <c r="BD104" s="176" t="n"/>
      <c r="BE104" s="176" t="n"/>
      <c r="BF104" s="176" t="n"/>
      <c r="BG104" s="176" t="n"/>
      <c r="BH104" s="176" t="n"/>
      <c r="BI104" s="176" t="n"/>
      <c r="BJ104" s="176" t="n"/>
      <c r="BK104" s="176" t="n"/>
      <c r="BL104" s="176" t="n"/>
      <c r="BM104" s="176" t="n"/>
      <c r="BN104" s="176" t="n"/>
      <c r="BO104" s="176" t="n"/>
      <c r="BP104" s="176" t="n"/>
      <c r="BQ104" s="176" t="n"/>
      <c r="BR104" s="176" t="n"/>
    </row>
    <row r="105" ht="15" customHeight="1" s="392">
      <c r="A105" s="176" t="n"/>
      <c r="B105" s="180" t="n"/>
      <c r="C105" s="183" t="inlineStr">
        <is>
          <t xml:space="preserve">            Debt Issuance Costs</t>
        </is>
      </c>
      <c r="D105" s="190">
        <f>IF(COUNT(M105:AS105)&gt;0,MEDIAN(M105:AS105),"")</f>
        <v/>
      </c>
      <c r="E105" s="190">
        <f>IF(COUNT(M105:AS105)&gt;0,AVERAGE(M105:AS105),"")</f>
        <v/>
      </c>
      <c r="F105" s="190">
        <f>IF(COUNT(M105:AS105)&gt;0,MIN(M105:AS105),"")</f>
        <v/>
      </c>
      <c r="G105" s="190">
        <f>IF(COUNT(M105:AS105)&gt;0,MAX(M105:AS105),"")</f>
        <v/>
      </c>
      <c r="H105" s="190">
        <f>IF(COUNT(M105:AS105)&gt;0,QUARTILE(M105:AS105,1),"")</f>
        <v/>
      </c>
      <c r="I105" s="190">
        <f>IF(COUNT(M105:AS105)&gt;0,QUARTILE(M105:AS105,3),"")</f>
        <v/>
      </c>
      <c r="J105" s="190">
        <f>IF(COUNT(M105:AS105)&gt;1,STDEV(M105:AS105),"")</f>
        <v/>
      </c>
      <c r="K105" s="191">
        <f>IF(COUNT(M105:AS105)&gt;1,STDEV(M105:AS105)/AVERAGE(M105:AS105),"")</f>
        <v/>
      </c>
      <c r="M105" s="192" t="n">
        <v>-1534</v>
      </c>
      <c r="N105" s="192" t="n"/>
      <c r="O105" s="192" t="n"/>
      <c r="P105" s="192" t="n"/>
      <c r="Q105" s="192" t="n">
        <v>-1212</v>
      </c>
      <c r="R105" s="192" t="n">
        <v>0</v>
      </c>
      <c r="S105" s="192" t="n">
        <v>-2814</v>
      </c>
      <c r="T105" s="192" t="n">
        <v>0</v>
      </c>
      <c r="U105" s="192" t="n">
        <v>0</v>
      </c>
      <c r="V105" s="192" t="n"/>
      <c r="W105" s="192" t="n">
        <v>-1179</v>
      </c>
      <c r="X105" s="192" t="n">
        <v>-955</v>
      </c>
      <c r="Y105" s="192" t="n"/>
      <c r="Z105" s="192" t="n">
        <v>0</v>
      </c>
      <c r="AA105" s="192" t="n">
        <v>-313</v>
      </c>
      <c r="AB105" s="192" t="n">
        <v>-2023</v>
      </c>
      <c r="AC105" s="192" t="n">
        <v>0</v>
      </c>
      <c r="AD105" s="192" t="n"/>
      <c r="AE105" s="192" t="n"/>
      <c r="AF105" s="192" t="n"/>
      <c r="AG105" s="192" t="n"/>
      <c r="AH105" s="192" t="n"/>
      <c r="AI105" s="192" t="n"/>
      <c r="AJ105" s="192" t="n"/>
      <c r="AK105" s="192" t="n"/>
      <c r="AL105" s="192" t="n"/>
      <c r="AM105" s="192" t="n"/>
      <c r="AN105" s="192" t="n"/>
      <c r="AO105" s="192" t="n"/>
      <c r="AP105" s="192" t="n"/>
      <c r="AQ105" s="192" t="n"/>
      <c r="AR105" s="192" t="n"/>
      <c r="AS105" s="192" t="n"/>
      <c r="AT105" s="182" t="n"/>
      <c r="AU105" s="176" t="n"/>
      <c r="AV105" s="176" t="n"/>
      <c r="AW105" s="176" t="n"/>
      <c r="AX105" s="176" t="n"/>
      <c r="AY105" s="176" t="n"/>
      <c r="AZ105" s="176" t="n"/>
      <c r="BA105" s="176" t="n"/>
      <c r="BB105" s="176" t="n"/>
      <c r="BC105" s="176" t="n"/>
      <c r="BD105" s="176" t="n"/>
      <c r="BE105" s="176" t="n"/>
      <c r="BF105" s="176" t="n"/>
      <c r="BG105" s="176" t="n"/>
      <c r="BH105" s="176" t="n"/>
      <c r="BI105" s="176" t="n"/>
      <c r="BJ105" s="176" t="n"/>
      <c r="BK105" s="176" t="n"/>
      <c r="BL105" s="176" t="n"/>
      <c r="BM105" s="176" t="n"/>
      <c r="BN105" s="176" t="n"/>
      <c r="BO105" s="176" t="n"/>
      <c r="BP105" s="176" t="n"/>
      <c r="BQ105" s="176" t="n"/>
      <c r="BR105" s="176" t="n"/>
    </row>
    <row r="106" ht="15" customHeight="1" s="392">
      <c r="A106" s="176" t="n"/>
      <c r="B106" s="180" t="n"/>
      <c r="C106" s="187" t="inlineStr">
        <is>
          <t xml:space="preserve">        Total Issue and Financing Costs</t>
        </is>
      </c>
      <c r="D106" s="193">
        <f>IF(COUNT(M106:AS106)&gt;0,MEDIAN(M106:AS106),"")</f>
        <v/>
      </c>
      <c r="E106" s="193">
        <f>IF(COUNT(M106:AS106)&gt;0,AVERAGE(M106:AS106),"")</f>
        <v/>
      </c>
      <c r="F106" s="193">
        <f>IF(COUNT(M106:AS106)&gt;0,MIN(M106:AS106),"")</f>
        <v/>
      </c>
      <c r="G106" s="193">
        <f>IF(COUNT(M106:AS106)&gt;0,MAX(M106:AS106),"")</f>
        <v/>
      </c>
      <c r="H106" s="193">
        <f>IF(COUNT(M106:AS106)&gt;0,QUARTILE(M106:AS106,1),"")</f>
        <v/>
      </c>
      <c r="I106" s="193">
        <f>IF(COUNT(M106:AS106)&gt;0,QUARTILE(M106:AS106,3),"")</f>
        <v/>
      </c>
      <c r="J106" s="193">
        <f>IF(COUNT(M106:AS106)&gt;1,STDEV(M106:AS106),"")</f>
        <v/>
      </c>
      <c r="K106" s="194">
        <f>IF(COUNT(M106:AS106)&gt;1,STDEV(M106:AS106)/AVERAGE(M106:AS106),"")</f>
        <v/>
      </c>
      <c r="L106" s="195" t="n"/>
      <c r="M106" s="196" t="n">
        <v>-1534</v>
      </c>
      <c r="N106" s="196" t="n"/>
      <c r="O106" s="196" t="n"/>
      <c r="P106" s="196" t="n"/>
      <c r="Q106" s="196" t="n">
        <v>-1212</v>
      </c>
      <c r="R106" s="196" t="n">
        <v>0</v>
      </c>
      <c r="S106" s="196" t="n">
        <v>-2814</v>
      </c>
      <c r="T106" s="196" t="n">
        <v>0</v>
      </c>
      <c r="U106" s="196" t="n">
        <v>0</v>
      </c>
      <c r="V106" s="196" t="n"/>
      <c r="W106" s="196" t="n">
        <v>-1179</v>
      </c>
      <c r="X106" s="196" t="n">
        <v>-955</v>
      </c>
      <c r="Y106" s="196" t="n"/>
      <c r="Z106" s="196" t="n">
        <v>0</v>
      </c>
      <c r="AA106" s="196" t="n">
        <v>-313</v>
      </c>
      <c r="AB106" s="196" t="n">
        <v>-2023</v>
      </c>
      <c r="AC106" s="196" t="n">
        <v>0</v>
      </c>
      <c r="AD106" s="196" t="n"/>
      <c r="AE106" s="196" t="n"/>
      <c r="AF106" s="196" t="n"/>
      <c r="AG106" s="196" t="n"/>
      <c r="AH106" s="196" t="n"/>
      <c r="AI106" s="196" t="n"/>
      <c r="AJ106" s="196" t="n"/>
      <c r="AK106" s="196" t="n"/>
      <c r="AL106" s="196" t="n"/>
      <c r="AM106" s="196" t="n"/>
      <c r="AN106" s="196" t="n"/>
      <c r="AO106" s="196" t="n"/>
      <c r="AP106" s="196" t="n"/>
      <c r="AQ106" s="196" t="n"/>
      <c r="AR106" s="196" t="n"/>
      <c r="AS106" s="196" t="n"/>
      <c r="AT106" s="182" t="n"/>
      <c r="AU106" s="176" t="n"/>
      <c r="AV106" s="176" t="n"/>
      <c r="AW106" s="176" t="n"/>
      <c r="AX106" s="176" t="n"/>
      <c r="AY106" s="176" t="n"/>
      <c r="AZ106" s="176" t="n"/>
      <c r="BA106" s="176" t="n"/>
      <c r="BB106" s="176" t="n"/>
      <c r="BC106" s="176" t="n"/>
      <c r="BD106" s="176" t="n"/>
      <c r="BE106" s="176" t="n"/>
      <c r="BF106" s="176" t="n"/>
      <c r="BG106" s="176" t="n"/>
      <c r="BH106" s="176" t="n"/>
      <c r="BI106" s="176" t="n"/>
      <c r="BJ106" s="176" t="n"/>
      <c r="BK106" s="176" t="n"/>
      <c r="BL106" s="176" t="n"/>
      <c r="BM106" s="176" t="n"/>
      <c r="BN106" s="176" t="n"/>
      <c r="BO106" s="176" t="n"/>
      <c r="BP106" s="176" t="n"/>
      <c r="BQ106" s="176" t="n"/>
      <c r="BR106" s="176" t="n"/>
    </row>
    <row r="107" ht="15" customHeight="1" s="392">
      <c r="A107" s="176" t="n"/>
      <c r="B107" s="180" t="n"/>
      <c r="C107" s="183" t="inlineStr">
        <is>
          <t xml:space="preserve">        Cash Dividends Paid to Non-Controlling/Minority Interests</t>
        </is>
      </c>
      <c r="D107" s="190">
        <f>IF(COUNT(M107:AS107)&gt;0,MEDIAN(M107:AS107),"")</f>
        <v/>
      </c>
      <c r="E107" s="190">
        <f>IF(COUNT(M107:AS107)&gt;0,AVERAGE(M107:AS107),"")</f>
        <v/>
      </c>
      <c r="F107" s="190">
        <f>IF(COUNT(M107:AS107)&gt;0,MIN(M107:AS107),"")</f>
        <v/>
      </c>
      <c r="G107" s="190">
        <f>IF(COUNT(M107:AS107)&gt;0,MAX(M107:AS107),"")</f>
        <v/>
      </c>
      <c r="H107" s="190">
        <f>IF(COUNT(M107:AS107)&gt;0,QUARTILE(M107:AS107,1),"")</f>
        <v/>
      </c>
      <c r="I107" s="190">
        <f>IF(COUNT(M107:AS107)&gt;0,QUARTILE(M107:AS107,3),"")</f>
        <v/>
      </c>
      <c r="J107" s="190">
        <f>IF(COUNT(M107:AS107)&gt;1,STDEV(M107:AS107),"")</f>
        <v/>
      </c>
      <c r="K107" s="191">
        <f>IF(COUNT(M107:AS107)&gt;1,STDEV(M107:AS107)/AVERAGE(M107:AS107),"")</f>
        <v/>
      </c>
      <c r="M107" s="192" t="n"/>
      <c r="N107" s="192" t="n"/>
      <c r="O107" s="192" t="n"/>
      <c r="P107" s="192" t="n"/>
      <c r="Q107" s="192" t="n"/>
      <c r="R107" s="192" t="n"/>
      <c r="S107" s="192" t="n"/>
      <c r="T107" s="192" t="n"/>
      <c r="U107" s="192" t="n">
        <v>-235</v>
      </c>
      <c r="V107" s="192" t="n">
        <v>0</v>
      </c>
      <c r="W107" s="192" t="n">
        <v>0</v>
      </c>
      <c r="X107" s="192" t="n"/>
      <c r="Y107" s="192" t="n"/>
      <c r="Z107" s="192" t="n"/>
      <c r="AA107" s="192" t="n"/>
      <c r="AB107" s="192" t="n"/>
      <c r="AC107" s="192" t="n"/>
      <c r="AD107" s="192" t="n"/>
      <c r="AE107" s="192" t="n"/>
      <c r="AF107" s="192" t="n"/>
      <c r="AG107" s="192" t="n"/>
      <c r="AH107" s="192" t="n"/>
      <c r="AI107" s="192" t="n"/>
      <c r="AJ107" s="192" t="n"/>
      <c r="AK107" s="192" t="n"/>
      <c r="AL107" s="192" t="n"/>
      <c r="AM107" s="192" t="n"/>
      <c r="AN107" s="192" t="n"/>
      <c r="AO107" s="192" t="n"/>
      <c r="AP107" s="192" t="n"/>
      <c r="AQ107" s="192" t="n"/>
      <c r="AR107" s="192" t="n"/>
      <c r="AS107" s="192" t="n"/>
      <c r="AT107" s="182" t="n"/>
      <c r="AU107" s="176" t="n"/>
      <c r="AV107" s="176" t="n"/>
      <c r="AW107" s="176" t="n"/>
      <c r="AX107" s="176" t="n"/>
      <c r="AY107" s="176" t="n"/>
      <c r="AZ107" s="176" t="n"/>
      <c r="BA107" s="176" t="n"/>
      <c r="BB107" s="176" t="n"/>
      <c r="BC107" s="176" t="n"/>
      <c r="BD107" s="176" t="n"/>
      <c r="BE107" s="176" t="n"/>
      <c r="BF107" s="176" t="n"/>
      <c r="BG107" s="176" t="n"/>
      <c r="BH107" s="176" t="n"/>
      <c r="BI107" s="176" t="n"/>
      <c r="BJ107" s="176" t="n"/>
      <c r="BK107" s="176" t="n"/>
      <c r="BL107" s="176" t="n"/>
      <c r="BM107" s="176" t="n"/>
      <c r="BN107" s="176" t="n"/>
      <c r="BO107" s="176" t="n"/>
      <c r="BP107" s="176" t="n"/>
      <c r="BQ107" s="176" t="n"/>
      <c r="BR107" s="176" t="n"/>
    </row>
    <row r="108" ht="15" customHeight="1" s="392">
      <c r="A108" s="176" t="n"/>
      <c r="B108" s="180" t="n"/>
      <c r="C108" s="183" t="inlineStr">
        <is>
          <t xml:space="preserve">        Excess Tax Benefit from Share-Based Compensation, Financing Activities</t>
        </is>
      </c>
      <c r="D108" s="190">
        <f>IF(COUNT(M108:AS108)&gt;0,MEDIAN(M108:AS108),"")</f>
        <v/>
      </c>
      <c r="E108" s="190">
        <f>IF(COUNT(M108:AS108)&gt;0,AVERAGE(M108:AS108),"")</f>
        <v/>
      </c>
      <c r="F108" s="190">
        <f>IF(COUNT(M108:AS108)&gt;0,MIN(M108:AS108),"")</f>
        <v/>
      </c>
      <c r="G108" s="190">
        <f>IF(COUNT(M108:AS108)&gt;0,MAX(M108:AS108),"")</f>
        <v/>
      </c>
      <c r="H108" s="190">
        <f>IF(COUNT(M108:AS108)&gt;0,QUARTILE(M108:AS108,1),"")</f>
        <v/>
      </c>
      <c r="I108" s="190">
        <f>IF(COUNT(M108:AS108)&gt;0,QUARTILE(M108:AS108,3),"")</f>
        <v/>
      </c>
      <c r="J108" s="190">
        <f>IF(COUNT(M108:AS108)&gt;1,STDEV(M108:AS108),"")</f>
        <v/>
      </c>
      <c r="K108" s="191">
        <f>IF(COUNT(M108:AS108)&gt;1,STDEV(M108:AS108)/AVERAGE(M108:AS108),"")</f>
        <v/>
      </c>
      <c r="M108" s="192" t="n"/>
      <c r="N108" s="192" t="n"/>
      <c r="O108" s="192" t="n"/>
      <c r="P108" s="192" t="n"/>
      <c r="Q108" s="192" t="n"/>
      <c r="R108" s="192" t="n"/>
      <c r="S108" s="192" t="n"/>
      <c r="T108" s="192" t="n"/>
      <c r="U108" s="192" t="n"/>
      <c r="V108" s="192" t="n"/>
      <c r="W108" s="192" t="n"/>
      <c r="X108" s="192" t="n">
        <v>2971</v>
      </c>
      <c r="Y108" s="192" t="n">
        <v>2289</v>
      </c>
      <c r="Z108" s="192" t="n">
        <v>6097</v>
      </c>
      <c r="AA108" s="192" t="n">
        <v>4367</v>
      </c>
      <c r="AB108" s="192" t="n">
        <v>3547</v>
      </c>
      <c r="AC108" s="192" t="n">
        <v>5643</v>
      </c>
      <c r="AD108" s="192" t="n"/>
      <c r="AE108" s="192" t="n"/>
      <c r="AF108" s="192" t="n"/>
      <c r="AG108" s="192" t="n"/>
      <c r="AH108" s="192" t="n"/>
      <c r="AI108" s="192" t="n"/>
      <c r="AJ108" s="192" t="n"/>
      <c r="AK108" s="192" t="n"/>
      <c r="AL108" s="192" t="n"/>
      <c r="AM108" s="192" t="n"/>
      <c r="AN108" s="192" t="n"/>
      <c r="AO108" s="192" t="n"/>
      <c r="AP108" s="192" t="n"/>
      <c r="AQ108" s="192" t="n"/>
      <c r="AR108" s="192" t="n"/>
      <c r="AS108" s="192" t="n"/>
      <c r="AT108" s="182" t="n"/>
      <c r="AU108" s="176" t="n"/>
      <c r="AV108" s="176" t="n"/>
      <c r="AW108" s="176" t="n"/>
      <c r="AX108" s="176" t="n"/>
      <c r="AY108" s="176" t="n"/>
      <c r="AZ108" s="176" t="n"/>
      <c r="BA108" s="176" t="n"/>
      <c r="BB108" s="176" t="n"/>
      <c r="BC108" s="176" t="n"/>
      <c r="BD108" s="176" t="n"/>
      <c r="BE108" s="176" t="n"/>
      <c r="BF108" s="176" t="n"/>
      <c r="BG108" s="176" t="n"/>
      <c r="BH108" s="176" t="n"/>
      <c r="BI108" s="176" t="n"/>
      <c r="BJ108" s="176" t="n"/>
      <c r="BK108" s="176" t="n"/>
      <c r="BL108" s="176" t="n"/>
      <c r="BM108" s="176" t="n"/>
      <c r="BN108" s="176" t="n"/>
      <c r="BO108" s="176" t="n"/>
      <c r="BP108" s="176" t="n"/>
      <c r="BQ108" s="176" t="n"/>
      <c r="BR108" s="176" t="n"/>
    </row>
    <row r="109" ht="15" customHeight="1" s="392">
      <c r="A109" s="176" t="n"/>
      <c r="B109" s="180" t="n"/>
      <c r="C109" s="183" t="inlineStr">
        <is>
          <t xml:space="preserve">        Proceeds from Issuance/Exercising of Stock Options/Warrants</t>
        </is>
      </c>
      <c r="D109" s="190">
        <f>IF(COUNT(M109:AS109)&gt;0,MEDIAN(M109:AS109),"")</f>
        <v/>
      </c>
      <c r="E109" s="190">
        <f>IF(COUNT(M109:AS109)&gt;0,AVERAGE(M109:AS109),"")</f>
        <v/>
      </c>
      <c r="F109" s="190">
        <f>IF(COUNT(M109:AS109)&gt;0,MIN(M109:AS109),"")</f>
        <v/>
      </c>
      <c r="G109" s="190">
        <f>IF(COUNT(M109:AS109)&gt;0,MAX(M109:AS109),"")</f>
        <v/>
      </c>
      <c r="H109" s="190">
        <f>IF(COUNT(M109:AS109)&gt;0,QUARTILE(M109:AS109,1),"")</f>
        <v/>
      </c>
      <c r="I109" s="190">
        <f>IF(COUNT(M109:AS109)&gt;0,QUARTILE(M109:AS109,3),"")</f>
        <v/>
      </c>
      <c r="J109" s="190">
        <f>IF(COUNT(M109:AS109)&gt;1,STDEV(M109:AS109),"")</f>
        <v/>
      </c>
      <c r="K109" s="191">
        <f>IF(COUNT(M109:AS109)&gt;1,STDEV(M109:AS109)/AVERAGE(M109:AS109),"")</f>
        <v/>
      </c>
      <c r="M109" s="192" t="n">
        <v>31014</v>
      </c>
      <c r="N109" s="192" t="n">
        <v>57438</v>
      </c>
      <c r="O109" s="192" t="n">
        <v>36666</v>
      </c>
      <c r="P109" s="192" t="n">
        <v>60777</v>
      </c>
      <c r="Q109" s="192" t="n">
        <v>37733</v>
      </c>
      <c r="R109" s="192" t="n">
        <v>48185</v>
      </c>
      <c r="S109" s="192" t="n">
        <v>79916</v>
      </c>
      <c r="T109" s="192" t="n">
        <v>41581</v>
      </c>
      <c r="U109" s="192" t="n">
        <v>50312</v>
      </c>
      <c r="V109" s="192" t="n">
        <v>35458</v>
      </c>
      <c r="W109" s="192" t="n">
        <v>16609</v>
      </c>
      <c r="X109" s="192" t="n">
        <v>6713</v>
      </c>
      <c r="Y109" s="192" t="n">
        <v>12751</v>
      </c>
      <c r="Z109" s="192" t="n">
        <v>23390</v>
      </c>
      <c r="AA109" s="192" t="n">
        <v>15608</v>
      </c>
      <c r="AB109" s="192" t="n">
        <v>9039</v>
      </c>
      <c r="AC109" s="192" t="n">
        <v>6285</v>
      </c>
      <c r="AD109" s="192" t="n">
        <v>3119</v>
      </c>
      <c r="AE109" s="192" t="n"/>
      <c r="AF109" s="192" t="n"/>
      <c r="AG109" s="192" t="n"/>
      <c r="AH109" s="192" t="n"/>
      <c r="AI109" s="192" t="n"/>
      <c r="AJ109" s="192" t="n"/>
      <c r="AK109" s="192" t="n"/>
      <c r="AL109" s="192" t="n"/>
      <c r="AM109" s="192" t="n"/>
      <c r="AN109" s="192" t="n"/>
      <c r="AO109" s="192" t="n"/>
      <c r="AP109" s="192" t="n"/>
      <c r="AQ109" s="192" t="n"/>
      <c r="AR109" s="192" t="n"/>
      <c r="AS109" s="192" t="n"/>
      <c r="AT109" s="182" t="n"/>
      <c r="AU109" s="176" t="n"/>
      <c r="AV109" s="176" t="n"/>
      <c r="AW109" s="176" t="n"/>
      <c r="AX109" s="176" t="n"/>
      <c r="AY109" s="176" t="n"/>
      <c r="AZ109" s="176" t="n"/>
      <c r="BA109" s="176" t="n"/>
      <c r="BB109" s="176" t="n"/>
      <c r="BC109" s="176" t="n"/>
      <c r="BD109" s="176" t="n"/>
      <c r="BE109" s="176" t="n"/>
      <c r="BF109" s="176" t="n"/>
      <c r="BG109" s="176" t="n"/>
      <c r="BH109" s="176" t="n"/>
      <c r="BI109" s="176" t="n"/>
      <c r="BJ109" s="176" t="n"/>
      <c r="BK109" s="176" t="n"/>
      <c r="BL109" s="176" t="n"/>
      <c r="BM109" s="176" t="n"/>
      <c r="BN109" s="176" t="n"/>
      <c r="BO109" s="176" t="n"/>
      <c r="BP109" s="176" t="n"/>
      <c r="BQ109" s="176" t="n"/>
      <c r="BR109" s="176" t="n"/>
    </row>
    <row r="110" ht="15" customHeight="1" s="392">
      <c r="A110" s="176" t="n"/>
      <c r="B110" s="180" t="n"/>
      <c r="C110" s="183" t="inlineStr">
        <is>
          <t xml:space="preserve">        Other Financing Cash Flow</t>
        </is>
      </c>
      <c r="D110" s="190">
        <f>IF(COUNT(M110:AS110)&gt;0,MEDIAN(M110:AS110),"")</f>
        <v/>
      </c>
      <c r="E110" s="190">
        <f>IF(COUNT(M110:AS110)&gt;0,AVERAGE(M110:AS110),"")</f>
        <v/>
      </c>
      <c r="F110" s="190">
        <f>IF(COUNT(M110:AS110)&gt;0,MIN(M110:AS110),"")</f>
        <v/>
      </c>
      <c r="G110" s="190">
        <f>IF(COUNT(M110:AS110)&gt;0,MAX(M110:AS110),"")</f>
        <v/>
      </c>
      <c r="H110" s="190">
        <f>IF(COUNT(M110:AS110)&gt;0,QUARTILE(M110:AS110,1),"")</f>
        <v/>
      </c>
      <c r="I110" s="190">
        <f>IF(COUNT(M110:AS110)&gt;0,QUARTILE(M110:AS110,3),"")</f>
        <v/>
      </c>
      <c r="J110" s="190">
        <f>IF(COUNT(M110:AS110)&gt;1,STDEV(M110:AS110),"")</f>
        <v/>
      </c>
      <c r="K110" s="191">
        <f>IF(COUNT(M110:AS110)&gt;1,STDEV(M110:AS110)/AVERAGE(M110:AS110),"")</f>
        <v/>
      </c>
      <c r="M110" s="192" t="n">
        <v>-3736</v>
      </c>
      <c r="N110" s="192" t="n">
        <v>-5282</v>
      </c>
      <c r="O110" s="192" t="n">
        <v>-6558</v>
      </c>
      <c r="P110" s="192" t="n">
        <v>-4709</v>
      </c>
      <c r="Q110" s="192" t="n">
        <v>-1925</v>
      </c>
      <c r="R110" s="192" t="n">
        <v>-6145</v>
      </c>
      <c r="S110" s="192" t="n">
        <v>-103451</v>
      </c>
      <c r="T110" s="192" t="n">
        <v>-46888</v>
      </c>
      <c r="U110" s="192" t="n">
        <v>-1115</v>
      </c>
      <c r="V110" s="192" t="n">
        <v>-135433</v>
      </c>
      <c r="W110" s="192" t="n">
        <v>-15039</v>
      </c>
      <c r="X110" s="192" t="n">
        <v>-3822</v>
      </c>
      <c r="Y110" s="192" t="n"/>
      <c r="Z110" s="192" t="n"/>
      <c r="AA110" s="192" t="n"/>
      <c r="AB110" s="192" t="n"/>
      <c r="AC110" s="192" t="n"/>
      <c r="AD110" s="192" t="n">
        <v>4570</v>
      </c>
      <c r="AE110" s="192" t="n">
        <v>16942</v>
      </c>
      <c r="AF110" s="192" t="n">
        <v>3820</v>
      </c>
      <c r="AG110" s="192" t="n">
        <v>2317</v>
      </c>
      <c r="AH110" s="192" t="n"/>
      <c r="AI110" s="192" t="n"/>
      <c r="AJ110" s="192" t="n">
        <v>-3485</v>
      </c>
      <c r="AK110" s="192" t="n"/>
      <c r="AL110" s="192" t="n"/>
      <c r="AM110" s="192" t="n"/>
      <c r="AN110" s="192" t="n"/>
      <c r="AO110" s="192" t="n"/>
      <c r="AP110" s="192" t="n">
        <v>300</v>
      </c>
      <c r="AQ110" s="192" t="n">
        <v>100</v>
      </c>
      <c r="AR110" s="192" t="n"/>
      <c r="AS110" s="192" t="n"/>
      <c r="AT110" s="182" t="n"/>
      <c r="AU110" s="176" t="n"/>
      <c r="AV110" s="176" t="n"/>
      <c r="AW110" s="176" t="n"/>
      <c r="AX110" s="176" t="n"/>
      <c r="AY110" s="176" t="n"/>
      <c r="AZ110" s="176" t="n"/>
      <c r="BA110" s="176" t="n"/>
      <c r="BB110" s="176" t="n"/>
      <c r="BC110" s="176" t="n"/>
      <c r="BD110" s="176" t="n"/>
      <c r="BE110" s="176" t="n"/>
      <c r="BF110" s="176" t="n"/>
      <c r="BG110" s="176" t="n"/>
      <c r="BH110" s="176" t="n"/>
      <c r="BI110" s="176" t="n"/>
      <c r="BJ110" s="176" t="n"/>
      <c r="BK110" s="176" t="n"/>
      <c r="BL110" s="176" t="n"/>
      <c r="BM110" s="176" t="n"/>
      <c r="BN110" s="176" t="n"/>
      <c r="BO110" s="176" t="n"/>
      <c r="BP110" s="176" t="n"/>
      <c r="BQ110" s="176" t="n"/>
      <c r="BR110" s="176" t="n"/>
    </row>
    <row r="111" ht="15" customHeight="1" s="392">
      <c r="A111" s="176" t="n"/>
      <c r="B111" s="180" t="n"/>
      <c r="C111" s="187" t="inlineStr">
        <is>
          <t xml:space="preserve">    Total Cash Flow from Continuing Financing Activities</t>
        </is>
      </c>
      <c r="D111" s="193">
        <f>IF(COUNT(M111:AS111)&gt;0,MEDIAN(M111:AS111),"")</f>
        <v/>
      </c>
      <c r="E111" s="193">
        <f>IF(COUNT(M111:AS111)&gt;0,AVERAGE(M111:AS111),"")</f>
        <v/>
      </c>
      <c r="F111" s="193">
        <f>IF(COUNT(M111:AS111)&gt;0,MIN(M111:AS111),"")</f>
        <v/>
      </c>
      <c r="G111" s="193">
        <f>IF(COUNT(M111:AS111)&gt;0,MAX(M111:AS111),"")</f>
        <v/>
      </c>
      <c r="H111" s="193">
        <f>IF(COUNT(M111:AS111)&gt;0,QUARTILE(M111:AS111,1),"")</f>
        <v/>
      </c>
      <c r="I111" s="193">
        <f>IF(COUNT(M111:AS111)&gt;0,QUARTILE(M111:AS111,3),"")</f>
        <v/>
      </c>
      <c r="J111" s="193">
        <f>IF(COUNT(M111:AS111)&gt;1,STDEV(M111:AS111),"")</f>
        <v/>
      </c>
      <c r="K111" s="194">
        <f>IF(COUNT(M111:AS111)&gt;1,STDEV(M111:AS111)/AVERAGE(M111:AS111),"")</f>
        <v/>
      </c>
      <c r="L111" s="195" t="n"/>
      <c r="M111" s="196" t="n">
        <v>-1606854</v>
      </c>
      <c r="N111" s="196" t="n">
        <v>52107</v>
      </c>
      <c r="O111" s="196" t="n">
        <v>19273</v>
      </c>
      <c r="P111" s="196" t="n">
        <v>66615</v>
      </c>
      <c r="Q111" s="196" t="n">
        <v>-382693</v>
      </c>
      <c r="R111" s="196" t="n">
        <v>40922</v>
      </c>
      <c r="S111" s="196" t="n">
        <v>-27414</v>
      </c>
      <c r="T111" s="196" t="n">
        <v>-370304</v>
      </c>
      <c r="U111" s="196" t="n">
        <v>-182038</v>
      </c>
      <c r="V111" s="196" t="n">
        <v>-106975</v>
      </c>
      <c r="W111" s="196" t="n">
        <v>-448496</v>
      </c>
      <c r="X111" s="196" t="n">
        <v>120362</v>
      </c>
      <c r="Y111" s="196" t="n">
        <v>-76823</v>
      </c>
      <c r="Z111" s="196" t="n">
        <v>-65891</v>
      </c>
      <c r="AA111" s="196" t="n">
        <v>-114873</v>
      </c>
      <c r="AB111" s="196" t="n">
        <v>-354075</v>
      </c>
      <c r="AC111" s="196" t="n">
        <v>1266</v>
      </c>
      <c r="AD111" s="196" t="n">
        <v>-17640</v>
      </c>
      <c r="AE111" s="196" t="n">
        <v>-229677</v>
      </c>
      <c r="AF111" s="196" t="n">
        <v>-75385</v>
      </c>
      <c r="AG111" s="196" t="n">
        <v>505</v>
      </c>
      <c r="AH111" s="196" t="n">
        <v>3235</v>
      </c>
      <c r="AI111" s="196" t="n">
        <v>-4296</v>
      </c>
      <c r="AJ111" s="196" t="n">
        <v>-21662</v>
      </c>
      <c r="AK111" s="196" t="n">
        <v>128563.3</v>
      </c>
      <c r="AL111" s="196" t="n">
        <v>-4154.5</v>
      </c>
      <c r="AM111" s="196" t="n">
        <v>3651.4</v>
      </c>
      <c r="AN111" s="196" t="n">
        <v>800</v>
      </c>
      <c r="AO111" s="196" t="n">
        <v>800</v>
      </c>
      <c r="AP111" s="196" t="n">
        <v>1200</v>
      </c>
      <c r="AQ111" s="196" t="n">
        <v>400</v>
      </c>
      <c r="AR111" s="196" t="n">
        <v>33900</v>
      </c>
      <c r="AS111" s="196" t="n">
        <v>24500</v>
      </c>
      <c r="AT111" s="182" t="n"/>
      <c r="AU111" s="176" t="n"/>
      <c r="AV111" s="176" t="n"/>
      <c r="AW111" s="176" t="n"/>
      <c r="AX111" s="176" t="n"/>
      <c r="AY111" s="176" t="n"/>
      <c r="AZ111" s="176" t="n"/>
      <c r="BA111" s="176" t="n"/>
      <c r="BB111" s="176" t="n"/>
      <c r="BC111" s="176" t="n"/>
      <c r="BD111" s="176" t="n"/>
      <c r="BE111" s="176" t="n"/>
      <c r="BF111" s="176" t="n"/>
      <c r="BG111" s="176" t="n"/>
      <c r="BH111" s="176" t="n"/>
      <c r="BI111" s="176" t="n"/>
      <c r="BJ111" s="176" t="n"/>
      <c r="BK111" s="176" t="n"/>
      <c r="BL111" s="176" t="n"/>
      <c r="BM111" s="176" t="n"/>
      <c r="BN111" s="176" t="n"/>
      <c r="BO111" s="176" t="n"/>
      <c r="BP111" s="176" t="n"/>
      <c r="BQ111" s="176" t="n"/>
      <c r="BR111" s="176" t="n"/>
    </row>
    <row r="112" ht="15" customHeight="1" s="392">
      <c r="A112" s="176" t="n"/>
      <c r="B112" s="180" t="n"/>
      <c r="C112" s="187" t="inlineStr">
        <is>
          <t>Total Cash Flow from Financing Activities</t>
        </is>
      </c>
      <c r="D112" s="193">
        <f>IF(COUNT(M112:AS112)&gt;0,MEDIAN(M112:AS112),"")</f>
        <v/>
      </c>
      <c r="E112" s="193">
        <f>IF(COUNT(M112:AS112)&gt;0,AVERAGE(M112:AS112),"")</f>
        <v/>
      </c>
      <c r="F112" s="193">
        <f>IF(COUNT(M112:AS112)&gt;0,MIN(M112:AS112),"")</f>
        <v/>
      </c>
      <c r="G112" s="193">
        <f>IF(COUNT(M112:AS112)&gt;0,MAX(M112:AS112),"")</f>
        <v/>
      </c>
      <c r="H112" s="193">
        <f>IF(COUNT(M112:AS112)&gt;0,QUARTILE(M112:AS112,1),"")</f>
        <v/>
      </c>
      <c r="I112" s="193">
        <f>IF(COUNT(M112:AS112)&gt;0,QUARTILE(M112:AS112,3),"")</f>
        <v/>
      </c>
      <c r="J112" s="193">
        <f>IF(COUNT(M112:AS112)&gt;1,STDEV(M112:AS112),"")</f>
        <v/>
      </c>
      <c r="K112" s="194">
        <f>IF(COUNT(M112:AS112)&gt;1,STDEV(M112:AS112)/AVERAGE(M112:AS112),"")</f>
        <v/>
      </c>
      <c r="L112" s="195" t="n"/>
      <c r="M112" s="196" t="n">
        <v>-1606854</v>
      </c>
      <c r="N112" s="196" t="n">
        <v>52107</v>
      </c>
      <c r="O112" s="196" t="n">
        <v>19273</v>
      </c>
      <c r="P112" s="196" t="n">
        <v>66615</v>
      </c>
      <c r="Q112" s="196" t="n">
        <v>-382693</v>
      </c>
      <c r="R112" s="196" t="n">
        <v>40922</v>
      </c>
      <c r="S112" s="196" t="n">
        <v>-27414</v>
      </c>
      <c r="T112" s="196" t="n">
        <v>-370304</v>
      </c>
      <c r="U112" s="196" t="n">
        <v>-182038</v>
      </c>
      <c r="V112" s="196" t="n">
        <v>-106975</v>
      </c>
      <c r="W112" s="196" t="n">
        <v>-448496</v>
      </c>
      <c r="X112" s="196" t="n">
        <v>120362</v>
      </c>
      <c r="Y112" s="196" t="n">
        <v>-76823</v>
      </c>
      <c r="Z112" s="196" t="n">
        <v>-65891</v>
      </c>
      <c r="AA112" s="196" t="n">
        <v>-114873</v>
      </c>
      <c r="AB112" s="196" t="n">
        <v>-354075</v>
      </c>
      <c r="AC112" s="196" t="n">
        <v>1266</v>
      </c>
      <c r="AD112" s="196" t="n">
        <v>-17640</v>
      </c>
      <c r="AE112" s="196" t="n">
        <v>-229677</v>
      </c>
      <c r="AF112" s="196" t="n">
        <v>-75385</v>
      </c>
      <c r="AG112" s="196" t="n">
        <v>505</v>
      </c>
      <c r="AH112" s="196" t="n">
        <v>3235</v>
      </c>
      <c r="AI112" s="196" t="n">
        <v>-4296</v>
      </c>
      <c r="AJ112" s="196" t="n">
        <v>-21662</v>
      </c>
      <c r="AK112" s="196" t="n">
        <v>128563.3</v>
      </c>
      <c r="AL112" s="196" t="n">
        <v>-4154.5</v>
      </c>
      <c r="AM112" s="196" t="n">
        <v>3651.4</v>
      </c>
      <c r="AN112" s="196" t="n">
        <v>800</v>
      </c>
      <c r="AO112" s="196" t="n">
        <v>800</v>
      </c>
      <c r="AP112" s="196" t="n">
        <v>1200</v>
      </c>
      <c r="AQ112" s="196" t="n">
        <v>400</v>
      </c>
      <c r="AR112" s="196" t="n">
        <v>33900</v>
      </c>
      <c r="AS112" s="196" t="n">
        <v>24500</v>
      </c>
      <c r="AT112" s="182" t="n"/>
      <c r="AU112" s="176" t="n"/>
      <c r="AV112" s="176" t="n"/>
      <c r="AW112" s="176" t="n"/>
      <c r="AX112" s="176" t="n"/>
      <c r="AY112" s="176" t="n"/>
      <c r="AZ112" s="176" t="n"/>
      <c r="BA112" s="176" t="n"/>
      <c r="BB112" s="176" t="n"/>
      <c r="BC112" s="176" t="n"/>
      <c r="BD112" s="176" t="n"/>
      <c r="BE112" s="176" t="n"/>
      <c r="BF112" s="176" t="n"/>
      <c r="BG112" s="176" t="n"/>
      <c r="BH112" s="176" t="n"/>
      <c r="BI112" s="176" t="n"/>
      <c r="BJ112" s="176" t="n"/>
      <c r="BK112" s="176" t="n"/>
      <c r="BL112" s="176" t="n"/>
      <c r="BM112" s="176" t="n"/>
      <c r="BN112" s="176" t="n"/>
      <c r="BO112" s="176" t="n"/>
      <c r="BP112" s="176" t="n"/>
      <c r="BQ112" s="176" t="n"/>
      <c r="BR112" s="176" t="n"/>
    </row>
    <row r="113" ht="15" customHeight="1" s="392">
      <c r="A113" s="176" t="n"/>
      <c r="B113" s="180" t="n"/>
      <c r="C113" s="189" t="inlineStr">
        <is>
          <t>Cash and Cash Equivalents, End of Period</t>
        </is>
      </c>
      <c r="D113" s="185" t="n"/>
      <c r="E113" s="185" t="n"/>
      <c r="F113" s="185" t="n"/>
      <c r="G113" s="185" t="n"/>
      <c r="H113" s="185" t="n"/>
      <c r="I113" s="185" t="n"/>
      <c r="J113" s="185" t="n"/>
      <c r="K113" s="185" t="n"/>
      <c r="L113" s="185" t="n"/>
      <c r="M113" s="185" t="n"/>
      <c r="N113" s="185" t="n"/>
      <c r="O113" s="185" t="n"/>
      <c r="P113" s="185" t="n"/>
      <c r="Q113" s="185" t="n"/>
      <c r="R113" s="185" t="n"/>
      <c r="S113" s="185" t="n"/>
      <c r="T113" s="185" t="n"/>
      <c r="U113" s="185" t="n"/>
      <c r="V113" s="185" t="n"/>
      <c r="W113" s="185" t="n"/>
      <c r="X113" s="185" t="n"/>
      <c r="Y113" s="185" t="n"/>
      <c r="Z113" s="185" t="n"/>
      <c r="AA113" s="185" t="n"/>
      <c r="AB113" s="185" t="n"/>
      <c r="AC113" s="185" t="n"/>
      <c r="AD113" s="185" t="n"/>
      <c r="AE113" s="185" t="n"/>
      <c r="AF113" s="185" t="n"/>
      <c r="AG113" s="185" t="n"/>
      <c r="AH113" s="185" t="n"/>
      <c r="AI113" s="185" t="n"/>
      <c r="AJ113" s="185" t="n"/>
      <c r="AK113" s="185" t="n"/>
      <c r="AL113" s="185" t="n"/>
      <c r="AM113" s="185" t="n"/>
      <c r="AN113" s="185" t="n"/>
      <c r="AO113" s="185" t="n"/>
      <c r="AP113" s="185" t="n"/>
      <c r="AQ113" s="185" t="n"/>
      <c r="AR113" s="185" t="n"/>
      <c r="AS113" s="185" t="n"/>
      <c r="AT113" s="182" t="n"/>
      <c r="AU113" s="176" t="n"/>
      <c r="AV113" s="176" t="n"/>
      <c r="AW113" s="176" t="n"/>
      <c r="AX113" s="176" t="n"/>
      <c r="AY113" s="176" t="n"/>
      <c r="AZ113" s="176" t="n"/>
      <c r="BA113" s="176" t="n"/>
      <c r="BB113" s="176" t="n"/>
      <c r="BC113" s="176" t="n"/>
      <c r="BD113" s="176" t="n"/>
      <c r="BE113" s="176" t="n"/>
      <c r="BF113" s="176" t="n"/>
      <c r="BG113" s="176" t="n"/>
      <c r="BH113" s="176" t="n"/>
      <c r="BI113" s="176" t="n"/>
      <c r="BJ113" s="176" t="n"/>
      <c r="BK113" s="176" t="n"/>
      <c r="BL113" s="176" t="n"/>
      <c r="BM113" s="176" t="n"/>
      <c r="BN113" s="176" t="n"/>
      <c r="BO113" s="176" t="n"/>
      <c r="BP113" s="176" t="n"/>
      <c r="BQ113" s="176" t="n"/>
      <c r="BR113" s="176" t="n"/>
    </row>
    <row r="114" ht="15" customHeight="1" s="392">
      <c r="A114" s="176" t="n"/>
      <c r="B114" s="180" t="n"/>
      <c r="C114" s="183" t="inlineStr">
        <is>
          <t xml:space="preserve">    Change in Cash</t>
        </is>
      </c>
      <c r="D114" s="190">
        <f>IF(COUNT(M114:AS114)&gt;0,MEDIAN(M114:AS114),"")</f>
        <v/>
      </c>
      <c r="E114" s="190">
        <f>IF(COUNT(M114:AS114)&gt;0,AVERAGE(M114:AS114),"")</f>
        <v/>
      </c>
      <c r="F114" s="190">
        <f>IF(COUNT(M114:AS114)&gt;0,MIN(M114:AS114),"")</f>
        <v/>
      </c>
      <c r="G114" s="190">
        <f>IF(COUNT(M114:AS114)&gt;0,MAX(M114:AS114),"")</f>
        <v/>
      </c>
      <c r="H114" s="190">
        <f>IF(COUNT(M114:AS114)&gt;0,QUARTILE(M114:AS114,1),"")</f>
        <v/>
      </c>
      <c r="I114" s="190">
        <f>IF(COUNT(M114:AS114)&gt;0,QUARTILE(M114:AS114,3),"")</f>
        <v/>
      </c>
      <c r="J114" s="190">
        <f>IF(COUNT(M114:AS114)&gt;1,STDEV(M114:AS114),"")</f>
        <v/>
      </c>
      <c r="K114" s="191">
        <f>IF(COUNT(M114:AS114)&gt;1,STDEV(M114:AS114)/AVERAGE(M114:AS114),"")</f>
        <v/>
      </c>
      <c r="M114" s="192" t="n">
        <v>-879963</v>
      </c>
      <c r="N114" s="192" t="n">
        <v>1264409</v>
      </c>
      <c r="O114" s="192" t="n">
        <v>551758</v>
      </c>
      <c r="P114" s="192" t="n">
        <v>-461224</v>
      </c>
      <c r="Q114" s="192" t="n">
        <v>351680</v>
      </c>
      <c r="R114" s="192" t="n">
        <v>566347</v>
      </c>
      <c r="S114" s="192" t="n">
        <v>289263</v>
      </c>
      <c r="T114" s="192" t="n">
        <v>-79925</v>
      </c>
      <c r="U114" s="192" t="n">
        <v>64555</v>
      </c>
      <c r="V114" s="192" t="n">
        <v>49292</v>
      </c>
      <c r="W114" s="192" t="n">
        <v>-288874</v>
      </c>
      <c r="X114" s="192" t="n">
        <v>303523</v>
      </c>
      <c r="Y114" s="192" t="n">
        <v>93668</v>
      </c>
      <c r="Z114" s="192" t="n">
        <v>-74586</v>
      </c>
      <c r="AA114" s="192" t="n">
        <v>66713</v>
      </c>
      <c r="AB114" s="192" t="n">
        <v>-195623</v>
      </c>
      <c r="AC114" s="192" t="n">
        <v>104648</v>
      </c>
      <c r="AD114" s="192" t="n">
        <v>125795</v>
      </c>
      <c r="AE114" s="192" t="n">
        <v>-68214</v>
      </c>
      <c r="AF114" s="192" t="n">
        <v>-28893</v>
      </c>
      <c r="AG114" s="192" t="n">
        <v>-125466</v>
      </c>
      <c r="AH114" s="192" t="n">
        <v>246674</v>
      </c>
      <c r="AI114" s="192" t="n">
        <v>234</v>
      </c>
      <c r="AJ114" s="192" t="n">
        <v>5391</v>
      </c>
      <c r="AK114" s="192" t="n">
        <v>117444.8</v>
      </c>
      <c r="AL114" s="192" t="n">
        <v>3080.3</v>
      </c>
      <c r="AM114" s="192" t="n">
        <v>-24882.9</v>
      </c>
      <c r="AN114" s="192" t="n">
        <v>21300</v>
      </c>
      <c r="AO114" s="192" t="n">
        <v>-11900</v>
      </c>
      <c r="AP114" s="192" t="n">
        <v>14700</v>
      </c>
      <c r="AQ114" s="192" t="n">
        <v>-700</v>
      </c>
      <c r="AR114" s="192" t="n">
        <v>-4100</v>
      </c>
      <c r="AS114" s="192" t="n">
        <v>16100</v>
      </c>
      <c r="AT114" s="182" t="n"/>
      <c r="AU114" s="176" t="n"/>
      <c r="AV114" s="176" t="n"/>
      <c r="AW114" s="176" t="n"/>
      <c r="AX114" s="176" t="n"/>
      <c r="AY114" s="176" t="n"/>
      <c r="AZ114" s="176" t="n"/>
      <c r="BA114" s="176" t="n"/>
      <c r="BB114" s="176" t="n"/>
      <c r="BC114" s="176" t="n"/>
      <c r="BD114" s="176" t="n"/>
      <c r="BE114" s="176" t="n"/>
      <c r="BF114" s="176" t="n"/>
      <c r="BG114" s="176" t="n"/>
      <c r="BH114" s="176" t="n"/>
      <c r="BI114" s="176" t="n"/>
      <c r="BJ114" s="176" t="n"/>
      <c r="BK114" s="176" t="n"/>
      <c r="BL114" s="176" t="n"/>
      <c r="BM114" s="176" t="n"/>
      <c r="BN114" s="176" t="n"/>
      <c r="BO114" s="176" t="n"/>
      <c r="BP114" s="176" t="n"/>
      <c r="BQ114" s="176" t="n"/>
      <c r="BR114" s="176" t="n"/>
    </row>
    <row r="115" ht="15" customHeight="1" s="392">
      <c r="A115" s="176" t="n"/>
      <c r="B115" s="180" t="n"/>
      <c r="C115" s="183" t="inlineStr">
        <is>
          <t xml:space="preserve">    Effect of Exchange Rate Changes</t>
        </is>
      </c>
      <c r="D115" s="190">
        <f>IF(COUNT(M115:AS115)&gt;0,MEDIAN(M115:AS115),"")</f>
        <v/>
      </c>
      <c r="E115" s="190">
        <f>IF(COUNT(M115:AS115)&gt;0,AVERAGE(M115:AS115),"")</f>
        <v/>
      </c>
      <c r="F115" s="190">
        <f>IF(COUNT(M115:AS115)&gt;0,MIN(M115:AS115),"")</f>
        <v/>
      </c>
      <c r="G115" s="190">
        <f>IF(COUNT(M115:AS115)&gt;0,MAX(M115:AS115),"")</f>
        <v/>
      </c>
      <c r="H115" s="190">
        <f>IF(COUNT(M115:AS115)&gt;0,QUARTILE(M115:AS115,1),"")</f>
        <v/>
      </c>
      <c r="I115" s="190">
        <f>IF(COUNT(M115:AS115)&gt;0,QUARTILE(M115:AS115,3),"")</f>
        <v/>
      </c>
      <c r="J115" s="190">
        <f>IF(COUNT(M115:AS115)&gt;1,STDEV(M115:AS115),"")</f>
        <v/>
      </c>
      <c r="K115" s="191">
        <f>IF(COUNT(M115:AS115)&gt;1,STDEV(M115:AS115)/AVERAGE(M115:AS115),"")</f>
        <v/>
      </c>
      <c r="M115" s="192" t="n">
        <v>7333</v>
      </c>
      <c r="N115" s="192" t="n">
        <v>2011</v>
      </c>
      <c r="O115" s="192" t="n">
        <v>4958</v>
      </c>
      <c r="P115" s="192" t="n">
        <v>34383</v>
      </c>
      <c r="Q115" s="192" t="n">
        <v>-15704</v>
      </c>
      <c r="R115" s="192" t="n">
        <v>4195</v>
      </c>
      <c r="S115" s="192" t="n">
        <v>2136</v>
      </c>
      <c r="T115" s="192" t="n">
        <v>-8276</v>
      </c>
      <c r="U115" s="192" t="n">
        <v>-135</v>
      </c>
      <c r="V115" s="192" t="n">
        <v>4959</v>
      </c>
      <c r="W115" s="192" t="n">
        <v>-11289</v>
      </c>
      <c r="X115" s="192" t="n">
        <v>-6179</v>
      </c>
      <c r="Y115" s="192" t="n">
        <v>1369</v>
      </c>
      <c r="Z115" s="192" t="n">
        <v>-1895</v>
      </c>
      <c r="AA115" s="192" t="n">
        <v>-610</v>
      </c>
      <c r="AB115" s="192" t="n">
        <v>1444</v>
      </c>
      <c r="AC115" s="192" t="n">
        <v>849</v>
      </c>
      <c r="AD115" s="192" t="n">
        <v>-2058</v>
      </c>
      <c r="AE115" s="192" t="n">
        <v>-453</v>
      </c>
      <c r="AF115" s="192" t="n">
        <v>668</v>
      </c>
      <c r="AG115" s="192" t="n">
        <v>-492</v>
      </c>
      <c r="AH115" s="192" t="n">
        <v>154</v>
      </c>
      <c r="AI115" s="192" t="n">
        <v>95</v>
      </c>
      <c r="AJ115" s="192" t="n"/>
      <c r="AK115" s="192" t="n"/>
      <c r="AL115" s="192" t="n"/>
      <c r="AM115" s="192" t="n"/>
      <c r="AN115" s="192" t="n"/>
      <c r="AO115" s="192" t="n"/>
      <c r="AP115" s="192" t="n"/>
      <c r="AQ115" s="192" t="n"/>
      <c r="AR115" s="192" t="n"/>
      <c r="AS115" s="192" t="n"/>
      <c r="AT115" s="182" t="n"/>
      <c r="AU115" s="176" t="n"/>
      <c r="AV115" s="176" t="n"/>
      <c r="AW115" s="176" t="n"/>
      <c r="AX115" s="176" t="n"/>
      <c r="AY115" s="176" t="n"/>
      <c r="AZ115" s="176" t="n"/>
      <c r="BA115" s="176" t="n"/>
      <c r="BB115" s="176" t="n"/>
      <c r="BC115" s="176" t="n"/>
      <c r="BD115" s="176" t="n"/>
      <c r="BE115" s="176" t="n"/>
      <c r="BF115" s="176" t="n"/>
      <c r="BG115" s="176" t="n"/>
      <c r="BH115" s="176" t="n"/>
      <c r="BI115" s="176" t="n"/>
      <c r="BJ115" s="176" t="n"/>
      <c r="BK115" s="176" t="n"/>
      <c r="BL115" s="176" t="n"/>
      <c r="BM115" s="176" t="n"/>
      <c r="BN115" s="176" t="n"/>
      <c r="BO115" s="176" t="n"/>
      <c r="BP115" s="176" t="n"/>
      <c r="BQ115" s="176" t="n"/>
      <c r="BR115" s="176" t="n"/>
    </row>
    <row r="116" ht="15" customHeight="1" s="392">
      <c r="A116" s="176" t="n"/>
      <c r="B116" s="180" t="n"/>
      <c r="C116" s="183" t="inlineStr">
        <is>
          <t xml:space="preserve">    Other Changes</t>
        </is>
      </c>
      <c r="D116" s="190">
        <f>IF(COUNT(M116:AS116)&gt;0,MEDIAN(M116:AS116),"")</f>
        <v/>
      </c>
      <c r="E116" s="190">
        <f>IF(COUNT(M116:AS116)&gt;0,AVERAGE(M116:AS116),"")</f>
        <v/>
      </c>
      <c r="F116" s="190">
        <f>IF(COUNT(M116:AS116)&gt;0,MIN(M116:AS116),"")</f>
        <v/>
      </c>
      <c r="G116" s="190">
        <f>IF(COUNT(M116:AS116)&gt;0,MAX(M116:AS116),"")</f>
        <v/>
      </c>
      <c r="H116" s="190">
        <f>IF(COUNT(M116:AS116)&gt;0,QUARTILE(M116:AS116,1),"")</f>
        <v/>
      </c>
      <c r="I116" s="190">
        <f>IF(COUNT(M116:AS116)&gt;0,QUARTILE(M116:AS116,3),"")</f>
        <v/>
      </c>
      <c r="J116" s="190">
        <f>IF(COUNT(M116:AS116)&gt;1,STDEV(M116:AS116),"")</f>
        <v/>
      </c>
      <c r="K116" s="191">
        <f>IF(COUNT(M116:AS116)&gt;1,STDEV(M116:AS116)/AVERAGE(M116:AS116),"")</f>
        <v/>
      </c>
      <c r="M116" s="192" t="n"/>
      <c r="N116" s="192" t="n"/>
      <c r="O116" s="192" t="n"/>
      <c r="P116" s="192" t="n"/>
      <c r="Q116" s="192" t="n"/>
      <c r="R116" s="192" t="n"/>
      <c r="S116" s="192" t="n"/>
      <c r="T116" s="192" t="n"/>
      <c r="U116" s="192" t="n"/>
      <c r="V116" s="192" t="n"/>
      <c r="W116" s="192" t="n"/>
      <c r="X116" s="192" t="n"/>
      <c r="Y116" s="192" t="n"/>
      <c r="Z116" s="192" t="n"/>
      <c r="AA116" s="192" t="n"/>
      <c r="AB116" s="192" t="n"/>
      <c r="AC116" s="192" t="n"/>
      <c r="AD116" s="192" t="n"/>
      <c r="AE116" s="192" t="n"/>
      <c r="AF116" s="192" t="n"/>
      <c r="AG116" s="192" t="n"/>
      <c r="AH116" s="192" t="n"/>
      <c r="AI116" s="192" t="n"/>
      <c r="AJ116" s="192" t="n"/>
      <c r="AK116" s="192" t="n"/>
      <c r="AL116" s="192" t="n"/>
      <c r="AM116" s="192" t="n"/>
      <c r="AN116" s="192" t="n"/>
      <c r="AO116" s="192" t="n">
        <v>-15800</v>
      </c>
      <c r="AP116" s="192" t="n"/>
      <c r="AQ116" s="192" t="n">
        <v>-13100</v>
      </c>
      <c r="AR116" s="192" t="n">
        <v>-13800</v>
      </c>
      <c r="AS116" s="192" t="n">
        <v>-17900</v>
      </c>
      <c r="AT116" s="182" t="n"/>
      <c r="AU116" s="176" t="n"/>
      <c r="AV116" s="176" t="n"/>
      <c r="AW116" s="176" t="n"/>
      <c r="AX116" s="176" t="n"/>
      <c r="AY116" s="176" t="n"/>
      <c r="AZ116" s="176" t="n"/>
      <c r="BA116" s="176" t="n"/>
      <c r="BB116" s="176" t="n"/>
      <c r="BC116" s="176" t="n"/>
      <c r="BD116" s="176" t="n"/>
      <c r="BE116" s="176" t="n"/>
      <c r="BF116" s="176" t="n"/>
      <c r="BG116" s="176" t="n"/>
      <c r="BH116" s="176" t="n"/>
      <c r="BI116" s="176" t="n"/>
      <c r="BJ116" s="176" t="n"/>
      <c r="BK116" s="176" t="n"/>
      <c r="BL116" s="176" t="n"/>
      <c r="BM116" s="176" t="n"/>
      <c r="BN116" s="176" t="n"/>
      <c r="BO116" s="176" t="n"/>
      <c r="BP116" s="176" t="n"/>
      <c r="BQ116" s="176" t="n"/>
      <c r="BR116" s="176" t="n"/>
    </row>
    <row r="117" ht="15" customHeight="1" s="392">
      <c r="A117" s="176" t="n"/>
      <c r="B117" s="180" t="n"/>
      <c r="C117" s="183" t="inlineStr">
        <is>
          <t xml:space="preserve">    Cash and Cash Equivalents, Beginning of Period</t>
        </is>
      </c>
      <c r="D117" s="190">
        <f>IF(COUNT(M117:AS117)&gt;0,MEDIAN(M117:AS117),"")</f>
        <v/>
      </c>
      <c r="E117" s="190">
        <f>IF(COUNT(M117:AS117)&gt;0,AVERAGE(M117:AS117),"")</f>
        <v/>
      </c>
      <c r="F117" s="190">
        <f>IF(COUNT(M117:AS117)&gt;0,MIN(M117:AS117),"")</f>
        <v/>
      </c>
      <c r="G117" s="190">
        <f>IF(COUNT(M117:AS117)&gt;0,MAX(M117:AS117),"")</f>
        <v/>
      </c>
      <c r="H117" s="190">
        <f>IF(COUNT(M117:AS117)&gt;0,QUARTILE(M117:AS117,1),"")</f>
        <v/>
      </c>
      <c r="I117" s="190">
        <f>IF(COUNT(M117:AS117)&gt;0,QUARTILE(M117:AS117,3),"")</f>
        <v/>
      </c>
      <c r="J117" s="190">
        <f>IF(COUNT(M117:AS117)&gt;1,STDEV(M117:AS117),"")</f>
        <v/>
      </c>
      <c r="K117" s="191">
        <f>IF(COUNT(M117:AS117)&gt;1,STDEV(M117:AS117)/AVERAGE(M117:AS117),"")</f>
        <v/>
      </c>
      <c r="M117" s="192" t="n">
        <v>2780531</v>
      </c>
      <c r="N117" s="192" t="n">
        <v>1514111</v>
      </c>
      <c r="O117" s="192" t="n">
        <v>957395</v>
      </c>
      <c r="P117" s="192" t="n">
        <v>1384236</v>
      </c>
      <c r="Q117" s="192" t="n">
        <v>1048260</v>
      </c>
      <c r="R117" s="192" t="n">
        <v>477718</v>
      </c>
      <c r="S117" s="192" t="n">
        <v>186319</v>
      </c>
      <c r="T117" s="192" t="n">
        <v>274520</v>
      </c>
      <c r="U117" s="192" t="n">
        <v>210100</v>
      </c>
      <c r="V117" s="192" t="n">
        <v>155849</v>
      </c>
      <c r="W117" s="192" t="n">
        <v>456012</v>
      </c>
      <c r="X117" s="192" t="n">
        <v>158668</v>
      </c>
      <c r="Y117" s="192" t="n">
        <v>63631</v>
      </c>
      <c r="Z117" s="192" t="n">
        <v>140112</v>
      </c>
      <c r="AA117" s="192" t="n">
        <v>74009</v>
      </c>
      <c r="AB117" s="192" t="n">
        <v>268188</v>
      </c>
      <c r="AC117" s="192" t="n">
        <v>162691</v>
      </c>
      <c r="AD117" s="192" t="n">
        <v>38954</v>
      </c>
      <c r="AE117" s="192" t="n">
        <v>107621</v>
      </c>
      <c r="AF117" s="192" t="n">
        <v>126590</v>
      </c>
      <c r="AG117" s="192" t="n">
        <v>252548</v>
      </c>
      <c r="AH117" s="192" t="n">
        <v>5720</v>
      </c>
      <c r="AI117" s="192" t="n">
        <v>5391</v>
      </c>
      <c r="AJ117" s="192" t="n">
        <v>0</v>
      </c>
      <c r="AK117" s="192" t="n">
        <v>15245.2</v>
      </c>
      <c r="AL117" s="192" t="n">
        <v>12164.9</v>
      </c>
      <c r="AM117" s="192" t="n">
        <v>37047.8</v>
      </c>
      <c r="AN117" s="192" t="n">
        <v>15700</v>
      </c>
      <c r="AO117" s="192" t="n">
        <v>27700</v>
      </c>
      <c r="AP117" s="192" t="n">
        <v>13000</v>
      </c>
      <c r="AQ117" s="192" t="n">
        <v>13800</v>
      </c>
      <c r="AR117" s="192" t="n">
        <v>17900</v>
      </c>
      <c r="AS117" s="192" t="n">
        <v>1800</v>
      </c>
      <c r="AT117" s="182" t="n"/>
      <c r="AU117" s="176" t="n"/>
      <c r="AV117" s="176" t="n"/>
      <c r="AW117" s="176" t="n"/>
      <c r="AX117" s="176" t="n"/>
      <c r="AY117" s="176" t="n"/>
      <c r="AZ117" s="176" t="n"/>
      <c r="BA117" s="176" t="n"/>
      <c r="BB117" s="176" t="n"/>
      <c r="BC117" s="176" t="n"/>
      <c r="BD117" s="176" t="n"/>
      <c r="BE117" s="176" t="n"/>
      <c r="BF117" s="176" t="n"/>
      <c r="BG117" s="176" t="n"/>
      <c r="BH117" s="176" t="n"/>
      <c r="BI117" s="176" t="n"/>
      <c r="BJ117" s="176" t="n"/>
      <c r="BK117" s="176" t="n"/>
      <c r="BL117" s="176" t="n"/>
      <c r="BM117" s="176" t="n"/>
      <c r="BN117" s="176" t="n"/>
      <c r="BO117" s="176" t="n"/>
      <c r="BP117" s="176" t="n"/>
      <c r="BQ117" s="176" t="n"/>
      <c r="BR117" s="176" t="n"/>
    </row>
    <row r="118" ht="15" customHeight="1" s="392">
      <c r="A118" s="176" t="n"/>
      <c r="B118" s="180" t="n"/>
      <c r="C118" s="187" t="inlineStr">
        <is>
          <t>Total Cash and Cash Equivalents, End of Period</t>
        </is>
      </c>
      <c r="D118" s="193">
        <f>IF(COUNT(M118:AS118)&gt;0,MEDIAN(M118:AS118),"")</f>
        <v/>
      </c>
      <c r="E118" s="193">
        <f>IF(COUNT(M118:AS118)&gt;0,AVERAGE(M118:AS118),"")</f>
        <v/>
      </c>
      <c r="F118" s="193">
        <f>IF(COUNT(M118:AS118)&gt;0,MIN(M118:AS118),"")</f>
        <v/>
      </c>
      <c r="G118" s="193">
        <f>IF(COUNT(M118:AS118)&gt;0,MAX(M118:AS118),"")</f>
        <v/>
      </c>
      <c r="H118" s="193">
        <f>IF(COUNT(M118:AS118)&gt;0,QUARTILE(M118:AS118,1),"")</f>
        <v/>
      </c>
      <c r="I118" s="193">
        <f>IF(COUNT(M118:AS118)&gt;0,QUARTILE(M118:AS118,3),"")</f>
        <v/>
      </c>
      <c r="J118" s="193">
        <f>IF(COUNT(M118:AS118)&gt;1,STDEV(M118:AS118),"")</f>
        <v/>
      </c>
      <c r="K118" s="194">
        <f>IF(COUNT(M118:AS118)&gt;1,STDEV(M118:AS118)/AVERAGE(M118:AS118),"")</f>
        <v/>
      </c>
      <c r="L118" s="195" t="n"/>
      <c r="M118" s="196" t="n">
        <v>1907901</v>
      </c>
      <c r="N118" s="196" t="n">
        <v>2780531</v>
      </c>
      <c r="O118" s="196" t="n">
        <v>1514111</v>
      </c>
      <c r="P118" s="196" t="n">
        <v>957395</v>
      </c>
      <c r="Q118" s="196" t="n">
        <v>1384236</v>
      </c>
      <c r="R118" s="196" t="n">
        <v>1048260</v>
      </c>
      <c r="S118" s="196" t="n">
        <v>477718</v>
      </c>
      <c r="T118" s="196" t="n">
        <v>186319</v>
      </c>
      <c r="U118" s="196" t="n">
        <v>274520</v>
      </c>
      <c r="V118" s="196" t="n">
        <v>210100</v>
      </c>
      <c r="W118" s="196" t="n">
        <v>155849</v>
      </c>
      <c r="X118" s="196" t="n">
        <v>456012</v>
      </c>
      <c r="Y118" s="196" t="n">
        <v>158668</v>
      </c>
      <c r="Z118" s="196" t="n">
        <v>63631</v>
      </c>
      <c r="AA118" s="196" t="n">
        <v>140112</v>
      </c>
      <c r="AB118" s="196" t="n">
        <v>74009</v>
      </c>
      <c r="AC118" s="196" t="n">
        <v>268188</v>
      </c>
      <c r="AD118" s="196" t="n">
        <v>162691</v>
      </c>
      <c r="AE118" s="196" t="n">
        <v>38954</v>
      </c>
      <c r="AF118" s="196" t="n">
        <v>98365</v>
      </c>
      <c r="AG118" s="196" t="n">
        <v>126590</v>
      </c>
      <c r="AH118" s="196" t="n">
        <v>252548</v>
      </c>
      <c r="AI118" s="196" t="n">
        <v>5720</v>
      </c>
      <c r="AJ118" s="196" t="n">
        <v>5391</v>
      </c>
      <c r="AK118" s="196" t="n">
        <v>132690</v>
      </c>
      <c r="AL118" s="196" t="n">
        <v>15245.2</v>
      </c>
      <c r="AM118" s="196" t="n">
        <v>12164.9</v>
      </c>
      <c r="AN118" s="196" t="n">
        <v>37000</v>
      </c>
      <c r="AO118" s="196" t="n">
        <v>0</v>
      </c>
      <c r="AP118" s="196" t="n">
        <v>27700</v>
      </c>
      <c r="AQ118" s="196" t="n">
        <v>0</v>
      </c>
      <c r="AR118" s="196" t="n">
        <v>0</v>
      </c>
      <c r="AS118" s="196" t="n">
        <v>0</v>
      </c>
      <c r="AT118" s="182" t="n"/>
      <c r="AU118" s="176" t="n"/>
      <c r="AV118" s="176" t="n"/>
      <c r="AW118" s="176" t="n"/>
      <c r="AX118" s="176" t="n"/>
      <c r="AY118" s="176" t="n"/>
      <c r="AZ118" s="176" t="n"/>
      <c r="BA118" s="176" t="n"/>
      <c r="BB118" s="176" t="n"/>
      <c r="BC118" s="176" t="n"/>
      <c r="BD118" s="176" t="n"/>
      <c r="BE118" s="176" t="n"/>
      <c r="BF118" s="176" t="n"/>
      <c r="BG118" s="176" t="n"/>
      <c r="BH118" s="176" t="n"/>
      <c r="BI118" s="176" t="n"/>
      <c r="BJ118" s="176" t="n"/>
      <c r="BK118" s="176" t="n"/>
      <c r="BL118" s="176" t="n"/>
      <c r="BM118" s="176" t="n"/>
      <c r="BN118" s="176" t="n"/>
      <c r="BO118" s="176" t="n"/>
      <c r="BP118" s="176" t="n"/>
      <c r="BQ118" s="176" t="n"/>
      <c r="BR118" s="176" t="n"/>
    </row>
    <row r="119" ht="15" customHeight="1" s="392">
      <c r="A119" s="176" t="n"/>
      <c r="B119" s="180" t="n"/>
      <c r="C119" s="189" t="inlineStr">
        <is>
          <t>Cash Flow Supplemental Section</t>
        </is>
      </c>
      <c r="D119" s="185" t="n"/>
      <c r="E119" s="185" t="n"/>
      <c r="F119" s="185" t="n"/>
      <c r="G119" s="185" t="n"/>
      <c r="H119" s="185" t="n"/>
      <c r="I119" s="185" t="n"/>
      <c r="J119" s="185" t="n"/>
      <c r="K119" s="185" t="n"/>
      <c r="L119" s="185" t="n"/>
      <c r="M119" s="185" t="n"/>
      <c r="N119" s="185" t="n"/>
      <c r="O119" s="185" t="n"/>
      <c r="P119" s="185" t="n"/>
      <c r="Q119" s="185" t="n"/>
      <c r="R119" s="185" t="n"/>
      <c r="S119" s="185" t="n"/>
      <c r="T119" s="185" t="n"/>
      <c r="U119" s="185" t="n"/>
      <c r="V119" s="185" t="n"/>
      <c r="W119" s="185" t="n"/>
      <c r="X119" s="185" t="n"/>
      <c r="Y119" s="185" t="n"/>
      <c r="Z119" s="185" t="n"/>
      <c r="AA119" s="185" t="n"/>
      <c r="AB119" s="185" t="n"/>
      <c r="AC119" s="185" t="n"/>
      <c r="AD119" s="185" t="n"/>
      <c r="AE119" s="185" t="n"/>
      <c r="AF119" s="185" t="n"/>
      <c r="AG119" s="185" t="n"/>
      <c r="AH119" s="185" t="n"/>
      <c r="AI119" s="185" t="n"/>
      <c r="AJ119" s="185" t="n"/>
      <c r="AK119" s="185" t="n"/>
      <c r="AL119" s="185" t="n"/>
      <c r="AM119" s="185" t="n"/>
      <c r="AN119" s="185" t="n"/>
      <c r="AO119" s="185" t="n"/>
      <c r="AP119" s="185" t="n"/>
      <c r="AQ119" s="185" t="n"/>
      <c r="AR119" s="185" t="n"/>
      <c r="AS119" s="185" t="n"/>
      <c r="AT119" s="182" t="n"/>
      <c r="AU119" s="176" t="n"/>
      <c r="AV119" s="176" t="n"/>
      <c r="AW119" s="176" t="n"/>
      <c r="AX119" s="176" t="n"/>
      <c r="AY119" s="176" t="n"/>
      <c r="AZ119" s="176" t="n"/>
      <c r="BA119" s="176" t="n"/>
      <c r="BB119" s="176" t="n"/>
      <c r="BC119" s="176" t="n"/>
      <c r="BD119" s="176" t="n"/>
      <c r="BE119" s="176" t="n"/>
      <c r="BF119" s="176" t="n"/>
      <c r="BG119" s="176" t="n"/>
      <c r="BH119" s="176" t="n"/>
      <c r="BI119" s="176" t="n"/>
      <c r="BJ119" s="176" t="n"/>
      <c r="BK119" s="176" t="n"/>
      <c r="BL119" s="176" t="n"/>
      <c r="BM119" s="176" t="n"/>
      <c r="BN119" s="176" t="n"/>
      <c r="BO119" s="176" t="n"/>
      <c r="BP119" s="176" t="n"/>
      <c r="BQ119" s="176" t="n"/>
      <c r="BR119" s="176" t="n"/>
    </row>
    <row r="120" ht="15" customHeight="1" s="392">
      <c r="A120" s="176" t="n"/>
      <c r="B120" s="180" t="n"/>
      <c r="C120" s="183" t="inlineStr">
        <is>
          <t xml:space="preserve">    Change in Cash As Reported, Supplemental</t>
        </is>
      </c>
      <c r="D120" s="190">
        <f>IF(COUNT(M120:AS120)&gt;0,MEDIAN(M120:AS120),"")</f>
        <v/>
      </c>
      <c r="E120" s="190">
        <f>IF(COUNT(M120:AS120)&gt;0,AVERAGE(M120:AS120),"")</f>
        <v/>
      </c>
      <c r="F120" s="190">
        <f>IF(COUNT(M120:AS120)&gt;0,MIN(M120:AS120),"")</f>
        <v/>
      </c>
      <c r="G120" s="190">
        <f>IF(COUNT(M120:AS120)&gt;0,MAX(M120:AS120),"")</f>
        <v/>
      </c>
      <c r="H120" s="190">
        <f>IF(COUNT(M120:AS120)&gt;0,QUARTILE(M120:AS120,1),"")</f>
        <v/>
      </c>
      <c r="I120" s="190">
        <f>IF(COUNT(M120:AS120)&gt;0,QUARTILE(M120:AS120,3),"")</f>
        <v/>
      </c>
      <c r="J120" s="190">
        <f>IF(COUNT(M120:AS120)&gt;1,STDEV(M120:AS120),"")</f>
        <v/>
      </c>
      <c r="K120" s="191">
        <f>IF(COUNT(M120:AS120)&gt;1,STDEV(M120:AS120)/AVERAGE(M120:AS120),"")</f>
        <v/>
      </c>
      <c r="M120" s="192" t="n">
        <v>-872630</v>
      </c>
      <c r="N120" s="192" t="n">
        <v>1266420</v>
      </c>
      <c r="O120" s="192" t="n">
        <v>556716</v>
      </c>
      <c r="P120" s="192" t="n">
        <v>-426841</v>
      </c>
      <c r="Q120" s="192" t="n">
        <v>335976</v>
      </c>
      <c r="R120" s="192" t="n">
        <v>570542</v>
      </c>
      <c r="S120" s="192" t="n">
        <v>291399</v>
      </c>
      <c r="T120" s="192" t="n">
        <v>-88201</v>
      </c>
      <c r="U120" s="192" t="n">
        <v>64420</v>
      </c>
      <c r="V120" s="192" t="n">
        <v>54251</v>
      </c>
      <c r="W120" s="192" t="n">
        <v>-300163</v>
      </c>
      <c r="X120" s="192" t="n">
        <v>297344</v>
      </c>
      <c r="Y120" s="192" t="n">
        <v>95037</v>
      </c>
      <c r="Z120" s="192" t="n">
        <v>-76481</v>
      </c>
      <c r="AA120" s="192" t="n">
        <v>66103</v>
      </c>
      <c r="AB120" s="192" t="n">
        <v>-194179</v>
      </c>
      <c r="AC120" s="192" t="n">
        <v>105497</v>
      </c>
      <c r="AD120" s="192" t="n">
        <v>123737</v>
      </c>
      <c r="AE120" s="192" t="n">
        <v>-68667</v>
      </c>
      <c r="AF120" s="192" t="n">
        <v>-28225</v>
      </c>
      <c r="AG120" s="192" t="n">
        <v>-125958</v>
      </c>
      <c r="AH120" s="192" t="n">
        <v>246828</v>
      </c>
      <c r="AI120" s="192" t="n">
        <v>329</v>
      </c>
      <c r="AJ120" s="192" t="n">
        <v>5391</v>
      </c>
      <c r="AK120" s="192" t="n">
        <v>117444.8</v>
      </c>
      <c r="AL120" s="192" t="n">
        <v>3080.3</v>
      </c>
      <c r="AM120" s="192" t="n">
        <v>-24882.9</v>
      </c>
      <c r="AN120" s="192" t="n">
        <v>21300</v>
      </c>
      <c r="AO120" s="192" t="n">
        <v>-12000</v>
      </c>
      <c r="AP120" s="192" t="n">
        <v>14700</v>
      </c>
      <c r="AQ120" s="192" t="n">
        <v>-800</v>
      </c>
      <c r="AR120" s="192" t="n">
        <v>-4100</v>
      </c>
      <c r="AS120" s="192" t="n">
        <v>16100</v>
      </c>
      <c r="AT120" s="182" t="n"/>
      <c r="AU120" s="176" t="n"/>
      <c r="AV120" s="176" t="n"/>
      <c r="AW120" s="176" t="n"/>
      <c r="AX120" s="176" t="n"/>
      <c r="AY120" s="176" t="n"/>
      <c r="AZ120" s="176" t="n"/>
      <c r="BA120" s="176" t="n"/>
      <c r="BB120" s="176" t="n"/>
      <c r="BC120" s="176" t="n"/>
      <c r="BD120" s="176" t="n"/>
      <c r="BE120" s="176" t="n"/>
      <c r="BF120" s="176" t="n"/>
      <c r="BG120" s="176" t="n"/>
      <c r="BH120" s="176" t="n"/>
      <c r="BI120" s="176" t="n"/>
      <c r="BJ120" s="176" t="n"/>
      <c r="BK120" s="176" t="n"/>
      <c r="BL120" s="176" t="n"/>
      <c r="BM120" s="176" t="n"/>
      <c r="BN120" s="176" t="n"/>
      <c r="BO120" s="176" t="n"/>
      <c r="BP120" s="176" t="n"/>
      <c r="BQ120" s="176" t="n"/>
      <c r="BR120" s="176" t="n"/>
    </row>
    <row r="121" ht="15" customHeight="1" s="392">
      <c r="A121" s="176" t="n"/>
      <c r="B121" s="180" t="n"/>
      <c r="C121" s="183" t="inlineStr">
        <is>
          <t xml:space="preserve">    Income Tax Paid, Supplemental</t>
        </is>
      </c>
      <c r="D121" s="190">
        <f>IF(COUNT(M121:AS121)&gt;0,MEDIAN(M121:AS121),"")</f>
        <v/>
      </c>
      <c r="E121" s="190">
        <f>IF(COUNT(M121:AS121)&gt;0,AVERAGE(M121:AS121),"")</f>
        <v/>
      </c>
      <c r="F121" s="190">
        <f>IF(COUNT(M121:AS121)&gt;0,MIN(M121:AS121),"")</f>
        <v/>
      </c>
      <c r="G121" s="190">
        <f>IF(COUNT(M121:AS121)&gt;0,MAX(M121:AS121),"")</f>
        <v/>
      </c>
      <c r="H121" s="190">
        <f>IF(COUNT(M121:AS121)&gt;0,QUARTILE(M121:AS121,1),"")</f>
        <v/>
      </c>
      <c r="I121" s="190">
        <f>IF(COUNT(M121:AS121)&gt;0,QUARTILE(M121:AS121,3),"")</f>
        <v/>
      </c>
      <c r="J121" s="190">
        <f>IF(COUNT(M121:AS121)&gt;1,STDEV(M121:AS121),"")</f>
        <v/>
      </c>
      <c r="K121" s="191">
        <f>IF(COUNT(M121:AS121)&gt;1,STDEV(M121:AS121)/AVERAGE(M121:AS121),"")</f>
        <v/>
      </c>
      <c r="M121" s="192" t="n">
        <v>-398380</v>
      </c>
      <c r="N121" s="192" t="n">
        <v>-409003</v>
      </c>
      <c r="O121" s="192" t="n">
        <v>-285891</v>
      </c>
      <c r="P121" s="192" t="n">
        <v>-257514</v>
      </c>
      <c r="Q121" s="192" t="n">
        <v>-263226</v>
      </c>
      <c r="R121" s="192" t="n">
        <v>-178241</v>
      </c>
      <c r="S121" s="192" t="n">
        <v>-83770</v>
      </c>
      <c r="T121" s="192" t="n">
        <v>-82448</v>
      </c>
      <c r="U121" s="192" t="n">
        <v>-142161</v>
      </c>
      <c r="V121" s="192" t="n">
        <v>-14011</v>
      </c>
      <c r="W121" s="192" t="n">
        <v>-127981</v>
      </c>
      <c r="X121" s="192" t="n">
        <v>-109925</v>
      </c>
      <c r="Y121" s="192" t="n">
        <v>-82813</v>
      </c>
      <c r="Z121" s="192" t="n">
        <v>-95182</v>
      </c>
      <c r="AA121" s="192" t="n">
        <v>-106581</v>
      </c>
      <c r="AB121" s="192" t="n">
        <v>-85145</v>
      </c>
      <c r="AC121" s="192" t="n">
        <v>-93989</v>
      </c>
      <c r="AD121" s="192" t="n">
        <v>-71908</v>
      </c>
      <c r="AE121" s="192" t="n"/>
      <c r="AF121" s="192" t="n"/>
      <c r="AG121" s="192" t="n"/>
      <c r="AH121" s="192" t="n"/>
      <c r="AI121" s="192" t="n"/>
      <c r="AJ121" s="192" t="n"/>
      <c r="AK121" s="192" t="n"/>
      <c r="AL121" s="192" t="n"/>
      <c r="AM121" s="192" t="n"/>
      <c r="AN121" s="192" t="n"/>
      <c r="AO121" s="192" t="n"/>
      <c r="AP121" s="192" t="n"/>
      <c r="AQ121" s="192" t="n"/>
      <c r="AR121" s="192" t="n"/>
      <c r="AS121" s="192" t="n"/>
      <c r="AT121" s="182" t="n"/>
      <c r="AU121" s="176" t="n"/>
      <c r="AV121" s="176" t="n"/>
      <c r="AW121" s="176" t="n"/>
      <c r="AX121" s="176" t="n"/>
      <c r="AY121" s="176" t="n"/>
      <c r="AZ121" s="176" t="n"/>
      <c r="BA121" s="176" t="n"/>
      <c r="BB121" s="176" t="n"/>
      <c r="BC121" s="176" t="n"/>
      <c r="BD121" s="176" t="n"/>
      <c r="BE121" s="176" t="n"/>
      <c r="BF121" s="176" t="n"/>
      <c r="BG121" s="176" t="n"/>
      <c r="BH121" s="176" t="n"/>
      <c r="BI121" s="176" t="n"/>
      <c r="BJ121" s="176" t="n"/>
      <c r="BK121" s="176" t="n"/>
      <c r="BL121" s="176" t="n"/>
      <c r="BM121" s="176" t="n"/>
      <c r="BN121" s="176" t="n"/>
      <c r="BO121" s="176" t="n"/>
      <c r="BP121" s="176" t="n"/>
      <c r="BQ121" s="176" t="n"/>
      <c r="BR121" s="176" t="n"/>
    </row>
    <row r="122" ht="15" customHeight="1" s="392">
      <c r="A122" s="176" t="n"/>
      <c r="B122" s="180" t="n"/>
      <c r="C122" s="183" t="inlineStr">
        <is>
          <t xml:space="preserve">    Interest Paid, Supplemental</t>
        </is>
      </c>
      <c r="D122" s="190">
        <f>IF(COUNT(M122:AS122)&gt;0,MEDIAN(M122:AS122),"")</f>
        <v/>
      </c>
      <c r="E122" s="190">
        <f>IF(COUNT(M122:AS122)&gt;0,AVERAGE(M122:AS122),"")</f>
        <v/>
      </c>
      <c r="F122" s="190">
        <f>IF(COUNT(M122:AS122)&gt;0,MIN(M122:AS122),"")</f>
        <v/>
      </c>
      <c r="G122" s="190">
        <f>IF(COUNT(M122:AS122)&gt;0,MAX(M122:AS122),"")</f>
        <v/>
      </c>
      <c r="H122" s="190">
        <f>IF(COUNT(M122:AS122)&gt;0,QUARTILE(M122:AS122,1),"")</f>
        <v/>
      </c>
      <c r="I122" s="190">
        <f>IF(COUNT(M122:AS122)&gt;0,QUARTILE(M122:AS122,3),"")</f>
        <v/>
      </c>
      <c r="J122" s="190">
        <f>IF(COUNT(M122:AS122)&gt;1,STDEV(M122:AS122),"")</f>
        <v/>
      </c>
      <c r="K122" s="191">
        <f>IF(COUNT(M122:AS122)&gt;1,STDEV(M122:AS122)/AVERAGE(M122:AS122),"")</f>
        <v/>
      </c>
      <c r="M122" s="192" t="n">
        <v>-1866</v>
      </c>
      <c r="N122" s="192" t="n">
        <v>-2019</v>
      </c>
      <c r="O122" s="192" t="n">
        <v>-3127</v>
      </c>
      <c r="P122" s="192" t="n">
        <v>-2614</v>
      </c>
      <c r="Q122" s="192" t="n">
        <v>-18539</v>
      </c>
      <c r="R122" s="192" t="n">
        <v>-19723</v>
      </c>
      <c r="S122" s="192" t="n">
        <v>-19728</v>
      </c>
      <c r="T122" s="192" t="n">
        <v>-19289</v>
      </c>
      <c r="U122" s="192" t="n">
        <v>-20343</v>
      </c>
      <c r="V122" s="192" t="n">
        <v>-23221</v>
      </c>
      <c r="W122" s="192" t="n">
        <v>-23606</v>
      </c>
      <c r="X122" s="192" t="n">
        <v>-18121</v>
      </c>
      <c r="Y122" s="192" t="n">
        <v>-8768</v>
      </c>
      <c r="Z122" s="192" t="n">
        <v>-10267</v>
      </c>
      <c r="AA122" s="192" t="n">
        <v>-11333</v>
      </c>
      <c r="AB122" s="192" t="n">
        <v>-3894</v>
      </c>
      <c r="AC122" s="192" t="n">
        <v>-216</v>
      </c>
      <c r="AD122" s="192" t="n">
        <v>-353</v>
      </c>
      <c r="AE122" s="192" t="n"/>
      <c r="AF122" s="192" t="n"/>
      <c r="AG122" s="192" t="n"/>
      <c r="AH122" s="192" t="n"/>
      <c r="AI122" s="192" t="n"/>
      <c r="AJ122" s="192" t="n"/>
      <c r="AK122" s="192" t="n"/>
      <c r="AL122" s="192" t="n"/>
      <c r="AM122" s="192" t="n"/>
      <c r="AN122" s="192" t="n"/>
      <c r="AO122" s="192" t="n"/>
      <c r="AP122" s="192" t="n"/>
      <c r="AQ122" s="192" t="n"/>
      <c r="AR122" s="192" t="n"/>
      <c r="AS122" s="192" t="n"/>
      <c r="AT122" s="182" t="n"/>
      <c r="AU122" s="176" t="n"/>
      <c r="AV122" s="176" t="n"/>
      <c r="AW122" s="176" t="n"/>
      <c r="AX122" s="176" t="n"/>
      <c r="AY122" s="176" t="n"/>
      <c r="AZ122" s="176" t="n"/>
      <c r="BA122" s="176" t="n"/>
      <c r="BB122" s="176" t="n"/>
      <c r="BC122" s="176" t="n"/>
      <c r="BD122" s="176" t="n"/>
      <c r="BE122" s="176" t="n"/>
      <c r="BF122" s="176" t="n"/>
      <c r="BG122" s="176" t="n"/>
      <c r="BH122" s="176" t="n"/>
      <c r="BI122" s="176" t="n"/>
      <c r="BJ122" s="176" t="n"/>
      <c r="BK122" s="176" t="n"/>
      <c r="BL122" s="176" t="n"/>
      <c r="BM122" s="176" t="n"/>
      <c r="BN122" s="176" t="n"/>
      <c r="BO122" s="176" t="n"/>
      <c r="BP122" s="176" t="n"/>
      <c r="BQ122" s="176" t="n"/>
      <c r="BR122" s="176" t="n"/>
    </row>
    <row r="123" ht="15" customHeight="1" s="392">
      <c r="A123" s="176" t="n"/>
      <c r="B123" s="180" t="n"/>
      <c r="C123" s="189" t="inlineStr">
        <is>
          <t>Cash Flow Metrics</t>
        </is>
      </c>
      <c r="D123" s="185" t="n"/>
      <c r="E123" s="185" t="n"/>
      <c r="F123" s="185" t="n"/>
      <c r="G123" s="185" t="n"/>
      <c r="H123" s="185" t="n"/>
      <c r="I123" s="185" t="n"/>
      <c r="J123" s="185" t="n"/>
      <c r="K123" s="185" t="n"/>
      <c r="L123" s="185" t="n"/>
      <c r="M123" s="185" t="n"/>
      <c r="N123" s="185" t="n"/>
      <c r="O123" s="185" t="n"/>
      <c r="P123" s="185" t="n"/>
      <c r="Q123" s="185" t="n"/>
      <c r="R123" s="185" t="n"/>
      <c r="S123" s="185" t="n"/>
      <c r="T123" s="185" t="n"/>
      <c r="U123" s="185" t="n"/>
      <c r="V123" s="185" t="n"/>
      <c r="W123" s="185" t="n"/>
      <c r="X123" s="185" t="n"/>
      <c r="Y123" s="185" t="n"/>
      <c r="Z123" s="185" t="n"/>
      <c r="AA123" s="185" t="n"/>
      <c r="AB123" s="185" t="n"/>
      <c r="AC123" s="185" t="n"/>
      <c r="AD123" s="185" t="n"/>
      <c r="AE123" s="185" t="n"/>
      <c r="AF123" s="185" t="n"/>
      <c r="AG123" s="185" t="n"/>
      <c r="AH123" s="185" t="n"/>
      <c r="AI123" s="185" t="n"/>
      <c r="AJ123" s="185" t="n"/>
      <c r="AK123" s="185" t="n"/>
      <c r="AL123" s="185" t="n"/>
      <c r="AM123" s="185" t="n"/>
      <c r="AN123" s="185" t="n"/>
      <c r="AO123" s="185" t="n"/>
      <c r="AP123" s="185" t="n"/>
      <c r="AQ123" s="185" t="n"/>
      <c r="AR123" s="185" t="n"/>
      <c r="AS123" s="185" t="n"/>
      <c r="AT123" s="182" t="n"/>
      <c r="AU123" s="176" t="n"/>
      <c r="AV123" s="176" t="n"/>
      <c r="AW123" s="176" t="n"/>
      <c r="AX123" s="176" t="n"/>
      <c r="AY123" s="176" t="n"/>
      <c r="AZ123" s="176" t="n"/>
      <c r="BA123" s="176" t="n"/>
      <c r="BB123" s="176" t="n"/>
      <c r="BC123" s="176" t="n"/>
      <c r="BD123" s="176" t="n"/>
      <c r="BE123" s="176" t="n"/>
      <c r="BF123" s="176" t="n"/>
      <c r="BG123" s="176" t="n"/>
      <c r="BH123" s="176" t="n"/>
      <c r="BI123" s="176" t="n"/>
      <c r="BJ123" s="176" t="n"/>
      <c r="BK123" s="176" t="n"/>
      <c r="BL123" s="176" t="n"/>
      <c r="BM123" s="176" t="n"/>
      <c r="BN123" s="176" t="n"/>
      <c r="BO123" s="176" t="n"/>
      <c r="BP123" s="176" t="n"/>
      <c r="BQ123" s="176" t="n"/>
      <c r="BR123" s="176" t="n"/>
    </row>
    <row r="124" ht="15" customHeight="1" s="392">
      <c r="A124" s="176" t="n"/>
      <c r="B124" s="180" t="n"/>
      <c r="C124" s="183" t="inlineStr">
        <is>
          <t xml:space="preserve">    FCF to Firm (FCFF)</t>
        </is>
      </c>
      <c r="D124" s="190">
        <f>IF(COUNT(M124:AS124)&gt;0,MEDIAN(M124:AS124),"")</f>
        <v/>
      </c>
      <c r="E124" s="190">
        <f>IF(COUNT(M124:AS124)&gt;0,AVERAGE(M124:AS124),"")</f>
        <v/>
      </c>
      <c r="F124" s="190">
        <f>IF(COUNT(M124:AS124)&gt;0,MIN(M124:AS124),"")</f>
        <v/>
      </c>
      <c r="G124" s="190">
        <f>IF(COUNT(M124:AS124)&gt;0,MAX(M124:AS124),"")</f>
        <v/>
      </c>
      <c r="H124" s="190">
        <f>IF(COUNT(M124:AS124)&gt;0,QUARTILE(M124:AS124,1),"")</f>
        <v/>
      </c>
      <c r="I124" s="190">
        <f>IF(COUNT(M124:AS124)&gt;0,QUARTILE(M124:AS124,3),"")</f>
        <v/>
      </c>
      <c r="J124" s="190">
        <f>IF(COUNT(M124:AS124)&gt;1,STDEV(M124:AS124),"")</f>
        <v/>
      </c>
      <c r="K124" s="191">
        <f>IF(COUNT(M124:AS124)&gt;1,STDEV(M124:AS124)/AVERAGE(M124:AS124),"")</f>
        <v/>
      </c>
      <c r="M124" s="192" t="n">
        <v>1474732</v>
      </c>
      <c r="N124" s="192" t="n">
        <v>1208200</v>
      </c>
      <c r="O124" s="192" t="n">
        <v>1075711</v>
      </c>
      <c r="P124" s="192" t="n">
        <v>935855</v>
      </c>
      <c r="Q124" s="192" t="n">
        <v>978289.344</v>
      </c>
      <c r="R124" s="192" t="n">
        <v>640619.245</v>
      </c>
      <c r="S124" s="192" t="n">
        <v>276247.254</v>
      </c>
      <c r="T124" s="192" t="n">
        <v>361426.815</v>
      </c>
      <c r="U124" s="192" t="n">
        <v>270497.424</v>
      </c>
      <c r="V124" s="192" t="n">
        <v>361977.984</v>
      </c>
      <c r="W124" s="192" t="n">
        <v>190828.898</v>
      </c>
      <c r="X124" s="192" t="n">
        <v>219571.102</v>
      </c>
      <c r="Y124" s="192" t="n">
        <v>194409.416</v>
      </c>
      <c r="Z124" s="192" t="n">
        <v>121698.55</v>
      </c>
      <c r="AA124" s="192" t="n">
        <v>191163.355</v>
      </c>
      <c r="AB124" s="192" t="n">
        <v>159985.218</v>
      </c>
      <c r="AC124" s="192" t="n">
        <v>127626.752049103</v>
      </c>
      <c r="AD124" s="192" t="n">
        <v>103024.897370594</v>
      </c>
      <c r="AE124" s="192" t="n">
        <v>98385</v>
      </c>
      <c r="AF124" s="192" t="n">
        <v>-25946</v>
      </c>
      <c r="AG124" s="192" t="n">
        <v>18355</v>
      </c>
      <c r="AH124" s="192" t="n">
        <v>55372</v>
      </c>
      <c r="AI124" s="192" t="n">
        <v>42147</v>
      </c>
      <c r="AJ124" s="192" t="n">
        <v>18698</v>
      </c>
      <c r="AK124" s="192" t="n">
        <v>-9698.6</v>
      </c>
      <c r="AL124" s="192" t="n">
        <v>11619.3</v>
      </c>
      <c r="AM124" s="192" t="n">
        <v>5041.5</v>
      </c>
      <c r="AN124" s="192" t="n">
        <v>10200</v>
      </c>
      <c r="AO124" s="192" t="n">
        <v>11200</v>
      </c>
      <c r="AP124" s="192" t="n">
        <v>12300</v>
      </c>
      <c r="AQ124" s="192" t="n">
        <v>9300</v>
      </c>
      <c r="AR124" s="192" t="n">
        <v>600</v>
      </c>
      <c r="AS124" s="192" t="n">
        <v>2700</v>
      </c>
      <c r="AT124" s="182" t="n"/>
      <c r="AU124" s="176" t="n"/>
      <c r="AV124" s="176" t="n"/>
      <c r="AW124" s="176" t="n"/>
      <c r="AX124" s="176" t="n"/>
      <c r="AY124" s="176" t="n"/>
      <c r="AZ124" s="176" t="n"/>
      <c r="BA124" s="176" t="n"/>
      <c r="BB124" s="176" t="n"/>
      <c r="BC124" s="176" t="n"/>
      <c r="BD124" s="176" t="n"/>
      <c r="BE124" s="176" t="n"/>
      <c r="BF124" s="176" t="n"/>
      <c r="BG124" s="176" t="n"/>
      <c r="BH124" s="176" t="n"/>
      <c r="BI124" s="176" t="n"/>
      <c r="BJ124" s="176" t="n"/>
      <c r="BK124" s="176" t="n"/>
      <c r="BL124" s="176" t="n"/>
      <c r="BM124" s="176" t="n"/>
      <c r="BN124" s="176" t="n"/>
      <c r="BO124" s="176" t="n"/>
      <c r="BP124" s="176" t="n"/>
      <c r="BQ124" s="176" t="n"/>
      <c r="BR124" s="176" t="n"/>
    </row>
    <row r="125" ht="15" customHeight="1" s="392">
      <c r="A125" s="176" t="n"/>
      <c r="B125" s="180" t="n"/>
      <c r="C125" s="183" t="inlineStr">
        <is>
          <t xml:space="preserve">    FCF to Equityholders (FCFE)</t>
        </is>
      </c>
      <c r="D125" s="190">
        <f>IF(COUNT(M125:AS125)&gt;0,MEDIAN(M125:AS125),"")</f>
        <v/>
      </c>
      <c r="E125" s="190">
        <f>IF(COUNT(M125:AS125)&gt;0,AVERAGE(M125:AS125),"")</f>
        <v/>
      </c>
      <c r="F125" s="190">
        <f>IF(COUNT(M125:AS125)&gt;0,MIN(M125:AS125),"")</f>
        <v/>
      </c>
      <c r="G125" s="190">
        <f>IF(COUNT(M125:AS125)&gt;0,MAX(M125:AS125),"")</f>
        <v/>
      </c>
      <c r="H125" s="190">
        <f>IF(COUNT(M125:AS125)&gt;0,QUARTILE(M125:AS125,1),"")</f>
        <v/>
      </c>
      <c r="I125" s="190">
        <f>IF(COUNT(M125:AS125)&gt;0,QUARTILE(M125:AS125,3),"")</f>
        <v/>
      </c>
      <c r="J125" s="190">
        <f>IF(COUNT(M125:AS125)&gt;1,STDEV(M125:AS125),"")</f>
        <v/>
      </c>
      <c r="K125" s="191">
        <f>IF(COUNT(M125:AS125)&gt;1,STDEV(M125:AS125)/AVERAGE(M125:AS125),"")</f>
        <v/>
      </c>
      <c r="M125" s="192" t="n">
        <v>1474732</v>
      </c>
      <c r="N125" s="192" t="n">
        <v>1208200</v>
      </c>
      <c r="O125" s="192" t="n">
        <v>1075711</v>
      </c>
      <c r="P125" s="192" t="n">
        <v>935855</v>
      </c>
      <c r="Q125" s="192" t="n">
        <v>964722</v>
      </c>
      <c r="R125" s="192" t="n">
        <v>623713</v>
      </c>
      <c r="S125" s="192" t="n">
        <v>259754</v>
      </c>
      <c r="T125" s="192" t="n">
        <v>346673</v>
      </c>
      <c r="U125" s="192" t="n">
        <v>255364</v>
      </c>
      <c r="V125" s="192" t="n">
        <v>340672</v>
      </c>
      <c r="W125" s="192" t="n">
        <v>174706</v>
      </c>
      <c r="X125" s="192" t="n">
        <v>207575</v>
      </c>
      <c r="Y125" s="192" t="n">
        <v>188605</v>
      </c>
      <c r="Z125" s="192" t="n">
        <v>115025</v>
      </c>
      <c r="AA125" s="192" t="n">
        <v>183735</v>
      </c>
      <c r="AB125" s="192" t="n">
        <v>157412</v>
      </c>
      <c r="AC125" s="192" t="n">
        <v>127490</v>
      </c>
      <c r="AD125" s="192" t="n">
        <v>102857</v>
      </c>
      <c r="AE125" s="192" t="n">
        <v>98385</v>
      </c>
      <c r="AF125" s="192" t="n">
        <v>-25946</v>
      </c>
      <c r="AG125" s="192" t="n">
        <v>18355</v>
      </c>
      <c r="AH125" s="192" t="n">
        <v>55372</v>
      </c>
      <c r="AI125" s="192" t="n">
        <v>42147</v>
      </c>
      <c r="AJ125" s="192" t="n">
        <v>18698</v>
      </c>
      <c r="AK125" s="192" t="n">
        <v>-9698.6</v>
      </c>
      <c r="AL125" s="192" t="n">
        <v>11619.3</v>
      </c>
      <c r="AM125" s="192" t="n">
        <v>5041.5</v>
      </c>
      <c r="AN125" s="192" t="n">
        <v>10200</v>
      </c>
      <c r="AO125" s="192" t="n">
        <v>11200</v>
      </c>
      <c r="AP125" s="192" t="n">
        <v>12300</v>
      </c>
      <c r="AQ125" s="192" t="n">
        <v>9300</v>
      </c>
      <c r="AR125" s="192" t="n">
        <v>600</v>
      </c>
      <c r="AS125" s="192" t="n">
        <v>2700</v>
      </c>
      <c r="AT125" s="182" t="n"/>
      <c r="AU125" s="176" t="n"/>
      <c r="AV125" s="176" t="n"/>
      <c r="AW125" s="176" t="n"/>
      <c r="AX125" s="176" t="n"/>
      <c r="AY125" s="176" t="n"/>
      <c r="AZ125" s="176" t="n"/>
      <c r="BA125" s="176" t="n"/>
      <c r="BB125" s="176" t="n"/>
      <c r="BC125" s="176" t="n"/>
      <c r="BD125" s="176" t="n"/>
      <c r="BE125" s="176" t="n"/>
      <c r="BF125" s="176" t="n"/>
      <c r="BG125" s="176" t="n"/>
      <c r="BH125" s="176" t="n"/>
      <c r="BI125" s="176" t="n"/>
      <c r="BJ125" s="176" t="n"/>
      <c r="BK125" s="176" t="n"/>
      <c r="BL125" s="176" t="n"/>
      <c r="BM125" s="176" t="n"/>
      <c r="BN125" s="176" t="n"/>
      <c r="BO125" s="176" t="n"/>
      <c r="BP125" s="176" t="n"/>
      <c r="BQ125" s="176" t="n"/>
      <c r="BR125" s="176" t="n"/>
    </row>
    <row r="126" ht="15" customHeight="1" s="392">
      <c r="A126" s="176" t="n"/>
      <c r="B126" s="180" t="n"/>
      <c r="C126" s="183" t="inlineStr">
        <is>
          <t xml:space="preserve">    Issuance of Capital Stock</t>
        </is>
      </c>
      <c r="D126" s="190">
        <f>IF(COUNT(M126:AS126)&gt;0,MEDIAN(M126:AS126),"")</f>
        <v/>
      </c>
      <c r="E126" s="190">
        <f>IF(COUNT(M126:AS126)&gt;0,AVERAGE(M126:AS126),"")</f>
        <v/>
      </c>
      <c r="F126" s="190">
        <f>IF(COUNT(M126:AS126)&gt;0,MIN(M126:AS126),"")</f>
        <v/>
      </c>
      <c r="G126" s="190">
        <f>IF(COUNT(M126:AS126)&gt;0,MAX(M126:AS126),"")</f>
        <v/>
      </c>
      <c r="H126" s="190">
        <f>IF(COUNT(M126:AS126)&gt;0,QUARTILE(M126:AS126,1),"")</f>
        <v/>
      </c>
      <c r="I126" s="190">
        <f>IF(COUNT(M126:AS126)&gt;0,QUARTILE(M126:AS126,3),"")</f>
        <v/>
      </c>
      <c r="J126" s="190">
        <f>IF(COUNT(M126:AS126)&gt;1,STDEV(M126:AS126),"")</f>
        <v/>
      </c>
      <c r="K126" s="191">
        <f>IF(COUNT(M126:AS126)&gt;1,STDEV(M126:AS126)/AVERAGE(M126:AS126),"")</f>
        <v/>
      </c>
      <c r="M126" s="192" t="n">
        <v>0</v>
      </c>
      <c r="N126" s="192" t="n">
        <v>0</v>
      </c>
      <c r="O126" s="192" t="n">
        <v>0</v>
      </c>
      <c r="P126" s="192" t="n">
        <v>0</v>
      </c>
      <c r="Q126" s="192" t="n">
        <v>0</v>
      </c>
      <c r="R126" s="192" t="n">
        <v>0</v>
      </c>
      <c r="S126" s="192" t="n">
        <v>0</v>
      </c>
      <c r="T126" s="192" t="n">
        <v>0</v>
      </c>
      <c r="U126" s="192" t="n">
        <v>0</v>
      </c>
      <c r="V126" s="192" t="n">
        <v>0</v>
      </c>
      <c r="W126" s="192" t="n">
        <v>0</v>
      </c>
      <c r="X126" s="192" t="n">
        <v>0</v>
      </c>
      <c r="Y126" s="192" t="n">
        <v>0</v>
      </c>
      <c r="Z126" s="192" t="n">
        <v>0</v>
      </c>
      <c r="AA126" s="192" t="n">
        <v>0</v>
      </c>
      <c r="AB126" s="192" t="n">
        <v>0</v>
      </c>
      <c r="AC126" s="192" t="n">
        <v>2044</v>
      </c>
      <c r="AD126" s="192" t="n">
        <v>1942</v>
      </c>
      <c r="AE126" s="192" t="n">
        <v>14386</v>
      </c>
      <c r="AF126" s="192" t="n">
        <v>12407</v>
      </c>
      <c r="AG126" s="192" t="n">
        <v>7061</v>
      </c>
      <c r="AH126" s="192" t="n">
        <v>3235</v>
      </c>
      <c r="AI126" s="192" t="n">
        <v>6427</v>
      </c>
      <c r="AJ126" s="192" t="n">
        <v>2270</v>
      </c>
      <c r="AK126" s="192" t="n">
        <v>128866.2</v>
      </c>
      <c r="AL126" s="192" t="n">
        <v>3687.9</v>
      </c>
      <c r="AM126" s="192" t="n">
        <v>2917</v>
      </c>
      <c r="AN126" s="192" t="n">
        <v>1400</v>
      </c>
      <c r="AO126" s="192" t="n">
        <v>2100</v>
      </c>
      <c r="AP126" s="192" t="n">
        <v>2400</v>
      </c>
      <c r="AQ126" s="192" t="n">
        <v>900</v>
      </c>
      <c r="AR126" s="192" t="n">
        <v>34300</v>
      </c>
      <c r="AS126" s="192" t="n">
        <v>32200</v>
      </c>
      <c r="AT126" s="182" t="n"/>
      <c r="AU126" s="176" t="n"/>
      <c r="AV126" s="176" t="n"/>
      <c r="AW126" s="176" t="n"/>
      <c r="AX126" s="176" t="n"/>
      <c r="AY126" s="176" t="n"/>
      <c r="AZ126" s="176" t="n"/>
      <c r="BA126" s="176" t="n"/>
      <c r="BB126" s="176" t="n"/>
      <c r="BC126" s="176" t="n"/>
      <c r="BD126" s="176" t="n"/>
      <c r="BE126" s="176" t="n"/>
      <c r="BF126" s="176" t="n"/>
      <c r="BG126" s="176" t="n"/>
      <c r="BH126" s="176" t="n"/>
      <c r="BI126" s="176" t="n"/>
      <c r="BJ126" s="176" t="n"/>
      <c r="BK126" s="176" t="n"/>
      <c r="BL126" s="176" t="n"/>
      <c r="BM126" s="176" t="n"/>
      <c r="BN126" s="176" t="n"/>
      <c r="BO126" s="176" t="n"/>
      <c r="BP126" s="176" t="n"/>
      <c r="BQ126" s="176" t="n"/>
      <c r="BR126" s="176" t="n"/>
    </row>
    <row r="127" ht="15" customHeight="1" s="392">
      <c r="A127" s="176" t="n"/>
      <c r="B127" s="180" t="n"/>
      <c r="C127" s="183" t="inlineStr">
        <is>
          <t xml:space="preserve">    Issuance of Debt</t>
        </is>
      </c>
      <c r="D127" s="190">
        <f>IF(COUNT(M127:AS127)&gt;0,MEDIAN(M127:AS127),"")</f>
        <v/>
      </c>
      <c r="E127" s="190">
        <f>IF(COUNT(M127:AS127)&gt;0,AVERAGE(M127:AS127),"")</f>
        <v/>
      </c>
      <c r="F127" s="190">
        <f>IF(COUNT(M127:AS127)&gt;0,MIN(M127:AS127),"")</f>
        <v/>
      </c>
      <c r="G127" s="190">
        <f>IF(COUNT(M127:AS127)&gt;0,MAX(M127:AS127),"")</f>
        <v/>
      </c>
      <c r="H127" s="190">
        <f>IF(COUNT(M127:AS127)&gt;0,QUARTILE(M127:AS127,1),"")</f>
        <v/>
      </c>
      <c r="I127" s="190">
        <f>IF(COUNT(M127:AS127)&gt;0,QUARTILE(M127:AS127,3),"")</f>
        <v/>
      </c>
      <c r="J127" s="190">
        <f>IF(COUNT(M127:AS127)&gt;1,STDEV(M127:AS127),"")</f>
        <v/>
      </c>
      <c r="K127" s="191">
        <f>IF(COUNT(M127:AS127)&gt;1,STDEV(M127:AS127)/AVERAGE(M127:AS127),"")</f>
        <v/>
      </c>
      <c r="M127" s="192" t="n">
        <v>0</v>
      </c>
      <c r="N127" s="192" t="n">
        <v>0</v>
      </c>
      <c r="O127" s="192" t="n">
        <v>0</v>
      </c>
      <c r="P127" s="192" t="n">
        <v>44494</v>
      </c>
      <c r="Q127" s="192" t="n">
        <v>0</v>
      </c>
      <c r="R127" s="192" t="n">
        <v>0</v>
      </c>
      <c r="S127" s="192" t="n">
        <v>0</v>
      </c>
      <c r="T127" s="192" t="n">
        <v>0</v>
      </c>
      <c r="U127" s="192" t="n">
        <v>0</v>
      </c>
      <c r="V127" s="192" t="n">
        <v>0</v>
      </c>
      <c r="W127" s="192" t="n">
        <v>331468</v>
      </c>
      <c r="X127" s="192" t="n">
        <v>698939</v>
      </c>
      <c r="Y127" s="192" t="n">
        <v>0</v>
      </c>
      <c r="Z127" s="192" t="n">
        <v>16291</v>
      </c>
      <c r="AA127" s="192" t="n">
        <v>125000</v>
      </c>
      <c r="AB127" s="192" t="n">
        <v>400000</v>
      </c>
      <c r="AC127" s="192" t="n">
        <v>0</v>
      </c>
      <c r="AD127" s="192" t="n">
        <v>0</v>
      </c>
      <c r="AE127" s="192" t="n">
        <v>8246</v>
      </c>
      <c r="AF127" s="192" t="n">
        <v>0</v>
      </c>
      <c r="AG127" s="192" t="n">
        <v>0</v>
      </c>
      <c r="AH127" s="192" t="n">
        <v>0</v>
      </c>
      <c r="AI127" s="192" t="n">
        <v>0</v>
      </c>
      <c r="AJ127" s="192" t="n">
        <v>0</v>
      </c>
      <c r="AK127" s="192" t="n">
        <v>0</v>
      </c>
      <c r="AL127" s="192" t="n">
        <v>0</v>
      </c>
      <c r="AM127" s="192" t="n">
        <v>734.4</v>
      </c>
      <c r="AN127" s="192" t="n">
        <v>0</v>
      </c>
      <c r="AO127" s="192" t="n">
        <v>0</v>
      </c>
      <c r="AP127" s="192" t="n">
        <v>0</v>
      </c>
      <c r="AQ127" s="192" t="n">
        <v>0</v>
      </c>
      <c r="AR127" s="192" t="n">
        <v>0</v>
      </c>
      <c r="AS127" s="192" t="n">
        <v>0</v>
      </c>
      <c r="AT127" s="182" t="n"/>
      <c r="AU127" s="176" t="n"/>
      <c r="AV127" s="176" t="n"/>
      <c r="AW127" s="176" t="n"/>
      <c r="AX127" s="176" t="n"/>
      <c r="AY127" s="176" t="n"/>
      <c r="AZ127" s="176" t="n"/>
      <c r="BA127" s="176" t="n"/>
      <c r="BB127" s="176" t="n"/>
      <c r="BC127" s="176" t="n"/>
      <c r="BD127" s="176" t="n"/>
      <c r="BE127" s="176" t="n"/>
      <c r="BF127" s="176" t="n"/>
      <c r="BG127" s="176" t="n"/>
      <c r="BH127" s="176" t="n"/>
      <c r="BI127" s="176" t="n"/>
      <c r="BJ127" s="176" t="n"/>
      <c r="BK127" s="176" t="n"/>
      <c r="BL127" s="176" t="n"/>
      <c r="BM127" s="176" t="n"/>
      <c r="BN127" s="176" t="n"/>
      <c r="BO127" s="176" t="n"/>
      <c r="BP127" s="176" t="n"/>
      <c r="BQ127" s="176" t="n"/>
      <c r="BR127" s="176" t="n"/>
    </row>
    <row r="128" ht="15" customHeight="1" s="392">
      <c r="A128" s="176" t="n"/>
      <c r="B128" s="180" t="n"/>
      <c r="C128" s="183" t="inlineStr">
        <is>
          <t xml:space="preserve">    Repayment of Debt</t>
        </is>
      </c>
      <c r="D128" s="190">
        <f>IF(COUNT(M128:AS128)&gt;0,MEDIAN(M128:AS128),"")</f>
        <v/>
      </c>
      <c r="E128" s="190">
        <f>IF(COUNT(M128:AS128)&gt;0,AVERAGE(M128:AS128),"")</f>
        <v/>
      </c>
      <c r="F128" s="190">
        <f>IF(COUNT(M128:AS128)&gt;0,MIN(M128:AS128),"")</f>
        <v/>
      </c>
      <c r="G128" s="190">
        <f>IF(COUNT(M128:AS128)&gt;0,MAX(M128:AS128),"")</f>
        <v/>
      </c>
      <c r="H128" s="190">
        <f>IF(COUNT(M128:AS128)&gt;0,QUARTILE(M128:AS128,1),"")</f>
        <v/>
      </c>
      <c r="I128" s="190">
        <f>IF(COUNT(M128:AS128)&gt;0,QUARTILE(M128:AS128,3),"")</f>
        <v/>
      </c>
      <c r="J128" s="190">
        <f>IF(COUNT(M128:AS128)&gt;1,STDEV(M128:AS128),"")</f>
        <v/>
      </c>
      <c r="K128" s="191">
        <f>IF(COUNT(M128:AS128)&gt;1,STDEV(M128:AS128)/AVERAGE(M128:AS128),"")</f>
        <v/>
      </c>
      <c r="M128" s="192" t="n">
        <v>-60</v>
      </c>
      <c r="N128" s="192" t="n">
        <v>-49</v>
      </c>
      <c r="O128" s="192" t="n">
        <v>-10835</v>
      </c>
      <c r="P128" s="192" t="n">
        <v>-33947</v>
      </c>
      <c r="Q128" s="192" t="n">
        <v>-417289</v>
      </c>
      <c r="R128" s="192" t="n">
        <v>-1118</v>
      </c>
      <c r="S128" s="192" t="n">
        <v>-1065</v>
      </c>
      <c r="T128" s="192" t="n">
        <v>0</v>
      </c>
      <c r="U128" s="192" t="n">
        <v>-231000</v>
      </c>
      <c r="V128" s="192" t="n">
        <v>-7000</v>
      </c>
      <c r="W128" s="192" t="n">
        <v>-337500</v>
      </c>
      <c r="X128" s="192" t="n">
        <v>-350000</v>
      </c>
      <c r="Y128" s="192" t="n">
        <v>-91291</v>
      </c>
      <c r="Z128" s="192" t="n">
        <v>-96660</v>
      </c>
      <c r="AA128" s="192" t="n">
        <v>-56250</v>
      </c>
      <c r="AB128" s="192" t="n">
        <v>-25000</v>
      </c>
      <c r="AC128" s="192" t="n">
        <v>0</v>
      </c>
      <c r="AD128" s="192" t="n">
        <v>-17502</v>
      </c>
      <c r="AE128" s="192" t="n">
        <v>0</v>
      </c>
      <c r="AF128" s="192" t="n">
        <v>-2033</v>
      </c>
      <c r="AG128" s="192" t="n">
        <v>0</v>
      </c>
      <c r="AH128" s="192" t="n">
        <v>0</v>
      </c>
      <c r="AI128" s="192" t="n">
        <v>0</v>
      </c>
      <c r="AJ128" s="192" t="n">
        <v>0</v>
      </c>
      <c r="AK128" s="192" t="n">
        <v>-302.9</v>
      </c>
      <c r="AL128" s="192" t="n">
        <v>-7842.4</v>
      </c>
      <c r="AM128" s="192" t="n">
        <v>0</v>
      </c>
      <c r="AN128" s="192" t="n">
        <v>-600</v>
      </c>
      <c r="AO128" s="192" t="n">
        <v>-1300</v>
      </c>
      <c r="AP128" s="192" t="n">
        <v>-1500</v>
      </c>
      <c r="AQ128" s="192" t="n">
        <v>-600</v>
      </c>
      <c r="AR128" s="192" t="n">
        <v>-400</v>
      </c>
      <c r="AS128" s="192" t="n">
        <v>-7700</v>
      </c>
      <c r="AT128" s="182" t="n"/>
      <c r="AU128" s="176" t="n"/>
      <c r="AV128" s="176" t="n"/>
      <c r="AW128" s="176" t="n"/>
      <c r="AX128" s="176" t="n"/>
      <c r="AY128" s="176" t="n"/>
      <c r="AZ128" s="176" t="n"/>
      <c r="BA128" s="176" t="n"/>
      <c r="BB128" s="176" t="n"/>
      <c r="BC128" s="176" t="n"/>
      <c r="BD128" s="176" t="n"/>
      <c r="BE128" s="176" t="n"/>
      <c r="BF128" s="176" t="n"/>
      <c r="BG128" s="176" t="n"/>
      <c r="BH128" s="176" t="n"/>
      <c r="BI128" s="176" t="n"/>
      <c r="BJ128" s="176" t="n"/>
      <c r="BK128" s="176" t="n"/>
      <c r="BL128" s="176" t="n"/>
      <c r="BM128" s="176" t="n"/>
      <c r="BN128" s="176" t="n"/>
      <c r="BO128" s="176" t="n"/>
      <c r="BP128" s="176" t="n"/>
      <c r="BQ128" s="176" t="n"/>
      <c r="BR128" s="176" t="n"/>
    </row>
    <row r="129" ht="15" customHeight="1" s="392">
      <c r="A129" s="176" t="n"/>
      <c r="B129" s="180" t="n"/>
      <c r="C129" s="183" t="inlineStr">
        <is>
          <t xml:space="preserve">    Repurchase of Capital Stock</t>
        </is>
      </c>
      <c r="D129" s="190">
        <f>IF(COUNT(M129:AS129)&gt;0,MEDIAN(M129:AS129),"")</f>
        <v/>
      </c>
      <c r="E129" s="190">
        <f>IF(COUNT(M129:AS129)&gt;0,AVERAGE(M129:AS129),"")</f>
        <v/>
      </c>
      <c r="F129" s="190">
        <f>IF(COUNT(M129:AS129)&gt;0,MIN(M129:AS129),"")</f>
        <v/>
      </c>
      <c r="G129" s="190">
        <f>IF(COUNT(M129:AS129)&gt;0,MAX(M129:AS129),"")</f>
        <v/>
      </c>
      <c r="H129" s="190">
        <f>IF(COUNT(M129:AS129)&gt;0,QUARTILE(M129:AS129,1),"")</f>
        <v/>
      </c>
      <c r="I129" s="190">
        <f>IF(COUNT(M129:AS129)&gt;0,QUARTILE(M129:AS129,3),"")</f>
        <v/>
      </c>
      <c r="J129" s="190">
        <f>IF(COUNT(M129:AS129)&gt;1,STDEV(M129:AS129),"")</f>
        <v/>
      </c>
      <c r="K129" s="191">
        <f>IF(COUNT(M129:AS129)&gt;1,STDEV(M129:AS129)/AVERAGE(M129:AS129),"")</f>
        <v/>
      </c>
      <c r="M129" s="192" t="n">
        <v>-1632538</v>
      </c>
      <c r="N129" s="192" t="n">
        <v>0</v>
      </c>
      <c r="O129" s="192" t="n">
        <v>0</v>
      </c>
      <c r="P129" s="192" t="n">
        <v>0</v>
      </c>
      <c r="Q129" s="192" t="n">
        <v>0</v>
      </c>
      <c r="R129" s="192" t="n">
        <v>0</v>
      </c>
      <c r="S129" s="192" t="n">
        <v>0</v>
      </c>
      <c r="T129" s="192" t="n">
        <v>-364997</v>
      </c>
      <c r="U129" s="192" t="n">
        <v>0</v>
      </c>
      <c r="V129" s="192" t="n">
        <v>0</v>
      </c>
      <c r="W129" s="192" t="n">
        <v>-442855</v>
      </c>
      <c r="X129" s="192" t="n">
        <v>-233484</v>
      </c>
      <c r="Y129" s="192" t="n">
        <v>-572</v>
      </c>
      <c r="Z129" s="192" t="n">
        <v>-15009</v>
      </c>
      <c r="AA129" s="192" t="n">
        <v>-203285</v>
      </c>
      <c r="AB129" s="192" t="n">
        <v>-739638</v>
      </c>
      <c r="AC129" s="192" t="n">
        <v>-12706</v>
      </c>
      <c r="AD129" s="192" t="n">
        <v>-9769</v>
      </c>
      <c r="AE129" s="192" t="n">
        <v>-269251</v>
      </c>
      <c r="AF129" s="192" t="n">
        <v>-89579</v>
      </c>
      <c r="AG129" s="192" t="n">
        <v>-8873</v>
      </c>
      <c r="AH129" s="192" t="n">
        <v>0</v>
      </c>
      <c r="AI129" s="192" t="n">
        <v>-10723</v>
      </c>
      <c r="AJ129" s="192" t="n">
        <v>-20447</v>
      </c>
      <c r="AK129" s="192" t="n">
        <v>0</v>
      </c>
      <c r="AL129" s="192" t="n">
        <v>0</v>
      </c>
      <c r="AM129" s="192" t="n">
        <v>0</v>
      </c>
      <c r="AN129" s="192" t="n">
        <v>0</v>
      </c>
      <c r="AO129" s="192" t="n">
        <v>0</v>
      </c>
      <c r="AP129" s="192" t="n">
        <v>0</v>
      </c>
      <c r="AQ129" s="192" t="n">
        <v>0</v>
      </c>
      <c r="AR129" s="192" t="n">
        <v>0</v>
      </c>
      <c r="AS129" s="192" t="n">
        <v>0</v>
      </c>
      <c r="AT129" s="182" t="n"/>
      <c r="AU129" s="176" t="n"/>
      <c r="AV129" s="176" t="n"/>
      <c r="AW129" s="176" t="n"/>
      <c r="AX129" s="176" t="n"/>
      <c r="AY129" s="176" t="n"/>
      <c r="AZ129" s="176" t="n"/>
      <c r="BA129" s="176" t="n"/>
      <c r="BB129" s="176" t="n"/>
      <c r="BC129" s="176" t="n"/>
      <c r="BD129" s="176" t="n"/>
      <c r="BE129" s="176" t="n"/>
      <c r="BF129" s="176" t="n"/>
      <c r="BG129" s="176" t="n"/>
      <c r="BH129" s="176" t="n"/>
      <c r="BI129" s="176" t="n"/>
      <c r="BJ129" s="176" t="n"/>
      <c r="BK129" s="176" t="n"/>
      <c r="BL129" s="176" t="n"/>
      <c r="BM129" s="176" t="n"/>
      <c r="BN129" s="176" t="n"/>
      <c r="BO129" s="176" t="n"/>
      <c r="BP129" s="176" t="n"/>
      <c r="BQ129" s="176" t="n"/>
      <c r="BR129" s="176" t="n"/>
    </row>
    <row r="130" ht="15" customHeight="1" s="392">
      <c r="A130" s="176" t="n"/>
      <c r="B130" s="180" t="n"/>
      <c r="C130" s="183" t="inlineStr">
        <is>
          <t xml:space="preserve">    FCF to CFO Ratio</t>
        </is>
      </c>
      <c r="D130" s="201">
        <f>IF(COUNT(M130:AS130)&gt;0,MEDIAN(M130:AS130),"")</f>
        <v/>
      </c>
      <c r="E130" s="201">
        <f>IF(COUNT(M130:AS130)&gt;0,AVERAGE(M130:AS130),"")</f>
        <v/>
      </c>
      <c r="F130" s="201">
        <f>IF(COUNT(M130:AS130)&gt;0,MIN(M130:AS130),"")</f>
        <v/>
      </c>
      <c r="G130" s="201">
        <f>IF(COUNT(M130:AS130)&gt;0,MAX(M130:AS130),"")</f>
        <v/>
      </c>
      <c r="H130" s="201">
        <f>IF(COUNT(M130:AS130)&gt;0,QUARTILE(M130:AS130,1),"")</f>
        <v/>
      </c>
      <c r="I130" s="201">
        <f>IF(COUNT(M130:AS130)&gt;0,QUARTILE(M130:AS130,3),"")</f>
        <v/>
      </c>
      <c r="J130" s="201">
        <f>IF(COUNT(M130:AS130)&gt;1,STDEV(M130:AS130),"")</f>
        <v/>
      </c>
      <c r="K130" s="191">
        <f>IF(COUNT(M130:AS130)&gt;1,STDEV(M130:AS130)/AVERAGE(M130:AS130),"")</f>
        <v/>
      </c>
      <c r="M130" s="202" t="n">
        <v>0.81382708963934</v>
      </c>
      <c r="N130" s="202" t="n">
        <v>0.67983727119779</v>
      </c>
      <c r="O130" s="202" t="n">
        <v>0.677954447624348</v>
      </c>
      <c r="P130" s="202" t="n">
        <v>0.644310360614971</v>
      </c>
      <c r="Q130" s="202" t="n">
        <v>0.740857184545797</v>
      </c>
      <c r="R130" s="202" t="n">
        <v>0.573946659133218</v>
      </c>
      <c r="S130" s="202" t="n">
        <v>0.30497366523976</v>
      </c>
      <c r="T130" s="202" t="n">
        <v>0.48111874718967</v>
      </c>
      <c r="U130" s="202" t="n">
        <v>0.470046422247337</v>
      </c>
      <c r="V130" s="202" t="n">
        <v>0.66427220434825</v>
      </c>
      <c r="W130" s="202" t="n">
        <v>0.5011315948746931</v>
      </c>
      <c r="X130" s="202" t="n">
        <v>0.723943946876482</v>
      </c>
      <c r="Y130" s="202" t="n">
        <v>0.698239638672417</v>
      </c>
      <c r="Z130" s="202" t="n">
        <v>0.468934730319214</v>
      </c>
      <c r="AA130" s="202" t="n">
        <v>0.770161002988678</v>
      </c>
      <c r="AB130" s="202" t="n">
        <v>0.691671573323022</v>
      </c>
      <c r="AC130" s="202" t="n">
        <v>0.62701027885703</v>
      </c>
      <c r="AD130" s="202" t="n">
        <v>0.565866566906348</v>
      </c>
      <c r="AE130" s="202" t="n">
        <v>0.464630293413428</v>
      </c>
      <c r="AF130" s="202" t="n">
        <v>-0.151806453500278</v>
      </c>
      <c r="AG130" s="202" t="n">
        <v>0.134921568339189</v>
      </c>
      <c r="AH130" s="202" t="n">
        <v>0.44081424693304</v>
      </c>
      <c r="AI130" s="202" t="n">
        <v>0.390937760875615</v>
      </c>
      <c r="AJ130" s="202" t="n">
        <v>0.209105447388139</v>
      </c>
      <c r="AK130" s="202" t="n">
        <v>-0.127214107326492</v>
      </c>
      <c r="AL130" s="202" t="n">
        <v>0.201893254239232</v>
      </c>
      <c r="AM130" s="202" t="n">
        <v>0.119853365950376</v>
      </c>
      <c r="AN130" s="202" t="n">
        <v>0.330097087378641</v>
      </c>
      <c r="AO130" s="202" t="n">
        <v>0.478632478632479</v>
      </c>
      <c r="AP130" s="202" t="n">
        <v>0.611940298507463</v>
      </c>
      <c r="AQ130" s="202" t="n">
        <v>0.5195530726256981</v>
      </c>
      <c r="AR130" s="202" t="n">
        <v>0.0571428571428571</v>
      </c>
      <c r="AS130" s="202" t="n">
        <v>0.529411764705882</v>
      </c>
      <c r="AT130" s="182" t="n"/>
      <c r="AU130" s="176" t="n"/>
      <c r="AV130" s="176" t="n"/>
      <c r="AW130" s="176" t="n"/>
      <c r="AX130" s="176" t="n"/>
      <c r="AY130" s="176" t="n"/>
      <c r="AZ130" s="176" t="n"/>
      <c r="BA130" s="176" t="n"/>
      <c r="BB130" s="176" t="n"/>
      <c r="BC130" s="176" t="n"/>
      <c r="BD130" s="176" t="n"/>
      <c r="BE130" s="176" t="n"/>
      <c r="BF130" s="176" t="n"/>
      <c r="BG130" s="176" t="n"/>
      <c r="BH130" s="176" t="n"/>
      <c r="BI130" s="176" t="n"/>
      <c r="BJ130" s="176" t="n"/>
      <c r="BK130" s="176" t="n"/>
      <c r="BL130" s="176" t="n"/>
      <c r="BM130" s="176" t="n"/>
      <c r="BN130" s="176" t="n"/>
      <c r="BO130" s="176" t="n"/>
      <c r="BP130" s="176" t="n"/>
      <c r="BQ130" s="176" t="n"/>
      <c r="BR130" s="176" t="n"/>
    </row>
    <row r="131" ht="15" customHeight="1" s="392">
      <c r="A131" s="176" t="n"/>
      <c r="B131" s="180" t="n"/>
      <c r="C131" s="189" t="inlineStr">
        <is>
          <t>Per Share Calculations</t>
        </is>
      </c>
      <c r="D131" s="185" t="n"/>
      <c r="E131" s="185" t="n"/>
      <c r="F131" s="185" t="n"/>
      <c r="G131" s="185" t="n"/>
      <c r="H131" s="185" t="n"/>
      <c r="I131" s="185" t="n"/>
      <c r="J131" s="185" t="n"/>
      <c r="K131" s="185" t="n"/>
      <c r="L131" s="185" t="n"/>
      <c r="M131" s="185" t="n"/>
      <c r="N131" s="185" t="n"/>
      <c r="O131" s="185" t="n"/>
      <c r="P131" s="185" t="n"/>
      <c r="Q131" s="185" t="n"/>
      <c r="R131" s="185" t="n"/>
      <c r="S131" s="185" t="n"/>
      <c r="T131" s="185" t="n"/>
      <c r="U131" s="185" t="n"/>
      <c r="V131" s="185" t="n"/>
      <c r="W131" s="185" t="n"/>
      <c r="X131" s="185" t="n"/>
      <c r="Y131" s="185" t="n"/>
      <c r="Z131" s="185" t="n"/>
      <c r="AA131" s="185" t="n"/>
      <c r="AB131" s="185" t="n"/>
      <c r="AC131" s="185" t="n"/>
      <c r="AD131" s="185" t="n"/>
      <c r="AE131" s="185" t="n"/>
      <c r="AF131" s="185" t="n"/>
      <c r="AG131" s="185" t="n"/>
      <c r="AH131" s="185" t="n"/>
      <c r="AI131" s="185" t="n"/>
      <c r="AJ131" s="185" t="n"/>
      <c r="AK131" s="185" t="n"/>
      <c r="AL131" s="185" t="n"/>
      <c r="AM131" s="185" t="n"/>
      <c r="AN131" s="185" t="n"/>
      <c r="AO131" s="185" t="n"/>
      <c r="AP131" s="185" t="n"/>
      <c r="AQ131" s="185" t="n"/>
      <c r="AR131" s="185" t="n"/>
      <c r="AS131" s="185" t="n"/>
      <c r="AT131" s="182" t="n"/>
      <c r="AU131" s="176" t="n"/>
      <c r="AV131" s="176" t="n"/>
      <c r="AW131" s="176" t="n"/>
      <c r="AX131" s="176" t="n"/>
      <c r="AY131" s="176" t="n"/>
      <c r="AZ131" s="176" t="n"/>
      <c r="BA131" s="176" t="n"/>
      <c r="BB131" s="176" t="n"/>
      <c r="BC131" s="176" t="n"/>
      <c r="BD131" s="176" t="n"/>
      <c r="BE131" s="176" t="n"/>
      <c r="BF131" s="176" t="n"/>
      <c r="BG131" s="176" t="n"/>
      <c r="BH131" s="176" t="n"/>
      <c r="BI131" s="176" t="n"/>
      <c r="BJ131" s="176" t="n"/>
      <c r="BK131" s="176" t="n"/>
      <c r="BL131" s="176" t="n"/>
      <c r="BM131" s="176" t="n"/>
      <c r="BN131" s="176" t="n"/>
      <c r="BO131" s="176" t="n"/>
      <c r="BP131" s="176" t="n"/>
      <c r="BQ131" s="176" t="n"/>
      <c r="BR131" s="176" t="n"/>
    </row>
    <row r="132" ht="15" customHeight="1" s="392">
      <c r="A132" s="176" t="n"/>
      <c r="B132" s="180" t="n"/>
      <c r="C132" s="183" t="inlineStr">
        <is>
          <t xml:space="preserve">    Free Cash Flow per Share</t>
        </is>
      </c>
      <c r="D132" s="191">
        <f>IF(COUNT(M132:AS132)&gt;0,MEDIAN(M132:AS132),"")</f>
        <v/>
      </c>
      <c r="E132" s="191">
        <f>IF(COUNT(M132:AS132)&gt;0,AVERAGE(M132:AS132),"")</f>
        <v/>
      </c>
      <c r="F132" s="191">
        <f>IF(COUNT(M132:AS132)&gt;0,MIN(M132:AS132),"")</f>
        <v/>
      </c>
      <c r="G132" s="191">
        <f>IF(COUNT(M132:AS132)&gt;0,MAX(M132:AS132),"")</f>
        <v/>
      </c>
      <c r="H132" s="191">
        <f>IF(COUNT(M132:AS132)&gt;0,QUARTILE(M132:AS132,1),"")</f>
        <v/>
      </c>
      <c r="I132" s="191">
        <f>IF(COUNT(M132:AS132)&gt;0,QUARTILE(M132:AS132,3),"")</f>
        <v/>
      </c>
      <c r="J132" s="191">
        <f>IF(COUNT(M132:AS132)&gt;1,STDEV(M132:AS132),"")</f>
        <v/>
      </c>
      <c r="K132" s="191">
        <f>IF(COUNT(M132:AS132)&gt;1,STDEV(M132:AS132)/AVERAGE(M132:AS132),"")</f>
        <v/>
      </c>
      <c r="M132" s="197" t="n">
        <v>1.54122024120561</v>
      </c>
      <c r="N132" s="197" t="n">
        <v>1.23593057429547</v>
      </c>
      <c r="O132" s="197" t="n">
        <v>1.10352196044719</v>
      </c>
      <c r="P132" s="197" t="n">
        <v>0.968145558823438</v>
      </c>
      <c r="Q132" s="197" t="n">
        <v>1.00012232999241</v>
      </c>
      <c r="R132" s="197" t="n">
        <v>0.6489169337051059</v>
      </c>
      <c r="S132" s="197" t="n">
        <v>0.272100848082596</v>
      </c>
      <c r="T132" s="197" t="n">
        <v>0.360437382773349</v>
      </c>
      <c r="U132" s="197" t="n">
        <v>0.263939936413963</v>
      </c>
      <c r="V132" s="197" t="n">
        <v>0.359329842755222</v>
      </c>
      <c r="W132" s="197" t="n">
        <v>0.178785894103441</v>
      </c>
      <c r="X132" s="197" t="n">
        <v>0.197426488771205</v>
      </c>
      <c r="Y132" s="197" t="n">
        <v>0.179651184942467</v>
      </c>
      <c r="Z132" s="197" t="n">
        <v>0.110787596027153</v>
      </c>
      <c r="AA132" s="197" t="n">
        <v>0.174748721733573</v>
      </c>
      <c r="AB132" s="197" t="n">
        <v>0.128309379727685</v>
      </c>
      <c r="AC132" s="197" t="n">
        <v>0.09371287943829611</v>
      </c>
      <c r="AD132" s="197" t="n">
        <v>0.07569248204403629</v>
      </c>
      <c r="AE132" s="197" t="n">
        <v>0.0684308853969596</v>
      </c>
      <c r="AF132" s="197" t="n">
        <v>-0.0173519340859237</v>
      </c>
      <c r="AG132" s="197" t="n">
        <v>0.0123453053537799</v>
      </c>
      <c r="AH132" s="197" t="n">
        <v>0.0372187688204422</v>
      </c>
      <c r="AI132" s="197" t="n">
        <v>0.0287772977047533</v>
      </c>
      <c r="AJ132" s="197" t="n">
        <v>0.012563428583715</v>
      </c>
      <c r="AK132" s="197" t="n">
        <v>-0.00664280391447765</v>
      </c>
      <c r="AL132" s="197" t="n">
        <v>0.00572169157968384</v>
      </c>
      <c r="AM132" s="197" t="n">
        <v>0.00378303939005966</v>
      </c>
      <c r="AN132" s="197" t="n">
        <v>0.00398124971897061</v>
      </c>
      <c r="AO132" s="197" t="n">
        <v>0.008674295089605469</v>
      </c>
      <c r="AP132" s="197" t="n">
        <v>0.0101236567635904</v>
      </c>
      <c r="AQ132" s="197" t="n">
        <v>0.0078227148463715</v>
      </c>
      <c r="AR132" s="197" t="n">
        <v>0.000697893420806116</v>
      </c>
      <c r="AS132" s="197" t="n">
        <v>0.00323029072807977</v>
      </c>
      <c r="AT132" s="182" t="n"/>
      <c r="AU132" s="176" t="n"/>
      <c r="AV132" s="176" t="n"/>
      <c r="AW132" s="176" t="n"/>
      <c r="AX132" s="176" t="n"/>
      <c r="AY132" s="176" t="n"/>
      <c r="AZ132" s="176" t="n"/>
      <c r="BA132" s="176" t="n"/>
      <c r="BB132" s="176" t="n"/>
      <c r="BC132" s="176" t="n"/>
      <c r="BD132" s="176" t="n"/>
      <c r="BE132" s="176" t="n"/>
      <c r="BF132" s="176" t="n"/>
      <c r="BG132" s="176" t="n"/>
      <c r="BH132" s="176" t="n"/>
      <c r="BI132" s="176" t="n"/>
      <c r="BJ132" s="176" t="n"/>
      <c r="BK132" s="176" t="n"/>
      <c r="BL132" s="176" t="n"/>
      <c r="BM132" s="176" t="n"/>
      <c r="BN132" s="176" t="n"/>
      <c r="BO132" s="176" t="n"/>
      <c r="BP132" s="176" t="n"/>
      <c r="BQ132" s="176" t="n"/>
      <c r="BR132" s="176" t="n"/>
    </row>
    <row r="133" ht="15" customHeight="1" s="392">
      <c r="A133" s="176" t="n"/>
      <c r="B133" s="180" t="n"/>
      <c r="C133" s="183" t="inlineStr">
        <is>
          <t xml:space="preserve">    Operating Cash Flow per Share</t>
        </is>
      </c>
      <c r="D133" s="191">
        <f>IF(COUNT(M133:AS133)&gt;0,MEDIAN(M133:AS133),"")</f>
        <v/>
      </c>
      <c r="E133" s="191">
        <f>IF(COUNT(M133:AS133)&gt;0,AVERAGE(M133:AS133),"")</f>
        <v/>
      </c>
      <c r="F133" s="191">
        <f>IF(COUNT(M133:AS133)&gt;0,MIN(M133:AS133),"")</f>
        <v/>
      </c>
      <c r="G133" s="191">
        <f>IF(COUNT(M133:AS133)&gt;0,MAX(M133:AS133),"")</f>
        <v/>
      </c>
      <c r="H133" s="191">
        <f>IF(COUNT(M133:AS133)&gt;0,QUARTILE(M133:AS133,1),"")</f>
        <v/>
      </c>
      <c r="I133" s="191">
        <f>IF(COUNT(M133:AS133)&gt;0,QUARTILE(M133:AS133,3),"")</f>
        <v/>
      </c>
      <c r="J133" s="191">
        <f>IF(COUNT(M133:AS133)&gt;1,STDEV(M133:AS133),"")</f>
        <v/>
      </c>
      <c r="K133" s="191">
        <f>IF(COUNT(M133:AS133)&gt;1,STDEV(M133:AS133)/AVERAGE(M133:AS133),"")</f>
        <v/>
      </c>
      <c r="M133" s="197" t="n">
        <v>1.89379324039044</v>
      </c>
      <c r="N133" s="197" t="n">
        <v>1.81798001765615</v>
      </c>
      <c r="O133" s="197" t="n">
        <v>1.62772287181549</v>
      </c>
      <c r="P133" s="197" t="n">
        <v>1.50260746684157</v>
      </c>
      <c r="Q133" s="197" t="n">
        <v>1.34995293405377</v>
      </c>
      <c r="R133" s="197" t="n">
        <v>1.130622372966</v>
      </c>
      <c r="S133" s="197" t="n">
        <v>0.892210964735854</v>
      </c>
      <c r="T133" s="197" t="n">
        <v>0.749165117507372</v>
      </c>
      <c r="U133" s="197" t="n">
        <v>0.561518871161789</v>
      </c>
      <c r="V133" s="197" t="n">
        <v>0.540937646349027</v>
      </c>
      <c r="W133" s="197" t="n">
        <v>0.356764362758141</v>
      </c>
      <c r="X133" s="197" t="n">
        <v>0.272709633975142</v>
      </c>
      <c r="Y133" s="197" t="n">
        <v>0.257291587289492</v>
      </c>
      <c r="Z133" s="197" t="n">
        <v>0.236253765959578</v>
      </c>
      <c r="AA133" s="197" t="n">
        <v>0.226898948473689</v>
      </c>
      <c r="AB133" s="197" t="n">
        <v>0.185506220981794</v>
      </c>
      <c r="AC133" s="197" t="n">
        <v>0.149459877450692</v>
      </c>
      <c r="AD133" s="197" t="n">
        <v>0.133763834922878</v>
      </c>
      <c r="AE133" s="197" t="n">
        <v>0.147280292238866</v>
      </c>
      <c r="AF133" s="197" t="n">
        <v>0.114303006794714</v>
      </c>
      <c r="AG133" s="197" t="n">
        <v>0.0914998654829163</v>
      </c>
      <c r="AH133" s="197" t="n">
        <v>0.0844318646218704</v>
      </c>
      <c r="AI133" s="197" t="n">
        <v>0.0736109442083529</v>
      </c>
      <c r="AJ133" s="197" t="n">
        <v>0.0600817852458664</v>
      </c>
      <c r="AK133" s="197" t="n">
        <v>0.0522175099450965</v>
      </c>
      <c r="AL133" s="197" t="n">
        <v>0.0283401820493911</v>
      </c>
      <c r="AM133" s="197" t="n">
        <v>0.0315638977684282</v>
      </c>
      <c r="AN133" s="197" t="n">
        <v>0.0120608447368816</v>
      </c>
      <c r="AO133" s="197" t="n">
        <v>0.0181230808122114</v>
      </c>
      <c r="AP133" s="197" t="n">
        <v>0.0165435366624526</v>
      </c>
      <c r="AQ133" s="197" t="n">
        <v>0.0150566231989301</v>
      </c>
      <c r="AR133" s="197" t="n">
        <v>0.012213134864107</v>
      </c>
      <c r="AS133" s="197" t="n">
        <v>0.00610166026415068</v>
      </c>
      <c r="AT133" s="182" t="n"/>
      <c r="AU133" s="176" t="n"/>
      <c r="AV133" s="176" t="n"/>
      <c r="AW133" s="176" t="n"/>
      <c r="AX133" s="176" t="n"/>
      <c r="AY133" s="176" t="n"/>
      <c r="AZ133" s="176" t="n"/>
      <c r="BA133" s="176" t="n"/>
      <c r="BB133" s="176" t="n"/>
      <c r="BC133" s="176" t="n"/>
      <c r="BD133" s="176" t="n"/>
      <c r="BE133" s="176" t="n"/>
      <c r="BF133" s="176" t="n"/>
      <c r="BG133" s="176" t="n"/>
      <c r="BH133" s="176" t="n"/>
      <c r="BI133" s="176" t="n"/>
      <c r="BJ133" s="176" t="n"/>
      <c r="BK133" s="176" t="n"/>
      <c r="BL133" s="176" t="n"/>
      <c r="BM133" s="176" t="n"/>
      <c r="BN133" s="176" t="n"/>
      <c r="BO133" s="176" t="n"/>
      <c r="BP133" s="176" t="n"/>
      <c r="BQ133" s="176" t="n"/>
      <c r="BR133" s="176" t="n"/>
    </row>
    <row r="134" ht="15" customHeight="1" s="392">
      <c r="A134" s="176" t="n"/>
      <c r="B134" s="180" t="n"/>
      <c r="C134" s="189" t="inlineStr">
        <is>
          <t>Data Origination</t>
        </is>
      </c>
      <c r="D134" s="185" t="n"/>
      <c r="E134" s="185" t="n"/>
      <c r="F134" s="185" t="n"/>
      <c r="G134" s="185" t="n"/>
      <c r="H134" s="185" t="n"/>
      <c r="I134" s="185" t="n"/>
      <c r="J134" s="185" t="n"/>
      <c r="K134" s="185" t="n"/>
      <c r="L134" s="185" t="n"/>
      <c r="M134" s="185" t="n"/>
      <c r="N134" s="185" t="n"/>
      <c r="O134" s="185" t="n"/>
      <c r="P134" s="185" t="n"/>
      <c r="Q134" s="185" t="n"/>
      <c r="R134" s="185" t="n"/>
      <c r="S134" s="185" t="n"/>
      <c r="T134" s="185" t="n"/>
      <c r="U134" s="185" t="n"/>
      <c r="V134" s="185" t="n"/>
      <c r="W134" s="185" t="n"/>
      <c r="X134" s="185" t="n"/>
      <c r="Y134" s="185" t="n"/>
      <c r="Z134" s="185" t="n"/>
      <c r="AA134" s="185" t="n"/>
      <c r="AB134" s="185" t="n"/>
      <c r="AC134" s="185" t="n"/>
      <c r="AD134" s="185" t="n"/>
      <c r="AE134" s="185" t="n"/>
      <c r="AF134" s="185" t="n"/>
      <c r="AG134" s="185" t="n"/>
      <c r="AH134" s="185" t="n"/>
      <c r="AI134" s="185" t="n"/>
      <c r="AJ134" s="185" t="n"/>
      <c r="AK134" s="185" t="n"/>
      <c r="AL134" s="185" t="n"/>
      <c r="AM134" s="185" t="n"/>
      <c r="AN134" s="185" t="n"/>
      <c r="AO134" s="185" t="n"/>
      <c r="AP134" s="185" t="n"/>
      <c r="AQ134" s="185" t="n"/>
      <c r="AR134" s="185" t="n"/>
      <c r="AS134" s="185" t="n"/>
      <c r="AT134" s="182" t="n"/>
      <c r="AU134" s="176" t="n"/>
      <c r="AV134" s="176" t="n"/>
      <c r="AW134" s="176" t="n"/>
      <c r="AX134" s="176" t="n"/>
      <c r="AY134" s="176" t="n"/>
      <c r="AZ134" s="176" t="n"/>
      <c r="BA134" s="176" t="n"/>
      <c r="BB134" s="176" t="n"/>
      <c r="BC134" s="176" t="n"/>
      <c r="BD134" s="176" t="n"/>
      <c r="BE134" s="176" t="n"/>
      <c r="BF134" s="176" t="n"/>
      <c r="BG134" s="176" t="n"/>
      <c r="BH134" s="176" t="n"/>
      <c r="BI134" s="176" t="n"/>
      <c r="BJ134" s="176" t="n"/>
      <c r="BK134" s="176" t="n"/>
      <c r="BL134" s="176" t="n"/>
      <c r="BM134" s="176" t="n"/>
      <c r="BN134" s="176" t="n"/>
      <c r="BO134" s="176" t="n"/>
      <c r="BP134" s="176" t="n"/>
      <c r="BQ134" s="176" t="n"/>
      <c r="BR134" s="176" t="n"/>
    </row>
    <row r="135" ht="15" customHeight="1" s="392">
      <c r="A135" s="176" t="n"/>
      <c r="B135" s="180" t="n"/>
      <c r="C135" s="183" t="inlineStr">
        <is>
          <t xml:space="preserve">    Preliminary</t>
        </is>
      </c>
      <c r="D135" s="201">
        <f>IF(COUNT(M135:AS135)&gt;0,MEDIAN(M135:AS135),"")</f>
        <v/>
      </c>
      <c r="E135" s="201">
        <f>IF(COUNT(M135:AS135)&gt;0,AVERAGE(M135:AS135),"")</f>
        <v/>
      </c>
      <c r="F135" s="201">
        <f>IF(COUNT(M135:AS135)&gt;0,MIN(M135:AS135),"")</f>
        <v/>
      </c>
      <c r="G135" s="201">
        <f>IF(COUNT(M135:AS135)&gt;0,MAX(M135:AS135),"")</f>
        <v/>
      </c>
      <c r="H135" s="201">
        <f>IF(COUNT(M135:AS135)&gt;0,QUARTILE(M135:AS135,1),"")</f>
        <v/>
      </c>
      <c r="I135" s="201">
        <f>IF(COUNT(M135:AS135)&gt;0,QUARTILE(M135:AS135,3),"")</f>
        <v/>
      </c>
      <c r="J135" s="201">
        <f>IF(COUNT(M135:AS135)&gt;1,STDEV(M135:AS135),"")</f>
        <v/>
      </c>
      <c r="K135" s="191">
        <f>IF(COUNT(M135:AS135)&gt;1,STDEV(M135:AS135)/AVERAGE(M135:AS135),"")</f>
        <v/>
      </c>
      <c r="M135" s="202" t="inlineStr">
        <is>
          <t>Yes</t>
        </is>
      </c>
      <c r="N135" s="202" t="inlineStr">
        <is>
          <t>No</t>
        </is>
      </c>
      <c r="O135" s="202" t="inlineStr">
        <is>
          <t>No</t>
        </is>
      </c>
      <c r="P135" s="202" t="inlineStr">
        <is>
          <t>No</t>
        </is>
      </c>
      <c r="Q135" s="202" t="inlineStr">
        <is>
          <t>No</t>
        </is>
      </c>
      <c r="R135" s="202" t="inlineStr">
        <is>
          <t>No</t>
        </is>
      </c>
      <c r="S135" s="202" t="inlineStr">
        <is>
          <t>No</t>
        </is>
      </c>
      <c r="T135" s="202" t="inlineStr">
        <is>
          <t>No</t>
        </is>
      </c>
      <c r="U135" s="202" t="inlineStr">
        <is>
          <t>No</t>
        </is>
      </c>
      <c r="V135" s="202" t="inlineStr">
        <is>
          <t>No</t>
        </is>
      </c>
      <c r="W135" s="202" t="inlineStr">
        <is>
          <t>No</t>
        </is>
      </c>
      <c r="X135" s="202" t="inlineStr">
        <is>
          <t>No</t>
        </is>
      </c>
      <c r="Y135" s="202" t="inlineStr">
        <is>
          <t>No</t>
        </is>
      </c>
      <c r="Z135" s="202" t="inlineStr">
        <is>
          <t>No</t>
        </is>
      </c>
      <c r="AA135" s="202" t="inlineStr">
        <is>
          <t>No</t>
        </is>
      </c>
      <c r="AB135" s="202" t="inlineStr">
        <is>
          <t>No</t>
        </is>
      </c>
      <c r="AC135" s="202" t="inlineStr">
        <is>
          <t>No</t>
        </is>
      </c>
      <c r="AD135" s="202" t="inlineStr">
        <is>
          <t>No</t>
        </is>
      </c>
      <c r="AE135" s="202" t="inlineStr">
        <is>
          <t>No</t>
        </is>
      </c>
      <c r="AF135" s="202" t="inlineStr">
        <is>
          <t>No</t>
        </is>
      </c>
      <c r="AG135" s="202" t="inlineStr">
        <is>
          <t>No</t>
        </is>
      </c>
      <c r="AH135" s="202" t="inlineStr">
        <is>
          <t>No</t>
        </is>
      </c>
      <c r="AI135" s="202" t="inlineStr">
        <is>
          <t>No</t>
        </is>
      </c>
      <c r="AJ135" s="202" t="inlineStr">
        <is>
          <t>No</t>
        </is>
      </c>
      <c r="AK135" s="202" t="inlineStr">
        <is>
          <t>No</t>
        </is>
      </c>
      <c r="AL135" s="202" t="inlineStr">
        <is>
          <t>No</t>
        </is>
      </c>
      <c r="AM135" s="202" t="inlineStr">
        <is>
          <t>No</t>
        </is>
      </c>
      <c r="AN135" s="202" t="inlineStr">
        <is>
          <t>No</t>
        </is>
      </c>
      <c r="AO135" s="202" t="inlineStr">
        <is>
          <t>No</t>
        </is>
      </c>
      <c r="AP135" s="202" t="inlineStr">
        <is>
          <t>No</t>
        </is>
      </c>
      <c r="AQ135" s="202" t="inlineStr">
        <is>
          <t>No</t>
        </is>
      </c>
      <c r="AR135" s="202" t="inlineStr">
        <is>
          <t>No</t>
        </is>
      </c>
      <c r="AS135" s="202" t="inlineStr">
        <is>
          <t>No</t>
        </is>
      </c>
      <c r="AT135" s="182" t="n"/>
      <c r="AU135" s="176" t="n"/>
      <c r="AV135" s="176" t="n"/>
      <c r="AW135" s="176" t="n"/>
      <c r="AX135" s="176" t="n"/>
      <c r="AY135" s="176" t="n"/>
      <c r="AZ135" s="176" t="n"/>
      <c r="BA135" s="176" t="n"/>
      <c r="BB135" s="176" t="n"/>
      <c r="BC135" s="176" t="n"/>
      <c r="BD135" s="176" t="n"/>
      <c r="BE135" s="176" t="n"/>
      <c r="BF135" s="176" t="n"/>
      <c r="BG135" s="176" t="n"/>
      <c r="BH135" s="176" t="n"/>
      <c r="BI135" s="176" t="n"/>
      <c r="BJ135" s="176" t="n"/>
      <c r="BK135" s="176" t="n"/>
      <c r="BL135" s="176" t="n"/>
      <c r="BM135" s="176" t="n"/>
      <c r="BN135" s="176" t="n"/>
      <c r="BO135" s="176" t="n"/>
      <c r="BP135" s="176" t="n"/>
      <c r="BQ135" s="176" t="n"/>
      <c r="BR135" s="176" t="n"/>
    </row>
    <row r="136" ht="15" customHeight="1" s="392">
      <c r="A136" s="176" t="n"/>
      <c r="B136" s="180" t="n"/>
      <c r="C136" s="183" t="inlineStr">
        <is>
          <t xml:space="preserve">    Original</t>
        </is>
      </c>
      <c r="D136" s="201">
        <f>IF(COUNT(M136:AS136)&gt;0,MEDIAN(M136:AS136),"")</f>
        <v/>
      </c>
      <c r="E136" s="201">
        <f>IF(COUNT(M136:AS136)&gt;0,AVERAGE(M136:AS136),"")</f>
        <v/>
      </c>
      <c r="F136" s="201">
        <f>IF(COUNT(M136:AS136)&gt;0,MIN(M136:AS136),"")</f>
        <v/>
      </c>
      <c r="G136" s="201">
        <f>IF(COUNT(M136:AS136)&gt;0,MAX(M136:AS136),"")</f>
        <v/>
      </c>
      <c r="H136" s="201">
        <f>IF(COUNT(M136:AS136)&gt;0,QUARTILE(M136:AS136,1),"")</f>
        <v/>
      </c>
      <c r="I136" s="201">
        <f>IF(COUNT(M136:AS136)&gt;0,QUARTILE(M136:AS136,3),"")</f>
        <v/>
      </c>
      <c r="J136" s="201">
        <f>IF(COUNT(M136:AS136)&gt;1,STDEV(M136:AS136),"")</f>
        <v/>
      </c>
      <c r="K136" s="191">
        <f>IF(COUNT(M136:AS136)&gt;1,STDEV(M136:AS136)/AVERAGE(M136:AS136),"")</f>
        <v/>
      </c>
      <c r="M136" s="202" t="inlineStr">
        <is>
          <t>No</t>
        </is>
      </c>
      <c r="N136" s="202" t="inlineStr">
        <is>
          <t>No</t>
        </is>
      </c>
      <c r="O136" s="202" t="inlineStr">
        <is>
          <t>No</t>
        </is>
      </c>
      <c r="P136" s="202" t="inlineStr">
        <is>
          <t>No</t>
        </is>
      </c>
      <c r="Q136" s="202" t="inlineStr">
        <is>
          <t>No</t>
        </is>
      </c>
      <c r="R136" s="202" t="inlineStr">
        <is>
          <t>No</t>
        </is>
      </c>
      <c r="S136" s="202" t="inlineStr">
        <is>
          <t>No</t>
        </is>
      </c>
      <c r="T136" s="202" t="inlineStr">
        <is>
          <t>No</t>
        </is>
      </c>
      <c r="U136" s="202" t="inlineStr">
        <is>
          <t>No</t>
        </is>
      </c>
      <c r="V136" s="202" t="inlineStr">
        <is>
          <t>No</t>
        </is>
      </c>
      <c r="W136" s="202" t="inlineStr">
        <is>
          <t>No</t>
        </is>
      </c>
      <c r="X136" s="202" t="inlineStr">
        <is>
          <t>No</t>
        </is>
      </c>
      <c r="Y136" s="202" t="inlineStr">
        <is>
          <t>No</t>
        </is>
      </c>
      <c r="Z136" s="202" t="inlineStr">
        <is>
          <t>No</t>
        </is>
      </c>
      <c r="AA136" s="202" t="inlineStr">
        <is>
          <t>No</t>
        </is>
      </c>
      <c r="AB136" s="202" t="inlineStr">
        <is>
          <t>No</t>
        </is>
      </c>
      <c r="AC136" s="202" t="inlineStr">
        <is>
          <t>No</t>
        </is>
      </c>
      <c r="AD136" s="202" t="inlineStr">
        <is>
          <t>No</t>
        </is>
      </c>
      <c r="AE136" s="202" t="inlineStr">
        <is>
          <t>No</t>
        </is>
      </c>
      <c r="AF136" s="202" t="inlineStr">
        <is>
          <t>No</t>
        </is>
      </c>
      <c r="AG136" s="202" t="inlineStr">
        <is>
          <t>No</t>
        </is>
      </c>
      <c r="AH136" s="202" t="inlineStr">
        <is>
          <t>No</t>
        </is>
      </c>
      <c r="AI136" s="202" t="inlineStr">
        <is>
          <t>No</t>
        </is>
      </c>
      <c r="AJ136" s="202" t="inlineStr">
        <is>
          <t>No</t>
        </is>
      </c>
      <c r="AK136" s="202" t="inlineStr">
        <is>
          <t>No</t>
        </is>
      </c>
      <c r="AL136" s="202" t="inlineStr">
        <is>
          <t>No</t>
        </is>
      </c>
      <c r="AM136" s="202" t="inlineStr">
        <is>
          <t>No</t>
        </is>
      </c>
      <c r="AN136" s="202" t="inlineStr">
        <is>
          <t>No</t>
        </is>
      </c>
      <c r="AO136" s="202" t="inlineStr">
        <is>
          <t>No</t>
        </is>
      </c>
      <c r="AP136" s="202" t="inlineStr">
        <is>
          <t>No</t>
        </is>
      </c>
      <c r="AQ136" s="202" t="inlineStr">
        <is>
          <t>No</t>
        </is>
      </c>
      <c r="AR136" s="202" t="inlineStr">
        <is>
          <t>No</t>
        </is>
      </c>
      <c r="AS136" s="202" t="inlineStr">
        <is>
          <t>No</t>
        </is>
      </c>
      <c r="AT136" s="182" t="n"/>
      <c r="AU136" s="176" t="n"/>
      <c r="AV136" s="176" t="n"/>
      <c r="AW136" s="176" t="n"/>
      <c r="AX136" s="176" t="n"/>
      <c r="AY136" s="176" t="n"/>
      <c r="AZ136" s="176" t="n"/>
      <c r="BA136" s="176" t="n"/>
      <c r="BB136" s="176" t="n"/>
      <c r="BC136" s="176" t="n"/>
      <c r="BD136" s="176" t="n"/>
      <c r="BE136" s="176" t="n"/>
      <c r="BF136" s="176" t="n"/>
      <c r="BG136" s="176" t="n"/>
      <c r="BH136" s="176" t="n"/>
      <c r="BI136" s="176" t="n"/>
      <c r="BJ136" s="176" t="n"/>
      <c r="BK136" s="176" t="n"/>
      <c r="BL136" s="176" t="n"/>
      <c r="BM136" s="176" t="n"/>
      <c r="BN136" s="176" t="n"/>
      <c r="BO136" s="176" t="n"/>
      <c r="BP136" s="176" t="n"/>
      <c r="BQ136" s="176" t="n"/>
      <c r="BR136" s="176" t="n"/>
    </row>
    <row r="137" ht="15" customHeight="1" s="392">
      <c r="A137" s="176" t="n"/>
      <c r="B137" s="180" t="n"/>
      <c r="C137" s="183" t="inlineStr">
        <is>
          <t xml:space="preserve">    Restated</t>
        </is>
      </c>
      <c r="D137" s="201">
        <f>IF(COUNT(M137:AS137)&gt;0,MEDIAN(M137:AS137),"")</f>
        <v/>
      </c>
      <c r="E137" s="201">
        <f>IF(COUNT(M137:AS137)&gt;0,AVERAGE(M137:AS137),"")</f>
        <v/>
      </c>
      <c r="F137" s="201">
        <f>IF(COUNT(M137:AS137)&gt;0,MIN(M137:AS137),"")</f>
        <v/>
      </c>
      <c r="G137" s="201">
        <f>IF(COUNT(M137:AS137)&gt;0,MAX(M137:AS137),"")</f>
        <v/>
      </c>
      <c r="H137" s="201">
        <f>IF(COUNT(M137:AS137)&gt;0,QUARTILE(M137:AS137,1),"")</f>
        <v/>
      </c>
      <c r="I137" s="201">
        <f>IF(COUNT(M137:AS137)&gt;0,QUARTILE(M137:AS137,3),"")</f>
        <v/>
      </c>
      <c r="J137" s="201">
        <f>IF(COUNT(M137:AS137)&gt;1,STDEV(M137:AS137),"")</f>
        <v/>
      </c>
      <c r="K137" s="191">
        <f>IF(COUNT(M137:AS137)&gt;1,STDEV(M137:AS137)/AVERAGE(M137:AS137),"")</f>
        <v/>
      </c>
      <c r="M137" s="202" t="inlineStr">
        <is>
          <t>Yes</t>
        </is>
      </c>
      <c r="N137" s="202" t="inlineStr">
        <is>
          <t>Yes</t>
        </is>
      </c>
      <c r="O137" s="202" t="inlineStr">
        <is>
          <t>Yes</t>
        </is>
      </c>
      <c r="P137" s="202" t="inlineStr">
        <is>
          <t>Yes</t>
        </is>
      </c>
      <c r="Q137" s="202" t="inlineStr">
        <is>
          <t>Yes</t>
        </is>
      </c>
      <c r="R137" s="202" t="inlineStr">
        <is>
          <t>Yes</t>
        </is>
      </c>
      <c r="S137" s="202" t="inlineStr">
        <is>
          <t>Yes</t>
        </is>
      </c>
      <c r="T137" s="202" t="inlineStr">
        <is>
          <t>Yes</t>
        </is>
      </c>
      <c r="U137" s="202" t="inlineStr">
        <is>
          <t>Yes</t>
        </is>
      </c>
      <c r="V137" s="202" t="inlineStr">
        <is>
          <t>Yes</t>
        </is>
      </c>
      <c r="W137" s="202" t="inlineStr">
        <is>
          <t>Yes</t>
        </is>
      </c>
      <c r="X137" s="202" t="inlineStr">
        <is>
          <t>Yes</t>
        </is>
      </c>
      <c r="Y137" s="202" t="inlineStr">
        <is>
          <t>Yes</t>
        </is>
      </c>
      <c r="Z137" s="202" t="inlineStr">
        <is>
          <t>Yes</t>
        </is>
      </c>
      <c r="AA137" s="202" t="inlineStr">
        <is>
          <t>Yes</t>
        </is>
      </c>
      <c r="AB137" s="202" t="inlineStr">
        <is>
          <t>Yes</t>
        </is>
      </c>
      <c r="AC137" s="202" t="inlineStr">
        <is>
          <t>Yes</t>
        </is>
      </c>
      <c r="AD137" s="202" t="inlineStr">
        <is>
          <t>Yes</t>
        </is>
      </c>
      <c r="AE137" s="202" t="inlineStr">
        <is>
          <t>Yes</t>
        </is>
      </c>
      <c r="AF137" s="202" t="inlineStr">
        <is>
          <t>Yes</t>
        </is>
      </c>
      <c r="AG137" s="202" t="inlineStr">
        <is>
          <t>Yes</t>
        </is>
      </c>
      <c r="AH137" s="202" t="inlineStr">
        <is>
          <t>Yes</t>
        </is>
      </c>
      <c r="AI137" s="202" t="inlineStr">
        <is>
          <t>Yes</t>
        </is>
      </c>
      <c r="AJ137" s="202" t="inlineStr">
        <is>
          <t>Yes</t>
        </is>
      </c>
      <c r="AK137" s="202" t="inlineStr">
        <is>
          <t>Yes</t>
        </is>
      </c>
      <c r="AL137" s="202" t="inlineStr">
        <is>
          <t>Yes</t>
        </is>
      </c>
      <c r="AM137" s="202" t="inlineStr">
        <is>
          <t>Yes</t>
        </is>
      </c>
      <c r="AN137" s="202" t="inlineStr">
        <is>
          <t>Yes</t>
        </is>
      </c>
      <c r="AO137" s="202" t="inlineStr">
        <is>
          <t>Yes</t>
        </is>
      </c>
      <c r="AP137" s="202" t="inlineStr">
        <is>
          <t>Yes</t>
        </is>
      </c>
      <c r="AQ137" s="202" t="inlineStr">
        <is>
          <t>Yes</t>
        </is>
      </c>
      <c r="AR137" s="202" t="inlineStr">
        <is>
          <t>Yes</t>
        </is>
      </c>
      <c r="AS137" s="202" t="inlineStr">
        <is>
          <t>Yes</t>
        </is>
      </c>
      <c r="AT137" s="182" t="n"/>
      <c r="AU137" s="176" t="n"/>
      <c r="AV137" s="176" t="n"/>
      <c r="AW137" s="176" t="n"/>
      <c r="AX137" s="176" t="n"/>
      <c r="AY137" s="176" t="n"/>
      <c r="AZ137" s="176" t="n"/>
      <c r="BA137" s="176" t="n"/>
      <c r="BB137" s="176" t="n"/>
      <c r="BC137" s="176" t="n"/>
      <c r="BD137" s="176" t="n"/>
      <c r="BE137" s="176" t="n"/>
      <c r="BF137" s="176" t="n"/>
      <c r="BG137" s="176" t="n"/>
      <c r="BH137" s="176" t="n"/>
      <c r="BI137" s="176" t="n"/>
      <c r="BJ137" s="176" t="n"/>
      <c r="BK137" s="176" t="n"/>
      <c r="BL137" s="176" t="n"/>
      <c r="BM137" s="176" t="n"/>
      <c r="BN137" s="176" t="n"/>
      <c r="BO137" s="176" t="n"/>
      <c r="BP137" s="176" t="n"/>
      <c r="BQ137" s="176" t="n"/>
      <c r="BR137" s="176" t="n"/>
    </row>
    <row r="138" ht="15" customHeight="1" s="392">
      <c r="A138" s="176" t="n"/>
      <c r="B138" s="180" t="n"/>
      <c r="C138" s="183" t="inlineStr">
        <is>
          <t xml:space="preserve">    Calculated</t>
        </is>
      </c>
      <c r="D138" s="201">
        <f>IF(COUNT(M138:AS138)&gt;0,MEDIAN(M138:AS138),"")</f>
        <v/>
      </c>
      <c r="E138" s="201">
        <f>IF(COUNT(M138:AS138)&gt;0,AVERAGE(M138:AS138),"")</f>
        <v/>
      </c>
      <c r="F138" s="201">
        <f>IF(COUNT(M138:AS138)&gt;0,MIN(M138:AS138),"")</f>
        <v/>
      </c>
      <c r="G138" s="201">
        <f>IF(COUNT(M138:AS138)&gt;0,MAX(M138:AS138),"")</f>
        <v/>
      </c>
      <c r="H138" s="201">
        <f>IF(COUNT(M138:AS138)&gt;0,QUARTILE(M138:AS138,1),"")</f>
        <v/>
      </c>
      <c r="I138" s="201">
        <f>IF(COUNT(M138:AS138)&gt;0,QUARTILE(M138:AS138,3),"")</f>
        <v/>
      </c>
      <c r="J138" s="201">
        <f>IF(COUNT(M138:AS138)&gt;1,STDEV(M138:AS138),"")</f>
        <v/>
      </c>
      <c r="K138" s="191">
        <f>IF(COUNT(M138:AS138)&gt;1,STDEV(M138:AS138)/AVERAGE(M138:AS138),"")</f>
        <v/>
      </c>
      <c r="M138" s="202" t="inlineStr">
        <is>
          <t>No</t>
        </is>
      </c>
      <c r="N138" s="202" t="inlineStr">
        <is>
          <t>No</t>
        </is>
      </c>
      <c r="O138" s="202" t="inlineStr">
        <is>
          <t>No</t>
        </is>
      </c>
      <c r="P138" s="202" t="inlineStr">
        <is>
          <t>No</t>
        </is>
      </c>
      <c r="Q138" s="202" t="inlineStr">
        <is>
          <t>No</t>
        </is>
      </c>
      <c r="R138" s="202" t="inlineStr">
        <is>
          <t>No</t>
        </is>
      </c>
      <c r="S138" s="202" t="inlineStr">
        <is>
          <t>No</t>
        </is>
      </c>
      <c r="T138" s="202" t="inlineStr">
        <is>
          <t>No</t>
        </is>
      </c>
      <c r="U138" s="202" t="inlineStr">
        <is>
          <t>No</t>
        </is>
      </c>
      <c r="V138" s="202" t="inlineStr">
        <is>
          <t>No</t>
        </is>
      </c>
      <c r="W138" s="202" t="inlineStr">
        <is>
          <t>No</t>
        </is>
      </c>
      <c r="X138" s="202" t="inlineStr">
        <is>
          <t>No</t>
        </is>
      </c>
      <c r="Y138" s="202" t="inlineStr">
        <is>
          <t>No</t>
        </is>
      </c>
      <c r="Z138" s="202" t="inlineStr">
        <is>
          <t>No</t>
        </is>
      </c>
      <c r="AA138" s="202" t="inlineStr">
        <is>
          <t>No</t>
        </is>
      </c>
      <c r="AB138" s="202" t="inlineStr">
        <is>
          <t>No</t>
        </is>
      </c>
      <c r="AC138" s="202" t="inlineStr">
        <is>
          <t>No</t>
        </is>
      </c>
      <c r="AD138" s="202" t="inlineStr">
        <is>
          <t>No</t>
        </is>
      </c>
      <c r="AE138" s="202" t="inlineStr">
        <is>
          <t>No</t>
        </is>
      </c>
      <c r="AF138" s="202" t="inlineStr">
        <is>
          <t>No</t>
        </is>
      </c>
      <c r="AG138" s="202" t="inlineStr">
        <is>
          <t>No</t>
        </is>
      </c>
      <c r="AH138" s="202" t="inlineStr">
        <is>
          <t>No</t>
        </is>
      </c>
      <c r="AI138" s="202" t="inlineStr">
        <is>
          <t>No</t>
        </is>
      </c>
      <c r="AJ138" s="202" t="inlineStr">
        <is>
          <t>No</t>
        </is>
      </c>
      <c r="AK138" s="202" t="inlineStr">
        <is>
          <t>No</t>
        </is>
      </c>
      <c r="AL138" s="202" t="inlineStr">
        <is>
          <t>No</t>
        </is>
      </c>
      <c r="AM138" s="202" t="inlineStr">
        <is>
          <t>No</t>
        </is>
      </c>
      <c r="AN138" s="202" t="inlineStr">
        <is>
          <t>No</t>
        </is>
      </c>
      <c r="AO138" s="202" t="inlineStr">
        <is>
          <t>No</t>
        </is>
      </c>
      <c r="AP138" s="202" t="inlineStr">
        <is>
          <t>No</t>
        </is>
      </c>
      <c r="AQ138" s="202" t="inlineStr">
        <is>
          <t>No</t>
        </is>
      </c>
      <c r="AR138" s="202" t="inlineStr">
        <is>
          <t>No</t>
        </is>
      </c>
      <c r="AS138" s="202" t="inlineStr">
        <is>
          <t>No</t>
        </is>
      </c>
      <c r="AT138" s="182" t="n"/>
      <c r="AU138" s="176" t="n"/>
      <c r="AV138" s="176" t="n"/>
      <c r="AW138" s="176" t="n"/>
      <c r="AX138" s="176" t="n"/>
      <c r="AY138" s="176" t="n"/>
      <c r="AZ138" s="176" t="n"/>
      <c r="BA138" s="176" t="n"/>
      <c r="BB138" s="176" t="n"/>
      <c r="BC138" s="176" t="n"/>
      <c r="BD138" s="176" t="n"/>
      <c r="BE138" s="176" t="n"/>
      <c r="BF138" s="176" t="n"/>
      <c r="BG138" s="176" t="n"/>
      <c r="BH138" s="176" t="n"/>
      <c r="BI138" s="176" t="n"/>
      <c r="BJ138" s="176" t="n"/>
      <c r="BK138" s="176" t="n"/>
      <c r="BL138" s="176" t="n"/>
      <c r="BM138" s="176" t="n"/>
      <c r="BN138" s="176" t="n"/>
      <c r="BO138" s="176" t="n"/>
      <c r="BP138" s="176" t="n"/>
      <c r="BQ138" s="176" t="n"/>
      <c r="BR138" s="176" t="n"/>
    </row>
    <row r="139" ht="15" customHeight="1" s="392">
      <c r="A139" s="176" t="n"/>
      <c r="B139" s="180" t="n"/>
      <c r="AT139" s="182" t="n"/>
      <c r="AU139" s="176" t="n"/>
      <c r="AV139" s="176" t="n"/>
      <c r="AW139" s="176" t="n"/>
      <c r="AX139" s="176" t="n"/>
      <c r="AY139" s="176" t="n"/>
      <c r="AZ139" s="176" t="n"/>
      <c r="BA139" s="176" t="n"/>
      <c r="BB139" s="176" t="n"/>
      <c r="BC139" s="176" t="n"/>
      <c r="BD139" s="176" t="n"/>
      <c r="BE139" s="176" t="n"/>
      <c r="BF139" s="176" t="n"/>
      <c r="BG139" s="176" t="n"/>
      <c r="BH139" s="176" t="n"/>
      <c r="BI139" s="176" t="n"/>
      <c r="BJ139" s="176" t="n"/>
      <c r="BK139" s="176" t="n"/>
      <c r="BL139" s="176" t="n"/>
      <c r="BM139" s="176" t="n"/>
      <c r="BN139" s="176" t="n"/>
      <c r="BO139" s="176" t="n"/>
      <c r="BP139" s="176" t="n"/>
      <c r="BQ139" s="176" t="n"/>
      <c r="BR139" s="176" t="n"/>
    </row>
    <row r="140" ht="15" customHeight="1" s="392">
      <c r="A140" s="176" t="n"/>
      <c r="B140" s="180" t="n"/>
      <c r="AT140" s="182" t="n"/>
      <c r="AU140" s="176" t="n"/>
      <c r="AV140" s="176" t="n"/>
      <c r="AW140" s="176" t="n"/>
      <c r="AX140" s="176" t="n"/>
      <c r="AY140" s="176" t="n"/>
      <c r="AZ140" s="176" t="n"/>
      <c r="BA140" s="176" t="n"/>
      <c r="BB140" s="176" t="n"/>
      <c r="BC140" s="176" t="n"/>
      <c r="BD140" s="176" t="n"/>
      <c r="BE140" s="176" t="n"/>
      <c r="BF140" s="176" t="n"/>
      <c r="BG140" s="176" t="n"/>
      <c r="BH140" s="176" t="n"/>
      <c r="BI140" s="176" t="n"/>
      <c r="BJ140" s="176" t="n"/>
      <c r="BK140" s="176" t="n"/>
      <c r="BL140" s="176" t="n"/>
      <c r="BM140" s="176" t="n"/>
      <c r="BN140" s="176" t="n"/>
      <c r="BO140" s="176" t="n"/>
      <c r="BP140" s="176" t="n"/>
      <c r="BQ140" s="176" t="n"/>
      <c r="BR140" s="176" t="n"/>
    </row>
    <row r="141" ht="15" customHeight="1" s="392">
      <c r="A141" s="176" t="n"/>
      <c r="B141" s="180" t="n"/>
      <c r="C141" s="183" t="inlineStr">
        <is>
          <t>© PitchBook Data, Inc.  2026</t>
        </is>
      </c>
      <c r="AT141" s="182" t="n"/>
      <c r="AU141" s="176" t="n"/>
      <c r="AV141" s="176" t="n"/>
      <c r="AW141" s="176" t="n"/>
      <c r="AX141" s="176" t="n"/>
      <c r="AY141" s="176" t="n"/>
      <c r="AZ141" s="176" t="n"/>
      <c r="BA141" s="176" t="n"/>
      <c r="BB141" s="176" t="n"/>
      <c r="BC141" s="176" t="n"/>
      <c r="BD141" s="176" t="n"/>
      <c r="BE141" s="176" t="n"/>
      <c r="BF141" s="176" t="n"/>
      <c r="BG141" s="176" t="n"/>
      <c r="BH141" s="176" t="n"/>
      <c r="BI141" s="176" t="n"/>
      <c r="BJ141" s="176" t="n"/>
      <c r="BK141" s="176" t="n"/>
      <c r="BL141" s="176" t="n"/>
      <c r="BM141" s="176" t="n"/>
      <c r="BN141" s="176" t="n"/>
      <c r="BO141" s="176" t="n"/>
      <c r="BP141" s="176" t="n"/>
      <c r="BQ141" s="176" t="n"/>
      <c r="BR141" s="176" t="n"/>
    </row>
    <row r="142" ht="15" customHeight="1" s="392">
      <c r="A142" s="176" t="n"/>
      <c r="B142" s="180" t="n"/>
      <c r="AT142" s="182" t="n"/>
      <c r="AU142" s="176" t="n"/>
      <c r="AV142" s="176" t="n"/>
      <c r="AW142" s="176" t="n"/>
      <c r="AX142" s="176" t="n"/>
      <c r="AY142" s="176" t="n"/>
      <c r="AZ142" s="176" t="n"/>
      <c r="BA142" s="176" t="n"/>
      <c r="BB142" s="176" t="n"/>
      <c r="BC142" s="176" t="n"/>
      <c r="BD142" s="176" t="n"/>
      <c r="BE142" s="176" t="n"/>
      <c r="BF142" s="176" t="n"/>
      <c r="BG142" s="176" t="n"/>
      <c r="BH142" s="176" t="n"/>
      <c r="BI142" s="176" t="n"/>
      <c r="BJ142" s="176" t="n"/>
      <c r="BK142" s="176" t="n"/>
      <c r="BL142" s="176" t="n"/>
      <c r="BM142" s="176" t="n"/>
      <c r="BN142" s="176" t="n"/>
      <c r="BO142" s="176" t="n"/>
      <c r="BP142" s="176" t="n"/>
      <c r="BQ142" s="176" t="n"/>
      <c r="BR142" s="176" t="n"/>
    </row>
    <row r="143" ht="15" customHeight="1" s="392">
      <c r="A143" s="176" t="n"/>
      <c r="B143" s="203" t="n"/>
      <c r="C143" s="204" t="n"/>
      <c r="D143" s="204" t="n"/>
      <c r="E143" s="204" t="n"/>
      <c r="F143" s="204" t="n"/>
      <c r="G143" s="204" t="n"/>
      <c r="H143" s="204" t="n"/>
      <c r="I143" s="204" t="n"/>
      <c r="J143" s="204" t="n"/>
      <c r="K143" s="204" t="n"/>
      <c r="L143" s="204" t="n"/>
      <c r="M143" s="204" t="n"/>
      <c r="N143" s="204" t="n"/>
      <c r="O143" s="204" t="n"/>
      <c r="P143" s="204" t="n"/>
      <c r="Q143" s="204" t="n"/>
      <c r="R143" s="204" t="n"/>
      <c r="S143" s="204" t="n"/>
      <c r="T143" s="204" t="n"/>
      <c r="U143" s="204" t="n"/>
      <c r="V143" s="204" t="n"/>
      <c r="W143" s="204" t="n"/>
      <c r="X143" s="204" t="n"/>
      <c r="Y143" s="204" t="n"/>
      <c r="Z143" s="204" t="n"/>
      <c r="AA143" s="204" t="n"/>
      <c r="AB143" s="204" t="n"/>
      <c r="AC143" s="204" t="n"/>
      <c r="AD143" s="204" t="n"/>
      <c r="AE143" s="204" t="n"/>
      <c r="AF143" s="204" t="n"/>
      <c r="AG143" s="204" t="n"/>
      <c r="AH143" s="204" t="n"/>
      <c r="AI143" s="204" t="n"/>
      <c r="AJ143" s="204" t="n"/>
      <c r="AK143" s="204" t="n"/>
      <c r="AL143" s="204" t="n"/>
      <c r="AM143" s="204" t="n"/>
      <c r="AN143" s="204" t="n"/>
      <c r="AO143" s="204" t="n"/>
      <c r="AP143" s="204" t="n"/>
      <c r="AQ143" s="204" t="n"/>
      <c r="AR143" s="204" t="n"/>
      <c r="AS143" s="204" t="n"/>
      <c r="AT143" s="205" t="n"/>
      <c r="AU143" s="176" t="n"/>
      <c r="AV143" s="176" t="n"/>
      <c r="AW143" s="176" t="n"/>
      <c r="AX143" s="176" t="n"/>
      <c r="AY143" s="176" t="n"/>
      <c r="AZ143" s="176" t="n"/>
      <c r="BA143" s="176" t="n"/>
      <c r="BB143" s="176" t="n"/>
      <c r="BC143" s="176" t="n"/>
      <c r="BD143" s="176" t="n"/>
      <c r="BE143" s="176" t="n"/>
      <c r="BF143" s="176" t="n"/>
      <c r="BG143" s="176" t="n"/>
      <c r="BH143" s="176" t="n"/>
      <c r="BI143" s="176" t="n"/>
      <c r="BJ143" s="176" t="n"/>
      <c r="BK143" s="176" t="n"/>
      <c r="BL143" s="176" t="n"/>
      <c r="BM143" s="176" t="n"/>
      <c r="BN143" s="176" t="n"/>
      <c r="BO143" s="176" t="n"/>
      <c r="BP143" s="176" t="n"/>
      <c r="BQ143" s="176" t="n"/>
      <c r="BR143" s="176" t="n"/>
    </row>
    <row r="144" ht="15" customHeight="1" s="392">
      <c r="A144" s="176" t="n"/>
      <c r="B144" s="176" t="n"/>
      <c r="C144" s="176" t="n"/>
      <c r="D144" s="176" t="n"/>
      <c r="E144" s="176" t="n"/>
      <c r="F144" s="176" t="n"/>
      <c r="G144" s="176" t="n"/>
      <c r="H144" s="176" t="n"/>
      <c r="I144" s="176" t="n"/>
      <c r="J144" s="176" t="n"/>
      <c r="K144" s="176" t="n"/>
      <c r="L144" s="176" t="n"/>
      <c r="M144" s="176" t="n"/>
      <c r="N144" s="176" t="n"/>
      <c r="O144" s="176" t="n"/>
      <c r="P144" s="176" t="n"/>
      <c r="Q144" s="176" t="n"/>
      <c r="R144" s="176" t="n"/>
      <c r="S144" s="176" t="n"/>
      <c r="T144" s="176" t="n"/>
      <c r="U144" s="176" t="n"/>
      <c r="V144" s="176" t="n"/>
      <c r="W144" s="176" t="n"/>
      <c r="X144" s="176" t="n"/>
      <c r="Y144" s="176" t="n"/>
      <c r="Z144" s="176" t="n"/>
      <c r="AA144" s="176" t="n"/>
      <c r="AB144" s="176" t="n"/>
      <c r="AC144" s="176" t="n"/>
      <c r="AD144" s="176" t="n"/>
      <c r="AE144" s="176" t="n"/>
      <c r="AF144" s="176" t="n"/>
      <c r="AG144" s="176" t="n"/>
      <c r="AH144" s="176" t="n"/>
      <c r="AI144" s="176" t="n"/>
      <c r="AJ144" s="176" t="n"/>
      <c r="AK144" s="176" t="n"/>
      <c r="AL144" s="176" t="n"/>
      <c r="AM144" s="176" t="n"/>
      <c r="AN144" s="176" t="n"/>
      <c r="AO144" s="176" t="n"/>
      <c r="AP144" s="176" t="n"/>
      <c r="AQ144" s="176" t="n"/>
      <c r="AR144" s="176" t="n"/>
      <c r="AS144" s="176" t="n"/>
      <c r="AT144" s="176" t="n"/>
      <c r="AU144" s="176" t="n"/>
      <c r="AV144" s="176" t="n"/>
      <c r="AW144" s="176" t="n"/>
      <c r="AX144" s="176" t="n"/>
      <c r="AY144" s="176" t="n"/>
      <c r="AZ144" s="176" t="n"/>
      <c r="BA144" s="176" t="n"/>
      <c r="BB144" s="176" t="n"/>
      <c r="BC144" s="176" t="n"/>
      <c r="BD144" s="176" t="n"/>
      <c r="BE144" s="176" t="n"/>
      <c r="BF144" s="176" t="n"/>
      <c r="BG144" s="176" t="n"/>
      <c r="BH144" s="176" t="n"/>
      <c r="BI144" s="176" t="n"/>
      <c r="BJ144" s="176" t="n"/>
      <c r="BK144" s="176" t="n"/>
      <c r="BL144" s="176" t="n"/>
      <c r="BM144" s="176" t="n"/>
      <c r="BN144" s="176" t="n"/>
      <c r="BO144" s="176" t="n"/>
      <c r="BP144" s="176" t="n"/>
      <c r="BQ144" s="176" t="n"/>
      <c r="BR144" s="176" t="n"/>
    </row>
  </sheetData>
  <pageMargins left="0.75" right="0.75" top="1" bottom="1" header="0.511811023622047" footer="0.511811023622047"/>
  <pageSetup orientation="portrait" paperSize="9" horizontalDpi="300" verticalDpi="300"/>
</worksheet>
</file>

<file path=xl/worksheets/sheet38.xml><?xml version="1.0" encoding="utf-8"?>
<worksheet xmlns="http://schemas.openxmlformats.org/spreadsheetml/2006/main">
  <sheetPr>
    <tabColor rgb="FFBFBFBF"/>
    <outlinePr summaryBelow="1" summaryRight="1"/>
    <pageSetUpPr/>
  </sheetPr>
  <dimension ref="A1:FM129"/>
  <sheetViews>
    <sheetView showGridLines="0" zoomScaleNormal="100" workbookViewId="0">
      <pane xSplit="3" ySplit="10" topLeftCell="D11" activePane="bottomRight" state="frozen"/>
      <selection pane="topRight" activeCell="D1" sqref="D1"/>
      <selection pane="bottomLeft" activeCell="A11" sqref="A11"/>
      <selection pane="bottomRight" activeCell="A1" sqref="A1"/>
    </sheetView>
  </sheetViews>
  <sheetFormatPr baseColWidth="10" defaultColWidth="8.6640625" defaultRowHeight="15"/>
  <cols>
    <col width="1.1640625" customWidth="1" style="392" min="1" max="1"/>
    <col width="1.83203125" customWidth="1" style="392" min="2" max="2"/>
    <col width="50.6640625" customWidth="1" style="392" min="3" max="3"/>
    <col width="14.6640625" customWidth="1" style="392" min="4" max="4"/>
    <col width="1.83203125" customWidth="1" style="392" min="12" max="12"/>
    <col width="14.6640625" customWidth="1" style="392" min="13" max="13"/>
    <col width="1.83203125" customWidth="1" style="392" min="145" max="145"/>
  </cols>
  <sheetData>
    <row r="1" ht="6" customHeight="1" s="392">
      <c r="A1" s="176" t="n"/>
      <c r="B1" s="176" t="n"/>
      <c r="C1" s="176" t="n"/>
      <c r="D1" s="176" t="n"/>
      <c r="E1" s="176" t="n"/>
      <c r="F1" s="176" t="n"/>
      <c r="G1" s="176" t="n"/>
      <c r="H1" s="176" t="n"/>
      <c r="I1" s="176" t="n"/>
      <c r="J1" s="176" t="n"/>
      <c r="K1" s="176" t="n"/>
      <c r="L1" s="176" t="n"/>
      <c r="M1" s="176" t="n"/>
      <c r="N1" s="176" t="n"/>
      <c r="O1" s="176" t="n"/>
      <c r="P1" s="176" t="n"/>
      <c r="Q1" s="176" t="n"/>
      <c r="R1" s="176" t="n"/>
      <c r="S1" s="176" t="n"/>
      <c r="T1" s="176" t="n"/>
      <c r="U1" s="176" t="n"/>
      <c r="V1" s="176" t="n"/>
      <c r="W1" s="176" t="n"/>
      <c r="X1" s="176" t="n"/>
      <c r="Y1" s="176" t="n"/>
      <c r="Z1" s="176" t="n"/>
      <c r="AA1" s="176" t="n"/>
      <c r="AB1" s="176" t="n"/>
      <c r="AC1" s="176" t="n"/>
      <c r="AD1" s="176" t="n"/>
      <c r="AE1" s="176" t="n"/>
      <c r="AF1" s="176" t="n"/>
      <c r="AG1" s="176" t="n"/>
      <c r="AH1" s="176" t="n"/>
      <c r="AI1" s="176" t="n"/>
      <c r="AJ1" s="176" t="n"/>
      <c r="AK1" s="176" t="n"/>
      <c r="AL1" s="176" t="n"/>
      <c r="AM1" s="176" t="n"/>
      <c r="AN1" s="176" t="n"/>
      <c r="AO1" s="176" t="n"/>
      <c r="AP1" s="176" t="n"/>
      <c r="AQ1" s="176" t="n"/>
      <c r="AR1" s="176" t="n"/>
      <c r="AS1" s="176" t="n"/>
      <c r="AT1" s="176" t="n"/>
      <c r="AU1" s="176" t="n"/>
      <c r="AV1" s="176" t="n"/>
      <c r="AW1" s="176" t="n"/>
      <c r="AX1" s="176" t="n"/>
      <c r="AY1" s="176" t="n"/>
      <c r="AZ1" s="176" t="n"/>
      <c r="BA1" s="176" t="n"/>
      <c r="BB1" s="176" t="n"/>
      <c r="BC1" s="176" t="n"/>
      <c r="BD1" s="176" t="n"/>
      <c r="BE1" s="176" t="n"/>
      <c r="BF1" s="176" t="n"/>
      <c r="BG1" s="176" t="n"/>
      <c r="BH1" s="176" t="n"/>
      <c r="BI1" s="176" t="n"/>
      <c r="BJ1" s="176" t="n"/>
      <c r="BK1" s="176" t="n"/>
      <c r="BL1" s="176" t="n"/>
      <c r="BM1" s="176" t="n"/>
      <c r="BN1" s="176" t="n"/>
      <c r="BO1" s="176" t="n"/>
      <c r="BP1" s="176" t="n"/>
      <c r="BQ1" s="176" t="n"/>
      <c r="BR1" s="176" t="n"/>
      <c r="BS1" s="176" t="n"/>
      <c r="BT1" s="176" t="n"/>
      <c r="BU1" s="176" t="n"/>
      <c r="BV1" s="176" t="n"/>
      <c r="BW1" s="176" t="n"/>
      <c r="BX1" s="176" t="n"/>
      <c r="BY1" s="176" t="n"/>
      <c r="BZ1" s="176" t="n"/>
      <c r="CA1" s="176" t="n"/>
      <c r="CB1" s="176" t="n"/>
      <c r="CC1" s="176" t="n"/>
      <c r="CD1" s="176" t="n"/>
      <c r="CE1" s="176" t="n"/>
      <c r="CF1" s="176" t="n"/>
      <c r="CG1" s="176" t="n"/>
      <c r="CH1" s="176" t="n"/>
      <c r="CI1" s="176" t="n"/>
      <c r="CJ1" s="176" t="n"/>
      <c r="CK1" s="176" t="n"/>
      <c r="CL1" s="176" t="n"/>
      <c r="CM1" s="176" t="n"/>
      <c r="CN1" s="176" t="n"/>
      <c r="CO1" s="176" t="n"/>
      <c r="CP1" s="176" t="n"/>
      <c r="CQ1" s="176" t="n"/>
      <c r="CR1" s="176" t="n"/>
      <c r="CS1" s="176" t="n"/>
      <c r="CT1" s="176" t="n"/>
      <c r="CU1" s="176" t="n"/>
      <c r="CV1" s="176" t="n"/>
      <c r="CW1" s="176" t="n"/>
      <c r="CX1" s="176" t="n"/>
      <c r="CY1" s="176" t="n"/>
      <c r="CZ1" s="176" t="n"/>
      <c r="DA1" s="176" t="n"/>
      <c r="DB1" s="176" t="n"/>
      <c r="DC1" s="176" t="n"/>
      <c r="DD1" s="176" t="n"/>
      <c r="DE1" s="176" t="n"/>
      <c r="DF1" s="176" t="n"/>
      <c r="DG1" s="176" t="n"/>
      <c r="DH1" s="176" t="n"/>
      <c r="DI1" s="176" t="n"/>
      <c r="DJ1" s="176" t="n"/>
      <c r="DK1" s="176" t="n"/>
      <c r="DL1" s="176" t="n"/>
      <c r="DM1" s="176" t="n"/>
      <c r="DN1" s="176" t="n"/>
      <c r="DO1" s="176" t="n"/>
      <c r="DP1" s="176" t="n"/>
      <c r="DQ1" s="176" t="n"/>
      <c r="DR1" s="176" t="n"/>
      <c r="DS1" s="176" t="n"/>
      <c r="DT1" s="176" t="n"/>
      <c r="DU1" s="176" t="n"/>
      <c r="DV1" s="176" t="n"/>
      <c r="DW1" s="176" t="n"/>
      <c r="DX1" s="176" t="n"/>
      <c r="DY1" s="176" t="n"/>
      <c r="DZ1" s="176" t="n"/>
      <c r="EA1" s="176" t="n"/>
      <c r="EB1" s="176" t="n"/>
      <c r="EC1" s="176" t="n"/>
      <c r="ED1" s="176" t="n"/>
      <c r="EE1" s="176" t="n"/>
      <c r="EF1" s="176" t="n"/>
      <c r="EG1" s="176" t="n"/>
      <c r="EH1" s="176" t="n"/>
      <c r="EI1" s="176" t="n"/>
      <c r="EJ1" s="176" t="n"/>
      <c r="EK1" s="176" t="n"/>
      <c r="EL1" s="176" t="n"/>
      <c r="EM1" s="176" t="n"/>
      <c r="EN1" s="176" t="n"/>
      <c r="EO1" s="176" t="n"/>
      <c r="EP1" s="176" t="n"/>
      <c r="EQ1" s="176" t="n"/>
      <c r="ER1" s="176" t="n"/>
      <c r="ES1" s="176" t="n"/>
      <c r="ET1" s="176" t="n"/>
      <c r="EU1" s="176" t="n"/>
      <c r="EV1" s="176" t="n"/>
      <c r="EW1" s="176" t="n"/>
      <c r="EX1" s="176" t="n"/>
      <c r="EY1" s="176" t="n"/>
      <c r="EZ1" s="176" t="n"/>
      <c r="FA1" s="176" t="n"/>
      <c r="FB1" s="176" t="n"/>
      <c r="FC1" s="176" t="n"/>
      <c r="FD1" s="176" t="n"/>
      <c r="FE1" s="176" t="n"/>
      <c r="FF1" s="176" t="n"/>
      <c r="FG1" s="176" t="n"/>
      <c r="FH1" s="176" t="n"/>
      <c r="FI1" s="176" t="n"/>
      <c r="FJ1" s="176" t="n"/>
      <c r="FK1" s="176" t="n"/>
      <c r="FL1" s="176" t="n"/>
      <c r="FM1" s="176" t="n"/>
    </row>
    <row r="2" ht="39.75" customHeight="1" s="392">
      <c r="A2" s="176" t="n"/>
      <c r="B2" s="177" t="n"/>
      <c r="C2" s="178" t="n"/>
      <c r="D2" s="178" t="n"/>
      <c r="E2" s="178" t="n"/>
      <c r="F2" s="178" t="n"/>
      <c r="G2" s="178" t="n"/>
      <c r="H2" s="178" t="n"/>
      <c r="I2" s="178" t="n"/>
      <c r="J2" s="178" t="n"/>
      <c r="K2" s="178" t="n"/>
      <c r="L2" s="178" t="n"/>
      <c r="M2" s="178" t="n"/>
      <c r="N2" s="178" t="n"/>
      <c r="O2" s="178" t="n"/>
      <c r="P2" s="178" t="n"/>
      <c r="Q2" s="178" t="n"/>
      <c r="R2" s="178" t="n"/>
      <c r="S2" s="178" t="n"/>
      <c r="T2" s="178" t="n"/>
      <c r="U2" s="178" t="n"/>
      <c r="V2" s="178" t="n"/>
      <c r="W2" s="178" t="n"/>
      <c r="X2" s="178" t="n"/>
      <c r="Y2" s="178" t="n"/>
      <c r="Z2" s="178" t="n"/>
      <c r="AA2" s="178" t="n"/>
      <c r="AB2" s="178" t="n"/>
      <c r="AC2" s="178" t="n"/>
      <c r="AD2" s="178" t="n"/>
      <c r="AE2" s="178" t="n"/>
      <c r="AF2" s="178" t="n"/>
      <c r="AG2" s="178" t="n"/>
      <c r="AH2" s="178" t="n"/>
      <c r="AI2" s="178" t="n"/>
      <c r="AJ2" s="178" t="n"/>
      <c r="AK2" s="178" t="n"/>
      <c r="AL2" s="178" t="n"/>
      <c r="AM2" s="178" t="n"/>
      <c r="AN2" s="178" t="n"/>
      <c r="AO2" s="178" t="n"/>
      <c r="AP2" s="178" t="n"/>
      <c r="AQ2" s="178" t="n"/>
      <c r="AR2" s="178" t="n"/>
      <c r="AS2" s="178" t="n"/>
      <c r="AT2" s="178" t="n"/>
      <c r="AU2" s="178" t="n"/>
      <c r="AV2" s="178" t="n"/>
      <c r="AW2" s="178" t="n"/>
      <c r="AX2" s="178" t="n"/>
      <c r="AY2" s="178" t="n"/>
      <c r="AZ2" s="178" t="n"/>
      <c r="BA2" s="178" t="n"/>
      <c r="BB2" s="178" t="n"/>
      <c r="BC2" s="178" t="n"/>
      <c r="BD2" s="178" t="n"/>
      <c r="BE2" s="178" t="n"/>
      <c r="BF2" s="178" t="n"/>
      <c r="BG2" s="178" t="n"/>
      <c r="BH2" s="178" t="n"/>
      <c r="BI2" s="178" t="n"/>
      <c r="BJ2" s="178" t="n"/>
      <c r="BK2" s="178" t="n"/>
      <c r="BL2" s="178" t="n"/>
      <c r="BM2" s="178" t="n"/>
      <c r="BN2" s="178" t="n"/>
      <c r="BO2" s="178" t="n"/>
      <c r="BP2" s="178" t="n"/>
      <c r="BQ2" s="178" t="n"/>
      <c r="BR2" s="178" t="n"/>
      <c r="BS2" s="178" t="n"/>
      <c r="BT2" s="178" t="n"/>
      <c r="BU2" s="178" t="n"/>
      <c r="BV2" s="178" t="n"/>
      <c r="BW2" s="178" t="n"/>
      <c r="BX2" s="178" t="n"/>
      <c r="BY2" s="178" t="n"/>
      <c r="BZ2" s="178" t="n"/>
      <c r="CA2" s="178" t="n"/>
      <c r="CB2" s="178" t="n"/>
      <c r="CC2" s="178" t="n"/>
      <c r="CD2" s="178" t="n"/>
      <c r="CE2" s="178" t="n"/>
      <c r="CF2" s="178" t="n"/>
      <c r="CG2" s="178" t="n"/>
      <c r="CH2" s="178" t="n"/>
      <c r="CI2" s="178" t="n"/>
      <c r="CJ2" s="178" t="n"/>
      <c r="CK2" s="178" t="n"/>
      <c r="CL2" s="178" t="n"/>
      <c r="CM2" s="178" t="n"/>
      <c r="CN2" s="178" t="n"/>
      <c r="CO2" s="178" t="n"/>
      <c r="CP2" s="178" t="n"/>
      <c r="CQ2" s="178" t="n"/>
      <c r="CR2" s="178" t="n"/>
      <c r="CS2" s="178" t="n"/>
      <c r="CT2" s="178" t="n"/>
      <c r="CU2" s="178" t="n"/>
      <c r="CV2" s="178" t="n"/>
      <c r="CW2" s="178" t="n"/>
      <c r="CX2" s="178" t="n"/>
      <c r="CY2" s="178" t="n"/>
      <c r="CZ2" s="178" t="n"/>
      <c r="DA2" s="178" t="n"/>
      <c r="DB2" s="178" t="n"/>
      <c r="DC2" s="178" t="n"/>
      <c r="DD2" s="178" t="n"/>
      <c r="DE2" s="178" t="n"/>
      <c r="DF2" s="178" t="n"/>
      <c r="DG2" s="178" t="n"/>
      <c r="DH2" s="178" t="n"/>
      <c r="DI2" s="178" t="n"/>
      <c r="DJ2" s="178" t="n"/>
      <c r="DK2" s="178" t="n"/>
      <c r="DL2" s="178" t="n"/>
      <c r="DM2" s="178" t="n"/>
      <c r="DN2" s="178" t="n"/>
      <c r="DO2" s="178" t="n"/>
      <c r="DP2" s="178" t="n"/>
      <c r="DQ2" s="178" t="n"/>
      <c r="DR2" s="178" t="n"/>
      <c r="DS2" s="178" t="n"/>
      <c r="DT2" s="178" t="n"/>
      <c r="DU2" s="178" t="n"/>
      <c r="DV2" s="178" t="n"/>
      <c r="DW2" s="178" t="n"/>
      <c r="DX2" s="178" t="n"/>
      <c r="DY2" s="178" t="n"/>
      <c r="DZ2" s="178" t="n"/>
      <c r="EA2" s="178" t="n"/>
      <c r="EB2" s="178" t="n"/>
      <c r="EC2" s="178" t="n"/>
      <c r="ED2" s="178" t="n"/>
      <c r="EE2" s="178" t="n"/>
      <c r="EF2" s="178" t="n"/>
      <c r="EG2" s="178" t="n"/>
      <c r="EH2" s="178" t="n"/>
      <c r="EI2" s="178" t="n"/>
      <c r="EJ2" s="178" t="n"/>
      <c r="EK2" s="178" t="n"/>
      <c r="EL2" s="178" t="n"/>
      <c r="EM2" s="178" t="n"/>
      <c r="EN2" s="178" t="n"/>
      <c r="EO2" s="179" t="n"/>
      <c r="EP2" s="176" t="n"/>
      <c r="EQ2" s="176" t="n"/>
      <c r="ER2" s="176" t="n"/>
      <c r="ES2" s="176" t="n"/>
      <c r="ET2" s="176" t="n"/>
      <c r="EU2" s="176" t="n"/>
      <c r="EV2" s="176" t="n"/>
      <c r="EW2" s="176" t="n"/>
      <c r="EX2" s="176" t="n"/>
      <c r="EY2" s="176" t="n"/>
      <c r="EZ2" s="176" t="n"/>
      <c r="FA2" s="176" t="n"/>
      <c r="FB2" s="176" t="n"/>
      <c r="FC2" s="176" t="n"/>
      <c r="FD2" s="176" t="n"/>
      <c r="FE2" s="176" t="n"/>
      <c r="FF2" s="176" t="n"/>
      <c r="FG2" s="176" t="n"/>
      <c r="FH2" s="176" t="n"/>
      <c r="FI2" s="176" t="n"/>
      <c r="FJ2" s="176" t="n"/>
      <c r="FK2" s="176" t="n"/>
      <c r="FL2" s="176" t="n"/>
      <c r="FM2" s="176" t="n"/>
    </row>
    <row r="3" ht="19.5" customHeight="1" s="392">
      <c r="A3" s="176" t="n"/>
      <c r="B3" s="180" t="n"/>
      <c r="C3" s="181" t="inlineStr">
        <is>
          <t>Income Statement (Fiscal Quarter)</t>
        </is>
      </c>
      <c r="EO3" s="182" t="n"/>
      <c r="EP3" s="176" t="n"/>
      <c r="EQ3" s="176" t="n"/>
      <c r="ER3" s="176" t="n"/>
      <c r="ES3" s="176" t="n"/>
      <c r="ET3" s="176" t="n"/>
      <c r="EU3" s="176" t="n"/>
      <c r="EV3" s="176" t="n"/>
      <c r="EW3" s="176" t="n"/>
      <c r="EX3" s="176" t="n"/>
      <c r="EY3" s="176" t="n"/>
      <c r="EZ3" s="176" t="n"/>
      <c r="FA3" s="176" t="n"/>
      <c r="FB3" s="176" t="n"/>
      <c r="FC3" s="176" t="n"/>
      <c r="FD3" s="176" t="n"/>
      <c r="FE3" s="176" t="n"/>
      <c r="FF3" s="176" t="n"/>
      <c r="FG3" s="176" t="n"/>
      <c r="FH3" s="176" t="n"/>
      <c r="FI3" s="176" t="n"/>
      <c r="FJ3" s="176" t="n"/>
      <c r="FK3" s="176" t="n"/>
      <c r="FL3" s="176" t="n"/>
      <c r="FM3" s="176" t="n"/>
    </row>
    <row r="4" ht="22.5" customHeight="1" s="392">
      <c r="A4" s="176" t="n"/>
      <c r="B4" s="180" t="n"/>
      <c r="C4" s="183" t="inlineStr">
        <is>
          <t>Downloaded on: 27-Sep-2026</t>
        </is>
      </c>
      <c r="D4" s="184" t="inlineStr">
        <is>
          <t>Summary Stats</t>
        </is>
      </c>
      <c r="E4" s="185" t="n"/>
      <c r="F4" s="185" t="n"/>
      <c r="G4" s="185" t="n"/>
      <c r="H4" s="185" t="n"/>
      <c r="I4" s="185" t="n"/>
      <c r="J4" s="185" t="n"/>
      <c r="K4" s="185" t="n"/>
      <c r="EO4" s="182" t="n"/>
      <c r="EP4" s="176" t="n"/>
      <c r="EQ4" s="176" t="n"/>
      <c r="ER4" s="176" t="n"/>
      <c r="ES4" s="176" t="n"/>
      <c r="ET4" s="176" t="n"/>
      <c r="EU4" s="176" t="n"/>
      <c r="EV4" s="176" t="n"/>
      <c r="EW4" s="176" t="n"/>
      <c r="EX4" s="176" t="n"/>
      <c r="EY4" s="176" t="n"/>
      <c r="EZ4" s="176" t="n"/>
      <c r="FA4" s="176" t="n"/>
      <c r="FB4" s="176" t="n"/>
      <c r="FC4" s="176" t="n"/>
      <c r="FD4" s="176" t="n"/>
      <c r="FE4" s="176" t="n"/>
      <c r="FF4" s="176" t="n"/>
      <c r="FG4" s="176" t="n"/>
      <c r="FH4" s="176" t="n"/>
      <c r="FI4" s="176" t="n"/>
      <c r="FJ4" s="176" t="n"/>
      <c r="FK4" s="176" t="n"/>
      <c r="FL4" s="176" t="n"/>
      <c r="FM4" s="176" t="n"/>
    </row>
    <row r="5" ht="60" customHeight="1" s="392">
      <c r="A5" s="176" t="n"/>
      <c r="B5" s="180" t="n"/>
      <c r="C5" s="183" t="inlineStr">
        <is>
          <t>Company: Copart (NAS: CPRT)</t>
        </is>
      </c>
      <c r="D5" s="186" t="inlineStr">
        <is>
          <t>Median</t>
        </is>
      </c>
      <c r="E5" s="186" t="inlineStr">
        <is>
          <t>Mean</t>
        </is>
      </c>
      <c r="F5" s="186" t="inlineStr">
        <is>
          <t>Min</t>
        </is>
      </c>
      <c r="G5" s="186" t="inlineStr">
        <is>
          <t>Max</t>
        </is>
      </c>
      <c r="H5" s="186" t="inlineStr">
        <is>
          <t>25th pctile</t>
        </is>
      </c>
      <c r="I5" s="186" t="inlineStr">
        <is>
          <t>75th pctile</t>
        </is>
      </c>
      <c r="J5" s="186" t="inlineStr">
        <is>
          <t>Std. Dev</t>
        </is>
      </c>
      <c r="K5" s="186" t="inlineStr">
        <is>
          <t>Coefficient of Variation</t>
        </is>
      </c>
      <c r="M5" s="187" t="inlineStr">
        <is>
          <t>FQ 4Q26</t>
        </is>
      </c>
      <c r="N5" s="187" t="inlineStr">
        <is>
          <t>FQ 3Q26</t>
        </is>
      </c>
      <c r="O5" s="187" t="inlineStr">
        <is>
          <t>FQ 2Q26</t>
        </is>
      </c>
      <c r="P5" s="187" t="inlineStr">
        <is>
          <t>FQ 1Q26</t>
        </is>
      </c>
      <c r="Q5" s="187" t="inlineStr">
        <is>
          <t>FQ 4Q25</t>
        </is>
      </c>
      <c r="R5" s="187" t="inlineStr">
        <is>
          <t>FQ 3Q25</t>
        </is>
      </c>
      <c r="S5" s="187" t="inlineStr">
        <is>
          <t>FQ 2Q25</t>
        </is>
      </c>
      <c r="T5" s="187" t="inlineStr">
        <is>
          <t>FQ 1Q25</t>
        </is>
      </c>
      <c r="U5" s="187" t="inlineStr">
        <is>
          <t>FQ 4Q24</t>
        </is>
      </c>
      <c r="V5" s="187" t="inlineStr">
        <is>
          <t>FQ 3Q24</t>
        </is>
      </c>
      <c r="W5" s="187" t="inlineStr">
        <is>
          <t>FQ 2Q24</t>
        </is>
      </c>
      <c r="X5" s="187" t="inlineStr">
        <is>
          <t>FQ 1Q24</t>
        </is>
      </c>
      <c r="Y5" s="187" t="inlineStr">
        <is>
          <t>FQ 4Q23</t>
        </is>
      </c>
      <c r="Z5" s="187" t="inlineStr">
        <is>
          <t>FQ 3Q23</t>
        </is>
      </c>
      <c r="AA5" s="187" t="inlineStr">
        <is>
          <t>FQ 2Q23</t>
        </is>
      </c>
      <c r="AB5" s="187" t="inlineStr">
        <is>
          <t>FQ 1Q23</t>
        </is>
      </c>
      <c r="AC5" s="187" t="inlineStr">
        <is>
          <t>FQ 4Q22</t>
        </is>
      </c>
      <c r="AD5" s="187" t="inlineStr">
        <is>
          <t>FQ 3Q22</t>
        </is>
      </c>
      <c r="AE5" s="187" t="inlineStr">
        <is>
          <t>FQ 2Q22</t>
        </is>
      </c>
      <c r="AF5" s="187" t="inlineStr">
        <is>
          <t>FQ 1Q22</t>
        </is>
      </c>
      <c r="AG5" s="187" t="inlineStr">
        <is>
          <t>FQ 4Q21</t>
        </is>
      </c>
      <c r="AH5" s="187" t="inlineStr">
        <is>
          <t>FQ 3Q21</t>
        </is>
      </c>
      <c r="AI5" s="187" t="inlineStr">
        <is>
          <t>FQ 2Q21</t>
        </is>
      </c>
      <c r="AJ5" s="187" t="inlineStr">
        <is>
          <t>FQ 1Q21</t>
        </is>
      </c>
      <c r="AK5" s="187" t="inlineStr">
        <is>
          <t>FQ 4Q20</t>
        </is>
      </c>
      <c r="AL5" s="187" t="inlineStr">
        <is>
          <t>FQ 3Q20</t>
        </is>
      </c>
      <c r="AM5" s="187" t="inlineStr">
        <is>
          <t>FQ 2Q20</t>
        </is>
      </c>
      <c r="AN5" s="187" t="inlineStr">
        <is>
          <t>FQ 1Q20</t>
        </is>
      </c>
      <c r="AO5" s="187" t="inlineStr">
        <is>
          <t>FQ 4Q19</t>
        </is>
      </c>
      <c r="AP5" s="187" t="inlineStr">
        <is>
          <t>FQ 3Q19</t>
        </is>
      </c>
      <c r="AQ5" s="187" t="inlineStr">
        <is>
          <t>FQ 2Q19</t>
        </is>
      </c>
      <c r="AR5" s="187" t="inlineStr">
        <is>
          <t>FQ 1Q19</t>
        </is>
      </c>
      <c r="AS5" s="187" t="inlineStr">
        <is>
          <t>FQ 4Q18</t>
        </is>
      </c>
      <c r="AT5" s="187" t="inlineStr">
        <is>
          <t>FQ 3Q18</t>
        </is>
      </c>
      <c r="AU5" s="187" t="inlineStr">
        <is>
          <t>FQ 2Q18</t>
        </is>
      </c>
      <c r="AV5" s="187" t="inlineStr">
        <is>
          <t>FQ 1Q18</t>
        </is>
      </c>
      <c r="AW5" s="187" t="inlineStr">
        <is>
          <t>FQ 4Q17</t>
        </is>
      </c>
      <c r="AX5" s="187" t="inlineStr">
        <is>
          <t>FQ 3Q17</t>
        </is>
      </c>
      <c r="AY5" s="187" t="inlineStr">
        <is>
          <t>FQ 2Q17</t>
        </is>
      </c>
      <c r="AZ5" s="187" t="inlineStr">
        <is>
          <t>FQ 1Q17</t>
        </is>
      </c>
      <c r="BA5" s="187" t="inlineStr">
        <is>
          <t>FQ 4Q16</t>
        </is>
      </c>
      <c r="BB5" s="187" t="inlineStr">
        <is>
          <t>FQ 3Q16</t>
        </is>
      </c>
      <c r="BC5" s="187" t="inlineStr">
        <is>
          <t>FQ 2Q16</t>
        </is>
      </c>
      <c r="BD5" s="187" t="inlineStr">
        <is>
          <t>FQ 1Q16</t>
        </is>
      </c>
      <c r="BE5" s="187" t="inlineStr">
        <is>
          <t>FQ 4Q15</t>
        </is>
      </c>
      <c r="BF5" s="187" t="inlineStr">
        <is>
          <t>FQ 3Q15</t>
        </is>
      </c>
      <c r="BG5" s="187" t="inlineStr">
        <is>
          <t>FQ 2Q15</t>
        </is>
      </c>
      <c r="BH5" s="187" t="inlineStr">
        <is>
          <t>FQ 1Q15</t>
        </is>
      </c>
      <c r="BI5" s="187" t="inlineStr">
        <is>
          <t>FQ 4Q14</t>
        </is>
      </c>
      <c r="BJ5" s="187" t="inlineStr">
        <is>
          <t>FQ 3Q14</t>
        </is>
      </c>
      <c r="BK5" s="187" t="inlineStr">
        <is>
          <t>FQ 2Q14</t>
        </is>
      </c>
      <c r="BL5" s="187" t="inlineStr">
        <is>
          <t>FQ 1Q14</t>
        </is>
      </c>
      <c r="BM5" s="187" t="inlineStr">
        <is>
          <t>FQ 4Q13</t>
        </is>
      </c>
      <c r="BN5" s="187" t="inlineStr">
        <is>
          <t>FQ 3Q13</t>
        </is>
      </c>
      <c r="BO5" s="187" t="inlineStr">
        <is>
          <t>FQ 2Q13</t>
        </is>
      </c>
      <c r="BP5" s="187" t="inlineStr">
        <is>
          <t>FQ 1Q13</t>
        </is>
      </c>
      <c r="BQ5" s="187" t="inlineStr">
        <is>
          <t>FQ 4Q12</t>
        </is>
      </c>
      <c r="BR5" s="187" t="inlineStr">
        <is>
          <t>FQ 3Q12</t>
        </is>
      </c>
      <c r="BS5" s="187" t="inlineStr">
        <is>
          <t>FQ 2Q12</t>
        </is>
      </c>
      <c r="BT5" s="187" t="inlineStr">
        <is>
          <t>FQ 1Q12</t>
        </is>
      </c>
      <c r="BU5" s="187" t="inlineStr">
        <is>
          <t>FQ 4Q11</t>
        </is>
      </c>
      <c r="BV5" s="187" t="inlineStr">
        <is>
          <t>FQ 3Q11</t>
        </is>
      </c>
      <c r="BW5" s="187" t="inlineStr">
        <is>
          <t>FQ 2Q11</t>
        </is>
      </c>
      <c r="BX5" s="187" t="inlineStr">
        <is>
          <t>FQ 1Q11</t>
        </is>
      </c>
      <c r="BY5" s="187" t="inlineStr">
        <is>
          <t>FQ 4Q10</t>
        </is>
      </c>
      <c r="BZ5" s="187" t="inlineStr">
        <is>
          <t>FQ 3Q10</t>
        </is>
      </c>
      <c r="CA5" s="187" t="inlineStr">
        <is>
          <t>FQ 2Q10</t>
        </is>
      </c>
      <c r="CB5" s="187" t="inlineStr">
        <is>
          <t>FQ 1Q10</t>
        </is>
      </c>
      <c r="CC5" s="187" t="inlineStr">
        <is>
          <t>FQ 4Q9</t>
        </is>
      </c>
      <c r="CD5" s="187" t="inlineStr">
        <is>
          <t>FQ 3Q9</t>
        </is>
      </c>
      <c r="CE5" s="187" t="inlineStr">
        <is>
          <t>FQ 2Q9</t>
        </is>
      </c>
      <c r="CF5" s="187" t="inlineStr">
        <is>
          <t>FQ 1Q9</t>
        </is>
      </c>
      <c r="CG5" s="187" t="inlineStr">
        <is>
          <t>FQ 4Q8</t>
        </is>
      </c>
      <c r="CH5" s="187" t="inlineStr">
        <is>
          <t>FQ 3Q8</t>
        </is>
      </c>
      <c r="CI5" s="187" t="inlineStr">
        <is>
          <t>FQ 2Q8</t>
        </is>
      </c>
      <c r="CJ5" s="187" t="inlineStr">
        <is>
          <t>FQ 1Q8</t>
        </is>
      </c>
      <c r="CK5" s="187" t="inlineStr">
        <is>
          <t>FQ 4Q7</t>
        </is>
      </c>
      <c r="CL5" s="187" t="inlineStr">
        <is>
          <t>FQ 3Q7</t>
        </is>
      </c>
      <c r="CM5" s="187" t="inlineStr">
        <is>
          <t>FQ 2Q7</t>
        </is>
      </c>
      <c r="CN5" s="187" t="inlineStr">
        <is>
          <t>FQ 1Q7</t>
        </is>
      </c>
      <c r="CO5" s="187" t="inlineStr">
        <is>
          <t>FQ 4Q6</t>
        </is>
      </c>
      <c r="CP5" s="187" t="inlineStr">
        <is>
          <t>FQ 3Q6</t>
        </is>
      </c>
      <c r="CQ5" s="187" t="inlineStr">
        <is>
          <t>FQ 2Q6</t>
        </is>
      </c>
      <c r="CR5" s="187" t="inlineStr">
        <is>
          <t>FQ 1Q6</t>
        </is>
      </c>
      <c r="CS5" s="187" t="inlineStr">
        <is>
          <t>FQ 4Q5</t>
        </is>
      </c>
      <c r="CT5" s="187" t="inlineStr">
        <is>
          <t>FQ 3Q5</t>
        </is>
      </c>
      <c r="CU5" s="187" t="inlineStr">
        <is>
          <t>FQ 2Q5</t>
        </is>
      </c>
      <c r="CV5" s="187" t="inlineStr">
        <is>
          <t>FQ 1Q5</t>
        </is>
      </c>
      <c r="CW5" s="187" t="inlineStr">
        <is>
          <t>FQ 4Q4</t>
        </is>
      </c>
      <c r="CX5" s="187" t="inlineStr">
        <is>
          <t>FQ 3Q4</t>
        </is>
      </c>
      <c r="CY5" s="187" t="inlineStr">
        <is>
          <t>FQ 2Q4</t>
        </is>
      </c>
      <c r="CZ5" s="187" t="inlineStr">
        <is>
          <t>FQ 1Q4</t>
        </is>
      </c>
      <c r="DA5" s="187" t="inlineStr">
        <is>
          <t>FQ 4Q3</t>
        </is>
      </c>
      <c r="DB5" s="187" t="inlineStr">
        <is>
          <t>FQ 3Q3</t>
        </is>
      </c>
      <c r="DC5" s="187" t="inlineStr">
        <is>
          <t>FQ 2Q3</t>
        </is>
      </c>
      <c r="DD5" s="187" t="inlineStr">
        <is>
          <t>FQ 1Q3</t>
        </is>
      </c>
      <c r="DE5" s="187" t="inlineStr">
        <is>
          <t>FQ 4Q2</t>
        </is>
      </c>
      <c r="DF5" s="187" t="inlineStr">
        <is>
          <t>FQ 3Q2</t>
        </is>
      </c>
      <c r="DG5" s="187" t="inlineStr">
        <is>
          <t>FQ 2Q2</t>
        </is>
      </c>
      <c r="DH5" s="187" t="inlineStr">
        <is>
          <t>FQ 1Q2</t>
        </is>
      </c>
      <c r="DI5" s="187" t="inlineStr">
        <is>
          <t>FQ 4Q1</t>
        </is>
      </c>
      <c r="DJ5" s="187" t="inlineStr">
        <is>
          <t>FQ 3Q1</t>
        </is>
      </c>
      <c r="DK5" s="187" t="inlineStr">
        <is>
          <t>FQ 2Q1</t>
        </is>
      </c>
      <c r="DL5" s="187" t="inlineStr">
        <is>
          <t>FQ 1Q1</t>
        </is>
      </c>
      <c r="DM5" s="187" t="inlineStr">
        <is>
          <t>FQ 4Q0</t>
        </is>
      </c>
      <c r="DN5" s="187" t="inlineStr">
        <is>
          <t>FQ 3Q0</t>
        </is>
      </c>
      <c r="DO5" s="187" t="inlineStr">
        <is>
          <t>FQ 2Q0</t>
        </is>
      </c>
      <c r="DP5" s="187" t="inlineStr">
        <is>
          <t>FQ 1Q0</t>
        </is>
      </c>
      <c r="DQ5" s="187" t="inlineStr">
        <is>
          <t>FQ 4Q99</t>
        </is>
      </c>
      <c r="DR5" s="187" t="inlineStr">
        <is>
          <t>FQ 3Q99</t>
        </is>
      </c>
      <c r="DS5" s="187" t="inlineStr">
        <is>
          <t>FQ 2Q99</t>
        </is>
      </c>
      <c r="DT5" s="187" t="inlineStr">
        <is>
          <t>FQ 1Q99</t>
        </is>
      </c>
      <c r="DU5" s="187" t="inlineStr">
        <is>
          <t>FQ 4Q98</t>
        </is>
      </c>
      <c r="DV5" s="187" t="inlineStr">
        <is>
          <t>FQ 3Q98</t>
        </is>
      </c>
      <c r="DW5" s="187" t="inlineStr">
        <is>
          <t>FQ 2Q98</t>
        </is>
      </c>
      <c r="DX5" s="187" t="inlineStr">
        <is>
          <t>FQ 1Q98</t>
        </is>
      </c>
      <c r="DY5" s="187" t="inlineStr">
        <is>
          <t>FQ 4Q97</t>
        </is>
      </c>
      <c r="DZ5" s="187" t="inlineStr">
        <is>
          <t>FQ 3Q97</t>
        </is>
      </c>
      <c r="EA5" s="187" t="inlineStr">
        <is>
          <t>FQ 2Q97</t>
        </is>
      </c>
      <c r="EB5" s="187" t="inlineStr">
        <is>
          <t>FQ 1Q97</t>
        </is>
      </c>
      <c r="EC5" s="187" t="inlineStr">
        <is>
          <t>FQ 4Q96</t>
        </is>
      </c>
      <c r="ED5" s="187" t="inlineStr">
        <is>
          <t>FQ 3Q96</t>
        </is>
      </c>
      <c r="EE5" s="187" t="inlineStr">
        <is>
          <t>FQ 2Q96</t>
        </is>
      </c>
      <c r="EF5" s="187" t="inlineStr">
        <is>
          <t>FQ 1Q96</t>
        </is>
      </c>
      <c r="EG5" s="187" t="inlineStr">
        <is>
          <t>FQ 4Q95</t>
        </is>
      </c>
      <c r="EH5" s="187" t="inlineStr">
        <is>
          <t>FQ 3Q95</t>
        </is>
      </c>
      <c r="EI5" s="187" t="inlineStr">
        <is>
          <t>FQ 2Q95</t>
        </is>
      </c>
      <c r="EJ5" s="187" t="inlineStr">
        <is>
          <t>FQ 1Q95</t>
        </is>
      </c>
      <c r="EK5" s="187" t="inlineStr">
        <is>
          <t>FQ 4Q94</t>
        </is>
      </c>
      <c r="EL5" s="187" t="inlineStr">
        <is>
          <t>FQ 3Q94</t>
        </is>
      </c>
      <c r="EM5" s="187" t="inlineStr">
        <is>
          <t>FQ 2Q94</t>
        </is>
      </c>
      <c r="EN5" s="187" t="inlineStr">
        <is>
          <t>FQ 1Q94</t>
        </is>
      </c>
      <c r="EO5" s="182" t="n"/>
      <c r="EP5" s="176" t="n"/>
      <c r="EQ5" s="176" t="n"/>
      <c r="ER5" s="176" t="n"/>
      <c r="ES5" s="176" t="n"/>
      <c r="ET5" s="176" t="n"/>
      <c r="EU5" s="176" t="n"/>
      <c r="EV5" s="176" t="n"/>
      <c r="EW5" s="176" t="n"/>
      <c r="EX5" s="176" t="n"/>
      <c r="EY5" s="176" t="n"/>
      <c r="EZ5" s="176" t="n"/>
      <c r="FA5" s="176" t="n"/>
      <c r="FB5" s="176" t="n"/>
      <c r="FC5" s="176" t="n"/>
      <c r="FD5" s="176" t="n"/>
      <c r="FE5" s="176" t="n"/>
      <c r="FF5" s="176" t="n"/>
      <c r="FG5" s="176" t="n"/>
      <c r="FH5" s="176" t="n"/>
      <c r="FI5" s="176" t="n"/>
      <c r="FJ5" s="176" t="n"/>
      <c r="FK5" s="176" t="n"/>
      <c r="FL5" s="176" t="n"/>
      <c r="FM5" s="176" t="n"/>
    </row>
    <row r="6" ht="15" customHeight="1" s="392">
      <c r="A6" s="176" t="n"/>
      <c r="B6" s="180" t="n"/>
      <c r="D6" s="185" t="n"/>
      <c r="E6" s="185" t="n"/>
      <c r="F6" s="185" t="n"/>
      <c r="G6" s="185" t="n"/>
      <c r="H6" s="185" t="n"/>
      <c r="I6" s="185" t="n"/>
      <c r="J6" s="185" t="n"/>
      <c r="K6" s="185" t="n"/>
      <c r="M6" s="183" t="inlineStr">
        <is>
          <t>End: 31-Jul-2026</t>
        </is>
      </c>
      <c r="N6" s="183" t="inlineStr">
        <is>
          <t>End: 30-Apr-2026</t>
        </is>
      </c>
      <c r="O6" s="183" t="inlineStr">
        <is>
          <t>End: 31-Jan-2026</t>
        </is>
      </c>
      <c r="P6" s="183" t="inlineStr">
        <is>
          <t>End: 31-Oct-2025</t>
        </is>
      </c>
      <c r="Q6" s="183" t="inlineStr">
        <is>
          <t>End: 31-Jul-2025</t>
        </is>
      </c>
      <c r="R6" s="183" t="inlineStr">
        <is>
          <t>End: 30-Apr-2025</t>
        </is>
      </c>
      <c r="S6" s="183" t="inlineStr">
        <is>
          <t>End: 31-Jan-2025</t>
        </is>
      </c>
      <c r="T6" s="183" t="inlineStr">
        <is>
          <t>End: 31-Oct-2024</t>
        </is>
      </c>
      <c r="U6" s="183" t="inlineStr">
        <is>
          <t>End: 31-Jul-2024</t>
        </is>
      </c>
      <c r="V6" s="183" t="inlineStr">
        <is>
          <t>End: 30-Apr-2024</t>
        </is>
      </c>
      <c r="W6" s="183" t="inlineStr">
        <is>
          <t>End: 31-Jan-2024</t>
        </is>
      </c>
      <c r="X6" s="183" t="inlineStr">
        <is>
          <t>End: 31-Oct-2023</t>
        </is>
      </c>
      <c r="Y6" s="183" t="inlineStr">
        <is>
          <t>End: 31-Jul-2023</t>
        </is>
      </c>
      <c r="Z6" s="183" t="inlineStr">
        <is>
          <t>End: 30-Apr-2023</t>
        </is>
      </c>
      <c r="AA6" s="183" t="inlineStr">
        <is>
          <t>End: 31-Jan-2023</t>
        </is>
      </c>
      <c r="AB6" s="183" t="inlineStr">
        <is>
          <t>End: 31-Oct-2022</t>
        </is>
      </c>
      <c r="AC6" s="183" t="inlineStr">
        <is>
          <t>End: 31-Jul-2022</t>
        </is>
      </c>
      <c r="AD6" s="183" t="inlineStr">
        <is>
          <t>End: 30-Apr-2022</t>
        </is>
      </c>
      <c r="AE6" s="183" t="inlineStr">
        <is>
          <t>End: 31-Jan-2022</t>
        </is>
      </c>
      <c r="AF6" s="183" t="inlineStr">
        <is>
          <t>End: 31-Oct-2021</t>
        </is>
      </c>
      <c r="AG6" s="183" t="inlineStr">
        <is>
          <t>End: 31-Jul-2021</t>
        </is>
      </c>
      <c r="AH6" s="183" t="inlineStr">
        <is>
          <t>End: 30-Apr-2021</t>
        </is>
      </c>
      <c r="AI6" s="183" t="inlineStr">
        <is>
          <t>End: 31-Jan-2021</t>
        </is>
      </c>
      <c r="AJ6" s="183" t="inlineStr">
        <is>
          <t>End: 31-Oct-2020</t>
        </is>
      </c>
      <c r="AK6" s="183" t="inlineStr">
        <is>
          <t>End: 31-Jul-2020</t>
        </is>
      </c>
      <c r="AL6" s="183" t="inlineStr">
        <is>
          <t>End: 30-Apr-2020</t>
        </is>
      </c>
      <c r="AM6" s="183" t="inlineStr">
        <is>
          <t>End: 31-Jan-2020</t>
        </is>
      </c>
      <c r="AN6" s="183" t="inlineStr">
        <is>
          <t>End: 31-Oct-2019</t>
        </is>
      </c>
      <c r="AO6" s="183" t="inlineStr">
        <is>
          <t>End: 31-Jul-2019</t>
        </is>
      </c>
      <c r="AP6" s="183" t="inlineStr">
        <is>
          <t>End: 30-Apr-2019</t>
        </is>
      </c>
      <c r="AQ6" s="183" t="inlineStr">
        <is>
          <t>End: 31-Jan-2019</t>
        </is>
      </c>
      <c r="AR6" s="183" t="inlineStr">
        <is>
          <t>End: 31-Oct-2018</t>
        </is>
      </c>
      <c r="AS6" s="183" t="inlineStr">
        <is>
          <t>End: 31-Jul-2018</t>
        </is>
      </c>
      <c r="AT6" s="183" t="inlineStr">
        <is>
          <t>End: 30-Apr-2018</t>
        </is>
      </c>
      <c r="AU6" s="183" t="inlineStr">
        <is>
          <t>End: 31-Jan-2018</t>
        </is>
      </c>
      <c r="AV6" s="183" t="inlineStr">
        <is>
          <t>End: 31-Oct-2017</t>
        </is>
      </c>
      <c r="AW6" s="183" t="inlineStr">
        <is>
          <t>End: 31-Jul-2017</t>
        </is>
      </c>
      <c r="AX6" s="183" t="inlineStr">
        <is>
          <t>End: 30-Apr-2017</t>
        </is>
      </c>
      <c r="AY6" s="183" t="inlineStr">
        <is>
          <t>End: 31-Jan-2017</t>
        </is>
      </c>
      <c r="AZ6" s="183" t="inlineStr">
        <is>
          <t>End: 31-Oct-2016</t>
        </is>
      </c>
      <c r="BA6" s="183" t="inlineStr">
        <is>
          <t>End: 31-Jul-2016</t>
        </is>
      </c>
      <c r="BB6" s="183" t="inlineStr">
        <is>
          <t>End: 30-Apr-2016</t>
        </is>
      </c>
      <c r="BC6" s="183" t="inlineStr">
        <is>
          <t>End: 31-Jan-2016</t>
        </is>
      </c>
      <c r="BD6" s="183" t="inlineStr">
        <is>
          <t>End: 31-Oct-2015</t>
        </is>
      </c>
      <c r="BE6" s="183" t="inlineStr">
        <is>
          <t>End: 31-Jul-2015</t>
        </is>
      </c>
      <c r="BF6" s="183" t="inlineStr">
        <is>
          <t>End: 30-Apr-2015</t>
        </is>
      </c>
      <c r="BG6" s="183" t="inlineStr">
        <is>
          <t>End: 31-Jan-2015</t>
        </is>
      </c>
      <c r="BH6" s="183" t="inlineStr">
        <is>
          <t>End: 31-Oct-2014</t>
        </is>
      </c>
      <c r="BI6" s="183" t="inlineStr">
        <is>
          <t>End: 31-Jul-2014</t>
        </is>
      </c>
      <c r="BJ6" s="183" t="inlineStr">
        <is>
          <t>End: 30-Apr-2014</t>
        </is>
      </c>
      <c r="BK6" s="183" t="inlineStr">
        <is>
          <t>End: 31-Jan-2014</t>
        </is>
      </c>
      <c r="BL6" s="183" t="inlineStr">
        <is>
          <t>End: 31-Oct-2013</t>
        </is>
      </c>
      <c r="BM6" s="183" t="inlineStr">
        <is>
          <t>End: 31-Jul-2013</t>
        </is>
      </c>
      <c r="BN6" s="183" t="inlineStr">
        <is>
          <t>End: 30-Apr-2013</t>
        </is>
      </c>
      <c r="BO6" s="183" t="inlineStr">
        <is>
          <t>End: 31-Jan-2013</t>
        </is>
      </c>
      <c r="BP6" s="183" t="inlineStr">
        <is>
          <t>End: 31-Oct-2012</t>
        </is>
      </c>
      <c r="BQ6" s="183" t="inlineStr">
        <is>
          <t>End: 31-Jul-2012</t>
        </is>
      </c>
      <c r="BR6" s="183" t="inlineStr">
        <is>
          <t>End: 30-Apr-2012</t>
        </is>
      </c>
      <c r="BS6" s="183" t="inlineStr">
        <is>
          <t>End: 31-Jan-2012</t>
        </is>
      </c>
      <c r="BT6" s="183" t="inlineStr">
        <is>
          <t>End: 31-Oct-2011</t>
        </is>
      </c>
      <c r="BU6" s="183" t="inlineStr">
        <is>
          <t>End: 31-Jul-2011</t>
        </is>
      </c>
      <c r="BV6" s="183" t="inlineStr">
        <is>
          <t>End: 30-Apr-2011</t>
        </is>
      </c>
      <c r="BW6" s="183" t="inlineStr">
        <is>
          <t>End: 31-Jan-2011</t>
        </is>
      </c>
      <c r="BX6" s="183" t="inlineStr">
        <is>
          <t>End: 31-Oct-2010</t>
        </is>
      </c>
      <c r="BY6" s="183" t="inlineStr">
        <is>
          <t>End: 31-Jul-2010</t>
        </is>
      </c>
      <c r="BZ6" s="183" t="inlineStr">
        <is>
          <t>End: 30-Apr-2010</t>
        </is>
      </c>
      <c r="CA6" s="183" t="inlineStr">
        <is>
          <t>End: 31-Jan-2010</t>
        </is>
      </c>
      <c r="CB6" s="183" t="inlineStr">
        <is>
          <t>End: 31-Oct-2009</t>
        </is>
      </c>
      <c r="CC6" s="183" t="inlineStr">
        <is>
          <t>End: 31-Jul-2009</t>
        </is>
      </c>
      <c r="CD6" s="183" t="inlineStr">
        <is>
          <t>End: 30-Apr-2009</t>
        </is>
      </c>
      <c r="CE6" s="183" t="inlineStr">
        <is>
          <t>End: 31-Jan-2009</t>
        </is>
      </c>
      <c r="CF6" s="183" t="inlineStr">
        <is>
          <t>End: 31-Oct-2008</t>
        </is>
      </c>
      <c r="CG6" s="183" t="inlineStr">
        <is>
          <t>End: 31-Jul-2008</t>
        </is>
      </c>
      <c r="CH6" s="183" t="inlineStr">
        <is>
          <t>End: 30-Apr-2008</t>
        </is>
      </c>
      <c r="CI6" s="183" t="inlineStr">
        <is>
          <t>End: 31-Jan-2008</t>
        </is>
      </c>
      <c r="CJ6" s="183" t="inlineStr">
        <is>
          <t>End: 31-Oct-2007</t>
        </is>
      </c>
      <c r="CK6" s="183" t="inlineStr">
        <is>
          <t>End: 31-Jul-2007</t>
        </is>
      </c>
      <c r="CL6" s="183" t="inlineStr">
        <is>
          <t>End: 30-Apr-2007</t>
        </is>
      </c>
      <c r="CM6" s="183" t="inlineStr">
        <is>
          <t>End: 31-Jan-2007</t>
        </is>
      </c>
      <c r="CN6" s="183" t="inlineStr">
        <is>
          <t>End: 31-Oct-2006</t>
        </is>
      </c>
      <c r="CO6" s="183" t="inlineStr">
        <is>
          <t>End: 31-Jul-2006</t>
        </is>
      </c>
      <c r="CP6" s="183" t="inlineStr">
        <is>
          <t>End: 30-Apr-2006</t>
        </is>
      </c>
      <c r="CQ6" s="183" t="inlineStr">
        <is>
          <t>End: 31-Jan-2006</t>
        </is>
      </c>
      <c r="CR6" s="183" t="inlineStr">
        <is>
          <t>End: 31-Oct-2005</t>
        </is>
      </c>
      <c r="CS6" s="183" t="inlineStr">
        <is>
          <t>End: 31-Jul-2005</t>
        </is>
      </c>
      <c r="CT6" s="183" t="inlineStr">
        <is>
          <t>End: 30-Apr-2005</t>
        </is>
      </c>
      <c r="CU6" s="183" t="inlineStr">
        <is>
          <t>End: 31-Jan-2005</t>
        </is>
      </c>
      <c r="CV6" s="183" t="inlineStr">
        <is>
          <t>End: 31-Oct-2004</t>
        </is>
      </c>
      <c r="CW6" s="183" t="inlineStr">
        <is>
          <t>End: 31-Jul-2004</t>
        </is>
      </c>
      <c r="CX6" s="183" t="inlineStr">
        <is>
          <t>End: 30-Apr-2004</t>
        </is>
      </c>
      <c r="CY6" s="183" t="inlineStr">
        <is>
          <t>End: 31-Jan-2004</t>
        </is>
      </c>
      <c r="CZ6" s="183" t="inlineStr">
        <is>
          <t>End: 31-Oct-2003</t>
        </is>
      </c>
      <c r="DA6" s="183" t="inlineStr">
        <is>
          <t>End: 31-Jul-2003</t>
        </is>
      </c>
      <c r="DB6" s="183" t="inlineStr">
        <is>
          <t>End: 30-Apr-2003</t>
        </is>
      </c>
      <c r="DC6" s="183" t="inlineStr">
        <is>
          <t>End: 31-Jan-2003</t>
        </is>
      </c>
      <c r="DD6" s="183" t="inlineStr">
        <is>
          <t>End: 31-Oct-2002</t>
        </is>
      </c>
      <c r="DE6" s="183" t="inlineStr">
        <is>
          <t>End: 31-Jul-2002</t>
        </is>
      </c>
      <c r="DF6" s="183" t="inlineStr">
        <is>
          <t>End: 30-Apr-2002</t>
        </is>
      </c>
      <c r="DG6" s="183" t="inlineStr">
        <is>
          <t>End: 31-Jan-2002</t>
        </is>
      </c>
      <c r="DH6" s="183" t="inlineStr">
        <is>
          <t>End: 31-Oct-2001</t>
        </is>
      </c>
      <c r="DI6" s="183" t="inlineStr">
        <is>
          <t>End: 31-Jul-2001</t>
        </is>
      </c>
      <c r="DJ6" s="183" t="inlineStr">
        <is>
          <t>End: 30-Apr-2001</t>
        </is>
      </c>
      <c r="DK6" s="183" t="inlineStr">
        <is>
          <t>End: 31-Jan-2001</t>
        </is>
      </c>
      <c r="DL6" s="183" t="inlineStr">
        <is>
          <t>End: 31-Oct-2000</t>
        </is>
      </c>
      <c r="DM6" s="183" t="inlineStr">
        <is>
          <t>End: 31-Jul-2000</t>
        </is>
      </c>
      <c r="DN6" s="183" t="inlineStr">
        <is>
          <t>End: 30-Apr-2000</t>
        </is>
      </c>
      <c r="DO6" s="183" t="inlineStr">
        <is>
          <t>End: 31-Jan-2000</t>
        </is>
      </c>
      <c r="DP6" s="183" t="inlineStr">
        <is>
          <t>End: 31-Oct-1999</t>
        </is>
      </c>
      <c r="DQ6" s="183" t="inlineStr">
        <is>
          <t>End: 31-Jul-1999</t>
        </is>
      </c>
      <c r="DR6" s="183" t="inlineStr">
        <is>
          <t>End: 30-Apr-1999</t>
        </is>
      </c>
      <c r="DS6" s="183" t="inlineStr">
        <is>
          <t>End: 31-Jan-1999</t>
        </is>
      </c>
      <c r="DT6" s="183" t="inlineStr">
        <is>
          <t>End: 31-Oct-1998</t>
        </is>
      </c>
      <c r="DU6" s="183" t="inlineStr">
        <is>
          <t>End: 31-Jul-1998</t>
        </is>
      </c>
      <c r="DV6" s="183" t="inlineStr">
        <is>
          <t>End: 30-Apr-1998</t>
        </is>
      </c>
      <c r="DW6" s="183" t="inlineStr">
        <is>
          <t>End: 31-Jan-1998</t>
        </is>
      </c>
      <c r="DX6" s="183" t="inlineStr">
        <is>
          <t>End: 31-Oct-1997</t>
        </is>
      </c>
      <c r="DY6" s="183" t="inlineStr">
        <is>
          <t>End: 31-Jul-1997</t>
        </is>
      </c>
      <c r="DZ6" s="183" t="inlineStr">
        <is>
          <t>End: 30-Apr-1997</t>
        </is>
      </c>
      <c r="EA6" s="183" t="inlineStr">
        <is>
          <t>End: 31-Jan-1997</t>
        </is>
      </c>
      <c r="EB6" s="183" t="inlineStr">
        <is>
          <t>End: 31-Oct-1996</t>
        </is>
      </c>
      <c r="EC6" s="183" t="inlineStr">
        <is>
          <t>End: 31-Jul-1996</t>
        </is>
      </c>
      <c r="ED6" s="183" t="inlineStr">
        <is>
          <t>End: 30-Apr-1996</t>
        </is>
      </c>
      <c r="EE6" s="183" t="inlineStr">
        <is>
          <t>End: 31-Jan-1996</t>
        </is>
      </c>
      <c r="EF6" s="183" t="inlineStr">
        <is>
          <t>End: 31-Oct-1995</t>
        </is>
      </c>
      <c r="EG6" s="183" t="inlineStr">
        <is>
          <t>End: 31-Jul-1995</t>
        </is>
      </c>
      <c r="EH6" s="183" t="inlineStr">
        <is>
          <t>End: 30-Apr-1995</t>
        </is>
      </c>
      <c r="EI6" s="183" t="inlineStr">
        <is>
          <t>End: 31-Jan-1995</t>
        </is>
      </c>
      <c r="EJ6" s="183" t="inlineStr">
        <is>
          <t>End: 31-Oct-1994</t>
        </is>
      </c>
      <c r="EK6" s="183" t="inlineStr">
        <is>
          <t>End: 31-Jul-1994</t>
        </is>
      </c>
      <c r="EL6" s="183" t="inlineStr">
        <is>
          <t>End: 30-Apr-1994</t>
        </is>
      </c>
      <c r="EM6" s="183" t="inlineStr">
        <is>
          <t>End: 31-Jan-1994</t>
        </is>
      </c>
      <c r="EN6" s="183" t="inlineStr">
        <is>
          <t>End: 31-Oct-1993</t>
        </is>
      </c>
      <c r="EO6" s="182" t="n"/>
      <c r="EP6" s="176" t="n"/>
      <c r="EQ6" s="176" t="n"/>
      <c r="ER6" s="176" t="n"/>
      <c r="ES6" s="176" t="n"/>
      <c r="ET6" s="176" t="n"/>
      <c r="EU6" s="176" t="n"/>
      <c r="EV6" s="176" t="n"/>
      <c r="EW6" s="176" t="n"/>
      <c r="EX6" s="176" t="n"/>
      <c r="EY6" s="176" t="n"/>
      <c r="EZ6" s="176" t="n"/>
      <c r="FA6" s="176" t="n"/>
      <c r="FB6" s="176" t="n"/>
      <c r="FC6" s="176" t="n"/>
      <c r="FD6" s="176" t="n"/>
      <c r="FE6" s="176" t="n"/>
      <c r="FF6" s="176" t="n"/>
      <c r="FG6" s="176" t="n"/>
      <c r="FH6" s="176" t="n"/>
      <c r="FI6" s="176" t="n"/>
      <c r="FJ6" s="176" t="n"/>
      <c r="FK6" s="176" t="n"/>
      <c r="FL6" s="176" t="n"/>
      <c r="FM6" s="176" t="n"/>
    </row>
    <row r="7" ht="15" customHeight="1" s="392">
      <c r="A7" s="176" t="n"/>
      <c r="B7" s="180" t="n"/>
      <c r="C7" s="183" t="inlineStr">
        <is>
          <t>Amount in thousands  (USD) (except Ratios, Multiples &amp; per share items)</t>
        </is>
      </c>
      <c r="D7" s="185" t="n"/>
      <c r="E7" s="185" t="n"/>
      <c r="F7" s="185" t="n"/>
      <c r="G7" s="185" t="n"/>
      <c r="H7" s="185" t="n"/>
      <c r="I7" s="185" t="n"/>
      <c r="J7" s="185" t="n"/>
      <c r="K7" s="185" t="n"/>
      <c r="M7" s="183" t="inlineStr">
        <is>
          <t>Filed: 10-Sep-2026</t>
        </is>
      </c>
      <c r="N7" s="183" t="inlineStr">
        <is>
          <t>Filed: 29-May-2026</t>
        </is>
      </c>
      <c r="O7" s="183" t="inlineStr">
        <is>
          <t>Filed: 03-Mar-2026</t>
        </is>
      </c>
      <c r="P7" s="183" t="inlineStr">
        <is>
          <t>Filed: 24-Nov-2025</t>
        </is>
      </c>
      <c r="Q7" s="183" t="inlineStr">
        <is>
          <t>Filed: 26-Sep-2025</t>
        </is>
      </c>
      <c r="R7" s="183" t="inlineStr">
        <is>
          <t>Filed: 29-May-2026</t>
        </is>
      </c>
      <c r="S7" s="183" t="inlineStr">
        <is>
          <t>Filed: 03-Mar-2026</t>
        </is>
      </c>
      <c r="T7" s="183" t="inlineStr">
        <is>
          <t>Filed: 24-Nov-2025</t>
        </is>
      </c>
      <c r="U7" s="183" t="inlineStr">
        <is>
          <t>Filed: 26-Sep-2025</t>
        </is>
      </c>
      <c r="V7" s="183" t="inlineStr">
        <is>
          <t>Filed: 03-Jun-2025</t>
        </is>
      </c>
      <c r="W7" s="183" t="inlineStr">
        <is>
          <t>Filed: 26-Feb-2025</t>
        </is>
      </c>
      <c r="X7" s="183" t="inlineStr">
        <is>
          <t>Filed: 26-Nov-2024</t>
        </is>
      </c>
      <c r="Y7" s="183" t="inlineStr">
        <is>
          <t>Filed: 26-Sep-2025</t>
        </is>
      </c>
      <c r="Z7" s="183" t="inlineStr">
        <is>
          <t>Filed: 23-May-2024</t>
        </is>
      </c>
      <c r="AA7" s="183" t="inlineStr">
        <is>
          <t>Filed: 27-Feb-2024</t>
        </is>
      </c>
      <c r="AB7" s="183" t="inlineStr">
        <is>
          <t>Filed: 21-Nov-2023</t>
        </is>
      </c>
      <c r="AC7" s="183" t="inlineStr">
        <is>
          <t>Filed: 30-Sep-2024</t>
        </is>
      </c>
      <c r="AD7" s="183" t="inlineStr">
        <is>
          <t>Filed: 25-May-2023</t>
        </is>
      </c>
      <c r="AE7" s="183" t="inlineStr">
        <is>
          <t>Filed: 24-Feb-2023</t>
        </is>
      </c>
      <c r="AF7" s="183" t="inlineStr">
        <is>
          <t>Filed: 18-Nov-2022</t>
        </is>
      </c>
      <c r="AG7" s="183" t="inlineStr">
        <is>
          <t>Filed: 28-Sep-2023</t>
        </is>
      </c>
      <c r="AH7" s="183" t="inlineStr">
        <is>
          <t>Filed: 25-May-2022</t>
        </is>
      </c>
      <c r="AI7" s="183" t="inlineStr">
        <is>
          <t>Filed: 03-Mar-2022</t>
        </is>
      </c>
      <c r="AJ7" s="183" t="inlineStr">
        <is>
          <t>Filed: 19-Nov-2021</t>
        </is>
      </c>
      <c r="AK7" s="183" t="inlineStr">
        <is>
          <t>Filed: 27-Sep-2022</t>
        </is>
      </c>
      <c r="AL7" s="183" t="inlineStr">
        <is>
          <t>Filed: 24-May-2021</t>
        </is>
      </c>
      <c r="AM7" s="183" t="inlineStr">
        <is>
          <t>Filed: 24-Feb-2021</t>
        </is>
      </c>
      <c r="AN7" s="183" t="inlineStr">
        <is>
          <t>Filed: 20-Nov-2020</t>
        </is>
      </c>
      <c r="AO7" s="183" t="inlineStr">
        <is>
          <t>Filed: 27-Sep-2021</t>
        </is>
      </c>
      <c r="AP7" s="183" t="inlineStr">
        <is>
          <t>Filed: 28-May-2020</t>
        </is>
      </c>
      <c r="AQ7" s="183" t="inlineStr">
        <is>
          <t>Filed: 27-Feb-2020</t>
        </is>
      </c>
      <c r="AR7" s="183" t="inlineStr">
        <is>
          <t>Filed: 25-Nov-2019</t>
        </is>
      </c>
      <c r="AS7" s="183" t="inlineStr">
        <is>
          <t>Filed: 28-Sep-2020</t>
        </is>
      </c>
      <c r="AT7" s="183" t="inlineStr">
        <is>
          <t>Filed: 29-May-2019</t>
        </is>
      </c>
      <c r="AU7" s="183" t="inlineStr">
        <is>
          <t>Filed: 28-Feb-2019</t>
        </is>
      </c>
      <c r="AV7" s="183" t="inlineStr">
        <is>
          <t>Filed: 29-Nov-2018</t>
        </is>
      </c>
      <c r="AW7" s="183" t="inlineStr">
        <is>
          <t>Filed: 30-Sep-2019</t>
        </is>
      </c>
      <c r="AX7" s="183" t="inlineStr">
        <is>
          <t>Filed: 25-May-2018</t>
        </is>
      </c>
      <c r="AY7" s="183" t="inlineStr">
        <is>
          <t>Filed: 27-Feb-2018</t>
        </is>
      </c>
      <c r="AZ7" s="183" t="inlineStr">
        <is>
          <t>Filed: 28-Nov-2017</t>
        </is>
      </c>
      <c r="BA7" s="183" t="inlineStr">
        <is>
          <t>Filed: 01-Oct-2018</t>
        </is>
      </c>
      <c r="BB7" s="183" t="inlineStr">
        <is>
          <t>Filed: 25-May-2017</t>
        </is>
      </c>
      <c r="BC7" s="183" t="inlineStr">
        <is>
          <t>Filed: 28-Feb-2017</t>
        </is>
      </c>
      <c r="BD7" s="183" t="inlineStr">
        <is>
          <t>Filed: 30-Nov-2016</t>
        </is>
      </c>
      <c r="BE7" s="183" t="inlineStr">
        <is>
          <t>Filed: 28-Sep-2017</t>
        </is>
      </c>
      <c r="BF7" s="183" t="inlineStr">
        <is>
          <t>Filed: 26-May-2016</t>
        </is>
      </c>
      <c r="BG7" s="183" t="inlineStr">
        <is>
          <t>Filed: 25-Feb-2016</t>
        </is>
      </c>
      <c r="BH7" s="183" t="inlineStr">
        <is>
          <t>Filed: 24-Nov-2015</t>
        </is>
      </c>
      <c r="BI7" s="183" t="inlineStr">
        <is>
          <t>Filed: 28-Sep-2016</t>
        </is>
      </c>
      <c r="BJ7" s="183" t="inlineStr">
        <is>
          <t>Filed: 28-May-2015</t>
        </is>
      </c>
      <c r="BK7" s="183" t="inlineStr">
        <is>
          <t>Filed: 04-Mar-2015</t>
        </is>
      </c>
      <c r="BL7" s="183" t="inlineStr">
        <is>
          <t>Filed: 26-Nov-2014</t>
        </is>
      </c>
      <c r="BM7" s="183" t="inlineStr">
        <is>
          <t>Filed: 25-Sep-2015</t>
        </is>
      </c>
      <c r="BN7" s="183" t="inlineStr">
        <is>
          <t>Filed: 09-Jun-2014</t>
        </is>
      </c>
      <c r="BO7" s="183" t="inlineStr">
        <is>
          <t>Filed: 05-Mar-2014</t>
        </is>
      </c>
      <c r="BP7" s="183" t="inlineStr">
        <is>
          <t>Filed: 31-Oct-2012</t>
        </is>
      </c>
      <c r="BQ7" s="183" t="inlineStr">
        <is>
          <t>Filed: 31-Jul-2012</t>
        </is>
      </c>
      <c r="BR7" s="183" t="inlineStr">
        <is>
          <t>Filed: 30-Apr-2012</t>
        </is>
      </c>
      <c r="BS7" s="183" t="inlineStr">
        <is>
          <t>Filed: 31-Jan-2012</t>
        </is>
      </c>
      <c r="BT7" s="183" t="inlineStr">
        <is>
          <t>Filed: 31-Oct-2011</t>
        </is>
      </c>
      <c r="BU7" s="183" t="inlineStr">
        <is>
          <t>Filed: 31-Jul-2011</t>
        </is>
      </c>
      <c r="BV7" s="183" t="inlineStr">
        <is>
          <t>Filed: 30-Apr-2011</t>
        </is>
      </c>
      <c r="BW7" s="183" t="inlineStr">
        <is>
          <t>Filed: 31-Jan-2011</t>
        </is>
      </c>
      <c r="BX7" s="183" t="inlineStr">
        <is>
          <t>Filed: 31-Oct-2010</t>
        </is>
      </c>
      <c r="BY7" s="183" t="inlineStr">
        <is>
          <t>Filed: 31-Jul-2010</t>
        </is>
      </c>
      <c r="BZ7" s="183" t="inlineStr">
        <is>
          <t>Filed: 30-Apr-2010</t>
        </is>
      </c>
      <c r="CA7" s="183" t="inlineStr">
        <is>
          <t>Filed: 31-Jan-2010</t>
        </is>
      </c>
      <c r="CB7" s="183" t="inlineStr">
        <is>
          <t>Filed: 31-Oct-2009</t>
        </is>
      </c>
      <c r="CC7" s="183" t="inlineStr">
        <is>
          <t>Filed: 31-Jul-2009</t>
        </is>
      </c>
      <c r="CD7" s="183" t="inlineStr">
        <is>
          <t>Filed: 30-Apr-2009</t>
        </is>
      </c>
      <c r="CE7" s="183" t="inlineStr">
        <is>
          <t>Filed: 31-Jan-2009</t>
        </is>
      </c>
      <c r="CF7" s="183" t="inlineStr">
        <is>
          <t>Filed: 31-Oct-2008</t>
        </is>
      </c>
      <c r="CG7" s="183" t="inlineStr">
        <is>
          <t>Filed: 31-Jul-2008</t>
        </is>
      </c>
      <c r="CH7" s="183" t="inlineStr">
        <is>
          <t>Filed: 30-Apr-2008</t>
        </is>
      </c>
      <c r="CI7" s="183" t="inlineStr">
        <is>
          <t>Filed: 31-Jan-2008</t>
        </is>
      </c>
      <c r="CJ7" s="183" t="inlineStr">
        <is>
          <t>Filed: 31-Oct-2007</t>
        </is>
      </c>
      <c r="CK7" s="183" t="inlineStr">
        <is>
          <t>Filed: 31-Jul-2007</t>
        </is>
      </c>
      <c r="CL7" s="183" t="inlineStr">
        <is>
          <t>Filed: 30-Apr-2007</t>
        </is>
      </c>
      <c r="CM7" s="183" t="inlineStr">
        <is>
          <t>Filed: 31-Jan-2007</t>
        </is>
      </c>
      <c r="CN7" s="183" t="inlineStr">
        <is>
          <t>Filed: 31-Oct-2006</t>
        </is>
      </c>
      <c r="CO7" s="183" t="inlineStr">
        <is>
          <t>Filed: 31-Jul-2006</t>
        </is>
      </c>
      <c r="CP7" s="183" t="inlineStr">
        <is>
          <t>Filed: 30-Apr-2006</t>
        </is>
      </c>
      <c r="CQ7" s="183" t="inlineStr">
        <is>
          <t>Filed: 31-Jan-2006</t>
        </is>
      </c>
      <c r="CR7" s="183" t="inlineStr">
        <is>
          <t>Filed: 31-Oct-2005</t>
        </is>
      </c>
      <c r="CS7" s="183" t="inlineStr">
        <is>
          <t>Filed: 31-Jul-2005</t>
        </is>
      </c>
      <c r="CT7" s="183" t="inlineStr">
        <is>
          <t>Filed: 30-Apr-2005</t>
        </is>
      </c>
      <c r="CU7" s="183" t="inlineStr">
        <is>
          <t>Filed: 31-Jan-2005</t>
        </is>
      </c>
      <c r="CV7" s="183" t="inlineStr">
        <is>
          <t>Filed: 31-Oct-2004</t>
        </is>
      </c>
      <c r="CW7" s="183" t="inlineStr">
        <is>
          <t>Filed: 31-Jul-2004</t>
        </is>
      </c>
      <c r="CX7" s="183" t="inlineStr">
        <is>
          <t>Filed: 30-Apr-2004</t>
        </is>
      </c>
      <c r="CY7" s="183" t="inlineStr">
        <is>
          <t>Filed: 31-Jan-2004</t>
        </is>
      </c>
      <c r="CZ7" s="183" t="inlineStr">
        <is>
          <t>Filed: 31-Oct-2003</t>
        </is>
      </c>
      <c r="DA7" s="183" t="inlineStr">
        <is>
          <t>Filed: 31-Jul-2003</t>
        </is>
      </c>
      <c r="DB7" s="183" t="inlineStr">
        <is>
          <t>Filed: 30-Apr-2003</t>
        </is>
      </c>
      <c r="DC7" s="183" t="inlineStr">
        <is>
          <t>Filed: 31-Jan-2003</t>
        </is>
      </c>
      <c r="DD7" s="183" t="inlineStr">
        <is>
          <t>Filed: 31-Oct-2002</t>
        </is>
      </c>
      <c r="DE7" s="183" t="inlineStr">
        <is>
          <t>Filed: 31-Jul-2002</t>
        </is>
      </c>
      <c r="DF7" s="183" t="inlineStr">
        <is>
          <t>Filed: 30-Apr-2002</t>
        </is>
      </c>
      <c r="DG7" s="183" t="inlineStr">
        <is>
          <t>Filed: 31-Jan-2002</t>
        </is>
      </c>
      <c r="DH7" s="183" t="inlineStr">
        <is>
          <t>Filed: 31-Oct-2001</t>
        </is>
      </c>
      <c r="DI7" s="183" t="inlineStr">
        <is>
          <t>Filed: 31-Jul-2001</t>
        </is>
      </c>
      <c r="DJ7" s="183" t="inlineStr">
        <is>
          <t>Filed: 30-Apr-2001</t>
        </is>
      </c>
      <c r="DK7" s="183" t="inlineStr">
        <is>
          <t>Filed: 31-Jan-2001</t>
        </is>
      </c>
      <c r="DL7" s="183" t="inlineStr">
        <is>
          <t>Filed: 31-Oct-2000</t>
        </is>
      </c>
      <c r="DM7" s="183" t="inlineStr">
        <is>
          <t>Filed: 31-Jul-2000</t>
        </is>
      </c>
      <c r="DN7" s="183" t="inlineStr">
        <is>
          <t>Filed: 30-Apr-2000</t>
        </is>
      </c>
      <c r="DO7" s="183" t="inlineStr">
        <is>
          <t>Filed: 31-Jan-2000</t>
        </is>
      </c>
      <c r="DP7" s="183" t="inlineStr">
        <is>
          <t>Filed: 31-Oct-1999</t>
        </is>
      </c>
      <c r="DQ7" s="183" t="inlineStr">
        <is>
          <t>Filed: 31-Jul-1999</t>
        </is>
      </c>
      <c r="DR7" s="183" t="inlineStr">
        <is>
          <t>Filed: 30-Apr-1999</t>
        </is>
      </c>
      <c r="DS7" s="183" t="inlineStr">
        <is>
          <t>Filed: 31-Jan-1999</t>
        </is>
      </c>
      <c r="DT7" s="183" t="inlineStr">
        <is>
          <t>Filed: 31-Oct-1998</t>
        </is>
      </c>
      <c r="DU7" s="183" t="inlineStr">
        <is>
          <t>Filed: 31-Jul-1998</t>
        </is>
      </c>
      <c r="DV7" s="183" t="inlineStr">
        <is>
          <t>Filed: 30-Apr-1998</t>
        </is>
      </c>
      <c r="DW7" s="183" t="inlineStr">
        <is>
          <t>Filed: 31-Jan-1998</t>
        </is>
      </c>
      <c r="DX7" s="183" t="inlineStr">
        <is>
          <t>Filed: 31-Oct-1997</t>
        </is>
      </c>
      <c r="DY7" s="183" t="inlineStr">
        <is>
          <t>Filed: 31-Jul-1997</t>
        </is>
      </c>
      <c r="DZ7" s="183" t="inlineStr">
        <is>
          <t>Filed: 30-Apr-1997</t>
        </is>
      </c>
      <c r="EA7" s="183" t="inlineStr">
        <is>
          <t>Filed: 31-Jan-1997</t>
        </is>
      </c>
      <c r="EB7" s="183" t="inlineStr">
        <is>
          <t>Filed: 31-Oct-1996</t>
        </is>
      </c>
      <c r="EC7" s="183" t="inlineStr">
        <is>
          <t>Filed: 31-Jul-1996</t>
        </is>
      </c>
      <c r="ED7" s="183" t="inlineStr">
        <is>
          <t>Filed: 30-Apr-1996</t>
        </is>
      </c>
      <c r="EE7" s="183" t="inlineStr">
        <is>
          <t>Filed: 31-Jan-1996</t>
        </is>
      </c>
      <c r="EF7" s="183" t="inlineStr">
        <is>
          <t>Filed: 31-Oct-1995</t>
        </is>
      </c>
      <c r="EG7" s="183" t="inlineStr">
        <is>
          <t>Filed: 31-Jul-1995</t>
        </is>
      </c>
      <c r="EH7" s="183" t="inlineStr">
        <is>
          <t>Filed: 30-Apr-1995</t>
        </is>
      </c>
      <c r="EI7" s="183" t="inlineStr">
        <is>
          <t>Filed: 31-Jan-1995</t>
        </is>
      </c>
      <c r="EJ7" s="183" t="inlineStr">
        <is>
          <t>Filed: 31-Oct-1994</t>
        </is>
      </c>
      <c r="EK7" s="183" t="inlineStr">
        <is>
          <t>Filed: 31-Jul-1994</t>
        </is>
      </c>
      <c r="EL7" s="183" t="inlineStr">
        <is>
          <t>Filed: 30-Apr-1994</t>
        </is>
      </c>
      <c r="EM7" s="183" t="inlineStr">
        <is>
          <t>Filed: 31-Jan-1994</t>
        </is>
      </c>
      <c r="EN7" s="183" t="inlineStr">
        <is>
          <t>Filed: 31-Oct-1993</t>
        </is>
      </c>
      <c r="EO7" s="182" t="n"/>
      <c r="EP7" s="176" t="n"/>
      <c r="EQ7" s="176" t="n"/>
      <c r="ER7" s="176" t="n"/>
      <c r="ES7" s="176" t="n"/>
      <c r="ET7" s="176" t="n"/>
      <c r="EU7" s="176" t="n"/>
      <c r="EV7" s="176" t="n"/>
      <c r="EW7" s="176" t="n"/>
      <c r="EX7" s="176" t="n"/>
      <c r="EY7" s="176" t="n"/>
      <c r="EZ7" s="176" t="n"/>
      <c r="FA7" s="176" t="n"/>
      <c r="FB7" s="176" t="n"/>
      <c r="FC7" s="176" t="n"/>
      <c r="FD7" s="176" t="n"/>
      <c r="FE7" s="176" t="n"/>
      <c r="FF7" s="176" t="n"/>
      <c r="FG7" s="176" t="n"/>
      <c r="FH7" s="176" t="n"/>
      <c r="FI7" s="176" t="n"/>
      <c r="FJ7" s="176" t="n"/>
      <c r="FK7" s="176" t="n"/>
      <c r="FL7" s="176" t="n"/>
      <c r="FM7" s="176" t="n"/>
    </row>
    <row r="8" ht="15" customHeight="1" s="392">
      <c r="A8" s="176" t="n"/>
      <c r="B8" s="180" t="n"/>
      <c r="D8" s="185" t="n"/>
      <c r="E8" s="185" t="n"/>
      <c r="F8" s="185" t="n"/>
      <c r="G8" s="185" t="n"/>
      <c r="H8" s="185" t="n"/>
      <c r="I8" s="185" t="n"/>
      <c r="J8" s="185" t="n"/>
      <c r="K8" s="185" t="n"/>
      <c r="M8" s="206" t="inlineStr">
        <is>
          <t>View 8-KP</t>
        </is>
      </c>
      <c r="N8" s="206" t="inlineStr">
        <is>
          <t>View 10-Q</t>
        </is>
      </c>
      <c r="O8" s="206" t="inlineStr">
        <is>
          <t>View 10-Q</t>
        </is>
      </c>
      <c r="P8" s="206" t="inlineStr">
        <is>
          <t>View 10-Q</t>
        </is>
      </c>
      <c r="R8" s="206" t="inlineStr">
        <is>
          <t>View 10-Q</t>
        </is>
      </c>
      <c r="S8" s="206" t="inlineStr">
        <is>
          <t>View 10-Q</t>
        </is>
      </c>
      <c r="T8" s="206" t="inlineStr">
        <is>
          <t>View 10-Q</t>
        </is>
      </c>
      <c r="V8" s="206" t="inlineStr">
        <is>
          <t>View 10-Q</t>
        </is>
      </c>
      <c r="W8" s="206" t="inlineStr">
        <is>
          <t>View 10-Q</t>
        </is>
      </c>
      <c r="X8" s="206" t="inlineStr">
        <is>
          <t>View 10-Q</t>
        </is>
      </c>
      <c r="Z8" s="206" t="inlineStr">
        <is>
          <t>View 10-Q</t>
        </is>
      </c>
      <c r="AA8" s="206" t="inlineStr">
        <is>
          <t>View 10-Q</t>
        </is>
      </c>
      <c r="AB8" s="206" t="inlineStr">
        <is>
          <t>View 10-Q</t>
        </is>
      </c>
      <c r="AD8" s="206" t="inlineStr">
        <is>
          <t>View 10-Q</t>
        </is>
      </c>
      <c r="AE8" s="206" t="inlineStr">
        <is>
          <t>View 10-Q</t>
        </is>
      </c>
      <c r="AF8" s="206" t="inlineStr">
        <is>
          <t>View 10-Q</t>
        </is>
      </c>
      <c r="AH8" s="206" t="inlineStr">
        <is>
          <t>View 10-Q</t>
        </is>
      </c>
      <c r="AI8" s="206" t="inlineStr">
        <is>
          <t>View 10-Q</t>
        </is>
      </c>
      <c r="AJ8" s="206" t="inlineStr">
        <is>
          <t>View 10-Q</t>
        </is>
      </c>
      <c r="AL8" s="206" t="inlineStr">
        <is>
          <t>View 10-Q</t>
        </is>
      </c>
      <c r="AM8" s="206" t="inlineStr">
        <is>
          <t>View 10-Q</t>
        </is>
      </c>
      <c r="AN8" s="206" t="inlineStr">
        <is>
          <t>View 10-Q</t>
        </is>
      </c>
      <c r="AP8" s="206" t="inlineStr">
        <is>
          <t>View 10-Q</t>
        </is>
      </c>
      <c r="AQ8" s="206" t="inlineStr">
        <is>
          <t>View 10-Q</t>
        </is>
      </c>
      <c r="AR8" s="206" t="inlineStr">
        <is>
          <t>View 10-Q</t>
        </is>
      </c>
      <c r="AT8" s="206" t="inlineStr">
        <is>
          <t>View 10-Q</t>
        </is>
      </c>
      <c r="AU8" s="206" t="inlineStr">
        <is>
          <t>View 10-Q</t>
        </is>
      </c>
      <c r="AV8" s="206" t="inlineStr">
        <is>
          <t>View 10-Q</t>
        </is>
      </c>
      <c r="AX8" s="206" t="inlineStr">
        <is>
          <t>View 10-Q</t>
        </is>
      </c>
      <c r="AY8" s="206" t="inlineStr">
        <is>
          <t>View 10-Q</t>
        </is>
      </c>
      <c r="AZ8" s="206" t="inlineStr">
        <is>
          <t>View 10-Q</t>
        </is>
      </c>
      <c r="BB8" s="206" t="inlineStr">
        <is>
          <t>View 10-Q</t>
        </is>
      </c>
      <c r="BC8" s="206" t="inlineStr">
        <is>
          <t>View 10-Q</t>
        </is>
      </c>
      <c r="BD8" s="206" t="inlineStr">
        <is>
          <t>View 10-Q</t>
        </is>
      </c>
      <c r="BF8" s="206" t="inlineStr">
        <is>
          <t>View 10-Q</t>
        </is>
      </c>
      <c r="BG8" s="206" t="inlineStr">
        <is>
          <t>View 10-Q</t>
        </is>
      </c>
      <c r="BH8" s="206" t="inlineStr">
        <is>
          <t>View 10-Q</t>
        </is>
      </c>
      <c r="BJ8" s="206" t="inlineStr">
        <is>
          <t>View 10-Q</t>
        </is>
      </c>
      <c r="BK8" s="206" t="inlineStr">
        <is>
          <t>View 10-Q</t>
        </is>
      </c>
      <c r="BL8" s="206" t="inlineStr">
        <is>
          <t>View 10-Q</t>
        </is>
      </c>
      <c r="BN8" s="206" t="inlineStr">
        <is>
          <t>View 10-Q</t>
        </is>
      </c>
      <c r="BO8" s="206" t="inlineStr">
        <is>
          <t>View 10-Q</t>
        </is>
      </c>
      <c r="BP8" s="206" t="inlineStr">
        <is>
          <t>View 10-Q</t>
        </is>
      </c>
      <c r="BR8" s="206" t="inlineStr">
        <is>
          <t>View 10-Q</t>
        </is>
      </c>
      <c r="BS8" s="206" t="inlineStr">
        <is>
          <t>View 10-Q</t>
        </is>
      </c>
      <c r="BT8" s="206" t="inlineStr">
        <is>
          <t>View 10-Q</t>
        </is>
      </c>
      <c r="BV8" s="206" t="inlineStr">
        <is>
          <t>View 10-Q</t>
        </is>
      </c>
      <c r="BW8" s="206" t="inlineStr">
        <is>
          <t>View 10-Q</t>
        </is>
      </c>
      <c r="BX8" s="206" t="inlineStr">
        <is>
          <t>View 10-Q</t>
        </is>
      </c>
      <c r="BZ8" s="206" t="inlineStr">
        <is>
          <t>View 10-Q</t>
        </is>
      </c>
      <c r="CA8" s="206" t="inlineStr">
        <is>
          <t>View 10-Q</t>
        </is>
      </c>
      <c r="CB8" s="206" t="inlineStr">
        <is>
          <t>View 10-Q</t>
        </is>
      </c>
      <c r="CD8" s="206" t="inlineStr">
        <is>
          <t>View 10-Q</t>
        </is>
      </c>
      <c r="CE8" s="206" t="inlineStr">
        <is>
          <t>View 10-Q</t>
        </is>
      </c>
      <c r="EO8" s="182" t="n"/>
      <c r="EP8" s="176" t="n"/>
      <c r="EQ8" s="176" t="n"/>
      <c r="ER8" s="176" t="n"/>
      <c r="ES8" s="176" t="n"/>
      <c r="ET8" s="176" t="n"/>
      <c r="EU8" s="176" t="n"/>
      <c r="EV8" s="176" t="n"/>
      <c r="EW8" s="176" t="n"/>
      <c r="EX8" s="176" t="n"/>
      <c r="EY8" s="176" t="n"/>
      <c r="EZ8" s="176" t="n"/>
      <c r="FA8" s="176" t="n"/>
      <c r="FB8" s="176" t="n"/>
      <c r="FC8" s="176" t="n"/>
      <c r="FD8" s="176" t="n"/>
      <c r="FE8" s="176" t="n"/>
      <c r="FF8" s="176" t="n"/>
      <c r="FG8" s="176" t="n"/>
      <c r="FH8" s="176" t="n"/>
      <c r="FI8" s="176" t="n"/>
      <c r="FJ8" s="176" t="n"/>
      <c r="FK8" s="176" t="n"/>
      <c r="FL8" s="176" t="n"/>
      <c r="FM8" s="176" t="n"/>
    </row>
    <row r="9" ht="15" customHeight="1" s="392">
      <c r="A9" s="176" t="n"/>
      <c r="B9" s="180" t="n"/>
      <c r="D9" s="185" t="n"/>
      <c r="E9" s="185" t="n"/>
      <c r="F9" s="185" t="n"/>
      <c r="G9" s="185" t="n"/>
      <c r="H9" s="185" t="n"/>
      <c r="I9" s="185" t="n"/>
      <c r="J9" s="185" t="n"/>
      <c r="K9" s="185" t="n"/>
      <c r="EO9" s="182" t="n"/>
      <c r="EP9" s="176" t="n"/>
      <c r="EQ9" s="176" t="n"/>
      <c r="ER9" s="176" t="n"/>
      <c r="ES9" s="176" t="n"/>
      <c r="ET9" s="176" t="n"/>
      <c r="EU9" s="176" t="n"/>
      <c r="EV9" s="176" t="n"/>
      <c r="EW9" s="176" t="n"/>
      <c r="EX9" s="176" t="n"/>
      <c r="EY9" s="176" t="n"/>
      <c r="EZ9" s="176" t="n"/>
      <c r="FA9" s="176" t="n"/>
      <c r="FB9" s="176" t="n"/>
      <c r="FC9" s="176" t="n"/>
      <c r="FD9" s="176" t="n"/>
      <c r="FE9" s="176" t="n"/>
      <c r="FF9" s="176" t="n"/>
      <c r="FG9" s="176" t="n"/>
      <c r="FH9" s="176" t="n"/>
      <c r="FI9" s="176" t="n"/>
      <c r="FJ9" s="176" t="n"/>
      <c r="FK9" s="176" t="n"/>
      <c r="FL9" s="176" t="n"/>
      <c r="FM9" s="176" t="n"/>
    </row>
    <row r="10" ht="15" customHeight="1" s="392">
      <c r="A10" s="176" t="n"/>
      <c r="B10" s="180" t="n"/>
      <c r="D10" s="185" t="n"/>
      <c r="E10" s="185" t="n"/>
      <c r="F10" s="185" t="n"/>
      <c r="G10" s="185" t="n"/>
      <c r="H10" s="185" t="n"/>
      <c r="I10" s="185" t="n"/>
      <c r="J10" s="185" t="n"/>
      <c r="K10" s="185" t="n"/>
      <c r="EO10" s="182" t="n"/>
      <c r="EP10" s="176" t="n"/>
      <c r="EQ10" s="176" t="n"/>
      <c r="ER10" s="176" t="n"/>
      <c r="ES10" s="176" t="n"/>
      <c r="ET10" s="176" t="n"/>
      <c r="EU10" s="176" t="n"/>
      <c r="EV10" s="176" t="n"/>
      <c r="EW10" s="176" t="n"/>
      <c r="EX10" s="176" t="n"/>
      <c r="EY10" s="176" t="n"/>
      <c r="EZ10" s="176" t="n"/>
      <c r="FA10" s="176" t="n"/>
      <c r="FB10" s="176" t="n"/>
      <c r="FC10" s="176" t="n"/>
      <c r="FD10" s="176" t="n"/>
      <c r="FE10" s="176" t="n"/>
      <c r="FF10" s="176" t="n"/>
      <c r="FG10" s="176" t="n"/>
      <c r="FH10" s="176" t="n"/>
      <c r="FI10" s="176" t="n"/>
      <c r="FJ10" s="176" t="n"/>
      <c r="FK10" s="176" t="n"/>
      <c r="FL10" s="176" t="n"/>
      <c r="FM10" s="176" t="n"/>
    </row>
    <row r="11" ht="15" customHeight="1" s="392">
      <c r="A11" s="176" t="n"/>
      <c r="B11" s="180" t="n"/>
      <c r="C11" s="189" t="inlineStr">
        <is>
          <t>Gross Profit</t>
        </is>
      </c>
      <c r="D11" s="185" t="n"/>
      <c r="E11" s="185" t="n"/>
      <c r="F11" s="185" t="n"/>
      <c r="G11" s="185" t="n"/>
      <c r="H11" s="185" t="n"/>
      <c r="I11" s="185" t="n"/>
      <c r="J11" s="185" t="n"/>
      <c r="K11" s="185" t="n"/>
      <c r="L11" s="185" t="n"/>
      <c r="M11" s="185" t="n"/>
      <c r="N11" s="185" t="n"/>
      <c r="O11" s="185" t="n"/>
      <c r="P11" s="185" t="n"/>
      <c r="Q11" s="185" t="n"/>
      <c r="R11" s="185" t="n"/>
      <c r="S11" s="185" t="n"/>
      <c r="T11" s="185" t="n"/>
      <c r="U11" s="185" t="n"/>
      <c r="V11" s="185" t="n"/>
      <c r="W11" s="185" t="n"/>
      <c r="X11" s="185" t="n"/>
      <c r="Y11" s="185" t="n"/>
      <c r="Z11" s="185" t="n"/>
      <c r="AA11" s="185" t="n"/>
      <c r="AB11" s="185" t="n"/>
      <c r="AC11" s="185" t="n"/>
      <c r="AD11" s="185" t="n"/>
      <c r="AE11" s="185" t="n"/>
      <c r="AF11" s="185" t="n"/>
      <c r="AG11" s="185" t="n"/>
      <c r="AH11" s="185" t="n"/>
      <c r="AI11" s="185" t="n"/>
      <c r="AJ11" s="185" t="n"/>
      <c r="AK11" s="185" t="n"/>
      <c r="AL11" s="185" t="n"/>
      <c r="AM11" s="185" t="n"/>
      <c r="AN11" s="185" t="n"/>
      <c r="AO11" s="185" t="n"/>
      <c r="AP11" s="185" t="n"/>
      <c r="AQ11" s="185" t="n"/>
      <c r="AR11" s="185" t="n"/>
      <c r="AS11" s="185" t="n"/>
      <c r="AT11" s="185" t="n"/>
      <c r="AU11" s="185" t="n"/>
      <c r="AV11" s="185" t="n"/>
      <c r="AW11" s="185" t="n"/>
      <c r="AX11" s="185" t="n"/>
      <c r="AY11" s="185" t="n"/>
      <c r="AZ11" s="185" t="n"/>
      <c r="BA11" s="185" t="n"/>
      <c r="BB11" s="185" t="n"/>
      <c r="BC11" s="185" t="n"/>
      <c r="BD11" s="185" t="n"/>
      <c r="BE11" s="185" t="n"/>
      <c r="BF11" s="185" t="n"/>
      <c r="BG11" s="185" t="n"/>
      <c r="BH11" s="185" t="n"/>
      <c r="BI11" s="185" t="n"/>
      <c r="BJ11" s="185" t="n"/>
      <c r="BK11" s="185" t="n"/>
      <c r="BL11" s="185" t="n"/>
      <c r="BM11" s="185" t="n"/>
      <c r="BN11" s="185" t="n"/>
      <c r="BO11" s="185" t="n"/>
      <c r="BP11" s="185" t="n"/>
      <c r="BQ11" s="185" t="n"/>
      <c r="BR11" s="185" t="n"/>
      <c r="BS11" s="185" t="n"/>
      <c r="BT11" s="185" t="n"/>
      <c r="BU11" s="185" t="n"/>
      <c r="BV11" s="185" t="n"/>
      <c r="BW11" s="185" t="n"/>
      <c r="BX11" s="185" t="n"/>
      <c r="BY11" s="185" t="n"/>
      <c r="BZ11" s="185" t="n"/>
      <c r="CA11" s="185" t="n"/>
      <c r="CB11" s="185" t="n"/>
      <c r="CC11" s="185" t="n"/>
      <c r="CD11" s="185" t="n"/>
      <c r="CE11" s="185" t="n"/>
      <c r="CF11" s="185" t="n"/>
      <c r="CG11" s="185" t="n"/>
      <c r="CH11" s="185" t="n"/>
      <c r="CI11" s="185" t="n"/>
      <c r="CJ11" s="185" t="n"/>
      <c r="CK11" s="185" t="n"/>
      <c r="CL11" s="185" t="n"/>
      <c r="CM11" s="185" t="n"/>
      <c r="CN11" s="185" t="n"/>
      <c r="CO11" s="185" t="n"/>
      <c r="CP11" s="185" t="n"/>
      <c r="CQ11" s="185" t="n"/>
      <c r="CR11" s="185" t="n"/>
      <c r="CS11" s="185" t="n"/>
      <c r="CT11" s="185" t="n"/>
      <c r="CU11" s="185" t="n"/>
      <c r="CV11" s="185" t="n"/>
      <c r="CW11" s="185" t="n"/>
      <c r="CX11" s="185" t="n"/>
      <c r="CY11" s="185" t="n"/>
      <c r="CZ11" s="185" t="n"/>
      <c r="DA11" s="185" t="n"/>
      <c r="DB11" s="185" t="n"/>
      <c r="DC11" s="185" t="n"/>
      <c r="DD11" s="185" t="n"/>
      <c r="DE11" s="185" t="n"/>
      <c r="DF11" s="185" t="n"/>
      <c r="DG11" s="185" t="n"/>
      <c r="DH11" s="185" t="n"/>
      <c r="DI11" s="185" t="n"/>
      <c r="DJ11" s="185" t="n"/>
      <c r="DK11" s="185" t="n"/>
      <c r="DL11" s="185" t="n"/>
      <c r="DM11" s="185" t="n"/>
      <c r="DN11" s="185" t="n"/>
      <c r="DO11" s="185" t="n"/>
      <c r="DP11" s="185" t="n"/>
      <c r="DQ11" s="185" t="n"/>
      <c r="DR11" s="185" t="n"/>
      <c r="DS11" s="185" t="n"/>
      <c r="DT11" s="185" t="n"/>
      <c r="DU11" s="185" t="n"/>
      <c r="DV11" s="185" t="n"/>
      <c r="DW11" s="185" t="n"/>
      <c r="DX11" s="185" t="n"/>
      <c r="DY11" s="185" t="n"/>
      <c r="DZ11" s="185" t="n"/>
      <c r="EA11" s="185" t="n"/>
      <c r="EB11" s="185" t="n"/>
      <c r="EC11" s="185" t="n"/>
      <c r="ED11" s="185" t="n"/>
      <c r="EE11" s="185" t="n"/>
      <c r="EF11" s="185" t="n"/>
      <c r="EG11" s="185" t="n"/>
      <c r="EH11" s="185" t="n"/>
      <c r="EI11" s="185" t="n"/>
      <c r="EJ11" s="185" t="n"/>
      <c r="EK11" s="185" t="n"/>
      <c r="EL11" s="185" t="n"/>
      <c r="EM11" s="185" t="n"/>
      <c r="EN11" s="185" t="n"/>
      <c r="EO11" s="182" t="n"/>
      <c r="EP11" s="176" t="n"/>
      <c r="EQ11" s="176" t="n"/>
      <c r="ER11" s="176" t="n"/>
      <c r="ES11" s="176" t="n"/>
      <c r="ET11" s="176" t="n"/>
      <c r="EU11" s="176" t="n"/>
      <c r="EV11" s="176" t="n"/>
      <c r="EW11" s="176" t="n"/>
      <c r="EX11" s="176" t="n"/>
      <c r="EY11" s="176" t="n"/>
      <c r="EZ11" s="176" t="n"/>
      <c r="FA11" s="176" t="n"/>
      <c r="FB11" s="176" t="n"/>
      <c r="FC11" s="176" t="n"/>
      <c r="FD11" s="176" t="n"/>
      <c r="FE11" s="176" t="n"/>
      <c r="FF11" s="176" t="n"/>
      <c r="FG11" s="176" t="n"/>
      <c r="FH11" s="176" t="n"/>
      <c r="FI11" s="176" t="n"/>
      <c r="FJ11" s="176" t="n"/>
      <c r="FK11" s="176" t="n"/>
      <c r="FL11" s="176" t="n"/>
      <c r="FM11" s="176" t="n"/>
    </row>
    <row r="12" ht="15" customHeight="1" s="392">
      <c r="A12" s="176" t="n"/>
      <c r="B12" s="180" t="n"/>
      <c r="C12" s="183" t="inlineStr">
        <is>
          <t xml:space="preserve">    Revenue</t>
        </is>
      </c>
      <c r="D12" s="185" t="n"/>
      <c r="E12" s="185" t="n"/>
      <c r="F12" s="185" t="n"/>
      <c r="G12" s="185" t="n"/>
      <c r="H12" s="185" t="n"/>
      <c r="I12" s="185" t="n"/>
      <c r="J12" s="185" t="n"/>
      <c r="K12" s="185" t="n"/>
      <c r="EO12" s="182" t="n"/>
      <c r="EP12" s="176" t="n"/>
      <c r="EQ12" s="176" t="n"/>
      <c r="ER12" s="176" t="n"/>
      <c r="ES12" s="176" t="n"/>
      <c r="ET12" s="176" t="n"/>
      <c r="EU12" s="176" t="n"/>
      <c r="EV12" s="176" t="n"/>
      <c r="EW12" s="176" t="n"/>
      <c r="EX12" s="176" t="n"/>
      <c r="EY12" s="176" t="n"/>
      <c r="EZ12" s="176" t="n"/>
      <c r="FA12" s="176" t="n"/>
      <c r="FB12" s="176" t="n"/>
      <c r="FC12" s="176" t="n"/>
      <c r="FD12" s="176" t="n"/>
      <c r="FE12" s="176" t="n"/>
      <c r="FF12" s="176" t="n"/>
      <c r="FG12" s="176" t="n"/>
      <c r="FH12" s="176" t="n"/>
      <c r="FI12" s="176" t="n"/>
      <c r="FJ12" s="176" t="n"/>
      <c r="FK12" s="176" t="n"/>
      <c r="FL12" s="176" t="n"/>
      <c r="FM12" s="176" t="n"/>
    </row>
    <row r="13" ht="15" customHeight="1" s="392">
      <c r="A13" s="176" t="n"/>
      <c r="B13" s="180" t="n"/>
      <c r="C13" s="183" t="inlineStr">
        <is>
          <t xml:space="preserve">        Business Revenue</t>
        </is>
      </c>
      <c r="D13" s="190">
        <f>IF(COUNT(M13:EN13)&gt;0,MEDIAN(M13:EN13),"")</f>
        <v/>
      </c>
      <c r="E13" s="190">
        <f>IF(COUNT(M13:EN13)&gt;0,AVERAGE(M13:EN13),"")</f>
        <v/>
      </c>
      <c r="F13" s="190">
        <f>IF(COUNT(M13:EN13)&gt;0,MIN(M13:EN13),"")</f>
        <v/>
      </c>
      <c r="G13" s="190">
        <f>IF(COUNT(M13:EN13)&gt;0,MAX(M13:EN13),"")</f>
        <v/>
      </c>
      <c r="H13" s="190">
        <f>IF(COUNT(M13:EN13)&gt;0,QUARTILE(M13:EN13,1),"")</f>
        <v/>
      </c>
      <c r="I13" s="190">
        <f>IF(COUNT(M13:EN13)&gt;0,QUARTILE(M13:EN13,3),"")</f>
        <v/>
      </c>
      <c r="J13" s="190">
        <f>IF(COUNT(M13:EN13)&gt;1,STDEV(M13:EN13),"")</f>
        <v/>
      </c>
      <c r="K13" s="191">
        <f>IF(COUNT(M13:EN13)&gt;1,STDEV(M13:EN13)/AVERAGE(M13:EN13),"")</f>
        <v/>
      </c>
      <c r="M13" s="192" t="n">
        <v>1152439</v>
      </c>
      <c r="N13" s="192" t="n">
        <v>1237066</v>
      </c>
      <c r="O13" s="192" t="n">
        <v>1121674</v>
      </c>
      <c r="P13" s="192" t="n">
        <v>1155030</v>
      </c>
      <c r="Q13" s="192" t="n">
        <v>1125097</v>
      </c>
      <c r="R13" s="192" t="n">
        <v>1211716</v>
      </c>
      <c r="S13" s="192" t="n">
        <v>1163316</v>
      </c>
      <c r="T13" s="192" t="n">
        <v>1146829</v>
      </c>
      <c r="U13" s="192" t="n">
        <v>1068999</v>
      </c>
      <c r="V13" s="192" t="n">
        <v>1127259</v>
      </c>
      <c r="W13" s="192" t="n">
        <v>1020149</v>
      </c>
      <c r="X13" s="192" t="n">
        <v>1020416</v>
      </c>
      <c r="Y13" s="192" t="n">
        <v>997591</v>
      </c>
      <c r="Z13" s="192" t="n">
        <v>1021831</v>
      </c>
      <c r="AA13" s="192" t="n">
        <v>956724</v>
      </c>
      <c r="AB13" s="192" t="n">
        <v>893372</v>
      </c>
      <c r="AC13" s="192" t="n">
        <v>883388</v>
      </c>
      <c r="AD13" s="192" t="n">
        <v>939941</v>
      </c>
      <c r="AE13" s="192" t="n">
        <v>867460</v>
      </c>
      <c r="AF13" s="192" t="n">
        <v>810132</v>
      </c>
      <c r="AG13" s="192" t="n">
        <v>748630</v>
      </c>
      <c r="AH13" s="192" t="n">
        <v>733910</v>
      </c>
      <c r="AI13" s="192" t="n">
        <v>617031</v>
      </c>
      <c r="AJ13" s="192" t="n">
        <v>592940</v>
      </c>
      <c r="AK13" s="192" t="n">
        <v>525659</v>
      </c>
      <c r="AL13" s="192" t="n">
        <v>550360</v>
      </c>
      <c r="AM13" s="192" t="n">
        <v>575140</v>
      </c>
      <c r="AN13" s="192" t="n">
        <v>554424</v>
      </c>
      <c r="AO13" s="192" t="n">
        <v>542575</v>
      </c>
      <c r="AP13" s="192" t="n">
        <v>553116</v>
      </c>
      <c r="AQ13" s="192" t="n">
        <v>484898</v>
      </c>
      <c r="AR13" s="192" t="n">
        <v>461368</v>
      </c>
      <c r="AS13" s="192" t="n">
        <v>449223</v>
      </c>
      <c r="AT13" s="192" t="n">
        <v>478198</v>
      </c>
      <c r="AU13" s="192" t="n">
        <v>459106</v>
      </c>
      <c r="AV13" s="192" t="n">
        <v>419168</v>
      </c>
      <c r="AW13" s="192" t="n">
        <v>378596</v>
      </c>
      <c r="AX13" s="192" t="n">
        <v>373862</v>
      </c>
      <c r="AY13" s="192" t="n">
        <v>349532</v>
      </c>
      <c r="AZ13" s="192" t="n">
        <v>345991</v>
      </c>
      <c r="BA13" s="192" t="n">
        <v>332659</v>
      </c>
      <c r="BB13" s="192" t="n">
        <v>347246</v>
      </c>
      <c r="BC13" s="192" t="n">
        <v>299706</v>
      </c>
      <c r="BD13" s="192" t="n">
        <v>288838</v>
      </c>
      <c r="BE13" s="192" t="n">
        <v>282293</v>
      </c>
      <c r="BF13" s="192" t="n">
        <v>297142</v>
      </c>
      <c r="BG13" s="192" t="n">
        <v>276258</v>
      </c>
      <c r="BH13" s="192" t="n">
        <v>290386</v>
      </c>
      <c r="BI13" s="192" t="n">
        <v>287450</v>
      </c>
      <c r="BJ13" s="192" t="n">
        <v>309722</v>
      </c>
      <c r="BK13" s="192" t="n">
        <v>286434</v>
      </c>
      <c r="BL13" s="192" t="n">
        <v>279883</v>
      </c>
      <c r="BM13" s="192" t="n">
        <v>263697</v>
      </c>
      <c r="BN13" s="192" t="n">
        <v>277638</v>
      </c>
      <c r="BO13" s="192" t="n">
        <v>266185</v>
      </c>
      <c r="BP13" s="192" t="n">
        <v>238866</v>
      </c>
      <c r="BQ13" s="192" t="n">
        <v>226556</v>
      </c>
      <c r="BR13" s="192" t="n">
        <v>244105</v>
      </c>
      <c r="BS13" s="192" t="n">
        <v>227904</v>
      </c>
      <c r="BT13" s="192" t="n">
        <v>225626</v>
      </c>
      <c r="BU13" s="192" t="n">
        <v>215442</v>
      </c>
      <c r="BV13" s="192" t="n">
        <v>236755</v>
      </c>
      <c r="BW13" s="192" t="n">
        <v>207380</v>
      </c>
      <c r="BX13" s="192" t="n">
        <v>212667</v>
      </c>
      <c r="BY13" s="192" t="n">
        <v>190468</v>
      </c>
      <c r="BZ13" s="192" t="n">
        <v>220349</v>
      </c>
      <c r="CA13" s="192" t="n">
        <v>176601</v>
      </c>
      <c r="CB13" s="192" t="n">
        <v>185461</v>
      </c>
      <c r="CC13" s="192" t="n">
        <v>184332</v>
      </c>
      <c r="CD13" s="192" t="n">
        <v>197326</v>
      </c>
      <c r="CE13" s="192" t="n">
        <v>169855</v>
      </c>
      <c r="CF13" s="192" t="n">
        <v>191569</v>
      </c>
      <c r="CG13" s="192" t="n">
        <v>206282</v>
      </c>
      <c r="CH13" s="192" t="n">
        <v>221150</v>
      </c>
      <c r="CI13" s="192" t="n">
        <v>173459</v>
      </c>
      <c r="CJ13" s="192" t="n">
        <v>183957</v>
      </c>
      <c r="CK13" s="192" t="n">
        <v>153982</v>
      </c>
      <c r="CL13" s="192" t="n">
        <v>145652</v>
      </c>
      <c r="CM13" s="192" t="n">
        <v>128925</v>
      </c>
      <c r="CN13" s="192" t="n">
        <v>132121</v>
      </c>
      <c r="CO13" s="192" t="n">
        <v>137220</v>
      </c>
      <c r="CP13" s="192" t="n">
        <v>149512</v>
      </c>
      <c r="CQ13" s="192" t="n">
        <v>125099</v>
      </c>
      <c r="CR13" s="192" t="n">
        <v>116739</v>
      </c>
      <c r="CS13" s="192" t="n">
        <v>110575</v>
      </c>
      <c r="CT13" s="192" t="n">
        <v>127772</v>
      </c>
      <c r="CU13" s="192" t="n">
        <v>107701</v>
      </c>
      <c r="CV13" s="192" t="n">
        <v>104110</v>
      </c>
      <c r="CW13" s="192" t="n">
        <v>90294</v>
      </c>
      <c r="CX13" s="192" t="n">
        <v>116618</v>
      </c>
      <c r="CY13" s="192" t="n">
        <v>92635</v>
      </c>
      <c r="CZ13" s="192" t="n">
        <v>91466.60000000001</v>
      </c>
      <c r="DA13" s="192" t="n">
        <v>87216</v>
      </c>
      <c r="DB13" s="192" t="n">
        <v>93928.7</v>
      </c>
      <c r="DC13" s="192" t="n">
        <v>82783.39999999999</v>
      </c>
      <c r="DD13" s="192" t="n">
        <v>83494.89999999999</v>
      </c>
      <c r="DE13" s="192" t="n">
        <v>82632.7</v>
      </c>
      <c r="DF13" s="192" t="n">
        <v>90158.10000000001</v>
      </c>
      <c r="DG13" s="192" t="n">
        <v>71382.3</v>
      </c>
      <c r="DH13" s="192" t="n">
        <v>72282.5</v>
      </c>
      <c r="DI13" s="192" t="n">
        <v>68631.10000000001</v>
      </c>
      <c r="DJ13" s="192" t="n">
        <v>71480.60000000001</v>
      </c>
      <c r="DK13" s="192" t="n">
        <v>56638.2</v>
      </c>
      <c r="DL13" s="192" t="n">
        <v>57139.4</v>
      </c>
      <c r="DM13" s="192" t="n">
        <v>51327.3</v>
      </c>
      <c r="DN13" s="192" t="n">
        <v>53801.2</v>
      </c>
      <c r="DO13" s="192" t="n">
        <v>44400</v>
      </c>
      <c r="DP13" s="192" t="n">
        <v>40500</v>
      </c>
      <c r="DQ13" s="192" t="n">
        <v>39500</v>
      </c>
      <c r="DR13" s="192" t="n">
        <v>40000</v>
      </c>
      <c r="DS13" s="192" t="n">
        <v>32100</v>
      </c>
      <c r="DT13" s="192" t="n">
        <v>30200</v>
      </c>
      <c r="DU13" s="192" t="n">
        <v>30000</v>
      </c>
      <c r="DV13" s="192" t="n">
        <v>30600</v>
      </c>
      <c r="DW13" s="192" t="n">
        <v>26200</v>
      </c>
      <c r="DX13" s="192" t="n">
        <v>27500</v>
      </c>
      <c r="DY13" s="192" t="n">
        <v>29600</v>
      </c>
      <c r="DZ13" s="192" t="n">
        <v>33800</v>
      </c>
      <c r="EA13" s="192" t="n">
        <v>30400</v>
      </c>
      <c r="EB13" s="192" t="n">
        <v>32500</v>
      </c>
      <c r="EC13" s="192" t="n">
        <v>31400</v>
      </c>
      <c r="ED13" s="192" t="n">
        <v>34300</v>
      </c>
      <c r="EE13" s="192" t="n">
        <v>26100</v>
      </c>
      <c r="EF13" s="192" t="n">
        <v>26400</v>
      </c>
      <c r="EG13" s="192" t="n">
        <v>21400</v>
      </c>
      <c r="EH13" s="192" t="n">
        <v>16000</v>
      </c>
      <c r="EI13" s="192" t="n">
        <v>11000</v>
      </c>
      <c r="EJ13" s="192" t="n">
        <v>9700</v>
      </c>
      <c r="EK13" s="192" t="n">
        <v>7600</v>
      </c>
      <c r="EL13" s="192" t="n">
        <v>6600</v>
      </c>
      <c r="EM13" s="192" t="n">
        <v>4300</v>
      </c>
      <c r="EN13" s="192" t="n">
        <v>4300</v>
      </c>
      <c r="EO13" s="182" t="n"/>
      <c r="EP13" s="176" t="n"/>
      <c r="EQ13" s="176" t="n"/>
      <c r="ER13" s="176" t="n"/>
      <c r="ES13" s="176" t="n"/>
      <c r="ET13" s="176" t="n"/>
      <c r="EU13" s="176" t="n"/>
      <c r="EV13" s="176" t="n"/>
      <c r="EW13" s="176" t="n"/>
      <c r="EX13" s="176" t="n"/>
      <c r="EY13" s="176" t="n"/>
      <c r="EZ13" s="176" t="n"/>
      <c r="FA13" s="176" t="n"/>
      <c r="FB13" s="176" t="n"/>
      <c r="FC13" s="176" t="n"/>
      <c r="FD13" s="176" t="n"/>
      <c r="FE13" s="176" t="n"/>
      <c r="FF13" s="176" t="n"/>
      <c r="FG13" s="176" t="n"/>
      <c r="FH13" s="176" t="n"/>
      <c r="FI13" s="176" t="n"/>
      <c r="FJ13" s="176" t="n"/>
      <c r="FK13" s="176" t="n"/>
      <c r="FL13" s="176" t="n"/>
      <c r="FM13" s="176" t="n"/>
    </row>
    <row r="14" ht="15" customHeight="1" s="392">
      <c r="A14" s="176" t="n"/>
      <c r="B14" s="180" t="n"/>
      <c r="C14" s="187" t="inlineStr">
        <is>
          <t xml:space="preserve">    Total Revenue</t>
        </is>
      </c>
      <c r="D14" s="193">
        <f>IF(COUNT(M14:EN14)&gt;0,MEDIAN(M14:EN14),"")</f>
        <v/>
      </c>
      <c r="E14" s="193">
        <f>IF(COUNT(M14:EN14)&gt;0,AVERAGE(M14:EN14),"")</f>
        <v/>
      </c>
      <c r="F14" s="193">
        <f>IF(COUNT(M14:EN14)&gt;0,MIN(M14:EN14),"")</f>
        <v/>
      </c>
      <c r="G14" s="193">
        <f>IF(COUNT(M14:EN14)&gt;0,MAX(M14:EN14),"")</f>
        <v/>
      </c>
      <c r="H14" s="193">
        <f>IF(COUNT(M14:EN14)&gt;0,QUARTILE(M14:EN14,1),"")</f>
        <v/>
      </c>
      <c r="I14" s="193">
        <f>IF(COUNT(M14:EN14)&gt;0,QUARTILE(M14:EN14,3),"")</f>
        <v/>
      </c>
      <c r="J14" s="193">
        <f>IF(COUNT(M14:EN14)&gt;1,STDEV(M14:EN14),"")</f>
        <v/>
      </c>
      <c r="K14" s="194">
        <f>IF(COUNT(M14:EN14)&gt;1,STDEV(M14:EN14)/AVERAGE(M14:EN14),"")</f>
        <v/>
      </c>
      <c r="L14" s="195" t="n"/>
      <c r="M14" s="196" t="n">
        <v>1152439</v>
      </c>
      <c r="N14" s="196" t="n">
        <v>1237066</v>
      </c>
      <c r="O14" s="196" t="n">
        <v>1121674</v>
      </c>
      <c r="P14" s="196" t="n">
        <v>1155030</v>
      </c>
      <c r="Q14" s="196" t="n">
        <v>1125097</v>
      </c>
      <c r="R14" s="196" t="n">
        <v>1211716</v>
      </c>
      <c r="S14" s="196" t="n">
        <v>1163316</v>
      </c>
      <c r="T14" s="196" t="n">
        <v>1146829</v>
      </c>
      <c r="U14" s="196" t="n">
        <v>1068999</v>
      </c>
      <c r="V14" s="196" t="n">
        <v>1127259</v>
      </c>
      <c r="W14" s="196" t="n">
        <v>1020149</v>
      </c>
      <c r="X14" s="196" t="n">
        <v>1020416</v>
      </c>
      <c r="Y14" s="196" t="n">
        <v>997591</v>
      </c>
      <c r="Z14" s="196" t="n">
        <v>1021831</v>
      </c>
      <c r="AA14" s="196" t="n">
        <v>956724</v>
      </c>
      <c r="AB14" s="196" t="n">
        <v>893372</v>
      </c>
      <c r="AC14" s="196" t="n">
        <v>883388</v>
      </c>
      <c r="AD14" s="196" t="n">
        <v>939941</v>
      </c>
      <c r="AE14" s="196" t="n">
        <v>867460</v>
      </c>
      <c r="AF14" s="196" t="n">
        <v>810132</v>
      </c>
      <c r="AG14" s="196" t="n">
        <v>748630</v>
      </c>
      <c r="AH14" s="196" t="n">
        <v>733910</v>
      </c>
      <c r="AI14" s="196" t="n">
        <v>617031</v>
      </c>
      <c r="AJ14" s="196" t="n">
        <v>592940</v>
      </c>
      <c r="AK14" s="196" t="n">
        <v>525659</v>
      </c>
      <c r="AL14" s="196" t="n">
        <v>550360</v>
      </c>
      <c r="AM14" s="196" t="n">
        <v>575140</v>
      </c>
      <c r="AN14" s="196" t="n">
        <v>554424</v>
      </c>
      <c r="AO14" s="196" t="n">
        <v>542575</v>
      </c>
      <c r="AP14" s="196" t="n">
        <v>553116</v>
      </c>
      <c r="AQ14" s="196" t="n">
        <v>484898</v>
      </c>
      <c r="AR14" s="196" t="n">
        <v>461368</v>
      </c>
      <c r="AS14" s="196" t="n">
        <v>449223</v>
      </c>
      <c r="AT14" s="196" t="n">
        <v>478198</v>
      </c>
      <c r="AU14" s="196" t="n">
        <v>459106</v>
      </c>
      <c r="AV14" s="196" t="n">
        <v>419168</v>
      </c>
      <c r="AW14" s="196" t="n">
        <v>378596</v>
      </c>
      <c r="AX14" s="196" t="n">
        <v>373862</v>
      </c>
      <c r="AY14" s="196" t="n">
        <v>349532</v>
      </c>
      <c r="AZ14" s="196" t="n">
        <v>345991</v>
      </c>
      <c r="BA14" s="196" t="n">
        <v>332659</v>
      </c>
      <c r="BB14" s="196" t="n">
        <v>347246</v>
      </c>
      <c r="BC14" s="196" t="n">
        <v>299706</v>
      </c>
      <c r="BD14" s="196" t="n">
        <v>288838</v>
      </c>
      <c r="BE14" s="196" t="n">
        <v>282293</v>
      </c>
      <c r="BF14" s="196" t="n">
        <v>297142</v>
      </c>
      <c r="BG14" s="196" t="n">
        <v>276258</v>
      </c>
      <c r="BH14" s="196" t="n">
        <v>290386</v>
      </c>
      <c r="BI14" s="196" t="n">
        <v>287450</v>
      </c>
      <c r="BJ14" s="196" t="n">
        <v>309722</v>
      </c>
      <c r="BK14" s="196" t="n">
        <v>286434</v>
      </c>
      <c r="BL14" s="196" t="n">
        <v>279883</v>
      </c>
      <c r="BM14" s="196" t="n">
        <v>263697</v>
      </c>
      <c r="BN14" s="196" t="n">
        <v>277638</v>
      </c>
      <c r="BO14" s="196" t="n">
        <v>266185</v>
      </c>
      <c r="BP14" s="196" t="n">
        <v>238866</v>
      </c>
      <c r="BQ14" s="196" t="n">
        <v>226556</v>
      </c>
      <c r="BR14" s="196" t="n">
        <v>244105</v>
      </c>
      <c r="BS14" s="196" t="n">
        <v>227904</v>
      </c>
      <c r="BT14" s="196" t="n">
        <v>225626</v>
      </c>
      <c r="BU14" s="196" t="n">
        <v>215442</v>
      </c>
      <c r="BV14" s="196" t="n">
        <v>236755</v>
      </c>
      <c r="BW14" s="196" t="n">
        <v>207380</v>
      </c>
      <c r="BX14" s="196" t="n">
        <v>212667</v>
      </c>
      <c r="BY14" s="196" t="n">
        <v>190468</v>
      </c>
      <c r="BZ14" s="196" t="n">
        <v>220349</v>
      </c>
      <c r="CA14" s="196" t="n">
        <v>176601</v>
      </c>
      <c r="CB14" s="196" t="n">
        <v>185461</v>
      </c>
      <c r="CC14" s="196" t="n">
        <v>184332</v>
      </c>
      <c r="CD14" s="196" t="n">
        <v>197326</v>
      </c>
      <c r="CE14" s="196" t="n">
        <v>169855</v>
      </c>
      <c r="CF14" s="196" t="n">
        <v>191569</v>
      </c>
      <c r="CG14" s="196" t="n">
        <v>206282</v>
      </c>
      <c r="CH14" s="196" t="n">
        <v>221150</v>
      </c>
      <c r="CI14" s="196" t="n">
        <v>173459</v>
      </c>
      <c r="CJ14" s="196" t="n">
        <v>183957</v>
      </c>
      <c r="CK14" s="196" t="n">
        <v>153982</v>
      </c>
      <c r="CL14" s="196" t="n">
        <v>145652</v>
      </c>
      <c r="CM14" s="196" t="n">
        <v>128925</v>
      </c>
      <c r="CN14" s="196" t="n">
        <v>132121</v>
      </c>
      <c r="CO14" s="196" t="n">
        <v>137220</v>
      </c>
      <c r="CP14" s="196" t="n">
        <v>149512</v>
      </c>
      <c r="CQ14" s="196" t="n">
        <v>125099</v>
      </c>
      <c r="CR14" s="196" t="n">
        <v>116739</v>
      </c>
      <c r="CS14" s="196" t="n">
        <v>110575</v>
      </c>
      <c r="CT14" s="196" t="n">
        <v>127772</v>
      </c>
      <c r="CU14" s="196" t="n">
        <v>107701</v>
      </c>
      <c r="CV14" s="196" t="n">
        <v>104110</v>
      </c>
      <c r="CW14" s="196" t="n">
        <v>90294</v>
      </c>
      <c r="CX14" s="196" t="n">
        <v>116618</v>
      </c>
      <c r="CY14" s="196" t="n">
        <v>92635</v>
      </c>
      <c r="CZ14" s="196" t="n">
        <v>91466.60000000001</v>
      </c>
      <c r="DA14" s="196" t="n">
        <v>87216</v>
      </c>
      <c r="DB14" s="196" t="n">
        <v>93928.7</v>
      </c>
      <c r="DC14" s="196" t="n">
        <v>82783.39999999999</v>
      </c>
      <c r="DD14" s="196" t="n">
        <v>83494.89999999999</v>
      </c>
      <c r="DE14" s="196" t="n">
        <v>82632.7</v>
      </c>
      <c r="DF14" s="196" t="n">
        <v>90158.10000000001</v>
      </c>
      <c r="DG14" s="196" t="n">
        <v>71382.3</v>
      </c>
      <c r="DH14" s="196" t="n">
        <v>72282.5</v>
      </c>
      <c r="DI14" s="196" t="n">
        <v>68631.10000000001</v>
      </c>
      <c r="DJ14" s="196" t="n">
        <v>71480.60000000001</v>
      </c>
      <c r="DK14" s="196" t="n">
        <v>56638.2</v>
      </c>
      <c r="DL14" s="196" t="n">
        <v>57139.4</v>
      </c>
      <c r="DM14" s="196" t="n">
        <v>51327.3</v>
      </c>
      <c r="DN14" s="196" t="n">
        <v>53801.2</v>
      </c>
      <c r="DO14" s="196" t="n">
        <v>44400</v>
      </c>
      <c r="DP14" s="196" t="n">
        <v>40500</v>
      </c>
      <c r="DQ14" s="196" t="n">
        <v>39500</v>
      </c>
      <c r="DR14" s="196" t="n">
        <v>40000</v>
      </c>
      <c r="DS14" s="196" t="n">
        <v>32100</v>
      </c>
      <c r="DT14" s="196" t="n">
        <v>30200</v>
      </c>
      <c r="DU14" s="196" t="n">
        <v>30000</v>
      </c>
      <c r="DV14" s="196" t="n">
        <v>30600</v>
      </c>
      <c r="DW14" s="196" t="n">
        <v>26200</v>
      </c>
      <c r="DX14" s="196" t="n">
        <v>27500</v>
      </c>
      <c r="DY14" s="196" t="n">
        <v>29600</v>
      </c>
      <c r="DZ14" s="196" t="n">
        <v>33800</v>
      </c>
      <c r="EA14" s="196" t="n">
        <v>30400</v>
      </c>
      <c r="EB14" s="196" t="n">
        <v>32500</v>
      </c>
      <c r="EC14" s="196" t="n">
        <v>31400</v>
      </c>
      <c r="ED14" s="196" t="n">
        <v>34300</v>
      </c>
      <c r="EE14" s="196" t="n">
        <v>26100</v>
      </c>
      <c r="EF14" s="196" t="n">
        <v>26400</v>
      </c>
      <c r="EG14" s="196" t="n">
        <v>21400</v>
      </c>
      <c r="EH14" s="196" t="n">
        <v>16000</v>
      </c>
      <c r="EI14" s="196" t="n">
        <v>11000</v>
      </c>
      <c r="EJ14" s="196" t="n">
        <v>9700</v>
      </c>
      <c r="EK14" s="196" t="n">
        <v>7600</v>
      </c>
      <c r="EL14" s="196" t="n">
        <v>6600</v>
      </c>
      <c r="EM14" s="196" t="n">
        <v>4300</v>
      </c>
      <c r="EN14" s="196" t="n">
        <v>4300</v>
      </c>
      <c r="EO14" s="182" t="n"/>
      <c r="EP14" s="176" t="n"/>
      <c r="EQ14" s="176" t="n"/>
      <c r="ER14" s="176" t="n"/>
      <c r="ES14" s="176" t="n"/>
      <c r="ET14" s="176" t="n"/>
      <c r="EU14" s="176" t="n"/>
      <c r="EV14" s="176" t="n"/>
      <c r="EW14" s="176" t="n"/>
      <c r="EX14" s="176" t="n"/>
      <c r="EY14" s="176" t="n"/>
      <c r="EZ14" s="176" t="n"/>
      <c r="FA14" s="176" t="n"/>
      <c r="FB14" s="176" t="n"/>
      <c r="FC14" s="176" t="n"/>
      <c r="FD14" s="176" t="n"/>
      <c r="FE14" s="176" t="n"/>
      <c r="FF14" s="176" t="n"/>
      <c r="FG14" s="176" t="n"/>
      <c r="FH14" s="176" t="n"/>
      <c r="FI14" s="176" t="n"/>
      <c r="FJ14" s="176" t="n"/>
      <c r="FK14" s="176" t="n"/>
      <c r="FL14" s="176" t="n"/>
      <c r="FM14" s="176" t="n"/>
    </row>
    <row r="15" ht="15" customHeight="1" s="392">
      <c r="A15" s="176" t="n"/>
      <c r="B15" s="180" t="n"/>
      <c r="C15" s="183" t="inlineStr">
        <is>
          <t xml:space="preserve">    Cost of Revenue</t>
        </is>
      </c>
      <c r="D15" s="185" t="n"/>
      <c r="E15" s="185" t="n"/>
      <c r="F15" s="185" t="n"/>
      <c r="G15" s="185" t="n"/>
      <c r="H15" s="185" t="n"/>
      <c r="I15" s="185" t="n"/>
      <c r="J15" s="185" t="n"/>
      <c r="K15" s="185" t="n"/>
      <c r="EO15" s="182" t="n"/>
      <c r="EP15" s="176" t="n"/>
      <c r="EQ15" s="176" t="n"/>
      <c r="ER15" s="176" t="n"/>
      <c r="ES15" s="176" t="n"/>
      <c r="ET15" s="176" t="n"/>
      <c r="EU15" s="176" t="n"/>
      <c r="EV15" s="176" t="n"/>
      <c r="EW15" s="176" t="n"/>
      <c r="EX15" s="176" t="n"/>
      <c r="EY15" s="176" t="n"/>
      <c r="EZ15" s="176" t="n"/>
      <c r="FA15" s="176" t="n"/>
      <c r="FB15" s="176" t="n"/>
      <c r="FC15" s="176" t="n"/>
      <c r="FD15" s="176" t="n"/>
      <c r="FE15" s="176" t="n"/>
      <c r="FF15" s="176" t="n"/>
      <c r="FG15" s="176" t="n"/>
      <c r="FH15" s="176" t="n"/>
      <c r="FI15" s="176" t="n"/>
      <c r="FJ15" s="176" t="n"/>
      <c r="FK15" s="176" t="n"/>
      <c r="FL15" s="176" t="n"/>
      <c r="FM15" s="176" t="n"/>
    </row>
    <row r="16" ht="15" customHeight="1" s="392">
      <c r="A16" s="176" t="n"/>
      <c r="B16" s="180" t="n"/>
      <c r="C16" s="183" t="inlineStr">
        <is>
          <t xml:space="preserve">        Cost of Goods and Services</t>
        </is>
      </c>
      <c r="D16" s="190">
        <f>IF(COUNT(M16:EN16)&gt;0,MEDIAN(M16:EN16),"")</f>
        <v/>
      </c>
      <c r="E16" s="190">
        <f>IF(COUNT(M16:EN16)&gt;0,AVERAGE(M16:EN16),"")</f>
        <v/>
      </c>
      <c r="F16" s="190">
        <f>IF(COUNT(M16:EN16)&gt;0,MIN(M16:EN16),"")</f>
        <v/>
      </c>
      <c r="G16" s="190">
        <f>IF(COUNT(M16:EN16)&gt;0,MAX(M16:EN16),"")</f>
        <v/>
      </c>
      <c r="H16" s="190">
        <f>IF(COUNT(M16:EN16)&gt;0,QUARTILE(M16:EN16,1),"")</f>
        <v/>
      </c>
      <c r="I16" s="190">
        <f>IF(COUNT(M16:EN16)&gt;0,QUARTILE(M16:EN16,3),"")</f>
        <v/>
      </c>
      <c r="J16" s="190">
        <f>IF(COUNT(M16:EN16)&gt;1,STDEV(M16:EN16),"")</f>
        <v/>
      </c>
      <c r="K16" s="191">
        <f>IF(COUNT(M16:EN16)&gt;1,STDEV(M16:EN16)/AVERAGE(M16:EN16),"")</f>
        <v/>
      </c>
      <c r="M16" s="192" t="n">
        <v>614956</v>
      </c>
      <c r="N16" s="192" t="n">
        <v>664467</v>
      </c>
      <c r="O16" s="192" t="n">
        <v>628862</v>
      </c>
      <c r="P16" s="192" t="n">
        <v>618032</v>
      </c>
      <c r="Q16" s="192" t="n">
        <v>615379</v>
      </c>
      <c r="R16" s="192" t="n">
        <v>659449</v>
      </c>
      <c r="S16" s="192" t="n">
        <v>637763</v>
      </c>
      <c r="T16" s="192" t="n">
        <v>634724</v>
      </c>
      <c r="U16" s="192" t="n">
        <v>615423</v>
      </c>
      <c r="V16" s="192" t="n">
        <v>601754</v>
      </c>
      <c r="W16" s="192" t="n">
        <v>555997</v>
      </c>
      <c r="X16" s="192" t="n">
        <v>556397</v>
      </c>
      <c r="Y16" s="192" t="n">
        <v>540013</v>
      </c>
      <c r="Z16" s="192" t="n">
        <v>538401</v>
      </c>
      <c r="AA16" s="192" t="n">
        <v>530224</v>
      </c>
      <c r="AB16" s="192" t="n">
        <v>523889</v>
      </c>
      <c r="AC16" s="192" t="n">
        <v>501816</v>
      </c>
      <c r="AD16" s="192" t="n">
        <v>503664</v>
      </c>
      <c r="AE16" s="192" t="n">
        <v>464118</v>
      </c>
      <c r="AF16" s="192" t="n">
        <v>425102</v>
      </c>
      <c r="AG16" s="192" t="n">
        <v>391147</v>
      </c>
      <c r="AH16" s="192" t="n">
        <v>352569</v>
      </c>
      <c r="AI16" s="192" t="n">
        <v>309533</v>
      </c>
      <c r="AJ16" s="192" t="n">
        <v>296171</v>
      </c>
      <c r="AK16" s="192" t="n">
        <v>275228</v>
      </c>
      <c r="AL16" s="192" t="n">
        <v>307747</v>
      </c>
      <c r="AM16" s="192" t="n">
        <v>315251</v>
      </c>
      <c r="AN16" s="192" t="n">
        <v>299555</v>
      </c>
      <c r="AO16" s="192" t="n">
        <v>299956</v>
      </c>
      <c r="AP16" s="192" t="n">
        <v>301537</v>
      </c>
      <c r="AQ16" s="192" t="n">
        <v>276672</v>
      </c>
      <c r="AR16" s="192" t="n">
        <v>265450</v>
      </c>
      <c r="AS16" s="192" t="n">
        <v>260798</v>
      </c>
      <c r="AT16" s="192" t="n">
        <v>259130</v>
      </c>
      <c r="AU16" s="192" t="n">
        <v>267497</v>
      </c>
      <c r="AV16" s="192" t="n">
        <v>255904</v>
      </c>
      <c r="AW16" s="192" t="n">
        <v>211131</v>
      </c>
      <c r="AX16" s="192" t="n">
        <v>201357</v>
      </c>
      <c r="AY16" s="192" t="n">
        <v>202767</v>
      </c>
      <c r="AZ16" s="192" t="n">
        <v>200698</v>
      </c>
      <c r="BA16" s="192" t="n">
        <v>191195</v>
      </c>
      <c r="BB16" s="192" t="n">
        <v>189599</v>
      </c>
      <c r="BC16" s="192" t="n">
        <v>175092</v>
      </c>
      <c r="BD16" s="192" t="n">
        <v>167977</v>
      </c>
      <c r="BE16" s="192" t="n">
        <v>163509</v>
      </c>
      <c r="BF16" s="192" t="n">
        <v>169725</v>
      </c>
      <c r="BG16" s="192" t="n">
        <v>161391</v>
      </c>
      <c r="BH16" s="192" t="n">
        <v>168078</v>
      </c>
      <c r="BI16" s="192" t="n">
        <v>170511</v>
      </c>
      <c r="BJ16" s="192" t="n">
        <v>177470</v>
      </c>
      <c r="BK16" s="192" t="n">
        <v>174888</v>
      </c>
      <c r="BL16" s="192" t="n">
        <v>172047</v>
      </c>
      <c r="BM16" s="192" t="n">
        <v>160625</v>
      </c>
      <c r="BN16" s="192" t="n">
        <v>162041</v>
      </c>
      <c r="BO16" s="192" t="n">
        <v>169368</v>
      </c>
      <c r="BP16" s="192" t="n">
        <v>133430</v>
      </c>
      <c r="BQ16" s="192" t="n">
        <v>127130</v>
      </c>
      <c r="BR16" s="192" t="n">
        <v>128836</v>
      </c>
      <c r="BS16" s="192" t="n">
        <v>128208</v>
      </c>
      <c r="BT16" s="192" t="n"/>
      <c r="BU16" s="192" t="n"/>
      <c r="BV16" s="192" t="n"/>
      <c r="BW16" s="192" t="n"/>
      <c r="BX16" s="192" t="n"/>
      <c r="BY16" s="192" t="n"/>
      <c r="BZ16" s="192" t="n"/>
      <c r="CA16" s="192" t="n"/>
      <c r="CB16" s="192" t="n"/>
      <c r="CC16" s="192" t="n"/>
      <c r="CD16" s="192" t="n"/>
      <c r="CE16" s="192" t="n"/>
      <c r="CF16" s="192" t="n"/>
      <c r="CG16" s="192" t="n"/>
      <c r="CH16" s="192" t="n"/>
      <c r="CI16" s="192" t="n"/>
      <c r="CJ16" s="192" t="n"/>
      <c r="CK16" s="192" t="n"/>
      <c r="CL16" s="192" t="n"/>
      <c r="CM16" s="192" t="n"/>
      <c r="CN16" s="192" t="n"/>
      <c r="CO16" s="192" t="n"/>
      <c r="CP16" s="192" t="n"/>
      <c r="CQ16" s="192" t="n"/>
      <c r="CR16" s="192" t="n"/>
      <c r="CS16" s="192" t="n"/>
      <c r="CT16" s="192" t="n"/>
      <c r="CU16" s="192" t="n"/>
      <c r="CV16" s="192" t="n"/>
      <c r="CW16" s="192" t="n"/>
      <c r="CX16" s="192" t="n"/>
      <c r="CY16" s="192" t="n"/>
      <c r="CZ16" s="192" t="n"/>
      <c r="DA16" s="192" t="n"/>
      <c r="DB16" s="192" t="n"/>
      <c r="DC16" s="192" t="n"/>
      <c r="DD16" s="192" t="n"/>
      <c r="DE16" s="192" t="n"/>
      <c r="DF16" s="192" t="n"/>
      <c r="DG16" s="192" t="n"/>
      <c r="DH16" s="192" t="n"/>
      <c r="DI16" s="192" t="n"/>
      <c r="DJ16" s="192" t="n"/>
      <c r="DK16" s="192" t="n"/>
      <c r="DL16" s="192" t="n"/>
      <c r="DM16" s="192" t="n"/>
      <c r="DN16" s="192" t="n"/>
      <c r="DO16" s="192" t="n"/>
      <c r="DP16" s="192" t="n"/>
      <c r="DQ16" s="192" t="n"/>
      <c r="DR16" s="192" t="n"/>
      <c r="DS16" s="192" t="n"/>
      <c r="DT16" s="192" t="n"/>
      <c r="DU16" s="192" t="n"/>
      <c r="DV16" s="192" t="n"/>
      <c r="DW16" s="192" t="n"/>
      <c r="DX16" s="192" t="n"/>
      <c r="DY16" s="192" t="n"/>
      <c r="DZ16" s="192" t="n"/>
      <c r="EA16" s="192" t="n"/>
      <c r="EB16" s="192" t="n"/>
      <c r="EC16" s="192" t="n"/>
      <c r="ED16" s="192" t="n"/>
      <c r="EE16" s="192" t="n"/>
      <c r="EF16" s="192" t="n"/>
      <c r="EG16" s="192" t="n"/>
      <c r="EH16" s="192" t="n"/>
      <c r="EI16" s="192" t="n"/>
      <c r="EJ16" s="192" t="n"/>
      <c r="EK16" s="192" t="n"/>
      <c r="EL16" s="192" t="n"/>
      <c r="EM16" s="192" t="n"/>
      <c r="EN16" s="192" t="n"/>
      <c r="EO16" s="182" t="n"/>
      <c r="EP16" s="176" t="n"/>
      <c r="EQ16" s="176" t="n"/>
      <c r="ER16" s="176" t="n"/>
      <c r="ES16" s="176" t="n"/>
      <c r="ET16" s="176" t="n"/>
      <c r="EU16" s="176" t="n"/>
      <c r="EV16" s="176" t="n"/>
      <c r="EW16" s="176" t="n"/>
      <c r="EX16" s="176" t="n"/>
      <c r="EY16" s="176" t="n"/>
      <c r="EZ16" s="176" t="n"/>
      <c r="FA16" s="176" t="n"/>
      <c r="FB16" s="176" t="n"/>
      <c r="FC16" s="176" t="n"/>
      <c r="FD16" s="176" t="n"/>
      <c r="FE16" s="176" t="n"/>
      <c r="FF16" s="176" t="n"/>
      <c r="FG16" s="176" t="n"/>
      <c r="FH16" s="176" t="n"/>
      <c r="FI16" s="176" t="n"/>
      <c r="FJ16" s="176" t="n"/>
      <c r="FK16" s="176" t="n"/>
      <c r="FL16" s="176" t="n"/>
      <c r="FM16" s="176" t="n"/>
    </row>
    <row r="17" ht="15" customHeight="1" s="392">
      <c r="A17" s="176" t="n"/>
      <c r="B17" s="180" t="n"/>
      <c r="C17" s="183" t="inlineStr">
        <is>
          <t xml:space="preserve">        Staff Cost, Cost of Revenue</t>
        </is>
      </c>
      <c r="D17" s="190">
        <f>IF(COUNT(M17:EN17)&gt;0,MEDIAN(M17:EN17),"")</f>
        <v/>
      </c>
      <c r="E17" s="190">
        <f>IF(COUNT(M17:EN17)&gt;0,AVERAGE(M17:EN17),"")</f>
        <v/>
      </c>
      <c r="F17" s="190">
        <f>IF(COUNT(M17:EN17)&gt;0,MIN(M17:EN17),"")</f>
        <v/>
      </c>
      <c r="G17" s="190">
        <f>IF(COUNT(M17:EN17)&gt;0,MAX(M17:EN17),"")</f>
        <v/>
      </c>
      <c r="H17" s="190">
        <f>IF(COUNT(M17:EN17)&gt;0,QUARTILE(M17:EN17,1),"")</f>
        <v/>
      </c>
      <c r="I17" s="190">
        <f>IF(COUNT(M17:EN17)&gt;0,QUARTILE(M17:EN17,3),"")</f>
        <v/>
      </c>
      <c r="J17" s="190">
        <f>IF(COUNT(M17:EN17)&gt;1,STDEV(M17:EN17),"")</f>
        <v/>
      </c>
      <c r="K17" s="191">
        <f>IF(COUNT(M17:EN17)&gt;1,STDEV(M17:EN17)/AVERAGE(M17:EN17),"")</f>
        <v/>
      </c>
      <c r="M17" s="192" t="n">
        <v>2275</v>
      </c>
      <c r="N17" s="192" t="n"/>
      <c r="O17" s="192" t="n"/>
      <c r="P17" s="192" t="n"/>
      <c r="Q17" s="192" t="n"/>
      <c r="R17" s="192" t="n"/>
      <c r="S17" s="192" t="n"/>
      <c r="T17" s="192" t="n"/>
      <c r="U17" s="192" t="n"/>
      <c r="V17" s="192" t="n"/>
      <c r="W17" s="192" t="n"/>
      <c r="X17" s="192" t="n"/>
      <c r="Y17" s="192" t="n"/>
      <c r="Z17" s="192" t="n"/>
      <c r="AA17" s="192" t="n"/>
      <c r="AB17" s="192" t="n"/>
      <c r="AC17" s="192" t="n"/>
      <c r="AD17" s="192" t="n"/>
      <c r="AE17" s="192" t="n"/>
      <c r="AF17" s="192" t="n"/>
      <c r="AG17" s="192" t="n"/>
      <c r="AH17" s="192" t="n"/>
      <c r="AI17" s="192" t="n"/>
      <c r="AJ17" s="192" t="n"/>
      <c r="AK17" s="192" t="n"/>
      <c r="AL17" s="192" t="n"/>
      <c r="AM17" s="192" t="n"/>
      <c r="AN17" s="192" t="n"/>
      <c r="AO17" s="192" t="n"/>
      <c r="AP17" s="192" t="n"/>
      <c r="AQ17" s="192" t="n"/>
      <c r="AR17" s="192" t="n"/>
      <c r="AS17" s="192" t="n"/>
      <c r="AT17" s="192" t="n"/>
      <c r="AU17" s="192" t="n"/>
      <c r="AV17" s="192" t="n"/>
      <c r="AW17" s="192" t="n"/>
      <c r="AX17" s="192" t="n"/>
      <c r="AY17" s="192" t="n"/>
      <c r="AZ17" s="192" t="n"/>
      <c r="BA17" s="192" t="n"/>
      <c r="BB17" s="192" t="n"/>
      <c r="BC17" s="192" t="n"/>
      <c r="BD17" s="192" t="n"/>
      <c r="BE17" s="192" t="n"/>
      <c r="BF17" s="192" t="n"/>
      <c r="BG17" s="192" t="n"/>
      <c r="BH17" s="192" t="n"/>
      <c r="BI17" s="192" t="n"/>
      <c r="BJ17" s="192" t="n"/>
      <c r="BK17" s="192" t="n"/>
      <c r="BL17" s="192" t="n"/>
      <c r="BM17" s="192" t="n"/>
      <c r="BN17" s="192" t="n"/>
      <c r="BO17" s="192" t="n"/>
      <c r="BP17" s="192" t="n"/>
      <c r="BQ17" s="192" t="n"/>
      <c r="BR17" s="192" t="n"/>
      <c r="BS17" s="192" t="n"/>
      <c r="BT17" s="192" t="n"/>
      <c r="BU17" s="192" t="n"/>
      <c r="BV17" s="192" t="n"/>
      <c r="BW17" s="192" t="n"/>
      <c r="BX17" s="192" t="n"/>
      <c r="BY17" s="192" t="n"/>
      <c r="BZ17" s="192" t="n"/>
      <c r="CA17" s="192" t="n"/>
      <c r="CB17" s="192" t="n"/>
      <c r="CC17" s="192" t="n"/>
      <c r="CD17" s="192" t="n"/>
      <c r="CE17" s="192" t="n"/>
      <c r="CF17" s="192" t="n"/>
      <c r="CG17" s="192" t="n"/>
      <c r="CH17" s="192" t="n"/>
      <c r="CI17" s="192" t="n"/>
      <c r="CJ17" s="192" t="n"/>
      <c r="CK17" s="192" t="n"/>
      <c r="CL17" s="192" t="n"/>
      <c r="CM17" s="192" t="n"/>
      <c r="CN17" s="192" t="n"/>
      <c r="CO17" s="192" t="n"/>
      <c r="CP17" s="192" t="n"/>
      <c r="CQ17" s="192" t="n"/>
      <c r="CR17" s="192" t="n"/>
      <c r="CS17" s="192" t="n"/>
      <c r="CT17" s="192" t="n"/>
      <c r="CU17" s="192" t="n"/>
      <c r="CV17" s="192" t="n"/>
      <c r="CW17" s="192" t="n"/>
      <c r="CX17" s="192" t="n"/>
      <c r="CY17" s="192" t="n"/>
      <c r="CZ17" s="192" t="n"/>
      <c r="DA17" s="192" t="n"/>
      <c r="DB17" s="192" t="n"/>
      <c r="DC17" s="192" t="n"/>
      <c r="DD17" s="192" t="n"/>
      <c r="DE17" s="192" t="n"/>
      <c r="DF17" s="192" t="n"/>
      <c r="DG17" s="192" t="n"/>
      <c r="DH17" s="192" t="n"/>
      <c r="DI17" s="192" t="n"/>
      <c r="DJ17" s="192" t="n"/>
      <c r="DK17" s="192" t="n"/>
      <c r="DL17" s="192" t="n"/>
      <c r="DM17" s="192" t="n"/>
      <c r="DN17" s="192" t="n"/>
      <c r="DO17" s="192" t="n"/>
      <c r="DP17" s="192" t="n"/>
      <c r="DQ17" s="192" t="n"/>
      <c r="DR17" s="192" t="n"/>
      <c r="DS17" s="192" t="n"/>
      <c r="DT17" s="192" t="n"/>
      <c r="DU17" s="192" t="n"/>
      <c r="DV17" s="192" t="n"/>
      <c r="DW17" s="192" t="n"/>
      <c r="DX17" s="192" t="n"/>
      <c r="DY17" s="192" t="n"/>
      <c r="DZ17" s="192" t="n"/>
      <c r="EA17" s="192" t="n"/>
      <c r="EB17" s="192" t="n"/>
      <c r="EC17" s="192" t="n"/>
      <c r="ED17" s="192" t="n"/>
      <c r="EE17" s="192" t="n"/>
      <c r="EF17" s="192" t="n"/>
      <c r="EG17" s="192" t="n"/>
      <c r="EH17" s="192" t="n"/>
      <c r="EI17" s="192" t="n"/>
      <c r="EJ17" s="192" t="n"/>
      <c r="EK17" s="192" t="n"/>
      <c r="EL17" s="192" t="n"/>
      <c r="EM17" s="192" t="n"/>
      <c r="EN17" s="192" t="n"/>
      <c r="EO17" s="182" t="n"/>
      <c r="EP17" s="176" t="n"/>
      <c r="EQ17" s="176" t="n"/>
      <c r="ER17" s="176" t="n"/>
      <c r="ES17" s="176" t="n"/>
      <c r="ET17" s="176" t="n"/>
      <c r="EU17" s="176" t="n"/>
      <c r="EV17" s="176" t="n"/>
      <c r="EW17" s="176" t="n"/>
      <c r="EX17" s="176" t="n"/>
      <c r="EY17" s="176" t="n"/>
      <c r="EZ17" s="176" t="n"/>
      <c r="FA17" s="176" t="n"/>
      <c r="FB17" s="176" t="n"/>
      <c r="FC17" s="176" t="n"/>
      <c r="FD17" s="176" t="n"/>
      <c r="FE17" s="176" t="n"/>
      <c r="FF17" s="176" t="n"/>
      <c r="FG17" s="176" t="n"/>
      <c r="FH17" s="176" t="n"/>
      <c r="FI17" s="176" t="n"/>
      <c r="FJ17" s="176" t="n"/>
      <c r="FK17" s="176" t="n"/>
      <c r="FL17" s="176" t="n"/>
      <c r="FM17" s="176" t="n"/>
    </row>
    <row r="18" ht="15" customHeight="1" s="392">
      <c r="A18" s="176" t="n"/>
      <c r="B18" s="180" t="n"/>
      <c r="C18" s="183" t="inlineStr">
        <is>
          <t xml:space="preserve">        Depreciation &amp; Amortization, Cost of Revenue</t>
        </is>
      </c>
      <c r="D18" s="190">
        <f>IF(COUNT(M18:EN18)&gt;0,MEDIAN(M18:EN18),"")</f>
        <v/>
      </c>
      <c r="E18" s="190">
        <f>IF(COUNT(M18:EN18)&gt;0,AVERAGE(M18:EN18),"")</f>
        <v/>
      </c>
      <c r="F18" s="190">
        <f>IF(COUNT(M18:EN18)&gt;0,MIN(M18:EN18),"")</f>
        <v/>
      </c>
      <c r="G18" s="190">
        <f>IF(COUNT(M18:EN18)&gt;0,MAX(M18:EN18),"")</f>
        <v/>
      </c>
      <c r="H18" s="190">
        <f>IF(COUNT(M18:EN18)&gt;0,QUARTILE(M18:EN18,1),"")</f>
        <v/>
      </c>
      <c r="I18" s="190">
        <f>IF(COUNT(M18:EN18)&gt;0,QUARTILE(M18:EN18,3),"")</f>
        <v/>
      </c>
      <c r="J18" s="190">
        <f>IF(COUNT(M18:EN18)&gt;1,STDEV(M18:EN18),"")</f>
        <v/>
      </c>
      <c r="K18" s="191">
        <f>IF(COUNT(M18:EN18)&gt;1,STDEV(M18:EN18)/AVERAGE(M18:EN18),"")</f>
        <v/>
      </c>
      <c r="M18" s="192" t="n">
        <v>53759</v>
      </c>
      <c r="N18" s="192" t="n"/>
      <c r="O18" s="192" t="n"/>
      <c r="P18" s="192" t="n"/>
      <c r="Q18" s="192" t="n"/>
      <c r="R18" s="192" t="n"/>
      <c r="S18" s="192" t="n"/>
      <c r="T18" s="192" t="n"/>
      <c r="U18" s="192" t="n"/>
      <c r="V18" s="192" t="n"/>
      <c r="W18" s="192" t="n"/>
      <c r="X18" s="192" t="n"/>
      <c r="Y18" s="192" t="n"/>
      <c r="Z18" s="192" t="n"/>
      <c r="AA18" s="192" t="n"/>
      <c r="AB18" s="192" t="n"/>
      <c r="AC18" s="192" t="n"/>
      <c r="AD18" s="192" t="n"/>
      <c r="AE18" s="192" t="n"/>
      <c r="AF18" s="192" t="n"/>
      <c r="AG18" s="192" t="n"/>
      <c r="AH18" s="192" t="n"/>
      <c r="AI18" s="192" t="n"/>
      <c r="AJ18" s="192" t="n"/>
      <c r="AK18" s="192" t="n"/>
      <c r="AL18" s="192" t="n"/>
      <c r="AM18" s="192" t="n"/>
      <c r="AN18" s="192" t="n"/>
      <c r="AO18" s="192" t="n"/>
      <c r="AP18" s="192" t="n"/>
      <c r="AQ18" s="192" t="n"/>
      <c r="AR18" s="192" t="n"/>
      <c r="AS18" s="192" t="n"/>
      <c r="AT18" s="192" t="n"/>
      <c r="AU18" s="192" t="n"/>
      <c r="AV18" s="192" t="n"/>
      <c r="AW18" s="192" t="n"/>
      <c r="AX18" s="192" t="n"/>
      <c r="AY18" s="192" t="n"/>
      <c r="AZ18" s="192" t="n"/>
      <c r="BA18" s="192" t="n"/>
      <c r="BB18" s="192" t="n"/>
      <c r="BC18" s="192" t="n"/>
      <c r="BD18" s="192" t="n"/>
      <c r="BE18" s="192" t="n"/>
      <c r="BF18" s="192" t="n"/>
      <c r="BG18" s="192" t="n"/>
      <c r="BH18" s="192" t="n"/>
      <c r="BI18" s="192" t="n"/>
      <c r="BJ18" s="192" t="n"/>
      <c r="BK18" s="192" t="n"/>
      <c r="BL18" s="192" t="n"/>
      <c r="BM18" s="192" t="n"/>
      <c r="BN18" s="192" t="n"/>
      <c r="BO18" s="192" t="n"/>
      <c r="BP18" s="192" t="n"/>
      <c r="BQ18" s="192" t="n"/>
      <c r="BR18" s="192" t="n"/>
      <c r="BS18" s="192" t="n"/>
      <c r="BT18" s="192" t="n"/>
      <c r="BU18" s="192" t="n"/>
      <c r="BV18" s="192" t="n"/>
      <c r="BW18" s="192" t="n"/>
      <c r="BX18" s="192" t="n"/>
      <c r="BY18" s="192" t="n"/>
      <c r="BZ18" s="192" t="n"/>
      <c r="CA18" s="192" t="n"/>
      <c r="CB18" s="192" t="n"/>
      <c r="CC18" s="192" t="n"/>
      <c r="CD18" s="192" t="n"/>
      <c r="CE18" s="192" t="n"/>
      <c r="CF18" s="192" t="n"/>
      <c r="CG18" s="192" t="n"/>
      <c r="CH18" s="192" t="n"/>
      <c r="CI18" s="192" t="n"/>
      <c r="CJ18" s="192" t="n"/>
      <c r="CK18" s="192" t="n"/>
      <c r="CL18" s="192" t="n"/>
      <c r="CM18" s="192" t="n"/>
      <c r="CN18" s="192" t="n"/>
      <c r="CO18" s="192" t="n"/>
      <c r="CP18" s="192" t="n"/>
      <c r="CQ18" s="192" t="n"/>
      <c r="CR18" s="192" t="n"/>
      <c r="CS18" s="192" t="n"/>
      <c r="CT18" s="192" t="n"/>
      <c r="CU18" s="192" t="n"/>
      <c r="CV18" s="192" t="n"/>
      <c r="CW18" s="192" t="n"/>
      <c r="CX18" s="192" t="n"/>
      <c r="CY18" s="192" t="n"/>
      <c r="CZ18" s="192" t="n"/>
      <c r="DA18" s="192" t="n"/>
      <c r="DB18" s="192" t="n"/>
      <c r="DC18" s="192" t="n"/>
      <c r="DD18" s="192" t="n"/>
      <c r="DE18" s="192" t="n"/>
      <c r="DF18" s="192" t="n"/>
      <c r="DG18" s="192" t="n"/>
      <c r="DH18" s="192" t="n"/>
      <c r="DI18" s="192" t="n"/>
      <c r="DJ18" s="192" t="n"/>
      <c r="DK18" s="192" t="n"/>
      <c r="DL18" s="192" t="n"/>
      <c r="DM18" s="192" t="n"/>
      <c r="DN18" s="192" t="n"/>
      <c r="DO18" s="192" t="n"/>
      <c r="DP18" s="192" t="n"/>
      <c r="DQ18" s="192" t="n"/>
      <c r="DR18" s="192" t="n"/>
      <c r="DS18" s="192" t="n"/>
      <c r="DT18" s="192" t="n"/>
      <c r="DU18" s="192" t="n"/>
      <c r="DV18" s="192" t="n"/>
      <c r="DW18" s="192" t="n"/>
      <c r="DX18" s="192" t="n"/>
      <c r="DY18" s="192" t="n"/>
      <c r="DZ18" s="192" t="n"/>
      <c r="EA18" s="192" t="n"/>
      <c r="EB18" s="192" t="n"/>
      <c r="EC18" s="192" t="n"/>
      <c r="ED18" s="192" t="n"/>
      <c r="EE18" s="192" t="n"/>
      <c r="EF18" s="192" t="n"/>
      <c r="EG18" s="192" t="n"/>
      <c r="EH18" s="192" t="n"/>
      <c r="EI18" s="192" t="n"/>
      <c r="EJ18" s="192" t="n"/>
      <c r="EK18" s="192" t="n"/>
      <c r="EL18" s="192" t="n"/>
      <c r="EM18" s="192" t="n"/>
      <c r="EN18" s="192" t="n"/>
      <c r="EO18" s="182" t="n"/>
      <c r="EP18" s="176" t="n"/>
      <c r="EQ18" s="176" t="n"/>
      <c r="ER18" s="176" t="n"/>
      <c r="ES18" s="176" t="n"/>
      <c r="ET18" s="176" t="n"/>
      <c r="EU18" s="176" t="n"/>
      <c r="EV18" s="176" t="n"/>
      <c r="EW18" s="176" t="n"/>
      <c r="EX18" s="176" t="n"/>
      <c r="EY18" s="176" t="n"/>
      <c r="EZ18" s="176" t="n"/>
      <c r="FA18" s="176" t="n"/>
      <c r="FB18" s="176" t="n"/>
      <c r="FC18" s="176" t="n"/>
      <c r="FD18" s="176" t="n"/>
      <c r="FE18" s="176" t="n"/>
      <c r="FF18" s="176" t="n"/>
      <c r="FG18" s="176" t="n"/>
      <c r="FH18" s="176" t="n"/>
      <c r="FI18" s="176" t="n"/>
      <c r="FJ18" s="176" t="n"/>
      <c r="FK18" s="176" t="n"/>
      <c r="FL18" s="176" t="n"/>
      <c r="FM18" s="176" t="n"/>
    </row>
    <row r="19" ht="15" customHeight="1" s="392">
      <c r="A19" s="176" t="n"/>
      <c r="B19" s="180" t="n"/>
      <c r="C19" s="187" t="inlineStr">
        <is>
          <t xml:space="preserve">    Total Cost of Revenue</t>
        </is>
      </c>
      <c r="D19" s="193">
        <f>IF(COUNT(M19:EN19)&gt;0,MEDIAN(M19:EN19),"")</f>
        <v/>
      </c>
      <c r="E19" s="193">
        <f>IF(COUNT(M19:EN19)&gt;0,AVERAGE(M19:EN19),"")</f>
        <v/>
      </c>
      <c r="F19" s="193">
        <f>IF(COUNT(M19:EN19)&gt;0,MIN(M19:EN19),"")</f>
        <v/>
      </c>
      <c r="G19" s="193">
        <f>IF(COUNT(M19:EN19)&gt;0,MAX(M19:EN19),"")</f>
        <v/>
      </c>
      <c r="H19" s="193">
        <f>IF(COUNT(M19:EN19)&gt;0,QUARTILE(M19:EN19,1),"")</f>
        <v/>
      </c>
      <c r="I19" s="193">
        <f>IF(COUNT(M19:EN19)&gt;0,QUARTILE(M19:EN19,3),"")</f>
        <v/>
      </c>
      <c r="J19" s="193">
        <f>IF(COUNT(M19:EN19)&gt;1,STDEV(M19:EN19),"")</f>
        <v/>
      </c>
      <c r="K19" s="194">
        <f>IF(COUNT(M19:EN19)&gt;1,STDEV(M19:EN19)/AVERAGE(M19:EN19),"")</f>
        <v/>
      </c>
      <c r="L19" s="195" t="n"/>
      <c r="M19" s="196" t="n">
        <v>670990</v>
      </c>
      <c r="N19" s="196" t="n">
        <v>664467</v>
      </c>
      <c r="O19" s="196" t="n">
        <v>628862</v>
      </c>
      <c r="P19" s="196" t="n">
        <v>618032</v>
      </c>
      <c r="Q19" s="196" t="n">
        <v>615379</v>
      </c>
      <c r="R19" s="196" t="n">
        <v>659449</v>
      </c>
      <c r="S19" s="196" t="n">
        <v>637763</v>
      </c>
      <c r="T19" s="196" t="n">
        <v>634724</v>
      </c>
      <c r="U19" s="196" t="n">
        <v>615423</v>
      </c>
      <c r="V19" s="196" t="n">
        <v>601754</v>
      </c>
      <c r="W19" s="196" t="n">
        <v>555997</v>
      </c>
      <c r="X19" s="196" t="n">
        <v>556397</v>
      </c>
      <c r="Y19" s="196" t="n">
        <v>540013</v>
      </c>
      <c r="Z19" s="196" t="n">
        <v>538401</v>
      </c>
      <c r="AA19" s="196" t="n">
        <v>530224</v>
      </c>
      <c r="AB19" s="196" t="n">
        <v>523889</v>
      </c>
      <c r="AC19" s="196" t="n">
        <v>501816</v>
      </c>
      <c r="AD19" s="196" t="n">
        <v>503664</v>
      </c>
      <c r="AE19" s="196" t="n">
        <v>464118</v>
      </c>
      <c r="AF19" s="196" t="n">
        <v>425102</v>
      </c>
      <c r="AG19" s="196" t="n">
        <v>391147</v>
      </c>
      <c r="AH19" s="196" t="n">
        <v>352569</v>
      </c>
      <c r="AI19" s="196" t="n">
        <v>309533</v>
      </c>
      <c r="AJ19" s="196" t="n">
        <v>296171</v>
      </c>
      <c r="AK19" s="196" t="n">
        <v>275228</v>
      </c>
      <c r="AL19" s="196" t="n">
        <v>307747</v>
      </c>
      <c r="AM19" s="196" t="n">
        <v>315251</v>
      </c>
      <c r="AN19" s="196" t="n">
        <v>299555</v>
      </c>
      <c r="AO19" s="196" t="n">
        <v>299956</v>
      </c>
      <c r="AP19" s="196" t="n">
        <v>301537</v>
      </c>
      <c r="AQ19" s="196" t="n">
        <v>276672</v>
      </c>
      <c r="AR19" s="196" t="n">
        <v>265450</v>
      </c>
      <c r="AS19" s="196" t="n">
        <v>260798</v>
      </c>
      <c r="AT19" s="196" t="n">
        <v>259130</v>
      </c>
      <c r="AU19" s="196" t="n">
        <v>267497</v>
      </c>
      <c r="AV19" s="196" t="n">
        <v>255904</v>
      </c>
      <c r="AW19" s="196" t="n">
        <v>211131</v>
      </c>
      <c r="AX19" s="196" t="n">
        <v>201357</v>
      </c>
      <c r="AY19" s="196" t="n">
        <v>202767</v>
      </c>
      <c r="AZ19" s="196" t="n">
        <v>200698</v>
      </c>
      <c r="BA19" s="196" t="n">
        <v>191195</v>
      </c>
      <c r="BB19" s="196" t="n">
        <v>189599</v>
      </c>
      <c r="BC19" s="196" t="n">
        <v>175092</v>
      </c>
      <c r="BD19" s="196" t="n">
        <v>167977</v>
      </c>
      <c r="BE19" s="196" t="n">
        <v>163509</v>
      </c>
      <c r="BF19" s="196" t="n">
        <v>169725</v>
      </c>
      <c r="BG19" s="196" t="n">
        <v>161391</v>
      </c>
      <c r="BH19" s="196" t="n">
        <v>168078</v>
      </c>
      <c r="BI19" s="196" t="n">
        <v>170511</v>
      </c>
      <c r="BJ19" s="196" t="n">
        <v>177470</v>
      </c>
      <c r="BK19" s="196" t="n">
        <v>174888</v>
      </c>
      <c r="BL19" s="196" t="n">
        <v>172047</v>
      </c>
      <c r="BM19" s="196" t="n">
        <v>160625</v>
      </c>
      <c r="BN19" s="196" t="n">
        <v>162041</v>
      </c>
      <c r="BO19" s="196" t="n">
        <v>169368</v>
      </c>
      <c r="BP19" s="196" t="n">
        <v>133430</v>
      </c>
      <c r="BQ19" s="196" t="n">
        <v>127130</v>
      </c>
      <c r="BR19" s="196" t="n">
        <v>128836</v>
      </c>
      <c r="BS19" s="196" t="n">
        <v>128208</v>
      </c>
      <c r="BT19" s="196" t="n">
        <v>130401</v>
      </c>
      <c r="BU19" s="196" t="n">
        <v>125856</v>
      </c>
      <c r="BV19" s="196" t="n">
        <v>127848</v>
      </c>
      <c r="BW19" s="196" t="n">
        <v>121475</v>
      </c>
      <c r="BX19" s="196" t="n">
        <v>123813</v>
      </c>
      <c r="BY19" s="196" t="n">
        <v>104244</v>
      </c>
      <c r="BZ19" s="196" t="n">
        <v>119851</v>
      </c>
      <c r="CA19" s="196" t="n">
        <v>97914</v>
      </c>
      <c r="CB19" s="196" t="n">
        <v>102876</v>
      </c>
      <c r="CC19" s="196" t="n">
        <v>104402</v>
      </c>
      <c r="CD19" s="196" t="n">
        <v>111859</v>
      </c>
      <c r="CE19" s="196" t="n">
        <v>102563</v>
      </c>
      <c r="CF19" s="196" t="n">
        <v>111999</v>
      </c>
      <c r="CG19" s="196" t="n">
        <v>119189</v>
      </c>
      <c r="CH19" s="196" t="n">
        <v>132984</v>
      </c>
      <c r="CI19" s="196" t="n">
        <v>104851</v>
      </c>
      <c r="CJ19" s="196" t="n">
        <v>102217</v>
      </c>
      <c r="CK19" s="196" t="n">
        <v>82465</v>
      </c>
      <c r="CL19" s="196" t="n">
        <v>72665</v>
      </c>
      <c r="CM19" s="196" t="n">
        <v>68536</v>
      </c>
      <c r="CN19" s="196" t="n">
        <v>70231</v>
      </c>
      <c r="CO19" s="196" t="n">
        <v>74244</v>
      </c>
      <c r="CP19" s="196" t="n">
        <v>80048</v>
      </c>
      <c r="CQ19" s="196" t="n">
        <v>74524</v>
      </c>
      <c r="CR19" s="196" t="n">
        <v>69207</v>
      </c>
      <c r="CS19" s="196" t="n">
        <v>59300</v>
      </c>
      <c r="CT19" s="196" t="n">
        <v>68833</v>
      </c>
      <c r="CU19" s="196" t="n">
        <v>60032</v>
      </c>
      <c r="CV19" s="196" t="n">
        <v>59381</v>
      </c>
      <c r="CW19" s="196" t="n">
        <v>67966</v>
      </c>
      <c r="CX19" s="196" t="n">
        <v>58053</v>
      </c>
      <c r="CY19" s="196" t="n">
        <v>50142</v>
      </c>
      <c r="CZ19" s="196" t="n">
        <v>51661.9</v>
      </c>
      <c r="DA19" s="196" t="n">
        <v>73314.39999999999</v>
      </c>
      <c r="DB19" s="196" t="n">
        <v>55012.3</v>
      </c>
      <c r="DC19" s="196" t="n">
        <v>48197.6</v>
      </c>
      <c r="DD19" s="196" t="n">
        <v>47568.5</v>
      </c>
      <c r="DE19" s="196" t="n">
        <v>47574.5</v>
      </c>
      <c r="DF19" s="196" t="n">
        <v>53013.7</v>
      </c>
      <c r="DG19" s="196" t="n">
        <v>43132.6</v>
      </c>
      <c r="DH19" s="196" t="n">
        <v>43231.5</v>
      </c>
      <c r="DI19" s="196" t="n">
        <v>39363.3</v>
      </c>
      <c r="DJ19" s="196" t="n">
        <v>43209.6</v>
      </c>
      <c r="DK19" s="196" t="n">
        <v>34123.2</v>
      </c>
      <c r="DL19" s="196" t="n">
        <v>35356.2</v>
      </c>
      <c r="DM19" s="196" t="n">
        <v>30937.2</v>
      </c>
      <c r="DN19" s="196" t="n">
        <v>33761.5</v>
      </c>
      <c r="DO19" s="196" t="n">
        <v>27400</v>
      </c>
      <c r="DP19" s="196" t="n">
        <v>24600</v>
      </c>
      <c r="DQ19" s="196" t="n">
        <v>24200</v>
      </c>
      <c r="DR19" s="196" t="n">
        <v>24600</v>
      </c>
      <c r="DS19" s="196" t="n">
        <v>19100</v>
      </c>
      <c r="DT19" s="196" t="n">
        <v>18600</v>
      </c>
      <c r="DU19" s="196" t="n">
        <v>18600</v>
      </c>
      <c r="DV19" s="196" t="n">
        <v>18700</v>
      </c>
      <c r="DW19" s="196" t="n">
        <v>16200</v>
      </c>
      <c r="DX19" s="196" t="n">
        <v>18000</v>
      </c>
      <c r="DY19" s="196" t="n">
        <v>20200</v>
      </c>
      <c r="DZ19" s="196" t="n">
        <v>24000</v>
      </c>
      <c r="EA19" s="196" t="n">
        <v>20900</v>
      </c>
      <c r="EB19" s="196" t="n">
        <v>24400</v>
      </c>
      <c r="EC19" s="196" t="n">
        <v>22600</v>
      </c>
      <c r="ED19" s="196" t="n">
        <v>25500</v>
      </c>
      <c r="EE19" s="196" t="n">
        <v>17100</v>
      </c>
      <c r="EF19" s="196" t="n">
        <v>18300</v>
      </c>
      <c r="EG19" s="196" t="n">
        <v>14100</v>
      </c>
      <c r="EH19" s="196" t="n">
        <v>10700</v>
      </c>
      <c r="EI19" s="196" t="n">
        <v>6800</v>
      </c>
      <c r="EJ19" s="196" t="n">
        <v>6200</v>
      </c>
      <c r="EK19" s="196" t="n">
        <v>7200</v>
      </c>
      <c r="EL19" s="196" t="n">
        <v>3500</v>
      </c>
      <c r="EM19" s="196" t="n"/>
      <c r="EN19" s="196" t="n"/>
      <c r="EO19" s="182" t="n"/>
      <c r="EP19" s="176" t="n"/>
      <c r="EQ19" s="176" t="n"/>
      <c r="ER19" s="176" t="n"/>
      <c r="ES19" s="176" t="n"/>
      <c r="ET19" s="176" t="n"/>
      <c r="EU19" s="176" t="n"/>
      <c r="EV19" s="176" t="n"/>
      <c r="EW19" s="176" t="n"/>
      <c r="EX19" s="176" t="n"/>
      <c r="EY19" s="176" t="n"/>
      <c r="EZ19" s="176" t="n"/>
      <c r="FA19" s="176" t="n"/>
      <c r="FB19" s="176" t="n"/>
      <c r="FC19" s="176" t="n"/>
      <c r="FD19" s="176" t="n"/>
      <c r="FE19" s="176" t="n"/>
      <c r="FF19" s="176" t="n"/>
      <c r="FG19" s="176" t="n"/>
      <c r="FH19" s="176" t="n"/>
      <c r="FI19" s="176" t="n"/>
      <c r="FJ19" s="176" t="n"/>
      <c r="FK19" s="176" t="n"/>
      <c r="FL19" s="176" t="n"/>
      <c r="FM19" s="176" t="n"/>
    </row>
    <row r="20" ht="15" customHeight="1" s="392">
      <c r="A20" s="176" t="n"/>
      <c r="B20" s="180" t="n"/>
      <c r="C20" s="187" t="inlineStr">
        <is>
          <t>Total Gross Profit</t>
        </is>
      </c>
      <c r="D20" s="193">
        <f>IF(COUNT(M20:EN20)&gt;0,MEDIAN(M20:EN20),"")</f>
        <v/>
      </c>
      <c r="E20" s="193">
        <f>IF(COUNT(M20:EN20)&gt;0,AVERAGE(M20:EN20),"")</f>
        <v/>
      </c>
      <c r="F20" s="193">
        <f>IF(COUNT(M20:EN20)&gt;0,MIN(M20:EN20),"")</f>
        <v/>
      </c>
      <c r="G20" s="193">
        <f>IF(COUNT(M20:EN20)&gt;0,MAX(M20:EN20),"")</f>
        <v/>
      </c>
      <c r="H20" s="193">
        <f>IF(COUNT(M20:EN20)&gt;0,QUARTILE(M20:EN20,1),"")</f>
        <v/>
      </c>
      <c r="I20" s="193">
        <f>IF(COUNT(M20:EN20)&gt;0,QUARTILE(M20:EN20,3),"")</f>
        <v/>
      </c>
      <c r="J20" s="193">
        <f>IF(COUNT(M20:EN20)&gt;1,STDEV(M20:EN20),"")</f>
        <v/>
      </c>
      <c r="K20" s="194">
        <f>IF(COUNT(M20:EN20)&gt;1,STDEV(M20:EN20)/AVERAGE(M20:EN20),"")</f>
        <v/>
      </c>
      <c r="L20" s="195" t="n"/>
      <c r="M20" s="196" t="n">
        <v>481449</v>
      </c>
      <c r="N20" s="196" t="n">
        <v>572599</v>
      </c>
      <c r="O20" s="196" t="n">
        <v>492812</v>
      </c>
      <c r="P20" s="196" t="n">
        <v>536998</v>
      </c>
      <c r="Q20" s="196" t="n">
        <v>509718</v>
      </c>
      <c r="R20" s="196" t="n">
        <v>552267</v>
      </c>
      <c r="S20" s="196" t="n">
        <v>525553</v>
      </c>
      <c r="T20" s="196" t="n">
        <v>512105</v>
      </c>
      <c r="U20" s="196" t="n">
        <v>453576</v>
      </c>
      <c r="V20" s="196" t="n">
        <v>525505</v>
      </c>
      <c r="W20" s="196" t="n">
        <v>464152</v>
      </c>
      <c r="X20" s="196" t="n">
        <v>464019</v>
      </c>
      <c r="Y20" s="196" t="n">
        <v>457578</v>
      </c>
      <c r="Z20" s="196" t="n">
        <v>483430</v>
      </c>
      <c r="AA20" s="196" t="n">
        <v>426500</v>
      </c>
      <c r="AB20" s="196" t="n">
        <v>369483</v>
      </c>
      <c r="AC20" s="196" t="n">
        <v>381572</v>
      </c>
      <c r="AD20" s="196" t="n">
        <v>436277</v>
      </c>
      <c r="AE20" s="196" t="n">
        <v>403342</v>
      </c>
      <c r="AF20" s="196" t="n">
        <v>385030</v>
      </c>
      <c r="AG20" s="196" t="n">
        <v>357483</v>
      </c>
      <c r="AH20" s="196" t="n">
        <v>381341</v>
      </c>
      <c r="AI20" s="196" t="n">
        <v>307498</v>
      </c>
      <c r="AJ20" s="196" t="n">
        <v>296769</v>
      </c>
      <c r="AK20" s="196" t="n">
        <v>250431</v>
      </c>
      <c r="AL20" s="196" t="n">
        <v>242613</v>
      </c>
      <c r="AM20" s="196" t="n">
        <v>259889</v>
      </c>
      <c r="AN20" s="196" t="n">
        <v>254869</v>
      </c>
      <c r="AO20" s="196" t="n">
        <v>242619</v>
      </c>
      <c r="AP20" s="196" t="n">
        <v>251579</v>
      </c>
      <c r="AQ20" s="196" t="n">
        <v>208226</v>
      </c>
      <c r="AR20" s="196" t="n">
        <v>195918</v>
      </c>
      <c r="AS20" s="196" t="n">
        <v>188425</v>
      </c>
      <c r="AT20" s="196" t="n">
        <v>219068</v>
      </c>
      <c r="AU20" s="196" t="n">
        <v>191609</v>
      </c>
      <c r="AV20" s="196" t="n">
        <v>163264</v>
      </c>
      <c r="AW20" s="196" t="n">
        <v>167465</v>
      </c>
      <c r="AX20" s="196" t="n">
        <v>172505</v>
      </c>
      <c r="AY20" s="196" t="n">
        <v>146765</v>
      </c>
      <c r="AZ20" s="196" t="n">
        <v>145293</v>
      </c>
      <c r="BA20" s="196" t="n">
        <v>141464</v>
      </c>
      <c r="BB20" s="196" t="n">
        <v>157647</v>
      </c>
      <c r="BC20" s="196" t="n">
        <v>124614</v>
      </c>
      <c r="BD20" s="196" t="n">
        <v>120861</v>
      </c>
      <c r="BE20" s="196" t="n">
        <v>118784</v>
      </c>
      <c r="BF20" s="196" t="n">
        <v>127417</v>
      </c>
      <c r="BG20" s="196" t="n">
        <v>114867</v>
      </c>
      <c r="BH20" s="196" t="n">
        <v>122308</v>
      </c>
      <c r="BI20" s="196" t="n">
        <v>116939</v>
      </c>
      <c r="BJ20" s="196" t="n">
        <v>132252</v>
      </c>
      <c r="BK20" s="196" t="n">
        <v>111546</v>
      </c>
      <c r="BL20" s="196" t="n">
        <v>107836</v>
      </c>
      <c r="BM20" s="196" t="n">
        <v>103072</v>
      </c>
      <c r="BN20" s="196" t="n">
        <v>115597</v>
      </c>
      <c r="BO20" s="196" t="n">
        <v>96817</v>
      </c>
      <c r="BP20" s="196" t="n">
        <v>105436</v>
      </c>
      <c r="BQ20" s="196" t="n">
        <v>99426</v>
      </c>
      <c r="BR20" s="196" t="n">
        <v>115269</v>
      </c>
      <c r="BS20" s="196" t="n">
        <v>99696</v>
      </c>
      <c r="BT20" s="196" t="n">
        <v>95225</v>
      </c>
      <c r="BU20" s="196" t="n">
        <v>89586</v>
      </c>
      <c r="BV20" s="196" t="n">
        <v>108907</v>
      </c>
      <c r="BW20" s="196" t="n">
        <v>85905</v>
      </c>
      <c r="BX20" s="196" t="n">
        <v>88854</v>
      </c>
      <c r="BY20" s="196" t="n">
        <v>86224</v>
      </c>
      <c r="BZ20" s="196" t="n">
        <v>100498</v>
      </c>
      <c r="CA20" s="196" t="n">
        <v>78687</v>
      </c>
      <c r="CB20" s="196" t="n">
        <v>82585</v>
      </c>
      <c r="CC20" s="196" t="n">
        <v>79930</v>
      </c>
      <c r="CD20" s="196" t="n">
        <v>85467</v>
      </c>
      <c r="CE20" s="196" t="n">
        <v>67292</v>
      </c>
      <c r="CF20" s="196" t="n">
        <v>79570</v>
      </c>
      <c r="CG20" s="196" t="n">
        <v>87093</v>
      </c>
      <c r="CH20" s="196" t="n">
        <v>88166</v>
      </c>
      <c r="CI20" s="196" t="n">
        <v>68608</v>
      </c>
      <c r="CJ20" s="196" t="n">
        <v>81740</v>
      </c>
      <c r="CK20" s="196" t="n">
        <v>71517</v>
      </c>
      <c r="CL20" s="196" t="n">
        <v>72987</v>
      </c>
      <c r="CM20" s="196" t="n">
        <v>60389</v>
      </c>
      <c r="CN20" s="196" t="n">
        <v>61890</v>
      </c>
      <c r="CO20" s="196" t="n">
        <v>62976</v>
      </c>
      <c r="CP20" s="196" t="n">
        <v>69464</v>
      </c>
      <c r="CQ20" s="196" t="n">
        <v>50575</v>
      </c>
      <c r="CR20" s="196" t="n">
        <v>47532</v>
      </c>
      <c r="CS20" s="196" t="n">
        <v>51275</v>
      </c>
      <c r="CT20" s="196" t="n">
        <v>58939</v>
      </c>
      <c r="CU20" s="196" t="n">
        <v>47669</v>
      </c>
      <c r="CV20" s="196" t="n">
        <v>44729</v>
      </c>
      <c r="CW20" s="196" t="n">
        <v>22328</v>
      </c>
      <c r="CX20" s="196" t="n">
        <v>58565</v>
      </c>
      <c r="CY20" s="196" t="n">
        <v>42493</v>
      </c>
      <c r="CZ20" s="196" t="n">
        <v>39804.7</v>
      </c>
      <c r="DA20" s="196" t="n">
        <v>13901.6</v>
      </c>
      <c r="DB20" s="196" t="n">
        <v>38916.4</v>
      </c>
      <c r="DC20" s="196" t="n">
        <v>34585.8</v>
      </c>
      <c r="DD20" s="196" t="n">
        <v>35926.4</v>
      </c>
      <c r="DE20" s="196" t="n">
        <v>35058.2</v>
      </c>
      <c r="DF20" s="196" t="n">
        <v>37144.4</v>
      </c>
      <c r="DG20" s="196" t="n">
        <v>28249.7</v>
      </c>
      <c r="DH20" s="196" t="n">
        <v>29051</v>
      </c>
      <c r="DI20" s="196" t="n">
        <v>29267.8</v>
      </c>
      <c r="DJ20" s="196" t="n">
        <v>28271</v>
      </c>
      <c r="DK20" s="196" t="n">
        <v>22515</v>
      </c>
      <c r="DL20" s="196" t="n">
        <v>21783.2</v>
      </c>
      <c r="DM20" s="196" t="n">
        <v>20390.1</v>
      </c>
      <c r="DN20" s="196" t="n">
        <v>20039.7</v>
      </c>
      <c r="DO20" s="196" t="n">
        <v>17000</v>
      </c>
      <c r="DP20" s="196" t="n">
        <v>15900</v>
      </c>
      <c r="DQ20" s="196" t="n">
        <v>15300</v>
      </c>
      <c r="DR20" s="196" t="n">
        <v>15400</v>
      </c>
      <c r="DS20" s="196" t="n">
        <v>13000</v>
      </c>
      <c r="DT20" s="196" t="n">
        <v>11600</v>
      </c>
      <c r="DU20" s="196" t="n">
        <v>11400</v>
      </c>
      <c r="DV20" s="196" t="n">
        <v>11900</v>
      </c>
      <c r="DW20" s="196" t="n">
        <v>10000</v>
      </c>
      <c r="DX20" s="196" t="n">
        <v>9500</v>
      </c>
      <c r="DY20" s="196" t="n">
        <v>9400</v>
      </c>
      <c r="DZ20" s="196" t="n">
        <v>9800</v>
      </c>
      <c r="EA20" s="196" t="n">
        <v>9500</v>
      </c>
      <c r="EB20" s="196" t="n">
        <v>8100</v>
      </c>
      <c r="EC20" s="196" t="n">
        <v>8800</v>
      </c>
      <c r="ED20" s="196" t="n">
        <v>8800</v>
      </c>
      <c r="EE20" s="196" t="n">
        <v>9000</v>
      </c>
      <c r="EF20" s="196" t="n">
        <v>8100</v>
      </c>
      <c r="EG20" s="196" t="n">
        <v>7300</v>
      </c>
      <c r="EH20" s="196" t="n">
        <v>5300</v>
      </c>
      <c r="EI20" s="196" t="n">
        <v>4200</v>
      </c>
      <c r="EJ20" s="196" t="n">
        <v>3500</v>
      </c>
      <c r="EK20" s="196" t="n">
        <v>400</v>
      </c>
      <c r="EL20" s="196" t="n">
        <v>3100</v>
      </c>
      <c r="EM20" s="196" t="n"/>
      <c r="EN20" s="196" t="n"/>
      <c r="EO20" s="182" t="n"/>
      <c r="EP20" s="176" t="n"/>
      <c r="EQ20" s="176" t="n"/>
      <c r="ER20" s="176" t="n"/>
      <c r="ES20" s="176" t="n"/>
      <c r="ET20" s="176" t="n"/>
      <c r="EU20" s="176" t="n"/>
      <c r="EV20" s="176" t="n"/>
      <c r="EW20" s="176" t="n"/>
      <c r="EX20" s="176" t="n"/>
      <c r="EY20" s="176" t="n"/>
      <c r="EZ20" s="176" t="n"/>
      <c r="FA20" s="176" t="n"/>
      <c r="FB20" s="176" t="n"/>
      <c r="FC20" s="176" t="n"/>
      <c r="FD20" s="176" t="n"/>
      <c r="FE20" s="176" t="n"/>
      <c r="FF20" s="176" t="n"/>
      <c r="FG20" s="176" t="n"/>
      <c r="FH20" s="176" t="n"/>
      <c r="FI20" s="176" t="n"/>
      <c r="FJ20" s="176" t="n"/>
      <c r="FK20" s="176" t="n"/>
      <c r="FL20" s="176" t="n"/>
      <c r="FM20" s="176" t="n"/>
    </row>
    <row r="21" ht="15" customHeight="1" s="392">
      <c r="A21" s="176" t="n"/>
      <c r="B21" s="180" t="n"/>
      <c r="C21" s="189" t="inlineStr">
        <is>
          <t>Operating (Income)/Expenses</t>
        </is>
      </c>
      <c r="D21" s="185" t="n"/>
      <c r="E21" s="185" t="n"/>
      <c r="F21" s="185" t="n"/>
      <c r="G21" s="185" t="n"/>
      <c r="H21" s="185" t="n"/>
      <c r="I21" s="185" t="n"/>
      <c r="J21" s="185" t="n"/>
      <c r="K21" s="185" t="n"/>
      <c r="L21" s="185" t="n"/>
      <c r="M21" s="185" t="n"/>
      <c r="N21" s="185" t="n"/>
      <c r="O21" s="185" t="n"/>
      <c r="P21" s="185" t="n"/>
      <c r="Q21" s="185" t="n"/>
      <c r="R21" s="185" t="n"/>
      <c r="S21" s="185" t="n"/>
      <c r="T21" s="185" t="n"/>
      <c r="U21" s="185" t="n"/>
      <c r="V21" s="185" t="n"/>
      <c r="W21" s="185" t="n"/>
      <c r="X21" s="185" t="n"/>
      <c r="Y21" s="185" t="n"/>
      <c r="Z21" s="185" t="n"/>
      <c r="AA21" s="185" t="n"/>
      <c r="AB21" s="185" t="n"/>
      <c r="AC21" s="185" t="n"/>
      <c r="AD21" s="185" t="n"/>
      <c r="AE21" s="185" t="n"/>
      <c r="AF21" s="185" t="n"/>
      <c r="AG21" s="185" t="n"/>
      <c r="AH21" s="185" t="n"/>
      <c r="AI21" s="185" t="n"/>
      <c r="AJ21" s="185" t="n"/>
      <c r="AK21" s="185" t="n"/>
      <c r="AL21" s="185" t="n"/>
      <c r="AM21" s="185" t="n"/>
      <c r="AN21" s="185" t="n"/>
      <c r="AO21" s="185" t="n"/>
      <c r="AP21" s="185" t="n"/>
      <c r="AQ21" s="185" t="n"/>
      <c r="AR21" s="185" t="n"/>
      <c r="AS21" s="185" t="n"/>
      <c r="AT21" s="185" t="n"/>
      <c r="AU21" s="185" t="n"/>
      <c r="AV21" s="185" t="n"/>
      <c r="AW21" s="185" t="n"/>
      <c r="AX21" s="185" t="n"/>
      <c r="AY21" s="185" t="n"/>
      <c r="AZ21" s="185" t="n"/>
      <c r="BA21" s="185" t="n"/>
      <c r="BB21" s="185" t="n"/>
      <c r="BC21" s="185" t="n"/>
      <c r="BD21" s="185" t="n"/>
      <c r="BE21" s="185" t="n"/>
      <c r="BF21" s="185" t="n"/>
      <c r="BG21" s="185" t="n"/>
      <c r="BH21" s="185" t="n"/>
      <c r="BI21" s="185" t="n"/>
      <c r="BJ21" s="185" t="n"/>
      <c r="BK21" s="185" t="n"/>
      <c r="BL21" s="185" t="n"/>
      <c r="BM21" s="185" t="n"/>
      <c r="BN21" s="185" t="n"/>
      <c r="BO21" s="185" t="n"/>
      <c r="BP21" s="185" t="n"/>
      <c r="BQ21" s="185" t="n"/>
      <c r="BR21" s="185" t="n"/>
      <c r="BS21" s="185" t="n"/>
      <c r="BT21" s="185" t="n"/>
      <c r="BU21" s="185" t="n"/>
      <c r="BV21" s="185" t="n"/>
      <c r="BW21" s="185" t="n"/>
      <c r="BX21" s="185" t="n"/>
      <c r="BY21" s="185" t="n"/>
      <c r="BZ21" s="185" t="n"/>
      <c r="CA21" s="185" t="n"/>
      <c r="CB21" s="185" t="n"/>
      <c r="CC21" s="185" t="n"/>
      <c r="CD21" s="185" t="n"/>
      <c r="CE21" s="185" t="n"/>
      <c r="CF21" s="185" t="n"/>
      <c r="CG21" s="185" t="n"/>
      <c r="CH21" s="185" t="n"/>
      <c r="CI21" s="185" t="n"/>
      <c r="CJ21" s="185" t="n"/>
      <c r="CK21" s="185" t="n"/>
      <c r="CL21" s="185" t="n"/>
      <c r="CM21" s="185" t="n"/>
      <c r="CN21" s="185" t="n"/>
      <c r="CO21" s="185" t="n"/>
      <c r="CP21" s="185" t="n"/>
      <c r="CQ21" s="185" t="n"/>
      <c r="CR21" s="185" t="n"/>
      <c r="CS21" s="185" t="n"/>
      <c r="CT21" s="185" t="n"/>
      <c r="CU21" s="185" t="n"/>
      <c r="CV21" s="185" t="n"/>
      <c r="CW21" s="185" t="n"/>
      <c r="CX21" s="185" t="n"/>
      <c r="CY21" s="185" t="n"/>
      <c r="CZ21" s="185" t="n"/>
      <c r="DA21" s="185" t="n"/>
      <c r="DB21" s="185" t="n"/>
      <c r="DC21" s="185" t="n"/>
      <c r="DD21" s="185" t="n"/>
      <c r="DE21" s="185" t="n"/>
      <c r="DF21" s="185" t="n"/>
      <c r="DG21" s="185" t="n"/>
      <c r="DH21" s="185" t="n"/>
      <c r="DI21" s="185" t="n"/>
      <c r="DJ21" s="185" t="n"/>
      <c r="DK21" s="185" t="n"/>
      <c r="DL21" s="185" t="n"/>
      <c r="DM21" s="185" t="n"/>
      <c r="DN21" s="185" t="n"/>
      <c r="DO21" s="185" t="n"/>
      <c r="DP21" s="185" t="n"/>
      <c r="DQ21" s="185" t="n"/>
      <c r="DR21" s="185" t="n"/>
      <c r="DS21" s="185" t="n"/>
      <c r="DT21" s="185" t="n"/>
      <c r="DU21" s="185" t="n"/>
      <c r="DV21" s="185" t="n"/>
      <c r="DW21" s="185" t="n"/>
      <c r="DX21" s="185" t="n"/>
      <c r="DY21" s="185" t="n"/>
      <c r="DZ21" s="185" t="n"/>
      <c r="EA21" s="185" t="n"/>
      <c r="EB21" s="185" t="n"/>
      <c r="EC21" s="185" t="n"/>
      <c r="ED21" s="185" t="n"/>
      <c r="EE21" s="185" t="n"/>
      <c r="EF21" s="185" t="n"/>
      <c r="EG21" s="185" t="n"/>
      <c r="EH21" s="185" t="n"/>
      <c r="EI21" s="185" t="n"/>
      <c r="EJ21" s="185" t="n"/>
      <c r="EK21" s="185" t="n"/>
      <c r="EL21" s="185" t="n"/>
      <c r="EM21" s="185" t="n"/>
      <c r="EN21" s="185" t="n"/>
      <c r="EO21" s="182" t="n"/>
      <c r="EP21" s="176" t="n"/>
      <c r="EQ21" s="176" t="n"/>
      <c r="ER21" s="176" t="n"/>
      <c r="ES21" s="176" t="n"/>
      <c r="ET21" s="176" t="n"/>
      <c r="EU21" s="176" t="n"/>
      <c r="EV21" s="176" t="n"/>
      <c r="EW21" s="176" t="n"/>
      <c r="EX21" s="176" t="n"/>
      <c r="EY21" s="176" t="n"/>
      <c r="EZ21" s="176" t="n"/>
      <c r="FA21" s="176" t="n"/>
      <c r="FB21" s="176" t="n"/>
      <c r="FC21" s="176" t="n"/>
      <c r="FD21" s="176" t="n"/>
      <c r="FE21" s="176" t="n"/>
      <c r="FF21" s="176" t="n"/>
      <c r="FG21" s="176" t="n"/>
      <c r="FH21" s="176" t="n"/>
      <c r="FI21" s="176" t="n"/>
      <c r="FJ21" s="176" t="n"/>
      <c r="FK21" s="176" t="n"/>
      <c r="FL21" s="176" t="n"/>
      <c r="FM21" s="176" t="n"/>
    </row>
    <row r="22" ht="15" customHeight="1" s="392">
      <c r="A22" s="176" t="n"/>
      <c r="B22" s="180" t="n"/>
      <c r="C22" s="183" t="inlineStr">
        <is>
          <t xml:space="preserve">    Selling, General and Administrative Expenses</t>
        </is>
      </c>
      <c r="D22" s="185" t="n"/>
      <c r="E22" s="185" t="n"/>
      <c r="F22" s="185" t="n"/>
      <c r="G22" s="185" t="n"/>
      <c r="H22" s="185" t="n"/>
      <c r="I22" s="185" t="n"/>
      <c r="J22" s="185" t="n"/>
      <c r="K22" s="185" t="n"/>
      <c r="EO22" s="182" t="n"/>
      <c r="EP22" s="176" t="n"/>
      <c r="EQ22" s="176" t="n"/>
      <c r="ER22" s="176" t="n"/>
      <c r="ES22" s="176" t="n"/>
      <c r="ET22" s="176" t="n"/>
      <c r="EU22" s="176" t="n"/>
      <c r="EV22" s="176" t="n"/>
      <c r="EW22" s="176" t="n"/>
      <c r="EX22" s="176" t="n"/>
      <c r="EY22" s="176" t="n"/>
      <c r="EZ22" s="176" t="n"/>
      <c r="FA22" s="176" t="n"/>
      <c r="FB22" s="176" t="n"/>
      <c r="FC22" s="176" t="n"/>
      <c r="FD22" s="176" t="n"/>
      <c r="FE22" s="176" t="n"/>
      <c r="FF22" s="176" t="n"/>
      <c r="FG22" s="176" t="n"/>
      <c r="FH22" s="176" t="n"/>
      <c r="FI22" s="176" t="n"/>
      <c r="FJ22" s="176" t="n"/>
      <c r="FK22" s="176" t="n"/>
      <c r="FL22" s="176" t="n"/>
      <c r="FM22" s="176" t="n"/>
    </row>
    <row r="23" ht="15" customHeight="1" s="392">
      <c r="A23" s="176" t="n"/>
      <c r="B23" s="180" t="n"/>
      <c r="C23" s="183" t="inlineStr">
        <is>
          <t xml:space="preserve">        Staff Costs</t>
        </is>
      </c>
      <c r="D23" s="185" t="n"/>
      <c r="E23" s="185" t="n"/>
      <c r="F23" s="185" t="n"/>
      <c r="G23" s="185" t="n"/>
      <c r="H23" s="185" t="n"/>
      <c r="I23" s="185" t="n"/>
      <c r="J23" s="185" t="n"/>
      <c r="K23" s="185" t="n"/>
      <c r="EO23" s="182" t="n"/>
      <c r="EP23" s="176" t="n"/>
      <c r="EQ23" s="176" t="n"/>
      <c r="ER23" s="176" t="n"/>
      <c r="ES23" s="176" t="n"/>
      <c r="ET23" s="176" t="n"/>
      <c r="EU23" s="176" t="n"/>
      <c r="EV23" s="176" t="n"/>
      <c r="EW23" s="176" t="n"/>
      <c r="EX23" s="176" t="n"/>
      <c r="EY23" s="176" t="n"/>
      <c r="EZ23" s="176" t="n"/>
      <c r="FA23" s="176" t="n"/>
      <c r="FB23" s="176" t="n"/>
      <c r="FC23" s="176" t="n"/>
      <c r="FD23" s="176" t="n"/>
      <c r="FE23" s="176" t="n"/>
      <c r="FF23" s="176" t="n"/>
      <c r="FG23" s="176" t="n"/>
      <c r="FH23" s="176" t="n"/>
      <c r="FI23" s="176" t="n"/>
      <c r="FJ23" s="176" t="n"/>
      <c r="FK23" s="176" t="n"/>
      <c r="FL23" s="176" t="n"/>
      <c r="FM23" s="176" t="n"/>
    </row>
    <row r="24" ht="15" customHeight="1" s="392">
      <c r="A24" s="176" t="n"/>
      <c r="B24" s="180" t="n"/>
      <c r="C24" s="183" t="inlineStr">
        <is>
          <t xml:space="preserve">            Stock-Based Compensation</t>
        </is>
      </c>
      <c r="D24" s="190">
        <f>IF(COUNT(M24:EN24)&gt;0,MEDIAN(M24:EN24),"")</f>
        <v/>
      </c>
      <c r="E24" s="190">
        <f>IF(COUNT(M24:EN24)&gt;0,AVERAGE(M24:EN24),"")</f>
        <v/>
      </c>
      <c r="F24" s="190">
        <f>IF(COUNT(M24:EN24)&gt;0,MIN(M24:EN24),"")</f>
        <v/>
      </c>
      <c r="G24" s="190">
        <f>IF(COUNT(M24:EN24)&gt;0,MAX(M24:EN24),"")</f>
        <v/>
      </c>
      <c r="H24" s="190">
        <f>IF(COUNT(M24:EN24)&gt;0,QUARTILE(M24:EN24,1),"")</f>
        <v/>
      </c>
      <c r="I24" s="190">
        <f>IF(COUNT(M24:EN24)&gt;0,QUARTILE(M24:EN24,3),"")</f>
        <v/>
      </c>
      <c r="J24" s="190">
        <f>IF(COUNT(M24:EN24)&gt;1,STDEV(M24:EN24),"")</f>
        <v/>
      </c>
      <c r="K24" s="191">
        <f>IF(COUNT(M24:EN24)&gt;1,STDEV(M24:EN24)/AVERAGE(M24:EN24),"")</f>
        <v/>
      </c>
      <c r="M24" s="192" t="n">
        <v>7530</v>
      </c>
      <c r="N24" s="192" t="n"/>
      <c r="O24" s="192" t="n"/>
      <c r="P24" s="192" t="n"/>
      <c r="Q24" s="192" t="n"/>
      <c r="R24" s="192" t="n"/>
      <c r="S24" s="192" t="n"/>
      <c r="T24" s="192" t="n"/>
      <c r="U24" s="192" t="n"/>
      <c r="V24" s="192" t="n"/>
      <c r="W24" s="192" t="n"/>
      <c r="X24" s="192" t="n"/>
      <c r="Y24" s="192" t="n"/>
      <c r="Z24" s="192" t="n"/>
      <c r="AA24" s="192" t="n"/>
      <c r="AB24" s="192" t="n"/>
      <c r="AC24" s="192" t="n"/>
      <c r="AD24" s="192" t="n"/>
      <c r="AE24" s="192" t="n"/>
      <c r="AF24" s="192" t="n"/>
      <c r="AG24" s="192" t="n"/>
      <c r="AH24" s="192" t="n"/>
      <c r="AI24" s="192" t="n"/>
      <c r="AJ24" s="192" t="n"/>
      <c r="AK24" s="192" t="n"/>
      <c r="AL24" s="192" t="n"/>
      <c r="AM24" s="192" t="n"/>
      <c r="AN24" s="192" t="n"/>
      <c r="AO24" s="192" t="n"/>
      <c r="AP24" s="192" t="n"/>
      <c r="AQ24" s="192" t="n"/>
      <c r="AR24" s="192" t="n"/>
      <c r="AS24" s="192" t="n"/>
      <c r="AT24" s="192" t="n"/>
      <c r="AU24" s="192" t="n"/>
      <c r="AV24" s="192" t="n"/>
      <c r="AW24" s="192" t="n"/>
      <c r="AX24" s="192" t="n"/>
      <c r="AY24" s="192" t="n"/>
      <c r="AZ24" s="192" t="n"/>
      <c r="BA24" s="192" t="n"/>
      <c r="BB24" s="192" t="n"/>
      <c r="BC24" s="192" t="n"/>
      <c r="BD24" s="192" t="n"/>
      <c r="BE24" s="192" t="n"/>
      <c r="BF24" s="192" t="n"/>
      <c r="BG24" s="192" t="n"/>
      <c r="BH24" s="192" t="n"/>
      <c r="BI24" s="192" t="n"/>
      <c r="BJ24" s="192" t="n"/>
      <c r="BK24" s="192" t="n"/>
      <c r="BL24" s="192" t="n"/>
      <c r="BM24" s="192" t="n"/>
      <c r="BN24" s="192" t="n"/>
      <c r="BO24" s="192" t="n"/>
      <c r="BP24" s="192" t="n"/>
      <c r="BQ24" s="192" t="n"/>
      <c r="BR24" s="192" t="n"/>
      <c r="BS24" s="192" t="n"/>
      <c r="BT24" s="192" t="n"/>
      <c r="BU24" s="192" t="n"/>
      <c r="BV24" s="192" t="n"/>
      <c r="BW24" s="192" t="n"/>
      <c r="BX24" s="192" t="n"/>
      <c r="BY24" s="192" t="n"/>
      <c r="BZ24" s="192" t="n"/>
      <c r="CA24" s="192" t="n"/>
      <c r="CB24" s="192" t="n"/>
      <c r="CC24" s="192" t="n"/>
      <c r="CD24" s="192" t="n"/>
      <c r="CE24" s="192" t="n"/>
      <c r="CF24" s="192" t="n"/>
      <c r="CG24" s="192" t="n"/>
      <c r="CH24" s="192" t="n"/>
      <c r="CI24" s="192" t="n"/>
      <c r="CJ24" s="192" t="n"/>
      <c r="CK24" s="192" t="n"/>
      <c r="CL24" s="192" t="n"/>
      <c r="CM24" s="192" t="n"/>
      <c r="CN24" s="192" t="n"/>
      <c r="CO24" s="192" t="n"/>
      <c r="CP24" s="192" t="n"/>
      <c r="CQ24" s="192" t="n"/>
      <c r="CR24" s="192" t="n"/>
      <c r="CS24" s="192" t="n"/>
      <c r="CT24" s="192" t="n"/>
      <c r="CU24" s="192" t="n"/>
      <c r="CV24" s="192" t="n"/>
      <c r="CW24" s="192" t="n"/>
      <c r="CX24" s="192" t="n"/>
      <c r="CY24" s="192" t="n"/>
      <c r="CZ24" s="192" t="n"/>
      <c r="DA24" s="192" t="n"/>
      <c r="DB24" s="192" t="n"/>
      <c r="DC24" s="192" t="n"/>
      <c r="DD24" s="192" t="n"/>
      <c r="DE24" s="192" t="n"/>
      <c r="DF24" s="192" t="n"/>
      <c r="DG24" s="192" t="n"/>
      <c r="DH24" s="192" t="n"/>
      <c r="DI24" s="192" t="n"/>
      <c r="DJ24" s="192" t="n"/>
      <c r="DK24" s="192" t="n"/>
      <c r="DL24" s="192" t="n"/>
      <c r="DM24" s="192" t="n"/>
      <c r="DN24" s="192" t="n"/>
      <c r="DO24" s="192" t="n"/>
      <c r="DP24" s="192" t="n"/>
      <c r="DQ24" s="192" t="n"/>
      <c r="DR24" s="192" t="n"/>
      <c r="DS24" s="192" t="n"/>
      <c r="DT24" s="192" t="n"/>
      <c r="DU24" s="192" t="n"/>
      <c r="DV24" s="192" t="n"/>
      <c r="DW24" s="192" t="n"/>
      <c r="DX24" s="192" t="n"/>
      <c r="DY24" s="192" t="n"/>
      <c r="DZ24" s="192" t="n"/>
      <c r="EA24" s="192" t="n"/>
      <c r="EB24" s="192" t="n"/>
      <c r="EC24" s="192" t="n"/>
      <c r="ED24" s="192" t="n"/>
      <c r="EE24" s="192" t="n"/>
      <c r="EF24" s="192" t="n"/>
      <c r="EG24" s="192" t="n"/>
      <c r="EH24" s="192" t="n"/>
      <c r="EI24" s="192" t="n"/>
      <c r="EJ24" s="192" t="n"/>
      <c r="EK24" s="192" t="n"/>
      <c r="EL24" s="192" t="n"/>
      <c r="EM24" s="192" t="n"/>
      <c r="EN24" s="192" t="n"/>
      <c r="EO24" s="182" t="n"/>
      <c r="EP24" s="176" t="n"/>
      <c r="EQ24" s="176" t="n"/>
      <c r="ER24" s="176" t="n"/>
      <c r="ES24" s="176" t="n"/>
      <c r="ET24" s="176" t="n"/>
      <c r="EU24" s="176" t="n"/>
      <c r="EV24" s="176" t="n"/>
      <c r="EW24" s="176" t="n"/>
      <c r="EX24" s="176" t="n"/>
      <c r="EY24" s="176" t="n"/>
      <c r="EZ24" s="176" t="n"/>
      <c r="FA24" s="176" t="n"/>
      <c r="FB24" s="176" t="n"/>
      <c r="FC24" s="176" t="n"/>
      <c r="FD24" s="176" t="n"/>
      <c r="FE24" s="176" t="n"/>
      <c r="FF24" s="176" t="n"/>
      <c r="FG24" s="176" t="n"/>
      <c r="FH24" s="176" t="n"/>
      <c r="FI24" s="176" t="n"/>
      <c r="FJ24" s="176" t="n"/>
      <c r="FK24" s="176" t="n"/>
      <c r="FL24" s="176" t="n"/>
      <c r="FM24" s="176" t="n"/>
    </row>
    <row r="25" ht="15" customHeight="1" s="392">
      <c r="A25" s="176" t="n"/>
      <c r="B25" s="180" t="n"/>
      <c r="C25" s="187" t="inlineStr">
        <is>
          <t xml:space="preserve">        Total Staff Costs</t>
        </is>
      </c>
      <c r="D25" s="193">
        <f>IF(COUNT(M25:EN25)&gt;0,MEDIAN(M25:EN25),"")</f>
        <v/>
      </c>
      <c r="E25" s="193">
        <f>IF(COUNT(M25:EN25)&gt;0,AVERAGE(M25:EN25),"")</f>
        <v/>
      </c>
      <c r="F25" s="193">
        <f>IF(COUNT(M25:EN25)&gt;0,MIN(M25:EN25),"")</f>
        <v/>
      </c>
      <c r="G25" s="193">
        <f>IF(COUNT(M25:EN25)&gt;0,MAX(M25:EN25),"")</f>
        <v/>
      </c>
      <c r="H25" s="193">
        <f>IF(COUNT(M25:EN25)&gt;0,QUARTILE(M25:EN25,1),"")</f>
        <v/>
      </c>
      <c r="I25" s="193">
        <f>IF(COUNT(M25:EN25)&gt;0,QUARTILE(M25:EN25,3),"")</f>
        <v/>
      </c>
      <c r="J25" s="193">
        <f>IF(COUNT(M25:EN25)&gt;1,STDEV(M25:EN25),"")</f>
        <v/>
      </c>
      <c r="K25" s="194">
        <f>IF(COUNT(M25:EN25)&gt;1,STDEV(M25:EN25)/AVERAGE(M25:EN25),"")</f>
        <v/>
      </c>
      <c r="L25" s="195" t="n"/>
      <c r="M25" s="196" t="n">
        <v>7530</v>
      </c>
      <c r="N25" s="196" t="n"/>
      <c r="O25" s="196" t="n"/>
      <c r="P25" s="196" t="n"/>
      <c r="Q25" s="196" t="n"/>
      <c r="R25" s="196" t="n"/>
      <c r="S25" s="196" t="n"/>
      <c r="T25" s="196" t="n"/>
      <c r="U25" s="196" t="n"/>
      <c r="V25" s="196" t="n"/>
      <c r="W25" s="196" t="n"/>
      <c r="X25" s="196" t="n"/>
      <c r="Y25" s="196" t="n"/>
      <c r="Z25" s="196" t="n"/>
      <c r="AA25" s="196" t="n"/>
      <c r="AB25" s="196" t="n"/>
      <c r="AC25" s="196" t="n"/>
      <c r="AD25" s="196" t="n"/>
      <c r="AE25" s="196" t="n"/>
      <c r="AF25" s="196" t="n"/>
      <c r="AG25" s="196" t="n"/>
      <c r="AH25" s="196" t="n"/>
      <c r="AI25" s="196" t="n"/>
      <c r="AJ25" s="196" t="n"/>
      <c r="AK25" s="196" t="n"/>
      <c r="AL25" s="196" t="n"/>
      <c r="AM25" s="196" t="n"/>
      <c r="AN25" s="196" t="n"/>
      <c r="AO25" s="196" t="n"/>
      <c r="AP25" s="196" t="n"/>
      <c r="AQ25" s="196" t="n"/>
      <c r="AR25" s="196" t="n"/>
      <c r="AS25" s="196" t="n"/>
      <c r="AT25" s="196" t="n"/>
      <c r="AU25" s="196" t="n"/>
      <c r="AV25" s="196" t="n"/>
      <c r="AW25" s="196" t="n"/>
      <c r="AX25" s="196" t="n"/>
      <c r="AY25" s="196" t="n"/>
      <c r="AZ25" s="196" t="n"/>
      <c r="BA25" s="196" t="n"/>
      <c r="BB25" s="196" t="n"/>
      <c r="BC25" s="196" t="n"/>
      <c r="BD25" s="196" t="n"/>
      <c r="BE25" s="196" t="n"/>
      <c r="BF25" s="196" t="n"/>
      <c r="BG25" s="196" t="n"/>
      <c r="BH25" s="196" t="n"/>
      <c r="BI25" s="196" t="n"/>
      <c r="BJ25" s="196" t="n"/>
      <c r="BK25" s="196" t="n"/>
      <c r="BL25" s="196" t="n"/>
      <c r="BM25" s="196" t="n"/>
      <c r="BN25" s="196" t="n"/>
      <c r="BO25" s="196" t="n"/>
      <c r="BP25" s="196" t="n"/>
      <c r="BQ25" s="196" t="n"/>
      <c r="BR25" s="196" t="n"/>
      <c r="BS25" s="196" t="n"/>
      <c r="BT25" s="196" t="n"/>
      <c r="BU25" s="196" t="n"/>
      <c r="BV25" s="196" t="n"/>
      <c r="BW25" s="196" t="n"/>
      <c r="BX25" s="196" t="n"/>
      <c r="BY25" s="196" t="n"/>
      <c r="BZ25" s="196" t="n"/>
      <c r="CA25" s="196" t="n"/>
      <c r="CB25" s="196" t="n"/>
      <c r="CC25" s="196" t="n"/>
      <c r="CD25" s="196" t="n"/>
      <c r="CE25" s="196" t="n"/>
      <c r="CF25" s="196" t="n"/>
      <c r="CG25" s="196" t="n"/>
      <c r="CH25" s="196" t="n"/>
      <c r="CI25" s="196" t="n"/>
      <c r="CJ25" s="196" t="n"/>
      <c r="CK25" s="196" t="n"/>
      <c r="CL25" s="196" t="n"/>
      <c r="CM25" s="196" t="n"/>
      <c r="CN25" s="196" t="n"/>
      <c r="CO25" s="196" t="n"/>
      <c r="CP25" s="196" t="n"/>
      <c r="CQ25" s="196" t="n"/>
      <c r="CR25" s="196" t="n"/>
      <c r="CS25" s="196" t="n"/>
      <c r="CT25" s="196" t="n"/>
      <c r="CU25" s="196" t="n"/>
      <c r="CV25" s="196" t="n"/>
      <c r="CW25" s="196" t="n"/>
      <c r="CX25" s="196" t="n"/>
      <c r="CY25" s="196" t="n"/>
      <c r="CZ25" s="196" t="n"/>
      <c r="DA25" s="196" t="n"/>
      <c r="DB25" s="196" t="n"/>
      <c r="DC25" s="196" t="n"/>
      <c r="DD25" s="196" t="n"/>
      <c r="DE25" s="196" t="n"/>
      <c r="DF25" s="196" t="n"/>
      <c r="DG25" s="196" t="n"/>
      <c r="DH25" s="196" t="n"/>
      <c r="DI25" s="196" t="n"/>
      <c r="DJ25" s="196" t="n"/>
      <c r="DK25" s="196" t="n"/>
      <c r="DL25" s="196" t="n"/>
      <c r="DM25" s="196" t="n"/>
      <c r="DN25" s="196" t="n"/>
      <c r="DO25" s="196" t="n"/>
      <c r="DP25" s="196" t="n"/>
      <c r="DQ25" s="196" t="n"/>
      <c r="DR25" s="196" t="n"/>
      <c r="DS25" s="196" t="n"/>
      <c r="DT25" s="196" t="n"/>
      <c r="DU25" s="196" t="n"/>
      <c r="DV25" s="196" t="n"/>
      <c r="DW25" s="196" t="n"/>
      <c r="DX25" s="196" t="n"/>
      <c r="DY25" s="196" t="n"/>
      <c r="DZ25" s="196" t="n"/>
      <c r="EA25" s="196" t="n"/>
      <c r="EB25" s="196" t="n"/>
      <c r="EC25" s="196" t="n"/>
      <c r="ED25" s="196" t="n"/>
      <c r="EE25" s="196" t="n"/>
      <c r="EF25" s="196" t="n"/>
      <c r="EG25" s="196" t="n"/>
      <c r="EH25" s="196" t="n"/>
      <c r="EI25" s="196" t="n"/>
      <c r="EJ25" s="196" t="n"/>
      <c r="EK25" s="196" t="n"/>
      <c r="EL25" s="196" t="n"/>
      <c r="EM25" s="196" t="n"/>
      <c r="EN25" s="196" t="n"/>
      <c r="EO25" s="182" t="n"/>
      <c r="EP25" s="176" t="n"/>
      <c r="EQ25" s="176" t="n"/>
      <c r="ER25" s="176" t="n"/>
      <c r="ES25" s="176" t="n"/>
      <c r="ET25" s="176" t="n"/>
      <c r="EU25" s="176" t="n"/>
      <c r="EV25" s="176" t="n"/>
      <c r="EW25" s="176" t="n"/>
      <c r="EX25" s="176" t="n"/>
      <c r="EY25" s="176" t="n"/>
      <c r="EZ25" s="176" t="n"/>
      <c r="FA25" s="176" t="n"/>
      <c r="FB25" s="176" t="n"/>
      <c r="FC25" s="176" t="n"/>
      <c r="FD25" s="176" t="n"/>
      <c r="FE25" s="176" t="n"/>
      <c r="FF25" s="176" t="n"/>
      <c r="FG25" s="176" t="n"/>
      <c r="FH25" s="176" t="n"/>
      <c r="FI25" s="176" t="n"/>
      <c r="FJ25" s="176" t="n"/>
      <c r="FK25" s="176" t="n"/>
      <c r="FL25" s="176" t="n"/>
      <c r="FM25" s="176" t="n"/>
    </row>
    <row r="26" ht="15" customHeight="1" s="392">
      <c r="A26" s="176" t="n"/>
      <c r="B26" s="180" t="n"/>
      <c r="C26" s="183" t="inlineStr">
        <is>
          <t xml:space="preserve">        General and Administrative Expenses</t>
        </is>
      </c>
      <c r="D26" s="190">
        <f>IF(COUNT(M26:EN26)&gt;0,MEDIAN(M26:EN26),"")</f>
        <v/>
      </c>
      <c r="E26" s="190">
        <f>IF(COUNT(M26:EN26)&gt;0,AVERAGE(M26:EN26),"")</f>
        <v/>
      </c>
      <c r="F26" s="190">
        <f>IF(COUNT(M26:EN26)&gt;0,MIN(M26:EN26),"")</f>
        <v/>
      </c>
      <c r="G26" s="190">
        <f>IF(COUNT(M26:EN26)&gt;0,MAX(M26:EN26),"")</f>
        <v/>
      </c>
      <c r="H26" s="190">
        <f>IF(COUNT(M26:EN26)&gt;0,QUARTILE(M26:EN26,1),"")</f>
        <v/>
      </c>
      <c r="I26" s="190">
        <f>IF(COUNT(M26:EN26)&gt;0,QUARTILE(M26:EN26,3),"")</f>
        <v/>
      </c>
      <c r="J26" s="190">
        <f>IF(COUNT(M26:EN26)&gt;1,STDEV(M26:EN26),"")</f>
        <v/>
      </c>
      <c r="K26" s="191">
        <f>IF(COUNT(M26:EN26)&gt;1,STDEV(M26:EN26)/AVERAGE(M26:EN26),"")</f>
        <v/>
      </c>
      <c r="M26" s="192" t="n">
        <v>97813</v>
      </c>
      <c r="N26" s="192" t="n">
        <v>108317</v>
      </c>
      <c r="O26" s="192" t="n">
        <v>104102</v>
      </c>
      <c r="P26" s="192" t="n">
        <v>106304</v>
      </c>
      <c r="Q26" s="192" t="n">
        <v>97127</v>
      </c>
      <c r="R26" s="192" t="n">
        <v>100722</v>
      </c>
      <c r="S26" s="192" t="n">
        <v>99342</v>
      </c>
      <c r="T26" s="192" t="n">
        <v>105738</v>
      </c>
      <c r="U26" s="192" t="n">
        <v>94032</v>
      </c>
      <c r="V26" s="192" t="n">
        <v>88302</v>
      </c>
      <c r="W26" s="192" t="n">
        <v>84252</v>
      </c>
      <c r="X26" s="192" t="n">
        <v>68643</v>
      </c>
      <c r="Y26" s="192" t="n">
        <v>66961</v>
      </c>
      <c r="Z26" s="192" t="n">
        <v>64506</v>
      </c>
      <c r="AA26" s="192" t="n">
        <v>60975</v>
      </c>
      <c r="AB26" s="192" t="n">
        <v>57980</v>
      </c>
      <c r="AC26" s="192" t="n">
        <v>56779</v>
      </c>
      <c r="AD26" s="192" t="n">
        <v>63522</v>
      </c>
      <c r="AE26" s="192" t="n">
        <v>56014</v>
      </c>
      <c r="AF26" s="192" t="n">
        <v>54909</v>
      </c>
      <c r="AG26" s="192" t="n">
        <v>55983</v>
      </c>
      <c r="AH26" s="192" t="n">
        <v>53230</v>
      </c>
      <c r="AI26" s="192" t="n">
        <v>49277</v>
      </c>
      <c r="AJ26" s="192" t="n">
        <v>48175</v>
      </c>
      <c r="AK26" s="192" t="n">
        <v>44716</v>
      </c>
      <c r="AL26" s="192" t="n">
        <v>47512</v>
      </c>
      <c r="AM26" s="192" t="n">
        <v>49997</v>
      </c>
      <c r="AN26" s="192" t="n">
        <v>49478</v>
      </c>
      <c r="AO26" s="192" t="n">
        <v>49817</v>
      </c>
      <c r="AP26" s="192" t="n">
        <v>44085</v>
      </c>
      <c r="AQ26" s="192" t="n">
        <v>43487</v>
      </c>
      <c r="AR26" s="192" t="n">
        <v>44478</v>
      </c>
      <c r="AS26" s="192" t="n">
        <v>52457</v>
      </c>
      <c r="AT26" s="192" t="n">
        <v>44449</v>
      </c>
      <c r="AU26" s="192" t="n">
        <v>40662</v>
      </c>
      <c r="AV26" s="192" t="n">
        <v>39322</v>
      </c>
      <c r="AW26" s="192" t="n">
        <v>37293</v>
      </c>
      <c r="AX26" s="192" t="n">
        <v>35717</v>
      </c>
      <c r="AY26" s="192" t="n">
        <v>37885</v>
      </c>
      <c r="AZ26" s="192" t="n">
        <v>40469</v>
      </c>
      <c r="BA26" s="192" t="n">
        <v>35273</v>
      </c>
      <c r="BB26" s="192" t="n">
        <v>35699</v>
      </c>
      <c r="BC26" s="192" t="n">
        <v>32529</v>
      </c>
      <c r="BD26" s="192" t="n">
        <v>34615</v>
      </c>
      <c r="BE26" s="192" t="n">
        <v>32019</v>
      </c>
      <c r="BF26" s="192" t="n">
        <v>32650</v>
      </c>
      <c r="BG26" s="192" t="n">
        <v>34399</v>
      </c>
      <c r="BH26" s="192" t="n">
        <v>39907</v>
      </c>
      <c r="BI26" s="192" t="n">
        <v>41081</v>
      </c>
      <c r="BJ26" s="192" t="n">
        <v>40515</v>
      </c>
      <c r="BK26" s="192" t="n">
        <v>40062</v>
      </c>
      <c r="BL26" s="192" t="n">
        <v>42877</v>
      </c>
      <c r="BM26" s="192" t="n">
        <v>40020</v>
      </c>
      <c r="BN26" s="192" t="n">
        <v>32784</v>
      </c>
      <c r="BO26" s="192" t="n">
        <v>34047</v>
      </c>
      <c r="BP26" s="192" t="n">
        <v>31079</v>
      </c>
      <c r="BQ26" s="192" t="n">
        <v>29932</v>
      </c>
      <c r="BR26" s="192" t="n">
        <v>27325</v>
      </c>
      <c r="BS26" s="192" t="n">
        <v>27386</v>
      </c>
      <c r="BT26" s="192" t="n"/>
      <c r="BU26" s="192" t="n"/>
      <c r="BV26" s="192" t="n"/>
      <c r="BW26" s="192" t="n"/>
      <c r="BX26" s="192" t="n"/>
      <c r="BY26" s="192" t="n"/>
      <c r="BZ26" s="192" t="n"/>
      <c r="CA26" s="192" t="n"/>
      <c r="CB26" s="192" t="n"/>
      <c r="CC26" s="192" t="n"/>
      <c r="CD26" s="192" t="n"/>
      <c r="CE26" s="192" t="n"/>
      <c r="CF26" s="192" t="n"/>
      <c r="CG26" s="192" t="n"/>
      <c r="CH26" s="192" t="n"/>
      <c r="CI26" s="192" t="n"/>
      <c r="CJ26" s="192" t="n"/>
      <c r="CK26" s="192" t="n"/>
      <c r="CL26" s="192" t="n"/>
      <c r="CM26" s="192" t="n"/>
      <c r="CN26" s="192" t="n"/>
      <c r="CO26" s="192" t="n"/>
      <c r="CP26" s="192" t="n"/>
      <c r="CQ26" s="192" t="n"/>
      <c r="CR26" s="192" t="n"/>
      <c r="CS26" s="192" t="n"/>
      <c r="CT26" s="192" t="n"/>
      <c r="CU26" s="192" t="n"/>
      <c r="CV26" s="192" t="n"/>
      <c r="CW26" s="192" t="n"/>
      <c r="CX26" s="192" t="n"/>
      <c r="CY26" s="192" t="n"/>
      <c r="CZ26" s="192" t="n"/>
      <c r="DA26" s="192" t="n"/>
      <c r="DB26" s="192" t="n"/>
      <c r="DC26" s="192" t="n"/>
      <c r="DD26" s="192" t="n"/>
      <c r="DE26" s="192" t="n"/>
      <c r="DF26" s="192" t="n"/>
      <c r="DG26" s="192" t="n"/>
      <c r="DH26" s="192" t="n"/>
      <c r="DI26" s="192" t="n"/>
      <c r="DJ26" s="192" t="n"/>
      <c r="DK26" s="192" t="n"/>
      <c r="DL26" s="192" t="n"/>
      <c r="DM26" s="192" t="n"/>
      <c r="DN26" s="192" t="n"/>
      <c r="DO26" s="192" t="n"/>
      <c r="DP26" s="192" t="n"/>
      <c r="DQ26" s="192" t="n"/>
      <c r="DR26" s="192" t="n"/>
      <c r="DS26" s="192" t="n"/>
      <c r="DT26" s="192" t="n"/>
      <c r="DU26" s="192" t="n"/>
      <c r="DV26" s="192" t="n"/>
      <c r="DW26" s="192" t="n"/>
      <c r="DX26" s="192" t="n"/>
      <c r="DY26" s="192" t="n"/>
      <c r="DZ26" s="192" t="n"/>
      <c r="EA26" s="192" t="n"/>
      <c r="EB26" s="192" t="n"/>
      <c r="EC26" s="192" t="n"/>
      <c r="ED26" s="192" t="n"/>
      <c r="EE26" s="192" t="n"/>
      <c r="EF26" s="192" t="n"/>
      <c r="EG26" s="192" t="n"/>
      <c r="EH26" s="192" t="n"/>
      <c r="EI26" s="192" t="n"/>
      <c r="EJ26" s="192" t="n"/>
      <c r="EK26" s="192" t="n"/>
      <c r="EL26" s="192" t="n"/>
      <c r="EM26" s="192" t="n"/>
      <c r="EN26" s="192" t="n"/>
      <c r="EO26" s="182" t="n"/>
      <c r="EP26" s="176" t="n"/>
      <c r="EQ26" s="176" t="n"/>
      <c r="ER26" s="176" t="n"/>
      <c r="ES26" s="176" t="n"/>
      <c r="ET26" s="176" t="n"/>
      <c r="EU26" s="176" t="n"/>
      <c r="EV26" s="176" t="n"/>
      <c r="EW26" s="176" t="n"/>
      <c r="EX26" s="176" t="n"/>
      <c r="EY26" s="176" t="n"/>
      <c r="EZ26" s="176" t="n"/>
      <c r="FA26" s="176" t="n"/>
      <c r="FB26" s="176" t="n"/>
      <c r="FC26" s="176" t="n"/>
      <c r="FD26" s="176" t="n"/>
      <c r="FE26" s="176" t="n"/>
      <c r="FF26" s="176" t="n"/>
      <c r="FG26" s="176" t="n"/>
      <c r="FH26" s="176" t="n"/>
      <c r="FI26" s="176" t="n"/>
      <c r="FJ26" s="176" t="n"/>
      <c r="FK26" s="176" t="n"/>
      <c r="FL26" s="176" t="n"/>
      <c r="FM26" s="176" t="n"/>
    </row>
    <row r="27" ht="15" customHeight="1" s="392">
      <c r="A27" s="176" t="n"/>
      <c r="B27" s="180" t="n"/>
      <c r="C27" s="187" t="inlineStr">
        <is>
          <t xml:space="preserve">    Total Selling, General and Administrative Expenses</t>
        </is>
      </c>
      <c r="D27" s="193">
        <f>IF(COUNT(M27:EN27)&gt;0,MEDIAN(M27:EN27),"")</f>
        <v/>
      </c>
      <c r="E27" s="193">
        <f>IF(COUNT(M27:EN27)&gt;0,AVERAGE(M27:EN27),"")</f>
        <v/>
      </c>
      <c r="F27" s="193">
        <f>IF(COUNT(M27:EN27)&gt;0,MIN(M27:EN27),"")</f>
        <v/>
      </c>
      <c r="G27" s="193">
        <f>IF(COUNT(M27:EN27)&gt;0,MAX(M27:EN27),"")</f>
        <v/>
      </c>
      <c r="H27" s="193">
        <f>IF(COUNT(M27:EN27)&gt;0,QUARTILE(M27:EN27,1),"")</f>
        <v/>
      </c>
      <c r="I27" s="193">
        <f>IF(COUNT(M27:EN27)&gt;0,QUARTILE(M27:EN27,3),"")</f>
        <v/>
      </c>
      <c r="J27" s="193">
        <f>IF(COUNT(M27:EN27)&gt;1,STDEV(M27:EN27),"")</f>
        <v/>
      </c>
      <c r="K27" s="194">
        <f>IF(COUNT(M27:EN27)&gt;1,STDEV(M27:EN27)/AVERAGE(M27:EN27),"")</f>
        <v/>
      </c>
      <c r="L27" s="195" t="n"/>
      <c r="M27" s="196" t="n">
        <v>105343</v>
      </c>
      <c r="N27" s="196" t="n">
        <v>108317</v>
      </c>
      <c r="O27" s="196" t="n">
        <v>104102</v>
      </c>
      <c r="P27" s="196" t="n">
        <v>106304</v>
      </c>
      <c r="Q27" s="196" t="n">
        <v>97127</v>
      </c>
      <c r="R27" s="196" t="n">
        <v>100722</v>
      </c>
      <c r="S27" s="196" t="n">
        <v>99342</v>
      </c>
      <c r="T27" s="196" t="n">
        <v>105738</v>
      </c>
      <c r="U27" s="196" t="n">
        <v>94032</v>
      </c>
      <c r="V27" s="196" t="n">
        <v>88302</v>
      </c>
      <c r="W27" s="196" t="n">
        <v>84252</v>
      </c>
      <c r="X27" s="196" t="n">
        <v>68643</v>
      </c>
      <c r="Y27" s="196" t="n">
        <v>66961</v>
      </c>
      <c r="Z27" s="196" t="n">
        <v>64506</v>
      </c>
      <c r="AA27" s="196" t="n">
        <v>60975</v>
      </c>
      <c r="AB27" s="196" t="n">
        <v>57980</v>
      </c>
      <c r="AC27" s="196" t="n">
        <v>56779</v>
      </c>
      <c r="AD27" s="196" t="n">
        <v>63522</v>
      </c>
      <c r="AE27" s="196" t="n">
        <v>56014</v>
      </c>
      <c r="AF27" s="196" t="n">
        <v>54909</v>
      </c>
      <c r="AG27" s="196" t="n">
        <v>55983</v>
      </c>
      <c r="AH27" s="196" t="n">
        <v>53230</v>
      </c>
      <c r="AI27" s="196" t="n">
        <v>49277</v>
      </c>
      <c r="AJ27" s="196" t="n">
        <v>48175</v>
      </c>
      <c r="AK27" s="196" t="n">
        <v>44716</v>
      </c>
      <c r="AL27" s="196" t="n">
        <v>47512</v>
      </c>
      <c r="AM27" s="196" t="n">
        <v>49997</v>
      </c>
      <c r="AN27" s="196" t="n">
        <v>49478</v>
      </c>
      <c r="AO27" s="196" t="n">
        <v>49817</v>
      </c>
      <c r="AP27" s="196" t="n">
        <v>44085</v>
      </c>
      <c r="AQ27" s="196" t="n">
        <v>43487</v>
      </c>
      <c r="AR27" s="196" t="n">
        <v>44478</v>
      </c>
      <c r="AS27" s="196" t="n">
        <v>52457</v>
      </c>
      <c r="AT27" s="196" t="n">
        <v>44449</v>
      </c>
      <c r="AU27" s="196" t="n">
        <v>40662</v>
      </c>
      <c r="AV27" s="196" t="n">
        <v>39322</v>
      </c>
      <c r="AW27" s="196" t="n">
        <v>37293</v>
      </c>
      <c r="AX27" s="196" t="n">
        <v>35717</v>
      </c>
      <c r="AY27" s="196" t="n">
        <v>37885</v>
      </c>
      <c r="AZ27" s="196" t="n">
        <v>40469</v>
      </c>
      <c r="BA27" s="196" t="n">
        <v>35273</v>
      </c>
      <c r="BB27" s="196" t="n">
        <v>35699</v>
      </c>
      <c r="BC27" s="196" t="n">
        <v>32529</v>
      </c>
      <c r="BD27" s="196" t="n">
        <v>34615</v>
      </c>
      <c r="BE27" s="196" t="n">
        <v>32019</v>
      </c>
      <c r="BF27" s="196" t="n">
        <v>32650</v>
      </c>
      <c r="BG27" s="196" t="n">
        <v>34399</v>
      </c>
      <c r="BH27" s="196" t="n">
        <v>39907</v>
      </c>
      <c r="BI27" s="196" t="n">
        <v>41081</v>
      </c>
      <c r="BJ27" s="196" t="n">
        <v>40515</v>
      </c>
      <c r="BK27" s="196" t="n">
        <v>40062</v>
      </c>
      <c r="BL27" s="196" t="n">
        <v>42877</v>
      </c>
      <c r="BM27" s="196" t="n">
        <v>40020</v>
      </c>
      <c r="BN27" s="196" t="n">
        <v>32784</v>
      </c>
      <c r="BO27" s="196" t="n">
        <v>34047</v>
      </c>
      <c r="BP27" s="196" t="n">
        <v>31079</v>
      </c>
      <c r="BQ27" s="196" t="n">
        <v>29932</v>
      </c>
      <c r="BR27" s="196" t="n">
        <v>27325</v>
      </c>
      <c r="BS27" s="196" t="n">
        <v>27386</v>
      </c>
      <c r="BT27" s="196" t="n">
        <v>29849</v>
      </c>
      <c r="BU27" s="196" t="n">
        <v>26131</v>
      </c>
      <c r="BV27" s="196" t="n">
        <v>26863</v>
      </c>
      <c r="BW27" s="196" t="n">
        <v>25710</v>
      </c>
      <c r="BX27" s="196" t="n">
        <v>29260</v>
      </c>
      <c r="BY27" s="196" t="n">
        <v>29004</v>
      </c>
      <c r="BZ27" s="196" t="n">
        <v>28372</v>
      </c>
      <c r="CA27" s="196" t="n">
        <v>25455</v>
      </c>
      <c r="CB27" s="196" t="n">
        <v>26093</v>
      </c>
      <c r="CC27" s="196" t="n">
        <v>24541</v>
      </c>
      <c r="CD27" s="196" t="n">
        <v>20587</v>
      </c>
      <c r="CE27" s="196" t="n">
        <v>21723</v>
      </c>
      <c r="CF27" s="196" t="n">
        <v>20085</v>
      </c>
      <c r="CG27" s="196" t="n">
        <v>21721</v>
      </c>
      <c r="CH27" s="196" t="n">
        <v>19482</v>
      </c>
      <c r="CI27" s="196" t="n">
        <v>21373</v>
      </c>
      <c r="CJ27" s="196" t="n">
        <v>25113</v>
      </c>
      <c r="CK27" s="196" t="n">
        <v>17657</v>
      </c>
      <c r="CL27" s="196" t="n">
        <v>15758</v>
      </c>
      <c r="CM27" s="196" t="n">
        <v>15225</v>
      </c>
      <c r="CN27" s="196" t="n">
        <v>14997</v>
      </c>
      <c r="CO27" s="196" t="n">
        <v>15779</v>
      </c>
      <c r="CP27" s="196" t="n">
        <v>16113</v>
      </c>
      <c r="CQ27" s="196" t="n">
        <v>13560</v>
      </c>
      <c r="CR27" s="196" t="n">
        <v>13533</v>
      </c>
      <c r="CS27" s="196" t="n">
        <v>13674</v>
      </c>
      <c r="CT27" s="196" t="n">
        <v>11483</v>
      </c>
      <c r="CU27" s="196" t="n">
        <v>11169</v>
      </c>
      <c r="CV27" s="196" t="n">
        <v>9661</v>
      </c>
      <c r="CW27" s="196" t="n">
        <v>11704</v>
      </c>
      <c r="CX27" s="196" t="n">
        <v>10515</v>
      </c>
      <c r="CY27" s="196" t="n">
        <v>8591</v>
      </c>
      <c r="CZ27" s="196" t="n">
        <v>8118</v>
      </c>
      <c r="DA27" s="196" t="n">
        <v>11282.8</v>
      </c>
      <c r="DB27" s="196" t="n">
        <v>7909.4</v>
      </c>
      <c r="DC27" s="196" t="n">
        <v>6475.8</v>
      </c>
      <c r="DD27" s="196" t="n">
        <v>6598.1</v>
      </c>
      <c r="DE27" s="196" t="n">
        <v>5846</v>
      </c>
      <c r="DF27" s="196" t="n">
        <v>6892.3</v>
      </c>
      <c r="DG27" s="196" t="n">
        <v>5403.9</v>
      </c>
      <c r="DH27" s="196" t="n">
        <v>5113.4</v>
      </c>
      <c r="DI27" s="196" t="n">
        <v>5082.2</v>
      </c>
      <c r="DJ27" s="196" t="n">
        <v>5587.6</v>
      </c>
      <c r="DK27" s="196" t="n">
        <v>4234.1</v>
      </c>
      <c r="DL27" s="196" t="n">
        <v>4466.1</v>
      </c>
      <c r="DM27" s="196" t="n">
        <v>4323.8</v>
      </c>
      <c r="DN27" s="196" t="n">
        <v>4017.3</v>
      </c>
      <c r="DO27" s="196" t="n">
        <v>4000</v>
      </c>
      <c r="DP27" s="196" t="n">
        <v>3300</v>
      </c>
      <c r="DQ27" s="196" t="n">
        <v>2900</v>
      </c>
      <c r="DR27" s="196" t="n">
        <v>3200</v>
      </c>
      <c r="DS27" s="196" t="n">
        <v>3100</v>
      </c>
      <c r="DT27" s="196" t="n">
        <v>3000</v>
      </c>
      <c r="DU27" s="196" t="n">
        <v>2600</v>
      </c>
      <c r="DV27" s="196" t="n">
        <v>3300</v>
      </c>
      <c r="DW27" s="196" t="n">
        <v>2700</v>
      </c>
      <c r="DX27" s="196" t="n">
        <v>2700</v>
      </c>
      <c r="DY27" s="196" t="n">
        <v>2700</v>
      </c>
      <c r="DZ27" s="196" t="n">
        <v>2600</v>
      </c>
      <c r="EA27" s="196" t="n">
        <v>2700</v>
      </c>
      <c r="EB27" s="196" t="n">
        <v>2600</v>
      </c>
      <c r="EC27" s="196" t="n">
        <v>3100</v>
      </c>
      <c r="ED27" s="196" t="n">
        <v>2800</v>
      </c>
      <c r="EE27" s="196" t="n">
        <v>2600</v>
      </c>
      <c r="EF27" s="196" t="n">
        <v>2400</v>
      </c>
      <c r="EG27" s="196" t="n">
        <v>2400</v>
      </c>
      <c r="EH27" s="196" t="n">
        <v>1500</v>
      </c>
      <c r="EI27" s="196" t="n">
        <v>1000</v>
      </c>
      <c r="EJ27" s="196" t="n">
        <v>900</v>
      </c>
      <c r="EK27" s="196" t="n">
        <v>800</v>
      </c>
      <c r="EL27" s="196" t="n">
        <v>700</v>
      </c>
      <c r="EM27" s="196" t="n"/>
      <c r="EN27" s="196" t="n"/>
      <c r="EO27" s="182" t="n"/>
      <c r="EP27" s="176" t="n"/>
      <c r="EQ27" s="176" t="n"/>
      <c r="ER27" s="176" t="n"/>
      <c r="ES27" s="176" t="n"/>
      <c r="ET27" s="176" t="n"/>
      <c r="EU27" s="176" t="n"/>
      <c r="EV27" s="176" t="n"/>
      <c r="EW27" s="176" t="n"/>
      <c r="EX27" s="176" t="n"/>
      <c r="EY27" s="176" t="n"/>
      <c r="EZ27" s="176" t="n"/>
      <c r="FA27" s="176" t="n"/>
      <c r="FB27" s="176" t="n"/>
      <c r="FC27" s="176" t="n"/>
      <c r="FD27" s="176" t="n"/>
      <c r="FE27" s="176" t="n"/>
      <c r="FF27" s="176" t="n"/>
      <c r="FG27" s="176" t="n"/>
      <c r="FH27" s="176" t="n"/>
      <c r="FI27" s="176" t="n"/>
      <c r="FJ27" s="176" t="n"/>
      <c r="FK27" s="176" t="n"/>
      <c r="FL27" s="176" t="n"/>
      <c r="FM27" s="176" t="n"/>
    </row>
    <row r="28" ht="15" customHeight="1" s="392">
      <c r="A28" s="176" t="n"/>
      <c r="B28" s="180" t="n"/>
      <c r="C28" s="183" t="inlineStr">
        <is>
          <t xml:space="preserve">    Depreciation, Amortization and Depletion</t>
        </is>
      </c>
      <c r="D28" s="185" t="n"/>
      <c r="E28" s="185" t="n"/>
      <c r="F28" s="185" t="n"/>
      <c r="G28" s="185" t="n"/>
      <c r="H28" s="185" t="n"/>
      <c r="I28" s="185" t="n"/>
      <c r="J28" s="185" t="n"/>
      <c r="K28" s="185" t="n"/>
      <c r="EO28" s="182" t="n"/>
      <c r="EP28" s="176" t="n"/>
      <c r="EQ28" s="176" t="n"/>
      <c r="ER28" s="176" t="n"/>
      <c r="ES28" s="176" t="n"/>
      <c r="ET28" s="176" t="n"/>
      <c r="EU28" s="176" t="n"/>
      <c r="EV28" s="176" t="n"/>
      <c r="EW28" s="176" t="n"/>
      <c r="EX28" s="176" t="n"/>
      <c r="EY28" s="176" t="n"/>
      <c r="EZ28" s="176" t="n"/>
      <c r="FA28" s="176" t="n"/>
      <c r="FB28" s="176" t="n"/>
      <c r="FC28" s="176" t="n"/>
      <c r="FD28" s="176" t="n"/>
      <c r="FE28" s="176" t="n"/>
      <c r="FF28" s="176" t="n"/>
      <c r="FG28" s="176" t="n"/>
      <c r="FH28" s="176" t="n"/>
      <c r="FI28" s="176" t="n"/>
      <c r="FJ28" s="176" t="n"/>
      <c r="FK28" s="176" t="n"/>
      <c r="FL28" s="176" t="n"/>
      <c r="FM28" s="176" t="n"/>
    </row>
    <row r="29" ht="15" customHeight="1" s="392">
      <c r="A29" s="176" t="n"/>
      <c r="B29" s="180" t="n"/>
      <c r="C29" s="183" t="inlineStr">
        <is>
          <t xml:space="preserve">        Depreciation and Amortization</t>
        </is>
      </c>
      <c r="D29" s="190">
        <f>IF(COUNT(M29:EN29)&gt;0,MEDIAN(M29:EN29),"")</f>
        <v/>
      </c>
      <c r="E29" s="190">
        <f>IF(COUNT(M29:EN29)&gt;0,AVERAGE(M29:EN29),"")</f>
        <v/>
      </c>
      <c r="F29" s="190">
        <f>IF(COUNT(M29:EN29)&gt;0,MIN(M29:EN29),"")</f>
        <v/>
      </c>
      <c r="G29" s="190">
        <f>IF(COUNT(M29:EN29)&gt;0,MAX(M29:EN29),"")</f>
        <v/>
      </c>
      <c r="H29" s="190">
        <f>IF(COUNT(M29:EN29)&gt;0,QUARTILE(M29:EN29,1),"")</f>
        <v/>
      </c>
      <c r="I29" s="190">
        <f>IF(COUNT(M29:EN29)&gt;0,QUARTILE(M29:EN29,3),"")</f>
        <v/>
      </c>
      <c r="J29" s="190">
        <f>IF(COUNT(M29:EN29)&gt;1,STDEV(M29:EN29),"")</f>
        <v/>
      </c>
      <c r="K29" s="191">
        <f>IF(COUNT(M29:EN29)&gt;1,STDEV(M29:EN29)/AVERAGE(M29:EN29),"")</f>
        <v/>
      </c>
      <c r="M29" s="192" t="n">
        <v>7202</v>
      </c>
      <c r="N29" s="192" t="n"/>
      <c r="O29" s="192" t="n"/>
      <c r="P29" s="192" t="n"/>
      <c r="Q29" s="192" t="n"/>
      <c r="R29" s="192" t="n"/>
      <c r="S29" s="192" t="n"/>
      <c r="T29" s="192" t="n"/>
      <c r="U29" s="192" t="n"/>
      <c r="V29" s="192" t="n"/>
      <c r="W29" s="192" t="n"/>
      <c r="X29" s="192" t="n"/>
      <c r="Y29" s="192" t="n"/>
      <c r="Z29" s="192" t="n"/>
      <c r="AA29" s="192" t="n"/>
      <c r="AB29" s="192" t="n"/>
      <c r="AC29" s="192" t="n"/>
      <c r="AD29" s="192" t="n"/>
      <c r="AE29" s="192" t="n"/>
      <c r="AF29" s="192" t="n"/>
      <c r="AG29" s="192" t="n"/>
      <c r="AH29" s="192" t="n"/>
      <c r="AI29" s="192" t="n"/>
      <c r="AJ29" s="192" t="n"/>
      <c r="AK29" s="192" t="n"/>
      <c r="AL29" s="192" t="n"/>
      <c r="AM29" s="192" t="n"/>
      <c r="AN29" s="192" t="n"/>
      <c r="AO29" s="192" t="n"/>
      <c r="AP29" s="192" t="n"/>
      <c r="AQ29" s="192" t="n"/>
      <c r="AR29" s="192" t="n"/>
      <c r="AS29" s="192" t="n"/>
      <c r="AT29" s="192" t="n"/>
      <c r="AU29" s="192" t="n"/>
      <c r="AV29" s="192" t="n"/>
      <c r="AW29" s="192" t="n"/>
      <c r="AX29" s="192" t="n"/>
      <c r="AY29" s="192" t="n"/>
      <c r="AZ29" s="192" t="n"/>
      <c r="BA29" s="192" t="n"/>
      <c r="BB29" s="192" t="n"/>
      <c r="BC29" s="192" t="n"/>
      <c r="BD29" s="192" t="n"/>
      <c r="BE29" s="192" t="n"/>
      <c r="BF29" s="192" t="n"/>
      <c r="BG29" s="192" t="n"/>
      <c r="BH29" s="192" t="n"/>
      <c r="BI29" s="192" t="n"/>
      <c r="BJ29" s="192" t="n"/>
      <c r="BK29" s="192" t="n"/>
      <c r="BL29" s="192" t="n"/>
      <c r="BM29" s="192" t="n"/>
      <c r="BN29" s="192" t="n"/>
      <c r="BO29" s="192" t="n"/>
      <c r="BP29" s="192" t="n"/>
      <c r="BQ29" s="192" t="n"/>
      <c r="BR29" s="192" t="n"/>
      <c r="BS29" s="192" t="n"/>
      <c r="BT29" s="192" t="n"/>
      <c r="BU29" s="192" t="n"/>
      <c r="BV29" s="192" t="n"/>
      <c r="BW29" s="192" t="n"/>
      <c r="BX29" s="192" t="n"/>
      <c r="BY29" s="192" t="n"/>
      <c r="BZ29" s="192" t="n"/>
      <c r="CA29" s="192" t="n"/>
      <c r="CB29" s="192" t="n"/>
      <c r="CC29" s="192" t="n"/>
      <c r="CD29" s="192" t="n"/>
      <c r="CE29" s="192" t="n"/>
      <c r="CF29" s="192" t="n"/>
      <c r="CG29" s="192" t="n"/>
      <c r="CH29" s="192" t="n"/>
      <c r="CI29" s="192" t="n"/>
      <c r="CJ29" s="192" t="n"/>
      <c r="CK29" s="192" t="n"/>
      <c r="CL29" s="192" t="n"/>
      <c r="CM29" s="192" t="n"/>
      <c r="CN29" s="192" t="n"/>
      <c r="CO29" s="192" t="n"/>
      <c r="CP29" s="192" t="n"/>
      <c r="CQ29" s="192" t="n"/>
      <c r="CR29" s="192" t="n"/>
      <c r="CS29" s="192" t="n"/>
      <c r="CT29" s="192" t="n"/>
      <c r="CU29" s="192" t="n"/>
      <c r="CV29" s="192" t="n"/>
      <c r="CW29" s="192" t="n"/>
      <c r="CX29" s="192" t="n">
        <v>7652</v>
      </c>
      <c r="CY29" s="192" t="n">
        <v>8082</v>
      </c>
      <c r="CZ29" s="192" t="n">
        <v>7399.6</v>
      </c>
      <c r="DA29" s="192" t="n"/>
      <c r="DB29" s="192" t="n">
        <v>6398.3</v>
      </c>
      <c r="DC29" s="192" t="n">
        <v>6363.2</v>
      </c>
      <c r="DD29" s="192" t="n">
        <v>5630.8</v>
      </c>
      <c r="DE29" s="192" t="n">
        <v>4906.8</v>
      </c>
      <c r="DF29" s="192" t="n">
        <v>4241</v>
      </c>
      <c r="DG29" s="192" t="n">
        <v>3686.7</v>
      </c>
      <c r="DH29" s="192" t="n">
        <v>3473.8</v>
      </c>
      <c r="DI29" s="192" t="n">
        <v>3916.7</v>
      </c>
      <c r="DJ29" s="192" t="n">
        <v>3603.3</v>
      </c>
      <c r="DK29" s="192" t="n">
        <v>3459.9</v>
      </c>
      <c r="DL29" s="192" t="n">
        <v>3370.1</v>
      </c>
      <c r="DM29" s="192" t="n">
        <v>3072.9</v>
      </c>
      <c r="DN29" s="192" t="n">
        <v>2915</v>
      </c>
      <c r="DO29" s="192" t="n">
        <v>2700</v>
      </c>
      <c r="DP29" s="192" t="n">
        <v>2800</v>
      </c>
      <c r="DQ29" s="192" t="n">
        <v>2600</v>
      </c>
      <c r="DR29" s="192" t="n">
        <v>2500</v>
      </c>
      <c r="DS29" s="192" t="n">
        <v>2400</v>
      </c>
      <c r="DT29" s="192" t="n">
        <v>2300</v>
      </c>
      <c r="DU29" s="192" t="n">
        <v>2000</v>
      </c>
      <c r="DV29" s="192" t="n">
        <v>1900</v>
      </c>
      <c r="DW29" s="192" t="n">
        <v>1900</v>
      </c>
      <c r="DX29" s="192" t="n">
        <v>1900</v>
      </c>
      <c r="DY29" s="192" t="n">
        <v>2000</v>
      </c>
      <c r="DZ29" s="192" t="n">
        <v>1900</v>
      </c>
      <c r="EA29" s="192" t="n">
        <v>1800</v>
      </c>
      <c r="EB29" s="192" t="n">
        <v>1800</v>
      </c>
      <c r="EC29" s="192" t="n">
        <v>1600</v>
      </c>
      <c r="ED29" s="192" t="n">
        <v>1500</v>
      </c>
      <c r="EE29" s="192" t="n">
        <v>1400</v>
      </c>
      <c r="EF29" s="192" t="n">
        <v>1400</v>
      </c>
      <c r="EG29" s="192" t="n">
        <v>1400</v>
      </c>
      <c r="EH29" s="192" t="n">
        <v>700</v>
      </c>
      <c r="EI29" s="192" t="n">
        <v>700</v>
      </c>
      <c r="EJ29" s="192" t="n">
        <v>600</v>
      </c>
      <c r="EK29" s="192" t="n">
        <v>-2300</v>
      </c>
      <c r="EL29" s="192" t="n">
        <v>1300</v>
      </c>
      <c r="EM29" s="192" t="n"/>
      <c r="EN29" s="192" t="n"/>
      <c r="EO29" s="182" t="n"/>
      <c r="EP29" s="176" t="n"/>
      <c r="EQ29" s="176" t="n"/>
      <c r="ER29" s="176" t="n"/>
      <c r="ES29" s="176" t="n"/>
      <c r="ET29" s="176" t="n"/>
      <c r="EU29" s="176" t="n"/>
      <c r="EV29" s="176" t="n"/>
      <c r="EW29" s="176" t="n"/>
      <c r="EX29" s="176" t="n"/>
      <c r="EY29" s="176" t="n"/>
      <c r="EZ29" s="176" t="n"/>
      <c r="FA29" s="176" t="n"/>
      <c r="FB29" s="176" t="n"/>
      <c r="FC29" s="176" t="n"/>
      <c r="FD29" s="176" t="n"/>
      <c r="FE29" s="176" t="n"/>
      <c r="FF29" s="176" t="n"/>
      <c r="FG29" s="176" t="n"/>
      <c r="FH29" s="176" t="n"/>
      <c r="FI29" s="176" t="n"/>
      <c r="FJ29" s="176" t="n"/>
      <c r="FK29" s="176" t="n"/>
      <c r="FL29" s="176" t="n"/>
      <c r="FM29" s="176" t="n"/>
    </row>
    <row r="30" ht="15" customHeight="1" s="392">
      <c r="A30" s="176" t="n"/>
      <c r="B30" s="180" t="n"/>
      <c r="C30" s="187" t="inlineStr">
        <is>
          <t xml:space="preserve">    Total Depreciation, Amortization and Depletion</t>
        </is>
      </c>
      <c r="D30" s="193">
        <f>IF(COUNT(M30:EN30)&gt;0,MEDIAN(M30:EN30),"")</f>
        <v/>
      </c>
      <c r="E30" s="193">
        <f>IF(COUNT(M30:EN30)&gt;0,AVERAGE(M30:EN30),"")</f>
        <v/>
      </c>
      <c r="F30" s="193">
        <f>IF(COUNT(M30:EN30)&gt;0,MIN(M30:EN30),"")</f>
        <v/>
      </c>
      <c r="G30" s="193">
        <f>IF(COUNT(M30:EN30)&gt;0,MAX(M30:EN30),"")</f>
        <v/>
      </c>
      <c r="H30" s="193">
        <f>IF(COUNT(M30:EN30)&gt;0,QUARTILE(M30:EN30,1),"")</f>
        <v/>
      </c>
      <c r="I30" s="193">
        <f>IF(COUNT(M30:EN30)&gt;0,QUARTILE(M30:EN30,3),"")</f>
        <v/>
      </c>
      <c r="J30" s="193">
        <f>IF(COUNT(M30:EN30)&gt;1,STDEV(M30:EN30),"")</f>
        <v/>
      </c>
      <c r="K30" s="194">
        <f>IF(COUNT(M30:EN30)&gt;1,STDEV(M30:EN30)/AVERAGE(M30:EN30),"")</f>
        <v/>
      </c>
      <c r="L30" s="195" t="n"/>
      <c r="M30" s="196" t="n">
        <v>7202</v>
      </c>
      <c r="N30" s="196" t="n"/>
      <c r="O30" s="196" t="n"/>
      <c r="P30" s="196" t="n"/>
      <c r="Q30" s="196" t="n"/>
      <c r="R30" s="196" t="n"/>
      <c r="S30" s="196" t="n"/>
      <c r="T30" s="196" t="n"/>
      <c r="U30" s="196" t="n"/>
      <c r="V30" s="196" t="n"/>
      <c r="W30" s="196" t="n"/>
      <c r="X30" s="196" t="n"/>
      <c r="Y30" s="196" t="n"/>
      <c r="Z30" s="196" t="n"/>
      <c r="AA30" s="196" t="n"/>
      <c r="AB30" s="196" t="n"/>
      <c r="AC30" s="196" t="n"/>
      <c r="AD30" s="196" t="n"/>
      <c r="AE30" s="196" t="n"/>
      <c r="AF30" s="196" t="n"/>
      <c r="AG30" s="196" t="n"/>
      <c r="AH30" s="196" t="n"/>
      <c r="AI30" s="196" t="n"/>
      <c r="AJ30" s="196" t="n"/>
      <c r="AK30" s="196" t="n"/>
      <c r="AL30" s="196" t="n"/>
      <c r="AM30" s="196" t="n"/>
      <c r="AN30" s="196" t="n"/>
      <c r="AO30" s="196" t="n"/>
      <c r="AP30" s="196" t="n"/>
      <c r="AQ30" s="196" t="n"/>
      <c r="AR30" s="196" t="n"/>
      <c r="AS30" s="196" t="n"/>
      <c r="AT30" s="196" t="n"/>
      <c r="AU30" s="196" t="n"/>
      <c r="AV30" s="196" t="n"/>
      <c r="AW30" s="196" t="n"/>
      <c r="AX30" s="196" t="n"/>
      <c r="AY30" s="196" t="n"/>
      <c r="AZ30" s="196" t="n"/>
      <c r="BA30" s="196" t="n"/>
      <c r="BB30" s="196" t="n"/>
      <c r="BC30" s="196" t="n"/>
      <c r="BD30" s="196" t="n"/>
      <c r="BE30" s="196" t="n"/>
      <c r="BF30" s="196" t="n"/>
      <c r="BG30" s="196" t="n"/>
      <c r="BH30" s="196" t="n"/>
      <c r="BI30" s="196" t="n"/>
      <c r="BJ30" s="196" t="n"/>
      <c r="BK30" s="196" t="n"/>
      <c r="BL30" s="196" t="n"/>
      <c r="BM30" s="196" t="n"/>
      <c r="BN30" s="196" t="n"/>
      <c r="BO30" s="196" t="n"/>
      <c r="BP30" s="196" t="n"/>
      <c r="BQ30" s="196" t="n"/>
      <c r="BR30" s="196" t="n"/>
      <c r="BS30" s="196" t="n"/>
      <c r="BT30" s="196" t="n"/>
      <c r="BU30" s="196" t="n"/>
      <c r="BV30" s="196" t="n"/>
      <c r="BW30" s="196" t="n"/>
      <c r="BX30" s="196" t="n"/>
      <c r="BY30" s="196" t="n"/>
      <c r="BZ30" s="196" t="n"/>
      <c r="CA30" s="196" t="n"/>
      <c r="CB30" s="196" t="n"/>
      <c r="CC30" s="196" t="n"/>
      <c r="CD30" s="196" t="n"/>
      <c r="CE30" s="196" t="n"/>
      <c r="CF30" s="196" t="n"/>
      <c r="CG30" s="196" t="n"/>
      <c r="CH30" s="196" t="n"/>
      <c r="CI30" s="196" t="n"/>
      <c r="CJ30" s="196" t="n"/>
      <c r="CK30" s="196" t="n"/>
      <c r="CL30" s="196" t="n"/>
      <c r="CM30" s="196" t="n"/>
      <c r="CN30" s="196" t="n"/>
      <c r="CO30" s="196" t="n"/>
      <c r="CP30" s="196" t="n"/>
      <c r="CQ30" s="196" t="n"/>
      <c r="CR30" s="196" t="n"/>
      <c r="CS30" s="196" t="n"/>
      <c r="CT30" s="196" t="n"/>
      <c r="CU30" s="196" t="n"/>
      <c r="CV30" s="196" t="n"/>
      <c r="CW30" s="196" t="n"/>
      <c r="CX30" s="196" t="n">
        <v>7652</v>
      </c>
      <c r="CY30" s="196" t="n">
        <v>8082</v>
      </c>
      <c r="CZ30" s="196" t="n">
        <v>7399.6</v>
      </c>
      <c r="DA30" s="196" t="n"/>
      <c r="DB30" s="196" t="n">
        <v>6398.3</v>
      </c>
      <c r="DC30" s="196" t="n">
        <v>6363.2</v>
      </c>
      <c r="DD30" s="196" t="n">
        <v>5630.8</v>
      </c>
      <c r="DE30" s="196" t="n">
        <v>4906.8</v>
      </c>
      <c r="DF30" s="196" t="n">
        <v>4241</v>
      </c>
      <c r="DG30" s="196" t="n">
        <v>3686.7</v>
      </c>
      <c r="DH30" s="196" t="n">
        <v>3473.8</v>
      </c>
      <c r="DI30" s="196" t="n">
        <v>3916.7</v>
      </c>
      <c r="DJ30" s="196" t="n">
        <v>3603.3</v>
      </c>
      <c r="DK30" s="196" t="n">
        <v>3459.9</v>
      </c>
      <c r="DL30" s="196" t="n">
        <v>3370.1</v>
      </c>
      <c r="DM30" s="196" t="n">
        <v>3072.9</v>
      </c>
      <c r="DN30" s="196" t="n">
        <v>2915</v>
      </c>
      <c r="DO30" s="196" t="n">
        <v>2700</v>
      </c>
      <c r="DP30" s="196" t="n">
        <v>2800</v>
      </c>
      <c r="DQ30" s="196" t="n">
        <v>2600</v>
      </c>
      <c r="DR30" s="196" t="n">
        <v>2500</v>
      </c>
      <c r="DS30" s="196" t="n">
        <v>2400</v>
      </c>
      <c r="DT30" s="196" t="n">
        <v>2300</v>
      </c>
      <c r="DU30" s="196" t="n">
        <v>2000</v>
      </c>
      <c r="DV30" s="196" t="n">
        <v>1900</v>
      </c>
      <c r="DW30" s="196" t="n">
        <v>1900</v>
      </c>
      <c r="DX30" s="196" t="n">
        <v>1900</v>
      </c>
      <c r="DY30" s="196" t="n">
        <v>2000</v>
      </c>
      <c r="DZ30" s="196" t="n">
        <v>1900</v>
      </c>
      <c r="EA30" s="196" t="n">
        <v>1800</v>
      </c>
      <c r="EB30" s="196" t="n">
        <v>1800</v>
      </c>
      <c r="EC30" s="196" t="n">
        <v>1600</v>
      </c>
      <c r="ED30" s="196" t="n">
        <v>1500</v>
      </c>
      <c r="EE30" s="196" t="n">
        <v>1400</v>
      </c>
      <c r="EF30" s="196" t="n">
        <v>1400</v>
      </c>
      <c r="EG30" s="196" t="n">
        <v>1400</v>
      </c>
      <c r="EH30" s="196" t="n">
        <v>700</v>
      </c>
      <c r="EI30" s="196" t="n">
        <v>700</v>
      </c>
      <c r="EJ30" s="196" t="n">
        <v>600</v>
      </c>
      <c r="EK30" s="196" t="n">
        <v>-2300</v>
      </c>
      <c r="EL30" s="196" t="n">
        <v>1300</v>
      </c>
      <c r="EM30" s="196" t="n"/>
      <c r="EN30" s="196" t="n"/>
      <c r="EO30" s="182" t="n"/>
      <c r="EP30" s="176" t="n"/>
      <c r="EQ30" s="176" t="n"/>
      <c r="ER30" s="176" t="n"/>
      <c r="ES30" s="176" t="n"/>
      <c r="ET30" s="176" t="n"/>
      <c r="EU30" s="176" t="n"/>
      <c r="EV30" s="176" t="n"/>
      <c r="EW30" s="176" t="n"/>
      <c r="EX30" s="176" t="n"/>
      <c r="EY30" s="176" t="n"/>
      <c r="EZ30" s="176" t="n"/>
      <c r="FA30" s="176" t="n"/>
      <c r="FB30" s="176" t="n"/>
      <c r="FC30" s="176" t="n"/>
      <c r="FD30" s="176" t="n"/>
      <c r="FE30" s="176" t="n"/>
      <c r="FF30" s="176" t="n"/>
      <c r="FG30" s="176" t="n"/>
      <c r="FH30" s="176" t="n"/>
      <c r="FI30" s="176" t="n"/>
      <c r="FJ30" s="176" t="n"/>
      <c r="FK30" s="176" t="n"/>
      <c r="FL30" s="176" t="n"/>
      <c r="FM30" s="176" t="n"/>
    </row>
    <row r="31" ht="15" customHeight="1" s="392">
      <c r="A31" s="176" t="n"/>
      <c r="B31" s="180" t="n"/>
      <c r="C31" s="183" t="inlineStr">
        <is>
          <t xml:space="preserve">    Other (Income)/Expense, Operating</t>
        </is>
      </c>
      <c r="D31" s="190">
        <f>IF(COUNT(M31:EN31)&gt;0,MEDIAN(M31:EN31),"")</f>
        <v/>
      </c>
      <c r="E31" s="190">
        <f>IF(COUNT(M31:EN31)&gt;0,AVERAGE(M31:EN31),"")</f>
        <v/>
      </c>
      <c r="F31" s="190">
        <f>IF(COUNT(M31:EN31)&gt;0,MIN(M31:EN31),"")</f>
        <v/>
      </c>
      <c r="G31" s="190">
        <f>IF(COUNT(M31:EN31)&gt;0,MAX(M31:EN31),"")</f>
        <v/>
      </c>
      <c r="H31" s="190">
        <f>IF(COUNT(M31:EN31)&gt;0,QUARTILE(M31:EN31,1),"")</f>
        <v/>
      </c>
      <c r="I31" s="190">
        <f>IF(COUNT(M31:EN31)&gt;0,QUARTILE(M31:EN31,3),"")</f>
        <v/>
      </c>
      <c r="J31" s="190">
        <f>IF(COUNT(M31:EN31)&gt;1,STDEV(M31:EN31),"")</f>
        <v/>
      </c>
      <c r="K31" s="191">
        <f>IF(COUNT(M31:EN31)&gt;1,STDEV(M31:EN31)/AVERAGE(M31:EN31),"")</f>
        <v/>
      </c>
      <c r="M31" s="192" t="n"/>
      <c r="N31" s="192" t="n"/>
      <c r="O31" s="192" t="n"/>
      <c r="P31" s="192" t="n"/>
      <c r="Q31" s="192" t="n"/>
      <c r="R31" s="192" t="n"/>
      <c r="S31" s="192" t="n"/>
      <c r="T31" s="192" t="n"/>
      <c r="U31" s="192" t="n"/>
      <c r="V31" s="192" t="n"/>
      <c r="W31" s="192" t="n"/>
      <c r="X31" s="192" t="n"/>
      <c r="Y31" s="192" t="n"/>
      <c r="Z31" s="192" t="n"/>
      <c r="AA31" s="192" t="n"/>
      <c r="AB31" s="192" t="n"/>
      <c r="AC31" s="192" t="n"/>
      <c r="AD31" s="192" t="n"/>
      <c r="AE31" s="192" t="n"/>
      <c r="AF31" s="192" t="n"/>
      <c r="AG31" s="192" t="n"/>
      <c r="AH31" s="192" t="n"/>
      <c r="AI31" s="192" t="n"/>
      <c r="AJ31" s="192" t="n"/>
      <c r="AK31" s="192" t="n"/>
      <c r="AL31" s="192" t="n"/>
      <c r="AM31" s="192" t="n"/>
      <c r="AN31" s="192" t="n"/>
      <c r="AO31" s="192" t="n"/>
      <c r="AP31" s="192" t="n"/>
      <c r="AQ31" s="192" t="n"/>
      <c r="AR31" s="192" t="n"/>
      <c r="AS31" s="192" t="n"/>
      <c r="AT31" s="192" t="n"/>
      <c r="AU31" s="192" t="n"/>
      <c r="AV31" s="192" t="n"/>
      <c r="AW31" s="192" t="n"/>
      <c r="AX31" s="192" t="n"/>
      <c r="AY31" s="192" t="n"/>
      <c r="AZ31" s="192" t="n"/>
      <c r="BA31" s="192" t="n"/>
      <c r="BB31" s="192" t="n"/>
      <c r="BC31" s="192" t="n"/>
      <c r="BD31" s="192" t="n"/>
      <c r="BE31" s="192" t="n"/>
      <c r="BF31" s="192" t="n"/>
      <c r="BG31" s="192" t="n"/>
      <c r="BH31" s="192" t="n"/>
      <c r="BI31" s="192" t="n"/>
      <c r="BJ31" s="192" t="n"/>
      <c r="BK31" s="192" t="n"/>
      <c r="BL31" s="192" t="n"/>
      <c r="BM31" s="192" t="n"/>
      <c r="BN31" s="192" t="n"/>
      <c r="BO31" s="192" t="n"/>
      <c r="BP31" s="192" t="n"/>
      <c r="BQ31" s="192" t="n"/>
      <c r="BR31" s="192" t="n"/>
      <c r="BS31" s="192" t="n"/>
      <c r="BT31" s="192" t="n"/>
      <c r="BU31" s="192" t="n"/>
      <c r="BV31" s="192" t="n"/>
      <c r="BW31" s="192" t="n"/>
      <c r="BX31" s="192" t="n"/>
      <c r="BY31" s="192" t="n"/>
      <c r="BZ31" s="192" t="n"/>
      <c r="CA31" s="192" t="n"/>
      <c r="CB31" s="192" t="n"/>
      <c r="CC31" s="192" t="n"/>
      <c r="CD31" s="192" t="n"/>
      <c r="CE31" s="192" t="n"/>
      <c r="CF31" s="192" t="n"/>
      <c r="CG31" s="192" t="n"/>
      <c r="CH31" s="192" t="n"/>
      <c r="CI31" s="192" t="n"/>
      <c r="CJ31" s="192" t="n"/>
      <c r="CK31" s="192" t="n"/>
      <c r="CL31" s="192" t="n"/>
      <c r="CM31" s="192" t="n"/>
      <c r="CN31" s="192" t="n"/>
      <c r="CO31" s="192" t="n"/>
      <c r="CP31" s="192" t="n"/>
      <c r="CQ31" s="192" t="n"/>
      <c r="CR31" s="192" t="n"/>
      <c r="CS31" s="192" t="n"/>
      <c r="CT31" s="192" t="n"/>
      <c r="CU31" s="192" t="n"/>
      <c r="CV31" s="192" t="n"/>
      <c r="CW31" s="192" t="n"/>
      <c r="CX31" s="192" t="n">
        <v>-1</v>
      </c>
      <c r="CY31" s="192" t="n"/>
      <c r="CZ31" s="192" t="n"/>
      <c r="DA31" s="192" t="n"/>
      <c r="DB31" s="192" t="n"/>
      <c r="DC31" s="192" t="n"/>
      <c r="DD31" s="192" t="n"/>
      <c r="DE31" s="192" t="n"/>
      <c r="DF31" s="192" t="n"/>
      <c r="DG31" s="192" t="n"/>
      <c r="DH31" s="192" t="n"/>
      <c r="DI31" s="192" t="n"/>
      <c r="DJ31" s="192" t="n"/>
      <c r="DK31" s="192" t="n"/>
      <c r="DL31" s="192" t="n"/>
      <c r="DM31" s="192" t="n"/>
      <c r="DN31" s="192" t="n"/>
      <c r="DO31" s="192" t="n"/>
      <c r="DP31" s="192" t="n"/>
      <c r="DQ31" s="192" t="n"/>
      <c r="DR31" s="192" t="n"/>
      <c r="DS31" s="192" t="n"/>
      <c r="DT31" s="192" t="n"/>
      <c r="DU31" s="192" t="n"/>
      <c r="DV31" s="192" t="n"/>
      <c r="DW31" s="192" t="n"/>
      <c r="DX31" s="192" t="n"/>
      <c r="DY31" s="192" t="n"/>
      <c r="DZ31" s="192" t="n"/>
      <c r="EA31" s="192" t="n"/>
      <c r="EB31" s="192" t="n"/>
      <c r="EC31" s="192" t="n"/>
      <c r="ED31" s="192" t="n"/>
      <c r="EE31" s="192" t="n"/>
      <c r="EF31" s="192" t="n"/>
      <c r="EG31" s="192" t="n"/>
      <c r="EH31" s="192" t="n"/>
      <c r="EI31" s="192" t="n"/>
      <c r="EJ31" s="192" t="n"/>
      <c r="EK31" s="192" t="n"/>
      <c r="EL31" s="192" t="n"/>
      <c r="EM31" s="192" t="n"/>
      <c r="EN31" s="192" t="n"/>
      <c r="EO31" s="182" t="n"/>
      <c r="EP31" s="176" t="n"/>
      <c r="EQ31" s="176" t="n"/>
      <c r="ER31" s="176" t="n"/>
      <c r="ES31" s="176" t="n"/>
      <c r="ET31" s="176" t="n"/>
      <c r="EU31" s="176" t="n"/>
      <c r="EV31" s="176" t="n"/>
      <c r="EW31" s="176" t="n"/>
      <c r="EX31" s="176" t="n"/>
      <c r="EY31" s="176" t="n"/>
      <c r="EZ31" s="176" t="n"/>
      <c r="FA31" s="176" t="n"/>
      <c r="FB31" s="176" t="n"/>
      <c r="FC31" s="176" t="n"/>
      <c r="FD31" s="176" t="n"/>
      <c r="FE31" s="176" t="n"/>
      <c r="FF31" s="176" t="n"/>
      <c r="FG31" s="176" t="n"/>
      <c r="FH31" s="176" t="n"/>
      <c r="FI31" s="176" t="n"/>
      <c r="FJ31" s="176" t="n"/>
      <c r="FK31" s="176" t="n"/>
      <c r="FL31" s="176" t="n"/>
      <c r="FM31" s="176" t="n"/>
    </row>
    <row r="32" ht="15" customHeight="1" s="392">
      <c r="A32" s="176" t="n"/>
      <c r="B32" s="180" t="n"/>
      <c r="C32" s="187" t="inlineStr">
        <is>
          <t>Total Operating (Income)/Expenses</t>
        </is>
      </c>
      <c r="D32" s="193">
        <f>IF(COUNT(M32:EN32)&gt;0,MEDIAN(M32:EN32),"")</f>
        <v/>
      </c>
      <c r="E32" s="193">
        <f>IF(COUNT(M32:EN32)&gt;0,AVERAGE(M32:EN32),"")</f>
        <v/>
      </c>
      <c r="F32" s="193">
        <f>IF(COUNT(M32:EN32)&gt;0,MIN(M32:EN32),"")</f>
        <v/>
      </c>
      <c r="G32" s="193">
        <f>IF(COUNT(M32:EN32)&gt;0,MAX(M32:EN32),"")</f>
        <v/>
      </c>
      <c r="H32" s="193">
        <f>IF(COUNT(M32:EN32)&gt;0,QUARTILE(M32:EN32,1),"")</f>
        <v/>
      </c>
      <c r="I32" s="193">
        <f>IF(COUNT(M32:EN32)&gt;0,QUARTILE(M32:EN32,3),"")</f>
        <v/>
      </c>
      <c r="J32" s="193">
        <f>IF(COUNT(M32:EN32)&gt;1,STDEV(M32:EN32),"")</f>
        <v/>
      </c>
      <c r="K32" s="194">
        <f>IF(COUNT(M32:EN32)&gt;1,STDEV(M32:EN32)/AVERAGE(M32:EN32),"")</f>
        <v/>
      </c>
      <c r="L32" s="195" t="n"/>
      <c r="M32" s="196" t="n">
        <v>112545</v>
      </c>
      <c r="N32" s="196" t="n">
        <v>108317</v>
      </c>
      <c r="O32" s="196" t="n">
        <v>104102</v>
      </c>
      <c r="P32" s="196" t="n">
        <v>106304</v>
      </c>
      <c r="Q32" s="196" t="n">
        <v>97127</v>
      </c>
      <c r="R32" s="196" t="n">
        <v>100722</v>
      </c>
      <c r="S32" s="196" t="n">
        <v>99342</v>
      </c>
      <c r="T32" s="196" t="n">
        <v>105738</v>
      </c>
      <c r="U32" s="196" t="n">
        <v>94032</v>
      </c>
      <c r="V32" s="196" t="n">
        <v>88302</v>
      </c>
      <c r="W32" s="196" t="n">
        <v>84252</v>
      </c>
      <c r="X32" s="196" t="n">
        <v>68643</v>
      </c>
      <c r="Y32" s="196" t="n">
        <v>66961</v>
      </c>
      <c r="Z32" s="196" t="n">
        <v>64506</v>
      </c>
      <c r="AA32" s="196" t="n">
        <v>60975</v>
      </c>
      <c r="AB32" s="196" t="n">
        <v>57980</v>
      </c>
      <c r="AC32" s="196" t="n">
        <v>56779</v>
      </c>
      <c r="AD32" s="196" t="n">
        <v>63522</v>
      </c>
      <c r="AE32" s="196" t="n">
        <v>56014</v>
      </c>
      <c r="AF32" s="196" t="n">
        <v>54909</v>
      </c>
      <c r="AG32" s="196" t="n">
        <v>55983</v>
      </c>
      <c r="AH32" s="196" t="n">
        <v>53230</v>
      </c>
      <c r="AI32" s="196" t="n">
        <v>49277</v>
      </c>
      <c r="AJ32" s="196" t="n">
        <v>48175</v>
      </c>
      <c r="AK32" s="196" t="n">
        <v>44716</v>
      </c>
      <c r="AL32" s="196" t="n">
        <v>47512</v>
      </c>
      <c r="AM32" s="196" t="n">
        <v>49997</v>
      </c>
      <c r="AN32" s="196" t="n">
        <v>49478</v>
      </c>
      <c r="AO32" s="196" t="n">
        <v>49817</v>
      </c>
      <c r="AP32" s="196" t="n">
        <v>44085</v>
      </c>
      <c r="AQ32" s="196" t="n">
        <v>43487</v>
      </c>
      <c r="AR32" s="196" t="n">
        <v>44478</v>
      </c>
      <c r="AS32" s="196" t="n">
        <v>52457</v>
      </c>
      <c r="AT32" s="196" t="n">
        <v>44449</v>
      </c>
      <c r="AU32" s="196" t="n">
        <v>40662</v>
      </c>
      <c r="AV32" s="196" t="n">
        <v>39322</v>
      </c>
      <c r="AW32" s="196" t="n">
        <v>37293</v>
      </c>
      <c r="AX32" s="196" t="n">
        <v>35717</v>
      </c>
      <c r="AY32" s="196" t="n">
        <v>37885</v>
      </c>
      <c r="AZ32" s="196" t="n">
        <v>40469</v>
      </c>
      <c r="BA32" s="196" t="n">
        <v>35273</v>
      </c>
      <c r="BB32" s="196" t="n">
        <v>35699</v>
      </c>
      <c r="BC32" s="196" t="n">
        <v>32529</v>
      </c>
      <c r="BD32" s="196" t="n">
        <v>34615</v>
      </c>
      <c r="BE32" s="196" t="n">
        <v>32019</v>
      </c>
      <c r="BF32" s="196" t="n">
        <v>32650</v>
      </c>
      <c r="BG32" s="196" t="n">
        <v>34399</v>
      </c>
      <c r="BH32" s="196" t="n">
        <v>39907</v>
      </c>
      <c r="BI32" s="196" t="n">
        <v>41081</v>
      </c>
      <c r="BJ32" s="196" t="n">
        <v>40515</v>
      </c>
      <c r="BK32" s="196" t="n">
        <v>40062</v>
      </c>
      <c r="BL32" s="196" t="n">
        <v>42877</v>
      </c>
      <c r="BM32" s="196" t="n">
        <v>40020</v>
      </c>
      <c r="BN32" s="196" t="n">
        <v>32784</v>
      </c>
      <c r="BO32" s="196" t="n">
        <v>34047</v>
      </c>
      <c r="BP32" s="196" t="n">
        <v>31079</v>
      </c>
      <c r="BQ32" s="196" t="n">
        <v>29932</v>
      </c>
      <c r="BR32" s="196" t="n">
        <v>27325</v>
      </c>
      <c r="BS32" s="196" t="n">
        <v>27386</v>
      </c>
      <c r="BT32" s="196" t="n">
        <v>29849</v>
      </c>
      <c r="BU32" s="196" t="n">
        <v>26131</v>
      </c>
      <c r="BV32" s="196" t="n">
        <v>26863</v>
      </c>
      <c r="BW32" s="196" t="n">
        <v>25710</v>
      </c>
      <c r="BX32" s="196" t="n">
        <v>29260</v>
      </c>
      <c r="BY32" s="196" t="n">
        <v>29004</v>
      </c>
      <c r="BZ32" s="196" t="n">
        <v>28372</v>
      </c>
      <c r="CA32" s="196" t="n">
        <v>25455</v>
      </c>
      <c r="CB32" s="196" t="n">
        <v>26093</v>
      </c>
      <c r="CC32" s="196" t="n">
        <v>24541</v>
      </c>
      <c r="CD32" s="196" t="n">
        <v>20587</v>
      </c>
      <c r="CE32" s="196" t="n">
        <v>21723</v>
      </c>
      <c r="CF32" s="196" t="n">
        <v>20085</v>
      </c>
      <c r="CG32" s="196" t="n">
        <v>21721</v>
      </c>
      <c r="CH32" s="196" t="n">
        <v>19482</v>
      </c>
      <c r="CI32" s="196" t="n">
        <v>21373</v>
      </c>
      <c r="CJ32" s="196" t="n">
        <v>25113</v>
      </c>
      <c r="CK32" s="196" t="n">
        <v>17657</v>
      </c>
      <c r="CL32" s="196" t="n">
        <v>15758</v>
      </c>
      <c r="CM32" s="196" t="n">
        <v>15225</v>
      </c>
      <c r="CN32" s="196" t="n">
        <v>14997</v>
      </c>
      <c r="CO32" s="196" t="n">
        <v>15779</v>
      </c>
      <c r="CP32" s="196" t="n">
        <v>16113</v>
      </c>
      <c r="CQ32" s="196" t="n">
        <v>13560</v>
      </c>
      <c r="CR32" s="196" t="n">
        <v>13533</v>
      </c>
      <c r="CS32" s="196" t="n">
        <v>13674</v>
      </c>
      <c r="CT32" s="196" t="n">
        <v>11483</v>
      </c>
      <c r="CU32" s="196" t="n">
        <v>11169</v>
      </c>
      <c r="CV32" s="196" t="n">
        <v>9661</v>
      </c>
      <c r="CW32" s="196" t="n">
        <v>-11429</v>
      </c>
      <c r="CX32" s="196" t="n">
        <v>18166</v>
      </c>
      <c r="CY32" s="196" t="n">
        <v>16673</v>
      </c>
      <c r="CZ32" s="196" t="n">
        <v>15517.6</v>
      </c>
      <c r="DA32" s="196" t="n">
        <v>-7109.5</v>
      </c>
      <c r="DB32" s="196" t="n">
        <v>14307.7</v>
      </c>
      <c r="DC32" s="196" t="n">
        <v>12839</v>
      </c>
      <c r="DD32" s="196" t="n">
        <v>12228.9</v>
      </c>
      <c r="DE32" s="196" t="n">
        <v>10752.8</v>
      </c>
      <c r="DF32" s="196" t="n">
        <v>11133.3</v>
      </c>
      <c r="DG32" s="196" t="n">
        <v>9090.6</v>
      </c>
      <c r="DH32" s="196" t="n">
        <v>8587.200000000001</v>
      </c>
      <c r="DI32" s="196" t="n">
        <v>8998.9</v>
      </c>
      <c r="DJ32" s="196" t="n">
        <v>9190.9</v>
      </c>
      <c r="DK32" s="196" t="n">
        <v>7694</v>
      </c>
      <c r="DL32" s="196" t="n">
        <v>7836.2</v>
      </c>
      <c r="DM32" s="196" t="n">
        <v>7396.7</v>
      </c>
      <c r="DN32" s="196" t="n">
        <v>6932.3</v>
      </c>
      <c r="DO32" s="196" t="n">
        <v>6700</v>
      </c>
      <c r="DP32" s="196" t="n">
        <v>6100</v>
      </c>
      <c r="DQ32" s="196" t="n">
        <v>5500</v>
      </c>
      <c r="DR32" s="196" t="n">
        <v>5700</v>
      </c>
      <c r="DS32" s="196" t="n">
        <v>5500</v>
      </c>
      <c r="DT32" s="196" t="n">
        <v>5300</v>
      </c>
      <c r="DU32" s="196" t="n">
        <v>4600</v>
      </c>
      <c r="DV32" s="196" t="n">
        <v>5200</v>
      </c>
      <c r="DW32" s="196" t="n">
        <v>4600</v>
      </c>
      <c r="DX32" s="196" t="n">
        <v>4600</v>
      </c>
      <c r="DY32" s="196" t="n">
        <v>4700</v>
      </c>
      <c r="DZ32" s="196" t="n">
        <v>4500</v>
      </c>
      <c r="EA32" s="196" t="n">
        <v>4500</v>
      </c>
      <c r="EB32" s="196" t="n">
        <v>4400</v>
      </c>
      <c r="EC32" s="196" t="n">
        <v>4700</v>
      </c>
      <c r="ED32" s="196" t="n">
        <v>4300</v>
      </c>
      <c r="EE32" s="196" t="n">
        <v>4000</v>
      </c>
      <c r="EF32" s="196" t="n">
        <v>3800</v>
      </c>
      <c r="EG32" s="196" t="n">
        <v>3800</v>
      </c>
      <c r="EH32" s="196" t="n">
        <v>2200</v>
      </c>
      <c r="EI32" s="196" t="n">
        <v>1700</v>
      </c>
      <c r="EJ32" s="196" t="n">
        <v>1500</v>
      </c>
      <c r="EK32" s="196" t="n">
        <v>-1500</v>
      </c>
      <c r="EL32" s="196" t="n">
        <v>2000</v>
      </c>
      <c r="EM32" s="196" t="n"/>
      <c r="EN32" s="196" t="n"/>
      <c r="EO32" s="182" t="n"/>
      <c r="EP32" s="176" t="n"/>
      <c r="EQ32" s="176" t="n"/>
      <c r="ER32" s="176" t="n"/>
      <c r="ES32" s="176" t="n"/>
      <c r="ET32" s="176" t="n"/>
      <c r="EU32" s="176" t="n"/>
      <c r="EV32" s="176" t="n"/>
      <c r="EW32" s="176" t="n"/>
      <c r="EX32" s="176" t="n"/>
      <c r="EY32" s="176" t="n"/>
      <c r="EZ32" s="176" t="n"/>
      <c r="FA32" s="176" t="n"/>
      <c r="FB32" s="176" t="n"/>
      <c r="FC32" s="176" t="n"/>
      <c r="FD32" s="176" t="n"/>
      <c r="FE32" s="176" t="n"/>
      <c r="FF32" s="176" t="n"/>
      <c r="FG32" s="176" t="n"/>
      <c r="FH32" s="176" t="n"/>
      <c r="FI32" s="176" t="n"/>
      <c r="FJ32" s="176" t="n"/>
      <c r="FK32" s="176" t="n"/>
      <c r="FL32" s="176" t="n"/>
      <c r="FM32" s="176" t="n"/>
    </row>
    <row r="33" ht="15" customHeight="1" s="392">
      <c r="A33" s="176" t="n"/>
      <c r="B33" s="180" t="n"/>
      <c r="C33" s="187" t="inlineStr">
        <is>
          <t>Total Operating Profit/(Loss)</t>
        </is>
      </c>
      <c r="D33" s="190">
        <f>IF(COUNT(M33:EN33)&gt;0,MEDIAN(M33:EN33),"")</f>
        <v/>
      </c>
      <c r="E33" s="190">
        <f>IF(COUNT(M33:EN33)&gt;0,AVERAGE(M33:EN33),"")</f>
        <v/>
      </c>
      <c r="F33" s="190">
        <f>IF(COUNT(M33:EN33)&gt;0,MIN(M33:EN33),"")</f>
        <v/>
      </c>
      <c r="G33" s="190">
        <f>IF(COUNT(M33:EN33)&gt;0,MAX(M33:EN33),"")</f>
        <v/>
      </c>
      <c r="H33" s="190">
        <f>IF(COUNT(M33:EN33)&gt;0,QUARTILE(M33:EN33,1),"")</f>
        <v/>
      </c>
      <c r="I33" s="190">
        <f>IF(COUNT(M33:EN33)&gt;0,QUARTILE(M33:EN33,3),"")</f>
        <v/>
      </c>
      <c r="J33" s="190">
        <f>IF(COUNT(M33:EN33)&gt;1,STDEV(M33:EN33),"")</f>
        <v/>
      </c>
      <c r="K33" s="191">
        <f>IF(COUNT(M33:EN33)&gt;1,STDEV(M33:EN33)/AVERAGE(M33:EN33),"")</f>
        <v/>
      </c>
      <c r="M33" s="192" t="n">
        <v>368904</v>
      </c>
      <c r="N33" s="192" t="n">
        <v>464282</v>
      </c>
      <c r="O33" s="192" t="n">
        <v>388710</v>
      </c>
      <c r="P33" s="192" t="n">
        <v>430694</v>
      </c>
      <c r="Q33" s="192" t="n">
        <v>412591</v>
      </c>
      <c r="R33" s="192" t="n">
        <v>451545</v>
      </c>
      <c r="S33" s="192" t="n">
        <v>426211</v>
      </c>
      <c r="T33" s="192" t="n">
        <v>406367</v>
      </c>
      <c r="U33" s="192" t="n">
        <v>359544</v>
      </c>
      <c r="V33" s="192" t="n">
        <v>437203</v>
      </c>
      <c r="W33" s="192" t="n">
        <v>379900</v>
      </c>
      <c r="X33" s="192" t="n">
        <v>395376</v>
      </c>
      <c r="Y33" s="192" t="n">
        <v>390617</v>
      </c>
      <c r="Z33" s="192" t="n">
        <v>418924</v>
      </c>
      <c r="AA33" s="192" t="n">
        <v>365525</v>
      </c>
      <c r="AB33" s="192" t="n">
        <v>311503</v>
      </c>
      <c r="AC33" s="192" t="n">
        <v>324793</v>
      </c>
      <c r="AD33" s="192" t="n">
        <v>372755</v>
      </c>
      <c r="AE33" s="192" t="n">
        <v>347328</v>
      </c>
      <c r="AF33" s="192" t="n">
        <v>330121</v>
      </c>
      <c r="AG33" s="192" t="n">
        <v>301500</v>
      </c>
      <c r="AH33" s="192" t="n">
        <v>328111</v>
      </c>
      <c r="AI33" s="192" t="n">
        <v>258221</v>
      </c>
      <c r="AJ33" s="192" t="n">
        <v>248594</v>
      </c>
      <c r="AK33" s="192" t="n">
        <v>205715</v>
      </c>
      <c r="AL33" s="192" t="n">
        <v>195101</v>
      </c>
      <c r="AM33" s="192" t="n">
        <v>209892</v>
      </c>
      <c r="AN33" s="192" t="n">
        <v>205391</v>
      </c>
      <c r="AO33" s="192" t="n">
        <v>192802</v>
      </c>
      <c r="AP33" s="192" t="n">
        <v>207494</v>
      </c>
      <c r="AQ33" s="192" t="n">
        <v>164739</v>
      </c>
      <c r="AR33" s="192" t="n">
        <v>151440</v>
      </c>
      <c r="AS33" s="192" t="n">
        <v>135968</v>
      </c>
      <c r="AT33" s="192" t="n">
        <v>174619</v>
      </c>
      <c r="AU33" s="192" t="n">
        <v>150947</v>
      </c>
      <c r="AV33" s="192" t="n">
        <v>123942</v>
      </c>
      <c r="AW33" s="192" t="n">
        <v>130172</v>
      </c>
      <c r="AX33" s="192" t="n">
        <v>136788</v>
      </c>
      <c r="AY33" s="192" t="n">
        <v>108880</v>
      </c>
      <c r="AZ33" s="192" t="n">
        <v>104824</v>
      </c>
      <c r="BA33" s="192" t="n">
        <v>106191</v>
      </c>
      <c r="BB33" s="192" t="n">
        <v>121948</v>
      </c>
      <c r="BC33" s="192" t="n">
        <v>92085</v>
      </c>
      <c r="BD33" s="192" t="n">
        <v>86246</v>
      </c>
      <c r="BE33" s="192" t="n">
        <v>86765</v>
      </c>
      <c r="BF33" s="192" t="n">
        <v>94767</v>
      </c>
      <c r="BG33" s="192" t="n">
        <v>80468</v>
      </c>
      <c r="BH33" s="192" t="n">
        <v>82401</v>
      </c>
      <c r="BI33" s="192" t="n">
        <v>75858</v>
      </c>
      <c r="BJ33" s="192" t="n">
        <v>91737</v>
      </c>
      <c r="BK33" s="192" t="n">
        <v>71484</v>
      </c>
      <c r="BL33" s="192" t="n">
        <v>64959</v>
      </c>
      <c r="BM33" s="192" t="n">
        <v>63052</v>
      </c>
      <c r="BN33" s="192" t="n">
        <v>82813</v>
      </c>
      <c r="BO33" s="192" t="n">
        <v>62770</v>
      </c>
      <c r="BP33" s="192" t="n">
        <v>74357</v>
      </c>
      <c r="BQ33" s="192" t="n">
        <v>69494</v>
      </c>
      <c r="BR33" s="192" t="n">
        <v>87944</v>
      </c>
      <c r="BS33" s="192" t="n">
        <v>72310</v>
      </c>
      <c r="BT33" s="192" t="n">
        <v>65376</v>
      </c>
      <c r="BU33" s="192" t="n">
        <v>63455</v>
      </c>
      <c r="BV33" s="192" t="n">
        <v>82044</v>
      </c>
      <c r="BW33" s="192" t="n">
        <v>60195</v>
      </c>
      <c r="BX33" s="192" t="n">
        <v>59594</v>
      </c>
      <c r="BY33" s="192" t="n">
        <v>57220</v>
      </c>
      <c r="BZ33" s="192" t="n">
        <v>72126</v>
      </c>
      <c r="CA33" s="192" t="n">
        <v>53232</v>
      </c>
      <c r="CB33" s="192" t="n">
        <v>56492</v>
      </c>
      <c r="CC33" s="192" t="n">
        <v>55389</v>
      </c>
      <c r="CD33" s="192" t="n">
        <v>64880</v>
      </c>
      <c r="CE33" s="192" t="n">
        <v>45569</v>
      </c>
      <c r="CF33" s="192" t="n">
        <v>59485</v>
      </c>
      <c r="CG33" s="192" t="n">
        <v>65372</v>
      </c>
      <c r="CH33" s="192" t="n">
        <v>68684</v>
      </c>
      <c r="CI33" s="192" t="n">
        <v>47235</v>
      </c>
      <c r="CJ33" s="192" t="n">
        <v>56627</v>
      </c>
      <c r="CK33" s="192" t="n">
        <v>53860</v>
      </c>
      <c r="CL33" s="192" t="n">
        <v>57229</v>
      </c>
      <c r="CM33" s="192" t="n">
        <v>45164</v>
      </c>
      <c r="CN33" s="192" t="n">
        <v>46893</v>
      </c>
      <c r="CO33" s="192" t="n">
        <v>47197</v>
      </c>
      <c r="CP33" s="192" t="n">
        <v>53351</v>
      </c>
      <c r="CQ33" s="192" t="n">
        <v>37015</v>
      </c>
      <c r="CR33" s="192" t="n">
        <v>33999</v>
      </c>
      <c r="CS33" s="192" t="n">
        <v>37601</v>
      </c>
      <c r="CT33" s="192" t="n">
        <v>47456</v>
      </c>
      <c r="CU33" s="192" t="n">
        <v>36500</v>
      </c>
      <c r="CV33" s="192" t="n">
        <v>35068</v>
      </c>
      <c r="CW33" s="192" t="n">
        <v>33757</v>
      </c>
      <c r="CX33" s="192" t="n">
        <v>40399</v>
      </c>
      <c r="CY33" s="192" t="n">
        <v>25820</v>
      </c>
      <c r="CZ33" s="192" t="n">
        <v>24287.1</v>
      </c>
      <c r="DA33" s="192" t="n">
        <v>21011.1</v>
      </c>
      <c r="DB33" s="192" t="n">
        <v>24608.7</v>
      </c>
      <c r="DC33" s="192" t="n">
        <v>21746.8</v>
      </c>
      <c r="DD33" s="192" t="n">
        <v>23697.5</v>
      </c>
      <c r="DE33" s="192" t="n">
        <v>24305.4</v>
      </c>
      <c r="DF33" s="192" t="n">
        <v>26011.1</v>
      </c>
      <c r="DG33" s="192" t="n">
        <v>19159.1</v>
      </c>
      <c r="DH33" s="192" t="n">
        <v>20463.8</v>
      </c>
      <c r="DI33" s="192" t="n">
        <v>20268.9</v>
      </c>
      <c r="DJ33" s="192" t="n">
        <v>19080.1</v>
      </c>
      <c r="DK33" s="192" t="n">
        <v>14821</v>
      </c>
      <c r="DL33" s="192" t="n">
        <v>13947</v>
      </c>
      <c r="DM33" s="192" t="n">
        <v>12993.4</v>
      </c>
      <c r="DN33" s="192" t="n">
        <v>13107.4</v>
      </c>
      <c r="DO33" s="192" t="n">
        <v>10300</v>
      </c>
      <c r="DP33" s="192" t="n">
        <v>9800</v>
      </c>
      <c r="DQ33" s="192" t="n">
        <v>9800</v>
      </c>
      <c r="DR33" s="192" t="n">
        <v>9700</v>
      </c>
      <c r="DS33" s="192" t="n">
        <v>7500</v>
      </c>
      <c r="DT33" s="192" t="n">
        <v>6300</v>
      </c>
      <c r="DU33" s="192" t="n">
        <v>6800</v>
      </c>
      <c r="DV33" s="192" t="n">
        <v>6700</v>
      </c>
      <c r="DW33" s="192" t="n">
        <v>5400</v>
      </c>
      <c r="DX33" s="192" t="n">
        <v>4900</v>
      </c>
      <c r="DY33" s="192" t="n">
        <v>4700</v>
      </c>
      <c r="DZ33" s="192" t="n">
        <v>5300</v>
      </c>
      <c r="EA33" s="192" t="n">
        <v>5000</v>
      </c>
      <c r="EB33" s="192" t="n">
        <v>3700</v>
      </c>
      <c r="EC33" s="192" t="n">
        <v>4100</v>
      </c>
      <c r="ED33" s="192" t="n">
        <v>4500</v>
      </c>
      <c r="EE33" s="192" t="n">
        <v>5000</v>
      </c>
      <c r="EF33" s="192" t="n">
        <v>4300</v>
      </c>
      <c r="EG33" s="192" t="n">
        <v>3500</v>
      </c>
      <c r="EH33" s="192" t="n">
        <v>3100</v>
      </c>
      <c r="EI33" s="192" t="n">
        <v>2500</v>
      </c>
      <c r="EJ33" s="192" t="n">
        <v>2000</v>
      </c>
      <c r="EK33" s="192" t="n">
        <v>1900</v>
      </c>
      <c r="EL33" s="192" t="n">
        <v>1100</v>
      </c>
      <c r="EM33" s="192" t="n">
        <v>4300</v>
      </c>
      <c r="EN33" s="192" t="n">
        <v>4300</v>
      </c>
      <c r="EO33" s="182" t="n"/>
      <c r="EP33" s="176" t="n"/>
      <c r="EQ33" s="176" t="n"/>
      <c r="ER33" s="176" t="n"/>
      <c r="ES33" s="176" t="n"/>
      <c r="ET33" s="176" t="n"/>
      <c r="EU33" s="176" t="n"/>
      <c r="EV33" s="176" t="n"/>
      <c r="EW33" s="176" t="n"/>
      <c r="EX33" s="176" t="n"/>
      <c r="EY33" s="176" t="n"/>
      <c r="EZ33" s="176" t="n"/>
      <c r="FA33" s="176" t="n"/>
      <c r="FB33" s="176" t="n"/>
      <c r="FC33" s="176" t="n"/>
      <c r="FD33" s="176" t="n"/>
      <c r="FE33" s="176" t="n"/>
      <c r="FF33" s="176" t="n"/>
      <c r="FG33" s="176" t="n"/>
      <c r="FH33" s="176" t="n"/>
      <c r="FI33" s="176" t="n"/>
      <c r="FJ33" s="176" t="n"/>
      <c r="FK33" s="176" t="n"/>
      <c r="FL33" s="176" t="n"/>
      <c r="FM33" s="176" t="n"/>
    </row>
    <row r="34" ht="15" customHeight="1" s="392">
      <c r="A34" s="176" t="n"/>
      <c r="B34" s="180" t="n"/>
      <c r="C34" s="189" t="inlineStr">
        <is>
          <t>Non-Operating Income/(Expenses)</t>
        </is>
      </c>
      <c r="D34" s="185" t="n"/>
      <c r="E34" s="185" t="n"/>
      <c r="F34" s="185" t="n"/>
      <c r="G34" s="185" t="n"/>
      <c r="H34" s="185" t="n"/>
      <c r="I34" s="185" t="n"/>
      <c r="J34" s="185" t="n"/>
      <c r="K34" s="185" t="n"/>
      <c r="L34" s="185" t="n"/>
      <c r="M34" s="185" t="n"/>
      <c r="N34" s="185" t="n"/>
      <c r="O34" s="185" t="n"/>
      <c r="P34" s="185" t="n"/>
      <c r="Q34" s="185" t="n"/>
      <c r="R34" s="185" t="n"/>
      <c r="S34" s="185" t="n"/>
      <c r="T34" s="185" t="n"/>
      <c r="U34" s="185" t="n"/>
      <c r="V34" s="185" t="n"/>
      <c r="W34" s="185" t="n"/>
      <c r="X34" s="185" t="n"/>
      <c r="Y34" s="185" t="n"/>
      <c r="Z34" s="185" t="n"/>
      <c r="AA34" s="185" t="n"/>
      <c r="AB34" s="185" t="n"/>
      <c r="AC34" s="185" t="n"/>
      <c r="AD34" s="185" t="n"/>
      <c r="AE34" s="185" t="n"/>
      <c r="AF34" s="185" t="n"/>
      <c r="AG34" s="185" t="n"/>
      <c r="AH34" s="185" t="n"/>
      <c r="AI34" s="185" t="n"/>
      <c r="AJ34" s="185" t="n"/>
      <c r="AK34" s="185" t="n"/>
      <c r="AL34" s="185" t="n"/>
      <c r="AM34" s="185" t="n"/>
      <c r="AN34" s="185" t="n"/>
      <c r="AO34" s="185" t="n"/>
      <c r="AP34" s="185" t="n"/>
      <c r="AQ34" s="185" t="n"/>
      <c r="AR34" s="185" t="n"/>
      <c r="AS34" s="185" t="n"/>
      <c r="AT34" s="185" t="n"/>
      <c r="AU34" s="185" t="n"/>
      <c r="AV34" s="185" t="n"/>
      <c r="AW34" s="185" t="n"/>
      <c r="AX34" s="185" t="n"/>
      <c r="AY34" s="185" t="n"/>
      <c r="AZ34" s="185" t="n"/>
      <c r="BA34" s="185" t="n"/>
      <c r="BB34" s="185" t="n"/>
      <c r="BC34" s="185" t="n"/>
      <c r="BD34" s="185" t="n"/>
      <c r="BE34" s="185" t="n"/>
      <c r="BF34" s="185" t="n"/>
      <c r="BG34" s="185" t="n"/>
      <c r="BH34" s="185" t="n"/>
      <c r="BI34" s="185" t="n"/>
      <c r="BJ34" s="185" t="n"/>
      <c r="BK34" s="185" t="n"/>
      <c r="BL34" s="185" t="n"/>
      <c r="BM34" s="185" t="n"/>
      <c r="BN34" s="185" t="n"/>
      <c r="BO34" s="185" t="n"/>
      <c r="BP34" s="185" t="n"/>
      <c r="BQ34" s="185" t="n"/>
      <c r="BR34" s="185" t="n"/>
      <c r="BS34" s="185" t="n"/>
      <c r="BT34" s="185" t="n"/>
      <c r="BU34" s="185" t="n"/>
      <c r="BV34" s="185" t="n"/>
      <c r="BW34" s="185" t="n"/>
      <c r="BX34" s="185" t="n"/>
      <c r="BY34" s="185" t="n"/>
      <c r="BZ34" s="185" t="n"/>
      <c r="CA34" s="185" t="n"/>
      <c r="CB34" s="185" t="n"/>
      <c r="CC34" s="185" t="n"/>
      <c r="CD34" s="185" t="n"/>
      <c r="CE34" s="185" t="n"/>
      <c r="CF34" s="185" t="n"/>
      <c r="CG34" s="185" t="n"/>
      <c r="CH34" s="185" t="n"/>
      <c r="CI34" s="185" t="n"/>
      <c r="CJ34" s="185" t="n"/>
      <c r="CK34" s="185" t="n"/>
      <c r="CL34" s="185" t="n"/>
      <c r="CM34" s="185" t="n"/>
      <c r="CN34" s="185" t="n"/>
      <c r="CO34" s="185" t="n"/>
      <c r="CP34" s="185" t="n"/>
      <c r="CQ34" s="185" t="n"/>
      <c r="CR34" s="185" t="n"/>
      <c r="CS34" s="185" t="n"/>
      <c r="CT34" s="185" t="n"/>
      <c r="CU34" s="185" t="n"/>
      <c r="CV34" s="185" t="n"/>
      <c r="CW34" s="185" t="n"/>
      <c r="CX34" s="185" t="n"/>
      <c r="CY34" s="185" t="n"/>
      <c r="CZ34" s="185" t="n"/>
      <c r="DA34" s="185" t="n"/>
      <c r="DB34" s="185" t="n"/>
      <c r="DC34" s="185" t="n"/>
      <c r="DD34" s="185" t="n"/>
      <c r="DE34" s="185" t="n"/>
      <c r="DF34" s="185" t="n"/>
      <c r="DG34" s="185" t="n"/>
      <c r="DH34" s="185" t="n"/>
      <c r="DI34" s="185" t="n"/>
      <c r="DJ34" s="185" t="n"/>
      <c r="DK34" s="185" t="n"/>
      <c r="DL34" s="185" t="n"/>
      <c r="DM34" s="185" t="n"/>
      <c r="DN34" s="185" t="n"/>
      <c r="DO34" s="185" t="n"/>
      <c r="DP34" s="185" t="n"/>
      <c r="DQ34" s="185" t="n"/>
      <c r="DR34" s="185" t="n"/>
      <c r="DS34" s="185" t="n"/>
      <c r="DT34" s="185" t="n"/>
      <c r="DU34" s="185" t="n"/>
      <c r="DV34" s="185" t="n"/>
      <c r="DW34" s="185" t="n"/>
      <c r="DX34" s="185" t="n"/>
      <c r="DY34" s="185" t="n"/>
      <c r="DZ34" s="185" t="n"/>
      <c r="EA34" s="185" t="n"/>
      <c r="EB34" s="185" t="n"/>
      <c r="EC34" s="185" t="n"/>
      <c r="ED34" s="185" t="n"/>
      <c r="EE34" s="185" t="n"/>
      <c r="EF34" s="185" t="n"/>
      <c r="EG34" s="185" t="n"/>
      <c r="EH34" s="185" t="n"/>
      <c r="EI34" s="185" t="n"/>
      <c r="EJ34" s="185" t="n"/>
      <c r="EK34" s="185" t="n"/>
      <c r="EL34" s="185" t="n"/>
      <c r="EM34" s="185" t="n"/>
      <c r="EN34" s="185" t="n"/>
      <c r="EO34" s="182" t="n"/>
      <c r="EP34" s="176" t="n"/>
      <c r="EQ34" s="176" t="n"/>
      <c r="ER34" s="176" t="n"/>
      <c r="ES34" s="176" t="n"/>
      <c r="ET34" s="176" t="n"/>
      <c r="EU34" s="176" t="n"/>
      <c r="EV34" s="176" t="n"/>
      <c r="EW34" s="176" t="n"/>
      <c r="EX34" s="176" t="n"/>
      <c r="EY34" s="176" t="n"/>
      <c r="EZ34" s="176" t="n"/>
      <c r="FA34" s="176" t="n"/>
      <c r="FB34" s="176" t="n"/>
      <c r="FC34" s="176" t="n"/>
      <c r="FD34" s="176" t="n"/>
      <c r="FE34" s="176" t="n"/>
      <c r="FF34" s="176" t="n"/>
      <c r="FG34" s="176" t="n"/>
      <c r="FH34" s="176" t="n"/>
      <c r="FI34" s="176" t="n"/>
      <c r="FJ34" s="176" t="n"/>
      <c r="FK34" s="176" t="n"/>
      <c r="FL34" s="176" t="n"/>
      <c r="FM34" s="176" t="n"/>
    </row>
    <row r="35" ht="15" customHeight="1" s="392">
      <c r="A35" s="176" t="n"/>
      <c r="B35" s="180" t="n"/>
      <c r="C35" s="183" t="inlineStr">
        <is>
          <t xml:space="preserve">    Net Finance (Income)/Expense</t>
        </is>
      </c>
      <c r="D35" s="185" t="n"/>
      <c r="E35" s="185" t="n"/>
      <c r="F35" s="185" t="n"/>
      <c r="G35" s="185" t="n"/>
      <c r="H35" s="185" t="n"/>
      <c r="I35" s="185" t="n"/>
      <c r="J35" s="185" t="n"/>
      <c r="K35" s="185" t="n"/>
      <c r="EO35" s="182" t="n"/>
      <c r="EP35" s="176" t="n"/>
      <c r="EQ35" s="176" t="n"/>
      <c r="ER35" s="176" t="n"/>
      <c r="ES35" s="176" t="n"/>
      <c r="ET35" s="176" t="n"/>
      <c r="EU35" s="176" t="n"/>
      <c r="EV35" s="176" t="n"/>
      <c r="EW35" s="176" t="n"/>
      <c r="EX35" s="176" t="n"/>
      <c r="EY35" s="176" t="n"/>
      <c r="EZ35" s="176" t="n"/>
      <c r="FA35" s="176" t="n"/>
      <c r="FB35" s="176" t="n"/>
      <c r="FC35" s="176" t="n"/>
      <c r="FD35" s="176" t="n"/>
      <c r="FE35" s="176" t="n"/>
      <c r="FF35" s="176" t="n"/>
      <c r="FG35" s="176" t="n"/>
      <c r="FH35" s="176" t="n"/>
      <c r="FI35" s="176" t="n"/>
      <c r="FJ35" s="176" t="n"/>
      <c r="FK35" s="176" t="n"/>
      <c r="FL35" s="176" t="n"/>
      <c r="FM35" s="176" t="n"/>
    </row>
    <row r="36" ht="15" customHeight="1" s="392">
      <c r="A36" s="176" t="n"/>
      <c r="B36" s="180" t="n"/>
      <c r="C36" s="183" t="inlineStr">
        <is>
          <t xml:space="preserve">        Net Interest (Income)/Expense</t>
        </is>
      </c>
      <c r="D36" s="185" t="n"/>
      <c r="E36" s="185" t="n"/>
      <c r="F36" s="185" t="n"/>
      <c r="G36" s="185" t="n"/>
      <c r="H36" s="185" t="n"/>
      <c r="I36" s="185" t="n"/>
      <c r="J36" s="185" t="n"/>
      <c r="K36" s="185" t="n"/>
      <c r="EO36" s="182" t="n"/>
      <c r="EP36" s="176" t="n"/>
      <c r="EQ36" s="176" t="n"/>
      <c r="ER36" s="176" t="n"/>
      <c r="ES36" s="176" t="n"/>
      <c r="ET36" s="176" t="n"/>
      <c r="EU36" s="176" t="n"/>
      <c r="EV36" s="176" t="n"/>
      <c r="EW36" s="176" t="n"/>
      <c r="EX36" s="176" t="n"/>
      <c r="EY36" s="176" t="n"/>
      <c r="EZ36" s="176" t="n"/>
      <c r="FA36" s="176" t="n"/>
      <c r="FB36" s="176" t="n"/>
      <c r="FC36" s="176" t="n"/>
      <c r="FD36" s="176" t="n"/>
      <c r="FE36" s="176" t="n"/>
      <c r="FF36" s="176" t="n"/>
      <c r="FG36" s="176" t="n"/>
      <c r="FH36" s="176" t="n"/>
      <c r="FI36" s="176" t="n"/>
      <c r="FJ36" s="176" t="n"/>
      <c r="FK36" s="176" t="n"/>
      <c r="FL36" s="176" t="n"/>
      <c r="FM36" s="176" t="n"/>
    </row>
    <row r="37" ht="15" customHeight="1" s="392">
      <c r="A37" s="176" t="n"/>
      <c r="B37" s="180" t="n"/>
      <c r="C37" s="183" t="inlineStr">
        <is>
          <t xml:space="preserve">            Interest Expense Net of Capitalized Interest</t>
        </is>
      </c>
      <c r="D37" s="190">
        <f>IF(COUNT(M37:EN37)&gt;0,MEDIAN(M37:EN37),"")</f>
        <v/>
      </c>
      <c r="E37" s="190">
        <f>IF(COUNT(M37:EN37)&gt;0,AVERAGE(M37:EN37),"")</f>
        <v/>
      </c>
      <c r="F37" s="190">
        <f>IF(COUNT(M37:EN37)&gt;0,MIN(M37:EN37),"")</f>
        <v/>
      </c>
      <c r="G37" s="190">
        <f>IF(COUNT(M37:EN37)&gt;0,MAX(M37:EN37),"")</f>
        <v/>
      </c>
      <c r="H37" s="190">
        <f>IF(COUNT(M37:EN37)&gt;0,QUARTILE(M37:EN37,1),"")</f>
        <v/>
      </c>
      <c r="I37" s="190">
        <f>IF(COUNT(M37:EN37)&gt;0,QUARTILE(M37:EN37,3),"")</f>
        <v/>
      </c>
      <c r="J37" s="190">
        <f>IF(COUNT(M37:EN37)&gt;1,STDEV(M37:EN37),"")</f>
        <v/>
      </c>
      <c r="K37" s="191">
        <f>IF(COUNT(M37:EN37)&gt;1,STDEV(M37:EN37)/AVERAGE(M37:EN37),"")</f>
        <v/>
      </c>
      <c r="M37" s="192" t="n"/>
      <c r="N37" s="192" t="n"/>
      <c r="O37" s="192" t="n"/>
      <c r="P37" s="192" t="n"/>
      <c r="Q37" s="192" t="n"/>
      <c r="R37" s="192" t="n"/>
      <c r="S37" s="192" t="n"/>
      <c r="T37" s="192" t="n"/>
      <c r="U37" s="192" t="n"/>
      <c r="V37" s="192" t="n"/>
      <c r="W37" s="192" t="n"/>
      <c r="X37" s="192" t="n"/>
      <c r="Y37" s="192" t="n"/>
      <c r="Z37" s="192" t="n"/>
      <c r="AA37" s="192" t="n"/>
      <c r="AB37" s="192" t="n"/>
      <c r="AC37" s="192" t="n"/>
      <c r="AD37" s="192" t="n"/>
      <c r="AE37" s="192" t="n"/>
      <c r="AF37" s="192" t="n"/>
      <c r="AG37" s="192" t="n"/>
      <c r="AH37" s="192" t="n">
        <v>5346</v>
      </c>
      <c r="AI37" s="192" t="n">
        <v>4849</v>
      </c>
      <c r="AJ37" s="192" t="n">
        <v>5032</v>
      </c>
      <c r="AK37" s="192" t="n">
        <v>4803</v>
      </c>
      <c r="AL37" s="192" t="n">
        <v>5578</v>
      </c>
      <c r="AM37" s="192" t="n">
        <v>4464</v>
      </c>
      <c r="AN37" s="192" t="n">
        <v>4026</v>
      </c>
      <c r="AO37" s="192" t="n">
        <v>2377</v>
      </c>
      <c r="AP37" s="192" t="n">
        <v>5324</v>
      </c>
      <c r="AQ37" s="192" t="n">
        <v>5233</v>
      </c>
      <c r="AR37" s="192" t="n">
        <v>4651</v>
      </c>
      <c r="AS37" s="192" t="n">
        <v>4599</v>
      </c>
      <c r="AT37" s="192" t="n">
        <v>4416</v>
      </c>
      <c r="AU37" s="192" t="n">
        <v>5758</v>
      </c>
      <c r="AV37" s="192" t="n">
        <v>5595</v>
      </c>
      <c r="AW37" s="192" t="n">
        <v>5807</v>
      </c>
      <c r="AX37" s="192" t="n">
        <v>5869</v>
      </c>
      <c r="AY37" s="192" t="n">
        <v>6144</v>
      </c>
      <c r="AZ37" s="192" t="n">
        <v>5959</v>
      </c>
      <c r="BA37" s="192" t="n">
        <v>6610</v>
      </c>
      <c r="BB37" s="192" t="n">
        <v>5702</v>
      </c>
      <c r="BC37" s="192" t="n">
        <v>5570</v>
      </c>
      <c r="BD37" s="192" t="n">
        <v>5724</v>
      </c>
      <c r="BE37" s="192" t="n">
        <v>5606</v>
      </c>
      <c r="BF37" s="192" t="n">
        <v>5917</v>
      </c>
      <c r="BG37" s="192" t="n">
        <v>4688</v>
      </c>
      <c r="BH37" s="192" t="n">
        <v>1910</v>
      </c>
      <c r="BI37" s="192" t="n">
        <v>2169</v>
      </c>
      <c r="BJ37" s="192" t="n">
        <v>2104</v>
      </c>
      <c r="BK37" s="192" t="n">
        <v>2209</v>
      </c>
      <c r="BL37" s="192" t="n">
        <v>2286</v>
      </c>
      <c r="BM37" s="192" t="n">
        <v>2509</v>
      </c>
      <c r="BN37" s="192" t="n">
        <v>2538</v>
      </c>
      <c r="BO37" s="192" t="n">
        <v>2588</v>
      </c>
      <c r="BP37" s="192" t="n">
        <v>2632</v>
      </c>
      <c r="BQ37" s="192" t="n">
        <v>3113</v>
      </c>
      <c r="BR37" s="192" t="n">
        <v>3008</v>
      </c>
      <c r="BS37" s="192" t="n">
        <v>3033</v>
      </c>
      <c r="BT37" s="192" t="n">
        <v>2187</v>
      </c>
      <c r="BU37" s="192" t="n">
        <v>1813</v>
      </c>
      <c r="BV37" s="192" t="n">
        <v>1832</v>
      </c>
      <c r="BW37" s="192" t="n">
        <v>417</v>
      </c>
      <c r="BX37" s="192" t="n">
        <v>15</v>
      </c>
      <c r="BY37" s="192" t="n">
        <v>15</v>
      </c>
      <c r="BZ37" s="192" t="n">
        <v>38</v>
      </c>
      <c r="CA37" s="192" t="n">
        <v>21</v>
      </c>
      <c r="CB37" s="192" t="n">
        <v>142</v>
      </c>
      <c r="CC37" s="192" t="n">
        <v>147</v>
      </c>
      <c r="CD37" s="192" t="n">
        <v>66</v>
      </c>
      <c r="CE37" s="192" t="n">
        <v>27</v>
      </c>
      <c r="CF37" s="192" t="n"/>
      <c r="CG37" s="192" t="n"/>
      <c r="CH37" s="192" t="n"/>
      <c r="CI37" s="192" t="n"/>
      <c r="CJ37" s="192" t="n"/>
      <c r="CK37" s="192" t="n"/>
      <c r="CL37" s="192" t="n"/>
      <c r="CM37" s="192" t="n"/>
      <c r="CN37" s="192" t="n"/>
      <c r="CO37" s="192" t="n"/>
      <c r="CP37" s="192" t="n"/>
      <c r="CQ37" s="192" t="n"/>
      <c r="CR37" s="192" t="n"/>
      <c r="CS37" s="192" t="n"/>
      <c r="CT37" s="192" t="n"/>
      <c r="CU37" s="192" t="n"/>
      <c r="CV37" s="192" t="n"/>
      <c r="CW37" s="192" t="n"/>
      <c r="CX37" s="192" t="n"/>
      <c r="CY37" s="192" t="n"/>
      <c r="CZ37" s="192" t="n"/>
      <c r="DA37" s="192" t="n"/>
      <c r="DB37" s="192" t="n"/>
      <c r="DC37" s="192" t="n"/>
      <c r="DD37" s="192" t="n"/>
      <c r="DE37" s="192" t="n"/>
      <c r="DF37" s="192" t="n"/>
      <c r="DG37" s="192" t="n"/>
      <c r="DH37" s="192" t="n"/>
      <c r="DI37" s="192" t="n"/>
      <c r="DJ37" s="192" t="n"/>
      <c r="DK37" s="192" t="n"/>
      <c r="DL37" s="192" t="n"/>
      <c r="DM37" s="192" t="n"/>
      <c r="DN37" s="192" t="n"/>
      <c r="DO37" s="192" t="n"/>
      <c r="DP37" s="192" t="n"/>
      <c r="DQ37" s="192" t="n"/>
      <c r="DR37" s="192" t="n"/>
      <c r="DS37" s="192" t="n"/>
      <c r="DT37" s="192" t="n"/>
      <c r="DU37" s="192" t="n"/>
      <c r="DV37" s="192" t="n"/>
      <c r="DW37" s="192" t="n"/>
      <c r="DX37" s="192" t="n"/>
      <c r="DY37" s="192" t="n"/>
      <c r="DZ37" s="192" t="n"/>
      <c r="EA37" s="192" t="n"/>
      <c r="EB37" s="192" t="n"/>
      <c r="EC37" s="192" t="n"/>
      <c r="ED37" s="192" t="n"/>
      <c r="EE37" s="192" t="n"/>
      <c r="EF37" s="192" t="n"/>
      <c r="EG37" s="192" t="n"/>
      <c r="EH37" s="192" t="n"/>
      <c r="EI37" s="192" t="n"/>
      <c r="EJ37" s="192" t="n"/>
      <c r="EK37" s="192" t="n"/>
      <c r="EL37" s="192" t="n"/>
      <c r="EM37" s="192" t="n"/>
      <c r="EN37" s="192" t="n"/>
      <c r="EO37" s="182" t="n"/>
      <c r="EP37" s="176" t="n"/>
      <c r="EQ37" s="176" t="n"/>
      <c r="ER37" s="176" t="n"/>
      <c r="ES37" s="176" t="n"/>
      <c r="ET37" s="176" t="n"/>
      <c r="EU37" s="176" t="n"/>
      <c r="EV37" s="176" t="n"/>
      <c r="EW37" s="176" t="n"/>
      <c r="EX37" s="176" t="n"/>
      <c r="EY37" s="176" t="n"/>
      <c r="EZ37" s="176" t="n"/>
      <c r="FA37" s="176" t="n"/>
      <c r="FB37" s="176" t="n"/>
      <c r="FC37" s="176" t="n"/>
      <c r="FD37" s="176" t="n"/>
      <c r="FE37" s="176" t="n"/>
      <c r="FF37" s="176" t="n"/>
      <c r="FG37" s="176" t="n"/>
      <c r="FH37" s="176" t="n"/>
      <c r="FI37" s="176" t="n"/>
      <c r="FJ37" s="176" t="n"/>
      <c r="FK37" s="176" t="n"/>
      <c r="FL37" s="176" t="n"/>
      <c r="FM37" s="176" t="n"/>
    </row>
    <row r="38" ht="15" customHeight="1" s="392">
      <c r="A38" s="176" t="n"/>
      <c r="B38" s="180" t="n"/>
      <c r="C38" s="183" t="inlineStr">
        <is>
          <t xml:space="preserve">            Interest Income</t>
        </is>
      </c>
      <c r="D38" s="190">
        <f>IF(COUNT(M38:EN38)&gt;0,MEDIAN(M38:EN38),"")</f>
        <v/>
      </c>
      <c r="E38" s="190">
        <f>IF(COUNT(M38:EN38)&gt;0,AVERAGE(M38:EN38),"")</f>
        <v/>
      </c>
      <c r="F38" s="190">
        <f>IF(COUNT(M38:EN38)&gt;0,MIN(M38:EN38),"")</f>
        <v/>
      </c>
      <c r="G38" s="190">
        <f>IF(COUNT(M38:EN38)&gt;0,MAX(M38:EN38),"")</f>
        <v/>
      </c>
      <c r="H38" s="190">
        <f>IF(COUNT(M38:EN38)&gt;0,QUARTILE(M38:EN38,1),"")</f>
        <v/>
      </c>
      <c r="I38" s="190">
        <f>IF(COUNT(M38:EN38)&gt;0,QUARTILE(M38:EN38,3),"")</f>
        <v/>
      </c>
      <c r="J38" s="190">
        <f>IF(COUNT(M38:EN38)&gt;1,STDEV(M38:EN38),"")</f>
        <v/>
      </c>
      <c r="K38" s="191">
        <f>IF(COUNT(M38:EN38)&gt;1,STDEV(M38:EN38)/AVERAGE(M38:EN38),"")</f>
        <v/>
      </c>
      <c r="M38" s="192" t="n"/>
      <c r="N38" s="192" t="n">
        <v>38813</v>
      </c>
      <c r="O38" s="192" t="n">
        <v>49987</v>
      </c>
      <c r="P38" s="192" t="n">
        <v>53505</v>
      </c>
      <c r="Q38" s="192" t="n"/>
      <c r="R38" s="192" t="n">
        <v>42776</v>
      </c>
      <c r="S38" s="192" t="n">
        <v>40747</v>
      </c>
      <c r="T38" s="192" t="n">
        <v>45547</v>
      </c>
      <c r="U38" s="192" t="n"/>
      <c r="V38" s="192" t="n">
        <v>36218</v>
      </c>
      <c r="W38" s="192" t="n">
        <v>33956</v>
      </c>
      <c r="X38" s="192" t="n">
        <v>32005</v>
      </c>
      <c r="Y38" s="192" t="n"/>
      <c r="Z38" s="192" t="n">
        <v>17878</v>
      </c>
      <c r="AA38" s="192" t="n">
        <v>14480</v>
      </c>
      <c r="AB38" s="192" t="n">
        <v>4422</v>
      </c>
      <c r="AC38" s="192" t="n"/>
      <c r="AD38" s="192" t="n"/>
      <c r="AE38" s="192" t="n"/>
      <c r="AF38" s="192" t="n"/>
      <c r="AG38" s="192" t="n"/>
      <c r="AH38" s="192" t="n"/>
      <c r="AI38" s="192" t="n"/>
      <c r="AJ38" s="192" t="n"/>
      <c r="AK38" s="192" t="n"/>
      <c r="AL38" s="192" t="n"/>
      <c r="AM38" s="192" t="n"/>
      <c r="AN38" s="192" t="n"/>
      <c r="AO38" s="192" t="n"/>
      <c r="AP38" s="192" t="n">
        <v>240</v>
      </c>
      <c r="AQ38" s="192" t="n">
        <v>678</v>
      </c>
      <c r="AR38" s="192" t="n">
        <v>960</v>
      </c>
      <c r="AS38" s="192" t="n">
        <v>617</v>
      </c>
      <c r="AT38" s="192" t="n">
        <v>282</v>
      </c>
      <c r="AU38" s="192" t="n">
        <v>197</v>
      </c>
      <c r="AV38" s="192" t="n">
        <v>197</v>
      </c>
      <c r="AW38" s="192" t="n">
        <v>322</v>
      </c>
      <c r="AX38" s="192" t="n">
        <v>363</v>
      </c>
      <c r="AY38" s="192" t="n">
        <v>384</v>
      </c>
      <c r="AZ38" s="192" t="n">
        <v>337</v>
      </c>
      <c r="BA38" s="192" t="n">
        <v>353</v>
      </c>
      <c r="BB38" s="192" t="n">
        <v>283</v>
      </c>
      <c r="BC38" s="192" t="n">
        <v>602</v>
      </c>
      <c r="BD38" s="192" t="n">
        <v>211</v>
      </c>
      <c r="BE38" s="192" t="n">
        <v>234</v>
      </c>
      <c r="BF38" s="192" t="n">
        <v>261</v>
      </c>
      <c r="BG38" s="192" t="n">
        <v>183</v>
      </c>
      <c r="BH38" s="192" t="n">
        <v>139</v>
      </c>
      <c r="BI38" s="192" t="n">
        <v>118</v>
      </c>
      <c r="BJ38" s="192" t="n">
        <v>81</v>
      </c>
      <c r="BK38" s="192" t="n">
        <v>143</v>
      </c>
      <c r="BL38" s="192" t="n">
        <v>149</v>
      </c>
      <c r="BM38" s="192" t="n">
        <v>153</v>
      </c>
      <c r="BN38" s="192" t="n">
        <v>138</v>
      </c>
      <c r="BO38" s="192" t="n">
        <v>191</v>
      </c>
      <c r="BP38" s="192" t="n">
        <v>156</v>
      </c>
      <c r="BQ38" s="192" t="n">
        <v>98</v>
      </c>
      <c r="BR38" s="192" t="n">
        <v>78</v>
      </c>
      <c r="BS38" s="192" t="n">
        <v>119</v>
      </c>
      <c r="BT38" s="192" t="n">
        <v>62</v>
      </c>
      <c r="BU38" s="192" t="n">
        <v>120</v>
      </c>
      <c r="BV38" s="192" t="n">
        <v>159</v>
      </c>
      <c r="BW38" s="192" t="n">
        <v>133</v>
      </c>
      <c r="BX38" s="192" t="n">
        <v>80</v>
      </c>
      <c r="BY38" s="192" t="n">
        <v>45</v>
      </c>
      <c r="BZ38" s="192" t="n">
        <v>25</v>
      </c>
      <c r="CA38" s="192" t="n">
        <v>63</v>
      </c>
      <c r="CB38" s="192" t="n">
        <v>71</v>
      </c>
      <c r="CC38" s="192" t="n">
        <v>96</v>
      </c>
      <c r="CD38" s="192" t="n">
        <v>546</v>
      </c>
      <c r="CE38" s="192" t="n">
        <v>434</v>
      </c>
      <c r="CF38" s="192" t="n"/>
      <c r="CG38" s="192" t="n"/>
      <c r="CH38" s="192" t="n"/>
      <c r="CI38" s="192" t="n"/>
      <c r="CJ38" s="192" t="n"/>
      <c r="CK38" s="192" t="n"/>
      <c r="CL38" s="192" t="n"/>
      <c r="CM38" s="192" t="n"/>
      <c r="CN38" s="192" t="n"/>
      <c r="CO38" s="192" t="n"/>
      <c r="CP38" s="192" t="n"/>
      <c r="CQ38" s="192" t="n"/>
      <c r="CR38" s="192" t="n"/>
      <c r="CS38" s="192" t="n"/>
      <c r="CT38" s="192" t="n"/>
      <c r="CU38" s="192" t="n"/>
      <c r="CV38" s="192" t="n"/>
      <c r="CW38" s="192" t="n"/>
      <c r="CX38" s="192" t="n"/>
      <c r="CY38" s="192" t="n"/>
      <c r="CZ38" s="192" t="n"/>
      <c r="DA38" s="192" t="n"/>
      <c r="DB38" s="192" t="n"/>
      <c r="DC38" s="192" t="n"/>
      <c r="DD38" s="192" t="n"/>
      <c r="DE38" s="192" t="n"/>
      <c r="DF38" s="192" t="n"/>
      <c r="DG38" s="192" t="n"/>
      <c r="DH38" s="192" t="n"/>
      <c r="DI38" s="192" t="n"/>
      <c r="DJ38" s="192" t="n"/>
      <c r="DK38" s="192" t="n"/>
      <c r="DL38" s="192" t="n"/>
      <c r="DM38" s="192" t="n"/>
      <c r="DN38" s="192" t="n"/>
      <c r="DO38" s="192" t="n"/>
      <c r="DP38" s="192" t="n"/>
      <c r="DQ38" s="192" t="n"/>
      <c r="DR38" s="192" t="n"/>
      <c r="DS38" s="192" t="n"/>
      <c r="DT38" s="192" t="n"/>
      <c r="DU38" s="192" t="n"/>
      <c r="DV38" s="192" t="n"/>
      <c r="DW38" s="192" t="n"/>
      <c r="DX38" s="192" t="n"/>
      <c r="DY38" s="192" t="n"/>
      <c r="DZ38" s="192" t="n"/>
      <c r="EA38" s="192" t="n"/>
      <c r="EB38" s="192" t="n"/>
      <c r="EC38" s="192" t="n"/>
      <c r="ED38" s="192" t="n"/>
      <c r="EE38" s="192" t="n"/>
      <c r="EF38" s="192" t="n"/>
      <c r="EG38" s="192" t="n"/>
      <c r="EH38" s="192" t="n"/>
      <c r="EI38" s="192" t="n"/>
      <c r="EJ38" s="192" t="n"/>
      <c r="EK38" s="192" t="n"/>
      <c r="EL38" s="192" t="n"/>
      <c r="EM38" s="192" t="n"/>
      <c r="EN38" s="192" t="n"/>
      <c r="EO38" s="182" t="n"/>
      <c r="EP38" s="176" t="n"/>
      <c r="EQ38" s="176" t="n"/>
      <c r="ER38" s="176" t="n"/>
      <c r="ES38" s="176" t="n"/>
      <c r="ET38" s="176" t="n"/>
      <c r="EU38" s="176" t="n"/>
      <c r="EV38" s="176" t="n"/>
      <c r="EW38" s="176" t="n"/>
      <c r="EX38" s="176" t="n"/>
      <c r="EY38" s="176" t="n"/>
      <c r="EZ38" s="176" t="n"/>
      <c r="FA38" s="176" t="n"/>
      <c r="FB38" s="176" t="n"/>
      <c r="FC38" s="176" t="n"/>
      <c r="FD38" s="176" t="n"/>
      <c r="FE38" s="176" t="n"/>
      <c r="FF38" s="176" t="n"/>
      <c r="FG38" s="176" t="n"/>
      <c r="FH38" s="176" t="n"/>
      <c r="FI38" s="176" t="n"/>
      <c r="FJ38" s="176" t="n"/>
      <c r="FK38" s="176" t="n"/>
      <c r="FL38" s="176" t="n"/>
      <c r="FM38" s="176" t="n"/>
    </row>
    <row r="39" ht="15" customHeight="1" s="392">
      <c r="A39" s="176" t="n"/>
      <c r="B39" s="180" t="n"/>
      <c r="C39" s="187" t="inlineStr">
        <is>
          <t xml:space="preserve">        Total Net Interest (Income)/Expense</t>
        </is>
      </c>
      <c r="D39" s="193">
        <f>IF(COUNT(M39:EN39)&gt;0,MEDIAN(M39:EN39),"")</f>
        <v/>
      </c>
      <c r="E39" s="193">
        <f>IF(COUNT(M39:EN39)&gt;0,AVERAGE(M39:EN39),"")</f>
        <v/>
      </c>
      <c r="F39" s="193">
        <f>IF(COUNT(M39:EN39)&gt;0,MIN(M39:EN39),"")</f>
        <v/>
      </c>
      <c r="G39" s="193">
        <f>IF(COUNT(M39:EN39)&gt;0,MAX(M39:EN39),"")</f>
        <v/>
      </c>
      <c r="H39" s="193">
        <f>IF(COUNT(M39:EN39)&gt;0,QUARTILE(M39:EN39,1),"")</f>
        <v/>
      </c>
      <c r="I39" s="193">
        <f>IF(COUNT(M39:EN39)&gt;0,QUARTILE(M39:EN39,3),"")</f>
        <v/>
      </c>
      <c r="J39" s="193">
        <f>IF(COUNT(M39:EN39)&gt;1,STDEV(M39:EN39),"")</f>
        <v/>
      </c>
      <c r="K39" s="194">
        <f>IF(COUNT(M39:EN39)&gt;1,STDEV(M39:EN39)/AVERAGE(M39:EN39),"")</f>
        <v/>
      </c>
      <c r="L39" s="195" t="n"/>
      <c r="M39" s="196" t="n">
        <v>-39618</v>
      </c>
      <c r="N39" s="196" t="n">
        <v>-38813</v>
      </c>
      <c r="O39" s="196" t="n">
        <v>-49987</v>
      </c>
      <c r="P39" s="196" t="n">
        <v>-53505</v>
      </c>
      <c r="Q39" s="196" t="n">
        <v>-49839</v>
      </c>
      <c r="R39" s="196" t="n">
        <v>-42776</v>
      </c>
      <c r="S39" s="196" t="n">
        <v>-40747</v>
      </c>
      <c r="T39" s="196" t="n">
        <v>-45547</v>
      </c>
      <c r="U39" s="196" t="n">
        <v>-43494</v>
      </c>
      <c r="V39" s="196" t="n">
        <v>-36218</v>
      </c>
      <c r="W39" s="196" t="n">
        <v>-33956</v>
      </c>
      <c r="X39" s="196" t="n">
        <v>-32005</v>
      </c>
      <c r="Y39" s="196" t="n">
        <v>-29148</v>
      </c>
      <c r="Z39" s="196" t="n">
        <v>-17878</v>
      </c>
      <c r="AA39" s="196" t="n">
        <v>-14480</v>
      </c>
      <c r="AB39" s="196" t="n">
        <v>-4422</v>
      </c>
      <c r="AC39" s="196" t="n">
        <v>2656</v>
      </c>
      <c r="AD39" s="196" t="n">
        <v>4492</v>
      </c>
      <c r="AE39" s="196" t="n">
        <v>4433</v>
      </c>
      <c r="AF39" s="196" t="n">
        <v>5107</v>
      </c>
      <c r="AG39" s="196" t="n">
        <v>5020</v>
      </c>
      <c r="AH39" s="196" t="n">
        <v>5346</v>
      </c>
      <c r="AI39" s="196" t="n">
        <v>4849</v>
      </c>
      <c r="AJ39" s="196" t="n">
        <v>5032</v>
      </c>
      <c r="AK39" s="196" t="n">
        <v>4803</v>
      </c>
      <c r="AL39" s="196" t="n">
        <v>5578</v>
      </c>
      <c r="AM39" s="196" t="n">
        <v>4464</v>
      </c>
      <c r="AN39" s="196" t="n">
        <v>4026</v>
      </c>
      <c r="AO39" s="196" t="n">
        <v>4255</v>
      </c>
      <c r="AP39" s="196" t="n">
        <v>5084</v>
      </c>
      <c r="AQ39" s="196" t="n">
        <v>4555</v>
      </c>
      <c r="AR39" s="196" t="n">
        <v>3691</v>
      </c>
      <c r="AS39" s="196" t="n">
        <v>3982</v>
      </c>
      <c r="AT39" s="196" t="n">
        <v>4134</v>
      </c>
      <c r="AU39" s="196" t="n">
        <v>5561</v>
      </c>
      <c r="AV39" s="196" t="n">
        <v>5398</v>
      </c>
      <c r="AW39" s="196" t="n">
        <v>5485</v>
      </c>
      <c r="AX39" s="196" t="n">
        <v>5506</v>
      </c>
      <c r="AY39" s="196" t="n">
        <v>5760</v>
      </c>
      <c r="AZ39" s="196" t="n">
        <v>5622</v>
      </c>
      <c r="BA39" s="196" t="n">
        <v>6257</v>
      </c>
      <c r="BB39" s="196" t="n">
        <v>5419</v>
      </c>
      <c r="BC39" s="196" t="n">
        <v>4968</v>
      </c>
      <c r="BD39" s="196" t="n">
        <v>5513</v>
      </c>
      <c r="BE39" s="196" t="n">
        <v>5372</v>
      </c>
      <c r="BF39" s="196" t="n">
        <v>5656</v>
      </c>
      <c r="BG39" s="196" t="n">
        <v>4505</v>
      </c>
      <c r="BH39" s="196" t="n">
        <v>1771</v>
      </c>
      <c r="BI39" s="196" t="n">
        <v>2051</v>
      </c>
      <c r="BJ39" s="196" t="n">
        <v>2023</v>
      </c>
      <c r="BK39" s="196" t="n">
        <v>2066</v>
      </c>
      <c r="BL39" s="196" t="n">
        <v>2137</v>
      </c>
      <c r="BM39" s="196" t="n">
        <v>2356</v>
      </c>
      <c r="BN39" s="196" t="n">
        <v>2400</v>
      </c>
      <c r="BO39" s="196" t="n">
        <v>2397</v>
      </c>
      <c r="BP39" s="196" t="n">
        <v>2476</v>
      </c>
      <c r="BQ39" s="196" t="n">
        <v>3015</v>
      </c>
      <c r="BR39" s="196" t="n">
        <v>2930</v>
      </c>
      <c r="BS39" s="196" t="n">
        <v>2914</v>
      </c>
      <c r="BT39" s="196" t="n">
        <v>2125</v>
      </c>
      <c r="BU39" s="196" t="n">
        <v>1693</v>
      </c>
      <c r="BV39" s="196" t="n">
        <v>1673</v>
      </c>
      <c r="BW39" s="196" t="n">
        <v>284</v>
      </c>
      <c r="BX39" s="196" t="n">
        <v>-65</v>
      </c>
      <c r="BY39" s="196" t="n">
        <v>-30</v>
      </c>
      <c r="BZ39" s="196" t="n">
        <v>13</v>
      </c>
      <c r="CA39" s="196" t="n">
        <v>-42</v>
      </c>
      <c r="CB39" s="196" t="n">
        <v>71</v>
      </c>
      <c r="CC39" s="196" t="n">
        <v>51</v>
      </c>
      <c r="CD39" s="196" t="n">
        <v>-480</v>
      </c>
      <c r="CE39" s="196" t="n">
        <v>-407</v>
      </c>
      <c r="CF39" s="196" t="n"/>
      <c r="CG39" s="196" t="n"/>
      <c r="CH39" s="196" t="n"/>
      <c r="CI39" s="196" t="n"/>
      <c r="CJ39" s="196" t="n"/>
      <c r="CK39" s="196" t="n"/>
      <c r="CL39" s="196" t="n"/>
      <c r="CM39" s="196" t="n"/>
      <c r="CN39" s="196" t="n"/>
      <c r="CO39" s="196" t="n"/>
      <c r="CP39" s="196" t="n"/>
      <c r="CQ39" s="196" t="n"/>
      <c r="CR39" s="196" t="n"/>
      <c r="CS39" s="196" t="n"/>
      <c r="CT39" s="196" t="n"/>
      <c r="CU39" s="196" t="n"/>
      <c r="CV39" s="196" t="n"/>
      <c r="CW39" s="196" t="n"/>
      <c r="CX39" s="196" t="n"/>
      <c r="CY39" s="196" t="n"/>
      <c r="CZ39" s="196" t="n"/>
      <c r="DA39" s="196" t="n"/>
      <c r="DB39" s="196" t="n"/>
      <c r="DC39" s="196" t="n"/>
      <c r="DD39" s="196" t="n"/>
      <c r="DE39" s="196" t="n"/>
      <c r="DF39" s="196" t="n"/>
      <c r="DG39" s="196" t="n"/>
      <c r="DH39" s="196" t="n"/>
      <c r="DI39" s="196" t="n"/>
      <c r="DJ39" s="196" t="n"/>
      <c r="DK39" s="196" t="n"/>
      <c r="DL39" s="196" t="n"/>
      <c r="DM39" s="196" t="n"/>
      <c r="DN39" s="196" t="n"/>
      <c r="DO39" s="196" t="n"/>
      <c r="DP39" s="196" t="n"/>
      <c r="DQ39" s="196" t="n"/>
      <c r="DR39" s="196" t="n"/>
      <c r="DS39" s="196" t="n"/>
      <c r="DT39" s="196" t="n"/>
      <c r="DU39" s="196" t="n"/>
      <c r="DV39" s="196" t="n"/>
      <c r="DW39" s="196" t="n"/>
      <c r="DX39" s="196" t="n"/>
      <c r="DY39" s="196" t="n"/>
      <c r="DZ39" s="196" t="n"/>
      <c r="EA39" s="196" t="n"/>
      <c r="EB39" s="196" t="n"/>
      <c r="EC39" s="196" t="n"/>
      <c r="ED39" s="196" t="n"/>
      <c r="EE39" s="196" t="n"/>
      <c r="EF39" s="196" t="n"/>
      <c r="EG39" s="196" t="n"/>
      <c r="EH39" s="196" t="n"/>
      <c r="EI39" s="196" t="n"/>
      <c r="EJ39" s="196" t="n"/>
      <c r="EK39" s="196" t="n"/>
      <c r="EL39" s="196" t="n"/>
      <c r="EM39" s="196" t="n"/>
      <c r="EN39" s="196" t="n"/>
      <c r="EO39" s="182" t="n"/>
      <c r="EP39" s="176" t="n"/>
      <c r="EQ39" s="176" t="n"/>
      <c r="ER39" s="176" t="n"/>
      <c r="ES39" s="176" t="n"/>
      <c r="ET39" s="176" t="n"/>
      <c r="EU39" s="176" t="n"/>
      <c r="EV39" s="176" t="n"/>
      <c r="EW39" s="176" t="n"/>
      <c r="EX39" s="176" t="n"/>
      <c r="EY39" s="176" t="n"/>
      <c r="EZ39" s="176" t="n"/>
      <c r="FA39" s="176" t="n"/>
      <c r="FB39" s="176" t="n"/>
      <c r="FC39" s="176" t="n"/>
      <c r="FD39" s="176" t="n"/>
      <c r="FE39" s="176" t="n"/>
      <c r="FF39" s="176" t="n"/>
      <c r="FG39" s="176" t="n"/>
      <c r="FH39" s="176" t="n"/>
      <c r="FI39" s="176" t="n"/>
      <c r="FJ39" s="176" t="n"/>
      <c r="FK39" s="176" t="n"/>
      <c r="FL39" s="176" t="n"/>
      <c r="FM39" s="176" t="n"/>
    </row>
    <row r="40" ht="15" customHeight="1" s="392">
      <c r="A40" s="176" t="n"/>
      <c r="B40" s="180" t="n"/>
      <c r="C40" s="187" t="inlineStr">
        <is>
          <t xml:space="preserve">    Total Net Finance (Income)/Expense</t>
        </is>
      </c>
      <c r="D40" s="193">
        <f>IF(COUNT(M40:EN40)&gt;0,MEDIAN(M40:EN40),"")</f>
        <v/>
      </c>
      <c r="E40" s="193">
        <f>IF(COUNT(M40:EN40)&gt;0,AVERAGE(M40:EN40),"")</f>
        <v/>
      </c>
      <c r="F40" s="193">
        <f>IF(COUNT(M40:EN40)&gt;0,MIN(M40:EN40),"")</f>
        <v/>
      </c>
      <c r="G40" s="193">
        <f>IF(COUNT(M40:EN40)&gt;0,MAX(M40:EN40),"")</f>
        <v/>
      </c>
      <c r="H40" s="193">
        <f>IF(COUNT(M40:EN40)&gt;0,QUARTILE(M40:EN40,1),"")</f>
        <v/>
      </c>
      <c r="I40" s="193">
        <f>IF(COUNT(M40:EN40)&gt;0,QUARTILE(M40:EN40,3),"")</f>
        <v/>
      </c>
      <c r="J40" s="193">
        <f>IF(COUNT(M40:EN40)&gt;1,STDEV(M40:EN40),"")</f>
        <v/>
      </c>
      <c r="K40" s="194">
        <f>IF(COUNT(M40:EN40)&gt;1,STDEV(M40:EN40)/AVERAGE(M40:EN40),"")</f>
        <v/>
      </c>
      <c r="L40" s="195" t="n"/>
      <c r="M40" s="196" t="n">
        <v>-39618</v>
      </c>
      <c r="N40" s="196" t="n">
        <v>-38813</v>
      </c>
      <c r="O40" s="196" t="n">
        <v>-49987</v>
      </c>
      <c r="P40" s="196" t="n">
        <v>-53505</v>
      </c>
      <c r="Q40" s="196" t="n">
        <v>-49839</v>
      </c>
      <c r="R40" s="196" t="n">
        <v>-42776</v>
      </c>
      <c r="S40" s="196" t="n">
        <v>-40747</v>
      </c>
      <c r="T40" s="196" t="n">
        <v>-45547</v>
      </c>
      <c r="U40" s="196" t="n">
        <v>-43494</v>
      </c>
      <c r="V40" s="196" t="n">
        <v>-36218</v>
      </c>
      <c r="W40" s="196" t="n">
        <v>-33956</v>
      </c>
      <c r="X40" s="196" t="n">
        <v>-32005</v>
      </c>
      <c r="Y40" s="196" t="n">
        <v>-29148</v>
      </c>
      <c r="Z40" s="196" t="n">
        <v>-17878</v>
      </c>
      <c r="AA40" s="196" t="n">
        <v>-14480</v>
      </c>
      <c r="AB40" s="196" t="n">
        <v>-4422</v>
      </c>
      <c r="AC40" s="196" t="n">
        <v>2656</v>
      </c>
      <c r="AD40" s="196" t="n">
        <v>4492</v>
      </c>
      <c r="AE40" s="196" t="n">
        <v>4433</v>
      </c>
      <c r="AF40" s="196" t="n">
        <v>5107</v>
      </c>
      <c r="AG40" s="196" t="n">
        <v>5020</v>
      </c>
      <c r="AH40" s="196" t="n">
        <v>5346</v>
      </c>
      <c r="AI40" s="196" t="n">
        <v>4849</v>
      </c>
      <c r="AJ40" s="196" t="n">
        <v>5032</v>
      </c>
      <c r="AK40" s="196" t="n">
        <v>4803</v>
      </c>
      <c r="AL40" s="196" t="n">
        <v>5578</v>
      </c>
      <c r="AM40" s="196" t="n">
        <v>4464</v>
      </c>
      <c r="AN40" s="196" t="n">
        <v>4026</v>
      </c>
      <c r="AO40" s="196" t="n">
        <v>4255</v>
      </c>
      <c r="AP40" s="196" t="n">
        <v>5084</v>
      </c>
      <c r="AQ40" s="196" t="n">
        <v>4555</v>
      </c>
      <c r="AR40" s="196" t="n">
        <v>3691</v>
      </c>
      <c r="AS40" s="196" t="n">
        <v>3982</v>
      </c>
      <c r="AT40" s="196" t="n">
        <v>4134</v>
      </c>
      <c r="AU40" s="196" t="n">
        <v>5561</v>
      </c>
      <c r="AV40" s="196" t="n">
        <v>5398</v>
      </c>
      <c r="AW40" s="196" t="n">
        <v>5485</v>
      </c>
      <c r="AX40" s="196" t="n">
        <v>5506</v>
      </c>
      <c r="AY40" s="196" t="n">
        <v>5760</v>
      </c>
      <c r="AZ40" s="196" t="n">
        <v>5622</v>
      </c>
      <c r="BA40" s="196" t="n">
        <v>6257</v>
      </c>
      <c r="BB40" s="196" t="n">
        <v>5419</v>
      </c>
      <c r="BC40" s="196" t="n">
        <v>4968</v>
      </c>
      <c r="BD40" s="196" t="n">
        <v>5513</v>
      </c>
      <c r="BE40" s="196" t="n">
        <v>5372</v>
      </c>
      <c r="BF40" s="196" t="n">
        <v>5656</v>
      </c>
      <c r="BG40" s="196" t="n">
        <v>4505</v>
      </c>
      <c r="BH40" s="196" t="n">
        <v>1771</v>
      </c>
      <c r="BI40" s="196" t="n">
        <v>2051</v>
      </c>
      <c r="BJ40" s="196" t="n">
        <v>2023</v>
      </c>
      <c r="BK40" s="196" t="n">
        <v>2066</v>
      </c>
      <c r="BL40" s="196" t="n">
        <v>2137</v>
      </c>
      <c r="BM40" s="196" t="n">
        <v>2356</v>
      </c>
      <c r="BN40" s="196" t="n">
        <v>2400</v>
      </c>
      <c r="BO40" s="196" t="n">
        <v>2397</v>
      </c>
      <c r="BP40" s="196" t="n">
        <v>2476</v>
      </c>
      <c r="BQ40" s="196" t="n">
        <v>3015</v>
      </c>
      <c r="BR40" s="196" t="n">
        <v>2930</v>
      </c>
      <c r="BS40" s="196" t="n">
        <v>2914</v>
      </c>
      <c r="BT40" s="196" t="n">
        <v>2125</v>
      </c>
      <c r="BU40" s="196" t="n">
        <v>1693</v>
      </c>
      <c r="BV40" s="196" t="n">
        <v>1673</v>
      </c>
      <c r="BW40" s="196" t="n">
        <v>284</v>
      </c>
      <c r="BX40" s="196" t="n">
        <v>-65</v>
      </c>
      <c r="BY40" s="196" t="n">
        <v>-30</v>
      </c>
      <c r="BZ40" s="196" t="n">
        <v>13</v>
      </c>
      <c r="CA40" s="196" t="n">
        <v>-42</v>
      </c>
      <c r="CB40" s="196" t="n">
        <v>71</v>
      </c>
      <c r="CC40" s="196" t="n">
        <v>51</v>
      </c>
      <c r="CD40" s="196" t="n">
        <v>-480</v>
      </c>
      <c r="CE40" s="196" t="n">
        <v>-407</v>
      </c>
      <c r="CF40" s="196" t="n"/>
      <c r="CG40" s="196" t="n"/>
      <c r="CH40" s="196" t="n"/>
      <c r="CI40" s="196" t="n"/>
      <c r="CJ40" s="196" t="n"/>
      <c r="CK40" s="196" t="n"/>
      <c r="CL40" s="196" t="n"/>
      <c r="CM40" s="196" t="n"/>
      <c r="CN40" s="196" t="n"/>
      <c r="CO40" s="196" t="n"/>
      <c r="CP40" s="196" t="n"/>
      <c r="CQ40" s="196" t="n"/>
      <c r="CR40" s="196" t="n"/>
      <c r="CS40" s="196" t="n"/>
      <c r="CT40" s="196" t="n"/>
      <c r="CU40" s="196" t="n"/>
      <c r="CV40" s="196" t="n"/>
      <c r="CW40" s="196" t="n"/>
      <c r="CX40" s="196" t="n"/>
      <c r="CY40" s="196" t="n"/>
      <c r="CZ40" s="196" t="n"/>
      <c r="DA40" s="196" t="n"/>
      <c r="DB40" s="196" t="n"/>
      <c r="DC40" s="196" t="n"/>
      <c r="DD40" s="196" t="n"/>
      <c r="DE40" s="196" t="n"/>
      <c r="DF40" s="196" t="n"/>
      <c r="DG40" s="196" t="n"/>
      <c r="DH40" s="196" t="n"/>
      <c r="DI40" s="196" t="n"/>
      <c r="DJ40" s="196" t="n"/>
      <c r="DK40" s="196" t="n"/>
      <c r="DL40" s="196" t="n"/>
      <c r="DM40" s="196" t="n"/>
      <c r="DN40" s="196" t="n"/>
      <c r="DO40" s="196" t="n"/>
      <c r="DP40" s="196" t="n"/>
      <c r="DQ40" s="196" t="n"/>
      <c r="DR40" s="196" t="n"/>
      <c r="DS40" s="196" t="n"/>
      <c r="DT40" s="196" t="n"/>
      <c r="DU40" s="196" t="n"/>
      <c r="DV40" s="196" t="n"/>
      <c r="DW40" s="196" t="n"/>
      <c r="DX40" s="196" t="n"/>
      <c r="DY40" s="196" t="n"/>
      <c r="DZ40" s="196" t="n"/>
      <c r="EA40" s="196" t="n"/>
      <c r="EB40" s="196" t="n"/>
      <c r="EC40" s="196" t="n"/>
      <c r="ED40" s="196" t="n"/>
      <c r="EE40" s="196" t="n"/>
      <c r="EF40" s="196" t="n"/>
      <c r="EG40" s="196" t="n"/>
      <c r="EH40" s="196" t="n"/>
      <c r="EI40" s="196" t="n"/>
      <c r="EJ40" s="196" t="n"/>
      <c r="EK40" s="196" t="n"/>
      <c r="EL40" s="196" t="n"/>
      <c r="EM40" s="196" t="n"/>
      <c r="EN40" s="196" t="n"/>
      <c r="EO40" s="182" t="n"/>
      <c r="EP40" s="176" t="n"/>
      <c r="EQ40" s="176" t="n"/>
      <c r="ER40" s="176" t="n"/>
      <c r="ES40" s="176" t="n"/>
      <c r="ET40" s="176" t="n"/>
      <c r="EU40" s="176" t="n"/>
      <c r="EV40" s="176" t="n"/>
      <c r="EW40" s="176" t="n"/>
      <c r="EX40" s="176" t="n"/>
      <c r="EY40" s="176" t="n"/>
      <c r="EZ40" s="176" t="n"/>
      <c r="FA40" s="176" t="n"/>
      <c r="FB40" s="176" t="n"/>
      <c r="FC40" s="176" t="n"/>
      <c r="FD40" s="176" t="n"/>
      <c r="FE40" s="176" t="n"/>
      <c r="FF40" s="176" t="n"/>
      <c r="FG40" s="176" t="n"/>
      <c r="FH40" s="176" t="n"/>
      <c r="FI40" s="176" t="n"/>
      <c r="FJ40" s="176" t="n"/>
      <c r="FK40" s="176" t="n"/>
      <c r="FL40" s="176" t="n"/>
      <c r="FM40" s="176" t="n"/>
    </row>
    <row r="41" ht="15" customHeight="1" s="392">
      <c r="A41" s="176" t="n"/>
      <c r="B41" s="180" t="n"/>
      <c r="C41" s="183" t="inlineStr">
        <is>
          <t xml:space="preserve">    Net Investment Income</t>
        </is>
      </c>
      <c r="D41" s="185" t="n"/>
      <c r="E41" s="185" t="n"/>
      <c r="F41" s="185" t="n"/>
      <c r="G41" s="185" t="n"/>
      <c r="H41" s="185" t="n"/>
      <c r="I41" s="185" t="n"/>
      <c r="J41" s="185" t="n"/>
      <c r="K41" s="185" t="n"/>
      <c r="EO41" s="182" t="n"/>
      <c r="EP41" s="176" t="n"/>
      <c r="EQ41" s="176" t="n"/>
      <c r="ER41" s="176" t="n"/>
      <c r="ES41" s="176" t="n"/>
      <c r="ET41" s="176" t="n"/>
      <c r="EU41" s="176" t="n"/>
      <c r="EV41" s="176" t="n"/>
      <c r="EW41" s="176" t="n"/>
      <c r="EX41" s="176" t="n"/>
      <c r="EY41" s="176" t="n"/>
      <c r="EZ41" s="176" t="n"/>
      <c r="FA41" s="176" t="n"/>
      <c r="FB41" s="176" t="n"/>
      <c r="FC41" s="176" t="n"/>
      <c r="FD41" s="176" t="n"/>
      <c r="FE41" s="176" t="n"/>
      <c r="FF41" s="176" t="n"/>
      <c r="FG41" s="176" t="n"/>
      <c r="FH41" s="176" t="n"/>
      <c r="FI41" s="176" t="n"/>
      <c r="FJ41" s="176" t="n"/>
      <c r="FK41" s="176" t="n"/>
      <c r="FL41" s="176" t="n"/>
      <c r="FM41" s="176" t="n"/>
    </row>
    <row r="42" ht="15" customHeight="1" s="392">
      <c r="A42" s="176" t="n"/>
      <c r="B42" s="180" t="n"/>
      <c r="C42" s="183" t="inlineStr">
        <is>
          <t xml:space="preserve">        Income from Associates, Joint Ventures and Other Participating Interests</t>
        </is>
      </c>
      <c r="D42" s="190">
        <f>IF(COUNT(M42:EN42)&gt;0,MEDIAN(M42:EN42),"")</f>
        <v/>
      </c>
      <c r="E42" s="190">
        <f>IF(COUNT(M42:EN42)&gt;0,AVERAGE(M42:EN42),"")</f>
        <v/>
      </c>
      <c r="F42" s="190">
        <f>IF(COUNT(M42:EN42)&gt;0,MIN(M42:EN42),"")</f>
        <v/>
      </c>
      <c r="G42" s="190">
        <f>IF(COUNT(M42:EN42)&gt;0,MAX(M42:EN42),"")</f>
        <v/>
      </c>
      <c r="H42" s="190">
        <f>IF(COUNT(M42:EN42)&gt;0,QUARTILE(M42:EN42,1),"")</f>
        <v/>
      </c>
      <c r="I42" s="190">
        <f>IF(COUNT(M42:EN42)&gt;0,QUARTILE(M42:EN42,3),"")</f>
        <v/>
      </c>
      <c r="J42" s="190">
        <f>IF(COUNT(M42:EN42)&gt;1,STDEV(M42:EN42),"")</f>
        <v/>
      </c>
      <c r="K42" s="191">
        <f>IF(COUNT(M42:EN42)&gt;1,STDEV(M42:EN42)/AVERAGE(M42:EN42),"")</f>
        <v/>
      </c>
      <c r="M42" s="192" t="n"/>
      <c r="N42" s="192" t="n"/>
      <c r="O42" s="192" t="n"/>
      <c r="P42" s="192" t="n"/>
      <c r="Q42" s="192" t="n"/>
      <c r="R42" s="192" t="n"/>
      <c r="S42" s="192" t="n"/>
      <c r="T42" s="192" t="n"/>
      <c r="U42" s="192" t="n"/>
      <c r="V42" s="192" t="n"/>
      <c r="W42" s="192" t="n"/>
      <c r="X42" s="192" t="n"/>
      <c r="Y42" s="192" t="n"/>
      <c r="Z42" s="192" t="n"/>
      <c r="AA42" s="192" t="n"/>
      <c r="AB42" s="192" t="n"/>
      <c r="AC42" s="192" t="n"/>
      <c r="AD42" s="192" t="n"/>
      <c r="AE42" s="192" t="n"/>
      <c r="AF42" s="192" t="n"/>
      <c r="AG42" s="192" t="n"/>
      <c r="AH42" s="192" t="n"/>
      <c r="AI42" s="192" t="n"/>
      <c r="AJ42" s="192" t="n"/>
      <c r="AK42" s="192" t="n"/>
      <c r="AL42" s="192" t="n"/>
      <c r="AM42" s="192" t="n"/>
      <c r="AN42" s="192" t="n"/>
      <c r="AO42" s="192" t="n"/>
      <c r="AP42" s="192" t="n"/>
      <c r="AQ42" s="192" t="n"/>
      <c r="AR42" s="192" t="n"/>
      <c r="AS42" s="192" t="n"/>
      <c r="AT42" s="192" t="n"/>
      <c r="AU42" s="192" t="n"/>
      <c r="AV42" s="192" t="n"/>
      <c r="AW42" s="192" t="n"/>
      <c r="AX42" s="192" t="n"/>
      <c r="AY42" s="192" t="n"/>
      <c r="AZ42" s="192" t="n"/>
      <c r="BA42" s="192" t="n"/>
      <c r="BB42" s="192" t="n"/>
      <c r="BC42" s="192" t="n"/>
      <c r="BD42" s="192" t="n"/>
      <c r="BE42" s="192" t="n"/>
      <c r="BF42" s="192" t="n"/>
      <c r="BG42" s="192" t="n"/>
      <c r="BH42" s="192" t="n"/>
      <c r="BI42" s="192" t="n"/>
      <c r="BJ42" s="192" t="n"/>
      <c r="BK42" s="192" t="n"/>
      <c r="BL42" s="192" t="n"/>
      <c r="BM42" s="192" t="n"/>
      <c r="BN42" s="192" t="n"/>
      <c r="BO42" s="192" t="n"/>
      <c r="BP42" s="192" t="n"/>
      <c r="BQ42" s="192" t="n"/>
      <c r="BR42" s="192" t="n"/>
      <c r="BS42" s="192" t="n"/>
      <c r="BT42" s="192" t="n"/>
      <c r="BU42" s="192" t="n"/>
      <c r="BV42" s="192" t="n"/>
      <c r="BW42" s="192" t="n"/>
      <c r="BX42" s="192" t="n"/>
      <c r="BY42" s="192" t="n"/>
      <c r="BZ42" s="192" t="n"/>
      <c r="CA42" s="192" t="n"/>
      <c r="CB42" s="192" t="n"/>
      <c r="CC42" s="192" t="n"/>
      <c r="CD42" s="192" t="n"/>
      <c r="CE42" s="192" t="n"/>
      <c r="CF42" s="192" t="n"/>
      <c r="CG42" s="192" t="n"/>
      <c r="CH42" s="192" t="n"/>
      <c r="CI42" s="192" t="n"/>
      <c r="CJ42" s="192" t="n"/>
      <c r="CK42" s="192" t="n">
        <v>0</v>
      </c>
      <c r="CL42" s="192" t="n"/>
      <c r="CM42" s="192" t="n"/>
      <c r="CN42" s="192" t="n">
        <v>-2216</v>
      </c>
      <c r="CO42" s="192" t="n">
        <v>-4356</v>
      </c>
      <c r="CP42" s="192" t="n">
        <v>-1578</v>
      </c>
      <c r="CQ42" s="192" t="n">
        <v>-849</v>
      </c>
      <c r="CR42" s="192" t="n"/>
      <c r="CS42" s="192" t="n"/>
      <c r="CT42" s="192" t="n"/>
      <c r="CU42" s="192" t="n"/>
      <c r="CV42" s="192" t="n"/>
      <c r="CW42" s="192" t="n"/>
      <c r="CX42" s="192" t="n"/>
      <c r="CY42" s="192" t="n"/>
      <c r="CZ42" s="192" t="n"/>
      <c r="DA42" s="192" t="n"/>
      <c r="DB42" s="192" t="n"/>
      <c r="DC42" s="192" t="n"/>
      <c r="DD42" s="192" t="n"/>
      <c r="DE42" s="192" t="n"/>
      <c r="DF42" s="192" t="n"/>
      <c r="DG42" s="192" t="n"/>
      <c r="DH42" s="192" t="n"/>
      <c r="DI42" s="192" t="n"/>
      <c r="DJ42" s="192" t="n"/>
      <c r="DK42" s="192" t="n"/>
      <c r="DL42" s="192" t="n"/>
      <c r="DM42" s="192" t="n"/>
      <c r="DN42" s="192" t="n"/>
      <c r="DO42" s="192" t="n"/>
      <c r="DP42" s="192" t="n"/>
      <c r="DQ42" s="192" t="n"/>
      <c r="DR42" s="192" t="n"/>
      <c r="DS42" s="192" t="n"/>
      <c r="DT42" s="192" t="n"/>
      <c r="DU42" s="192" t="n"/>
      <c r="DV42" s="192" t="n"/>
      <c r="DW42" s="192" t="n"/>
      <c r="DX42" s="192" t="n"/>
      <c r="DY42" s="192" t="n"/>
      <c r="DZ42" s="192" t="n"/>
      <c r="EA42" s="192" t="n"/>
      <c r="EB42" s="192" t="n"/>
      <c r="EC42" s="192" t="n"/>
      <c r="ED42" s="192" t="n"/>
      <c r="EE42" s="192" t="n"/>
      <c r="EF42" s="192" t="n"/>
      <c r="EG42" s="192" t="n"/>
      <c r="EH42" s="192" t="n"/>
      <c r="EI42" s="192" t="n"/>
      <c r="EJ42" s="192" t="n"/>
      <c r="EK42" s="192" t="n"/>
      <c r="EL42" s="192" t="n"/>
      <c r="EM42" s="192" t="n"/>
      <c r="EN42" s="192" t="n"/>
      <c r="EO42" s="182" t="n"/>
      <c r="EP42" s="176" t="n"/>
      <c r="EQ42" s="176" t="n"/>
      <c r="ER42" s="176" t="n"/>
      <c r="ES42" s="176" t="n"/>
      <c r="ET42" s="176" t="n"/>
      <c r="EU42" s="176" t="n"/>
      <c r="EV42" s="176" t="n"/>
      <c r="EW42" s="176" t="n"/>
      <c r="EX42" s="176" t="n"/>
      <c r="EY42" s="176" t="n"/>
      <c r="EZ42" s="176" t="n"/>
      <c r="FA42" s="176" t="n"/>
      <c r="FB42" s="176" t="n"/>
      <c r="FC42" s="176" t="n"/>
      <c r="FD42" s="176" t="n"/>
      <c r="FE42" s="176" t="n"/>
      <c r="FF42" s="176" t="n"/>
      <c r="FG42" s="176" t="n"/>
      <c r="FH42" s="176" t="n"/>
      <c r="FI42" s="176" t="n"/>
      <c r="FJ42" s="176" t="n"/>
      <c r="FK42" s="176" t="n"/>
      <c r="FL42" s="176" t="n"/>
      <c r="FM42" s="176" t="n"/>
    </row>
    <row r="43" ht="15" customHeight="1" s="392">
      <c r="A43" s="176" t="n"/>
      <c r="B43" s="180" t="n"/>
      <c r="C43" s="187" t="inlineStr">
        <is>
          <t xml:space="preserve">    Total Net Investment Income</t>
        </is>
      </c>
      <c r="D43" s="193">
        <f>IF(COUNT(M43:EN43)&gt;0,MEDIAN(M43:EN43),"")</f>
        <v/>
      </c>
      <c r="E43" s="193">
        <f>IF(COUNT(M43:EN43)&gt;0,AVERAGE(M43:EN43),"")</f>
        <v/>
      </c>
      <c r="F43" s="193">
        <f>IF(COUNT(M43:EN43)&gt;0,MIN(M43:EN43),"")</f>
        <v/>
      </c>
      <c r="G43" s="193">
        <f>IF(COUNT(M43:EN43)&gt;0,MAX(M43:EN43),"")</f>
        <v/>
      </c>
      <c r="H43" s="193">
        <f>IF(COUNT(M43:EN43)&gt;0,QUARTILE(M43:EN43,1),"")</f>
        <v/>
      </c>
      <c r="I43" s="193">
        <f>IF(COUNT(M43:EN43)&gt;0,QUARTILE(M43:EN43,3),"")</f>
        <v/>
      </c>
      <c r="J43" s="193">
        <f>IF(COUNT(M43:EN43)&gt;1,STDEV(M43:EN43),"")</f>
        <v/>
      </c>
      <c r="K43" s="194">
        <f>IF(COUNT(M43:EN43)&gt;1,STDEV(M43:EN43)/AVERAGE(M43:EN43),"")</f>
        <v/>
      </c>
      <c r="L43" s="195" t="n"/>
      <c r="M43" s="196" t="n"/>
      <c r="N43" s="196" t="n"/>
      <c r="O43" s="196" t="n"/>
      <c r="P43" s="196" t="n"/>
      <c r="Q43" s="196" t="n"/>
      <c r="R43" s="196" t="n"/>
      <c r="S43" s="196" t="n"/>
      <c r="T43" s="196" t="n"/>
      <c r="U43" s="196" t="n"/>
      <c r="V43" s="196" t="n"/>
      <c r="W43" s="196" t="n"/>
      <c r="X43" s="196" t="n"/>
      <c r="Y43" s="196" t="n"/>
      <c r="Z43" s="196" t="n"/>
      <c r="AA43" s="196" t="n"/>
      <c r="AB43" s="196" t="n"/>
      <c r="AC43" s="196" t="n"/>
      <c r="AD43" s="196" t="n"/>
      <c r="AE43" s="196" t="n"/>
      <c r="AF43" s="196" t="n"/>
      <c r="AG43" s="196" t="n"/>
      <c r="AH43" s="196" t="n"/>
      <c r="AI43" s="196" t="n"/>
      <c r="AJ43" s="196" t="n"/>
      <c r="AK43" s="196" t="n"/>
      <c r="AL43" s="196" t="n"/>
      <c r="AM43" s="196" t="n"/>
      <c r="AN43" s="196" t="n"/>
      <c r="AO43" s="196" t="n"/>
      <c r="AP43" s="196" t="n"/>
      <c r="AQ43" s="196" t="n"/>
      <c r="AR43" s="196" t="n"/>
      <c r="AS43" s="196" t="n"/>
      <c r="AT43" s="196" t="n"/>
      <c r="AU43" s="196" t="n"/>
      <c r="AV43" s="196" t="n"/>
      <c r="AW43" s="196" t="n"/>
      <c r="AX43" s="196" t="n"/>
      <c r="AY43" s="196" t="n"/>
      <c r="AZ43" s="196" t="n"/>
      <c r="BA43" s="196" t="n"/>
      <c r="BB43" s="196" t="n"/>
      <c r="BC43" s="196" t="n"/>
      <c r="BD43" s="196" t="n"/>
      <c r="BE43" s="196" t="n"/>
      <c r="BF43" s="196" t="n"/>
      <c r="BG43" s="196" t="n"/>
      <c r="BH43" s="196" t="n"/>
      <c r="BI43" s="196" t="n"/>
      <c r="BJ43" s="196" t="n"/>
      <c r="BK43" s="196" t="n"/>
      <c r="BL43" s="196" t="n"/>
      <c r="BM43" s="196" t="n"/>
      <c r="BN43" s="196" t="n"/>
      <c r="BO43" s="196" t="n"/>
      <c r="BP43" s="196" t="n"/>
      <c r="BQ43" s="196" t="n"/>
      <c r="BR43" s="196" t="n"/>
      <c r="BS43" s="196" t="n"/>
      <c r="BT43" s="196" t="n"/>
      <c r="BU43" s="196" t="n"/>
      <c r="BV43" s="196" t="n"/>
      <c r="BW43" s="196" t="n"/>
      <c r="BX43" s="196" t="n"/>
      <c r="BY43" s="196" t="n"/>
      <c r="BZ43" s="196" t="n"/>
      <c r="CA43" s="196" t="n"/>
      <c r="CB43" s="196" t="n"/>
      <c r="CC43" s="196" t="n"/>
      <c r="CD43" s="196" t="n"/>
      <c r="CE43" s="196" t="n"/>
      <c r="CF43" s="196" t="n"/>
      <c r="CG43" s="196" t="n"/>
      <c r="CH43" s="196" t="n"/>
      <c r="CI43" s="196" t="n"/>
      <c r="CJ43" s="196" t="n"/>
      <c r="CK43" s="196" t="n">
        <v>0</v>
      </c>
      <c r="CL43" s="196" t="n"/>
      <c r="CM43" s="196" t="n"/>
      <c r="CN43" s="196" t="n">
        <v>-2216</v>
      </c>
      <c r="CO43" s="196" t="n">
        <v>-4356</v>
      </c>
      <c r="CP43" s="196" t="n">
        <v>-1578</v>
      </c>
      <c r="CQ43" s="196" t="n">
        <v>-849</v>
      </c>
      <c r="CR43" s="196" t="n"/>
      <c r="CS43" s="196" t="n"/>
      <c r="CT43" s="196" t="n"/>
      <c r="CU43" s="196" t="n"/>
      <c r="CV43" s="196" t="n"/>
      <c r="CW43" s="196" t="n"/>
      <c r="CX43" s="196" t="n"/>
      <c r="CY43" s="196" t="n"/>
      <c r="CZ43" s="196" t="n"/>
      <c r="DA43" s="196" t="n"/>
      <c r="DB43" s="196" t="n"/>
      <c r="DC43" s="196" t="n"/>
      <c r="DD43" s="196" t="n"/>
      <c r="DE43" s="196" t="n"/>
      <c r="DF43" s="196" t="n"/>
      <c r="DG43" s="196" t="n"/>
      <c r="DH43" s="196" t="n"/>
      <c r="DI43" s="196" t="n"/>
      <c r="DJ43" s="196" t="n"/>
      <c r="DK43" s="196" t="n"/>
      <c r="DL43" s="196" t="n"/>
      <c r="DM43" s="196" t="n"/>
      <c r="DN43" s="196" t="n"/>
      <c r="DO43" s="196" t="n"/>
      <c r="DP43" s="196" t="n"/>
      <c r="DQ43" s="196" t="n"/>
      <c r="DR43" s="196" t="n"/>
      <c r="DS43" s="196" t="n"/>
      <c r="DT43" s="196" t="n"/>
      <c r="DU43" s="196" t="n"/>
      <c r="DV43" s="196" t="n"/>
      <c r="DW43" s="196" t="n"/>
      <c r="DX43" s="196" t="n"/>
      <c r="DY43" s="196" t="n"/>
      <c r="DZ43" s="196" t="n"/>
      <c r="EA43" s="196" t="n"/>
      <c r="EB43" s="196" t="n"/>
      <c r="EC43" s="196" t="n"/>
      <c r="ED43" s="196" t="n"/>
      <c r="EE43" s="196" t="n"/>
      <c r="EF43" s="196" t="n"/>
      <c r="EG43" s="196" t="n"/>
      <c r="EH43" s="196" t="n"/>
      <c r="EI43" s="196" t="n"/>
      <c r="EJ43" s="196" t="n"/>
      <c r="EK43" s="196" t="n"/>
      <c r="EL43" s="196" t="n"/>
      <c r="EM43" s="196" t="n"/>
      <c r="EN43" s="196" t="n"/>
      <c r="EO43" s="182" t="n"/>
      <c r="EP43" s="176" t="n"/>
      <c r="EQ43" s="176" t="n"/>
      <c r="ER43" s="176" t="n"/>
      <c r="ES43" s="176" t="n"/>
      <c r="ET43" s="176" t="n"/>
      <c r="EU43" s="176" t="n"/>
      <c r="EV43" s="176" t="n"/>
      <c r="EW43" s="176" t="n"/>
      <c r="EX43" s="176" t="n"/>
      <c r="EY43" s="176" t="n"/>
      <c r="EZ43" s="176" t="n"/>
      <c r="FA43" s="176" t="n"/>
      <c r="FB43" s="176" t="n"/>
      <c r="FC43" s="176" t="n"/>
      <c r="FD43" s="176" t="n"/>
      <c r="FE43" s="176" t="n"/>
      <c r="FF43" s="176" t="n"/>
      <c r="FG43" s="176" t="n"/>
      <c r="FH43" s="176" t="n"/>
      <c r="FI43" s="176" t="n"/>
      <c r="FJ43" s="176" t="n"/>
      <c r="FK43" s="176" t="n"/>
      <c r="FL43" s="176" t="n"/>
      <c r="FM43" s="176" t="n"/>
    </row>
    <row r="44" ht="15" customHeight="1" s="392">
      <c r="A44" s="176" t="n"/>
      <c r="B44" s="180" t="n"/>
      <c r="C44" s="183" t="inlineStr">
        <is>
          <t xml:space="preserve">    Irregular (Income)/Expenses</t>
        </is>
      </c>
      <c r="D44" s="185" t="n"/>
      <c r="E44" s="185" t="n"/>
      <c r="F44" s="185" t="n"/>
      <c r="G44" s="185" t="n"/>
      <c r="H44" s="185" t="n"/>
      <c r="I44" s="185" t="n"/>
      <c r="J44" s="185" t="n"/>
      <c r="K44" s="185" t="n"/>
      <c r="EO44" s="182" t="n"/>
      <c r="EP44" s="176" t="n"/>
      <c r="EQ44" s="176" t="n"/>
      <c r="ER44" s="176" t="n"/>
      <c r="ES44" s="176" t="n"/>
      <c r="ET44" s="176" t="n"/>
      <c r="EU44" s="176" t="n"/>
      <c r="EV44" s="176" t="n"/>
      <c r="EW44" s="176" t="n"/>
      <c r="EX44" s="176" t="n"/>
      <c r="EY44" s="176" t="n"/>
      <c r="EZ44" s="176" t="n"/>
      <c r="FA44" s="176" t="n"/>
      <c r="FB44" s="176" t="n"/>
      <c r="FC44" s="176" t="n"/>
      <c r="FD44" s="176" t="n"/>
      <c r="FE44" s="176" t="n"/>
      <c r="FF44" s="176" t="n"/>
      <c r="FG44" s="176" t="n"/>
      <c r="FH44" s="176" t="n"/>
      <c r="FI44" s="176" t="n"/>
      <c r="FJ44" s="176" t="n"/>
      <c r="FK44" s="176" t="n"/>
      <c r="FL44" s="176" t="n"/>
      <c r="FM44" s="176" t="n"/>
    </row>
    <row r="45" ht="15" customHeight="1" s="392">
      <c r="A45" s="176" t="n"/>
      <c r="B45" s="180" t="n"/>
      <c r="C45" s="183" t="inlineStr">
        <is>
          <t xml:space="preserve">        Impairment/Write Off/Write Down of Capital Assets</t>
        </is>
      </c>
      <c r="D45" s="190">
        <f>IF(COUNT(M45:EN45)&gt;0,MEDIAN(M45:EN45),"")</f>
        <v/>
      </c>
      <c r="E45" s="190">
        <f>IF(COUNT(M45:EN45)&gt;0,AVERAGE(M45:EN45),"")</f>
        <v/>
      </c>
      <c r="F45" s="190">
        <f>IF(COUNT(M45:EN45)&gt;0,MIN(M45:EN45),"")</f>
        <v/>
      </c>
      <c r="G45" s="190">
        <f>IF(COUNT(M45:EN45)&gt;0,MAX(M45:EN45),"")</f>
        <v/>
      </c>
      <c r="H45" s="190">
        <f>IF(COUNT(M45:EN45)&gt;0,QUARTILE(M45:EN45,1),"")</f>
        <v/>
      </c>
      <c r="I45" s="190">
        <f>IF(COUNT(M45:EN45)&gt;0,QUARTILE(M45:EN45,3),"")</f>
        <v/>
      </c>
      <c r="J45" s="190">
        <f>IF(COUNT(M45:EN45)&gt;1,STDEV(M45:EN45),"")</f>
        <v/>
      </c>
      <c r="K45" s="191">
        <f>IF(COUNT(M45:EN45)&gt;1,STDEV(M45:EN45)/AVERAGE(M45:EN45),"")</f>
        <v/>
      </c>
      <c r="M45" s="192" t="n"/>
      <c r="N45" s="192" t="n"/>
      <c r="O45" s="192" t="n"/>
      <c r="P45" s="192" t="n"/>
      <c r="Q45" s="192" t="n"/>
      <c r="R45" s="192" t="n"/>
      <c r="S45" s="192" t="n"/>
      <c r="T45" s="192" t="n"/>
      <c r="U45" s="192" t="n"/>
      <c r="V45" s="192" t="n"/>
      <c r="W45" s="192" t="n"/>
      <c r="X45" s="192" t="n"/>
      <c r="Y45" s="192" t="n"/>
      <c r="Z45" s="192" t="n"/>
      <c r="AA45" s="192" t="n"/>
      <c r="AB45" s="192" t="n"/>
      <c r="AC45" s="192" t="n"/>
      <c r="AD45" s="192" t="n"/>
      <c r="AE45" s="192" t="n"/>
      <c r="AF45" s="192" t="n"/>
      <c r="AG45" s="192" t="n"/>
      <c r="AH45" s="192" t="n"/>
      <c r="AI45" s="192" t="n"/>
      <c r="AJ45" s="192" t="n"/>
      <c r="AK45" s="192" t="n"/>
      <c r="AL45" s="192" t="n"/>
      <c r="AM45" s="192" t="n"/>
      <c r="AN45" s="192" t="n"/>
      <c r="AO45" s="192" t="n"/>
      <c r="AP45" s="192" t="n"/>
      <c r="AQ45" s="192" t="n"/>
      <c r="AR45" s="192" t="n"/>
      <c r="AS45" s="192" t="n">
        <v>1131</v>
      </c>
      <c r="AT45" s="192" t="n"/>
      <c r="AU45" s="192" t="n"/>
      <c r="AV45" s="192" t="n"/>
      <c r="AW45" s="192" t="n">
        <v>19365</v>
      </c>
      <c r="AX45" s="192" t="n"/>
      <c r="AY45" s="192" t="n"/>
      <c r="AZ45" s="192" t="n"/>
      <c r="BA45" s="192" t="n">
        <v>0</v>
      </c>
      <c r="BB45" s="192" t="n"/>
      <c r="BC45" s="192" t="n"/>
      <c r="BD45" s="192" t="n"/>
      <c r="BE45" s="192" t="n">
        <v>0</v>
      </c>
      <c r="BF45" s="192" t="n"/>
      <c r="BG45" s="192" t="n"/>
      <c r="BH45" s="192" t="n"/>
      <c r="BI45" s="192" t="n">
        <v>0</v>
      </c>
      <c r="BJ45" s="192" t="n">
        <v>29104</v>
      </c>
      <c r="BK45" s="192" t="n"/>
      <c r="BL45" s="192" t="n"/>
      <c r="BM45" s="192" t="n">
        <v>0</v>
      </c>
      <c r="BN45" s="192" t="n">
        <v>0</v>
      </c>
      <c r="BO45" s="192" t="n"/>
      <c r="BP45" s="192" t="n"/>
      <c r="BQ45" s="192" t="n">
        <v>0</v>
      </c>
      <c r="BR45" s="192" t="n">
        <v>0</v>
      </c>
      <c r="BS45" s="192" t="n">
        <v>8771</v>
      </c>
      <c r="BT45" s="192" t="n"/>
      <c r="BU45" s="192" t="n">
        <v>0</v>
      </c>
      <c r="BV45" s="192" t="n">
        <v>0</v>
      </c>
      <c r="BW45" s="192" t="n">
        <v>0</v>
      </c>
      <c r="BX45" s="192" t="n"/>
      <c r="BY45" s="192" t="n"/>
      <c r="BZ45" s="192" t="n"/>
      <c r="CA45" s="192" t="n"/>
      <c r="CB45" s="192" t="n"/>
      <c r="CC45" s="192" t="n"/>
      <c r="CD45" s="192" t="n"/>
      <c r="CE45" s="192" t="n"/>
      <c r="CF45" s="192" t="n"/>
      <c r="CG45" s="192" t="n"/>
      <c r="CH45" s="192" t="n"/>
      <c r="CI45" s="192" t="n"/>
      <c r="CJ45" s="192" t="n"/>
      <c r="CK45" s="192" t="n"/>
      <c r="CL45" s="192" t="n"/>
      <c r="CM45" s="192" t="n"/>
      <c r="CN45" s="192" t="n"/>
      <c r="CO45" s="192" t="n"/>
      <c r="CP45" s="192" t="n"/>
      <c r="CQ45" s="192" t="n"/>
      <c r="CR45" s="192" t="n"/>
      <c r="CS45" s="192" t="n"/>
      <c r="CT45" s="192" t="n"/>
      <c r="CU45" s="192" t="n"/>
      <c r="CV45" s="192" t="n"/>
      <c r="CW45" s="192" t="n"/>
      <c r="CX45" s="192" t="n"/>
      <c r="CY45" s="192" t="n"/>
      <c r="CZ45" s="192" t="n"/>
      <c r="DA45" s="192" t="n"/>
      <c r="DB45" s="192" t="n"/>
      <c r="DC45" s="192" t="n"/>
      <c r="DD45" s="192" t="n"/>
      <c r="DE45" s="192" t="n"/>
      <c r="DF45" s="192" t="n"/>
      <c r="DG45" s="192" t="n"/>
      <c r="DH45" s="192" t="n"/>
      <c r="DI45" s="192" t="n"/>
      <c r="DJ45" s="192" t="n"/>
      <c r="DK45" s="192" t="n"/>
      <c r="DL45" s="192" t="n"/>
      <c r="DM45" s="192" t="n"/>
      <c r="DN45" s="192" t="n"/>
      <c r="DO45" s="192" t="n"/>
      <c r="DP45" s="192" t="n"/>
      <c r="DQ45" s="192" t="n"/>
      <c r="DR45" s="192" t="n"/>
      <c r="DS45" s="192" t="n"/>
      <c r="DT45" s="192" t="n"/>
      <c r="DU45" s="192" t="n"/>
      <c r="DV45" s="192" t="n"/>
      <c r="DW45" s="192" t="n"/>
      <c r="DX45" s="192" t="n"/>
      <c r="DY45" s="192" t="n"/>
      <c r="DZ45" s="192" t="n"/>
      <c r="EA45" s="192" t="n"/>
      <c r="EB45" s="192" t="n"/>
      <c r="EC45" s="192" t="n"/>
      <c r="ED45" s="192" t="n"/>
      <c r="EE45" s="192" t="n"/>
      <c r="EF45" s="192" t="n"/>
      <c r="EG45" s="192" t="n"/>
      <c r="EH45" s="192" t="n"/>
      <c r="EI45" s="192" t="n"/>
      <c r="EJ45" s="192" t="n"/>
      <c r="EK45" s="192" t="n"/>
      <c r="EL45" s="192" t="n"/>
      <c r="EM45" s="192" t="n"/>
      <c r="EN45" s="192" t="n"/>
      <c r="EO45" s="182" t="n"/>
      <c r="EP45" s="176" t="n"/>
      <c r="EQ45" s="176" t="n"/>
      <c r="ER45" s="176" t="n"/>
      <c r="ES45" s="176" t="n"/>
      <c r="ET45" s="176" t="n"/>
      <c r="EU45" s="176" t="n"/>
      <c r="EV45" s="176" t="n"/>
      <c r="EW45" s="176" t="n"/>
      <c r="EX45" s="176" t="n"/>
      <c r="EY45" s="176" t="n"/>
      <c r="EZ45" s="176" t="n"/>
      <c r="FA45" s="176" t="n"/>
      <c r="FB45" s="176" t="n"/>
      <c r="FC45" s="176" t="n"/>
      <c r="FD45" s="176" t="n"/>
      <c r="FE45" s="176" t="n"/>
      <c r="FF45" s="176" t="n"/>
      <c r="FG45" s="176" t="n"/>
      <c r="FH45" s="176" t="n"/>
      <c r="FI45" s="176" t="n"/>
      <c r="FJ45" s="176" t="n"/>
      <c r="FK45" s="176" t="n"/>
      <c r="FL45" s="176" t="n"/>
      <c r="FM45" s="176" t="n"/>
    </row>
    <row r="46" ht="15" customHeight="1" s="392">
      <c r="A46" s="176" t="n"/>
      <c r="B46" s="180" t="n"/>
      <c r="C46" s="183" t="inlineStr">
        <is>
          <t xml:space="preserve">        (Gain)/Loss on Extinguishment of Debt</t>
        </is>
      </c>
      <c r="D46" s="190">
        <f>IF(COUNT(M46:EN46)&gt;0,MEDIAN(M46:EN46),"")</f>
        <v/>
      </c>
      <c r="E46" s="190">
        <f>IF(COUNT(M46:EN46)&gt;0,AVERAGE(M46:EN46),"")</f>
        <v/>
      </c>
      <c r="F46" s="190">
        <f>IF(COUNT(M46:EN46)&gt;0,MIN(M46:EN46),"")</f>
        <v/>
      </c>
      <c r="G46" s="190">
        <f>IF(COUNT(M46:EN46)&gt;0,MAX(M46:EN46),"")</f>
        <v/>
      </c>
      <c r="H46" s="190">
        <f>IF(COUNT(M46:EN46)&gt;0,QUARTILE(M46:EN46,1),"")</f>
        <v/>
      </c>
      <c r="I46" s="190">
        <f>IF(COUNT(M46:EN46)&gt;0,QUARTILE(M46:EN46,3),"")</f>
        <v/>
      </c>
      <c r="J46" s="190">
        <f>IF(COUNT(M46:EN46)&gt;1,STDEV(M46:EN46),"")</f>
        <v/>
      </c>
      <c r="K46" s="191">
        <f>IF(COUNT(M46:EN46)&gt;1,STDEV(M46:EN46)/AVERAGE(M46:EN46),"")</f>
        <v/>
      </c>
      <c r="M46" s="192" t="n"/>
      <c r="N46" s="192" t="n"/>
      <c r="O46" s="192" t="n"/>
      <c r="P46" s="192" t="n"/>
      <c r="Q46" s="192" t="n"/>
      <c r="R46" s="192" t="n"/>
      <c r="S46" s="192" t="n"/>
      <c r="T46" s="192" t="n"/>
      <c r="U46" s="192" t="n"/>
      <c r="V46" s="192" t="n"/>
      <c r="W46" s="192" t="n"/>
      <c r="X46" s="192" t="n"/>
      <c r="Y46" s="192" t="n"/>
      <c r="Z46" s="192" t="n"/>
      <c r="AA46" s="192" t="n"/>
      <c r="AB46" s="192" t="n"/>
      <c r="AC46" s="192" t="n">
        <v>16759</v>
      </c>
      <c r="AD46" s="192" t="n"/>
      <c r="AE46" s="192" t="n"/>
      <c r="AF46" s="192" t="n"/>
      <c r="AG46" s="192" t="n">
        <v>0</v>
      </c>
      <c r="AH46" s="192" t="n"/>
      <c r="AI46" s="192" t="n"/>
      <c r="AJ46" s="192" t="n"/>
      <c r="AK46" s="192" t="n">
        <v>0</v>
      </c>
      <c r="AL46" s="192" t="n"/>
      <c r="AM46" s="192" t="n"/>
      <c r="AN46" s="192" t="n"/>
      <c r="AO46" s="192" t="n"/>
      <c r="AP46" s="192" t="n"/>
      <c r="AQ46" s="192" t="n"/>
      <c r="AR46" s="192" t="n"/>
      <c r="AS46" s="192" t="n"/>
      <c r="AT46" s="192" t="n"/>
      <c r="AU46" s="192" t="n"/>
      <c r="AV46" s="192" t="n"/>
      <c r="AW46" s="192" t="n"/>
      <c r="AX46" s="192" t="n"/>
      <c r="AY46" s="192" t="n"/>
      <c r="AZ46" s="192" t="n"/>
      <c r="BA46" s="192" t="n"/>
      <c r="BB46" s="192" t="n"/>
      <c r="BC46" s="192" t="n"/>
      <c r="BD46" s="192" t="n"/>
      <c r="BE46" s="192" t="n"/>
      <c r="BF46" s="192" t="n"/>
      <c r="BG46" s="192" t="n"/>
      <c r="BH46" s="192" t="n"/>
      <c r="BI46" s="192" t="n"/>
      <c r="BJ46" s="192" t="n"/>
      <c r="BK46" s="192" t="n"/>
      <c r="BL46" s="192" t="n"/>
      <c r="BM46" s="192" t="n"/>
      <c r="BN46" s="192" t="n"/>
      <c r="BO46" s="192" t="n"/>
      <c r="BP46" s="192" t="n"/>
      <c r="BQ46" s="192" t="n"/>
      <c r="BR46" s="192" t="n"/>
      <c r="BS46" s="192" t="n"/>
      <c r="BT46" s="192" t="n"/>
      <c r="BU46" s="192" t="n"/>
      <c r="BV46" s="192" t="n"/>
      <c r="BW46" s="192" t="n"/>
      <c r="BX46" s="192" t="n"/>
      <c r="BY46" s="192" t="n"/>
      <c r="BZ46" s="192" t="n"/>
      <c r="CA46" s="192" t="n"/>
      <c r="CB46" s="192" t="n"/>
      <c r="CC46" s="192" t="n"/>
      <c r="CD46" s="192" t="n"/>
      <c r="CE46" s="192" t="n"/>
      <c r="CF46" s="192" t="n"/>
      <c r="CG46" s="192" t="n"/>
      <c r="CH46" s="192" t="n"/>
      <c r="CI46" s="192" t="n"/>
      <c r="CJ46" s="192" t="n"/>
      <c r="CK46" s="192" t="n"/>
      <c r="CL46" s="192" t="n"/>
      <c r="CM46" s="192" t="n"/>
      <c r="CN46" s="192" t="n"/>
      <c r="CO46" s="192" t="n"/>
      <c r="CP46" s="192" t="n"/>
      <c r="CQ46" s="192" t="n"/>
      <c r="CR46" s="192" t="n"/>
      <c r="CS46" s="192" t="n"/>
      <c r="CT46" s="192" t="n"/>
      <c r="CU46" s="192" t="n"/>
      <c r="CV46" s="192" t="n"/>
      <c r="CW46" s="192" t="n"/>
      <c r="CX46" s="192" t="n"/>
      <c r="CY46" s="192" t="n"/>
      <c r="CZ46" s="192" t="n"/>
      <c r="DA46" s="192" t="n"/>
      <c r="DB46" s="192" t="n"/>
      <c r="DC46" s="192" t="n"/>
      <c r="DD46" s="192" t="n"/>
      <c r="DE46" s="192" t="n"/>
      <c r="DF46" s="192" t="n"/>
      <c r="DG46" s="192" t="n"/>
      <c r="DH46" s="192" t="n"/>
      <c r="DI46" s="192" t="n"/>
      <c r="DJ46" s="192" t="n"/>
      <c r="DK46" s="192" t="n"/>
      <c r="DL46" s="192" t="n"/>
      <c r="DM46" s="192" t="n"/>
      <c r="DN46" s="192" t="n"/>
      <c r="DO46" s="192" t="n"/>
      <c r="DP46" s="192" t="n"/>
      <c r="DQ46" s="192" t="n"/>
      <c r="DR46" s="192" t="n"/>
      <c r="DS46" s="192" t="n"/>
      <c r="DT46" s="192" t="n"/>
      <c r="DU46" s="192" t="n"/>
      <c r="DV46" s="192" t="n"/>
      <c r="DW46" s="192" t="n"/>
      <c r="DX46" s="192" t="n"/>
      <c r="DY46" s="192" t="n"/>
      <c r="DZ46" s="192" t="n"/>
      <c r="EA46" s="192" t="n"/>
      <c r="EB46" s="192" t="n"/>
      <c r="EC46" s="192" t="n"/>
      <c r="ED46" s="192" t="n"/>
      <c r="EE46" s="192" t="n"/>
      <c r="EF46" s="192" t="n"/>
      <c r="EG46" s="192" t="n"/>
      <c r="EH46" s="192" t="n"/>
      <c r="EI46" s="192" t="n"/>
      <c r="EJ46" s="192" t="n"/>
      <c r="EK46" s="192" t="n"/>
      <c r="EL46" s="192" t="n"/>
      <c r="EM46" s="192" t="n"/>
      <c r="EN46" s="192" t="n"/>
      <c r="EO46" s="182" t="n"/>
      <c r="EP46" s="176" t="n"/>
      <c r="EQ46" s="176" t="n"/>
      <c r="ER46" s="176" t="n"/>
      <c r="ES46" s="176" t="n"/>
      <c r="ET46" s="176" t="n"/>
      <c r="EU46" s="176" t="n"/>
      <c r="EV46" s="176" t="n"/>
      <c r="EW46" s="176" t="n"/>
      <c r="EX46" s="176" t="n"/>
      <c r="EY46" s="176" t="n"/>
      <c r="EZ46" s="176" t="n"/>
      <c r="FA46" s="176" t="n"/>
      <c r="FB46" s="176" t="n"/>
      <c r="FC46" s="176" t="n"/>
      <c r="FD46" s="176" t="n"/>
      <c r="FE46" s="176" t="n"/>
      <c r="FF46" s="176" t="n"/>
      <c r="FG46" s="176" t="n"/>
      <c r="FH46" s="176" t="n"/>
      <c r="FI46" s="176" t="n"/>
      <c r="FJ46" s="176" t="n"/>
      <c r="FK46" s="176" t="n"/>
      <c r="FL46" s="176" t="n"/>
      <c r="FM46" s="176" t="n"/>
    </row>
    <row r="47" ht="15" customHeight="1" s="392">
      <c r="A47" s="176" t="n"/>
      <c r="B47" s="180" t="n"/>
      <c r="C47" s="183" t="inlineStr">
        <is>
          <t xml:space="preserve">        Other Irregular Income/(Expenses)</t>
        </is>
      </c>
      <c r="D47" s="190">
        <f>IF(COUNT(M47:EN47)&gt;0,MEDIAN(M47:EN47),"")</f>
        <v/>
      </c>
      <c r="E47" s="190">
        <f>IF(COUNT(M47:EN47)&gt;0,AVERAGE(M47:EN47),"")</f>
        <v/>
      </c>
      <c r="F47" s="190">
        <f>IF(COUNT(M47:EN47)&gt;0,MIN(M47:EN47),"")</f>
        <v/>
      </c>
      <c r="G47" s="190">
        <f>IF(COUNT(M47:EN47)&gt;0,MAX(M47:EN47),"")</f>
        <v/>
      </c>
      <c r="H47" s="190">
        <f>IF(COUNT(M47:EN47)&gt;0,QUARTILE(M47:EN47,1),"")</f>
        <v/>
      </c>
      <c r="I47" s="190">
        <f>IF(COUNT(M47:EN47)&gt;0,QUARTILE(M47:EN47,3),"")</f>
        <v/>
      </c>
      <c r="J47" s="190">
        <f>IF(COUNT(M47:EN47)&gt;1,STDEV(M47:EN47),"")</f>
        <v/>
      </c>
      <c r="K47" s="191">
        <f>IF(COUNT(M47:EN47)&gt;1,STDEV(M47:EN47)/AVERAGE(M47:EN47),"")</f>
        <v/>
      </c>
      <c r="M47" s="192" t="n"/>
      <c r="N47" s="192" t="n"/>
      <c r="O47" s="192" t="n"/>
      <c r="P47" s="192" t="n"/>
      <c r="Q47" s="192" t="n"/>
      <c r="R47" s="192" t="n"/>
      <c r="S47" s="192" t="n"/>
      <c r="T47" s="192" t="n"/>
      <c r="U47" s="192" t="n"/>
      <c r="V47" s="192" t="n"/>
      <c r="W47" s="192" t="n"/>
      <c r="X47" s="192" t="n"/>
      <c r="Y47" s="192" t="n"/>
      <c r="Z47" s="192" t="n"/>
      <c r="AA47" s="192" t="n"/>
      <c r="AB47" s="192" t="n"/>
      <c r="AC47" s="192" t="n"/>
      <c r="AD47" s="192" t="n"/>
      <c r="AE47" s="192" t="n"/>
      <c r="AF47" s="192" t="n"/>
      <c r="AG47" s="192" t="n"/>
      <c r="AH47" s="192" t="n"/>
      <c r="AI47" s="192" t="n"/>
      <c r="AJ47" s="192" t="n"/>
      <c r="AK47" s="192" t="n"/>
      <c r="AL47" s="192" t="n"/>
      <c r="AM47" s="192" t="n"/>
      <c r="AN47" s="192" t="n"/>
      <c r="AO47" s="192" t="n"/>
      <c r="AP47" s="192" t="n"/>
      <c r="AQ47" s="192" t="n"/>
      <c r="AR47" s="192" t="n"/>
      <c r="AS47" s="192" t="n"/>
      <c r="AT47" s="192" t="n"/>
      <c r="AU47" s="192" t="n"/>
      <c r="AV47" s="192" t="n"/>
      <c r="AW47" s="192" t="n"/>
      <c r="AX47" s="192" t="n"/>
      <c r="AY47" s="192" t="n"/>
      <c r="AZ47" s="192" t="n"/>
      <c r="BA47" s="192" t="n"/>
      <c r="BB47" s="192" t="n"/>
      <c r="BC47" s="192" t="n"/>
      <c r="BD47" s="192" t="n"/>
      <c r="BE47" s="192" t="n"/>
      <c r="BF47" s="192" t="n"/>
      <c r="BG47" s="192" t="n"/>
      <c r="BH47" s="192" t="n"/>
      <c r="BI47" s="192" t="n"/>
      <c r="BJ47" s="192" t="n"/>
      <c r="BK47" s="192" t="n"/>
      <c r="BL47" s="192" t="n"/>
      <c r="BM47" s="192" t="n"/>
      <c r="BN47" s="192" t="n"/>
      <c r="BO47" s="192" t="n"/>
      <c r="BP47" s="192" t="n"/>
      <c r="BQ47" s="192" t="n"/>
      <c r="BR47" s="192" t="n"/>
      <c r="BS47" s="192" t="n"/>
      <c r="BT47" s="192" t="n"/>
      <c r="BU47" s="192" t="n"/>
      <c r="BV47" s="192" t="n">
        <v>21</v>
      </c>
      <c r="BW47" s="192" t="n">
        <v>-806</v>
      </c>
      <c r="BX47" s="192" t="n"/>
      <c r="BY47" s="192" t="n"/>
      <c r="BZ47" s="192" t="n"/>
      <c r="CA47" s="192" t="n"/>
      <c r="CB47" s="192" t="n"/>
      <c r="CC47" s="192" t="n"/>
      <c r="CD47" s="192" t="n"/>
      <c r="CE47" s="192" t="n"/>
      <c r="CF47" s="192" t="n"/>
      <c r="CG47" s="192" t="n"/>
      <c r="CH47" s="192" t="n"/>
      <c r="CI47" s="192" t="n"/>
      <c r="CJ47" s="192" t="n"/>
      <c r="CK47" s="192" t="n"/>
      <c r="CL47" s="192" t="n"/>
      <c r="CM47" s="192" t="n"/>
      <c r="CN47" s="192" t="n"/>
      <c r="CO47" s="192" t="n"/>
      <c r="CP47" s="192" t="n"/>
      <c r="CQ47" s="192" t="n"/>
      <c r="CR47" s="192" t="n"/>
      <c r="CS47" s="192" t="n"/>
      <c r="CT47" s="192" t="n"/>
      <c r="CU47" s="192" t="n"/>
      <c r="CV47" s="192" t="n"/>
      <c r="CW47" s="192" t="n"/>
      <c r="CX47" s="192" t="n"/>
      <c r="CY47" s="192" t="n"/>
      <c r="CZ47" s="192" t="n"/>
      <c r="DA47" s="192" t="n"/>
      <c r="DB47" s="192" t="n"/>
      <c r="DC47" s="192" t="n"/>
      <c r="DD47" s="192" t="n"/>
      <c r="DE47" s="192" t="n"/>
      <c r="DF47" s="192" t="n"/>
      <c r="DG47" s="192" t="n"/>
      <c r="DH47" s="192" t="n"/>
      <c r="DI47" s="192" t="n"/>
      <c r="DJ47" s="192" t="n"/>
      <c r="DK47" s="192" t="n"/>
      <c r="DL47" s="192" t="n"/>
      <c r="DM47" s="192" t="n"/>
      <c r="DN47" s="192" t="n"/>
      <c r="DO47" s="192" t="n"/>
      <c r="DP47" s="192" t="n"/>
      <c r="DQ47" s="192" t="n"/>
      <c r="DR47" s="192" t="n"/>
      <c r="DS47" s="192" t="n"/>
      <c r="DT47" s="192" t="n"/>
      <c r="DU47" s="192" t="n"/>
      <c r="DV47" s="192" t="n"/>
      <c r="DW47" s="192" t="n"/>
      <c r="DX47" s="192" t="n"/>
      <c r="DY47" s="192" t="n"/>
      <c r="DZ47" s="192" t="n"/>
      <c r="EA47" s="192" t="n"/>
      <c r="EB47" s="192" t="n"/>
      <c r="EC47" s="192" t="n"/>
      <c r="ED47" s="192" t="n"/>
      <c r="EE47" s="192" t="n"/>
      <c r="EF47" s="192" t="n"/>
      <c r="EG47" s="192" t="n"/>
      <c r="EH47" s="192" t="n"/>
      <c r="EI47" s="192" t="n"/>
      <c r="EJ47" s="192" t="n"/>
      <c r="EK47" s="192" t="n"/>
      <c r="EL47" s="192" t="n"/>
      <c r="EM47" s="192" t="n"/>
      <c r="EN47" s="192" t="n"/>
      <c r="EO47" s="182" t="n"/>
      <c r="EP47" s="176" t="n"/>
      <c r="EQ47" s="176" t="n"/>
      <c r="ER47" s="176" t="n"/>
      <c r="ES47" s="176" t="n"/>
      <c r="ET47" s="176" t="n"/>
      <c r="EU47" s="176" t="n"/>
      <c r="EV47" s="176" t="n"/>
      <c r="EW47" s="176" t="n"/>
      <c r="EX47" s="176" t="n"/>
      <c r="EY47" s="176" t="n"/>
      <c r="EZ47" s="176" t="n"/>
      <c r="FA47" s="176" t="n"/>
      <c r="FB47" s="176" t="n"/>
      <c r="FC47" s="176" t="n"/>
      <c r="FD47" s="176" t="n"/>
      <c r="FE47" s="176" t="n"/>
      <c r="FF47" s="176" t="n"/>
      <c r="FG47" s="176" t="n"/>
      <c r="FH47" s="176" t="n"/>
      <c r="FI47" s="176" t="n"/>
      <c r="FJ47" s="176" t="n"/>
      <c r="FK47" s="176" t="n"/>
      <c r="FL47" s="176" t="n"/>
      <c r="FM47" s="176" t="n"/>
    </row>
    <row r="48" ht="15" customHeight="1" s="392">
      <c r="A48" s="176" t="n"/>
      <c r="B48" s="180" t="n"/>
      <c r="C48" s="187" t="inlineStr">
        <is>
          <t xml:space="preserve">    Total Irregular (Income)/Expenses</t>
        </is>
      </c>
      <c r="D48" s="193">
        <f>IF(COUNT(M48:EN48)&gt;0,MEDIAN(M48:EN48),"")</f>
        <v/>
      </c>
      <c r="E48" s="193">
        <f>IF(COUNT(M48:EN48)&gt;0,AVERAGE(M48:EN48),"")</f>
        <v/>
      </c>
      <c r="F48" s="193">
        <f>IF(COUNT(M48:EN48)&gt;0,MIN(M48:EN48),"")</f>
        <v/>
      </c>
      <c r="G48" s="193">
        <f>IF(COUNT(M48:EN48)&gt;0,MAX(M48:EN48),"")</f>
        <v/>
      </c>
      <c r="H48" s="193">
        <f>IF(COUNT(M48:EN48)&gt;0,QUARTILE(M48:EN48,1),"")</f>
        <v/>
      </c>
      <c r="I48" s="193">
        <f>IF(COUNT(M48:EN48)&gt;0,QUARTILE(M48:EN48,3),"")</f>
        <v/>
      </c>
      <c r="J48" s="193">
        <f>IF(COUNT(M48:EN48)&gt;1,STDEV(M48:EN48),"")</f>
        <v/>
      </c>
      <c r="K48" s="194">
        <f>IF(COUNT(M48:EN48)&gt;1,STDEV(M48:EN48)/AVERAGE(M48:EN48),"")</f>
        <v/>
      </c>
      <c r="L48" s="195" t="n"/>
      <c r="M48" s="196" t="n"/>
      <c r="N48" s="196" t="n"/>
      <c r="O48" s="196" t="n"/>
      <c r="P48" s="196" t="n"/>
      <c r="Q48" s="196" t="n"/>
      <c r="R48" s="196" t="n"/>
      <c r="S48" s="196" t="n"/>
      <c r="T48" s="196" t="n"/>
      <c r="U48" s="196" t="n"/>
      <c r="V48" s="196" t="n"/>
      <c r="W48" s="196" t="n"/>
      <c r="X48" s="196" t="n"/>
      <c r="Y48" s="196" t="n"/>
      <c r="Z48" s="196" t="n"/>
      <c r="AA48" s="196" t="n"/>
      <c r="AB48" s="196" t="n"/>
      <c r="AC48" s="196" t="n">
        <v>16759</v>
      </c>
      <c r="AD48" s="196" t="n"/>
      <c r="AE48" s="196" t="n"/>
      <c r="AF48" s="196" t="n"/>
      <c r="AG48" s="196" t="n">
        <v>0</v>
      </c>
      <c r="AH48" s="196" t="n"/>
      <c r="AI48" s="196" t="n"/>
      <c r="AJ48" s="196" t="n"/>
      <c r="AK48" s="196" t="n">
        <v>0</v>
      </c>
      <c r="AL48" s="196" t="n"/>
      <c r="AM48" s="196" t="n"/>
      <c r="AN48" s="196" t="n"/>
      <c r="AO48" s="196" t="n"/>
      <c r="AP48" s="196" t="n"/>
      <c r="AQ48" s="196" t="n"/>
      <c r="AR48" s="196" t="n"/>
      <c r="AS48" s="196" t="n">
        <v>1131</v>
      </c>
      <c r="AT48" s="196" t="n"/>
      <c r="AU48" s="196" t="n"/>
      <c r="AV48" s="196" t="n"/>
      <c r="AW48" s="196" t="n">
        <v>19365</v>
      </c>
      <c r="AX48" s="196" t="n"/>
      <c r="AY48" s="196" t="n"/>
      <c r="AZ48" s="196" t="n"/>
      <c r="BA48" s="196" t="n">
        <v>0</v>
      </c>
      <c r="BB48" s="196" t="n"/>
      <c r="BC48" s="196" t="n"/>
      <c r="BD48" s="196" t="n"/>
      <c r="BE48" s="196" t="n">
        <v>0</v>
      </c>
      <c r="BF48" s="196" t="n"/>
      <c r="BG48" s="196" t="n"/>
      <c r="BH48" s="196" t="n"/>
      <c r="BI48" s="196" t="n">
        <v>0</v>
      </c>
      <c r="BJ48" s="196" t="n">
        <v>29104</v>
      </c>
      <c r="BK48" s="196" t="n"/>
      <c r="BL48" s="196" t="n"/>
      <c r="BM48" s="196" t="n">
        <v>0</v>
      </c>
      <c r="BN48" s="196" t="n">
        <v>0</v>
      </c>
      <c r="BO48" s="196" t="n"/>
      <c r="BP48" s="196" t="n"/>
      <c r="BQ48" s="196" t="n">
        <v>0</v>
      </c>
      <c r="BR48" s="196" t="n">
        <v>0</v>
      </c>
      <c r="BS48" s="196" t="n">
        <v>8771</v>
      </c>
      <c r="BT48" s="196" t="n">
        <v>-564</v>
      </c>
      <c r="BU48" s="196" t="n">
        <v>1290</v>
      </c>
      <c r="BV48" s="196" t="n">
        <v>21</v>
      </c>
      <c r="BW48" s="196" t="n">
        <v>-806</v>
      </c>
      <c r="BX48" s="196" t="n">
        <v>-504</v>
      </c>
      <c r="BY48" s="196" t="n">
        <v>-436</v>
      </c>
      <c r="BZ48" s="196" t="n">
        <v>529</v>
      </c>
      <c r="CA48" s="196" t="n">
        <v>102</v>
      </c>
      <c r="CB48" s="196" t="n">
        <v>-631</v>
      </c>
      <c r="CC48" s="196" t="n">
        <v>-997</v>
      </c>
      <c r="CD48" s="196" t="n">
        <v>-536</v>
      </c>
      <c r="CE48" s="196" t="n">
        <v>1798</v>
      </c>
      <c r="CF48" s="196" t="n">
        <v>-1254</v>
      </c>
      <c r="CG48" s="196" t="n">
        <v>-1690</v>
      </c>
      <c r="CH48" s="196" t="n">
        <v>-813</v>
      </c>
      <c r="CI48" s="196" t="n">
        <v>-882</v>
      </c>
      <c r="CJ48" s="196" t="n">
        <v>-796</v>
      </c>
      <c r="CK48" s="196" t="n">
        <v>-696</v>
      </c>
      <c r="CL48" s="196" t="n">
        <v>-1256</v>
      </c>
      <c r="CM48" s="196" t="n">
        <v>-245</v>
      </c>
      <c r="CN48" s="196" t="n">
        <v>-651</v>
      </c>
      <c r="CO48" s="196" t="n">
        <v>-135</v>
      </c>
      <c r="CP48" s="196" t="n">
        <v>-111</v>
      </c>
      <c r="CQ48" s="196" t="n">
        <v>-753</v>
      </c>
      <c r="CR48" s="196" t="n">
        <v>-638</v>
      </c>
      <c r="CS48" s="196" t="n">
        <v>-623</v>
      </c>
      <c r="CT48" s="196" t="n">
        <v>-701</v>
      </c>
      <c r="CU48" s="196" t="n">
        <v>-806</v>
      </c>
      <c r="CV48" s="196" t="n">
        <v>-1195</v>
      </c>
      <c r="CW48" s="196" t="n">
        <v>-930</v>
      </c>
      <c r="CX48" s="196" t="n">
        <v>182</v>
      </c>
      <c r="CY48" s="196" t="n">
        <v>-2595</v>
      </c>
      <c r="CZ48" s="196" t="n">
        <v>-610.9</v>
      </c>
      <c r="DA48" s="196" t="n">
        <v>-493.8</v>
      </c>
      <c r="DB48" s="196" t="n">
        <v>-537.1</v>
      </c>
      <c r="DC48" s="196" t="n">
        <v>-286.2</v>
      </c>
      <c r="DD48" s="196" t="n">
        <v>-155.7</v>
      </c>
      <c r="DE48" s="196" t="n">
        <v>-586.4</v>
      </c>
      <c r="DF48" s="196" t="n">
        <v>-496.9</v>
      </c>
      <c r="DG48" s="196" t="n">
        <v>-411.4</v>
      </c>
      <c r="DH48" s="196" t="n">
        <v>-393.1</v>
      </c>
      <c r="DI48" s="196" t="n">
        <v>-1086.2</v>
      </c>
      <c r="DJ48" s="196" t="n">
        <v>-54.5</v>
      </c>
      <c r="DK48" s="196" t="n">
        <v>-321</v>
      </c>
      <c r="DL48" s="196" t="n">
        <v>-461.1</v>
      </c>
      <c r="DM48" s="196" t="n">
        <v>-64.90000000000001</v>
      </c>
      <c r="DN48" s="196" t="n">
        <v>-262.9</v>
      </c>
      <c r="DO48" s="196" t="n">
        <v>-200</v>
      </c>
      <c r="DP48" s="196" t="n">
        <v>-200</v>
      </c>
      <c r="DQ48" s="196" t="n">
        <v>1000</v>
      </c>
      <c r="DR48" s="196" t="n">
        <v>-500</v>
      </c>
      <c r="DS48" s="196" t="n">
        <v>-600</v>
      </c>
      <c r="DT48" s="196" t="n">
        <v>-700</v>
      </c>
      <c r="DU48" s="196" t="n">
        <v>-1100</v>
      </c>
      <c r="DV48" s="196" t="n">
        <v>-400</v>
      </c>
      <c r="DW48" s="196" t="n">
        <v>-300</v>
      </c>
      <c r="DX48" s="196" t="n">
        <v>-300</v>
      </c>
      <c r="DY48" s="196" t="n">
        <v>-1100</v>
      </c>
      <c r="DZ48" s="196" t="n">
        <v>-200</v>
      </c>
      <c r="EA48" s="196" t="n">
        <v>-100</v>
      </c>
      <c r="EB48" s="196" t="n"/>
      <c r="EC48" s="196" t="n">
        <v>-500</v>
      </c>
      <c r="ED48" s="196" t="n">
        <v>-100</v>
      </c>
      <c r="EE48" s="196" t="n">
        <v>-100</v>
      </c>
      <c r="EF48" s="196" t="n">
        <v>-100</v>
      </c>
      <c r="EG48" s="196" t="n">
        <v>-400</v>
      </c>
      <c r="EH48" s="196" t="n">
        <v>-100</v>
      </c>
      <c r="EI48" s="196" t="n"/>
      <c r="EJ48" s="196" t="n"/>
      <c r="EK48" s="196" t="n">
        <v>-3000</v>
      </c>
      <c r="EL48" s="196" t="n">
        <v>-200</v>
      </c>
      <c r="EM48" s="196" t="n"/>
      <c r="EN48" s="196" t="n"/>
      <c r="EO48" s="182" t="n"/>
      <c r="EP48" s="176" t="n"/>
      <c r="EQ48" s="176" t="n"/>
      <c r="ER48" s="176" t="n"/>
      <c r="ES48" s="176" t="n"/>
      <c r="ET48" s="176" t="n"/>
      <c r="EU48" s="176" t="n"/>
      <c r="EV48" s="176" t="n"/>
      <c r="EW48" s="176" t="n"/>
      <c r="EX48" s="176" t="n"/>
      <c r="EY48" s="176" t="n"/>
      <c r="EZ48" s="176" t="n"/>
      <c r="FA48" s="176" t="n"/>
      <c r="FB48" s="176" t="n"/>
      <c r="FC48" s="176" t="n"/>
      <c r="FD48" s="176" t="n"/>
      <c r="FE48" s="176" t="n"/>
      <c r="FF48" s="176" t="n"/>
      <c r="FG48" s="176" t="n"/>
      <c r="FH48" s="176" t="n"/>
      <c r="FI48" s="176" t="n"/>
      <c r="FJ48" s="176" t="n"/>
      <c r="FK48" s="176" t="n"/>
      <c r="FL48" s="176" t="n"/>
      <c r="FM48" s="176" t="n"/>
    </row>
    <row r="49" ht="15" customHeight="1" s="392">
      <c r="A49" s="176" t="n"/>
      <c r="B49" s="180" t="n"/>
      <c r="C49" s="183" t="inlineStr">
        <is>
          <t xml:space="preserve">    Other Income/(Expense), Non-Operating</t>
        </is>
      </c>
      <c r="D49" s="190">
        <f>IF(COUNT(M49:EN49)&gt;0,MEDIAN(M49:EN49),"")</f>
        <v/>
      </c>
      <c r="E49" s="190">
        <f>IF(COUNT(M49:EN49)&gt;0,AVERAGE(M49:EN49),"")</f>
        <v/>
      </c>
      <c r="F49" s="190">
        <f>IF(COUNT(M49:EN49)&gt;0,MIN(M49:EN49),"")</f>
        <v/>
      </c>
      <c r="G49" s="190">
        <f>IF(COUNT(M49:EN49)&gt;0,MAX(M49:EN49),"")</f>
        <v/>
      </c>
      <c r="H49" s="190">
        <f>IF(COUNT(M49:EN49)&gt;0,QUARTILE(M49:EN49,1),"")</f>
        <v/>
      </c>
      <c r="I49" s="190">
        <f>IF(COUNT(M49:EN49)&gt;0,QUARTILE(M49:EN49,3),"")</f>
        <v/>
      </c>
      <c r="J49" s="190">
        <f>IF(COUNT(M49:EN49)&gt;1,STDEV(M49:EN49),"")</f>
        <v/>
      </c>
      <c r="K49" s="191">
        <f>IF(COUNT(M49:EN49)&gt;1,STDEV(M49:EN49)/AVERAGE(M49:EN49),"")</f>
        <v/>
      </c>
      <c r="M49" s="192" t="n">
        <v>-3811</v>
      </c>
      <c r="N49" s="192" t="n">
        <v>-1001</v>
      </c>
      <c r="O49" s="192" t="n">
        <v>2352</v>
      </c>
      <c r="P49" s="192" t="n">
        <v>2924</v>
      </c>
      <c r="Q49" s="192" t="n">
        <v>15978</v>
      </c>
      <c r="R49" s="192" t="n">
        <v>8483</v>
      </c>
      <c r="S49" s="192" t="n">
        <v>-3907</v>
      </c>
      <c r="T49" s="192" t="n">
        <v>-596</v>
      </c>
      <c r="U49" s="192" t="n">
        <v>5389</v>
      </c>
      <c r="V49" s="192" t="n">
        <v>-1309</v>
      </c>
      <c r="W49" s="192" t="n">
        <v>-3103</v>
      </c>
      <c r="X49" s="192" t="n">
        <v>-4072</v>
      </c>
      <c r="Y49" s="192" t="n">
        <v>3927</v>
      </c>
      <c r="Z49" s="192" t="n">
        <v>3628</v>
      </c>
      <c r="AA49" s="192" t="n">
        <v>-2902</v>
      </c>
      <c r="AB49" s="192" t="n">
        <v>-2822</v>
      </c>
      <c r="AC49" s="192" t="n">
        <v>-1910</v>
      </c>
      <c r="AD49" s="192" t="n">
        <v>1342</v>
      </c>
      <c r="AE49" s="192" t="n">
        <v>-840</v>
      </c>
      <c r="AF49" s="192" t="n">
        <v>812</v>
      </c>
      <c r="AG49" s="192" t="n">
        <v>2564</v>
      </c>
      <c r="AH49" s="192" t="n">
        <v>770</v>
      </c>
      <c r="AI49" s="192" t="n">
        <v>-920</v>
      </c>
      <c r="AJ49" s="192" t="n">
        <v>3253</v>
      </c>
      <c r="AK49" s="192" t="n">
        <v>971</v>
      </c>
      <c r="AL49" s="192" t="n">
        <v>2277</v>
      </c>
      <c r="AM49" s="192" t="n">
        <v>-354</v>
      </c>
      <c r="AN49" s="192" t="n">
        <v>717</v>
      </c>
      <c r="AO49" s="192" t="n">
        <v>-1477</v>
      </c>
      <c r="AP49" s="192" t="n">
        <v>1719</v>
      </c>
      <c r="AQ49" s="192" t="n">
        <v>4782</v>
      </c>
      <c r="AR49" s="192" t="n">
        <v>1037</v>
      </c>
      <c r="AS49" s="192" t="n">
        <v>1874</v>
      </c>
      <c r="AT49" s="192" t="n">
        <v>731</v>
      </c>
      <c r="AU49" s="192" t="n">
        <v>-948</v>
      </c>
      <c r="AV49" s="192" t="n">
        <v>-4416</v>
      </c>
      <c r="AW49" s="192" t="n">
        <v>1057</v>
      </c>
      <c r="AX49" s="192" t="n">
        <v>-194</v>
      </c>
      <c r="AY49" s="192" t="n">
        <v>-3021</v>
      </c>
      <c r="AZ49" s="192" t="n">
        <v>3332</v>
      </c>
      <c r="BA49" s="192" t="n">
        <v>6051</v>
      </c>
      <c r="BB49" s="192" t="n">
        <v>39</v>
      </c>
      <c r="BC49" s="192" t="n">
        <v>4435</v>
      </c>
      <c r="BD49" s="192" t="n">
        <v>1027</v>
      </c>
      <c r="BE49" s="192" t="n">
        <v>53</v>
      </c>
      <c r="BF49" s="192" t="n">
        <v>-815</v>
      </c>
      <c r="BG49" s="192" t="n">
        <v>4141</v>
      </c>
      <c r="BH49" s="192" t="n">
        <v>1593</v>
      </c>
      <c r="BI49" s="192" t="n">
        <v>77</v>
      </c>
      <c r="BJ49" s="192" t="n">
        <v>708</v>
      </c>
      <c r="BK49" s="192" t="n">
        <v>1170</v>
      </c>
      <c r="BL49" s="192" t="n">
        <v>1423</v>
      </c>
      <c r="BM49" s="192" t="n">
        <v>1466</v>
      </c>
      <c r="BN49" s="192" t="n">
        <v>1592</v>
      </c>
      <c r="BO49" s="192" t="n">
        <v>744</v>
      </c>
      <c r="BP49" s="192" t="n">
        <v>-293</v>
      </c>
      <c r="BQ49" s="192" t="n">
        <v>999</v>
      </c>
      <c r="BR49" s="192" t="n">
        <v>-467</v>
      </c>
      <c r="BS49" s="192" t="n">
        <v>1591</v>
      </c>
      <c r="BT49" s="192" t="n"/>
      <c r="BU49" s="192" t="n"/>
      <c r="BV49" s="192" t="n"/>
      <c r="BW49" s="192" t="n"/>
      <c r="BX49" s="192" t="n"/>
      <c r="BY49" s="192" t="n"/>
      <c r="BZ49" s="192" t="n"/>
      <c r="CA49" s="192" t="n"/>
      <c r="CB49" s="192" t="n"/>
      <c r="CC49" s="192" t="n"/>
      <c r="CD49" s="192" t="n"/>
      <c r="CE49" s="192" t="n"/>
      <c r="CF49" s="192" t="n"/>
      <c r="CG49" s="192" t="n"/>
      <c r="CH49" s="192" t="n"/>
      <c r="CI49" s="192" t="n"/>
      <c r="CJ49" s="192" t="n"/>
      <c r="CK49" s="192" t="n"/>
      <c r="CL49" s="192" t="n"/>
      <c r="CM49" s="192" t="n"/>
      <c r="CN49" s="192" t="n"/>
      <c r="CO49" s="192" t="n"/>
      <c r="CP49" s="192" t="n"/>
      <c r="CQ49" s="192" t="n"/>
      <c r="CR49" s="192" t="n"/>
      <c r="CS49" s="192" t="n"/>
      <c r="CT49" s="192" t="n"/>
      <c r="CU49" s="192" t="n"/>
      <c r="CV49" s="192" t="n"/>
      <c r="CW49" s="192" t="n"/>
      <c r="CX49" s="192" t="n"/>
      <c r="CY49" s="192" t="n"/>
      <c r="CZ49" s="192" t="n"/>
      <c r="DA49" s="192" t="n"/>
      <c r="DB49" s="192" t="n"/>
      <c r="DC49" s="192" t="n"/>
      <c r="DD49" s="192" t="n"/>
      <c r="DE49" s="192" t="n"/>
      <c r="DF49" s="192" t="n"/>
      <c r="DG49" s="192" t="n"/>
      <c r="DH49" s="192" t="n"/>
      <c r="DI49" s="192" t="n"/>
      <c r="DJ49" s="192" t="n"/>
      <c r="DK49" s="192" t="n"/>
      <c r="DL49" s="192" t="n"/>
      <c r="DM49" s="192" t="n"/>
      <c r="DN49" s="192" t="n"/>
      <c r="DO49" s="192" t="n"/>
      <c r="DP49" s="192" t="n"/>
      <c r="DQ49" s="192" t="n"/>
      <c r="DR49" s="192" t="n"/>
      <c r="DS49" s="192" t="n"/>
      <c r="DT49" s="192" t="n"/>
      <c r="DU49" s="192" t="n"/>
      <c r="DV49" s="192" t="n"/>
      <c r="DW49" s="192" t="n"/>
      <c r="DX49" s="192" t="n"/>
      <c r="DY49" s="192" t="n"/>
      <c r="DZ49" s="192" t="n"/>
      <c r="EA49" s="192" t="n"/>
      <c r="EB49" s="192" t="n"/>
      <c r="EC49" s="192" t="n"/>
      <c r="ED49" s="192" t="n"/>
      <c r="EE49" s="192" t="n"/>
      <c r="EF49" s="192" t="n"/>
      <c r="EG49" s="192" t="n"/>
      <c r="EH49" s="192" t="n"/>
      <c r="EI49" s="192" t="n"/>
      <c r="EJ49" s="192" t="n"/>
      <c r="EK49" s="192" t="n"/>
      <c r="EL49" s="192" t="n"/>
      <c r="EM49" s="192" t="n"/>
      <c r="EN49" s="192" t="n"/>
      <c r="EO49" s="182" t="n"/>
      <c r="EP49" s="176" t="n"/>
      <c r="EQ49" s="176" t="n"/>
      <c r="ER49" s="176" t="n"/>
      <c r="ES49" s="176" t="n"/>
      <c r="ET49" s="176" t="n"/>
      <c r="EU49" s="176" t="n"/>
      <c r="EV49" s="176" t="n"/>
      <c r="EW49" s="176" t="n"/>
      <c r="EX49" s="176" t="n"/>
      <c r="EY49" s="176" t="n"/>
      <c r="EZ49" s="176" t="n"/>
      <c r="FA49" s="176" t="n"/>
      <c r="FB49" s="176" t="n"/>
      <c r="FC49" s="176" t="n"/>
      <c r="FD49" s="176" t="n"/>
      <c r="FE49" s="176" t="n"/>
      <c r="FF49" s="176" t="n"/>
      <c r="FG49" s="176" t="n"/>
      <c r="FH49" s="176" t="n"/>
      <c r="FI49" s="176" t="n"/>
      <c r="FJ49" s="176" t="n"/>
      <c r="FK49" s="176" t="n"/>
      <c r="FL49" s="176" t="n"/>
      <c r="FM49" s="176" t="n"/>
    </row>
    <row r="50" ht="15" customHeight="1" s="392">
      <c r="A50" s="176" t="n"/>
      <c r="B50" s="180" t="n"/>
      <c r="C50" s="187" t="inlineStr">
        <is>
          <t>Total Non-Operating Income/(Expenses), Total</t>
        </is>
      </c>
      <c r="D50" s="193">
        <f>IF(COUNT(M50:EN50)&gt;0,MEDIAN(M50:EN50),"")</f>
        <v/>
      </c>
      <c r="E50" s="193">
        <f>IF(COUNT(M50:EN50)&gt;0,AVERAGE(M50:EN50),"")</f>
        <v/>
      </c>
      <c r="F50" s="193">
        <f>IF(COUNT(M50:EN50)&gt;0,MIN(M50:EN50),"")</f>
        <v/>
      </c>
      <c r="G50" s="193">
        <f>IF(COUNT(M50:EN50)&gt;0,MAX(M50:EN50),"")</f>
        <v/>
      </c>
      <c r="H50" s="193">
        <f>IF(COUNT(M50:EN50)&gt;0,QUARTILE(M50:EN50,1),"")</f>
        <v/>
      </c>
      <c r="I50" s="193">
        <f>IF(COUNT(M50:EN50)&gt;0,QUARTILE(M50:EN50,3),"")</f>
        <v/>
      </c>
      <c r="J50" s="193">
        <f>IF(COUNT(M50:EN50)&gt;1,STDEV(M50:EN50),"")</f>
        <v/>
      </c>
      <c r="K50" s="194">
        <f>IF(COUNT(M50:EN50)&gt;1,STDEV(M50:EN50)/AVERAGE(M50:EN50),"")</f>
        <v/>
      </c>
      <c r="L50" s="195" t="n"/>
      <c r="M50" s="196" t="n">
        <v>35807</v>
      </c>
      <c r="N50" s="196" t="n">
        <v>37812</v>
      </c>
      <c r="O50" s="196" t="n">
        <v>52339</v>
      </c>
      <c r="P50" s="196" t="n">
        <v>56429</v>
      </c>
      <c r="Q50" s="196" t="n">
        <v>65817</v>
      </c>
      <c r="R50" s="196" t="n">
        <v>51259</v>
      </c>
      <c r="S50" s="196" t="n">
        <v>36840</v>
      </c>
      <c r="T50" s="196" t="n">
        <v>44951</v>
      </c>
      <c r="U50" s="196" t="n">
        <v>48883</v>
      </c>
      <c r="V50" s="196" t="n">
        <v>34909</v>
      </c>
      <c r="W50" s="196" t="n">
        <v>30853</v>
      </c>
      <c r="X50" s="196" t="n">
        <v>27933</v>
      </c>
      <c r="Y50" s="196" t="n">
        <v>33075</v>
      </c>
      <c r="Z50" s="196" t="n">
        <v>21506</v>
      </c>
      <c r="AA50" s="196" t="n">
        <v>11578</v>
      </c>
      <c r="AB50" s="196" t="n">
        <v>1600</v>
      </c>
      <c r="AC50" s="196" t="n">
        <v>-21325</v>
      </c>
      <c r="AD50" s="196" t="n">
        <v>-3150</v>
      </c>
      <c r="AE50" s="196" t="n">
        <v>-5273</v>
      </c>
      <c r="AF50" s="196" t="n">
        <v>-4295</v>
      </c>
      <c r="AG50" s="196" t="n">
        <v>-2456</v>
      </c>
      <c r="AH50" s="196" t="n">
        <v>-4576</v>
      </c>
      <c r="AI50" s="196" t="n">
        <v>-5769</v>
      </c>
      <c r="AJ50" s="196" t="n">
        <v>-1779</v>
      </c>
      <c r="AK50" s="196" t="n">
        <v>-3832</v>
      </c>
      <c r="AL50" s="196" t="n">
        <v>-3301</v>
      </c>
      <c r="AM50" s="196" t="n">
        <v>-4818</v>
      </c>
      <c r="AN50" s="196" t="n">
        <v>-3309</v>
      </c>
      <c r="AO50" s="196" t="n">
        <v>-5732</v>
      </c>
      <c r="AP50" s="196" t="n">
        <v>-3365</v>
      </c>
      <c r="AQ50" s="196" t="n">
        <v>227</v>
      </c>
      <c r="AR50" s="196" t="n">
        <v>-2654</v>
      </c>
      <c r="AS50" s="196" t="n">
        <v>-3239</v>
      </c>
      <c r="AT50" s="196" t="n">
        <v>-3403</v>
      </c>
      <c r="AU50" s="196" t="n">
        <v>-6509</v>
      </c>
      <c r="AV50" s="196" t="n">
        <v>-9814</v>
      </c>
      <c r="AW50" s="196" t="n">
        <v>-23793</v>
      </c>
      <c r="AX50" s="196" t="n">
        <v>-5700</v>
      </c>
      <c r="AY50" s="196" t="n">
        <v>-8781</v>
      </c>
      <c r="AZ50" s="196" t="n">
        <v>-2290</v>
      </c>
      <c r="BA50" s="196" t="n">
        <v>-206</v>
      </c>
      <c r="BB50" s="196" t="n">
        <v>-5380</v>
      </c>
      <c r="BC50" s="196" t="n">
        <v>-533</v>
      </c>
      <c r="BD50" s="196" t="n">
        <v>-4486</v>
      </c>
      <c r="BE50" s="196" t="n">
        <v>-5319</v>
      </c>
      <c r="BF50" s="196" t="n">
        <v>-6471</v>
      </c>
      <c r="BG50" s="196" t="n">
        <v>-364</v>
      </c>
      <c r="BH50" s="196" t="n">
        <v>-178</v>
      </c>
      <c r="BI50" s="196" t="n">
        <v>-1974</v>
      </c>
      <c r="BJ50" s="196" t="n">
        <v>-30419</v>
      </c>
      <c r="BK50" s="196" t="n">
        <v>-896</v>
      </c>
      <c r="BL50" s="196" t="n">
        <v>-714</v>
      </c>
      <c r="BM50" s="196" t="n">
        <v>-890</v>
      </c>
      <c r="BN50" s="196" t="n">
        <v>-808</v>
      </c>
      <c r="BO50" s="196" t="n">
        <v>-1653</v>
      </c>
      <c r="BP50" s="196" t="n">
        <v>-2769</v>
      </c>
      <c r="BQ50" s="196" t="n">
        <v>-2016</v>
      </c>
      <c r="BR50" s="196" t="n">
        <v>-3397</v>
      </c>
      <c r="BS50" s="196" t="n">
        <v>-10094</v>
      </c>
      <c r="BT50" s="196" t="n">
        <v>-1561</v>
      </c>
      <c r="BU50" s="196" t="n">
        <v>-811</v>
      </c>
      <c r="BV50" s="196" t="n">
        <v>-1694</v>
      </c>
      <c r="BW50" s="196" t="n">
        <v>522</v>
      </c>
      <c r="BX50" s="196" t="n">
        <v>569</v>
      </c>
      <c r="BY50" s="196" t="n">
        <v>466</v>
      </c>
      <c r="BZ50" s="196" t="n">
        <v>-542</v>
      </c>
      <c r="CA50" s="196" t="n">
        <v>-60</v>
      </c>
      <c r="CB50" s="196" t="n">
        <v>560</v>
      </c>
      <c r="CC50" s="196" t="n">
        <v>946</v>
      </c>
      <c r="CD50" s="196" t="n">
        <v>1016</v>
      </c>
      <c r="CE50" s="196" t="n">
        <v>-1391</v>
      </c>
      <c r="CF50" s="196" t="n">
        <v>1254</v>
      </c>
      <c r="CG50" s="196" t="n">
        <v>1690</v>
      </c>
      <c r="CH50" s="196" t="n">
        <v>813</v>
      </c>
      <c r="CI50" s="196" t="n">
        <v>882</v>
      </c>
      <c r="CJ50" s="196" t="n">
        <v>796</v>
      </c>
      <c r="CK50" s="196" t="n">
        <v>696</v>
      </c>
      <c r="CL50" s="196" t="n">
        <v>1256</v>
      </c>
      <c r="CM50" s="196" t="n">
        <v>245</v>
      </c>
      <c r="CN50" s="196" t="n">
        <v>-1565</v>
      </c>
      <c r="CO50" s="196" t="n">
        <v>-4221</v>
      </c>
      <c r="CP50" s="196" t="n">
        <v>-1467</v>
      </c>
      <c r="CQ50" s="196" t="n">
        <v>-96</v>
      </c>
      <c r="CR50" s="196" t="n">
        <v>638</v>
      </c>
      <c r="CS50" s="196" t="n">
        <v>623</v>
      </c>
      <c r="CT50" s="196" t="n">
        <v>701</v>
      </c>
      <c r="CU50" s="196" t="n">
        <v>806</v>
      </c>
      <c r="CV50" s="196" t="n">
        <v>1195</v>
      </c>
      <c r="CW50" s="196" t="n">
        <v>930</v>
      </c>
      <c r="CX50" s="196" t="n">
        <v>-182</v>
      </c>
      <c r="CY50" s="196" t="n">
        <v>2595</v>
      </c>
      <c r="CZ50" s="196" t="n">
        <v>610.9</v>
      </c>
      <c r="DA50" s="196" t="n">
        <v>493.8</v>
      </c>
      <c r="DB50" s="196" t="n">
        <v>537.1</v>
      </c>
      <c r="DC50" s="196" t="n">
        <v>286.2</v>
      </c>
      <c r="DD50" s="196" t="n">
        <v>155.7</v>
      </c>
      <c r="DE50" s="196" t="n">
        <v>586.4</v>
      </c>
      <c r="DF50" s="196" t="n">
        <v>496.9</v>
      </c>
      <c r="DG50" s="196" t="n">
        <v>411.4</v>
      </c>
      <c r="DH50" s="196" t="n">
        <v>393.1</v>
      </c>
      <c r="DI50" s="196" t="n">
        <v>1086.2</v>
      </c>
      <c r="DJ50" s="196" t="n">
        <v>54.5</v>
      </c>
      <c r="DK50" s="196" t="n">
        <v>321</v>
      </c>
      <c r="DL50" s="196" t="n">
        <v>461.1</v>
      </c>
      <c r="DM50" s="196" t="n">
        <v>64.90000000000001</v>
      </c>
      <c r="DN50" s="196" t="n">
        <v>262.9</v>
      </c>
      <c r="DO50" s="196" t="n">
        <v>200</v>
      </c>
      <c r="DP50" s="196" t="n">
        <v>200</v>
      </c>
      <c r="DQ50" s="196" t="n">
        <v>-1000</v>
      </c>
      <c r="DR50" s="196" t="n">
        <v>500</v>
      </c>
      <c r="DS50" s="196" t="n">
        <v>600</v>
      </c>
      <c r="DT50" s="196" t="n">
        <v>700</v>
      </c>
      <c r="DU50" s="196" t="n">
        <v>1100</v>
      </c>
      <c r="DV50" s="196" t="n">
        <v>400</v>
      </c>
      <c r="DW50" s="196" t="n">
        <v>300</v>
      </c>
      <c r="DX50" s="196" t="n">
        <v>300</v>
      </c>
      <c r="DY50" s="196" t="n">
        <v>1100</v>
      </c>
      <c r="DZ50" s="196" t="n">
        <v>200</v>
      </c>
      <c r="EA50" s="196" t="n">
        <v>100</v>
      </c>
      <c r="EB50" s="196" t="n"/>
      <c r="EC50" s="196" t="n">
        <v>500</v>
      </c>
      <c r="ED50" s="196" t="n">
        <v>100</v>
      </c>
      <c r="EE50" s="196" t="n">
        <v>100</v>
      </c>
      <c r="EF50" s="196" t="n">
        <v>100</v>
      </c>
      <c r="EG50" s="196" t="n">
        <v>400</v>
      </c>
      <c r="EH50" s="196" t="n">
        <v>100</v>
      </c>
      <c r="EI50" s="196" t="n"/>
      <c r="EJ50" s="196" t="n"/>
      <c r="EK50" s="196" t="n">
        <v>3000</v>
      </c>
      <c r="EL50" s="196" t="n">
        <v>200</v>
      </c>
      <c r="EM50" s="196" t="n"/>
      <c r="EN50" s="196" t="n"/>
      <c r="EO50" s="182" t="n"/>
      <c r="EP50" s="176" t="n"/>
      <c r="EQ50" s="176" t="n"/>
      <c r="ER50" s="176" t="n"/>
      <c r="ES50" s="176" t="n"/>
      <c r="ET50" s="176" t="n"/>
      <c r="EU50" s="176" t="n"/>
      <c r="EV50" s="176" t="n"/>
      <c r="EW50" s="176" t="n"/>
      <c r="EX50" s="176" t="n"/>
      <c r="EY50" s="176" t="n"/>
      <c r="EZ50" s="176" t="n"/>
      <c r="FA50" s="176" t="n"/>
      <c r="FB50" s="176" t="n"/>
      <c r="FC50" s="176" t="n"/>
      <c r="FD50" s="176" t="n"/>
      <c r="FE50" s="176" t="n"/>
      <c r="FF50" s="176" t="n"/>
      <c r="FG50" s="176" t="n"/>
      <c r="FH50" s="176" t="n"/>
      <c r="FI50" s="176" t="n"/>
      <c r="FJ50" s="176" t="n"/>
      <c r="FK50" s="176" t="n"/>
      <c r="FL50" s="176" t="n"/>
      <c r="FM50" s="176" t="n"/>
    </row>
    <row r="51" ht="15" customHeight="1" s="392">
      <c r="A51" s="176" t="n"/>
      <c r="B51" s="180" t="n"/>
      <c r="C51" s="187" t="inlineStr">
        <is>
          <t>Pretax Income</t>
        </is>
      </c>
      <c r="D51" s="190">
        <f>IF(COUNT(M51:EN51)&gt;0,MEDIAN(M51:EN51),"")</f>
        <v/>
      </c>
      <c r="E51" s="190">
        <f>IF(COUNT(M51:EN51)&gt;0,AVERAGE(M51:EN51),"")</f>
        <v/>
      </c>
      <c r="F51" s="190">
        <f>IF(COUNT(M51:EN51)&gt;0,MIN(M51:EN51),"")</f>
        <v/>
      </c>
      <c r="G51" s="190">
        <f>IF(COUNT(M51:EN51)&gt;0,MAX(M51:EN51),"")</f>
        <v/>
      </c>
      <c r="H51" s="190">
        <f>IF(COUNT(M51:EN51)&gt;0,QUARTILE(M51:EN51,1),"")</f>
        <v/>
      </c>
      <c r="I51" s="190">
        <f>IF(COUNT(M51:EN51)&gt;0,QUARTILE(M51:EN51,3),"")</f>
        <v/>
      </c>
      <c r="J51" s="190">
        <f>IF(COUNT(M51:EN51)&gt;1,STDEV(M51:EN51),"")</f>
        <v/>
      </c>
      <c r="K51" s="191">
        <f>IF(COUNT(M51:EN51)&gt;1,STDEV(M51:EN51)/AVERAGE(M51:EN51),"")</f>
        <v/>
      </c>
      <c r="M51" s="192" t="n">
        <v>404711</v>
      </c>
      <c r="N51" s="192" t="n">
        <v>502094</v>
      </c>
      <c r="O51" s="192" t="n">
        <v>441049</v>
      </c>
      <c r="P51" s="192" t="n">
        <v>487123</v>
      </c>
      <c r="Q51" s="192" t="n">
        <v>478408</v>
      </c>
      <c r="R51" s="192" t="n">
        <v>502804</v>
      </c>
      <c r="S51" s="192" t="n">
        <v>463051</v>
      </c>
      <c r="T51" s="192" t="n">
        <v>451318</v>
      </c>
      <c r="U51" s="192" t="n">
        <v>408427</v>
      </c>
      <c r="V51" s="192" t="n">
        <v>472112</v>
      </c>
      <c r="W51" s="192" t="n">
        <v>410753</v>
      </c>
      <c r="X51" s="192" t="n">
        <v>423309</v>
      </c>
      <c r="Y51" s="192" t="n">
        <v>423692</v>
      </c>
      <c r="Z51" s="192" t="n">
        <v>440430</v>
      </c>
      <c r="AA51" s="192" t="n">
        <v>377103</v>
      </c>
      <c r="AB51" s="192" t="n">
        <v>313103</v>
      </c>
      <c r="AC51" s="192" t="n">
        <v>303468</v>
      </c>
      <c r="AD51" s="192" t="n">
        <v>369605</v>
      </c>
      <c r="AE51" s="192" t="n">
        <v>342055</v>
      </c>
      <c r="AF51" s="192" t="n">
        <v>325826</v>
      </c>
      <c r="AG51" s="192" t="n">
        <v>299044</v>
      </c>
      <c r="AH51" s="192" t="n">
        <v>323535</v>
      </c>
      <c r="AI51" s="192" t="n">
        <v>252452</v>
      </c>
      <c r="AJ51" s="192" t="n">
        <v>246815</v>
      </c>
      <c r="AK51" s="192" t="n">
        <v>201883</v>
      </c>
      <c r="AL51" s="192" t="n">
        <v>191800</v>
      </c>
      <c r="AM51" s="192" t="n">
        <v>205074</v>
      </c>
      <c r="AN51" s="192" t="n">
        <v>202082</v>
      </c>
      <c r="AO51" s="192" t="n">
        <v>187070</v>
      </c>
      <c r="AP51" s="192" t="n">
        <v>204129</v>
      </c>
      <c r="AQ51" s="192" t="n">
        <v>164966</v>
      </c>
      <c r="AR51" s="192" t="n">
        <v>148786</v>
      </c>
      <c r="AS51" s="192" t="n">
        <v>132729</v>
      </c>
      <c r="AT51" s="192" t="n">
        <v>171216</v>
      </c>
      <c r="AU51" s="192" t="n">
        <v>144438</v>
      </c>
      <c r="AV51" s="192" t="n">
        <v>114128</v>
      </c>
      <c r="AW51" s="192" t="n">
        <v>106379</v>
      </c>
      <c r="AX51" s="192" t="n">
        <v>131088</v>
      </c>
      <c r="AY51" s="192" t="n">
        <v>100099</v>
      </c>
      <c r="AZ51" s="192" t="n">
        <v>102534</v>
      </c>
      <c r="BA51" s="192" t="n">
        <v>105985</v>
      </c>
      <c r="BB51" s="192" t="n">
        <v>116568</v>
      </c>
      <c r="BC51" s="192" t="n">
        <v>91552</v>
      </c>
      <c r="BD51" s="192" t="n">
        <v>81760</v>
      </c>
      <c r="BE51" s="192" t="n">
        <v>81446</v>
      </c>
      <c r="BF51" s="192" t="n">
        <v>88296</v>
      </c>
      <c r="BG51" s="192" t="n">
        <v>80104</v>
      </c>
      <c r="BH51" s="192" t="n">
        <v>82223</v>
      </c>
      <c r="BI51" s="192" t="n">
        <v>73884</v>
      </c>
      <c r="BJ51" s="192" t="n">
        <v>61318</v>
      </c>
      <c r="BK51" s="192" t="n">
        <v>70588</v>
      </c>
      <c r="BL51" s="192" t="n">
        <v>64245</v>
      </c>
      <c r="BM51" s="192" t="n">
        <v>62162</v>
      </c>
      <c r="BN51" s="192" t="n">
        <v>82005</v>
      </c>
      <c r="BO51" s="192" t="n">
        <v>61117</v>
      </c>
      <c r="BP51" s="192" t="n">
        <v>71588</v>
      </c>
      <c r="BQ51" s="192" t="n">
        <v>67478</v>
      </c>
      <c r="BR51" s="192" t="n">
        <v>84547</v>
      </c>
      <c r="BS51" s="192" t="n">
        <v>62216</v>
      </c>
      <c r="BT51" s="192" t="n">
        <v>63815</v>
      </c>
      <c r="BU51" s="192" t="n">
        <v>62644</v>
      </c>
      <c r="BV51" s="192" t="n">
        <v>80350</v>
      </c>
      <c r="BW51" s="192" t="n">
        <v>60717</v>
      </c>
      <c r="BX51" s="192" t="n">
        <v>60163</v>
      </c>
      <c r="BY51" s="192" t="n">
        <v>57686</v>
      </c>
      <c r="BZ51" s="192" t="n">
        <v>71584</v>
      </c>
      <c r="CA51" s="192" t="n">
        <v>53172</v>
      </c>
      <c r="CB51" s="192" t="n">
        <v>57052</v>
      </c>
      <c r="CC51" s="192" t="n">
        <v>56335</v>
      </c>
      <c r="CD51" s="192" t="n">
        <v>65896</v>
      </c>
      <c r="CE51" s="192" t="n">
        <v>44178</v>
      </c>
      <c r="CF51" s="192" t="n">
        <v>61320</v>
      </c>
      <c r="CG51" s="192" t="n">
        <v>68022</v>
      </c>
      <c r="CH51" s="192" t="n">
        <v>70874</v>
      </c>
      <c r="CI51" s="192" t="n">
        <v>50589</v>
      </c>
      <c r="CJ51" s="192" t="n">
        <v>60166</v>
      </c>
      <c r="CK51" s="192" t="n">
        <v>58350</v>
      </c>
      <c r="CL51" s="192" t="n">
        <v>62025</v>
      </c>
      <c r="CM51" s="192" t="n">
        <v>48692</v>
      </c>
      <c r="CN51" s="192" t="n">
        <v>48355</v>
      </c>
      <c r="CO51" s="192" t="n">
        <v>45701</v>
      </c>
      <c r="CP51" s="192" t="n">
        <v>53689</v>
      </c>
      <c r="CQ51" s="192" t="n">
        <v>38724</v>
      </c>
      <c r="CR51" s="192" t="n">
        <v>36412</v>
      </c>
      <c r="CS51" s="192" t="n">
        <v>40040</v>
      </c>
      <c r="CT51" s="192" t="n">
        <v>49371</v>
      </c>
      <c r="CU51" s="192" t="n">
        <v>38343</v>
      </c>
      <c r="CV51" s="192" t="n">
        <v>37042</v>
      </c>
      <c r="CW51" s="192" t="n">
        <v>35269</v>
      </c>
      <c r="CX51" s="192" t="n">
        <v>40555</v>
      </c>
      <c r="CY51" s="192" t="n">
        <v>28708</v>
      </c>
      <c r="CZ51" s="192" t="n">
        <v>25191.9</v>
      </c>
      <c r="DA51" s="192" t="n">
        <v>21863.1</v>
      </c>
      <c r="DB51" s="192" t="n">
        <v>25480.8</v>
      </c>
      <c r="DC51" s="192" t="n">
        <v>22514.7</v>
      </c>
      <c r="DD51" s="192" t="n">
        <v>24308.3</v>
      </c>
      <c r="DE51" s="192" t="n">
        <v>25504.3</v>
      </c>
      <c r="DF51" s="192" t="n">
        <v>26992.5</v>
      </c>
      <c r="DG51" s="192" t="n">
        <v>20072.7</v>
      </c>
      <c r="DH51" s="192" t="n">
        <v>21087.9</v>
      </c>
      <c r="DI51" s="192" t="n">
        <v>21697.1</v>
      </c>
      <c r="DJ51" s="192" t="n">
        <v>19270.4</v>
      </c>
      <c r="DK51" s="192" t="n">
        <v>15453.2</v>
      </c>
      <c r="DL51" s="192" t="n">
        <v>14623</v>
      </c>
      <c r="DM51" s="192" t="n">
        <v>13393.6</v>
      </c>
      <c r="DN51" s="192" t="n">
        <v>13549.6</v>
      </c>
      <c r="DO51" s="192" t="n">
        <v>10800</v>
      </c>
      <c r="DP51" s="192" t="n">
        <v>10300</v>
      </c>
      <c r="DQ51" s="192" t="n">
        <v>10400</v>
      </c>
      <c r="DR51" s="192" t="n">
        <v>10100</v>
      </c>
      <c r="DS51" s="192" t="n">
        <v>7800</v>
      </c>
      <c r="DT51" s="192" t="n">
        <v>6900</v>
      </c>
      <c r="DU51" s="192" t="n">
        <v>7000</v>
      </c>
      <c r="DV51" s="192" t="n">
        <v>7100</v>
      </c>
      <c r="DW51" s="192" t="n">
        <v>5700</v>
      </c>
      <c r="DX51" s="192" t="n">
        <v>5100</v>
      </c>
      <c r="DY51" s="192" t="n">
        <v>5100</v>
      </c>
      <c r="DZ51" s="192" t="n">
        <v>5500</v>
      </c>
      <c r="EA51" s="192" t="n">
        <v>5000</v>
      </c>
      <c r="EB51" s="192" t="n">
        <v>3800</v>
      </c>
      <c r="EC51" s="192" t="n">
        <v>4200</v>
      </c>
      <c r="ED51" s="192" t="n">
        <v>4700</v>
      </c>
      <c r="EE51" s="192" t="n">
        <v>5000</v>
      </c>
      <c r="EF51" s="192" t="n">
        <v>4300</v>
      </c>
      <c r="EG51" s="192" t="n">
        <v>3600</v>
      </c>
      <c r="EH51" s="192" t="n">
        <v>3200</v>
      </c>
      <c r="EI51" s="192" t="n">
        <v>2600</v>
      </c>
      <c r="EJ51" s="192" t="n">
        <v>2100</v>
      </c>
      <c r="EK51" s="192" t="n">
        <v>4700</v>
      </c>
      <c r="EL51" s="192" t="n">
        <v>1000</v>
      </c>
      <c r="EM51" s="192" t="n"/>
      <c r="EN51" s="192" t="n"/>
      <c r="EO51" s="182" t="n"/>
      <c r="EP51" s="176" t="n"/>
      <c r="EQ51" s="176" t="n"/>
      <c r="ER51" s="176" t="n"/>
      <c r="ES51" s="176" t="n"/>
      <c r="ET51" s="176" t="n"/>
      <c r="EU51" s="176" t="n"/>
      <c r="EV51" s="176" t="n"/>
      <c r="EW51" s="176" t="n"/>
      <c r="EX51" s="176" t="n"/>
      <c r="EY51" s="176" t="n"/>
      <c r="EZ51" s="176" t="n"/>
      <c r="FA51" s="176" t="n"/>
      <c r="FB51" s="176" t="n"/>
      <c r="FC51" s="176" t="n"/>
      <c r="FD51" s="176" t="n"/>
      <c r="FE51" s="176" t="n"/>
      <c r="FF51" s="176" t="n"/>
      <c r="FG51" s="176" t="n"/>
      <c r="FH51" s="176" t="n"/>
      <c r="FI51" s="176" t="n"/>
      <c r="FJ51" s="176" t="n"/>
      <c r="FK51" s="176" t="n"/>
      <c r="FL51" s="176" t="n"/>
      <c r="FM51" s="176" t="n"/>
    </row>
    <row r="52" ht="15" customHeight="1" s="392">
      <c r="A52" s="176" t="n"/>
      <c r="B52" s="180" t="n"/>
      <c r="C52" s="187" t="inlineStr">
        <is>
          <t>Provision for Income Tax</t>
        </is>
      </c>
      <c r="D52" s="190">
        <f>IF(COUNT(M52:EN52)&gt;0,MEDIAN(M52:EN52),"")</f>
        <v/>
      </c>
      <c r="E52" s="190">
        <f>IF(COUNT(M52:EN52)&gt;0,AVERAGE(M52:EN52),"")</f>
        <v/>
      </c>
      <c r="F52" s="190">
        <f>IF(COUNT(M52:EN52)&gt;0,MIN(M52:EN52),"")</f>
        <v/>
      </c>
      <c r="G52" s="190">
        <f>IF(COUNT(M52:EN52)&gt;0,MAX(M52:EN52),"")</f>
        <v/>
      </c>
      <c r="H52" s="190">
        <f>IF(COUNT(M52:EN52)&gt;0,QUARTILE(M52:EN52,1),"")</f>
        <v/>
      </c>
      <c r="I52" s="190">
        <f>IF(COUNT(M52:EN52)&gt;0,QUARTILE(M52:EN52,3),"")</f>
        <v/>
      </c>
      <c r="J52" s="190">
        <f>IF(COUNT(M52:EN52)&gt;1,STDEV(M52:EN52),"")</f>
        <v/>
      </c>
      <c r="K52" s="191">
        <f>IF(COUNT(M52:EN52)&gt;1,STDEV(M52:EN52)/AVERAGE(M52:EN52),"")</f>
        <v/>
      </c>
      <c r="M52" s="192" t="n">
        <v>77884</v>
      </c>
      <c r="N52" s="192" t="n">
        <v>100701</v>
      </c>
      <c r="O52" s="192" t="n">
        <v>91082</v>
      </c>
      <c r="P52" s="192" t="n">
        <v>84913</v>
      </c>
      <c r="Q52" s="192" t="n">
        <v>83100</v>
      </c>
      <c r="R52" s="192" t="n">
        <v>97466</v>
      </c>
      <c r="S52" s="192" t="n">
        <v>76510</v>
      </c>
      <c r="T52" s="192" t="n">
        <v>90142</v>
      </c>
      <c r="U52" s="192" t="n">
        <v>86249</v>
      </c>
      <c r="V52" s="192" t="n">
        <v>90002</v>
      </c>
      <c r="W52" s="192" t="n">
        <v>85226</v>
      </c>
      <c r="X52" s="192" t="n">
        <v>90777</v>
      </c>
      <c r="Y52" s="192" t="n">
        <v>75907</v>
      </c>
      <c r="Z52" s="192" t="n">
        <v>89999</v>
      </c>
      <c r="AA52" s="192" t="n">
        <v>83426</v>
      </c>
      <c r="AB52" s="192" t="n">
        <v>67255</v>
      </c>
      <c r="AC52" s="192" t="n">
        <v>39733</v>
      </c>
      <c r="AD52" s="192" t="n">
        <v>90985</v>
      </c>
      <c r="AE52" s="192" t="n">
        <v>54643</v>
      </c>
      <c r="AF52" s="192" t="n">
        <v>65463</v>
      </c>
      <c r="AG52" s="192" t="n">
        <v>43070</v>
      </c>
      <c r="AH52" s="192" t="n">
        <v>36739</v>
      </c>
      <c r="AI52" s="192" t="n">
        <v>59012</v>
      </c>
      <c r="AJ52" s="192" t="n">
        <v>46530</v>
      </c>
      <c r="AK52" s="192" t="n">
        <v>36350</v>
      </c>
      <c r="AL52" s="192" t="n">
        <v>44313</v>
      </c>
      <c r="AM52" s="192" t="n">
        <v>36367</v>
      </c>
      <c r="AN52" s="192" t="n">
        <v>-16098</v>
      </c>
      <c r="AO52" s="192" t="n">
        <v>33574</v>
      </c>
      <c r="AP52" s="192" t="n">
        <v>11388</v>
      </c>
      <c r="AQ52" s="192" t="n">
        <v>33593</v>
      </c>
      <c r="AR52" s="192" t="n">
        <v>34703</v>
      </c>
      <c r="AS52" s="192" t="n">
        <v>22988</v>
      </c>
      <c r="AT52" s="192" t="n">
        <v>43811</v>
      </c>
      <c r="AU52" s="192" t="n">
        <v>41137</v>
      </c>
      <c r="AV52" s="192" t="n">
        <v>36568</v>
      </c>
      <c r="AW52" s="192" t="n">
        <v>36010</v>
      </c>
      <c r="AX52" s="192" t="n">
        <v>40542</v>
      </c>
      <c r="AY52" s="192" t="n">
        <v>34033</v>
      </c>
      <c r="AZ52" s="192" t="n">
        <v>-64746</v>
      </c>
      <c r="BA52" s="192" t="n">
        <v>21863</v>
      </c>
      <c r="BB52" s="192" t="n">
        <v>41944</v>
      </c>
      <c r="BC52" s="192" t="n">
        <v>32548</v>
      </c>
      <c r="BD52" s="192" t="n">
        <v>29150</v>
      </c>
      <c r="BE52" s="192" t="n">
        <v>24034</v>
      </c>
      <c r="BF52" s="192" t="n">
        <v>30733</v>
      </c>
      <c r="BG52" s="192" t="n">
        <v>27911</v>
      </c>
      <c r="BH52" s="192" t="n">
        <v>29608</v>
      </c>
      <c r="BI52" s="192" t="n">
        <v>22841</v>
      </c>
      <c r="BJ52" s="192" t="n">
        <v>20441</v>
      </c>
      <c r="BK52" s="192" t="n">
        <v>25243</v>
      </c>
      <c r="BL52" s="192" t="n">
        <v>22823</v>
      </c>
      <c r="BM52" s="192" t="n">
        <v>20858</v>
      </c>
      <c r="BN52" s="192" t="n">
        <v>28769</v>
      </c>
      <c r="BO52" s="192" t="n">
        <v>21477</v>
      </c>
      <c r="BP52" s="192" t="n">
        <v>25743</v>
      </c>
      <c r="BQ52" s="192" t="n">
        <v>22582</v>
      </c>
      <c r="BR52" s="192" t="n">
        <v>29076</v>
      </c>
      <c r="BS52" s="192" t="n">
        <v>21613</v>
      </c>
      <c r="BT52" s="192" t="n">
        <v>22666</v>
      </c>
      <c r="BU52" s="192" t="n">
        <v>22123</v>
      </c>
      <c r="BV52" s="192" t="n">
        <v>30214</v>
      </c>
      <c r="BW52" s="192" t="n">
        <v>22824</v>
      </c>
      <c r="BX52" s="192" t="n">
        <v>22340</v>
      </c>
      <c r="BY52" s="192" t="n">
        <v>21453</v>
      </c>
      <c r="BZ52" s="192" t="n">
        <v>27194</v>
      </c>
      <c r="CA52" s="192" t="n">
        <v>17439</v>
      </c>
      <c r="CB52" s="192" t="n">
        <v>21782</v>
      </c>
      <c r="CC52" s="192" t="n">
        <v>21708</v>
      </c>
      <c r="CD52" s="192" t="n">
        <v>25384</v>
      </c>
      <c r="CE52" s="192" t="n">
        <v>17028</v>
      </c>
      <c r="CF52" s="192" t="n">
        <v>24066</v>
      </c>
      <c r="CG52" s="192" t="n">
        <v>27201</v>
      </c>
      <c r="CH52" s="192" t="n">
        <v>24397</v>
      </c>
      <c r="CI52" s="192" t="n">
        <v>18563</v>
      </c>
      <c r="CJ52" s="192" t="n">
        <v>22556</v>
      </c>
      <c r="CK52" s="192" t="n">
        <v>21615</v>
      </c>
      <c r="CL52" s="192" t="n">
        <v>23158</v>
      </c>
      <c r="CM52" s="192" t="n">
        <v>18300</v>
      </c>
      <c r="CN52" s="192" t="n">
        <v>18010</v>
      </c>
      <c r="CO52" s="192" t="n">
        <v>14912</v>
      </c>
      <c r="CP52" s="192" t="n">
        <v>20509</v>
      </c>
      <c r="CQ52" s="192" t="n">
        <v>12606</v>
      </c>
      <c r="CR52" s="192" t="n">
        <v>13746</v>
      </c>
      <c r="CS52" s="192" t="n">
        <v>14943</v>
      </c>
      <c r="CT52" s="192" t="n">
        <v>18658</v>
      </c>
      <c r="CU52" s="192" t="n">
        <v>14877</v>
      </c>
      <c r="CV52" s="192" t="n">
        <v>14372</v>
      </c>
      <c r="CW52" s="192" t="n">
        <v>14048</v>
      </c>
      <c r="CX52" s="192" t="n">
        <v>15590</v>
      </c>
      <c r="CY52" s="192" t="n">
        <v>11340</v>
      </c>
      <c r="CZ52" s="192" t="n">
        <v>9950.799999999999</v>
      </c>
      <c r="DA52" s="192" t="n">
        <v>8526.9</v>
      </c>
      <c r="DB52" s="192" t="n">
        <v>10058</v>
      </c>
      <c r="DC52" s="192" t="n">
        <v>8758.200000000001</v>
      </c>
      <c r="DD52" s="192" t="n">
        <v>9601.799999999999</v>
      </c>
      <c r="DE52" s="192" t="n">
        <v>9969.1</v>
      </c>
      <c r="DF52" s="192" t="n">
        <v>10392.1</v>
      </c>
      <c r="DG52" s="192" t="n">
        <v>7577.5</v>
      </c>
      <c r="DH52" s="192" t="n">
        <v>8329.700000000001</v>
      </c>
      <c r="DI52" s="192" t="n">
        <v>8765.700000000001</v>
      </c>
      <c r="DJ52" s="192" t="n">
        <v>7785.2</v>
      </c>
      <c r="DK52" s="192" t="n">
        <v>6104</v>
      </c>
      <c r="DL52" s="192" t="n">
        <v>5703.8</v>
      </c>
      <c r="DM52" s="192" t="n">
        <v>5231.4</v>
      </c>
      <c r="DN52" s="192" t="n">
        <v>5213.5</v>
      </c>
      <c r="DO52" s="192" t="n">
        <v>4200</v>
      </c>
      <c r="DP52" s="192" t="n">
        <v>4000</v>
      </c>
      <c r="DQ52" s="192" t="n">
        <v>3700</v>
      </c>
      <c r="DR52" s="192" t="n">
        <v>3800</v>
      </c>
      <c r="DS52" s="192" t="n">
        <v>3000</v>
      </c>
      <c r="DT52" s="192" t="n">
        <v>2700</v>
      </c>
      <c r="DU52" s="192" t="n">
        <v>2700</v>
      </c>
      <c r="DV52" s="192" t="n">
        <v>2800</v>
      </c>
      <c r="DW52" s="192" t="n">
        <v>2200</v>
      </c>
      <c r="DX52" s="192" t="n">
        <v>2000</v>
      </c>
      <c r="DY52" s="192" t="n">
        <v>1700</v>
      </c>
      <c r="DZ52" s="192" t="n">
        <v>2200</v>
      </c>
      <c r="EA52" s="192" t="n">
        <v>2000</v>
      </c>
      <c r="EB52" s="192" t="n">
        <v>1500</v>
      </c>
      <c r="EC52" s="192" t="n">
        <v>1400</v>
      </c>
      <c r="ED52" s="192" t="n">
        <v>1900</v>
      </c>
      <c r="EE52" s="192" t="n">
        <v>2000</v>
      </c>
      <c r="EF52" s="192" t="n">
        <v>1700</v>
      </c>
      <c r="EG52" s="192" t="n">
        <v>1400</v>
      </c>
      <c r="EH52" s="192" t="n">
        <v>1300</v>
      </c>
      <c r="EI52" s="192" t="n">
        <v>1000</v>
      </c>
      <c r="EJ52" s="192" t="n">
        <v>800</v>
      </c>
      <c r="EK52" s="192" t="n">
        <v>1900</v>
      </c>
      <c r="EL52" s="192" t="n">
        <v>400</v>
      </c>
      <c r="EM52" s="192" t="n"/>
      <c r="EN52" s="192" t="n"/>
      <c r="EO52" s="182" t="n"/>
      <c r="EP52" s="176" t="n"/>
      <c r="EQ52" s="176" t="n"/>
      <c r="ER52" s="176" t="n"/>
      <c r="ES52" s="176" t="n"/>
      <c r="ET52" s="176" t="n"/>
      <c r="EU52" s="176" t="n"/>
      <c r="EV52" s="176" t="n"/>
      <c r="EW52" s="176" t="n"/>
      <c r="EX52" s="176" t="n"/>
      <c r="EY52" s="176" t="n"/>
      <c r="EZ52" s="176" t="n"/>
      <c r="FA52" s="176" t="n"/>
      <c r="FB52" s="176" t="n"/>
      <c r="FC52" s="176" t="n"/>
      <c r="FD52" s="176" t="n"/>
      <c r="FE52" s="176" t="n"/>
      <c r="FF52" s="176" t="n"/>
      <c r="FG52" s="176" t="n"/>
      <c r="FH52" s="176" t="n"/>
      <c r="FI52" s="176" t="n"/>
      <c r="FJ52" s="176" t="n"/>
      <c r="FK52" s="176" t="n"/>
      <c r="FL52" s="176" t="n"/>
      <c r="FM52" s="176" t="n"/>
    </row>
    <row r="53" ht="15" customHeight="1" s="392">
      <c r="A53" s="176" t="n"/>
      <c r="B53" s="180" t="n"/>
      <c r="C53" s="187" t="inlineStr">
        <is>
          <t>Net Income from Continuing Operations</t>
        </is>
      </c>
      <c r="D53" s="190">
        <f>IF(COUNT(M53:EN53)&gt;0,MEDIAN(M53:EN53),"")</f>
        <v/>
      </c>
      <c r="E53" s="190">
        <f>IF(COUNT(M53:EN53)&gt;0,AVERAGE(M53:EN53),"")</f>
        <v/>
      </c>
      <c r="F53" s="190">
        <f>IF(COUNT(M53:EN53)&gt;0,MIN(M53:EN53),"")</f>
        <v/>
      </c>
      <c r="G53" s="190">
        <f>IF(COUNT(M53:EN53)&gt;0,MAX(M53:EN53),"")</f>
        <v/>
      </c>
      <c r="H53" s="190">
        <f>IF(COUNT(M53:EN53)&gt;0,QUARTILE(M53:EN53,1),"")</f>
        <v/>
      </c>
      <c r="I53" s="190">
        <f>IF(COUNT(M53:EN53)&gt;0,QUARTILE(M53:EN53,3),"")</f>
        <v/>
      </c>
      <c r="J53" s="190">
        <f>IF(COUNT(M53:EN53)&gt;1,STDEV(M53:EN53),"")</f>
        <v/>
      </c>
      <c r="K53" s="191">
        <f>IF(COUNT(M53:EN53)&gt;1,STDEV(M53:EN53)/AVERAGE(M53:EN53),"")</f>
        <v/>
      </c>
      <c r="M53" s="192" t="n">
        <v>326827</v>
      </c>
      <c r="N53" s="192" t="n">
        <v>401393</v>
      </c>
      <c r="O53" s="192" t="n">
        <v>349967</v>
      </c>
      <c r="P53" s="192" t="n">
        <v>402210</v>
      </c>
      <c r="Q53" s="192" t="n">
        <v>395308</v>
      </c>
      <c r="R53" s="192" t="n">
        <v>405338</v>
      </c>
      <c r="S53" s="192" t="n">
        <v>386541</v>
      </c>
      <c r="T53" s="192" t="n">
        <v>361176</v>
      </c>
      <c r="U53" s="192" t="n">
        <v>322178</v>
      </c>
      <c r="V53" s="192" t="n">
        <v>382110</v>
      </c>
      <c r="W53" s="192" t="n">
        <v>325527</v>
      </c>
      <c r="X53" s="192" t="n">
        <v>332532</v>
      </c>
      <c r="Y53" s="192" t="n">
        <v>347785</v>
      </c>
      <c r="Z53" s="192" t="n">
        <v>350431</v>
      </c>
      <c r="AA53" s="192" t="n">
        <v>293677</v>
      </c>
      <c r="AB53" s="192" t="n">
        <v>245848</v>
      </c>
      <c r="AC53" s="192" t="n">
        <v>263735</v>
      </c>
      <c r="AD53" s="192" t="n">
        <v>278620</v>
      </c>
      <c r="AE53" s="192" t="n">
        <v>287412</v>
      </c>
      <c r="AF53" s="192" t="n">
        <v>260363</v>
      </c>
      <c r="AG53" s="192" t="n">
        <v>255974</v>
      </c>
      <c r="AH53" s="192" t="n">
        <v>286796</v>
      </c>
      <c r="AI53" s="192" t="n">
        <v>193440</v>
      </c>
      <c r="AJ53" s="192" t="n">
        <v>200285</v>
      </c>
      <c r="AK53" s="192" t="n">
        <v>165533</v>
      </c>
      <c r="AL53" s="192" t="n">
        <v>147487</v>
      </c>
      <c r="AM53" s="192" t="n">
        <v>168707</v>
      </c>
      <c r="AN53" s="192" t="n">
        <v>218180</v>
      </c>
      <c r="AO53" s="192" t="n">
        <v>153496</v>
      </c>
      <c r="AP53" s="192" t="n">
        <v>192741</v>
      </c>
      <c r="AQ53" s="192" t="n">
        <v>131373</v>
      </c>
      <c r="AR53" s="192" t="n">
        <v>114083</v>
      </c>
      <c r="AS53" s="192" t="n">
        <v>109741</v>
      </c>
      <c r="AT53" s="192" t="n">
        <v>127405</v>
      </c>
      <c r="AU53" s="192" t="n">
        <v>103301</v>
      </c>
      <c r="AV53" s="192" t="n">
        <v>77560</v>
      </c>
      <c r="AW53" s="192" t="n">
        <v>70369</v>
      </c>
      <c r="AX53" s="192" t="n">
        <v>90546</v>
      </c>
      <c r="AY53" s="192" t="n">
        <v>66066</v>
      </c>
      <c r="AZ53" s="192" t="n">
        <v>167280</v>
      </c>
      <c r="BA53" s="192" t="n">
        <v>84122</v>
      </c>
      <c r="BB53" s="192" t="n">
        <v>74624</v>
      </c>
      <c r="BC53" s="192" t="n">
        <v>59004</v>
      </c>
      <c r="BD53" s="192" t="n">
        <v>52610</v>
      </c>
      <c r="BE53" s="192" t="n">
        <v>57412</v>
      </c>
      <c r="BF53" s="192" t="n">
        <v>57563</v>
      </c>
      <c r="BG53" s="192" t="n">
        <v>52193</v>
      </c>
      <c r="BH53" s="192" t="n">
        <v>52615</v>
      </c>
      <c r="BI53" s="192" t="n">
        <v>51043</v>
      </c>
      <c r="BJ53" s="192" t="n">
        <v>40877</v>
      </c>
      <c r="BK53" s="192" t="n">
        <v>45345</v>
      </c>
      <c r="BL53" s="192" t="n">
        <v>41422</v>
      </c>
      <c r="BM53" s="192" t="n">
        <v>41304</v>
      </c>
      <c r="BN53" s="192" t="n">
        <v>53236</v>
      </c>
      <c r="BO53" s="192" t="n">
        <v>39640</v>
      </c>
      <c r="BP53" s="192" t="n">
        <v>45845</v>
      </c>
      <c r="BQ53" s="192" t="n">
        <v>44896</v>
      </c>
      <c r="BR53" s="192" t="n">
        <v>55471</v>
      </c>
      <c r="BS53" s="192" t="n">
        <v>40603</v>
      </c>
      <c r="BT53" s="192" t="n">
        <v>41149</v>
      </c>
      <c r="BU53" s="192" t="n">
        <v>40521</v>
      </c>
      <c r="BV53" s="192" t="n">
        <v>50136</v>
      </c>
      <c r="BW53" s="192" t="n">
        <v>37893</v>
      </c>
      <c r="BX53" s="192" t="n">
        <v>37823</v>
      </c>
      <c r="BY53" s="192" t="n">
        <v>36233</v>
      </c>
      <c r="BZ53" s="192" t="n">
        <v>44390</v>
      </c>
      <c r="CA53" s="192" t="n">
        <v>35733</v>
      </c>
      <c r="CB53" s="192" t="n">
        <v>35270</v>
      </c>
      <c r="CC53" s="192" t="n">
        <v>34627</v>
      </c>
      <c r="CD53" s="192" t="n">
        <v>40512</v>
      </c>
      <c r="CE53" s="192" t="n">
        <v>27150</v>
      </c>
      <c r="CF53" s="192" t="n">
        <v>37254</v>
      </c>
      <c r="CG53" s="192" t="n">
        <v>40821</v>
      </c>
      <c r="CH53" s="192" t="n">
        <v>46477</v>
      </c>
      <c r="CI53" s="192" t="n">
        <v>32026</v>
      </c>
      <c r="CJ53" s="192" t="n">
        <v>37610</v>
      </c>
      <c r="CK53" s="192" t="n">
        <v>36735</v>
      </c>
      <c r="CL53" s="192" t="n">
        <v>38867</v>
      </c>
      <c r="CM53" s="192" t="n">
        <v>30392</v>
      </c>
      <c r="CN53" s="192" t="n">
        <v>30345</v>
      </c>
      <c r="CO53" s="192" t="n">
        <v>30789</v>
      </c>
      <c r="CP53" s="192" t="n">
        <v>33180</v>
      </c>
      <c r="CQ53" s="192" t="n">
        <v>26118</v>
      </c>
      <c r="CR53" s="192" t="n">
        <v>22666</v>
      </c>
      <c r="CS53" s="192" t="n">
        <v>25097</v>
      </c>
      <c r="CT53" s="192" t="n">
        <v>30713</v>
      </c>
      <c r="CU53" s="192" t="n">
        <v>23466</v>
      </c>
      <c r="CV53" s="192" t="n">
        <v>22670</v>
      </c>
      <c r="CW53" s="192" t="n">
        <v>21221</v>
      </c>
      <c r="CX53" s="192" t="n">
        <v>24964</v>
      </c>
      <c r="CY53" s="192" t="n">
        <v>17368</v>
      </c>
      <c r="CZ53" s="192" t="n">
        <v>15241.1</v>
      </c>
      <c r="DA53" s="192" t="n">
        <v>13336.2</v>
      </c>
      <c r="DB53" s="192" t="n">
        <v>15422.8</v>
      </c>
      <c r="DC53" s="192" t="n">
        <v>13756.5</v>
      </c>
      <c r="DD53" s="192" t="n">
        <v>14706.5</v>
      </c>
      <c r="DE53" s="192" t="n">
        <v>15535.2</v>
      </c>
      <c r="DF53" s="192" t="n">
        <v>16600.4</v>
      </c>
      <c r="DG53" s="192" t="n">
        <v>12495.2</v>
      </c>
      <c r="DH53" s="192" t="n">
        <v>12758.2</v>
      </c>
      <c r="DI53" s="192" t="n">
        <v>12931.4</v>
      </c>
      <c r="DJ53" s="192" t="n">
        <v>11485.2</v>
      </c>
      <c r="DK53" s="192" t="n">
        <v>9349.200000000001</v>
      </c>
      <c r="DL53" s="192" t="n">
        <v>8919.200000000001</v>
      </c>
      <c r="DM53" s="192" t="n">
        <v>8162.2</v>
      </c>
      <c r="DN53" s="192" t="n">
        <v>8336.1</v>
      </c>
      <c r="DO53" s="192" t="n">
        <v>6600</v>
      </c>
      <c r="DP53" s="192" t="n">
        <v>6300</v>
      </c>
      <c r="DQ53" s="192" t="n">
        <v>6700</v>
      </c>
      <c r="DR53" s="192" t="n">
        <v>6300</v>
      </c>
      <c r="DS53" s="192" t="n">
        <v>4800</v>
      </c>
      <c r="DT53" s="192" t="n">
        <v>4200</v>
      </c>
      <c r="DU53" s="192" t="n">
        <v>4300</v>
      </c>
      <c r="DV53" s="192" t="n">
        <v>4300</v>
      </c>
      <c r="DW53" s="192" t="n">
        <v>3500</v>
      </c>
      <c r="DX53" s="192" t="n">
        <v>3100</v>
      </c>
      <c r="DY53" s="192" t="n">
        <v>3400</v>
      </c>
      <c r="DZ53" s="192" t="n">
        <v>3300</v>
      </c>
      <c r="EA53" s="192" t="n">
        <v>3000</v>
      </c>
      <c r="EB53" s="192" t="n">
        <v>2300</v>
      </c>
      <c r="EC53" s="192" t="n">
        <v>2800</v>
      </c>
      <c r="ED53" s="192" t="n">
        <v>2800</v>
      </c>
      <c r="EE53" s="192" t="n">
        <v>3000</v>
      </c>
      <c r="EF53" s="192" t="n">
        <v>2600</v>
      </c>
      <c r="EG53" s="192" t="n">
        <v>2200</v>
      </c>
      <c r="EH53" s="192" t="n">
        <v>1900</v>
      </c>
      <c r="EI53" s="192" t="n">
        <v>1600</v>
      </c>
      <c r="EJ53" s="192" t="n">
        <v>1300</v>
      </c>
      <c r="EK53" s="192" t="n">
        <v>2800</v>
      </c>
      <c r="EL53" s="192" t="n">
        <v>600</v>
      </c>
      <c r="EM53" s="192" t="n">
        <v>-600</v>
      </c>
      <c r="EN53" s="192" t="n">
        <v>-600</v>
      </c>
      <c r="EO53" s="182" t="n"/>
      <c r="EP53" s="176" t="n"/>
      <c r="EQ53" s="176" t="n"/>
      <c r="ER53" s="176" t="n"/>
      <c r="ES53" s="176" t="n"/>
      <c r="ET53" s="176" t="n"/>
      <c r="EU53" s="176" t="n"/>
      <c r="EV53" s="176" t="n"/>
      <c r="EW53" s="176" t="n"/>
      <c r="EX53" s="176" t="n"/>
      <c r="EY53" s="176" t="n"/>
      <c r="EZ53" s="176" t="n"/>
      <c r="FA53" s="176" t="n"/>
      <c r="FB53" s="176" t="n"/>
      <c r="FC53" s="176" t="n"/>
      <c r="FD53" s="176" t="n"/>
      <c r="FE53" s="176" t="n"/>
      <c r="FF53" s="176" t="n"/>
      <c r="FG53" s="176" t="n"/>
      <c r="FH53" s="176" t="n"/>
      <c r="FI53" s="176" t="n"/>
      <c r="FJ53" s="176" t="n"/>
      <c r="FK53" s="176" t="n"/>
      <c r="FL53" s="176" t="n"/>
      <c r="FM53" s="176" t="n"/>
    </row>
    <row r="54" ht="15" customHeight="1" s="392">
      <c r="A54" s="176" t="n"/>
      <c r="B54" s="180" t="n"/>
      <c r="C54" s="187" t="inlineStr">
        <is>
          <t>Discontinued Operations</t>
        </is>
      </c>
      <c r="D54" s="190">
        <f>IF(COUNT(M54:EN54)&gt;0,MEDIAN(M54:EN54),"")</f>
        <v/>
      </c>
      <c r="E54" s="190">
        <f>IF(COUNT(M54:EN54)&gt;0,AVERAGE(M54:EN54),"")</f>
        <v/>
      </c>
      <c r="F54" s="190">
        <f>IF(COUNT(M54:EN54)&gt;0,MIN(M54:EN54),"")</f>
        <v/>
      </c>
      <c r="G54" s="190">
        <f>IF(COUNT(M54:EN54)&gt;0,MAX(M54:EN54),"")</f>
        <v/>
      </c>
      <c r="H54" s="190">
        <f>IF(COUNT(M54:EN54)&gt;0,QUARTILE(M54:EN54,1),"")</f>
        <v/>
      </c>
      <c r="I54" s="190">
        <f>IF(COUNT(M54:EN54)&gt;0,QUARTILE(M54:EN54,3),"")</f>
        <v/>
      </c>
      <c r="J54" s="190">
        <f>IF(COUNT(M54:EN54)&gt;1,STDEV(M54:EN54),"")</f>
        <v/>
      </c>
      <c r="K54" s="191">
        <f>IF(COUNT(M54:EN54)&gt;1,STDEV(M54:EN54)/AVERAGE(M54:EN54),"")</f>
        <v/>
      </c>
      <c r="M54" s="192" t="n"/>
      <c r="N54" s="192" t="n"/>
      <c r="O54" s="192" t="n"/>
      <c r="P54" s="192" t="n"/>
      <c r="Q54" s="192" t="n"/>
      <c r="R54" s="192" t="n"/>
      <c r="S54" s="192" t="n"/>
      <c r="T54" s="192" t="n"/>
      <c r="U54" s="192" t="n"/>
      <c r="V54" s="192" t="n"/>
      <c r="W54" s="192" t="n"/>
      <c r="X54" s="192" t="n"/>
      <c r="Y54" s="192" t="n"/>
      <c r="Z54" s="192" t="n"/>
      <c r="AA54" s="192" t="n"/>
      <c r="AB54" s="192" t="n"/>
      <c r="AC54" s="192" t="n"/>
      <c r="AD54" s="192" t="n"/>
      <c r="AE54" s="192" t="n"/>
      <c r="AF54" s="192" t="n"/>
      <c r="AG54" s="192" t="n"/>
      <c r="AH54" s="192" t="n"/>
      <c r="AI54" s="192" t="n"/>
      <c r="AJ54" s="192" t="n"/>
      <c r="AK54" s="192" t="n"/>
      <c r="AL54" s="192" t="n"/>
      <c r="AM54" s="192" t="n"/>
      <c r="AN54" s="192" t="n"/>
      <c r="AO54" s="192" t="n"/>
      <c r="AP54" s="192" t="n"/>
      <c r="AQ54" s="192" t="n"/>
      <c r="AR54" s="192" t="n"/>
      <c r="AS54" s="192" t="n"/>
      <c r="AT54" s="192" t="n"/>
      <c r="AU54" s="192" t="n"/>
      <c r="AV54" s="192" t="n"/>
      <c r="AW54" s="192" t="n"/>
      <c r="AX54" s="192" t="n"/>
      <c r="AY54" s="192" t="n"/>
      <c r="AZ54" s="192" t="n"/>
      <c r="BA54" s="192" t="n"/>
      <c r="BB54" s="192" t="n"/>
      <c r="BC54" s="192" t="n"/>
      <c r="BD54" s="192" t="n"/>
      <c r="BE54" s="192" t="n"/>
      <c r="BF54" s="192" t="n"/>
      <c r="BG54" s="192" t="n"/>
      <c r="BH54" s="192" t="n"/>
      <c r="BI54" s="192" t="n"/>
      <c r="BJ54" s="192" t="n"/>
      <c r="BK54" s="192" t="n"/>
      <c r="BL54" s="192" t="n"/>
      <c r="BM54" s="192" t="n"/>
      <c r="BN54" s="192" t="n"/>
      <c r="BO54" s="192" t="n"/>
      <c r="BP54" s="192" t="n"/>
      <c r="BQ54" s="192" t="n"/>
      <c r="BR54" s="192" t="n"/>
      <c r="BS54" s="192" t="n"/>
      <c r="BT54" s="192" t="n"/>
      <c r="BU54" s="192" t="n"/>
      <c r="BV54" s="192" t="n"/>
      <c r="BW54" s="192" t="n"/>
      <c r="BX54" s="192" t="n"/>
      <c r="BY54" s="192" t="n">
        <v>0</v>
      </c>
      <c r="BZ54" s="192" t="n"/>
      <c r="CA54" s="192" t="n"/>
      <c r="CB54" s="192" t="n"/>
      <c r="CC54" s="192" t="n">
        <v>0</v>
      </c>
      <c r="CD54" s="192" t="n">
        <v>1557</v>
      </c>
      <c r="CE54" s="192" t="n"/>
      <c r="CF54" s="192" t="n"/>
      <c r="CG54" s="192" t="n"/>
      <c r="CH54" s="192" t="n"/>
      <c r="CI54" s="192" t="n"/>
      <c r="CJ54" s="192" t="n"/>
      <c r="CK54" s="192" t="n"/>
      <c r="CL54" s="192" t="n"/>
      <c r="CM54" s="192" t="n"/>
      <c r="CN54" s="192" t="n"/>
      <c r="CO54" s="192" t="n">
        <v>784</v>
      </c>
      <c r="CP54" s="192" t="n">
        <v>1530</v>
      </c>
      <c r="CQ54" s="192" t="n">
        <v>-18265</v>
      </c>
      <c r="CR54" s="192" t="n">
        <v>147</v>
      </c>
      <c r="CS54" s="192" t="n">
        <v>-108</v>
      </c>
      <c r="CT54" s="192" t="n">
        <v>192</v>
      </c>
      <c r="CU54" s="192" t="n">
        <v>87</v>
      </c>
      <c r="CV54" s="192" t="n"/>
      <c r="CW54" s="192" t="n">
        <v>228</v>
      </c>
      <c r="CX54" s="192" t="n"/>
      <c r="CY54" s="192" t="n"/>
      <c r="CZ54" s="192" t="n"/>
      <c r="DA54" s="192" t="n"/>
      <c r="DB54" s="192" t="n"/>
      <c r="DC54" s="192" t="n"/>
      <c r="DD54" s="192" t="n"/>
      <c r="DE54" s="192" t="n"/>
      <c r="DF54" s="192" t="n"/>
      <c r="DG54" s="192" t="n"/>
      <c r="DH54" s="192" t="n"/>
      <c r="DI54" s="192" t="n"/>
      <c r="DJ54" s="192" t="n"/>
      <c r="DK54" s="192" t="n"/>
      <c r="DL54" s="192" t="n"/>
      <c r="DM54" s="192" t="n"/>
      <c r="DN54" s="192" t="n"/>
      <c r="DO54" s="192" t="n"/>
      <c r="DP54" s="192" t="n"/>
      <c r="DQ54" s="192" t="n"/>
      <c r="DR54" s="192" t="n"/>
      <c r="DS54" s="192" t="n"/>
      <c r="DT54" s="192" t="n"/>
      <c r="DU54" s="192" t="n"/>
      <c r="DV54" s="192" t="n"/>
      <c r="DW54" s="192" t="n"/>
      <c r="DX54" s="192" t="n"/>
      <c r="DY54" s="192" t="n"/>
      <c r="DZ54" s="192" t="n"/>
      <c r="EA54" s="192" t="n"/>
      <c r="EB54" s="192" t="n"/>
      <c r="EC54" s="192" t="n"/>
      <c r="ED54" s="192" t="n"/>
      <c r="EE54" s="192" t="n"/>
      <c r="EF54" s="192" t="n"/>
      <c r="EG54" s="192" t="n"/>
      <c r="EH54" s="192" t="n"/>
      <c r="EI54" s="192" t="n"/>
      <c r="EJ54" s="192" t="n"/>
      <c r="EK54" s="192" t="n"/>
      <c r="EL54" s="192" t="n"/>
      <c r="EM54" s="192" t="n"/>
      <c r="EN54" s="192" t="n"/>
      <c r="EO54" s="182" t="n"/>
      <c r="EP54" s="176" t="n"/>
      <c r="EQ54" s="176" t="n"/>
      <c r="ER54" s="176" t="n"/>
      <c r="ES54" s="176" t="n"/>
      <c r="ET54" s="176" t="n"/>
      <c r="EU54" s="176" t="n"/>
      <c r="EV54" s="176" t="n"/>
      <c r="EW54" s="176" t="n"/>
      <c r="EX54" s="176" t="n"/>
      <c r="EY54" s="176" t="n"/>
      <c r="EZ54" s="176" t="n"/>
      <c r="FA54" s="176" t="n"/>
      <c r="FB54" s="176" t="n"/>
      <c r="FC54" s="176" t="n"/>
      <c r="FD54" s="176" t="n"/>
      <c r="FE54" s="176" t="n"/>
      <c r="FF54" s="176" t="n"/>
      <c r="FG54" s="176" t="n"/>
      <c r="FH54" s="176" t="n"/>
      <c r="FI54" s="176" t="n"/>
      <c r="FJ54" s="176" t="n"/>
      <c r="FK54" s="176" t="n"/>
      <c r="FL54" s="176" t="n"/>
      <c r="FM54" s="176" t="n"/>
    </row>
    <row r="55" ht="15" customHeight="1" s="392">
      <c r="A55" s="176" t="n"/>
      <c r="B55" s="180" t="n"/>
      <c r="C55" s="187" t="inlineStr">
        <is>
          <t>Other Net of Taxes Adjustments</t>
        </is>
      </c>
      <c r="D55" s="190">
        <f>IF(COUNT(M55:EN55)&gt;0,MEDIAN(M55:EN55),"")</f>
        <v/>
      </c>
      <c r="E55" s="190">
        <f>IF(COUNT(M55:EN55)&gt;0,AVERAGE(M55:EN55),"")</f>
        <v/>
      </c>
      <c r="F55" s="190">
        <f>IF(COUNT(M55:EN55)&gt;0,MIN(M55:EN55),"")</f>
        <v/>
      </c>
      <c r="G55" s="190">
        <f>IF(COUNT(M55:EN55)&gt;0,MAX(M55:EN55),"")</f>
        <v/>
      </c>
      <c r="H55" s="190">
        <f>IF(COUNT(M55:EN55)&gt;0,QUARTILE(M55:EN55,1),"")</f>
        <v/>
      </c>
      <c r="I55" s="190">
        <f>IF(COUNT(M55:EN55)&gt;0,QUARTILE(M55:EN55,3),"")</f>
        <v/>
      </c>
      <c r="J55" s="190">
        <f>IF(COUNT(M55:EN55)&gt;1,STDEV(M55:EN55),"")</f>
        <v/>
      </c>
      <c r="K55" s="191">
        <f>IF(COUNT(M55:EN55)&gt;1,STDEV(M55:EN55)/AVERAGE(M55:EN55),"")</f>
        <v/>
      </c>
      <c r="M55" s="192" t="n"/>
      <c r="N55" s="192" t="n"/>
      <c r="O55" s="192" t="n"/>
      <c r="P55" s="192" t="n"/>
      <c r="Q55" s="192" t="n"/>
      <c r="R55" s="192" t="n"/>
      <c r="S55" s="192" t="n"/>
      <c r="T55" s="192" t="n"/>
      <c r="U55" s="192" t="n"/>
      <c r="V55" s="192" t="n"/>
      <c r="W55" s="192" t="n"/>
      <c r="X55" s="192" t="n"/>
      <c r="Y55" s="192" t="n"/>
      <c r="Z55" s="192" t="n"/>
      <c r="AA55" s="192" t="n"/>
      <c r="AB55" s="192" t="n"/>
      <c r="AC55" s="192" t="n"/>
      <c r="AD55" s="192" t="n"/>
      <c r="AE55" s="192" t="n"/>
      <c r="AF55" s="192" t="n"/>
      <c r="AG55" s="192" t="n"/>
      <c r="AH55" s="192" t="n"/>
      <c r="AI55" s="192" t="n"/>
      <c r="AJ55" s="192" t="n"/>
      <c r="AK55" s="192" t="n"/>
      <c r="AL55" s="192" t="n"/>
      <c r="AM55" s="192" t="n"/>
      <c r="AN55" s="192" t="n"/>
      <c r="AO55" s="192" t="n"/>
      <c r="AP55" s="192" t="n"/>
      <c r="AQ55" s="192" t="n"/>
      <c r="AR55" s="192" t="n"/>
      <c r="AS55" s="192" t="n"/>
      <c r="AT55" s="192" t="n"/>
      <c r="AU55" s="192" t="n"/>
      <c r="AV55" s="192" t="n"/>
      <c r="AW55" s="192" t="n"/>
      <c r="AX55" s="192" t="n"/>
      <c r="AY55" s="192" t="n"/>
      <c r="AZ55" s="192" t="n"/>
      <c r="BA55" s="192" t="n"/>
      <c r="BB55" s="192" t="n"/>
      <c r="BC55" s="192" t="n"/>
      <c r="BD55" s="192" t="n"/>
      <c r="BE55" s="192" t="n"/>
      <c r="BF55" s="192" t="n"/>
      <c r="BG55" s="192" t="n"/>
      <c r="BH55" s="192" t="n"/>
      <c r="BI55" s="192" t="n"/>
      <c r="BJ55" s="192" t="n"/>
      <c r="BK55" s="192" t="n"/>
      <c r="BL55" s="192" t="n"/>
      <c r="BM55" s="192" t="n"/>
      <c r="BN55" s="192" t="n"/>
      <c r="BO55" s="192" t="n"/>
      <c r="BP55" s="192" t="n"/>
      <c r="BQ55" s="192" t="n"/>
      <c r="BR55" s="192" t="n"/>
      <c r="BS55" s="192" t="n"/>
      <c r="BT55" s="192" t="n"/>
      <c r="BU55" s="192" t="n"/>
      <c r="BV55" s="192" t="n"/>
      <c r="BW55" s="192" t="n"/>
      <c r="BX55" s="192" t="n"/>
      <c r="BY55" s="192" t="n"/>
      <c r="BZ55" s="192" t="n"/>
      <c r="CA55" s="192" t="n"/>
      <c r="CB55" s="192" t="n"/>
      <c r="CC55" s="192" t="n"/>
      <c r="CD55" s="192" t="n"/>
      <c r="CE55" s="192" t="n"/>
      <c r="CF55" s="192" t="n"/>
      <c r="CG55" s="192" t="n"/>
      <c r="CH55" s="192" t="n"/>
      <c r="CI55" s="192" t="n"/>
      <c r="CJ55" s="192" t="n"/>
      <c r="CK55" s="192" t="n"/>
      <c r="CL55" s="192" t="n"/>
      <c r="CM55" s="192" t="n"/>
      <c r="CN55" s="192" t="n"/>
      <c r="CO55" s="192" t="n"/>
      <c r="CP55" s="192" t="n"/>
      <c r="CQ55" s="192" t="n"/>
      <c r="CR55" s="192" t="n"/>
      <c r="CS55" s="192" t="n"/>
      <c r="CT55" s="192" t="n"/>
      <c r="CU55" s="192" t="n"/>
      <c r="CV55" s="192" t="n"/>
      <c r="CW55" s="192" t="n"/>
      <c r="CX55" s="192" t="n"/>
      <c r="CY55" s="192" t="n"/>
      <c r="CZ55" s="192" t="n"/>
      <c r="DA55" s="192" t="n"/>
      <c r="DB55" s="192" t="n"/>
      <c r="DC55" s="192" t="n"/>
      <c r="DD55" s="192" t="n"/>
      <c r="DE55" s="192" t="n"/>
      <c r="DF55" s="192" t="n"/>
      <c r="DG55" s="192" t="n"/>
      <c r="DH55" s="192" t="n"/>
      <c r="DI55" s="192" t="n"/>
      <c r="DJ55" s="192" t="n"/>
      <c r="DK55" s="192" t="n"/>
      <c r="DL55" s="192" t="n"/>
      <c r="DM55" s="192" t="n"/>
      <c r="DN55" s="192" t="n"/>
      <c r="DO55" s="192" t="n"/>
      <c r="DP55" s="192" t="n"/>
      <c r="DQ55" s="192" t="n"/>
      <c r="DR55" s="192" t="n"/>
      <c r="DS55" s="192" t="n"/>
      <c r="DT55" s="192" t="n"/>
      <c r="DU55" s="192" t="n"/>
      <c r="DV55" s="192" t="n"/>
      <c r="DW55" s="192" t="n"/>
      <c r="DX55" s="192" t="n"/>
      <c r="DY55" s="192" t="n"/>
      <c r="DZ55" s="192" t="n"/>
      <c r="EA55" s="192" t="n"/>
      <c r="EB55" s="192" t="n"/>
      <c r="EC55" s="192" t="n"/>
      <c r="ED55" s="192" t="n"/>
      <c r="EE55" s="192" t="n"/>
      <c r="EF55" s="192" t="n"/>
      <c r="EG55" s="192" t="n"/>
      <c r="EH55" s="192" t="n"/>
      <c r="EI55" s="192" t="n"/>
      <c r="EJ55" s="192" t="n"/>
      <c r="EK55" s="192" t="n">
        <v>-1600</v>
      </c>
      <c r="EL55" s="192" t="n"/>
      <c r="EM55" s="192" t="n"/>
      <c r="EN55" s="192" t="n"/>
      <c r="EO55" s="182" t="n"/>
      <c r="EP55" s="176" t="n"/>
      <c r="EQ55" s="176" t="n"/>
      <c r="ER55" s="176" t="n"/>
      <c r="ES55" s="176" t="n"/>
      <c r="ET55" s="176" t="n"/>
      <c r="EU55" s="176" t="n"/>
      <c r="EV55" s="176" t="n"/>
      <c r="EW55" s="176" t="n"/>
      <c r="EX55" s="176" t="n"/>
      <c r="EY55" s="176" t="n"/>
      <c r="EZ55" s="176" t="n"/>
      <c r="FA55" s="176" t="n"/>
      <c r="FB55" s="176" t="n"/>
      <c r="FC55" s="176" t="n"/>
      <c r="FD55" s="176" t="n"/>
      <c r="FE55" s="176" t="n"/>
      <c r="FF55" s="176" t="n"/>
      <c r="FG55" s="176" t="n"/>
      <c r="FH55" s="176" t="n"/>
      <c r="FI55" s="176" t="n"/>
      <c r="FJ55" s="176" t="n"/>
      <c r="FK55" s="176" t="n"/>
      <c r="FL55" s="176" t="n"/>
      <c r="FM55" s="176" t="n"/>
    </row>
    <row r="56" ht="15" customHeight="1" s="392">
      <c r="A56" s="176" t="n"/>
      <c r="B56" s="180" t="n"/>
      <c r="C56" s="187" t="inlineStr">
        <is>
          <t>Net Income after Extraordinary Items and Discontinued Operations</t>
        </is>
      </c>
      <c r="D56" s="190">
        <f>IF(COUNT(M56:EN56)&gt;0,MEDIAN(M56:EN56),"")</f>
        <v/>
      </c>
      <c r="E56" s="190">
        <f>IF(COUNT(M56:EN56)&gt;0,AVERAGE(M56:EN56),"")</f>
        <v/>
      </c>
      <c r="F56" s="190">
        <f>IF(COUNT(M56:EN56)&gt;0,MIN(M56:EN56),"")</f>
        <v/>
      </c>
      <c r="G56" s="190">
        <f>IF(COUNT(M56:EN56)&gt;0,MAX(M56:EN56),"")</f>
        <v/>
      </c>
      <c r="H56" s="190">
        <f>IF(COUNT(M56:EN56)&gt;0,QUARTILE(M56:EN56,1),"")</f>
        <v/>
      </c>
      <c r="I56" s="190">
        <f>IF(COUNT(M56:EN56)&gt;0,QUARTILE(M56:EN56,3),"")</f>
        <v/>
      </c>
      <c r="J56" s="190">
        <f>IF(COUNT(M56:EN56)&gt;1,STDEV(M56:EN56),"")</f>
        <v/>
      </c>
      <c r="K56" s="191">
        <f>IF(COUNT(M56:EN56)&gt;1,STDEV(M56:EN56)/AVERAGE(M56:EN56),"")</f>
        <v/>
      </c>
      <c r="M56" s="192" t="n">
        <v>326827</v>
      </c>
      <c r="N56" s="192" t="n">
        <v>401393</v>
      </c>
      <c r="O56" s="192" t="n">
        <v>349967</v>
      </c>
      <c r="P56" s="192" t="n">
        <v>402210</v>
      </c>
      <c r="Q56" s="192" t="n">
        <v>395308</v>
      </c>
      <c r="R56" s="192" t="n">
        <v>405338</v>
      </c>
      <c r="S56" s="192" t="n">
        <v>386541</v>
      </c>
      <c r="T56" s="192" t="n">
        <v>361176</v>
      </c>
      <c r="U56" s="192" t="n">
        <v>322178</v>
      </c>
      <c r="V56" s="192" t="n">
        <v>382110</v>
      </c>
      <c r="W56" s="192" t="n">
        <v>325527</v>
      </c>
      <c r="X56" s="192" t="n">
        <v>332532</v>
      </c>
      <c r="Y56" s="192" t="n">
        <v>347785</v>
      </c>
      <c r="Z56" s="192" t="n">
        <v>350431</v>
      </c>
      <c r="AA56" s="192" t="n">
        <v>293677</v>
      </c>
      <c r="AB56" s="192" t="n">
        <v>245848</v>
      </c>
      <c r="AC56" s="192" t="n">
        <v>263735</v>
      </c>
      <c r="AD56" s="192" t="n">
        <v>278620</v>
      </c>
      <c r="AE56" s="192" t="n">
        <v>287412</v>
      </c>
      <c r="AF56" s="192" t="n">
        <v>260363</v>
      </c>
      <c r="AG56" s="192" t="n">
        <v>255974</v>
      </c>
      <c r="AH56" s="192" t="n">
        <v>286796</v>
      </c>
      <c r="AI56" s="192" t="n">
        <v>193440</v>
      </c>
      <c r="AJ56" s="192" t="n">
        <v>200285</v>
      </c>
      <c r="AK56" s="192" t="n">
        <v>165533</v>
      </c>
      <c r="AL56" s="192" t="n">
        <v>147487</v>
      </c>
      <c r="AM56" s="192" t="n">
        <v>168707</v>
      </c>
      <c r="AN56" s="192" t="n">
        <v>218180</v>
      </c>
      <c r="AO56" s="192" t="n">
        <v>153496</v>
      </c>
      <c r="AP56" s="192" t="n">
        <v>192741</v>
      </c>
      <c r="AQ56" s="192" t="n">
        <v>131373</v>
      </c>
      <c r="AR56" s="192" t="n">
        <v>114083</v>
      </c>
      <c r="AS56" s="192" t="n">
        <v>109741</v>
      </c>
      <c r="AT56" s="192" t="n">
        <v>127405</v>
      </c>
      <c r="AU56" s="192" t="n">
        <v>103301</v>
      </c>
      <c r="AV56" s="192" t="n">
        <v>77560</v>
      </c>
      <c r="AW56" s="192" t="n">
        <v>70369</v>
      </c>
      <c r="AX56" s="192" t="n">
        <v>90546</v>
      </c>
      <c r="AY56" s="192" t="n">
        <v>66066</v>
      </c>
      <c r="AZ56" s="192" t="n">
        <v>167280</v>
      </c>
      <c r="BA56" s="192" t="n">
        <v>84122</v>
      </c>
      <c r="BB56" s="192" t="n">
        <v>74624</v>
      </c>
      <c r="BC56" s="192" t="n">
        <v>59004</v>
      </c>
      <c r="BD56" s="192" t="n">
        <v>52610</v>
      </c>
      <c r="BE56" s="192" t="n">
        <v>57412</v>
      </c>
      <c r="BF56" s="192" t="n">
        <v>57563</v>
      </c>
      <c r="BG56" s="192" t="n">
        <v>52193</v>
      </c>
      <c r="BH56" s="192" t="n">
        <v>52615</v>
      </c>
      <c r="BI56" s="192" t="n">
        <v>51043</v>
      </c>
      <c r="BJ56" s="192" t="n">
        <v>40877</v>
      </c>
      <c r="BK56" s="192" t="n">
        <v>45345</v>
      </c>
      <c r="BL56" s="192" t="n">
        <v>41422</v>
      </c>
      <c r="BM56" s="192" t="n">
        <v>41304</v>
      </c>
      <c r="BN56" s="192" t="n">
        <v>53236</v>
      </c>
      <c r="BO56" s="192" t="n">
        <v>39640</v>
      </c>
      <c r="BP56" s="192" t="n">
        <v>45845</v>
      </c>
      <c r="BQ56" s="192" t="n">
        <v>44896</v>
      </c>
      <c r="BR56" s="192" t="n">
        <v>55471</v>
      </c>
      <c r="BS56" s="192" t="n">
        <v>40603</v>
      </c>
      <c r="BT56" s="192" t="n"/>
      <c r="BU56" s="192" t="n"/>
      <c r="BV56" s="192" t="n"/>
      <c r="BW56" s="192" t="n"/>
      <c r="BX56" s="192" t="n"/>
      <c r="BY56" s="192" t="n"/>
      <c r="BZ56" s="192" t="n"/>
      <c r="CA56" s="192" t="n"/>
      <c r="CB56" s="192" t="n"/>
      <c r="CC56" s="192" t="n"/>
      <c r="CD56" s="192" t="n"/>
      <c r="CE56" s="192" t="n"/>
      <c r="CF56" s="192" t="n"/>
      <c r="CG56" s="192" t="n"/>
      <c r="CH56" s="192" t="n"/>
      <c r="CI56" s="192" t="n"/>
      <c r="CJ56" s="192" t="n"/>
      <c r="CK56" s="192" t="n"/>
      <c r="CL56" s="192" t="n"/>
      <c r="CM56" s="192" t="n"/>
      <c r="CN56" s="192" t="n"/>
      <c r="CO56" s="192" t="n"/>
      <c r="CP56" s="192" t="n"/>
      <c r="CQ56" s="192" t="n"/>
      <c r="CR56" s="192" t="n"/>
      <c r="CS56" s="192" t="n"/>
      <c r="CT56" s="192" t="n"/>
      <c r="CU56" s="192" t="n"/>
      <c r="CV56" s="192" t="n"/>
      <c r="CW56" s="192" t="n"/>
      <c r="CX56" s="192" t="n"/>
      <c r="CY56" s="192" t="n"/>
      <c r="CZ56" s="192" t="n"/>
      <c r="DA56" s="192" t="n"/>
      <c r="DB56" s="192" t="n"/>
      <c r="DC56" s="192" t="n"/>
      <c r="DD56" s="192" t="n"/>
      <c r="DE56" s="192" t="n"/>
      <c r="DF56" s="192" t="n"/>
      <c r="DG56" s="192" t="n"/>
      <c r="DH56" s="192" t="n"/>
      <c r="DI56" s="192" t="n"/>
      <c r="DJ56" s="192" t="n"/>
      <c r="DK56" s="192" t="n"/>
      <c r="DL56" s="192" t="n"/>
      <c r="DM56" s="192" t="n"/>
      <c r="DN56" s="192" t="n"/>
      <c r="DO56" s="192" t="n"/>
      <c r="DP56" s="192" t="n"/>
      <c r="DQ56" s="192" t="n"/>
      <c r="DR56" s="192" t="n"/>
      <c r="DS56" s="192" t="n"/>
      <c r="DT56" s="192" t="n"/>
      <c r="DU56" s="192" t="n"/>
      <c r="DV56" s="192" t="n"/>
      <c r="DW56" s="192" t="n"/>
      <c r="DX56" s="192" t="n"/>
      <c r="DY56" s="192" t="n"/>
      <c r="DZ56" s="192" t="n"/>
      <c r="EA56" s="192" t="n"/>
      <c r="EB56" s="192" t="n"/>
      <c r="EC56" s="192" t="n"/>
      <c r="ED56" s="192" t="n"/>
      <c r="EE56" s="192" t="n"/>
      <c r="EF56" s="192" t="n"/>
      <c r="EG56" s="192" t="n"/>
      <c r="EH56" s="192" t="n"/>
      <c r="EI56" s="192" t="n"/>
      <c r="EJ56" s="192" t="n"/>
      <c r="EK56" s="192" t="n"/>
      <c r="EL56" s="192" t="n"/>
      <c r="EM56" s="192" t="n"/>
      <c r="EN56" s="192" t="n"/>
      <c r="EO56" s="182" t="n"/>
      <c r="EP56" s="176" t="n"/>
      <c r="EQ56" s="176" t="n"/>
      <c r="ER56" s="176" t="n"/>
      <c r="ES56" s="176" t="n"/>
      <c r="ET56" s="176" t="n"/>
      <c r="EU56" s="176" t="n"/>
      <c r="EV56" s="176" t="n"/>
      <c r="EW56" s="176" t="n"/>
      <c r="EX56" s="176" t="n"/>
      <c r="EY56" s="176" t="n"/>
      <c r="EZ56" s="176" t="n"/>
      <c r="FA56" s="176" t="n"/>
      <c r="FB56" s="176" t="n"/>
      <c r="FC56" s="176" t="n"/>
      <c r="FD56" s="176" t="n"/>
      <c r="FE56" s="176" t="n"/>
      <c r="FF56" s="176" t="n"/>
      <c r="FG56" s="176" t="n"/>
      <c r="FH56" s="176" t="n"/>
      <c r="FI56" s="176" t="n"/>
      <c r="FJ56" s="176" t="n"/>
      <c r="FK56" s="176" t="n"/>
      <c r="FL56" s="176" t="n"/>
      <c r="FM56" s="176" t="n"/>
    </row>
    <row r="57" ht="15" customHeight="1" s="392">
      <c r="A57" s="176" t="n"/>
      <c r="B57" s="180" t="n"/>
      <c r="C57" s="187" t="inlineStr">
        <is>
          <t>Non-Controlling/Minority Interests</t>
        </is>
      </c>
      <c r="D57" s="190">
        <f>IF(COUNT(M57:EN57)&gt;0,MEDIAN(M57:EN57),"")</f>
        <v/>
      </c>
      <c r="E57" s="190">
        <f>IF(COUNT(M57:EN57)&gt;0,AVERAGE(M57:EN57),"")</f>
        <v/>
      </c>
      <c r="F57" s="190">
        <f>IF(COUNT(M57:EN57)&gt;0,MIN(M57:EN57),"")</f>
        <v/>
      </c>
      <c r="G57" s="190">
        <f>IF(COUNT(M57:EN57)&gt;0,MAX(M57:EN57),"")</f>
        <v/>
      </c>
      <c r="H57" s="190">
        <f>IF(COUNT(M57:EN57)&gt;0,QUARTILE(M57:EN57,1),"")</f>
        <v/>
      </c>
      <c r="I57" s="190">
        <f>IF(COUNT(M57:EN57)&gt;0,QUARTILE(M57:EN57,3),"")</f>
        <v/>
      </c>
      <c r="J57" s="190">
        <f>IF(COUNT(M57:EN57)&gt;1,STDEV(M57:EN57),"")</f>
        <v/>
      </c>
      <c r="K57" s="191">
        <f>IF(COUNT(M57:EN57)&gt;1,STDEV(M57:EN57)/AVERAGE(M57:EN57),"")</f>
        <v/>
      </c>
      <c r="M57" s="192" t="n">
        <v>-596</v>
      </c>
      <c r="N57" s="192" t="n">
        <v>-1008</v>
      </c>
      <c r="O57" s="192" t="n">
        <v>-765</v>
      </c>
      <c r="P57" s="192" t="n">
        <v>-1504</v>
      </c>
      <c r="Q57" s="192" t="n">
        <v>-1046</v>
      </c>
      <c r="R57" s="192" t="n">
        <v>-1271</v>
      </c>
      <c r="S57" s="192" t="n">
        <v>-859</v>
      </c>
      <c r="T57" s="192" t="n">
        <v>-910</v>
      </c>
      <c r="U57" s="192" t="n">
        <v>-389</v>
      </c>
      <c r="V57" s="192" t="n">
        <v>-181</v>
      </c>
      <c r="W57" s="192" t="n">
        <v>-108</v>
      </c>
      <c r="X57" s="192" t="n">
        <v>5</v>
      </c>
      <c r="Y57" s="192" t="n">
        <v>0</v>
      </c>
      <c r="Z57" s="192" t="n">
        <v>0</v>
      </c>
      <c r="AA57" s="192" t="n">
        <v>0</v>
      </c>
      <c r="AB57" s="192" t="n">
        <v>0</v>
      </c>
      <c r="AC57" s="192" t="n">
        <v>0</v>
      </c>
      <c r="AD57" s="192" t="n"/>
      <c r="AE57" s="192" t="n"/>
      <c r="AF57" s="192" t="n"/>
      <c r="AG57" s="192" t="n"/>
      <c r="AH57" s="192" t="n"/>
      <c r="AI57" s="192" t="n"/>
      <c r="AJ57" s="192" t="n"/>
      <c r="AK57" s="192" t="n"/>
      <c r="AL57" s="192" t="n"/>
      <c r="AM57" s="192" t="n"/>
      <c r="AN57" s="192" t="n"/>
      <c r="AO57" s="192" t="n"/>
      <c r="AP57" s="192" t="n"/>
      <c r="AQ57" s="192" t="n"/>
      <c r="AR57" s="192" t="n"/>
      <c r="AS57" s="192" t="n">
        <v>-7</v>
      </c>
      <c r="AT57" s="192" t="n">
        <v>57</v>
      </c>
      <c r="AU57" s="192" t="n">
        <v>45</v>
      </c>
      <c r="AV57" s="192" t="n">
        <v>45</v>
      </c>
      <c r="AW57" s="192" t="n">
        <v>34</v>
      </c>
      <c r="AX57" s="192" t="n"/>
      <c r="AY57" s="192" t="n">
        <v>0</v>
      </c>
      <c r="AZ57" s="192" t="n">
        <v>0</v>
      </c>
      <c r="BA57" s="192" t="n">
        <v>0</v>
      </c>
      <c r="BB57" s="192" t="n"/>
      <c r="BC57" s="192" t="n"/>
      <c r="BD57" s="192" t="n"/>
      <c r="BE57" s="192" t="n">
        <v>0</v>
      </c>
      <c r="BF57" s="192" t="n"/>
      <c r="BG57" s="192" t="n"/>
      <c r="BH57" s="192" t="n"/>
      <c r="BI57" s="192" t="n"/>
      <c r="BJ57" s="192" t="n"/>
      <c r="BK57" s="192" t="n"/>
      <c r="BL57" s="192" t="n"/>
      <c r="BM57" s="192" t="n"/>
      <c r="BN57" s="192" t="n"/>
      <c r="BO57" s="192" t="n"/>
      <c r="BP57" s="192" t="n"/>
      <c r="BQ57" s="192" t="n"/>
      <c r="BR57" s="192" t="n"/>
      <c r="BS57" s="192" t="n"/>
      <c r="BT57" s="192" t="n"/>
      <c r="BU57" s="192" t="n"/>
      <c r="BV57" s="192" t="n"/>
      <c r="BW57" s="192" t="n"/>
      <c r="BX57" s="192" t="n"/>
      <c r="BY57" s="192" t="n"/>
      <c r="BZ57" s="192" t="n"/>
      <c r="CA57" s="192" t="n"/>
      <c r="CB57" s="192" t="n"/>
      <c r="CC57" s="192" t="n"/>
      <c r="CD57" s="192" t="n"/>
      <c r="CE57" s="192" t="n"/>
      <c r="CF57" s="192" t="n"/>
      <c r="CG57" s="192" t="n"/>
      <c r="CH57" s="192" t="n"/>
      <c r="CI57" s="192" t="n"/>
      <c r="CJ57" s="192" t="n"/>
      <c r="CK57" s="192" t="n"/>
      <c r="CL57" s="192" t="n"/>
      <c r="CM57" s="192" t="n"/>
      <c r="CN57" s="192" t="n"/>
      <c r="CO57" s="192" t="n"/>
      <c r="CP57" s="192" t="n"/>
      <c r="CQ57" s="192" t="n"/>
      <c r="CR57" s="192" t="n"/>
      <c r="CS57" s="192" t="n"/>
      <c r="CT57" s="192" t="n"/>
      <c r="CU57" s="192" t="n"/>
      <c r="CV57" s="192" t="n"/>
      <c r="CW57" s="192" t="n"/>
      <c r="CX57" s="192" t="n"/>
      <c r="CY57" s="192" t="n"/>
      <c r="CZ57" s="192" t="n"/>
      <c r="DA57" s="192" t="n"/>
      <c r="DB57" s="192" t="n"/>
      <c r="DC57" s="192" t="n"/>
      <c r="DD57" s="192" t="n"/>
      <c r="DE57" s="192" t="n"/>
      <c r="DF57" s="192" t="n"/>
      <c r="DG57" s="192" t="n"/>
      <c r="DH57" s="192" t="n"/>
      <c r="DI57" s="192" t="n"/>
      <c r="DJ57" s="192" t="n"/>
      <c r="DK57" s="192" t="n"/>
      <c r="DL57" s="192" t="n"/>
      <c r="DM57" s="192" t="n"/>
      <c r="DN57" s="192" t="n"/>
      <c r="DO57" s="192" t="n"/>
      <c r="DP57" s="192" t="n"/>
      <c r="DQ57" s="192" t="n"/>
      <c r="DR57" s="192" t="n"/>
      <c r="DS57" s="192" t="n"/>
      <c r="DT57" s="192" t="n"/>
      <c r="DU57" s="192" t="n"/>
      <c r="DV57" s="192" t="n"/>
      <c r="DW57" s="192" t="n"/>
      <c r="DX57" s="192" t="n"/>
      <c r="DY57" s="192" t="n"/>
      <c r="DZ57" s="192" t="n"/>
      <c r="EA57" s="192" t="n"/>
      <c r="EB57" s="192" t="n"/>
      <c r="EC57" s="192" t="n"/>
      <c r="ED57" s="192" t="n"/>
      <c r="EE57" s="192" t="n"/>
      <c r="EF57" s="192" t="n"/>
      <c r="EG57" s="192" t="n"/>
      <c r="EH57" s="192" t="n"/>
      <c r="EI57" s="192" t="n"/>
      <c r="EJ57" s="192" t="n"/>
      <c r="EK57" s="192" t="n"/>
      <c r="EL57" s="192" t="n"/>
      <c r="EM57" s="192" t="n"/>
      <c r="EN57" s="192" t="n"/>
      <c r="EO57" s="182" t="n"/>
      <c r="EP57" s="176" t="n"/>
      <c r="EQ57" s="176" t="n"/>
      <c r="ER57" s="176" t="n"/>
      <c r="ES57" s="176" t="n"/>
      <c r="ET57" s="176" t="n"/>
      <c r="EU57" s="176" t="n"/>
      <c r="EV57" s="176" t="n"/>
      <c r="EW57" s="176" t="n"/>
      <c r="EX57" s="176" t="n"/>
      <c r="EY57" s="176" t="n"/>
      <c r="EZ57" s="176" t="n"/>
      <c r="FA57" s="176" t="n"/>
      <c r="FB57" s="176" t="n"/>
      <c r="FC57" s="176" t="n"/>
      <c r="FD57" s="176" t="n"/>
      <c r="FE57" s="176" t="n"/>
      <c r="FF57" s="176" t="n"/>
      <c r="FG57" s="176" t="n"/>
      <c r="FH57" s="176" t="n"/>
      <c r="FI57" s="176" t="n"/>
      <c r="FJ57" s="176" t="n"/>
      <c r="FK57" s="176" t="n"/>
      <c r="FL57" s="176" t="n"/>
      <c r="FM57" s="176" t="n"/>
    </row>
    <row r="58" ht="15" customHeight="1" s="392">
      <c r="A58" s="176" t="n"/>
      <c r="B58" s="180" t="n"/>
      <c r="C58" s="187" t="inlineStr">
        <is>
          <t>Net Income after Non-Controlling/Minority Interests</t>
        </is>
      </c>
      <c r="D58" s="190">
        <f>IF(COUNT(M58:EN58)&gt;0,MEDIAN(M58:EN58),"")</f>
        <v/>
      </c>
      <c r="E58" s="190">
        <f>IF(COUNT(M58:EN58)&gt;0,AVERAGE(M58:EN58),"")</f>
        <v/>
      </c>
      <c r="F58" s="190">
        <f>IF(COUNT(M58:EN58)&gt;0,MIN(M58:EN58),"")</f>
        <v/>
      </c>
      <c r="G58" s="190">
        <f>IF(COUNT(M58:EN58)&gt;0,MAX(M58:EN58),"")</f>
        <v/>
      </c>
      <c r="H58" s="190">
        <f>IF(COUNT(M58:EN58)&gt;0,QUARTILE(M58:EN58,1),"")</f>
        <v/>
      </c>
      <c r="I58" s="190">
        <f>IF(COUNT(M58:EN58)&gt;0,QUARTILE(M58:EN58,3),"")</f>
        <v/>
      </c>
      <c r="J58" s="190">
        <f>IF(COUNT(M58:EN58)&gt;1,STDEV(M58:EN58),"")</f>
        <v/>
      </c>
      <c r="K58" s="191">
        <f>IF(COUNT(M58:EN58)&gt;1,STDEV(M58:EN58)/AVERAGE(M58:EN58),"")</f>
        <v/>
      </c>
      <c r="M58" s="192" t="n">
        <v>327423</v>
      </c>
      <c r="N58" s="192" t="n">
        <v>402401</v>
      </c>
      <c r="O58" s="192" t="n">
        <v>350732</v>
      </c>
      <c r="P58" s="192" t="n">
        <v>403714</v>
      </c>
      <c r="Q58" s="192" t="n">
        <v>396354</v>
      </c>
      <c r="R58" s="192" t="n">
        <v>406609</v>
      </c>
      <c r="S58" s="192" t="n">
        <v>387400</v>
      </c>
      <c r="T58" s="192" t="n">
        <v>362086</v>
      </c>
      <c r="U58" s="192" t="n">
        <v>322567</v>
      </c>
      <c r="V58" s="192" t="n">
        <v>382291</v>
      </c>
      <c r="W58" s="192" t="n">
        <v>325635</v>
      </c>
      <c r="X58" s="192" t="n">
        <v>332527</v>
      </c>
      <c r="Y58" s="192" t="n">
        <v>347785</v>
      </c>
      <c r="Z58" s="192" t="n">
        <v>350431</v>
      </c>
      <c r="AA58" s="192" t="n">
        <v>293677</v>
      </c>
      <c r="AB58" s="192" t="n">
        <v>245848</v>
      </c>
      <c r="AC58" s="192" t="n">
        <v>263735</v>
      </c>
      <c r="AD58" s="192" t="n">
        <v>278620</v>
      </c>
      <c r="AE58" s="192" t="n">
        <v>287412</v>
      </c>
      <c r="AF58" s="192" t="n">
        <v>260363</v>
      </c>
      <c r="AG58" s="192" t="n">
        <v>255974</v>
      </c>
      <c r="AH58" s="192" t="n">
        <v>286796</v>
      </c>
      <c r="AI58" s="192" t="n">
        <v>193440</v>
      </c>
      <c r="AJ58" s="192" t="n">
        <v>200285</v>
      </c>
      <c r="AK58" s="192" t="n">
        <v>165533</v>
      </c>
      <c r="AL58" s="192" t="n">
        <v>147487</v>
      </c>
      <c r="AM58" s="192" t="n">
        <v>168707</v>
      </c>
      <c r="AN58" s="192" t="n">
        <v>218180</v>
      </c>
      <c r="AO58" s="192" t="n">
        <v>153496</v>
      </c>
      <c r="AP58" s="192" t="n">
        <v>192741</v>
      </c>
      <c r="AQ58" s="192" t="n">
        <v>131373</v>
      </c>
      <c r="AR58" s="192" t="n">
        <v>114083</v>
      </c>
      <c r="AS58" s="192" t="n">
        <v>109748</v>
      </c>
      <c r="AT58" s="192" t="n">
        <v>127348</v>
      </c>
      <c r="AU58" s="192" t="n">
        <v>103256</v>
      </c>
      <c r="AV58" s="192" t="n">
        <v>77515</v>
      </c>
      <c r="AW58" s="192" t="n">
        <v>70335</v>
      </c>
      <c r="AX58" s="192" t="n">
        <v>90546</v>
      </c>
      <c r="AY58" s="192" t="n">
        <v>66066</v>
      </c>
      <c r="AZ58" s="192" t="n">
        <v>167280</v>
      </c>
      <c r="BA58" s="192" t="n">
        <v>84122</v>
      </c>
      <c r="BB58" s="192" t="n">
        <v>74624</v>
      </c>
      <c r="BC58" s="192" t="n">
        <v>59004</v>
      </c>
      <c r="BD58" s="192" t="n">
        <v>52610</v>
      </c>
      <c r="BE58" s="192" t="n">
        <v>57412</v>
      </c>
      <c r="BF58" s="192" t="n">
        <v>57563</v>
      </c>
      <c r="BG58" s="192" t="n">
        <v>52193</v>
      </c>
      <c r="BH58" s="192" t="n">
        <v>52615</v>
      </c>
      <c r="BI58" s="192" t="n">
        <v>51043</v>
      </c>
      <c r="BJ58" s="192" t="n">
        <v>40877</v>
      </c>
      <c r="BK58" s="192" t="n">
        <v>45345</v>
      </c>
      <c r="BL58" s="192" t="n">
        <v>41422</v>
      </c>
      <c r="BM58" s="192" t="n">
        <v>41304</v>
      </c>
      <c r="BN58" s="192" t="n">
        <v>53236</v>
      </c>
      <c r="BO58" s="192" t="n">
        <v>39640</v>
      </c>
      <c r="BP58" s="192" t="n">
        <v>45845</v>
      </c>
      <c r="BQ58" s="192" t="n">
        <v>44896</v>
      </c>
      <c r="BR58" s="192" t="n">
        <v>55471</v>
      </c>
      <c r="BS58" s="192" t="n">
        <v>40603</v>
      </c>
      <c r="BT58" s="192" t="n">
        <v>41149</v>
      </c>
      <c r="BU58" s="192" t="n">
        <v>40521</v>
      </c>
      <c r="BV58" s="192" t="n">
        <v>50136</v>
      </c>
      <c r="BW58" s="192" t="n">
        <v>37893</v>
      </c>
      <c r="BX58" s="192" t="n">
        <v>37823</v>
      </c>
      <c r="BY58" s="192" t="n">
        <v>36233</v>
      </c>
      <c r="BZ58" s="192" t="n">
        <v>44390</v>
      </c>
      <c r="CA58" s="192" t="n">
        <v>35733</v>
      </c>
      <c r="CB58" s="192" t="n">
        <v>35270</v>
      </c>
      <c r="CC58" s="192" t="n">
        <v>34627</v>
      </c>
      <c r="CD58" s="192" t="n">
        <v>42069</v>
      </c>
      <c r="CE58" s="192" t="n">
        <v>27150</v>
      </c>
      <c r="CF58" s="192" t="n">
        <v>37254</v>
      </c>
      <c r="CG58" s="192" t="n">
        <v>40821</v>
      </c>
      <c r="CH58" s="192" t="n">
        <v>46477</v>
      </c>
      <c r="CI58" s="192" t="n">
        <v>32026</v>
      </c>
      <c r="CJ58" s="192" t="n">
        <v>37610</v>
      </c>
      <c r="CK58" s="192" t="n">
        <v>36735</v>
      </c>
      <c r="CL58" s="192" t="n">
        <v>38867</v>
      </c>
      <c r="CM58" s="192" t="n">
        <v>30392</v>
      </c>
      <c r="CN58" s="192" t="n">
        <v>30345</v>
      </c>
      <c r="CO58" s="192" t="n">
        <v>31573</v>
      </c>
      <c r="CP58" s="192" t="n">
        <v>34710</v>
      </c>
      <c r="CQ58" s="192" t="n">
        <v>7853</v>
      </c>
      <c r="CR58" s="192" t="n">
        <v>22813</v>
      </c>
      <c r="CS58" s="192" t="n">
        <v>24989</v>
      </c>
      <c r="CT58" s="192" t="n">
        <v>30905</v>
      </c>
      <c r="CU58" s="192" t="n">
        <v>23553</v>
      </c>
      <c r="CV58" s="192" t="n">
        <v>22670</v>
      </c>
      <c r="CW58" s="192" t="n">
        <v>21449</v>
      </c>
      <c r="CX58" s="192" t="n">
        <v>24964</v>
      </c>
      <c r="CY58" s="192" t="n">
        <v>17368</v>
      </c>
      <c r="CZ58" s="192" t="n">
        <v>15241.1</v>
      </c>
      <c r="DA58" s="192" t="n">
        <v>13336.2</v>
      </c>
      <c r="DB58" s="192" t="n">
        <v>15422.8</v>
      </c>
      <c r="DC58" s="192" t="n">
        <v>13756.5</v>
      </c>
      <c r="DD58" s="192" t="n">
        <v>14706.5</v>
      </c>
      <c r="DE58" s="192" t="n">
        <v>15535.2</v>
      </c>
      <c r="DF58" s="192" t="n">
        <v>16600.4</v>
      </c>
      <c r="DG58" s="192" t="n">
        <v>12495.2</v>
      </c>
      <c r="DH58" s="192" t="n">
        <v>12758.2</v>
      </c>
      <c r="DI58" s="192" t="n">
        <v>12931.4</v>
      </c>
      <c r="DJ58" s="192" t="n">
        <v>11485.2</v>
      </c>
      <c r="DK58" s="192" t="n">
        <v>9349.200000000001</v>
      </c>
      <c r="DL58" s="192" t="n">
        <v>8919.200000000001</v>
      </c>
      <c r="DM58" s="192" t="n">
        <v>8162.2</v>
      </c>
      <c r="DN58" s="192" t="n">
        <v>8336.1</v>
      </c>
      <c r="DO58" s="192" t="n">
        <v>6600</v>
      </c>
      <c r="DP58" s="192" t="n">
        <v>6300</v>
      </c>
      <c r="DQ58" s="192" t="n">
        <v>6700</v>
      </c>
      <c r="DR58" s="192" t="n">
        <v>6300</v>
      </c>
      <c r="DS58" s="192" t="n">
        <v>4800</v>
      </c>
      <c r="DT58" s="192" t="n">
        <v>4200</v>
      </c>
      <c r="DU58" s="192" t="n">
        <v>4300</v>
      </c>
      <c r="DV58" s="192" t="n">
        <v>4300</v>
      </c>
      <c r="DW58" s="192" t="n">
        <v>3500</v>
      </c>
      <c r="DX58" s="192" t="n">
        <v>3100</v>
      </c>
      <c r="DY58" s="192" t="n">
        <v>3400</v>
      </c>
      <c r="DZ58" s="192" t="n">
        <v>3300</v>
      </c>
      <c r="EA58" s="192" t="n">
        <v>3000</v>
      </c>
      <c r="EB58" s="192" t="n">
        <v>2300</v>
      </c>
      <c r="EC58" s="192" t="n">
        <v>2800</v>
      </c>
      <c r="ED58" s="192" t="n">
        <v>2800</v>
      </c>
      <c r="EE58" s="192" t="n">
        <v>3000</v>
      </c>
      <c r="EF58" s="192" t="n">
        <v>2600</v>
      </c>
      <c r="EG58" s="192" t="n">
        <v>2200</v>
      </c>
      <c r="EH58" s="192" t="n">
        <v>1900</v>
      </c>
      <c r="EI58" s="192" t="n">
        <v>1600</v>
      </c>
      <c r="EJ58" s="192" t="n">
        <v>1300</v>
      </c>
      <c r="EK58" s="192" t="n">
        <v>1200</v>
      </c>
      <c r="EL58" s="192" t="n">
        <v>600</v>
      </c>
      <c r="EM58" s="192" t="n">
        <v>-600</v>
      </c>
      <c r="EN58" s="192" t="n">
        <v>-600</v>
      </c>
      <c r="EO58" s="182" t="n"/>
      <c r="EP58" s="176" t="n"/>
      <c r="EQ58" s="176" t="n"/>
      <c r="ER58" s="176" t="n"/>
      <c r="ES58" s="176" t="n"/>
      <c r="ET58" s="176" t="n"/>
      <c r="EU58" s="176" t="n"/>
      <c r="EV58" s="176" t="n"/>
      <c r="EW58" s="176" t="n"/>
      <c r="EX58" s="176" t="n"/>
      <c r="EY58" s="176" t="n"/>
      <c r="EZ58" s="176" t="n"/>
      <c r="FA58" s="176" t="n"/>
      <c r="FB58" s="176" t="n"/>
      <c r="FC58" s="176" t="n"/>
      <c r="FD58" s="176" t="n"/>
      <c r="FE58" s="176" t="n"/>
      <c r="FF58" s="176" t="n"/>
      <c r="FG58" s="176" t="n"/>
      <c r="FH58" s="176" t="n"/>
      <c r="FI58" s="176" t="n"/>
      <c r="FJ58" s="176" t="n"/>
      <c r="FK58" s="176" t="n"/>
      <c r="FL58" s="176" t="n"/>
      <c r="FM58" s="176" t="n"/>
    </row>
    <row r="59" ht="15" customHeight="1" s="392">
      <c r="A59" s="176" t="n"/>
      <c r="B59" s="180" t="n"/>
      <c r="C59" s="187" t="inlineStr">
        <is>
          <t>Net Income Available to Common Stockholders</t>
        </is>
      </c>
      <c r="D59" s="190">
        <f>IF(COUNT(M59:EN59)&gt;0,MEDIAN(M59:EN59),"")</f>
        <v/>
      </c>
      <c r="E59" s="190">
        <f>IF(COUNT(M59:EN59)&gt;0,AVERAGE(M59:EN59),"")</f>
        <v/>
      </c>
      <c r="F59" s="190">
        <f>IF(COUNT(M59:EN59)&gt;0,MIN(M59:EN59),"")</f>
        <v/>
      </c>
      <c r="G59" s="190">
        <f>IF(COUNT(M59:EN59)&gt;0,MAX(M59:EN59),"")</f>
        <v/>
      </c>
      <c r="H59" s="190">
        <f>IF(COUNT(M59:EN59)&gt;0,QUARTILE(M59:EN59,1),"")</f>
        <v/>
      </c>
      <c r="I59" s="190">
        <f>IF(COUNT(M59:EN59)&gt;0,QUARTILE(M59:EN59,3),"")</f>
        <v/>
      </c>
      <c r="J59" s="190">
        <f>IF(COUNT(M59:EN59)&gt;1,STDEV(M59:EN59),"")</f>
        <v/>
      </c>
      <c r="K59" s="191">
        <f>IF(COUNT(M59:EN59)&gt;1,STDEV(M59:EN59)/AVERAGE(M59:EN59),"")</f>
        <v/>
      </c>
      <c r="M59" s="192" t="n">
        <v>327423</v>
      </c>
      <c r="N59" s="192" t="n">
        <v>402401</v>
      </c>
      <c r="O59" s="192" t="n">
        <v>350732</v>
      </c>
      <c r="P59" s="192" t="n">
        <v>403714</v>
      </c>
      <c r="Q59" s="192" t="n">
        <v>396354</v>
      </c>
      <c r="R59" s="192" t="n">
        <v>406609</v>
      </c>
      <c r="S59" s="192" t="n">
        <v>387400</v>
      </c>
      <c r="T59" s="192" t="n">
        <v>362086</v>
      </c>
      <c r="U59" s="192" t="n">
        <v>322567</v>
      </c>
      <c r="V59" s="192" t="n">
        <v>382291</v>
      </c>
      <c r="W59" s="192" t="n">
        <v>325635</v>
      </c>
      <c r="X59" s="192" t="n">
        <v>332527</v>
      </c>
      <c r="Y59" s="192" t="n">
        <v>347785</v>
      </c>
      <c r="Z59" s="192" t="n">
        <v>350431</v>
      </c>
      <c r="AA59" s="192" t="n">
        <v>293677</v>
      </c>
      <c r="AB59" s="192" t="n">
        <v>245848</v>
      </c>
      <c r="AC59" s="192" t="n">
        <v>263735</v>
      </c>
      <c r="AD59" s="192" t="n">
        <v>278620</v>
      </c>
      <c r="AE59" s="192" t="n">
        <v>287412</v>
      </c>
      <c r="AF59" s="192" t="n">
        <v>260363</v>
      </c>
      <c r="AG59" s="192" t="n">
        <v>255974</v>
      </c>
      <c r="AH59" s="192" t="n">
        <v>286796</v>
      </c>
      <c r="AI59" s="192" t="n">
        <v>193440</v>
      </c>
      <c r="AJ59" s="192" t="n">
        <v>200285</v>
      </c>
      <c r="AK59" s="192" t="n">
        <v>165533</v>
      </c>
      <c r="AL59" s="192" t="n">
        <v>147487</v>
      </c>
      <c r="AM59" s="192" t="n">
        <v>168707</v>
      </c>
      <c r="AN59" s="192" t="n">
        <v>218180</v>
      </c>
      <c r="AO59" s="192" t="n">
        <v>153496</v>
      </c>
      <c r="AP59" s="192" t="n">
        <v>192741</v>
      </c>
      <c r="AQ59" s="192" t="n">
        <v>131373</v>
      </c>
      <c r="AR59" s="192" t="n">
        <v>114083</v>
      </c>
      <c r="AS59" s="192" t="n">
        <v>109748</v>
      </c>
      <c r="AT59" s="192" t="n">
        <v>127348</v>
      </c>
      <c r="AU59" s="192" t="n">
        <v>103256</v>
      </c>
      <c r="AV59" s="192" t="n">
        <v>77515</v>
      </c>
      <c r="AW59" s="192" t="n">
        <v>70335</v>
      </c>
      <c r="AX59" s="192" t="n">
        <v>90546</v>
      </c>
      <c r="AY59" s="192" t="n">
        <v>66066</v>
      </c>
      <c r="AZ59" s="192" t="n">
        <v>167280</v>
      </c>
      <c r="BA59" s="192" t="n">
        <v>84122</v>
      </c>
      <c r="BB59" s="192" t="n">
        <v>74624</v>
      </c>
      <c r="BC59" s="192" t="n">
        <v>59004</v>
      </c>
      <c r="BD59" s="192" t="n">
        <v>52610</v>
      </c>
      <c r="BE59" s="192" t="n">
        <v>57412</v>
      </c>
      <c r="BF59" s="192" t="n">
        <v>57563</v>
      </c>
      <c r="BG59" s="192" t="n">
        <v>52193</v>
      </c>
      <c r="BH59" s="192" t="n">
        <v>52615</v>
      </c>
      <c r="BI59" s="192" t="n">
        <v>51043</v>
      </c>
      <c r="BJ59" s="192" t="n">
        <v>40877</v>
      </c>
      <c r="BK59" s="192" t="n">
        <v>45345</v>
      </c>
      <c r="BL59" s="192" t="n">
        <v>41422</v>
      </c>
      <c r="BM59" s="192" t="n">
        <v>41304</v>
      </c>
      <c r="BN59" s="192" t="n">
        <v>53236</v>
      </c>
      <c r="BO59" s="192" t="n">
        <v>39640</v>
      </c>
      <c r="BP59" s="192" t="n">
        <v>45845</v>
      </c>
      <c r="BQ59" s="192" t="n">
        <v>44896</v>
      </c>
      <c r="BR59" s="192" t="n">
        <v>55471</v>
      </c>
      <c r="BS59" s="192" t="n">
        <v>40603</v>
      </c>
      <c r="BT59" s="192" t="n">
        <v>41149</v>
      </c>
      <c r="BU59" s="192" t="n">
        <v>40521</v>
      </c>
      <c r="BV59" s="192" t="n">
        <v>50136</v>
      </c>
      <c r="BW59" s="192" t="n">
        <v>37893</v>
      </c>
      <c r="BX59" s="192" t="n">
        <v>37823</v>
      </c>
      <c r="BY59" s="192" t="n">
        <v>36233</v>
      </c>
      <c r="BZ59" s="192" t="n">
        <v>44390</v>
      </c>
      <c r="CA59" s="192" t="n">
        <v>35733</v>
      </c>
      <c r="CB59" s="192" t="n">
        <v>35270</v>
      </c>
      <c r="CC59" s="192" t="n">
        <v>34627</v>
      </c>
      <c r="CD59" s="192" t="n">
        <v>42069</v>
      </c>
      <c r="CE59" s="192" t="n">
        <v>27150</v>
      </c>
      <c r="CF59" s="192" t="n">
        <v>37254</v>
      </c>
      <c r="CG59" s="192" t="n">
        <v>40821</v>
      </c>
      <c r="CH59" s="192" t="n">
        <v>46477</v>
      </c>
      <c r="CI59" s="192" t="n">
        <v>32026</v>
      </c>
      <c r="CJ59" s="192" t="n">
        <v>37610</v>
      </c>
      <c r="CK59" s="192" t="n">
        <v>36735</v>
      </c>
      <c r="CL59" s="192" t="n">
        <v>38867</v>
      </c>
      <c r="CM59" s="192" t="n">
        <v>30392</v>
      </c>
      <c r="CN59" s="192" t="n">
        <v>30345</v>
      </c>
      <c r="CO59" s="192" t="n">
        <v>31573</v>
      </c>
      <c r="CP59" s="192" t="n">
        <v>34710</v>
      </c>
      <c r="CQ59" s="192" t="n">
        <v>7853</v>
      </c>
      <c r="CR59" s="192" t="n">
        <v>22813</v>
      </c>
      <c r="CS59" s="192" t="n">
        <v>24989</v>
      </c>
      <c r="CT59" s="192" t="n">
        <v>30905</v>
      </c>
      <c r="CU59" s="192" t="n">
        <v>23553</v>
      </c>
      <c r="CV59" s="192" t="n">
        <v>22670</v>
      </c>
      <c r="CW59" s="192" t="n">
        <v>21449</v>
      </c>
      <c r="CX59" s="192" t="n">
        <v>24964</v>
      </c>
      <c r="CY59" s="192" t="n">
        <v>17368</v>
      </c>
      <c r="CZ59" s="192" t="n">
        <v>15241.1</v>
      </c>
      <c r="DA59" s="192" t="n">
        <v>13336.2</v>
      </c>
      <c r="DB59" s="192" t="n">
        <v>15422.8</v>
      </c>
      <c r="DC59" s="192" t="n">
        <v>13756.5</v>
      </c>
      <c r="DD59" s="192" t="n">
        <v>14706.5</v>
      </c>
      <c r="DE59" s="192" t="n">
        <v>15535.2</v>
      </c>
      <c r="DF59" s="192" t="n">
        <v>16600.4</v>
      </c>
      <c r="DG59" s="192" t="n">
        <v>12495.2</v>
      </c>
      <c r="DH59" s="192" t="n">
        <v>12758.2</v>
      </c>
      <c r="DI59" s="192" t="n">
        <v>12931.4</v>
      </c>
      <c r="DJ59" s="192" t="n">
        <v>11485.2</v>
      </c>
      <c r="DK59" s="192" t="n">
        <v>9349.200000000001</v>
      </c>
      <c r="DL59" s="192" t="n">
        <v>8919.200000000001</v>
      </c>
      <c r="DM59" s="192" t="n">
        <v>8162.2</v>
      </c>
      <c r="DN59" s="192" t="n">
        <v>8336.1</v>
      </c>
      <c r="DO59" s="192" t="n">
        <v>6600</v>
      </c>
      <c r="DP59" s="192" t="n">
        <v>6300</v>
      </c>
      <c r="DQ59" s="192" t="n">
        <v>6700</v>
      </c>
      <c r="DR59" s="192" t="n">
        <v>6300</v>
      </c>
      <c r="DS59" s="192" t="n">
        <v>4800</v>
      </c>
      <c r="DT59" s="192" t="n">
        <v>4200</v>
      </c>
      <c r="DU59" s="192" t="n">
        <v>4300</v>
      </c>
      <c r="DV59" s="192" t="n">
        <v>4300</v>
      </c>
      <c r="DW59" s="192" t="n">
        <v>3500</v>
      </c>
      <c r="DX59" s="192" t="n">
        <v>3100</v>
      </c>
      <c r="DY59" s="192" t="n">
        <v>3400</v>
      </c>
      <c r="DZ59" s="192" t="n">
        <v>3300</v>
      </c>
      <c r="EA59" s="192" t="n">
        <v>3000</v>
      </c>
      <c r="EB59" s="192" t="n">
        <v>2300</v>
      </c>
      <c r="EC59" s="192" t="n">
        <v>2800</v>
      </c>
      <c r="ED59" s="192" t="n">
        <v>2800</v>
      </c>
      <c r="EE59" s="192" t="n">
        <v>3000</v>
      </c>
      <c r="EF59" s="192" t="n">
        <v>2600</v>
      </c>
      <c r="EG59" s="192" t="n">
        <v>2200</v>
      </c>
      <c r="EH59" s="192" t="n">
        <v>1900</v>
      </c>
      <c r="EI59" s="192" t="n">
        <v>1600</v>
      </c>
      <c r="EJ59" s="192" t="n">
        <v>1300</v>
      </c>
      <c r="EK59" s="192" t="n">
        <v>1200</v>
      </c>
      <c r="EL59" s="192" t="n">
        <v>600</v>
      </c>
      <c r="EM59" s="192" t="n">
        <v>-600</v>
      </c>
      <c r="EN59" s="192" t="n">
        <v>-600</v>
      </c>
      <c r="EO59" s="182" t="n"/>
      <c r="EP59" s="176" t="n"/>
      <c r="EQ59" s="176" t="n"/>
      <c r="ER59" s="176" t="n"/>
      <c r="ES59" s="176" t="n"/>
      <c r="ET59" s="176" t="n"/>
      <c r="EU59" s="176" t="n"/>
      <c r="EV59" s="176" t="n"/>
      <c r="EW59" s="176" t="n"/>
      <c r="EX59" s="176" t="n"/>
      <c r="EY59" s="176" t="n"/>
      <c r="EZ59" s="176" t="n"/>
      <c r="FA59" s="176" t="n"/>
      <c r="FB59" s="176" t="n"/>
      <c r="FC59" s="176" t="n"/>
      <c r="FD59" s="176" t="n"/>
      <c r="FE59" s="176" t="n"/>
      <c r="FF59" s="176" t="n"/>
      <c r="FG59" s="176" t="n"/>
      <c r="FH59" s="176" t="n"/>
      <c r="FI59" s="176" t="n"/>
      <c r="FJ59" s="176" t="n"/>
      <c r="FK59" s="176" t="n"/>
      <c r="FL59" s="176" t="n"/>
      <c r="FM59" s="176" t="n"/>
    </row>
    <row r="60" ht="15" customHeight="1" s="392">
      <c r="A60" s="176" t="n"/>
      <c r="B60" s="180" t="n"/>
      <c r="C60" s="187" t="inlineStr">
        <is>
          <t>Diluted Net Income Available to Common Stockholders</t>
        </is>
      </c>
      <c r="D60" s="190">
        <f>IF(COUNT(M60:EN60)&gt;0,MEDIAN(M60:EN60),"")</f>
        <v/>
      </c>
      <c r="E60" s="190">
        <f>IF(COUNT(M60:EN60)&gt;0,AVERAGE(M60:EN60),"")</f>
        <v/>
      </c>
      <c r="F60" s="190">
        <f>IF(COUNT(M60:EN60)&gt;0,MIN(M60:EN60),"")</f>
        <v/>
      </c>
      <c r="G60" s="190">
        <f>IF(COUNT(M60:EN60)&gt;0,MAX(M60:EN60),"")</f>
        <v/>
      </c>
      <c r="H60" s="190">
        <f>IF(COUNT(M60:EN60)&gt;0,QUARTILE(M60:EN60,1),"")</f>
        <v/>
      </c>
      <c r="I60" s="190">
        <f>IF(COUNT(M60:EN60)&gt;0,QUARTILE(M60:EN60,3),"")</f>
        <v/>
      </c>
      <c r="J60" s="190">
        <f>IF(COUNT(M60:EN60)&gt;1,STDEV(M60:EN60),"")</f>
        <v/>
      </c>
      <c r="K60" s="191">
        <f>IF(COUNT(M60:EN60)&gt;1,STDEV(M60:EN60)/AVERAGE(M60:EN60),"")</f>
        <v/>
      </c>
      <c r="M60" s="192" t="n">
        <v>327423</v>
      </c>
      <c r="N60" s="192" t="n">
        <v>402401</v>
      </c>
      <c r="O60" s="192" t="n">
        <v>350732</v>
      </c>
      <c r="P60" s="192" t="n">
        <v>403714</v>
      </c>
      <c r="Q60" s="192" t="n">
        <v>396354</v>
      </c>
      <c r="R60" s="192" t="n">
        <v>406609</v>
      </c>
      <c r="S60" s="192" t="n">
        <v>387400</v>
      </c>
      <c r="T60" s="192" t="n">
        <v>362086</v>
      </c>
      <c r="U60" s="192" t="n">
        <v>322567</v>
      </c>
      <c r="V60" s="192" t="n">
        <v>382291</v>
      </c>
      <c r="W60" s="192" t="n">
        <v>325635</v>
      </c>
      <c r="X60" s="192" t="n">
        <v>332527</v>
      </c>
      <c r="Y60" s="192" t="n">
        <v>347785</v>
      </c>
      <c r="Z60" s="192" t="n">
        <v>350431</v>
      </c>
      <c r="AA60" s="192" t="n">
        <v>293677</v>
      </c>
      <c r="AB60" s="192" t="n">
        <v>245848</v>
      </c>
      <c r="AC60" s="192" t="n">
        <v>263735</v>
      </c>
      <c r="AD60" s="192" t="n">
        <v>278620</v>
      </c>
      <c r="AE60" s="192" t="n">
        <v>287412</v>
      </c>
      <c r="AF60" s="192" t="n">
        <v>260363</v>
      </c>
      <c r="AG60" s="192" t="n">
        <v>255974</v>
      </c>
      <c r="AH60" s="192" t="n">
        <v>286796</v>
      </c>
      <c r="AI60" s="192" t="n">
        <v>193440</v>
      </c>
      <c r="AJ60" s="192" t="n">
        <v>200285</v>
      </c>
      <c r="AK60" s="192" t="n">
        <v>165533</v>
      </c>
      <c r="AL60" s="192" t="n">
        <v>147487</v>
      </c>
      <c r="AM60" s="192" t="n">
        <v>168707</v>
      </c>
      <c r="AN60" s="192" t="n">
        <v>218180</v>
      </c>
      <c r="AO60" s="192" t="n">
        <v>153496</v>
      </c>
      <c r="AP60" s="192" t="n">
        <v>192741</v>
      </c>
      <c r="AQ60" s="192" t="n">
        <v>131373</v>
      </c>
      <c r="AR60" s="192" t="n">
        <v>114083</v>
      </c>
      <c r="AS60" s="192" t="n">
        <v>109748</v>
      </c>
      <c r="AT60" s="192" t="n">
        <v>127348</v>
      </c>
      <c r="AU60" s="192" t="n">
        <v>103256</v>
      </c>
      <c r="AV60" s="192" t="n">
        <v>77515</v>
      </c>
      <c r="AW60" s="192" t="n">
        <v>70335</v>
      </c>
      <c r="AX60" s="192" t="n">
        <v>90546</v>
      </c>
      <c r="AY60" s="192" t="n">
        <v>66066</v>
      </c>
      <c r="AZ60" s="192" t="n">
        <v>167280</v>
      </c>
      <c r="BA60" s="192" t="n">
        <v>84122</v>
      </c>
      <c r="BB60" s="192" t="n">
        <v>74624</v>
      </c>
      <c r="BC60" s="192" t="n">
        <v>59004</v>
      </c>
      <c r="BD60" s="192" t="n">
        <v>52610</v>
      </c>
      <c r="BE60" s="192" t="n">
        <v>57412</v>
      </c>
      <c r="BF60" s="192" t="n">
        <v>57563</v>
      </c>
      <c r="BG60" s="192" t="n">
        <v>52193</v>
      </c>
      <c r="BH60" s="192" t="n">
        <v>52615</v>
      </c>
      <c r="BI60" s="192" t="n">
        <v>51043</v>
      </c>
      <c r="BJ60" s="192" t="n">
        <v>40877</v>
      </c>
      <c r="BK60" s="192" t="n">
        <v>45345</v>
      </c>
      <c r="BL60" s="192" t="n">
        <v>41422</v>
      </c>
      <c r="BM60" s="192" t="n">
        <v>41304</v>
      </c>
      <c r="BN60" s="192" t="n">
        <v>53236</v>
      </c>
      <c r="BO60" s="192" t="n">
        <v>39640</v>
      </c>
      <c r="BP60" s="192" t="n">
        <v>45845</v>
      </c>
      <c r="BQ60" s="192" t="n">
        <v>44896</v>
      </c>
      <c r="BR60" s="192" t="n">
        <v>55471</v>
      </c>
      <c r="BS60" s="192" t="n">
        <v>40603</v>
      </c>
      <c r="BT60" s="192" t="n">
        <v>41149</v>
      </c>
      <c r="BU60" s="192" t="n">
        <v>40521</v>
      </c>
      <c r="BV60" s="192" t="n">
        <v>50136</v>
      </c>
      <c r="BW60" s="192" t="n">
        <v>37893</v>
      </c>
      <c r="BX60" s="192" t="n">
        <v>37823</v>
      </c>
      <c r="BY60" s="192" t="n">
        <v>36233</v>
      </c>
      <c r="BZ60" s="192" t="n">
        <v>44390</v>
      </c>
      <c r="CA60" s="192" t="n">
        <v>35733</v>
      </c>
      <c r="CB60" s="192" t="n">
        <v>35270</v>
      </c>
      <c r="CC60" s="192" t="n">
        <v>34627</v>
      </c>
      <c r="CD60" s="192" t="n">
        <v>42069</v>
      </c>
      <c r="CE60" s="192" t="n">
        <v>27150</v>
      </c>
      <c r="CF60" s="192" t="n">
        <v>37254</v>
      </c>
      <c r="CG60" s="192" t="n">
        <v>40821</v>
      </c>
      <c r="CH60" s="192" t="n">
        <v>46477</v>
      </c>
      <c r="CI60" s="192" t="n">
        <v>32026</v>
      </c>
      <c r="CJ60" s="192" t="n">
        <v>37610</v>
      </c>
      <c r="CK60" s="192" t="n">
        <v>36735</v>
      </c>
      <c r="CL60" s="192" t="n">
        <v>38867</v>
      </c>
      <c r="CM60" s="192" t="n">
        <v>30392</v>
      </c>
      <c r="CN60" s="192" t="n">
        <v>30345</v>
      </c>
      <c r="CO60" s="192" t="n">
        <v>31573</v>
      </c>
      <c r="CP60" s="192" t="n">
        <v>34710</v>
      </c>
      <c r="CQ60" s="192" t="n">
        <v>7853</v>
      </c>
      <c r="CR60" s="192" t="n">
        <v>22813</v>
      </c>
      <c r="CS60" s="192" t="n">
        <v>24989</v>
      </c>
      <c r="CT60" s="192" t="n">
        <v>30905</v>
      </c>
      <c r="CU60" s="192" t="n">
        <v>23553</v>
      </c>
      <c r="CV60" s="192" t="n">
        <v>22670</v>
      </c>
      <c r="CW60" s="192" t="n">
        <v>21449</v>
      </c>
      <c r="CX60" s="192" t="n">
        <v>24964</v>
      </c>
      <c r="CY60" s="192" t="n">
        <v>17368</v>
      </c>
      <c r="CZ60" s="192" t="n">
        <v>15241.1</v>
      </c>
      <c r="DA60" s="192" t="n">
        <v>13336.2</v>
      </c>
      <c r="DB60" s="192" t="n">
        <v>15422.8</v>
      </c>
      <c r="DC60" s="192" t="n">
        <v>13756.5</v>
      </c>
      <c r="DD60" s="192" t="n">
        <v>14706.5</v>
      </c>
      <c r="DE60" s="192" t="n">
        <v>15535.2</v>
      </c>
      <c r="DF60" s="192" t="n">
        <v>16600.4</v>
      </c>
      <c r="DG60" s="192" t="n">
        <v>12495.2</v>
      </c>
      <c r="DH60" s="192" t="n">
        <v>12758.2</v>
      </c>
      <c r="DI60" s="192" t="n">
        <v>12931.4</v>
      </c>
      <c r="DJ60" s="192" t="n">
        <v>11485.2</v>
      </c>
      <c r="DK60" s="192" t="n">
        <v>9349.200000000001</v>
      </c>
      <c r="DL60" s="192" t="n">
        <v>8919.200000000001</v>
      </c>
      <c r="DM60" s="192" t="n">
        <v>8162.2</v>
      </c>
      <c r="DN60" s="192" t="n">
        <v>8336.1</v>
      </c>
      <c r="DO60" s="192" t="n">
        <v>6600</v>
      </c>
      <c r="DP60" s="192" t="n">
        <v>6300</v>
      </c>
      <c r="DQ60" s="192" t="n">
        <v>6700</v>
      </c>
      <c r="DR60" s="192" t="n">
        <v>6300</v>
      </c>
      <c r="DS60" s="192" t="n">
        <v>4800</v>
      </c>
      <c r="DT60" s="192" t="n">
        <v>4200</v>
      </c>
      <c r="DU60" s="192" t="n">
        <v>4300</v>
      </c>
      <c r="DV60" s="192" t="n">
        <v>4300</v>
      </c>
      <c r="DW60" s="192" t="n">
        <v>3500</v>
      </c>
      <c r="DX60" s="192" t="n">
        <v>3100</v>
      </c>
      <c r="DY60" s="192" t="n">
        <v>3400</v>
      </c>
      <c r="DZ60" s="192" t="n">
        <v>3300</v>
      </c>
      <c r="EA60" s="192" t="n">
        <v>3000</v>
      </c>
      <c r="EB60" s="192" t="n">
        <v>2300</v>
      </c>
      <c r="EC60" s="192" t="n">
        <v>2800</v>
      </c>
      <c r="ED60" s="192" t="n">
        <v>2800</v>
      </c>
      <c r="EE60" s="192" t="n">
        <v>3000</v>
      </c>
      <c r="EF60" s="192" t="n">
        <v>2600</v>
      </c>
      <c r="EG60" s="192" t="n">
        <v>2200</v>
      </c>
      <c r="EH60" s="192" t="n">
        <v>1900</v>
      </c>
      <c r="EI60" s="192" t="n">
        <v>1600</v>
      </c>
      <c r="EJ60" s="192" t="n">
        <v>1300</v>
      </c>
      <c r="EK60" s="192" t="n">
        <v>1200</v>
      </c>
      <c r="EL60" s="192" t="n">
        <v>600</v>
      </c>
      <c r="EM60" s="192" t="n">
        <v>-600</v>
      </c>
      <c r="EN60" s="192" t="n">
        <v>-600</v>
      </c>
      <c r="EO60" s="182" t="n"/>
      <c r="EP60" s="176" t="n"/>
      <c r="EQ60" s="176" t="n"/>
      <c r="ER60" s="176" t="n"/>
      <c r="ES60" s="176" t="n"/>
      <c r="ET60" s="176" t="n"/>
      <c r="EU60" s="176" t="n"/>
      <c r="EV60" s="176" t="n"/>
      <c r="EW60" s="176" t="n"/>
      <c r="EX60" s="176" t="n"/>
      <c r="EY60" s="176" t="n"/>
      <c r="EZ60" s="176" t="n"/>
      <c r="FA60" s="176" t="n"/>
      <c r="FB60" s="176" t="n"/>
      <c r="FC60" s="176" t="n"/>
      <c r="FD60" s="176" t="n"/>
      <c r="FE60" s="176" t="n"/>
      <c r="FF60" s="176" t="n"/>
      <c r="FG60" s="176" t="n"/>
      <c r="FH60" s="176" t="n"/>
      <c r="FI60" s="176" t="n"/>
      <c r="FJ60" s="176" t="n"/>
      <c r="FK60" s="176" t="n"/>
      <c r="FL60" s="176" t="n"/>
      <c r="FM60" s="176" t="n"/>
    </row>
    <row r="61" ht="15" customHeight="1" s="392">
      <c r="A61" s="176" t="n"/>
      <c r="B61" s="180" t="n"/>
      <c r="C61" s="189" t="inlineStr">
        <is>
          <t>Basic EPS</t>
        </is>
      </c>
      <c r="D61" s="185" t="n"/>
      <c r="E61" s="185" t="n"/>
      <c r="F61" s="185" t="n"/>
      <c r="G61" s="185" t="n"/>
      <c r="H61" s="185" t="n"/>
      <c r="I61" s="185" t="n"/>
      <c r="J61" s="185" t="n"/>
      <c r="K61" s="185" t="n"/>
      <c r="L61" s="185" t="n"/>
      <c r="M61" s="185" t="n"/>
      <c r="N61" s="185" t="n"/>
      <c r="O61" s="185" t="n"/>
      <c r="P61" s="185" t="n"/>
      <c r="Q61" s="185" t="n"/>
      <c r="R61" s="185" t="n"/>
      <c r="S61" s="185" t="n"/>
      <c r="T61" s="185" t="n"/>
      <c r="U61" s="185" t="n"/>
      <c r="V61" s="185" t="n"/>
      <c r="W61" s="185" t="n"/>
      <c r="X61" s="185" t="n"/>
      <c r="Y61" s="185" t="n"/>
      <c r="Z61" s="185" t="n"/>
      <c r="AA61" s="185" t="n"/>
      <c r="AB61" s="185" t="n"/>
      <c r="AC61" s="185" t="n"/>
      <c r="AD61" s="185" t="n"/>
      <c r="AE61" s="185" t="n"/>
      <c r="AF61" s="185" t="n"/>
      <c r="AG61" s="185" t="n"/>
      <c r="AH61" s="185" t="n"/>
      <c r="AI61" s="185" t="n"/>
      <c r="AJ61" s="185" t="n"/>
      <c r="AK61" s="185" t="n"/>
      <c r="AL61" s="185" t="n"/>
      <c r="AM61" s="185" t="n"/>
      <c r="AN61" s="185" t="n"/>
      <c r="AO61" s="185" t="n"/>
      <c r="AP61" s="185" t="n"/>
      <c r="AQ61" s="185" t="n"/>
      <c r="AR61" s="185" t="n"/>
      <c r="AS61" s="185" t="n"/>
      <c r="AT61" s="185" t="n"/>
      <c r="AU61" s="185" t="n"/>
      <c r="AV61" s="185" t="n"/>
      <c r="AW61" s="185" t="n"/>
      <c r="AX61" s="185" t="n"/>
      <c r="AY61" s="185" t="n"/>
      <c r="AZ61" s="185" t="n"/>
      <c r="BA61" s="185" t="n"/>
      <c r="BB61" s="185" t="n"/>
      <c r="BC61" s="185" t="n"/>
      <c r="BD61" s="185" t="n"/>
      <c r="BE61" s="185" t="n"/>
      <c r="BF61" s="185" t="n"/>
      <c r="BG61" s="185" t="n"/>
      <c r="BH61" s="185" t="n"/>
      <c r="BI61" s="185" t="n"/>
      <c r="BJ61" s="185" t="n"/>
      <c r="BK61" s="185" t="n"/>
      <c r="BL61" s="185" t="n"/>
      <c r="BM61" s="185" t="n"/>
      <c r="BN61" s="185" t="n"/>
      <c r="BO61" s="185" t="n"/>
      <c r="BP61" s="185" t="n"/>
      <c r="BQ61" s="185" t="n"/>
      <c r="BR61" s="185" t="n"/>
      <c r="BS61" s="185" t="n"/>
      <c r="BT61" s="185" t="n"/>
      <c r="BU61" s="185" t="n"/>
      <c r="BV61" s="185" t="n"/>
      <c r="BW61" s="185" t="n"/>
      <c r="BX61" s="185" t="n"/>
      <c r="BY61" s="185" t="n"/>
      <c r="BZ61" s="185" t="n"/>
      <c r="CA61" s="185" t="n"/>
      <c r="CB61" s="185" t="n"/>
      <c r="CC61" s="185" t="n"/>
      <c r="CD61" s="185" t="n"/>
      <c r="CE61" s="185" t="n"/>
      <c r="CF61" s="185" t="n"/>
      <c r="CG61" s="185" t="n"/>
      <c r="CH61" s="185" t="n"/>
      <c r="CI61" s="185" t="n"/>
      <c r="CJ61" s="185" t="n"/>
      <c r="CK61" s="185" t="n"/>
      <c r="CL61" s="185" t="n"/>
      <c r="CM61" s="185" t="n"/>
      <c r="CN61" s="185" t="n"/>
      <c r="CO61" s="185" t="n"/>
      <c r="CP61" s="185" t="n"/>
      <c r="CQ61" s="185" t="n"/>
      <c r="CR61" s="185" t="n"/>
      <c r="CS61" s="185" t="n"/>
      <c r="CT61" s="185" t="n"/>
      <c r="CU61" s="185" t="n"/>
      <c r="CV61" s="185" t="n"/>
      <c r="CW61" s="185" t="n"/>
      <c r="CX61" s="185" t="n"/>
      <c r="CY61" s="185" t="n"/>
      <c r="CZ61" s="185" t="n"/>
      <c r="DA61" s="185" t="n"/>
      <c r="DB61" s="185" t="n"/>
      <c r="DC61" s="185" t="n"/>
      <c r="DD61" s="185" t="n"/>
      <c r="DE61" s="185" t="n"/>
      <c r="DF61" s="185" t="n"/>
      <c r="DG61" s="185" t="n"/>
      <c r="DH61" s="185" t="n"/>
      <c r="DI61" s="185" t="n"/>
      <c r="DJ61" s="185" t="n"/>
      <c r="DK61" s="185" t="n"/>
      <c r="DL61" s="185" t="n"/>
      <c r="DM61" s="185" t="n"/>
      <c r="DN61" s="185" t="n"/>
      <c r="DO61" s="185" t="n"/>
      <c r="DP61" s="185" t="n"/>
      <c r="DQ61" s="185" t="n"/>
      <c r="DR61" s="185" t="n"/>
      <c r="DS61" s="185" t="n"/>
      <c r="DT61" s="185" t="n"/>
      <c r="DU61" s="185" t="n"/>
      <c r="DV61" s="185" t="n"/>
      <c r="DW61" s="185" t="n"/>
      <c r="DX61" s="185" t="n"/>
      <c r="DY61" s="185" t="n"/>
      <c r="DZ61" s="185" t="n"/>
      <c r="EA61" s="185" t="n"/>
      <c r="EB61" s="185" t="n"/>
      <c r="EC61" s="185" t="n"/>
      <c r="ED61" s="185" t="n"/>
      <c r="EE61" s="185" t="n"/>
      <c r="EF61" s="185" t="n"/>
      <c r="EG61" s="185" t="n"/>
      <c r="EH61" s="185" t="n"/>
      <c r="EI61" s="185" t="n"/>
      <c r="EJ61" s="185" t="n"/>
      <c r="EK61" s="185" t="n"/>
      <c r="EL61" s="185" t="n"/>
      <c r="EM61" s="185" t="n"/>
      <c r="EN61" s="185" t="n"/>
      <c r="EO61" s="182" t="n"/>
      <c r="EP61" s="176" t="n"/>
      <c r="EQ61" s="176" t="n"/>
      <c r="ER61" s="176" t="n"/>
      <c r="ES61" s="176" t="n"/>
      <c r="ET61" s="176" t="n"/>
      <c r="EU61" s="176" t="n"/>
      <c r="EV61" s="176" t="n"/>
      <c r="EW61" s="176" t="n"/>
      <c r="EX61" s="176" t="n"/>
      <c r="EY61" s="176" t="n"/>
      <c r="EZ61" s="176" t="n"/>
      <c r="FA61" s="176" t="n"/>
      <c r="FB61" s="176" t="n"/>
      <c r="FC61" s="176" t="n"/>
      <c r="FD61" s="176" t="n"/>
      <c r="FE61" s="176" t="n"/>
      <c r="FF61" s="176" t="n"/>
      <c r="FG61" s="176" t="n"/>
      <c r="FH61" s="176" t="n"/>
      <c r="FI61" s="176" t="n"/>
      <c r="FJ61" s="176" t="n"/>
      <c r="FK61" s="176" t="n"/>
      <c r="FL61" s="176" t="n"/>
      <c r="FM61" s="176" t="n"/>
    </row>
    <row r="62" ht="15" customHeight="1" s="392">
      <c r="A62" s="176" t="n"/>
      <c r="B62" s="180" t="n"/>
      <c r="C62" s="183" t="inlineStr">
        <is>
          <t xml:space="preserve">    Basic EPS from Continuing Operations</t>
        </is>
      </c>
      <c r="D62" s="191">
        <f>IF(COUNT(M62:EN62)&gt;0,MEDIAN(M62:EN62),"")</f>
        <v/>
      </c>
      <c r="E62" s="191">
        <f>IF(COUNT(M62:EN62)&gt;0,AVERAGE(M62:EN62),"")</f>
        <v/>
      </c>
      <c r="F62" s="191">
        <f>IF(COUNT(M62:EN62)&gt;0,MIN(M62:EN62),"")</f>
        <v/>
      </c>
      <c r="G62" s="191">
        <f>IF(COUNT(M62:EN62)&gt;0,MAX(M62:EN62),"")</f>
        <v/>
      </c>
      <c r="H62" s="191">
        <f>IF(COUNT(M62:EN62)&gt;0,QUARTILE(M62:EN62,1),"")</f>
        <v/>
      </c>
      <c r="I62" s="191">
        <f>IF(COUNT(M62:EN62)&gt;0,QUARTILE(M62:EN62,3),"")</f>
        <v/>
      </c>
      <c r="J62" s="191">
        <f>IF(COUNT(M62:EN62)&gt;1,STDEV(M62:EN62),"")</f>
        <v/>
      </c>
      <c r="K62" s="191">
        <f>IF(COUNT(M62:EN62)&gt;1,STDEV(M62:EN62)/AVERAGE(M62:EN62),"")</f>
        <v/>
      </c>
      <c r="M62" s="197" t="n">
        <v>0.35</v>
      </c>
      <c r="N62" s="197" t="n">
        <v>0.43</v>
      </c>
      <c r="O62" s="197" t="n">
        <v>0.36</v>
      </c>
      <c r="P62" s="197" t="n">
        <v>0.42</v>
      </c>
      <c r="Q62" s="197" t="n">
        <v>0.41</v>
      </c>
      <c r="R62" s="197" t="n">
        <v>0.42</v>
      </c>
      <c r="S62" s="197" t="n">
        <v>0.4</v>
      </c>
      <c r="T62" s="197" t="n">
        <v>0.38</v>
      </c>
      <c r="U62" s="197" t="n">
        <v>0.34</v>
      </c>
      <c r="V62" s="197" t="n">
        <v>0.4</v>
      </c>
      <c r="W62" s="197" t="n">
        <v>0.34</v>
      </c>
      <c r="X62" s="197" t="n">
        <v>0.35</v>
      </c>
      <c r="Y62" s="197" t="n">
        <v>0.37</v>
      </c>
      <c r="Z62" s="197" t="n">
        <v>0.37</v>
      </c>
      <c r="AA62" s="197" t="n">
        <v>0.31</v>
      </c>
      <c r="AB62" s="197" t="n">
        <v>0.26</v>
      </c>
      <c r="AC62" s="197" t="n">
        <v>0.28</v>
      </c>
      <c r="AD62" s="197" t="n">
        <v>0.295</v>
      </c>
      <c r="AE62" s="197" t="n">
        <v>0.305</v>
      </c>
      <c r="AF62" s="197" t="n">
        <v>0.275</v>
      </c>
      <c r="AG62" s="197" t="n">
        <v>0.27</v>
      </c>
      <c r="AH62" s="197" t="n">
        <v>0.3025</v>
      </c>
      <c r="AI62" s="197" t="n">
        <v>0.205</v>
      </c>
      <c r="AJ62" s="197" t="n">
        <v>0.2125</v>
      </c>
      <c r="AK62" s="197" t="n">
        <v>0.175</v>
      </c>
      <c r="AL62" s="197" t="n">
        <v>0.1575</v>
      </c>
      <c r="AM62" s="197" t="n">
        <v>0.1825</v>
      </c>
      <c r="AN62" s="197" t="n">
        <v>0.235</v>
      </c>
      <c r="AO62" s="197" t="n">
        <v>0.1675</v>
      </c>
      <c r="AP62" s="197" t="n">
        <v>0.2125</v>
      </c>
      <c r="AQ62" s="197" t="n">
        <v>0.1425</v>
      </c>
      <c r="AR62" s="197" t="n">
        <v>0.1225</v>
      </c>
      <c r="AS62" s="197" t="n">
        <v>0.1175</v>
      </c>
      <c r="AT62" s="197" t="n">
        <v>0.1375</v>
      </c>
      <c r="AU62" s="197" t="n">
        <v>0.1125</v>
      </c>
      <c r="AV62" s="197" t="n">
        <v>0.08500000000000001</v>
      </c>
      <c r="AW62" s="197" t="n">
        <v>0.075</v>
      </c>
      <c r="AX62" s="197" t="n">
        <v>0.0975</v>
      </c>
      <c r="AY62" s="197" t="n">
        <v>0.0725</v>
      </c>
      <c r="AZ62" s="197" t="n">
        <v>0.185</v>
      </c>
      <c r="BA62" s="197" t="n">
        <v>0.095</v>
      </c>
      <c r="BB62" s="197" t="n">
        <v>0.08500000000000001</v>
      </c>
      <c r="BC62" s="197" t="n">
        <v>0.0625</v>
      </c>
      <c r="BD62" s="197" t="n">
        <v>0.055</v>
      </c>
      <c r="BE62" s="197" t="n">
        <v>0.05625</v>
      </c>
      <c r="BF62" s="197" t="n">
        <v>0.0575</v>
      </c>
      <c r="BG62" s="197" t="n">
        <v>0.05125</v>
      </c>
      <c r="BH62" s="197" t="n">
        <v>0.0525</v>
      </c>
      <c r="BI62" s="197" t="n">
        <v>0.05</v>
      </c>
      <c r="BJ62" s="197" t="n">
        <v>0.04</v>
      </c>
      <c r="BK62" s="197" t="n">
        <v>0.045</v>
      </c>
      <c r="BL62" s="197" t="n">
        <v>0.04125</v>
      </c>
      <c r="BM62" s="197" t="n">
        <v>0.04125</v>
      </c>
      <c r="BN62" s="197" t="n">
        <v>0.0525</v>
      </c>
      <c r="BO62" s="197" t="n">
        <v>0.04</v>
      </c>
      <c r="BP62" s="197" t="n">
        <v>0.04625</v>
      </c>
      <c r="BQ62" s="197" t="n">
        <v>0.045</v>
      </c>
      <c r="BR62" s="197" t="n">
        <v>0.055</v>
      </c>
      <c r="BS62" s="197" t="n">
        <v>0.04</v>
      </c>
      <c r="BT62" s="197" t="n">
        <v>0.03875</v>
      </c>
      <c r="BU62" s="197" t="n">
        <v>0.0375</v>
      </c>
      <c r="BV62" s="197" t="n">
        <v>0.045</v>
      </c>
      <c r="BW62" s="197" t="n">
        <v>0.029375</v>
      </c>
      <c r="BX62" s="197" t="n">
        <v>0.028125</v>
      </c>
      <c r="BY62" s="197" t="n">
        <v>0.026875</v>
      </c>
      <c r="BZ62" s="197" t="n">
        <v>0.033125</v>
      </c>
      <c r="CA62" s="197" t="n">
        <v>0.02625</v>
      </c>
      <c r="CB62" s="197" t="n">
        <v>0.02625</v>
      </c>
      <c r="CC62" s="197" t="n">
        <v>0.025625</v>
      </c>
      <c r="CD62" s="197" t="n">
        <v>0.03</v>
      </c>
      <c r="CE62" s="197" t="n">
        <v>0.020625</v>
      </c>
      <c r="CF62" s="197" t="n">
        <v>0.028125</v>
      </c>
      <c r="CG62" s="197" t="n">
        <v>0.03</v>
      </c>
      <c r="CH62" s="197" t="n">
        <v>0.033125</v>
      </c>
      <c r="CI62" s="197" t="n">
        <v>0.0225</v>
      </c>
      <c r="CJ62" s="197" t="n">
        <v>0.02625</v>
      </c>
      <c r="CK62" s="197" t="n">
        <v>0.025</v>
      </c>
      <c r="CL62" s="197" t="n">
        <v>0.026875</v>
      </c>
      <c r="CM62" s="197" t="n">
        <v>0.020625</v>
      </c>
      <c r="CN62" s="197" t="n">
        <v>0.02125</v>
      </c>
      <c r="CO62" s="197" t="n">
        <v>0.020625</v>
      </c>
      <c r="CP62" s="197" t="n">
        <v>0.023125</v>
      </c>
      <c r="CQ62" s="197" t="n">
        <v>0.018125</v>
      </c>
      <c r="CR62" s="197" t="n">
        <v>0.015625</v>
      </c>
      <c r="CS62" s="197" t="n">
        <v>0.016875</v>
      </c>
      <c r="CT62" s="197" t="n">
        <v>0.02125</v>
      </c>
      <c r="CU62" s="197" t="n">
        <v>0.01625</v>
      </c>
      <c r="CV62" s="197" t="n">
        <v>0.015625</v>
      </c>
      <c r="CW62" s="197" t="n">
        <v>0.015</v>
      </c>
      <c r="CX62" s="197" t="n">
        <v>0.0175</v>
      </c>
      <c r="CY62" s="197" t="n">
        <v>0.0125</v>
      </c>
      <c r="CZ62" s="197" t="n">
        <v>0.010625</v>
      </c>
      <c r="DA62" s="197" t="n">
        <v>0.009375</v>
      </c>
      <c r="DB62" s="197" t="n">
        <v>0.010625</v>
      </c>
      <c r="DC62" s="197" t="n">
        <v>0.009375</v>
      </c>
      <c r="DD62" s="197" t="n">
        <v>0.01</v>
      </c>
      <c r="DE62" s="197" t="n">
        <v>0.010625</v>
      </c>
      <c r="DF62" s="197" t="n">
        <v>0.01125</v>
      </c>
      <c r="DG62" s="197" t="n">
        <v>0.008750000000000001</v>
      </c>
      <c r="DH62" s="197" t="n">
        <v>0.009583</v>
      </c>
      <c r="DI62" s="197" t="n">
        <v>0.006659</v>
      </c>
      <c r="DJ62" s="197" t="n">
        <v>0.005836</v>
      </c>
      <c r="DK62" s="197" t="n">
        <v>0.007083</v>
      </c>
      <c r="DL62" s="197" t="n">
        <v>0.006667</v>
      </c>
      <c r="DM62" s="197" t="n">
        <v>0.00625</v>
      </c>
      <c r="DN62" s="197" t="n">
        <v>0.00625</v>
      </c>
      <c r="DO62" s="197" t="n">
        <v>0.005</v>
      </c>
      <c r="DP62" s="197" t="n">
        <v>0.001668</v>
      </c>
      <c r="DQ62" s="197" t="n">
        <v>0.004512</v>
      </c>
      <c r="DR62" s="197" t="n">
        <v>0.001668</v>
      </c>
      <c r="DS62" s="197" t="n">
        <v>0.001251</v>
      </c>
      <c r="DT62" s="197" t="n">
        <v>0.000556</v>
      </c>
      <c r="DU62" s="197" t="n">
        <v>0.01052</v>
      </c>
      <c r="DV62" s="197" t="n">
        <v>0.000625</v>
      </c>
      <c r="DW62" s="197" t="n">
        <v>0.000486</v>
      </c>
      <c r="DX62" s="197" t="n">
        <v>0.000417</v>
      </c>
      <c r="DY62" s="197" t="n">
        <v>0.000487</v>
      </c>
      <c r="DZ62" s="197" t="n">
        <v>0.000486</v>
      </c>
      <c r="EA62" s="197" t="n">
        <v>0.000417</v>
      </c>
      <c r="EB62" s="197" t="n">
        <v>0.000347</v>
      </c>
      <c r="EC62" s="197" t="n">
        <v>0.000486</v>
      </c>
      <c r="ED62" s="197" t="n">
        <v>0.000417</v>
      </c>
      <c r="EE62" s="197" t="n">
        <v>0.000417</v>
      </c>
      <c r="EF62" s="197" t="n">
        <v>0.000347</v>
      </c>
      <c r="EG62" s="197" t="n">
        <v>0.000417</v>
      </c>
      <c r="EH62" s="197" t="n">
        <v>0.000347</v>
      </c>
      <c r="EI62" s="197" t="n">
        <v>0.000278</v>
      </c>
      <c r="EJ62" s="197" t="n">
        <v>0.000278</v>
      </c>
      <c r="EK62" s="197" t="n">
        <v>0.000764</v>
      </c>
      <c r="EL62" s="197" t="n">
        <v>0.000139</v>
      </c>
      <c r="EM62" s="197" t="n">
        <v>-0.000139</v>
      </c>
      <c r="EN62" s="197" t="n">
        <v>-0.000139</v>
      </c>
      <c r="EO62" s="182" t="n"/>
      <c r="EP62" s="176" t="n"/>
      <c r="EQ62" s="176" t="n"/>
      <c r="ER62" s="176" t="n"/>
      <c r="ES62" s="176" t="n"/>
      <c r="ET62" s="176" t="n"/>
      <c r="EU62" s="176" t="n"/>
      <c r="EV62" s="176" t="n"/>
      <c r="EW62" s="176" t="n"/>
      <c r="EX62" s="176" t="n"/>
      <c r="EY62" s="176" t="n"/>
      <c r="EZ62" s="176" t="n"/>
      <c r="FA62" s="176" t="n"/>
      <c r="FB62" s="176" t="n"/>
      <c r="FC62" s="176" t="n"/>
      <c r="FD62" s="176" t="n"/>
      <c r="FE62" s="176" t="n"/>
      <c r="FF62" s="176" t="n"/>
      <c r="FG62" s="176" t="n"/>
      <c r="FH62" s="176" t="n"/>
      <c r="FI62" s="176" t="n"/>
      <c r="FJ62" s="176" t="n"/>
      <c r="FK62" s="176" t="n"/>
      <c r="FL62" s="176" t="n"/>
      <c r="FM62" s="176" t="n"/>
    </row>
    <row r="63" ht="15" customHeight="1" s="392">
      <c r="A63" s="176" t="n"/>
      <c r="B63" s="180" t="n"/>
      <c r="C63" s="183" t="inlineStr">
        <is>
          <t xml:space="preserve">    Basic EPS from Discontinued Operations</t>
        </is>
      </c>
      <c r="D63" s="191">
        <f>IF(COUNT(M63:EN63)&gt;0,MEDIAN(M63:EN63),"")</f>
        <v/>
      </c>
      <c r="E63" s="191">
        <f>IF(COUNT(M63:EN63)&gt;0,AVERAGE(M63:EN63),"")</f>
        <v/>
      </c>
      <c r="F63" s="191">
        <f>IF(COUNT(M63:EN63)&gt;0,MIN(M63:EN63),"")</f>
        <v/>
      </c>
      <c r="G63" s="191">
        <f>IF(COUNT(M63:EN63)&gt;0,MAX(M63:EN63),"")</f>
        <v/>
      </c>
      <c r="H63" s="191">
        <f>IF(COUNT(M63:EN63)&gt;0,QUARTILE(M63:EN63,1),"")</f>
        <v/>
      </c>
      <c r="I63" s="191">
        <f>IF(COUNT(M63:EN63)&gt;0,QUARTILE(M63:EN63,3),"")</f>
        <v/>
      </c>
      <c r="J63" s="191">
        <f>IF(COUNT(M63:EN63)&gt;1,STDEV(M63:EN63),"")</f>
        <v/>
      </c>
      <c r="K63" s="191">
        <f>IF(COUNT(M63:EN63)&gt;1,STDEV(M63:EN63)/AVERAGE(M63:EN63),"")</f>
        <v/>
      </c>
      <c r="M63" s="197" t="n"/>
      <c r="N63" s="197" t="n"/>
      <c r="O63" s="197" t="n"/>
      <c r="P63" s="197" t="n"/>
      <c r="Q63" s="197" t="n"/>
      <c r="R63" s="197" t="n"/>
      <c r="S63" s="197" t="n"/>
      <c r="T63" s="197" t="n"/>
      <c r="U63" s="197" t="n"/>
      <c r="V63" s="197" t="n"/>
      <c r="W63" s="197" t="n"/>
      <c r="X63" s="197" t="n"/>
      <c r="Y63" s="197" t="n"/>
      <c r="Z63" s="197" t="n"/>
      <c r="AA63" s="197" t="n"/>
      <c r="AB63" s="197" t="n"/>
      <c r="AC63" s="197" t="n"/>
      <c r="AD63" s="197" t="n"/>
      <c r="AE63" s="197" t="n"/>
      <c r="AF63" s="197" t="n"/>
      <c r="AG63" s="197" t="n"/>
      <c r="AH63" s="197" t="n"/>
      <c r="AI63" s="197" t="n"/>
      <c r="AJ63" s="197" t="n"/>
      <c r="AK63" s="197" t="n"/>
      <c r="AL63" s="197" t="n"/>
      <c r="AM63" s="197" t="n"/>
      <c r="AN63" s="197" t="n"/>
      <c r="AO63" s="197" t="n"/>
      <c r="AP63" s="197" t="n"/>
      <c r="AQ63" s="197" t="n"/>
      <c r="AR63" s="197" t="n"/>
      <c r="AS63" s="197" t="n"/>
      <c r="AT63" s="197" t="n"/>
      <c r="AU63" s="197" t="n"/>
      <c r="AV63" s="197" t="n"/>
      <c r="AW63" s="197" t="n"/>
      <c r="AX63" s="197" t="n"/>
      <c r="AY63" s="197" t="n"/>
      <c r="AZ63" s="197" t="n"/>
      <c r="BA63" s="197" t="n"/>
      <c r="BB63" s="197" t="n"/>
      <c r="BC63" s="197" t="n"/>
      <c r="BD63" s="197" t="n"/>
      <c r="BE63" s="197" t="n"/>
      <c r="BF63" s="197" t="n"/>
      <c r="BG63" s="197" t="n"/>
      <c r="BH63" s="197" t="n"/>
      <c r="BI63" s="197" t="n"/>
      <c r="BJ63" s="197" t="n"/>
      <c r="BK63" s="197" t="n"/>
      <c r="BL63" s="197" t="n"/>
      <c r="BM63" s="197" t="n"/>
      <c r="BN63" s="197" t="n"/>
      <c r="BO63" s="197" t="n"/>
      <c r="BP63" s="197" t="n"/>
      <c r="BQ63" s="197" t="n"/>
      <c r="BR63" s="197" t="n"/>
      <c r="BS63" s="197" t="n"/>
      <c r="BT63" s="197" t="n"/>
      <c r="BU63" s="197" t="n"/>
      <c r="BV63" s="197" t="n"/>
      <c r="BW63" s="197" t="n"/>
      <c r="BX63" s="197" t="n"/>
      <c r="BY63" s="197" t="n">
        <v>0</v>
      </c>
      <c r="BZ63" s="197" t="n"/>
      <c r="CA63" s="197" t="n"/>
      <c r="CB63" s="197" t="n"/>
      <c r="CC63" s="197" t="n">
        <v>0</v>
      </c>
      <c r="CD63" s="197" t="n">
        <v>0.00125</v>
      </c>
      <c r="CE63" s="197" t="n"/>
      <c r="CF63" s="197" t="n"/>
      <c r="CG63" s="197" t="n"/>
      <c r="CH63" s="197" t="n"/>
      <c r="CI63" s="197" t="n"/>
      <c r="CJ63" s="197" t="n"/>
      <c r="CK63" s="197" t="n">
        <v>0</v>
      </c>
      <c r="CL63" s="197" t="n">
        <v>0</v>
      </c>
      <c r="CM63" s="197" t="n">
        <v>0</v>
      </c>
      <c r="CN63" s="197" t="n">
        <v>0</v>
      </c>
      <c r="CO63" s="197" t="n">
        <v>0.00125</v>
      </c>
      <c r="CP63" s="197" t="n">
        <v>0.000625</v>
      </c>
      <c r="CQ63" s="197" t="n">
        <v>-0.0125</v>
      </c>
      <c r="CR63" s="197" t="n">
        <v>0</v>
      </c>
      <c r="CS63" s="197" t="n">
        <v>0</v>
      </c>
      <c r="CT63" s="197" t="n">
        <v>0</v>
      </c>
      <c r="CU63" s="197" t="n">
        <v>0</v>
      </c>
      <c r="CV63" s="197" t="n"/>
      <c r="CW63" s="197" t="n">
        <v>0.000158</v>
      </c>
      <c r="CX63" s="197" t="n"/>
      <c r="CY63" s="197" t="n"/>
      <c r="CZ63" s="197" t="n"/>
      <c r="DA63" s="197" t="n"/>
      <c r="DB63" s="197" t="n"/>
      <c r="DC63" s="197" t="n"/>
      <c r="DD63" s="197" t="n"/>
      <c r="DE63" s="197" t="n"/>
      <c r="DF63" s="197" t="n"/>
      <c r="DG63" s="197" t="n"/>
      <c r="DH63" s="197" t="n"/>
      <c r="DI63" s="197" t="n"/>
      <c r="DJ63" s="197" t="n"/>
      <c r="DK63" s="197" t="n"/>
      <c r="DL63" s="197" t="n"/>
      <c r="DM63" s="197" t="n"/>
      <c r="DN63" s="197" t="n"/>
      <c r="DO63" s="197" t="n"/>
      <c r="DP63" s="197" t="n"/>
      <c r="DQ63" s="197" t="n"/>
      <c r="DR63" s="197" t="n"/>
      <c r="DS63" s="197" t="n"/>
      <c r="DT63" s="197" t="n"/>
      <c r="DU63" s="197" t="n"/>
      <c r="DV63" s="197" t="n"/>
      <c r="DW63" s="197" t="n"/>
      <c r="DX63" s="197" t="n"/>
      <c r="DY63" s="197" t="n"/>
      <c r="DZ63" s="197" t="n"/>
      <c r="EA63" s="197" t="n"/>
      <c r="EB63" s="197" t="n"/>
      <c r="EC63" s="197" t="n"/>
      <c r="ED63" s="197" t="n"/>
      <c r="EE63" s="197" t="n"/>
      <c r="EF63" s="197" t="n"/>
      <c r="EG63" s="197" t="n"/>
      <c r="EH63" s="197" t="n"/>
      <c r="EI63" s="197" t="n"/>
      <c r="EJ63" s="197" t="n"/>
      <c r="EK63" s="197" t="n"/>
      <c r="EL63" s="197" t="n"/>
      <c r="EM63" s="197" t="n"/>
      <c r="EN63" s="197" t="n"/>
      <c r="EO63" s="182" t="n"/>
      <c r="EP63" s="176" t="n"/>
      <c r="EQ63" s="176" t="n"/>
      <c r="ER63" s="176" t="n"/>
      <c r="ES63" s="176" t="n"/>
      <c r="ET63" s="176" t="n"/>
      <c r="EU63" s="176" t="n"/>
      <c r="EV63" s="176" t="n"/>
      <c r="EW63" s="176" t="n"/>
      <c r="EX63" s="176" t="n"/>
      <c r="EY63" s="176" t="n"/>
      <c r="EZ63" s="176" t="n"/>
      <c r="FA63" s="176" t="n"/>
      <c r="FB63" s="176" t="n"/>
      <c r="FC63" s="176" t="n"/>
      <c r="FD63" s="176" t="n"/>
      <c r="FE63" s="176" t="n"/>
      <c r="FF63" s="176" t="n"/>
      <c r="FG63" s="176" t="n"/>
      <c r="FH63" s="176" t="n"/>
      <c r="FI63" s="176" t="n"/>
      <c r="FJ63" s="176" t="n"/>
      <c r="FK63" s="176" t="n"/>
      <c r="FL63" s="176" t="n"/>
      <c r="FM63" s="176" t="n"/>
    </row>
    <row r="64" ht="15" customHeight="1" s="392">
      <c r="A64" s="176" t="n"/>
      <c r="B64" s="180" t="n"/>
      <c r="C64" s="187" t="inlineStr">
        <is>
          <t>Total Basic EPS</t>
        </is>
      </c>
      <c r="D64" s="194">
        <f>IF(COUNT(M64:EN64)&gt;0,MEDIAN(M64:EN64),"")</f>
        <v/>
      </c>
      <c r="E64" s="194">
        <f>IF(COUNT(M64:EN64)&gt;0,AVERAGE(M64:EN64),"")</f>
        <v/>
      </c>
      <c r="F64" s="194">
        <f>IF(COUNT(M64:EN64)&gt;0,MIN(M64:EN64),"")</f>
        <v/>
      </c>
      <c r="G64" s="194">
        <f>IF(COUNT(M64:EN64)&gt;0,MAX(M64:EN64),"")</f>
        <v/>
      </c>
      <c r="H64" s="194">
        <f>IF(COUNT(M64:EN64)&gt;0,QUARTILE(M64:EN64,1),"")</f>
        <v/>
      </c>
      <c r="I64" s="194">
        <f>IF(COUNT(M64:EN64)&gt;0,QUARTILE(M64:EN64,3),"")</f>
        <v/>
      </c>
      <c r="J64" s="194">
        <f>IF(COUNT(M64:EN64)&gt;1,STDEV(M64:EN64),"")</f>
        <v/>
      </c>
      <c r="K64" s="194">
        <f>IF(COUNT(M64:EN64)&gt;1,STDEV(M64:EN64)/AVERAGE(M64:EN64),"")</f>
        <v/>
      </c>
      <c r="L64" s="195" t="n"/>
      <c r="M64" s="198" t="n">
        <v>0.35</v>
      </c>
      <c r="N64" s="198" t="n">
        <v>0.43</v>
      </c>
      <c r="O64" s="198" t="n">
        <v>0.36</v>
      </c>
      <c r="P64" s="198" t="n">
        <v>0.42</v>
      </c>
      <c r="Q64" s="198" t="n">
        <v>0.41</v>
      </c>
      <c r="R64" s="198" t="n">
        <v>0.42</v>
      </c>
      <c r="S64" s="198" t="n">
        <v>0.4</v>
      </c>
      <c r="T64" s="198" t="n">
        <v>0.38</v>
      </c>
      <c r="U64" s="198" t="n">
        <v>0.34</v>
      </c>
      <c r="V64" s="198" t="n">
        <v>0.4</v>
      </c>
      <c r="W64" s="198" t="n">
        <v>0.34</v>
      </c>
      <c r="X64" s="198" t="n">
        <v>0.35</v>
      </c>
      <c r="Y64" s="198" t="n">
        <v>0.36</v>
      </c>
      <c r="Z64" s="198" t="n">
        <v>0.37</v>
      </c>
      <c r="AA64" s="198" t="n">
        <v>0.31</v>
      </c>
      <c r="AB64" s="198" t="n">
        <v>0.26</v>
      </c>
      <c r="AC64" s="198" t="n">
        <v>0.28</v>
      </c>
      <c r="AD64" s="198" t="n">
        <v>0.295</v>
      </c>
      <c r="AE64" s="198" t="n">
        <v>0.305</v>
      </c>
      <c r="AF64" s="198" t="n">
        <v>0.275</v>
      </c>
      <c r="AG64" s="198" t="n">
        <v>0.27</v>
      </c>
      <c r="AH64" s="198" t="n">
        <v>0.3025</v>
      </c>
      <c r="AI64" s="198" t="n">
        <v>0.205</v>
      </c>
      <c r="AJ64" s="198" t="n">
        <v>0.2125</v>
      </c>
      <c r="AK64" s="198" t="n">
        <v>0.175</v>
      </c>
      <c r="AL64" s="198" t="n">
        <v>0.1575</v>
      </c>
      <c r="AM64" s="198" t="n">
        <v>0.1825</v>
      </c>
      <c r="AN64" s="198" t="n">
        <v>0.235</v>
      </c>
      <c r="AO64" s="198" t="n">
        <v>0.1675</v>
      </c>
      <c r="AP64" s="198" t="n">
        <v>0.2125</v>
      </c>
      <c r="AQ64" s="198" t="n">
        <v>0.1425</v>
      </c>
      <c r="AR64" s="198" t="n">
        <v>0.1225</v>
      </c>
      <c r="AS64" s="198" t="n">
        <v>0.1175</v>
      </c>
      <c r="AT64" s="198" t="n">
        <v>0.1375</v>
      </c>
      <c r="AU64" s="198" t="n">
        <v>0.1125</v>
      </c>
      <c r="AV64" s="198" t="n">
        <v>0.08500000000000001</v>
      </c>
      <c r="AW64" s="198" t="n">
        <v>0.0775</v>
      </c>
      <c r="AX64" s="198" t="n">
        <v>0.0975</v>
      </c>
      <c r="AY64" s="198" t="n">
        <v>0.0725</v>
      </c>
      <c r="AZ64" s="198" t="n">
        <v>0.185</v>
      </c>
      <c r="BA64" s="198" t="n">
        <v>0.095</v>
      </c>
      <c r="BB64" s="198" t="n">
        <v>0.08500000000000001</v>
      </c>
      <c r="BC64" s="198" t="n">
        <v>0.0625</v>
      </c>
      <c r="BD64" s="198" t="n">
        <v>0.055</v>
      </c>
      <c r="BE64" s="198" t="n">
        <v>0.0575</v>
      </c>
      <c r="BF64" s="198" t="n">
        <v>0.0575</v>
      </c>
      <c r="BG64" s="198" t="n">
        <v>0.05125</v>
      </c>
      <c r="BH64" s="198" t="n">
        <v>0.0525</v>
      </c>
      <c r="BI64" s="198" t="n">
        <v>0.05125</v>
      </c>
      <c r="BJ64" s="198" t="n">
        <v>0.04</v>
      </c>
      <c r="BK64" s="198" t="n">
        <v>0.045</v>
      </c>
      <c r="BL64" s="198" t="n">
        <v>0.04125</v>
      </c>
      <c r="BM64" s="198" t="n">
        <v>0.04125</v>
      </c>
      <c r="BN64" s="198" t="n">
        <v>0.0525</v>
      </c>
      <c r="BO64" s="198" t="n">
        <v>0.04</v>
      </c>
      <c r="BP64" s="198" t="n">
        <v>0.04625</v>
      </c>
      <c r="BQ64" s="198" t="n">
        <v>0.045</v>
      </c>
      <c r="BR64" s="198" t="n">
        <v>0.055</v>
      </c>
      <c r="BS64" s="198" t="n">
        <v>0.04</v>
      </c>
      <c r="BT64" s="198" t="n">
        <v>0.03875</v>
      </c>
      <c r="BU64" s="198" t="n">
        <v>0.0375</v>
      </c>
      <c r="BV64" s="198" t="n">
        <v>0.045</v>
      </c>
      <c r="BW64" s="198" t="n">
        <v>0.029375</v>
      </c>
      <c r="BX64" s="198" t="n">
        <v>0.028125</v>
      </c>
      <c r="BY64" s="198" t="n">
        <v>0.026875</v>
      </c>
      <c r="BZ64" s="198" t="n">
        <v>0.033125</v>
      </c>
      <c r="CA64" s="198" t="n">
        <v>0.02625</v>
      </c>
      <c r="CB64" s="198" t="n">
        <v>0.02625</v>
      </c>
      <c r="CC64" s="198" t="n">
        <v>0.025625</v>
      </c>
      <c r="CD64" s="198" t="n">
        <v>0.03125</v>
      </c>
      <c r="CE64" s="198" t="n">
        <v>0.020625</v>
      </c>
      <c r="CF64" s="198" t="n">
        <v>0.028125</v>
      </c>
      <c r="CG64" s="198" t="n">
        <v>0.03</v>
      </c>
      <c r="CH64" s="198" t="n">
        <v>0.033125</v>
      </c>
      <c r="CI64" s="198" t="n">
        <v>0.0225</v>
      </c>
      <c r="CJ64" s="198" t="n">
        <v>0.02625</v>
      </c>
      <c r="CK64" s="198" t="n">
        <v>0.025</v>
      </c>
      <c r="CL64" s="198" t="n">
        <v>0.026875</v>
      </c>
      <c r="CM64" s="198" t="n">
        <v>0.020625</v>
      </c>
      <c r="CN64" s="198" t="n">
        <v>0.02125</v>
      </c>
      <c r="CO64" s="198" t="n">
        <v>0.021875</v>
      </c>
      <c r="CP64" s="198" t="n">
        <v>0.02375</v>
      </c>
      <c r="CQ64" s="198" t="n">
        <v>0.005625</v>
      </c>
      <c r="CR64" s="198" t="n">
        <v>0.015625</v>
      </c>
      <c r="CS64" s="198" t="n">
        <v>0.016875</v>
      </c>
      <c r="CT64" s="198" t="n">
        <v>0.02125</v>
      </c>
      <c r="CU64" s="198" t="n">
        <v>0.01625</v>
      </c>
      <c r="CV64" s="198" t="n">
        <v>0.015625</v>
      </c>
      <c r="CW64" s="198" t="n">
        <v>0.015</v>
      </c>
      <c r="CX64" s="198" t="n">
        <v>0.0175</v>
      </c>
      <c r="CY64" s="198" t="n">
        <v>0.0125</v>
      </c>
      <c r="CZ64" s="198" t="n">
        <v>0.010625</v>
      </c>
      <c r="DA64" s="198" t="n">
        <v>0.009375</v>
      </c>
      <c r="DB64" s="198" t="n">
        <v>0.010625</v>
      </c>
      <c r="DC64" s="198" t="n">
        <v>0.009375</v>
      </c>
      <c r="DD64" s="198" t="n">
        <v>0.01</v>
      </c>
      <c r="DE64" s="198" t="n">
        <v>0.010625</v>
      </c>
      <c r="DF64" s="198" t="n">
        <v>0.01125</v>
      </c>
      <c r="DG64" s="198" t="n">
        <v>0.008750000000000001</v>
      </c>
      <c r="DH64" s="198" t="n">
        <v>0.009583</v>
      </c>
      <c r="DI64" s="198" t="n">
        <v>0.006659</v>
      </c>
      <c r="DJ64" s="198" t="n">
        <v>0.005836</v>
      </c>
      <c r="DK64" s="198" t="n">
        <v>0.007083</v>
      </c>
      <c r="DL64" s="198" t="n">
        <v>0.006667</v>
      </c>
      <c r="DM64" s="198" t="n">
        <v>0.00625</v>
      </c>
      <c r="DN64" s="198" t="n">
        <v>0.00625</v>
      </c>
      <c r="DO64" s="198" t="n">
        <v>0.005</v>
      </c>
      <c r="DP64" s="198" t="n">
        <v>0.001668</v>
      </c>
      <c r="DQ64" s="198" t="n">
        <v>0.004512</v>
      </c>
      <c r="DR64" s="198" t="n">
        <v>0.001668</v>
      </c>
      <c r="DS64" s="198" t="n">
        <v>0.001251</v>
      </c>
      <c r="DT64" s="198" t="n">
        <v>0.000556</v>
      </c>
      <c r="DU64" s="198" t="n">
        <v>0.01052</v>
      </c>
      <c r="DV64" s="198" t="n">
        <v>0.000625</v>
      </c>
      <c r="DW64" s="198" t="n">
        <v>0.000486</v>
      </c>
      <c r="DX64" s="198" t="n">
        <v>0.000417</v>
      </c>
      <c r="DY64" s="198" t="n">
        <v>0.000487</v>
      </c>
      <c r="DZ64" s="198" t="n">
        <v>0.000486</v>
      </c>
      <c r="EA64" s="198" t="n">
        <v>0.000417</v>
      </c>
      <c r="EB64" s="198" t="n">
        <v>0.000347</v>
      </c>
      <c r="EC64" s="198" t="n">
        <v>0.000486</v>
      </c>
      <c r="ED64" s="198" t="n">
        <v>0.000417</v>
      </c>
      <c r="EE64" s="198" t="n">
        <v>0.000417</v>
      </c>
      <c r="EF64" s="198" t="n">
        <v>0.000347</v>
      </c>
      <c r="EG64" s="198" t="n">
        <v>0.000417</v>
      </c>
      <c r="EH64" s="198" t="n">
        <v>0.000347</v>
      </c>
      <c r="EI64" s="198" t="n">
        <v>0.000278</v>
      </c>
      <c r="EJ64" s="198" t="n">
        <v>0.000278</v>
      </c>
      <c r="EK64" s="198" t="n">
        <v>0.000347</v>
      </c>
      <c r="EL64" s="198" t="n">
        <v>0.000139</v>
      </c>
      <c r="EM64" s="198" t="n">
        <v>-0.000139</v>
      </c>
      <c r="EN64" s="198" t="n">
        <v>-0.000139</v>
      </c>
      <c r="EO64" s="182" t="n"/>
      <c r="EP64" s="176" t="n"/>
      <c r="EQ64" s="176" t="n"/>
      <c r="ER64" s="176" t="n"/>
      <c r="ES64" s="176" t="n"/>
      <c r="ET64" s="176" t="n"/>
      <c r="EU64" s="176" t="n"/>
      <c r="EV64" s="176" t="n"/>
      <c r="EW64" s="176" t="n"/>
      <c r="EX64" s="176" t="n"/>
      <c r="EY64" s="176" t="n"/>
      <c r="EZ64" s="176" t="n"/>
      <c r="FA64" s="176" t="n"/>
      <c r="FB64" s="176" t="n"/>
      <c r="FC64" s="176" t="n"/>
      <c r="FD64" s="176" t="n"/>
      <c r="FE64" s="176" t="n"/>
      <c r="FF64" s="176" t="n"/>
      <c r="FG64" s="176" t="n"/>
      <c r="FH64" s="176" t="n"/>
      <c r="FI64" s="176" t="n"/>
      <c r="FJ64" s="176" t="n"/>
      <c r="FK64" s="176" t="n"/>
      <c r="FL64" s="176" t="n"/>
      <c r="FM64" s="176" t="n"/>
    </row>
    <row r="65" ht="15" customHeight="1" s="392">
      <c r="A65" s="176" t="n"/>
      <c r="B65" s="180" t="n"/>
      <c r="C65" s="189" t="inlineStr">
        <is>
          <t>Diluted EPS</t>
        </is>
      </c>
      <c r="D65" s="185" t="n"/>
      <c r="E65" s="185" t="n"/>
      <c r="F65" s="185" t="n"/>
      <c r="G65" s="185" t="n"/>
      <c r="H65" s="185" t="n"/>
      <c r="I65" s="185" t="n"/>
      <c r="J65" s="185" t="n"/>
      <c r="K65" s="185" t="n"/>
      <c r="L65" s="185" t="n"/>
      <c r="M65" s="185" t="n"/>
      <c r="N65" s="185" t="n"/>
      <c r="O65" s="185" t="n"/>
      <c r="P65" s="185" t="n"/>
      <c r="Q65" s="185" t="n"/>
      <c r="R65" s="185" t="n"/>
      <c r="S65" s="185" t="n"/>
      <c r="T65" s="185" t="n"/>
      <c r="U65" s="185" t="n"/>
      <c r="V65" s="185" t="n"/>
      <c r="W65" s="185" t="n"/>
      <c r="X65" s="185" t="n"/>
      <c r="Y65" s="185" t="n"/>
      <c r="Z65" s="185" t="n"/>
      <c r="AA65" s="185" t="n"/>
      <c r="AB65" s="185" t="n"/>
      <c r="AC65" s="185" t="n"/>
      <c r="AD65" s="185" t="n"/>
      <c r="AE65" s="185" t="n"/>
      <c r="AF65" s="185" t="n"/>
      <c r="AG65" s="185" t="n"/>
      <c r="AH65" s="185" t="n"/>
      <c r="AI65" s="185" t="n"/>
      <c r="AJ65" s="185" t="n"/>
      <c r="AK65" s="185" t="n"/>
      <c r="AL65" s="185" t="n"/>
      <c r="AM65" s="185" t="n"/>
      <c r="AN65" s="185" t="n"/>
      <c r="AO65" s="185" t="n"/>
      <c r="AP65" s="185" t="n"/>
      <c r="AQ65" s="185" t="n"/>
      <c r="AR65" s="185" t="n"/>
      <c r="AS65" s="185" t="n"/>
      <c r="AT65" s="185" t="n"/>
      <c r="AU65" s="185" t="n"/>
      <c r="AV65" s="185" t="n"/>
      <c r="AW65" s="185" t="n"/>
      <c r="AX65" s="185" t="n"/>
      <c r="AY65" s="185" t="n"/>
      <c r="AZ65" s="185" t="n"/>
      <c r="BA65" s="185" t="n"/>
      <c r="BB65" s="185" t="n"/>
      <c r="BC65" s="185" t="n"/>
      <c r="BD65" s="185" t="n"/>
      <c r="BE65" s="185" t="n"/>
      <c r="BF65" s="185" t="n"/>
      <c r="BG65" s="185" t="n"/>
      <c r="BH65" s="185" t="n"/>
      <c r="BI65" s="185" t="n"/>
      <c r="BJ65" s="185" t="n"/>
      <c r="BK65" s="185" t="n"/>
      <c r="BL65" s="185" t="n"/>
      <c r="BM65" s="185" t="n"/>
      <c r="BN65" s="185" t="n"/>
      <c r="BO65" s="185" t="n"/>
      <c r="BP65" s="185" t="n"/>
      <c r="BQ65" s="185" t="n"/>
      <c r="BR65" s="185" t="n"/>
      <c r="BS65" s="185" t="n"/>
      <c r="BT65" s="185" t="n"/>
      <c r="BU65" s="185" t="n"/>
      <c r="BV65" s="185" t="n"/>
      <c r="BW65" s="185" t="n"/>
      <c r="BX65" s="185" t="n"/>
      <c r="BY65" s="185" t="n"/>
      <c r="BZ65" s="185" t="n"/>
      <c r="CA65" s="185" t="n"/>
      <c r="CB65" s="185" t="n"/>
      <c r="CC65" s="185" t="n"/>
      <c r="CD65" s="185" t="n"/>
      <c r="CE65" s="185" t="n"/>
      <c r="CF65" s="185" t="n"/>
      <c r="CG65" s="185" t="n"/>
      <c r="CH65" s="185" t="n"/>
      <c r="CI65" s="185" t="n"/>
      <c r="CJ65" s="185" t="n"/>
      <c r="CK65" s="185" t="n"/>
      <c r="CL65" s="185" t="n"/>
      <c r="CM65" s="185" t="n"/>
      <c r="CN65" s="185" t="n"/>
      <c r="CO65" s="185" t="n"/>
      <c r="CP65" s="185" t="n"/>
      <c r="CQ65" s="185" t="n"/>
      <c r="CR65" s="185" t="n"/>
      <c r="CS65" s="185" t="n"/>
      <c r="CT65" s="185" t="n"/>
      <c r="CU65" s="185" t="n"/>
      <c r="CV65" s="185" t="n"/>
      <c r="CW65" s="185" t="n"/>
      <c r="CX65" s="185" t="n"/>
      <c r="CY65" s="185" t="n"/>
      <c r="CZ65" s="185" t="n"/>
      <c r="DA65" s="185" t="n"/>
      <c r="DB65" s="185" t="n"/>
      <c r="DC65" s="185" t="n"/>
      <c r="DD65" s="185" t="n"/>
      <c r="DE65" s="185" t="n"/>
      <c r="DF65" s="185" t="n"/>
      <c r="DG65" s="185" t="n"/>
      <c r="DH65" s="185" t="n"/>
      <c r="DI65" s="185" t="n"/>
      <c r="DJ65" s="185" t="n"/>
      <c r="DK65" s="185" t="n"/>
      <c r="DL65" s="185" t="n"/>
      <c r="DM65" s="185" t="n"/>
      <c r="DN65" s="185" t="n"/>
      <c r="DO65" s="185" t="n"/>
      <c r="DP65" s="185" t="n"/>
      <c r="DQ65" s="185" t="n"/>
      <c r="DR65" s="185" t="n"/>
      <c r="DS65" s="185" t="n"/>
      <c r="DT65" s="185" t="n"/>
      <c r="DU65" s="185" t="n"/>
      <c r="DV65" s="185" t="n"/>
      <c r="DW65" s="185" t="n"/>
      <c r="DX65" s="185" t="n"/>
      <c r="DY65" s="185" t="n"/>
      <c r="DZ65" s="185" t="n"/>
      <c r="EA65" s="185" t="n"/>
      <c r="EB65" s="185" t="n"/>
      <c r="EC65" s="185" t="n"/>
      <c r="ED65" s="185" t="n"/>
      <c r="EE65" s="185" t="n"/>
      <c r="EF65" s="185" t="n"/>
      <c r="EG65" s="185" t="n"/>
      <c r="EH65" s="185" t="n"/>
      <c r="EI65" s="185" t="n"/>
      <c r="EJ65" s="185" t="n"/>
      <c r="EK65" s="185" t="n"/>
      <c r="EL65" s="185" t="n"/>
      <c r="EM65" s="185" t="n"/>
      <c r="EN65" s="185" t="n"/>
      <c r="EO65" s="182" t="n"/>
      <c r="EP65" s="176" t="n"/>
      <c r="EQ65" s="176" t="n"/>
      <c r="ER65" s="176" t="n"/>
      <c r="ES65" s="176" t="n"/>
      <c r="ET65" s="176" t="n"/>
      <c r="EU65" s="176" t="n"/>
      <c r="EV65" s="176" t="n"/>
      <c r="EW65" s="176" t="n"/>
      <c r="EX65" s="176" t="n"/>
      <c r="EY65" s="176" t="n"/>
      <c r="EZ65" s="176" t="n"/>
      <c r="FA65" s="176" t="n"/>
      <c r="FB65" s="176" t="n"/>
      <c r="FC65" s="176" t="n"/>
      <c r="FD65" s="176" t="n"/>
      <c r="FE65" s="176" t="n"/>
      <c r="FF65" s="176" t="n"/>
      <c r="FG65" s="176" t="n"/>
      <c r="FH65" s="176" t="n"/>
      <c r="FI65" s="176" t="n"/>
      <c r="FJ65" s="176" t="n"/>
      <c r="FK65" s="176" t="n"/>
      <c r="FL65" s="176" t="n"/>
      <c r="FM65" s="176" t="n"/>
    </row>
    <row r="66" ht="15" customHeight="1" s="392">
      <c r="A66" s="176" t="n"/>
      <c r="B66" s="180" t="n"/>
      <c r="C66" s="183" t="inlineStr">
        <is>
          <t xml:space="preserve">    Diluted EPS from Continuing Operations</t>
        </is>
      </c>
      <c r="D66" s="191">
        <f>IF(COUNT(M66:EN66)&gt;0,MEDIAN(M66:EN66),"")</f>
        <v/>
      </c>
      <c r="E66" s="191">
        <f>IF(COUNT(M66:EN66)&gt;0,AVERAGE(M66:EN66),"")</f>
        <v/>
      </c>
      <c r="F66" s="191">
        <f>IF(COUNT(M66:EN66)&gt;0,MIN(M66:EN66),"")</f>
        <v/>
      </c>
      <c r="G66" s="191">
        <f>IF(COUNT(M66:EN66)&gt;0,MAX(M66:EN66),"")</f>
        <v/>
      </c>
      <c r="H66" s="191">
        <f>IF(COUNT(M66:EN66)&gt;0,QUARTILE(M66:EN66,1),"")</f>
        <v/>
      </c>
      <c r="I66" s="191">
        <f>IF(COUNT(M66:EN66)&gt;0,QUARTILE(M66:EN66,3),"")</f>
        <v/>
      </c>
      <c r="J66" s="191">
        <f>IF(COUNT(M66:EN66)&gt;1,STDEV(M66:EN66),"")</f>
        <v/>
      </c>
      <c r="K66" s="191">
        <f>IF(COUNT(M66:EN66)&gt;1,STDEV(M66:EN66)/AVERAGE(M66:EN66),"")</f>
        <v/>
      </c>
      <c r="M66" s="197" t="n">
        <v>0.35</v>
      </c>
      <c r="N66" s="197" t="n">
        <v>0.43</v>
      </c>
      <c r="O66" s="197" t="n">
        <v>0.36</v>
      </c>
      <c r="P66" s="197" t="n">
        <v>0.41</v>
      </c>
      <c r="Q66" s="197" t="n">
        <v>0.41</v>
      </c>
      <c r="R66" s="197" t="n">
        <v>0.42</v>
      </c>
      <c r="S66" s="197" t="n">
        <v>0.4</v>
      </c>
      <c r="T66" s="197" t="n">
        <v>0.37</v>
      </c>
      <c r="U66" s="197" t="n">
        <v>0.33</v>
      </c>
      <c r="V66" s="197" t="n">
        <v>0.39</v>
      </c>
      <c r="W66" s="197" t="n">
        <v>0.33</v>
      </c>
      <c r="X66" s="197" t="n">
        <v>0.34</v>
      </c>
      <c r="Y66" s="197" t="n">
        <v>0.36</v>
      </c>
      <c r="Z66" s="197" t="n">
        <v>0.36</v>
      </c>
      <c r="AA66" s="197" t="n">
        <v>0.3</v>
      </c>
      <c r="AB66" s="197" t="n">
        <v>0.25</v>
      </c>
      <c r="AC66" s="197" t="n">
        <v>0.275</v>
      </c>
      <c r="AD66" s="197" t="n">
        <v>0.29</v>
      </c>
      <c r="AE66" s="197" t="n">
        <v>0.3</v>
      </c>
      <c r="AF66" s="197" t="n">
        <v>0.27</v>
      </c>
      <c r="AG66" s="197" t="n">
        <v>0.2625</v>
      </c>
      <c r="AH66" s="197" t="n">
        <v>0.2975</v>
      </c>
      <c r="AI66" s="197" t="n">
        <v>0.2025</v>
      </c>
      <c r="AJ66" s="197" t="n">
        <v>0.2075</v>
      </c>
      <c r="AK66" s="197" t="n">
        <v>0.1725</v>
      </c>
      <c r="AL66" s="197" t="n">
        <v>0.155</v>
      </c>
      <c r="AM66" s="197" t="n">
        <v>0.1775</v>
      </c>
      <c r="AN66" s="197" t="n">
        <v>0.2275</v>
      </c>
      <c r="AO66" s="197" t="n">
        <v>0.16</v>
      </c>
      <c r="AP66" s="197" t="n">
        <v>0.2025</v>
      </c>
      <c r="AQ66" s="197" t="n">
        <v>0.1375</v>
      </c>
      <c r="AR66" s="197" t="n">
        <v>0.1175</v>
      </c>
      <c r="AS66" s="197" t="n">
        <v>0.1125</v>
      </c>
      <c r="AT66" s="197" t="n">
        <v>0.13</v>
      </c>
      <c r="AU66" s="197" t="n">
        <v>0.1075</v>
      </c>
      <c r="AV66" s="197" t="n">
        <v>0.08</v>
      </c>
      <c r="AW66" s="197" t="n">
        <v>0.0725</v>
      </c>
      <c r="AX66" s="197" t="n">
        <v>0.095</v>
      </c>
      <c r="AY66" s="197" t="n">
        <v>0.07000000000000001</v>
      </c>
      <c r="AZ66" s="197" t="n">
        <v>0.175</v>
      </c>
      <c r="BA66" s="197" t="n">
        <v>0.09</v>
      </c>
      <c r="BB66" s="197" t="n">
        <v>0.08</v>
      </c>
      <c r="BC66" s="197" t="n">
        <v>0.05875</v>
      </c>
      <c r="BD66" s="197" t="n">
        <v>0.05125</v>
      </c>
      <c r="BE66" s="197" t="n">
        <v>0.05625</v>
      </c>
      <c r="BF66" s="197" t="n">
        <v>0.055</v>
      </c>
      <c r="BG66" s="197" t="n">
        <v>0.05</v>
      </c>
      <c r="BH66" s="197" t="n">
        <v>0.05</v>
      </c>
      <c r="BI66" s="197" t="n">
        <v>0.04875</v>
      </c>
      <c r="BJ66" s="197" t="n">
        <v>0.03875</v>
      </c>
      <c r="BK66" s="197" t="n">
        <v>0.04375</v>
      </c>
      <c r="BL66" s="197" t="n">
        <v>0.04</v>
      </c>
      <c r="BM66" s="197" t="n">
        <v>0.04</v>
      </c>
      <c r="BN66" s="197" t="n">
        <v>0.05125</v>
      </c>
      <c r="BO66" s="197" t="n">
        <v>0.03875</v>
      </c>
      <c r="BP66" s="197" t="n">
        <v>0.045</v>
      </c>
      <c r="BQ66" s="197" t="n">
        <v>0.04375</v>
      </c>
      <c r="BR66" s="197" t="n">
        <v>0.05375</v>
      </c>
      <c r="BS66" s="197" t="n">
        <v>0.03875</v>
      </c>
      <c r="BT66" s="197" t="n">
        <v>0.03875</v>
      </c>
      <c r="BU66" s="197" t="n">
        <v>0.03625</v>
      </c>
      <c r="BV66" s="197" t="n">
        <v>0.04375</v>
      </c>
      <c r="BW66" s="197" t="n">
        <v>0.02875</v>
      </c>
      <c r="BX66" s="197" t="n">
        <v>0.028125</v>
      </c>
      <c r="BY66" s="197" t="n">
        <v>0.026875</v>
      </c>
      <c r="BZ66" s="197" t="n">
        <v>0.0325</v>
      </c>
      <c r="CA66" s="197" t="n">
        <v>0.02625</v>
      </c>
      <c r="CB66" s="197" t="n">
        <v>0.02625</v>
      </c>
      <c r="CC66" s="197" t="n">
        <v>0.025625</v>
      </c>
      <c r="CD66" s="197" t="n">
        <v>0.03</v>
      </c>
      <c r="CE66" s="197" t="n">
        <v>0.02</v>
      </c>
      <c r="CF66" s="197" t="n">
        <v>0.0275</v>
      </c>
      <c r="CG66" s="197" t="n">
        <v>0.029375</v>
      </c>
      <c r="CH66" s="197" t="n">
        <v>0.0325</v>
      </c>
      <c r="CI66" s="197" t="n">
        <v>0.021875</v>
      </c>
      <c r="CJ66" s="197" t="n">
        <v>0.025625</v>
      </c>
      <c r="CK66" s="197" t="n">
        <v>0.025</v>
      </c>
      <c r="CL66" s="197" t="n">
        <v>0.025625</v>
      </c>
      <c r="CM66" s="197" t="n">
        <v>0.02</v>
      </c>
      <c r="CN66" s="197" t="n">
        <v>0.02</v>
      </c>
      <c r="CO66" s="197" t="n">
        <v>0.020625</v>
      </c>
      <c r="CP66" s="197" t="n">
        <v>0.0225</v>
      </c>
      <c r="CQ66" s="197" t="n">
        <v>0.0175</v>
      </c>
      <c r="CR66" s="197" t="n">
        <v>0.015</v>
      </c>
      <c r="CS66" s="197" t="n">
        <v>0.016875</v>
      </c>
      <c r="CT66" s="197" t="n">
        <v>0.020625</v>
      </c>
      <c r="CU66" s="197" t="n">
        <v>0.015625</v>
      </c>
      <c r="CV66" s="197" t="n">
        <v>0.015</v>
      </c>
      <c r="CW66" s="197" t="n">
        <v>0.015</v>
      </c>
      <c r="CX66" s="197" t="n">
        <v>0.016875</v>
      </c>
      <c r="CY66" s="197" t="n">
        <v>0.011875</v>
      </c>
      <c r="CZ66" s="197" t="n">
        <v>0.010625</v>
      </c>
      <c r="DA66" s="197" t="n">
        <v>0.009375</v>
      </c>
      <c r="DB66" s="197" t="n">
        <v>0.010625</v>
      </c>
      <c r="DC66" s="197" t="n">
        <v>0.009375</v>
      </c>
      <c r="DD66" s="197" t="n">
        <v>0.01</v>
      </c>
      <c r="DE66" s="197" t="n">
        <v>0.010625</v>
      </c>
      <c r="DF66" s="197" t="n">
        <v>0.01125</v>
      </c>
      <c r="DG66" s="197" t="n">
        <v>0.008750000000000001</v>
      </c>
      <c r="DH66" s="197" t="n">
        <v>0.009167</v>
      </c>
      <c r="DI66" s="197" t="n">
        <v>0.006103</v>
      </c>
      <c r="DJ66" s="197" t="n">
        <v>0.005558</v>
      </c>
      <c r="DK66" s="197" t="n">
        <v>0.007083</v>
      </c>
      <c r="DL66" s="197" t="n">
        <v>0.006667</v>
      </c>
      <c r="DM66" s="197" t="n">
        <v>0.00625</v>
      </c>
      <c r="DN66" s="197" t="n">
        <v>0.00625</v>
      </c>
      <c r="DO66" s="197" t="n">
        <v>0.005</v>
      </c>
      <c r="DP66" s="197" t="n">
        <v>0.001668</v>
      </c>
      <c r="DQ66" s="197" t="n">
        <v>0.004442</v>
      </c>
      <c r="DR66" s="197" t="n">
        <v>0.001668</v>
      </c>
      <c r="DS66" s="197" t="n">
        <v>0.001251</v>
      </c>
      <c r="DT66" s="197" t="n">
        <v>0.000556</v>
      </c>
      <c r="DU66" s="197" t="n">
        <v>0.010312</v>
      </c>
      <c r="DV66" s="197" t="n">
        <v>0.000556</v>
      </c>
      <c r="DW66" s="197" t="n">
        <v>0.000486</v>
      </c>
      <c r="DX66" s="197" t="n">
        <v>0.000417</v>
      </c>
      <c r="DY66" s="197" t="n">
        <v>0.000417</v>
      </c>
      <c r="DZ66" s="197" t="n">
        <v>0.000486</v>
      </c>
      <c r="EA66" s="197" t="n">
        <v>0.000417</v>
      </c>
      <c r="EB66" s="197" t="n">
        <v>0.000347</v>
      </c>
      <c r="EC66" s="197" t="n">
        <v>0.000417</v>
      </c>
      <c r="ED66" s="197" t="n">
        <v>0.000417</v>
      </c>
      <c r="EE66" s="197" t="n">
        <v>0.000417</v>
      </c>
      <c r="EF66" s="197" t="n">
        <v>0.000347</v>
      </c>
      <c r="EG66" s="197" t="n">
        <v>0.000347</v>
      </c>
      <c r="EH66" s="197" t="n">
        <v>0.000347</v>
      </c>
      <c r="EI66" s="197" t="n">
        <v>0.000278</v>
      </c>
      <c r="EJ66" s="197" t="n">
        <v>0.000278</v>
      </c>
      <c r="EK66" s="197" t="n">
        <v>0.000695</v>
      </c>
      <c r="EL66" s="197" t="n">
        <v>0.000139</v>
      </c>
      <c r="EM66" s="197" t="n">
        <v>-0.000139</v>
      </c>
      <c r="EN66" s="197" t="n">
        <v>-0.000139</v>
      </c>
      <c r="EO66" s="182" t="n"/>
      <c r="EP66" s="176" t="n"/>
      <c r="EQ66" s="176" t="n"/>
      <c r="ER66" s="176" t="n"/>
      <c r="ES66" s="176" t="n"/>
      <c r="ET66" s="176" t="n"/>
      <c r="EU66" s="176" t="n"/>
      <c r="EV66" s="176" t="n"/>
      <c r="EW66" s="176" t="n"/>
      <c r="EX66" s="176" t="n"/>
      <c r="EY66" s="176" t="n"/>
      <c r="EZ66" s="176" t="n"/>
      <c r="FA66" s="176" t="n"/>
      <c r="FB66" s="176" t="n"/>
      <c r="FC66" s="176" t="n"/>
      <c r="FD66" s="176" t="n"/>
      <c r="FE66" s="176" t="n"/>
      <c r="FF66" s="176" t="n"/>
      <c r="FG66" s="176" t="n"/>
      <c r="FH66" s="176" t="n"/>
      <c r="FI66" s="176" t="n"/>
      <c r="FJ66" s="176" t="n"/>
      <c r="FK66" s="176" t="n"/>
      <c r="FL66" s="176" t="n"/>
      <c r="FM66" s="176" t="n"/>
    </row>
    <row r="67" ht="15" customHeight="1" s="392">
      <c r="A67" s="176" t="n"/>
      <c r="B67" s="180" t="n"/>
      <c r="C67" s="183" t="inlineStr">
        <is>
          <t xml:space="preserve">    Diluted EPS from Discontinued Operations</t>
        </is>
      </c>
      <c r="D67" s="191">
        <f>IF(COUNT(M67:EN67)&gt;0,MEDIAN(M67:EN67),"")</f>
        <v/>
      </c>
      <c r="E67" s="191">
        <f>IF(COUNT(M67:EN67)&gt;0,AVERAGE(M67:EN67),"")</f>
        <v/>
      </c>
      <c r="F67" s="191">
        <f>IF(COUNT(M67:EN67)&gt;0,MIN(M67:EN67),"")</f>
        <v/>
      </c>
      <c r="G67" s="191">
        <f>IF(COUNT(M67:EN67)&gt;0,MAX(M67:EN67),"")</f>
        <v/>
      </c>
      <c r="H67" s="191">
        <f>IF(COUNT(M67:EN67)&gt;0,QUARTILE(M67:EN67,1),"")</f>
        <v/>
      </c>
      <c r="I67" s="191">
        <f>IF(COUNT(M67:EN67)&gt;0,QUARTILE(M67:EN67,3),"")</f>
        <v/>
      </c>
      <c r="J67" s="191">
        <f>IF(COUNT(M67:EN67)&gt;1,STDEV(M67:EN67),"")</f>
        <v/>
      </c>
      <c r="K67" s="191">
        <f>IF(COUNT(M67:EN67)&gt;1,STDEV(M67:EN67)/AVERAGE(M67:EN67),"")</f>
        <v/>
      </c>
      <c r="M67" s="197" t="n"/>
      <c r="N67" s="197" t="n"/>
      <c r="O67" s="197" t="n"/>
      <c r="P67" s="197" t="n"/>
      <c r="Q67" s="197" t="n"/>
      <c r="R67" s="197" t="n"/>
      <c r="S67" s="197" t="n"/>
      <c r="T67" s="197" t="n"/>
      <c r="U67" s="197" t="n"/>
      <c r="V67" s="197" t="n"/>
      <c r="W67" s="197" t="n"/>
      <c r="X67" s="197" t="n"/>
      <c r="Y67" s="197" t="n"/>
      <c r="Z67" s="197" t="n"/>
      <c r="AA67" s="197" t="n"/>
      <c r="AB67" s="197" t="n"/>
      <c r="AC67" s="197" t="n"/>
      <c r="AD67" s="197" t="n"/>
      <c r="AE67" s="197" t="n"/>
      <c r="AF67" s="197" t="n"/>
      <c r="AG67" s="197" t="n"/>
      <c r="AH67" s="197" t="n"/>
      <c r="AI67" s="197" t="n"/>
      <c r="AJ67" s="197" t="n"/>
      <c r="AK67" s="197" t="n"/>
      <c r="AL67" s="197" t="n"/>
      <c r="AM67" s="197" t="n"/>
      <c r="AN67" s="197" t="n"/>
      <c r="AO67" s="197" t="n"/>
      <c r="AP67" s="197" t="n"/>
      <c r="AQ67" s="197" t="n"/>
      <c r="AR67" s="197" t="n"/>
      <c r="AS67" s="197" t="n"/>
      <c r="AT67" s="197" t="n"/>
      <c r="AU67" s="197" t="n"/>
      <c r="AV67" s="197" t="n"/>
      <c r="AW67" s="197" t="n"/>
      <c r="AX67" s="197" t="n"/>
      <c r="AY67" s="197" t="n"/>
      <c r="AZ67" s="197" t="n"/>
      <c r="BA67" s="197" t="n"/>
      <c r="BB67" s="197" t="n"/>
      <c r="BC67" s="197" t="n"/>
      <c r="BD67" s="197" t="n"/>
      <c r="BE67" s="197" t="n"/>
      <c r="BF67" s="197" t="n"/>
      <c r="BG67" s="197" t="n"/>
      <c r="BH67" s="197" t="n"/>
      <c r="BI67" s="197" t="n"/>
      <c r="BJ67" s="197" t="n"/>
      <c r="BK67" s="197" t="n"/>
      <c r="BL67" s="197" t="n"/>
      <c r="BM67" s="197" t="n"/>
      <c r="BN67" s="197" t="n"/>
      <c r="BO67" s="197" t="n"/>
      <c r="BP67" s="197" t="n"/>
      <c r="BQ67" s="197" t="n"/>
      <c r="BR67" s="197" t="n"/>
      <c r="BS67" s="197" t="n"/>
      <c r="BT67" s="197" t="n"/>
      <c r="BU67" s="197" t="n"/>
      <c r="BV67" s="197" t="n"/>
      <c r="BW67" s="197" t="n"/>
      <c r="BX67" s="197" t="n"/>
      <c r="BY67" s="197" t="n">
        <v>0</v>
      </c>
      <c r="BZ67" s="197" t="n"/>
      <c r="CA67" s="197" t="n"/>
      <c r="CB67" s="197" t="n"/>
      <c r="CC67" s="197" t="n">
        <v>0</v>
      </c>
      <c r="CD67" s="197" t="n">
        <v>0.00125</v>
      </c>
      <c r="CE67" s="197" t="n"/>
      <c r="CF67" s="197" t="n"/>
      <c r="CG67" s="197" t="n"/>
      <c r="CH67" s="197" t="n"/>
      <c r="CI67" s="197" t="n"/>
      <c r="CJ67" s="197" t="n"/>
      <c r="CK67" s="197" t="n">
        <v>0</v>
      </c>
      <c r="CL67" s="197" t="n">
        <v>0</v>
      </c>
      <c r="CM67" s="197" t="n">
        <v>0</v>
      </c>
      <c r="CN67" s="197" t="n">
        <v>0</v>
      </c>
      <c r="CO67" s="197" t="n">
        <v>0.000625</v>
      </c>
      <c r="CP67" s="197" t="n">
        <v>0.000625</v>
      </c>
      <c r="CQ67" s="197" t="n">
        <v>-0.0125</v>
      </c>
      <c r="CR67" s="197" t="n">
        <v>0.000625</v>
      </c>
      <c r="CS67" s="197" t="n">
        <v>0</v>
      </c>
      <c r="CT67" s="197" t="n">
        <v>0</v>
      </c>
      <c r="CU67" s="197" t="n">
        <v>0</v>
      </c>
      <c r="CV67" s="197" t="n"/>
      <c r="CW67" s="197" t="n">
        <v>0.000154</v>
      </c>
      <c r="CX67" s="197" t="n"/>
      <c r="CY67" s="197" t="n"/>
      <c r="CZ67" s="197" t="n"/>
      <c r="DA67" s="197" t="n"/>
      <c r="DB67" s="197" t="n"/>
      <c r="DC67" s="197" t="n"/>
      <c r="DD67" s="197" t="n"/>
      <c r="DE67" s="197" t="n"/>
      <c r="DF67" s="197" t="n"/>
      <c r="DG67" s="197" t="n"/>
      <c r="DH67" s="197" t="n"/>
      <c r="DI67" s="197" t="n"/>
      <c r="DJ67" s="197" t="n"/>
      <c r="DK67" s="197" t="n"/>
      <c r="DL67" s="197" t="n"/>
      <c r="DM67" s="197" t="n"/>
      <c r="DN67" s="197" t="n"/>
      <c r="DO67" s="197" t="n"/>
      <c r="DP67" s="197" t="n"/>
      <c r="DQ67" s="197" t="n"/>
      <c r="DR67" s="197" t="n"/>
      <c r="DS67" s="197" t="n"/>
      <c r="DT67" s="197" t="n"/>
      <c r="DU67" s="197" t="n"/>
      <c r="DV67" s="197" t="n"/>
      <c r="DW67" s="197" t="n"/>
      <c r="DX67" s="197" t="n"/>
      <c r="DY67" s="197" t="n"/>
      <c r="DZ67" s="197" t="n"/>
      <c r="EA67" s="197" t="n"/>
      <c r="EB67" s="197" t="n"/>
      <c r="EC67" s="197" t="n"/>
      <c r="ED67" s="197" t="n"/>
      <c r="EE67" s="197" t="n"/>
      <c r="EF67" s="197" t="n"/>
      <c r="EG67" s="197" t="n"/>
      <c r="EH67" s="197" t="n"/>
      <c r="EI67" s="197" t="n"/>
      <c r="EJ67" s="197" t="n"/>
      <c r="EK67" s="197" t="n"/>
      <c r="EL67" s="197" t="n"/>
      <c r="EM67" s="197" t="n"/>
      <c r="EN67" s="197" t="n"/>
      <c r="EO67" s="182" t="n"/>
      <c r="EP67" s="176" t="n"/>
      <c r="EQ67" s="176" t="n"/>
      <c r="ER67" s="176" t="n"/>
      <c r="ES67" s="176" t="n"/>
      <c r="ET67" s="176" t="n"/>
      <c r="EU67" s="176" t="n"/>
      <c r="EV67" s="176" t="n"/>
      <c r="EW67" s="176" t="n"/>
      <c r="EX67" s="176" t="n"/>
      <c r="EY67" s="176" t="n"/>
      <c r="EZ67" s="176" t="n"/>
      <c r="FA67" s="176" t="n"/>
      <c r="FB67" s="176" t="n"/>
      <c r="FC67" s="176" t="n"/>
      <c r="FD67" s="176" t="n"/>
      <c r="FE67" s="176" t="n"/>
      <c r="FF67" s="176" t="n"/>
      <c r="FG67" s="176" t="n"/>
      <c r="FH67" s="176" t="n"/>
      <c r="FI67" s="176" t="n"/>
      <c r="FJ67" s="176" t="n"/>
      <c r="FK67" s="176" t="n"/>
      <c r="FL67" s="176" t="n"/>
      <c r="FM67" s="176" t="n"/>
    </row>
    <row r="68" ht="15" customHeight="1" s="392">
      <c r="A68" s="176" t="n"/>
      <c r="B68" s="180" t="n"/>
      <c r="C68" s="187" t="inlineStr">
        <is>
          <t>Total Diluted EPS</t>
        </is>
      </c>
      <c r="D68" s="194">
        <f>IF(COUNT(M68:EN68)&gt;0,MEDIAN(M68:EN68),"")</f>
        <v/>
      </c>
      <c r="E68" s="194">
        <f>IF(COUNT(M68:EN68)&gt;0,AVERAGE(M68:EN68),"")</f>
        <v/>
      </c>
      <c r="F68" s="194">
        <f>IF(COUNT(M68:EN68)&gt;0,MIN(M68:EN68),"")</f>
        <v/>
      </c>
      <c r="G68" s="194">
        <f>IF(COUNT(M68:EN68)&gt;0,MAX(M68:EN68),"")</f>
        <v/>
      </c>
      <c r="H68" s="194">
        <f>IF(COUNT(M68:EN68)&gt;0,QUARTILE(M68:EN68,1),"")</f>
        <v/>
      </c>
      <c r="I68" s="194">
        <f>IF(COUNT(M68:EN68)&gt;0,QUARTILE(M68:EN68,3),"")</f>
        <v/>
      </c>
      <c r="J68" s="194">
        <f>IF(COUNT(M68:EN68)&gt;1,STDEV(M68:EN68),"")</f>
        <v/>
      </c>
      <c r="K68" s="194">
        <f>IF(COUNT(M68:EN68)&gt;1,STDEV(M68:EN68)/AVERAGE(M68:EN68),"")</f>
        <v/>
      </c>
      <c r="L68" s="195" t="n"/>
      <c r="M68" s="198" t="n">
        <v>0.35</v>
      </c>
      <c r="N68" s="198" t="n">
        <v>0.43</v>
      </c>
      <c r="O68" s="198" t="n">
        <v>0.36</v>
      </c>
      <c r="P68" s="198" t="n">
        <v>0.41</v>
      </c>
      <c r="Q68" s="198" t="n">
        <v>0.41</v>
      </c>
      <c r="R68" s="198" t="n">
        <v>0.42</v>
      </c>
      <c r="S68" s="198" t="n">
        <v>0.4</v>
      </c>
      <c r="T68" s="198" t="n">
        <v>0.37</v>
      </c>
      <c r="U68" s="198" t="n">
        <v>0.33</v>
      </c>
      <c r="V68" s="198" t="n">
        <v>0.39</v>
      </c>
      <c r="W68" s="198" t="n">
        <v>0.33</v>
      </c>
      <c r="X68" s="198" t="n">
        <v>0.34</v>
      </c>
      <c r="Y68" s="198" t="n">
        <v>0.36</v>
      </c>
      <c r="Z68" s="198" t="n">
        <v>0.36</v>
      </c>
      <c r="AA68" s="198" t="n">
        <v>0.3</v>
      </c>
      <c r="AB68" s="198" t="n">
        <v>0.25</v>
      </c>
      <c r="AC68" s="198" t="n">
        <v>0.27</v>
      </c>
      <c r="AD68" s="198" t="n">
        <v>0.29</v>
      </c>
      <c r="AE68" s="198" t="n">
        <v>0.3</v>
      </c>
      <c r="AF68" s="198" t="n">
        <v>0.27</v>
      </c>
      <c r="AG68" s="198" t="n">
        <v>0.265</v>
      </c>
      <c r="AH68" s="198" t="n">
        <v>0.2975</v>
      </c>
      <c r="AI68" s="198" t="n">
        <v>0.2025</v>
      </c>
      <c r="AJ68" s="198" t="n">
        <v>0.2075</v>
      </c>
      <c r="AK68" s="198" t="n">
        <v>0.1725</v>
      </c>
      <c r="AL68" s="198" t="n">
        <v>0.155</v>
      </c>
      <c r="AM68" s="198" t="n">
        <v>0.1775</v>
      </c>
      <c r="AN68" s="198" t="n">
        <v>0.2275</v>
      </c>
      <c r="AO68" s="198" t="n">
        <v>0.16</v>
      </c>
      <c r="AP68" s="198" t="n">
        <v>0.2025</v>
      </c>
      <c r="AQ68" s="198" t="n">
        <v>0.1375</v>
      </c>
      <c r="AR68" s="198" t="n">
        <v>0.1175</v>
      </c>
      <c r="AS68" s="198" t="n">
        <v>0.1125</v>
      </c>
      <c r="AT68" s="198" t="n">
        <v>0.13</v>
      </c>
      <c r="AU68" s="198" t="n">
        <v>0.1075</v>
      </c>
      <c r="AV68" s="198" t="n">
        <v>0.08</v>
      </c>
      <c r="AW68" s="198" t="n">
        <v>0.075</v>
      </c>
      <c r="AX68" s="198" t="n">
        <v>0.095</v>
      </c>
      <c r="AY68" s="198" t="n">
        <v>0.07000000000000001</v>
      </c>
      <c r="AZ68" s="198" t="n">
        <v>0.175</v>
      </c>
      <c r="BA68" s="198" t="n">
        <v>0.08749999999999999</v>
      </c>
      <c r="BB68" s="198" t="n">
        <v>0.08</v>
      </c>
      <c r="BC68" s="198" t="n">
        <v>0.05875</v>
      </c>
      <c r="BD68" s="198" t="n">
        <v>0.05125</v>
      </c>
      <c r="BE68" s="198" t="n">
        <v>0.055</v>
      </c>
      <c r="BF68" s="198" t="n">
        <v>0.055</v>
      </c>
      <c r="BG68" s="198" t="n">
        <v>0.05</v>
      </c>
      <c r="BH68" s="198" t="n">
        <v>0.05</v>
      </c>
      <c r="BI68" s="198" t="n">
        <v>0.04875</v>
      </c>
      <c r="BJ68" s="198" t="n">
        <v>0.03875</v>
      </c>
      <c r="BK68" s="198" t="n">
        <v>0.04375</v>
      </c>
      <c r="BL68" s="198" t="n">
        <v>0.04</v>
      </c>
      <c r="BM68" s="198" t="n">
        <v>0.04</v>
      </c>
      <c r="BN68" s="198" t="n">
        <v>0.05125</v>
      </c>
      <c r="BO68" s="198" t="n">
        <v>0.03875</v>
      </c>
      <c r="BP68" s="198" t="n">
        <v>0.045</v>
      </c>
      <c r="BQ68" s="198" t="n">
        <v>0.04375</v>
      </c>
      <c r="BR68" s="198" t="n">
        <v>0.05375</v>
      </c>
      <c r="BS68" s="198" t="n">
        <v>0.03875</v>
      </c>
      <c r="BT68" s="198" t="n">
        <v>0.03875</v>
      </c>
      <c r="BU68" s="198" t="n">
        <v>0.03625</v>
      </c>
      <c r="BV68" s="198" t="n">
        <v>0.04375</v>
      </c>
      <c r="BW68" s="198" t="n">
        <v>0.02875</v>
      </c>
      <c r="BX68" s="198" t="n">
        <v>0.028125</v>
      </c>
      <c r="BY68" s="198" t="n">
        <v>0.026875</v>
      </c>
      <c r="BZ68" s="198" t="n">
        <v>0.0325</v>
      </c>
      <c r="CA68" s="198" t="n">
        <v>0.02625</v>
      </c>
      <c r="CB68" s="198" t="n">
        <v>0.02625</v>
      </c>
      <c r="CC68" s="198" t="n">
        <v>0.025625</v>
      </c>
      <c r="CD68" s="198" t="n">
        <v>0.03125</v>
      </c>
      <c r="CE68" s="198" t="n">
        <v>0.02</v>
      </c>
      <c r="CF68" s="198" t="n">
        <v>0.0275</v>
      </c>
      <c r="CG68" s="198" t="n">
        <v>0.029375</v>
      </c>
      <c r="CH68" s="198" t="n">
        <v>0.0325</v>
      </c>
      <c r="CI68" s="198" t="n">
        <v>0.021875</v>
      </c>
      <c r="CJ68" s="198" t="n">
        <v>0.025625</v>
      </c>
      <c r="CK68" s="198" t="n">
        <v>0.025</v>
      </c>
      <c r="CL68" s="198" t="n">
        <v>0.025625</v>
      </c>
      <c r="CM68" s="198" t="n">
        <v>0.02</v>
      </c>
      <c r="CN68" s="198" t="n">
        <v>0.02</v>
      </c>
      <c r="CO68" s="198" t="n">
        <v>0.02125</v>
      </c>
      <c r="CP68" s="198" t="n">
        <v>0.023125</v>
      </c>
      <c r="CQ68" s="198" t="n">
        <v>0.005</v>
      </c>
      <c r="CR68" s="198" t="n">
        <v>0.015625</v>
      </c>
      <c r="CS68" s="198" t="n">
        <v>0.016875</v>
      </c>
      <c r="CT68" s="198" t="n">
        <v>0.020625</v>
      </c>
      <c r="CU68" s="198" t="n">
        <v>0.015625</v>
      </c>
      <c r="CV68" s="198" t="n">
        <v>0.015</v>
      </c>
      <c r="CW68" s="198" t="n">
        <v>0.015</v>
      </c>
      <c r="CX68" s="198" t="n">
        <v>0.016875</v>
      </c>
      <c r="CY68" s="198" t="n">
        <v>0.011875</v>
      </c>
      <c r="CZ68" s="198" t="n">
        <v>0.010625</v>
      </c>
      <c r="DA68" s="198" t="n">
        <v>0.009375</v>
      </c>
      <c r="DB68" s="198" t="n">
        <v>0.010625</v>
      </c>
      <c r="DC68" s="198" t="n">
        <v>0.009375</v>
      </c>
      <c r="DD68" s="198" t="n">
        <v>0.01</v>
      </c>
      <c r="DE68" s="198" t="n">
        <v>0.010625</v>
      </c>
      <c r="DF68" s="198" t="n">
        <v>0.01125</v>
      </c>
      <c r="DG68" s="198" t="n">
        <v>0.008750000000000001</v>
      </c>
      <c r="DH68" s="198" t="n">
        <v>0.009167</v>
      </c>
      <c r="DI68" s="198" t="n">
        <v>0.006103</v>
      </c>
      <c r="DJ68" s="198" t="n">
        <v>0.005558</v>
      </c>
      <c r="DK68" s="198" t="n">
        <v>0.007083</v>
      </c>
      <c r="DL68" s="198" t="n">
        <v>0.006667</v>
      </c>
      <c r="DM68" s="198" t="n">
        <v>0.00625</v>
      </c>
      <c r="DN68" s="198" t="n">
        <v>0.00625</v>
      </c>
      <c r="DO68" s="198" t="n">
        <v>0.005</v>
      </c>
      <c r="DP68" s="198" t="n">
        <v>0.001668</v>
      </c>
      <c r="DQ68" s="198" t="n">
        <v>0.004442</v>
      </c>
      <c r="DR68" s="198" t="n">
        <v>0.001668</v>
      </c>
      <c r="DS68" s="198" t="n">
        <v>0.001251</v>
      </c>
      <c r="DT68" s="198" t="n">
        <v>0.000556</v>
      </c>
      <c r="DU68" s="198" t="n">
        <v>0.010312</v>
      </c>
      <c r="DV68" s="198" t="n">
        <v>0.000556</v>
      </c>
      <c r="DW68" s="198" t="n">
        <v>0.000486</v>
      </c>
      <c r="DX68" s="198" t="n">
        <v>0.000417</v>
      </c>
      <c r="DY68" s="198" t="n">
        <v>0.000417</v>
      </c>
      <c r="DZ68" s="198" t="n">
        <v>0.000486</v>
      </c>
      <c r="EA68" s="198" t="n">
        <v>0.000417</v>
      </c>
      <c r="EB68" s="198" t="n">
        <v>0.000347</v>
      </c>
      <c r="EC68" s="198" t="n">
        <v>0.000417</v>
      </c>
      <c r="ED68" s="198" t="n">
        <v>0.000417</v>
      </c>
      <c r="EE68" s="198" t="n">
        <v>0.000417</v>
      </c>
      <c r="EF68" s="198" t="n">
        <v>0.000347</v>
      </c>
      <c r="EG68" s="198" t="n">
        <v>0.000347</v>
      </c>
      <c r="EH68" s="198" t="n">
        <v>0.000347</v>
      </c>
      <c r="EI68" s="198" t="n">
        <v>0.000278</v>
      </c>
      <c r="EJ68" s="198" t="n">
        <v>0.000278</v>
      </c>
      <c r="EK68" s="198" t="n">
        <v>0.000278</v>
      </c>
      <c r="EL68" s="198" t="n">
        <v>0.000139</v>
      </c>
      <c r="EM68" s="198" t="n">
        <v>-0.000139</v>
      </c>
      <c r="EN68" s="198" t="n">
        <v>-0.000139</v>
      </c>
      <c r="EO68" s="182" t="n"/>
      <c r="EP68" s="176" t="n"/>
      <c r="EQ68" s="176" t="n"/>
      <c r="ER68" s="176" t="n"/>
      <c r="ES68" s="176" t="n"/>
      <c r="ET68" s="176" t="n"/>
      <c r="EU68" s="176" t="n"/>
      <c r="EV68" s="176" t="n"/>
      <c r="EW68" s="176" t="n"/>
      <c r="EX68" s="176" t="n"/>
      <c r="EY68" s="176" t="n"/>
      <c r="EZ68" s="176" t="n"/>
      <c r="FA68" s="176" t="n"/>
      <c r="FB68" s="176" t="n"/>
      <c r="FC68" s="176" t="n"/>
      <c r="FD68" s="176" t="n"/>
      <c r="FE68" s="176" t="n"/>
      <c r="FF68" s="176" t="n"/>
      <c r="FG68" s="176" t="n"/>
      <c r="FH68" s="176" t="n"/>
      <c r="FI68" s="176" t="n"/>
      <c r="FJ68" s="176" t="n"/>
      <c r="FK68" s="176" t="n"/>
      <c r="FL68" s="176" t="n"/>
      <c r="FM68" s="176" t="n"/>
    </row>
    <row r="69" ht="15" customHeight="1" s="392">
      <c r="A69" s="176" t="n"/>
      <c r="B69" s="180" t="n"/>
      <c r="C69" s="187" t="inlineStr">
        <is>
          <t>Basic Weighted Average Shares Outstanding</t>
        </is>
      </c>
      <c r="D69" s="190">
        <f>IF(COUNT(M69:EN69)&gt;0,MEDIAN(M69:EN69),"")</f>
        <v/>
      </c>
      <c r="E69" s="190">
        <f>IF(COUNT(M69:EN69)&gt;0,AVERAGE(M69:EN69),"")</f>
        <v/>
      </c>
      <c r="F69" s="190">
        <f>IF(COUNT(M69:EN69)&gt;0,MIN(M69:EN69),"")</f>
        <v/>
      </c>
      <c r="G69" s="190">
        <f>IF(COUNT(M69:EN69)&gt;0,MAX(M69:EN69),"")</f>
        <v/>
      </c>
      <c r="H69" s="190">
        <f>IF(COUNT(M69:EN69)&gt;0,QUARTILE(M69:EN69,1),"")</f>
        <v/>
      </c>
      <c r="I69" s="190">
        <f>IF(COUNT(M69:EN69)&gt;0,QUARTILE(M69:EN69,3),"")</f>
        <v/>
      </c>
      <c r="J69" s="190">
        <f>IF(COUNT(M69:EN69)&gt;1,STDEV(M69:EN69),"")</f>
        <v/>
      </c>
      <c r="K69" s="191">
        <f>IF(COUNT(M69:EN69)&gt;1,STDEV(M69:EN69)/AVERAGE(M69:EN69),"")</f>
        <v/>
      </c>
      <c r="M69" s="192" t="n">
        <v>927067000</v>
      </c>
      <c r="N69" s="192" t="n">
        <v>936293000</v>
      </c>
      <c r="O69" s="192" t="n">
        <v>967212000</v>
      </c>
      <c r="P69" s="192" t="n">
        <v>967650000</v>
      </c>
      <c r="Q69" s="192" t="n">
        <v>967118000</v>
      </c>
      <c r="R69" s="192" t="n">
        <v>966234000</v>
      </c>
      <c r="S69" s="192" t="n">
        <v>964746000</v>
      </c>
      <c r="T69" s="192" t="n">
        <v>963176000</v>
      </c>
      <c r="U69" s="192" t="n">
        <v>962527000</v>
      </c>
      <c r="V69" s="192" t="n">
        <v>961813000</v>
      </c>
      <c r="W69" s="192" t="n">
        <v>960525000</v>
      </c>
      <c r="X69" s="192" t="n">
        <v>958127000</v>
      </c>
      <c r="Y69" s="192" t="n">
        <v>955794000</v>
      </c>
      <c r="Z69" s="192" t="n">
        <v>953574000</v>
      </c>
      <c r="AA69" s="192" t="n">
        <v>952752000</v>
      </c>
      <c r="AB69" s="192" t="n">
        <v>952198000</v>
      </c>
      <c r="AC69" s="192" t="n">
        <v>951380000</v>
      </c>
      <c r="AD69" s="192" t="n">
        <v>950020000</v>
      </c>
      <c r="AE69" s="192" t="n">
        <v>948744000</v>
      </c>
      <c r="AF69" s="192" t="n">
        <v>948272000</v>
      </c>
      <c r="AG69" s="192" t="n">
        <v>946712000</v>
      </c>
      <c r="AH69" s="192" t="n">
        <v>945584000</v>
      </c>
      <c r="AI69" s="192" t="n">
        <v>944608000</v>
      </c>
      <c r="AJ69" s="192" t="n">
        <v>943164000</v>
      </c>
      <c r="AK69" s="192" t="n">
        <v>939468000</v>
      </c>
      <c r="AL69" s="192" t="n">
        <v>936532000</v>
      </c>
      <c r="AM69" s="192" t="n">
        <v>930684000</v>
      </c>
      <c r="AN69" s="192" t="n">
        <v>924676000</v>
      </c>
      <c r="AO69" s="192" t="n">
        <v>916760000</v>
      </c>
      <c r="AP69" s="192" t="n">
        <v>911936000</v>
      </c>
      <c r="AQ69" s="192" t="n">
        <v>923192000</v>
      </c>
      <c r="AR69" s="192" t="n">
        <v>935552000</v>
      </c>
      <c r="AS69" s="192" t="n">
        <v>932044000</v>
      </c>
      <c r="AT69" s="192" t="n">
        <v>928040000</v>
      </c>
      <c r="AU69" s="192" t="n">
        <v>925912000</v>
      </c>
      <c r="AV69" s="192" t="n">
        <v>922776000</v>
      </c>
      <c r="AW69" s="192" t="n">
        <v>921224000</v>
      </c>
      <c r="AX69" s="192" t="n">
        <v>919680000</v>
      </c>
      <c r="AY69" s="192" t="n">
        <v>916568000</v>
      </c>
      <c r="AZ69" s="192" t="n">
        <v>901744000</v>
      </c>
      <c r="BA69" s="192" t="n">
        <v>851832000</v>
      </c>
      <c r="BB69" s="192" t="n">
        <v>884352000</v>
      </c>
      <c r="BC69" s="192" t="n">
        <v>938448000</v>
      </c>
      <c r="BD69" s="192" t="n">
        <v>961240000</v>
      </c>
      <c r="BE69" s="192" t="n">
        <v>997848000</v>
      </c>
      <c r="BF69" s="192" t="n">
        <v>1011320000</v>
      </c>
      <c r="BG69" s="192" t="n">
        <v>1010400000</v>
      </c>
      <c r="BH69" s="192" t="n">
        <v>1009736000</v>
      </c>
      <c r="BI69" s="192" t="n">
        <v>1007680000</v>
      </c>
      <c r="BJ69" s="192" t="n">
        <v>1006352000</v>
      </c>
      <c r="BK69" s="192" t="n">
        <v>1004512000</v>
      </c>
      <c r="BL69" s="192" t="n">
        <v>1003680000</v>
      </c>
      <c r="BM69" s="192" t="n">
        <v>1003064000</v>
      </c>
      <c r="BN69" s="192" t="n">
        <v>1002160000</v>
      </c>
      <c r="BO69" s="192" t="n">
        <v>997672000</v>
      </c>
      <c r="BP69" s="192" t="n">
        <v>994416000</v>
      </c>
      <c r="BQ69" s="192" t="n">
        <v>1008784000</v>
      </c>
      <c r="BR69" s="192" t="n">
        <v>1012768000</v>
      </c>
      <c r="BS69" s="192" t="n">
        <v>1026448000</v>
      </c>
      <c r="BT69" s="192" t="n">
        <v>1051456000</v>
      </c>
      <c r="BU69" s="192" t="n">
        <v>1080400000</v>
      </c>
      <c r="BV69" s="192" t="n">
        <v>1116904000</v>
      </c>
      <c r="BW69" s="192" t="n">
        <v>1299840000</v>
      </c>
      <c r="BX69" s="192" t="n">
        <v>1339920000</v>
      </c>
      <c r="BY69" s="192" t="n">
        <v>1348560000</v>
      </c>
      <c r="BZ69" s="192" t="n">
        <v>1347584000</v>
      </c>
      <c r="CA69" s="192" t="n">
        <v>1345728000</v>
      </c>
      <c r="CB69" s="192" t="n">
        <v>1344720000</v>
      </c>
      <c r="CC69" s="192" t="n">
        <v>1340720000</v>
      </c>
      <c r="CD69" s="192" t="n">
        <v>1338096000</v>
      </c>
      <c r="CE69" s="192" t="n">
        <v>1335088000</v>
      </c>
      <c r="CF69" s="192" t="n">
        <v>1332528000</v>
      </c>
      <c r="CG69" s="192" t="n">
        <v>1362736000</v>
      </c>
      <c r="CH69" s="192" t="n">
        <v>1393904000</v>
      </c>
      <c r="CI69" s="192" t="n">
        <v>1420832000</v>
      </c>
      <c r="CJ69" s="192" t="n">
        <v>1416928000</v>
      </c>
      <c r="CK69" s="192" t="n">
        <v>1441536000</v>
      </c>
      <c r="CL69" s="192" t="n">
        <v>1460336000</v>
      </c>
      <c r="CM69" s="192" t="n">
        <v>1452032000</v>
      </c>
      <c r="CN69" s="192" t="n">
        <v>1448000000</v>
      </c>
      <c r="CO69" s="192" t="n">
        <v>1446528000</v>
      </c>
      <c r="CP69" s="192" t="n">
        <v>1444688000</v>
      </c>
      <c r="CQ69" s="192" t="n">
        <v>1446416000</v>
      </c>
      <c r="CR69" s="192" t="n">
        <v>1446160000</v>
      </c>
      <c r="CS69" s="192" t="n">
        <v>1444272000</v>
      </c>
      <c r="CT69" s="192" t="n">
        <v>1442864000</v>
      </c>
      <c r="CU69" s="192" t="n">
        <v>1441968000</v>
      </c>
      <c r="CV69" s="192" t="n">
        <v>1441296000</v>
      </c>
      <c r="CW69" s="192" t="n">
        <v>1439040000</v>
      </c>
      <c r="CX69" s="192" t="n">
        <v>1429968000</v>
      </c>
      <c r="CY69" s="192" t="n">
        <v>1424380800</v>
      </c>
      <c r="CZ69" s="192" t="n">
        <v>1431875200</v>
      </c>
      <c r="DA69" s="192" t="n">
        <v>1436761600</v>
      </c>
      <c r="DB69" s="192" t="n">
        <v>1459121600</v>
      </c>
      <c r="DC69" s="192" t="n">
        <v>1477854400</v>
      </c>
      <c r="DD69" s="192" t="n">
        <v>1475982400</v>
      </c>
      <c r="DE69" s="192" t="n">
        <v>1470208000</v>
      </c>
      <c r="DF69" s="192" t="n">
        <v>1453288000</v>
      </c>
      <c r="DG69" s="192" t="n">
        <v>1425992000</v>
      </c>
      <c r="DH69" s="192" t="n">
        <v>1330951200</v>
      </c>
      <c r="DI69" s="192" t="n">
        <v>1988640000</v>
      </c>
      <c r="DJ69" s="192" t="n">
        <v>1982632800</v>
      </c>
      <c r="DK69" s="192" t="n">
        <v>1313119200</v>
      </c>
      <c r="DL69" s="192" t="n">
        <v>1309320000</v>
      </c>
      <c r="DM69" s="192" t="n">
        <v>1302388800</v>
      </c>
      <c r="DN69" s="192" t="n">
        <v>1293948000</v>
      </c>
      <c r="DO69" s="192" t="n">
        <v>1289484000</v>
      </c>
      <c r="DP69" s="192" t="n">
        <v>1288704000</v>
      </c>
      <c r="DQ69" s="192" t="n">
        <v>1288560000</v>
      </c>
      <c r="DR69" s="192" t="n">
        <v>1278336000</v>
      </c>
      <c r="DS69" s="192" t="n">
        <v>1278336000</v>
      </c>
      <c r="DT69" s="192" t="n">
        <v>1278336000</v>
      </c>
      <c r="DU69" s="192" t="n">
        <v>1283059200</v>
      </c>
      <c r="DV69" s="192" t="n">
        <v>1259520000</v>
      </c>
      <c r="DW69" s="192" t="n">
        <v>1259520000</v>
      </c>
      <c r="DX69" s="192" t="n">
        <v>1259520000</v>
      </c>
      <c r="DY69" s="192" t="n">
        <v>1214976000</v>
      </c>
      <c r="DZ69" s="192" t="n">
        <v>1214976000</v>
      </c>
      <c r="EA69" s="192" t="n">
        <v>1214976000</v>
      </c>
      <c r="EB69" s="192" t="n">
        <v>1214976000</v>
      </c>
      <c r="EC69" s="192" t="n">
        <v>1188845584</v>
      </c>
      <c r="ED69" s="192" t="n">
        <v>1188845584</v>
      </c>
      <c r="EE69" s="192" t="n">
        <v>1188845584</v>
      </c>
      <c r="EF69" s="192" t="n">
        <v>1188845584</v>
      </c>
      <c r="EG69" s="192" t="n">
        <v>859730128</v>
      </c>
      <c r="EH69" s="192" t="n">
        <v>859730128</v>
      </c>
      <c r="EI69" s="192" t="n">
        <v>859730128</v>
      </c>
      <c r="EJ69" s="192" t="n">
        <v>859730128</v>
      </c>
      <c r="EK69" s="192" t="n">
        <v>835838080</v>
      </c>
      <c r="EL69" s="192" t="n">
        <v>835838080</v>
      </c>
      <c r="EM69" s="192" t="n">
        <v>835838080</v>
      </c>
      <c r="EN69" s="192" t="n">
        <v>835838080</v>
      </c>
      <c r="EO69" s="182" t="n"/>
      <c r="EP69" s="176" t="n"/>
      <c r="EQ69" s="176" t="n"/>
      <c r="ER69" s="176" t="n"/>
      <c r="ES69" s="176" t="n"/>
      <c r="ET69" s="176" t="n"/>
      <c r="EU69" s="176" t="n"/>
      <c r="EV69" s="176" t="n"/>
      <c r="EW69" s="176" t="n"/>
      <c r="EX69" s="176" t="n"/>
      <c r="EY69" s="176" t="n"/>
      <c r="EZ69" s="176" t="n"/>
      <c r="FA69" s="176" t="n"/>
      <c r="FB69" s="176" t="n"/>
      <c r="FC69" s="176" t="n"/>
      <c r="FD69" s="176" t="n"/>
      <c r="FE69" s="176" t="n"/>
      <c r="FF69" s="176" t="n"/>
      <c r="FG69" s="176" t="n"/>
      <c r="FH69" s="176" t="n"/>
      <c r="FI69" s="176" t="n"/>
      <c r="FJ69" s="176" t="n"/>
      <c r="FK69" s="176" t="n"/>
      <c r="FL69" s="176" t="n"/>
      <c r="FM69" s="176" t="n"/>
    </row>
    <row r="70" ht="15" customHeight="1" s="392">
      <c r="A70" s="176" t="n"/>
      <c r="B70" s="180" t="n"/>
      <c r="C70" s="187" t="inlineStr">
        <is>
          <t>Diluted Weighted Average Shares Outstanding</t>
        </is>
      </c>
      <c r="D70" s="190">
        <f>IF(COUNT(M70:EN70)&gt;0,MEDIAN(M70:EN70),"")</f>
        <v/>
      </c>
      <c r="E70" s="190">
        <f>IF(COUNT(M70:EN70)&gt;0,AVERAGE(M70:EN70),"")</f>
        <v/>
      </c>
      <c r="F70" s="190">
        <f>IF(COUNT(M70:EN70)&gt;0,MIN(M70:EN70),"")</f>
        <v/>
      </c>
      <c r="G70" s="190">
        <f>IF(COUNT(M70:EN70)&gt;0,MAX(M70:EN70),"")</f>
        <v/>
      </c>
      <c r="H70" s="190">
        <f>IF(COUNT(M70:EN70)&gt;0,QUARTILE(M70:EN70,1),"")</f>
        <v/>
      </c>
      <c r="I70" s="190">
        <f>IF(COUNT(M70:EN70)&gt;0,QUARTILE(M70:EN70,3),"")</f>
        <v/>
      </c>
      <c r="J70" s="190">
        <f>IF(COUNT(M70:EN70)&gt;1,STDEV(M70:EN70),"")</f>
        <v/>
      </c>
      <c r="K70" s="191">
        <f>IF(COUNT(M70:EN70)&gt;1,STDEV(M70:EN70)/AVERAGE(M70:EN70),"")</f>
        <v/>
      </c>
      <c r="M70" s="192" t="n">
        <v>932140000</v>
      </c>
      <c r="N70" s="192" t="n">
        <v>942770000</v>
      </c>
      <c r="O70" s="192" t="n">
        <v>975089000</v>
      </c>
      <c r="P70" s="192" t="n">
        <v>977100000</v>
      </c>
      <c r="Q70" s="192" t="n">
        <v>977797000</v>
      </c>
      <c r="R70" s="192" t="n">
        <v>978089000</v>
      </c>
      <c r="S70" s="192" t="n">
        <v>977910000</v>
      </c>
      <c r="T70" s="192" t="n">
        <v>976506000</v>
      </c>
      <c r="U70" s="192" t="n">
        <v>976514000</v>
      </c>
      <c r="V70" s="192" t="n">
        <v>976445000</v>
      </c>
      <c r="W70" s="192" t="n">
        <v>974589000</v>
      </c>
      <c r="X70" s="192" t="n">
        <v>971682000</v>
      </c>
      <c r="Y70" s="192" t="n">
        <v>970280000</v>
      </c>
      <c r="Z70" s="192" t="n">
        <v>967380000</v>
      </c>
      <c r="AA70" s="192" t="n">
        <v>965072000</v>
      </c>
      <c r="AB70" s="192" t="n">
        <v>964336000</v>
      </c>
      <c r="AC70" s="192" t="n">
        <v>962960000</v>
      </c>
      <c r="AD70" s="192" t="n">
        <v>962896000</v>
      </c>
      <c r="AE70" s="192" t="n">
        <v>964748000</v>
      </c>
      <c r="AF70" s="192" t="n">
        <v>964884000</v>
      </c>
      <c r="AG70" s="192" t="n">
        <v>962852000</v>
      </c>
      <c r="AH70" s="192" t="n">
        <v>960832000</v>
      </c>
      <c r="AI70" s="192" t="n">
        <v>961120000</v>
      </c>
      <c r="AJ70" s="192" t="n">
        <v>959872000</v>
      </c>
      <c r="AK70" s="192" t="n">
        <v>955728000</v>
      </c>
      <c r="AL70" s="192" t="n">
        <v>954364000</v>
      </c>
      <c r="AM70" s="192" t="n">
        <v>953880000</v>
      </c>
      <c r="AN70" s="192" t="n">
        <v>954648000</v>
      </c>
      <c r="AO70" s="192" t="n">
        <v>953352000</v>
      </c>
      <c r="AP70" s="192" t="n">
        <v>951568000</v>
      </c>
      <c r="AQ70" s="192" t="n">
        <v>962640000</v>
      </c>
      <c r="AR70" s="192" t="n">
        <v>979304000</v>
      </c>
      <c r="AS70" s="192" t="n">
        <v>977672000</v>
      </c>
      <c r="AT70" s="192" t="n">
        <v>971840000</v>
      </c>
      <c r="AU70" s="192" t="n">
        <v>965440000</v>
      </c>
      <c r="AV70" s="192" t="n">
        <v>955164000</v>
      </c>
      <c r="AW70" s="192" t="n">
        <v>950608000</v>
      </c>
      <c r="AX70" s="192" t="n">
        <v>948540000</v>
      </c>
      <c r="AY70" s="192" t="n">
        <v>942352000</v>
      </c>
      <c r="AZ70" s="192" t="n">
        <v>951032000</v>
      </c>
      <c r="BA70" s="192" t="n">
        <v>923360000</v>
      </c>
      <c r="BB70" s="192" t="n">
        <v>945648000</v>
      </c>
      <c r="BC70" s="192" t="n">
        <v>996896000</v>
      </c>
      <c r="BD70" s="192" t="n">
        <v>1017152000</v>
      </c>
      <c r="BE70" s="192" t="n">
        <v>1041528000</v>
      </c>
      <c r="BF70" s="192" t="n">
        <v>1056992000</v>
      </c>
      <c r="BG70" s="192" t="n">
        <v>1054976000</v>
      </c>
      <c r="BH70" s="192" t="n">
        <v>1052136000</v>
      </c>
      <c r="BI70" s="192" t="n">
        <v>1053080000</v>
      </c>
      <c r="BJ70" s="192" t="n">
        <v>1051888000</v>
      </c>
      <c r="BK70" s="192" t="n">
        <v>1048808000</v>
      </c>
      <c r="BL70" s="192" t="n">
        <v>1045648000</v>
      </c>
      <c r="BM70" s="192" t="n">
        <v>1044944000</v>
      </c>
      <c r="BN70" s="192" t="n">
        <v>1044240000</v>
      </c>
      <c r="BO70" s="192" t="n">
        <v>1036160000</v>
      </c>
      <c r="BP70" s="192" t="n">
        <v>1027784000</v>
      </c>
      <c r="BQ70" s="192" t="n">
        <v>1038680000</v>
      </c>
      <c r="BR70" s="192" t="n">
        <v>1043608000</v>
      </c>
      <c r="BS70" s="192" t="n">
        <v>1052720000</v>
      </c>
      <c r="BT70" s="192" t="n">
        <v>1070416000</v>
      </c>
      <c r="BU70" s="192" t="n">
        <v>1104512000</v>
      </c>
      <c r="BV70" s="192" t="n">
        <v>1136520000</v>
      </c>
      <c r="BW70" s="192" t="n">
        <v>1311280000</v>
      </c>
      <c r="BX70" s="192" t="n">
        <v>1350496000</v>
      </c>
      <c r="BY70" s="192" t="n">
        <v>1361440000</v>
      </c>
      <c r="BZ70" s="192" t="n">
        <v>1362368000</v>
      </c>
      <c r="CA70" s="192" t="n">
        <v>1358832000</v>
      </c>
      <c r="CB70" s="192" t="n">
        <v>1359168000</v>
      </c>
      <c r="CC70" s="192" t="n">
        <v>1357776000</v>
      </c>
      <c r="CD70" s="192" t="n">
        <v>1356512000</v>
      </c>
      <c r="CE70" s="192" t="n">
        <v>1347296000</v>
      </c>
      <c r="CF70" s="192" t="n">
        <v>1365120000</v>
      </c>
      <c r="CG70" s="192" t="n">
        <v>1390832000</v>
      </c>
      <c r="CH70" s="192" t="n">
        <v>1435312000</v>
      </c>
      <c r="CI70" s="192" t="n">
        <v>1461328000</v>
      </c>
      <c r="CJ70" s="192" t="n">
        <v>1450976000</v>
      </c>
      <c r="CK70" s="192" t="n">
        <v>1486688000</v>
      </c>
      <c r="CL70" s="192" t="n">
        <v>1500560000</v>
      </c>
      <c r="CM70" s="192" t="n">
        <v>1498912000</v>
      </c>
      <c r="CN70" s="192" t="n">
        <v>1494000000</v>
      </c>
      <c r="CO70" s="192" t="n">
        <v>1488816000</v>
      </c>
      <c r="CP70" s="192" t="n">
        <v>1486144000</v>
      </c>
      <c r="CQ70" s="192" t="n">
        <v>1482176000</v>
      </c>
      <c r="CR70" s="192" t="n">
        <v>1483680000</v>
      </c>
      <c r="CS70" s="192" t="n">
        <v>1490288000</v>
      </c>
      <c r="CT70" s="192" t="n">
        <v>1489600000</v>
      </c>
      <c r="CU70" s="192" t="n">
        <v>1489936000</v>
      </c>
      <c r="CV70" s="192" t="n">
        <v>1482144000</v>
      </c>
      <c r="CW70" s="192" t="n">
        <v>1479040000</v>
      </c>
      <c r="CX70" s="192" t="n">
        <v>1471584000</v>
      </c>
      <c r="CY70" s="192" t="n">
        <v>1463758400</v>
      </c>
      <c r="CZ70" s="192" t="n">
        <v>1458931200</v>
      </c>
      <c r="DA70" s="192" t="n">
        <v>1461024000</v>
      </c>
      <c r="DB70" s="192" t="n">
        <v>1481592000</v>
      </c>
      <c r="DC70" s="192" t="n">
        <v>1505404800</v>
      </c>
      <c r="DD70" s="192" t="n">
        <v>1504900800</v>
      </c>
      <c r="DE70" s="192" t="n">
        <v>1509072000</v>
      </c>
      <c r="DF70" s="192" t="n">
        <v>1496252800</v>
      </c>
      <c r="DG70" s="192" t="n">
        <v>1479947200</v>
      </c>
      <c r="DH70" s="192" t="n">
        <v>1379714400</v>
      </c>
      <c r="DI70" s="192" t="n">
        <v>2032452000</v>
      </c>
      <c r="DJ70" s="192" t="n">
        <v>2048464800</v>
      </c>
      <c r="DK70" s="192" t="n">
        <v>1354248000</v>
      </c>
      <c r="DL70" s="192" t="n">
        <v>1354876800</v>
      </c>
      <c r="DM70" s="192" t="n">
        <v>1302388800</v>
      </c>
      <c r="DN70" s="192" t="n">
        <v>1355157600</v>
      </c>
      <c r="DO70" s="192" t="n">
        <v>1349884800</v>
      </c>
      <c r="DP70" s="192" t="n">
        <v>1288704000</v>
      </c>
      <c r="DQ70" s="192" t="n">
        <v>1288560000</v>
      </c>
      <c r="DR70" s="192" t="n">
        <v>1278336000</v>
      </c>
      <c r="DS70" s="192" t="n">
        <v>1278336000</v>
      </c>
      <c r="DT70" s="192" t="n">
        <v>1278336000</v>
      </c>
      <c r="DU70" s="192" t="n">
        <v>1386124800</v>
      </c>
      <c r="DV70" s="192" t="n">
        <v>1259520000</v>
      </c>
      <c r="DW70" s="192" t="n">
        <v>1259520000</v>
      </c>
      <c r="DX70" s="192" t="n">
        <v>1259520000</v>
      </c>
      <c r="DY70" s="192" t="n">
        <v>1214976000</v>
      </c>
      <c r="DZ70" s="192" t="n">
        <v>1214976000</v>
      </c>
      <c r="EA70" s="192" t="n">
        <v>1214976000</v>
      </c>
      <c r="EB70" s="192" t="n">
        <v>1214976000</v>
      </c>
      <c r="EC70" s="192" t="n">
        <v>1188845584</v>
      </c>
      <c r="ED70" s="192" t="n">
        <v>1188845584</v>
      </c>
      <c r="EE70" s="192" t="n">
        <v>1188845584</v>
      </c>
      <c r="EF70" s="192" t="n">
        <v>1188845584</v>
      </c>
      <c r="EG70" s="192" t="n">
        <v>859730128</v>
      </c>
      <c r="EH70" s="192" t="n">
        <v>859730128</v>
      </c>
      <c r="EI70" s="192" t="n">
        <v>859730128</v>
      </c>
      <c r="EJ70" s="192" t="n">
        <v>859730128</v>
      </c>
      <c r="EK70" s="192" t="n">
        <v>835838080</v>
      </c>
      <c r="EL70" s="192" t="n">
        <v>835838080</v>
      </c>
      <c r="EM70" s="192" t="n">
        <v>835838080</v>
      </c>
      <c r="EN70" s="192" t="n">
        <v>835838080</v>
      </c>
      <c r="EO70" s="182" t="n"/>
      <c r="EP70" s="176" t="n"/>
      <c r="EQ70" s="176" t="n"/>
      <c r="ER70" s="176" t="n"/>
      <c r="ES70" s="176" t="n"/>
      <c r="ET70" s="176" t="n"/>
      <c r="EU70" s="176" t="n"/>
      <c r="EV70" s="176" t="n"/>
      <c r="EW70" s="176" t="n"/>
      <c r="EX70" s="176" t="n"/>
      <c r="EY70" s="176" t="n"/>
      <c r="EZ70" s="176" t="n"/>
      <c r="FA70" s="176" t="n"/>
      <c r="FB70" s="176" t="n"/>
      <c r="FC70" s="176" t="n"/>
      <c r="FD70" s="176" t="n"/>
      <c r="FE70" s="176" t="n"/>
      <c r="FF70" s="176" t="n"/>
      <c r="FG70" s="176" t="n"/>
      <c r="FH70" s="176" t="n"/>
      <c r="FI70" s="176" t="n"/>
      <c r="FJ70" s="176" t="n"/>
      <c r="FK70" s="176" t="n"/>
      <c r="FL70" s="176" t="n"/>
      <c r="FM70" s="176" t="n"/>
    </row>
    <row r="71" ht="15" customHeight="1" s="392">
      <c r="A71" s="176" t="n"/>
      <c r="B71" s="180" t="n"/>
      <c r="C71" s="189" t="inlineStr">
        <is>
          <t>Income Statement Supplemental Section</t>
        </is>
      </c>
      <c r="D71" s="185" t="n"/>
      <c r="E71" s="185" t="n"/>
      <c r="F71" s="185" t="n"/>
      <c r="G71" s="185" t="n"/>
      <c r="H71" s="185" t="n"/>
      <c r="I71" s="185" t="n"/>
      <c r="J71" s="185" t="n"/>
      <c r="K71" s="185" t="n"/>
      <c r="L71" s="185" t="n"/>
      <c r="M71" s="185" t="n"/>
      <c r="N71" s="185" t="n"/>
      <c r="O71" s="185" t="n"/>
      <c r="P71" s="185" t="n"/>
      <c r="Q71" s="185" t="n"/>
      <c r="R71" s="185" t="n"/>
      <c r="S71" s="185" t="n"/>
      <c r="T71" s="185" t="n"/>
      <c r="U71" s="185" t="n"/>
      <c r="V71" s="185" t="n"/>
      <c r="W71" s="185" t="n"/>
      <c r="X71" s="185" t="n"/>
      <c r="Y71" s="185" t="n"/>
      <c r="Z71" s="185" t="n"/>
      <c r="AA71" s="185" t="n"/>
      <c r="AB71" s="185" t="n"/>
      <c r="AC71" s="185" t="n"/>
      <c r="AD71" s="185" t="n"/>
      <c r="AE71" s="185" t="n"/>
      <c r="AF71" s="185" t="n"/>
      <c r="AG71" s="185" t="n"/>
      <c r="AH71" s="185" t="n"/>
      <c r="AI71" s="185" t="n"/>
      <c r="AJ71" s="185" t="n"/>
      <c r="AK71" s="185" t="n"/>
      <c r="AL71" s="185" t="n"/>
      <c r="AM71" s="185" t="n"/>
      <c r="AN71" s="185" t="n"/>
      <c r="AO71" s="185" t="n"/>
      <c r="AP71" s="185" t="n"/>
      <c r="AQ71" s="185" t="n"/>
      <c r="AR71" s="185" t="n"/>
      <c r="AS71" s="185" t="n"/>
      <c r="AT71" s="185" t="n"/>
      <c r="AU71" s="185" t="n"/>
      <c r="AV71" s="185" t="n"/>
      <c r="AW71" s="185" t="n"/>
      <c r="AX71" s="185" t="n"/>
      <c r="AY71" s="185" t="n"/>
      <c r="AZ71" s="185" t="n"/>
      <c r="BA71" s="185" t="n"/>
      <c r="BB71" s="185" t="n"/>
      <c r="BC71" s="185" t="n"/>
      <c r="BD71" s="185" t="n"/>
      <c r="BE71" s="185" t="n"/>
      <c r="BF71" s="185" t="n"/>
      <c r="BG71" s="185" t="n"/>
      <c r="BH71" s="185" t="n"/>
      <c r="BI71" s="185" t="n"/>
      <c r="BJ71" s="185" t="n"/>
      <c r="BK71" s="185" t="n"/>
      <c r="BL71" s="185" t="n"/>
      <c r="BM71" s="185" t="n"/>
      <c r="BN71" s="185" t="n"/>
      <c r="BO71" s="185" t="n"/>
      <c r="BP71" s="185" t="n"/>
      <c r="BQ71" s="185" t="n"/>
      <c r="BR71" s="185" t="n"/>
      <c r="BS71" s="185" t="n"/>
      <c r="BT71" s="185" t="n"/>
      <c r="BU71" s="185" t="n"/>
      <c r="BV71" s="185" t="n"/>
      <c r="BW71" s="185" t="n"/>
      <c r="BX71" s="185" t="n"/>
      <c r="BY71" s="185" t="n"/>
      <c r="BZ71" s="185" t="n"/>
      <c r="CA71" s="185" t="n"/>
      <c r="CB71" s="185" t="n"/>
      <c r="CC71" s="185" t="n"/>
      <c r="CD71" s="185" t="n"/>
      <c r="CE71" s="185" t="n"/>
      <c r="CF71" s="185" t="n"/>
      <c r="CG71" s="185" t="n"/>
      <c r="CH71" s="185" t="n"/>
      <c r="CI71" s="185" t="n"/>
      <c r="CJ71" s="185" t="n"/>
      <c r="CK71" s="185" t="n"/>
      <c r="CL71" s="185" t="n"/>
      <c r="CM71" s="185" t="n"/>
      <c r="CN71" s="185" t="n"/>
      <c r="CO71" s="185" t="n"/>
      <c r="CP71" s="185" t="n"/>
      <c r="CQ71" s="185" t="n"/>
      <c r="CR71" s="185" t="n"/>
      <c r="CS71" s="185" t="n"/>
      <c r="CT71" s="185" t="n"/>
      <c r="CU71" s="185" t="n"/>
      <c r="CV71" s="185" t="n"/>
      <c r="CW71" s="185" t="n"/>
      <c r="CX71" s="185" t="n"/>
      <c r="CY71" s="185" t="n"/>
      <c r="CZ71" s="185" t="n"/>
      <c r="DA71" s="185" t="n"/>
      <c r="DB71" s="185" t="n"/>
      <c r="DC71" s="185" t="n"/>
      <c r="DD71" s="185" t="n"/>
      <c r="DE71" s="185" t="n"/>
      <c r="DF71" s="185" t="n"/>
      <c r="DG71" s="185" t="n"/>
      <c r="DH71" s="185" t="n"/>
      <c r="DI71" s="185" t="n"/>
      <c r="DJ71" s="185" t="n"/>
      <c r="DK71" s="185" t="n"/>
      <c r="DL71" s="185" t="n"/>
      <c r="DM71" s="185" t="n"/>
      <c r="DN71" s="185" t="n"/>
      <c r="DO71" s="185" t="n"/>
      <c r="DP71" s="185" t="n"/>
      <c r="DQ71" s="185" t="n"/>
      <c r="DR71" s="185" t="n"/>
      <c r="DS71" s="185" t="n"/>
      <c r="DT71" s="185" t="n"/>
      <c r="DU71" s="185" t="n"/>
      <c r="DV71" s="185" t="n"/>
      <c r="DW71" s="185" t="n"/>
      <c r="DX71" s="185" t="n"/>
      <c r="DY71" s="185" t="n"/>
      <c r="DZ71" s="185" t="n"/>
      <c r="EA71" s="185" t="n"/>
      <c r="EB71" s="185" t="n"/>
      <c r="EC71" s="185" t="n"/>
      <c r="ED71" s="185" t="n"/>
      <c r="EE71" s="185" t="n"/>
      <c r="EF71" s="185" t="n"/>
      <c r="EG71" s="185" t="n"/>
      <c r="EH71" s="185" t="n"/>
      <c r="EI71" s="185" t="n"/>
      <c r="EJ71" s="185" t="n"/>
      <c r="EK71" s="185" t="n"/>
      <c r="EL71" s="185" t="n"/>
      <c r="EM71" s="185" t="n"/>
      <c r="EN71" s="185" t="n"/>
      <c r="EO71" s="182" t="n"/>
      <c r="EP71" s="176" t="n"/>
      <c r="EQ71" s="176" t="n"/>
      <c r="ER71" s="176" t="n"/>
      <c r="ES71" s="176" t="n"/>
      <c r="ET71" s="176" t="n"/>
      <c r="EU71" s="176" t="n"/>
      <c r="EV71" s="176" t="n"/>
      <c r="EW71" s="176" t="n"/>
      <c r="EX71" s="176" t="n"/>
      <c r="EY71" s="176" t="n"/>
      <c r="EZ71" s="176" t="n"/>
      <c r="FA71" s="176" t="n"/>
      <c r="FB71" s="176" t="n"/>
      <c r="FC71" s="176" t="n"/>
      <c r="FD71" s="176" t="n"/>
      <c r="FE71" s="176" t="n"/>
      <c r="FF71" s="176" t="n"/>
      <c r="FG71" s="176" t="n"/>
      <c r="FH71" s="176" t="n"/>
      <c r="FI71" s="176" t="n"/>
      <c r="FJ71" s="176" t="n"/>
      <c r="FK71" s="176" t="n"/>
      <c r="FL71" s="176" t="n"/>
      <c r="FM71" s="176" t="n"/>
    </row>
    <row r="72" ht="15" customHeight="1" s="392">
      <c r="A72" s="176" t="n"/>
      <c r="B72" s="180" t="n"/>
      <c r="C72" s="183" t="inlineStr">
        <is>
          <t xml:space="preserve">    Per Share Calculations</t>
        </is>
      </c>
      <c r="D72" s="185" t="n"/>
      <c r="E72" s="185" t="n"/>
      <c r="F72" s="185" t="n"/>
      <c r="G72" s="185" t="n"/>
      <c r="H72" s="185" t="n"/>
      <c r="I72" s="185" t="n"/>
      <c r="J72" s="185" t="n"/>
      <c r="K72" s="185" t="n"/>
      <c r="EO72" s="182" t="n"/>
      <c r="EP72" s="176" t="n"/>
      <c r="EQ72" s="176" t="n"/>
      <c r="ER72" s="176" t="n"/>
      <c r="ES72" s="176" t="n"/>
      <c r="ET72" s="176" t="n"/>
      <c r="EU72" s="176" t="n"/>
      <c r="EV72" s="176" t="n"/>
      <c r="EW72" s="176" t="n"/>
      <c r="EX72" s="176" t="n"/>
      <c r="EY72" s="176" t="n"/>
      <c r="EZ72" s="176" t="n"/>
      <c r="FA72" s="176" t="n"/>
      <c r="FB72" s="176" t="n"/>
      <c r="FC72" s="176" t="n"/>
      <c r="FD72" s="176" t="n"/>
      <c r="FE72" s="176" t="n"/>
      <c r="FF72" s="176" t="n"/>
      <c r="FG72" s="176" t="n"/>
      <c r="FH72" s="176" t="n"/>
      <c r="FI72" s="176" t="n"/>
      <c r="FJ72" s="176" t="n"/>
      <c r="FK72" s="176" t="n"/>
      <c r="FL72" s="176" t="n"/>
      <c r="FM72" s="176" t="n"/>
    </row>
    <row r="73" ht="15" customHeight="1" s="392">
      <c r="A73" s="176" t="n"/>
      <c r="B73" s="180" t="n"/>
      <c r="C73" s="183" t="inlineStr">
        <is>
          <t xml:space="preserve">        EBITDA per Share</t>
        </is>
      </c>
      <c r="D73" s="191">
        <f>IF(COUNT(M73:EN73)&gt;0,MEDIAN(M73:EN73),"")</f>
        <v/>
      </c>
      <c r="E73" s="191">
        <f>IF(COUNT(M73:EN73)&gt;0,AVERAGE(M73:EN73),"")</f>
        <v/>
      </c>
      <c r="F73" s="191">
        <f>IF(COUNT(M73:EN73)&gt;0,MIN(M73:EN73),"")</f>
        <v/>
      </c>
      <c r="G73" s="191">
        <f>IF(COUNT(M73:EN73)&gt;0,MAX(M73:EN73),"")</f>
        <v/>
      </c>
      <c r="H73" s="191">
        <f>IF(COUNT(M73:EN73)&gt;0,QUARTILE(M73:EN73,1),"")</f>
        <v/>
      </c>
      <c r="I73" s="191">
        <f>IF(COUNT(M73:EN73)&gt;0,QUARTILE(M73:EN73,3),"")</f>
        <v/>
      </c>
      <c r="J73" s="191">
        <f>IF(COUNT(M73:EN73)&gt;1,STDEV(M73:EN73),"")</f>
        <v/>
      </c>
      <c r="K73" s="191">
        <f>IF(COUNT(M73:EN73)&gt;1,STDEV(M73:EN73)/AVERAGE(M73:EN73),"")</f>
        <v/>
      </c>
      <c r="M73" s="197" t="n">
        <v>0.457070826270732</v>
      </c>
      <c r="N73" s="197" t="n">
        <v>0.554076816190587</v>
      </c>
      <c r="O73" s="197" t="n">
        <v>0.45798486086911</v>
      </c>
      <c r="P73" s="197" t="n">
        <v>0.499249820898577</v>
      </c>
      <c r="Q73" s="197" t="n">
        <v>0.493671999402739</v>
      </c>
      <c r="R73" s="197" t="n">
        <v>0.526074825501565</v>
      </c>
      <c r="S73" s="197" t="n">
        <v>0.487329099814911</v>
      </c>
      <c r="T73" s="197" t="n">
        <v>0.471715483571018</v>
      </c>
      <c r="U73" s="197" t="n">
        <v>0.426016421679566</v>
      </c>
      <c r="V73" s="197" t="n">
        <v>0.498325046469591</v>
      </c>
      <c r="W73" s="197" t="n">
        <v>0.432999962035279</v>
      </c>
      <c r="X73" s="197" t="n">
        <v>0.447063957138241</v>
      </c>
      <c r="Y73" s="197" t="n">
        <v>0.452351898421074</v>
      </c>
      <c r="Z73" s="197" t="n">
        <v>0.475281688684902</v>
      </c>
      <c r="AA73" s="197" t="n">
        <v>0.415536871860338</v>
      </c>
      <c r="AB73" s="197" t="n">
        <v>0.360642970914702</v>
      </c>
      <c r="AC73" s="197" t="n">
        <v>0.355699094458752</v>
      </c>
      <c r="AD73" s="197" t="n">
        <v>0.426522698193782</v>
      </c>
      <c r="AE73" s="197" t="n">
        <v>0.393561842056164</v>
      </c>
      <c r="AF73" s="197" t="n">
        <v>0.375830669800722</v>
      </c>
      <c r="AG73" s="197" t="n">
        <v>0.346537162513034</v>
      </c>
      <c r="AH73" s="197" t="n">
        <v>0.375592195097582</v>
      </c>
      <c r="AI73" s="197" t="n">
        <v>0.300483810554353</v>
      </c>
      <c r="AJ73" s="197" t="n">
        <v>0.292483789505267</v>
      </c>
      <c r="AK73" s="197" t="n">
        <v>0.244929519695981</v>
      </c>
      <c r="AL73" s="197" t="n">
        <v>0.234793013986278</v>
      </c>
      <c r="AM73" s="197" t="n">
        <v>0.245144043275884</v>
      </c>
      <c r="AN73" s="197" t="n">
        <v>0.239992122751004</v>
      </c>
      <c r="AO73" s="197" t="n">
        <v>0.223369752200656</v>
      </c>
      <c r="AP73" s="197" t="n">
        <v>0.242163460730079</v>
      </c>
      <c r="AQ73" s="197" t="n">
        <v>0.197405052771545</v>
      </c>
      <c r="AR73" s="197" t="n">
        <v>0.178141823172376</v>
      </c>
      <c r="AS73" s="197" t="n">
        <v>0.168630174537064</v>
      </c>
      <c r="AT73" s="197" t="n">
        <v>0.197484153770168</v>
      </c>
      <c r="AU73" s="197" t="n">
        <v>0.173879267484256</v>
      </c>
      <c r="AV73" s="197" t="n">
        <v>0.14190023912124</v>
      </c>
      <c r="AW73" s="197" t="n">
        <v>0.131867183949641</v>
      </c>
      <c r="AX73" s="197" t="n">
        <v>0.158558416092099</v>
      </c>
      <c r="AY73" s="197" t="n">
        <v>0.128598443044637</v>
      </c>
      <c r="AZ73" s="197" t="n">
        <v>0.129307951782905</v>
      </c>
      <c r="BA73" s="197" t="n">
        <v>0.136441907814937</v>
      </c>
      <c r="BB73" s="197" t="n">
        <v>0.14232885809519</v>
      </c>
      <c r="BC73" s="197" t="n">
        <v>0.108589060443617</v>
      </c>
      <c r="BD73" s="197" t="n">
        <v>0.09716836814949981</v>
      </c>
      <c r="BE73" s="197" t="n">
        <v>0.09421926246821979</v>
      </c>
      <c r="BF73" s="197" t="n">
        <v>0.100439738427538</v>
      </c>
      <c r="BG73" s="197" t="n">
        <v>0.09100586174472219</v>
      </c>
      <c r="BH73" s="197" t="n">
        <v>0.0931067846742246</v>
      </c>
      <c r="BI73" s="197" t="n">
        <v>0.08481027082462871</v>
      </c>
      <c r="BJ73" s="197" t="n">
        <v>0.07235561200431991</v>
      </c>
      <c r="BK73" s="197" t="n">
        <v>0.0817404138793755</v>
      </c>
      <c r="BL73" s="197" t="n">
        <v>0.0773549033709241</v>
      </c>
      <c r="BM73" s="197" t="n">
        <v>0.0756002235526497</v>
      </c>
      <c r="BN73" s="197" t="n">
        <v>0.0949992338925917</v>
      </c>
      <c r="BO73" s="197" t="n">
        <v>0.07539955219271161</v>
      </c>
      <c r="BP73" s="197" t="n">
        <v>0.0845537583772466</v>
      </c>
      <c r="BQ73" s="197" t="n">
        <v>0.0792775445758078</v>
      </c>
      <c r="BR73" s="197" t="n">
        <v>0.0953863902921403</v>
      </c>
      <c r="BS73" s="197" t="n">
        <v>0.073476327988449</v>
      </c>
      <c r="BT73" s="197" t="n">
        <v>0.0728380368006457</v>
      </c>
      <c r="BU73" s="197" t="n">
        <v>0.0685080832077877</v>
      </c>
      <c r="BV73" s="197" t="n">
        <v>0.08209006440713761</v>
      </c>
      <c r="BW73" s="197" t="n">
        <v>0.0551888231346471</v>
      </c>
      <c r="BX73" s="197" t="n">
        <v>0.0531804611046608</v>
      </c>
      <c r="BY73" s="197" t="n">
        <v>0.0505398695498884</v>
      </c>
      <c r="BZ73" s="197" t="n">
        <v>0.0606370672241274</v>
      </c>
      <c r="CA73" s="197" t="n">
        <v>0.0468004874774807</v>
      </c>
      <c r="CB73" s="197" t="n">
        <v>0.0498371062296935</v>
      </c>
      <c r="CC73" s="197" t="n">
        <v>0.0489359069537243</v>
      </c>
      <c r="CD73" s="197" t="n">
        <v>0.0559361067207662</v>
      </c>
      <c r="CE73" s="197" t="n">
        <v>0.040003087665962</v>
      </c>
      <c r="CF73" s="197" t="n">
        <v>0.0527638595874355</v>
      </c>
      <c r="CG73" s="197" t="n">
        <v>0.0568508633681135</v>
      </c>
      <c r="CH73" s="197" t="n">
        <v>0.0561160221610354</v>
      </c>
      <c r="CI73" s="197" t="n">
        <v>0.0422020244599433</v>
      </c>
      <c r="CJ73" s="197" t="n">
        <v>0.0490497430694925</v>
      </c>
      <c r="CK73" s="197" t="n">
        <v>0.0461959738694333</v>
      </c>
      <c r="CL73" s="197" t="n">
        <v>0.0474796076131578</v>
      </c>
      <c r="CM73" s="197" t="n">
        <v>0.038355153604748</v>
      </c>
      <c r="CN73" s="197" t="n">
        <v>0.0382161981258367</v>
      </c>
      <c r="CO73" s="197" t="n">
        <v>0.0364296192410614</v>
      </c>
      <c r="CP73" s="197" t="n">
        <v>0.0415787433788381</v>
      </c>
      <c r="CQ73" s="197" t="n">
        <v>0.0313269139427436</v>
      </c>
      <c r="CR73" s="197" t="n">
        <v>0.0293331446133937</v>
      </c>
      <c r="CS73" s="197" t="n">
        <v>0.0310356119085707</v>
      </c>
      <c r="CT73" s="197" t="n">
        <v>0.0393333780880773</v>
      </c>
      <c r="CU73" s="197" t="n">
        <v>0.0307207826376435</v>
      </c>
      <c r="CV73" s="197" t="n">
        <v>0.0301232538808645</v>
      </c>
      <c r="CW73" s="197" t="n">
        <v>0.0282514333621809</v>
      </c>
      <c r="CX73" s="197" t="n">
        <v>0.0327585785113184</v>
      </c>
      <c r="CY73" s="197" t="n">
        <v>0.0251335193020925</v>
      </c>
      <c r="CZ73" s="197" t="n">
        <v>0.0223392987962695</v>
      </c>
      <c r="DA73" s="197" t="n">
        <v>0.0198599064765534</v>
      </c>
      <c r="DB73" s="197" t="n">
        <v>0.0215167873476639</v>
      </c>
      <c r="DC73" s="197" t="n">
        <v>0.0191828138185822</v>
      </c>
      <c r="DD73" s="197" t="n">
        <v>0.0198944010130103</v>
      </c>
      <c r="DE73" s="197" t="n">
        <v>0.0201521862442614</v>
      </c>
      <c r="DF73" s="197" t="n">
        <v>0.0208744805690589</v>
      </c>
      <c r="DG73" s="197" t="n">
        <v>0.0160541538238662</v>
      </c>
      <c r="DH73" s="197" t="n">
        <v>0.017802017576971</v>
      </c>
      <c r="DI73" s="197" t="n">
        <v>0.0126024132427236</v>
      </c>
      <c r="DJ73" s="197" t="n">
        <v>0.0111662646094773</v>
      </c>
      <c r="DK73" s="197" t="n">
        <v>0.0139657581181586</v>
      </c>
      <c r="DL73" s="197" t="n">
        <v>0.013280248063883</v>
      </c>
      <c r="DM73" s="197" t="n">
        <v>0.012643305900665</v>
      </c>
      <c r="DN73" s="197" t="n">
        <v>0.0121430156905736</v>
      </c>
      <c r="DO73" s="197" t="n">
        <v>0.0100008534061573</v>
      </c>
      <c r="DP73" s="197" t="n">
        <v>0.0101652512912197</v>
      </c>
      <c r="DQ73" s="197" t="n">
        <v>0.010088781275222</v>
      </c>
      <c r="DR73" s="197" t="n">
        <v>0.00985656353259237</v>
      </c>
      <c r="DS73" s="197" t="n">
        <v>0.00797912285971763</v>
      </c>
      <c r="DT73" s="197" t="n">
        <v>0.00719685591268649</v>
      </c>
      <c r="DU73" s="197" t="n">
        <v>0.00649292184946117</v>
      </c>
      <c r="DV73" s="197" t="n">
        <v>0.00714557926829268</v>
      </c>
      <c r="DW73" s="197" t="n">
        <v>0.00611344004065041</v>
      </c>
      <c r="DX73" s="197" t="n">
        <v>0.00555767276422764</v>
      </c>
      <c r="DY73" s="197" t="n">
        <v>0.00584373683101559</v>
      </c>
      <c r="DZ73" s="197" t="n">
        <v>0.00609065528866414</v>
      </c>
      <c r="EA73" s="197" t="n">
        <v>0.00559681837336705</v>
      </c>
      <c r="EB73" s="197" t="n">
        <v>0.00460914454277286</v>
      </c>
      <c r="EC73" s="197" t="n">
        <v>0.00487868237730696</v>
      </c>
      <c r="ED73" s="197" t="n">
        <v>0.00529925844431618</v>
      </c>
      <c r="EE73" s="197" t="n">
        <v>0.00538337365771802</v>
      </c>
      <c r="EF73" s="197" t="n">
        <v>0.00479456716390512</v>
      </c>
      <c r="EG73" s="197" t="n">
        <v>0.00581577850671763</v>
      </c>
      <c r="EH73" s="197" t="n">
        <v>0.00453630723523976</v>
      </c>
      <c r="EI73" s="197" t="n">
        <v>0.00383841381443364</v>
      </c>
      <c r="EJ73" s="197" t="n">
        <v>0.00314052039362752</v>
      </c>
      <c r="EK73" s="197" t="n">
        <v>0.00562309867480553</v>
      </c>
      <c r="EL73" s="197" t="n">
        <v>0.00275172913873462</v>
      </c>
      <c r="EM73" s="197" t="n"/>
      <c r="EN73" s="197" t="n"/>
      <c r="EO73" s="182" t="n"/>
      <c r="EP73" s="176" t="n"/>
      <c r="EQ73" s="176" t="n"/>
      <c r="ER73" s="176" t="n"/>
      <c r="ES73" s="176" t="n"/>
      <c r="ET73" s="176" t="n"/>
      <c r="EU73" s="176" t="n"/>
      <c r="EV73" s="176" t="n"/>
      <c r="EW73" s="176" t="n"/>
      <c r="EX73" s="176" t="n"/>
      <c r="EY73" s="176" t="n"/>
      <c r="EZ73" s="176" t="n"/>
      <c r="FA73" s="176" t="n"/>
      <c r="FB73" s="176" t="n"/>
      <c r="FC73" s="176" t="n"/>
      <c r="FD73" s="176" t="n"/>
      <c r="FE73" s="176" t="n"/>
      <c r="FF73" s="176" t="n"/>
      <c r="FG73" s="176" t="n"/>
      <c r="FH73" s="176" t="n"/>
      <c r="FI73" s="176" t="n"/>
      <c r="FJ73" s="176" t="n"/>
      <c r="FK73" s="176" t="n"/>
      <c r="FL73" s="176" t="n"/>
      <c r="FM73" s="176" t="n"/>
    </row>
    <row r="74" ht="15" customHeight="1" s="392">
      <c r="A74" s="176" t="n"/>
      <c r="B74" s="180" t="n"/>
      <c r="C74" s="183" t="inlineStr">
        <is>
          <t xml:space="preserve">        EBITDAR per Share</t>
        </is>
      </c>
      <c r="D74" s="191">
        <f>IF(COUNT(M74:EN74)&gt;0,MEDIAN(M74:EN74),"")</f>
        <v/>
      </c>
      <c r="E74" s="191">
        <f>IF(COUNT(M74:EN74)&gt;0,AVERAGE(M74:EN74),"")</f>
        <v/>
      </c>
      <c r="F74" s="191">
        <f>IF(COUNT(M74:EN74)&gt;0,MIN(M74:EN74),"")</f>
        <v/>
      </c>
      <c r="G74" s="191">
        <f>IF(COUNT(M74:EN74)&gt;0,MAX(M74:EN74),"")</f>
        <v/>
      </c>
      <c r="H74" s="191">
        <f>IF(COUNT(M74:EN74)&gt;0,QUARTILE(M74:EN74,1),"")</f>
        <v/>
      </c>
      <c r="I74" s="191">
        <f>IF(COUNT(M74:EN74)&gt;0,QUARTILE(M74:EN74,3),"")</f>
        <v/>
      </c>
      <c r="J74" s="191">
        <f>IF(COUNT(M74:EN74)&gt;1,STDEV(M74:EN74),"")</f>
        <v/>
      </c>
      <c r="K74" s="191">
        <f>IF(COUNT(M74:EN74)&gt;1,STDEV(M74:EN74)/AVERAGE(M74:EN74),"")</f>
        <v/>
      </c>
      <c r="M74" s="197" t="n">
        <v>0.457070826270732</v>
      </c>
      <c r="N74" s="197" t="n">
        <v>0.554076816190587</v>
      </c>
      <c r="O74" s="197" t="n">
        <v>0.45798486086911</v>
      </c>
      <c r="P74" s="197" t="n">
        <v>0.499249820898577</v>
      </c>
      <c r="Q74" s="197" t="n">
        <v>0.493671999402739</v>
      </c>
      <c r="R74" s="197" t="n">
        <v>0.526074825501565</v>
      </c>
      <c r="S74" s="197" t="n">
        <v>0.487329099814911</v>
      </c>
      <c r="T74" s="197" t="n">
        <v>0.471715483571018</v>
      </c>
      <c r="U74" s="197" t="n">
        <v>0.426016421679566</v>
      </c>
      <c r="V74" s="197" t="n">
        <v>0.498325046469591</v>
      </c>
      <c r="W74" s="197" t="n">
        <v>0.432999962035279</v>
      </c>
      <c r="X74" s="197" t="n">
        <v>0.447063957138241</v>
      </c>
      <c r="Y74" s="197" t="n">
        <v>0.452351898421074</v>
      </c>
      <c r="Z74" s="197" t="n">
        <v>0.475281688684902</v>
      </c>
      <c r="AA74" s="197" t="n">
        <v>0.415536871860338</v>
      </c>
      <c r="AB74" s="197" t="n">
        <v>0.360642970914702</v>
      </c>
      <c r="AC74" s="197" t="n">
        <v>0.355699094458752</v>
      </c>
      <c r="AD74" s="197" t="n">
        <v>0.426522698193782</v>
      </c>
      <c r="AE74" s="197" t="n">
        <v>0.393561842056164</v>
      </c>
      <c r="AF74" s="197" t="n">
        <v>0.375830669800722</v>
      </c>
      <c r="AG74" s="197" t="n">
        <v>0.346537162513034</v>
      </c>
      <c r="AH74" s="197" t="n">
        <v>0.375592195097582</v>
      </c>
      <c r="AI74" s="197" t="n">
        <v>0.300483810554353</v>
      </c>
      <c r="AJ74" s="197" t="n">
        <v>0.292483789505267</v>
      </c>
      <c r="AK74" s="197" t="n">
        <v>0.244929519695981</v>
      </c>
      <c r="AL74" s="197" t="n">
        <v>0.234793013986278</v>
      </c>
      <c r="AM74" s="197" t="n">
        <v>0.245144043275884</v>
      </c>
      <c r="AN74" s="197" t="n">
        <v>0.239992122751004</v>
      </c>
      <c r="AO74" s="197" t="n">
        <v>0.223369752200656</v>
      </c>
      <c r="AP74" s="197" t="n">
        <v>0.242163460730079</v>
      </c>
      <c r="AQ74" s="197" t="n">
        <v>0.197405052771545</v>
      </c>
      <c r="AR74" s="197" t="n">
        <v>0.178141823172376</v>
      </c>
      <c r="AS74" s="197" t="n">
        <v>0.168630174537064</v>
      </c>
      <c r="AT74" s="197" t="n">
        <v>0.197484153770168</v>
      </c>
      <c r="AU74" s="197" t="n">
        <v>0.173879267484256</v>
      </c>
      <c r="AV74" s="197" t="n">
        <v>0.14190023912124</v>
      </c>
      <c r="AW74" s="197" t="n">
        <v>0.131867183949641</v>
      </c>
      <c r="AX74" s="197" t="n">
        <v>0.158558416092099</v>
      </c>
      <c r="AY74" s="197" t="n">
        <v>0.128598443044637</v>
      </c>
      <c r="AZ74" s="197" t="n">
        <v>0.129307951782905</v>
      </c>
      <c r="BA74" s="197" t="n">
        <v>0.136441907814937</v>
      </c>
      <c r="BB74" s="197" t="n">
        <v>0.14232885809519</v>
      </c>
      <c r="BC74" s="197" t="n">
        <v>0.108589060443617</v>
      </c>
      <c r="BD74" s="197" t="n">
        <v>0.09716836814949981</v>
      </c>
      <c r="BE74" s="197" t="n">
        <v>0.09421926246821979</v>
      </c>
      <c r="BF74" s="197" t="n">
        <v>0.100439738427538</v>
      </c>
      <c r="BG74" s="197" t="n">
        <v>0.09100586174472219</v>
      </c>
      <c r="BH74" s="197" t="n">
        <v>0.0931067846742246</v>
      </c>
      <c r="BI74" s="197" t="n">
        <v>0.08481027082462871</v>
      </c>
      <c r="BJ74" s="197" t="n">
        <v>0.07235561200431991</v>
      </c>
      <c r="BK74" s="197" t="n">
        <v>0.0817404138793755</v>
      </c>
      <c r="BL74" s="197" t="n">
        <v>0.0773549033709241</v>
      </c>
      <c r="BM74" s="197" t="n">
        <v>0.0756002235526497</v>
      </c>
      <c r="BN74" s="197" t="n">
        <v>0.0949992338925917</v>
      </c>
      <c r="BO74" s="197" t="n">
        <v>0.07539955219271161</v>
      </c>
      <c r="BP74" s="197" t="n">
        <v>0.0845537583772466</v>
      </c>
      <c r="BQ74" s="197" t="n">
        <v>0.0792775445758078</v>
      </c>
      <c r="BR74" s="197" t="n">
        <v>0.0953863902921403</v>
      </c>
      <c r="BS74" s="197" t="n">
        <v>0.073476327988449</v>
      </c>
      <c r="BT74" s="197" t="n">
        <v>0.0728380368006457</v>
      </c>
      <c r="BU74" s="197" t="n">
        <v>0.0685080832077877</v>
      </c>
      <c r="BV74" s="197" t="n">
        <v>0.08209006440713761</v>
      </c>
      <c r="BW74" s="197" t="n">
        <v>0.0551888231346471</v>
      </c>
      <c r="BX74" s="197" t="n">
        <v>0.0531804611046608</v>
      </c>
      <c r="BY74" s="197" t="n">
        <v>0.0505398695498884</v>
      </c>
      <c r="BZ74" s="197" t="n">
        <v>0.0606370672241274</v>
      </c>
      <c r="CA74" s="197" t="n">
        <v>0.0468004874774807</v>
      </c>
      <c r="CB74" s="197" t="n">
        <v>0.0498371062296935</v>
      </c>
      <c r="CC74" s="197" t="n">
        <v>0.0489359069537243</v>
      </c>
      <c r="CD74" s="197" t="n">
        <v>0.0559361067207662</v>
      </c>
      <c r="CE74" s="197" t="n">
        <v>0.040003087665962</v>
      </c>
      <c r="CF74" s="197" t="n">
        <v>0.0527638595874355</v>
      </c>
      <c r="CG74" s="197" t="n">
        <v>0.0568508633681135</v>
      </c>
      <c r="CH74" s="197" t="n">
        <v>0.0561160221610354</v>
      </c>
      <c r="CI74" s="197" t="n">
        <v>0.0422020244599433</v>
      </c>
      <c r="CJ74" s="197" t="n">
        <v>0.0490497430694925</v>
      </c>
      <c r="CK74" s="197" t="n">
        <v>0.0461959738694333</v>
      </c>
      <c r="CL74" s="197" t="n">
        <v>0.0474796076131578</v>
      </c>
      <c r="CM74" s="197" t="n">
        <v>0.038355153604748</v>
      </c>
      <c r="CN74" s="197" t="n">
        <v>0.0382161981258367</v>
      </c>
      <c r="CO74" s="197" t="n">
        <v>0.0364296192410614</v>
      </c>
      <c r="CP74" s="197" t="n">
        <v>0.0415787433788381</v>
      </c>
      <c r="CQ74" s="197" t="n">
        <v>0.0313269139427436</v>
      </c>
      <c r="CR74" s="197" t="n">
        <v>0.0293331446133937</v>
      </c>
      <c r="CS74" s="197" t="n">
        <v>0.0310356119085707</v>
      </c>
      <c r="CT74" s="197" t="n">
        <v>0.0393333780880773</v>
      </c>
      <c r="CU74" s="197" t="n">
        <v>0.0307207826376435</v>
      </c>
      <c r="CV74" s="197" t="n">
        <v>0.0301232538808645</v>
      </c>
      <c r="CW74" s="197" t="n">
        <v>0.0282514333621809</v>
      </c>
      <c r="CX74" s="197" t="n">
        <v>0.0327585785113184</v>
      </c>
      <c r="CY74" s="197" t="n">
        <v>0.0251335193020925</v>
      </c>
      <c r="CZ74" s="197" t="n">
        <v>0.0223392987962695</v>
      </c>
      <c r="DA74" s="197" t="n">
        <v>0.0198599064765534</v>
      </c>
      <c r="DB74" s="197" t="n">
        <v>0.0215167873476639</v>
      </c>
      <c r="DC74" s="197" t="n">
        <v>0.0191828138185822</v>
      </c>
      <c r="DD74" s="197" t="n">
        <v>0.0198944010130103</v>
      </c>
      <c r="DE74" s="197" t="n">
        <v>0.0201521862442614</v>
      </c>
      <c r="DF74" s="197" t="n">
        <v>0.0208744805690589</v>
      </c>
      <c r="DG74" s="197" t="n">
        <v>0.0160541538238662</v>
      </c>
      <c r="DH74" s="197" t="n">
        <v>0.017802017576971</v>
      </c>
      <c r="DI74" s="197" t="n">
        <v>0.0126024132427236</v>
      </c>
      <c r="DJ74" s="197" t="n">
        <v>0.0111662646094773</v>
      </c>
      <c r="DK74" s="197" t="n">
        <v>0.0139657581181586</v>
      </c>
      <c r="DL74" s="197" t="n">
        <v>0.013280248063883</v>
      </c>
      <c r="DM74" s="197" t="n">
        <v>0.012643305900665</v>
      </c>
      <c r="DN74" s="197" t="n">
        <v>0.0121430156905736</v>
      </c>
      <c r="DO74" s="197" t="n">
        <v>0.0100008534061573</v>
      </c>
      <c r="DP74" s="197" t="n">
        <v>0.0101652512912197</v>
      </c>
      <c r="DQ74" s="197" t="n">
        <v>0.010088781275222</v>
      </c>
      <c r="DR74" s="197" t="n">
        <v>0.00985656353259237</v>
      </c>
      <c r="DS74" s="197" t="n">
        <v>0.00797912285971763</v>
      </c>
      <c r="DT74" s="197" t="n">
        <v>0.00719685591268649</v>
      </c>
      <c r="DU74" s="197" t="n">
        <v>0.00649292184946117</v>
      </c>
      <c r="DV74" s="197" t="n">
        <v>0.00714557926829268</v>
      </c>
      <c r="DW74" s="197" t="n">
        <v>0.00611344004065041</v>
      </c>
      <c r="DX74" s="197" t="n">
        <v>0.00555767276422764</v>
      </c>
      <c r="DY74" s="197" t="n">
        <v>0.00584373683101559</v>
      </c>
      <c r="DZ74" s="197" t="n">
        <v>0.00609065528866414</v>
      </c>
      <c r="EA74" s="197" t="n">
        <v>0.00559681837336705</v>
      </c>
      <c r="EB74" s="197" t="n">
        <v>0.00460914454277286</v>
      </c>
      <c r="EC74" s="197" t="n">
        <v>0.00487868237730696</v>
      </c>
      <c r="ED74" s="197" t="n">
        <v>0.00529925844431618</v>
      </c>
      <c r="EE74" s="197" t="n">
        <v>0.00538337365771802</v>
      </c>
      <c r="EF74" s="197" t="n">
        <v>0.00479456716390512</v>
      </c>
      <c r="EG74" s="197" t="n">
        <v>0.00581577850671763</v>
      </c>
      <c r="EH74" s="197" t="n">
        <v>0.00453630723523976</v>
      </c>
      <c r="EI74" s="197" t="n">
        <v>0.00383841381443364</v>
      </c>
      <c r="EJ74" s="197" t="n">
        <v>0.00314052039362752</v>
      </c>
      <c r="EK74" s="197" t="n">
        <v>0.00562309867480553</v>
      </c>
      <c r="EL74" s="197" t="n">
        <v>0.00275172913873462</v>
      </c>
      <c r="EM74" s="197" t="n"/>
      <c r="EN74" s="197" t="n"/>
      <c r="EO74" s="182" t="n"/>
      <c r="EP74" s="176" t="n"/>
      <c r="EQ74" s="176" t="n"/>
      <c r="ER74" s="176" t="n"/>
      <c r="ES74" s="176" t="n"/>
      <c r="ET74" s="176" t="n"/>
      <c r="EU74" s="176" t="n"/>
      <c r="EV74" s="176" t="n"/>
      <c r="EW74" s="176" t="n"/>
      <c r="EX74" s="176" t="n"/>
      <c r="EY74" s="176" t="n"/>
      <c r="EZ74" s="176" t="n"/>
      <c r="FA74" s="176" t="n"/>
      <c r="FB74" s="176" t="n"/>
      <c r="FC74" s="176" t="n"/>
      <c r="FD74" s="176" t="n"/>
      <c r="FE74" s="176" t="n"/>
      <c r="FF74" s="176" t="n"/>
      <c r="FG74" s="176" t="n"/>
      <c r="FH74" s="176" t="n"/>
      <c r="FI74" s="176" t="n"/>
      <c r="FJ74" s="176" t="n"/>
      <c r="FK74" s="176" t="n"/>
      <c r="FL74" s="176" t="n"/>
      <c r="FM74" s="176" t="n"/>
    </row>
    <row r="75" ht="15" customHeight="1" s="392">
      <c r="A75" s="176" t="n"/>
      <c r="B75" s="180" t="n"/>
      <c r="C75" s="183" t="inlineStr">
        <is>
          <t xml:space="preserve">        Basic EPS (Normalized)</t>
        </is>
      </c>
      <c r="D75" s="191">
        <f>IF(COUNT(M75:EN75)&gt;0,MEDIAN(M75:EN75),"")</f>
        <v/>
      </c>
      <c r="E75" s="191">
        <f>IF(COUNT(M75:EN75)&gt;0,AVERAGE(M75:EN75),"")</f>
        <v/>
      </c>
      <c r="F75" s="191">
        <f>IF(COUNT(M75:EN75)&gt;0,MIN(M75:EN75),"")</f>
        <v/>
      </c>
      <c r="G75" s="191">
        <f>IF(COUNT(M75:EN75)&gt;0,MAX(M75:EN75),"")</f>
        <v/>
      </c>
      <c r="H75" s="191">
        <f>IF(COUNT(M75:EN75)&gt;0,QUARTILE(M75:EN75,1),"")</f>
        <v/>
      </c>
      <c r="I75" s="191">
        <f>IF(COUNT(M75:EN75)&gt;0,QUARTILE(M75:EN75,3),"")</f>
        <v/>
      </c>
      <c r="J75" s="191">
        <f>IF(COUNT(M75:EN75)&gt;1,STDEV(M75:EN75),"")</f>
        <v/>
      </c>
      <c r="K75" s="191">
        <f>IF(COUNT(M75:EN75)&gt;1,STDEV(M75:EN75)/AVERAGE(M75:EN75),"")</f>
        <v/>
      </c>
      <c r="M75" s="197" t="n">
        <v>0.358074981404181</v>
      </c>
      <c r="N75" s="197" t="n">
        <v>0.439684175009915</v>
      </c>
      <c r="O75" s="197" t="n">
        <v>0.369143209051641</v>
      </c>
      <c r="P75" s="197" t="n">
        <v>0.426991955769131</v>
      </c>
      <c r="Q75" s="197" t="n">
        <v>0.406936146546457</v>
      </c>
      <c r="R75" s="197" t="n">
        <v>0.426945269986359</v>
      </c>
      <c r="S75" s="197" t="n">
        <v>0.408011186364079</v>
      </c>
      <c r="T75" s="197" t="n">
        <v>0.388540079902323</v>
      </c>
      <c r="U75" s="197" t="n">
        <v>0.346821005671235</v>
      </c>
      <c r="V75" s="197" t="n">
        <v>0.406577557175875</v>
      </c>
      <c r="W75" s="197" t="n">
        <v>0.347782094167252</v>
      </c>
      <c r="X75" s="197" t="n">
        <v>0.355961487360235</v>
      </c>
      <c r="Y75" s="197" t="n">
        <v>0.345708384861173</v>
      </c>
      <c r="Z75" s="197" t="n">
        <v>0.362909433352839</v>
      </c>
      <c r="AA75" s="197" t="n">
        <v>0.308120056426016</v>
      </c>
      <c r="AB75" s="197" t="n">
        <v>0.257533622208826</v>
      </c>
      <c r="AC75" s="197" t="n">
        <v>0.285466375160294</v>
      </c>
      <c r="AD75" s="197" t="n">
        <v>0.296275867876466</v>
      </c>
      <c r="AE75" s="197" t="n">
        <v>0.280325356471293</v>
      </c>
      <c r="AF75" s="197" t="n">
        <v>0.271415796311607</v>
      </c>
      <c r="AG75" s="197" t="n">
        <v>0.261668807409223</v>
      </c>
      <c r="AH75" s="197" t="n">
        <v>0.277206467114503</v>
      </c>
      <c r="AI75" s="197" t="n">
        <v>0.202489286561198</v>
      </c>
      <c r="AJ75" s="197" t="n">
        <v>0.199871920471943</v>
      </c>
      <c r="AK75" s="197" t="n">
        <v>0.173948447419178</v>
      </c>
      <c r="AL75" s="197" t="n">
        <v>0.147596665143316</v>
      </c>
      <c r="AM75" s="197" t="n">
        <v>0.164891628092887</v>
      </c>
      <c r="AN75" s="197" t="n">
        <v>0.168070762083151</v>
      </c>
      <c r="AO75" s="197" t="n">
        <v>0.155455080937214</v>
      </c>
      <c r="AP75" s="197" t="n">
        <v>0.169843059162047</v>
      </c>
      <c r="AQ75" s="197" t="n">
        <v>0.135261137444865</v>
      </c>
      <c r="AR75" s="197" t="n">
        <v>0.121386090778492</v>
      </c>
      <c r="AS75" s="197" t="n">
        <v>0.110091369076996</v>
      </c>
      <c r="AT75" s="197" t="n">
        <v>0.134694625231671</v>
      </c>
      <c r="AU75" s="197" t="n">
        <v>0.120344049974512</v>
      </c>
      <c r="AV75" s="197" t="n">
        <v>0.0834980536988392</v>
      </c>
      <c r="AW75" s="197" t="n">
        <v>0.08948095142983679</v>
      </c>
      <c r="AX75" s="197" t="n">
        <v>0.0939152748782185</v>
      </c>
      <c r="AY75" s="197" t="n">
        <v>0.07357773782196191</v>
      </c>
      <c r="AZ75" s="197" t="n">
        <v>0.07357409641760861</v>
      </c>
      <c r="BA75" s="197" t="n">
        <v>0.0810101052789752</v>
      </c>
      <c r="BB75" s="197" t="n">
        <v>0.0842232504704009</v>
      </c>
      <c r="BC75" s="197" t="n">
        <v>0.0591103609363545</v>
      </c>
      <c r="BD75" s="197" t="n">
        <v>0.0539937996754193</v>
      </c>
      <c r="BE75" s="197" t="n">
        <v>0.0591492892705101</v>
      </c>
      <c r="BF75" s="197" t="n">
        <v>0.0601703555748922</v>
      </c>
      <c r="BG75" s="197" t="n">
        <v>0.0540299049881235</v>
      </c>
      <c r="BH75" s="197" t="n">
        <v>0.0551018682110968</v>
      </c>
      <c r="BI75" s="197" t="n">
        <v>0.0534773019008503</v>
      </c>
      <c r="BJ75" s="197" t="n">
        <v>0.0637106479641318</v>
      </c>
      <c r="BK75" s="197" t="n">
        <v>0.0480057639928642</v>
      </c>
      <c r="BL75" s="197" t="n">
        <v>0.043944568986131</v>
      </c>
      <c r="BM75" s="197" t="n">
        <v>0.0444601246683479</v>
      </c>
      <c r="BN75" s="197" t="n">
        <v>0.0550981759399697</v>
      </c>
      <c r="BO75" s="197" t="n">
        <v>0.0431010021329656</v>
      </c>
      <c r="BP75" s="197" t="n">
        <v>0.0494486613248379</v>
      </c>
      <c r="BQ75" s="197" t="n">
        <v>0.049355663559759</v>
      </c>
      <c r="BR75" s="197" t="n">
        <v>0.058225046604948</v>
      </c>
      <c r="BS75" s="197" t="n">
        <v>0.0489567001932879</v>
      </c>
      <c r="BT75" s="197" t="n">
        <v>0.0416672829899108</v>
      </c>
      <c r="BU75" s="197" t="n">
        <v>0.0402660375640766</v>
      </c>
      <c r="BV75" s="197" t="n">
        <v>0.0477474922667264</v>
      </c>
      <c r="BW75" s="197" t="n">
        <v>0.0316109651241397</v>
      </c>
      <c r="BX75" s="197" t="n">
        <v>0.0308974365082795</v>
      </c>
      <c r="BY75" s="197" t="n">
        <v>0.0282312975123915</v>
      </c>
      <c r="BZ75" s="197" t="n">
        <v>0.0362982960381402</v>
      </c>
      <c r="CA75" s="197" t="n">
        <v>0.0285166756403227</v>
      </c>
      <c r="CB75" s="197" t="n">
        <v>0.0282116673548303</v>
      </c>
      <c r="CC75" s="197" t="n">
        <v>0.029355921967705</v>
      </c>
      <c r="CD75" s="197" t="n">
        <v>0.0290806424494803</v>
      </c>
      <c r="CE75" s="197" t="n">
        <v>0.020625</v>
      </c>
      <c r="CF75" s="197" t="n">
        <v>0.028125</v>
      </c>
      <c r="CG75" s="197" t="n">
        <v>0.03</v>
      </c>
      <c r="CH75" s="197" t="n">
        <v>0.033125</v>
      </c>
      <c r="CI75" s="197" t="n">
        <v>0.0225</v>
      </c>
      <c r="CJ75" s="197" t="n">
        <v>0.02625</v>
      </c>
      <c r="CK75" s="197" t="n">
        <v>0.025</v>
      </c>
      <c r="CL75" s="197" t="n">
        <v>0.026875</v>
      </c>
      <c r="CM75" s="197" t="n">
        <v>0.020625</v>
      </c>
      <c r="CN75" s="197" t="n">
        <v>0.02125</v>
      </c>
      <c r="CO75" s="197" t="n">
        <v>0.020625</v>
      </c>
      <c r="CP75" s="197" t="n">
        <v>0.023125</v>
      </c>
      <c r="CQ75" s="197" t="n">
        <v>0.018125</v>
      </c>
      <c r="CR75" s="197" t="n">
        <v>0.015625</v>
      </c>
      <c r="CS75" s="197" t="n">
        <v>0.016875</v>
      </c>
      <c r="CT75" s="197" t="n">
        <v>0.02125</v>
      </c>
      <c r="CU75" s="197" t="n">
        <v>0.01625</v>
      </c>
      <c r="CV75" s="197" t="n">
        <v>0.015625</v>
      </c>
      <c r="CW75" s="197" t="n">
        <v>0.015</v>
      </c>
      <c r="CX75" s="197" t="n">
        <v>0.0175</v>
      </c>
      <c r="CY75" s="197" t="n">
        <v>0.0125</v>
      </c>
      <c r="CZ75" s="197" t="n">
        <v>0.010625</v>
      </c>
      <c r="DA75" s="197" t="n">
        <v>0.009375</v>
      </c>
      <c r="DB75" s="197" t="n">
        <v>0.010625</v>
      </c>
      <c r="DC75" s="197" t="n">
        <v>0.009375</v>
      </c>
      <c r="DD75" s="197" t="n">
        <v>0.01</v>
      </c>
      <c r="DE75" s="197" t="n">
        <v>0.010625</v>
      </c>
      <c r="DF75" s="197" t="n">
        <v>0.01125</v>
      </c>
      <c r="DG75" s="197" t="n">
        <v>0.008750000000000001</v>
      </c>
      <c r="DH75" s="197" t="n">
        <v>0.009583</v>
      </c>
      <c r="DI75" s="197" t="n">
        <v>0.006659</v>
      </c>
      <c r="DJ75" s="197" t="n">
        <v>0.005836</v>
      </c>
      <c r="DK75" s="197" t="n">
        <v>0.007083</v>
      </c>
      <c r="DL75" s="197" t="n">
        <v>0.006667</v>
      </c>
      <c r="DM75" s="197" t="n">
        <v>0.00625</v>
      </c>
      <c r="DN75" s="197" t="n">
        <v>0.00625</v>
      </c>
      <c r="DO75" s="197" t="n">
        <v>0.005</v>
      </c>
      <c r="DP75" s="197" t="n">
        <v>0.001668</v>
      </c>
      <c r="DQ75" s="197" t="n">
        <v>0.004512</v>
      </c>
      <c r="DR75" s="197" t="n">
        <v>0.001668</v>
      </c>
      <c r="DS75" s="197" t="n">
        <v>0.001251</v>
      </c>
      <c r="DT75" s="197" t="n">
        <v>0.000556</v>
      </c>
      <c r="DU75" s="197" t="n">
        <v>0.01052</v>
      </c>
      <c r="DV75" s="197" t="n">
        <v>0.000625</v>
      </c>
      <c r="DW75" s="197" t="n">
        <v>0.000486</v>
      </c>
      <c r="DX75" s="197" t="n">
        <v>0.000417</v>
      </c>
      <c r="DY75" s="197" t="n">
        <v>0.000487</v>
      </c>
      <c r="DZ75" s="197" t="n">
        <v>0.000486</v>
      </c>
      <c r="EA75" s="197" t="n">
        <v>0.000417</v>
      </c>
      <c r="EB75" s="197" t="n">
        <v>0.000347</v>
      </c>
      <c r="EC75" s="197" t="n">
        <v>0.000486</v>
      </c>
      <c r="ED75" s="197" t="n">
        <v>0.000417</v>
      </c>
      <c r="EE75" s="197" t="n">
        <v>0.000417</v>
      </c>
      <c r="EF75" s="197" t="n">
        <v>0.000347</v>
      </c>
      <c r="EG75" s="197" t="n">
        <v>0.000417</v>
      </c>
      <c r="EH75" s="197" t="n">
        <v>0.000347</v>
      </c>
      <c r="EI75" s="197" t="n">
        <v>0.000278</v>
      </c>
      <c r="EJ75" s="197" t="n">
        <v>0.000278</v>
      </c>
      <c r="EK75" s="197" t="n">
        <v>0.000764</v>
      </c>
      <c r="EL75" s="197" t="n">
        <v>0.000139</v>
      </c>
      <c r="EM75" s="197" t="n">
        <v>-0.000139</v>
      </c>
      <c r="EN75" s="197" t="n">
        <v>-0.000139</v>
      </c>
      <c r="EO75" s="182" t="n"/>
      <c r="EP75" s="176" t="n"/>
      <c r="EQ75" s="176" t="n"/>
      <c r="ER75" s="176" t="n"/>
      <c r="ES75" s="176" t="n"/>
      <c r="ET75" s="176" t="n"/>
      <c r="EU75" s="176" t="n"/>
      <c r="EV75" s="176" t="n"/>
      <c r="EW75" s="176" t="n"/>
      <c r="EX75" s="176" t="n"/>
      <c r="EY75" s="176" t="n"/>
      <c r="EZ75" s="176" t="n"/>
      <c r="FA75" s="176" t="n"/>
      <c r="FB75" s="176" t="n"/>
      <c r="FC75" s="176" t="n"/>
      <c r="FD75" s="176" t="n"/>
      <c r="FE75" s="176" t="n"/>
      <c r="FF75" s="176" t="n"/>
      <c r="FG75" s="176" t="n"/>
      <c r="FH75" s="176" t="n"/>
      <c r="FI75" s="176" t="n"/>
      <c r="FJ75" s="176" t="n"/>
      <c r="FK75" s="176" t="n"/>
      <c r="FL75" s="176" t="n"/>
      <c r="FM75" s="176" t="n"/>
    </row>
    <row r="76" ht="15" customHeight="1" s="392">
      <c r="A76" s="176" t="n"/>
      <c r="B76" s="180" t="n"/>
      <c r="C76" s="183" t="inlineStr">
        <is>
          <t xml:space="preserve">        Diluted EPS (Normalized)</t>
        </is>
      </c>
      <c r="D76" s="191">
        <f>IF(COUNT(M76:EN76)&gt;0,MEDIAN(M76:EN76),"")</f>
        <v/>
      </c>
      <c r="E76" s="191">
        <f>IF(COUNT(M76:EN76)&gt;0,AVERAGE(M76:EN76),"")</f>
        <v/>
      </c>
      <c r="F76" s="191">
        <f>IF(COUNT(M76:EN76)&gt;0,MIN(M76:EN76),"")</f>
        <v/>
      </c>
      <c r="G76" s="191">
        <f>IF(COUNT(M76:EN76)&gt;0,MAX(M76:EN76),"")</f>
        <v/>
      </c>
      <c r="H76" s="191">
        <f>IF(COUNT(M76:EN76)&gt;0,QUARTILE(M76:EN76,1),"")</f>
        <v/>
      </c>
      <c r="I76" s="191">
        <f>IF(COUNT(M76:EN76)&gt;0,QUARTILE(M76:EN76,3),"")</f>
        <v/>
      </c>
      <c r="J76" s="191">
        <f>IF(COUNT(M76:EN76)&gt;1,STDEV(M76:EN76),"")</f>
        <v/>
      </c>
      <c r="K76" s="191">
        <f>IF(COUNT(M76:EN76)&gt;1,STDEV(M76:EN76)/AVERAGE(M76:EN76),"")</f>
        <v/>
      </c>
      <c r="M76" s="197" t="n">
        <v>0.358031034807464</v>
      </c>
      <c r="N76" s="197" t="n">
        <v>0.439617642980322</v>
      </c>
      <c r="O76" s="197" t="n">
        <v>0.369069348042339</v>
      </c>
      <c r="P76" s="197" t="n">
        <v>0.41692433323099</v>
      </c>
      <c r="Q76" s="197" t="n">
        <v>0.406969608390817</v>
      </c>
      <c r="R76" s="197" t="n">
        <v>0.426861089328272</v>
      </c>
      <c r="S76" s="197" t="n">
        <v>0.407903344888589</v>
      </c>
      <c r="T76" s="197" t="n">
        <v>0.378423501750117</v>
      </c>
      <c r="U76" s="197" t="n">
        <v>0.336723305682987</v>
      </c>
      <c r="V76" s="197" t="n">
        <v>0.396478992672398</v>
      </c>
      <c r="W76" s="197" t="n">
        <v>0.337669793112789</v>
      </c>
      <c r="X76" s="197" t="n">
        <v>0.345878324390078</v>
      </c>
      <c r="Y76" s="197" t="n">
        <v>0.17</v>
      </c>
      <c r="Z76" s="197" t="n">
        <v>0.36</v>
      </c>
      <c r="AA76" s="197" t="n">
        <v>0.305</v>
      </c>
      <c r="AB76" s="197" t="n">
        <v>0.1275</v>
      </c>
      <c r="AC76" s="197" t="n">
        <v>0.14</v>
      </c>
      <c r="AD76" s="197" t="n">
        <v>0.2925</v>
      </c>
      <c r="AE76" s="197" t="n">
        <v>0.275</v>
      </c>
      <c r="AF76" s="197" t="n">
        <v>0.2675</v>
      </c>
      <c r="AG76" s="197" t="n">
        <v>0.2575</v>
      </c>
      <c r="AH76" s="197" t="n">
        <v>0.2725</v>
      </c>
      <c r="AI76" s="197" t="n">
        <v>0.2</v>
      </c>
      <c r="AJ76" s="197" t="n">
        <v>0.1975</v>
      </c>
      <c r="AK76" s="197" t="n">
        <v>0.17</v>
      </c>
      <c r="AL76" s="197" t="n">
        <v>0.145</v>
      </c>
      <c r="AM76" s="197" t="n">
        <v>0.1625</v>
      </c>
      <c r="AN76" s="197" t="n">
        <v>0.1625</v>
      </c>
      <c r="AO76" s="197" t="n">
        <v>0.15</v>
      </c>
      <c r="AP76" s="197" t="n">
        <v>0.165</v>
      </c>
      <c r="AQ76" s="197" t="n">
        <v>0.13</v>
      </c>
      <c r="AR76" s="197" t="n">
        <v>0.1175</v>
      </c>
      <c r="AS76" s="197" t="n">
        <v>0.105</v>
      </c>
      <c r="AT76" s="197" t="n">
        <v>0.13</v>
      </c>
      <c r="AU76" s="197" t="n">
        <v>0.1175</v>
      </c>
      <c r="AV76" s="197" t="n">
        <v>0.0825</v>
      </c>
      <c r="AW76" s="197" t="n">
        <v>0.08749999999999999</v>
      </c>
      <c r="AX76" s="197" t="n">
        <v>0.0925</v>
      </c>
      <c r="AY76" s="197" t="n">
        <v>0.0725</v>
      </c>
      <c r="AZ76" s="197" t="n">
        <v>0.07124999999999999</v>
      </c>
      <c r="BA76" s="197" t="n">
        <v>0.075</v>
      </c>
      <c r="BB76" s="197" t="n">
        <v>0.08</v>
      </c>
      <c r="BC76" s="197" t="n">
        <v>0.05625</v>
      </c>
      <c r="BD76" s="197" t="n">
        <v>0.05125</v>
      </c>
      <c r="BE76" s="197" t="n">
        <v>0.05625</v>
      </c>
      <c r="BF76" s="197" t="n">
        <v>0.057554971087766</v>
      </c>
      <c r="BG76" s="197" t="n">
        <v>0.0526624454016016</v>
      </c>
      <c r="BH76" s="197" t="n">
        <v>0.0524970155949421</v>
      </c>
      <c r="BI76" s="197" t="n">
        <v>0.0520773897324504</v>
      </c>
      <c r="BJ76" s="197" t="n">
        <v>0.0614342192324658</v>
      </c>
      <c r="BK76" s="197" t="n">
        <v>0.0466288167138313</v>
      </c>
      <c r="BL76" s="197" t="n">
        <v>0.0425864200954815</v>
      </c>
      <c r="BM76" s="197" t="n">
        <v>0.0430814670358715</v>
      </c>
      <c r="BN76" s="197" t="n">
        <v>0.0537434765954187</v>
      </c>
      <c r="BO76" s="197" t="n">
        <v>0.0417358158971587</v>
      </c>
      <c r="BP76" s="197" t="n">
        <v>0.048094813696263</v>
      </c>
      <c r="BQ76" s="197" t="n">
        <v>0.0479802958644317</v>
      </c>
      <c r="BR76" s="197" t="n">
        <v>0.0568797422020529</v>
      </c>
      <c r="BS76" s="197" t="n">
        <v>0.0474831740633787</v>
      </c>
      <c r="BT76" s="197" t="n">
        <v>0.0416156099156212</v>
      </c>
      <c r="BU76" s="197" t="n">
        <v>0.038955653704286</v>
      </c>
      <c r="BV76" s="197" t="n">
        <v>0.0464500713605355</v>
      </c>
      <c r="BW76" s="197" t="n">
        <v>0.0309664578937846</v>
      </c>
      <c r="BX76" s="197" t="n">
        <v>0.0308757250122725</v>
      </c>
      <c r="BY76" s="197" t="n">
        <v>0.0282184661632615</v>
      </c>
      <c r="BZ76" s="197" t="n">
        <v>0.0356388604020801</v>
      </c>
      <c r="CA76" s="197" t="n">
        <v>0.0284948167809562</v>
      </c>
      <c r="CB76" s="197" t="n">
        <v>0.0281908147671129</v>
      </c>
      <c r="CC76" s="197" t="n">
        <v>0.0293090551759211</v>
      </c>
      <c r="CD76" s="197" t="n">
        <v>0.0290931236429016</v>
      </c>
      <c r="CE76" s="197" t="n">
        <v>0.02</v>
      </c>
      <c r="CF76" s="197" t="n">
        <v>0.0275</v>
      </c>
      <c r="CG76" s="197" t="n">
        <v>0.029375</v>
      </c>
      <c r="CH76" s="197" t="n">
        <v>0.0325</v>
      </c>
      <c r="CI76" s="197" t="n">
        <v>0.021875</v>
      </c>
      <c r="CJ76" s="197" t="n">
        <v>0.025625</v>
      </c>
      <c r="CK76" s="197" t="n">
        <v>0.025</v>
      </c>
      <c r="CL76" s="197" t="n">
        <v>0.025625</v>
      </c>
      <c r="CM76" s="197" t="n">
        <v>0.02</v>
      </c>
      <c r="CN76" s="197" t="n">
        <v>0.02</v>
      </c>
      <c r="CO76" s="197" t="n">
        <v>0.020625</v>
      </c>
      <c r="CP76" s="197" t="n">
        <v>0.0225</v>
      </c>
      <c r="CQ76" s="197" t="n">
        <v>0.0175</v>
      </c>
      <c r="CR76" s="197" t="n">
        <v>0.015</v>
      </c>
      <c r="CS76" s="197" t="n">
        <v>0.016875</v>
      </c>
      <c r="CT76" s="197" t="n">
        <v>0.020625</v>
      </c>
      <c r="CU76" s="197" t="n">
        <v>0.015625</v>
      </c>
      <c r="CV76" s="197" t="n">
        <v>0.015</v>
      </c>
      <c r="CW76" s="197" t="n">
        <v>0.015</v>
      </c>
      <c r="CX76" s="197" t="n">
        <v>0.016875</v>
      </c>
      <c r="CY76" s="197" t="n">
        <v>0.011875</v>
      </c>
      <c r="CZ76" s="197" t="n">
        <v>0.010625</v>
      </c>
      <c r="DA76" s="197" t="n">
        <v>0.009375</v>
      </c>
      <c r="DB76" s="197" t="n">
        <v>0.010625</v>
      </c>
      <c r="DC76" s="197" t="n">
        <v>0.009375</v>
      </c>
      <c r="DD76" s="197" t="n">
        <v>0.01</v>
      </c>
      <c r="DE76" s="197" t="n">
        <v>0.010625</v>
      </c>
      <c r="DF76" s="197" t="n">
        <v>0.01125</v>
      </c>
      <c r="DG76" s="197" t="n">
        <v>0.008750000000000001</v>
      </c>
      <c r="DH76" s="197" t="n">
        <v>0.009167</v>
      </c>
      <c r="DI76" s="197" t="n">
        <v>0.006103</v>
      </c>
      <c r="DJ76" s="197" t="n">
        <v>0.005558</v>
      </c>
      <c r="DK76" s="197" t="n">
        <v>0.007083</v>
      </c>
      <c r="DL76" s="197" t="n">
        <v>0.006667</v>
      </c>
      <c r="DM76" s="197" t="n">
        <v>0.00625</v>
      </c>
      <c r="DN76" s="197" t="n">
        <v>0.00625</v>
      </c>
      <c r="DO76" s="197" t="n">
        <v>0.005</v>
      </c>
      <c r="DP76" s="197" t="n">
        <v>0.001668</v>
      </c>
      <c r="DQ76" s="197" t="n">
        <v>0.004442</v>
      </c>
      <c r="DR76" s="197" t="n">
        <v>0.001668</v>
      </c>
      <c r="DS76" s="197" t="n">
        <v>0.001251</v>
      </c>
      <c r="DT76" s="197" t="n">
        <v>0.000556</v>
      </c>
      <c r="DU76" s="197" t="n">
        <v>0.010312</v>
      </c>
      <c r="DV76" s="197" t="n">
        <v>0.000556</v>
      </c>
      <c r="DW76" s="197" t="n">
        <v>0.000486</v>
      </c>
      <c r="DX76" s="197" t="n">
        <v>0.000417</v>
      </c>
      <c r="DY76" s="197" t="n">
        <v>0.000417</v>
      </c>
      <c r="DZ76" s="197" t="n">
        <v>0.000486</v>
      </c>
      <c r="EA76" s="197" t="n">
        <v>0.000417</v>
      </c>
      <c r="EB76" s="197" t="n">
        <v>0.000347</v>
      </c>
      <c r="EC76" s="197" t="n">
        <v>0.000417</v>
      </c>
      <c r="ED76" s="197" t="n">
        <v>0.000417</v>
      </c>
      <c r="EE76" s="197" t="n">
        <v>0.000417</v>
      </c>
      <c r="EF76" s="197" t="n">
        <v>0.000347</v>
      </c>
      <c r="EG76" s="197" t="n">
        <v>0.000347</v>
      </c>
      <c r="EH76" s="197" t="n">
        <v>0.000347</v>
      </c>
      <c r="EI76" s="197" t="n">
        <v>0.000278</v>
      </c>
      <c r="EJ76" s="197" t="n">
        <v>0.000278</v>
      </c>
      <c r="EK76" s="197" t="n">
        <v>0.000695</v>
      </c>
      <c r="EL76" s="197" t="n">
        <v>0.000139</v>
      </c>
      <c r="EM76" s="197" t="n">
        <v>-0.000139</v>
      </c>
      <c r="EN76" s="197" t="n">
        <v>-0.000139</v>
      </c>
      <c r="EO76" s="182" t="n"/>
      <c r="EP76" s="176" t="n"/>
      <c r="EQ76" s="176" t="n"/>
      <c r="ER76" s="176" t="n"/>
      <c r="ES76" s="176" t="n"/>
      <c r="ET76" s="176" t="n"/>
      <c r="EU76" s="176" t="n"/>
      <c r="EV76" s="176" t="n"/>
      <c r="EW76" s="176" t="n"/>
      <c r="EX76" s="176" t="n"/>
      <c r="EY76" s="176" t="n"/>
      <c r="EZ76" s="176" t="n"/>
      <c r="FA76" s="176" t="n"/>
      <c r="FB76" s="176" t="n"/>
      <c r="FC76" s="176" t="n"/>
      <c r="FD76" s="176" t="n"/>
      <c r="FE76" s="176" t="n"/>
      <c r="FF76" s="176" t="n"/>
      <c r="FG76" s="176" t="n"/>
      <c r="FH76" s="176" t="n"/>
      <c r="FI76" s="176" t="n"/>
      <c r="FJ76" s="176" t="n"/>
      <c r="FK76" s="176" t="n"/>
      <c r="FL76" s="176" t="n"/>
      <c r="FM76" s="176" t="n"/>
    </row>
    <row r="77" ht="15" customHeight="1" s="392">
      <c r="A77" s="176" t="n"/>
      <c r="B77" s="180" t="n"/>
      <c r="C77" s="183" t="inlineStr">
        <is>
          <t xml:space="preserve">        Normalized EBITDA per Share</t>
        </is>
      </c>
      <c r="D77" s="191">
        <f>IF(COUNT(M77:EN77)&gt;0,MEDIAN(M77:EN77),"")</f>
        <v/>
      </c>
      <c r="E77" s="191">
        <f>IF(COUNT(M77:EN77)&gt;0,AVERAGE(M77:EN77),"")</f>
        <v/>
      </c>
      <c r="F77" s="191">
        <f>IF(COUNT(M77:EN77)&gt;0,MIN(M77:EN77),"")</f>
        <v/>
      </c>
      <c r="G77" s="191">
        <f>IF(COUNT(M77:EN77)&gt;0,MAX(M77:EN77),"")</f>
        <v/>
      </c>
      <c r="H77" s="191">
        <f>IF(COUNT(M77:EN77)&gt;0,QUARTILE(M77:EN77,1),"")</f>
        <v/>
      </c>
      <c r="I77" s="191">
        <f>IF(COUNT(M77:EN77)&gt;0,QUARTILE(M77:EN77,3),"")</f>
        <v/>
      </c>
      <c r="J77" s="191">
        <f>IF(COUNT(M77:EN77)&gt;1,STDEV(M77:EN77),"")</f>
        <v/>
      </c>
      <c r="K77" s="191">
        <f>IF(COUNT(M77:EN77)&gt;1,STDEV(M77:EN77)/AVERAGE(M77:EN77),"")</f>
        <v/>
      </c>
      <c r="M77" s="197" t="n">
        <v>0.467015684339262</v>
      </c>
      <c r="N77" s="197" t="n">
        <v>0.56610732204037</v>
      </c>
      <c r="O77" s="197" t="n">
        <v>0.469414586771054</v>
      </c>
      <c r="P77" s="197" t="n">
        <v>0.507632790911882</v>
      </c>
      <c r="Q77" s="197" t="n">
        <v>0.490004571501038</v>
      </c>
      <c r="R77" s="197" t="n">
        <v>0.534587343278577</v>
      </c>
      <c r="S77" s="197" t="n">
        <v>0.49679418351382</v>
      </c>
      <c r="T77" s="197" t="n">
        <v>0.482244860758664</v>
      </c>
      <c r="U77" s="197" t="n">
        <v>0.434539596974544</v>
      </c>
      <c r="V77" s="197" t="n">
        <v>0.5063336900695889</v>
      </c>
      <c r="W77" s="197" t="n">
        <v>0.442684044248396</v>
      </c>
      <c r="X77" s="197" t="n">
        <v>0.454542741349536</v>
      </c>
      <c r="Y77" s="197" t="n">
        <v>0.460996825658573</v>
      </c>
      <c r="Z77" s="197" t="n">
        <v>0.485478302218363</v>
      </c>
      <c r="AA77" s="197" t="n">
        <v>0.425376552215793</v>
      </c>
      <c r="AB77" s="197" t="n">
        <v>0.371094722171525</v>
      </c>
      <c r="AC77" s="197" t="n">
        <v>0.383875758079256</v>
      </c>
      <c r="AD77" s="197" t="n">
        <v>0.436173792392948</v>
      </c>
      <c r="AE77" s="197" t="n">
        <v>0.403250382483301</v>
      </c>
      <c r="AF77" s="197" t="n">
        <v>0.385170652638037</v>
      </c>
      <c r="AG77" s="197" t="n">
        <v>0.36061409230079</v>
      </c>
      <c r="AH77" s="197" t="n">
        <v>0.385224472124159</v>
      </c>
      <c r="AI77" s="197" t="n">
        <v>0.309795863159647</v>
      </c>
      <c r="AJ77" s="197" t="n">
        <v>0.300487981730898</v>
      </c>
      <c r="AK77" s="197" t="n">
        <v>0.251128982304589</v>
      </c>
      <c r="AL77" s="197" t="n">
        <v>0.240163082429765</v>
      </c>
      <c r="AM77" s="197" t="n">
        <v>0.250488531052124</v>
      </c>
      <c r="AN77" s="197" t="n">
        <v>0.245503054528999</v>
      </c>
      <c r="AO77" s="197" t="n">
        <v>0.230214023781353</v>
      </c>
      <c r="AP77" s="197" t="n">
        <v>0.248245001933651</v>
      </c>
      <c r="AQ77" s="197" t="n">
        <v>0.199629144851658</v>
      </c>
      <c r="AR77" s="197" t="n">
        <v>0.184185911627033</v>
      </c>
      <c r="AS77" s="197" t="n">
        <v>0.175083259007111</v>
      </c>
      <c r="AT77" s="197" t="n">
        <v>0.202985059269016</v>
      </c>
      <c r="AU77" s="197" t="n">
        <v>0.180271171693736</v>
      </c>
      <c r="AV77" s="197" t="n">
        <v>0.152124661314706</v>
      </c>
      <c r="AW77" s="197" t="n">
        <v>0.158061998215879</v>
      </c>
      <c r="AX77" s="197" t="n">
        <v>0.163789613511291</v>
      </c>
      <c r="AY77" s="197" t="n">
        <v>0.134331969370257</v>
      </c>
      <c r="AZ77" s="197" t="n">
        <v>0.134694731617864</v>
      </c>
      <c r="BA77" s="197" t="n">
        <v>0.142034526078669</v>
      </c>
      <c r="BB77" s="197" t="n">
        <v>0.1475654789097</v>
      </c>
      <c r="BC77" s="197" t="n">
        <v>0.113945687413732</v>
      </c>
      <c r="BD77" s="197" t="n">
        <v>0.102432084880136</v>
      </c>
      <c r="BE77" s="197" t="n">
        <v>0.0987136207571952</v>
      </c>
      <c r="BF77" s="197" t="n">
        <v>0.104358405740062</v>
      </c>
      <c r="BG77" s="197" t="n">
        <v>0.0950893669619025</v>
      </c>
      <c r="BH77" s="197" t="n">
        <v>0.09700837154132171</v>
      </c>
      <c r="BI77" s="197" t="n">
        <v>0.0896266190602803</v>
      </c>
      <c r="BJ77" s="197" t="n">
        <v>0.106364936190925</v>
      </c>
      <c r="BK77" s="197" t="n">
        <v>0.0862245520629133</v>
      </c>
      <c r="BL77" s="197" t="n">
        <v>0.0813648570073294</v>
      </c>
      <c r="BM77" s="197" t="n">
        <v>0.0802377926472615</v>
      </c>
      <c r="BN77" s="197" t="n">
        <v>0.0988412625450088</v>
      </c>
      <c r="BO77" s="197" t="n">
        <v>0.080000193020383</v>
      </c>
      <c r="BP77" s="197" t="n">
        <v>0.0893894047776576</v>
      </c>
      <c r="BQ77" s="197" t="n">
        <v>0.08563561443370429</v>
      </c>
      <c r="BR77" s="197" t="n">
        <v>0.10015733877088</v>
      </c>
      <c r="BS77" s="197" t="n">
        <v>0.08685025457861539</v>
      </c>
      <c r="BT77" s="197" t="n">
        <v>0.0772821034065261</v>
      </c>
      <c r="BU77" s="197" t="n">
        <v>0.0726909259473867</v>
      </c>
      <c r="BV77" s="197" t="n">
        <v>0.0864173089782846</v>
      </c>
      <c r="BW77" s="197" t="n">
        <v>0.0587403148069062</v>
      </c>
      <c r="BX77" s="197" t="n">
        <v>0.0575558905764993</v>
      </c>
      <c r="BY77" s="197" t="n">
        <v>0.0526787812903984</v>
      </c>
      <c r="BZ77" s="197" t="n">
        <v>0.0656988420162541</v>
      </c>
      <c r="CA77" s="197" t="n">
        <v>0.0501408562647921</v>
      </c>
      <c r="CB77" s="197" t="n">
        <v>0.0529765268164053</v>
      </c>
      <c r="CC77" s="197" t="n">
        <v>0.0549295318226276</v>
      </c>
      <c r="CD77" s="197" t="n">
        <v>0.0544609999764101</v>
      </c>
      <c r="CE77" s="197" t="n">
        <v>0.040003087665962</v>
      </c>
      <c r="CF77" s="197" t="n">
        <v>0.0527638595874355</v>
      </c>
      <c r="CG77" s="197" t="n">
        <v>0.0568508633681135</v>
      </c>
      <c r="CH77" s="197" t="n">
        <v>0.0561160221610354</v>
      </c>
      <c r="CI77" s="197" t="n">
        <v>0.0422020244599433</v>
      </c>
      <c r="CJ77" s="197" t="n">
        <v>0.0490497430694925</v>
      </c>
      <c r="CK77" s="197" t="n">
        <v>0.0461959738694333</v>
      </c>
      <c r="CL77" s="197" t="n">
        <v>0.0474796076131578</v>
      </c>
      <c r="CM77" s="197" t="n">
        <v>0.038355153604748</v>
      </c>
      <c r="CN77" s="197" t="n">
        <v>0.0382161981258367</v>
      </c>
      <c r="CO77" s="197" t="n">
        <v>0.0364296192410614</v>
      </c>
      <c r="CP77" s="197" t="n">
        <v>0.0415787433788381</v>
      </c>
      <c r="CQ77" s="197" t="n">
        <v>0.0313269139427436</v>
      </c>
      <c r="CR77" s="197" t="n">
        <v>0.0293331446133937</v>
      </c>
      <c r="CS77" s="197" t="n">
        <v>0.0310356119085707</v>
      </c>
      <c r="CT77" s="197" t="n">
        <v>0.0393333780880773</v>
      </c>
      <c r="CU77" s="197" t="n">
        <v>0.0307207826376435</v>
      </c>
      <c r="CV77" s="197" t="n">
        <v>0.0301232538808645</v>
      </c>
      <c r="CW77" s="197" t="n">
        <v>0.0282514333621809</v>
      </c>
      <c r="CX77" s="197" t="n">
        <v>0.0327585785113184</v>
      </c>
      <c r="CY77" s="197" t="n">
        <v>0.0251335193020925</v>
      </c>
      <c r="CZ77" s="197" t="n">
        <v>0.0223392987962695</v>
      </c>
      <c r="DA77" s="197" t="n">
        <v>0.0198599064765534</v>
      </c>
      <c r="DB77" s="197" t="n">
        <v>0.0215167873476639</v>
      </c>
      <c r="DC77" s="197" t="n">
        <v>0.0191828138185822</v>
      </c>
      <c r="DD77" s="197" t="n">
        <v>0.0198944010130103</v>
      </c>
      <c r="DE77" s="197" t="n">
        <v>0.0201521862442614</v>
      </c>
      <c r="DF77" s="197" t="n">
        <v>0.0208744805690589</v>
      </c>
      <c r="DG77" s="197" t="n">
        <v>0.0160541538238662</v>
      </c>
      <c r="DH77" s="197" t="n">
        <v>0.017802017576971</v>
      </c>
      <c r="DI77" s="197" t="n">
        <v>0.0126024132427236</v>
      </c>
      <c r="DJ77" s="197" t="n">
        <v>0.0111662646094773</v>
      </c>
      <c r="DK77" s="197" t="n">
        <v>0.0139657581181586</v>
      </c>
      <c r="DL77" s="197" t="n">
        <v>0.013280248063883</v>
      </c>
      <c r="DM77" s="197" t="n">
        <v>0.012643305900665</v>
      </c>
      <c r="DN77" s="197" t="n">
        <v>0.0121430156905736</v>
      </c>
      <c r="DO77" s="197" t="n">
        <v>0.0100008534061573</v>
      </c>
      <c r="DP77" s="197" t="n">
        <v>0.0101652512912197</v>
      </c>
      <c r="DQ77" s="197" t="n">
        <v>0.010088781275222</v>
      </c>
      <c r="DR77" s="197" t="n">
        <v>0.00985656353259237</v>
      </c>
      <c r="DS77" s="197" t="n">
        <v>0.00797912285971763</v>
      </c>
      <c r="DT77" s="197" t="n">
        <v>0.00719685591268649</v>
      </c>
      <c r="DU77" s="197" t="n">
        <v>0.00649292184946117</v>
      </c>
      <c r="DV77" s="197" t="n">
        <v>0.00714557926829268</v>
      </c>
      <c r="DW77" s="197" t="n">
        <v>0.00611344004065041</v>
      </c>
      <c r="DX77" s="197" t="n">
        <v>0.00555767276422764</v>
      </c>
      <c r="DY77" s="197" t="n">
        <v>0.00584373683101559</v>
      </c>
      <c r="DZ77" s="197" t="n">
        <v>0.00609065528866414</v>
      </c>
      <c r="EA77" s="197" t="n">
        <v>0.00559681837336705</v>
      </c>
      <c r="EB77" s="197" t="n">
        <v>0.00460914454277286</v>
      </c>
      <c r="EC77" s="197" t="n">
        <v>0.00487868237730696</v>
      </c>
      <c r="ED77" s="197" t="n">
        <v>0.00529925844431618</v>
      </c>
      <c r="EE77" s="197" t="n">
        <v>0.00538337365771802</v>
      </c>
      <c r="EF77" s="197" t="n">
        <v>0.00479456716390512</v>
      </c>
      <c r="EG77" s="197" t="n">
        <v>0.00581577850671763</v>
      </c>
      <c r="EH77" s="197" t="n">
        <v>0.00453630723523976</v>
      </c>
      <c r="EI77" s="197" t="n">
        <v>0.00383841381443364</v>
      </c>
      <c r="EJ77" s="197" t="n">
        <v>0.00314052039362752</v>
      </c>
      <c r="EK77" s="197" t="n">
        <v>0.00562309867480553</v>
      </c>
      <c r="EL77" s="197" t="n">
        <v>0.00275172913873462</v>
      </c>
      <c r="EM77" s="197" t="n"/>
      <c r="EN77" s="197" t="n"/>
      <c r="EO77" s="182" t="n"/>
      <c r="EP77" s="176" t="n"/>
      <c r="EQ77" s="176" t="n"/>
      <c r="ER77" s="176" t="n"/>
      <c r="ES77" s="176" t="n"/>
      <c r="ET77" s="176" t="n"/>
      <c r="EU77" s="176" t="n"/>
      <c r="EV77" s="176" t="n"/>
      <c r="EW77" s="176" t="n"/>
      <c r="EX77" s="176" t="n"/>
      <c r="EY77" s="176" t="n"/>
      <c r="EZ77" s="176" t="n"/>
      <c r="FA77" s="176" t="n"/>
      <c r="FB77" s="176" t="n"/>
      <c r="FC77" s="176" t="n"/>
      <c r="FD77" s="176" t="n"/>
      <c r="FE77" s="176" t="n"/>
      <c r="FF77" s="176" t="n"/>
      <c r="FG77" s="176" t="n"/>
      <c r="FH77" s="176" t="n"/>
      <c r="FI77" s="176" t="n"/>
      <c r="FJ77" s="176" t="n"/>
      <c r="FK77" s="176" t="n"/>
      <c r="FL77" s="176" t="n"/>
      <c r="FM77" s="176" t="n"/>
    </row>
    <row r="78" ht="15" customHeight="1" s="392">
      <c r="A78" s="176" t="n"/>
      <c r="B78" s="180" t="n"/>
      <c r="C78" s="183" t="inlineStr">
        <is>
          <t xml:space="preserve">        Normalized EBITDAR per Share</t>
        </is>
      </c>
      <c r="D78" s="191">
        <f>IF(COUNT(M78:EN78)&gt;0,MEDIAN(M78:EN78),"")</f>
        <v/>
      </c>
      <c r="E78" s="191">
        <f>IF(COUNT(M78:EN78)&gt;0,AVERAGE(M78:EN78),"")</f>
        <v/>
      </c>
      <c r="F78" s="191">
        <f>IF(COUNT(M78:EN78)&gt;0,MIN(M78:EN78),"")</f>
        <v/>
      </c>
      <c r="G78" s="191">
        <f>IF(COUNT(M78:EN78)&gt;0,MAX(M78:EN78),"")</f>
        <v/>
      </c>
      <c r="H78" s="191">
        <f>IF(COUNT(M78:EN78)&gt;0,QUARTILE(M78:EN78,1),"")</f>
        <v/>
      </c>
      <c r="I78" s="191">
        <f>IF(COUNT(M78:EN78)&gt;0,QUARTILE(M78:EN78,3),"")</f>
        <v/>
      </c>
      <c r="J78" s="191">
        <f>IF(COUNT(M78:EN78)&gt;1,STDEV(M78:EN78),"")</f>
        <v/>
      </c>
      <c r="K78" s="191">
        <f>IF(COUNT(M78:EN78)&gt;1,STDEV(M78:EN78)/AVERAGE(M78:EN78),"")</f>
        <v/>
      </c>
      <c r="M78" s="197" t="n">
        <v>0.467015684339262</v>
      </c>
      <c r="N78" s="197" t="n">
        <v>0.56610732204037</v>
      </c>
      <c r="O78" s="197" t="n">
        <v>0.469414586771054</v>
      </c>
      <c r="P78" s="197" t="n">
        <v>0.507632790911882</v>
      </c>
      <c r="Q78" s="197" t="n">
        <v>0.490004571501038</v>
      </c>
      <c r="R78" s="197" t="n">
        <v>0.534587343278577</v>
      </c>
      <c r="S78" s="197" t="n">
        <v>0.49679418351382</v>
      </c>
      <c r="T78" s="197" t="n">
        <v>0.482244860758664</v>
      </c>
      <c r="U78" s="197" t="n">
        <v>0.434539596974544</v>
      </c>
      <c r="V78" s="197" t="n">
        <v>0.5063336900695889</v>
      </c>
      <c r="W78" s="197" t="n">
        <v>0.442684044248396</v>
      </c>
      <c r="X78" s="197" t="n">
        <v>0.454542741349536</v>
      </c>
      <c r="Y78" s="197" t="n">
        <v>0.460996825658573</v>
      </c>
      <c r="Z78" s="197" t="n">
        <v>0.485478302218363</v>
      </c>
      <c r="AA78" s="197" t="n">
        <v>0.425376552215793</v>
      </c>
      <c r="AB78" s="197" t="n">
        <v>0.371094722171525</v>
      </c>
      <c r="AC78" s="197" t="n">
        <v>0.383875758079256</v>
      </c>
      <c r="AD78" s="197" t="n">
        <v>0.436173792392948</v>
      </c>
      <c r="AE78" s="197" t="n">
        <v>0.403250382483301</v>
      </c>
      <c r="AF78" s="197" t="n">
        <v>0.385170652638037</v>
      </c>
      <c r="AG78" s="197" t="n">
        <v>0.36061409230079</v>
      </c>
      <c r="AH78" s="197" t="n">
        <v>0.385224472124159</v>
      </c>
      <c r="AI78" s="197" t="n">
        <v>0.309795863159647</v>
      </c>
      <c r="AJ78" s="197" t="n">
        <v>0.300487981730898</v>
      </c>
      <c r="AK78" s="197" t="n">
        <v>0.251128982304589</v>
      </c>
      <c r="AL78" s="197" t="n">
        <v>0.240163082429765</v>
      </c>
      <c r="AM78" s="197" t="n">
        <v>0.250488531052124</v>
      </c>
      <c r="AN78" s="197" t="n">
        <v>0.245503054528999</v>
      </c>
      <c r="AO78" s="197" t="n">
        <v>0.230214023781353</v>
      </c>
      <c r="AP78" s="197" t="n">
        <v>0.248245001933651</v>
      </c>
      <c r="AQ78" s="197" t="n">
        <v>0.199629144851658</v>
      </c>
      <c r="AR78" s="197" t="n">
        <v>0.184185911627033</v>
      </c>
      <c r="AS78" s="197" t="n">
        <v>0.175083259007111</v>
      </c>
      <c r="AT78" s="197" t="n">
        <v>0.202985059269016</v>
      </c>
      <c r="AU78" s="197" t="n">
        <v>0.180271171693736</v>
      </c>
      <c r="AV78" s="197" t="n">
        <v>0.152124661314706</v>
      </c>
      <c r="AW78" s="197" t="n">
        <v>0.158061998215879</v>
      </c>
      <c r="AX78" s="197" t="n">
        <v>0.163789613511291</v>
      </c>
      <c r="AY78" s="197" t="n">
        <v>0.134331969370257</v>
      </c>
      <c r="AZ78" s="197" t="n">
        <v>0.134694731617864</v>
      </c>
      <c r="BA78" s="197" t="n">
        <v>0.142034526078669</v>
      </c>
      <c r="BB78" s="197" t="n">
        <v>0.1475654789097</v>
      </c>
      <c r="BC78" s="197" t="n">
        <v>0.113945687413732</v>
      </c>
      <c r="BD78" s="197" t="n">
        <v>0.102432084880136</v>
      </c>
      <c r="BE78" s="197" t="n">
        <v>0.0987136207571952</v>
      </c>
      <c r="BF78" s="197" t="n">
        <v>0.104358405740062</v>
      </c>
      <c r="BG78" s="197" t="n">
        <v>0.0950893669619025</v>
      </c>
      <c r="BH78" s="197" t="n">
        <v>0.09700837154132171</v>
      </c>
      <c r="BI78" s="197" t="n">
        <v>0.0896266190602803</v>
      </c>
      <c r="BJ78" s="197" t="n">
        <v>0.106364936190925</v>
      </c>
      <c r="BK78" s="197" t="n">
        <v>0.0862245520629133</v>
      </c>
      <c r="BL78" s="197" t="n">
        <v>0.0813648570073294</v>
      </c>
      <c r="BM78" s="197" t="n">
        <v>0.0802377926472615</v>
      </c>
      <c r="BN78" s="197" t="n">
        <v>0.0988412625450088</v>
      </c>
      <c r="BO78" s="197" t="n">
        <v>0.080000193020383</v>
      </c>
      <c r="BP78" s="197" t="n">
        <v>0.0893894047776576</v>
      </c>
      <c r="BQ78" s="197" t="n">
        <v>0.08563561443370429</v>
      </c>
      <c r="BR78" s="197" t="n">
        <v>0.10015733877088</v>
      </c>
      <c r="BS78" s="197" t="n">
        <v>0.08685025457861539</v>
      </c>
      <c r="BT78" s="197" t="n">
        <v>0.0772821034065261</v>
      </c>
      <c r="BU78" s="197" t="n">
        <v>0.0726909259473867</v>
      </c>
      <c r="BV78" s="197" t="n">
        <v>0.0864173089782846</v>
      </c>
      <c r="BW78" s="197" t="n">
        <v>0.0587403148069062</v>
      </c>
      <c r="BX78" s="197" t="n">
        <v>0.0575558905764993</v>
      </c>
      <c r="BY78" s="197" t="n">
        <v>0.0526787812903984</v>
      </c>
      <c r="BZ78" s="197" t="n">
        <v>0.0656988420162541</v>
      </c>
      <c r="CA78" s="197" t="n">
        <v>0.0501408562647921</v>
      </c>
      <c r="CB78" s="197" t="n">
        <v>0.0529765268164053</v>
      </c>
      <c r="CC78" s="197" t="n">
        <v>0.0549295318226276</v>
      </c>
      <c r="CD78" s="197" t="n">
        <v>0.0544609999764101</v>
      </c>
      <c r="CE78" s="197" t="n">
        <v>0.040003087665962</v>
      </c>
      <c r="CF78" s="197" t="n">
        <v>0.0527638595874355</v>
      </c>
      <c r="CG78" s="197" t="n">
        <v>0.0568508633681135</v>
      </c>
      <c r="CH78" s="197" t="n">
        <v>0.0561160221610354</v>
      </c>
      <c r="CI78" s="197" t="n">
        <v>0.0422020244599433</v>
      </c>
      <c r="CJ78" s="197" t="n">
        <v>0.0490497430694925</v>
      </c>
      <c r="CK78" s="197" t="n">
        <v>0.0461959738694333</v>
      </c>
      <c r="CL78" s="197" t="n">
        <v>0.0474796076131578</v>
      </c>
      <c r="CM78" s="197" t="n">
        <v>0.038355153604748</v>
      </c>
      <c r="CN78" s="197" t="n">
        <v>0.0382161981258367</v>
      </c>
      <c r="CO78" s="197" t="n">
        <v>0.0364296192410614</v>
      </c>
      <c r="CP78" s="197" t="n">
        <v>0.0415787433788381</v>
      </c>
      <c r="CQ78" s="197" t="n">
        <v>0.0313269139427436</v>
      </c>
      <c r="CR78" s="197" t="n">
        <v>0.0293331446133937</v>
      </c>
      <c r="CS78" s="197" t="n">
        <v>0.0310356119085707</v>
      </c>
      <c r="CT78" s="197" t="n">
        <v>0.0393333780880773</v>
      </c>
      <c r="CU78" s="197" t="n">
        <v>0.0307207826376435</v>
      </c>
      <c r="CV78" s="197" t="n">
        <v>0.0301232538808645</v>
      </c>
      <c r="CW78" s="197" t="n">
        <v>0.0282514333621809</v>
      </c>
      <c r="CX78" s="197" t="n">
        <v>0.0327585785113184</v>
      </c>
      <c r="CY78" s="197" t="n">
        <v>0.0251335193020925</v>
      </c>
      <c r="CZ78" s="197" t="n">
        <v>0.0223392987962695</v>
      </c>
      <c r="DA78" s="197" t="n">
        <v>0.0198599064765534</v>
      </c>
      <c r="DB78" s="197" t="n">
        <v>0.0215167873476639</v>
      </c>
      <c r="DC78" s="197" t="n">
        <v>0.0191828138185822</v>
      </c>
      <c r="DD78" s="197" t="n">
        <v>0.0198944010130103</v>
      </c>
      <c r="DE78" s="197" t="n">
        <v>0.0201521862442614</v>
      </c>
      <c r="DF78" s="197" t="n">
        <v>0.0208744805690589</v>
      </c>
      <c r="DG78" s="197" t="n">
        <v>0.0160541538238662</v>
      </c>
      <c r="DH78" s="197" t="n">
        <v>0.017802017576971</v>
      </c>
      <c r="DI78" s="197" t="n">
        <v>0.0126024132427236</v>
      </c>
      <c r="DJ78" s="197" t="n">
        <v>0.0111662646094773</v>
      </c>
      <c r="DK78" s="197" t="n">
        <v>0.0139657581181586</v>
      </c>
      <c r="DL78" s="197" t="n">
        <v>0.013280248063883</v>
      </c>
      <c r="DM78" s="197" t="n">
        <v>0.012643305900665</v>
      </c>
      <c r="DN78" s="197" t="n">
        <v>0.0121430156905736</v>
      </c>
      <c r="DO78" s="197" t="n">
        <v>0.0100008534061573</v>
      </c>
      <c r="DP78" s="197" t="n">
        <v>0.0101652512912197</v>
      </c>
      <c r="DQ78" s="197" t="n">
        <v>0.010088781275222</v>
      </c>
      <c r="DR78" s="197" t="n">
        <v>0.00985656353259237</v>
      </c>
      <c r="DS78" s="197" t="n">
        <v>0.00797912285971763</v>
      </c>
      <c r="DT78" s="197" t="n">
        <v>0.00719685591268649</v>
      </c>
      <c r="DU78" s="197" t="n">
        <v>0.00649292184946117</v>
      </c>
      <c r="DV78" s="197" t="n">
        <v>0.00714557926829268</v>
      </c>
      <c r="DW78" s="197" t="n">
        <v>0.00611344004065041</v>
      </c>
      <c r="DX78" s="197" t="n">
        <v>0.00555767276422764</v>
      </c>
      <c r="DY78" s="197" t="n">
        <v>0.00584373683101559</v>
      </c>
      <c r="DZ78" s="197" t="n">
        <v>0.00609065528866414</v>
      </c>
      <c r="EA78" s="197" t="n">
        <v>0.00559681837336705</v>
      </c>
      <c r="EB78" s="197" t="n">
        <v>0.00460914454277286</v>
      </c>
      <c r="EC78" s="197" t="n">
        <v>0.00487868237730696</v>
      </c>
      <c r="ED78" s="197" t="n">
        <v>0.00529925844431618</v>
      </c>
      <c r="EE78" s="197" t="n">
        <v>0.00538337365771802</v>
      </c>
      <c r="EF78" s="197" t="n">
        <v>0.00479456716390512</v>
      </c>
      <c r="EG78" s="197" t="n">
        <v>0.00581577850671763</v>
      </c>
      <c r="EH78" s="197" t="n">
        <v>0.00453630723523976</v>
      </c>
      <c r="EI78" s="197" t="n">
        <v>0.00383841381443364</v>
      </c>
      <c r="EJ78" s="197" t="n">
        <v>0.00314052039362752</v>
      </c>
      <c r="EK78" s="197" t="n">
        <v>0.00562309867480553</v>
      </c>
      <c r="EL78" s="197" t="n">
        <v>0.00275172913873462</v>
      </c>
      <c r="EM78" s="197" t="n"/>
      <c r="EN78" s="197" t="n"/>
      <c r="EO78" s="182" t="n"/>
      <c r="EP78" s="176" t="n"/>
      <c r="EQ78" s="176" t="n"/>
      <c r="ER78" s="176" t="n"/>
      <c r="ES78" s="176" t="n"/>
      <c r="ET78" s="176" t="n"/>
      <c r="EU78" s="176" t="n"/>
      <c r="EV78" s="176" t="n"/>
      <c r="EW78" s="176" t="n"/>
      <c r="EX78" s="176" t="n"/>
      <c r="EY78" s="176" t="n"/>
      <c r="EZ78" s="176" t="n"/>
      <c r="FA78" s="176" t="n"/>
      <c r="FB78" s="176" t="n"/>
      <c r="FC78" s="176" t="n"/>
      <c r="FD78" s="176" t="n"/>
      <c r="FE78" s="176" t="n"/>
      <c r="FF78" s="176" t="n"/>
      <c r="FG78" s="176" t="n"/>
      <c r="FH78" s="176" t="n"/>
      <c r="FI78" s="176" t="n"/>
      <c r="FJ78" s="176" t="n"/>
      <c r="FK78" s="176" t="n"/>
      <c r="FL78" s="176" t="n"/>
      <c r="FM78" s="176" t="n"/>
    </row>
    <row r="79" ht="15" customHeight="1" s="392">
      <c r="A79" s="176" t="n"/>
      <c r="B79" s="180" t="n"/>
      <c r="C79" s="183" t="inlineStr">
        <is>
          <t xml:space="preserve">        Recommended Normalized Basic EPS</t>
        </is>
      </c>
      <c r="D79" s="191">
        <f>IF(COUNT(M79:EN79)&gt;0,MEDIAN(M79:EN79),"")</f>
        <v/>
      </c>
      <c r="E79" s="191">
        <f>IF(COUNT(M79:EN79)&gt;0,AVERAGE(M79:EN79),"")</f>
        <v/>
      </c>
      <c r="F79" s="191">
        <f>IF(COUNT(M79:EN79)&gt;0,MIN(M79:EN79),"")</f>
        <v/>
      </c>
      <c r="G79" s="191">
        <f>IF(COUNT(M79:EN79)&gt;0,MAX(M79:EN79),"")</f>
        <v/>
      </c>
      <c r="H79" s="191">
        <f>IF(COUNT(M79:EN79)&gt;0,QUARTILE(M79:EN79,1),"")</f>
        <v/>
      </c>
      <c r="I79" s="191">
        <f>IF(COUNT(M79:EN79)&gt;0,QUARTILE(M79:EN79,3),"")</f>
        <v/>
      </c>
      <c r="J79" s="191">
        <f>IF(COUNT(M79:EN79)&gt;1,STDEV(M79:EN79),"")</f>
        <v/>
      </c>
      <c r="K79" s="191">
        <f>IF(COUNT(M79:EN79)&gt;1,STDEV(M79:EN79)/AVERAGE(M79:EN79),"")</f>
        <v/>
      </c>
      <c r="M79" s="197" t="n">
        <v>0.358074981404181</v>
      </c>
      <c r="N79" s="197" t="n">
        <v>0.439684175009915</v>
      </c>
      <c r="O79" s="197" t="n">
        <v>0.369143209051641</v>
      </c>
      <c r="P79" s="197" t="n">
        <v>0.426991955769131</v>
      </c>
      <c r="Q79" s="197" t="n">
        <v>0.406936146546457</v>
      </c>
      <c r="R79" s="197" t="n">
        <v>0.426945269986359</v>
      </c>
      <c r="S79" s="197" t="n">
        <v>0.408011186364079</v>
      </c>
      <c r="T79" s="197" t="n">
        <v>0.388540079902323</v>
      </c>
      <c r="U79" s="197" t="n">
        <v>0.346821005671235</v>
      </c>
      <c r="V79" s="197" t="n">
        <v>0.406577557175875</v>
      </c>
      <c r="W79" s="197" t="n">
        <v>0.347782094167252</v>
      </c>
      <c r="X79" s="197" t="n">
        <v>0.355961487360235</v>
      </c>
      <c r="Y79" s="197" t="n">
        <v>0.345708384861173</v>
      </c>
      <c r="Z79" s="197" t="n">
        <v>0.362909433352839</v>
      </c>
      <c r="AA79" s="197" t="n">
        <v>0.308120056426016</v>
      </c>
      <c r="AB79" s="197" t="n">
        <v>0.257533622208826</v>
      </c>
      <c r="AC79" s="197" t="n">
        <v>0.285466375160294</v>
      </c>
      <c r="AD79" s="197" t="n">
        <v>0.296275867876466</v>
      </c>
      <c r="AE79" s="197" t="n">
        <v>0.280325356471293</v>
      </c>
      <c r="AF79" s="197" t="n">
        <v>0.271415796311607</v>
      </c>
      <c r="AG79" s="197" t="n">
        <v>0.261668807409223</v>
      </c>
      <c r="AH79" s="197" t="n">
        <v>0.277206467114503</v>
      </c>
      <c r="AI79" s="197" t="n">
        <v>0.202489286561198</v>
      </c>
      <c r="AJ79" s="197" t="n">
        <v>0.199871920471943</v>
      </c>
      <c r="AK79" s="197" t="n">
        <v>0.173948447419178</v>
      </c>
      <c r="AL79" s="197" t="n">
        <v>0.147596665143316</v>
      </c>
      <c r="AM79" s="197" t="n">
        <v>0.164891628092887</v>
      </c>
      <c r="AN79" s="197" t="n">
        <v>0.168070762083151</v>
      </c>
      <c r="AO79" s="197" t="n">
        <v>0.155455080937214</v>
      </c>
      <c r="AP79" s="197" t="n">
        <v>0.169843059162047</v>
      </c>
      <c r="AQ79" s="197" t="n">
        <v>0.135261137444865</v>
      </c>
      <c r="AR79" s="197" t="n">
        <v>0.121386090778492</v>
      </c>
      <c r="AS79" s="197" t="n">
        <v>0.110091369076996</v>
      </c>
      <c r="AT79" s="197" t="n">
        <v>0.134694625231671</v>
      </c>
      <c r="AU79" s="197" t="n">
        <v>0.120344049974512</v>
      </c>
      <c r="AV79" s="197" t="n">
        <v>0.0834980536988392</v>
      </c>
      <c r="AW79" s="197" t="n">
        <v>0.08948095142983679</v>
      </c>
      <c r="AX79" s="197" t="n">
        <v>0.0939152748782185</v>
      </c>
      <c r="AY79" s="197" t="n">
        <v>0.07357773782196191</v>
      </c>
      <c r="AZ79" s="197" t="n">
        <v>0.07357409641760861</v>
      </c>
      <c r="BA79" s="197" t="n">
        <v>0.0810101052789752</v>
      </c>
      <c r="BB79" s="197" t="n">
        <v>0.0842232504704009</v>
      </c>
      <c r="BC79" s="197" t="n">
        <v>0.0591103609363545</v>
      </c>
      <c r="BD79" s="197" t="n">
        <v>0.0539937996754193</v>
      </c>
      <c r="BE79" s="197" t="n">
        <v>0.0591492892705101</v>
      </c>
      <c r="BF79" s="197" t="n">
        <v>0.0601703555748922</v>
      </c>
      <c r="BG79" s="197" t="n">
        <v>0.0540299049881235</v>
      </c>
      <c r="BH79" s="197" t="n">
        <v>0.0551018682110968</v>
      </c>
      <c r="BI79" s="197" t="n">
        <v>0.0534773019008503</v>
      </c>
      <c r="BJ79" s="197" t="n">
        <v>0.0637106479641318</v>
      </c>
      <c r="BK79" s="197" t="n">
        <v>0.0480057639928642</v>
      </c>
      <c r="BL79" s="197" t="n">
        <v>0.043944568986131</v>
      </c>
      <c r="BM79" s="197" t="n">
        <v>0.0444601246683479</v>
      </c>
      <c r="BN79" s="197" t="n">
        <v>0.0550981759399697</v>
      </c>
      <c r="BO79" s="197" t="n">
        <v>0.0431010021329656</v>
      </c>
      <c r="BP79" s="197" t="n">
        <v>0.0494486613248379</v>
      </c>
      <c r="BQ79" s="197" t="n">
        <v>0.049355663559759</v>
      </c>
      <c r="BR79" s="197" t="n">
        <v>0.058225046604948</v>
      </c>
      <c r="BS79" s="197" t="n">
        <v>0.0489567001932879</v>
      </c>
      <c r="BT79" s="197" t="n">
        <v>0.0416672829899108</v>
      </c>
      <c r="BU79" s="197" t="n">
        <v>0.0402660375640766</v>
      </c>
      <c r="BV79" s="197" t="n">
        <v>0.0477474922667264</v>
      </c>
      <c r="BW79" s="197" t="n">
        <v>0.0316109651241397</v>
      </c>
      <c r="BX79" s="197" t="n">
        <v>0.0308974365082795</v>
      </c>
      <c r="BY79" s="197" t="n">
        <v>0.0282312975123915</v>
      </c>
      <c r="BZ79" s="197" t="n">
        <v>0.0362982960381402</v>
      </c>
      <c r="CA79" s="197" t="n">
        <v>0.0285166756403227</v>
      </c>
      <c r="CB79" s="197" t="n">
        <v>0.0282116673548303</v>
      </c>
      <c r="CC79" s="197" t="n">
        <v>0.029355921967705</v>
      </c>
      <c r="CD79" s="197" t="n">
        <v>0.0290806424494803</v>
      </c>
      <c r="CE79" s="197" t="n">
        <v>0.020625</v>
      </c>
      <c r="CF79" s="197" t="n">
        <v>0.028125</v>
      </c>
      <c r="CG79" s="197" t="n">
        <v>0.03</v>
      </c>
      <c r="CH79" s="197" t="n">
        <v>0.033125</v>
      </c>
      <c r="CI79" s="197" t="n">
        <v>0.0225</v>
      </c>
      <c r="CJ79" s="197" t="n">
        <v>0.02625</v>
      </c>
      <c r="CK79" s="197" t="n">
        <v>0.025</v>
      </c>
      <c r="CL79" s="197" t="n">
        <v>0.026875</v>
      </c>
      <c r="CM79" s="197" t="n">
        <v>0.020625</v>
      </c>
      <c r="CN79" s="197" t="n">
        <v>0.02125</v>
      </c>
      <c r="CO79" s="197" t="n">
        <v>0.020625</v>
      </c>
      <c r="CP79" s="197" t="n">
        <v>0.023125</v>
      </c>
      <c r="CQ79" s="197" t="n">
        <v>0.018125</v>
      </c>
      <c r="CR79" s="197" t="n">
        <v>0.015625</v>
      </c>
      <c r="CS79" s="197" t="n">
        <v>0.016875</v>
      </c>
      <c r="CT79" s="197" t="n">
        <v>0.02125</v>
      </c>
      <c r="CU79" s="197" t="n">
        <v>0.01625</v>
      </c>
      <c r="CV79" s="197" t="n">
        <v>0.015625</v>
      </c>
      <c r="CW79" s="197" t="n">
        <v>0.015</v>
      </c>
      <c r="CX79" s="197" t="n">
        <v>0.0175</v>
      </c>
      <c r="CY79" s="197" t="n">
        <v>0.0125</v>
      </c>
      <c r="CZ79" s="197" t="n">
        <v>0.010625</v>
      </c>
      <c r="DA79" s="197" t="n">
        <v>0.009375</v>
      </c>
      <c r="DB79" s="197" t="n">
        <v>0.010625</v>
      </c>
      <c r="DC79" s="197" t="n">
        <v>0.009375</v>
      </c>
      <c r="DD79" s="197" t="n">
        <v>0.01</v>
      </c>
      <c r="DE79" s="197" t="n">
        <v>0.010625</v>
      </c>
      <c r="DF79" s="197" t="n">
        <v>0.01125</v>
      </c>
      <c r="DG79" s="197" t="n">
        <v>0.008750000000000001</v>
      </c>
      <c r="DH79" s="197" t="n">
        <v>0.009583</v>
      </c>
      <c r="DI79" s="197" t="n">
        <v>0.006659</v>
      </c>
      <c r="DJ79" s="197" t="n">
        <v>0.005836</v>
      </c>
      <c r="DK79" s="197" t="n">
        <v>0.007083</v>
      </c>
      <c r="DL79" s="197" t="n">
        <v>0.006667</v>
      </c>
      <c r="DM79" s="197" t="n">
        <v>0.00625</v>
      </c>
      <c r="DN79" s="197" t="n">
        <v>0.00625</v>
      </c>
      <c r="DO79" s="197" t="n">
        <v>0.005</v>
      </c>
      <c r="DP79" s="197" t="n">
        <v>0.001668</v>
      </c>
      <c r="DQ79" s="197" t="n">
        <v>0.004512</v>
      </c>
      <c r="DR79" s="197" t="n">
        <v>0.001668</v>
      </c>
      <c r="DS79" s="197" t="n">
        <v>0.001251</v>
      </c>
      <c r="DT79" s="197" t="n">
        <v>0.000556</v>
      </c>
      <c r="DU79" s="197" t="n">
        <v>0.01052</v>
      </c>
      <c r="DV79" s="197" t="n">
        <v>0.000625</v>
      </c>
      <c r="DW79" s="197" t="n">
        <v>0.000486</v>
      </c>
      <c r="DX79" s="197" t="n">
        <v>0.000417</v>
      </c>
      <c r="DY79" s="197" t="n">
        <v>0.000487</v>
      </c>
      <c r="DZ79" s="197" t="n">
        <v>0.000486</v>
      </c>
      <c r="EA79" s="197" t="n">
        <v>0.000417</v>
      </c>
      <c r="EB79" s="197" t="n">
        <v>0.000347</v>
      </c>
      <c r="EC79" s="197" t="n">
        <v>0.000486</v>
      </c>
      <c r="ED79" s="197" t="n">
        <v>0.000417</v>
      </c>
      <c r="EE79" s="197" t="n">
        <v>0.000417</v>
      </c>
      <c r="EF79" s="197" t="n">
        <v>0.000347</v>
      </c>
      <c r="EG79" s="197" t="n">
        <v>0.000417</v>
      </c>
      <c r="EH79" s="197" t="n">
        <v>0.000347</v>
      </c>
      <c r="EI79" s="197" t="n">
        <v>0.000278</v>
      </c>
      <c r="EJ79" s="197" t="n">
        <v>0.000278</v>
      </c>
      <c r="EK79" s="197" t="n">
        <v>0.000764</v>
      </c>
      <c r="EL79" s="197" t="n">
        <v>0.000139</v>
      </c>
      <c r="EM79" s="197" t="n">
        <v>-0.000139</v>
      </c>
      <c r="EN79" s="197" t="n">
        <v>-0.000139</v>
      </c>
      <c r="EO79" s="182" t="n"/>
      <c r="EP79" s="176" t="n"/>
      <c r="EQ79" s="176" t="n"/>
      <c r="ER79" s="176" t="n"/>
      <c r="ES79" s="176" t="n"/>
      <c r="ET79" s="176" t="n"/>
      <c r="EU79" s="176" t="n"/>
      <c r="EV79" s="176" t="n"/>
      <c r="EW79" s="176" t="n"/>
      <c r="EX79" s="176" t="n"/>
      <c r="EY79" s="176" t="n"/>
      <c r="EZ79" s="176" t="n"/>
      <c r="FA79" s="176" t="n"/>
      <c r="FB79" s="176" t="n"/>
      <c r="FC79" s="176" t="n"/>
      <c r="FD79" s="176" t="n"/>
      <c r="FE79" s="176" t="n"/>
      <c r="FF79" s="176" t="n"/>
      <c r="FG79" s="176" t="n"/>
      <c r="FH79" s="176" t="n"/>
      <c r="FI79" s="176" t="n"/>
      <c r="FJ79" s="176" t="n"/>
      <c r="FK79" s="176" t="n"/>
      <c r="FL79" s="176" t="n"/>
      <c r="FM79" s="176" t="n"/>
    </row>
    <row r="80" ht="15" customHeight="1" s="392">
      <c r="A80" s="176" t="n"/>
      <c r="B80" s="180" t="n"/>
      <c r="C80" s="183" t="inlineStr">
        <is>
          <t xml:space="preserve">        Recommended Normalized Diluted EPS</t>
        </is>
      </c>
      <c r="D80" s="191">
        <f>IF(COUNT(M80:EN80)&gt;0,MEDIAN(M80:EN80),"")</f>
        <v/>
      </c>
      <c r="E80" s="191">
        <f>IF(COUNT(M80:EN80)&gt;0,AVERAGE(M80:EN80),"")</f>
        <v/>
      </c>
      <c r="F80" s="191">
        <f>IF(COUNT(M80:EN80)&gt;0,MIN(M80:EN80),"")</f>
        <v/>
      </c>
      <c r="G80" s="191">
        <f>IF(COUNT(M80:EN80)&gt;0,MAX(M80:EN80),"")</f>
        <v/>
      </c>
      <c r="H80" s="191">
        <f>IF(COUNT(M80:EN80)&gt;0,QUARTILE(M80:EN80,1),"")</f>
        <v/>
      </c>
      <c r="I80" s="191">
        <f>IF(COUNT(M80:EN80)&gt;0,QUARTILE(M80:EN80,3),"")</f>
        <v/>
      </c>
      <c r="J80" s="191">
        <f>IF(COUNT(M80:EN80)&gt;1,STDEV(M80:EN80),"")</f>
        <v/>
      </c>
      <c r="K80" s="191">
        <f>IF(COUNT(M80:EN80)&gt;1,STDEV(M80:EN80)/AVERAGE(M80:EN80),"")</f>
        <v/>
      </c>
      <c r="M80" s="197" t="n">
        <v>0.358031034807464</v>
      </c>
      <c r="N80" s="197" t="n">
        <v>0.439617642980322</v>
      </c>
      <c r="O80" s="197" t="n">
        <v>0.369069348042339</v>
      </c>
      <c r="P80" s="197" t="n">
        <v>0.41692433323099</v>
      </c>
      <c r="Q80" s="197" t="n">
        <v>0.406969608390817</v>
      </c>
      <c r="R80" s="197" t="n">
        <v>0.426861089328272</v>
      </c>
      <c r="S80" s="197" t="n">
        <v>0.407903344888589</v>
      </c>
      <c r="T80" s="197" t="n">
        <v>0.378423501750117</v>
      </c>
      <c r="U80" s="197" t="n">
        <v>0.336723305682987</v>
      </c>
      <c r="V80" s="197" t="n">
        <v>0.396478992672398</v>
      </c>
      <c r="W80" s="197" t="n">
        <v>0.337669793112789</v>
      </c>
      <c r="X80" s="197" t="n">
        <v>0.345878324390078</v>
      </c>
      <c r="Y80" s="197" t="n">
        <v>0.17</v>
      </c>
      <c r="Z80" s="197" t="n">
        <v>0.36</v>
      </c>
      <c r="AA80" s="197" t="n">
        <v>0.305</v>
      </c>
      <c r="AB80" s="197" t="n">
        <v>0.1275</v>
      </c>
      <c r="AC80" s="197" t="n">
        <v>0.14</v>
      </c>
      <c r="AD80" s="197" t="n">
        <v>0.2925</v>
      </c>
      <c r="AE80" s="197" t="n">
        <v>0.275</v>
      </c>
      <c r="AF80" s="197" t="n">
        <v>0.2675</v>
      </c>
      <c r="AG80" s="197" t="n">
        <v>0.2575</v>
      </c>
      <c r="AH80" s="197" t="n">
        <v>0.2725</v>
      </c>
      <c r="AI80" s="197" t="n">
        <v>0.2</v>
      </c>
      <c r="AJ80" s="197" t="n">
        <v>0.1975</v>
      </c>
      <c r="AK80" s="197" t="n">
        <v>0.17</v>
      </c>
      <c r="AL80" s="197" t="n">
        <v>0.145</v>
      </c>
      <c r="AM80" s="197" t="n">
        <v>0.1625</v>
      </c>
      <c r="AN80" s="197" t="n">
        <v>0.1625</v>
      </c>
      <c r="AO80" s="197" t="n">
        <v>0.15</v>
      </c>
      <c r="AP80" s="197" t="n">
        <v>0.165</v>
      </c>
      <c r="AQ80" s="197" t="n">
        <v>0.13</v>
      </c>
      <c r="AR80" s="197" t="n">
        <v>0.1175</v>
      </c>
      <c r="AS80" s="197" t="n">
        <v>0.105</v>
      </c>
      <c r="AT80" s="197" t="n">
        <v>0.13</v>
      </c>
      <c r="AU80" s="197" t="n">
        <v>0.1175</v>
      </c>
      <c r="AV80" s="197" t="n">
        <v>0.0825</v>
      </c>
      <c r="AW80" s="197" t="n">
        <v>0.08749999999999999</v>
      </c>
      <c r="AX80" s="197" t="n">
        <v>0.0925</v>
      </c>
      <c r="AY80" s="197" t="n">
        <v>0.0725</v>
      </c>
      <c r="AZ80" s="197" t="n">
        <v>0.07124999999999999</v>
      </c>
      <c r="BA80" s="197" t="n">
        <v>0.075</v>
      </c>
      <c r="BB80" s="197" t="n">
        <v>0.08</v>
      </c>
      <c r="BC80" s="197" t="n">
        <v>0.05625</v>
      </c>
      <c r="BD80" s="197" t="n">
        <v>0.05125</v>
      </c>
      <c r="BE80" s="197" t="n">
        <v>0.05625</v>
      </c>
      <c r="BF80" s="197" t="n">
        <v>0.057554971087766</v>
      </c>
      <c r="BG80" s="197" t="n">
        <v>0.0526624454016016</v>
      </c>
      <c r="BH80" s="197" t="n">
        <v>0.0524970155949421</v>
      </c>
      <c r="BI80" s="197" t="n">
        <v>0.0520773897324504</v>
      </c>
      <c r="BJ80" s="197" t="n">
        <v>0.0614342192324658</v>
      </c>
      <c r="BK80" s="197" t="n">
        <v>0.0466288167138313</v>
      </c>
      <c r="BL80" s="197" t="n">
        <v>0.0425864200954815</v>
      </c>
      <c r="BM80" s="197" t="n">
        <v>0.0430814670358715</v>
      </c>
      <c r="BN80" s="197" t="n">
        <v>0.0537434765954187</v>
      </c>
      <c r="BO80" s="197" t="n">
        <v>0.0417358158971587</v>
      </c>
      <c r="BP80" s="197" t="n">
        <v>0.048094813696263</v>
      </c>
      <c r="BQ80" s="197" t="n">
        <v>0.0479802958644317</v>
      </c>
      <c r="BR80" s="197" t="n">
        <v>0.0568797422020529</v>
      </c>
      <c r="BS80" s="197" t="n">
        <v>0.0474831740633787</v>
      </c>
      <c r="BT80" s="197" t="n">
        <v>0.0416156099156212</v>
      </c>
      <c r="BU80" s="197" t="n">
        <v>0.038955653704286</v>
      </c>
      <c r="BV80" s="197" t="n">
        <v>0.0464500713605355</v>
      </c>
      <c r="BW80" s="197" t="n">
        <v>0.0309664578937846</v>
      </c>
      <c r="BX80" s="197" t="n">
        <v>0.0308757250122725</v>
      </c>
      <c r="BY80" s="197" t="n">
        <v>0.0282184661632615</v>
      </c>
      <c r="BZ80" s="197" t="n">
        <v>0.0356388604020801</v>
      </c>
      <c r="CA80" s="197" t="n">
        <v>0.0284948167809562</v>
      </c>
      <c r="CB80" s="197" t="n">
        <v>0.0281908147671129</v>
      </c>
      <c r="CC80" s="197" t="n">
        <v>0.0293090551759211</v>
      </c>
      <c r="CD80" s="197" t="n">
        <v>0.0290931236429016</v>
      </c>
      <c r="CE80" s="197" t="n">
        <v>0.02</v>
      </c>
      <c r="CF80" s="197" t="n">
        <v>0.0275</v>
      </c>
      <c r="CG80" s="197" t="n">
        <v>0.029375</v>
      </c>
      <c r="CH80" s="197" t="n">
        <v>0.0325</v>
      </c>
      <c r="CI80" s="197" t="n">
        <v>0.021875</v>
      </c>
      <c r="CJ80" s="197" t="n">
        <v>0.025625</v>
      </c>
      <c r="CK80" s="197" t="n">
        <v>0.025</v>
      </c>
      <c r="CL80" s="197" t="n">
        <v>0.025625</v>
      </c>
      <c r="CM80" s="197" t="n">
        <v>0.02</v>
      </c>
      <c r="CN80" s="197" t="n">
        <v>0.02</v>
      </c>
      <c r="CO80" s="197" t="n">
        <v>0.020625</v>
      </c>
      <c r="CP80" s="197" t="n">
        <v>0.0225</v>
      </c>
      <c r="CQ80" s="197" t="n">
        <v>0.0175</v>
      </c>
      <c r="CR80" s="197" t="n">
        <v>0.015</v>
      </c>
      <c r="CS80" s="197" t="n">
        <v>0.016875</v>
      </c>
      <c r="CT80" s="197" t="n">
        <v>0.020625</v>
      </c>
      <c r="CU80" s="197" t="n">
        <v>0.015625</v>
      </c>
      <c r="CV80" s="197" t="n">
        <v>0.015</v>
      </c>
      <c r="CW80" s="197" t="n">
        <v>0.015</v>
      </c>
      <c r="CX80" s="197" t="n">
        <v>0.016875</v>
      </c>
      <c r="CY80" s="197" t="n">
        <v>0.011875</v>
      </c>
      <c r="CZ80" s="197" t="n">
        <v>0.010625</v>
      </c>
      <c r="DA80" s="197" t="n">
        <v>0.009375</v>
      </c>
      <c r="DB80" s="197" t="n">
        <v>0.010625</v>
      </c>
      <c r="DC80" s="197" t="n">
        <v>0.009375</v>
      </c>
      <c r="DD80" s="197" t="n">
        <v>0.01</v>
      </c>
      <c r="DE80" s="197" t="n">
        <v>0.010625</v>
      </c>
      <c r="DF80" s="197" t="n">
        <v>0.01125</v>
      </c>
      <c r="DG80" s="197" t="n">
        <v>0.008750000000000001</v>
      </c>
      <c r="DH80" s="197" t="n">
        <v>0.009167</v>
      </c>
      <c r="DI80" s="197" t="n">
        <v>0.006103</v>
      </c>
      <c r="DJ80" s="197" t="n">
        <v>0.005558</v>
      </c>
      <c r="DK80" s="197" t="n">
        <v>0.007083</v>
      </c>
      <c r="DL80" s="197" t="n">
        <v>0.006667</v>
      </c>
      <c r="DM80" s="197" t="n">
        <v>0.00625</v>
      </c>
      <c r="DN80" s="197" t="n">
        <v>0.00625</v>
      </c>
      <c r="DO80" s="197" t="n">
        <v>0.005</v>
      </c>
      <c r="DP80" s="197" t="n">
        <v>0.001668</v>
      </c>
      <c r="DQ80" s="197" t="n">
        <v>0.004442</v>
      </c>
      <c r="DR80" s="197" t="n">
        <v>0.001668</v>
      </c>
      <c r="DS80" s="197" t="n">
        <v>0.001251</v>
      </c>
      <c r="DT80" s="197" t="n">
        <v>0.000556</v>
      </c>
      <c r="DU80" s="197" t="n">
        <v>0.010312</v>
      </c>
      <c r="DV80" s="197" t="n">
        <v>0.000556</v>
      </c>
      <c r="DW80" s="197" t="n">
        <v>0.000486</v>
      </c>
      <c r="DX80" s="197" t="n">
        <v>0.000417</v>
      </c>
      <c r="DY80" s="197" t="n">
        <v>0.000417</v>
      </c>
      <c r="DZ80" s="197" t="n">
        <v>0.000486</v>
      </c>
      <c r="EA80" s="197" t="n">
        <v>0.000417</v>
      </c>
      <c r="EB80" s="197" t="n">
        <v>0.000347</v>
      </c>
      <c r="EC80" s="197" t="n">
        <v>0.000417</v>
      </c>
      <c r="ED80" s="197" t="n">
        <v>0.000417</v>
      </c>
      <c r="EE80" s="197" t="n">
        <v>0.000417</v>
      </c>
      <c r="EF80" s="197" t="n">
        <v>0.000347</v>
      </c>
      <c r="EG80" s="197" t="n">
        <v>0.000347</v>
      </c>
      <c r="EH80" s="197" t="n">
        <v>0.000347</v>
      </c>
      <c r="EI80" s="197" t="n">
        <v>0.000278</v>
      </c>
      <c r="EJ80" s="197" t="n">
        <v>0.000278</v>
      </c>
      <c r="EK80" s="197" t="n">
        <v>0.000695</v>
      </c>
      <c r="EL80" s="197" t="n">
        <v>0.000139</v>
      </c>
      <c r="EM80" s="197" t="n">
        <v>-0.000139</v>
      </c>
      <c r="EN80" s="197" t="n">
        <v>-0.000139</v>
      </c>
      <c r="EO80" s="182" t="n"/>
      <c r="EP80" s="176" t="n"/>
      <c r="EQ80" s="176" t="n"/>
      <c r="ER80" s="176" t="n"/>
      <c r="ES80" s="176" t="n"/>
      <c r="ET80" s="176" t="n"/>
      <c r="EU80" s="176" t="n"/>
      <c r="EV80" s="176" t="n"/>
      <c r="EW80" s="176" t="n"/>
      <c r="EX80" s="176" t="n"/>
      <c r="EY80" s="176" t="n"/>
      <c r="EZ80" s="176" t="n"/>
      <c r="FA80" s="176" t="n"/>
      <c r="FB80" s="176" t="n"/>
      <c r="FC80" s="176" t="n"/>
      <c r="FD80" s="176" t="n"/>
      <c r="FE80" s="176" t="n"/>
      <c r="FF80" s="176" t="n"/>
      <c r="FG80" s="176" t="n"/>
      <c r="FH80" s="176" t="n"/>
      <c r="FI80" s="176" t="n"/>
      <c r="FJ80" s="176" t="n"/>
      <c r="FK80" s="176" t="n"/>
      <c r="FL80" s="176" t="n"/>
      <c r="FM80" s="176" t="n"/>
    </row>
    <row r="81" ht="15" customHeight="1" s="392">
      <c r="A81" s="176" t="n"/>
      <c r="B81" s="180" t="n"/>
      <c r="C81" s="183" t="inlineStr">
        <is>
          <t xml:space="preserve">        Sales per Share</t>
        </is>
      </c>
      <c r="D81" s="191">
        <f>IF(COUNT(M81:EN81)&gt;0,MEDIAN(M81:EN81),"")</f>
        <v/>
      </c>
      <c r="E81" s="191">
        <f>IF(COUNT(M81:EN81)&gt;0,AVERAGE(M81:EN81),"")</f>
        <v/>
      </c>
      <c r="F81" s="191">
        <f>IF(COUNT(M81:EN81)&gt;0,MIN(M81:EN81),"")</f>
        <v/>
      </c>
      <c r="G81" s="191">
        <f>IF(COUNT(M81:EN81)&gt;0,MAX(M81:EN81),"")</f>
        <v/>
      </c>
      <c r="H81" s="191">
        <f>IF(COUNT(M81:EN81)&gt;0,QUARTILE(M81:EN81,1),"")</f>
        <v/>
      </c>
      <c r="I81" s="191">
        <f>IF(COUNT(M81:EN81)&gt;0,QUARTILE(M81:EN81,3),"")</f>
        <v/>
      </c>
      <c r="J81" s="191">
        <f>IF(COUNT(M81:EN81)&gt;1,STDEV(M81:EN81),"")</f>
        <v/>
      </c>
      <c r="K81" s="191">
        <f>IF(COUNT(M81:EN81)&gt;1,STDEV(M81:EN81)/AVERAGE(M81:EN81),"")</f>
        <v/>
      </c>
      <c r="M81" s="197" t="n">
        <v>1.23633681635806</v>
      </c>
      <c r="N81" s="197" t="n">
        <v>1.31216097245352</v>
      </c>
      <c r="O81" s="197" t="n">
        <v>1.15032986732493</v>
      </c>
      <c r="P81" s="197" t="n">
        <v>1.1821000921093</v>
      </c>
      <c r="Q81" s="197" t="n">
        <v>1.15064476573358</v>
      </c>
      <c r="R81" s="197" t="n">
        <v>1.23886067627793</v>
      </c>
      <c r="S81" s="197" t="n">
        <v>1.18959413442955</v>
      </c>
      <c r="T81" s="197" t="n">
        <v>1.17442084329231</v>
      </c>
      <c r="U81" s="197" t="n">
        <v>1.09470934364484</v>
      </c>
      <c r="V81" s="197" t="n">
        <v>1.15445211967904</v>
      </c>
      <c r="W81" s="197" t="n">
        <v>1.04674791117076</v>
      </c>
      <c r="X81" s="197" t="n">
        <v>1.05015426857758</v>
      </c>
      <c r="Y81" s="197" t="n">
        <v>1.02814754503855</v>
      </c>
      <c r="Z81" s="197" t="n">
        <v>1.05628708470301</v>
      </c>
      <c r="AA81" s="197" t="n">
        <v>0.9913498681963629</v>
      </c>
      <c r="AB81" s="197" t="n">
        <v>0.926411541205555</v>
      </c>
      <c r="AC81" s="197" t="n">
        <v>0.917367284207028</v>
      </c>
      <c r="AD81" s="197" t="n">
        <v>0.976160457619514</v>
      </c>
      <c r="AE81" s="197" t="n">
        <v>0.899157085580898</v>
      </c>
      <c r="AF81" s="197" t="n">
        <v>0.839615953834865</v>
      </c>
      <c r="AG81" s="197" t="n">
        <v>0.777513054965872</v>
      </c>
      <c r="AH81" s="197" t="n">
        <v>0.763827599413841</v>
      </c>
      <c r="AI81" s="197" t="n">
        <v>0.641991634759447</v>
      </c>
      <c r="AJ81" s="197" t="n">
        <v>0.617728197092946</v>
      </c>
      <c r="AK81" s="197" t="n">
        <v>0.550008998376107</v>
      </c>
      <c r="AL81" s="197" t="n">
        <v>0.576677242645364</v>
      </c>
      <c r="AM81" s="197" t="n">
        <v>0.6029479599111</v>
      </c>
      <c r="AN81" s="197" t="n">
        <v>0.58076275234432</v>
      </c>
      <c r="AO81" s="197" t="n">
        <v>0.569123471708246</v>
      </c>
      <c r="AP81" s="197" t="n">
        <v>0.581267970339482</v>
      </c>
      <c r="AQ81" s="197" t="n">
        <v>0.503716861962935</v>
      </c>
      <c r="AR81" s="197" t="n">
        <v>0.471118263583116</v>
      </c>
      <c r="AS81" s="197" t="n">
        <v>0.459482321269301</v>
      </c>
      <c r="AT81" s="197" t="n">
        <v>0.492054247612776</v>
      </c>
      <c r="AU81" s="197" t="n">
        <v>0.475540686112032</v>
      </c>
      <c r="AV81" s="197" t="n">
        <v>0.438844010033879</v>
      </c>
      <c r="AW81" s="197" t="n">
        <v>0.39826721424604</v>
      </c>
      <c r="AX81" s="197" t="n">
        <v>0.394144685516689</v>
      </c>
      <c r="AY81" s="197" t="n">
        <v>0.370914477817206</v>
      </c>
      <c r="AZ81" s="197" t="n">
        <v>0.363805844598289</v>
      </c>
      <c r="BA81" s="197" t="n">
        <v>0.360270100502513</v>
      </c>
      <c r="BB81" s="197" t="n">
        <v>0.367204287430418</v>
      </c>
      <c r="BC81" s="197" t="n">
        <v>0.300639184027221</v>
      </c>
      <c r="BD81" s="197" t="n">
        <v>0.283967391304348</v>
      </c>
      <c r="BE81" s="197" t="n">
        <v>0.271037360493429</v>
      </c>
      <c r="BF81" s="197" t="n">
        <v>0.281120386909267</v>
      </c>
      <c r="BG81" s="197" t="n">
        <v>0.261861881218151</v>
      </c>
      <c r="BH81" s="197" t="n">
        <v>0.275996639217744</v>
      </c>
      <c r="BI81" s="197" t="n">
        <v>0.27296121852091</v>
      </c>
      <c r="BJ81" s="197" t="n">
        <v>0.294443895167546</v>
      </c>
      <c r="BK81" s="197" t="n">
        <v>0.273104324147032</v>
      </c>
      <c r="BL81" s="197" t="n">
        <v>0.267664644316252</v>
      </c>
      <c r="BM81" s="197" t="n">
        <v>0.252355150132447</v>
      </c>
      <c r="BN81" s="197" t="n">
        <v>0.26587566076764</v>
      </c>
      <c r="BO81" s="197" t="n">
        <v>0.256895653180976</v>
      </c>
      <c r="BP81" s="197" t="n">
        <v>0.232408755146996</v>
      </c>
      <c r="BQ81" s="197" t="n">
        <v>0.218119151230408</v>
      </c>
      <c r="BR81" s="197" t="n">
        <v>0.233904876160397</v>
      </c>
      <c r="BS81" s="197" t="n">
        <v>0.216490614788358</v>
      </c>
      <c r="BT81" s="197" t="n">
        <v>0.210783471099087</v>
      </c>
      <c r="BU81" s="197" t="n">
        <v>0.195056278247769</v>
      </c>
      <c r="BV81" s="197" t="n">
        <v>0.20831573575476</v>
      </c>
      <c r="BW81" s="197" t="n">
        <v>0.158150814471356</v>
      </c>
      <c r="BX81" s="197" t="n">
        <v>0.157473254271023</v>
      </c>
      <c r="BY81" s="197" t="n">
        <v>0.139901868609707</v>
      </c>
      <c r="BZ81" s="197" t="n">
        <v>0.161739706158688</v>
      </c>
      <c r="CA81" s="197" t="n">
        <v>0.129965293722844</v>
      </c>
      <c r="CB81" s="197" t="n">
        <v>0.136451858784197</v>
      </c>
      <c r="CC81" s="197" t="n">
        <v>0.135760243221268</v>
      </c>
      <c r="CD81" s="197" t="n">
        <v>0.145465723856479</v>
      </c>
      <c r="CE81" s="197" t="n">
        <v>0.126071034130585</v>
      </c>
      <c r="CF81" s="197" t="n">
        <v>0.140331252930145</v>
      </c>
      <c r="CG81" s="197" t="n">
        <v>0.148315540626043</v>
      </c>
      <c r="CH81" s="197" t="n">
        <v>0.154077998372479</v>
      </c>
      <c r="CI81" s="197" t="n">
        <v>0.118699566421775</v>
      </c>
      <c r="CJ81" s="197" t="n">
        <v>0.126781559446883</v>
      </c>
      <c r="CK81" s="197" t="n">
        <v>0.103573850061344</v>
      </c>
      <c r="CL81" s="197" t="n">
        <v>0.0970650956976062</v>
      </c>
      <c r="CM81" s="197" t="n">
        <v>0.08601238765184351</v>
      </c>
      <c r="CN81" s="197" t="n">
        <v>0.08843440428380191</v>
      </c>
      <c r="CO81" s="197" t="n">
        <v>0.09216719863300769</v>
      </c>
      <c r="CP81" s="197" t="n">
        <v>0.100603979156798</v>
      </c>
      <c r="CQ81" s="197" t="n">
        <v>0.08440225722181439</v>
      </c>
      <c r="CR81" s="197" t="n">
        <v>0.07868206082174049</v>
      </c>
      <c r="CS81" s="197" t="n">
        <v>0.0741970679492823</v>
      </c>
      <c r="CT81" s="197" t="n">
        <v>0.08577604726100969</v>
      </c>
      <c r="CU81" s="197" t="n">
        <v>0.07228565522277471</v>
      </c>
      <c r="CV81" s="197" t="n">
        <v>0.0702428374031133</v>
      </c>
      <c r="CW81" s="197" t="n">
        <v>0.0610490588489831</v>
      </c>
      <c r="CX81" s="197" t="n">
        <v>0.0792465805553743</v>
      </c>
      <c r="CY81" s="197" t="n">
        <v>0.0632857170964826</v>
      </c>
      <c r="CZ81" s="197" t="n">
        <v>0.06269425179199679</v>
      </c>
      <c r="DA81" s="197" t="n">
        <v>0.0596951179446744</v>
      </c>
      <c r="DB81" s="197" t="n">
        <v>0.0633971430731267</v>
      </c>
      <c r="DC81" s="197" t="n">
        <v>0.0549907905169427</v>
      </c>
      <c r="DD81" s="197" t="n">
        <v>0.0554819958896959</v>
      </c>
      <c r="DE81" s="197" t="n">
        <v>0.0547572945492329</v>
      </c>
      <c r="DF81" s="197" t="n">
        <v>0.0602559273406205</v>
      </c>
      <c r="DG81" s="197" t="n">
        <v>0.0482330045288102</v>
      </c>
      <c r="DH81" s="197" t="n">
        <v>0.0523894655299677</v>
      </c>
      <c r="DI81" s="197" t="n">
        <v>0.033767636332863</v>
      </c>
      <c r="DJ81" s="197" t="n">
        <v>0.0348947172536233</v>
      </c>
      <c r="DK81" s="197" t="n">
        <v>0.04182262037677</v>
      </c>
      <c r="DL81" s="197" t="n">
        <v>0.0421731333800977</v>
      </c>
      <c r="DM81" s="197" t="n">
        <v>0.0394101208487051</v>
      </c>
      <c r="DN81" s="197" t="n">
        <v>0.0397010650274182</v>
      </c>
      <c r="DO81" s="197" t="n">
        <v>0.0328916956469174</v>
      </c>
      <c r="DP81" s="197" t="n">
        <v>0.0314269219308701</v>
      </c>
      <c r="DQ81" s="197" t="n">
        <v>0.0306543738747129</v>
      </c>
      <c r="DR81" s="197" t="n">
        <v>0.0312906778812456</v>
      </c>
      <c r="DS81" s="197" t="n">
        <v>0.0251107689996996</v>
      </c>
      <c r="DT81" s="197" t="n">
        <v>0.0236244618003404</v>
      </c>
      <c r="DU81" s="197" t="n">
        <v>0.0216430728315373</v>
      </c>
      <c r="DV81" s="197" t="n">
        <v>0.0242949695121951</v>
      </c>
      <c r="DW81" s="197" t="n">
        <v>0.020801575203252</v>
      </c>
      <c r="DX81" s="197" t="n">
        <v>0.0218337144308943</v>
      </c>
      <c r="DY81" s="197" t="n">
        <v>0.0243626211546566</v>
      </c>
      <c r="DZ81" s="197" t="n">
        <v>0.0278194795617362</v>
      </c>
      <c r="EA81" s="197" t="n">
        <v>0.0250210703750527</v>
      </c>
      <c r="EB81" s="197" t="n">
        <v>0.0267494995785925</v>
      </c>
      <c r="EC81" s="197" t="n">
        <v>0.0264121770081791</v>
      </c>
      <c r="ED81" s="197" t="n">
        <v>0.0288515181968325</v>
      </c>
      <c r="EE81" s="197" t="n">
        <v>0.0219540706978813</v>
      </c>
      <c r="EF81" s="197" t="n">
        <v>0.0222064163380869</v>
      </c>
      <c r="EG81" s="197" t="n">
        <v>0.0248915320087515</v>
      </c>
      <c r="EH81" s="197" t="n">
        <v>0.0186104912214964</v>
      </c>
      <c r="EI81" s="197" t="n">
        <v>0.0127947127147788</v>
      </c>
      <c r="EJ81" s="197" t="n">
        <v>0.0112826103030322</v>
      </c>
      <c r="EK81" s="197" t="n">
        <v>0.00909267019755788</v>
      </c>
      <c r="EL81" s="197" t="n">
        <v>0.007896266224195</v>
      </c>
      <c r="EM81" s="197" t="n">
        <v>0.00514453708546038</v>
      </c>
      <c r="EN81" s="197" t="n">
        <v>0.00514453708546038</v>
      </c>
      <c r="EO81" s="182" t="n"/>
      <c r="EP81" s="176" t="n"/>
      <c r="EQ81" s="176" t="n"/>
      <c r="ER81" s="176" t="n"/>
      <c r="ES81" s="176" t="n"/>
      <c r="ET81" s="176" t="n"/>
      <c r="EU81" s="176" t="n"/>
      <c r="EV81" s="176" t="n"/>
      <c r="EW81" s="176" t="n"/>
      <c r="EX81" s="176" t="n"/>
      <c r="EY81" s="176" t="n"/>
      <c r="EZ81" s="176" t="n"/>
      <c r="FA81" s="176" t="n"/>
      <c r="FB81" s="176" t="n"/>
      <c r="FC81" s="176" t="n"/>
      <c r="FD81" s="176" t="n"/>
      <c r="FE81" s="176" t="n"/>
      <c r="FF81" s="176" t="n"/>
      <c r="FG81" s="176" t="n"/>
      <c r="FH81" s="176" t="n"/>
      <c r="FI81" s="176" t="n"/>
      <c r="FJ81" s="176" t="n"/>
      <c r="FK81" s="176" t="n"/>
      <c r="FL81" s="176" t="n"/>
      <c r="FM81" s="176" t="n"/>
    </row>
    <row r="82" ht="15" customHeight="1" s="392">
      <c r="A82" s="176" t="n"/>
      <c r="B82" s="180" t="n"/>
      <c r="C82" s="183" t="inlineStr">
        <is>
          <t xml:space="preserve">    Reported Normalized and Operating Income/Expense Supplemental Section</t>
        </is>
      </c>
      <c r="D82" s="185" t="n"/>
      <c r="E82" s="185" t="n"/>
      <c r="F82" s="185" t="n"/>
      <c r="G82" s="185" t="n"/>
      <c r="H82" s="185" t="n"/>
      <c r="I82" s="185" t="n"/>
      <c r="J82" s="185" t="n"/>
      <c r="K82" s="185" t="n"/>
      <c r="EO82" s="182" t="n"/>
      <c r="EP82" s="176" t="n"/>
      <c r="EQ82" s="176" t="n"/>
      <c r="ER82" s="176" t="n"/>
      <c r="ES82" s="176" t="n"/>
      <c r="ET82" s="176" t="n"/>
      <c r="EU82" s="176" t="n"/>
      <c r="EV82" s="176" t="n"/>
      <c r="EW82" s="176" t="n"/>
      <c r="EX82" s="176" t="n"/>
      <c r="EY82" s="176" t="n"/>
      <c r="EZ82" s="176" t="n"/>
      <c r="FA82" s="176" t="n"/>
      <c r="FB82" s="176" t="n"/>
      <c r="FC82" s="176" t="n"/>
      <c r="FD82" s="176" t="n"/>
      <c r="FE82" s="176" t="n"/>
      <c r="FF82" s="176" t="n"/>
      <c r="FG82" s="176" t="n"/>
      <c r="FH82" s="176" t="n"/>
      <c r="FI82" s="176" t="n"/>
      <c r="FJ82" s="176" t="n"/>
      <c r="FK82" s="176" t="n"/>
      <c r="FL82" s="176" t="n"/>
      <c r="FM82" s="176" t="n"/>
    </row>
    <row r="83" ht="15" customHeight="1" s="392">
      <c r="A83" s="176" t="n"/>
      <c r="B83" s="180" t="n"/>
      <c r="C83" s="183" t="inlineStr">
        <is>
          <t xml:space="preserve">        Reported Total Revenue</t>
        </is>
      </c>
      <c r="D83" s="190">
        <f>IF(COUNT(M83:EN83)&gt;0,MEDIAN(M83:EN83),"")</f>
        <v/>
      </c>
      <c r="E83" s="190">
        <f>IF(COUNT(M83:EN83)&gt;0,AVERAGE(M83:EN83),"")</f>
        <v/>
      </c>
      <c r="F83" s="190">
        <f>IF(COUNT(M83:EN83)&gt;0,MIN(M83:EN83),"")</f>
        <v/>
      </c>
      <c r="G83" s="190">
        <f>IF(COUNT(M83:EN83)&gt;0,MAX(M83:EN83),"")</f>
        <v/>
      </c>
      <c r="H83" s="190">
        <f>IF(COUNT(M83:EN83)&gt;0,QUARTILE(M83:EN83,1),"")</f>
        <v/>
      </c>
      <c r="I83" s="190">
        <f>IF(COUNT(M83:EN83)&gt;0,QUARTILE(M83:EN83,3),"")</f>
        <v/>
      </c>
      <c r="J83" s="190">
        <f>IF(COUNT(M83:EN83)&gt;1,STDEV(M83:EN83),"")</f>
        <v/>
      </c>
      <c r="K83" s="191">
        <f>IF(COUNT(M83:EN83)&gt;1,STDEV(M83:EN83)/AVERAGE(M83:EN83),"")</f>
        <v/>
      </c>
      <c r="M83" s="192" t="n">
        <v>1152439</v>
      </c>
      <c r="N83" s="192" t="n">
        <v>1237066</v>
      </c>
      <c r="O83" s="192" t="n">
        <v>1121674</v>
      </c>
      <c r="P83" s="192" t="n">
        <v>1155030</v>
      </c>
      <c r="Q83" s="192" t="n">
        <v>1125097</v>
      </c>
      <c r="R83" s="192" t="n">
        <v>1211716</v>
      </c>
      <c r="S83" s="192" t="n">
        <v>1163316</v>
      </c>
      <c r="T83" s="192" t="n">
        <v>1146829</v>
      </c>
      <c r="U83" s="192" t="n">
        <v>1068999</v>
      </c>
      <c r="V83" s="192" t="n">
        <v>1127259</v>
      </c>
      <c r="W83" s="192" t="n">
        <v>1020149</v>
      </c>
      <c r="X83" s="192" t="n">
        <v>1020416</v>
      </c>
      <c r="Y83" s="192" t="n">
        <v>997591</v>
      </c>
      <c r="Z83" s="192" t="n">
        <v>1021831</v>
      </c>
      <c r="AA83" s="192" t="n">
        <v>956724</v>
      </c>
      <c r="AB83" s="192" t="n">
        <v>893372</v>
      </c>
      <c r="AC83" s="192" t="n">
        <v>883388</v>
      </c>
      <c r="AD83" s="192" t="n">
        <v>939941</v>
      </c>
      <c r="AE83" s="192" t="n">
        <v>867460</v>
      </c>
      <c r="AF83" s="192" t="n">
        <v>810132</v>
      </c>
      <c r="AG83" s="192" t="n">
        <v>748630</v>
      </c>
      <c r="AH83" s="192" t="n">
        <v>733910</v>
      </c>
      <c r="AI83" s="192" t="n">
        <v>617031</v>
      </c>
      <c r="AJ83" s="192" t="n">
        <v>592940</v>
      </c>
      <c r="AK83" s="192" t="n">
        <v>525659</v>
      </c>
      <c r="AL83" s="192" t="n">
        <v>550360</v>
      </c>
      <c r="AM83" s="192" t="n">
        <v>575140</v>
      </c>
      <c r="AN83" s="192" t="n">
        <v>554424</v>
      </c>
      <c r="AO83" s="192" t="n">
        <v>542575</v>
      </c>
      <c r="AP83" s="192" t="n">
        <v>553116</v>
      </c>
      <c r="AQ83" s="192" t="n">
        <v>484898</v>
      </c>
      <c r="AR83" s="192" t="n">
        <v>461368</v>
      </c>
      <c r="AS83" s="192" t="n">
        <v>449223</v>
      </c>
      <c r="AT83" s="192" t="n">
        <v>478198</v>
      </c>
      <c r="AU83" s="192" t="n">
        <v>459106</v>
      </c>
      <c r="AV83" s="192" t="n">
        <v>419168</v>
      </c>
      <c r="AW83" s="192" t="n">
        <v>378596</v>
      </c>
      <c r="AX83" s="192" t="n">
        <v>373862</v>
      </c>
      <c r="AY83" s="192" t="n">
        <v>349532</v>
      </c>
      <c r="AZ83" s="192" t="n">
        <v>345991</v>
      </c>
      <c r="BA83" s="192" t="n">
        <v>332659</v>
      </c>
      <c r="BB83" s="192" t="n">
        <v>347246</v>
      </c>
      <c r="BC83" s="192" t="n">
        <v>299706</v>
      </c>
      <c r="BD83" s="192" t="n">
        <v>288838</v>
      </c>
      <c r="BE83" s="192" t="n">
        <v>282293</v>
      </c>
      <c r="BF83" s="192" t="n">
        <v>297142</v>
      </c>
      <c r="BG83" s="192" t="n">
        <v>276258</v>
      </c>
      <c r="BH83" s="192" t="n">
        <v>290386</v>
      </c>
      <c r="BI83" s="192" t="n">
        <v>287450</v>
      </c>
      <c r="BJ83" s="192" t="n">
        <v>309722</v>
      </c>
      <c r="BK83" s="192" t="n">
        <v>286434</v>
      </c>
      <c r="BL83" s="192" t="n">
        <v>279883</v>
      </c>
      <c r="BM83" s="192" t="n">
        <v>263697</v>
      </c>
      <c r="BN83" s="192" t="n">
        <v>277638</v>
      </c>
      <c r="BO83" s="192" t="n">
        <v>266185</v>
      </c>
      <c r="BP83" s="192" t="n">
        <v>238866</v>
      </c>
      <c r="BQ83" s="192" t="n">
        <v>226556</v>
      </c>
      <c r="BR83" s="192" t="n">
        <v>244105</v>
      </c>
      <c r="BS83" s="192" t="n">
        <v>227904</v>
      </c>
      <c r="BT83" s="192" t="n">
        <v>225626</v>
      </c>
      <c r="BU83" s="192" t="n">
        <v>215442</v>
      </c>
      <c r="BV83" s="192" t="n">
        <v>236755</v>
      </c>
      <c r="BW83" s="192" t="n">
        <v>207380</v>
      </c>
      <c r="BX83" s="192" t="n">
        <v>212667</v>
      </c>
      <c r="BY83" s="192" t="n">
        <v>190468</v>
      </c>
      <c r="BZ83" s="192" t="n">
        <v>220349</v>
      </c>
      <c r="CA83" s="192" t="n">
        <v>176601</v>
      </c>
      <c r="CB83" s="192" t="n">
        <v>185461</v>
      </c>
      <c r="CC83" s="192" t="n">
        <v>184332</v>
      </c>
      <c r="CD83" s="192" t="n">
        <v>197326</v>
      </c>
      <c r="CE83" s="192" t="n">
        <v>169855</v>
      </c>
      <c r="CF83" s="192" t="n">
        <v>191569</v>
      </c>
      <c r="CG83" s="192" t="n">
        <v>206282</v>
      </c>
      <c r="CH83" s="192" t="n">
        <v>221150</v>
      </c>
      <c r="CI83" s="192" t="n">
        <v>173459</v>
      </c>
      <c r="CJ83" s="192" t="n">
        <v>183957</v>
      </c>
      <c r="CK83" s="192" t="n">
        <v>153982</v>
      </c>
      <c r="CL83" s="192" t="n">
        <v>145652</v>
      </c>
      <c r="CM83" s="192" t="n">
        <v>128925</v>
      </c>
      <c r="CN83" s="192" t="n">
        <v>132121</v>
      </c>
      <c r="CO83" s="192" t="n">
        <v>137220</v>
      </c>
      <c r="CP83" s="192" t="n">
        <v>149512</v>
      </c>
      <c r="CQ83" s="192" t="n">
        <v>125099</v>
      </c>
      <c r="CR83" s="192" t="n">
        <v>116739</v>
      </c>
      <c r="CS83" s="192" t="n">
        <v>110575</v>
      </c>
      <c r="CT83" s="192" t="n">
        <v>127772</v>
      </c>
      <c r="CU83" s="192" t="n">
        <v>107701</v>
      </c>
      <c r="CV83" s="192" t="n">
        <v>104110</v>
      </c>
      <c r="CW83" s="192" t="n">
        <v>90294</v>
      </c>
      <c r="CX83" s="192" t="n">
        <v>116618</v>
      </c>
      <c r="CY83" s="192" t="n">
        <v>92635</v>
      </c>
      <c r="CZ83" s="192" t="n">
        <v>91466.60000000001</v>
      </c>
      <c r="DA83" s="192" t="n">
        <v>87216</v>
      </c>
      <c r="DB83" s="192" t="n">
        <v>93928.7</v>
      </c>
      <c r="DC83" s="192" t="n">
        <v>82783.39999999999</v>
      </c>
      <c r="DD83" s="192" t="n">
        <v>83494.89999999999</v>
      </c>
      <c r="DE83" s="192" t="n">
        <v>82632.7</v>
      </c>
      <c r="DF83" s="192" t="n">
        <v>90158.10000000001</v>
      </c>
      <c r="DG83" s="192" t="n">
        <v>71382.3</v>
      </c>
      <c r="DH83" s="192" t="n">
        <v>72282.5</v>
      </c>
      <c r="DI83" s="192" t="n">
        <v>68631.10000000001</v>
      </c>
      <c r="DJ83" s="192" t="n">
        <v>71480.60000000001</v>
      </c>
      <c r="DK83" s="192" t="n">
        <v>56638.2</v>
      </c>
      <c r="DL83" s="192" t="n">
        <v>57139.4</v>
      </c>
      <c r="DM83" s="192" t="n">
        <v>51327.3</v>
      </c>
      <c r="DN83" s="192" t="n">
        <v>53801.2</v>
      </c>
      <c r="DO83" s="192" t="n">
        <v>44400</v>
      </c>
      <c r="DP83" s="192" t="n">
        <v>40500</v>
      </c>
      <c r="DQ83" s="192" t="n">
        <v>39500</v>
      </c>
      <c r="DR83" s="192" t="n">
        <v>40000</v>
      </c>
      <c r="DS83" s="192" t="n">
        <v>32100</v>
      </c>
      <c r="DT83" s="192" t="n">
        <v>30200</v>
      </c>
      <c r="DU83" s="192" t="n">
        <v>30000</v>
      </c>
      <c r="DV83" s="192" t="n">
        <v>30600</v>
      </c>
      <c r="DW83" s="192" t="n">
        <v>26200</v>
      </c>
      <c r="DX83" s="192" t="n">
        <v>27500</v>
      </c>
      <c r="DY83" s="192" t="n">
        <v>29600</v>
      </c>
      <c r="DZ83" s="192" t="n">
        <v>33800</v>
      </c>
      <c r="EA83" s="192" t="n">
        <v>30400</v>
      </c>
      <c r="EB83" s="192" t="n">
        <v>32500</v>
      </c>
      <c r="EC83" s="192" t="n">
        <v>31400</v>
      </c>
      <c r="ED83" s="192" t="n">
        <v>34300</v>
      </c>
      <c r="EE83" s="192" t="n">
        <v>26100</v>
      </c>
      <c r="EF83" s="192" t="n">
        <v>26400</v>
      </c>
      <c r="EG83" s="192" t="n">
        <v>21400</v>
      </c>
      <c r="EH83" s="192" t="n">
        <v>16000</v>
      </c>
      <c r="EI83" s="192" t="n">
        <v>11000</v>
      </c>
      <c r="EJ83" s="192" t="n">
        <v>9700</v>
      </c>
      <c r="EK83" s="192" t="n">
        <v>7600</v>
      </c>
      <c r="EL83" s="192" t="n">
        <v>6600</v>
      </c>
      <c r="EM83" s="192" t="n">
        <v>4300</v>
      </c>
      <c r="EN83" s="192" t="n">
        <v>4300</v>
      </c>
      <c r="EO83" s="182" t="n"/>
      <c r="EP83" s="176" t="n"/>
      <c r="EQ83" s="176" t="n"/>
      <c r="ER83" s="176" t="n"/>
      <c r="ES83" s="176" t="n"/>
      <c r="ET83" s="176" t="n"/>
      <c r="EU83" s="176" t="n"/>
      <c r="EV83" s="176" t="n"/>
      <c r="EW83" s="176" t="n"/>
      <c r="EX83" s="176" t="n"/>
      <c r="EY83" s="176" t="n"/>
      <c r="EZ83" s="176" t="n"/>
      <c r="FA83" s="176" t="n"/>
      <c r="FB83" s="176" t="n"/>
      <c r="FC83" s="176" t="n"/>
      <c r="FD83" s="176" t="n"/>
      <c r="FE83" s="176" t="n"/>
      <c r="FF83" s="176" t="n"/>
      <c r="FG83" s="176" t="n"/>
      <c r="FH83" s="176" t="n"/>
      <c r="FI83" s="176" t="n"/>
      <c r="FJ83" s="176" t="n"/>
      <c r="FK83" s="176" t="n"/>
      <c r="FL83" s="176" t="n"/>
      <c r="FM83" s="176" t="n"/>
    </row>
    <row r="84" ht="15" customHeight="1" s="392">
      <c r="A84" s="176" t="n"/>
      <c r="B84" s="180" t="n"/>
      <c r="C84" s="183" t="inlineStr">
        <is>
          <t xml:space="preserve">        Reported Operating Expense</t>
        </is>
      </c>
      <c r="D84" s="190">
        <f>IF(COUNT(M84:EN84)&gt;0,MEDIAN(M84:EN84),"")</f>
        <v/>
      </c>
      <c r="E84" s="190">
        <f>IF(COUNT(M84:EN84)&gt;0,AVERAGE(M84:EN84),"")</f>
        <v/>
      </c>
      <c r="F84" s="190">
        <f>IF(COUNT(M84:EN84)&gt;0,MIN(M84:EN84),"")</f>
        <v/>
      </c>
      <c r="G84" s="190">
        <f>IF(COUNT(M84:EN84)&gt;0,MAX(M84:EN84),"")</f>
        <v/>
      </c>
      <c r="H84" s="190">
        <f>IF(COUNT(M84:EN84)&gt;0,QUARTILE(M84:EN84,1),"")</f>
        <v/>
      </c>
      <c r="I84" s="190">
        <f>IF(COUNT(M84:EN84)&gt;0,QUARTILE(M84:EN84,3),"")</f>
        <v/>
      </c>
      <c r="J84" s="190">
        <f>IF(COUNT(M84:EN84)&gt;1,STDEV(M84:EN84),"")</f>
        <v/>
      </c>
      <c r="K84" s="191">
        <f>IF(COUNT(M84:EN84)&gt;1,STDEV(M84:EN84)/AVERAGE(M84:EN84),"")</f>
        <v/>
      </c>
      <c r="M84" s="192" t="n">
        <v>-783535</v>
      </c>
      <c r="N84" s="192" t="n">
        <v>-772784</v>
      </c>
      <c r="O84" s="192" t="n">
        <v>-732964</v>
      </c>
      <c r="P84" s="192" t="n">
        <v>-724336</v>
      </c>
      <c r="Q84" s="192" t="n">
        <v>-712506</v>
      </c>
      <c r="R84" s="192" t="n">
        <v>-760171</v>
      </c>
      <c r="S84" s="192" t="n">
        <v>-737105</v>
      </c>
      <c r="T84" s="192" t="n">
        <v>-740462</v>
      </c>
      <c r="U84" s="192" t="n">
        <v>-709455</v>
      </c>
      <c r="V84" s="192" t="n">
        <v>-690056</v>
      </c>
      <c r="W84" s="192" t="n">
        <v>-640249</v>
      </c>
      <c r="X84" s="192" t="n">
        <v>-625040</v>
      </c>
      <c r="Y84" s="192" t="n">
        <v>-606974</v>
      </c>
      <c r="Z84" s="192" t="n">
        <v>-602907</v>
      </c>
      <c r="AA84" s="192" t="n">
        <v>-591199</v>
      </c>
      <c r="AB84" s="192" t="n">
        <v>-581869</v>
      </c>
      <c r="AC84" s="192" t="n">
        <v>-558595</v>
      </c>
      <c r="AD84" s="192" t="n">
        <v>-567186</v>
      </c>
      <c r="AE84" s="192" t="n">
        <v>-520132</v>
      </c>
      <c r="AF84" s="192" t="n">
        <v>-480011</v>
      </c>
      <c r="AG84" s="192" t="n">
        <v>-447130</v>
      </c>
      <c r="AH84" s="192" t="n">
        <v>-405799</v>
      </c>
      <c r="AI84" s="192" t="n">
        <v>-358810</v>
      </c>
      <c r="AJ84" s="192" t="n">
        <v>-344346</v>
      </c>
      <c r="AK84" s="192" t="n">
        <v>-319944</v>
      </c>
      <c r="AL84" s="192" t="n">
        <v>-355259</v>
      </c>
      <c r="AM84" s="192" t="n">
        <v>-365248</v>
      </c>
      <c r="AN84" s="192" t="n">
        <v>-349033</v>
      </c>
      <c r="AO84" s="192" t="n">
        <v>-349773</v>
      </c>
      <c r="AP84" s="192" t="n">
        <v>-345622</v>
      </c>
      <c r="AQ84" s="192" t="n">
        <v>-320159</v>
      </c>
      <c r="AR84" s="192" t="n">
        <v>-309928</v>
      </c>
      <c r="AS84" s="192" t="n">
        <v>-314386</v>
      </c>
      <c r="AT84" s="192" t="n">
        <v>-303579</v>
      </c>
      <c r="AU84" s="192" t="n">
        <v>-308159</v>
      </c>
      <c r="AV84" s="192" t="n">
        <v>-295226</v>
      </c>
      <c r="AW84" s="192" t="n">
        <v>-1705575</v>
      </c>
      <c r="AX84" s="192" t="n">
        <v>237074</v>
      </c>
      <c r="AY84" s="192" t="n">
        <v>240652</v>
      </c>
      <c r="AZ84" s="192" t="n">
        <v>-241167</v>
      </c>
      <c r="BA84" s="192" t="n">
        <v>-226468</v>
      </c>
      <c r="BB84" s="192" t="n">
        <v>-225298</v>
      </c>
      <c r="BC84" s="192" t="n">
        <v>-207621</v>
      </c>
      <c r="BD84" s="192" t="n">
        <v>-202592</v>
      </c>
      <c r="BE84" s="192" t="n">
        <v>-195528</v>
      </c>
      <c r="BF84" s="192" t="n">
        <v>-202375</v>
      </c>
      <c r="BG84" s="192" t="n">
        <v>-195790</v>
      </c>
      <c r="BH84" s="192" t="n">
        <v>-207985</v>
      </c>
      <c r="BI84" s="192" t="n">
        <v>-211592</v>
      </c>
      <c r="BJ84" s="192" t="n">
        <v>-247089</v>
      </c>
      <c r="BK84" s="192" t="n">
        <v>-214950</v>
      </c>
      <c r="BL84" s="192" t="n">
        <v>-214924</v>
      </c>
      <c r="BM84" s="192" t="n">
        <v>-200645</v>
      </c>
      <c r="BN84" s="192" t="n">
        <v>-194825</v>
      </c>
      <c r="BO84" s="192" t="n">
        <v>-203415</v>
      </c>
      <c r="BP84" s="192" t="n">
        <v>-164509</v>
      </c>
      <c r="BQ84" s="192" t="n">
        <v>-157062</v>
      </c>
      <c r="BR84" s="192" t="n">
        <v>-156161</v>
      </c>
      <c r="BS84" s="192" t="n">
        <v>-164365</v>
      </c>
      <c r="BT84" s="192" t="n">
        <v>-29849</v>
      </c>
      <c r="BU84" s="192" t="n">
        <v>-525482</v>
      </c>
      <c r="BV84" s="192" t="n">
        <v>-26863</v>
      </c>
      <c r="BW84" s="192" t="n">
        <v>-25710</v>
      </c>
      <c r="BX84" s="192" t="n">
        <v>-29260</v>
      </c>
      <c r="BY84" s="192" t="n">
        <v>-29004</v>
      </c>
      <c r="BZ84" s="192" t="n">
        <v>-28372</v>
      </c>
      <c r="CA84" s="192" t="n">
        <v>-25455</v>
      </c>
      <c r="CB84" s="192" t="n">
        <v>-26093</v>
      </c>
      <c r="CC84" s="192" t="n">
        <v>-24541</v>
      </c>
      <c r="CD84" s="192" t="n">
        <v>-20587</v>
      </c>
      <c r="CE84" s="192" t="n">
        <v>-21723</v>
      </c>
      <c r="CF84" s="192" t="n">
        <v>-20085</v>
      </c>
      <c r="CG84" s="192" t="n">
        <v>-21721</v>
      </c>
      <c r="CH84" s="192" t="n">
        <v>-19482</v>
      </c>
      <c r="CI84" s="192" t="n">
        <v>-21373</v>
      </c>
      <c r="CJ84" s="192" t="n">
        <v>-25113</v>
      </c>
      <c r="CK84" s="192" t="n">
        <v>-17657</v>
      </c>
      <c r="CL84" s="192" t="n">
        <v>-15758</v>
      </c>
      <c r="CM84" s="192" t="n">
        <v>-15225</v>
      </c>
      <c r="CN84" s="192" t="n">
        <v>-14997</v>
      </c>
      <c r="CO84" s="192" t="n">
        <v>-15779</v>
      </c>
      <c r="CP84" s="192" t="n">
        <v>-16113</v>
      </c>
      <c r="CQ84" s="192" t="n">
        <v>-13560</v>
      </c>
      <c r="CR84" s="192" t="n">
        <v>-13533</v>
      </c>
      <c r="CS84" s="192" t="n">
        <v>-13674</v>
      </c>
      <c r="CT84" s="192" t="n">
        <v>-11483</v>
      </c>
      <c r="CU84" s="192" t="n">
        <v>-11169</v>
      </c>
      <c r="CV84" s="192" t="n">
        <v>-9661</v>
      </c>
      <c r="CW84" s="192" t="n">
        <v>11429</v>
      </c>
      <c r="CX84" s="192" t="n">
        <v>-18166</v>
      </c>
      <c r="CY84" s="192" t="n">
        <v>-16673</v>
      </c>
      <c r="CZ84" s="192" t="n">
        <v>-15517.6</v>
      </c>
      <c r="DA84" s="192" t="n">
        <v>7109.5</v>
      </c>
      <c r="DB84" s="192" t="n">
        <v>-14307.7</v>
      </c>
      <c r="DC84" s="192" t="n">
        <v>-12839</v>
      </c>
      <c r="DD84" s="192" t="n">
        <v>-12228.9</v>
      </c>
      <c r="DE84" s="192" t="n">
        <v>-10752.8</v>
      </c>
      <c r="DF84" s="192" t="n">
        <v>-11133.3</v>
      </c>
      <c r="DG84" s="192" t="n">
        <v>-9090.6</v>
      </c>
      <c r="DH84" s="192" t="n">
        <v>-8587.200000000001</v>
      </c>
      <c r="DI84" s="192" t="n">
        <v>-8998.9</v>
      </c>
      <c r="DJ84" s="192" t="n">
        <v>-9190.9</v>
      </c>
      <c r="DK84" s="192" t="n">
        <v>-7694</v>
      </c>
      <c r="DL84" s="192" t="n">
        <v>-7836.2</v>
      </c>
      <c r="DM84" s="192" t="n">
        <v>-7396.7</v>
      </c>
      <c r="DN84" s="192" t="n">
        <v>-6932.3</v>
      </c>
      <c r="DO84" s="192" t="n">
        <v>-6700</v>
      </c>
      <c r="DP84" s="192" t="n">
        <v>-6100</v>
      </c>
      <c r="DQ84" s="192" t="n">
        <v>-5500</v>
      </c>
      <c r="DR84" s="192" t="n">
        <v>-5700</v>
      </c>
      <c r="DS84" s="192" t="n">
        <v>-5500</v>
      </c>
      <c r="DT84" s="192" t="n">
        <v>-5300</v>
      </c>
      <c r="DU84" s="192" t="n">
        <v>-4600</v>
      </c>
      <c r="DV84" s="192" t="n">
        <v>-5200</v>
      </c>
      <c r="DW84" s="192" t="n">
        <v>-4600</v>
      </c>
      <c r="DX84" s="192" t="n">
        <v>-4600</v>
      </c>
      <c r="DY84" s="192" t="n">
        <v>-4700</v>
      </c>
      <c r="DZ84" s="192" t="n">
        <v>-4500</v>
      </c>
      <c r="EA84" s="192" t="n">
        <v>-4500</v>
      </c>
      <c r="EB84" s="192" t="n">
        <v>-4400</v>
      </c>
      <c r="EC84" s="192" t="n">
        <v>-4700</v>
      </c>
      <c r="ED84" s="192" t="n">
        <v>-4300</v>
      </c>
      <c r="EE84" s="192" t="n">
        <v>-4000</v>
      </c>
      <c r="EF84" s="192" t="n">
        <v>-3800</v>
      </c>
      <c r="EG84" s="192" t="n">
        <v>-3800</v>
      </c>
      <c r="EH84" s="192" t="n">
        <v>-2200</v>
      </c>
      <c r="EI84" s="192" t="n">
        <v>-1700</v>
      </c>
      <c r="EJ84" s="192" t="n">
        <v>-1500</v>
      </c>
      <c r="EK84" s="192" t="n">
        <v>1500</v>
      </c>
      <c r="EL84" s="192" t="n">
        <v>-2000</v>
      </c>
      <c r="EM84" s="192" t="n"/>
      <c r="EN84" s="192" t="n"/>
      <c r="EO84" s="182" t="n"/>
      <c r="EP84" s="176" t="n"/>
      <c r="EQ84" s="176" t="n"/>
      <c r="ER84" s="176" t="n"/>
      <c r="ES84" s="176" t="n"/>
      <c r="ET84" s="176" t="n"/>
      <c r="EU84" s="176" t="n"/>
      <c r="EV84" s="176" t="n"/>
      <c r="EW84" s="176" t="n"/>
      <c r="EX84" s="176" t="n"/>
      <c r="EY84" s="176" t="n"/>
      <c r="EZ84" s="176" t="n"/>
      <c r="FA84" s="176" t="n"/>
      <c r="FB84" s="176" t="n"/>
      <c r="FC84" s="176" t="n"/>
      <c r="FD84" s="176" t="n"/>
      <c r="FE84" s="176" t="n"/>
      <c r="FF84" s="176" t="n"/>
      <c r="FG84" s="176" t="n"/>
      <c r="FH84" s="176" t="n"/>
      <c r="FI84" s="176" t="n"/>
      <c r="FJ84" s="176" t="n"/>
      <c r="FK84" s="176" t="n"/>
      <c r="FL84" s="176" t="n"/>
      <c r="FM84" s="176" t="n"/>
    </row>
    <row r="85" ht="15" customHeight="1" s="392">
      <c r="A85" s="176" t="n"/>
      <c r="B85" s="180" t="n"/>
      <c r="C85" s="183" t="inlineStr">
        <is>
          <t xml:space="preserve">        Reported Total Operating Profit/Loss</t>
        </is>
      </c>
      <c r="D85" s="190">
        <f>IF(COUNT(M85:EN85)&gt;0,MEDIAN(M85:EN85),"")</f>
        <v/>
      </c>
      <c r="E85" s="190">
        <f>IF(COUNT(M85:EN85)&gt;0,AVERAGE(M85:EN85),"")</f>
        <v/>
      </c>
      <c r="F85" s="190">
        <f>IF(COUNT(M85:EN85)&gt;0,MIN(M85:EN85),"")</f>
        <v/>
      </c>
      <c r="G85" s="190">
        <f>IF(COUNT(M85:EN85)&gt;0,MAX(M85:EN85),"")</f>
        <v/>
      </c>
      <c r="H85" s="190">
        <f>IF(COUNT(M85:EN85)&gt;0,QUARTILE(M85:EN85,1),"")</f>
        <v/>
      </c>
      <c r="I85" s="190">
        <f>IF(COUNT(M85:EN85)&gt;0,QUARTILE(M85:EN85,3),"")</f>
        <v/>
      </c>
      <c r="J85" s="190">
        <f>IF(COUNT(M85:EN85)&gt;1,STDEV(M85:EN85),"")</f>
        <v/>
      </c>
      <c r="K85" s="191">
        <f>IF(COUNT(M85:EN85)&gt;1,STDEV(M85:EN85)/AVERAGE(M85:EN85),"")</f>
        <v/>
      </c>
      <c r="M85" s="192" t="n">
        <v>368904</v>
      </c>
      <c r="N85" s="192" t="n">
        <v>464282</v>
      </c>
      <c r="O85" s="192" t="n">
        <v>388710</v>
      </c>
      <c r="P85" s="192" t="n">
        <v>430694</v>
      </c>
      <c r="Q85" s="192" t="n">
        <v>412591</v>
      </c>
      <c r="R85" s="192" t="n">
        <v>451545</v>
      </c>
      <c r="S85" s="192" t="n">
        <v>426211</v>
      </c>
      <c r="T85" s="192" t="n">
        <v>406367</v>
      </c>
      <c r="U85" s="192" t="n">
        <v>359544</v>
      </c>
      <c r="V85" s="192" t="n">
        <v>437203</v>
      </c>
      <c r="W85" s="192" t="n">
        <v>379900</v>
      </c>
      <c r="X85" s="192" t="n">
        <v>395376</v>
      </c>
      <c r="Y85" s="192" t="n">
        <v>390617</v>
      </c>
      <c r="Z85" s="192" t="n">
        <v>418924</v>
      </c>
      <c r="AA85" s="192" t="n">
        <v>365525</v>
      </c>
      <c r="AB85" s="192" t="n">
        <v>311503</v>
      </c>
      <c r="AC85" s="192" t="n">
        <v>324793</v>
      </c>
      <c r="AD85" s="192" t="n">
        <v>372755</v>
      </c>
      <c r="AE85" s="192" t="n">
        <v>347328</v>
      </c>
      <c r="AF85" s="192" t="n">
        <v>330121</v>
      </c>
      <c r="AG85" s="192" t="n">
        <v>301500</v>
      </c>
      <c r="AH85" s="192" t="n">
        <v>328111</v>
      </c>
      <c r="AI85" s="192" t="n">
        <v>258221</v>
      </c>
      <c r="AJ85" s="192" t="n">
        <v>248594</v>
      </c>
      <c r="AK85" s="192" t="n">
        <v>205715</v>
      </c>
      <c r="AL85" s="192" t="n">
        <v>195101</v>
      </c>
      <c r="AM85" s="192" t="n">
        <v>209892</v>
      </c>
      <c r="AN85" s="192" t="n">
        <v>205391</v>
      </c>
      <c r="AO85" s="192" t="n">
        <v>192802</v>
      </c>
      <c r="AP85" s="192" t="n">
        <v>207494</v>
      </c>
      <c r="AQ85" s="192" t="n">
        <v>164739</v>
      </c>
      <c r="AR85" s="192" t="n">
        <v>151440</v>
      </c>
      <c r="AS85" s="192" t="n">
        <v>134837</v>
      </c>
      <c r="AT85" s="192" t="n">
        <v>174619</v>
      </c>
      <c r="AU85" s="192" t="n">
        <v>150947</v>
      </c>
      <c r="AV85" s="192" t="n">
        <v>123942</v>
      </c>
      <c r="AW85" s="192" t="n">
        <v>110807</v>
      </c>
      <c r="AX85" s="192" t="n">
        <v>136788</v>
      </c>
      <c r="AY85" s="192" t="n">
        <v>108880</v>
      </c>
      <c r="AZ85" s="192" t="n">
        <v>104824</v>
      </c>
      <c r="BA85" s="192" t="n">
        <v>106191</v>
      </c>
      <c r="BB85" s="192" t="n">
        <v>121948</v>
      </c>
      <c r="BC85" s="192" t="n">
        <v>92085</v>
      </c>
      <c r="BD85" s="192" t="n">
        <v>86246</v>
      </c>
      <c r="BE85" s="192" t="n">
        <v>86765</v>
      </c>
      <c r="BF85" s="192" t="n">
        <v>94767</v>
      </c>
      <c r="BG85" s="192" t="n">
        <v>80468</v>
      </c>
      <c r="BH85" s="192" t="n">
        <v>82401</v>
      </c>
      <c r="BI85" s="192" t="n">
        <v>75858</v>
      </c>
      <c r="BJ85" s="192" t="n">
        <v>62633</v>
      </c>
      <c r="BK85" s="192" t="n">
        <v>71484</v>
      </c>
      <c r="BL85" s="192" t="n">
        <v>64959</v>
      </c>
      <c r="BM85" s="192" t="n">
        <v>63052</v>
      </c>
      <c r="BN85" s="192" t="n">
        <v>82813</v>
      </c>
      <c r="BO85" s="192" t="n">
        <v>62770</v>
      </c>
      <c r="BP85" s="192" t="n">
        <v>74357</v>
      </c>
      <c r="BQ85" s="192" t="n">
        <v>69494</v>
      </c>
      <c r="BR85" s="192" t="n">
        <v>87944</v>
      </c>
      <c r="BS85" s="192" t="n">
        <v>63539</v>
      </c>
      <c r="BT85" s="192" t="n">
        <v>65376</v>
      </c>
      <c r="BU85" s="192" t="n">
        <v>63455</v>
      </c>
      <c r="BV85" s="192" t="n">
        <v>82044</v>
      </c>
      <c r="BW85" s="192" t="n">
        <v>60195</v>
      </c>
      <c r="BX85" s="192" t="n">
        <v>59594</v>
      </c>
      <c r="BY85" s="192" t="n">
        <v>57220</v>
      </c>
      <c r="BZ85" s="192" t="n">
        <v>72126</v>
      </c>
      <c r="CA85" s="192" t="n">
        <v>53232</v>
      </c>
      <c r="CB85" s="192" t="n">
        <v>56492</v>
      </c>
      <c r="CC85" s="192" t="n">
        <v>55389</v>
      </c>
      <c r="CD85" s="192" t="n">
        <v>64880</v>
      </c>
      <c r="CE85" s="192" t="n">
        <v>45569</v>
      </c>
      <c r="CF85" s="192" t="n">
        <v>59485</v>
      </c>
      <c r="CG85" s="192" t="n">
        <v>65372</v>
      </c>
      <c r="CH85" s="192" t="n">
        <v>68684</v>
      </c>
      <c r="CI85" s="192" t="n">
        <v>47235</v>
      </c>
      <c r="CJ85" s="192" t="n">
        <v>56627</v>
      </c>
      <c r="CK85" s="192" t="n">
        <v>53860</v>
      </c>
      <c r="CL85" s="192" t="n">
        <v>57229</v>
      </c>
      <c r="CM85" s="192" t="n">
        <v>45164</v>
      </c>
      <c r="CN85" s="192" t="n">
        <v>46893</v>
      </c>
      <c r="CO85" s="192" t="n">
        <v>47197</v>
      </c>
      <c r="CP85" s="192" t="n">
        <v>53351</v>
      </c>
      <c r="CQ85" s="192" t="n">
        <v>37015</v>
      </c>
      <c r="CR85" s="192" t="n">
        <v>33999</v>
      </c>
      <c r="CS85" s="192" t="n">
        <v>37601</v>
      </c>
      <c r="CT85" s="192" t="n">
        <v>47456</v>
      </c>
      <c r="CU85" s="192" t="n">
        <v>36500</v>
      </c>
      <c r="CV85" s="192" t="n">
        <v>35068</v>
      </c>
      <c r="CW85" s="192" t="n">
        <v>33757</v>
      </c>
      <c r="CX85" s="192" t="n">
        <v>40399</v>
      </c>
      <c r="CY85" s="192" t="n">
        <v>25820</v>
      </c>
      <c r="CZ85" s="192" t="n">
        <v>24287.1</v>
      </c>
      <c r="DA85" s="192" t="n">
        <v>21011.1</v>
      </c>
      <c r="DB85" s="192" t="n">
        <v>24608.7</v>
      </c>
      <c r="DC85" s="192" t="n">
        <v>21746.8</v>
      </c>
      <c r="DD85" s="192" t="n">
        <v>23697.5</v>
      </c>
      <c r="DE85" s="192" t="n">
        <v>24305.4</v>
      </c>
      <c r="DF85" s="192" t="n">
        <v>26011.1</v>
      </c>
      <c r="DG85" s="192" t="n">
        <v>19159.1</v>
      </c>
      <c r="DH85" s="192" t="n">
        <v>20463.8</v>
      </c>
      <c r="DI85" s="192" t="n">
        <v>20268.9</v>
      </c>
      <c r="DJ85" s="192" t="n">
        <v>19080.1</v>
      </c>
      <c r="DK85" s="192" t="n">
        <v>14821</v>
      </c>
      <c r="DL85" s="192" t="n">
        <v>13947</v>
      </c>
      <c r="DM85" s="192" t="n">
        <v>12993.4</v>
      </c>
      <c r="DN85" s="192" t="n">
        <v>13107.4</v>
      </c>
      <c r="DO85" s="192" t="n">
        <v>10300</v>
      </c>
      <c r="DP85" s="192" t="n">
        <v>9800</v>
      </c>
      <c r="DQ85" s="192" t="n">
        <v>9800</v>
      </c>
      <c r="DR85" s="192" t="n">
        <v>9700</v>
      </c>
      <c r="DS85" s="192" t="n">
        <v>7500</v>
      </c>
      <c r="DT85" s="192" t="n">
        <v>6300</v>
      </c>
      <c r="DU85" s="192" t="n">
        <v>6800</v>
      </c>
      <c r="DV85" s="192" t="n">
        <v>6700</v>
      </c>
      <c r="DW85" s="192" t="n">
        <v>5400</v>
      </c>
      <c r="DX85" s="192" t="n">
        <v>4900</v>
      </c>
      <c r="DY85" s="192" t="n">
        <v>4700</v>
      </c>
      <c r="DZ85" s="192" t="n">
        <v>5300</v>
      </c>
      <c r="EA85" s="192" t="n">
        <v>5000</v>
      </c>
      <c r="EB85" s="192" t="n">
        <v>3700</v>
      </c>
      <c r="EC85" s="192" t="n">
        <v>4100</v>
      </c>
      <c r="ED85" s="192" t="n">
        <v>4500</v>
      </c>
      <c r="EE85" s="192" t="n">
        <v>5000</v>
      </c>
      <c r="EF85" s="192" t="n">
        <v>4300</v>
      </c>
      <c r="EG85" s="192" t="n">
        <v>3500</v>
      </c>
      <c r="EH85" s="192" t="n">
        <v>3100</v>
      </c>
      <c r="EI85" s="192" t="n">
        <v>2500</v>
      </c>
      <c r="EJ85" s="192" t="n">
        <v>2000</v>
      </c>
      <c r="EK85" s="192" t="n">
        <v>1900</v>
      </c>
      <c r="EL85" s="192" t="n">
        <v>1100</v>
      </c>
      <c r="EM85" s="192" t="n"/>
      <c r="EN85" s="192" t="n"/>
      <c r="EO85" s="182" t="n"/>
      <c r="EP85" s="176" t="n"/>
      <c r="EQ85" s="176" t="n"/>
      <c r="ER85" s="176" t="n"/>
      <c r="ES85" s="176" t="n"/>
      <c r="ET85" s="176" t="n"/>
      <c r="EU85" s="176" t="n"/>
      <c r="EV85" s="176" t="n"/>
      <c r="EW85" s="176" t="n"/>
      <c r="EX85" s="176" t="n"/>
      <c r="EY85" s="176" t="n"/>
      <c r="EZ85" s="176" t="n"/>
      <c r="FA85" s="176" t="n"/>
      <c r="FB85" s="176" t="n"/>
      <c r="FC85" s="176" t="n"/>
      <c r="FD85" s="176" t="n"/>
      <c r="FE85" s="176" t="n"/>
      <c r="FF85" s="176" t="n"/>
      <c r="FG85" s="176" t="n"/>
      <c r="FH85" s="176" t="n"/>
      <c r="FI85" s="176" t="n"/>
      <c r="FJ85" s="176" t="n"/>
      <c r="FK85" s="176" t="n"/>
      <c r="FL85" s="176" t="n"/>
      <c r="FM85" s="176" t="n"/>
    </row>
    <row r="86" ht="15" customHeight="1" s="392">
      <c r="A86" s="176" t="n"/>
      <c r="B86" s="180" t="n"/>
      <c r="C86" s="183" t="inlineStr">
        <is>
          <t xml:space="preserve">        Reported Normalized Income</t>
        </is>
      </c>
      <c r="D86" s="190">
        <f>IF(COUNT(M86:EN86)&gt;0,MEDIAN(M86:EN86),"")</f>
        <v/>
      </c>
      <c r="E86" s="190">
        <f>IF(COUNT(M86:EN86)&gt;0,AVERAGE(M86:EN86),"")</f>
        <v/>
      </c>
      <c r="F86" s="190">
        <f>IF(COUNT(M86:EN86)&gt;0,MIN(M86:EN86),"")</f>
        <v/>
      </c>
      <c r="G86" s="190">
        <f>IF(COUNT(M86:EN86)&gt;0,MAX(M86:EN86),"")</f>
        <v/>
      </c>
      <c r="H86" s="190">
        <f>IF(COUNT(M86:EN86)&gt;0,QUARTILE(M86:EN86,1),"")</f>
        <v/>
      </c>
      <c r="I86" s="190">
        <f>IF(COUNT(M86:EN86)&gt;0,QUARTILE(M86:EN86,3),"")</f>
        <v/>
      </c>
      <c r="J86" s="190">
        <f>IF(COUNT(M86:EN86)&gt;1,STDEV(M86:EN86),"")</f>
        <v/>
      </c>
      <c r="K86" s="191">
        <f>IF(COUNT(M86:EN86)&gt;1,STDEV(M86:EN86)/AVERAGE(M86:EN86),"")</f>
        <v/>
      </c>
      <c r="M86" s="192" t="n"/>
      <c r="N86" s="192" t="n"/>
      <c r="O86" s="192" t="n"/>
      <c r="P86" s="192" t="n"/>
      <c r="Q86" s="192" t="n"/>
      <c r="R86" s="192" t="n"/>
      <c r="S86" s="192" t="n"/>
      <c r="T86" s="192" t="n"/>
      <c r="U86" s="192" t="n"/>
      <c r="V86" s="192" t="n"/>
      <c r="W86" s="192" t="n"/>
      <c r="X86" s="192" t="n"/>
      <c r="Y86" s="192" t="n">
        <v>330426</v>
      </c>
      <c r="Z86" s="192" t="n">
        <v>346061</v>
      </c>
      <c r="AA86" s="192" t="n">
        <v>293562</v>
      </c>
      <c r="AB86" s="192" t="n">
        <v>245223</v>
      </c>
      <c r="AC86" s="192" t="n">
        <v>271587</v>
      </c>
      <c r="AD86" s="192" t="n">
        <v>281468</v>
      </c>
      <c r="AE86" s="192" t="n">
        <v>265957</v>
      </c>
      <c r="AF86" s="192" t="n">
        <v>257376</v>
      </c>
      <c r="AG86" s="192" t="n">
        <v>247725</v>
      </c>
      <c r="AH86" s="192" t="n">
        <v>262122</v>
      </c>
      <c r="AI86" s="192" t="n">
        <v>191273</v>
      </c>
      <c r="AJ86" s="192" t="n">
        <v>188512</v>
      </c>
      <c r="AK86" s="192" t="n">
        <v>163419</v>
      </c>
      <c r="AL86" s="192" t="n">
        <v>138229</v>
      </c>
      <c r="AM86" s="192" t="n">
        <v>153462</v>
      </c>
      <c r="AN86" s="192" t="n">
        <v>155411</v>
      </c>
      <c r="AO86" s="192" t="n">
        <v>142515</v>
      </c>
      <c r="AP86" s="192" t="n">
        <v>154886</v>
      </c>
      <c r="AQ86" s="192" t="n">
        <v>124872</v>
      </c>
      <c r="AR86" s="192" t="n">
        <v>113563</v>
      </c>
      <c r="AS86" s="192" t="n">
        <v>102610</v>
      </c>
      <c r="AT86" s="192" t="n">
        <v>125002</v>
      </c>
      <c r="AU86" s="192" t="n">
        <v>111428</v>
      </c>
      <c r="AV86" s="192" t="n">
        <v>77050</v>
      </c>
      <c r="AW86" s="192" t="n">
        <v>82432</v>
      </c>
      <c r="AX86" s="192" t="n">
        <v>86372</v>
      </c>
      <c r="AY86" s="192" t="n">
        <v>67439</v>
      </c>
      <c r="AZ86" s="192" t="n">
        <v>66345</v>
      </c>
      <c r="BA86" s="192" t="n">
        <v>69007</v>
      </c>
      <c r="BB86" s="192" t="n">
        <v>74483</v>
      </c>
      <c r="BC86" s="192" t="n">
        <v>55472</v>
      </c>
      <c r="BD86" s="192" t="n">
        <v>51901</v>
      </c>
      <c r="BE86" s="192" t="n">
        <v>59022</v>
      </c>
      <c r="BF86" s="192" t="n"/>
      <c r="BG86" s="192" t="n"/>
      <c r="BH86" s="192" t="n"/>
      <c r="BI86" s="192" t="n"/>
      <c r="BJ86" s="192" t="n"/>
      <c r="BK86" s="192" t="n"/>
      <c r="BL86" s="192" t="n"/>
      <c r="BM86" s="192" t="n"/>
      <c r="BN86" s="192" t="n"/>
      <c r="BO86" s="192" t="n"/>
      <c r="BP86" s="192" t="n"/>
      <c r="BQ86" s="192" t="n"/>
      <c r="BR86" s="192" t="n"/>
      <c r="BS86" s="192" t="n"/>
      <c r="BT86" s="192" t="n"/>
      <c r="BU86" s="192" t="n"/>
      <c r="BV86" s="192" t="n"/>
      <c r="BW86" s="192" t="n"/>
      <c r="BX86" s="192" t="n"/>
      <c r="BY86" s="192" t="n"/>
      <c r="BZ86" s="192" t="n"/>
      <c r="CA86" s="192" t="n"/>
      <c r="CB86" s="192" t="n"/>
      <c r="CC86" s="192" t="n"/>
      <c r="CD86" s="192" t="n"/>
      <c r="CE86" s="192" t="n"/>
      <c r="CF86" s="192" t="n"/>
      <c r="CG86" s="192" t="n"/>
      <c r="CH86" s="192" t="n"/>
      <c r="CI86" s="192" t="n"/>
      <c r="CJ86" s="192" t="n"/>
      <c r="CK86" s="192" t="n"/>
      <c r="CL86" s="192" t="n"/>
      <c r="CM86" s="192" t="n"/>
      <c r="CN86" s="192" t="n"/>
      <c r="CO86" s="192" t="n"/>
      <c r="CP86" s="192" t="n"/>
      <c r="CQ86" s="192" t="n"/>
      <c r="CR86" s="192" t="n"/>
      <c r="CS86" s="192" t="n"/>
      <c r="CT86" s="192" t="n"/>
      <c r="CU86" s="192" t="n"/>
      <c r="CV86" s="192" t="n"/>
      <c r="CW86" s="192" t="n"/>
      <c r="CX86" s="192" t="n"/>
      <c r="CY86" s="192" t="n"/>
      <c r="CZ86" s="192" t="n"/>
      <c r="DA86" s="192" t="n"/>
      <c r="DB86" s="192" t="n"/>
      <c r="DC86" s="192" t="n"/>
      <c r="DD86" s="192" t="n"/>
      <c r="DE86" s="192" t="n"/>
      <c r="DF86" s="192" t="n"/>
      <c r="DG86" s="192" t="n"/>
      <c r="DH86" s="192" t="n"/>
      <c r="DI86" s="192" t="n"/>
      <c r="DJ86" s="192" t="n"/>
      <c r="DK86" s="192" t="n"/>
      <c r="DL86" s="192" t="n"/>
      <c r="DM86" s="192" t="n"/>
      <c r="DN86" s="192" t="n"/>
      <c r="DO86" s="192" t="n"/>
      <c r="DP86" s="192" t="n"/>
      <c r="DQ86" s="192" t="n"/>
      <c r="DR86" s="192" t="n"/>
      <c r="DS86" s="192" t="n"/>
      <c r="DT86" s="192" t="n"/>
      <c r="DU86" s="192" t="n"/>
      <c r="DV86" s="192" t="n"/>
      <c r="DW86" s="192" t="n"/>
      <c r="DX86" s="192" t="n"/>
      <c r="DY86" s="192" t="n"/>
      <c r="DZ86" s="192" t="n"/>
      <c r="EA86" s="192" t="n"/>
      <c r="EB86" s="192" t="n"/>
      <c r="EC86" s="192" t="n"/>
      <c r="ED86" s="192" t="n"/>
      <c r="EE86" s="192" t="n"/>
      <c r="EF86" s="192" t="n"/>
      <c r="EG86" s="192" t="n"/>
      <c r="EH86" s="192" t="n"/>
      <c r="EI86" s="192" t="n"/>
      <c r="EJ86" s="192" t="n"/>
      <c r="EK86" s="192" t="n"/>
      <c r="EL86" s="192" t="n"/>
      <c r="EM86" s="192" t="n"/>
      <c r="EN86" s="192" t="n"/>
      <c r="EO86" s="182" t="n"/>
      <c r="EP86" s="176" t="n"/>
      <c r="EQ86" s="176" t="n"/>
      <c r="ER86" s="176" t="n"/>
      <c r="ES86" s="176" t="n"/>
      <c r="ET86" s="176" t="n"/>
      <c r="EU86" s="176" t="n"/>
      <c r="EV86" s="176" t="n"/>
      <c r="EW86" s="176" t="n"/>
      <c r="EX86" s="176" t="n"/>
      <c r="EY86" s="176" t="n"/>
      <c r="EZ86" s="176" t="n"/>
      <c r="FA86" s="176" t="n"/>
      <c r="FB86" s="176" t="n"/>
      <c r="FC86" s="176" t="n"/>
      <c r="FD86" s="176" t="n"/>
      <c r="FE86" s="176" t="n"/>
      <c r="FF86" s="176" t="n"/>
      <c r="FG86" s="176" t="n"/>
      <c r="FH86" s="176" t="n"/>
      <c r="FI86" s="176" t="n"/>
      <c r="FJ86" s="176" t="n"/>
      <c r="FK86" s="176" t="n"/>
      <c r="FL86" s="176" t="n"/>
      <c r="FM86" s="176" t="n"/>
    </row>
    <row r="87" ht="15" customHeight="1" s="392">
      <c r="A87" s="176" t="n"/>
      <c r="B87" s="180" t="n"/>
      <c r="C87" s="183" t="inlineStr">
        <is>
          <t xml:space="preserve">        Reported Normalized Diluted EPS</t>
        </is>
      </c>
      <c r="D87" s="191">
        <f>IF(COUNT(M87:EN87)&gt;0,MEDIAN(M87:EN87),"")</f>
        <v/>
      </c>
      <c r="E87" s="191">
        <f>IF(COUNT(M87:EN87)&gt;0,AVERAGE(M87:EN87),"")</f>
        <v/>
      </c>
      <c r="F87" s="191">
        <f>IF(COUNT(M87:EN87)&gt;0,MIN(M87:EN87),"")</f>
        <v/>
      </c>
      <c r="G87" s="191">
        <f>IF(COUNT(M87:EN87)&gt;0,MAX(M87:EN87),"")</f>
        <v/>
      </c>
      <c r="H87" s="191">
        <f>IF(COUNT(M87:EN87)&gt;0,QUARTILE(M87:EN87,1),"")</f>
        <v/>
      </c>
      <c r="I87" s="191">
        <f>IF(COUNT(M87:EN87)&gt;0,QUARTILE(M87:EN87,3),"")</f>
        <v/>
      </c>
      <c r="J87" s="191">
        <f>IF(COUNT(M87:EN87)&gt;1,STDEV(M87:EN87),"")</f>
        <v/>
      </c>
      <c r="K87" s="191">
        <f>IF(COUNT(M87:EN87)&gt;1,STDEV(M87:EN87)/AVERAGE(M87:EN87),"")</f>
        <v/>
      </c>
      <c r="M87" s="197" t="n"/>
      <c r="N87" s="197" t="n"/>
      <c r="O87" s="197" t="n"/>
      <c r="P87" s="197" t="n"/>
      <c r="Q87" s="197" t="n"/>
      <c r="R87" s="197" t="n"/>
      <c r="S87" s="197" t="n"/>
      <c r="T87" s="197" t="n"/>
      <c r="U87" s="197" t="n"/>
      <c r="V87" s="197" t="n"/>
      <c r="W87" s="197" t="n"/>
      <c r="X87" s="197" t="n"/>
      <c r="Y87" s="197" t="n">
        <v>0.17</v>
      </c>
      <c r="Z87" s="197" t="n">
        <v>0.36</v>
      </c>
      <c r="AA87" s="197" t="n">
        <v>0.305</v>
      </c>
      <c r="AB87" s="197" t="n">
        <v>0.1275</v>
      </c>
      <c r="AC87" s="197" t="n">
        <v>0.14</v>
      </c>
      <c r="AD87" s="197" t="n">
        <v>0.2925</v>
      </c>
      <c r="AE87" s="197" t="n">
        <v>0.275</v>
      </c>
      <c r="AF87" s="197" t="n">
        <v>0.2675</v>
      </c>
      <c r="AG87" s="197" t="n">
        <v>0.2575</v>
      </c>
      <c r="AH87" s="197" t="n">
        <v>0.2725</v>
      </c>
      <c r="AI87" s="197" t="n">
        <v>0.2</v>
      </c>
      <c r="AJ87" s="197" t="n">
        <v>0.1975</v>
      </c>
      <c r="AK87" s="197" t="n">
        <v>0.17</v>
      </c>
      <c r="AL87" s="197" t="n">
        <v>0.145</v>
      </c>
      <c r="AM87" s="197" t="n">
        <v>0.1625</v>
      </c>
      <c r="AN87" s="197" t="n">
        <v>0.1625</v>
      </c>
      <c r="AO87" s="197" t="n">
        <v>0.15</v>
      </c>
      <c r="AP87" s="197" t="n">
        <v>0.165</v>
      </c>
      <c r="AQ87" s="197" t="n">
        <v>0.13</v>
      </c>
      <c r="AR87" s="197" t="n">
        <v>0.1175</v>
      </c>
      <c r="AS87" s="197" t="n">
        <v>0.105</v>
      </c>
      <c r="AT87" s="197" t="n">
        <v>0.13</v>
      </c>
      <c r="AU87" s="197" t="n">
        <v>0.1175</v>
      </c>
      <c r="AV87" s="197" t="n">
        <v>0.0825</v>
      </c>
      <c r="AW87" s="197" t="n">
        <v>0.08749999999999999</v>
      </c>
      <c r="AX87" s="197" t="n">
        <v>0.0925</v>
      </c>
      <c r="AY87" s="197" t="n">
        <v>0.0725</v>
      </c>
      <c r="AZ87" s="197" t="n">
        <v>0.07124999999999999</v>
      </c>
      <c r="BA87" s="197" t="n">
        <v>0.075</v>
      </c>
      <c r="BB87" s="197" t="n">
        <v>0.08</v>
      </c>
      <c r="BC87" s="197" t="n">
        <v>0.05625</v>
      </c>
      <c r="BD87" s="197" t="n">
        <v>0.05125</v>
      </c>
      <c r="BE87" s="197" t="n">
        <v>0.05625</v>
      </c>
      <c r="BF87" s="197" t="n"/>
      <c r="BG87" s="197" t="n"/>
      <c r="BH87" s="197" t="n"/>
      <c r="BI87" s="197" t="n"/>
      <c r="BJ87" s="197" t="n"/>
      <c r="BK87" s="197" t="n"/>
      <c r="BL87" s="197" t="n"/>
      <c r="BM87" s="197" t="n"/>
      <c r="BN87" s="197" t="n"/>
      <c r="BO87" s="197" t="n"/>
      <c r="BP87" s="197" t="n"/>
      <c r="BQ87" s="197" t="n"/>
      <c r="BR87" s="197" t="n"/>
      <c r="BS87" s="197" t="n"/>
      <c r="BT87" s="197" t="n"/>
      <c r="BU87" s="197" t="n"/>
      <c r="BV87" s="197" t="n"/>
      <c r="BW87" s="197" t="n"/>
      <c r="BX87" s="197" t="n"/>
      <c r="BY87" s="197" t="n"/>
      <c r="BZ87" s="197" t="n"/>
      <c r="CA87" s="197" t="n"/>
      <c r="CB87" s="197" t="n"/>
      <c r="CC87" s="197" t="n"/>
      <c r="CD87" s="197" t="n"/>
      <c r="CE87" s="197" t="n"/>
      <c r="CF87" s="197" t="n"/>
      <c r="CG87" s="197" t="n"/>
      <c r="CH87" s="197" t="n"/>
      <c r="CI87" s="197" t="n"/>
      <c r="CJ87" s="197" t="n"/>
      <c r="CK87" s="197" t="n"/>
      <c r="CL87" s="197" t="n"/>
      <c r="CM87" s="197" t="n"/>
      <c r="CN87" s="197" t="n"/>
      <c r="CO87" s="197" t="n"/>
      <c r="CP87" s="197" t="n"/>
      <c r="CQ87" s="197" t="n"/>
      <c r="CR87" s="197" t="n"/>
      <c r="CS87" s="197" t="n"/>
      <c r="CT87" s="197" t="n"/>
      <c r="CU87" s="197" t="n"/>
      <c r="CV87" s="197" t="n"/>
      <c r="CW87" s="197" t="n"/>
      <c r="CX87" s="197" t="n"/>
      <c r="CY87" s="197" t="n"/>
      <c r="CZ87" s="197" t="n"/>
      <c r="DA87" s="197" t="n"/>
      <c r="DB87" s="197" t="n"/>
      <c r="DC87" s="197" t="n"/>
      <c r="DD87" s="197" t="n"/>
      <c r="DE87" s="197" t="n"/>
      <c r="DF87" s="197" t="n"/>
      <c r="DG87" s="197" t="n"/>
      <c r="DH87" s="197" t="n"/>
      <c r="DI87" s="197" t="n"/>
      <c r="DJ87" s="197" t="n"/>
      <c r="DK87" s="197" t="n"/>
      <c r="DL87" s="197" t="n"/>
      <c r="DM87" s="197" t="n"/>
      <c r="DN87" s="197" t="n"/>
      <c r="DO87" s="197" t="n"/>
      <c r="DP87" s="197" t="n"/>
      <c r="DQ87" s="197" t="n"/>
      <c r="DR87" s="197" t="n"/>
      <c r="DS87" s="197" t="n"/>
      <c r="DT87" s="197" t="n"/>
      <c r="DU87" s="197" t="n"/>
      <c r="DV87" s="197" t="n"/>
      <c r="DW87" s="197" t="n"/>
      <c r="DX87" s="197" t="n"/>
      <c r="DY87" s="197" t="n"/>
      <c r="DZ87" s="197" t="n"/>
      <c r="EA87" s="197" t="n"/>
      <c r="EB87" s="197" t="n"/>
      <c r="EC87" s="197" t="n"/>
      <c r="ED87" s="197" t="n"/>
      <c r="EE87" s="197" t="n"/>
      <c r="EF87" s="197" t="n"/>
      <c r="EG87" s="197" t="n"/>
      <c r="EH87" s="197" t="n"/>
      <c r="EI87" s="197" t="n"/>
      <c r="EJ87" s="197" t="n"/>
      <c r="EK87" s="197" t="n"/>
      <c r="EL87" s="197" t="n"/>
      <c r="EM87" s="197" t="n"/>
      <c r="EN87" s="197" t="n"/>
      <c r="EO87" s="182" t="n"/>
      <c r="EP87" s="176" t="n"/>
      <c r="EQ87" s="176" t="n"/>
      <c r="ER87" s="176" t="n"/>
      <c r="ES87" s="176" t="n"/>
      <c r="ET87" s="176" t="n"/>
      <c r="EU87" s="176" t="n"/>
      <c r="EV87" s="176" t="n"/>
      <c r="EW87" s="176" t="n"/>
      <c r="EX87" s="176" t="n"/>
      <c r="EY87" s="176" t="n"/>
      <c r="EZ87" s="176" t="n"/>
      <c r="FA87" s="176" t="n"/>
      <c r="FB87" s="176" t="n"/>
      <c r="FC87" s="176" t="n"/>
      <c r="FD87" s="176" t="n"/>
      <c r="FE87" s="176" t="n"/>
      <c r="FF87" s="176" t="n"/>
      <c r="FG87" s="176" t="n"/>
      <c r="FH87" s="176" t="n"/>
      <c r="FI87" s="176" t="n"/>
      <c r="FJ87" s="176" t="n"/>
      <c r="FK87" s="176" t="n"/>
      <c r="FL87" s="176" t="n"/>
      <c r="FM87" s="176" t="n"/>
    </row>
    <row r="88" ht="15" customHeight="1" s="392">
      <c r="A88" s="176" t="n"/>
      <c r="B88" s="180" t="n"/>
      <c r="C88" s="183" t="inlineStr">
        <is>
          <t xml:space="preserve">        Reported Effective Tax Rate</t>
        </is>
      </c>
      <c r="D88" s="199">
        <f>IF(COUNT(M88:EN88)&gt;0,MEDIAN(M88:EN88),"")</f>
        <v/>
      </c>
      <c r="E88" s="199">
        <f>IF(COUNT(M88:EN88)&gt;0,AVERAGE(M88:EN88),"")</f>
        <v/>
      </c>
      <c r="F88" s="199">
        <f>IF(COUNT(M88:EN88)&gt;0,MIN(M88:EN88),"")</f>
        <v/>
      </c>
      <c r="G88" s="199">
        <f>IF(COUNT(M88:EN88)&gt;0,MAX(M88:EN88),"")</f>
        <v/>
      </c>
      <c r="H88" s="199">
        <f>IF(COUNT(M88:EN88)&gt;0,QUARTILE(M88:EN88,1),"")</f>
        <v/>
      </c>
      <c r="I88" s="199">
        <f>IF(COUNT(M88:EN88)&gt;0,QUARTILE(M88:EN88,3),"")</f>
        <v/>
      </c>
      <c r="J88" s="199">
        <f>IF(COUNT(M88:EN88)&gt;1,STDEV(M88:EN88),"")</f>
        <v/>
      </c>
      <c r="K88" s="191">
        <f>IF(COUNT(M88:EN88)&gt;1,STDEV(M88:EN88)/AVERAGE(M88:EN88),"")</f>
        <v/>
      </c>
      <c r="M88" s="200" t="n"/>
      <c r="N88" s="200" t="n"/>
      <c r="O88" s="200" t="n"/>
      <c r="P88" s="200" t="n">
        <v>0.174</v>
      </c>
      <c r="Q88" s="200" t="n"/>
      <c r="R88" s="200" t="n">
        <v>0.194</v>
      </c>
      <c r="S88" s="200" t="n">
        <v>0.165</v>
      </c>
      <c r="T88" s="200" t="n">
        <v>0.2</v>
      </c>
      <c r="U88" s="200" t="n"/>
      <c r="V88" s="200" t="n">
        <v>0.191</v>
      </c>
      <c r="W88" s="200" t="n">
        <v>0.208</v>
      </c>
      <c r="X88" s="200" t="n">
        <v>0.214</v>
      </c>
      <c r="Y88" s="200" t="n"/>
      <c r="Z88" s="200" t="n">
        <v>0.204</v>
      </c>
      <c r="AA88" s="200" t="n">
        <v>0.221</v>
      </c>
      <c r="AB88" s="200" t="n">
        <v>0.215</v>
      </c>
      <c r="AC88" s="200" t="n"/>
      <c r="AD88" s="200" t="n">
        <v>0.246</v>
      </c>
      <c r="AE88" s="200" t="n">
        <v>0.16</v>
      </c>
      <c r="AF88" s="200" t="n">
        <v>0.201</v>
      </c>
      <c r="AG88" s="200" t="n"/>
      <c r="AH88" s="200" t="n">
        <v>0.114</v>
      </c>
      <c r="AI88" s="200" t="n">
        <v>0.234</v>
      </c>
      <c r="AJ88" s="200" t="n">
        <v>0.189</v>
      </c>
      <c r="AK88" s="200" t="n"/>
      <c r="AL88" s="200" t="n">
        <v>0.231</v>
      </c>
      <c r="AM88" s="200" t="n">
        <v>0.177</v>
      </c>
      <c r="AN88" s="200" t="n">
        <v>-0.08</v>
      </c>
      <c r="AO88" s="200" t="n"/>
      <c r="AP88" s="200" t="n">
        <v>0.056</v>
      </c>
      <c r="AQ88" s="200" t="n">
        <v>0.204</v>
      </c>
      <c r="AR88" s="200" t="n">
        <v>0.233</v>
      </c>
      <c r="AS88" s="200" t="n"/>
      <c r="AT88" s="200" t="n">
        <v>0.256</v>
      </c>
      <c r="AU88" s="200" t="n">
        <v>0.285</v>
      </c>
      <c r="AV88" s="200" t="n">
        <v>0.32</v>
      </c>
      <c r="AW88" s="200" t="n"/>
      <c r="AX88" s="200" t="n">
        <v>0.309</v>
      </c>
      <c r="AY88" s="200" t="n">
        <v>0.34</v>
      </c>
      <c r="AZ88" s="200" t="n">
        <v>-0.631</v>
      </c>
      <c r="BA88" s="200" t="n"/>
      <c r="BB88" s="200" t="n">
        <v>0.36</v>
      </c>
      <c r="BC88" s="200" t="n">
        <v>0.356</v>
      </c>
      <c r="BD88" s="200" t="n">
        <v>0.357</v>
      </c>
      <c r="BE88" s="200" t="n"/>
      <c r="BF88" s="200" t="n">
        <v>0.348</v>
      </c>
      <c r="BG88" s="200" t="n">
        <v>0.348</v>
      </c>
      <c r="BH88" s="200" t="n">
        <v>0.36</v>
      </c>
      <c r="BI88" s="200" t="n"/>
      <c r="BJ88" s="200" t="n">
        <v>0.333</v>
      </c>
      <c r="BK88" s="200" t="n">
        <v>0.358</v>
      </c>
      <c r="BL88" s="200" t="n">
        <v>0.355</v>
      </c>
      <c r="BM88" s="200" t="n"/>
      <c r="BN88" s="200" t="n">
        <v>0.351</v>
      </c>
      <c r="BO88" s="200" t="n">
        <v>0.351</v>
      </c>
      <c r="BP88" s="200" t="n">
        <v>0.36</v>
      </c>
      <c r="BQ88" s="200" t="n"/>
      <c r="BR88" s="200" t="n">
        <v>0.344</v>
      </c>
      <c r="BS88" s="200" t="n">
        <v>0.347</v>
      </c>
      <c r="BT88" s="200" t="n"/>
      <c r="BU88" s="200" t="n"/>
      <c r="BV88" s="200" t="n"/>
      <c r="BW88" s="200" t="n"/>
      <c r="BX88" s="200" t="n"/>
      <c r="BY88" s="200" t="n"/>
      <c r="BZ88" s="200" t="n"/>
      <c r="CA88" s="200" t="n"/>
      <c r="CB88" s="200" t="n"/>
      <c r="CC88" s="200" t="n"/>
      <c r="CD88" s="200" t="n"/>
      <c r="CE88" s="200" t="n"/>
      <c r="CF88" s="200" t="n"/>
      <c r="CG88" s="200" t="n"/>
      <c r="CH88" s="200" t="n"/>
      <c r="CI88" s="200" t="n"/>
      <c r="CJ88" s="200" t="n"/>
      <c r="CK88" s="200" t="n"/>
      <c r="CL88" s="200" t="n"/>
      <c r="CM88" s="200" t="n"/>
      <c r="CN88" s="200" t="n"/>
      <c r="CO88" s="200" t="n"/>
      <c r="CP88" s="200" t="n"/>
      <c r="CQ88" s="200" t="n"/>
      <c r="CR88" s="200" t="n"/>
      <c r="CS88" s="200" t="n"/>
      <c r="CT88" s="200" t="n"/>
      <c r="CU88" s="200" t="n"/>
      <c r="CV88" s="200" t="n"/>
      <c r="CW88" s="200" t="n"/>
      <c r="CX88" s="200" t="n"/>
      <c r="CY88" s="200" t="n"/>
      <c r="CZ88" s="200" t="n"/>
      <c r="DA88" s="200" t="n"/>
      <c r="DB88" s="200" t="n"/>
      <c r="DC88" s="200" t="n"/>
      <c r="DD88" s="200" t="n"/>
      <c r="DE88" s="200" t="n"/>
      <c r="DF88" s="200" t="n"/>
      <c r="DG88" s="200" t="n"/>
      <c r="DH88" s="200" t="n"/>
      <c r="DI88" s="200" t="n"/>
      <c r="DJ88" s="200" t="n"/>
      <c r="DK88" s="200" t="n"/>
      <c r="DL88" s="200" t="n"/>
      <c r="DM88" s="200" t="n"/>
      <c r="DN88" s="200" t="n"/>
      <c r="DO88" s="200" t="n"/>
      <c r="DP88" s="200" t="n"/>
      <c r="DQ88" s="200" t="n"/>
      <c r="DR88" s="200" t="n"/>
      <c r="DS88" s="200" t="n"/>
      <c r="DT88" s="200" t="n"/>
      <c r="DU88" s="200" t="n"/>
      <c r="DV88" s="200" t="n"/>
      <c r="DW88" s="200" t="n"/>
      <c r="DX88" s="200" t="n"/>
      <c r="DY88" s="200" t="n"/>
      <c r="DZ88" s="200" t="n"/>
      <c r="EA88" s="200" t="n"/>
      <c r="EB88" s="200" t="n"/>
      <c r="EC88" s="200" t="n"/>
      <c r="ED88" s="200" t="n"/>
      <c r="EE88" s="200" t="n"/>
      <c r="EF88" s="200" t="n"/>
      <c r="EG88" s="200" t="n"/>
      <c r="EH88" s="200" t="n"/>
      <c r="EI88" s="200" t="n"/>
      <c r="EJ88" s="200" t="n"/>
      <c r="EK88" s="200" t="n"/>
      <c r="EL88" s="200" t="n"/>
      <c r="EM88" s="200" t="n"/>
      <c r="EN88" s="200" t="n"/>
      <c r="EO88" s="182" t="n"/>
      <c r="EP88" s="176" t="n"/>
      <c r="EQ88" s="176" t="n"/>
      <c r="ER88" s="176" t="n"/>
      <c r="ES88" s="176" t="n"/>
      <c r="ET88" s="176" t="n"/>
      <c r="EU88" s="176" t="n"/>
      <c r="EV88" s="176" t="n"/>
      <c r="EW88" s="176" t="n"/>
      <c r="EX88" s="176" t="n"/>
      <c r="EY88" s="176" t="n"/>
      <c r="EZ88" s="176" t="n"/>
      <c r="FA88" s="176" t="n"/>
      <c r="FB88" s="176" t="n"/>
      <c r="FC88" s="176" t="n"/>
      <c r="FD88" s="176" t="n"/>
      <c r="FE88" s="176" t="n"/>
      <c r="FF88" s="176" t="n"/>
      <c r="FG88" s="176" t="n"/>
      <c r="FH88" s="176" t="n"/>
      <c r="FI88" s="176" t="n"/>
      <c r="FJ88" s="176" t="n"/>
      <c r="FK88" s="176" t="n"/>
      <c r="FL88" s="176" t="n"/>
      <c r="FM88" s="176" t="n"/>
    </row>
    <row r="89" ht="15" customHeight="1" s="392">
      <c r="A89" s="176" t="n"/>
      <c r="B89" s="180" t="n"/>
      <c r="C89" s="183" t="inlineStr">
        <is>
          <t xml:space="preserve">    Operating (Income)/Expenses, Supplemental Section</t>
        </is>
      </c>
      <c r="D89" s="185" t="n"/>
      <c r="E89" s="185" t="n"/>
      <c r="F89" s="185" t="n"/>
      <c r="G89" s="185" t="n"/>
      <c r="H89" s="185" t="n"/>
      <c r="I89" s="185" t="n"/>
      <c r="J89" s="185" t="n"/>
      <c r="K89" s="185" t="n"/>
      <c r="EO89" s="182" t="n"/>
      <c r="EP89" s="176" t="n"/>
      <c r="EQ89" s="176" t="n"/>
      <c r="ER89" s="176" t="n"/>
      <c r="ES89" s="176" t="n"/>
      <c r="ET89" s="176" t="n"/>
      <c r="EU89" s="176" t="n"/>
      <c r="EV89" s="176" t="n"/>
      <c r="EW89" s="176" t="n"/>
      <c r="EX89" s="176" t="n"/>
      <c r="EY89" s="176" t="n"/>
      <c r="EZ89" s="176" t="n"/>
      <c r="FA89" s="176" t="n"/>
      <c r="FB89" s="176" t="n"/>
      <c r="FC89" s="176" t="n"/>
      <c r="FD89" s="176" t="n"/>
      <c r="FE89" s="176" t="n"/>
      <c r="FF89" s="176" t="n"/>
      <c r="FG89" s="176" t="n"/>
      <c r="FH89" s="176" t="n"/>
      <c r="FI89" s="176" t="n"/>
      <c r="FJ89" s="176" t="n"/>
      <c r="FK89" s="176" t="n"/>
      <c r="FL89" s="176" t="n"/>
      <c r="FM89" s="176" t="n"/>
    </row>
    <row r="90" ht="15" customHeight="1" s="392">
      <c r="A90" s="176" t="n"/>
      <c r="B90" s="180" t="n"/>
      <c r="C90" s="183" t="inlineStr">
        <is>
          <t xml:space="preserve">        Depreciation, Amortization and Depletion, Supplemental</t>
        </is>
      </c>
      <c r="D90" s="185" t="n"/>
      <c r="E90" s="185" t="n"/>
      <c r="F90" s="185" t="n"/>
      <c r="G90" s="185" t="n"/>
      <c r="H90" s="185" t="n"/>
      <c r="I90" s="185" t="n"/>
      <c r="J90" s="185" t="n"/>
      <c r="K90" s="185" t="n"/>
      <c r="EO90" s="182" t="n"/>
      <c r="EP90" s="176" t="n"/>
      <c r="EQ90" s="176" t="n"/>
      <c r="ER90" s="176" t="n"/>
      <c r="ES90" s="176" t="n"/>
      <c r="ET90" s="176" t="n"/>
      <c r="EU90" s="176" t="n"/>
      <c r="EV90" s="176" t="n"/>
      <c r="EW90" s="176" t="n"/>
      <c r="EX90" s="176" t="n"/>
      <c r="EY90" s="176" t="n"/>
      <c r="EZ90" s="176" t="n"/>
      <c r="FA90" s="176" t="n"/>
      <c r="FB90" s="176" t="n"/>
      <c r="FC90" s="176" t="n"/>
      <c r="FD90" s="176" t="n"/>
      <c r="FE90" s="176" t="n"/>
      <c r="FF90" s="176" t="n"/>
      <c r="FG90" s="176" t="n"/>
      <c r="FH90" s="176" t="n"/>
      <c r="FI90" s="176" t="n"/>
      <c r="FJ90" s="176" t="n"/>
      <c r="FK90" s="176" t="n"/>
      <c r="FL90" s="176" t="n"/>
      <c r="FM90" s="176" t="n"/>
    </row>
    <row r="91" ht="15" customHeight="1" s="392">
      <c r="A91" s="176" t="n"/>
      <c r="B91" s="180" t="n"/>
      <c r="C91" s="183" t="inlineStr">
        <is>
          <t xml:space="preserve">            Depreciation and Amortization, Supplemental</t>
        </is>
      </c>
      <c r="D91" s="185" t="n"/>
      <c r="E91" s="185" t="n"/>
      <c r="F91" s="185" t="n"/>
      <c r="G91" s="185" t="n"/>
      <c r="H91" s="185" t="n"/>
      <c r="I91" s="185" t="n"/>
      <c r="J91" s="185" t="n"/>
      <c r="K91" s="185" t="n"/>
      <c r="EO91" s="182" t="n"/>
      <c r="EP91" s="176" t="n"/>
      <c r="EQ91" s="176" t="n"/>
      <c r="ER91" s="176" t="n"/>
      <c r="ES91" s="176" t="n"/>
      <c r="ET91" s="176" t="n"/>
      <c r="EU91" s="176" t="n"/>
      <c r="EV91" s="176" t="n"/>
      <c r="EW91" s="176" t="n"/>
      <c r="EX91" s="176" t="n"/>
      <c r="EY91" s="176" t="n"/>
      <c r="EZ91" s="176" t="n"/>
      <c r="FA91" s="176" t="n"/>
      <c r="FB91" s="176" t="n"/>
      <c r="FC91" s="176" t="n"/>
      <c r="FD91" s="176" t="n"/>
      <c r="FE91" s="176" t="n"/>
      <c r="FF91" s="176" t="n"/>
      <c r="FG91" s="176" t="n"/>
      <c r="FH91" s="176" t="n"/>
      <c r="FI91" s="176" t="n"/>
      <c r="FJ91" s="176" t="n"/>
      <c r="FK91" s="176" t="n"/>
      <c r="FL91" s="176" t="n"/>
      <c r="FM91" s="176" t="n"/>
    </row>
    <row r="92" ht="15" customHeight="1" s="392">
      <c r="A92" s="176" t="n"/>
      <c r="B92" s="180" t="n"/>
      <c r="C92" s="183" t="inlineStr">
        <is>
          <t xml:space="preserve">                Depreciation, Supplemental</t>
        </is>
      </c>
      <c r="D92" s="190">
        <f>IF(COUNT(M92:EN92)&gt;0,MEDIAN(M92:EN92),"")</f>
        <v/>
      </c>
      <c r="E92" s="190">
        <f>IF(COUNT(M92:EN92)&gt;0,AVERAGE(M92:EN92),"")</f>
        <v/>
      </c>
      <c r="F92" s="190">
        <f>IF(COUNT(M92:EN92)&gt;0,MIN(M92:EN92),"")</f>
        <v/>
      </c>
      <c r="G92" s="190">
        <f>IF(COUNT(M92:EN92)&gt;0,MAX(M92:EN92),"")</f>
        <v/>
      </c>
      <c r="H92" s="190">
        <f>IF(COUNT(M92:EN92)&gt;0,QUARTILE(M92:EN92,1),"")</f>
        <v/>
      </c>
      <c r="I92" s="190">
        <f>IF(COUNT(M92:EN92)&gt;0,QUARTILE(M92:EN92,3),"")</f>
        <v/>
      </c>
      <c r="J92" s="190">
        <f>IF(COUNT(M92:EN92)&gt;1,STDEV(M92:EN92),"")</f>
        <v/>
      </c>
      <c r="K92" s="191">
        <f>IF(COUNT(M92:EN92)&gt;1,STDEV(M92:EN92)/AVERAGE(M92:EN92),"")</f>
        <v/>
      </c>
      <c r="M92" s="192" t="n"/>
      <c r="N92" s="192" t="n"/>
      <c r="O92" s="192" t="n"/>
      <c r="P92" s="192" t="n"/>
      <c r="Q92" s="192" t="n">
        <v>188900</v>
      </c>
      <c r="R92" s="192" t="n"/>
      <c r="S92" s="192" t="n"/>
      <c r="T92" s="192" t="n"/>
      <c r="U92" s="192" t="n">
        <v>167700</v>
      </c>
      <c r="V92" s="192" t="n"/>
      <c r="W92" s="192" t="n">
        <v>41700</v>
      </c>
      <c r="X92" s="192" t="n">
        <v>40000</v>
      </c>
      <c r="Y92" s="192" t="n">
        <v>139900</v>
      </c>
      <c r="Z92" s="192" t="n"/>
      <c r="AA92" s="192" t="n">
        <v>36500</v>
      </c>
      <c r="AB92" s="192" t="n">
        <v>37200</v>
      </c>
      <c r="AC92" s="192" t="n">
        <v>25300</v>
      </c>
      <c r="AD92" s="192" t="n">
        <v>34700</v>
      </c>
      <c r="AE92" s="192" t="n">
        <v>31400</v>
      </c>
      <c r="AF92" s="192" t="n">
        <v>29900</v>
      </c>
      <c r="AG92" s="192" t="n">
        <v>18500</v>
      </c>
      <c r="AH92" s="192" t="n">
        <v>30200</v>
      </c>
      <c r="AI92" s="192" t="n">
        <v>29700</v>
      </c>
      <c r="AJ92" s="192" t="n">
        <v>27100</v>
      </c>
      <c r="AK92" s="192" t="n">
        <v>15100</v>
      </c>
      <c r="AL92" s="192" t="n">
        <v>24500</v>
      </c>
      <c r="AM92" s="192" t="n">
        <v>22000</v>
      </c>
      <c r="AN92" s="192" t="n">
        <v>20500</v>
      </c>
      <c r="AO92" s="192" t="n">
        <v>66800</v>
      </c>
      <c r="AP92" s="192" t="n"/>
      <c r="AQ92" s="192" t="n"/>
      <c r="AR92" s="192" t="n"/>
      <c r="AS92" s="192" t="n">
        <v>58800</v>
      </c>
      <c r="AT92" s="192" t="n"/>
      <c r="AU92" s="192" t="n"/>
      <c r="AV92" s="192" t="n"/>
      <c r="AW92" s="192" t="n"/>
      <c r="AX92" s="192" t="n"/>
      <c r="AY92" s="192" t="n"/>
      <c r="AZ92" s="192" t="n"/>
      <c r="BA92" s="192" t="n"/>
      <c r="BB92" s="192" t="n"/>
      <c r="BC92" s="192" t="n"/>
      <c r="BD92" s="192" t="n"/>
      <c r="BE92" s="192" t="n"/>
      <c r="BF92" s="192" t="n"/>
      <c r="BG92" s="192" t="n"/>
      <c r="BH92" s="192" t="n"/>
      <c r="BI92" s="192" t="n"/>
      <c r="BJ92" s="192" t="n"/>
      <c r="BK92" s="192" t="n"/>
      <c r="BL92" s="192" t="n"/>
      <c r="BM92" s="192" t="n"/>
      <c r="BN92" s="192" t="n"/>
      <c r="BO92" s="192" t="n"/>
      <c r="BP92" s="192" t="n"/>
      <c r="BQ92" s="192" t="n"/>
      <c r="BR92" s="192" t="n"/>
      <c r="BS92" s="192" t="n"/>
      <c r="BT92" s="192" t="n"/>
      <c r="BU92" s="192" t="n"/>
      <c r="BV92" s="192" t="n"/>
      <c r="BW92" s="192" t="n"/>
      <c r="BX92" s="192" t="n"/>
      <c r="BY92" s="192" t="n"/>
      <c r="BZ92" s="192" t="n"/>
      <c r="CA92" s="192" t="n"/>
      <c r="CB92" s="192" t="n"/>
      <c r="CC92" s="192" t="n"/>
      <c r="CD92" s="192" t="n"/>
      <c r="CE92" s="192" t="n"/>
      <c r="CF92" s="192" t="n"/>
      <c r="CG92" s="192" t="n"/>
      <c r="CH92" s="192" t="n"/>
      <c r="CI92" s="192" t="n"/>
      <c r="CJ92" s="192" t="n"/>
      <c r="CK92" s="192" t="n"/>
      <c r="CL92" s="192" t="n"/>
      <c r="CM92" s="192" t="n"/>
      <c r="CN92" s="192" t="n"/>
      <c r="CO92" s="192" t="n"/>
      <c r="CP92" s="192" t="n"/>
      <c r="CQ92" s="192" t="n"/>
      <c r="CR92" s="192" t="n"/>
      <c r="CS92" s="192" t="n"/>
      <c r="CT92" s="192" t="n"/>
      <c r="CU92" s="192" t="n"/>
      <c r="CV92" s="192" t="n"/>
      <c r="CW92" s="192" t="n"/>
      <c r="CX92" s="192" t="n"/>
      <c r="CY92" s="192" t="n"/>
      <c r="CZ92" s="192" t="n"/>
      <c r="DA92" s="192" t="n"/>
      <c r="DB92" s="192" t="n"/>
      <c r="DC92" s="192" t="n"/>
      <c r="DD92" s="192" t="n"/>
      <c r="DE92" s="192" t="n"/>
      <c r="DF92" s="192" t="n"/>
      <c r="DG92" s="192" t="n"/>
      <c r="DH92" s="192" t="n"/>
      <c r="DI92" s="192" t="n"/>
      <c r="DJ92" s="192" t="n"/>
      <c r="DK92" s="192" t="n"/>
      <c r="DL92" s="192" t="n"/>
      <c r="DM92" s="192" t="n"/>
      <c r="DN92" s="192" t="n"/>
      <c r="DO92" s="192" t="n"/>
      <c r="DP92" s="192" t="n"/>
      <c r="DQ92" s="192" t="n"/>
      <c r="DR92" s="192" t="n"/>
      <c r="DS92" s="192" t="n"/>
      <c r="DT92" s="192" t="n"/>
      <c r="DU92" s="192" t="n"/>
      <c r="DV92" s="192" t="n"/>
      <c r="DW92" s="192" t="n"/>
      <c r="DX92" s="192" t="n"/>
      <c r="DY92" s="192" t="n"/>
      <c r="DZ92" s="192" t="n"/>
      <c r="EA92" s="192" t="n"/>
      <c r="EB92" s="192" t="n"/>
      <c r="EC92" s="192" t="n"/>
      <c r="ED92" s="192" t="n"/>
      <c r="EE92" s="192" t="n"/>
      <c r="EF92" s="192" t="n"/>
      <c r="EG92" s="192" t="n"/>
      <c r="EH92" s="192" t="n"/>
      <c r="EI92" s="192" t="n"/>
      <c r="EJ92" s="192" t="n"/>
      <c r="EK92" s="192" t="n"/>
      <c r="EL92" s="192" t="n"/>
      <c r="EM92" s="192" t="n"/>
      <c r="EN92" s="192" t="n"/>
      <c r="EO92" s="182" t="n"/>
      <c r="EP92" s="176" t="n"/>
      <c r="EQ92" s="176" t="n"/>
      <c r="ER92" s="176" t="n"/>
      <c r="ES92" s="176" t="n"/>
      <c r="ET92" s="176" t="n"/>
      <c r="EU92" s="176" t="n"/>
      <c r="EV92" s="176" t="n"/>
      <c r="EW92" s="176" t="n"/>
      <c r="EX92" s="176" t="n"/>
      <c r="EY92" s="176" t="n"/>
      <c r="EZ92" s="176" t="n"/>
      <c r="FA92" s="176" t="n"/>
      <c r="FB92" s="176" t="n"/>
      <c r="FC92" s="176" t="n"/>
      <c r="FD92" s="176" t="n"/>
      <c r="FE92" s="176" t="n"/>
      <c r="FF92" s="176" t="n"/>
      <c r="FG92" s="176" t="n"/>
      <c r="FH92" s="176" t="n"/>
      <c r="FI92" s="176" t="n"/>
      <c r="FJ92" s="176" t="n"/>
      <c r="FK92" s="176" t="n"/>
      <c r="FL92" s="176" t="n"/>
      <c r="FM92" s="176" t="n"/>
    </row>
    <row r="93" ht="15" customHeight="1" s="392">
      <c r="A93" s="176" t="n"/>
      <c r="B93" s="180" t="n"/>
      <c r="C93" s="183" t="inlineStr">
        <is>
          <t xml:space="preserve">                Amortization, Supplemental</t>
        </is>
      </c>
      <c r="D93" s="190">
        <f>IF(COUNT(M93:EN93)&gt;0,MEDIAN(M93:EN93),"")</f>
        <v/>
      </c>
      <c r="E93" s="190">
        <f>IF(COUNT(M93:EN93)&gt;0,AVERAGE(M93:EN93),"")</f>
        <v/>
      </c>
      <c r="F93" s="190">
        <f>IF(COUNT(M93:EN93)&gt;0,MIN(M93:EN93),"")</f>
        <v/>
      </c>
      <c r="G93" s="190">
        <f>IF(COUNT(M93:EN93)&gt;0,MAX(M93:EN93),"")</f>
        <v/>
      </c>
      <c r="H93" s="190">
        <f>IF(COUNT(M93:EN93)&gt;0,QUARTILE(M93:EN93,1),"")</f>
        <v/>
      </c>
      <c r="I93" s="190">
        <f>IF(COUNT(M93:EN93)&gt;0,QUARTILE(M93:EN93,3),"")</f>
        <v/>
      </c>
      <c r="J93" s="190">
        <f>IF(COUNT(M93:EN93)&gt;1,STDEV(M93:EN93),"")</f>
        <v/>
      </c>
      <c r="K93" s="191">
        <f>IF(COUNT(M93:EN93)&gt;1,STDEV(M93:EN93)/AVERAGE(M93:EN93),"")</f>
        <v/>
      </c>
      <c r="M93" s="192" t="n"/>
      <c r="N93" s="192" t="n"/>
      <c r="O93" s="192" t="n"/>
      <c r="P93" s="192" t="n"/>
      <c r="Q93" s="192" t="n">
        <v>26900</v>
      </c>
      <c r="R93" s="192" t="n"/>
      <c r="S93" s="192" t="n"/>
      <c r="T93" s="192" t="n"/>
      <c r="U93" s="192" t="n">
        <v>22000</v>
      </c>
      <c r="V93" s="192" t="n"/>
      <c r="W93" s="192" t="n">
        <v>3500</v>
      </c>
      <c r="X93" s="192" t="n">
        <v>3100</v>
      </c>
      <c r="Y93" s="192" t="n">
        <v>19600</v>
      </c>
      <c r="Z93" s="192" t="n"/>
      <c r="AA93" s="192" t="n">
        <v>1900</v>
      </c>
      <c r="AB93" s="192" t="n">
        <v>1900</v>
      </c>
      <c r="AC93" s="192" t="n">
        <v>11100</v>
      </c>
      <c r="AD93" s="192" t="n">
        <v>1900</v>
      </c>
      <c r="AE93" s="192" t="n">
        <v>1800</v>
      </c>
      <c r="AF93" s="192" t="n">
        <v>1800</v>
      </c>
      <c r="AG93" s="192" t="n">
        <v>11100</v>
      </c>
      <c r="AH93" s="192" t="n">
        <v>1800</v>
      </c>
      <c r="AI93" s="192" t="n">
        <v>1800</v>
      </c>
      <c r="AJ93" s="192" t="n">
        <v>1800</v>
      </c>
      <c r="AK93" s="192" t="n">
        <v>12300</v>
      </c>
      <c r="AL93" s="192" t="n">
        <v>2200</v>
      </c>
      <c r="AM93" s="192" t="n">
        <v>2300</v>
      </c>
      <c r="AN93" s="192" t="n">
        <v>2500</v>
      </c>
      <c r="AO93" s="192" t="n">
        <v>18100</v>
      </c>
      <c r="AP93" s="192" t="n"/>
      <c r="AQ93" s="192" t="n"/>
      <c r="AR93" s="192" t="n"/>
      <c r="AS93" s="192" t="n">
        <v>19700</v>
      </c>
      <c r="AT93" s="192" t="n"/>
      <c r="AU93" s="192" t="n"/>
      <c r="AV93" s="192" t="n"/>
      <c r="AW93" s="192" t="n"/>
      <c r="AX93" s="192" t="n"/>
      <c r="AY93" s="192" t="n"/>
      <c r="AZ93" s="192" t="n"/>
      <c r="BA93" s="192" t="n"/>
      <c r="BB93" s="192" t="n"/>
      <c r="BC93" s="192" t="n"/>
      <c r="BD93" s="192" t="n"/>
      <c r="BE93" s="192" t="n"/>
      <c r="BF93" s="192" t="n"/>
      <c r="BG93" s="192" t="n"/>
      <c r="BH93" s="192" t="n"/>
      <c r="BI93" s="192" t="n"/>
      <c r="BJ93" s="192" t="n"/>
      <c r="BK93" s="192" t="n"/>
      <c r="BL93" s="192" t="n"/>
      <c r="BM93" s="192" t="n"/>
      <c r="BN93" s="192" t="n"/>
      <c r="BO93" s="192" t="n"/>
      <c r="BP93" s="192" t="n"/>
      <c r="BQ93" s="192" t="n"/>
      <c r="BR93" s="192" t="n"/>
      <c r="BS93" s="192" t="n"/>
      <c r="BT93" s="192" t="n"/>
      <c r="BU93" s="192" t="n"/>
      <c r="BV93" s="192" t="n"/>
      <c r="BW93" s="192" t="n"/>
      <c r="BX93" s="192" t="n"/>
      <c r="BY93" s="192" t="n"/>
      <c r="BZ93" s="192" t="n"/>
      <c r="CA93" s="192" t="n"/>
      <c r="CB93" s="192" t="n"/>
      <c r="CC93" s="192" t="n"/>
      <c r="CD93" s="192" t="n"/>
      <c r="CE93" s="192" t="n"/>
      <c r="CF93" s="192" t="n"/>
      <c r="CG93" s="192" t="n"/>
      <c r="CH93" s="192" t="n"/>
      <c r="CI93" s="192" t="n"/>
      <c r="CJ93" s="192" t="n"/>
      <c r="CK93" s="192" t="n"/>
      <c r="CL93" s="192" t="n"/>
      <c r="CM93" s="192" t="n"/>
      <c r="CN93" s="192" t="n"/>
      <c r="CO93" s="192" t="n"/>
      <c r="CP93" s="192" t="n"/>
      <c r="CQ93" s="192" t="n"/>
      <c r="CR93" s="192" t="n"/>
      <c r="CS93" s="192" t="n"/>
      <c r="CT93" s="192" t="n"/>
      <c r="CU93" s="192" t="n"/>
      <c r="CV93" s="192" t="n"/>
      <c r="CW93" s="192" t="n"/>
      <c r="CX93" s="192" t="n"/>
      <c r="CY93" s="192" t="n"/>
      <c r="CZ93" s="192" t="n"/>
      <c r="DA93" s="192" t="n"/>
      <c r="DB93" s="192" t="n"/>
      <c r="DC93" s="192" t="n"/>
      <c r="DD93" s="192" t="n"/>
      <c r="DE93" s="192" t="n"/>
      <c r="DF93" s="192" t="n"/>
      <c r="DG93" s="192" t="n"/>
      <c r="DH93" s="192" t="n"/>
      <c r="DI93" s="192" t="n"/>
      <c r="DJ93" s="192" t="n"/>
      <c r="DK93" s="192" t="n"/>
      <c r="DL93" s="192" t="n"/>
      <c r="DM93" s="192" t="n"/>
      <c r="DN93" s="192" t="n"/>
      <c r="DO93" s="192" t="n"/>
      <c r="DP93" s="192" t="n"/>
      <c r="DQ93" s="192" t="n"/>
      <c r="DR93" s="192" t="n"/>
      <c r="DS93" s="192" t="n"/>
      <c r="DT93" s="192" t="n"/>
      <c r="DU93" s="192" t="n"/>
      <c r="DV93" s="192" t="n"/>
      <c r="DW93" s="192" t="n"/>
      <c r="DX93" s="192" t="n"/>
      <c r="DY93" s="192" t="n"/>
      <c r="DZ93" s="192" t="n"/>
      <c r="EA93" s="192" t="n"/>
      <c r="EB93" s="192" t="n"/>
      <c r="EC93" s="192" t="n"/>
      <c r="ED93" s="192" t="n"/>
      <c r="EE93" s="192" t="n"/>
      <c r="EF93" s="192" t="n"/>
      <c r="EG93" s="192" t="n"/>
      <c r="EH93" s="192" t="n"/>
      <c r="EI93" s="192" t="n"/>
      <c r="EJ93" s="192" t="n"/>
      <c r="EK93" s="192" t="n"/>
      <c r="EL93" s="192" t="n"/>
      <c r="EM93" s="192" t="n"/>
      <c r="EN93" s="192" t="n"/>
      <c r="EO93" s="182" t="n"/>
      <c r="EP93" s="176" t="n"/>
      <c r="EQ93" s="176" t="n"/>
      <c r="ER93" s="176" t="n"/>
      <c r="ES93" s="176" t="n"/>
      <c r="ET93" s="176" t="n"/>
      <c r="EU93" s="176" t="n"/>
      <c r="EV93" s="176" t="n"/>
      <c r="EW93" s="176" t="n"/>
      <c r="EX93" s="176" t="n"/>
      <c r="EY93" s="176" t="n"/>
      <c r="EZ93" s="176" t="n"/>
      <c r="FA93" s="176" t="n"/>
      <c r="FB93" s="176" t="n"/>
      <c r="FC93" s="176" t="n"/>
      <c r="FD93" s="176" t="n"/>
      <c r="FE93" s="176" t="n"/>
      <c r="FF93" s="176" t="n"/>
      <c r="FG93" s="176" t="n"/>
      <c r="FH93" s="176" t="n"/>
      <c r="FI93" s="176" t="n"/>
      <c r="FJ93" s="176" t="n"/>
      <c r="FK93" s="176" t="n"/>
      <c r="FL93" s="176" t="n"/>
      <c r="FM93" s="176" t="n"/>
    </row>
    <row r="94" ht="15" customHeight="1" s="392">
      <c r="A94" s="176" t="n"/>
      <c r="B94" s="180" t="n"/>
      <c r="C94" s="187" t="inlineStr">
        <is>
          <t xml:space="preserve">            Total Depreciation and Amortization, Supplemental</t>
        </is>
      </c>
      <c r="D94" s="193">
        <f>IF(COUNT(M94:EN94)&gt;0,MEDIAN(M94:EN94),"")</f>
        <v/>
      </c>
      <c r="E94" s="193">
        <f>IF(COUNT(M94:EN94)&gt;0,AVERAGE(M94:EN94),"")</f>
        <v/>
      </c>
      <c r="F94" s="193">
        <f>IF(COUNT(M94:EN94)&gt;0,MIN(M94:EN94),"")</f>
        <v/>
      </c>
      <c r="G94" s="193">
        <f>IF(COUNT(M94:EN94)&gt;0,MAX(M94:EN94),"")</f>
        <v/>
      </c>
      <c r="H94" s="193">
        <f>IF(COUNT(M94:EN94)&gt;0,QUARTILE(M94:EN94,1),"")</f>
        <v/>
      </c>
      <c r="I94" s="193">
        <f>IF(COUNT(M94:EN94)&gt;0,QUARTILE(M94:EN94,3),"")</f>
        <v/>
      </c>
      <c r="J94" s="193">
        <f>IF(COUNT(M94:EN94)&gt;1,STDEV(M94:EN94),"")</f>
        <v/>
      </c>
      <c r="K94" s="194">
        <f>IF(COUNT(M94:EN94)&gt;1,STDEV(M94:EN94)/AVERAGE(M94:EN94),"")</f>
        <v/>
      </c>
      <c r="L94" s="195" t="n"/>
      <c r="M94" s="196" t="n">
        <v>60961</v>
      </c>
      <c r="N94" s="196" t="n"/>
      <c r="O94" s="196" t="n"/>
      <c r="P94" s="196" t="n"/>
      <c r="Q94" s="196" t="n">
        <v>215800</v>
      </c>
      <c r="R94" s="196" t="n"/>
      <c r="S94" s="196" t="n"/>
      <c r="T94" s="196" t="n"/>
      <c r="U94" s="196" t="n">
        <v>189700</v>
      </c>
      <c r="V94" s="196" t="n"/>
      <c r="W94" s="196" t="n">
        <v>45200</v>
      </c>
      <c r="X94" s="196" t="n">
        <v>43100</v>
      </c>
      <c r="Y94" s="196" t="n">
        <v>159500</v>
      </c>
      <c r="Z94" s="196" t="n"/>
      <c r="AA94" s="196" t="n">
        <v>38400</v>
      </c>
      <c r="AB94" s="196" t="n">
        <v>39100</v>
      </c>
      <c r="AC94" s="196" t="n">
        <v>36400</v>
      </c>
      <c r="AD94" s="196" t="n">
        <v>36600</v>
      </c>
      <c r="AE94" s="196" t="n">
        <v>33200</v>
      </c>
      <c r="AF94" s="196" t="n">
        <v>31700</v>
      </c>
      <c r="AG94" s="196" t="n">
        <v>29600</v>
      </c>
      <c r="AH94" s="196" t="n">
        <v>32000</v>
      </c>
      <c r="AI94" s="196" t="n">
        <v>31500</v>
      </c>
      <c r="AJ94" s="196" t="n">
        <v>28900</v>
      </c>
      <c r="AK94" s="196" t="n">
        <v>27400</v>
      </c>
      <c r="AL94" s="196" t="n">
        <v>26700</v>
      </c>
      <c r="AM94" s="196" t="n">
        <v>24300</v>
      </c>
      <c r="AN94" s="196" t="n">
        <v>23000</v>
      </c>
      <c r="AO94" s="196" t="n">
        <v>84900</v>
      </c>
      <c r="AP94" s="196" t="n"/>
      <c r="AQ94" s="196" t="n"/>
      <c r="AR94" s="196" t="n"/>
      <c r="AS94" s="196" t="n">
        <v>28154</v>
      </c>
      <c r="AT94" s="196" t="n">
        <v>16573</v>
      </c>
      <c r="AU94" s="196" t="n">
        <v>17871</v>
      </c>
      <c r="AV94" s="196" t="n"/>
      <c r="AW94" s="196" t="n"/>
      <c r="AX94" s="196" t="n"/>
      <c r="AY94" s="196" t="n"/>
      <c r="AZ94" s="196" t="n"/>
      <c r="BA94" s="196" t="n"/>
      <c r="BB94" s="196" t="n"/>
      <c r="BC94" s="196" t="n"/>
      <c r="BD94" s="196" t="n"/>
      <c r="BE94" s="196" t="n"/>
      <c r="BF94" s="196" t="n"/>
      <c r="BG94" s="196" t="n"/>
      <c r="BH94" s="196" t="n"/>
      <c r="BI94" s="196" t="n"/>
      <c r="BJ94" s="196" t="n"/>
      <c r="BK94" s="196" t="n"/>
      <c r="BL94" s="196" t="n"/>
      <c r="BM94" s="196" t="n"/>
      <c r="BN94" s="196" t="n"/>
      <c r="BO94" s="196" t="n"/>
      <c r="BP94" s="196" t="n"/>
      <c r="BQ94" s="196" t="n"/>
      <c r="BR94" s="196" t="n"/>
      <c r="BS94" s="196" t="n"/>
      <c r="BT94" s="196" t="n"/>
      <c r="BU94" s="196" t="n"/>
      <c r="BV94" s="196" t="n"/>
      <c r="BW94" s="196" t="n"/>
      <c r="BX94" s="196" t="n"/>
      <c r="BY94" s="196" t="n"/>
      <c r="BZ94" s="196" t="n"/>
      <c r="CA94" s="196" t="n"/>
      <c r="CB94" s="196" t="n"/>
      <c r="CC94" s="196" t="n"/>
      <c r="CD94" s="196" t="n"/>
      <c r="CE94" s="196" t="n"/>
      <c r="CF94" s="196" t="n"/>
      <c r="CG94" s="196" t="n"/>
      <c r="CH94" s="196" t="n"/>
      <c r="CI94" s="196" t="n"/>
      <c r="CJ94" s="196" t="n"/>
      <c r="CK94" s="196" t="n"/>
      <c r="CL94" s="196" t="n"/>
      <c r="CM94" s="196" t="n"/>
      <c r="CN94" s="196" t="n"/>
      <c r="CO94" s="196" t="n"/>
      <c r="CP94" s="196" t="n"/>
      <c r="CQ94" s="196" t="n"/>
      <c r="CR94" s="196" t="n"/>
      <c r="CS94" s="196" t="n"/>
      <c r="CT94" s="196" t="n"/>
      <c r="CU94" s="196" t="n"/>
      <c r="CV94" s="196" t="n"/>
      <c r="CW94" s="196" t="n"/>
      <c r="CX94" s="196" t="n"/>
      <c r="CY94" s="196" t="n"/>
      <c r="CZ94" s="196" t="n"/>
      <c r="DA94" s="196" t="n"/>
      <c r="DB94" s="196" t="n"/>
      <c r="DC94" s="196" t="n"/>
      <c r="DD94" s="196" t="n"/>
      <c r="DE94" s="196" t="n"/>
      <c r="DF94" s="196" t="n"/>
      <c r="DG94" s="196" t="n"/>
      <c r="DH94" s="196" t="n"/>
      <c r="DI94" s="196" t="n"/>
      <c r="DJ94" s="196" t="n"/>
      <c r="DK94" s="196" t="n"/>
      <c r="DL94" s="196" t="n"/>
      <c r="DM94" s="196" t="n"/>
      <c r="DN94" s="196" t="n"/>
      <c r="DO94" s="196" t="n"/>
      <c r="DP94" s="196" t="n"/>
      <c r="DQ94" s="196" t="n"/>
      <c r="DR94" s="196" t="n"/>
      <c r="DS94" s="196" t="n"/>
      <c r="DT94" s="196" t="n"/>
      <c r="DU94" s="196" t="n"/>
      <c r="DV94" s="196" t="n"/>
      <c r="DW94" s="196" t="n"/>
      <c r="DX94" s="196" t="n"/>
      <c r="DY94" s="196" t="n"/>
      <c r="DZ94" s="196" t="n"/>
      <c r="EA94" s="196" t="n"/>
      <c r="EB94" s="196" t="n"/>
      <c r="EC94" s="196" t="n"/>
      <c r="ED94" s="196" t="n"/>
      <c r="EE94" s="196" t="n"/>
      <c r="EF94" s="196" t="n"/>
      <c r="EG94" s="196" t="n"/>
      <c r="EH94" s="196" t="n"/>
      <c r="EI94" s="196" t="n"/>
      <c r="EJ94" s="196" t="n"/>
      <c r="EK94" s="196" t="n"/>
      <c r="EL94" s="196" t="n"/>
      <c r="EM94" s="196" t="n"/>
      <c r="EN94" s="196" t="n"/>
      <c r="EO94" s="182" t="n"/>
      <c r="EP94" s="176" t="n"/>
      <c r="EQ94" s="176" t="n"/>
      <c r="ER94" s="176" t="n"/>
      <c r="ES94" s="176" t="n"/>
      <c r="ET94" s="176" t="n"/>
      <c r="EU94" s="176" t="n"/>
      <c r="EV94" s="176" t="n"/>
      <c r="EW94" s="176" t="n"/>
      <c r="EX94" s="176" t="n"/>
      <c r="EY94" s="176" t="n"/>
      <c r="EZ94" s="176" t="n"/>
      <c r="FA94" s="176" t="n"/>
      <c r="FB94" s="176" t="n"/>
      <c r="FC94" s="176" t="n"/>
      <c r="FD94" s="176" t="n"/>
      <c r="FE94" s="176" t="n"/>
      <c r="FF94" s="176" t="n"/>
      <c r="FG94" s="176" t="n"/>
      <c r="FH94" s="176" t="n"/>
      <c r="FI94" s="176" t="n"/>
      <c r="FJ94" s="176" t="n"/>
      <c r="FK94" s="176" t="n"/>
      <c r="FL94" s="176" t="n"/>
      <c r="FM94" s="176" t="n"/>
    </row>
    <row r="95" ht="15" customHeight="1" s="392">
      <c r="A95" s="176" t="n"/>
      <c r="B95" s="180" t="n"/>
      <c r="C95" s="187" t="inlineStr">
        <is>
          <t xml:space="preserve">        Total Depreciation, Amortization and Depletion, Supplemental</t>
        </is>
      </c>
      <c r="D95" s="193">
        <f>IF(COUNT(M95:EN95)&gt;0,MEDIAN(M95:EN95),"")</f>
        <v/>
      </c>
      <c r="E95" s="193">
        <f>IF(COUNT(M95:EN95)&gt;0,AVERAGE(M95:EN95),"")</f>
        <v/>
      </c>
      <c r="F95" s="193">
        <f>IF(COUNT(M95:EN95)&gt;0,MIN(M95:EN95),"")</f>
        <v/>
      </c>
      <c r="G95" s="193">
        <f>IF(COUNT(M95:EN95)&gt;0,MAX(M95:EN95),"")</f>
        <v/>
      </c>
      <c r="H95" s="193">
        <f>IF(COUNT(M95:EN95)&gt;0,QUARTILE(M95:EN95,1),"")</f>
        <v/>
      </c>
      <c r="I95" s="193">
        <f>IF(COUNT(M95:EN95)&gt;0,QUARTILE(M95:EN95,3),"")</f>
        <v/>
      </c>
      <c r="J95" s="193">
        <f>IF(COUNT(M95:EN95)&gt;1,STDEV(M95:EN95),"")</f>
        <v/>
      </c>
      <c r="K95" s="194">
        <f>IF(COUNT(M95:EN95)&gt;1,STDEV(M95:EN95)/AVERAGE(M95:EN95),"")</f>
        <v/>
      </c>
      <c r="L95" s="195" t="n"/>
      <c r="M95" s="196" t="n">
        <v>60961</v>
      </c>
      <c r="N95" s="196" t="n"/>
      <c r="O95" s="196" t="n"/>
      <c r="P95" s="196" t="n"/>
      <c r="Q95" s="196" t="n"/>
      <c r="R95" s="196" t="n"/>
      <c r="S95" s="196" t="n"/>
      <c r="T95" s="196" t="n"/>
      <c r="U95" s="196" t="n"/>
      <c r="V95" s="196" t="n"/>
      <c r="W95" s="196" t="n">
        <v>45200</v>
      </c>
      <c r="X95" s="196" t="n">
        <v>43100</v>
      </c>
      <c r="Y95" s="196" t="n"/>
      <c r="Z95" s="196" t="n"/>
      <c r="AA95" s="196" t="n">
        <v>38400</v>
      </c>
      <c r="AB95" s="196" t="n">
        <v>39100</v>
      </c>
      <c r="AC95" s="196" t="n">
        <v>36400</v>
      </c>
      <c r="AD95" s="196" t="n">
        <v>36600</v>
      </c>
      <c r="AE95" s="196" t="n">
        <v>33200</v>
      </c>
      <c r="AF95" s="196" t="n">
        <v>31700</v>
      </c>
      <c r="AG95" s="196" t="n">
        <v>29600</v>
      </c>
      <c r="AH95" s="196" t="n">
        <v>32000</v>
      </c>
      <c r="AI95" s="196" t="n">
        <v>31500</v>
      </c>
      <c r="AJ95" s="196" t="n">
        <v>28900</v>
      </c>
      <c r="AK95" s="196" t="n">
        <v>27400</v>
      </c>
      <c r="AL95" s="196" t="n">
        <v>26700</v>
      </c>
      <c r="AM95" s="196" t="n">
        <v>24300</v>
      </c>
      <c r="AN95" s="196" t="n">
        <v>23000</v>
      </c>
      <c r="AO95" s="196" t="n"/>
      <c r="AP95" s="196" t="n"/>
      <c r="AQ95" s="196" t="n"/>
      <c r="AR95" s="196" t="n"/>
      <c r="AS95" s="196" t="n">
        <v>28154</v>
      </c>
      <c r="AT95" s="196" t="n">
        <v>16573</v>
      </c>
      <c r="AU95" s="196" t="n">
        <v>17871</v>
      </c>
      <c r="AV95" s="196" t="n"/>
      <c r="AW95" s="196" t="n"/>
      <c r="AX95" s="196" t="n"/>
      <c r="AY95" s="196" t="n"/>
      <c r="AZ95" s="196" t="n"/>
      <c r="BA95" s="196" t="n"/>
      <c r="BB95" s="196" t="n"/>
      <c r="BC95" s="196" t="n"/>
      <c r="BD95" s="196" t="n"/>
      <c r="BE95" s="196" t="n"/>
      <c r="BF95" s="196" t="n"/>
      <c r="BG95" s="196" t="n"/>
      <c r="BH95" s="196" t="n"/>
      <c r="BI95" s="196" t="n"/>
      <c r="BJ95" s="196" t="n"/>
      <c r="BK95" s="196" t="n"/>
      <c r="BL95" s="196" t="n"/>
      <c r="BM95" s="196" t="n"/>
      <c r="BN95" s="196" t="n"/>
      <c r="BO95" s="196" t="n"/>
      <c r="BP95" s="196" t="n"/>
      <c r="BQ95" s="196" t="n"/>
      <c r="BR95" s="196" t="n"/>
      <c r="BS95" s="196" t="n"/>
      <c r="BT95" s="196" t="n"/>
      <c r="BU95" s="196" t="n"/>
      <c r="BV95" s="196" t="n"/>
      <c r="BW95" s="196" t="n"/>
      <c r="BX95" s="196" t="n"/>
      <c r="BY95" s="196" t="n"/>
      <c r="BZ95" s="196" t="n"/>
      <c r="CA95" s="196" t="n"/>
      <c r="CB95" s="196" t="n"/>
      <c r="CC95" s="196" t="n"/>
      <c r="CD95" s="196" t="n"/>
      <c r="CE95" s="196" t="n"/>
      <c r="CF95" s="196" t="n"/>
      <c r="CG95" s="196" t="n"/>
      <c r="CH95" s="196" t="n"/>
      <c r="CI95" s="196" t="n"/>
      <c r="CJ95" s="196" t="n"/>
      <c r="CK95" s="196" t="n"/>
      <c r="CL95" s="196" t="n"/>
      <c r="CM95" s="196" t="n"/>
      <c r="CN95" s="196" t="n"/>
      <c r="CO95" s="196" t="n"/>
      <c r="CP95" s="196" t="n"/>
      <c r="CQ95" s="196" t="n"/>
      <c r="CR95" s="196" t="n"/>
      <c r="CS95" s="196" t="n"/>
      <c r="CT95" s="196" t="n"/>
      <c r="CU95" s="196" t="n"/>
      <c r="CV95" s="196" t="n"/>
      <c r="CW95" s="196" t="n"/>
      <c r="CX95" s="196" t="n"/>
      <c r="CY95" s="196" t="n"/>
      <c r="CZ95" s="196" t="n"/>
      <c r="DA95" s="196" t="n"/>
      <c r="DB95" s="196" t="n"/>
      <c r="DC95" s="196" t="n"/>
      <c r="DD95" s="196" t="n"/>
      <c r="DE95" s="196" t="n"/>
      <c r="DF95" s="196" t="n"/>
      <c r="DG95" s="196" t="n"/>
      <c r="DH95" s="196" t="n"/>
      <c r="DI95" s="196" t="n"/>
      <c r="DJ95" s="196" t="n"/>
      <c r="DK95" s="196" t="n"/>
      <c r="DL95" s="196" t="n"/>
      <c r="DM95" s="196" t="n"/>
      <c r="DN95" s="196" t="n"/>
      <c r="DO95" s="196" t="n"/>
      <c r="DP95" s="196" t="n"/>
      <c r="DQ95" s="196" t="n"/>
      <c r="DR95" s="196" t="n"/>
      <c r="DS95" s="196" t="n"/>
      <c r="DT95" s="196" t="n"/>
      <c r="DU95" s="196" t="n"/>
      <c r="DV95" s="196" t="n"/>
      <c r="DW95" s="196" t="n"/>
      <c r="DX95" s="196" t="n"/>
      <c r="DY95" s="196" t="n"/>
      <c r="DZ95" s="196" t="n"/>
      <c r="EA95" s="196" t="n"/>
      <c r="EB95" s="196" t="n"/>
      <c r="EC95" s="196" t="n"/>
      <c r="ED95" s="196" t="n"/>
      <c r="EE95" s="196" t="n"/>
      <c r="EF95" s="196" t="n"/>
      <c r="EG95" s="196" t="n"/>
      <c r="EH95" s="196" t="n"/>
      <c r="EI95" s="196" t="n"/>
      <c r="EJ95" s="196" t="n"/>
      <c r="EK95" s="196" t="n"/>
      <c r="EL95" s="196" t="n"/>
      <c r="EM95" s="196" t="n"/>
      <c r="EN95" s="196" t="n"/>
      <c r="EO95" s="182" t="n"/>
      <c r="EP95" s="176" t="n"/>
      <c r="EQ95" s="176" t="n"/>
      <c r="ER95" s="176" t="n"/>
      <c r="ES95" s="176" t="n"/>
      <c r="ET95" s="176" t="n"/>
      <c r="EU95" s="176" t="n"/>
      <c r="EV95" s="176" t="n"/>
      <c r="EW95" s="176" t="n"/>
      <c r="EX95" s="176" t="n"/>
      <c r="EY95" s="176" t="n"/>
      <c r="EZ95" s="176" t="n"/>
      <c r="FA95" s="176" t="n"/>
      <c r="FB95" s="176" t="n"/>
      <c r="FC95" s="176" t="n"/>
      <c r="FD95" s="176" t="n"/>
      <c r="FE95" s="176" t="n"/>
      <c r="FF95" s="176" t="n"/>
      <c r="FG95" s="176" t="n"/>
      <c r="FH95" s="176" t="n"/>
      <c r="FI95" s="176" t="n"/>
      <c r="FJ95" s="176" t="n"/>
      <c r="FK95" s="176" t="n"/>
      <c r="FL95" s="176" t="n"/>
      <c r="FM95" s="176" t="n"/>
    </row>
    <row r="96" ht="15" customHeight="1" s="392">
      <c r="A96" s="176" t="n"/>
      <c r="B96" s="180" t="n"/>
      <c r="C96" s="189" t="inlineStr">
        <is>
          <t>Profitability Metrics</t>
        </is>
      </c>
      <c r="D96" s="185" t="n"/>
      <c r="E96" s="185" t="n"/>
      <c r="F96" s="185" t="n"/>
      <c r="G96" s="185" t="n"/>
      <c r="H96" s="185" t="n"/>
      <c r="I96" s="185" t="n"/>
      <c r="J96" s="185" t="n"/>
      <c r="K96" s="185" t="n"/>
      <c r="L96" s="185" t="n"/>
      <c r="M96" s="185" t="n"/>
      <c r="N96" s="185" t="n"/>
      <c r="O96" s="185" t="n"/>
      <c r="P96" s="185" t="n"/>
      <c r="Q96" s="185" t="n"/>
      <c r="R96" s="185" t="n"/>
      <c r="S96" s="185" t="n"/>
      <c r="T96" s="185" t="n"/>
      <c r="U96" s="185" t="n"/>
      <c r="V96" s="185" t="n"/>
      <c r="W96" s="185" t="n"/>
      <c r="X96" s="185" t="n"/>
      <c r="Y96" s="185" t="n"/>
      <c r="Z96" s="185" t="n"/>
      <c r="AA96" s="185" t="n"/>
      <c r="AB96" s="185" t="n"/>
      <c r="AC96" s="185" t="n"/>
      <c r="AD96" s="185" t="n"/>
      <c r="AE96" s="185" t="n"/>
      <c r="AF96" s="185" t="n"/>
      <c r="AG96" s="185" t="n"/>
      <c r="AH96" s="185" t="n"/>
      <c r="AI96" s="185" t="n"/>
      <c r="AJ96" s="185" t="n"/>
      <c r="AK96" s="185" t="n"/>
      <c r="AL96" s="185" t="n"/>
      <c r="AM96" s="185" t="n"/>
      <c r="AN96" s="185" t="n"/>
      <c r="AO96" s="185" t="n"/>
      <c r="AP96" s="185" t="n"/>
      <c r="AQ96" s="185" t="n"/>
      <c r="AR96" s="185" t="n"/>
      <c r="AS96" s="185" t="n"/>
      <c r="AT96" s="185" t="n"/>
      <c r="AU96" s="185" t="n"/>
      <c r="AV96" s="185" t="n"/>
      <c r="AW96" s="185" t="n"/>
      <c r="AX96" s="185" t="n"/>
      <c r="AY96" s="185" t="n"/>
      <c r="AZ96" s="185" t="n"/>
      <c r="BA96" s="185" t="n"/>
      <c r="BB96" s="185" t="n"/>
      <c r="BC96" s="185" t="n"/>
      <c r="BD96" s="185" t="n"/>
      <c r="BE96" s="185" t="n"/>
      <c r="BF96" s="185" t="n"/>
      <c r="BG96" s="185" t="n"/>
      <c r="BH96" s="185" t="n"/>
      <c r="BI96" s="185" t="n"/>
      <c r="BJ96" s="185" t="n"/>
      <c r="BK96" s="185" t="n"/>
      <c r="BL96" s="185" t="n"/>
      <c r="BM96" s="185" t="n"/>
      <c r="BN96" s="185" t="n"/>
      <c r="BO96" s="185" t="n"/>
      <c r="BP96" s="185" t="n"/>
      <c r="BQ96" s="185" t="n"/>
      <c r="BR96" s="185" t="n"/>
      <c r="BS96" s="185" t="n"/>
      <c r="BT96" s="185" t="n"/>
      <c r="BU96" s="185" t="n"/>
      <c r="BV96" s="185" t="n"/>
      <c r="BW96" s="185" t="n"/>
      <c r="BX96" s="185" t="n"/>
      <c r="BY96" s="185" t="n"/>
      <c r="BZ96" s="185" t="n"/>
      <c r="CA96" s="185" t="n"/>
      <c r="CB96" s="185" t="n"/>
      <c r="CC96" s="185" t="n"/>
      <c r="CD96" s="185" t="n"/>
      <c r="CE96" s="185" t="n"/>
      <c r="CF96" s="185" t="n"/>
      <c r="CG96" s="185" t="n"/>
      <c r="CH96" s="185" t="n"/>
      <c r="CI96" s="185" t="n"/>
      <c r="CJ96" s="185" t="n"/>
      <c r="CK96" s="185" t="n"/>
      <c r="CL96" s="185" t="n"/>
      <c r="CM96" s="185" t="n"/>
      <c r="CN96" s="185" t="n"/>
      <c r="CO96" s="185" t="n"/>
      <c r="CP96" s="185" t="n"/>
      <c r="CQ96" s="185" t="n"/>
      <c r="CR96" s="185" t="n"/>
      <c r="CS96" s="185" t="n"/>
      <c r="CT96" s="185" t="n"/>
      <c r="CU96" s="185" t="n"/>
      <c r="CV96" s="185" t="n"/>
      <c r="CW96" s="185" t="n"/>
      <c r="CX96" s="185" t="n"/>
      <c r="CY96" s="185" t="n"/>
      <c r="CZ96" s="185" t="n"/>
      <c r="DA96" s="185" t="n"/>
      <c r="DB96" s="185" t="n"/>
      <c r="DC96" s="185" t="n"/>
      <c r="DD96" s="185" t="n"/>
      <c r="DE96" s="185" t="n"/>
      <c r="DF96" s="185" t="n"/>
      <c r="DG96" s="185" t="n"/>
      <c r="DH96" s="185" t="n"/>
      <c r="DI96" s="185" t="n"/>
      <c r="DJ96" s="185" t="n"/>
      <c r="DK96" s="185" t="n"/>
      <c r="DL96" s="185" t="n"/>
      <c r="DM96" s="185" t="n"/>
      <c r="DN96" s="185" t="n"/>
      <c r="DO96" s="185" t="n"/>
      <c r="DP96" s="185" t="n"/>
      <c r="DQ96" s="185" t="n"/>
      <c r="DR96" s="185" t="n"/>
      <c r="DS96" s="185" t="n"/>
      <c r="DT96" s="185" t="n"/>
      <c r="DU96" s="185" t="n"/>
      <c r="DV96" s="185" t="n"/>
      <c r="DW96" s="185" t="n"/>
      <c r="DX96" s="185" t="n"/>
      <c r="DY96" s="185" t="n"/>
      <c r="DZ96" s="185" t="n"/>
      <c r="EA96" s="185" t="n"/>
      <c r="EB96" s="185" t="n"/>
      <c r="EC96" s="185" t="n"/>
      <c r="ED96" s="185" t="n"/>
      <c r="EE96" s="185" t="n"/>
      <c r="EF96" s="185" t="n"/>
      <c r="EG96" s="185" t="n"/>
      <c r="EH96" s="185" t="n"/>
      <c r="EI96" s="185" t="n"/>
      <c r="EJ96" s="185" t="n"/>
      <c r="EK96" s="185" t="n"/>
      <c r="EL96" s="185" t="n"/>
      <c r="EM96" s="185" t="n"/>
      <c r="EN96" s="185" t="n"/>
      <c r="EO96" s="182" t="n"/>
      <c r="EP96" s="176" t="n"/>
      <c r="EQ96" s="176" t="n"/>
      <c r="ER96" s="176" t="n"/>
      <c r="ES96" s="176" t="n"/>
      <c r="ET96" s="176" t="n"/>
      <c r="EU96" s="176" t="n"/>
      <c r="EV96" s="176" t="n"/>
      <c r="EW96" s="176" t="n"/>
      <c r="EX96" s="176" t="n"/>
      <c r="EY96" s="176" t="n"/>
      <c r="EZ96" s="176" t="n"/>
      <c r="FA96" s="176" t="n"/>
      <c r="FB96" s="176" t="n"/>
      <c r="FC96" s="176" t="n"/>
      <c r="FD96" s="176" t="n"/>
      <c r="FE96" s="176" t="n"/>
      <c r="FF96" s="176" t="n"/>
      <c r="FG96" s="176" t="n"/>
      <c r="FH96" s="176" t="n"/>
      <c r="FI96" s="176" t="n"/>
      <c r="FJ96" s="176" t="n"/>
      <c r="FK96" s="176" t="n"/>
      <c r="FL96" s="176" t="n"/>
      <c r="FM96" s="176" t="n"/>
    </row>
    <row r="97" ht="15" customHeight="1" s="392">
      <c r="A97" s="176" t="n"/>
      <c r="B97" s="180" t="n"/>
      <c r="C97" s="183" t="inlineStr">
        <is>
          <t xml:space="preserve">    Unadjusted Profitability Metrics</t>
        </is>
      </c>
      <c r="D97" s="185" t="n"/>
      <c r="E97" s="185" t="n"/>
      <c r="F97" s="185" t="n"/>
      <c r="G97" s="185" t="n"/>
      <c r="H97" s="185" t="n"/>
      <c r="I97" s="185" t="n"/>
      <c r="J97" s="185" t="n"/>
      <c r="K97" s="185" t="n"/>
      <c r="EO97" s="182" t="n"/>
      <c r="EP97" s="176" t="n"/>
      <c r="EQ97" s="176" t="n"/>
      <c r="ER97" s="176" t="n"/>
      <c r="ES97" s="176" t="n"/>
      <c r="ET97" s="176" t="n"/>
      <c r="EU97" s="176" t="n"/>
      <c r="EV97" s="176" t="n"/>
      <c r="EW97" s="176" t="n"/>
      <c r="EX97" s="176" t="n"/>
      <c r="EY97" s="176" t="n"/>
      <c r="EZ97" s="176" t="n"/>
      <c r="FA97" s="176" t="n"/>
      <c r="FB97" s="176" t="n"/>
      <c r="FC97" s="176" t="n"/>
      <c r="FD97" s="176" t="n"/>
      <c r="FE97" s="176" t="n"/>
      <c r="FF97" s="176" t="n"/>
      <c r="FG97" s="176" t="n"/>
      <c r="FH97" s="176" t="n"/>
      <c r="FI97" s="176" t="n"/>
      <c r="FJ97" s="176" t="n"/>
      <c r="FK97" s="176" t="n"/>
      <c r="FL97" s="176" t="n"/>
      <c r="FM97" s="176" t="n"/>
    </row>
    <row r="98" ht="15" customHeight="1" s="392">
      <c r="A98" s="176" t="n"/>
      <c r="B98" s="180" t="n"/>
      <c r="C98" s="183" t="inlineStr">
        <is>
          <t xml:space="preserve">        EBITDA</t>
        </is>
      </c>
      <c r="D98" s="190">
        <f>IF(COUNT(M98:EN98)&gt;0,MEDIAN(M98:EN98),"")</f>
        <v/>
      </c>
      <c r="E98" s="190">
        <f>IF(COUNT(M98:EN98)&gt;0,AVERAGE(M98:EN98),"")</f>
        <v/>
      </c>
      <c r="F98" s="190">
        <f>IF(COUNT(M98:EN98)&gt;0,MIN(M98:EN98),"")</f>
        <v/>
      </c>
      <c r="G98" s="190">
        <f>IF(COUNT(M98:EN98)&gt;0,MAX(M98:EN98),"")</f>
        <v/>
      </c>
      <c r="H98" s="190">
        <f>IF(COUNT(M98:EN98)&gt;0,QUARTILE(M98:EN98,1),"")</f>
        <v/>
      </c>
      <c r="I98" s="190">
        <f>IF(COUNT(M98:EN98)&gt;0,QUARTILE(M98:EN98,3),"")</f>
        <v/>
      </c>
      <c r="J98" s="190">
        <f>IF(COUNT(M98:EN98)&gt;1,STDEV(M98:EN98),"")</f>
        <v/>
      </c>
      <c r="K98" s="191">
        <f>IF(COUNT(M98:EN98)&gt;1,STDEV(M98:EN98)/AVERAGE(M98:EN98),"")</f>
        <v/>
      </c>
      <c r="M98" s="192" t="n">
        <v>426054</v>
      </c>
      <c r="N98" s="192" t="n">
        <v>522367</v>
      </c>
      <c r="O98" s="192" t="n">
        <v>446576</v>
      </c>
      <c r="P98" s="192" t="n">
        <v>487817</v>
      </c>
      <c r="Q98" s="192" t="n">
        <v>482711</v>
      </c>
      <c r="R98" s="192" t="n">
        <v>514548</v>
      </c>
      <c r="S98" s="192" t="n">
        <v>476564</v>
      </c>
      <c r="T98" s="192" t="n">
        <v>460633</v>
      </c>
      <c r="U98" s="192" t="n">
        <v>416011</v>
      </c>
      <c r="V98" s="192" t="n">
        <v>486587</v>
      </c>
      <c r="W98" s="192" t="n">
        <v>421997</v>
      </c>
      <c r="X98" s="192" t="n">
        <v>434404</v>
      </c>
      <c r="Y98" s="192" t="n">
        <v>438908</v>
      </c>
      <c r="Z98" s="192" t="n">
        <v>459778</v>
      </c>
      <c r="AA98" s="192" t="n">
        <v>401023</v>
      </c>
      <c r="AB98" s="192" t="n">
        <v>347781</v>
      </c>
      <c r="AC98" s="192" t="n">
        <v>342524</v>
      </c>
      <c r="AD98" s="192" t="n">
        <v>410697</v>
      </c>
      <c r="AE98" s="192" t="n">
        <v>379688</v>
      </c>
      <c r="AF98" s="192" t="n">
        <v>362633</v>
      </c>
      <c r="AG98" s="192" t="n">
        <v>333664</v>
      </c>
      <c r="AH98" s="192" t="n">
        <v>360881</v>
      </c>
      <c r="AI98" s="192" t="n">
        <v>288801</v>
      </c>
      <c r="AJ98" s="192" t="n">
        <v>280747</v>
      </c>
      <c r="AK98" s="192" t="n">
        <v>234086</v>
      </c>
      <c r="AL98" s="192" t="n">
        <v>224078</v>
      </c>
      <c r="AM98" s="192" t="n">
        <v>233838</v>
      </c>
      <c r="AN98" s="192" t="n">
        <v>229108</v>
      </c>
      <c r="AO98" s="192" t="n">
        <v>212950</v>
      </c>
      <c r="AP98" s="192" t="n">
        <v>230435</v>
      </c>
      <c r="AQ98" s="192" t="n">
        <v>190030</v>
      </c>
      <c r="AR98" s="192" t="n">
        <v>174455</v>
      </c>
      <c r="AS98" s="192" t="n">
        <v>164865</v>
      </c>
      <c r="AT98" s="192" t="n">
        <v>191923</v>
      </c>
      <c r="AU98" s="192" t="n">
        <v>167870</v>
      </c>
      <c r="AV98" s="192" t="n">
        <v>135538</v>
      </c>
      <c r="AW98" s="192" t="n">
        <v>125354</v>
      </c>
      <c r="AX98" s="192" t="n">
        <v>150399</v>
      </c>
      <c r="AY98" s="192" t="n">
        <v>121185</v>
      </c>
      <c r="AZ98" s="192" t="n">
        <v>122976</v>
      </c>
      <c r="BA98" s="192" t="n">
        <v>125985</v>
      </c>
      <c r="BB98" s="192" t="n">
        <v>134593</v>
      </c>
      <c r="BC98" s="192" t="n">
        <v>108252</v>
      </c>
      <c r="BD98" s="192" t="n">
        <v>98835</v>
      </c>
      <c r="BE98" s="192" t="n">
        <v>98132</v>
      </c>
      <c r="BF98" s="192" t="n">
        <v>106164</v>
      </c>
      <c r="BG98" s="192" t="n">
        <v>96009</v>
      </c>
      <c r="BH98" s="192" t="n">
        <v>97961</v>
      </c>
      <c r="BI98" s="192" t="n">
        <v>89312</v>
      </c>
      <c r="BJ98" s="192" t="n">
        <v>76110</v>
      </c>
      <c r="BK98" s="192" t="n">
        <v>85730</v>
      </c>
      <c r="BL98" s="192" t="n">
        <v>80886</v>
      </c>
      <c r="BM98" s="192" t="n">
        <v>78998</v>
      </c>
      <c r="BN98" s="192" t="n">
        <v>99202</v>
      </c>
      <c r="BO98" s="192" t="n">
        <v>78126</v>
      </c>
      <c r="BP98" s="192" t="n">
        <v>86903</v>
      </c>
      <c r="BQ98" s="192" t="n">
        <v>82344</v>
      </c>
      <c r="BR98" s="192" t="n">
        <v>99546</v>
      </c>
      <c r="BS98" s="192" t="n">
        <v>77350</v>
      </c>
      <c r="BT98" s="192" t="n">
        <v>77967</v>
      </c>
      <c r="BU98" s="192" t="n">
        <v>75668</v>
      </c>
      <c r="BV98" s="192" t="n">
        <v>93297</v>
      </c>
      <c r="BW98" s="192" t="n">
        <v>72368</v>
      </c>
      <c r="BX98" s="192" t="n">
        <v>71820</v>
      </c>
      <c r="BY98" s="192" t="n">
        <v>68807</v>
      </c>
      <c r="BZ98" s="192" t="n">
        <v>82610</v>
      </c>
      <c r="CA98" s="192" t="n">
        <v>63594</v>
      </c>
      <c r="CB98" s="192" t="n">
        <v>67737</v>
      </c>
      <c r="CC98" s="192" t="n">
        <v>66444</v>
      </c>
      <c r="CD98" s="192" t="n">
        <v>75878</v>
      </c>
      <c r="CE98" s="192" t="n">
        <v>53896</v>
      </c>
      <c r="CF98" s="192" t="n">
        <v>72029</v>
      </c>
      <c r="CG98" s="192" t="n">
        <v>79070</v>
      </c>
      <c r="CH98" s="192" t="n">
        <v>80544</v>
      </c>
      <c r="CI98" s="192" t="n">
        <v>61671</v>
      </c>
      <c r="CJ98" s="192" t="n">
        <v>71170</v>
      </c>
      <c r="CK98" s="192" t="n">
        <v>68679</v>
      </c>
      <c r="CL98" s="192" t="n">
        <v>71246</v>
      </c>
      <c r="CM98" s="192" t="n">
        <v>57491</v>
      </c>
      <c r="CN98" s="192" t="n">
        <v>57095</v>
      </c>
      <c r="CO98" s="192" t="n">
        <v>54237</v>
      </c>
      <c r="CP98" s="192" t="n">
        <v>61792</v>
      </c>
      <c r="CQ98" s="192" t="n">
        <v>46432</v>
      </c>
      <c r="CR98" s="192" t="n">
        <v>43521</v>
      </c>
      <c r="CS98" s="192" t="n">
        <v>46252</v>
      </c>
      <c r="CT98" s="192" t="n">
        <v>58591</v>
      </c>
      <c r="CU98" s="192" t="n">
        <v>45772</v>
      </c>
      <c r="CV98" s="192" t="n">
        <v>44647</v>
      </c>
      <c r="CW98" s="192" t="n">
        <v>41785</v>
      </c>
      <c r="CX98" s="192" t="n">
        <v>48207</v>
      </c>
      <c r="CY98" s="192" t="n">
        <v>36789.4</v>
      </c>
      <c r="CZ98" s="192" t="n">
        <v>32591.5</v>
      </c>
      <c r="DA98" s="192" t="n">
        <v>29015.8</v>
      </c>
      <c r="DB98" s="192" t="n">
        <v>31879.1</v>
      </c>
      <c r="DC98" s="192" t="n">
        <v>28877.9</v>
      </c>
      <c r="DD98" s="192" t="n">
        <v>29939.1</v>
      </c>
      <c r="DE98" s="192" t="n">
        <v>30411.1</v>
      </c>
      <c r="DF98" s="192" t="n">
        <v>31233.5</v>
      </c>
      <c r="DG98" s="192" t="n">
        <v>23759.3</v>
      </c>
      <c r="DH98" s="192" t="n">
        <v>24561.7</v>
      </c>
      <c r="DI98" s="192" t="n">
        <v>25613.8</v>
      </c>
      <c r="DJ98" s="192" t="n">
        <v>22873.7</v>
      </c>
      <c r="DK98" s="192" t="n">
        <v>18913.1</v>
      </c>
      <c r="DL98" s="192" t="n">
        <v>17993.1</v>
      </c>
      <c r="DM98" s="192" t="n">
        <v>16466.5</v>
      </c>
      <c r="DN98" s="192" t="n">
        <v>16455.7</v>
      </c>
      <c r="DO98" s="192" t="n">
        <v>13500</v>
      </c>
      <c r="DP98" s="192" t="n">
        <v>13100</v>
      </c>
      <c r="DQ98" s="192" t="n">
        <v>13000</v>
      </c>
      <c r="DR98" s="192" t="n">
        <v>12600</v>
      </c>
      <c r="DS98" s="192" t="n">
        <v>10200</v>
      </c>
      <c r="DT98" s="192" t="n">
        <v>9200</v>
      </c>
      <c r="DU98" s="192" t="n">
        <v>9000</v>
      </c>
      <c r="DV98" s="192" t="n">
        <v>9000</v>
      </c>
      <c r="DW98" s="192" t="n">
        <v>7700</v>
      </c>
      <c r="DX98" s="192" t="n">
        <v>7000</v>
      </c>
      <c r="DY98" s="192" t="n">
        <v>7100</v>
      </c>
      <c r="DZ98" s="192" t="n">
        <v>7400</v>
      </c>
      <c r="EA98" s="192" t="n">
        <v>6800</v>
      </c>
      <c r="EB98" s="192" t="n">
        <v>5600</v>
      </c>
      <c r="EC98" s="192" t="n">
        <v>5800</v>
      </c>
      <c r="ED98" s="192" t="n">
        <v>6300</v>
      </c>
      <c r="EE98" s="192" t="n">
        <v>6400</v>
      </c>
      <c r="EF98" s="192" t="n">
        <v>5700</v>
      </c>
      <c r="EG98" s="192" t="n">
        <v>5000</v>
      </c>
      <c r="EH98" s="192" t="n">
        <v>3900</v>
      </c>
      <c r="EI98" s="192" t="n">
        <v>3300</v>
      </c>
      <c r="EJ98" s="192" t="n">
        <v>2700</v>
      </c>
      <c r="EK98" s="192" t="n">
        <v>4700</v>
      </c>
      <c r="EL98" s="192" t="n">
        <v>2300</v>
      </c>
      <c r="EM98" s="192" t="n"/>
      <c r="EN98" s="192" t="n"/>
      <c r="EO98" s="182" t="n"/>
      <c r="EP98" s="176" t="n"/>
      <c r="EQ98" s="176" t="n"/>
      <c r="ER98" s="176" t="n"/>
      <c r="ES98" s="176" t="n"/>
      <c r="ET98" s="176" t="n"/>
      <c r="EU98" s="176" t="n"/>
      <c r="EV98" s="176" t="n"/>
      <c r="EW98" s="176" t="n"/>
      <c r="EX98" s="176" t="n"/>
      <c r="EY98" s="176" t="n"/>
      <c r="EZ98" s="176" t="n"/>
      <c r="FA98" s="176" t="n"/>
      <c r="FB98" s="176" t="n"/>
      <c r="FC98" s="176" t="n"/>
      <c r="FD98" s="176" t="n"/>
      <c r="FE98" s="176" t="n"/>
      <c r="FF98" s="176" t="n"/>
      <c r="FG98" s="176" t="n"/>
      <c r="FH98" s="176" t="n"/>
      <c r="FI98" s="176" t="n"/>
      <c r="FJ98" s="176" t="n"/>
      <c r="FK98" s="176" t="n"/>
      <c r="FL98" s="176" t="n"/>
      <c r="FM98" s="176" t="n"/>
    </row>
    <row r="99" ht="15" customHeight="1" s="392">
      <c r="A99" s="176" t="n"/>
      <c r="B99" s="180" t="n"/>
      <c r="C99" s="183" t="inlineStr">
        <is>
          <t xml:space="preserve">        EBITA</t>
        </is>
      </c>
      <c r="D99" s="190">
        <f>IF(COUNT(M99:EN99)&gt;0,MEDIAN(M99:EN99),"")</f>
        <v/>
      </c>
      <c r="E99" s="190">
        <f>IF(COUNT(M99:EN99)&gt;0,AVERAGE(M99:EN99),"")</f>
        <v/>
      </c>
      <c r="F99" s="190">
        <f>IF(COUNT(M99:EN99)&gt;0,MIN(M99:EN99),"")</f>
        <v/>
      </c>
      <c r="G99" s="190">
        <f>IF(COUNT(M99:EN99)&gt;0,MAX(M99:EN99),"")</f>
        <v/>
      </c>
      <c r="H99" s="190">
        <f>IF(COUNT(M99:EN99)&gt;0,QUARTILE(M99:EN99,1),"")</f>
        <v/>
      </c>
      <c r="I99" s="190">
        <f>IF(COUNT(M99:EN99)&gt;0,QUARTILE(M99:EN99,3),"")</f>
        <v/>
      </c>
      <c r="J99" s="190">
        <f>IF(COUNT(M99:EN99)&gt;1,STDEV(M99:EN99),"")</f>
        <v/>
      </c>
      <c r="K99" s="191">
        <f>IF(COUNT(M99:EN99)&gt;1,STDEV(M99:EN99)/AVERAGE(M99:EN99),"")</f>
        <v/>
      </c>
      <c r="M99" s="192" t="n"/>
      <c r="N99" s="192" t="n"/>
      <c r="O99" s="192" t="n"/>
      <c r="P99" s="192" t="n"/>
      <c r="Q99" s="192" t="n">
        <v>293811</v>
      </c>
      <c r="R99" s="192" t="n"/>
      <c r="S99" s="192" t="n"/>
      <c r="T99" s="192" t="n"/>
      <c r="U99" s="192" t="n">
        <v>248311</v>
      </c>
      <c r="V99" s="192" t="n"/>
      <c r="W99" s="192" t="n">
        <v>380297</v>
      </c>
      <c r="X99" s="192" t="n">
        <v>394404</v>
      </c>
      <c r="Y99" s="192" t="n">
        <v>299008</v>
      </c>
      <c r="Z99" s="192" t="n"/>
      <c r="AA99" s="192" t="n">
        <v>364523</v>
      </c>
      <c r="AB99" s="192" t="n">
        <v>310581</v>
      </c>
      <c r="AC99" s="192" t="n">
        <v>317224</v>
      </c>
      <c r="AD99" s="192" t="n">
        <v>375997</v>
      </c>
      <c r="AE99" s="192" t="n">
        <v>348288</v>
      </c>
      <c r="AF99" s="192" t="n">
        <v>332733</v>
      </c>
      <c r="AG99" s="192" t="n">
        <v>315164</v>
      </c>
      <c r="AH99" s="192" t="n">
        <v>330681</v>
      </c>
      <c r="AI99" s="192" t="n">
        <v>259101</v>
      </c>
      <c r="AJ99" s="192" t="n">
        <v>253647</v>
      </c>
      <c r="AK99" s="192" t="n">
        <v>218986</v>
      </c>
      <c r="AL99" s="192" t="n">
        <v>199578</v>
      </c>
      <c r="AM99" s="192" t="n">
        <v>211838</v>
      </c>
      <c r="AN99" s="192" t="n">
        <v>208608</v>
      </c>
      <c r="AO99" s="192" t="n">
        <v>146150</v>
      </c>
      <c r="AP99" s="192" t="n"/>
      <c r="AQ99" s="192" t="n"/>
      <c r="AR99" s="192" t="n"/>
      <c r="AS99" s="192" t="n">
        <v>106065</v>
      </c>
      <c r="AT99" s="192" t="n"/>
      <c r="AU99" s="192" t="n"/>
      <c r="AV99" s="192" t="n"/>
      <c r="AW99" s="192" t="n"/>
      <c r="AX99" s="192" t="n"/>
      <c r="AY99" s="192" t="n"/>
      <c r="AZ99" s="192" t="n"/>
      <c r="BA99" s="192" t="n"/>
      <c r="BB99" s="192" t="n"/>
      <c r="BC99" s="192" t="n"/>
      <c r="BD99" s="192" t="n"/>
      <c r="BE99" s="192" t="n"/>
      <c r="BF99" s="192" t="n"/>
      <c r="BG99" s="192" t="n"/>
      <c r="BH99" s="192" t="n"/>
      <c r="BI99" s="192" t="n"/>
      <c r="BJ99" s="192" t="n"/>
      <c r="BK99" s="192" t="n"/>
      <c r="BL99" s="192" t="n"/>
      <c r="BM99" s="192" t="n"/>
      <c r="BN99" s="192" t="n"/>
      <c r="BO99" s="192" t="n"/>
      <c r="BP99" s="192" t="n"/>
      <c r="BQ99" s="192" t="n"/>
      <c r="BR99" s="192" t="n"/>
      <c r="BS99" s="192" t="n"/>
      <c r="BT99" s="192" t="n"/>
      <c r="BU99" s="192" t="n"/>
      <c r="BV99" s="192" t="n"/>
      <c r="BW99" s="192" t="n"/>
      <c r="BX99" s="192" t="n"/>
      <c r="BY99" s="192" t="n"/>
      <c r="BZ99" s="192" t="n"/>
      <c r="CA99" s="192" t="n"/>
      <c r="CB99" s="192" t="n"/>
      <c r="CC99" s="192" t="n"/>
      <c r="CD99" s="192" t="n"/>
      <c r="CE99" s="192" t="n"/>
      <c r="CF99" s="192" t="n"/>
      <c r="CG99" s="192" t="n"/>
      <c r="CH99" s="192" t="n"/>
      <c r="CI99" s="192" t="n"/>
      <c r="CJ99" s="192" t="n"/>
      <c r="CK99" s="192" t="n"/>
      <c r="CL99" s="192" t="n"/>
      <c r="CM99" s="192" t="n"/>
      <c r="CN99" s="192" t="n"/>
      <c r="CO99" s="192" t="n"/>
      <c r="CP99" s="192" t="n"/>
      <c r="CQ99" s="192" t="n"/>
      <c r="CR99" s="192" t="n"/>
      <c r="CS99" s="192" t="n"/>
      <c r="CT99" s="192" t="n"/>
      <c r="CU99" s="192" t="n"/>
      <c r="CV99" s="192" t="n"/>
      <c r="CW99" s="192" t="n"/>
      <c r="CX99" s="192" t="n"/>
      <c r="CY99" s="192" t="n"/>
      <c r="CZ99" s="192" t="n"/>
      <c r="DA99" s="192" t="n"/>
      <c r="DB99" s="192" t="n"/>
      <c r="DC99" s="192" t="n"/>
      <c r="DD99" s="192" t="n"/>
      <c r="DE99" s="192" t="n"/>
      <c r="DF99" s="192" t="n"/>
      <c r="DG99" s="192" t="n"/>
      <c r="DH99" s="192" t="n"/>
      <c r="DI99" s="192" t="n"/>
      <c r="DJ99" s="192" t="n"/>
      <c r="DK99" s="192" t="n"/>
      <c r="DL99" s="192" t="n"/>
      <c r="DM99" s="192" t="n"/>
      <c r="DN99" s="192" t="n"/>
      <c r="DO99" s="192" t="n"/>
      <c r="DP99" s="192" t="n"/>
      <c r="DQ99" s="192" t="n"/>
      <c r="DR99" s="192" t="n"/>
      <c r="DS99" s="192" t="n"/>
      <c r="DT99" s="192" t="n"/>
      <c r="DU99" s="192" t="n"/>
      <c r="DV99" s="192" t="n"/>
      <c r="DW99" s="192" t="n"/>
      <c r="DX99" s="192" t="n"/>
      <c r="DY99" s="192" t="n"/>
      <c r="DZ99" s="192" t="n"/>
      <c r="EA99" s="192" t="n"/>
      <c r="EB99" s="192" t="n"/>
      <c r="EC99" s="192" t="n"/>
      <c r="ED99" s="192" t="n"/>
      <c r="EE99" s="192" t="n"/>
      <c r="EF99" s="192" t="n"/>
      <c r="EG99" s="192" t="n"/>
      <c r="EH99" s="192" t="n"/>
      <c r="EI99" s="192" t="n"/>
      <c r="EJ99" s="192" t="n"/>
      <c r="EK99" s="192" t="n"/>
      <c r="EL99" s="192" t="n"/>
      <c r="EM99" s="192" t="n"/>
      <c r="EN99" s="192" t="n"/>
      <c r="EO99" s="182" t="n"/>
      <c r="EP99" s="176" t="n"/>
      <c r="EQ99" s="176" t="n"/>
      <c r="ER99" s="176" t="n"/>
      <c r="ES99" s="176" t="n"/>
      <c r="ET99" s="176" t="n"/>
      <c r="EU99" s="176" t="n"/>
      <c r="EV99" s="176" t="n"/>
      <c r="EW99" s="176" t="n"/>
      <c r="EX99" s="176" t="n"/>
      <c r="EY99" s="176" t="n"/>
      <c r="EZ99" s="176" t="n"/>
      <c r="FA99" s="176" t="n"/>
      <c r="FB99" s="176" t="n"/>
      <c r="FC99" s="176" t="n"/>
      <c r="FD99" s="176" t="n"/>
      <c r="FE99" s="176" t="n"/>
      <c r="FF99" s="176" t="n"/>
      <c r="FG99" s="176" t="n"/>
      <c r="FH99" s="176" t="n"/>
      <c r="FI99" s="176" t="n"/>
      <c r="FJ99" s="176" t="n"/>
      <c r="FK99" s="176" t="n"/>
      <c r="FL99" s="176" t="n"/>
      <c r="FM99" s="176" t="n"/>
    </row>
    <row r="100" ht="15" customHeight="1" s="392">
      <c r="A100" s="176" t="n"/>
      <c r="B100" s="180" t="n"/>
      <c r="C100" s="183" t="inlineStr">
        <is>
          <t xml:space="preserve">        EBIT</t>
        </is>
      </c>
      <c r="D100" s="190">
        <f>IF(COUNT(M100:EN100)&gt;0,MEDIAN(M100:EN100),"")</f>
        <v/>
      </c>
      <c r="E100" s="190">
        <f>IF(COUNT(M100:EN100)&gt;0,AVERAGE(M100:EN100),"")</f>
        <v/>
      </c>
      <c r="F100" s="190">
        <f>IF(COUNT(M100:EN100)&gt;0,MIN(M100:EN100),"")</f>
        <v/>
      </c>
      <c r="G100" s="190">
        <f>IF(COUNT(M100:EN100)&gt;0,MAX(M100:EN100),"")</f>
        <v/>
      </c>
      <c r="H100" s="190">
        <f>IF(COUNT(M100:EN100)&gt;0,QUARTILE(M100:EN100,1),"")</f>
        <v/>
      </c>
      <c r="I100" s="190">
        <f>IF(COUNT(M100:EN100)&gt;0,QUARTILE(M100:EN100,3),"")</f>
        <v/>
      </c>
      <c r="J100" s="190">
        <f>IF(COUNT(M100:EN100)&gt;1,STDEV(M100:EN100),"")</f>
        <v/>
      </c>
      <c r="K100" s="191">
        <f>IF(COUNT(M100:EN100)&gt;1,STDEV(M100:EN100)/AVERAGE(M100:EN100),"")</f>
        <v/>
      </c>
      <c r="M100" s="192" t="n">
        <v>365093</v>
      </c>
      <c r="N100" s="192" t="n">
        <v>463281</v>
      </c>
      <c r="O100" s="192" t="n">
        <v>391062</v>
      </c>
      <c r="P100" s="192" t="n">
        <v>433618</v>
      </c>
      <c r="Q100" s="192" t="n">
        <v>428569</v>
      </c>
      <c r="R100" s="192" t="n">
        <v>460028</v>
      </c>
      <c r="S100" s="192" t="n">
        <v>422304</v>
      </c>
      <c r="T100" s="192" t="n">
        <v>405771</v>
      </c>
      <c r="U100" s="192" t="n">
        <v>364933</v>
      </c>
      <c r="V100" s="192" t="n">
        <v>435894</v>
      </c>
      <c r="W100" s="192" t="n">
        <v>376797</v>
      </c>
      <c r="X100" s="192" t="n">
        <v>391304</v>
      </c>
      <c r="Y100" s="192" t="n">
        <v>394544</v>
      </c>
      <c r="Z100" s="192" t="n">
        <v>422552</v>
      </c>
      <c r="AA100" s="192" t="n">
        <v>362623</v>
      </c>
      <c r="AB100" s="192" t="n">
        <v>308681</v>
      </c>
      <c r="AC100" s="192" t="n">
        <v>306124</v>
      </c>
      <c r="AD100" s="192" t="n">
        <v>374097</v>
      </c>
      <c r="AE100" s="192" t="n">
        <v>346488</v>
      </c>
      <c r="AF100" s="192" t="n">
        <v>330933</v>
      </c>
      <c r="AG100" s="192" t="n">
        <v>304064</v>
      </c>
      <c r="AH100" s="192" t="n">
        <v>328881</v>
      </c>
      <c r="AI100" s="192" t="n">
        <v>257301</v>
      </c>
      <c r="AJ100" s="192" t="n">
        <v>251847</v>
      </c>
      <c r="AK100" s="192" t="n">
        <v>206686</v>
      </c>
      <c r="AL100" s="192" t="n">
        <v>197378</v>
      </c>
      <c r="AM100" s="192" t="n">
        <v>209538</v>
      </c>
      <c r="AN100" s="192" t="n">
        <v>206108</v>
      </c>
      <c r="AO100" s="192" t="n">
        <v>191325</v>
      </c>
      <c r="AP100" s="192" t="n">
        <v>209213</v>
      </c>
      <c r="AQ100" s="192" t="n">
        <v>169521</v>
      </c>
      <c r="AR100" s="192" t="n">
        <v>152477</v>
      </c>
      <c r="AS100" s="192" t="n">
        <v>136711</v>
      </c>
      <c r="AT100" s="192" t="n">
        <v>175350</v>
      </c>
      <c r="AU100" s="192" t="n">
        <v>149999</v>
      </c>
      <c r="AV100" s="192" t="n">
        <v>119526</v>
      </c>
      <c r="AW100" s="192" t="n">
        <v>111864</v>
      </c>
      <c r="AX100" s="192" t="n">
        <v>136594</v>
      </c>
      <c r="AY100" s="192" t="n">
        <v>105859</v>
      </c>
      <c r="AZ100" s="192" t="n">
        <v>108156</v>
      </c>
      <c r="BA100" s="192" t="n">
        <v>112242</v>
      </c>
      <c r="BB100" s="192" t="n">
        <v>121987</v>
      </c>
      <c r="BC100" s="192" t="n">
        <v>96520</v>
      </c>
      <c r="BD100" s="192" t="n">
        <v>87273</v>
      </c>
      <c r="BE100" s="192" t="n">
        <v>86818</v>
      </c>
      <c r="BF100" s="192" t="n">
        <v>93952</v>
      </c>
      <c r="BG100" s="192" t="n">
        <v>84609</v>
      </c>
      <c r="BH100" s="192" t="n">
        <v>83994</v>
      </c>
      <c r="BI100" s="192" t="n">
        <v>75935</v>
      </c>
      <c r="BJ100" s="192" t="n">
        <v>63341</v>
      </c>
      <c r="BK100" s="192" t="n">
        <v>72654</v>
      </c>
      <c r="BL100" s="192" t="n">
        <v>66382</v>
      </c>
      <c r="BM100" s="192" t="n">
        <v>64518</v>
      </c>
      <c r="BN100" s="192" t="n">
        <v>84405</v>
      </c>
      <c r="BO100" s="192" t="n">
        <v>63514</v>
      </c>
      <c r="BP100" s="192" t="n">
        <v>74064</v>
      </c>
      <c r="BQ100" s="192" t="n">
        <v>70493</v>
      </c>
      <c r="BR100" s="192" t="n">
        <v>87477</v>
      </c>
      <c r="BS100" s="192" t="n">
        <v>65130</v>
      </c>
      <c r="BT100" s="192" t="n">
        <v>65940</v>
      </c>
      <c r="BU100" s="192" t="n">
        <v>64337</v>
      </c>
      <c r="BV100" s="192" t="n">
        <v>82023</v>
      </c>
      <c r="BW100" s="192" t="n">
        <v>61001</v>
      </c>
      <c r="BX100" s="192" t="n">
        <v>60098</v>
      </c>
      <c r="BY100" s="192" t="n">
        <v>57656</v>
      </c>
      <c r="BZ100" s="192" t="n">
        <v>71597</v>
      </c>
      <c r="CA100" s="192" t="n">
        <v>53130</v>
      </c>
      <c r="CB100" s="192" t="n">
        <v>57123</v>
      </c>
      <c r="CC100" s="192" t="n">
        <v>56386</v>
      </c>
      <c r="CD100" s="192" t="n">
        <v>65416</v>
      </c>
      <c r="CE100" s="192" t="n">
        <v>43771</v>
      </c>
      <c r="CF100" s="192" t="n">
        <v>61320</v>
      </c>
      <c r="CG100" s="192" t="n">
        <v>68022</v>
      </c>
      <c r="CH100" s="192" t="n">
        <v>70874</v>
      </c>
      <c r="CI100" s="192" t="n">
        <v>50589</v>
      </c>
      <c r="CJ100" s="192" t="n">
        <v>60166</v>
      </c>
      <c r="CK100" s="192" t="n">
        <v>58350</v>
      </c>
      <c r="CL100" s="192" t="n">
        <v>62025</v>
      </c>
      <c r="CM100" s="192" t="n">
        <v>48692</v>
      </c>
      <c r="CN100" s="192" t="n">
        <v>48355</v>
      </c>
      <c r="CO100" s="192" t="n">
        <v>45701</v>
      </c>
      <c r="CP100" s="192" t="n">
        <v>53689</v>
      </c>
      <c r="CQ100" s="192" t="n">
        <v>38724</v>
      </c>
      <c r="CR100" s="192" t="n">
        <v>36412</v>
      </c>
      <c r="CS100" s="192" t="n">
        <v>40040</v>
      </c>
      <c r="CT100" s="192" t="n">
        <v>49371</v>
      </c>
      <c r="CU100" s="192" t="n">
        <v>38343</v>
      </c>
      <c r="CV100" s="192" t="n">
        <v>37042</v>
      </c>
      <c r="CW100" s="192" t="n">
        <v>35269</v>
      </c>
      <c r="CX100" s="192" t="n">
        <v>40555</v>
      </c>
      <c r="CY100" s="192" t="n">
        <v>28708</v>
      </c>
      <c r="CZ100" s="192" t="n">
        <v>25191.9</v>
      </c>
      <c r="DA100" s="192" t="n">
        <v>21863.1</v>
      </c>
      <c r="DB100" s="192" t="n">
        <v>25480.8</v>
      </c>
      <c r="DC100" s="192" t="n">
        <v>22514.7</v>
      </c>
      <c r="DD100" s="192" t="n">
        <v>24308.3</v>
      </c>
      <c r="DE100" s="192" t="n">
        <v>25504.3</v>
      </c>
      <c r="DF100" s="192" t="n">
        <v>26992.5</v>
      </c>
      <c r="DG100" s="192" t="n">
        <v>20072.7</v>
      </c>
      <c r="DH100" s="192" t="n">
        <v>21087.9</v>
      </c>
      <c r="DI100" s="192" t="n">
        <v>21697.1</v>
      </c>
      <c r="DJ100" s="192" t="n">
        <v>19270.4</v>
      </c>
      <c r="DK100" s="192" t="n">
        <v>15453.2</v>
      </c>
      <c r="DL100" s="192" t="n">
        <v>14623</v>
      </c>
      <c r="DM100" s="192" t="n">
        <v>13393.6</v>
      </c>
      <c r="DN100" s="192" t="n">
        <v>13549.6</v>
      </c>
      <c r="DO100" s="192" t="n">
        <v>10800</v>
      </c>
      <c r="DP100" s="192" t="n">
        <v>10300</v>
      </c>
      <c r="DQ100" s="192" t="n">
        <v>10400</v>
      </c>
      <c r="DR100" s="192" t="n">
        <v>10100</v>
      </c>
      <c r="DS100" s="192" t="n">
        <v>7800</v>
      </c>
      <c r="DT100" s="192" t="n">
        <v>6900</v>
      </c>
      <c r="DU100" s="192" t="n">
        <v>7000</v>
      </c>
      <c r="DV100" s="192" t="n">
        <v>7100</v>
      </c>
      <c r="DW100" s="192" t="n">
        <v>5700</v>
      </c>
      <c r="DX100" s="192" t="n">
        <v>5100</v>
      </c>
      <c r="DY100" s="192" t="n">
        <v>5100</v>
      </c>
      <c r="DZ100" s="192" t="n">
        <v>5500</v>
      </c>
      <c r="EA100" s="192" t="n">
        <v>5000</v>
      </c>
      <c r="EB100" s="192" t="n">
        <v>3800</v>
      </c>
      <c r="EC100" s="192" t="n">
        <v>4200</v>
      </c>
      <c r="ED100" s="192" t="n">
        <v>4700</v>
      </c>
      <c r="EE100" s="192" t="n">
        <v>5000</v>
      </c>
      <c r="EF100" s="192" t="n">
        <v>4300</v>
      </c>
      <c r="EG100" s="192" t="n">
        <v>3600</v>
      </c>
      <c r="EH100" s="192" t="n">
        <v>3200</v>
      </c>
      <c r="EI100" s="192" t="n">
        <v>2600</v>
      </c>
      <c r="EJ100" s="192" t="n">
        <v>2100</v>
      </c>
      <c r="EK100" s="192" t="n">
        <v>4700</v>
      </c>
      <c r="EL100" s="192" t="n">
        <v>1000</v>
      </c>
      <c r="EM100" s="192" t="n"/>
      <c r="EN100" s="192" t="n"/>
      <c r="EO100" s="182" t="n"/>
      <c r="EP100" s="176" t="n"/>
      <c r="EQ100" s="176" t="n"/>
      <c r="ER100" s="176" t="n"/>
      <c r="ES100" s="176" t="n"/>
      <c r="ET100" s="176" t="n"/>
      <c r="EU100" s="176" t="n"/>
      <c r="EV100" s="176" t="n"/>
      <c r="EW100" s="176" t="n"/>
      <c r="EX100" s="176" t="n"/>
      <c r="EY100" s="176" t="n"/>
      <c r="EZ100" s="176" t="n"/>
      <c r="FA100" s="176" t="n"/>
      <c r="FB100" s="176" t="n"/>
      <c r="FC100" s="176" t="n"/>
      <c r="FD100" s="176" t="n"/>
      <c r="FE100" s="176" t="n"/>
      <c r="FF100" s="176" t="n"/>
      <c r="FG100" s="176" t="n"/>
      <c r="FH100" s="176" t="n"/>
      <c r="FI100" s="176" t="n"/>
      <c r="FJ100" s="176" t="n"/>
      <c r="FK100" s="176" t="n"/>
      <c r="FL100" s="176" t="n"/>
      <c r="FM100" s="176" t="n"/>
    </row>
    <row r="101" ht="15" customHeight="1" s="392">
      <c r="A101" s="176" t="n"/>
      <c r="B101" s="180" t="n"/>
      <c r="C101" s="183" t="inlineStr">
        <is>
          <t xml:space="preserve">        EBITDAR</t>
        </is>
      </c>
      <c r="D101" s="190">
        <f>IF(COUNT(M101:EN101)&gt;0,MEDIAN(M101:EN101),"")</f>
        <v/>
      </c>
      <c r="E101" s="190">
        <f>IF(COUNT(M101:EN101)&gt;0,AVERAGE(M101:EN101),"")</f>
        <v/>
      </c>
      <c r="F101" s="190">
        <f>IF(COUNT(M101:EN101)&gt;0,MIN(M101:EN101),"")</f>
        <v/>
      </c>
      <c r="G101" s="190">
        <f>IF(COUNT(M101:EN101)&gt;0,MAX(M101:EN101),"")</f>
        <v/>
      </c>
      <c r="H101" s="190">
        <f>IF(COUNT(M101:EN101)&gt;0,QUARTILE(M101:EN101,1),"")</f>
        <v/>
      </c>
      <c r="I101" s="190">
        <f>IF(COUNT(M101:EN101)&gt;0,QUARTILE(M101:EN101,3),"")</f>
        <v/>
      </c>
      <c r="J101" s="190">
        <f>IF(COUNT(M101:EN101)&gt;1,STDEV(M101:EN101),"")</f>
        <v/>
      </c>
      <c r="K101" s="191">
        <f>IF(COUNT(M101:EN101)&gt;1,STDEV(M101:EN101)/AVERAGE(M101:EN101),"")</f>
        <v/>
      </c>
      <c r="M101" s="192" t="n">
        <v>426054</v>
      </c>
      <c r="N101" s="192" t="n">
        <v>522367</v>
      </c>
      <c r="O101" s="192" t="n">
        <v>446576</v>
      </c>
      <c r="P101" s="192" t="n">
        <v>487817</v>
      </c>
      <c r="Q101" s="192" t="n">
        <v>482711</v>
      </c>
      <c r="R101" s="192" t="n">
        <v>514548</v>
      </c>
      <c r="S101" s="192" t="n">
        <v>476564</v>
      </c>
      <c r="T101" s="192" t="n">
        <v>460633</v>
      </c>
      <c r="U101" s="192" t="n">
        <v>416011</v>
      </c>
      <c r="V101" s="192" t="n">
        <v>486587</v>
      </c>
      <c r="W101" s="192" t="n">
        <v>421997</v>
      </c>
      <c r="X101" s="192" t="n">
        <v>434404</v>
      </c>
      <c r="Y101" s="192" t="n">
        <v>438908</v>
      </c>
      <c r="Z101" s="192" t="n">
        <v>459778</v>
      </c>
      <c r="AA101" s="192" t="n">
        <v>401023</v>
      </c>
      <c r="AB101" s="192" t="n">
        <v>347781</v>
      </c>
      <c r="AC101" s="192" t="n">
        <v>342524</v>
      </c>
      <c r="AD101" s="192" t="n">
        <v>410697</v>
      </c>
      <c r="AE101" s="192" t="n">
        <v>379688</v>
      </c>
      <c r="AF101" s="192" t="n">
        <v>362633</v>
      </c>
      <c r="AG101" s="192" t="n">
        <v>333664</v>
      </c>
      <c r="AH101" s="192" t="n">
        <v>360881</v>
      </c>
      <c r="AI101" s="192" t="n">
        <v>288801</v>
      </c>
      <c r="AJ101" s="192" t="n">
        <v>280747</v>
      </c>
      <c r="AK101" s="192" t="n">
        <v>234086</v>
      </c>
      <c r="AL101" s="192" t="n">
        <v>224078</v>
      </c>
      <c r="AM101" s="192" t="n">
        <v>233838</v>
      </c>
      <c r="AN101" s="192" t="n">
        <v>229108</v>
      </c>
      <c r="AO101" s="192" t="n">
        <v>212950</v>
      </c>
      <c r="AP101" s="192" t="n">
        <v>230435</v>
      </c>
      <c r="AQ101" s="192" t="n">
        <v>190030</v>
      </c>
      <c r="AR101" s="192" t="n">
        <v>174455</v>
      </c>
      <c r="AS101" s="192" t="n">
        <v>164865</v>
      </c>
      <c r="AT101" s="192" t="n">
        <v>191923</v>
      </c>
      <c r="AU101" s="192" t="n">
        <v>167870</v>
      </c>
      <c r="AV101" s="192" t="n">
        <v>135538</v>
      </c>
      <c r="AW101" s="192" t="n">
        <v>125354</v>
      </c>
      <c r="AX101" s="192" t="n">
        <v>150399</v>
      </c>
      <c r="AY101" s="192" t="n">
        <v>121185</v>
      </c>
      <c r="AZ101" s="192" t="n">
        <v>122976</v>
      </c>
      <c r="BA101" s="192" t="n">
        <v>125985</v>
      </c>
      <c r="BB101" s="192" t="n">
        <v>134593</v>
      </c>
      <c r="BC101" s="192" t="n">
        <v>108252</v>
      </c>
      <c r="BD101" s="192" t="n">
        <v>98835</v>
      </c>
      <c r="BE101" s="192" t="n">
        <v>98132</v>
      </c>
      <c r="BF101" s="192" t="n">
        <v>106164</v>
      </c>
      <c r="BG101" s="192" t="n">
        <v>96009</v>
      </c>
      <c r="BH101" s="192" t="n">
        <v>97961</v>
      </c>
      <c r="BI101" s="192" t="n">
        <v>89312</v>
      </c>
      <c r="BJ101" s="192" t="n">
        <v>76110</v>
      </c>
      <c r="BK101" s="192" t="n">
        <v>85730</v>
      </c>
      <c r="BL101" s="192" t="n">
        <v>80886</v>
      </c>
      <c r="BM101" s="192" t="n">
        <v>78998</v>
      </c>
      <c r="BN101" s="192" t="n">
        <v>99202</v>
      </c>
      <c r="BO101" s="192" t="n">
        <v>78126</v>
      </c>
      <c r="BP101" s="192" t="n">
        <v>86903</v>
      </c>
      <c r="BQ101" s="192" t="n">
        <v>82344</v>
      </c>
      <c r="BR101" s="192" t="n">
        <v>99546</v>
      </c>
      <c r="BS101" s="192" t="n">
        <v>77350</v>
      </c>
      <c r="BT101" s="192" t="n">
        <v>77967</v>
      </c>
      <c r="BU101" s="192" t="n">
        <v>75668</v>
      </c>
      <c r="BV101" s="192" t="n">
        <v>93297</v>
      </c>
      <c r="BW101" s="192" t="n">
        <v>72368</v>
      </c>
      <c r="BX101" s="192" t="n">
        <v>71820</v>
      </c>
      <c r="BY101" s="192" t="n">
        <v>68807</v>
      </c>
      <c r="BZ101" s="192" t="n">
        <v>82610</v>
      </c>
      <c r="CA101" s="192" t="n">
        <v>63594</v>
      </c>
      <c r="CB101" s="192" t="n">
        <v>67737</v>
      </c>
      <c r="CC101" s="192" t="n">
        <v>66444</v>
      </c>
      <c r="CD101" s="192" t="n">
        <v>75878</v>
      </c>
      <c r="CE101" s="192" t="n">
        <v>53896</v>
      </c>
      <c r="CF101" s="192" t="n">
        <v>72029</v>
      </c>
      <c r="CG101" s="192" t="n">
        <v>79070</v>
      </c>
      <c r="CH101" s="192" t="n">
        <v>80544</v>
      </c>
      <c r="CI101" s="192" t="n">
        <v>61671</v>
      </c>
      <c r="CJ101" s="192" t="n">
        <v>71170</v>
      </c>
      <c r="CK101" s="192" t="n">
        <v>68679</v>
      </c>
      <c r="CL101" s="192" t="n">
        <v>71246</v>
      </c>
      <c r="CM101" s="192" t="n">
        <v>57491</v>
      </c>
      <c r="CN101" s="192" t="n">
        <v>57095</v>
      </c>
      <c r="CO101" s="192" t="n">
        <v>54237</v>
      </c>
      <c r="CP101" s="192" t="n">
        <v>61792</v>
      </c>
      <c r="CQ101" s="192" t="n">
        <v>46432</v>
      </c>
      <c r="CR101" s="192" t="n">
        <v>43521</v>
      </c>
      <c r="CS101" s="192" t="n">
        <v>46252</v>
      </c>
      <c r="CT101" s="192" t="n">
        <v>58591</v>
      </c>
      <c r="CU101" s="192" t="n">
        <v>45772</v>
      </c>
      <c r="CV101" s="192" t="n">
        <v>44647</v>
      </c>
      <c r="CW101" s="192" t="n">
        <v>41785</v>
      </c>
      <c r="CX101" s="192" t="n">
        <v>48207</v>
      </c>
      <c r="CY101" s="192" t="n">
        <v>36789.4</v>
      </c>
      <c r="CZ101" s="192" t="n">
        <v>32591.5</v>
      </c>
      <c r="DA101" s="192" t="n">
        <v>29015.8</v>
      </c>
      <c r="DB101" s="192" t="n">
        <v>31879.1</v>
      </c>
      <c r="DC101" s="192" t="n">
        <v>28877.9</v>
      </c>
      <c r="DD101" s="192" t="n">
        <v>29939.1</v>
      </c>
      <c r="DE101" s="192" t="n">
        <v>30411.1</v>
      </c>
      <c r="DF101" s="192" t="n">
        <v>31233.5</v>
      </c>
      <c r="DG101" s="192" t="n">
        <v>23759.3</v>
      </c>
      <c r="DH101" s="192" t="n">
        <v>24561.7</v>
      </c>
      <c r="DI101" s="192" t="n">
        <v>25613.8</v>
      </c>
      <c r="DJ101" s="192" t="n">
        <v>22873.7</v>
      </c>
      <c r="DK101" s="192" t="n">
        <v>18913.1</v>
      </c>
      <c r="DL101" s="192" t="n">
        <v>17993.1</v>
      </c>
      <c r="DM101" s="192" t="n">
        <v>16466.5</v>
      </c>
      <c r="DN101" s="192" t="n">
        <v>16455.7</v>
      </c>
      <c r="DO101" s="192" t="n">
        <v>13500</v>
      </c>
      <c r="DP101" s="192" t="n">
        <v>13100</v>
      </c>
      <c r="DQ101" s="192" t="n">
        <v>13000</v>
      </c>
      <c r="DR101" s="192" t="n">
        <v>12600</v>
      </c>
      <c r="DS101" s="192" t="n">
        <v>10200</v>
      </c>
      <c r="DT101" s="192" t="n">
        <v>9200</v>
      </c>
      <c r="DU101" s="192" t="n">
        <v>9000</v>
      </c>
      <c r="DV101" s="192" t="n">
        <v>9000</v>
      </c>
      <c r="DW101" s="192" t="n">
        <v>7700</v>
      </c>
      <c r="DX101" s="192" t="n">
        <v>7000</v>
      </c>
      <c r="DY101" s="192" t="n">
        <v>7100</v>
      </c>
      <c r="DZ101" s="192" t="n">
        <v>7400</v>
      </c>
      <c r="EA101" s="192" t="n">
        <v>6800</v>
      </c>
      <c r="EB101" s="192" t="n">
        <v>5600</v>
      </c>
      <c r="EC101" s="192" t="n">
        <v>5800</v>
      </c>
      <c r="ED101" s="192" t="n">
        <v>6300</v>
      </c>
      <c r="EE101" s="192" t="n">
        <v>6400</v>
      </c>
      <c r="EF101" s="192" t="n">
        <v>5700</v>
      </c>
      <c r="EG101" s="192" t="n">
        <v>5000</v>
      </c>
      <c r="EH101" s="192" t="n">
        <v>3900</v>
      </c>
      <c r="EI101" s="192" t="n">
        <v>3300</v>
      </c>
      <c r="EJ101" s="192" t="n">
        <v>2700</v>
      </c>
      <c r="EK101" s="192" t="n">
        <v>4700</v>
      </c>
      <c r="EL101" s="192" t="n">
        <v>2300</v>
      </c>
      <c r="EM101" s="192" t="n"/>
      <c r="EN101" s="192" t="n"/>
      <c r="EO101" s="182" t="n"/>
      <c r="EP101" s="176" t="n"/>
      <c r="EQ101" s="176" t="n"/>
      <c r="ER101" s="176" t="n"/>
      <c r="ES101" s="176" t="n"/>
      <c r="ET101" s="176" t="n"/>
      <c r="EU101" s="176" t="n"/>
      <c r="EV101" s="176" t="n"/>
      <c r="EW101" s="176" t="n"/>
      <c r="EX101" s="176" t="n"/>
      <c r="EY101" s="176" t="n"/>
      <c r="EZ101" s="176" t="n"/>
      <c r="FA101" s="176" t="n"/>
      <c r="FB101" s="176" t="n"/>
      <c r="FC101" s="176" t="n"/>
      <c r="FD101" s="176" t="n"/>
      <c r="FE101" s="176" t="n"/>
      <c r="FF101" s="176" t="n"/>
      <c r="FG101" s="176" t="n"/>
      <c r="FH101" s="176" t="n"/>
      <c r="FI101" s="176" t="n"/>
      <c r="FJ101" s="176" t="n"/>
      <c r="FK101" s="176" t="n"/>
      <c r="FL101" s="176" t="n"/>
      <c r="FM101" s="176" t="n"/>
    </row>
    <row r="102" ht="15" customHeight="1" s="392">
      <c r="A102" s="176" t="n"/>
      <c r="B102" s="180" t="n"/>
      <c r="C102" s="183" t="inlineStr">
        <is>
          <t xml:space="preserve">        Interest and Dividend Income</t>
        </is>
      </c>
      <c r="D102" s="190">
        <f>IF(COUNT(M102:EN102)&gt;0,MEDIAN(M102:EN102),"")</f>
        <v/>
      </c>
      <c r="E102" s="190">
        <f>IF(COUNT(M102:EN102)&gt;0,AVERAGE(M102:EN102),"")</f>
        <v/>
      </c>
      <c r="F102" s="190">
        <f>IF(COUNT(M102:EN102)&gt;0,MIN(M102:EN102),"")</f>
        <v/>
      </c>
      <c r="G102" s="190">
        <f>IF(COUNT(M102:EN102)&gt;0,MAX(M102:EN102),"")</f>
        <v/>
      </c>
      <c r="H102" s="190">
        <f>IF(COUNT(M102:EN102)&gt;0,QUARTILE(M102:EN102,1),"")</f>
        <v/>
      </c>
      <c r="I102" s="190">
        <f>IF(COUNT(M102:EN102)&gt;0,QUARTILE(M102:EN102,3),"")</f>
        <v/>
      </c>
      <c r="J102" s="190">
        <f>IF(COUNT(M102:EN102)&gt;1,STDEV(M102:EN102),"")</f>
        <v/>
      </c>
      <c r="K102" s="191">
        <f>IF(COUNT(M102:EN102)&gt;1,STDEV(M102:EN102)/AVERAGE(M102:EN102),"")</f>
        <v/>
      </c>
      <c r="M102" s="192" t="n"/>
      <c r="N102" s="192" t="n">
        <v>38813</v>
      </c>
      <c r="O102" s="192" t="n">
        <v>49987</v>
      </c>
      <c r="P102" s="192" t="n">
        <v>53505</v>
      </c>
      <c r="Q102" s="192" t="n"/>
      <c r="R102" s="192" t="n">
        <v>42776</v>
      </c>
      <c r="S102" s="192" t="n">
        <v>40747</v>
      </c>
      <c r="T102" s="192" t="n">
        <v>45547</v>
      </c>
      <c r="U102" s="192" t="n"/>
      <c r="V102" s="192" t="n">
        <v>36218</v>
      </c>
      <c r="W102" s="192" t="n">
        <v>33956</v>
      </c>
      <c r="X102" s="192" t="n">
        <v>32005</v>
      </c>
      <c r="Y102" s="192" t="n"/>
      <c r="Z102" s="192" t="n">
        <v>17878</v>
      </c>
      <c r="AA102" s="192" t="n">
        <v>14480</v>
      </c>
      <c r="AB102" s="192" t="n">
        <v>4422</v>
      </c>
      <c r="AC102" s="192" t="n"/>
      <c r="AD102" s="192" t="n"/>
      <c r="AE102" s="192" t="n"/>
      <c r="AF102" s="192" t="n"/>
      <c r="AG102" s="192" t="n"/>
      <c r="AH102" s="192" t="n"/>
      <c r="AI102" s="192" t="n"/>
      <c r="AJ102" s="192" t="n"/>
      <c r="AK102" s="192" t="n"/>
      <c r="AL102" s="192" t="n"/>
      <c r="AM102" s="192" t="n"/>
      <c r="AN102" s="192" t="n"/>
      <c r="AO102" s="192" t="n"/>
      <c r="AP102" s="192" t="n">
        <v>240</v>
      </c>
      <c r="AQ102" s="192" t="n">
        <v>678</v>
      </c>
      <c r="AR102" s="192" t="n">
        <v>960</v>
      </c>
      <c r="AS102" s="192" t="n">
        <v>617</v>
      </c>
      <c r="AT102" s="192" t="n">
        <v>282</v>
      </c>
      <c r="AU102" s="192" t="n">
        <v>197</v>
      </c>
      <c r="AV102" s="192" t="n">
        <v>197</v>
      </c>
      <c r="AW102" s="192" t="n">
        <v>322</v>
      </c>
      <c r="AX102" s="192" t="n">
        <v>363</v>
      </c>
      <c r="AY102" s="192" t="n">
        <v>384</v>
      </c>
      <c r="AZ102" s="192" t="n">
        <v>337</v>
      </c>
      <c r="BA102" s="192" t="n">
        <v>353</v>
      </c>
      <c r="BB102" s="192" t="n">
        <v>283</v>
      </c>
      <c r="BC102" s="192" t="n">
        <v>602</v>
      </c>
      <c r="BD102" s="192" t="n">
        <v>211</v>
      </c>
      <c r="BE102" s="192" t="n">
        <v>234</v>
      </c>
      <c r="BF102" s="192" t="n">
        <v>261</v>
      </c>
      <c r="BG102" s="192" t="n">
        <v>183</v>
      </c>
      <c r="BH102" s="192" t="n">
        <v>139</v>
      </c>
      <c r="BI102" s="192" t="n">
        <v>118</v>
      </c>
      <c r="BJ102" s="192" t="n">
        <v>81</v>
      </c>
      <c r="BK102" s="192" t="n">
        <v>143</v>
      </c>
      <c r="BL102" s="192" t="n">
        <v>149</v>
      </c>
      <c r="BM102" s="192" t="n">
        <v>153</v>
      </c>
      <c r="BN102" s="192" t="n">
        <v>138</v>
      </c>
      <c r="BO102" s="192" t="n">
        <v>191</v>
      </c>
      <c r="BP102" s="192" t="n">
        <v>156</v>
      </c>
      <c r="BQ102" s="192" t="n">
        <v>98</v>
      </c>
      <c r="BR102" s="192" t="n">
        <v>78</v>
      </c>
      <c r="BS102" s="192" t="n">
        <v>119</v>
      </c>
      <c r="BT102" s="192" t="n">
        <v>62</v>
      </c>
      <c r="BU102" s="192" t="n">
        <v>120</v>
      </c>
      <c r="BV102" s="192" t="n">
        <v>159</v>
      </c>
      <c r="BW102" s="192" t="n">
        <v>133</v>
      </c>
      <c r="BX102" s="192" t="n">
        <v>80</v>
      </c>
      <c r="BY102" s="192" t="n">
        <v>45</v>
      </c>
      <c r="BZ102" s="192" t="n">
        <v>25</v>
      </c>
      <c r="CA102" s="192" t="n">
        <v>63</v>
      </c>
      <c r="CB102" s="192" t="n">
        <v>71</v>
      </c>
      <c r="CC102" s="192" t="n">
        <v>96</v>
      </c>
      <c r="CD102" s="192" t="n">
        <v>546</v>
      </c>
      <c r="CE102" s="192" t="n">
        <v>434</v>
      </c>
      <c r="CF102" s="192" t="n"/>
      <c r="CG102" s="192" t="n"/>
      <c r="CH102" s="192" t="n"/>
      <c r="CI102" s="192" t="n"/>
      <c r="CJ102" s="192" t="n"/>
      <c r="CK102" s="192" t="n"/>
      <c r="CL102" s="192" t="n"/>
      <c r="CM102" s="192" t="n"/>
      <c r="CN102" s="192" t="n"/>
      <c r="CO102" s="192" t="n"/>
      <c r="CP102" s="192" t="n"/>
      <c r="CQ102" s="192" t="n"/>
      <c r="CR102" s="192" t="n"/>
      <c r="CS102" s="192" t="n"/>
      <c r="CT102" s="192" t="n"/>
      <c r="CU102" s="192" t="n"/>
      <c r="CV102" s="192" t="n"/>
      <c r="CW102" s="192" t="n"/>
      <c r="CX102" s="192" t="n"/>
      <c r="CY102" s="192" t="n"/>
      <c r="CZ102" s="192" t="n"/>
      <c r="DA102" s="192" t="n"/>
      <c r="DB102" s="192" t="n"/>
      <c r="DC102" s="192" t="n"/>
      <c r="DD102" s="192" t="n"/>
      <c r="DE102" s="192" t="n"/>
      <c r="DF102" s="192" t="n"/>
      <c r="DG102" s="192" t="n"/>
      <c r="DH102" s="192" t="n"/>
      <c r="DI102" s="192" t="n"/>
      <c r="DJ102" s="192" t="n"/>
      <c r="DK102" s="192" t="n"/>
      <c r="DL102" s="192" t="n"/>
      <c r="DM102" s="192" t="n"/>
      <c r="DN102" s="192" t="n"/>
      <c r="DO102" s="192" t="n"/>
      <c r="DP102" s="192" t="n"/>
      <c r="DQ102" s="192" t="n"/>
      <c r="DR102" s="192" t="n"/>
      <c r="DS102" s="192" t="n"/>
      <c r="DT102" s="192" t="n"/>
      <c r="DU102" s="192" t="n"/>
      <c r="DV102" s="192" t="n"/>
      <c r="DW102" s="192" t="n"/>
      <c r="DX102" s="192" t="n"/>
      <c r="DY102" s="192" t="n"/>
      <c r="DZ102" s="192" t="n"/>
      <c r="EA102" s="192" t="n"/>
      <c r="EB102" s="192" t="n"/>
      <c r="EC102" s="192" t="n"/>
      <c r="ED102" s="192" t="n"/>
      <c r="EE102" s="192" t="n"/>
      <c r="EF102" s="192" t="n"/>
      <c r="EG102" s="192" t="n"/>
      <c r="EH102" s="192" t="n"/>
      <c r="EI102" s="192" t="n"/>
      <c r="EJ102" s="192" t="n"/>
      <c r="EK102" s="192" t="n"/>
      <c r="EL102" s="192" t="n"/>
      <c r="EM102" s="192" t="n"/>
      <c r="EN102" s="192" t="n"/>
      <c r="EO102" s="182" t="n"/>
      <c r="EP102" s="176" t="n"/>
      <c r="EQ102" s="176" t="n"/>
      <c r="ER102" s="176" t="n"/>
      <c r="ES102" s="176" t="n"/>
      <c r="ET102" s="176" t="n"/>
      <c r="EU102" s="176" t="n"/>
      <c r="EV102" s="176" t="n"/>
      <c r="EW102" s="176" t="n"/>
      <c r="EX102" s="176" t="n"/>
      <c r="EY102" s="176" t="n"/>
      <c r="EZ102" s="176" t="n"/>
      <c r="FA102" s="176" t="n"/>
      <c r="FB102" s="176" t="n"/>
      <c r="FC102" s="176" t="n"/>
      <c r="FD102" s="176" t="n"/>
      <c r="FE102" s="176" t="n"/>
      <c r="FF102" s="176" t="n"/>
      <c r="FG102" s="176" t="n"/>
      <c r="FH102" s="176" t="n"/>
      <c r="FI102" s="176" t="n"/>
      <c r="FJ102" s="176" t="n"/>
      <c r="FK102" s="176" t="n"/>
      <c r="FL102" s="176" t="n"/>
      <c r="FM102" s="176" t="n"/>
    </row>
    <row r="103" ht="15" customHeight="1" s="392">
      <c r="A103" s="176" t="n"/>
      <c r="B103" s="180" t="n"/>
      <c r="C103" s="183" t="inlineStr">
        <is>
          <t xml:space="preserve">        Tax Effect of Unusual Items</t>
        </is>
      </c>
      <c r="D103" s="190">
        <f>IF(COUNT(M103:EN103)&gt;0,MEDIAN(M103:EN103),"")</f>
        <v/>
      </c>
      <c r="E103" s="190">
        <f>IF(COUNT(M103:EN103)&gt;0,AVERAGE(M103:EN103),"")</f>
        <v/>
      </c>
      <c r="F103" s="190">
        <f>IF(COUNT(M103:EN103)&gt;0,MIN(M103:EN103),"")</f>
        <v/>
      </c>
      <c r="G103" s="190">
        <f>IF(COUNT(M103:EN103)&gt;0,MAX(M103:EN103),"")</f>
        <v/>
      </c>
      <c r="H103" s="190">
        <f>IF(COUNT(M103:EN103)&gt;0,QUARTILE(M103:EN103,1),"")</f>
        <v/>
      </c>
      <c r="I103" s="190">
        <f>IF(COUNT(M103:EN103)&gt;0,QUARTILE(M103:EN103,3),"")</f>
        <v/>
      </c>
      <c r="J103" s="190">
        <f>IF(COUNT(M103:EN103)&gt;1,STDEV(M103:EN103),"")</f>
        <v/>
      </c>
      <c r="K103" s="191">
        <f>IF(COUNT(M103:EN103)&gt;1,STDEV(M103:EN103)/AVERAGE(M103:EN103),"")</f>
        <v/>
      </c>
      <c r="M103" s="192" t="n">
        <v>1783.9512145704</v>
      </c>
      <c r="N103" s="192" t="n">
        <v>2274.77472744148</v>
      </c>
      <c r="O103" s="192" t="n">
        <v>2301.5784867441</v>
      </c>
      <c r="P103" s="192" t="n">
        <v>1425.234</v>
      </c>
      <c r="Q103" s="192" t="n">
        <v>-622.8921757161251</v>
      </c>
      <c r="R103" s="192" t="n">
        <v>1615.244</v>
      </c>
      <c r="S103" s="192" t="n">
        <v>1527.24</v>
      </c>
      <c r="T103" s="192" t="n">
        <v>2056.4</v>
      </c>
      <c r="U103" s="192" t="n">
        <v>1757.59787428353</v>
      </c>
      <c r="V103" s="192" t="n">
        <v>1493.62</v>
      </c>
      <c r="W103" s="192" t="n">
        <v>1963.104</v>
      </c>
      <c r="X103" s="192" t="n">
        <v>1555.138</v>
      </c>
      <c r="Y103" s="192" t="n">
        <v>1502.76124165668</v>
      </c>
      <c r="Z103" s="192" t="n">
        <v>2012.256</v>
      </c>
      <c r="AA103" s="192" t="n">
        <v>2098.616</v>
      </c>
      <c r="AB103" s="192" t="n">
        <v>2166.985</v>
      </c>
      <c r="AC103" s="192" t="n">
        <v>3552.51785690748</v>
      </c>
      <c r="AD103" s="192" t="n">
        <v>2286.078</v>
      </c>
      <c r="AE103" s="192" t="n">
        <v>1495.52</v>
      </c>
      <c r="AF103" s="192" t="n">
        <v>1811.412</v>
      </c>
      <c r="AG103" s="192" t="n">
        <v>1952.12336646112</v>
      </c>
      <c r="AH103" s="192" t="n">
        <v>1055.07</v>
      </c>
      <c r="AI103" s="192" t="n">
        <v>2094.3</v>
      </c>
      <c r="AJ103" s="192" t="n">
        <v>1452.087</v>
      </c>
      <c r="AK103" s="192" t="n">
        <v>1066.82459642466</v>
      </c>
      <c r="AL103" s="192" t="n">
        <v>1183.875</v>
      </c>
      <c r="AM103" s="192" t="n">
        <v>902.346</v>
      </c>
      <c r="AN103" s="192" t="n">
        <v>1420.47</v>
      </c>
      <c r="AO103" s="192" t="n">
        <v>1171.06083284332</v>
      </c>
      <c r="AP103" s="192" t="n">
        <v>324.072</v>
      </c>
      <c r="AQ103" s="192" t="n">
        <v>436.764</v>
      </c>
      <c r="AR103" s="192" t="n">
        <v>1379.127</v>
      </c>
      <c r="AS103" s="192" t="n">
        <v>1092.68729516534</v>
      </c>
      <c r="AT103" s="192" t="n">
        <v>1368.576</v>
      </c>
      <c r="AU103" s="192" t="n">
        <v>1758.735</v>
      </c>
      <c r="AV103" s="192" t="n">
        <v>3125.12</v>
      </c>
      <c r="AW103" s="192" t="n">
        <v>8429.15434437248</v>
      </c>
      <c r="AX103" s="192" t="n">
        <v>1533.258</v>
      </c>
      <c r="AY103" s="192" t="n">
        <v>1837.02</v>
      </c>
      <c r="AZ103" s="192" t="n">
        <v>2049.2</v>
      </c>
      <c r="BA103" s="192" t="n">
        <v>1065.25010142945</v>
      </c>
      <c r="BB103" s="192" t="n">
        <v>1782.72</v>
      </c>
      <c r="BC103" s="192" t="n">
        <v>1901.04</v>
      </c>
      <c r="BD103" s="192" t="n">
        <v>1911.378</v>
      </c>
      <c r="BE103" s="192" t="n">
        <v>1381.32202932004</v>
      </c>
      <c r="BF103" s="192" t="n">
        <v>1441.416</v>
      </c>
      <c r="BG103" s="192" t="n">
        <v>1499.184</v>
      </c>
      <c r="BH103" s="192" t="n">
        <v>1477.8</v>
      </c>
      <c r="BI103" s="192" t="n">
        <v>1567.99242055113</v>
      </c>
      <c r="BJ103" s="192" t="n">
        <v>11912.742</v>
      </c>
      <c r="BK103" s="192" t="n">
        <v>1683.674</v>
      </c>
      <c r="BL103" s="192" t="n">
        <v>1488.515</v>
      </c>
      <c r="BM103" s="192" t="n">
        <v>1626.03950966829</v>
      </c>
      <c r="BN103" s="192" t="n">
        <v>1408.212</v>
      </c>
      <c r="BO103" s="192" t="n">
        <v>1673.217</v>
      </c>
      <c r="BP103" s="192" t="n">
        <v>1789.2</v>
      </c>
      <c r="BQ103" s="192" t="n">
        <v>2210.07629153206</v>
      </c>
      <c r="BR103" s="192" t="n">
        <v>1712.776</v>
      </c>
      <c r="BS103" s="192" t="n">
        <v>4885.413</v>
      </c>
      <c r="BT103" s="192" t="n">
        <v>1689.60529656037</v>
      </c>
      <c r="BU103" s="192" t="n">
        <v>1631.57301577166</v>
      </c>
      <c r="BV103" s="192" t="n">
        <v>1849.31489732421</v>
      </c>
      <c r="BW103" s="192" t="n">
        <v>1750.60309303819</v>
      </c>
      <c r="BX103" s="192" t="n">
        <v>2194.15687382611</v>
      </c>
      <c r="BY103" s="192" t="n">
        <v>1082.95142668932</v>
      </c>
      <c r="BZ103" s="192" t="n">
        <v>2619.71703173894</v>
      </c>
      <c r="CA103" s="192" t="n">
        <v>1488.6711238998</v>
      </c>
      <c r="CB103" s="192" t="n">
        <v>1629.10667461263</v>
      </c>
      <c r="CC103" s="192" t="n">
        <v>3135.8782994586</v>
      </c>
      <c r="CD103" s="192" t="n">
        <v>-770.811339079762</v>
      </c>
      <c r="CE103" s="192" t="n">
        <v>0</v>
      </c>
      <c r="CF103" s="192" t="n">
        <v>0</v>
      </c>
      <c r="CG103" s="192" t="n">
        <v>0</v>
      </c>
      <c r="CH103" s="192" t="n">
        <v>0</v>
      </c>
      <c r="CI103" s="192" t="n">
        <v>0</v>
      </c>
      <c r="CJ103" s="192" t="n">
        <v>0</v>
      </c>
      <c r="CK103" s="192" t="n">
        <v>0</v>
      </c>
      <c r="CL103" s="192" t="n">
        <v>0</v>
      </c>
      <c r="CM103" s="192" t="n">
        <v>0</v>
      </c>
      <c r="CN103" s="192" t="n">
        <v>0</v>
      </c>
      <c r="CO103" s="192" t="n">
        <v>0</v>
      </c>
      <c r="CP103" s="192" t="n">
        <v>0</v>
      </c>
      <c r="CQ103" s="192" t="n">
        <v>0</v>
      </c>
      <c r="CR103" s="192" t="n">
        <v>0</v>
      </c>
      <c r="CS103" s="192" t="n">
        <v>0</v>
      </c>
      <c r="CT103" s="192" t="n">
        <v>0</v>
      </c>
      <c r="CU103" s="192" t="n">
        <v>0</v>
      </c>
      <c r="CV103" s="192" t="n">
        <v>0</v>
      </c>
      <c r="CW103" s="192" t="n">
        <v>0</v>
      </c>
      <c r="CX103" s="192" t="n">
        <v>0</v>
      </c>
      <c r="CY103" s="192" t="n">
        <v>0</v>
      </c>
      <c r="CZ103" s="192" t="n">
        <v>0</v>
      </c>
      <c r="DA103" s="192" t="n">
        <v>0</v>
      </c>
      <c r="DB103" s="192" t="n">
        <v>0</v>
      </c>
      <c r="DC103" s="192" t="n">
        <v>0</v>
      </c>
      <c r="DD103" s="192" t="n">
        <v>0</v>
      </c>
      <c r="DE103" s="192" t="n">
        <v>0</v>
      </c>
      <c r="DF103" s="192" t="n">
        <v>0</v>
      </c>
      <c r="DG103" s="192" t="n">
        <v>0</v>
      </c>
      <c r="DH103" s="192" t="n">
        <v>0</v>
      </c>
      <c r="DI103" s="192" t="n">
        <v>0</v>
      </c>
      <c r="DJ103" s="192" t="n">
        <v>0</v>
      </c>
      <c r="DK103" s="192" t="n">
        <v>0</v>
      </c>
      <c r="DL103" s="192" t="n">
        <v>0</v>
      </c>
      <c r="DM103" s="192" t="n">
        <v>0</v>
      </c>
      <c r="DN103" s="192" t="n">
        <v>0</v>
      </c>
      <c r="DO103" s="192" t="n">
        <v>0</v>
      </c>
      <c r="DP103" s="192" t="n">
        <v>0</v>
      </c>
      <c r="DQ103" s="192" t="n">
        <v>0</v>
      </c>
      <c r="DR103" s="192" t="n">
        <v>0</v>
      </c>
      <c r="DS103" s="192" t="n">
        <v>0</v>
      </c>
      <c r="DT103" s="192" t="n">
        <v>0</v>
      </c>
      <c r="DU103" s="192" t="n">
        <v>0</v>
      </c>
      <c r="DV103" s="192" t="n">
        <v>0</v>
      </c>
      <c r="DW103" s="192" t="n">
        <v>0</v>
      </c>
      <c r="DX103" s="192" t="n">
        <v>0</v>
      </c>
      <c r="DY103" s="192" t="n">
        <v>0</v>
      </c>
      <c r="DZ103" s="192" t="n">
        <v>0</v>
      </c>
      <c r="EA103" s="192" t="n">
        <v>0</v>
      </c>
      <c r="EB103" s="192" t="n">
        <v>0</v>
      </c>
      <c r="EC103" s="192" t="n">
        <v>0</v>
      </c>
      <c r="ED103" s="192" t="n">
        <v>0</v>
      </c>
      <c r="EE103" s="192" t="n">
        <v>0</v>
      </c>
      <c r="EF103" s="192" t="n">
        <v>0</v>
      </c>
      <c r="EG103" s="192" t="n">
        <v>0</v>
      </c>
      <c r="EH103" s="192" t="n">
        <v>0</v>
      </c>
      <c r="EI103" s="192" t="n">
        <v>0</v>
      </c>
      <c r="EJ103" s="192" t="n">
        <v>0</v>
      </c>
      <c r="EK103" s="192" t="n">
        <v>0</v>
      </c>
      <c r="EL103" s="192" t="n">
        <v>0</v>
      </c>
      <c r="EM103" s="192" t="n">
        <v>0</v>
      </c>
      <c r="EN103" s="192" t="n">
        <v>0</v>
      </c>
      <c r="EO103" s="182" t="n"/>
      <c r="EP103" s="176" t="n"/>
      <c r="EQ103" s="176" t="n"/>
      <c r="ER103" s="176" t="n"/>
      <c r="ES103" s="176" t="n"/>
      <c r="ET103" s="176" t="n"/>
      <c r="EU103" s="176" t="n"/>
      <c r="EV103" s="176" t="n"/>
      <c r="EW103" s="176" t="n"/>
      <c r="EX103" s="176" t="n"/>
      <c r="EY103" s="176" t="n"/>
      <c r="EZ103" s="176" t="n"/>
      <c r="FA103" s="176" t="n"/>
      <c r="FB103" s="176" t="n"/>
      <c r="FC103" s="176" t="n"/>
      <c r="FD103" s="176" t="n"/>
      <c r="FE103" s="176" t="n"/>
      <c r="FF103" s="176" t="n"/>
      <c r="FG103" s="176" t="n"/>
      <c r="FH103" s="176" t="n"/>
      <c r="FI103" s="176" t="n"/>
      <c r="FJ103" s="176" t="n"/>
      <c r="FK103" s="176" t="n"/>
      <c r="FL103" s="176" t="n"/>
      <c r="FM103" s="176" t="n"/>
    </row>
    <row r="104" ht="15" customHeight="1" s="392">
      <c r="A104" s="176" t="n"/>
      <c r="B104" s="180" t="n"/>
      <c r="C104" s="183" t="inlineStr">
        <is>
          <t xml:space="preserve">        Total Unusual Items</t>
        </is>
      </c>
      <c r="D104" s="190">
        <f>IF(COUNT(M104:EN104)&gt;0,MEDIAN(M104:EN104),"")</f>
        <v/>
      </c>
      <c r="E104" s="190">
        <f>IF(COUNT(M104:EN104)&gt;0,AVERAGE(M104:EN104),"")</f>
        <v/>
      </c>
      <c r="F104" s="190">
        <f>IF(COUNT(M104:EN104)&gt;0,MIN(M104:EN104),"")</f>
        <v/>
      </c>
      <c r="G104" s="190">
        <f>IF(COUNT(M104:EN104)&gt;0,MAX(M104:EN104),"")</f>
        <v/>
      </c>
      <c r="H104" s="190">
        <f>IF(COUNT(M104:EN104)&gt;0,QUARTILE(M104:EN104,1),"")</f>
        <v/>
      </c>
      <c r="I104" s="190">
        <f>IF(COUNT(M104:EN104)&gt;0,QUARTILE(M104:EN104,3),"")</f>
        <v/>
      </c>
      <c r="J104" s="190">
        <f>IF(COUNT(M104:EN104)&gt;1,STDEV(M104:EN104),"")</f>
        <v/>
      </c>
      <c r="K104" s="191">
        <f>IF(COUNT(M104:EN104)&gt;1,STDEV(M104:EN104)/AVERAGE(M104:EN104),"")</f>
        <v/>
      </c>
      <c r="M104" s="192" t="n">
        <v>9270</v>
      </c>
      <c r="N104" s="192" t="n">
        <v>11342</v>
      </c>
      <c r="O104" s="192" t="n">
        <v>11145</v>
      </c>
      <c r="P104" s="192" t="n">
        <v>8191</v>
      </c>
      <c r="Q104" s="192" t="n">
        <v>-3586</v>
      </c>
      <c r="R104" s="192" t="n">
        <v>8326</v>
      </c>
      <c r="S104" s="192" t="n">
        <v>9256</v>
      </c>
      <c r="T104" s="192" t="n">
        <v>10282</v>
      </c>
      <c r="U104" s="192" t="n">
        <v>8323</v>
      </c>
      <c r="V104" s="192" t="n">
        <v>7820</v>
      </c>
      <c r="W104" s="192" t="n">
        <v>9438</v>
      </c>
      <c r="X104" s="192" t="n">
        <v>7267</v>
      </c>
      <c r="Y104" s="192" t="n">
        <v>8388</v>
      </c>
      <c r="Z104" s="192" t="n">
        <v>9864</v>
      </c>
      <c r="AA104" s="192" t="n">
        <v>9496</v>
      </c>
      <c r="AB104" s="192" t="n">
        <v>10079</v>
      </c>
      <c r="AC104" s="192" t="n">
        <v>27133</v>
      </c>
      <c r="AD104" s="192" t="n">
        <v>9293</v>
      </c>
      <c r="AE104" s="192" t="n">
        <v>9347</v>
      </c>
      <c r="AF104" s="192" t="n">
        <v>9012</v>
      </c>
      <c r="AG104" s="192" t="n">
        <v>13554</v>
      </c>
      <c r="AH104" s="192" t="n">
        <v>9255</v>
      </c>
      <c r="AI104" s="192" t="n">
        <v>8950</v>
      </c>
      <c r="AJ104" s="192" t="n">
        <v>7683</v>
      </c>
      <c r="AK104" s="192" t="n">
        <v>5925</v>
      </c>
      <c r="AL104" s="192" t="n">
        <v>5125</v>
      </c>
      <c r="AM104" s="192" t="n">
        <v>5098</v>
      </c>
      <c r="AN104" s="192" t="n">
        <v>5261</v>
      </c>
      <c r="AO104" s="192" t="n">
        <v>6525</v>
      </c>
      <c r="AP104" s="192" t="n">
        <v>5787</v>
      </c>
      <c r="AQ104" s="192" t="n">
        <v>2141</v>
      </c>
      <c r="AR104" s="192" t="n">
        <v>5919</v>
      </c>
      <c r="AS104" s="192" t="n">
        <v>6309</v>
      </c>
      <c r="AT104" s="192" t="n">
        <v>5346</v>
      </c>
      <c r="AU104" s="192" t="n">
        <v>6171</v>
      </c>
      <c r="AV104" s="192" t="n">
        <v>9766</v>
      </c>
      <c r="AW104" s="192" t="n">
        <v>24901</v>
      </c>
      <c r="AX104" s="192" t="n">
        <v>4962</v>
      </c>
      <c r="AY104" s="192" t="n">
        <v>5403</v>
      </c>
      <c r="AZ104" s="192" t="n">
        <v>5123</v>
      </c>
      <c r="BA104" s="192" t="n">
        <v>5164</v>
      </c>
      <c r="BB104" s="192" t="n">
        <v>4952</v>
      </c>
      <c r="BC104" s="192" t="n">
        <v>5340</v>
      </c>
      <c r="BD104" s="192" t="n">
        <v>5354</v>
      </c>
      <c r="BE104" s="192" t="n">
        <v>4681</v>
      </c>
      <c r="BF104" s="192" t="n">
        <v>4142</v>
      </c>
      <c r="BG104" s="192" t="n">
        <v>4308</v>
      </c>
      <c r="BH104" s="192" t="n">
        <v>4105</v>
      </c>
      <c r="BI104" s="192" t="n">
        <v>5072</v>
      </c>
      <c r="BJ104" s="192" t="n">
        <v>35774</v>
      </c>
      <c r="BK104" s="192" t="n">
        <v>4703</v>
      </c>
      <c r="BL104" s="192" t="n">
        <v>4193</v>
      </c>
      <c r="BM104" s="192" t="n">
        <v>4846</v>
      </c>
      <c r="BN104" s="192" t="n">
        <v>4012</v>
      </c>
      <c r="BO104" s="192" t="n">
        <v>4767</v>
      </c>
      <c r="BP104" s="192" t="n">
        <v>4970</v>
      </c>
      <c r="BQ104" s="192" t="n">
        <v>6604</v>
      </c>
      <c r="BR104" s="192" t="n">
        <v>4979</v>
      </c>
      <c r="BS104" s="192" t="n">
        <v>14079</v>
      </c>
      <c r="BT104" s="192" t="n">
        <v>4757</v>
      </c>
      <c r="BU104" s="192" t="n">
        <v>4620</v>
      </c>
      <c r="BV104" s="192" t="n">
        <v>4918</v>
      </c>
      <c r="BW104" s="192" t="n">
        <v>4657</v>
      </c>
      <c r="BX104" s="192" t="n">
        <v>5909</v>
      </c>
      <c r="BY104" s="192" t="n">
        <v>2912</v>
      </c>
      <c r="BZ104" s="192" t="n">
        <v>6896</v>
      </c>
      <c r="CA104" s="192" t="n">
        <v>4539</v>
      </c>
      <c r="CB104" s="192" t="n">
        <v>4267</v>
      </c>
      <c r="CC104" s="192" t="n">
        <v>8138</v>
      </c>
      <c r="CD104" s="192" t="n">
        <v>-2001</v>
      </c>
      <c r="CE104" s="192" t="n">
        <v>0</v>
      </c>
      <c r="CF104" s="192" t="n">
        <v>0</v>
      </c>
      <c r="CG104" s="192" t="n">
        <v>0</v>
      </c>
      <c r="CH104" s="192" t="n">
        <v>0</v>
      </c>
      <c r="CI104" s="192" t="n">
        <v>0</v>
      </c>
      <c r="CJ104" s="192" t="n">
        <v>0</v>
      </c>
      <c r="CK104" s="192" t="n">
        <v>0</v>
      </c>
      <c r="CL104" s="192" t="n">
        <v>0</v>
      </c>
      <c r="CM104" s="192" t="n">
        <v>0</v>
      </c>
      <c r="CN104" s="192" t="n">
        <v>0</v>
      </c>
      <c r="CO104" s="192" t="n">
        <v>0</v>
      </c>
      <c r="CP104" s="192" t="n">
        <v>0</v>
      </c>
      <c r="CQ104" s="192" t="n">
        <v>0</v>
      </c>
      <c r="CR104" s="192" t="n">
        <v>0</v>
      </c>
      <c r="CS104" s="192" t="n">
        <v>0</v>
      </c>
      <c r="CT104" s="192" t="n">
        <v>0</v>
      </c>
      <c r="CU104" s="192" t="n">
        <v>0</v>
      </c>
      <c r="CV104" s="192" t="n">
        <v>0</v>
      </c>
      <c r="CW104" s="192" t="n">
        <v>0</v>
      </c>
      <c r="CX104" s="192" t="n">
        <v>0</v>
      </c>
      <c r="CY104" s="192" t="n">
        <v>0</v>
      </c>
      <c r="CZ104" s="192" t="n">
        <v>0</v>
      </c>
      <c r="DA104" s="192" t="n">
        <v>0</v>
      </c>
      <c r="DB104" s="192" t="n">
        <v>0</v>
      </c>
      <c r="DC104" s="192" t="n">
        <v>0</v>
      </c>
      <c r="DD104" s="192" t="n">
        <v>0</v>
      </c>
      <c r="DE104" s="192" t="n">
        <v>0</v>
      </c>
      <c r="DF104" s="192" t="n">
        <v>0</v>
      </c>
      <c r="DG104" s="192" t="n">
        <v>0</v>
      </c>
      <c r="DH104" s="192" t="n">
        <v>0</v>
      </c>
      <c r="DI104" s="192" t="n">
        <v>0</v>
      </c>
      <c r="DJ104" s="192" t="n">
        <v>0</v>
      </c>
      <c r="DK104" s="192" t="n">
        <v>0</v>
      </c>
      <c r="DL104" s="192" t="n">
        <v>0</v>
      </c>
      <c r="DM104" s="192" t="n">
        <v>0</v>
      </c>
      <c r="DN104" s="192" t="n">
        <v>0</v>
      </c>
      <c r="DO104" s="192" t="n">
        <v>0</v>
      </c>
      <c r="DP104" s="192" t="n">
        <v>0</v>
      </c>
      <c r="DQ104" s="192" t="n">
        <v>0</v>
      </c>
      <c r="DR104" s="192" t="n">
        <v>0</v>
      </c>
      <c r="DS104" s="192" t="n">
        <v>0</v>
      </c>
      <c r="DT104" s="192" t="n">
        <v>0</v>
      </c>
      <c r="DU104" s="192" t="n">
        <v>0</v>
      </c>
      <c r="DV104" s="192" t="n">
        <v>0</v>
      </c>
      <c r="DW104" s="192" t="n">
        <v>0</v>
      </c>
      <c r="DX104" s="192" t="n">
        <v>0</v>
      </c>
      <c r="DY104" s="192" t="n">
        <v>0</v>
      </c>
      <c r="DZ104" s="192" t="n">
        <v>0</v>
      </c>
      <c r="EA104" s="192" t="n">
        <v>0</v>
      </c>
      <c r="EB104" s="192" t="n">
        <v>0</v>
      </c>
      <c r="EC104" s="192" t="n">
        <v>0</v>
      </c>
      <c r="ED104" s="192" t="n">
        <v>0</v>
      </c>
      <c r="EE104" s="192" t="n">
        <v>0</v>
      </c>
      <c r="EF104" s="192" t="n">
        <v>0</v>
      </c>
      <c r="EG104" s="192" t="n">
        <v>0</v>
      </c>
      <c r="EH104" s="192" t="n">
        <v>0</v>
      </c>
      <c r="EI104" s="192" t="n">
        <v>0</v>
      </c>
      <c r="EJ104" s="192" t="n">
        <v>0</v>
      </c>
      <c r="EK104" s="192" t="n">
        <v>0</v>
      </c>
      <c r="EL104" s="192" t="n">
        <v>0</v>
      </c>
      <c r="EM104" s="192" t="n">
        <v>0</v>
      </c>
      <c r="EN104" s="192" t="n">
        <v>0</v>
      </c>
      <c r="EO104" s="182" t="n"/>
      <c r="EP104" s="176" t="n"/>
      <c r="EQ104" s="176" t="n"/>
      <c r="ER104" s="176" t="n"/>
      <c r="ES104" s="176" t="n"/>
      <c r="ET104" s="176" t="n"/>
      <c r="EU104" s="176" t="n"/>
      <c r="EV104" s="176" t="n"/>
      <c r="EW104" s="176" t="n"/>
      <c r="EX104" s="176" t="n"/>
      <c r="EY104" s="176" t="n"/>
      <c r="EZ104" s="176" t="n"/>
      <c r="FA104" s="176" t="n"/>
      <c r="FB104" s="176" t="n"/>
      <c r="FC104" s="176" t="n"/>
      <c r="FD104" s="176" t="n"/>
      <c r="FE104" s="176" t="n"/>
      <c r="FF104" s="176" t="n"/>
      <c r="FG104" s="176" t="n"/>
      <c r="FH104" s="176" t="n"/>
      <c r="FI104" s="176" t="n"/>
      <c r="FJ104" s="176" t="n"/>
      <c r="FK104" s="176" t="n"/>
      <c r="FL104" s="176" t="n"/>
      <c r="FM104" s="176" t="n"/>
    </row>
    <row r="105" ht="15" customHeight="1" s="392">
      <c r="A105" s="176" t="n"/>
      <c r="B105" s="180" t="n"/>
      <c r="C105" s="183" t="inlineStr">
        <is>
          <t xml:space="preserve">        Total Unusual Items Excluding Goodwill</t>
        </is>
      </c>
      <c r="D105" s="190">
        <f>IF(COUNT(M105:EN105)&gt;0,MEDIAN(M105:EN105),"")</f>
        <v/>
      </c>
      <c r="E105" s="190">
        <f>IF(COUNT(M105:EN105)&gt;0,AVERAGE(M105:EN105),"")</f>
        <v/>
      </c>
      <c r="F105" s="190">
        <f>IF(COUNT(M105:EN105)&gt;0,MIN(M105:EN105),"")</f>
        <v/>
      </c>
      <c r="G105" s="190">
        <f>IF(COUNT(M105:EN105)&gt;0,MAX(M105:EN105),"")</f>
        <v/>
      </c>
      <c r="H105" s="190">
        <f>IF(COUNT(M105:EN105)&gt;0,QUARTILE(M105:EN105,1),"")</f>
        <v/>
      </c>
      <c r="I105" s="190">
        <f>IF(COUNT(M105:EN105)&gt;0,QUARTILE(M105:EN105,3),"")</f>
        <v/>
      </c>
      <c r="J105" s="190">
        <f>IF(COUNT(M105:EN105)&gt;1,STDEV(M105:EN105),"")</f>
        <v/>
      </c>
      <c r="K105" s="191">
        <f>IF(COUNT(M105:EN105)&gt;1,STDEV(M105:EN105)/AVERAGE(M105:EN105),"")</f>
        <v/>
      </c>
      <c r="M105" s="192" t="n">
        <v>9270</v>
      </c>
      <c r="N105" s="192" t="n">
        <v>11342</v>
      </c>
      <c r="O105" s="192" t="n">
        <v>11145</v>
      </c>
      <c r="P105" s="192" t="n">
        <v>8191</v>
      </c>
      <c r="Q105" s="192" t="n">
        <v>-3586</v>
      </c>
      <c r="R105" s="192" t="n">
        <v>8326</v>
      </c>
      <c r="S105" s="192" t="n">
        <v>9256</v>
      </c>
      <c r="T105" s="192" t="n">
        <v>10282</v>
      </c>
      <c r="U105" s="192" t="n">
        <v>8323</v>
      </c>
      <c r="V105" s="192" t="n">
        <v>7820</v>
      </c>
      <c r="W105" s="192" t="n">
        <v>9438</v>
      </c>
      <c r="X105" s="192" t="n">
        <v>7267</v>
      </c>
      <c r="Y105" s="192" t="n">
        <v>8388</v>
      </c>
      <c r="Z105" s="192" t="n">
        <v>9864</v>
      </c>
      <c r="AA105" s="192" t="n">
        <v>9496</v>
      </c>
      <c r="AB105" s="192" t="n">
        <v>10079</v>
      </c>
      <c r="AC105" s="192" t="n">
        <v>27133</v>
      </c>
      <c r="AD105" s="192" t="n">
        <v>9293</v>
      </c>
      <c r="AE105" s="192" t="n">
        <v>9347</v>
      </c>
      <c r="AF105" s="192" t="n">
        <v>9012</v>
      </c>
      <c r="AG105" s="192" t="n">
        <v>13554</v>
      </c>
      <c r="AH105" s="192" t="n">
        <v>9255</v>
      </c>
      <c r="AI105" s="192" t="n">
        <v>8950</v>
      </c>
      <c r="AJ105" s="192" t="n">
        <v>7683</v>
      </c>
      <c r="AK105" s="192" t="n">
        <v>5925</v>
      </c>
      <c r="AL105" s="192" t="n">
        <v>5125</v>
      </c>
      <c r="AM105" s="192" t="n">
        <v>5098</v>
      </c>
      <c r="AN105" s="192" t="n">
        <v>5261</v>
      </c>
      <c r="AO105" s="192" t="n">
        <v>6525</v>
      </c>
      <c r="AP105" s="192" t="n">
        <v>5787</v>
      </c>
      <c r="AQ105" s="192" t="n">
        <v>2141</v>
      </c>
      <c r="AR105" s="192" t="n">
        <v>5919</v>
      </c>
      <c r="AS105" s="192" t="n">
        <v>6309</v>
      </c>
      <c r="AT105" s="192" t="n">
        <v>5346</v>
      </c>
      <c r="AU105" s="192" t="n">
        <v>6171</v>
      </c>
      <c r="AV105" s="192" t="n">
        <v>9766</v>
      </c>
      <c r="AW105" s="192" t="n">
        <v>24901</v>
      </c>
      <c r="AX105" s="192" t="n">
        <v>4962</v>
      </c>
      <c r="AY105" s="192" t="n">
        <v>5403</v>
      </c>
      <c r="AZ105" s="192" t="n">
        <v>5123</v>
      </c>
      <c r="BA105" s="192" t="n">
        <v>5164</v>
      </c>
      <c r="BB105" s="192" t="n">
        <v>4952</v>
      </c>
      <c r="BC105" s="192" t="n">
        <v>5340</v>
      </c>
      <c r="BD105" s="192" t="n">
        <v>5354</v>
      </c>
      <c r="BE105" s="192" t="n">
        <v>4681</v>
      </c>
      <c r="BF105" s="192" t="n">
        <v>4142</v>
      </c>
      <c r="BG105" s="192" t="n">
        <v>4308</v>
      </c>
      <c r="BH105" s="192" t="n">
        <v>4105</v>
      </c>
      <c r="BI105" s="192" t="n">
        <v>5072</v>
      </c>
      <c r="BJ105" s="192" t="n">
        <v>35774</v>
      </c>
      <c r="BK105" s="192" t="n">
        <v>4703</v>
      </c>
      <c r="BL105" s="192" t="n">
        <v>4193</v>
      </c>
      <c r="BM105" s="192" t="n">
        <v>4846</v>
      </c>
      <c r="BN105" s="192" t="n">
        <v>4012</v>
      </c>
      <c r="BO105" s="192" t="n">
        <v>4767</v>
      </c>
      <c r="BP105" s="192" t="n">
        <v>4970</v>
      </c>
      <c r="BQ105" s="192" t="n">
        <v>6604</v>
      </c>
      <c r="BR105" s="192" t="n">
        <v>4979</v>
      </c>
      <c r="BS105" s="192" t="n">
        <v>14079</v>
      </c>
      <c r="BT105" s="192" t="n">
        <v>4757</v>
      </c>
      <c r="BU105" s="192" t="n">
        <v>4620</v>
      </c>
      <c r="BV105" s="192" t="n">
        <v>4918</v>
      </c>
      <c r="BW105" s="192" t="n">
        <v>4657</v>
      </c>
      <c r="BX105" s="192" t="n">
        <v>5909</v>
      </c>
      <c r="BY105" s="192" t="n">
        <v>2912</v>
      </c>
      <c r="BZ105" s="192" t="n">
        <v>6896</v>
      </c>
      <c r="CA105" s="192" t="n">
        <v>4539</v>
      </c>
      <c r="CB105" s="192" t="n">
        <v>4267</v>
      </c>
      <c r="CC105" s="192" t="n">
        <v>8138</v>
      </c>
      <c r="CD105" s="192" t="n">
        <v>-2001</v>
      </c>
      <c r="CE105" s="192" t="n">
        <v>0</v>
      </c>
      <c r="CF105" s="192" t="n">
        <v>0</v>
      </c>
      <c r="CG105" s="192" t="n">
        <v>0</v>
      </c>
      <c r="CH105" s="192" t="n">
        <v>0</v>
      </c>
      <c r="CI105" s="192" t="n">
        <v>0</v>
      </c>
      <c r="CJ105" s="192" t="n">
        <v>0</v>
      </c>
      <c r="CK105" s="192" t="n">
        <v>0</v>
      </c>
      <c r="CL105" s="192" t="n">
        <v>0</v>
      </c>
      <c r="CM105" s="192" t="n">
        <v>0</v>
      </c>
      <c r="CN105" s="192" t="n">
        <v>0</v>
      </c>
      <c r="CO105" s="192" t="n">
        <v>0</v>
      </c>
      <c r="CP105" s="192" t="n">
        <v>0</v>
      </c>
      <c r="CQ105" s="192" t="n">
        <v>0</v>
      </c>
      <c r="CR105" s="192" t="n">
        <v>0</v>
      </c>
      <c r="CS105" s="192" t="n">
        <v>0</v>
      </c>
      <c r="CT105" s="192" t="n">
        <v>0</v>
      </c>
      <c r="CU105" s="192" t="n">
        <v>0</v>
      </c>
      <c r="CV105" s="192" t="n">
        <v>0</v>
      </c>
      <c r="CW105" s="192" t="n">
        <v>0</v>
      </c>
      <c r="CX105" s="192" t="n">
        <v>0</v>
      </c>
      <c r="CY105" s="192" t="n">
        <v>0</v>
      </c>
      <c r="CZ105" s="192" t="n">
        <v>0</v>
      </c>
      <c r="DA105" s="192" t="n">
        <v>0</v>
      </c>
      <c r="DB105" s="192" t="n">
        <v>0</v>
      </c>
      <c r="DC105" s="192" t="n">
        <v>0</v>
      </c>
      <c r="DD105" s="192" t="n">
        <v>0</v>
      </c>
      <c r="DE105" s="192" t="n">
        <v>0</v>
      </c>
      <c r="DF105" s="192" t="n">
        <v>0</v>
      </c>
      <c r="DG105" s="192" t="n">
        <v>0</v>
      </c>
      <c r="DH105" s="192" t="n">
        <v>0</v>
      </c>
      <c r="DI105" s="192" t="n">
        <v>0</v>
      </c>
      <c r="DJ105" s="192" t="n">
        <v>0</v>
      </c>
      <c r="DK105" s="192" t="n">
        <v>0</v>
      </c>
      <c r="DL105" s="192" t="n">
        <v>0</v>
      </c>
      <c r="DM105" s="192" t="n">
        <v>0</v>
      </c>
      <c r="DN105" s="192" t="n">
        <v>0</v>
      </c>
      <c r="DO105" s="192" t="n">
        <v>0</v>
      </c>
      <c r="DP105" s="192" t="n">
        <v>0</v>
      </c>
      <c r="DQ105" s="192" t="n">
        <v>0</v>
      </c>
      <c r="DR105" s="192" t="n">
        <v>0</v>
      </c>
      <c r="DS105" s="192" t="n">
        <v>0</v>
      </c>
      <c r="DT105" s="192" t="n">
        <v>0</v>
      </c>
      <c r="DU105" s="192" t="n">
        <v>0</v>
      </c>
      <c r="DV105" s="192" t="n">
        <v>0</v>
      </c>
      <c r="DW105" s="192" t="n">
        <v>0</v>
      </c>
      <c r="DX105" s="192" t="n">
        <v>0</v>
      </c>
      <c r="DY105" s="192" t="n">
        <v>0</v>
      </c>
      <c r="DZ105" s="192" t="n">
        <v>0</v>
      </c>
      <c r="EA105" s="192" t="n">
        <v>0</v>
      </c>
      <c r="EB105" s="192" t="n">
        <v>0</v>
      </c>
      <c r="EC105" s="192" t="n">
        <v>0</v>
      </c>
      <c r="ED105" s="192" t="n">
        <v>0</v>
      </c>
      <c r="EE105" s="192" t="n">
        <v>0</v>
      </c>
      <c r="EF105" s="192" t="n">
        <v>0</v>
      </c>
      <c r="EG105" s="192" t="n">
        <v>0</v>
      </c>
      <c r="EH105" s="192" t="n">
        <v>0</v>
      </c>
      <c r="EI105" s="192" t="n">
        <v>0</v>
      </c>
      <c r="EJ105" s="192" t="n">
        <v>0</v>
      </c>
      <c r="EK105" s="192" t="n">
        <v>0</v>
      </c>
      <c r="EL105" s="192" t="n">
        <v>0</v>
      </c>
      <c r="EM105" s="192" t="n">
        <v>0</v>
      </c>
      <c r="EN105" s="192" t="n">
        <v>0</v>
      </c>
      <c r="EO105" s="182" t="n"/>
      <c r="EP105" s="176" t="n"/>
      <c r="EQ105" s="176" t="n"/>
      <c r="ER105" s="176" t="n"/>
      <c r="ES105" s="176" t="n"/>
      <c r="ET105" s="176" t="n"/>
      <c r="EU105" s="176" t="n"/>
      <c r="EV105" s="176" t="n"/>
      <c r="EW105" s="176" t="n"/>
      <c r="EX105" s="176" t="n"/>
      <c r="EY105" s="176" t="n"/>
      <c r="EZ105" s="176" t="n"/>
      <c r="FA105" s="176" t="n"/>
      <c r="FB105" s="176" t="n"/>
      <c r="FC105" s="176" t="n"/>
      <c r="FD105" s="176" t="n"/>
      <c r="FE105" s="176" t="n"/>
      <c r="FF105" s="176" t="n"/>
      <c r="FG105" s="176" t="n"/>
      <c r="FH105" s="176" t="n"/>
      <c r="FI105" s="176" t="n"/>
      <c r="FJ105" s="176" t="n"/>
      <c r="FK105" s="176" t="n"/>
      <c r="FL105" s="176" t="n"/>
      <c r="FM105" s="176" t="n"/>
    </row>
    <row r="106" ht="15" customHeight="1" s="392">
      <c r="A106" s="176" t="n"/>
      <c r="B106" s="180" t="n"/>
      <c r="C106" s="183" t="inlineStr">
        <is>
          <t xml:space="preserve">        Cost of Revenue and Operating Expense</t>
        </is>
      </c>
      <c r="D106" s="190">
        <f>IF(COUNT(M106:EN106)&gt;0,MEDIAN(M106:EN106),"")</f>
        <v/>
      </c>
      <c r="E106" s="190">
        <f>IF(COUNT(M106:EN106)&gt;0,AVERAGE(M106:EN106),"")</f>
        <v/>
      </c>
      <c r="F106" s="190">
        <f>IF(COUNT(M106:EN106)&gt;0,MIN(M106:EN106),"")</f>
        <v/>
      </c>
      <c r="G106" s="190">
        <f>IF(COUNT(M106:EN106)&gt;0,MAX(M106:EN106),"")</f>
        <v/>
      </c>
      <c r="H106" s="190">
        <f>IF(COUNT(M106:EN106)&gt;0,QUARTILE(M106:EN106,1),"")</f>
        <v/>
      </c>
      <c r="I106" s="190">
        <f>IF(COUNT(M106:EN106)&gt;0,QUARTILE(M106:EN106,3),"")</f>
        <v/>
      </c>
      <c r="J106" s="190">
        <f>IF(COUNT(M106:EN106)&gt;1,STDEV(M106:EN106),"")</f>
        <v/>
      </c>
      <c r="K106" s="191">
        <f>IF(COUNT(M106:EN106)&gt;1,STDEV(M106:EN106)/AVERAGE(M106:EN106),"")</f>
        <v/>
      </c>
      <c r="M106" s="192" t="n">
        <v>783535</v>
      </c>
      <c r="N106" s="192" t="n">
        <v>772784</v>
      </c>
      <c r="O106" s="192" t="n">
        <v>732964</v>
      </c>
      <c r="P106" s="192" t="n">
        <v>724336</v>
      </c>
      <c r="Q106" s="192" t="n">
        <v>712506</v>
      </c>
      <c r="R106" s="192" t="n">
        <v>760171</v>
      </c>
      <c r="S106" s="192" t="n">
        <v>737105</v>
      </c>
      <c r="T106" s="192" t="n">
        <v>740462</v>
      </c>
      <c r="U106" s="192" t="n">
        <v>709455</v>
      </c>
      <c r="V106" s="192" t="n">
        <v>690056</v>
      </c>
      <c r="W106" s="192" t="n">
        <v>640249</v>
      </c>
      <c r="X106" s="192" t="n">
        <v>625040</v>
      </c>
      <c r="Y106" s="192" t="n">
        <v>606974</v>
      </c>
      <c r="Z106" s="192" t="n">
        <v>602907</v>
      </c>
      <c r="AA106" s="192" t="n">
        <v>591199</v>
      </c>
      <c r="AB106" s="192" t="n">
        <v>581869</v>
      </c>
      <c r="AC106" s="192" t="n">
        <v>558595</v>
      </c>
      <c r="AD106" s="192" t="n">
        <v>567186</v>
      </c>
      <c r="AE106" s="192" t="n">
        <v>520132</v>
      </c>
      <c r="AF106" s="192" t="n">
        <v>480011</v>
      </c>
      <c r="AG106" s="192" t="n">
        <v>447130</v>
      </c>
      <c r="AH106" s="192" t="n">
        <v>405799</v>
      </c>
      <c r="AI106" s="192" t="n">
        <v>358810</v>
      </c>
      <c r="AJ106" s="192" t="n">
        <v>344346</v>
      </c>
      <c r="AK106" s="192" t="n">
        <v>319944</v>
      </c>
      <c r="AL106" s="192" t="n">
        <v>355259</v>
      </c>
      <c r="AM106" s="192" t="n">
        <v>365248</v>
      </c>
      <c r="AN106" s="192" t="n">
        <v>349033</v>
      </c>
      <c r="AO106" s="192" t="n">
        <v>349773</v>
      </c>
      <c r="AP106" s="192" t="n">
        <v>345622</v>
      </c>
      <c r="AQ106" s="192" t="n">
        <v>320159</v>
      </c>
      <c r="AR106" s="192" t="n">
        <v>309928</v>
      </c>
      <c r="AS106" s="192" t="n">
        <v>313255</v>
      </c>
      <c r="AT106" s="192" t="n">
        <v>303579</v>
      </c>
      <c r="AU106" s="192" t="n">
        <v>308159</v>
      </c>
      <c r="AV106" s="192" t="n">
        <v>295226</v>
      </c>
      <c r="AW106" s="192" t="n">
        <v>248424</v>
      </c>
      <c r="AX106" s="192" t="n">
        <v>237074</v>
      </c>
      <c r="AY106" s="192" t="n">
        <v>240652</v>
      </c>
      <c r="AZ106" s="192" t="n">
        <v>241167</v>
      </c>
      <c r="BA106" s="192" t="n">
        <v>226468</v>
      </c>
      <c r="BB106" s="192" t="n">
        <v>225298</v>
      </c>
      <c r="BC106" s="192" t="n">
        <v>207621</v>
      </c>
      <c r="BD106" s="192" t="n">
        <v>202592</v>
      </c>
      <c r="BE106" s="192" t="n">
        <v>195528</v>
      </c>
      <c r="BF106" s="192" t="n">
        <v>202375</v>
      </c>
      <c r="BG106" s="192" t="n">
        <v>195790</v>
      </c>
      <c r="BH106" s="192" t="n">
        <v>207985</v>
      </c>
      <c r="BI106" s="192" t="n">
        <v>211592</v>
      </c>
      <c r="BJ106" s="192" t="n">
        <v>217985</v>
      </c>
      <c r="BK106" s="192" t="n">
        <v>214950</v>
      </c>
      <c r="BL106" s="192" t="n">
        <v>214924</v>
      </c>
      <c r="BM106" s="192" t="n">
        <v>200645</v>
      </c>
      <c r="BN106" s="192" t="n">
        <v>194825</v>
      </c>
      <c r="BO106" s="192" t="n">
        <v>203415</v>
      </c>
      <c r="BP106" s="192" t="n">
        <v>164509</v>
      </c>
      <c r="BQ106" s="192" t="n">
        <v>157062</v>
      </c>
      <c r="BR106" s="192" t="n">
        <v>156161</v>
      </c>
      <c r="BS106" s="192" t="n">
        <v>155594</v>
      </c>
      <c r="BT106" s="192" t="n">
        <v>160250</v>
      </c>
      <c r="BU106" s="192" t="n">
        <v>151987</v>
      </c>
      <c r="BV106" s="192" t="n">
        <v>154711</v>
      </c>
      <c r="BW106" s="192" t="n">
        <v>147185</v>
      </c>
      <c r="BX106" s="192" t="n">
        <v>153073</v>
      </c>
      <c r="BY106" s="192" t="n">
        <v>133248</v>
      </c>
      <c r="BZ106" s="192" t="n">
        <v>148223</v>
      </c>
      <c r="CA106" s="192" t="n">
        <v>123369</v>
      </c>
      <c r="CB106" s="192" t="n">
        <v>128969</v>
      </c>
      <c r="CC106" s="192" t="n">
        <v>128943</v>
      </c>
      <c r="CD106" s="192" t="n">
        <v>132446</v>
      </c>
      <c r="CE106" s="192" t="n">
        <v>124286</v>
      </c>
      <c r="CF106" s="192" t="n">
        <v>132084</v>
      </c>
      <c r="CG106" s="192" t="n">
        <v>140910</v>
      </c>
      <c r="CH106" s="192" t="n">
        <v>152466</v>
      </c>
      <c r="CI106" s="192" t="n">
        <v>126224</v>
      </c>
      <c r="CJ106" s="192" t="n">
        <v>127330</v>
      </c>
      <c r="CK106" s="192" t="n">
        <v>100122</v>
      </c>
      <c r="CL106" s="192" t="n">
        <v>88423</v>
      </c>
      <c r="CM106" s="192" t="n">
        <v>83761</v>
      </c>
      <c r="CN106" s="192" t="n">
        <v>85228</v>
      </c>
      <c r="CO106" s="192" t="n">
        <v>90023</v>
      </c>
      <c r="CP106" s="192" t="n">
        <v>96161</v>
      </c>
      <c r="CQ106" s="192" t="n">
        <v>88084</v>
      </c>
      <c r="CR106" s="192" t="n">
        <v>82740</v>
      </c>
      <c r="CS106" s="192" t="n">
        <v>72974</v>
      </c>
      <c r="CT106" s="192" t="n">
        <v>80316</v>
      </c>
      <c r="CU106" s="192" t="n">
        <v>71201</v>
      </c>
      <c r="CV106" s="192" t="n">
        <v>69042</v>
      </c>
      <c r="CW106" s="192" t="n">
        <v>56537</v>
      </c>
      <c r="CX106" s="192" t="n">
        <v>76219</v>
      </c>
      <c r="CY106" s="192" t="n">
        <v>66815</v>
      </c>
      <c r="CZ106" s="192" t="n">
        <v>67179.5</v>
      </c>
      <c r="DA106" s="192" t="n">
        <v>66204.89999999999</v>
      </c>
      <c r="DB106" s="192" t="n">
        <v>69320</v>
      </c>
      <c r="DC106" s="192" t="n">
        <v>61036.6</v>
      </c>
      <c r="DD106" s="192" t="n">
        <v>59797.4</v>
      </c>
      <c r="DE106" s="192" t="n">
        <v>58327.3</v>
      </c>
      <c r="DF106" s="192" t="n">
        <v>64147</v>
      </c>
      <c r="DG106" s="192" t="n">
        <v>52223.2</v>
      </c>
      <c r="DH106" s="192" t="n">
        <v>51818.7</v>
      </c>
      <c r="DI106" s="192" t="n">
        <v>48362.2</v>
      </c>
      <c r="DJ106" s="192" t="n">
        <v>52400.5</v>
      </c>
      <c r="DK106" s="192" t="n">
        <v>41817.2</v>
      </c>
      <c r="DL106" s="192" t="n">
        <v>43192.4</v>
      </c>
      <c r="DM106" s="192" t="n">
        <v>38333.9</v>
      </c>
      <c r="DN106" s="192" t="n">
        <v>40693.8</v>
      </c>
      <c r="DO106" s="192" t="n">
        <v>34100</v>
      </c>
      <c r="DP106" s="192" t="n">
        <v>30700</v>
      </c>
      <c r="DQ106" s="192" t="n">
        <v>29700</v>
      </c>
      <c r="DR106" s="192" t="n">
        <v>30300</v>
      </c>
      <c r="DS106" s="192" t="n">
        <v>24600</v>
      </c>
      <c r="DT106" s="192" t="n">
        <v>23900</v>
      </c>
      <c r="DU106" s="192" t="n">
        <v>23200</v>
      </c>
      <c r="DV106" s="192" t="n">
        <v>23900</v>
      </c>
      <c r="DW106" s="192" t="n">
        <v>20800</v>
      </c>
      <c r="DX106" s="192" t="n">
        <v>22600</v>
      </c>
      <c r="DY106" s="192" t="n">
        <v>24900</v>
      </c>
      <c r="DZ106" s="192" t="n">
        <v>28500</v>
      </c>
      <c r="EA106" s="192" t="n">
        <v>25400</v>
      </c>
      <c r="EB106" s="192" t="n">
        <v>28800</v>
      </c>
      <c r="EC106" s="192" t="n">
        <v>27300</v>
      </c>
      <c r="ED106" s="192" t="n">
        <v>29800</v>
      </c>
      <c r="EE106" s="192" t="n">
        <v>21100</v>
      </c>
      <c r="EF106" s="192" t="n">
        <v>22100</v>
      </c>
      <c r="EG106" s="192" t="n">
        <v>17900</v>
      </c>
      <c r="EH106" s="192" t="n">
        <v>12900</v>
      </c>
      <c r="EI106" s="192" t="n">
        <v>8500</v>
      </c>
      <c r="EJ106" s="192" t="n">
        <v>7700</v>
      </c>
      <c r="EK106" s="192" t="n">
        <v>5700</v>
      </c>
      <c r="EL106" s="192" t="n">
        <v>5500</v>
      </c>
      <c r="EM106" s="192" t="n"/>
      <c r="EN106" s="192" t="n"/>
      <c r="EO106" s="182" t="n"/>
      <c r="EP106" s="176" t="n"/>
      <c r="EQ106" s="176" t="n"/>
      <c r="ER106" s="176" t="n"/>
      <c r="ES106" s="176" t="n"/>
      <c r="ET106" s="176" t="n"/>
      <c r="EU106" s="176" t="n"/>
      <c r="EV106" s="176" t="n"/>
      <c r="EW106" s="176" t="n"/>
      <c r="EX106" s="176" t="n"/>
      <c r="EY106" s="176" t="n"/>
      <c r="EZ106" s="176" t="n"/>
      <c r="FA106" s="176" t="n"/>
      <c r="FB106" s="176" t="n"/>
      <c r="FC106" s="176" t="n"/>
      <c r="FD106" s="176" t="n"/>
      <c r="FE106" s="176" t="n"/>
      <c r="FF106" s="176" t="n"/>
      <c r="FG106" s="176" t="n"/>
      <c r="FH106" s="176" t="n"/>
      <c r="FI106" s="176" t="n"/>
      <c r="FJ106" s="176" t="n"/>
      <c r="FK106" s="176" t="n"/>
      <c r="FL106" s="176" t="n"/>
      <c r="FM106" s="176" t="n"/>
    </row>
    <row r="107" ht="15" customHeight="1" s="392">
      <c r="A107" s="176" t="n"/>
      <c r="B107" s="180" t="n"/>
      <c r="C107" s="183" t="inlineStr">
        <is>
          <t xml:space="preserve">        Net Operating Profit After Tax (NOPAT)</t>
        </is>
      </c>
      <c r="D107" s="190">
        <f>IF(COUNT(M107:EN107)&gt;0,MEDIAN(M107:EN107),"")</f>
        <v/>
      </c>
      <c r="E107" s="190">
        <f>IF(COUNT(M107:EN107)&gt;0,AVERAGE(M107:EN107),"")</f>
        <v/>
      </c>
      <c r="F107" s="190">
        <f>IF(COUNT(M107:EN107)&gt;0,MIN(M107:EN107),"")</f>
        <v/>
      </c>
      <c r="G107" s="190">
        <f>IF(COUNT(M107:EN107)&gt;0,MAX(M107:EN107),"")</f>
        <v/>
      </c>
      <c r="H107" s="190">
        <f>IF(COUNT(M107:EN107)&gt;0,QUARTILE(M107:EN107,1),"")</f>
        <v/>
      </c>
      <c r="I107" s="190">
        <f>IF(COUNT(M107:EN107)&gt;0,QUARTILE(M107:EN107,3),"")</f>
        <v/>
      </c>
      <c r="J107" s="190">
        <f>IF(COUNT(M107:EN107)&gt;1,STDEV(M107:EN107),"")</f>
        <v/>
      </c>
      <c r="K107" s="191">
        <f>IF(COUNT(M107:EN107)&gt;1,STDEV(M107:EN107)/AVERAGE(M107:EN107),"")</f>
        <v/>
      </c>
      <c r="M107" s="192" t="n">
        <v>294833.22645295</v>
      </c>
      <c r="N107" s="192" t="n">
        <v>370364.414697248</v>
      </c>
      <c r="O107" s="192" t="n">
        <v>310302.925420985</v>
      </c>
      <c r="P107" s="192" t="n">
        <v>358014.87</v>
      </c>
      <c r="Q107" s="192" t="n">
        <v>354126.089555359</v>
      </c>
      <c r="R107" s="192" t="n">
        <v>370860.544</v>
      </c>
      <c r="S107" s="192" t="n">
        <v>352517.255</v>
      </c>
      <c r="T107" s="192" t="n">
        <v>324738.4</v>
      </c>
      <c r="U107" s="192" t="n">
        <v>287868.784566153</v>
      </c>
      <c r="V107" s="192" t="n">
        <v>352809.638</v>
      </c>
      <c r="W107" s="192" t="n">
        <v>298633.848</v>
      </c>
      <c r="X107" s="192" t="n">
        <v>307376.07</v>
      </c>
      <c r="Y107" s="192" t="n">
        <v>323859.041567931</v>
      </c>
      <c r="Z107" s="192" t="n">
        <v>336200.112</v>
      </c>
      <c r="AA107" s="192" t="n">
        <v>282397.08</v>
      </c>
      <c r="AB107" s="192" t="n">
        <v>242376.73</v>
      </c>
      <c r="AC107" s="192" t="n">
        <v>266043.250490991</v>
      </c>
      <c r="AD107" s="192" t="n">
        <v>282006.968</v>
      </c>
      <c r="AE107" s="192" t="n">
        <v>291135.72</v>
      </c>
      <c r="AF107" s="192" t="n">
        <v>264443.493</v>
      </c>
      <c r="AG107" s="192" t="n">
        <v>260270.991345755</v>
      </c>
      <c r="AH107" s="192" t="n">
        <v>291532.556</v>
      </c>
      <c r="AI107" s="192" t="n">
        <v>197154.334</v>
      </c>
      <c r="AJ107" s="192" t="n">
        <v>204365.952</v>
      </c>
      <c r="AK107" s="192" t="n">
        <v>169471.196871455</v>
      </c>
      <c r="AL107" s="192" t="n">
        <v>151776.482</v>
      </c>
      <c r="AM107" s="192" t="n">
        <v>172380.872</v>
      </c>
      <c r="AN107" s="192" t="n">
        <v>221118.98</v>
      </c>
      <c r="AO107" s="192" t="n">
        <v>156987.342705939</v>
      </c>
      <c r="AP107" s="192" t="n">
        <v>197540.296</v>
      </c>
      <c r="AQ107" s="192" t="n">
        <v>134998.78</v>
      </c>
      <c r="AR107" s="192" t="n">
        <v>116913.997</v>
      </c>
      <c r="AS107" s="192" t="n">
        <v>113033.337484649</v>
      </c>
      <c r="AT107" s="192" t="n">
        <v>130480.696</v>
      </c>
      <c r="AU107" s="192" t="n">
        <v>107277.115</v>
      </c>
      <c r="AV107" s="192" t="n">
        <v>81230.64</v>
      </c>
      <c r="AW107" s="192" t="n">
        <v>73997.2909690822</v>
      </c>
      <c r="AX107" s="192" t="n">
        <v>94350.64599999999</v>
      </c>
      <c r="AY107" s="192" t="n">
        <v>69867.60000000001</v>
      </c>
      <c r="AZ107" s="192" t="n">
        <v>170653.2</v>
      </c>
      <c r="BA107" s="192" t="n">
        <v>89088.281587017</v>
      </c>
      <c r="BB107" s="192" t="n">
        <v>78092.16</v>
      </c>
      <c r="BC107" s="192" t="n">
        <v>62203.392</v>
      </c>
      <c r="BD107" s="192" t="n">
        <v>56154.859</v>
      </c>
      <c r="BE107" s="192" t="n">
        <v>61198.7699334528</v>
      </c>
      <c r="BF107" s="192" t="n">
        <v>61250.712</v>
      </c>
      <c r="BG107" s="192" t="n">
        <v>55130.26</v>
      </c>
      <c r="BH107" s="192" t="n">
        <v>53748.44</v>
      </c>
      <c r="BI107" s="192" t="n">
        <v>52459.9399734719</v>
      </c>
      <c r="BJ107" s="192" t="n">
        <v>42226.341</v>
      </c>
      <c r="BK107" s="192" t="n">
        <v>46671.372</v>
      </c>
      <c r="BL107" s="192" t="n">
        <v>42800.365</v>
      </c>
      <c r="BM107" s="192" t="n">
        <v>42869.4616003346</v>
      </c>
      <c r="BN107" s="192" t="n">
        <v>54793.6</v>
      </c>
      <c r="BO107" s="192" t="n">
        <v>41195.653</v>
      </c>
      <c r="BP107" s="192" t="n">
        <v>47429.64</v>
      </c>
      <c r="BQ107" s="192" t="n">
        <v>46902.0084768369</v>
      </c>
      <c r="BR107" s="192" t="n">
        <v>57393.08</v>
      </c>
      <c r="BS107" s="192" t="n">
        <v>42505.842</v>
      </c>
      <c r="BT107" s="192" t="n">
        <v>42519.2362297266</v>
      </c>
      <c r="BU107" s="192" t="n">
        <v>41616.1097152162</v>
      </c>
      <c r="BV107" s="192" t="n">
        <v>51179.9020286248</v>
      </c>
      <c r="BW107" s="192" t="n">
        <v>38070.242156233</v>
      </c>
      <c r="BX107" s="192" t="n">
        <v>37782.1360969367</v>
      </c>
      <c r="BY107" s="192" t="n">
        <v>36214.1567798079</v>
      </c>
      <c r="BZ107" s="192" t="n">
        <v>44398.0614383102</v>
      </c>
      <c r="CA107" s="192" t="n">
        <v>35704.7748815166</v>
      </c>
      <c r="CB107" s="192" t="n">
        <v>35313.8927644956</v>
      </c>
      <c r="CC107" s="192" t="n">
        <v>34658.347776693</v>
      </c>
      <c r="CD107" s="192" t="n">
        <v>40216.902270244</v>
      </c>
      <c r="CE107" s="192" t="n">
        <v>26899.8743718593</v>
      </c>
      <c r="CF107" s="192" t="n">
        <v>37254</v>
      </c>
      <c r="CG107" s="192" t="n">
        <v>40821</v>
      </c>
      <c r="CH107" s="192" t="n">
        <v>46477</v>
      </c>
      <c r="CI107" s="192" t="n">
        <v>32026</v>
      </c>
      <c r="CJ107" s="192" t="n">
        <v>37610</v>
      </c>
      <c r="CK107" s="192" t="n">
        <v>36735</v>
      </c>
      <c r="CL107" s="192" t="n">
        <v>38867</v>
      </c>
      <c r="CM107" s="192" t="n">
        <v>30392</v>
      </c>
      <c r="CN107" s="192" t="n">
        <v>30345</v>
      </c>
      <c r="CO107" s="192" t="n">
        <v>30789</v>
      </c>
      <c r="CP107" s="192" t="n">
        <v>33180</v>
      </c>
      <c r="CQ107" s="192" t="n">
        <v>26118</v>
      </c>
      <c r="CR107" s="192" t="n">
        <v>22666</v>
      </c>
      <c r="CS107" s="192" t="n">
        <v>25097</v>
      </c>
      <c r="CT107" s="192" t="n">
        <v>30713</v>
      </c>
      <c r="CU107" s="192" t="n">
        <v>23466</v>
      </c>
      <c r="CV107" s="192" t="n">
        <v>22670</v>
      </c>
      <c r="CW107" s="192" t="n">
        <v>21221</v>
      </c>
      <c r="CX107" s="192" t="n">
        <v>24964</v>
      </c>
      <c r="CY107" s="192" t="n">
        <v>17368</v>
      </c>
      <c r="CZ107" s="192" t="n">
        <v>15241.1</v>
      </c>
      <c r="DA107" s="192" t="n">
        <v>13336.2</v>
      </c>
      <c r="DB107" s="192" t="n">
        <v>15422.8</v>
      </c>
      <c r="DC107" s="192" t="n">
        <v>13756.5</v>
      </c>
      <c r="DD107" s="192" t="n">
        <v>14706.5</v>
      </c>
      <c r="DE107" s="192" t="n">
        <v>15535.2</v>
      </c>
      <c r="DF107" s="192" t="n">
        <v>16600.4</v>
      </c>
      <c r="DG107" s="192" t="n">
        <v>12495.2</v>
      </c>
      <c r="DH107" s="192" t="n">
        <v>12758.2</v>
      </c>
      <c r="DI107" s="192" t="n">
        <v>12931.4</v>
      </c>
      <c r="DJ107" s="192" t="n">
        <v>11485.2</v>
      </c>
      <c r="DK107" s="192" t="n">
        <v>9349.200000000001</v>
      </c>
      <c r="DL107" s="192" t="n">
        <v>8919.200000000001</v>
      </c>
      <c r="DM107" s="192" t="n">
        <v>8162.2</v>
      </c>
      <c r="DN107" s="192" t="n">
        <v>8336.1</v>
      </c>
      <c r="DO107" s="192" t="n">
        <v>6600</v>
      </c>
      <c r="DP107" s="192" t="n">
        <v>6300</v>
      </c>
      <c r="DQ107" s="192" t="n">
        <v>6700</v>
      </c>
      <c r="DR107" s="192" t="n">
        <v>6300</v>
      </c>
      <c r="DS107" s="192" t="n">
        <v>4800</v>
      </c>
      <c r="DT107" s="192" t="n">
        <v>4200</v>
      </c>
      <c r="DU107" s="192" t="n">
        <v>4300</v>
      </c>
      <c r="DV107" s="192" t="n">
        <v>4300</v>
      </c>
      <c r="DW107" s="192" t="n">
        <v>3500</v>
      </c>
      <c r="DX107" s="192" t="n">
        <v>3100</v>
      </c>
      <c r="DY107" s="192" t="n">
        <v>3400</v>
      </c>
      <c r="DZ107" s="192" t="n">
        <v>3300</v>
      </c>
      <c r="EA107" s="192" t="n">
        <v>3000</v>
      </c>
      <c r="EB107" s="192" t="n">
        <v>2300</v>
      </c>
      <c r="EC107" s="192" t="n">
        <v>2800</v>
      </c>
      <c r="ED107" s="192" t="n">
        <v>2800</v>
      </c>
      <c r="EE107" s="192" t="n">
        <v>3000</v>
      </c>
      <c r="EF107" s="192" t="n">
        <v>2600</v>
      </c>
      <c r="EG107" s="192" t="n">
        <v>2200</v>
      </c>
      <c r="EH107" s="192" t="n">
        <v>1900</v>
      </c>
      <c r="EI107" s="192" t="n">
        <v>1600</v>
      </c>
      <c r="EJ107" s="192" t="n">
        <v>1300</v>
      </c>
      <c r="EK107" s="192" t="n">
        <v>2800</v>
      </c>
      <c r="EL107" s="192" t="n">
        <v>600</v>
      </c>
      <c r="EM107" s="192" t="n">
        <v>-600</v>
      </c>
      <c r="EN107" s="192" t="n">
        <v>-600</v>
      </c>
      <c r="EO107" s="182" t="n"/>
      <c r="EP107" s="176" t="n"/>
      <c r="EQ107" s="176" t="n"/>
      <c r="ER107" s="176" t="n"/>
      <c r="ES107" s="176" t="n"/>
      <c r="ET107" s="176" t="n"/>
      <c r="EU107" s="176" t="n"/>
      <c r="EV107" s="176" t="n"/>
      <c r="EW107" s="176" t="n"/>
      <c r="EX107" s="176" t="n"/>
      <c r="EY107" s="176" t="n"/>
      <c r="EZ107" s="176" t="n"/>
      <c r="FA107" s="176" t="n"/>
      <c r="FB107" s="176" t="n"/>
      <c r="FC107" s="176" t="n"/>
      <c r="FD107" s="176" t="n"/>
      <c r="FE107" s="176" t="n"/>
      <c r="FF107" s="176" t="n"/>
      <c r="FG107" s="176" t="n"/>
      <c r="FH107" s="176" t="n"/>
      <c r="FI107" s="176" t="n"/>
      <c r="FJ107" s="176" t="n"/>
      <c r="FK107" s="176" t="n"/>
      <c r="FL107" s="176" t="n"/>
      <c r="FM107" s="176" t="n"/>
    </row>
    <row r="108" ht="15" customHeight="1" s="392">
      <c r="A108" s="176" t="n"/>
      <c r="B108" s="180" t="n"/>
      <c r="C108" s="183" t="inlineStr">
        <is>
          <t xml:space="preserve">        Income After Taxes</t>
        </is>
      </c>
      <c r="D108" s="190">
        <f>IF(COUNT(M108:EN108)&gt;0,MEDIAN(M108:EN108),"")</f>
        <v/>
      </c>
      <c r="E108" s="190">
        <f>IF(COUNT(M108:EN108)&gt;0,AVERAGE(M108:EN108),"")</f>
        <v/>
      </c>
      <c r="F108" s="190">
        <f>IF(COUNT(M108:EN108)&gt;0,MIN(M108:EN108),"")</f>
        <v/>
      </c>
      <c r="G108" s="190">
        <f>IF(COUNT(M108:EN108)&gt;0,MAX(M108:EN108),"")</f>
        <v/>
      </c>
      <c r="H108" s="190">
        <f>IF(COUNT(M108:EN108)&gt;0,QUARTILE(M108:EN108,1),"")</f>
        <v/>
      </c>
      <c r="I108" s="190">
        <f>IF(COUNT(M108:EN108)&gt;0,QUARTILE(M108:EN108,3),"")</f>
        <v/>
      </c>
      <c r="J108" s="190">
        <f>IF(COUNT(M108:EN108)&gt;1,STDEV(M108:EN108),"")</f>
        <v/>
      </c>
      <c r="K108" s="191">
        <f>IF(COUNT(M108:EN108)&gt;1,STDEV(M108:EN108)/AVERAGE(M108:EN108),"")</f>
        <v/>
      </c>
      <c r="M108" s="192" t="n">
        <v>326827</v>
      </c>
      <c r="N108" s="192" t="n">
        <v>401393</v>
      </c>
      <c r="O108" s="192" t="n">
        <v>349967</v>
      </c>
      <c r="P108" s="192" t="n">
        <v>402210</v>
      </c>
      <c r="Q108" s="192" t="n">
        <v>395308</v>
      </c>
      <c r="R108" s="192" t="n">
        <v>405338</v>
      </c>
      <c r="S108" s="192" t="n">
        <v>386541</v>
      </c>
      <c r="T108" s="192" t="n">
        <v>361176</v>
      </c>
      <c r="U108" s="192" t="n">
        <v>322178</v>
      </c>
      <c r="V108" s="192" t="n">
        <v>382110</v>
      </c>
      <c r="W108" s="192" t="n">
        <v>325527</v>
      </c>
      <c r="X108" s="192" t="n">
        <v>332532</v>
      </c>
      <c r="Y108" s="192" t="n">
        <v>347785</v>
      </c>
      <c r="Z108" s="192" t="n">
        <v>350431</v>
      </c>
      <c r="AA108" s="192" t="n">
        <v>293677</v>
      </c>
      <c r="AB108" s="192" t="n">
        <v>245848</v>
      </c>
      <c r="AC108" s="192" t="n">
        <v>263735</v>
      </c>
      <c r="AD108" s="192" t="n">
        <v>278620</v>
      </c>
      <c r="AE108" s="192" t="n">
        <v>287412</v>
      </c>
      <c r="AF108" s="192" t="n">
        <v>260363</v>
      </c>
      <c r="AG108" s="192" t="n">
        <v>255974</v>
      </c>
      <c r="AH108" s="192" t="n">
        <v>286796</v>
      </c>
      <c r="AI108" s="192" t="n">
        <v>193440</v>
      </c>
      <c r="AJ108" s="192" t="n">
        <v>200285</v>
      </c>
      <c r="AK108" s="192" t="n">
        <v>165533</v>
      </c>
      <c r="AL108" s="192" t="n">
        <v>147487</v>
      </c>
      <c r="AM108" s="192" t="n">
        <v>168707</v>
      </c>
      <c r="AN108" s="192" t="n">
        <v>218180</v>
      </c>
      <c r="AO108" s="192" t="n">
        <v>153496</v>
      </c>
      <c r="AP108" s="192" t="n">
        <v>192741</v>
      </c>
      <c r="AQ108" s="192" t="n">
        <v>131373</v>
      </c>
      <c r="AR108" s="192" t="n">
        <v>114083</v>
      </c>
      <c r="AS108" s="192" t="n">
        <v>109741</v>
      </c>
      <c r="AT108" s="192" t="n">
        <v>127405</v>
      </c>
      <c r="AU108" s="192" t="n">
        <v>103301</v>
      </c>
      <c r="AV108" s="192" t="n">
        <v>77560</v>
      </c>
      <c r="AW108" s="192" t="n">
        <v>70369</v>
      </c>
      <c r="AX108" s="192" t="n">
        <v>90546</v>
      </c>
      <c r="AY108" s="192" t="n">
        <v>66066</v>
      </c>
      <c r="AZ108" s="192" t="n">
        <v>167280</v>
      </c>
      <c r="BA108" s="192" t="n">
        <v>84122</v>
      </c>
      <c r="BB108" s="192" t="n">
        <v>74624</v>
      </c>
      <c r="BC108" s="192" t="n">
        <v>59004</v>
      </c>
      <c r="BD108" s="192" t="n">
        <v>52610</v>
      </c>
      <c r="BE108" s="192" t="n">
        <v>57412</v>
      </c>
      <c r="BF108" s="192" t="n">
        <v>57563</v>
      </c>
      <c r="BG108" s="192" t="n">
        <v>52193</v>
      </c>
      <c r="BH108" s="192" t="n">
        <v>52615</v>
      </c>
      <c r="BI108" s="192" t="n">
        <v>51043</v>
      </c>
      <c r="BJ108" s="192" t="n">
        <v>40877</v>
      </c>
      <c r="BK108" s="192" t="n">
        <v>45345</v>
      </c>
      <c r="BL108" s="192" t="n">
        <v>41422</v>
      </c>
      <c r="BM108" s="192" t="n">
        <v>41304</v>
      </c>
      <c r="BN108" s="192" t="n">
        <v>53236</v>
      </c>
      <c r="BO108" s="192" t="n">
        <v>39640</v>
      </c>
      <c r="BP108" s="192" t="n">
        <v>45845</v>
      </c>
      <c r="BQ108" s="192" t="n">
        <v>44896</v>
      </c>
      <c r="BR108" s="192" t="n">
        <v>55471</v>
      </c>
      <c r="BS108" s="192" t="n">
        <v>40603</v>
      </c>
      <c r="BT108" s="192" t="n">
        <v>41149</v>
      </c>
      <c r="BU108" s="192" t="n">
        <v>40521</v>
      </c>
      <c r="BV108" s="192" t="n">
        <v>50136</v>
      </c>
      <c r="BW108" s="192" t="n">
        <v>37893</v>
      </c>
      <c r="BX108" s="192" t="n">
        <v>37823</v>
      </c>
      <c r="BY108" s="192" t="n">
        <v>36233</v>
      </c>
      <c r="BZ108" s="192" t="n">
        <v>44390</v>
      </c>
      <c r="CA108" s="192" t="n">
        <v>35733</v>
      </c>
      <c r="CB108" s="192" t="n">
        <v>35270</v>
      </c>
      <c r="CC108" s="192" t="n">
        <v>34627</v>
      </c>
      <c r="CD108" s="192" t="n">
        <v>40512</v>
      </c>
      <c r="CE108" s="192" t="n">
        <v>27150</v>
      </c>
      <c r="CF108" s="192" t="n">
        <v>37254</v>
      </c>
      <c r="CG108" s="192" t="n">
        <v>40821</v>
      </c>
      <c r="CH108" s="192" t="n">
        <v>46477</v>
      </c>
      <c r="CI108" s="192" t="n">
        <v>32026</v>
      </c>
      <c r="CJ108" s="192" t="n">
        <v>37610</v>
      </c>
      <c r="CK108" s="192" t="n">
        <v>36735</v>
      </c>
      <c r="CL108" s="192" t="n">
        <v>38867</v>
      </c>
      <c r="CM108" s="192" t="n">
        <v>30392</v>
      </c>
      <c r="CN108" s="192" t="n">
        <v>30345</v>
      </c>
      <c r="CO108" s="192" t="n">
        <v>30789</v>
      </c>
      <c r="CP108" s="192" t="n">
        <v>33180</v>
      </c>
      <c r="CQ108" s="192" t="n">
        <v>26118</v>
      </c>
      <c r="CR108" s="192" t="n">
        <v>22666</v>
      </c>
      <c r="CS108" s="192" t="n">
        <v>25097</v>
      </c>
      <c r="CT108" s="192" t="n">
        <v>30713</v>
      </c>
      <c r="CU108" s="192" t="n">
        <v>23466</v>
      </c>
      <c r="CV108" s="192" t="n">
        <v>22670</v>
      </c>
      <c r="CW108" s="192" t="n">
        <v>21221</v>
      </c>
      <c r="CX108" s="192" t="n">
        <v>24965</v>
      </c>
      <c r="CY108" s="192" t="n">
        <v>17368</v>
      </c>
      <c r="CZ108" s="192" t="n">
        <v>15241.1</v>
      </c>
      <c r="DA108" s="192" t="n">
        <v>13336.2</v>
      </c>
      <c r="DB108" s="192" t="n">
        <v>15422.8</v>
      </c>
      <c r="DC108" s="192" t="n">
        <v>13756.5</v>
      </c>
      <c r="DD108" s="192" t="n">
        <v>14706.5</v>
      </c>
      <c r="DE108" s="192" t="n">
        <v>15535.2</v>
      </c>
      <c r="DF108" s="192" t="n">
        <v>16600.4</v>
      </c>
      <c r="DG108" s="192" t="n">
        <v>12495.2</v>
      </c>
      <c r="DH108" s="192" t="n">
        <v>12758.2</v>
      </c>
      <c r="DI108" s="192" t="n">
        <v>12931.4</v>
      </c>
      <c r="DJ108" s="192" t="n">
        <v>11485.2</v>
      </c>
      <c r="DK108" s="192" t="n">
        <v>9349.200000000001</v>
      </c>
      <c r="DL108" s="192" t="n">
        <v>8919.200000000001</v>
      </c>
      <c r="DM108" s="192" t="n">
        <v>8162.2</v>
      </c>
      <c r="DN108" s="192" t="n">
        <v>8336.1</v>
      </c>
      <c r="DO108" s="192" t="n">
        <v>6600</v>
      </c>
      <c r="DP108" s="192" t="n">
        <v>6300</v>
      </c>
      <c r="DQ108" s="192" t="n">
        <v>6700</v>
      </c>
      <c r="DR108" s="192" t="n">
        <v>6300</v>
      </c>
      <c r="DS108" s="192" t="n">
        <v>4800</v>
      </c>
      <c r="DT108" s="192" t="n">
        <v>4200</v>
      </c>
      <c r="DU108" s="192" t="n">
        <v>4300</v>
      </c>
      <c r="DV108" s="192" t="n">
        <v>4300</v>
      </c>
      <c r="DW108" s="192" t="n">
        <v>3500</v>
      </c>
      <c r="DX108" s="192" t="n">
        <v>3100</v>
      </c>
      <c r="DY108" s="192" t="n">
        <v>3400</v>
      </c>
      <c r="DZ108" s="192" t="n">
        <v>3300</v>
      </c>
      <c r="EA108" s="192" t="n">
        <v>3000</v>
      </c>
      <c r="EB108" s="192" t="n">
        <v>2300</v>
      </c>
      <c r="EC108" s="192" t="n">
        <v>2800</v>
      </c>
      <c r="ED108" s="192" t="n">
        <v>2800</v>
      </c>
      <c r="EE108" s="192" t="n">
        <v>3000</v>
      </c>
      <c r="EF108" s="192" t="n">
        <v>2600</v>
      </c>
      <c r="EG108" s="192" t="n">
        <v>2200</v>
      </c>
      <c r="EH108" s="192" t="n">
        <v>1900</v>
      </c>
      <c r="EI108" s="192" t="n">
        <v>1600</v>
      </c>
      <c r="EJ108" s="192" t="n">
        <v>1300</v>
      </c>
      <c r="EK108" s="192" t="n">
        <v>2800</v>
      </c>
      <c r="EL108" s="192" t="n">
        <v>600</v>
      </c>
      <c r="EM108" s="192" t="n"/>
      <c r="EN108" s="192" t="n"/>
      <c r="EO108" s="182" t="n"/>
      <c r="EP108" s="176" t="n"/>
      <c r="EQ108" s="176" t="n"/>
      <c r="ER108" s="176" t="n"/>
      <c r="ES108" s="176" t="n"/>
      <c r="ET108" s="176" t="n"/>
      <c r="EU108" s="176" t="n"/>
      <c r="EV108" s="176" t="n"/>
      <c r="EW108" s="176" t="n"/>
      <c r="EX108" s="176" t="n"/>
      <c r="EY108" s="176" t="n"/>
      <c r="EZ108" s="176" t="n"/>
      <c r="FA108" s="176" t="n"/>
      <c r="FB108" s="176" t="n"/>
      <c r="FC108" s="176" t="n"/>
      <c r="FD108" s="176" t="n"/>
      <c r="FE108" s="176" t="n"/>
      <c r="FF108" s="176" t="n"/>
      <c r="FG108" s="176" t="n"/>
      <c r="FH108" s="176" t="n"/>
      <c r="FI108" s="176" t="n"/>
      <c r="FJ108" s="176" t="n"/>
      <c r="FK108" s="176" t="n"/>
      <c r="FL108" s="176" t="n"/>
      <c r="FM108" s="176" t="n"/>
    </row>
    <row r="109" ht="15" customHeight="1" s="392">
      <c r="A109" s="176" t="n"/>
      <c r="B109" s="180" t="n"/>
      <c r="C109" s="183" t="inlineStr">
        <is>
          <t xml:space="preserve">    Normalized Profitability Metrics</t>
        </is>
      </c>
      <c r="D109" s="185" t="n"/>
      <c r="E109" s="185" t="n"/>
      <c r="F109" s="185" t="n"/>
      <c r="G109" s="185" t="n"/>
      <c r="H109" s="185" t="n"/>
      <c r="I109" s="185" t="n"/>
      <c r="J109" s="185" t="n"/>
      <c r="K109" s="185" t="n"/>
      <c r="EO109" s="182" t="n"/>
      <c r="EP109" s="176" t="n"/>
      <c r="EQ109" s="176" t="n"/>
      <c r="ER109" s="176" t="n"/>
      <c r="ES109" s="176" t="n"/>
      <c r="ET109" s="176" t="n"/>
      <c r="EU109" s="176" t="n"/>
      <c r="EV109" s="176" t="n"/>
      <c r="EW109" s="176" t="n"/>
      <c r="EX109" s="176" t="n"/>
      <c r="EY109" s="176" t="n"/>
      <c r="EZ109" s="176" t="n"/>
      <c r="FA109" s="176" t="n"/>
      <c r="FB109" s="176" t="n"/>
      <c r="FC109" s="176" t="n"/>
      <c r="FD109" s="176" t="n"/>
      <c r="FE109" s="176" t="n"/>
      <c r="FF109" s="176" t="n"/>
      <c r="FG109" s="176" t="n"/>
      <c r="FH109" s="176" t="n"/>
      <c r="FI109" s="176" t="n"/>
      <c r="FJ109" s="176" t="n"/>
      <c r="FK109" s="176" t="n"/>
      <c r="FL109" s="176" t="n"/>
      <c r="FM109" s="176" t="n"/>
    </row>
    <row r="110" ht="15" customHeight="1" s="392">
      <c r="A110" s="176" t="n"/>
      <c r="B110" s="180" t="n"/>
      <c r="C110" s="183" t="inlineStr">
        <is>
          <t xml:space="preserve">        EBITDA (Normalized)</t>
        </is>
      </c>
      <c r="D110" s="190">
        <f>IF(COUNT(M110:EN110)&gt;0,MEDIAN(M110:EN110),"")</f>
        <v/>
      </c>
      <c r="E110" s="190">
        <f>IF(COUNT(M110:EN110)&gt;0,AVERAGE(M110:EN110),"")</f>
        <v/>
      </c>
      <c r="F110" s="190">
        <f>IF(COUNT(M110:EN110)&gt;0,MIN(M110:EN110),"")</f>
        <v/>
      </c>
      <c r="G110" s="190">
        <f>IF(COUNT(M110:EN110)&gt;0,MAX(M110:EN110),"")</f>
        <v/>
      </c>
      <c r="H110" s="190">
        <f>IF(COUNT(M110:EN110)&gt;0,QUARTILE(M110:EN110,1),"")</f>
        <v/>
      </c>
      <c r="I110" s="190">
        <f>IF(COUNT(M110:EN110)&gt;0,QUARTILE(M110:EN110,3),"")</f>
        <v/>
      </c>
      <c r="J110" s="190">
        <f>IF(COUNT(M110:EN110)&gt;1,STDEV(M110:EN110),"")</f>
        <v/>
      </c>
      <c r="K110" s="191">
        <f>IF(COUNT(M110:EN110)&gt;1,STDEV(M110:EN110)/AVERAGE(M110:EN110),"")</f>
        <v/>
      </c>
      <c r="M110" s="192" t="n">
        <v>435324</v>
      </c>
      <c r="N110" s="192" t="n">
        <v>533709</v>
      </c>
      <c r="O110" s="192" t="n">
        <v>457721</v>
      </c>
      <c r="P110" s="192" t="n">
        <v>496008</v>
      </c>
      <c r="Q110" s="192" t="n">
        <v>479125</v>
      </c>
      <c r="R110" s="192" t="n">
        <v>522874</v>
      </c>
      <c r="S110" s="192" t="n">
        <v>485820</v>
      </c>
      <c r="T110" s="192" t="n">
        <v>470915</v>
      </c>
      <c r="U110" s="192" t="n">
        <v>424334</v>
      </c>
      <c r="V110" s="192" t="n">
        <v>494407</v>
      </c>
      <c r="W110" s="192" t="n">
        <v>431435</v>
      </c>
      <c r="X110" s="192" t="n">
        <v>441671</v>
      </c>
      <c r="Y110" s="192" t="n">
        <v>447296</v>
      </c>
      <c r="Z110" s="192" t="n">
        <v>469642</v>
      </c>
      <c r="AA110" s="192" t="n">
        <v>410519</v>
      </c>
      <c r="AB110" s="192" t="n">
        <v>357860</v>
      </c>
      <c r="AC110" s="192" t="n">
        <v>369657</v>
      </c>
      <c r="AD110" s="192" t="n">
        <v>419990</v>
      </c>
      <c r="AE110" s="192" t="n">
        <v>389035</v>
      </c>
      <c r="AF110" s="192" t="n">
        <v>371645</v>
      </c>
      <c r="AG110" s="192" t="n">
        <v>347218</v>
      </c>
      <c r="AH110" s="192" t="n">
        <v>370136</v>
      </c>
      <c r="AI110" s="192" t="n">
        <v>297751</v>
      </c>
      <c r="AJ110" s="192" t="n">
        <v>288430</v>
      </c>
      <c r="AK110" s="192" t="n">
        <v>240011</v>
      </c>
      <c r="AL110" s="192" t="n">
        <v>229203</v>
      </c>
      <c r="AM110" s="192" t="n">
        <v>238936</v>
      </c>
      <c r="AN110" s="192" t="n">
        <v>234369</v>
      </c>
      <c r="AO110" s="192" t="n">
        <v>219475</v>
      </c>
      <c r="AP110" s="192" t="n">
        <v>236222</v>
      </c>
      <c r="AQ110" s="192" t="n">
        <v>192171</v>
      </c>
      <c r="AR110" s="192" t="n">
        <v>180374</v>
      </c>
      <c r="AS110" s="192" t="n">
        <v>171174</v>
      </c>
      <c r="AT110" s="192" t="n">
        <v>197269</v>
      </c>
      <c r="AU110" s="192" t="n">
        <v>174041</v>
      </c>
      <c r="AV110" s="192" t="n">
        <v>145304</v>
      </c>
      <c r="AW110" s="192" t="n">
        <v>150255</v>
      </c>
      <c r="AX110" s="192" t="n">
        <v>155361</v>
      </c>
      <c r="AY110" s="192" t="n">
        <v>126588</v>
      </c>
      <c r="AZ110" s="192" t="n">
        <v>128099</v>
      </c>
      <c r="BA110" s="192" t="n">
        <v>131149</v>
      </c>
      <c r="BB110" s="192" t="n">
        <v>139545</v>
      </c>
      <c r="BC110" s="192" t="n">
        <v>113592</v>
      </c>
      <c r="BD110" s="192" t="n">
        <v>104189</v>
      </c>
      <c r="BE110" s="192" t="n">
        <v>102813</v>
      </c>
      <c r="BF110" s="192" t="n">
        <v>110306</v>
      </c>
      <c r="BG110" s="192" t="n">
        <v>100317</v>
      </c>
      <c r="BH110" s="192" t="n">
        <v>102066</v>
      </c>
      <c r="BI110" s="192" t="n">
        <v>94384</v>
      </c>
      <c r="BJ110" s="192" t="n">
        <v>111884</v>
      </c>
      <c r="BK110" s="192" t="n">
        <v>90433</v>
      </c>
      <c r="BL110" s="192" t="n">
        <v>85079</v>
      </c>
      <c r="BM110" s="192" t="n">
        <v>83844</v>
      </c>
      <c r="BN110" s="192" t="n">
        <v>103214</v>
      </c>
      <c r="BO110" s="192" t="n">
        <v>82893</v>
      </c>
      <c r="BP110" s="192" t="n">
        <v>91873</v>
      </c>
      <c r="BQ110" s="192" t="n">
        <v>88948</v>
      </c>
      <c r="BR110" s="192" t="n">
        <v>104525</v>
      </c>
      <c r="BS110" s="192" t="n">
        <v>91429</v>
      </c>
      <c r="BT110" s="192" t="n">
        <v>82724</v>
      </c>
      <c r="BU110" s="192" t="n">
        <v>80288</v>
      </c>
      <c r="BV110" s="192" t="n">
        <v>98215</v>
      </c>
      <c r="BW110" s="192" t="n">
        <v>77025</v>
      </c>
      <c r="BX110" s="192" t="n">
        <v>77729</v>
      </c>
      <c r="BY110" s="192" t="n">
        <v>71719</v>
      </c>
      <c r="BZ110" s="192" t="n">
        <v>89506</v>
      </c>
      <c r="CA110" s="192" t="n">
        <v>68133</v>
      </c>
      <c r="CB110" s="192" t="n">
        <v>72004</v>
      </c>
      <c r="CC110" s="192" t="n">
        <v>74582</v>
      </c>
      <c r="CD110" s="192" t="n">
        <v>73877</v>
      </c>
      <c r="CE110" s="192" t="n">
        <v>53896</v>
      </c>
      <c r="CF110" s="192" t="n">
        <v>72029</v>
      </c>
      <c r="CG110" s="192" t="n">
        <v>79070</v>
      </c>
      <c r="CH110" s="192" t="n">
        <v>80544</v>
      </c>
      <c r="CI110" s="192" t="n">
        <v>61671</v>
      </c>
      <c r="CJ110" s="192" t="n">
        <v>71170</v>
      </c>
      <c r="CK110" s="192" t="n">
        <v>68679</v>
      </c>
      <c r="CL110" s="192" t="n">
        <v>71246</v>
      </c>
      <c r="CM110" s="192" t="n">
        <v>57491</v>
      </c>
      <c r="CN110" s="192" t="n">
        <v>57095</v>
      </c>
      <c r="CO110" s="192" t="n">
        <v>54237</v>
      </c>
      <c r="CP110" s="192" t="n">
        <v>61792</v>
      </c>
      <c r="CQ110" s="192" t="n">
        <v>46432</v>
      </c>
      <c r="CR110" s="192" t="n">
        <v>43521</v>
      </c>
      <c r="CS110" s="192" t="n">
        <v>46252</v>
      </c>
      <c r="CT110" s="192" t="n">
        <v>58591</v>
      </c>
      <c r="CU110" s="192" t="n">
        <v>45772</v>
      </c>
      <c r="CV110" s="192" t="n">
        <v>44647</v>
      </c>
      <c r="CW110" s="192" t="n">
        <v>41785</v>
      </c>
      <c r="CX110" s="192" t="n">
        <v>48207</v>
      </c>
      <c r="CY110" s="192" t="n">
        <v>36789.4</v>
      </c>
      <c r="CZ110" s="192" t="n">
        <v>32591.5</v>
      </c>
      <c r="DA110" s="192" t="n">
        <v>29015.8</v>
      </c>
      <c r="DB110" s="192" t="n">
        <v>31879.1</v>
      </c>
      <c r="DC110" s="192" t="n">
        <v>28877.9</v>
      </c>
      <c r="DD110" s="192" t="n">
        <v>29939.1</v>
      </c>
      <c r="DE110" s="192" t="n">
        <v>30411.1</v>
      </c>
      <c r="DF110" s="192" t="n">
        <v>31233.5</v>
      </c>
      <c r="DG110" s="192" t="n">
        <v>23759.3</v>
      </c>
      <c r="DH110" s="192" t="n">
        <v>24561.7</v>
      </c>
      <c r="DI110" s="192" t="n">
        <v>25613.8</v>
      </c>
      <c r="DJ110" s="192" t="n">
        <v>22873.7</v>
      </c>
      <c r="DK110" s="192" t="n">
        <v>18913.1</v>
      </c>
      <c r="DL110" s="192" t="n">
        <v>17993.1</v>
      </c>
      <c r="DM110" s="192" t="n">
        <v>16466.5</v>
      </c>
      <c r="DN110" s="192" t="n">
        <v>16455.7</v>
      </c>
      <c r="DO110" s="192" t="n">
        <v>13500</v>
      </c>
      <c r="DP110" s="192" t="n">
        <v>13100</v>
      </c>
      <c r="DQ110" s="192" t="n">
        <v>13000</v>
      </c>
      <c r="DR110" s="192" t="n">
        <v>12600</v>
      </c>
      <c r="DS110" s="192" t="n">
        <v>10200</v>
      </c>
      <c r="DT110" s="192" t="n">
        <v>9200</v>
      </c>
      <c r="DU110" s="192" t="n">
        <v>9000</v>
      </c>
      <c r="DV110" s="192" t="n">
        <v>9000</v>
      </c>
      <c r="DW110" s="192" t="n">
        <v>7700</v>
      </c>
      <c r="DX110" s="192" t="n">
        <v>7000</v>
      </c>
      <c r="DY110" s="192" t="n">
        <v>7100</v>
      </c>
      <c r="DZ110" s="192" t="n">
        <v>7400</v>
      </c>
      <c r="EA110" s="192" t="n">
        <v>6800</v>
      </c>
      <c r="EB110" s="192" t="n">
        <v>5600</v>
      </c>
      <c r="EC110" s="192" t="n">
        <v>5800</v>
      </c>
      <c r="ED110" s="192" t="n">
        <v>6300</v>
      </c>
      <c r="EE110" s="192" t="n">
        <v>6400</v>
      </c>
      <c r="EF110" s="192" t="n">
        <v>5700</v>
      </c>
      <c r="EG110" s="192" t="n">
        <v>5000</v>
      </c>
      <c r="EH110" s="192" t="n">
        <v>3900</v>
      </c>
      <c r="EI110" s="192" t="n">
        <v>3300</v>
      </c>
      <c r="EJ110" s="192" t="n">
        <v>2700</v>
      </c>
      <c r="EK110" s="192" t="n">
        <v>4700</v>
      </c>
      <c r="EL110" s="192" t="n">
        <v>2300</v>
      </c>
      <c r="EM110" s="192" t="n"/>
      <c r="EN110" s="192" t="n"/>
      <c r="EO110" s="182" t="n"/>
      <c r="EP110" s="176" t="n"/>
      <c r="EQ110" s="176" t="n"/>
      <c r="ER110" s="176" t="n"/>
      <c r="ES110" s="176" t="n"/>
      <c r="ET110" s="176" t="n"/>
      <c r="EU110" s="176" t="n"/>
      <c r="EV110" s="176" t="n"/>
      <c r="EW110" s="176" t="n"/>
      <c r="EX110" s="176" t="n"/>
      <c r="EY110" s="176" t="n"/>
      <c r="EZ110" s="176" t="n"/>
      <c r="FA110" s="176" t="n"/>
      <c r="FB110" s="176" t="n"/>
      <c r="FC110" s="176" t="n"/>
      <c r="FD110" s="176" t="n"/>
      <c r="FE110" s="176" t="n"/>
      <c r="FF110" s="176" t="n"/>
      <c r="FG110" s="176" t="n"/>
      <c r="FH110" s="176" t="n"/>
      <c r="FI110" s="176" t="n"/>
      <c r="FJ110" s="176" t="n"/>
      <c r="FK110" s="176" t="n"/>
      <c r="FL110" s="176" t="n"/>
      <c r="FM110" s="176" t="n"/>
    </row>
    <row r="111" ht="15" customHeight="1" s="392">
      <c r="A111" s="176" t="n"/>
      <c r="B111" s="180" t="n"/>
      <c r="C111" s="183" t="inlineStr">
        <is>
          <t xml:space="preserve">        EBIT (Normalized)</t>
        </is>
      </c>
      <c r="D111" s="190">
        <f>IF(COUNT(M111:EN111)&gt;0,MEDIAN(M111:EN111),"")</f>
        <v/>
      </c>
      <c r="E111" s="190">
        <f>IF(COUNT(M111:EN111)&gt;0,AVERAGE(M111:EN111),"")</f>
        <v/>
      </c>
      <c r="F111" s="190">
        <f>IF(COUNT(M111:EN111)&gt;0,MIN(M111:EN111),"")</f>
        <v/>
      </c>
      <c r="G111" s="190">
        <f>IF(COUNT(M111:EN111)&gt;0,MAX(M111:EN111),"")</f>
        <v/>
      </c>
      <c r="H111" s="190">
        <f>IF(COUNT(M111:EN111)&gt;0,QUARTILE(M111:EN111,1),"")</f>
        <v/>
      </c>
      <c r="I111" s="190">
        <f>IF(COUNT(M111:EN111)&gt;0,QUARTILE(M111:EN111,3),"")</f>
        <v/>
      </c>
      <c r="J111" s="190">
        <f>IF(COUNT(M111:EN111)&gt;1,STDEV(M111:EN111),"")</f>
        <v/>
      </c>
      <c r="K111" s="191">
        <f>IF(COUNT(M111:EN111)&gt;1,STDEV(M111:EN111)/AVERAGE(M111:EN111),"")</f>
        <v/>
      </c>
      <c r="M111" s="192" t="n">
        <v>374363</v>
      </c>
      <c r="N111" s="192" t="n">
        <v>474623</v>
      </c>
      <c r="O111" s="192" t="n">
        <v>402207</v>
      </c>
      <c r="P111" s="192" t="n">
        <v>441809</v>
      </c>
      <c r="Q111" s="192" t="n">
        <v>424983</v>
      </c>
      <c r="R111" s="192" t="n">
        <v>468354</v>
      </c>
      <c r="S111" s="192" t="n">
        <v>431560</v>
      </c>
      <c r="T111" s="192" t="n">
        <v>416053</v>
      </c>
      <c r="U111" s="192" t="n">
        <v>373256</v>
      </c>
      <c r="V111" s="192" t="n">
        <v>443714</v>
      </c>
      <c r="W111" s="192" t="n">
        <v>386235</v>
      </c>
      <c r="X111" s="192" t="n">
        <v>398571</v>
      </c>
      <c r="Y111" s="192" t="n">
        <v>402932</v>
      </c>
      <c r="Z111" s="192" t="n">
        <v>432416</v>
      </c>
      <c r="AA111" s="192" t="n">
        <v>372119</v>
      </c>
      <c r="AB111" s="192" t="n">
        <v>318760</v>
      </c>
      <c r="AC111" s="192" t="n">
        <v>333257</v>
      </c>
      <c r="AD111" s="192" t="n">
        <v>383390</v>
      </c>
      <c r="AE111" s="192" t="n">
        <v>355835</v>
      </c>
      <c r="AF111" s="192" t="n">
        <v>339945</v>
      </c>
      <c r="AG111" s="192" t="n">
        <v>317618</v>
      </c>
      <c r="AH111" s="192" t="n">
        <v>338136</v>
      </c>
      <c r="AI111" s="192" t="n">
        <v>266251</v>
      </c>
      <c r="AJ111" s="192" t="n">
        <v>259530</v>
      </c>
      <c r="AK111" s="192" t="n">
        <v>212611</v>
      </c>
      <c r="AL111" s="192" t="n">
        <v>202503</v>
      </c>
      <c r="AM111" s="192" t="n">
        <v>214636</v>
      </c>
      <c r="AN111" s="192" t="n">
        <v>211369</v>
      </c>
      <c r="AO111" s="192" t="n">
        <v>197850</v>
      </c>
      <c r="AP111" s="192" t="n">
        <v>215000</v>
      </c>
      <c r="AQ111" s="192" t="n">
        <v>171662</v>
      </c>
      <c r="AR111" s="192" t="n">
        <v>158396</v>
      </c>
      <c r="AS111" s="192" t="n">
        <v>143020</v>
      </c>
      <c r="AT111" s="192" t="n">
        <v>180696</v>
      </c>
      <c r="AU111" s="192" t="n">
        <v>156170</v>
      </c>
      <c r="AV111" s="192" t="n">
        <v>129292</v>
      </c>
      <c r="AW111" s="192" t="n">
        <v>136765</v>
      </c>
      <c r="AX111" s="192" t="n">
        <v>141556</v>
      </c>
      <c r="AY111" s="192" t="n">
        <v>111262</v>
      </c>
      <c r="AZ111" s="192" t="n">
        <v>113279</v>
      </c>
      <c r="BA111" s="192" t="n">
        <v>117406</v>
      </c>
      <c r="BB111" s="192" t="n">
        <v>126939</v>
      </c>
      <c r="BC111" s="192" t="n">
        <v>101860</v>
      </c>
      <c r="BD111" s="192" t="n">
        <v>92627</v>
      </c>
      <c r="BE111" s="192" t="n">
        <v>91499</v>
      </c>
      <c r="BF111" s="192" t="n">
        <v>98094</v>
      </c>
      <c r="BG111" s="192" t="n">
        <v>88917</v>
      </c>
      <c r="BH111" s="192" t="n">
        <v>88099</v>
      </c>
      <c r="BI111" s="192" t="n">
        <v>81007</v>
      </c>
      <c r="BJ111" s="192" t="n">
        <v>99115</v>
      </c>
      <c r="BK111" s="192" t="n">
        <v>77357</v>
      </c>
      <c r="BL111" s="192" t="n">
        <v>70575</v>
      </c>
      <c r="BM111" s="192" t="n">
        <v>69364</v>
      </c>
      <c r="BN111" s="192" t="n">
        <v>88417</v>
      </c>
      <c r="BO111" s="192" t="n">
        <v>68281</v>
      </c>
      <c r="BP111" s="192" t="n">
        <v>79034</v>
      </c>
      <c r="BQ111" s="192" t="n">
        <v>77097</v>
      </c>
      <c r="BR111" s="192" t="n">
        <v>92456</v>
      </c>
      <c r="BS111" s="192" t="n">
        <v>79209</v>
      </c>
      <c r="BT111" s="192" t="n">
        <v>70697</v>
      </c>
      <c r="BU111" s="192" t="n">
        <v>68957</v>
      </c>
      <c r="BV111" s="192" t="n">
        <v>86941</v>
      </c>
      <c r="BW111" s="192" t="n">
        <v>65658</v>
      </c>
      <c r="BX111" s="192" t="n">
        <v>66007</v>
      </c>
      <c r="BY111" s="192" t="n">
        <v>60568</v>
      </c>
      <c r="BZ111" s="192" t="n">
        <v>78493</v>
      </c>
      <c r="CA111" s="192" t="n">
        <v>57669</v>
      </c>
      <c r="CB111" s="192" t="n">
        <v>61390</v>
      </c>
      <c r="CC111" s="192" t="n">
        <v>64524</v>
      </c>
      <c r="CD111" s="192" t="n">
        <v>63415</v>
      </c>
      <c r="CE111" s="192" t="n">
        <v>43771</v>
      </c>
      <c r="CF111" s="192" t="n">
        <v>61320</v>
      </c>
      <c r="CG111" s="192" t="n">
        <v>68022</v>
      </c>
      <c r="CH111" s="192" t="n">
        <v>70874</v>
      </c>
      <c r="CI111" s="192" t="n">
        <v>50589</v>
      </c>
      <c r="CJ111" s="192" t="n">
        <v>60166</v>
      </c>
      <c r="CK111" s="192" t="n">
        <v>58350</v>
      </c>
      <c r="CL111" s="192" t="n">
        <v>62025</v>
      </c>
      <c r="CM111" s="192" t="n">
        <v>48692</v>
      </c>
      <c r="CN111" s="192" t="n">
        <v>48355</v>
      </c>
      <c r="CO111" s="192" t="n">
        <v>45701</v>
      </c>
      <c r="CP111" s="192" t="n">
        <v>53689</v>
      </c>
      <c r="CQ111" s="192" t="n">
        <v>38724</v>
      </c>
      <c r="CR111" s="192" t="n">
        <v>36412</v>
      </c>
      <c r="CS111" s="192" t="n">
        <v>40040</v>
      </c>
      <c r="CT111" s="192" t="n">
        <v>49371</v>
      </c>
      <c r="CU111" s="192" t="n">
        <v>38343</v>
      </c>
      <c r="CV111" s="192" t="n">
        <v>37042</v>
      </c>
      <c r="CW111" s="192" t="n">
        <v>35269</v>
      </c>
      <c r="CX111" s="192" t="n">
        <v>40555</v>
      </c>
      <c r="CY111" s="192" t="n">
        <v>28708</v>
      </c>
      <c r="CZ111" s="192" t="n">
        <v>25191.9</v>
      </c>
      <c r="DA111" s="192" t="n">
        <v>21863.1</v>
      </c>
      <c r="DB111" s="192" t="n">
        <v>25480.8</v>
      </c>
      <c r="DC111" s="192" t="n">
        <v>22514.7</v>
      </c>
      <c r="DD111" s="192" t="n">
        <v>24308.3</v>
      </c>
      <c r="DE111" s="192" t="n">
        <v>25504.3</v>
      </c>
      <c r="DF111" s="192" t="n">
        <v>26992.5</v>
      </c>
      <c r="DG111" s="192" t="n">
        <v>20072.7</v>
      </c>
      <c r="DH111" s="192" t="n">
        <v>21087.9</v>
      </c>
      <c r="DI111" s="192" t="n">
        <v>21697.1</v>
      </c>
      <c r="DJ111" s="192" t="n">
        <v>19270.4</v>
      </c>
      <c r="DK111" s="192" t="n">
        <v>15453.2</v>
      </c>
      <c r="DL111" s="192" t="n">
        <v>14623</v>
      </c>
      <c r="DM111" s="192" t="n">
        <v>13393.6</v>
      </c>
      <c r="DN111" s="192" t="n">
        <v>13549.6</v>
      </c>
      <c r="DO111" s="192" t="n">
        <v>10800</v>
      </c>
      <c r="DP111" s="192" t="n">
        <v>10300</v>
      </c>
      <c r="DQ111" s="192" t="n">
        <v>10400</v>
      </c>
      <c r="DR111" s="192" t="n">
        <v>10100</v>
      </c>
      <c r="DS111" s="192" t="n">
        <v>7800</v>
      </c>
      <c r="DT111" s="192" t="n">
        <v>6900</v>
      </c>
      <c r="DU111" s="192" t="n">
        <v>7000</v>
      </c>
      <c r="DV111" s="192" t="n">
        <v>7100</v>
      </c>
      <c r="DW111" s="192" t="n">
        <v>5700</v>
      </c>
      <c r="DX111" s="192" t="n">
        <v>5100</v>
      </c>
      <c r="DY111" s="192" t="n">
        <v>5100</v>
      </c>
      <c r="DZ111" s="192" t="n">
        <v>5500</v>
      </c>
      <c r="EA111" s="192" t="n">
        <v>5000</v>
      </c>
      <c r="EB111" s="192" t="n">
        <v>3800</v>
      </c>
      <c r="EC111" s="192" t="n">
        <v>4200</v>
      </c>
      <c r="ED111" s="192" t="n">
        <v>4700</v>
      </c>
      <c r="EE111" s="192" t="n">
        <v>5000</v>
      </c>
      <c r="EF111" s="192" t="n">
        <v>4300</v>
      </c>
      <c r="EG111" s="192" t="n">
        <v>3600</v>
      </c>
      <c r="EH111" s="192" t="n">
        <v>3200</v>
      </c>
      <c r="EI111" s="192" t="n">
        <v>2600</v>
      </c>
      <c r="EJ111" s="192" t="n">
        <v>2100</v>
      </c>
      <c r="EK111" s="192" t="n">
        <v>4700</v>
      </c>
      <c r="EL111" s="192" t="n">
        <v>1000</v>
      </c>
      <c r="EM111" s="192" t="n"/>
      <c r="EN111" s="192" t="n"/>
      <c r="EO111" s="182" t="n"/>
      <c r="EP111" s="176" t="n"/>
      <c r="EQ111" s="176" t="n"/>
      <c r="ER111" s="176" t="n"/>
      <c r="ES111" s="176" t="n"/>
      <c r="ET111" s="176" t="n"/>
      <c r="EU111" s="176" t="n"/>
      <c r="EV111" s="176" t="n"/>
      <c r="EW111" s="176" t="n"/>
      <c r="EX111" s="176" t="n"/>
      <c r="EY111" s="176" t="n"/>
      <c r="EZ111" s="176" t="n"/>
      <c r="FA111" s="176" t="n"/>
      <c r="FB111" s="176" t="n"/>
      <c r="FC111" s="176" t="n"/>
      <c r="FD111" s="176" t="n"/>
      <c r="FE111" s="176" t="n"/>
      <c r="FF111" s="176" t="n"/>
      <c r="FG111" s="176" t="n"/>
      <c r="FH111" s="176" t="n"/>
      <c r="FI111" s="176" t="n"/>
      <c r="FJ111" s="176" t="n"/>
      <c r="FK111" s="176" t="n"/>
      <c r="FL111" s="176" t="n"/>
      <c r="FM111" s="176" t="n"/>
    </row>
    <row r="112" ht="15" customHeight="1" s="392">
      <c r="A112" s="176" t="n"/>
      <c r="B112" s="180" t="n"/>
      <c r="C112" s="183" t="inlineStr">
        <is>
          <t xml:space="preserve">        EBITDAR (Normalized)</t>
        </is>
      </c>
      <c r="D112" s="190">
        <f>IF(COUNT(M112:EN112)&gt;0,MEDIAN(M112:EN112),"")</f>
        <v/>
      </c>
      <c r="E112" s="190">
        <f>IF(COUNT(M112:EN112)&gt;0,AVERAGE(M112:EN112),"")</f>
        <v/>
      </c>
      <c r="F112" s="190">
        <f>IF(COUNT(M112:EN112)&gt;0,MIN(M112:EN112),"")</f>
        <v/>
      </c>
      <c r="G112" s="190">
        <f>IF(COUNT(M112:EN112)&gt;0,MAX(M112:EN112),"")</f>
        <v/>
      </c>
      <c r="H112" s="190">
        <f>IF(COUNT(M112:EN112)&gt;0,QUARTILE(M112:EN112,1),"")</f>
        <v/>
      </c>
      <c r="I112" s="190">
        <f>IF(COUNT(M112:EN112)&gt;0,QUARTILE(M112:EN112,3),"")</f>
        <v/>
      </c>
      <c r="J112" s="190">
        <f>IF(COUNT(M112:EN112)&gt;1,STDEV(M112:EN112),"")</f>
        <v/>
      </c>
      <c r="K112" s="191">
        <f>IF(COUNT(M112:EN112)&gt;1,STDEV(M112:EN112)/AVERAGE(M112:EN112),"")</f>
        <v/>
      </c>
      <c r="M112" s="192" t="n">
        <v>435324</v>
      </c>
      <c r="N112" s="192" t="n">
        <v>533709</v>
      </c>
      <c r="O112" s="192" t="n">
        <v>457721</v>
      </c>
      <c r="P112" s="192" t="n">
        <v>496008</v>
      </c>
      <c r="Q112" s="192" t="n">
        <v>479125</v>
      </c>
      <c r="R112" s="192" t="n">
        <v>522874</v>
      </c>
      <c r="S112" s="192" t="n">
        <v>485820</v>
      </c>
      <c r="T112" s="192" t="n">
        <v>470915</v>
      </c>
      <c r="U112" s="192" t="n">
        <v>424334</v>
      </c>
      <c r="V112" s="192" t="n">
        <v>494407</v>
      </c>
      <c r="W112" s="192" t="n">
        <v>431435</v>
      </c>
      <c r="X112" s="192" t="n">
        <v>441671</v>
      </c>
      <c r="Y112" s="192" t="n">
        <v>447296</v>
      </c>
      <c r="Z112" s="192" t="n">
        <v>469642</v>
      </c>
      <c r="AA112" s="192" t="n">
        <v>410519</v>
      </c>
      <c r="AB112" s="192" t="n">
        <v>357860</v>
      </c>
      <c r="AC112" s="192" t="n">
        <v>369657</v>
      </c>
      <c r="AD112" s="192" t="n">
        <v>419990</v>
      </c>
      <c r="AE112" s="192" t="n">
        <v>389035</v>
      </c>
      <c r="AF112" s="192" t="n">
        <v>371645</v>
      </c>
      <c r="AG112" s="192" t="n">
        <v>347218</v>
      </c>
      <c r="AH112" s="192" t="n">
        <v>370136</v>
      </c>
      <c r="AI112" s="192" t="n">
        <v>297751</v>
      </c>
      <c r="AJ112" s="192" t="n">
        <v>288430</v>
      </c>
      <c r="AK112" s="192" t="n">
        <v>240011</v>
      </c>
      <c r="AL112" s="192" t="n">
        <v>229203</v>
      </c>
      <c r="AM112" s="192" t="n">
        <v>238936</v>
      </c>
      <c r="AN112" s="192" t="n">
        <v>234369</v>
      </c>
      <c r="AO112" s="192" t="n">
        <v>219475</v>
      </c>
      <c r="AP112" s="192" t="n">
        <v>236222</v>
      </c>
      <c r="AQ112" s="192" t="n">
        <v>192171</v>
      </c>
      <c r="AR112" s="192" t="n">
        <v>180374</v>
      </c>
      <c r="AS112" s="192" t="n">
        <v>171174</v>
      </c>
      <c r="AT112" s="192" t="n">
        <v>197269</v>
      </c>
      <c r="AU112" s="192" t="n">
        <v>174041</v>
      </c>
      <c r="AV112" s="192" t="n">
        <v>145304</v>
      </c>
      <c r="AW112" s="192" t="n">
        <v>150255</v>
      </c>
      <c r="AX112" s="192" t="n">
        <v>155361</v>
      </c>
      <c r="AY112" s="192" t="n">
        <v>126588</v>
      </c>
      <c r="AZ112" s="192" t="n">
        <v>128099</v>
      </c>
      <c r="BA112" s="192" t="n">
        <v>131149</v>
      </c>
      <c r="BB112" s="192" t="n">
        <v>139545</v>
      </c>
      <c r="BC112" s="192" t="n">
        <v>113592</v>
      </c>
      <c r="BD112" s="192" t="n">
        <v>104189</v>
      </c>
      <c r="BE112" s="192" t="n">
        <v>102813</v>
      </c>
      <c r="BF112" s="192" t="n">
        <v>110306</v>
      </c>
      <c r="BG112" s="192" t="n">
        <v>100317</v>
      </c>
      <c r="BH112" s="192" t="n">
        <v>102066</v>
      </c>
      <c r="BI112" s="192" t="n">
        <v>94384</v>
      </c>
      <c r="BJ112" s="192" t="n">
        <v>111884</v>
      </c>
      <c r="BK112" s="192" t="n">
        <v>90433</v>
      </c>
      <c r="BL112" s="192" t="n">
        <v>85079</v>
      </c>
      <c r="BM112" s="192" t="n">
        <v>83844</v>
      </c>
      <c r="BN112" s="192" t="n">
        <v>103214</v>
      </c>
      <c r="BO112" s="192" t="n">
        <v>82893</v>
      </c>
      <c r="BP112" s="192" t="n">
        <v>91873</v>
      </c>
      <c r="BQ112" s="192" t="n">
        <v>88948</v>
      </c>
      <c r="BR112" s="192" t="n">
        <v>104525</v>
      </c>
      <c r="BS112" s="192" t="n">
        <v>91429</v>
      </c>
      <c r="BT112" s="192" t="n">
        <v>82724</v>
      </c>
      <c r="BU112" s="192" t="n">
        <v>80288</v>
      </c>
      <c r="BV112" s="192" t="n">
        <v>98215</v>
      </c>
      <c r="BW112" s="192" t="n">
        <v>77025</v>
      </c>
      <c r="BX112" s="192" t="n">
        <v>77729</v>
      </c>
      <c r="BY112" s="192" t="n">
        <v>71719</v>
      </c>
      <c r="BZ112" s="192" t="n">
        <v>89506</v>
      </c>
      <c r="CA112" s="192" t="n">
        <v>68133</v>
      </c>
      <c r="CB112" s="192" t="n">
        <v>72004</v>
      </c>
      <c r="CC112" s="192" t="n">
        <v>74582</v>
      </c>
      <c r="CD112" s="192" t="n">
        <v>73877</v>
      </c>
      <c r="CE112" s="192" t="n">
        <v>53896</v>
      </c>
      <c r="CF112" s="192" t="n">
        <v>72029</v>
      </c>
      <c r="CG112" s="192" t="n">
        <v>79070</v>
      </c>
      <c r="CH112" s="192" t="n">
        <v>80544</v>
      </c>
      <c r="CI112" s="192" t="n">
        <v>61671</v>
      </c>
      <c r="CJ112" s="192" t="n">
        <v>71170</v>
      </c>
      <c r="CK112" s="192" t="n">
        <v>68679</v>
      </c>
      <c r="CL112" s="192" t="n">
        <v>71246</v>
      </c>
      <c r="CM112" s="192" t="n">
        <v>57491</v>
      </c>
      <c r="CN112" s="192" t="n">
        <v>57095</v>
      </c>
      <c r="CO112" s="192" t="n">
        <v>54237</v>
      </c>
      <c r="CP112" s="192" t="n">
        <v>61792</v>
      </c>
      <c r="CQ112" s="192" t="n">
        <v>46432</v>
      </c>
      <c r="CR112" s="192" t="n">
        <v>43521</v>
      </c>
      <c r="CS112" s="192" t="n">
        <v>46252</v>
      </c>
      <c r="CT112" s="192" t="n">
        <v>58591</v>
      </c>
      <c r="CU112" s="192" t="n">
        <v>45772</v>
      </c>
      <c r="CV112" s="192" t="n">
        <v>44647</v>
      </c>
      <c r="CW112" s="192" t="n">
        <v>41785</v>
      </c>
      <c r="CX112" s="192" t="n">
        <v>48207</v>
      </c>
      <c r="CY112" s="192" t="n">
        <v>36789.4</v>
      </c>
      <c r="CZ112" s="192" t="n">
        <v>32591.5</v>
      </c>
      <c r="DA112" s="192" t="n">
        <v>29015.8</v>
      </c>
      <c r="DB112" s="192" t="n">
        <v>31879.1</v>
      </c>
      <c r="DC112" s="192" t="n">
        <v>28877.9</v>
      </c>
      <c r="DD112" s="192" t="n">
        <v>29939.1</v>
      </c>
      <c r="DE112" s="192" t="n">
        <v>30411.1</v>
      </c>
      <c r="DF112" s="192" t="n">
        <v>31233.5</v>
      </c>
      <c r="DG112" s="192" t="n">
        <v>23759.3</v>
      </c>
      <c r="DH112" s="192" t="n">
        <v>24561.7</v>
      </c>
      <c r="DI112" s="192" t="n">
        <v>25613.8</v>
      </c>
      <c r="DJ112" s="192" t="n">
        <v>22873.7</v>
      </c>
      <c r="DK112" s="192" t="n">
        <v>18913.1</v>
      </c>
      <c r="DL112" s="192" t="n">
        <v>17993.1</v>
      </c>
      <c r="DM112" s="192" t="n">
        <v>16466.5</v>
      </c>
      <c r="DN112" s="192" t="n">
        <v>16455.7</v>
      </c>
      <c r="DO112" s="192" t="n">
        <v>13500</v>
      </c>
      <c r="DP112" s="192" t="n">
        <v>13100</v>
      </c>
      <c r="DQ112" s="192" t="n">
        <v>13000</v>
      </c>
      <c r="DR112" s="192" t="n">
        <v>12600</v>
      </c>
      <c r="DS112" s="192" t="n">
        <v>10200</v>
      </c>
      <c r="DT112" s="192" t="n">
        <v>9200</v>
      </c>
      <c r="DU112" s="192" t="n">
        <v>9000</v>
      </c>
      <c r="DV112" s="192" t="n">
        <v>9000</v>
      </c>
      <c r="DW112" s="192" t="n">
        <v>7700</v>
      </c>
      <c r="DX112" s="192" t="n">
        <v>7000</v>
      </c>
      <c r="DY112" s="192" t="n">
        <v>7100</v>
      </c>
      <c r="DZ112" s="192" t="n">
        <v>7400</v>
      </c>
      <c r="EA112" s="192" t="n">
        <v>6800</v>
      </c>
      <c r="EB112" s="192" t="n">
        <v>5600</v>
      </c>
      <c r="EC112" s="192" t="n">
        <v>5800</v>
      </c>
      <c r="ED112" s="192" t="n">
        <v>6300</v>
      </c>
      <c r="EE112" s="192" t="n">
        <v>6400</v>
      </c>
      <c r="EF112" s="192" t="n">
        <v>5700</v>
      </c>
      <c r="EG112" s="192" t="n">
        <v>5000</v>
      </c>
      <c r="EH112" s="192" t="n">
        <v>3900</v>
      </c>
      <c r="EI112" s="192" t="n">
        <v>3300</v>
      </c>
      <c r="EJ112" s="192" t="n">
        <v>2700</v>
      </c>
      <c r="EK112" s="192" t="n">
        <v>4700</v>
      </c>
      <c r="EL112" s="192" t="n">
        <v>2300</v>
      </c>
      <c r="EM112" s="192" t="n"/>
      <c r="EN112" s="192" t="n"/>
      <c r="EO112" s="182" t="n"/>
      <c r="EP112" s="176" t="n"/>
      <c r="EQ112" s="176" t="n"/>
      <c r="ER112" s="176" t="n"/>
      <c r="ES112" s="176" t="n"/>
      <c r="ET112" s="176" t="n"/>
      <c r="EU112" s="176" t="n"/>
      <c r="EV112" s="176" t="n"/>
      <c r="EW112" s="176" t="n"/>
      <c r="EX112" s="176" t="n"/>
      <c r="EY112" s="176" t="n"/>
      <c r="EZ112" s="176" t="n"/>
      <c r="FA112" s="176" t="n"/>
      <c r="FB112" s="176" t="n"/>
      <c r="FC112" s="176" t="n"/>
      <c r="FD112" s="176" t="n"/>
      <c r="FE112" s="176" t="n"/>
      <c r="FF112" s="176" t="n"/>
      <c r="FG112" s="176" t="n"/>
      <c r="FH112" s="176" t="n"/>
      <c r="FI112" s="176" t="n"/>
      <c r="FJ112" s="176" t="n"/>
      <c r="FK112" s="176" t="n"/>
      <c r="FL112" s="176" t="n"/>
      <c r="FM112" s="176" t="n"/>
    </row>
    <row r="113" ht="15" customHeight="1" s="392">
      <c r="A113" s="176" t="n"/>
      <c r="B113" s="180" t="n"/>
      <c r="C113" s="183" t="inlineStr">
        <is>
          <t xml:space="preserve">        Net Income (Normalized)</t>
        </is>
      </c>
      <c r="D113" s="190">
        <f>IF(COUNT(M113:EN113)&gt;0,MEDIAN(M113:EN113),"")</f>
        <v/>
      </c>
      <c r="E113" s="190">
        <f>IF(COUNT(M113:EN113)&gt;0,AVERAGE(M113:EN113),"")</f>
        <v/>
      </c>
      <c r="F113" s="190">
        <f>IF(COUNT(M113:EN113)&gt;0,MIN(M113:EN113),"")</f>
        <v/>
      </c>
      <c r="G113" s="190">
        <f>IF(COUNT(M113:EN113)&gt;0,MAX(M113:EN113),"")</f>
        <v/>
      </c>
      <c r="H113" s="190">
        <f>IF(COUNT(M113:EN113)&gt;0,QUARTILE(M113:EN113,1),"")</f>
        <v/>
      </c>
      <c r="I113" s="190">
        <f>IF(COUNT(M113:EN113)&gt;0,QUARTILE(M113:EN113,3),"")</f>
        <v/>
      </c>
      <c r="J113" s="190">
        <f>IF(COUNT(M113:EN113)&gt;1,STDEV(M113:EN113),"")</f>
        <v/>
      </c>
      <c r="K113" s="191">
        <f>IF(COUNT(M113:EN113)&gt;1,STDEV(M113:EN113)/AVERAGE(M113:EN113),"")</f>
        <v/>
      </c>
      <c r="M113" s="192" t="n">
        <v>334313.04878543</v>
      </c>
      <c r="N113" s="192" t="n">
        <v>410460.225272559</v>
      </c>
      <c r="O113" s="192" t="n">
        <v>358810.421513256</v>
      </c>
      <c r="P113" s="192" t="n">
        <v>408975.766</v>
      </c>
      <c r="Q113" s="192" t="n">
        <v>392344.892175716</v>
      </c>
      <c r="R113" s="192" t="n">
        <v>412048.756</v>
      </c>
      <c r="S113" s="192" t="n">
        <v>394269.76</v>
      </c>
      <c r="T113" s="192" t="n">
        <v>369401.6</v>
      </c>
      <c r="U113" s="192" t="n">
        <v>328743.402125716</v>
      </c>
      <c r="V113" s="192" t="n">
        <v>388436.38</v>
      </c>
      <c r="W113" s="192" t="n">
        <v>333001.896</v>
      </c>
      <c r="X113" s="192" t="n">
        <v>338243.862</v>
      </c>
      <c r="Y113" s="192" t="n">
        <v>330426</v>
      </c>
      <c r="Z113" s="192" t="n">
        <v>346061</v>
      </c>
      <c r="AA113" s="192" t="n">
        <v>293562</v>
      </c>
      <c r="AB113" s="192" t="n">
        <v>245223</v>
      </c>
      <c r="AC113" s="192" t="n">
        <v>271587</v>
      </c>
      <c r="AD113" s="192" t="n">
        <v>281468</v>
      </c>
      <c r="AE113" s="192" t="n">
        <v>265957</v>
      </c>
      <c r="AF113" s="192" t="n">
        <v>257376</v>
      </c>
      <c r="AG113" s="192" t="n">
        <v>247725</v>
      </c>
      <c r="AH113" s="192" t="n">
        <v>262122</v>
      </c>
      <c r="AI113" s="192" t="n">
        <v>191273</v>
      </c>
      <c r="AJ113" s="192" t="n">
        <v>188512</v>
      </c>
      <c r="AK113" s="192" t="n">
        <v>163419</v>
      </c>
      <c r="AL113" s="192" t="n">
        <v>138229</v>
      </c>
      <c r="AM113" s="192" t="n">
        <v>153462</v>
      </c>
      <c r="AN113" s="192" t="n">
        <v>155411</v>
      </c>
      <c r="AO113" s="192" t="n">
        <v>142515</v>
      </c>
      <c r="AP113" s="192" t="n">
        <v>154886</v>
      </c>
      <c r="AQ113" s="192" t="n">
        <v>124872</v>
      </c>
      <c r="AR113" s="192" t="n">
        <v>113563</v>
      </c>
      <c r="AS113" s="192" t="n">
        <v>102610</v>
      </c>
      <c r="AT113" s="192" t="n">
        <v>125002</v>
      </c>
      <c r="AU113" s="192" t="n">
        <v>111428</v>
      </c>
      <c r="AV113" s="192" t="n">
        <v>77050</v>
      </c>
      <c r="AW113" s="192" t="n">
        <v>82432</v>
      </c>
      <c r="AX113" s="192" t="n">
        <v>86372</v>
      </c>
      <c r="AY113" s="192" t="n">
        <v>67439</v>
      </c>
      <c r="AZ113" s="192" t="n">
        <v>66345</v>
      </c>
      <c r="BA113" s="192" t="n">
        <v>69007</v>
      </c>
      <c r="BB113" s="192" t="n">
        <v>74483</v>
      </c>
      <c r="BC113" s="192" t="n">
        <v>55472</v>
      </c>
      <c r="BD113" s="192" t="n">
        <v>51901</v>
      </c>
      <c r="BE113" s="192" t="n">
        <v>59022</v>
      </c>
      <c r="BF113" s="192" t="n">
        <v>60263.584</v>
      </c>
      <c r="BG113" s="192" t="n">
        <v>55001.816</v>
      </c>
      <c r="BH113" s="192" t="n">
        <v>55242.2</v>
      </c>
      <c r="BI113" s="192" t="n">
        <v>54547.0075794489</v>
      </c>
      <c r="BJ113" s="192" t="n">
        <v>64738.258</v>
      </c>
      <c r="BK113" s="192" t="n">
        <v>48364.326</v>
      </c>
      <c r="BL113" s="192" t="n">
        <v>44126.485</v>
      </c>
      <c r="BM113" s="192" t="n">
        <v>44523.9604903317</v>
      </c>
      <c r="BN113" s="192" t="n">
        <v>55839.788</v>
      </c>
      <c r="BO113" s="192" t="n">
        <v>42733.783</v>
      </c>
      <c r="BP113" s="192" t="n">
        <v>49025.8</v>
      </c>
      <c r="BQ113" s="192" t="n">
        <v>49289.923708468</v>
      </c>
      <c r="BR113" s="192" t="n">
        <v>58737.224</v>
      </c>
      <c r="BS113" s="192" t="n">
        <v>49796.587</v>
      </c>
      <c r="BT113" s="192" t="n">
        <v>44216.3947034396</v>
      </c>
      <c r="BU113" s="192" t="n">
        <v>43509.4269842283</v>
      </c>
      <c r="BV113" s="192" t="n">
        <v>53204.6851026758</v>
      </c>
      <c r="BW113" s="192" t="n">
        <v>40799.3969069618</v>
      </c>
      <c r="BX113" s="192" t="n">
        <v>41537.8431261739</v>
      </c>
      <c r="BY113" s="192" t="n">
        <v>38062.0485733107</v>
      </c>
      <c r="BZ113" s="192" t="n">
        <v>48666.2829682611</v>
      </c>
      <c r="CA113" s="192" t="n">
        <v>38783.3288761002</v>
      </c>
      <c r="CB113" s="192" t="n">
        <v>37907.8933253874</v>
      </c>
      <c r="CC113" s="192" t="n">
        <v>39629.1217005414</v>
      </c>
      <c r="CD113" s="192" t="n">
        <v>39281.8113390798</v>
      </c>
      <c r="CE113" s="192" t="n">
        <v>27150</v>
      </c>
      <c r="CF113" s="192" t="n">
        <v>37254</v>
      </c>
      <c r="CG113" s="192" t="n">
        <v>40821</v>
      </c>
      <c r="CH113" s="192" t="n">
        <v>46477</v>
      </c>
      <c r="CI113" s="192" t="n">
        <v>32026</v>
      </c>
      <c r="CJ113" s="192" t="n">
        <v>37610</v>
      </c>
      <c r="CK113" s="192" t="n">
        <v>36735</v>
      </c>
      <c r="CL113" s="192" t="n">
        <v>38867</v>
      </c>
      <c r="CM113" s="192" t="n">
        <v>30392</v>
      </c>
      <c r="CN113" s="192" t="n">
        <v>30345</v>
      </c>
      <c r="CO113" s="192" t="n">
        <v>30789</v>
      </c>
      <c r="CP113" s="192" t="n">
        <v>33180</v>
      </c>
      <c r="CQ113" s="192" t="n">
        <v>26118</v>
      </c>
      <c r="CR113" s="192" t="n">
        <v>22666</v>
      </c>
      <c r="CS113" s="192" t="n">
        <v>25097</v>
      </c>
      <c r="CT113" s="192" t="n">
        <v>30713</v>
      </c>
      <c r="CU113" s="192" t="n">
        <v>23466</v>
      </c>
      <c r="CV113" s="192" t="n">
        <v>22670</v>
      </c>
      <c r="CW113" s="192" t="n">
        <v>21221</v>
      </c>
      <c r="CX113" s="192" t="n">
        <v>24964</v>
      </c>
      <c r="CY113" s="192" t="n">
        <v>17368</v>
      </c>
      <c r="CZ113" s="192" t="n">
        <v>15241.1</v>
      </c>
      <c r="DA113" s="192" t="n">
        <v>13336.2</v>
      </c>
      <c r="DB113" s="192" t="n">
        <v>15422.8</v>
      </c>
      <c r="DC113" s="192" t="n">
        <v>13756.5</v>
      </c>
      <c r="DD113" s="192" t="n">
        <v>14706.5</v>
      </c>
      <c r="DE113" s="192" t="n">
        <v>15535.2</v>
      </c>
      <c r="DF113" s="192" t="n">
        <v>16600.4</v>
      </c>
      <c r="DG113" s="192" t="n">
        <v>12495.2</v>
      </c>
      <c r="DH113" s="192" t="n">
        <v>12758.2</v>
      </c>
      <c r="DI113" s="192" t="n">
        <v>12931.4</v>
      </c>
      <c r="DJ113" s="192" t="n">
        <v>11485.2</v>
      </c>
      <c r="DK113" s="192" t="n">
        <v>9349.200000000001</v>
      </c>
      <c r="DL113" s="192" t="n">
        <v>8919.200000000001</v>
      </c>
      <c r="DM113" s="192" t="n">
        <v>8162.2</v>
      </c>
      <c r="DN113" s="192" t="n">
        <v>8336.1</v>
      </c>
      <c r="DO113" s="192" t="n">
        <v>6600</v>
      </c>
      <c r="DP113" s="192" t="n">
        <v>6300</v>
      </c>
      <c r="DQ113" s="192" t="n">
        <v>6700</v>
      </c>
      <c r="DR113" s="192" t="n">
        <v>6300</v>
      </c>
      <c r="DS113" s="192" t="n">
        <v>4800</v>
      </c>
      <c r="DT113" s="192" t="n">
        <v>4200</v>
      </c>
      <c r="DU113" s="192" t="n">
        <v>4300</v>
      </c>
      <c r="DV113" s="192" t="n">
        <v>4300</v>
      </c>
      <c r="DW113" s="192" t="n">
        <v>3500</v>
      </c>
      <c r="DX113" s="192" t="n">
        <v>3100</v>
      </c>
      <c r="DY113" s="192" t="n">
        <v>3400</v>
      </c>
      <c r="DZ113" s="192" t="n">
        <v>3300</v>
      </c>
      <c r="EA113" s="192" t="n">
        <v>3000</v>
      </c>
      <c r="EB113" s="192" t="n">
        <v>2300</v>
      </c>
      <c r="EC113" s="192" t="n">
        <v>2800</v>
      </c>
      <c r="ED113" s="192" t="n">
        <v>2800</v>
      </c>
      <c r="EE113" s="192" t="n">
        <v>3000</v>
      </c>
      <c r="EF113" s="192" t="n">
        <v>2600</v>
      </c>
      <c r="EG113" s="192" t="n">
        <v>2200</v>
      </c>
      <c r="EH113" s="192" t="n">
        <v>1900</v>
      </c>
      <c r="EI113" s="192" t="n">
        <v>1600</v>
      </c>
      <c r="EJ113" s="192" t="n">
        <v>1300</v>
      </c>
      <c r="EK113" s="192" t="n">
        <v>2800</v>
      </c>
      <c r="EL113" s="192" t="n">
        <v>600</v>
      </c>
      <c r="EM113" s="192" t="n">
        <v>-600</v>
      </c>
      <c r="EN113" s="192" t="n">
        <v>-600</v>
      </c>
      <c r="EO113" s="182" t="n"/>
      <c r="EP113" s="176" t="n"/>
      <c r="EQ113" s="176" t="n"/>
      <c r="ER113" s="176" t="n"/>
      <c r="ES113" s="176" t="n"/>
      <c r="ET113" s="176" t="n"/>
      <c r="EU113" s="176" t="n"/>
      <c r="EV113" s="176" t="n"/>
      <c r="EW113" s="176" t="n"/>
      <c r="EX113" s="176" t="n"/>
      <c r="EY113" s="176" t="n"/>
      <c r="EZ113" s="176" t="n"/>
      <c r="FA113" s="176" t="n"/>
      <c r="FB113" s="176" t="n"/>
      <c r="FC113" s="176" t="n"/>
      <c r="FD113" s="176" t="n"/>
      <c r="FE113" s="176" t="n"/>
      <c r="FF113" s="176" t="n"/>
      <c r="FG113" s="176" t="n"/>
      <c r="FH113" s="176" t="n"/>
      <c r="FI113" s="176" t="n"/>
      <c r="FJ113" s="176" t="n"/>
      <c r="FK113" s="176" t="n"/>
      <c r="FL113" s="176" t="n"/>
      <c r="FM113" s="176" t="n"/>
    </row>
    <row r="114" ht="15" customHeight="1" s="392">
      <c r="A114" s="176" t="n"/>
      <c r="B114" s="180" t="n"/>
      <c r="C114" s="183" t="inlineStr">
        <is>
          <t xml:space="preserve">    Analyst Normalized Profitability Metrics</t>
        </is>
      </c>
      <c r="D114" s="185" t="n"/>
      <c r="E114" s="185" t="n"/>
      <c r="F114" s="185" t="n"/>
      <c r="G114" s="185" t="n"/>
      <c r="H114" s="185" t="n"/>
      <c r="I114" s="185" t="n"/>
      <c r="J114" s="185" t="n"/>
      <c r="K114" s="185" t="n"/>
      <c r="EO114" s="182" t="n"/>
      <c r="EP114" s="176" t="n"/>
      <c r="EQ114" s="176" t="n"/>
      <c r="ER114" s="176" t="n"/>
      <c r="ES114" s="176" t="n"/>
      <c r="ET114" s="176" t="n"/>
      <c r="EU114" s="176" t="n"/>
      <c r="EV114" s="176" t="n"/>
      <c r="EW114" s="176" t="n"/>
      <c r="EX114" s="176" t="n"/>
      <c r="EY114" s="176" t="n"/>
      <c r="EZ114" s="176" t="n"/>
      <c r="FA114" s="176" t="n"/>
      <c r="FB114" s="176" t="n"/>
      <c r="FC114" s="176" t="n"/>
      <c r="FD114" s="176" t="n"/>
      <c r="FE114" s="176" t="n"/>
      <c r="FF114" s="176" t="n"/>
      <c r="FG114" s="176" t="n"/>
      <c r="FH114" s="176" t="n"/>
      <c r="FI114" s="176" t="n"/>
      <c r="FJ114" s="176" t="n"/>
      <c r="FK114" s="176" t="n"/>
      <c r="FL114" s="176" t="n"/>
      <c r="FM114" s="176" t="n"/>
    </row>
    <row r="115" ht="15" customHeight="1" s="392">
      <c r="A115" s="176" t="n"/>
      <c r="B115" s="180" t="n"/>
      <c r="C115" s="183" t="inlineStr">
        <is>
          <t xml:space="preserve">        EBITDA (Analyst Normalized)</t>
        </is>
      </c>
      <c r="D115" s="190">
        <f>IF(COUNT(M115:EN115)&gt;0,MEDIAN(M115:EN115),"")</f>
        <v/>
      </c>
      <c r="E115" s="190">
        <f>IF(COUNT(M115:EN115)&gt;0,AVERAGE(M115:EN115),"")</f>
        <v/>
      </c>
      <c r="F115" s="190">
        <f>IF(COUNT(M115:EN115)&gt;0,MIN(M115:EN115),"")</f>
        <v/>
      </c>
      <c r="G115" s="190">
        <f>IF(COUNT(M115:EN115)&gt;0,MAX(M115:EN115),"")</f>
        <v/>
      </c>
      <c r="H115" s="190">
        <f>IF(COUNT(M115:EN115)&gt;0,QUARTILE(M115:EN115,1),"")</f>
        <v/>
      </c>
      <c r="I115" s="190">
        <f>IF(COUNT(M115:EN115)&gt;0,QUARTILE(M115:EN115,3),"")</f>
        <v/>
      </c>
      <c r="J115" s="190">
        <f>IF(COUNT(M115:EN115)&gt;1,STDEV(M115:EN115),"")</f>
        <v/>
      </c>
      <c r="K115" s="191">
        <f>IF(COUNT(M115:EN115)&gt;1,STDEV(M115:EN115)/AVERAGE(M115:EN115),"")</f>
        <v/>
      </c>
      <c r="M115" s="192" t="n">
        <v>425519</v>
      </c>
      <c r="N115" s="192" t="n">
        <v>524246</v>
      </c>
      <c r="O115" s="192" t="n">
        <v>447490</v>
      </c>
      <c r="P115" s="192" t="n">
        <v>486689</v>
      </c>
      <c r="Q115" s="192" t="n">
        <v>470026</v>
      </c>
      <c r="R115" s="192" t="n">
        <v>513701</v>
      </c>
      <c r="S115" s="192" t="n">
        <v>476503</v>
      </c>
      <c r="T115" s="192" t="n">
        <v>460500</v>
      </c>
      <c r="U115" s="192" t="n">
        <v>411736</v>
      </c>
      <c r="V115" s="192" t="n">
        <v>485389</v>
      </c>
      <c r="W115" s="192" t="n">
        <v>422076</v>
      </c>
      <c r="X115" s="192" t="n">
        <v>433354</v>
      </c>
      <c r="Y115" s="192" t="n">
        <v>438027</v>
      </c>
      <c r="Z115" s="192" t="n">
        <v>459674</v>
      </c>
      <c r="AA115" s="192" t="n">
        <v>400275</v>
      </c>
      <c r="AB115" s="192" t="n">
        <v>347668</v>
      </c>
      <c r="AC115" s="192" t="n">
        <v>355453</v>
      </c>
      <c r="AD115" s="192" t="n">
        <v>415789</v>
      </c>
      <c r="AE115" s="192" t="n">
        <v>379373</v>
      </c>
      <c r="AF115" s="192" t="n">
        <v>362193</v>
      </c>
      <c r="AG115" s="192" t="n">
        <v>337098.17721519</v>
      </c>
      <c r="AH115" s="192" t="n">
        <v>361152.544303797</v>
      </c>
      <c r="AI115" s="192" t="n">
        <v>289187.265822785</v>
      </c>
      <c r="AJ115" s="192" t="n">
        <v>279276.493670886</v>
      </c>
      <c r="AK115" s="192" t="n">
        <v>233650</v>
      </c>
      <c r="AL115" s="192" t="n">
        <v>223158</v>
      </c>
      <c r="AM115" s="192" t="n">
        <v>232268.417721519</v>
      </c>
      <c r="AN115" s="192" t="n">
        <v>228503.088607595</v>
      </c>
      <c r="AO115" s="192" t="n">
        <v>213630</v>
      </c>
      <c r="AP115" s="192" t="n">
        <v>230666</v>
      </c>
      <c r="AQ115" s="192" t="n">
        <v>186171.113924051</v>
      </c>
      <c r="AR115" s="192" t="n">
        <v>173916.291139241</v>
      </c>
      <c r="AS115" s="192" t="n">
        <v>166713</v>
      </c>
      <c r="AT115" s="192" t="n">
        <v>191067</v>
      </c>
      <c r="AU115" s="192" t="n">
        <v>168049</v>
      </c>
      <c r="AV115" s="192" t="n">
        <v>139998</v>
      </c>
      <c r="AW115" s="192" t="n">
        <v>145960</v>
      </c>
      <c r="AX115" s="192" t="n">
        <v>150274</v>
      </c>
      <c r="AY115" s="192" t="n">
        <v>121068</v>
      </c>
      <c r="AZ115" s="192" t="n">
        <v>123014</v>
      </c>
      <c r="BA115" s="192" t="n">
        <v>126333</v>
      </c>
      <c r="BB115" s="192" t="n">
        <v>134405</v>
      </c>
      <c r="BC115" s="192" t="n">
        <v>108206</v>
      </c>
      <c r="BD115" s="192" t="n">
        <v>98775</v>
      </c>
      <c r="BE115" s="192" t="n">
        <v>97949</v>
      </c>
      <c r="BF115" s="192" t="n">
        <v>105429</v>
      </c>
      <c r="BG115" s="192" t="n">
        <v>95813</v>
      </c>
      <c r="BH115" s="192" t="n">
        <v>97700</v>
      </c>
      <c r="BI115" s="192" t="n">
        <v>89312</v>
      </c>
      <c r="BJ115" s="192" t="n">
        <v>105935</v>
      </c>
      <c r="BK115" s="192" t="n">
        <v>89161</v>
      </c>
      <c r="BL115" s="192" t="n">
        <v>83912</v>
      </c>
      <c r="BM115" s="192" t="n">
        <v>78998</v>
      </c>
      <c r="BN115" s="192" t="n">
        <v>99202</v>
      </c>
      <c r="BO115" s="192" t="n">
        <v>90026</v>
      </c>
      <c r="BP115" s="192" t="n"/>
      <c r="BQ115" s="192" t="n"/>
      <c r="BR115" s="192" t="n"/>
      <c r="BS115" s="192" t="n">
        <v>86121</v>
      </c>
      <c r="BT115" s="192" t="n">
        <v>79467</v>
      </c>
      <c r="BU115" s="192" t="n"/>
      <c r="BV115" s="192" t="n"/>
      <c r="BW115" s="192" t="n">
        <v>73354</v>
      </c>
      <c r="BX115" s="192" t="n">
        <v>73093</v>
      </c>
      <c r="BY115" s="192" t="n"/>
      <c r="BZ115" s="192" t="n">
        <v>85010</v>
      </c>
      <c r="CA115" s="192" t="n">
        <v>64594</v>
      </c>
      <c r="CB115" s="192" t="n">
        <v>67719</v>
      </c>
      <c r="CC115" s="192" t="n"/>
      <c r="CD115" s="192" t="n"/>
      <c r="CE115" s="192" t="n">
        <v>57096</v>
      </c>
      <c r="CF115" s="192" t="n"/>
      <c r="CG115" s="192" t="n">
        <v>79070</v>
      </c>
      <c r="CH115" s="192" t="n"/>
      <c r="CI115" s="192" t="n"/>
      <c r="CJ115" s="192" t="n"/>
      <c r="CK115" s="192" t="n"/>
      <c r="CL115" s="192" t="n"/>
      <c r="CM115" s="192" t="n"/>
      <c r="CN115" s="192" t="n">
        <v>57095</v>
      </c>
      <c r="CO115" s="192" t="n">
        <v>54237</v>
      </c>
      <c r="CP115" s="192" t="n">
        <v>61792</v>
      </c>
      <c r="CQ115" s="192" t="n">
        <v>46432</v>
      </c>
      <c r="CR115" s="192" t="n"/>
      <c r="CS115" s="192" t="n"/>
      <c r="CT115" s="192" t="n"/>
      <c r="CU115" s="192" t="n"/>
      <c r="CV115" s="192" t="n"/>
      <c r="CW115" s="192" t="n">
        <v>41785</v>
      </c>
      <c r="CX115" s="192" t="n"/>
      <c r="CY115" s="192" t="n"/>
      <c r="CZ115" s="192" t="n">
        <v>32591.5</v>
      </c>
      <c r="DA115" s="192" t="n"/>
      <c r="DB115" s="192" t="n"/>
      <c r="DC115" s="192" t="n"/>
      <c r="DD115" s="192" t="n"/>
      <c r="DE115" s="192" t="n"/>
      <c r="DF115" s="192" t="n"/>
      <c r="DG115" s="192" t="n"/>
      <c r="DH115" s="192" t="n"/>
      <c r="DI115" s="192" t="n"/>
      <c r="DJ115" s="192" t="n"/>
      <c r="DK115" s="192" t="n"/>
      <c r="DL115" s="192" t="n"/>
      <c r="DM115" s="192" t="n"/>
      <c r="DN115" s="192" t="n"/>
      <c r="DO115" s="192" t="n"/>
      <c r="DP115" s="192" t="n"/>
      <c r="DQ115" s="192" t="n"/>
      <c r="DR115" s="192" t="n"/>
      <c r="DS115" s="192" t="n"/>
      <c r="DT115" s="192" t="n"/>
      <c r="DU115" s="192" t="n"/>
      <c r="DV115" s="192" t="n"/>
      <c r="DW115" s="192" t="n"/>
      <c r="DX115" s="192" t="n"/>
      <c r="DY115" s="192" t="n"/>
      <c r="DZ115" s="192" t="n"/>
      <c r="EA115" s="192" t="n"/>
      <c r="EB115" s="192" t="n"/>
      <c r="EC115" s="192" t="n"/>
      <c r="ED115" s="192" t="n"/>
      <c r="EE115" s="192" t="n"/>
      <c r="EF115" s="192" t="n"/>
      <c r="EG115" s="192" t="n"/>
      <c r="EH115" s="192" t="n"/>
      <c r="EI115" s="192" t="n"/>
      <c r="EJ115" s="192" t="n"/>
      <c r="EK115" s="192" t="n"/>
      <c r="EL115" s="192" t="n"/>
      <c r="EM115" s="192" t="n"/>
      <c r="EN115" s="192" t="n"/>
      <c r="EO115" s="182" t="n"/>
      <c r="EP115" s="176" t="n"/>
      <c r="EQ115" s="176" t="n"/>
      <c r="ER115" s="176" t="n"/>
      <c r="ES115" s="176" t="n"/>
      <c r="ET115" s="176" t="n"/>
      <c r="EU115" s="176" t="n"/>
      <c r="EV115" s="176" t="n"/>
      <c r="EW115" s="176" t="n"/>
      <c r="EX115" s="176" t="n"/>
      <c r="EY115" s="176" t="n"/>
      <c r="EZ115" s="176" t="n"/>
      <c r="FA115" s="176" t="n"/>
      <c r="FB115" s="176" t="n"/>
      <c r="FC115" s="176" t="n"/>
      <c r="FD115" s="176" t="n"/>
      <c r="FE115" s="176" t="n"/>
      <c r="FF115" s="176" t="n"/>
      <c r="FG115" s="176" t="n"/>
      <c r="FH115" s="176" t="n"/>
      <c r="FI115" s="176" t="n"/>
      <c r="FJ115" s="176" t="n"/>
      <c r="FK115" s="176" t="n"/>
      <c r="FL115" s="176" t="n"/>
      <c r="FM115" s="176" t="n"/>
    </row>
    <row r="116" ht="15" customHeight="1" s="392">
      <c r="A116" s="176" t="n"/>
      <c r="B116" s="180" t="n"/>
      <c r="C116" s="183" t="inlineStr">
        <is>
          <t xml:space="preserve">        EBIT (Analyst Normalized)</t>
        </is>
      </c>
      <c r="D116" s="190">
        <f>IF(COUNT(M116:EN116)&gt;0,MEDIAN(M116:EN116),"")</f>
        <v/>
      </c>
      <c r="E116" s="190">
        <f>IF(COUNT(M116:EN116)&gt;0,AVERAGE(M116:EN116),"")</f>
        <v/>
      </c>
      <c r="F116" s="190">
        <f>IF(COUNT(M116:EN116)&gt;0,MIN(M116:EN116),"")</f>
        <v/>
      </c>
      <c r="G116" s="190">
        <f>IF(COUNT(M116:EN116)&gt;0,MAX(M116:EN116),"")</f>
        <v/>
      </c>
      <c r="H116" s="190">
        <f>IF(COUNT(M116:EN116)&gt;0,QUARTILE(M116:EN116,1),"")</f>
        <v/>
      </c>
      <c r="I116" s="190">
        <f>IF(COUNT(M116:EN116)&gt;0,QUARTILE(M116:EN116,3),"")</f>
        <v/>
      </c>
      <c r="J116" s="190">
        <f>IF(COUNT(M116:EN116)&gt;1,STDEV(M116:EN116),"")</f>
        <v/>
      </c>
      <c r="K116" s="191">
        <f>IF(COUNT(M116:EN116)&gt;1,STDEV(M116:EN116)/AVERAGE(M116:EN116),"")</f>
        <v/>
      </c>
      <c r="M116" s="192" t="n">
        <v>364558</v>
      </c>
      <c r="N116" s="192" t="n">
        <v>465160</v>
      </c>
      <c r="O116" s="192" t="n">
        <v>391976</v>
      </c>
      <c r="P116" s="192" t="n">
        <v>432490</v>
      </c>
      <c r="Q116" s="192" t="n">
        <v>415884</v>
      </c>
      <c r="R116" s="192" t="n">
        <v>459181</v>
      </c>
      <c r="S116" s="192" t="n">
        <v>422243</v>
      </c>
      <c r="T116" s="192" t="n">
        <v>405638</v>
      </c>
      <c r="U116" s="192" t="n">
        <v>360658</v>
      </c>
      <c r="V116" s="192" t="n">
        <v>434696</v>
      </c>
      <c r="W116" s="192" t="n">
        <v>376876</v>
      </c>
      <c r="X116" s="192" t="n">
        <v>390254</v>
      </c>
      <c r="Y116" s="192" t="n">
        <v>393663</v>
      </c>
      <c r="Z116" s="192" t="n">
        <v>422448</v>
      </c>
      <c r="AA116" s="192" t="n">
        <v>361875</v>
      </c>
      <c r="AB116" s="192" t="n">
        <v>308568</v>
      </c>
      <c r="AC116" s="192" t="n">
        <v>319053</v>
      </c>
      <c r="AD116" s="192" t="n">
        <v>379189</v>
      </c>
      <c r="AE116" s="192" t="n">
        <v>346173</v>
      </c>
      <c r="AF116" s="192" t="n">
        <v>330493</v>
      </c>
      <c r="AG116" s="192" t="n">
        <v>307498.17721519</v>
      </c>
      <c r="AH116" s="192" t="n">
        <v>329152.544303797</v>
      </c>
      <c r="AI116" s="192" t="n">
        <v>257687.265822785</v>
      </c>
      <c r="AJ116" s="192" t="n">
        <v>250376.493670886</v>
      </c>
      <c r="AK116" s="192" t="n">
        <v>206250</v>
      </c>
      <c r="AL116" s="192" t="n">
        <v>196458</v>
      </c>
      <c r="AM116" s="192" t="n">
        <v>207968.417721519</v>
      </c>
      <c r="AN116" s="192" t="n">
        <v>205503.088607595</v>
      </c>
      <c r="AO116" s="192" t="n">
        <v>192005</v>
      </c>
      <c r="AP116" s="192" t="n">
        <v>209444</v>
      </c>
      <c r="AQ116" s="192" t="n">
        <v>165662.113924051</v>
      </c>
      <c r="AR116" s="192" t="n">
        <v>151938.291139241</v>
      </c>
      <c r="AS116" s="192" t="n">
        <v>138559</v>
      </c>
      <c r="AT116" s="192" t="n">
        <v>174494</v>
      </c>
      <c r="AU116" s="192" t="n">
        <v>150178</v>
      </c>
      <c r="AV116" s="192" t="n">
        <v>123986</v>
      </c>
      <c r="AW116" s="192" t="n">
        <v>132470</v>
      </c>
      <c r="AX116" s="192" t="n">
        <v>136469</v>
      </c>
      <c r="AY116" s="192" t="n">
        <v>105742</v>
      </c>
      <c r="AZ116" s="192" t="n">
        <v>108194</v>
      </c>
      <c r="BA116" s="192" t="n">
        <v>112590</v>
      </c>
      <c r="BB116" s="192" t="n">
        <v>121799</v>
      </c>
      <c r="BC116" s="192" t="n">
        <v>96474</v>
      </c>
      <c r="BD116" s="192" t="n">
        <v>87213</v>
      </c>
      <c r="BE116" s="192" t="n">
        <v>86635</v>
      </c>
      <c r="BF116" s="192" t="n">
        <v>93217</v>
      </c>
      <c r="BG116" s="192" t="n">
        <v>84413</v>
      </c>
      <c r="BH116" s="192" t="n">
        <v>83733</v>
      </c>
      <c r="BI116" s="192" t="n">
        <v>75935</v>
      </c>
      <c r="BJ116" s="192" t="n">
        <v>93166</v>
      </c>
      <c r="BK116" s="192" t="n">
        <v>76085</v>
      </c>
      <c r="BL116" s="192" t="n">
        <v>69408</v>
      </c>
      <c r="BM116" s="192" t="n">
        <v>64518</v>
      </c>
      <c r="BN116" s="192" t="n">
        <v>84405</v>
      </c>
      <c r="BO116" s="192" t="n">
        <v>75414</v>
      </c>
      <c r="BP116" s="192" t="n"/>
      <c r="BQ116" s="192" t="n"/>
      <c r="BR116" s="192" t="n"/>
      <c r="BS116" s="192" t="n">
        <v>73901</v>
      </c>
      <c r="BT116" s="192" t="n">
        <v>67440</v>
      </c>
      <c r="BU116" s="192" t="n"/>
      <c r="BV116" s="192" t="n"/>
      <c r="BW116" s="192" t="n">
        <v>61987</v>
      </c>
      <c r="BX116" s="192" t="n">
        <v>61371</v>
      </c>
      <c r="BY116" s="192" t="n"/>
      <c r="BZ116" s="192" t="n">
        <v>73997</v>
      </c>
      <c r="CA116" s="192" t="n">
        <v>54130</v>
      </c>
      <c r="CB116" s="192" t="n">
        <v>57105</v>
      </c>
      <c r="CC116" s="192" t="n"/>
      <c r="CD116" s="192" t="n"/>
      <c r="CE116" s="192" t="n">
        <v>46971</v>
      </c>
      <c r="CF116" s="192" t="n"/>
      <c r="CG116" s="192" t="n">
        <v>68022</v>
      </c>
      <c r="CH116" s="192" t="n"/>
      <c r="CI116" s="192" t="n"/>
      <c r="CJ116" s="192" t="n"/>
      <c r="CK116" s="192" t="n"/>
      <c r="CL116" s="192" t="n"/>
      <c r="CM116" s="192" t="n"/>
      <c r="CN116" s="192" t="n">
        <v>48355</v>
      </c>
      <c r="CO116" s="192" t="n">
        <v>45701</v>
      </c>
      <c r="CP116" s="192" t="n">
        <v>53689</v>
      </c>
      <c r="CQ116" s="192" t="n">
        <v>38724</v>
      </c>
      <c r="CR116" s="192" t="n"/>
      <c r="CS116" s="192" t="n"/>
      <c r="CT116" s="192" t="n"/>
      <c r="CU116" s="192" t="n"/>
      <c r="CV116" s="192" t="n"/>
      <c r="CW116" s="192" t="n">
        <v>35269</v>
      </c>
      <c r="CX116" s="192" t="n"/>
      <c r="CY116" s="192" t="n"/>
      <c r="CZ116" s="192" t="n">
        <v>25191.9</v>
      </c>
      <c r="DA116" s="192" t="n"/>
      <c r="DB116" s="192" t="n"/>
      <c r="DC116" s="192" t="n"/>
      <c r="DD116" s="192" t="n"/>
      <c r="DE116" s="192" t="n"/>
      <c r="DF116" s="192" t="n"/>
      <c r="DG116" s="192" t="n"/>
      <c r="DH116" s="192" t="n"/>
      <c r="DI116" s="192" t="n"/>
      <c r="DJ116" s="192" t="n"/>
      <c r="DK116" s="192" t="n"/>
      <c r="DL116" s="192" t="n"/>
      <c r="DM116" s="192" t="n"/>
      <c r="DN116" s="192" t="n"/>
      <c r="DO116" s="192" t="n"/>
      <c r="DP116" s="192" t="n"/>
      <c r="DQ116" s="192" t="n"/>
      <c r="DR116" s="192" t="n"/>
      <c r="DS116" s="192" t="n"/>
      <c r="DT116" s="192" t="n"/>
      <c r="DU116" s="192" t="n"/>
      <c r="DV116" s="192" t="n"/>
      <c r="DW116" s="192" t="n"/>
      <c r="DX116" s="192" t="n"/>
      <c r="DY116" s="192" t="n"/>
      <c r="DZ116" s="192" t="n"/>
      <c r="EA116" s="192" t="n"/>
      <c r="EB116" s="192" t="n"/>
      <c r="EC116" s="192" t="n"/>
      <c r="ED116" s="192" t="n"/>
      <c r="EE116" s="192" t="n"/>
      <c r="EF116" s="192" t="n"/>
      <c r="EG116" s="192" t="n"/>
      <c r="EH116" s="192" t="n"/>
      <c r="EI116" s="192" t="n"/>
      <c r="EJ116" s="192" t="n"/>
      <c r="EK116" s="192" t="n"/>
      <c r="EL116" s="192" t="n"/>
      <c r="EM116" s="192" t="n"/>
      <c r="EN116" s="192" t="n"/>
      <c r="EO116" s="182" t="n"/>
      <c r="EP116" s="176" t="n"/>
      <c r="EQ116" s="176" t="n"/>
      <c r="ER116" s="176" t="n"/>
      <c r="ES116" s="176" t="n"/>
      <c r="ET116" s="176" t="n"/>
      <c r="EU116" s="176" t="n"/>
      <c r="EV116" s="176" t="n"/>
      <c r="EW116" s="176" t="n"/>
      <c r="EX116" s="176" t="n"/>
      <c r="EY116" s="176" t="n"/>
      <c r="EZ116" s="176" t="n"/>
      <c r="FA116" s="176" t="n"/>
      <c r="FB116" s="176" t="n"/>
      <c r="FC116" s="176" t="n"/>
      <c r="FD116" s="176" t="n"/>
      <c r="FE116" s="176" t="n"/>
      <c r="FF116" s="176" t="n"/>
      <c r="FG116" s="176" t="n"/>
      <c r="FH116" s="176" t="n"/>
      <c r="FI116" s="176" t="n"/>
      <c r="FJ116" s="176" t="n"/>
      <c r="FK116" s="176" t="n"/>
      <c r="FL116" s="176" t="n"/>
      <c r="FM116" s="176" t="n"/>
    </row>
    <row r="117" ht="15" customHeight="1" s="392">
      <c r="A117" s="176" t="n"/>
      <c r="B117" s="180" t="n"/>
      <c r="C117" s="183" t="inlineStr">
        <is>
          <t xml:space="preserve">        Net Income (Analyst Normalized)</t>
        </is>
      </c>
      <c r="D117" s="190">
        <f>IF(COUNT(M117:EN117)&gt;0,MEDIAN(M117:EN117),"")</f>
        <v/>
      </c>
      <c r="E117" s="190">
        <f>IF(COUNT(M117:EN117)&gt;0,AVERAGE(M117:EN117),"")</f>
        <v/>
      </c>
      <c r="F117" s="190">
        <f>IF(COUNT(M117:EN117)&gt;0,MIN(M117:EN117),"")</f>
        <v/>
      </c>
      <c r="G117" s="190">
        <f>IF(COUNT(M117:EN117)&gt;0,MAX(M117:EN117),"")</f>
        <v/>
      </c>
      <c r="H117" s="190">
        <f>IF(COUNT(M117:EN117)&gt;0,QUARTILE(M117:EN117,1),"")</f>
        <v/>
      </c>
      <c r="I117" s="190">
        <f>IF(COUNT(M117:EN117)&gt;0,QUARTILE(M117:EN117,3),"")</f>
        <v/>
      </c>
      <c r="J117" s="190">
        <f>IF(COUNT(M117:EN117)&gt;1,STDEV(M117:EN117),"")</f>
        <v/>
      </c>
      <c r="K117" s="191">
        <f>IF(COUNT(M117:EN117)&gt;1,STDEV(M117:EN117)/AVERAGE(M117:EN117),"")</f>
        <v/>
      </c>
      <c r="M117" s="192" t="n">
        <v>327000.349996492</v>
      </c>
      <c r="N117" s="192" t="n">
        <v>403885.41001232</v>
      </c>
      <c r="O117" s="192" t="n">
        <v>351454.060005993</v>
      </c>
      <c r="P117" s="192" t="n">
        <v>402822.879992604</v>
      </c>
      <c r="Q117" s="192" t="n">
        <v>386332.849916831</v>
      </c>
      <c r="R117" s="192" t="n">
        <v>405939.869994447</v>
      </c>
      <c r="S117" s="192" t="n">
        <v>387351.8099996</v>
      </c>
      <c r="T117" s="192" t="n">
        <v>361980.929999128</v>
      </c>
      <c r="U117" s="192" t="n">
        <v>319189.749971971</v>
      </c>
      <c r="V117" s="192" t="n">
        <v>381344.579992145</v>
      </c>
      <c r="W117" s="192" t="n">
        <v>325697.410000518</v>
      </c>
      <c r="X117" s="192" t="n">
        <v>331697.499993116</v>
      </c>
      <c r="Y117" s="192" t="n">
        <v>329730.009994224</v>
      </c>
      <c r="Z117" s="192" t="n">
        <v>345978.839999318</v>
      </c>
      <c r="AA117" s="192" t="n">
        <v>292971.079995096</v>
      </c>
      <c r="AB117" s="192" t="n">
        <v>245133.729999259</v>
      </c>
      <c r="AC117" s="192" t="n">
        <v>268871.910084769</v>
      </c>
      <c r="AD117" s="192" t="n">
        <v>281468</v>
      </c>
      <c r="AE117" s="192" t="n">
        <v>265708.149997935</v>
      </c>
      <c r="AF117" s="192" t="n">
        <v>257028.399997115</v>
      </c>
      <c r="AG117" s="192" t="n">
        <v>247303</v>
      </c>
      <c r="AH117" s="192" t="n">
        <v>262336.519999266</v>
      </c>
      <c r="AI117" s="192" t="n">
        <v>191578.150000557</v>
      </c>
      <c r="AJ117" s="192" t="n">
        <v>187350.299991935</v>
      </c>
      <c r="AK117" s="192" t="n">
        <v>163286.279998899</v>
      </c>
      <c r="AL117" s="192" t="n">
        <v>137889.299997181</v>
      </c>
      <c r="AM117" s="192" t="n">
        <v>152638.029993162</v>
      </c>
      <c r="AN117" s="192" t="n">
        <v>155196.119998217</v>
      </c>
      <c r="AO117" s="192" t="n">
        <v>143052.200004458</v>
      </c>
      <c r="AP117" s="192" t="n">
        <v>154994.230000898</v>
      </c>
      <c r="AQ117" s="192" t="n">
        <v>123477.479975164</v>
      </c>
      <c r="AR117" s="192" t="n">
        <v>113482.419999331</v>
      </c>
      <c r="AS117" s="192" t="n">
        <v>102389.839994729</v>
      </c>
      <c r="AT117" s="192" t="n">
        <v>124531.949996099</v>
      </c>
      <c r="AU117" s="192" t="n">
        <v>110776.350001067</v>
      </c>
      <c r="AV117" s="192" t="n">
        <v>76742</v>
      </c>
      <c r="AW117" s="192" t="n">
        <v>83017</v>
      </c>
      <c r="AX117" s="192" t="n">
        <v>86457.749999255</v>
      </c>
      <c r="AY117" s="192" t="n">
        <v>64642.949999303</v>
      </c>
      <c r="AZ117" s="192" t="n">
        <v>65909.700000226</v>
      </c>
      <c r="BA117" s="192" t="n">
        <v>72754.20000207399</v>
      </c>
      <c r="BB117" s="192" t="n">
        <v>73285.799998879</v>
      </c>
      <c r="BC117" s="192" t="n">
        <v>58933.099999726</v>
      </c>
      <c r="BD117" s="192" t="n">
        <v>52570.999999642</v>
      </c>
      <c r="BE117" s="192" t="n">
        <v>53386.899998909</v>
      </c>
      <c r="BF117" s="192" t="n">
        <v>57085.249995619</v>
      </c>
      <c r="BG117" s="192" t="n">
        <v>52065.599998832</v>
      </c>
      <c r="BH117" s="192" t="n">
        <v>52445.349998444</v>
      </c>
      <c r="BI117" s="192" t="n">
        <v>47094.13</v>
      </c>
      <c r="BJ117" s="192" t="n">
        <v>60747.650004297</v>
      </c>
      <c r="BK117" s="192" t="n">
        <v>47575.15002045</v>
      </c>
      <c r="BL117" s="192" t="n">
        <v>43388.900018037</v>
      </c>
      <c r="BM117" s="192" t="n">
        <v>41304</v>
      </c>
      <c r="BN117" s="192" t="n">
        <v>53236</v>
      </c>
      <c r="BO117" s="192" t="n"/>
      <c r="BP117" s="192" t="n"/>
      <c r="BQ117" s="192" t="n"/>
      <c r="BR117" s="192" t="n"/>
      <c r="BS117" s="192" t="n"/>
      <c r="BT117" s="192" t="n"/>
      <c r="BU117" s="192" t="n"/>
      <c r="BV117" s="192" t="n"/>
      <c r="BW117" s="192" t="n"/>
      <c r="BX117" s="192" t="n"/>
      <c r="BY117" s="192" t="n"/>
      <c r="BZ117" s="192" t="n"/>
      <c r="CA117" s="192" t="n"/>
      <c r="CB117" s="192" t="n"/>
      <c r="CC117" s="192" t="n"/>
      <c r="CD117" s="192" t="n"/>
      <c r="CE117" s="192" t="n"/>
      <c r="CF117" s="192" t="n"/>
      <c r="CG117" s="192" t="n"/>
      <c r="CH117" s="192" t="n"/>
      <c r="CI117" s="192" t="n"/>
      <c r="CJ117" s="192" t="n"/>
      <c r="CK117" s="192" t="n"/>
      <c r="CL117" s="192" t="n"/>
      <c r="CM117" s="192" t="n"/>
      <c r="CN117" s="192" t="n"/>
      <c r="CO117" s="192" t="n"/>
      <c r="CP117" s="192" t="n"/>
      <c r="CQ117" s="192" t="n"/>
      <c r="CR117" s="192" t="n"/>
      <c r="CS117" s="192" t="n"/>
      <c r="CT117" s="192" t="n"/>
      <c r="CU117" s="192" t="n"/>
      <c r="CV117" s="192" t="n"/>
      <c r="CW117" s="192" t="n"/>
      <c r="CX117" s="192" t="n"/>
      <c r="CY117" s="192" t="n"/>
      <c r="CZ117" s="192" t="n"/>
      <c r="DA117" s="192" t="n"/>
      <c r="DB117" s="192" t="n"/>
      <c r="DC117" s="192" t="n"/>
      <c r="DD117" s="192" t="n"/>
      <c r="DE117" s="192" t="n"/>
      <c r="DF117" s="192" t="n"/>
      <c r="DG117" s="192" t="n"/>
      <c r="DH117" s="192" t="n"/>
      <c r="DI117" s="192" t="n"/>
      <c r="DJ117" s="192" t="n"/>
      <c r="DK117" s="192" t="n"/>
      <c r="DL117" s="192" t="n"/>
      <c r="DM117" s="192" t="n"/>
      <c r="DN117" s="192" t="n"/>
      <c r="DO117" s="192" t="n"/>
      <c r="DP117" s="192" t="n"/>
      <c r="DQ117" s="192" t="n"/>
      <c r="DR117" s="192" t="n"/>
      <c r="DS117" s="192" t="n"/>
      <c r="DT117" s="192" t="n"/>
      <c r="DU117" s="192" t="n"/>
      <c r="DV117" s="192" t="n"/>
      <c r="DW117" s="192" t="n"/>
      <c r="DX117" s="192" t="n"/>
      <c r="DY117" s="192" t="n"/>
      <c r="DZ117" s="192" t="n"/>
      <c r="EA117" s="192" t="n"/>
      <c r="EB117" s="192" t="n"/>
      <c r="EC117" s="192" t="n"/>
      <c r="ED117" s="192" t="n"/>
      <c r="EE117" s="192" t="n"/>
      <c r="EF117" s="192" t="n"/>
      <c r="EG117" s="192" t="n"/>
      <c r="EH117" s="192" t="n"/>
      <c r="EI117" s="192" t="n"/>
      <c r="EJ117" s="192" t="n"/>
      <c r="EK117" s="192" t="n"/>
      <c r="EL117" s="192" t="n"/>
      <c r="EM117" s="192" t="n"/>
      <c r="EN117" s="192" t="n"/>
      <c r="EO117" s="182" t="n"/>
      <c r="EP117" s="176" t="n"/>
      <c r="EQ117" s="176" t="n"/>
      <c r="ER117" s="176" t="n"/>
      <c r="ES117" s="176" t="n"/>
      <c r="ET117" s="176" t="n"/>
      <c r="EU117" s="176" t="n"/>
      <c r="EV117" s="176" t="n"/>
      <c r="EW117" s="176" t="n"/>
      <c r="EX117" s="176" t="n"/>
      <c r="EY117" s="176" t="n"/>
      <c r="EZ117" s="176" t="n"/>
      <c r="FA117" s="176" t="n"/>
      <c r="FB117" s="176" t="n"/>
      <c r="FC117" s="176" t="n"/>
      <c r="FD117" s="176" t="n"/>
      <c r="FE117" s="176" t="n"/>
      <c r="FF117" s="176" t="n"/>
      <c r="FG117" s="176" t="n"/>
      <c r="FH117" s="176" t="n"/>
      <c r="FI117" s="176" t="n"/>
      <c r="FJ117" s="176" t="n"/>
      <c r="FK117" s="176" t="n"/>
      <c r="FL117" s="176" t="n"/>
      <c r="FM117" s="176" t="n"/>
    </row>
    <row r="118" ht="15" customHeight="1" s="392">
      <c r="A118" s="176" t="n"/>
      <c r="B118" s="180" t="n"/>
      <c r="C118" s="183" t="inlineStr">
        <is>
          <t xml:space="preserve">        EPS (Analyst Normalized)</t>
        </is>
      </c>
      <c r="D118" s="191">
        <f>IF(COUNT(M118:EN118)&gt;0,MEDIAN(M118:EN118),"")</f>
        <v/>
      </c>
      <c r="E118" s="191">
        <f>IF(COUNT(M118:EN118)&gt;0,AVERAGE(M118:EN118),"")</f>
        <v/>
      </c>
      <c r="F118" s="191">
        <f>IF(COUNT(M118:EN118)&gt;0,MIN(M118:EN118),"")</f>
        <v/>
      </c>
      <c r="G118" s="191">
        <f>IF(COUNT(M118:EN118)&gt;0,MAX(M118:EN118),"")</f>
        <v/>
      </c>
      <c r="H118" s="191">
        <f>IF(COUNT(M118:EN118)&gt;0,QUARTILE(M118:EN118,1),"")</f>
        <v/>
      </c>
      <c r="I118" s="191">
        <f>IF(COUNT(M118:EN118)&gt;0,QUARTILE(M118:EN118,3),"")</f>
        <v/>
      </c>
      <c r="J118" s="191">
        <f>IF(COUNT(M118:EN118)&gt;1,STDEV(M118:EN118),"")</f>
        <v/>
      </c>
      <c r="K118" s="191">
        <f>IF(COUNT(M118:EN118)&gt;1,STDEV(M118:EN118)/AVERAGE(M118:EN118),"")</f>
        <v/>
      </c>
      <c r="M118" s="197" t="n">
        <v>0.349547</v>
      </c>
      <c r="N118" s="197" t="n">
        <v>0.431575</v>
      </c>
      <c r="O118" s="197" t="n">
        <v>0.360741</v>
      </c>
      <c r="P118" s="197" t="n">
        <v>0.409088</v>
      </c>
      <c r="Q118" s="197" t="n">
        <v>0.399751</v>
      </c>
      <c r="R118" s="197" t="n">
        <v>0.419316</v>
      </c>
      <c r="S118" s="197" t="n">
        <v>0.399951</v>
      </c>
      <c r="T118" s="197" t="n">
        <v>0.369892</v>
      </c>
      <c r="U118" s="197" t="n">
        <v>0.326541</v>
      </c>
      <c r="V118" s="197" t="n">
        <v>0.389031</v>
      </c>
      <c r="W118" s="197" t="n">
        <v>0.330064</v>
      </c>
      <c r="X118" s="197" t="n">
        <v>0.339146</v>
      </c>
      <c r="Y118" s="197" t="n">
        <v>0.339392</v>
      </c>
      <c r="Z118" s="197" t="n">
        <v>0.359898</v>
      </c>
      <c r="AA118" s="197" t="n">
        <v>0.304269</v>
      </c>
      <c r="AB118" s="197" t="n">
        <v>0.254259</v>
      </c>
      <c r="AC118" s="197" t="n">
        <v>0.282585</v>
      </c>
      <c r="AD118" s="197" t="n">
        <v>0.292458</v>
      </c>
      <c r="AE118" s="197" t="n">
        <v>0.277253</v>
      </c>
      <c r="AF118" s="197" t="n">
        <v>0.267294</v>
      </c>
      <c r="AG118" s="197" t="n">
        <v>0.257495</v>
      </c>
      <c r="AH118" s="197" t="n">
        <v>0.272543</v>
      </c>
      <c r="AI118" s="197" t="n">
        <v>0.200563</v>
      </c>
      <c r="AJ118" s="197" t="n">
        <v>0.196525</v>
      </c>
      <c r="AK118" s="197" t="n">
        <v>0.169649</v>
      </c>
      <c r="AL118" s="197" t="n">
        <v>0.144944</v>
      </c>
      <c r="AM118" s="197" t="n">
        <v>0.161654</v>
      </c>
      <c r="AN118" s="197" t="n">
        <v>0.161525</v>
      </c>
      <c r="AO118" s="197" t="n">
        <v>0.150545</v>
      </c>
      <c r="AP118" s="197" t="n">
        <v>0.165083</v>
      </c>
      <c r="AQ118" s="197" t="n">
        <v>0.127048</v>
      </c>
      <c r="AR118" s="197" t="n">
        <v>0.116887</v>
      </c>
      <c r="AS118" s="197" t="n">
        <v>0.104973</v>
      </c>
      <c r="AT118" s="197" t="n">
        <v>0.130102</v>
      </c>
      <c r="AU118" s="197" t="n">
        <v>0.11529</v>
      </c>
      <c r="AV118" s="197" t="n">
        <v>0.079191</v>
      </c>
      <c r="AW118" s="197" t="n">
        <v>0.088342</v>
      </c>
      <c r="AX118" s="197" t="n">
        <v>0.090623</v>
      </c>
      <c r="AY118" s="197" t="n">
        <v>0.06849</v>
      </c>
      <c r="AZ118" s="197" t="n">
        <v>0.06966</v>
      </c>
      <c r="BA118" s="197" t="n">
        <v>0.076761</v>
      </c>
      <c r="BB118" s="197" t="n">
        <v>0.07921599999999999</v>
      </c>
      <c r="BC118" s="197" t="n">
        <v>0.05997</v>
      </c>
      <c r="BD118" s="197" t="n">
        <v>0.051211</v>
      </c>
      <c r="BE118" s="197" t="n">
        <v>0.051136</v>
      </c>
      <c r="BF118" s="197" t="n">
        <v>0.054548</v>
      </c>
      <c r="BG118" s="197" t="n">
        <v>0.049879</v>
      </c>
      <c r="BH118" s="197" t="n">
        <v>0.049839</v>
      </c>
      <c r="BI118" s="197" t="n">
        <v>0.045</v>
      </c>
      <c r="BJ118" s="197" t="n">
        <v>0.057946</v>
      </c>
      <c r="BK118" s="197" t="n">
        <v>0.045876</v>
      </c>
      <c r="BL118" s="197" t="n">
        <v>0.041881</v>
      </c>
      <c r="BM118" s="197" t="n">
        <v>0.04</v>
      </c>
      <c r="BN118" s="197" t="n">
        <v>0.05125</v>
      </c>
      <c r="BO118" s="197" t="n">
        <v>0.046215</v>
      </c>
      <c r="BP118" s="197" t="n"/>
      <c r="BQ118" s="197" t="n"/>
      <c r="BR118" s="197" t="n"/>
      <c r="BS118" s="197" t="n">
        <v>0.044166</v>
      </c>
      <c r="BT118" s="197" t="n">
        <v>0.039661</v>
      </c>
      <c r="BU118" s="197" t="n"/>
      <c r="BV118" s="197" t="n"/>
      <c r="BW118" s="197" t="n">
        <v>0.029276</v>
      </c>
      <c r="BX118" s="197" t="n">
        <v>0.028743</v>
      </c>
      <c r="BY118" s="197" t="n"/>
      <c r="BZ118" s="197" t="n">
        <v>0.033645</v>
      </c>
      <c r="CA118" s="197" t="n">
        <v>0.024815</v>
      </c>
      <c r="CB118" s="197" t="n">
        <v>0.026241</v>
      </c>
      <c r="CC118" s="197" t="n"/>
      <c r="CD118" s="197" t="n"/>
      <c r="CE118" s="197" t="n">
        <v>0.021875</v>
      </c>
      <c r="CF118" s="197" t="n"/>
      <c r="CG118" s="197" t="n">
        <v>0.03</v>
      </c>
      <c r="CH118" s="197" t="n"/>
      <c r="CI118" s="197" t="n"/>
      <c r="CJ118" s="197" t="n"/>
      <c r="CK118" s="197" t="n"/>
      <c r="CL118" s="197" t="n"/>
      <c r="CM118" s="197" t="n"/>
      <c r="CN118" s="197" t="n">
        <v>0.02125</v>
      </c>
      <c r="CO118" s="197" t="n">
        <v>0.0225</v>
      </c>
      <c r="CP118" s="197" t="n">
        <v>0.023125</v>
      </c>
      <c r="CQ118" s="197" t="n">
        <v>0.016875</v>
      </c>
      <c r="CR118" s="197" t="n"/>
      <c r="CS118" s="197" t="n"/>
      <c r="CT118" s="197" t="n"/>
      <c r="CU118" s="197" t="n"/>
      <c r="CV118" s="197" t="n"/>
      <c r="CW118" s="197" t="n">
        <v>0.013125</v>
      </c>
      <c r="CX118" s="197" t="n"/>
      <c r="CY118" s="197" t="n"/>
      <c r="CZ118" s="197" t="n">
        <v>0.009375</v>
      </c>
      <c r="DA118" s="197" t="n"/>
      <c r="DB118" s="197" t="n"/>
      <c r="DC118" s="197" t="n"/>
      <c r="DD118" s="197" t="n"/>
      <c r="DE118" s="197" t="n"/>
      <c r="DF118" s="197" t="n"/>
      <c r="DG118" s="197" t="n"/>
      <c r="DH118" s="197" t="n"/>
      <c r="DI118" s="197" t="n"/>
      <c r="DJ118" s="197" t="n"/>
      <c r="DK118" s="197" t="n"/>
      <c r="DL118" s="197" t="n"/>
      <c r="DM118" s="197" t="n"/>
      <c r="DN118" s="197" t="n"/>
      <c r="DO118" s="197" t="n"/>
      <c r="DP118" s="197" t="n"/>
      <c r="DQ118" s="197" t="n"/>
      <c r="DR118" s="197" t="n"/>
      <c r="DS118" s="197" t="n"/>
      <c r="DT118" s="197" t="n"/>
      <c r="DU118" s="197" t="n"/>
      <c r="DV118" s="197" t="n"/>
      <c r="DW118" s="197" t="n"/>
      <c r="DX118" s="197" t="n"/>
      <c r="DY118" s="197" t="n"/>
      <c r="DZ118" s="197" t="n"/>
      <c r="EA118" s="197" t="n"/>
      <c r="EB118" s="197" t="n"/>
      <c r="EC118" s="197" t="n"/>
      <c r="ED118" s="197" t="n"/>
      <c r="EE118" s="197" t="n"/>
      <c r="EF118" s="197" t="n"/>
      <c r="EG118" s="197" t="n"/>
      <c r="EH118" s="197" t="n"/>
      <c r="EI118" s="197" t="n"/>
      <c r="EJ118" s="197" t="n"/>
      <c r="EK118" s="197" t="n"/>
      <c r="EL118" s="197" t="n"/>
      <c r="EM118" s="197" t="n"/>
      <c r="EN118" s="197" t="n"/>
      <c r="EO118" s="182" t="n"/>
      <c r="EP118" s="176" t="n"/>
      <c r="EQ118" s="176" t="n"/>
      <c r="ER118" s="176" t="n"/>
      <c r="ES118" s="176" t="n"/>
      <c r="ET118" s="176" t="n"/>
      <c r="EU118" s="176" t="n"/>
      <c r="EV118" s="176" t="n"/>
      <c r="EW118" s="176" t="n"/>
      <c r="EX118" s="176" t="n"/>
      <c r="EY118" s="176" t="n"/>
      <c r="EZ118" s="176" t="n"/>
      <c r="FA118" s="176" t="n"/>
      <c r="FB118" s="176" t="n"/>
      <c r="FC118" s="176" t="n"/>
      <c r="FD118" s="176" t="n"/>
      <c r="FE118" s="176" t="n"/>
      <c r="FF118" s="176" t="n"/>
      <c r="FG118" s="176" t="n"/>
      <c r="FH118" s="176" t="n"/>
      <c r="FI118" s="176" t="n"/>
      <c r="FJ118" s="176" t="n"/>
      <c r="FK118" s="176" t="n"/>
      <c r="FL118" s="176" t="n"/>
      <c r="FM118" s="176" t="n"/>
    </row>
    <row r="119" ht="15" customHeight="1" s="392">
      <c r="A119" s="176" t="n"/>
      <c r="B119" s="180" t="n"/>
      <c r="C119" s="189" t="inlineStr">
        <is>
          <t>Data Origination</t>
        </is>
      </c>
      <c r="D119" s="185" t="n"/>
      <c r="E119" s="185" t="n"/>
      <c r="F119" s="185" t="n"/>
      <c r="G119" s="185" t="n"/>
      <c r="H119" s="185" t="n"/>
      <c r="I119" s="185" t="n"/>
      <c r="J119" s="185" t="n"/>
      <c r="K119" s="185" t="n"/>
      <c r="L119" s="185" t="n"/>
      <c r="M119" s="185" t="n"/>
      <c r="N119" s="185" t="n"/>
      <c r="O119" s="185" t="n"/>
      <c r="P119" s="185" t="n"/>
      <c r="Q119" s="185" t="n"/>
      <c r="R119" s="185" t="n"/>
      <c r="S119" s="185" t="n"/>
      <c r="T119" s="185" t="n"/>
      <c r="U119" s="185" t="n"/>
      <c r="V119" s="185" t="n"/>
      <c r="W119" s="185" t="n"/>
      <c r="X119" s="185" t="n"/>
      <c r="Y119" s="185" t="n"/>
      <c r="Z119" s="185" t="n"/>
      <c r="AA119" s="185" t="n"/>
      <c r="AB119" s="185" t="n"/>
      <c r="AC119" s="185" t="n"/>
      <c r="AD119" s="185" t="n"/>
      <c r="AE119" s="185" t="n"/>
      <c r="AF119" s="185" t="n"/>
      <c r="AG119" s="185" t="n"/>
      <c r="AH119" s="185" t="n"/>
      <c r="AI119" s="185" t="n"/>
      <c r="AJ119" s="185" t="n"/>
      <c r="AK119" s="185" t="n"/>
      <c r="AL119" s="185" t="n"/>
      <c r="AM119" s="185" t="n"/>
      <c r="AN119" s="185" t="n"/>
      <c r="AO119" s="185" t="n"/>
      <c r="AP119" s="185" t="n"/>
      <c r="AQ119" s="185" t="n"/>
      <c r="AR119" s="185" t="n"/>
      <c r="AS119" s="185" t="n"/>
      <c r="AT119" s="185" t="n"/>
      <c r="AU119" s="185" t="n"/>
      <c r="AV119" s="185" t="n"/>
      <c r="AW119" s="185" t="n"/>
      <c r="AX119" s="185" t="n"/>
      <c r="AY119" s="185" t="n"/>
      <c r="AZ119" s="185" t="n"/>
      <c r="BA119" s="185" t="n"/>
      <c r="BB119" s="185" t="n"/>
      <c r="BC119" s="185" t="n"/>
      <c r="BD119" s="185" t="n"/>
      <c r="BE119" s="185" t="n"/>
      <c r="BF119" s="185" t="n"/>
      <c r="BG119" s="185" t="n"/>
      <c r="BH119" s="185" t="n"/>
      <c r="BI119" s="185" t="n"/>
      <c r="BJ119" s="185" t="n"/>
      <c r="BK119" s="185" t="n"/>
      <c r="BL119" s="185" t="n"/>
      <c r="BM119" s="185" t="n"/>
      <c r="BN119" s="185" t="n"/>
      <c r="BO119" s="185" t="n"/>
      <c r="BP119" s="185" t="n"/>
      <c r="BQ119" s="185" t="n"/>
      <c r="BR119" s="185" t="n"/>
      <c r="BS119" s="185" t="n"/>
      <c r="BT119" s="185" t="n"/>
      <c r="BU119" s="185" t="n"/>
      <c r="BV119" s="185" t="n"/>
      <c r="BW119" s="185" t="n"/>
      <c r="BX119" s="185" t="n"/>
      <c r="BY119" s="185" t="n"/>
      <c r="BZ119" s="185" t="n"/>
      <c r="CA119" s="185" t="n"/>
      <c r="CB119" s="185" t="n"/>
      <c r="CC119" s="185" t="n"/>
      <c r="CD119" s="185" t="n"/>
      <c r="CE119" s="185" t="n"/>
      <c r="CF119" s="185" t="n"/>
      <c r="CG119" s="185" t="n"/>
      <c r="CH119" s="185" t="n"/>
      <c r="CI119" s="185" t="n"/>
      <c r="CJ119" s="185" t="n"/>
      <c r="CK119" s="185" t="n"/>
      <c r="CL119" s="185" t="n"/>
      <c r="CM119" s="185" t="n"/>
      <c r="CN119" s="185" t="n"/>
      <c r="CO119" s="185" t="n"/>
      <c r="CP119" s="185" t="n"/>
      <c r="CQ119" s="185" t="n"/>
      <c r="CR119" s="185" t="n"/>
      <c r="CS119" s="185" t="n"/>
      <c r="CT119" s="185" t="n"/>
      <c r="CU119" s="185" t="n"/>
      <c r="CV119" s="185" t="n"/>
      <c r="CW119" s="185" t="n"/>
      <c r="CX119" s="185" t="n"/>
      <c r="CY119" s="185" t="n"/>
      <c r="CZ119" s="185" t="n"/>
      <c r="DA119" s="185" t="n"/>
      <c r="DB119" s="185" t="n"/>
      <c r="DC119" s="185" t="n"/>
      <c r="DD119" s="185" t="n"/>
      <c r="DE119" s="185" t="n"/>
      <c r="DF119" s="185" t="n"/>
      <c r="DG119" s="185" t="n"/>
      <c r="DH119" s="185" t="n"/>
      <c r="DI119" s="185" t="n"/>
      <c r="DJ119" s="185" t="n"/>
      <c r="DK119" s="185" t="n"/>
      <c r="DL119" s="185" t="n"/>
      <c r="DM119" s="185" t="n"/>
      <c r="DN119" s="185" t="n"/>
      <c r="DO119" s="185" t="n"/>
      <c r="DP119" s="185" t="n"/>
      <c r="DQ119" s="185" t="n"/>
      <c r="DR119" s="185" t="n"/>
      <c r="DS119" s="185" t="n"/>
      <c r="DT119" s="185" t="n"/>
      <c r="DU119" s="185" t="n"/>
      <c r="DV119" s="185" t="n"/>
      <c r="DW119" s="185" t="n"/>
      <c r="DX119" s="185" t="n"/>
      <c r="DY119" s="185" t="n"/>
      <c r="DZ119" s="185" t="n"/>
      <c r="EA119" s="185" t="n"/>
      <c r="EB119" s="185" t="n"/>
      <c r="EC119" s="185" t="n"/>
      <c r="ED119" s="185" t="n"/>
      <c r="EE119" s="185" t="n"/>
      <c r="EF119" s="185" t="n"/>
      <c r="EG119" s="185" t="n"/>
      <c r="EH119" s="185" t="n"/>
      <c r="EI119" s="185" t="n"/>
      <c r="EJ119" s="185" t="n"/>
      <c r="EK119" s="185" t="n"/>
      <c r="EL119" s="185" t="n"/>
      <c r="EM119" s="185" t="n"/>
      <c r="EN119" s="185" t="n"/>
      <c r="EO119" s="182" t="n"/>
      <c r="EP119" s="176" t="n"/>
      <c r="EQ119" s="176" t="n"/>
      <c r="ER119" s="176" t="n"/>
      <c r="ES119" s="176" t="n"/>
      <c r="ET119" s="176" t="n"/>
      <c r="EU119" s="176" t="n"/>
      <c r="EV119" s="176" t="n"/>
      <c r="EW119" s="176" t="n"/>
      <c r="EX119" s="176" t="n"/>
      <c r="EY119" s="176" t="n"/>
      <c r="EZ119" s="176" t="n"/>
      <c r="FA119" s="176" t="n"/>
      <c r="FB119" s="176" t="n"/>
      <c r="FC119" s="176" t="n"/>
      <c r="FD119" s="176" t="n"/>
      <c r="FE119" s="176" t="n"/>
      <c r="FF119" s="176" t="n"/>
      <c r="FG119" s="176" t="n"/>
      <c r="FH119" s="176" t="n"/>
      <c r="FI119" s="176" t="n"/>
      <c r="FJ119" s="176" t="n"/>
      <c r="FK119" s="176" t="n"/>
      <c r="FL119" s="176" t="n"/>
      <c r="FM119" s="176" t="n"/>
    </row>
    <row r="120" ht="15" customHeight="1" s="392">
      <c r="A120" s="176" t="n"/>
      <c r="B120" s="180" t="n"/>
      <c r="C120" s="183" t="inlineStr">
        <is>
          <t xml:space="preserve">    Preliminary</t>
        </is>
      </c>
      <c r="D120" s="201">
        <f>IF(COUNT(M120:EN120)&gt;0,MEDIAN(M120:EN120),"")</f>
        <v/>
      </c>
      <c r="E120" s="201">
        <f>IF(COUNT(M120:EN120)&gt;0,AVERAGE(M120:EN120),"")</f>
        <v/>
      </c>
      <c r="F120" s="201">
        <f>IF(COUNT(M120:EN120)&gt;0,MIN(M120:EN120),"")</f>
        <v/>
      </c>
      <c r="G120" s="201">
        <f>IF(COUNT(M120:EN120)&gt;0,MAX(M120:EN120),"")</f>
        <v/>
      </c>
      <c r="H120" s="201">
        <f>IF(COUNT(M120:EN120)&gt;0,QUARTILE(M120:EN120,1),"")</f>
        <v/>
      </c>
      <c r="I120" s="201">
        <f>IF(COUNT(M120:EN120)&gt;0,QUARTILE(M120:EN120,3),"")</f>
        <v/>
      </c>
      <c r="J120" s="201">
        <f>IF(COUNT(M120:EN120)&gt;1,STDEV(M120:EN120),"")</f>
        <v/>
      </c>
      <c r="K120" s="191">
        <f>IF(COUNT(M120:EN120)&gt;1,STDEV(M120:EN120)/AVERAGE(M120:EN120),"")</f>
        <v/>
      </c>
      <c r="M120" s="202" t="inlineStr">
        <is>
          <t>Yes</t>
        </is>
      </c>
      <c r="N120" s="202" t="inlineStr">
        <is>
          <t>No</t>
        </is>
      </c>
      <c r="O120" s="202" t="inlineStr">
        <is>
          <t>No</t>
        </is>
      </c>
      <c r="P120" s="202" t="inlineStr">
        <is>
          <t>No</t>
        </is>
      </c>
      <c r="Q120" s="202" t="inlineStr">
        <is>
          <t>No</t>
        </is>
      </c>
      <c r="R120" s="202" t="inlineStr">
        <is>
          <t>No</t>
        </is>
      </c>
      <c r="S120" s="202" t="inlineStr">
        <is>
          <t>No</t>
        </is>
      </c>
      <c r="T120" s="202" t="inlineStr">
        <is>
          <t>No</t>
        </is>
      </c>
      <c r="U120" s="202" t="inlineStr">
        <is>
          <t>No</t>
        </is>
      </c>
      <c r="V120" s="202" t="inlineStr">
        <is>
          <t>No</t>
        </is>
      </c>
      <c r="W120" s="202" t="inlineStr">
        <is>
          <t>No</t>
        </is>
      </c>
      <c r="X120" s="202" t="inlineStr">
        <is>
          <t>No</t>
        </is>
      </c>
      <c r="Y120" s="202" t="inlineStr">
        <is>
          <t>No</t>
        </is>
      </c>
      <c r="Z120" s="202" t="inlineStr">
        <is>
          <t>No</t>
        </is>
      </c>
      <c r="AA120" s="202" t="inlineStr">
        <is>
          <t>No</t>
        </is>
      </c>
      <c r="AB120" s="202" t="inlineStr">
        <is>
          <t>No</t>
        </is>
      </c>
      <c r="AC120" s="202" t="inlineStr">
        <is>
          <t>No</t>
        </is>
      </c>
      <c r="AD120" s="202" t="inlineStr">
        <is>
          <t>No</t>
        </is>
      </c>
      <c r="AE120" s="202" t="inlineStr">
        <is>
          <t>No</t>
        </is>
      </c>
      <c r="AF120" s="202" t="inlineStr">
        <is>
          <t>No</t>
        </is>
      </c>
      <c r="AG120" s="202" t="inlineStr">
        <is>
          <t>No</t>
        </is>
      </c>
      <c r="AH120" s="202" t="inlineStr">
        <is>
          <t>No</t>
        </is>
      </c>
      <c r="AI120" s="202" t="inlineStr">
        <is>
          <t>No</t>
        </is>
      </c>
      <c r="AJ120" s="202" t="inlineStr">
        <is>
          <t>No</t>
        </is>
      </c>
      <c r="AK120" s="202" t="inlineStr">
        <is>
          <t>No</t>
        </is>
      </c>
      <c r="AL120" s="202" t="inlineStr">
        <is>
          <t>No</t>
        </is>
      </c>
      <c r="AM120" s="202" t="inlineStr">
        <is>
          <t>No</t>
        </is>
      </c>
      <c r="AN120" s="202" t="inlineStr">
        <is>
          <t>No</t>
        </is>
      </c>
      <c r="AO120" s="202" t="inlineStr">
        <is>
          <t>No</t>
        </is>
      </c>
      <c r="AP120" s="202" t="inlineStr">
        <is>
          <t>No</t>
        </is>
      </c>
      <c r="AQ120" s="202" t="inlineStr">
        <is>
          <t>No</t>
        </is>
      </c>
      <c r="AR120" s="202" t="inlineStr">
        <is>
          <t>No</t>
        </is>
      </c>
      <c r="AS120" s="202" t="inlineStr">
        <is>
          <t>No</t>
        </is>
      </c>
      <c r="AT120" s="202" t="inlineStr">
        <is>
          <t>No</t>
        </is>
      </c>
      <c r="AU120" s="202" t="inlineStr">
        <is>
          <t>No</t>
        </is>
      </c>
      <c r="AV120" s="202" t="inlineStr">
        <is>
          <t>No</t>
        </is>
      </c>
      <c r="AW120" s="202" t="inlineStr">
        <is>
          <t>No</t>
        </is>
      </c>
      <c r="AX120" s="202" t="inlineStr">
        <is>
          <t>No</t>
        </is>
      </c>
      <c r="AY120" s="202" t="inlineStr">
        <is>
          <t>No</t>
        </is>
      </c>
      <c r="AZ120" s="202" t="inlineStr">
        <is>
          <t>No</t>
        </is>
      </c>
      <c r="BA120" s="202" t="inlineStr">
        <is>
          <t>No</t>
        </is>
      </c>
      <c r="BB120" s="202" t="inlineStr">
        <is>
          <t>No</t>
        </is>
      </c>
      <c r="BC120" s="202" t="inlineStr">
        <is>
          <t>No</t>
        </is>
      </c>
      <c r="BD120" s="202" t="inlineStr">
        <is>
          <t>No</t>
        </is>
      </c>
      <c r="BE120" s="202" t="inlineStr">
        <is>
          <t>No</t>
        </is>
      </c>
      <c r="BF120" s="202" t="inlineStr">
        <is>
          <t>No</t>
        </is>
      </c>
      <c r="BG120" s="202" t="inlineStr">
        <is>
          <t>No</t>
        </is>
      </c>
      <c r="BH120" s="202" t="inlineStr">
        <is>
          <t>No</t>
        </is>
      </c>
      <c r="BI120" s="202" t="inlineStr">
        <is>
          <t>No</t>
        </is>
      </c>
      <c r="BJ120" s="202" t="inlineStr">
        <is>
          <t>No</t>
        </is>
      </c>
      <c r="BK120" s="202" t="inlineStr">
        <is>
          <t>No</t>
        </is>
      </c>
      <c r="BL120" s="202" t="inlineStr">
        <is>
          <t>No</t>
        </is>
      </c>
      <c r="BM120" s="202" t="inlineStr">
        <is>
          <t>No</t>
        </is>
      </c>
      <c r="BN120" s="202" t="inlineStr">
        <is>
          <t>No</t>
        </is>
      </c>
      <c r="BO120" s="202" t="inlineStr">
        <is>
          <t>No</t>
        </is>
      </c>
      <c r="BP120" s="202" t="inlineStr">
        <is>
          <t>No</t>
        </is>
      </c>
      <c r="BQ120" s="202" t="inlineStr">
        <is>
          <t>No</t>
        </is>
      </c>
      <c r="BR120" s="202" t="inlineStr">
        <is>
          <t>No</t>
        </is>
      </c>
      <c r="BS120" s="202" t="inlineStr">
        <is>
          <t>No</t>
        </is>
      </c>
      <c r="BT120" s="202" t="inlineStr">
        <is>
          <t>No</t>
        </is>
      </c>
      <c r="BU120" s="202" t="inlineStr">
        <is>
          <t>No</t>
        </is>
      </c>
      <c r="BV120" s="202" t="inlineStr">
        <is>
          <t>No</t>
        </is>
      </c>
      <c r="BW120" s="202" t="inlineStr">
        <is>
          <t>No</t>
        </is>
      </c>
      <c r="BX120" s="202" t="inlineStr">
        <is>
          <t>No</t>
        </is>
      </c>
      <c r="BY120" s="202" t="inlineStr">
        <is>
          <t>No</t>
        </is>
      </c>
      <c r="BZ120" s="202" t="inlineStr">
        <is>
          <t>No</t>
        </is>
      </c>
      <c r="CA120" s="202" t="inlineStr">
        <is>
          <t>No</t>
        </is>
      </c>
      <c r="CB120" s="202" t="inlineStr">
        <is>
          <t>No</t>
        </is>
      </c>
      <c r="CC120" s="202" t="inlineStr">
        <is>
          <t>No</t>
        </is>
      </c>
      <c r="CD120" s="202" t="inlineStr">
        <is>
          <t>No</t>
        </is>
      </c>
      <c r="CE120" s="202" t="inlineStr">
        <is>
          <t>No</t>
        </is>
      </c>
      <c r="CF120" s="202" t="inlineStr">
        <is>
          <t>No</t>
        </is>
      </c>
      <c r="CG120" s="202" t="inlineStr">
        <is>
          <t>No</t>
        </is>
      </c>
      <c r="CH120" s="202" t="inlineStr">
        <is>
          <t>No</t>
        </is>
      </c>
      <c r="CI120" s="202" t="inlineStr">
        <is>
          <t>No</t>
        </is>
      </c>
      <c r="CJ120" s="202" t="inlineStr">
        <is>
          <t>No</t>
        </is>
      </c>
      <c r="CK120" s="202" t="inlineStr">
        <is>
          <t>No</t>
        </is>
      </c>
      <c r="CL120" s="202" t="inlineStr">
        <is>
          <t>No</t>
        </is>
      </c>
      <c r="CM120" s="202" t="inlineStr">
        <is>
          <t>No</t>
        </is>
      </c>
      <c r="CN120" s="202" t="inlineStr">
        <is>
          <t>No</t>
        </is>
      </c>
      <c r="CO120" s="202" t="inlineStr">
        <is>
          <t>No</t>
        </is>
      </c>
      <c r="CP120" s="202" t="inlineStr">
        <is>
          <t>No</t>
        </is>
      </c>
      <c r="CQ120" s="202" t="inlineStr">
        <is>
          <t>No</t>
        </is>
      </c>
      <c r="CR120" s="202" t="inlineStr">
        <is>
          <t>No</t>
        </is>
      </c>
      <c r="CS120" s="202" t="inlineStr">
        <is>
          <t>No</t>
        </is>
      </c>
      <c r="CT120" s="202" t="inlineStr">
        <is>
          <t>No</t>
        </is>
      </c>
      <c r="CU120" s="202" t="inlineStr">
        <is>
          <t>No</t>
        </is>
      </c>
      <c r="CV120" s="202" t="inlineStr">
        <is>
          <t>No</t>
        </is>
      </c>
      <c r="CW120" s="202" t="inlineStr">
        <is>
          <t>No</t>
        </is>
      </c>
      <c r="CX120" s="202" t="inlineStr">
        <is>
          <t>No</t>
        </is>
      </c>
      <c r="CY120" s="202" t="inlineStr">
        <is>
          <t>No</t>
        </is>
      </c>
      <c r="CZ120" s="202" t="inlineStr">
        <is>
          <t>No</t>
        </is>
      </c>
      <c r="DA120" s="202" t="inlineStr">
        <is>
          <t>No</t>
        </is>
      </c>
      <c r="DB120" s="202" t="inlineStr">
        <is>
          <t>No</t>
        </is>
      </c>
      <c r="DC120" s="202" t="inlineStr">
        <is>
          <t>No</t>
        </is>
      </c>
      <c r="DD120" s="202" t="inlineStr">
        <is>
          <t>No</t>
        </is>
      </c>
      <c r="DE120" s="202" t="inlineStr">
        <is>
          <t>No</t>
        </is>
      </c>
      <c r="DF120" s="202" t="inlineStr">
        <is>
          <t>No</t>
        </is>
      </c>
      <c r="DG120" s="202" t="inlineStr">
        <is>
          <t>No</t>
        </is>
      </c>
      <c r="DH120" s="202" t="inlineStr">
        <is>
          <t>No</t>
        </is>
      </c>
      <c r="DI120" s="202" t="inlineStr">
        <is>
          <t>No</t>
        </is>
      </c>
      <c r="DJ120" s="202" t="inlineStr">
        <is>
          <t>No</t>
        </is>
      </c>
      <c r="DK120" s="202" t="inlineStr">
        <is>
          <t>No</t>
        </is>
      </c>
      <c r="DL120" s="202" t="inlineStr">
        <is>
          <t>No</t>
        </is>
      </c>
      <c r="DM120" s="202" t="inlineStr">
        <is>
          <t>No</t>
        </is>
      </c>
      <c r="DN120" s="202" t="inlineStr">
        <is>
          <t>No</t>
        </is>
      </c>
      <c r="DO120" s="202" t="inlineStr">
        <is>
          <t>No</t>
        </is>
      </c>
      <c r="DP120" s="202" t="inlineStr">
        <is>
          <t>No</t>
        </is>
      </c>
      <c r="DQ120" s="202" t="inlineStr">
        <is>
          <t>No</t>
        </is>
      </c>
      <c r="DR120" s="202" t="inlineStr">
        <is>
          <t>No</t>
        </is>
      </c>
      <c r="DS120" s="202" t="inlineStr">
        <is>
          <t>No</t>
        </is>
      </c>
      <c r="DT120" s="202" t="inlineStr">
        <is>
          <t>No</t>
        </is>
      </c>
      <c r="DU120" s="202" t="inlineStr">
        <is>
          <t>No</t>
        </is>
      </c>
      <c r="DV120" s="202" t="inlineStr">
        <is>
          <t>No</t>
        </is>
      </c>
      <c r="DW120" s="202" t="inlineStr">
        <is>
          <t>No</t>
        </is>
      </c>
      <c r="DX120" s="202" t="inlineStr">
        <is>
          <t>No</t>
        </is>
      </c>
      <c r="DY120" s="202" t="inlineStr">
        <is>
          <t>No</t>
        </is>
      </c>
      <c r="DZ120" s="202" t="inlineStr">
        <is>
          <t>No</t>
        </is>
      </c>
      <c r="EA120" s="202" t="inlineStr">
        <is>
          <t>No</t>
        </is>
      </c>
      <c r="EB120" s="202" t="inlineStr">
        <is>
          <t>No</t>
        </is>
      </c>
      <c r="EC120" s="202" t="inlineStr">
        <is>
          <t>No</t>
        </is>
      </c>
      <c r="ED120" s="202" t="inlineStr">
        <is>
          <t>No</t>
        </is>
      </c>
      <c r="EE120" s="202" t="inlineStr">
        <is>
          <t>No</t>
        </is>
      </c>
      <c r="EF120" s="202" t="inlineStr">
        <is>
          <t>No</t>
        </is>
      </c>
      <c r="EG120" s="202" t="inlineStr">
        <is>
          <t>No</t>
        </is>
      </c>
      <c r="EH120" s="202" t="inlineStr">
        <is>
          <t>No</t>
        </is>
      </c>
      <c r="EI120" s="202" t="inlineStr">
        <is>
          <t>No</t>
        </is>
      </c>
      <c r="EJ120" s="202" t="inlineStr">
        <is>
          <t>No</t>
        </is>
      </c>
      <c r="EK120" s="202" t="inlineStr">
        <is>
          <t>No</t>
        </is>
      </c>
      <c r="EL120" s="202" t="inlineStr">
        <is>
          <t>No</t>
        </is>
      </c>
      <c r="EM120" s="202" t="inlineStr">
        <is>
          <t>No</t>
        </is>
      </c>
      <c r="EN120" s="202" t="inlineStr">
        <is>
          <t>No</t>
        </is>
      </c>
      <c r="EO120" s="182" t="n"/>
      <c r="EP120" s="176" t="n"/>
      <c r="EQ120" s="176" t="n"/>
      <c r="ER120" s="176" t="n"/>
      <c r="ES120" s="176" t="n"/>
      <c r="ET120" s="176" t="n"/>
      <c r="EU120" s="176" t="n"/>
      <c r="EV120" s="176" t="n"/>
      <c r="EW120" s="176" t="n"/>
      <c r="EX120" s="176" t="n"/>
      <c r="EY120" s="176" t="n"/>
      <c r="EZ120" s="176" t="n"/>
      <c r="FA120" s="176" t="n"/>
      <c r="FB120" s="176" t="n"/>
      <c r="FC120" s="176" t="n"/>
      <c r="FD120" s="176" t="n"/>
      <c r="FE120" s="176" t="n"/>
      <c r="FF120" s="176" t="n"/>
      <c r="FG120" s="176" t="n"/>
      <c r="FH120" s="176" t="n"/>
      <c r="FI120" s="176" t="n"/>
      <c r="FJ120" s="176" t="n"/>
      <c r="FK120" s="176" t="n"/>
      <c r="FL120" s="176" t="n"/>
      <c r="FM120" s="176" t="n"/>
    </row>
    <row r="121" ht="15" customHeight="1" s="392">
      <c r="A121" s="176" t="n"/>
      <c r="B121" s="180" t="n"/>
      <c r="C121" s="183" t="inlineStr">
        <is>
          <t xml:space="preserve">    Original</t>
        </is>
      </c>
      <c r="D121" s="201">
        <f>IF(COUNT(M121:EN121)&gt;0,MEDIAN(M121:EN121),"")</f>
        <v/>
      </c>
      <c r="E121" s="201">
        <f>IF(COUNT(M121:EN121)&gt;0,AVERAGE(M121:EN121),"")</f>
        <v/>
      </c>
      <c r="F121" s="201">
        <f>IF(COUNT(M121:EN121)&gt;0,MIN(M121:EN121),"")</f>
        <v/>
      </c>
      <c r="G121" s="201">
        <f>IF(COUNT(M121:EN121)&gt;0,MAX(M121:EN121),"")</f>
        <v/>
      </c>
      <c r="H121" s="201">
        <f>IF(COUNT(M121:EN121)&gt;0,QUARTILE(M121:EN121,1),"")</f>
        <v/>
      </c>
      <c r="I121" s="201">
        <f>IF(COUNT(M121:EN121)&gt;0,QUARTILE(M121:EN121,3),"")</f>
        <v/>
      </c>
      <c r="J121" s="201">
        <f>IF(COUNT(M121:EN121)&gt;1,STDEV(M121:EN121),"")</f>
        <v/>
      </c>
      <c r="K121" s="191">
        <f>IF(COUNT(M121:EN121)&gt;1,STDEV(M121:EN121)/AVERAGE(M121:EN121),"")</f>
        <v/>
      </c>
      <c r="M121" s="202" t="inlineStr">
        <is>
          <t>No</t>
        </is>
      </c>
      <c r="N121" s="202" t="inlineStr">
        <is>
          <t>No</t>
        </is>
      </c>
      <c r="O121" s="202" t="inlineStr">
        <is>
          <t>No</t>
        </is>
      </c>
      <c r="P121" s="202" t="inlineStr">
        <is>
          <t>No</t>
        </is>
      </c>
      <c r="Q121" s="202" t="inlineStr">
        <is>
          <t>No</t>
        </is>
      </c>
      <c r="R121" s="202" t="inlineStr">
        <is>
          <t>No</t>
        </is>
      </c>
      <c r="S121" s="202" t="inlineStr">
        <is>
          <t>No</t>
        </is>
      </c>
      <c r="T121" s="202" t="inlineStr">
        <is>
          <t>No</t>
        </is>
      </c>
      <c r="U121" s="202" t="inlineStr">
        <is>
          <t>No</t>
        </is>
      </c>
      <c r="V121" s="202" t="inlineStr">
        <is>
          <t>No</t>
        </is>
      </c>
      <c r="W121" s="202" t="inlineStr">
        <is>
          <t>No</t>
        </is>
      </c>
      <c r="X121" s="202" t="inlineStr">
        <is>
          <t>No</t>
        </is>
      </c>
      <c r="Y121" s="202" t="inlineStr">
        <is>
          <t>No</t>
        </is>
      </c>
      <c r="Z121" s="202" t="inlineStr">
        <is>
          <t>No</t>
        </is>
      </c>
      <c r="AA121" s="202" t="inlineStr">
        <is>
          <t>No</t>
        </is>
      </c>
      <c r="AB121" s="202" t="inlineStr">
        <is>
          <t>No</t>
        </is>
      </c>
      <c r="AC121" s="202" t="inlineStr">
        <is>
          <t>No</t>
        </is>
      </c>
      <c r="AD121" s="202" t="inlineStr">
        <is>
          <t>No</t>
        </is>
      </c>
      <c r="AE121" s="202" t="inlineStr">
        <is>
          <t>No</t>
        </is>
      </c>
      <c r="AF121" s="202" t="inlineStr">
        <is>
          <t>No</t>
        </is>
      </c>
      <c r="AG121" s="202" t="inlineStr">
        <is>
          <t>No</t>
        </is>
      </c>
      <c r="AH121" s="202" t="inlineStr">
        <is>
          <t>No</t>
        </is>
      </c>
      <c r="AI121" s="202" t="inlineStr">
        <is>
          <t>No</t>
        </is>
      </c>
      <c r="AJ121" s="202" t="inlineStr">
        <is>
          <t>No</t>
        </is>
      </c>
      <c r="AK121" s="202" t="inlineStr">
        <is>
          <t>No</t>
        </is>
      </c>
      <c r="AL121" s="202" t="inlineStr">
        <is>
          <t>No</t>
        </is>
      </c>
      <c r="AM121" s="202" t="inlineStr">
        <is>
          <t>No</t>
        </is>
      </c>
      <c r="AN121" s="202" t="inlineStr">
        <is>
          <t>No</t>
        </is>
      </c>
      <c r="AO121" s="202" t="inlineStr">
        <is>
          <t>No</t>
        </is>
      </c>
      <c r="AP121" s="202" t="inlineStr">
        <is>
          <t>No</t>
        </is>
      </c>
      <c r="AQ121" s="202" t="inlineStr">
        <is>
          <t>No</t>
        </is>
      </c>
      <c r="AR121" s="202" t="inlineStr">
        <is>
          <t>No</t>
        </is>
      </c>
      <c r="AS121" s="202" t="inlineStr">
        <is>
          <t>No</t>
        </is>
      </c>
      <c r="AT121" s="202" t="inlineStr">
        <is>
          <t>No</t>
        </is>
      </c>
      <c r="AU121" s="202" t="inlineStr">
        <is>
          <t>No</t>
        </is>
      </c>
      <c r="AV121" s="202" t="inlineStr">
        <is>
          <t>No</t>
        </is>
      </c>
      <c r="AW121" s="202" t="inlineStr">
        <is>
          <t>No</t>
        </is>
      </c>
      <c r="AX121" s="202" t="inlineStr">
        <is>
          <t>No</t>
        </is>
      </c>
      <c r="AY121" s="202" t="inlineStr">
        <is>
          <t>No</t>
        </is>
      </c>
      <c r="AZ121" s="202" t="inlineStr">
        <is>
          <t>No</t>
        </is>
      </c>
      <c r="BA121" s="202" t="inlineStr">
        <is>
          <t>No</t>
        </is>
      </c>
      <c r="BB121" s="202" t="inlineStr">
        <is>
          <t>No</t>
        </is>
      </c>
      <c r="BC121" s="202" t="inlineStr">
        <is>
          <t>No</t>
        </is>
      </c>
      <c r="BD121" s="202" t="inlineStr">
        <is>
          <t>No</t>
        </is>
      </c>
      <c r="BE121" s="202" t="inlineStr">
        <is>
          <t>No</t>
        </is>
      </c>
      <c r="BF121" s="202" t="inlineStr">
        <is>
          <t>No</t>
        </is>
      </c>
      <c r="BG121" s="202" t="inlineStr">
        <is>
          <t>No</t>
        </is>
      </c>
      <c r="BH121" s="202" t="inlineStr">
        <is>
          <t>No</t>
        </is>
      </c>
      <c r="BI121" s="202" t="inlineStr">
        <is>
          <t>No</t>
        </is>
      </c>
      <c r="BJ121" s="202" t="inlineStr">
        <is>
          <t>No</t>
        </is>
      </c>
      <c r="BK121" s="202" t="inlineStr">
        <is>
          <t>No</t>
        </is>
      </c>
      <c r="BL121" s="202" t="inlineStr">
        <is>
          <t>No</t>
        </is>
      </c>
      <c r="BM121" s="202" t="inlineStr">
        <is>
          <t>No</t>
        </is>
      </c>
      <c r="BN121" s="202" t="inlineStr">
        <is>
          <t>No</t>
        </is>
      </c>
      <c r="BO121" s="202" t="inlineStr">
        <is>
          <t>No</t>
        </is>
      </c>
      <c r="BP121" s="202" t="inlineStr">
        <is>
          <t>No</t>
        </is>
      </c>
      <c r="BQ121" s="202" t="inlineStr">
        <is>
          <t>No</t>
        </is>
      </c>
      <c r="BR121" s="202" t="inlineStr">
        <is>
          <t>No</t>
        </is>
      </c>
      <c r="BS121" s="202" t="inlineStr">
        <is>
          <t>No</t>
        </is>
      </c>
      <c r="BT121" s="202" t="inlineStr">
        <is>
          <t>No</t>
        </is>
      </c>
      <c r="BU121" s="202" t="inlineStr">
        <is>
          <t>No</t>
        </is>
      </c>
      <c r="BV121" s="202" t="inlineStr">
        <is>
          <t>No</t>
        </is>
      </c>
      <c r="BW121" s="202" t="inlineStr">
        <is>
          <t>No</t>
        </is>
      </c>
      <c r="BX121" s="202" t="inlineStr">
        <is>
          <t>No</t>
        </is>
      </c>
      <c r="BY121" s="202" t="inlineStr">
        <is>
          <t>No</t>
        </is>
      </c>
      <c r="BZ121" s="202" t="inlineStr">
        <is>
          <t>No</t>
        </is>
      </c>
      <c r="CA121" s="202" t="inlineStr">
        <is>
          <t>No</t>
        </is>
      </c>
      <c r="CB121" s="202" t="inlineStr">
        <is>
          <t>No</t>
        </is>
      </c>
      <c r="CC121" s="202" t="inlineStr">
        <is>
          <t>No</t>
        </is>
      </c>
      <c r="CD121" s="202" t="inlineStr">
        <is>
          <t>No</t>
        </is>
      </c>
      <c r="CE121" s="202" t="inlineStr">
        <is>
          <t>No</t>
        </is>
      </c>
      <c r="CF121" s="202" t="inlineStr">
        <is>
          <t>No</t>
        </is>
      </c>
      <c r="CG121" s="202" t="inlineStr">
        <is>
          <t>No</t>
        </is>
      </c>
      <c r="CH121" s="202" t="inlineStr">
        <is>
          <t>No</t>
        </is>
      </c>
      <c r="CI121" s="202" t="inlineStr">
        <is>
          <t>No</t>
        </is>
      </c>
      <c r="CJ121" s="202" t="inlineStr">
        <is>
          <t>No</t>
        </is>
      </c>
      <c r="CK121" s="202" t="inlineStr">
        <is>
          <t>No</t>
        </is>
      </c>
      <c r="CL121" s="202" t="inlineStr">
        <is>
          <t>No</t>
        </is>
      </c>
      <c r="CM121" s="202" t="inlineStr">
        <is>
          <t>No</t>
        </is>
      </c>
      <c r="CN121" s="202" t="inlineStr">
        <is>
          <t>No</t>
        </is>
      </c>
      <c r="CO121" s="202" t="inlineStr">
        <is>
          <t>No</t>
        </is>
      </c>
      <c r="CP121" s="202" t="inlineStr">
        <is>
          <t>No</t>
        </is>
      </c>
      <c r="CQ121" s="202" t="inlineStr">
        <is>
          <t>No</t>
        </is>
      </c>
      <c r="CR121" s="202" t="inlineStr">
        <is>
          <t>No</t>
        </is>
      </c>
      <c r="CS121" s="202" t="inlineStr">
        <is>
          <t>No</t>
        </is>
      </c>
      <c r="CT121" s="202" t="inlineStr">
        <is>
          <t>No</t>
        </is>
      </c>
      <c r="CU121" s="202" t="inlineStr">
        <is>
          <t>No</t>
        </is>
      </c>
      <c r="CV121" s="202" t="inlineStr">
        <is>
          <t>No</t>
        </is>
      </c>
      <c r="CW121" s="202" t="inlineStr">
        <is>
          <t>No</t>
        </is>
      </c>
      <c r="CX121" s="202" t="inlineStr">
        <is>
          <t>No</t>
        </is>
      </c>
      <c r="CY121" s="202" t="inlineStr">
        <is>
          <t>No</t>
        </is>
      </c>
      <c r="CZ121" s="202" t="inlineStr">
        <is>
          <t>No</t>
        </is>
      </c>
      <c r="DA121" s="202" t="inlineStr">
        <is>
          <t>No</t>
        </is>
      </c>
      <c r="DB121" s="202" t="inlineStr">
        <is>
          <t>No</t>
        </is>
      </c>
      <c r="DC121" s="202" t="inlineStr">
        <is>
          <t>No</t>
        </is>
      </c>
      <c r="DD121" s="202" t="inlineStr">
        <is>
          <t>No</t>
        </is>
      </c>
      <c r="DE121" s="202" t="inlineStr">
        <is>
          <t>No</t>
        </is>
      </c>
      <c r="DF121" s="202" t="inlineStr">
        <is>
          <t>No</t>
        </is>
      </c>
      <c r="DG121" s="202" t="inlineStr">
        <is>
          <t>No</t>
        </is>
      </c>
      <c r="DH121" s="202" t="inlineStr">
        <is>
          <t>No</t>
        </is>
      </c>
      <c r="DI121" s="202" t="inlineStr">
        <is>
          <t>No</t>
        </is>
      </c>
      <c r="DJ121" s="202" t="inlineStr">
        <is>
          <t>No</t>
        </is>
      </c>
      <c r="DK121" s="202" t="inlineStr">
        <is>
          <t>No</t>
        </is>
      </c>
      <c r="DL121" s="202" t="inlineStr">
        <is>
          <t>No</t>
        </is>
      </c>
      <c r="DM121" s="202" t="inlineStr">
        <is>
          <t>No</t>
        </is>
      </c>
      <c r="DN121" s="202" t="inlineStr">
        <is>
          <t>No</t>
        </is>
      </c>
      <c r="DO121" s="202" t="inlineStr">
        <is>
          <t>No</t>
        </is>
      </c>
      <c r="DP121" s="202" t="inlineStr">
        <is>
          <t>No</t>
        </is>
      </c>
      <c r="DQ121" s="202" t="inlineStr">
        <is>
          <t>No</t>
        </is>
      </c>
      <c r="DR121" s="202" t="inlineStr">
        <is>
          <t>No</t>
        </is>
      </c>
      <c r="DS121" s="202" t="inlineStr">
        <is>
          <t>No</t>
        </is>
      </c>
      <c r="DT121" s="202" t="inlineStr">
        <is>
          <t>No</t>
        </is>
      </c>
      <c r="DU121" s="202" t="inlineStr">
        <is>
          <t>No</t>
        </is>
      </c>
      <c r="DV121" s="202" t="inlineStr">
        <is>
          <t>No</t>
        </is>
      </c>
      <c r="DW121" s="202" t="inlineStr">
        <is>
          <t>No</t>
        </is>
      </c>
      <c r="DX121" s="202" t="inlineStr">
        <is>
          <t>No</t>
        </is>
      </c>
      <c r="DY121" s="202" t="inlineStr">
        <is>
          <t>No</t>
        </is>
      </c>
      <c r="DZ121" s="202" t="inlineStr">
        <is>
          <t>No</t>
        </is>
      </c>
      <c r="EA121" s="202" t="inlineStr">
        <is>
          <t>No</t>
        </is>
      </c>
      <c r="EB121" s="202" t="inlineStr">
        <is>
          <t>No</t>
        </is>
      </c>
      <c r="EC121" s="202" t="inlineStr">
        <is>
          <t>No</t>
        </is>
      </c>
      <c r="ED121" s="202" t="inlineStr">
        <is>
          <t>No</t>
        </is>
      </c>
      <c r="EE121" s="202" t="inlineStr">
        <is>
          <t>No</t>
        </is>
      </c>
      <c r="EF121" s="202" t="inlineStr">
        <is>
          <t>No</t>
        </is>
      </c>
      <c r="EG121" s="202" t="inlineStr">
        <is>
          <t>No</t>
        </is>
      </c>
      <c r="EH121" s="202" t="inlineStr">
        <is>
          <t>No</t>
        </is>
      </c>
      <c r="EI121" s="202" t="inlineStr">
        <is>
          <t>No</t>
        </is>
      </c>
      <c r="EJ121" s="202" t="inlineStr">
        <is>
          <t>No</t>
        </is>
      </c>
      <c r="EK121" s="202" t="inlineStr">
        <is>
          <t>No</t>
        </is>
      </c>
      <c r="EL121" s="202" t="inlineStr">
        <is>
          <t>No</t>
        </is>
      </c>
      <c r="EM121" s="202" t="inlineStr">
        <is>
          <t>No</t>
        </is>
      </c>
      <c r="EN121" s="202" t="inlineStr">
        <is>
          <t>No</t>
        </is>
      </c>
      <c r="EO121" s="182" t="n"/>
      <c r="EP121" s="176" t="n"/>
      <c r="EQ121" s="176" t="n"/>
      <c r="ER121" s="176" t="n"/>
      <c r="ES121" s="176" t="n"/>
      <c r="ET121" s="176" t="n"/>
      <c r="EU121" s="176" t="n"/>
      <c r="EV121" s="176" t="n"/>
      <c r="EW121" s="176" t="n"/>
      <c r="EX121" s="176" t="n"/>
      <c r="EY121" s="176" t="n"/>
      <c r="EZ121" s="176" t="n"/>
      <c r="FA121" s="176" t="n"/>
      <c r="FB121" s="176" t="n"/>
      <c r="FC121" s="176" t="n"/>
      <c r="FD121" s="176" t="n"/>
      <c r="FE121" s="176" t="n"/>
      <c r="FF121" s="176" t="n"/>
      <c r="FG121" s="176" t="n"/>
      <c r="FH121" s="176" t="n"/>
      <c r="FI121" s="176" t="n"/>
      <c r="FJ121" s="176" t="n"/>
      <c r="FK121" s="176" t="n"/>
      <c r="FL121" s="176" t="n"/>
      <c r="FM121" s="176" t="n"/>
    </row>
    <row r="122" ht="15" customHeight="1" s="392">
      <c r="A122" s="176" t="n"/>
      <c r="B122" s="180" t="n"/>
      <c r="C122" s="183" t="inlineStr">
        <is>
          <t xml:space="preserve">    Restated</t>
        </is>
      </c>
      <c r="D122" s="201">
        <f>IF(COUNT(M122:EN122)&gt;0,MEDIAN(M122:EN122),"")</f>
        <v/>
      </c>
      <c r="E122" s="201">
        <f>IF(COUNT(M122:EN122)&gt;0,AVERAGE(M122:EN122),"")</f>
        <v/>
      </c>
      <c r="F122" s="201">
        <f>IF(COUNT(M122:EN122)&gt;0,MIN(M122:EN122),"")</f>
        <v/>
      </c>
      <c r="G122" s="201">
        <f>IF(COUNT(M122:EN122)&gt;0,MAX(M122:EN122),"")</f>
        <v/>
      </c>
      <c r="H122" s="201">
        <f>IF(COUNT(M122:EN122)&gt;0,QUARTILE(M122:EN122,1),"")</f>
        <v/>
      </c>
      <c r="I122" s="201">
        <f>IF(COUNT(M122:EN122)&gt;0,QUARTILE(M122:EN122,3),"")</f>
        <v/>
      </c>
      <c r="J122" s="201">
        <f>IF(COUNT(M122:EN122)&gt;1,STDEV(M122:EN122),"")</f>
        <v/>
      </c>
      <c r="K122" s="191">
        <f>IF(COUNT(M122:EN122)&gt;1,STDEV(M122:EN122)/AVERAGE(M122:EN122),"")</f>
        <v/>
      </c>
      <c r="M122" s="202" t="inlineStr">
        <is>
          <t>Yes</t>
        </is>
      </c>
      <c r="N122" s="202" t="inlineStr">
        <is>
          <t>Yes</t>
        </is>
      </c>
      <c r="O122" s="202" t="inlineStr">
        <is>
          <t>Yes</t>
        </is>
      </c>
      <c r="P122" s="202" t="inlineStr">
        <is>
          <t>Yes</t>
        </is>
      </c>
      <c r="Q122" s="202" t="inlineStr">
        <is>
          <t>Yes</t>
        </is>
      </c>
      <c r="R122" s="202" t="inlineStr">
        <is>
          <t>Yes</t>
        </is>
      </c>
      <c r="S122" s="202" t="inlineStr">
        <is>
          <t>Yes</t>
        </is>
      </c>
      <c r="T122" s="202" t="inlineStr">
        <is>
          <t>Yes</t>
        </is>
      </c>
      <c r="U122" s="202" t="inlineStr">
        <is>
          <t>Yes</t>
        </is>
      </c>
      <c r="V122" s="202" t="inlineStr">
        <is>
          <t>Yes</t>
        </is>
      </c>
      <c r="W122" s="202" t="inlineStr">
        <is>
          <t>Yes</t>
        </is>
      </c>
      <c r="X122" s="202" t="inlineStr">
        <is>
          <t>Yes</t>
        </is>
      </c>
      <c r="Y122" s="202" t="inlineStr">
        <is>
          <t>Yes</t>
        </is>
      </c>
      <c r="Z122" s="202" t="inlineStr">
        <is>
          <t>Yes</t>
        </is>
      </c>
      <c r="AA122" s="202" t="inlineStr">
        <is>
          <t>Yes</t>
        </is>
      </c>
      <c r="AB122" s="202" t="inlineStr">
        <is>
          <t>Yes</t>
        </is>
      </c>
      <c r="AC122" s="202" t="inlineStr">
        <is>
          <t>Yes</t>
        </is>
      </c>
      <c r="AD122" s="202" t="inlineStr">
        <is>
          <t>Yes</t>
        </is>
      </c>
      <c r="AE122" s="202" t="inlineStr">
        <is>
          <t>Yes</t>
        </is>
      </c>
      <c r="AF122" s="202" t="inlineStr">
        <is>
          <t>Yes</t>
        </is>
      </c>
      <c r="AG122" s="202" t="inlineStr">
        <is>
          <t>Yes</t>
        </is>
      </c>
      <c r="AH122" s="202" t="inlineStr">
        <is>
          <t>Yes</t>
        </is>
      </c>
      <c r="AI122" s="202" t="inlineStr">
        <is>
          <t>Yes</t>
        </is>
      </c>
      <c r="AJ122" s="202" t="inlineStr">
        <is>
          <t>Yes</t>
        </is>
      </c>
      <c r="AK122" s="202" t="inlineStr">
        <is>
          <t>Yes</t>
        </is>
      </c>
      <c r="AL122" s="202" t="inlineStr">
        <is>
          <t>Yes</t>
        </is>
      </c>
      <c r="AM122" s="202" t="inlineStr">
        <is>
          <t>Yes</t>
        </is>
      </c>
      <c r="AN122" s="202" t="inlineStr">
        <is>
          <t>Yes</t>
        </is>
      </c>
      <c r="AO122" s="202" t="inlineStr">
        <is>
          <t>Yes</t>
        </is>
      </c>
      <c r="AP122" s="202" t="inlineStr">
        <is>
          <t>Yes</t>
        </is>
      </c>
      <c r="AQ122" s="202" t="inlineStr">
        <is>
          <t>Yes</t>
        </is>
      </c>
      <c r="AR122" s="202" t="inlineStr">
        <is>
          <t>Yes</t>
        </is>
      </c>
      <c r="AS122" s="202" t="inlineStr">
        <is>
          <t>Yes</t>
        </is>
      </c>
      <c r="AT122" s="202" t="inlineStr">
        <is>
          <t>Yes</t>
        </is>
      </c>
      <c r="AU122" s="202" t="inlineStr">
        <is>
          <t>Yes</t>
        </is>
      </c>
      <c r="AV122" s="202" t="inlineStr">
        <is>
          <t>Yes</t>
        </is>
      </c>
      <c r="AW122" s="202" t="inlineStr">
        <is>
          <t>Yes</t>
        </is>
      </c>
      <c r="AX122" s="202" t="inlineStr">
        <is>
          <t>Yes</t>
        </is>
      </c>
      <c r="AY122" s="202" t="inlineStr">
        <is>
          <t>Yes</t>
        </is>
      </c>
      <c r="AZ122" s="202" t="inlineStr">
        <is>
          <t>Yes</t>
        </is>
      </c>
      <c r="BA122" s="202" t="inlineStr">
        <is>
          <t>Yes</t>
        </is>
      </c>
      <c r="BB122" s="202" t="inlineStr">
        <is>
          <t>Yes</t>
        </is>
      </c>
      <c r="BC122" s="202" t="inlineStr">
        <is>
          <t>Yes</t>
        </is>
      </c>
      <c r="BD122" s="202" t="inlineStr">
        <is>
          <t>Yes</t>
        </is>
      </c>
      <c r="BE122" s="202" t="inlineStr">
        <is>
          <t>Yes</t>
        </is>
      </c>
      <c r="BF122" s="202" t="inlineStr">
        <is>
          <t>Yes</t>
        </is>
      </c>
      <c r="BG122" s="202" t="inlineStr">
        <is>
          <t>Yes</t>
        </is>
      </c>
      <c r="BH122" s="202" t="inlineStr">
        <is>
          <t>Yes</t>
        </is>
      </c>
      <c r="BI122" s="202" t="inlineStr">
        <is>
          <t>Yes</t>
        </is>
      </c>
      <c r="BJ122" s="202" t="inlineStr">
        <is>
          <t>Yes</t>
        </is>
      </c>
      <c r="BK122" s="202" t="inlineStr">
        <is>
          <t>Yes</t>
        </is>
      </c>
      <c r="BL122" s="202" t="inlineStr">
        <is>
          <t>Yes</t>
        </is>
      </c>
      <c r="BM122" s="202" t="inlineStr">
        <is>
          <t>Yes</t>
        </is>
      </c>
      <c r="BN122" s="202" t="inlineStr">
        <is>
          <t>Yes</t>
        </is>
      </c>
      <c r="BO122" s="202" t="inlineStr">
        <is>
          <t>Yes</t>
        </is>
      </c>
      <c r="BP122" s="202" t="inlineStr">
        <is>
          <t>Yes</t>
        </is>
      </c>
      <c r="BQ122" s="202" t="inlineStr">
        <is>
          <t>Yes</t>
        </is>
      </c>
      <c r="BR122" s="202" t="inlineStr">
        <is>
          <t>Yes</t>
        </is>
      </c>
      <c r="BS122" s="202" t="inlineStr">
        <is>
          <t>Yes</t>
        </is>
      </c>
      <c r="BT122" s="202" t="inlineStr">
        <is>
          <t>Yes</t>
        </is>
      </c>
      <c r="BU122" s="202" t="inlineStr">
        <is>
          <t>Yes</t>
        </is>
      </c>
      <c r="BV122" s="202" t="inlineStr">
        <is>
          <t>Yes</t>
        </is>
      </c>
      <c r="BW122" s="202" t="inlineStr">
        <is>
          <t>Yes</t>
        </is>
      </c>
      <c r="BX122" s="202" t="inlineStr">
        <is>
          <t>Yes</t>
        </is>
      </c>
      <c r="BY122" s="202" t="inlineStr">
        <is>
          <t>Yes</t>
        </is>
      </c>
      <c r="BZ122" s="202" t="inlineStr">
        <is>
          <t>Yes</t>
        </is>
      </c>
      <c r="CA122" s="202" t="inlineStr">
        <is>
          <t>Yes</t>
        </is>
      </c>
      <c r="CB122" s="202" t="inlineStr">
        <is>
          <t>Yes</t>
        </is>
      </c>
      <c r="CC122" s="202" t="inlineStr">
        <is>
          <t>Yes</t>
        </is>
      </c>
      <c r="CD122" s="202" t="inlineStr">
        <is>
          <t>Yes</t>
        </is>
      </c>
      <c r="CE122" s="202" t="inlineStr">
        <is>
          <t>Yes</t>
        </is>
      </c>
      <c r="CF122" s="202" t="inlineStr">
        <is>
          <t>Yes</t>
        </is>
      </c>
      <c r="CG122" s="202" t="inlineStr">
        <is>
          <t>Yes</t>
        </is>
      </c>
      <c r="CH122" s="202" t="inlineStr">
        <is>
          <t>Yes</t>
        </is>
      </c>
      <c r="CI122" s="202" t="inlineStr">
        <is>
          <t>Yes</t>
        </is>
      </c>
      <c r="CJ122" s="202" t="inlineStr">
        <is>
          <t>Yes</t>
        </is>
      </c>
      <c r="CK122" s="202" t="inlineStr">
        <is>
          <t>Yes</t>
        </is>
      </c>
      <c r="CL122" s="202" t="inlineStr">
        <is>
          <t>Yes</t>
        </is>
      </c>
      <c r="CM122" s="202" t="inlineStr">
        <is>
          <t>Yes</t>
        </is>
      </c>
      <c r="CN122" s="202" t="inlineStr">
        <is>
          <t>Yes</t>
        </is>
      </c>
      <c r="CO122" s="202" t="inlineStr">
        <is>
          <t>Yes</t>
        </is>
      </c>
      <c r="CP122" s="202" t="inlineStr">
        <is>
          <t>Yes</t>
        </is>
      </c>
      <c r="CQ122" s="202" t="inlineStr">
        <is>
          <t>Yes</t>
        </is>
      </c>
      <c r="CR122" s="202" t="inlineStr">
        <is>
          <t>Yes</t>
        </is>
      </c>
      <c r="CS122" s="202" t="inlineStr">
        <is>
          <t>Yes</t>
        </is>
      </c>
      <c r="CT122" s="202" t="inlineStr">
        <is>
          <t>Yes</t>
        </is>
      </c>
      <c r="CU122" s="202" t="inlineStr">
        <is>
          <t>Yes</t>
        </is>
      </c>
      <c r="CV122" s="202" t="inlineStr">
        <is>
          <t>Yes</t>
        </is>
      </c>
      <c r="CW122" s="202" t="inlineStr">
        <is>
          <t>Yes</t>
        </is>
      </c>
      <c r="CX122" s="202" t="inlineStr">
        <is>
          <t>Yes</t>
        </is>
      </c>
      <c r="CY122" s="202" t="inlineStr">
        <is>
          <t>Yes</t>
        </is>
      </c>
      <c r="CZ122" s="202" t="inlineStr">
        <is>
          <t>Yes</t>
        </is>
      </c>
      <c r="DA122" s="202" t="inlineStr">
        <is>
          <t>Yes</t>
        </is>
      </c>
      <c r="DB122" s="202" t="inlineStr">
        <is>
          <t>Yes</t>
        </is>
      </c>
      <c r="DC122" s="202" t="inlineStr">
        <is>
          <t>Yes</t>
        </is>
      </c>
      <c r="DD122" s="202" t="inlineStr">
        <is>
          <t>Yes</t>
        </is>
      </c>
      <c r="DE122" s="202" t="inlineStr">
        <is>
          <t>Yes</t>
        </is>
      </c>
      <c r="DF122" s="202" t="inlineStr">
        <is>
          <t>Yes</t>
        </is>
      </c>
      <c r="DG122" s="202" t="inlineStr">
        <is>
          <t>Yes</t>
        </is>
      </c>
      <c r="DH122" s="202" t="inlineStr">
        <is>
          <t>Yes</t>
        </is>
      </c>
      <c r="DI122" s="202" t="inlineStr">
        <is>
          <t>Yes</t>
        </is>
      </c>
      <c r="DJ122" s="202" t="inlineStr">
        <is>
          <t>Yes</t>
        </is>
      </c>
      <c r="DK122" s="202" t="inlineStr">
        <is>
          <t>Yes</t>
        </is>
      </c>
      <c r="DL122" s="202" t="inlineStr">
        <is>
          <t>Yes</t>
        </is>
      </c>
      <c r="DM122" s="202" t="inlineStr">
        <is>
          <t>Yes</t>
        </is>
      </c>
      <c r="DN122" s="202" t="inlineStr">
        <is>
          <t>Yes</t>
        </is>
      </c>
      <c r="DO122" s="202" t="inlineStr">
        <is>
          <t>Yes</t>
        </is>
      </c>
      <c r="DP122" s="202" t="inlineStr">
        <is>
          <t>Yes</t>
        </is>
      </c>
      <c r="DQ122" s="202" t="inlineStr">
        <is>
          <t>Yes</t>
        </is>
      </c>
      <c r="DR122" s="202" t="inlineStr">
        <is>
          <t>Yes</t>
        </is>
      </c>
      <c r="DS122" s="202" t="inlineStr">
        <is>
          <t>Yes</t>
        </is>
      </c>
      <c r="DT122" s="202" t="inlineStr">
        <is>
          <t>Yes</t>
        </is>
      </c>
      <c r="DU122" s="202" t="inlineStr">
        <is>
          <t>Yes</t>
        </is>
      </c>
      <c r="DV122" s="202" t="inlineStr">
        <is>
          <t>Yes</t>
        </is>
      </c>
      <c r="DW122" s="202" t="inlineStr">
        <is>
          <t>Yes</t>
        </is>
      </c>
      <c r="DX122" s="202" t="inlineStr">
        <is>
          <t>Yes</t>
        </is>
      </c>
      <c r="DY122" s="202" t="inlineStr">
        <is>
          <t>Yes</t>
        </is>
      </c>
      <c r="DZ122" s="202" t="inlineStr">
        <is>
          <t>Yes</t>
        </is>
      </c>
      <c r="EA122" s="202" t="inlineStr">
        <is>
          <t>Yes</t>
        </is>
      </c>
      <c r="EB122" s="202" t="inlineStr">
        <is>
          <t>Yes</t>
        </is>
      </c>
      <c r="EC122" s="202" t="inlineStr">
        <is>
          <t>Yes</t>
        </is>
      </c>
      <c r="ED122" s="202" t="inlineStr">
        <is>
          <t>Yes</t>
        </is>
      </c>
      <c r="EE122" s="202" t="inlineStr">
        <is>
          <t>Yes</t>
        </is>
      </c>
      <c r="EF122" s="202" t="inlineStr">
        <is>
          <t>Yes</t>
        </is>
      </c>
      <c r="EG122" s="202" t="inlineStr">
        <is>
          <t>Yes</t>
        </is>
      </c>
      <c r="EH122" s="202" t="inlineStr">
        <is>
          <t>Yes</t>
        </is>
      </c>
      <c r="EI122" s="202" t="inlineStr">
        <is>
          <t>Yes</t>
        </is>
      </c>
      <c r="EJ122" s="202" t="inlineStr">
        <is>
          <t>Yes</t>
        </is>
      </c>
      <c r="EK122" s="202" t="inlineStr">
        <is>
          <t>Yes</t>
        </is>
      </c>
      <c r="EL122" s="202" t="inlineStr">
        <is>
          <t>Yes</t>
        </is>
      </c>
      <c r="EM122" s="202" t="inlineStr">
        <is>
          <t>Yes</t>
        </is>
      </c>
      <c r="EN122" s="202" t="inlineStr">
        <is>
          <t>Yes</t>
        </is>
      </c>
      <c r="EO122" s="182" t="n"/>
      <c r="EP122" s="176" t="n"/>
      <c r="EQ122" s="176" t="n"/>
      <c r="ER122" s="176" t="n"/>
      <c r="ES122" s="176" t="n"/>
      <c r="ET122" s="176" t="n"/>
      <c r="EU122" s="176" t="n"/>
      <c r="EV122" s="176" t="n"/>
      <c r="EW122" s="176" t="n"/>
      <c r="EX122" s="176" t="n"/>
      <c r="EY122" s="176" t="n"/>
      <c r="EZ122" s="176" t="n"/>
      <c r="FA122" s="176" t="n"/>
      <c r="FB122" s="176" t="n"/>
      <c r="FC122" s="176" t="n"/>
      <c r="FD122" s="176" t="n"/>
      <c r="FE122" s="176" t="n"/>
      <c r="FF122" s="176" t="n"/>
      <c r="FG122" s="176" t="n"/>
      <c r="FH122" s="176" t="n"/>
      <c r="FI122" s="176" t="n"/>
      <c r="FJ122" s="176" t="n"/>
      <c r="FK122" s="176" t="n"/>
      <c r="FL122" s="176" t="n"/>
      <c r="FM122" s="176" t="n"/>
    </row>
    <row r="123" ht="15" customHeight="1" s="392">
      <c r="A123" s="176" t="n"/>
      <c r="B123" s="180" t="n"/>
      <c r="C123" s="183" t="inlineStr">
        <is>
          <t xml:space="preserve">    Calculated</t>
        </is>
      </c>
      <c r="D123" s="201">
        <f>IF(COUNT(M123:EN123)&gt;0,MEDIAN(M123:EN123),"")</f>
        <v/>
      </c>
      <c r="E123" s="201">
        <f>IF(COUNT(M123:EN123)&gt;0,AVERAGE(M123:EN123),"")</f>
        <v/>
      </c>
      <c r="F123" s="201">
        <f>IF(COUNT(M123:EN123)&gt;0,MIN(M123:EN123),"")</f>
        <v/>
      </c>
      <c r="G123" s="201">
        <f>IF(COUNT(M123:EN123)&gt;0,MAX(M123:EN123),"")</f>
        <v/>
      </c>
      <c r="H123" s="201">
        <f>IF(COUNT(M123:EN123)&gt;0,QUARTILE(M123:EN123,1),"")</f>
        <v/>
      </c>
      <c r="I123" s="201">
        <f>IF(COUNT(M123:EN123)&gt;0,QUARTILE(M123:EN123,3),"")</f>
        <v/>
      </c>
      <c r="J123" s="201">
        <f>IF(COUNT(M123:EN123)&gt;1,STDEV(M123:EN123),"")</f>
        <v/>
      </c>
      <c r="K123" s="191">
        <f>IF(COUNT(M123:EN123)&gt;1,STDEV(M123:EN123)/AVERAGE(M123:EN123),"")</f>
        <v/>
      </c>
      <c r="M123" s="202" t="inlineStr">
        <is>
          <t>No</t>
        </is>
      </c>
      <c r="N123" s="202" t="inlineStr">
        <is>
          <t>No</t>
        </is>
      </c>
      <c r="O123" s="202" t="inlineStr">
        <is>
          <t>No</t>
        </is>
      </c>
      <c r="P123" s="202" t="inlineStr">
        <is>
          <t>No</t>
        </is>
      </c>
      <c r="Q123" s="202" t="inlineStr">
        <is>
          <t>No</t>
        </is>
      </c>
      <c r="R123" s="202" t="inlineStr">
        <is>
          <t>No</t>
        </is>
      </c>
      <c r="S123" s="202" t="inlineStr">
        <is>
          <t>No</t>
        </is>
      </c>
      <c r="T123" s="202" t="inlineStr">
        <is>
          <t>No</t>
        </is>
      </c>
      <c r="U123" s="202" t="inlineStr">
        <is>
          <t>No</t>
        </is>
      </c>
      <c r="V123" s="202" t="inlineStr">
        <is>
          <t>No</t>
        </is>
      </c>
      <c r="W123" s="202" t="inlineStr">
        <is>
          <t>No</t>
        </is>
      </c>
      <c r="X123" s="202" t="inlineStr">
        <is>
          <t>No</t>
        </is>
      </c>
      <c r="Y123" s="202" t="inlineStr">
        <is>
          <t>No</t>
        </is>
      </c>
      <c r="Z123" s="202" t="inlineStr">
        <is>
          <t>No</t>
        </is>
      </c>
      <c r="AA123" s="202" t="inlineStr">
        <is>
          <t>No</t>
        </is>
      </c>
      <c r="AB123" s="202" t="inlineStr">
        <is>
          <t>No</t>
        </is>
      </c>
      <c r="AC123" s="202" t="inlineStr">
        <is>
          <t>No</t>
        </is>
      </c>
      <c r="AD123" s="202" t="inlineStr">
        <is>
          <t>No</t>
        </is>
      </c>
      <c r="AE123" s="202" t="inlineStr">
        <is>
          <t>No</t>
        </is>
      </c>
      <c r="AF123" s="202" t="inlineStr">
        <is>
          <t>No</t>
        </is>
      </c>
      <c r="AG123" s="202" t="inlineStr">
        <is>
          <t>No</t>
        </is>
      </c>
      <c r="AH123" s="202" t="inlineStr">
        <is>
          <t>No</t>
        </is>
      </c>
      <c r="AI123" s="202" t="inlineStr">
        <is>
          <t>No</t>
        </is>
      </c>
      <c r="AJ123" s="202" t="inlineStr">
        <is>
          <t>No</t>
        </is>
      </c>
      <c r="AK123" s="202" t="inlineStr">
        <is>
          <t>No</t>
        </is>
      </c>
      <c r="AL123" s="202" t="inlineStr">
        <is>
          <t>No</t>
        </is>
      </c>
      <c r="AM123" s="202" t="inlineStr">
        <is>
          <t>No</t>
        </is>
      </c>
      <c r="AN123" s="202" t="inlineStr">
        <is>
          <t>No</t>
        </is>
      </c>
      <c r="AO123" s="202" t="inlineStr">
        <is>
          <t>No</t>
        </is>
      </c>
      <c r="AP123" s="202" t="inlineStr">
        <is>
          <t>No</t>
        </is>
      </c>
      <c r="AQ123" s="202" t="inlineStr">
        <is>
          <t>No</t>
        </is>
      </c>
      <c r="AR123" s="202" t="inlineStr">
        <is>
          <t>No</t>
        </is>
      </c>
      <c r="AS123" s="202" t="inlineStr">
        <is>
          <t>No</t>
        </is>
      </c>
      <c r="AT123" s="202" t="inlineStr">
        <is>
          <t>No</t>
        </is>
      </c>
      <c r="AU123" s="202" t="inlineStr">
        <is>
          <t>No</t>
        </is>
      </c>
      <c r="AV123" s="202" t="inlineStr">
        <is>
          <t>No</t>
        </is>
      </c>
      <c r="AW123" s="202" t="inlineStr">
        <is>
          <t>No</t>
        </is>
      </c>
      <c r="AX123" s="202" t="inlineStr">
        <is>
          <t>No</t>
        </is>
      </c>
      <c r="AY123" s="202" t="inlineStr">
        <is>
          <t>No</t>
        </is>
      </c>
      <c r="AZ123" s="202" t="inlineStr">
        <is>
          <t>No</t>
        </is>
      </c>
      <c r="BA123" s="202" t="inlineStr">
        <is>
          <t>No</t>
        </is>
      </c>
      <c r="BB123" s="202" t="inlineStr">
        <is>
          <t>No</t>
        </is>
      </c>
      <c r="BC123" s="202" t="inlineStr">
        <is>
          <t>No</t>
        </is>
      </c>
      <c r="BD123" s="202" t="inlineStr">
        <is>
          <t>No</t>
        </is>
      </c>
      <c r="BE123" s="202" t="inlineStr">
        <is>
          <t>No</t>
        </is>
      </c>
      <c r="BF123" s="202" t="inlineStr">
        <is>
          <t>No</t>
        </is>
      </c>
      <c r="BG123" s="202" t="inlineStr">
        <is>
          <t>No</t>
        </is>
      </c>
      <c r="BH123" s="202" t="inlineStr">
        <is>
          <t>No</t>
        </is>
      </c>
      <c r="BI123" s="202" t="inlineStr">
        <is>
          <t>No</t>
        </is>
      </c>
      <c r="BJ123" s="202" t="inlineStr">
        <is>
          <t>No</t>
        </is>
      </c>
      <c r="BK123" s="202" t="inlineStr">
        <is>
          <t>No</t>
        </is>
      </c>
      <c r="BL123" s="202" t="inlineStr">
        <is>
          <t>No</t>
        </is>
      </c>
      <c r="BM123" s="202" t="inlineStr">
        <is>
          <t>No</t>
        </is>
      </c>
      <c r="BN123" s="202" t="inlineStr">
        <is>
          <t>No</t>
        </is>
      </c>
      <c r="BO123" s="202" t="inlineStr">
        <is>
          <t>No</t>
        </is>
      </c>
      <c r="BP123" s="202" t="inlineStr">
        <is>
          <t>No</t>
        </is>
      </c>
      <c r="BQ123" s="202" t="inlineStr">
        <is>
          <t>No</t>
        </is>
      </c>
      <c r="BR123" s="202" t="inlineStr">
        <is>
          <t>No</t>
        </is>
      </c>
      <c r="BS123" s="202" t="inlineStr">
        <is>
          <t>No</t>
        </is>
      </c>
      <c r="BT123" s="202" t="inlineStr">
        <is>
          <t>No</t>
        </is>
      </c>
      <c r="BU123" s="202" t="inlineStr">
        <is>
          <t>No</t>
        </is>
      </c>
      <c r="BV123" s="202" t="inlineStr">
        <is>
          <t>No</t>
        </is>
      </c>
      <c r="BW123" s="202" t="inlineStr">
        <is>
          <t>No</t>
        </is>
      </c>
      <c r="BX123" s="202" t="inlineStr">
        <is>
          <t>No</t>
        </is>
      </c>
      <c r="BY123" s="202" t="inlineStr">
        <is>
          <t>No</t>
        </is>
      </c>
      <c r="BZ123" s="202" t="inlineStr">
        <is>
          <t>No</t>
        </is>
      </c>
      <c r="CA123" s="202" t="inlineStr">
        <is>
          <t>No</t>
        </is>
      </c>
      <c r="CB123" s="202" t="inlineStr">
        <is>
          <t>No</t>
        </is>
      </c>
      <c r="CC123" s="202" t="inlineStr">
        <is>
          <t>No</t>
        </is>
      </c>
      <c r="CD123" s="202" t="inlineStr">
        <is>
          <t>No</t>
        </is>
      </c>
      <c r="CE123" s="202" t="inlineStr">
        <is>
          <t>No</t>
        </is>
      </c>
      <c r="CF123" s="202" t="inlineStr">
        <is>
          <t>No</t>
        </is>
      </c>
      <c r="CG123" s="202" t="inlineStr">
        <is>
          <t>No</t>
        </is>
      </c>
      <c r="CH123" s="202" t="inlineStr">
        <is>
          <t>No</t>
        </is>
      </c>
      <c r="CI123" s="202" t="inlineStr">
        <is>
          <t>No</t>
        </is>
      </c>
      <c r="CJ123" s="202" t="inlineStr">
        <is>
          <t>No</t>
        </is>
      </c>
      <c r="CK123" s="202" t="inlineStr">
        <is>
          <t>No</t>
        </is>
      </c>
      <c r="CL123" s="202" t="inlineStr">
        <is>
          <t>No</t>
        </is>
      </c>
      <c r="CM123" s="202" t="inlineStr">
        <is>
          <t>No</t>
        </is>
      </c>
      <c r="CN123" s="202" t="inlineStr">
        <is>
          <t>No</t>
        </is>
      </c>
      <c r="CO123" s="202" t="inlineStr">
        <is>
          <t>No</t>
        </is>
      </c>
      <c r="CP123" s="202" t="inlineStr">
        <is>
          <t>No</t>
        </is>
      </c>
      <c r="CQ123" s="202" t="inlineStr">
        <is>
          <t>No</t>
        </is>
      </c>
      <c r="CR123" s="202" t="inlineStr">
        <is>
          <t>No</t>
        </is>
      </c>
      <c r="CS123" s="202" t="inlineStr">
        <is>
          <t>No</t>
        </is>
      </c>
      <c r="CT123" s="202" t="inlineStr">
        <is>
          <t>No</t>
        </is>
      </c>
      <c r="CU123" s="202" t="inlineStr">
        <is>
          <t>No</t>
        </is>
      </c>
      <c r="CV123" s="202" t="inlineStr">
        <is>
          <t>No</t>
        </is>
      </c>
      <c r="CW123" s="202" t="inlineStr">
        <is>
          <t>No</t>
        </is>
      </c>
      <c r="CX123" s="202" t="inlineStr">
        <is>
          <t>No</t>
        </is>
      </c>
      <c r="CY123" s="202" t="inlineStr">
        <is>
          <t>No</t>
        </is>
      </c>
      <c r="CZ123" s="202" t="inlineStr">
        <is>
          <t>No</t>
        </is>
      </c>
      <c r="DA123" s="202" t="inlineStr">
        <is>
          <t>No</t>
        </is>
      </c>
      <c r="DB123" s="202" t="inlineStr">
        <is>
          <t>No</t>
        </is>
      </c>
      <c r="DC123" s="202" t="inlineStr">
        <is>
          <t>No</t>
        </is>
      </c>
      <c r="DD123" s="202" t="inlineStr">
        <is>
          <t>No</t>
        </is>
      </c>
      <c r="DE123" s="202" t="inlineStr">
        <is>
          <t>No</t>
        </is>
      </c>
      <c r="DF123" s="202" t="inlineStr">
        <is>
          <t>No</t>
        </is>
      </c>
      <c r="DG123" s="202" t="inlineStr">
        <is>
          <t>No</t>
        </is>
      </c>
      <c r="DH123" s="202" t="inlineStr">
        <is>
          <t>No</t>
        </is>
      </c>
      <c r="DI123" s="202" t="inlineStr">
        <is>
          <t>No</t>
        </is>
      </c>
      <c r="DJ123" s="202" t="inlineStr">
        <is>
          <t>No</t>
        </is>
      </c>
      <c r="DK123" s="202" t="inlineStr">
        <is>
          <t>No</t>
        </is>
      </c>
      <c r="DL123" s="202" t="inlineStr">
        <is>
          <t>No</t>
        </is>
      </c>
      <c r="DM123" s="202" t="inlineStr">
        <is>
          <t>No</t>
        </is>
      </c>
      <c r="DN123" s="202" t="inlineStr">
        <is>
          <t>No</t>
        </is>
      </c>
      <c r="DO123" s="202" t="inlineStr">
        <is>
          <t>No</t>
        </is>
      </c>
      <c r="DP123" s="202" t="inlineStr">
        <is>
          <t>No</t>
        </is>
      </c>
      <c r="DQ123" s="202" t="inlineStr">
        <is>
          <t>No</t>
        </is>
      </c>
      <c r="DR123" s="202" t="inlineStr">
        <is>
          <t>No</t>
        </is>
      </c>
      <c r="DS123" s="202" t="inlineStr">
        <is>
          <t>No</t>
        </is>
      </c>
      <c r="DT123" s="202" t="inlineStr">
        <is>
          <t>No</t>
        </is>
      </c>
      <c r="DU123" s="202" t="inlineStr">
        <is>
          <t>No</t>
        </is>
      </c>
      <c r="DV123" s="202" t="inlineStr">
        <is>
          <t>No</t>
        </is>
      </c>
      <c r="DW123" s="202" t="inlineStr">
        <is>
          <t>No</t>
        </is>
      </c>
      <c r="DX123" s="202" t="inlineStr">
        <is>
          <t>No</t>
        </is>
      </c>
      <c r="DY123" s="202" t="inlineStr">
        <is>
          <t>No</t>
        </is>
      </c>
      <c r="DZ123" s="202" t="inlineStr">
        <is>
          <t>No</t>
        </is>
      </c>
      <c r="EA123" s="202" t="inlineStr">
        <is>
          <t>No</t>
        </is>
      </c>
      <c r="EB123" s="202" t="inlineStr">
        <is>
          <t>No</t>
        </is>
      </c>
      <c r="EC123" s="202" t="inlineStr">
        <is>
          <t>No</t>
        </is>
      </c>
      <c r="ED123" s="202" t="inlineStr">
        <is>
          <t>No</t>
        </is>
      </c>
      <c r="EE123" s="202" t="inlineStr">
        <is>
          <t>No</t>
        </is>
      </c>
      <c r="EF123" s="202" t="inlineStr">
        <is>
          <t>No</t>
        </is>
      </c>
      <c r="EG123" s="202" t="inlineStr">
        <is>
          <t>No</t>
        </is>
      </c>
      <c r="EH123" s="202" t="inlineStr">
        <is>
          <t>No</t>
        </is>
      </c>
      <c r="EI123" s="202" t="inlineStr">
        <is>
          <t>No</t>
        </is>
      </c>
      <c r="EJ123" s="202" t="inlineStr">
        <is>
          <t>No</t>
        </is>
      </c>
      <c r="EK123" s="202" t="inlineStr">
        <is>
          <t>No</t>
        </is>
      </c>
      <c r="EL123" s="202" t="inlineStr">
        <is>
          <t>No</t>
        </is>
      </c>
      <c r="EM123" s="202" t="inlineStr">
        <is>
          <t>No</t>
        </is>
      </c>
      <c r="EN123" s="202" t="inlineStr">
        <is>
          <t>No</t>
        </is>
      </c>
      <c r="EO123" s="182" t="n"/>
      <c r="EP123" s="176" t="n"/>
      <c r="EQ123" s="176" t="n"/>
      <c r="ER123" s="176" t="n"/>
      <c r="ES123" s="176" t="n"/>
      <c r="ET123" s="176" t="n"/>
      <c r="EU123" s="176" t="n"/>
      <c r="EV123" s="176" t="n"/>
      <c r="EW123" s="176" t="n"/>
      <c r="EX123" s="176" t="n"/>
      <c r="EY123" s="176" t="n"/>
      <c r="EZ123" s="176" t="n"/>
      <c r="FA123" s="176" t="n"/>
      <c r="FB123" s="176" t="n"/>
      <c r="FC123" s="176" t="n"/>
      <c r="FD123" s="176" t="n"/>
      <c r="FE123" s="176" t="n"/>
      <c r="FF123" s="176" t="n"/>
      <c r="FG123" s="176" t="n"/>
      <c r="FH123" s="176" t="n"/>
      <c r="FI123" s="176" t="n"/>
      <c r="FJ123" s="176" t="n"/>
      <c r="FK123" s="176" t="n"/>
      <c r="FL123" s="176" t="n"/>
      <c r="FM123" s="176" t="n"/>
    </row>
    <row r="124" ht="15" customHeight="1" s="392">
      <c r="A124" s="176" t="n"/>
      <c r="B124" s="180" t="n"/>
      <c r="EO124" s="182" t="n"/>
      <c r="EP124" s="176" t="n"/>
      <c r="EQ124" s="176" t="n"/>
      <c r="ER124" s="176" t="n"/>
      <c r="ES124" s="176" t="n"/>
      <c r="ET124" s="176" t="n"/>
      <c r="EU124" s="176" t="n"/>
      <c r="EV124" s="176" t="n"/>
      <c r="EW124" s="176" t="n"/>
      <c r="EX124" s="176" t="n"/>
      <c r="EY124" s="176" t="n"/>
      <c r="EZ124" s="176" t="n"/>
      <c r="FA124" s="176" t="n"/>
      <c r="FB124" s="176" t="n"/>
      <c r="FC124" s="176" t="n"/>
      <c r="FD124" s="176" t="n"/>
      <c r="FE124" s="176" t="n"/>
      <c r="FF124" s="176" t="n"/>
      <c r="FG124" s="176" t="n"/>
      <c r="FH124" s="176" t="n"/>
      <c r="FI124" s="176" t="n"/>
      <c r="FJ124" s="176" t="n"/>
      <c r="FK124" s="176" t="n"/>
      <c r="FL124" s="176" t="n"/>
      <c r="FM124" s="176" t="n"/>
    </row>
    <row r="125" ht="15" customHeight="1" s="392">
      <c r="A125" s="176" t="n"/>
      <c r="B125" s="180" t="n"/>
      <c r="EO125" s="182" t="n"/>
      <c r="EP125" s="176" t="n"/>
      <c r="EQ125" s="176" t="n"/>
      <c r="ER125" s="176" t="n"/>
      <c r="ES125" s="176" t="n"/>
      <c r="ET125" s="176" t="n"/>
      <c r="EU125" s="176" t="n"/>
      <c r="EV125" s="176" t="n"/>
      <c r="EW125" s="176" t="n"/>
      <c r="EX125" s="176" t="n"/>
      <c r="EY125" s="176" t="n"/>
      <c r="EZ125" s="176" t="n"/>
      <c r="FA125" s="176" t="n"/>
      <c r="FB125" s="176" t="n"/>
      <c r="FC125" s="176" t="n"/>
      <c r="FD125" s="176" t="n"/>
      <c r="FE125" s="176" t="n"/>
      <c r="FF125" s="176" t="n"/>
      <c r="FG125" s="176" t="n"/>
      <c r="FH125" s="176" t="n"/>
      <c r="FI125" s="176" t="n"/>
      <c r="FJ125" s="176" t="n"/>
      <c r="FK125" s="176" t="n"/>
      <c r="FL125" s="176" t="n"/>
      <c r="FM125" s="176" t="n"/>
    </row>
    <row r="126" ht="15" customHeight="1" s="392">
      <c r="A126" s="176" t="n"/>
      <c r="B126" s="180" t="n"/>
      <c r="C126" s="183" t="inlineStr">
        <is>
          <t>© PitchBook Data, Inc.  2026</t>
        </is>
      </c>
      <c r="EO126" s="182" t="n"/>
      <c r="EP126" s="176" t="n"/>
      <c r="EQ126" s="176" t="n"/>
      <c r="ER126" s="176" t="n"/>
      <c r="ES126" s="176" t="n"/>
      <c r="ET126" s="176" t="n"/>
      <c r="EU126" s="176" t="n"/>
      <c r="EV126" s="176" t="n"/>
      <c r="EW126" s="176" t="n"/>
      <c r="EX126" s="176" t="n"/>
      <c r="EY126" s="176" t="n"/>
      <c r="EZ126" s="176" t="n"/>
      <c r="FA126" s="176" t="n"/>
      <c r="FB126" s="176" t="n"/>
      <c r="FC126" s="176" t="n"/>
      <c r="FD126" s="176" t="n"/>
      <c r="FE126" s="176" t="n"/>
      <c r="FF126" s="176" t="n"/>
      <c r="FG126" s="176" t="n"/>
      <c r="FH126" s="176" t="n"/>
      <c r="FI126" s="176" t="n"/>
      <c r="FJ126" s="176" t="n"/>
      <c r="FK126" s="176" t="n"/>
      <c r="FL126" s="176" t="n"/>
      <c r="FM126" s="176" t="n"/>
    </row>
    <row r="127" ht="15" customHeight="1" s="392">
      <c r="A127" s="176" t="n"/>
      <c r="B127" s="180" t="n"/>
      <c r="EO127" s="182" t="n"/>
      <c r="EP127" s="176" t="n"/>
      <c r="EQ127" s="176" t="n"/>
      <c r="ER127" s="176" t="n"/>
      <c r="ES127" s="176" t="n"/>
      <c r="ET127" s="176" t="n"/>
      <c r="EU127" s="176" t="n"/>
      <c r="EV127" s="176" t="n"/>
      <c r="EW127" s="176" t="n"/>
      <c r="EX127" s="176" t="n"/>
      <c r="EY127" s="176" t="n"/>
      <c r="EZ127" s="176" t="n"/>
      <c r="FA127" s="176" t="n"/>
      <c r="FB127" s="176" t="n"/>
      <c r="FC127" s="176" t="n"/>
      <c r="FD127" s="176" t="n"/>
      <c r="FE127" s="176" t="n"/>
      <c r="FF127" s="176" t="n"/>
      <c r="FG127" s="176" t="n"/>
      <c r="FH127" s="176" t="n"/>
      <c r="FI127" s="176" t="n"/>
      <c r="FJ127" s="176" t="n"/>
      <c r="FK127" s="176" t="n"/>
      <c r="FL127" s="176" t="n"/>
      <c r="FM127" s="176" t="n"/>
    </row>
    <row r="128" ht="15" customHeight="1" s="392">
      <c r="A128" s="176" t="n"/>
      <c r="B128" s="203" t="n"/>
      <c r="C128" s="204" t="n"/>
      <c r="D128" s="204" t="n"/>
      <c r="E128" s="204" t="n"/>
      <c r="F128" s="204" t="n"/>
      <c r="G128" s="204" t="n"/>
      <c r="H128" s="204" t="n"/>
      <c r="I128" s="204" t="n"/>
      <c r="J128" s="204" t="n"/>
      <c r="K128" s="204" t="n"/>
      <c r="L128" s="204" t="n"/>
      <c r="M128" s="204" t="n"/>
      <c r="N128" s="204" t="n"/>
      <c r="O128" s="204" t="n"/>
      <c r="P128" s="204" t="n"/>
      <c r="Q128" s="204" t="n"/>
      <c r="R128" s="204" t="n"/>
      <c r="S128" s="204" t="n"/>
      <c r="T128" s="204" t="n"/>
      <c r="U128" s="204" t="n"/>
      <c r="V128" s="204" t="n"/>
      <c r="W128" s="204" t="n"/>
      <c r="X128" s="204" t="n"/>
      <c r="Y128" s="204" t="n"/>
      <c r="Z128" s="204" t="n"/>
      <c r="AA128" s="204" t="n"/>
      <c r="AB128" s="204" t="n"/>
      <c r="AC128" s="204" t="n"/>
      <c r="AD128" s="204" t="n"/>
      <c r="AE128" s="204" t="n"/>
      <c r="AF128" s="204" t="n"/>
      <c r="AG128" s="204" t="n"/>
      <c r="AH128" s="204" t="n"/>
      <c r="AI128" s="204" t="n"/>
      <c r="AJ128" s="204" t="n"/>
      <c r="AK128" s="204" t="n"/>
      <c r="AL128" s="204" t="n"/>
      <c r="AM128" s="204" t="n"/>
      <c r="AN128" s="204" t="n"/>
      <c r="AO128" s="204" t="n"/>
      <c r="AP128" s="204" t="n"/>
      <c r="AQ128" s="204" t="n"/>
      <c r="AR128" s="204" t="n"/>
      <c r="AS128" s="204" t="n"/>
      <c r="AT128" s="204" t="n"/>
      <c r="AU128" s="204" t="n"/>
      <c r="AV128" s="204" t="n"/>
      <c r="AW128" s="204" t="n"/>
      <c r="AX128" s="204" t="n"/>
      <c r="AY128" s="204" t="n"/>
      <c r="AZ128" s="204" t="n"/>
      <c r="BA128" s="204" t="n"/>
      <c r="BB128" s="204" t="n"/>
      <c r="BC128" s="204" t="n"/>
      <c r="BD128" s="204" t="n"/>
      <c r="BE128" s="204" t="n"/>
      <c r="BF128" s="204" t="n"/>
      <c r="BG128" s="204" t="n"/>
      <c r="BH128" s="204" t="n"/>
      <c r="BI128" s="204" t="n"/>
      <c r="BJ128" s="204" t="n"/>
      <c r="BK128" s="204" t="n"/>
      <c r="BL128" s="204" t="n"/>
      <c r="BM128" s="204" t="n"/>
      <c r="BN128" s="204" t="n"/>
      <c r="BO128" s="204" t="n"/>
      <c r="BP128" s="204" t="n"/>
      <c r="BQ128" s="204" t="n"/>
      <c r="BR128" s="204" t="n"/>
      <c r="BS128" s="204" t="n"/>
      <c r="BT128" s="204" t="n"/>
      <c r="BU128" s="204" t="n"/>
      <c r="BV128" s="204" t="n"/>
      <c r="BW128" s="204" t="n"/>
      <c r="BX128" s="204" t="n"/>
      <c r="BY128" s="204" t="n"/>
      <c r="BZ128" s="204" t="n"/>
      <c r="CA128" s="204" t="n"/>
      <c r="CB128" s="204" t="n"/>
      <c r="CC128" s="204" t="n"/>
      <c r="CD128" s="204" t="n"/>
      <c r="CE128" s="204" t="n"/>
      <c r="CF128" s="204" t="n"/>
      <c r="CG128" s="204" t="n"/>
      <c r="CH128" s="204" t="n"/>
      <c r="CI128" s="204" t="n"/>
      <c r="CJ128" s="204" t="n"/>
      <c r="CK128" s="204" t="n"/>
      <c r="CL128" s="204" t="n"/>
      <c r="CM128" s="204" t="n"/>
      <c r="CN128" s="204" t="n"/>
      <c r="CO128" s="204" t="n"/>
      <c r="CP128" s="204" t="n"/>
      <c r="CQ128" s="204" t="n"/>
      <c r="CR128" s="204" t="n"/>
      <c r="CS128" s="204" t="n"/>
      <c r="CT128" s="204" t="n"/>
      <c r="CU128" s="204" t="n"/>
      <c r="CV128" s="204" t="n"/>
      <c r="CW128" s="204" t="n"/>
      <c r="CX128" s="204" t="n"/>
      <c r="CY128" s="204" t="n"/>
      <c r="CZ128" s="204" t="n"/>
      <c r="DA128" s="204" t="n"/>
      <c r="DB128" s="204" t="n"/>
      <c r="DC128" s="204" t="n"/>
      <c r="DD128" s="204" t="n"/>
      <c r="DE128" s="204" t="n"/>
      <c r="DF128" s="204" t="n"/>
      <c r="DG128" s="204" t="n"/>
      <c r="DH128" s="204" t="n"/>
      <c r="DI128" s="204" t="n"/>
      <c r="DJ128" s="204" t="n"/>
      <c r="DK128" s="204" t="n"/>
      <c r="DL128" s="204" t="n"/>
      <c r="DM128" s="204" t="n"/>
      <c r="DN128" s="204" t="n"/>
      <c r="DO128" s="204" t="n"/>
      <c r="DP128" s="204" t="n"/>
      <c r="DQ128" s="204" t="n"/>
      <c r="DR128" s="204" t="n"/>
      <c r="DS128" s="204" t="n"/>
      <c r="DT128" s="204" t="n"/>
      <c r="DU128" s="204" t="n"/>
      <c r="DV128" s="204" t="n"/>
      <c r="DW128" s="204" t="n"/>
      <c r="DX128" s="204" t="n"/>
      <c r="DY128" s="204" t="n"/>
      <c r="DZ128" s="204" t="n"/>
      <c r="EA128" s="204" t="n"/>
      <c r="EB128" s="204" t="n"/>
      <c r="EC128" s="204" t="n"/>
      <c r="ED128" s="204" t="n"/>
      <c r="EE128" s="204" t="n"/>
      <c r="EF128" s="204" t="n"/>
      <c r="EG128" s="204" t="n"/>
      <c r="EH128" s="204" t="n"/>
      <c r="EI128" s="204" t="n"/>
      <c r="EJ128" s="204" t="n"/>
      <c r="EK128" s="204" t="n"/>
      <c r="EL128" s="204" t="n"/>
      <c r="EM128" s="204" t="n"/>
      <c r="EN128" s="204" t="n"/>
      <c r="EO128" s="205" t="n"/>
      <c r="EP128" s="176" t="n"/>
      <c r="EQ128" s="176" t="n"/>
      <c r="ER128" s="176" t="n"/>
      <c r="ES128" s="176" t="n"/>
      <c r="ET128" s="176" t="n"/>
      <c r="EU128" s="176" t="n"/>
      <c r="EV128" s="176" t="n"/>
      <c r="EW128" s="176" t="n"/>
      <c r="EX128" s="176" t="n"/>
      <c r="EY128" s="176" t="n"/>
      <c r="EZ128" s="176" t="n"/>
      <c r="FA128" s="176" t="n"/>
      <c r="FB128" s="176" t="n"/>
      <c r="FC128" s="176" t="n"/>
      <c r="FD128" s="176" t="n"/>
      <c r="FE128" s="176" t="n"/>
      <c r="FF128" s="176" t="n"/>
      <c r="FG128" s="176" t="n"/>
      <c r="FH128" s="176" t="n"/>
      <c r="FI128" s="176" t="n"/>
      <c r="FJ128" s="176" t="n"/>
      <c r="FK128" s="176" t="n"/>
      <c r="FL128" s="176" t="n"/>
      <c r="FM128" s="176" t="n"/>
    </row>
    <row r="129" ht="15" customHeight="1" s="392">
      <c r="A129" s="176" t="n"/>
      <c r="B129" s="176" t="n"/>
      <c r="C129" s="176" t="n"/>
      <c r="D129" s="176" t="n"/>
      <c r="E129" s="176" t="n"/>
      <c r="F129" s="176" t="n"/>
      <c r="G129" s="176" t="n"/>
      <c r="H129" s="176" t="n"/>
      <c r="I129" s="176" t="n"/>
      <c r="J129" s="176" t="n"/>
      <c r="K129" s="176" t="n"/>
      <c r="L129" s="176" t="n"/>
      <c r="M129" s="176" t="n"/>
      <c r="N129" s="176" t="n"/>
      <c r="O129" s="176" t="n"/>
      <c r="P129" s="176" t="n"/>
      <c r="Q129" s="176" t="n"/>
      <c r="R129" s="176" t="n"/>
      <c r="S129" s="176" t="n"/>
      <c r="T129" s="176" t="n"/>
      <c r="U129" s="176" t="n"/>
      <c r="V129" s="176" t="n"/>
      <c r="W129" s="176" t="n"/>
      <c r="X129" s="176" t="n"/>
      <c r="Y129" s="176" t="n"/>
      <c r="Z129" s="176" t="n"/>
      <c r="AA129" s="176" t="n"/>
      <c r="AB129" s="176" t="n"/>
      <c r="AC129" s="176" t="n"/>
      <c r="AD129" s="176" t="n"/>
      <c r="AE129" s="176" t="n"/>
      <c r="AF129" s="176" t="n"/>
      <c r="AG129" s="176" t="n"/>
      <c r="AH129" s="176" t="n"/>
      <c r="AI129" s="176" t="n"/>
      <c r="AJ129" s="176" t="n"/>
      <c r="AK129" s="176" t="n"/>
      <c r="AL129" s="176" t="n"/>
      <c r="AM129" s="176" t="n"/>
      <c r="AN129" s="176" t="n"/>
      <c r="AO129" s="176" t="n"/>
      <c r="AP129" s="176" t="n"/>
      <c r="AQ129" s="176" t="n"/>
      <c r="AR129" s="176" t="n"/>
      <c r="AS129" s="176" t="n"/>
      <c r="AT129" s="176" t="n"/>
      <c r="AU129" s="176" t="n"/>
      <c r="AV129" s="176" t="n"/>
      <c r="AW129" s="176" t="n"/>
      <c r="AX129" s="176" t="n"/>
      <c r="AY129" s="176" t="n"/>
      <c r="AZ129" s="176" t="n"/>
      <c r="BA129" s="176" t="n"/>
      <c r="BB129" s="176" t="n"/>
      <c r="BC129" s="176" t="n"/>
      <c r="BD129" s="176" t="n"/>
      <c r="BE129" s="176" t="n"/>
      <c r="BF129" s="176" t="n"/>
      <c r="BG129" s="176" t="n"/>
      <c r="BH129" s="176" t="n"/>
      <c r="BI129" s="176" t="n"/>
      <c r="BJ129" s="176" t="n"/>
      <c r="BK129" s="176" t="n"/>
      <c r="BL129" s="176" t="n"/>
      <c r="BM129" s="176" t="n"/>
      <c r="BN129" s="176" t="n"/>
      <c r="BO129" s="176" t="n"/>
      <c r="BP129" s="176" t="n"/>
      <c r="BQ129" s="176" t="n"/>
      <c r="BR129" s="176" t="n"/>
      <c r="BS129" s="176" t="n"/>
      <c r="BT129" s="176" t="n"/>
      <c r="BU129" s="176" t="n"/>
      <c r="BV129" s="176" t="n"/>
      <c r="BW129" s="176" t="n"/>
      <c r="BX129" s="176" t="n"/>
      <c r="BY129" s="176" t="n"/>
      <c r="BZ129" s="176" t="n"/>
      <c r="CA129" s="176" t="n"/>
      <c r="CB129" s="176" t="n"/>
      <c r="CC129" s="176" t="n"/>
      <c r="CD129" s="176" t="n"/>
      <c r="CE129" s="176" t="n"/>
      <c r="CF129" s="176" t="n"/>
      <c r="CG129" s="176" t="n"/>
      <c r="CH129" s="176" t="n"/>
      <c r="CI129" s="176" t="n"/>
      <c r="CJ129" s="176" t="n"/>
      <c r="CK129" s="176" t="n"/>
      <c r="CL129" s="176" t="n"/>
      <c r="CM129" s="176" t="n"/>
      <c r="CN129" s="176" t="n"/>
      <c r="CO129" s="176" t="n"/>
      <c r="CP129" s="176" t="n"/>
      <c r="CQ129" s="176" t="n"/>
      <c r="CR129" s="176" t="n"/>
      <c r="CS129" s="176" t="n"/>
      <c r="CT129" s="176" t="n"/>
      <c r="CU129" s="176" t="n"/>
      <c r="CV129" s="176" t="n"/>
      <c r="CW129" s="176" t="n"/>
      <c r="CX129" s="176" t="n"/>
      <c r="CY129" s="176" t="n"/>
      <c r="CZ129" s="176" t="n"/>
      <c r="DA129" s="176" t="n"/>
      <c r="DB129" s="176" t="n"/>
      <c r="DC129" s="176" t="n"/>
      <c r="DD129" s="176" t="n"/>
      <c r="DE129" s="176" t="n"/>
      <c r="DF129" s="176" t="n"/>
      <c r="DG129" s="176" t="n"/>
      <c r="DH129" s="176" t="n"/>
      <c r="DI129" s="176" t="n"/>
      <c r="DJ129" s="176" t="n"/>
      <c r="DK129" s="176" t="n"/>
      <c r="DL129" s="176" t="n"/>
      <c r="DM129" s="176" t="n"/>
      <c r="DN129" s="176" t="n"/>
      <c r="DO129" s="176" t="n"/>
      <c r="DP129" s="176" t="n"/>
      <c r="DQ129" s="176" t="n"/>
      <c r="DR129" s="176" t="n"/>
      <c r="DS129" s="176" t="n"/>
      <c r="DT129" s="176" t="n"/>
      <c r="DU129" s="176" t="n"/>
      <c r="DV129" s="176" t="n"/>
      <c r="DW129" s="176" t="n"/>
      <c r="DX129" s="176" t="n"/>
      <c r="DY129" s="176" t="n"/>
      <c r="DZ129" s="176" t="n"/>
      <c r="EA129" s="176" t="n"/>
      <c r="EB129" s="176" t="n"/>
      <c r="EC129" s="176" t="n"/>
      <c r="ED129" s="176" t="n"/>
      <c r="EE129" s="176" t="n"/>
      <c r="EF129" s="176" t="n"/>
      <c r="EG129" s="176" t="n"/>
      <c r="EH129" s="176" t="n"/>
      <c r="EI129" s="176" t="n"/>
      <c r="EJ129" s="176" t="n"/>
      <c r="EK129" s="176" t="n"/>
      <c r="EL129" s="176" t="n"/>
      <c r="EM129" s="176" t="n"/>
      <c r="EN129" s="176" t="n"/>
      <c r="EO129" s="176" t="n"/>
      <c r="EP129" s="176" t="n"/>
      <c r="EQ129" s="176" t="n"/>
      <c r="ER129" s="176" t="n"/>
      <c r="ES129" s="176" t="n"/>
      <c r="ET129" s="176" t="n"/>
      <c r="EU129" s="176" t="n"/>
      <c r="EV129" s="176" t="n"/>
      <c r="EW129" s="176" t="n"/>
      <c r="EX129" s="176" t="n"/>
      <c r="EY129" s="176" t="n"/>
      <c r="EZ129" s="176" t="n"/>
      <c r="FA129" s="176" t="n"/>
      <c r="FB129" s="176" t="n"/>
      <c r="FC129" s="176" t="n"/>
      <c r="FD129" s="176" t="n"/>
      <c r="FE129" s="176" t="n"/>
      <c r="FF129" s="176" t="n"/>
      <c r="FG129" s="176" t="n"/>
      <c r="FH129" s="176" t="n"/>
      <c r="FI129" s="176" t="n"/>
      <c r="FJ129" s="176" t="n"/>
      <c r="FK129" s="176" t="n"/>
      <c r="FL129" s="176" t="n"/>
      <c r="FM129" s="176" t="n"/>
    </row>
  </sheetData>
  <pageMargins left="0.75" right="0.75" top="1" bottom="1" header="0.511811023622047" footer="0.511811023622047"/>
  <pageSetup orientation="portrait" paperSize="9" horizontalDpi="300" verticalDpi="300"/>
</worksheet>
</file>

<file path=xl/worksheets/sheet39.xml><?xml version="1.0" encoding="utf-8"?>
<worksheet xmlns="http://schemas.openxmlformats.org/spreadsheetml/2006/main">
  <sheetPr>
    <tabColor rgb="FFBFBFBF"/>
    <outlinePr summaryBelow="1" summaryRight="1"/>
    <pageSetUpPr/>
  </sheetPr>
  <dimension ref="A1:FJ245"/>
  <sheetViews>
    <sheetView showGridLines="0" zoomScaleNormal="100" workbookViewId="0">
      <pane xSplit="3" ySplit="10" topLeftCell="D11" activePane="bottomRight" state="frozen"/>
      <selection pane="topRight" activeCell="D1" sqref="D1"/>
      <selection pane="bottomLeft" activeCell="A11" sqref="A11"/>
      <selection pane="bottomRight" activeCell="A1" sqref="A1"/>
    </sheetView>
  </sheetViews>
  <sheetFormatPr baseColWidth="10" defaultColWidth="8.6640625" defaultRowHeight="15"/>
  <cols>
    <col width="1.1640625" customWidth="1" style="392" min="1" max="1"/>
    <col width="1.83203125" customWidth="1" style="392" min="2" max="2"/>
    <col width="50.6640625" customWidth="1" style="392" min="3" max="3"/>
    <col width="14.6640625" customWidth="1" style="392" min="4" max="4"/>
    <col width="1.83203125" customWidth="1" style="392" min="12" max="12"/>
    <col width="14.6640625" customWidth="1" style="392" min="13" max="13"/>
    <col width="1.83203125" customWidth="1" style="392" min="142" max="142"/>
  </cols>
  <sheetData>
    <row r="1" ht="6" customHeight="1" s="392">
      <c r="A1" s="176" t="n"/>
      <c r="B1" s="176" t="n"/>
      <c r="C1" s="176" t="n"/>
      <c r="D1" s="176" t="n"/>
      <c r="E1" s="176" t="n"/>
      <c r="F1" s="176" t="n"/>
      <c r="G1" s="176" t="n"/>
      <c r="H1" s="176" t="n"/>
      <c r="I1" s="176" t="n"/>
      <c r="J1" s="176" t="n"/>
      <c r="K1" s="176" t="n"/>
      <c r="L1" s="176" t="n"/>
      <c r="M1" s="176" t="n"/>
      <c r="N1" s="176" t="n"/>
      <c r="O1" s="176" t="n"/>
      <c r="P1" s="176" t="n"/>
      <c r="Q1" s="176" t="n"/>
      <c r="R1" s="176" t="n"/>
      <c r="S1" s="176" t="n"/>
      <c r="T1" s="176" t="n"/>
      <c r="U1" s="176" t="n"/>
      <c r="V1" s="176" t="n"/>
      <c r="W1" s="176" t="n"/>
      <c r="X1" s="176" t="n"/>
      <c r="Y1" s="176" t="n"/>
      <c r="Z1" s="176" t="n"/>
      <c r="AA1" s="176" t="n"/>
      <c r="AB1" s="176" t="n"/>
      <c r="AC1" s="176" t="n"/>
      <c r="AD1" s="176" t="n"/>
      <c r="AE1" s="176" t="n"/>
      <c r="AF1" s="176" t="n"/>
      <c r="AG1" s="176" t="n"/>
      <c r="AH1" s="176" t="n"/>
      <c r="AI1" s="176" t="n"/>
      <c r="AJ1" s="176" t="n"/>
      <c r="AK1" s="176" t="n"/>
      <c r="AL1" s="176" t="n"/>
      <c r="AM1" s="176" t="n"/>
      <c r="AN1" s="176" t="n"/>
      <c r="AO1" s="176" t="n"/>
      <c r="AP1" s="176" t="n"/>
      <c r="AQ1" s="176" t="n"/>
      <c r="AR1" s="176" t="n"/>
      <c r="AS1" s="176" t="n"/>
      <c r="AT1" s="176" t="n"/>
      <c r="AU1" s="176" t="n"/>
      <c r="AV1" s="176" t="n"/>
      <c r="AW1" s="176" t="n"/>
      <c r="AX1" s="176" t="n"/>
      <c r="AY1" s="176" t="n"/>
      <c r="AZ1" s="176" t="n"/>
      <c r="BA1" s="176" t="n"/>
      <c r="BB1" s="176" t="n"/>
      <c r="BC1" s="176" t="n"/>
      <c r="BD1" s="176" t="n"/>
      <c r="BE1" s="176" t="n"/>
      <c r="BF1" s="176" t="n"/>
      <c r="BG1" s="176" t="n"/>
      <c r="BH1" s="176" t="n"/>
      <c r="BI1" s="176" t="n"/>
      <c r="BJ1" s="176" t="n"/>
      <c r="BK1" s="176" t="n"/>
      <c r="BL1" s="176" t="n"/>
      <c r="BM1" s="176" t="n"/>
      <c r="BN1" s="176" t="n"/>
      <c r="BO1" s="176" t="n"/>
      <c r="BP1" s="176" t="n"/>
      <c r="BQ1" s="176" t="n"/>
      <c r="BR1" s="176" t="n"/>
      <c r="BS1" s="176" t="n"/>
      <c r="BT1" s="176" t="n"/>
      <c r="BU1" s="176" t="n"/>
      <c r="BV1" s="176" t="n"/>
      <c r="BW1" s="176" t="n"/>
      <c r="BX1" s="176" t="n"/>
      <c r="BY1" s="176" t="n"/>
      <c r="BZ1" s="176" t="n"/>
      <c r="CA1" s="176" t="n"/>
      <c r="CB1" s="176" t="n"/>
      <c r="CC1" s="176" t="n"/>
      <c r="CD1" s="176" t="n"/>
      <c r="CE1" s="176" t="n"/>
      <c r="CF1" s="176" t="n"/>
      <c r="CG1" s="176" t="n"/>
      <c r="CH1" s="176" t="n"/>
      <c r="CI1" s="176" t="n"/>
      <c r="CJ1" s="176" t="n"/>
      <c r="CK1" s="176" t="n"/>
      <c r="CL1" s="176" t="n"/>
      <c r="CM1" s="176" t="n"/>
      <c r="CN1" s="176" t="n"/>
      <c r="CO1" s="176" t="n"/>
      <c r="CP1" s="176" t="n"/>
      <c r="CQ1" s="176" t="n"/>
      <c r="CR1" s="176" t="n"/>
      <c r="CS1" s="176" t="n"/>
      <c r="CT1" s="176" t="n"/>
      <c r="CU1" s="176" t="n"/>
      <c r="CV1" s="176" t="n"/>
      <c r="CW1" s="176" t="n"/>
      <c r="CX1" s="176" t="n"/>
      <c r="CY1" s="176" t="n"/>
      <c r="CZ1" s="176" t="n"/>
      <c r="DA1" s="176" t="n"/>
      <c r="DB1" s="176" t="n"/>
      <c r="DC1" s="176" t="n"/>
      <c r="DD1" s="176" t="n"/>
      <c r="DE1" s="176" t="n"/>
      <c r="DF1" s="176" t="n"/>
      <c r="DG1" s="176" t="n"/>
      <c r="DH1" s="176" t="n"/>
      <c r="DI1" s="176" t="n"/>
      <c r="DJ1" s="176" t="n"/>
      <c r="DK1" s="176" t="n"/>
      <c r="DL1" s="176" t="n"/>
      <c r="DM1" s="176" t="n"/>
      <c r="DN1" s="176" t="n"/>
      <c r="DO1" s="176" t="n"/>
      <c r="DP1" s="176" t="n"/>
      <c r="DQ1" s="176" t="n"/>
      <c r="DR1" s="176" t="n"/>
      <c r="DS1" s="176" t="n"/>
      <c r="DT1" s="176" t="n"/>
      <c r="DU1" s="176" t="n"/>
      <c r="DV1" s="176" t="n"/>
      <c r="DW1" s="176" t="n"/>
      <c r="DX1" s="176" t="n"/>
      <c r="DY1" s="176" t="n"/>
      <c r="DZ1" s="176" t="n"/>
      <c r="EA1" s="176" t="n"/>
      <c r="EB1" s="176" t="n"/>
      <c r="EC1" s="176" t="n"/>
      <c r="ED1" s="176" t="n"/>
      <c r="EE1" s="176" t="n"/>
      <c r="EF1" s="176" t="n"/>
      <c r="EG1" s="176" t="n"/>
      <c r="EH1" s="176" t="n"/>
      <c r="EI1" s="176" t="n"/>
      <c r="EJ1" s="176" t="n"/>
      <c r="EK1" s="176" t="n"/>
      <c r="EL1" s="176" t="n"/>
      <c r="EM1" s="176" t="n"/>
      <c r="EN1" s="176" t="n"/>
      <c r="EO1" s="176" t="n"/>
      <c r="EP1" s="176" t="n"/>
      <c r="EQ1" s="176" t="n"/>
      <c r="ER1" s="176" t="n"/>
      <c r="ES1" s="176" t="n"/>
      <c r="ET1" s="176" t="n"/>
      <c r="EU1" s="176" t="n"/>
      <c r="EV1" s="176" t="n"/>
      <c r="EW1" s="176" t="n"/>
      <c r="EX1" s="176" t="n"/>
      <c r="EY1" s="176" t="n"/>
      <c r="EZ1" s="176" t="n"/>
      <c r="FA1" s="176" t="n"/>
      <c r="FB1" s="176" t="n"/>
      <c r="FC1" s="176" t="n"/>
      <c r="FD1" s="176" t="n"/>
      <c r="FE1" s="176" t="n"/>
      <c r="FF1" s="176" t="n"/>
      <c r="FG1" s="176" t="n"/>
      <c r="FH1" s="176" t="n"/>
      <c r="FI1" s="176" t="n"/>
      <c r="FJ1" s="176" t="n"/>
    </row>
    <row r="2" ht="39.75" customHeight="1" s="392">
      <c r="A2" s="176" t="n"/>
      <c r="B2" s="177" t="n"/>
      <c r="C2" s="178" t="n"/>
      <c r="D2" s="178" t="n"/>
      <c r="E2" s="178" t="n"/>
      <c r="F2" s="178" t="n"/>
      <c r="G2" s="178" t="n"/>
      <c r="H2" s="178" t="n"/>
      <c r="I2" s="178" t="n"/>
      <c r="J2" s="178" t="n"/>
      <c r="K2" s="178" t="n"/>
      <c r="L2" s="178" t="n"/>
      <c r="M2" s="178" t="n"/>
      <c r="N2" s="178" t="n"/>
      <c r="O2" s="178" t="n"/>
      <c r="P2" s="178" t="n"/>
      <c r="Q2" s="178" t="n"/>
      <c r="R2" s="178" t="n"/>
      <c r="S2" s="178" t="n"/>
      <c r="T2" s="178" t="n"/>
      <c r="U2" s="178" t="n"/>
      <c r="V2" s="178" t="n"/>
      <c r="W2" s="178" t="n"/>
      <c r="X2" s="178" t="n"/>
      <c r="Y2" s="178" t="n"/>
      <c r="Z2" s="178" t="n"/>
      <c r="AA2" s="178" t="n"/>
      <c r="AB2" s="178" t="n"/>
      <c r="AC2" s="178" t="n"/>
      <c r="AD2" s="178" t="n"/>
      <c r="AE2" s="178" t="n"/>
      <c r="AF2" s="178" t="n"/>
      <c r="AG2" s="178" t="n"/>
      <c r="AH2" s="178" t="n"/>
      <c r="AI2" s="178" t="n"/>
      <c r="AJ2" s="178" t="n"/>
      <c r="AK2" s="178" t="n"/>
      <c r="AL2" s="178" t="n"/>
      <c r="AM2" s="178" t="n"/>
      <c r="AN2" s="178" t="n"/>
      <c r="AO2" s="178" t="n"/>
      <c r="AP2" s="178" t="n"/>
      <c r="AQ2" s="178" t="n"/>
      <c r="AR2" s="178" t="n"/>
      <c r="AS2" s="178" t="n"/>
      <c r="AT2" s="178" t="n"/>
      <c r="AU2" s="178" t="n"/>
      <c r="AV2" s="178" t="n"/>
      <c r="AW2" s="178" t="n"/>
      <c r="AX2" s="178" t="n"/>
      <c r="AY2" s="178" t="n"/>
      <c r="AZ2" s="178" t="n"/>
      <c r="BA2" s="178" t="n"/>
      <c r="BB2" s="178" t="n"/>
      <c r="BC2" s="178" t="n"/>
      <c r="BD2" s="178" t="n"/>
      <c r="BE2" s="178" t="n"/>
      <c r="BF2" s="178" t="n"/>
      <c r="BG2" s="178" t="n"/>
      <c r="BH2" s="178" t="n"/>
      <c r="BI2" s="178" t="n"/>
      <c r="BJ2" s="178" t="n"/>
      <c r="BK2" s="178" t="n"/>
      <c r="BL2" s="178" t="n"/>
      <c r="BM2" s="178" t="n"/>
      <c r="BN2" s="178" t="n"/>
      <c r="BO2" s="178" t="n"/>
      <c r="BP2" s="178" t="n"/>
      <c r="BQ2" s="178" t="n"/>
      <c r="BR2" s="178" t="n"/>
      <c r="BS2" s="178" t="n"/>
      <c r="BT2" s="178" t="n"/>
      <c r="BU2" s="178" t="n"/>
      <c r="BV2" s="178" t="n"/>
      <c r="BW2" s="178" t="n"/>
      <c r="BX2" s="178" t="n"/>
      <c r="BY2" s="178" t="n"/>
      <c r="BZ2" s="178" t="n"/>
      <c r="CA2" s="178" t="n"/>
      <c r="CB2" s="178" t="n"/>
      <c r="CC2" s="178" t="n"/>
      <c r="CD2" s="178" t="n"/>
      <c r="CE2" s="178" t="n"/>
      <c r="CF2" s="178" t="n"/>
      <c r="CG2" s="178" t="n"/>
      <c r="CH2" s="178" t="n"/>
      <c r="CI2" s="178" t="n"/>
      <c r="CJ2" s="178" t="n"/>
      <c r="CK2" s="178" t="n"/>
      <c r="CL2" s="178" t="n"/>
      <c r="CM2" s="178" t="n"/>
      <c r="CN2" s="178" t="n"/>
      <c r="CO2" s="178" t="n"/>
      <c r="CP2" s="178" t="n"/>
      <c r="CQ2" s="178" t="n"/>
      <c r="CR2" s="178" t="n"/>
      <c r="CS2" s="178" t="n"/>
      <c r="CT2" s="178" t="n"/>
      <c r="CU2" s="178" t="n"/>
      <c r="CV2" s="178" t="n"/>
      <c r="CW2" s="178" t="n"/>
      <c r="CX2" s="178" t="n"/>
      <c r="CY2" s="178" t="n"/>
      <c r="CZ2" s="178" t="n"/>
      <c r="DA2" s="178" t="n"/>
      <c r="DB2" s="178" t="n"/>
      <c r="DC2" s="178" t="n"/>
      <c r="DD2" s="178" t="n"/>
      <c r="DE2" s="178" t="n"/>
      <c r="DF2" s="178" t="n"/>
      <c r="DG2" s="178" t="n"/>
      <c r="DH2" s="178" t="n"/>
      <c r="DI2" s="178" t="n"/>
      <c r="DJ2" s="178" t="n"/>
      <c r="DK2" s="178" t="n"/>
      <c r="DL2" s="178" t="n"/>
      <c r="DM2" s="178" t="n"/>
      <c r="DN2" s="178" t="n"/>
      <c r="DO2" s="178" t="n"/>
      <c r="DP2" s="178" t="n"/>
      <c r="DQ2" s="178" t="n"/>
      <c r="DR2" s="178" t="n"/>
      <c r="DS2" s="178" t="n"/>
      <c r="DT2" s="178" t="n"/>
      <c r="DU2" s="178" t="n"/>
      <c r="DV2" s="178" t="n"/>
      <c r="DW2" s="178" t="n"/>
      <c r="DX2" s="178" t="n"/>
      <c r="DY2" s="178" t="n"/>
      <c r="DZ2" s="178" t="n"/>
      <c r="EA2" s="178" t="n"/>
      <c r="EB2" s="178" t="n"/>
      <c r="EC2" s="178" t="n"/>
      <c r="ED2" s="178" t="n"/>
      <c r="EE2" s="178" t="n"/>
      <c r="EF2" s="178" t="n"/>
      <c r="EG2" s="178" t="n"/>
      <c r="EH2" s="178" t="n"/>
      <c r="EI2" s="178" t="n"/>
      <c r="EJ2" s="178" t="n"/>
      <c r="EK2" s="178" t="n"/>
      <c r="EL2" s="179" t="n"/>
      <c r="EM2" s="176" t="n"/>
      <c r="EN2" s="176" t="n"/>
      <c r="EO2" s="176" t="n"/>
      <c r="EP2" s="176" t="n"/>
      <c r="EQ2" s="176" t="n"/>
      <c r="ER2" s="176" t="n"/>
      <c r="ES2" s="176" t="n"/>
      <c r="ET2" s="176" t="n"/>
      <c r="EU2" s="176" t="n"/>
      <c r="EV2" s="176" t="n"/>
      <c r="EW2" s="176" t="n"/>
      <c r="EX2" s="176" t="n"/>
      <c r="EY2" s="176" t="n"/>
      <c r="EZ2" s="176" t="n"/>
      <c r="FA2" s="176" t="n"/>
      <c r="FB2" s="176" t="n"/>
      <c r="FC2" s="176" t="n"/>
      <c r="FD2" s="176" t="n"/>
      <c r="FE2" s="176" t="n"/>
      <c r="FF2" s="176" t="n"/>
      <c r="FG2" s="176" t="n"/>
      <c r="FH2" s="176" t="n"/>
      <c r="FI2" s="176" t="n"/>
      <c r="FJ2" s="176" t="n"/>
    </row>
    <row r="3" ht="19.5" customHeight="1" s="392">
      <c r="A3" s="176" t="n"/>
      <c r="B3" s="180" t="n"/>
      <c r="C3" s="181" t="inlineStr">
        <is>
          <t>Balance Sheet (Fiscal Quarter)</t>
        </is>
      </c>
      <c r="EL3" s="182" t="n"/>
      <c r="EM3" s="176" t="n"/>
      <c r="EN3" s="176" t="n"/>
      <c r="EO3" s="176" t="n"/>
      <c r="EP3" s="176" t="n"/>
      <c r="EQ3" s="176" t="n"/>
      <c r="ER3" s="176" t="n"/>
      <c r="ES3" s="176" t="n"/>
      <c r="ET3" s="176" t="n"/>
      <c r="EU3" s="176" t="n"/>
      <c r="EV3" s="176" t="n"/>
      <c r="EW3" s="176" t="n"/>
      <c r="EX3" s="176" t="n"/>
      <c r="EY3" s="176" t="n"/>
      <c r="EZ3" s="176" t="n"/>
      <c r="FA3" s="176" t="n"/>
      <c r="FB3" s="176" t="n"/>
      <c r="FC3" s="176" t="n"/>
      <c r="FD3" s="176" t="n"/>
      <c r="FE3" s="176" t="n"/>
      <c r="FF3" s="176" t="n"/>
      <c r="FG3" s="176" t="n"/>
      <c r="FH3" s="176" t="n"/>
      <c r="FI3" s="176" t="n"/>
      <c r="FJ3" s="176" t="n"/>
    </row>
    <row r="4" ht="22.5" customHeight="1" s="392">
      <c r="A4" s="176" t="n"/>
      <c r="B4" s="180" t="n"/>
      <c r="C4" s="183" t="inlineStr">
        <is>
          <t>Downloaded on: 27-Sep-2026</t>
        </is>
      </c>
      <c r="D4" s="184" t="inlineStr">
        <is>
          <t>Summary Stats</t>
        </is>
      </c>
      <c r="E4" s="185" t="n"/>
      <c r="F4" s="185" t="n"/>
      <c r="G4" s="185" t="n"/>
      <c r="H4" s="185" t="n"/>
      <c r="I4" s="185" t="n"/>
      <c r="J4" s="185" t="n"/>
      <c r="K4" s="185" t="n"/>
      <c r="EL4" s="182" t="n"/>
      <c r="EM4" s="176" t="n"/>
      <c r="EN4" s="176" t="n"/>
      <c r="EO4" s="176" t="n"/>
      <c r="EP4" s="176" t="n"/>
      <c r="EQ4" s="176" t="n"/>
      <c r="ER4" s="176" t="n"/>
      <c r="ES4" s="176" t="n"/>
      <c r="ET4" s="176" t="n"/>
      <c r="EU4" s="176" t="n"/>
      <c r="EV4" s="176" t="n"/>
      <c r="EW4" s="176" t="n"/>
      <c r="EX4" s="176" t="n"/>
      <c r="EY4" s="176" t="n"/>
      <c r="EZ4" s="176" t="n"/>
      <c r="FA4" s="176" t="n"/>
      <c r="FB4" s="176" t="n"/>
      <c r="FC4" s="176" t="n"/>
      <c r="FD4" s="176" t="n"/>
      <c r="FE4" s="176" t="n"/>
      <c r="FF4" s="176" t="n"/>
      <c r="FG4" s="176" t="n"/>
      <c r="FH4" s="176" t="n"/>
      <c r="FI4" s="176" t="n"/>
      <c r="FJ4" s="176" t="n"/>
    </row>
    <row r="5" ht="60" customHeight="1" s="392">
      <c r="A5" s="176" t="n"/>
      <c r="B5" s="180" t="n"/>
      <c r="C5" s="183" t="inlineStr">
        <is>
          <t>Company: Copart (NAS: CPRT)</t>
        </is>
      </c>
      <c r="D5" s="186" t="inlineStr">
        <is>
          <t>Median</t>
        </is>
      </c>
      <c r="E5" s="186" t="inlineStr">
        <is>
          <t>Mean</t>
        </is>
      </c>
      <c r="F5" s="186" t="inlineStr">
        <is>
          <t>Min</t>
        </is>
      </c>
      <c r="G5" s="186" t="inlineStr">
        <is>
          <t>Max</t>
        </is>
      </c>
      <c r="H5" s="186" t="inlineStr">
        <is>
          <t>25th pctile</t>
        </is>
      </c>
      <c r="I5" s="186" t="inlineStr">
        <is>
          <t>75th pctile</t>
        </is>
      </c>
      <c r="J5" s="186" t="inlineStr">
        <is>
          <t>Std. Dev</t>
        </is>
      </c>
      <c r="K5" s="186" t="inlineStr">
        <is>
          <t>Coefficient of Variation</t>
        </is>
      </c>
      <c r="M5" s="187" t="inlineStr">
        <is>
          <t>FQ 4Q26</t>
        </is>
      </c>
      <c r="N5" s="187" t="inlineStr">
        <is>
          <t>FQ 3Q26</t>
        </is>
      </c>
      <c r="O5" s="187" t="inlineStr">
        <is>
          <t>FQ 2Q26</t>
        </is>
      </c>
      <c r="P5" s="187" t="inlineStr">
        <is>
          <t>FQ 1Q26</t>
        </is>
      </c>
      <c r="Q5" s="187" t="inlineStr">
        <is>
          <t>FQ 4Q25</t>
        </is>
      </c>
      <c r="R5" s="187" t="inlineStr">
        <is>
          <t>FQ 3Q25</t>
        </is>
      </c>
      <c r="S5" s="187" t="inlineStr">
        <is>
          <t>FQ 2Q25</t>
        </is>
      </c>
      <c r="T5" s="187" t="inlineStr">
        <is>
          <t>FQ 1Q25</t>
        </is>
      </c>
      <c r="U5" s="187" t="inlineStr">
        <is>
          <t>FQ 4Q24</t>
        </is>
      </c>
      <c r="V5" s="187" t="inlineStr">
        <is>
          <t>FQ 3Q24</t>
        </is>
      </c>
      <c r="W5" s="187" t="inlineStr">
        <is>
          <t>FQ 2Q24</t>
        </is>
      </c>
      <c r="X5" s="187" t="inlineStr">
        <is>
          <t>FQ 1Q24</t>
        </is>
      </c>
      <c r="Y5" s="187" t="inlineStr">
        <is>
          <t>FQ 4Q23</t>
        </is>
      </c>
      <c r="Z5" s="187" t="inlineStr">
        <is>
          <t>FQ 3Q23</t>
        </is>
      </c>
      <c r="AA5" s="187" t="inlineStr">
        <is>
          <t>FQ 2Q23</t>
        </is>
      </c>
      <c r="AB5" s="187" t="inlineStr">
        <is>
          <t>FQ 1Q23</t>
        </is>
      </c>
      <c r="AC5" s="187" t="inlineStr">
        <is>
          <t>FQ 4Q22</t>
        </is>
      </c>
      <c r="AD5" s="187" t="inlineStr">
        <is>
          <t>FQ 3Q22</t>
        </is>
      </c>
      <c r="AE5" s="187" t="inlineStr">
        <is>
          <t>FQ 2Q22</t>
        </is>
      </c>
      <c r="AF5" s="187" t="inlineStr">
        <is>
          <t>FQ 1Q22</t>
        </is>
      </c>
      <c r="AG5" s="187" t="inlineStr">
        <is>
          <t>FQ 4Q21</t>
        </is>
      </c>
      <c r="AH5" s="187" t="inlineStr">
        <is>
          <t>FQ 3Q21</t>
        </is>
      </c>
      <c r="AI5" s="187" t="inlineStr">
        <is>
          <t>FQ 2Q21</t>
        </is>
      </c>
      <c r="AJ5" s="187" t="inlineStr">
        <is>
          <t>FQ 1Q21</t>
        </is>
      </c>
      <c r="AK5" s="187" t="inlineStr">
        <is>
          <t>FQ 4Q20</t>
        </is>
      </c>
      <c r="AL5" s="187" t="inlineStr">
        <is>
          <t>FQ 3Q20</t>
        </is>
      </c>
      <c r="AM5" s="187" t="inlineStr">
        <is>
          <t>FQ 2Q20</t>
        </is>
      </c>
      <c r="AN5" s="187" t="inlineStr">
        <is>
          <t>FQ 1Q20</t>
        </is>
      </c>
      <c r="AO5" s="187" t="inlineStr">
        <is>
          <t>FQ 4Q19</t>
        </is>
      </c>
      <c r="AP5" s="187" t="inlineStr">
        <is>
          <t>FQ 3Q19</t>
        </is>
      </c>
      <c r="AQ5" s="187" t="inlineStr">
        <is>
          <t>FQ 2Q19</t>
        </is>
      </c>
      <c r="AR5" s="187" t="inlineStr">
        <is>
          <t>FQ 1Q19</t>
        </is>
      </c>
      <c r="AS5" s="187" t="inlineStr">
        <is>
          <t>FQ 4Q18</t>
        </is>
      </c>
      <c r="AT5" s="187" t="inlineStr">
        <is>
          <t>FQ 3Q18</t>
        </is>
      </c>
      <c r="AU5" s="187" t="inlineStr">
        <is>
          <t>FQ 2Q18</t>
        </is>
      </c>
      <c r="AV5" s="187" t="inlineStr">
        <is>
          <t>FQ 1Q18</t>
        </is>
      </c>
      <c r="AW5" s="187" t="inlineStr">
        <is>
          <t>FQ 4Q17</t>
        </is>
      </c>
      <c r="AX5" s="187" t="inlineStr">
        <is>
          <t>FQ 3Q17</t>
        </is>
      </c>
      <c r="AY5" s="187" t="inlineStr">
        <is>
          <t>FQ 2Q17</t>
        </is>
      </c>
      <c r="AZ5" s="187" t="inlineStr">
        <is>
          <t>FQ 1Q17</t>
        </is>
      </c>
      <c r="BA5" s="187" t="inlineStr">
        <is>
          <t>FQ 4Q16</t>
        </is>
      </c>
      <c r="BB5" s="187" t="inlineStr">
        <is>
          <t>FQ 3Q16</t>
        </is>
      </c>
      <c r="BC5" s="187" t="inlineStr">
        <is>
          <t>FQ 2Q16</t>
        </is>
      </c>
      <c r="BD5" s="187" t="inlineStr">
        <is>
          <t>FQ 1Q16</t>
        </is>
      </c>
      <c r="BE5" s="187" t="inlineStr">
        <is>
          <t>FQ 4Q15</t>
        </is>
      </c>
      <c r="BF5" s="187" t="inlineStr">
        <is>
          <t>FQ 3Q15</t>
        </is>
      </c>
      <c r="BG5" s="187" t="inlineStr">
        <is>
          <t>FQ 2Q15</t>
        </is>
      </c>
      <c r="BH5" s="187" t="inlineStr">
        <is>
          <t>FQ 1Q15</t>
        </is>
      </c>
      <c r="BI5" s="187" t="inlineStr">
        <is>
          <t>FQ 4Q14</t>
        </is>
      </c>
      <c r="BJ5" s="187" t="inlineStr">
        <is>
          <t>FQ 3Q14</t>
        </is>
      </c>
      <c r="BK5" s="187" t="inlineStr">
        <is>
          <t>FQ 2Q14</t>
        </is>
      </c>
      <c r="BL5" s="187" t="inlineStr">
        <is>
          <t>FQ 1Q14</t>
        </is>
      </c>
      <c r="BM5" s="187" t="inlineStr">
        <is>
          <t>FQ 4Q13</t>
        </is>
      </c>
      <c r="BN5" s="187" t="inlineStr">
        <is>
          <t>FQ 3Q13</t>
        </is>
      </c>
      <c r="BO5" s="187" t="inlineStr">
        <is>
          <t>FQ 2Q13</t>
        </is>
      </c>
      <c r="BP5" s="187" t="inlineStr">
        <is>
          <t>FQ 1Q13</t>
        </is>
      </c>
      <c r="BQ5" s="187" t="inlineStr">
        <is>
          <t>FQ 4Q12</t>
        </is>
      </c>
      <c r="BR5" s="187" t="inlineStr">
        <is>
          <t>FQ 3Q12</t>
        </is>
      </c>
      <c r="BS5" s="187" t="inlineStr">
        <is>
          <t>FQ 2Q12</t>
        </is>
      </c>
      <c r="BT5" s="187" t="inlineStr">
        <is>
          <t>FQ 1Q12</t>
        </is>
      </c>
      <c r="BU5" s="187" t="inlineStr">
        <is>
          <t>FQ 4Q11</t>
        </is>
      </c>
      <c r="BV5" s="187" t="inlineStr">
        <is>
          <t>FQ 3Q11</t>
        </is>
      </c>
      <c r="BW5" s="187" t="inlineStr">
        <is>
          <t>FQ 1Q11</t>
        </is>
      </c>
      <c r="BX5" s="187" t="inlineStr">
        <is>
          <t>FQ 4Q10</t>
        </is>
      </c>
      <c r="BY5" s="187" t="inlineStr">
        <is>
          <t>FQ 3Q10</t>
        </is>
      </c>
      <c r="BZ5" s="187" t="inlineStr">
        <is>
          <t>FQ 2Q10</t>
        </is>
      </c>
      <c r="CA5" s="187" t="inlineStr">
        <is>
          <t>FQ 1Q10</t>
        </is>
      </c>
      <c r="CB5" s="187" t="inlineStr">
        <is>
          <t>FQ 4Q9</t>
        </is>
      </c>
      <c r="CC5" s="187" t="inlineStr">
        <is>
          <t>FQ 3Q9</t>
        </is>
      </c>
      <c r="CD5" s="187" t="inlineStr">
        <is>
          <t>FQ 2Q9</t>
        </is>
      </c>
      <c r="CE5" s="187" t="inlineStr">
        <is>
          <t>FQ 1Q9</t>
        </is>
      </c>
      <c r="CF5" s="187" t="inlineStr">
        <is>
          <t>FQ 4Q8</t>
        </is>
      </c>
      <c r="CG5" s="187" t="inlineStr">
        <is>
          <t>FQ 3Q8</t>
        </is>
      </c>
      <c r="CH5" s="187" t="inlineStr">
        <is>
          <t>FQ 2Q8</t>
        </is>
      </c>
      <c r="CI5" s="187" t="inlineStr">
        <is>
          <t>FQ 1Q8</t>
        </is>
      </c>
      <c r="CJ5" s="187" t="inlineStr">
        <is>
          <t>FQ 4Q7</t>
        </is>
      </c>
      <c r="CK5" s="187" t="inlineStr">
        <is>
          <t>FQ 3Q7</t>
        </is>
      </c>
      <c r="CL5" s="187" t="inlineStr">
        <is>
          <t>FQ 2Q7</t>
        </is>
      </c>
      <c r="CM5" s="187" t="inlineStr">
        <is>
          <t>FQ 1Q7</t>
        </is>
      </c>
      <c r="CN5" s="187" t="inlineStr">
        <is>
          <t>FQ 4Q6</t>
        </is>
      </c>
      <c r="CO5" s="187" t="inlineStr">
        <is>
          <t>FQ 3Q6</t>
        </is>
      </c>
      <c r="CP5" s="187" t="inlineStr">
        <is>
          <t>FQ 2Q6</t>
        </is>
      </c>
      <c r="CQ5" s="187" t="inlineStr">
        <is>
          <t>FQ 1Q6</t>
        </is>
      </c>
      <c r="CR5" s="187" t="inlineStr">
        <is>
          <t>FQ 4Q5</t>
        </is>
      </c>
      <c r="CS5" s="187" t="inlineStr">
        <is>
          <t>FQ 3Q5</t>
        </is>
      </c>
      <c r="CT5" s="187" t="inlineStr">
        <is>
          <t>FQ 2Q5</t>
        </is>
      </c>
      <c r="CU5" s="187" t="inlineStr">
        <is>
          <t>FQ 1Q5</t>
        </is>
      </c>
      <c r="CV5" s="187" t="inlineStr">
        <is>
          <t>FQ 4Q4</t>
        </is>
      </c>
      <c r="CW5" s="187" t="inlineStr">
        <is>
          <t>FQ 3Q4</t>
        </is>
      </c>
      <c r="CX5" s="187" t="inlineStr">
        <is>
          <t>FQ 2Q4</t>
        </is>
      </c>
      <c r="CY5" s="187" t="inlineStr">
        <is>
          <t>FQ 1Q4</t>
        </is>
      </c>
      <c r="CZ5" s="187" t="inlineStr">
        <is>
          <t>FQ 4Q3</t>
        </is>
      </c>
      <c r="DA5" s="187" t="inlineStr">
        <is>
          <t>FQ 3Q3</t>
        </is>
      </c>
      <c r="DB5" s="187" t="inlineStr">
        <is>
          <t>FQ 2Q3</t>
        </is>
      </c>
      <c r="DC5" s="187" t="inlineStr">
        <is>
          <t>FQ 1Q3</t>
        </is>
      </c>
      <c r="DD5" s="187" t="inlineStr">
        <is>
          <t>FQ 4Q2</t>
        </is>
      </c>
      <c r="DE5" s="187" t="inlineStr">
        <is>
          <t>FQ 3Q2</t>
        </is>
      </c>
      <c r="DF5" s="187" t="inlineStr">
        <is>
          <t>FQ 2Q2</t>
        </is>
      </c>
      <c r="DG5" s="187" t="inlineStr">
        <is>
          <t>FQ 1Q2</t>
        </is>
      </c>
      <c r="DH5" s="187" t="inlineStr">
        <is>
          <t>FQ 4Q1</t>
        </is>
      </c>
      <c r="DI5" s="187" t="inlineStr">
        <is>
          <t>FQ 3Q1</t>
        </is>
      </c>
      <c r="DJ5" s="187" t="inlineStr">
        <is>
          <t>FQ 2Q1</t>
        </is>
      </c>
      <c r="DK5" s="187" t="inlineStr">
        <is>
          <t>FQ 1Q1</t>
        </is>
      </c>
      <c r="DL5" s="187" t="inlineStr">
        <is>
          <t>FQ 4Q0</t>
        </is>
      </c>
      <c r="DM5" s="187" t="inlineStr">
        <is>
          <t>FQ 3Q0</t>
        </is>
      </c>
      <c r="DN5" s="187" t="inlineStr">
        <is>
          <t>FQ 2Q0</t>
        </is>
      </c>
      <c r="DO5" s="187" t="inlineStr">
        <is>
          <t>FQ 1Q0</t>
        </is>
      </c>
      <c r="DP5" s="187" t="inlineStr">
        <is>
          <t>FQ 4Q99</t>
        </is>
      </c>
      <c r="DQ5" s="187" t="inlineStr">
        <is>
          <t>FQ 3Q99</t>
        </is>
      </c>
      <c r="DR5" s="187" t="inlineStr">
        <is>
          <t>FQ 2Q99</t>
        </is>
      </c>
      <c r="DS5" s="187" t="inlineStr">
        <is>
          <t>FQ 1Q99</t>
        </is>
      </c>
      <c r="DT5" s="187" t="inlineStr">
        <is>
          <t>FQ 4Q98</t>
        </is>
      </c>
      <c r="DU5" s="187" t="inlineStr">
        <is>
          <t>FQ 3Q98</t>
        </is>
      </c>
      <c r="DV5" s="187" t="inlineStr">
        <is>
          <t>FQ 2Q98</t>
        </is>
      </c>
      <c r="DW5" s="187" t="inlineStr">
        <is>
          <t>FQ 1Q98</t>
        </is>
      </c>
      <c r="DX5" s="187" t="inlineStr">
        <is>
          <t>FQ 4Q97</t>
        </is>
      </c>
      <c r="DY5" s="187" t="inlineStr">
        <is>
          <t>FQ 3Q97</t>
        </is>
      </c>
      <c r="DZ5" s="187" t="inlineStr">
        <is>
          <t>FQ 2Q97</t>
        </is>
      </c>
      <c r="EA5" s="187" t="inlineStr">
        <is>
          <t>FQ 1Q97</t>
        </is>
      </c>
      <c r="EB5" s="187" t="inlineStr">
        <is>
          <t>FQ 4Q96</t>
        </is>
      </c>
      <c r="EC5" s="187" t="inlineStr">
        <is>
          <t>FQ 3Q96</t>
        </is>
      </c>
      <c r="ED5" s="187" t="inlineStr">
        <is>
          <t>FQ 2Q96</t>
        </is>
      </c>
      <c r="EE5" s="187" t="inlineStr">
        <is>
          <t>FQ 1Q96</t>
        </is>
      </c>
      <c r="EF5" s="187" t="inlineStr">
        <is>
          <t>FQ 4Q95</t>
        </is>
      </c>
      <c r="EG5" s="187" t="inlineStr">
        <is>
          <t>FQ 3Q95</t>
        </is>
      </c>
      <c r="EH5" s="187" t="inlineStr">
        <is>
          <t>FQ 2Q95</t>
        </is>
      </c>
      <c r="EI5" s="187" t="inlineStr">
        <is>
          <t>FQ 1Q95</t>
        </is>
      </c>
      <c r="EJ5" s="187" t="inlineStr">
        <is>
          <t>FQ 4Q94</t>
        </is>
      </c>
      <c r="EK5" s="187" t="inlineStr">
        <is>
          <t>FQ 3Q94</t>
        </is>
      </c>
      <c r="EL5" s="182" t="n"/>
      <c r="EM5" s="176" t="n"/>
      <c r="EN5" s="176" t="n"/>
      <c r="EO5" s="176" t="n"/>
      <c r="EP5" s="176" t="n"/>
      <c r="EQ5" s="176" t="n"/>
      <c r="ER5" s="176" t="n"/>
      <c r="ES5" s="176" t="n"/>
      <c r="ET5" s="176" t="n"/>
      <c r="EU5" s="176" t="n"/>
      <c r="EV5" s="176" t="n"/>
      <c r="EW5" s="176" t="n"/>
      <c r="EX5" s="176" t="n"/>
      <c r="EY5" s="176" t="n"/>
      <c r="EZ5" s="176" t="n"/>
      <c r="FA5" s="176" t="n"/>
      <c r="FB5" s="176" t="n"/>
      <c r="FC5" s="176" t="n"/>
      <c r="FD5" s="176" t="n"/>
      <c r="FE5" s="176" t="n"/>
      <c r="FF5" s="176" t="n"/>
      <c r="FG5" s="176" t="n"/>
      <c r="FH5" s="176" t="n"/>
      <c r="FI5" s="176" t="n"/>
      <c r="FJ5" s="176" t="n"/>
    </row>
    <row r="6" ht="15" customHeight="1" s="392">
      <c r="A6" s="176" t="n"/>
      <c r="B6" s="180" t="n"/>
      <c r="D6" s="185" t="n"/>
      <c r="E6" s="185" t="n"/>
      <c r="F6" s="185" t="n"/>
      <c r="G6" s="185" t="n"/>
      <c r="H6" s="185" t="n"/>
      <c r="I6" s="185" t="n"/>
      <c r="J6" s="185" t="n"/>
      <c r="K6" s="185" t="n"/>
      <c r="M6" s="183" t="inlineStr">
        <is>
          <t>End: 31-Jul-2026</t>
        </is>
      </c>
      <c r="N6" s="183" t="inlineStr">
        <is>
          <t>End: 30-Apr-2026</t>
        </is>
      </c>
      <c r="O6" s="183" t="inlineStr">
        <is>
          <t>End: 31-Jan-2026</t>
        </is>
      </c>
      <c r="P6" s="183" t="inlineStr">
        <is>
          <t>End: 31-Oct-2025</t>
        </is>
      </c>
      <c r="Q6" s="183" t="inlineStr">
        <is>
          <t>End: 31-Jul-2025</t>
        </is>
      </c>
      <c r="R6" s="183" t="inlineStr">
        <is>
          <t>End: 30-Apr-2025</t>
        </is>
      </c>
      <c r="S6" s="183" t="inlineStr">
        <is>
          <t>End: 31-Jan-2025</t>
        </is>
      </c>
      <c r="T6" s="183" t="inlineStr">
        <is>
          <t>End: 31-Oct-2024</t>
        </is>
      </c>
      <c r="U6" s="183" t="inlineStr">
        <is>
          <t>End: 31-Jul-2024</t>
        </is>
      </c>
      <c r="V6" s="183" t="inlineStr">
        <is>
          <t>End: 30-Apr-2024</t>
        </is>
      </c>
      <c r="W6" s="183" t="inlineStr">
        <is>
          <t>End: 31-Jan-2024</t>
        </is>
      </c>
      <c r="X6" s="183" t="inlineStr">
        <is>
          <t>End: 31-Oct-2023</t>
        </is>
      </c>
      <c r="Y6" s="183" t="inlineStr">
        <is>
          <t>End: 31-Jul-2023</t>
        </is>
      </c>
      <c r="Z6" s="183" t="inlineStr">
        <is>
          <t>End: 30-Apr-2023</t>
        </is>
      </c>
      <c r="AA6" s="183" t="inlineStr">
        <is>
          <t>End: 31-Jan-2023</t>
        </is>
      </c>
      <c r="AB6" s="183" t="inlineStr">
        <is>
          <t>End: 31-Oct-2022</t>
        </is>
      </c>
      <c r="AC6" s="183" t="inlineStr">
        <is>
          <t>End: 31-Jul-2022</t>
        </is>
      </c>
      <c r="AD6" s="183" t="inlineStr">
        <is>
          <t>End: 30-Apr-2022</t>
        </is>
      </c>
      <c r="AE6" s="183" t="inlineStr">
        <is>
          <t>End: 31-Jan-2022</t>
        </is>
      </c>
      <c r="AF6" s="183" t="inlineStr">
        <is>
          <t>End: 31-Oct-2021</t>
        </is>
      </c>
      <c r="AG6" s="183" t="inlineStr">
        <is>
          <t>End: 31-Jul-2021</t>
        </is>
      </c>
      <c r="AH6" s="183" t="inlineStr">
        <is>
          <t>End: 30-Apr-2021</t>
        </is>
      </c>
      <c r="AI6" s="183" t="inlineStr">
        <is>
          <t>End: 31-Jan-2021</t>
        </is>
      </c>
      <c r="AJ6" s="183" t="inlineStr">
        <is>
          <t>End: 31-Oct-2020</t>
        </is>
      </c>
      <c r="AK6" s="183" t="inlineStr">
        <is>
          <t>End: 31-Jul-2020</t>
        </is>
      </c>
      <c r="AL6" s="183" t="inlineStr">
        <is>
          <t>End: 30-Apr-2020</t>
        </is>
      </c>
      <c r="AM6" s="183" t="inlineStr">
        <is>
          <t>End: 31-Jan-2020</t>
        </is>
      </c>
      <c r="AN6" s="183" t="inlineStr">
        <is>
          <t>End: 31-Oct-2019</t>
        </is>
      </c>
      <c r="AO6" s="183" t="inlineStr">
        <is>
          <t>End: 31-Jul-2019</t>
        </is>
      </c>
      <c r="AP6" s="183" t="inlineStr">
        <is>
          <t>End: 30-Apr-2019</t>
        </is>
      </c>
      <c r="AQ6" s="183" t="inlineStr">
        <is>
          <t>End: 31-Jan-2019</t>
        </is>
      </c>
      <c r="AR6" s="183" t="inlineStr">
        <is>
          <t>End: 31-Oct-2018</t>
        </is>
      </c>
      <c r="AS6" s="183" t="inlineStr">
        <is>
          <t>End: 31-Jul-2018</t>
        </is>
      </c>
      <c r="AT6" s="183" t="inlineStr">
        <is>
          <t>End: 30-Apr-2018</t>
        </is>
      </c>
      <c r="AU6" s="183" t="inlineStr">
        <is>
          <t>End: 31-Jan-2018</t>
        </is>
      </c>
      <c r="AV6" s="183" t="inlineStr">
        <is>
          <t>End: 31-Oct-2017</t>
        </is>
      </c>
      <c r="AW6" s="183" t="inlineStr">
        <is>
          <t>End: 31-Jul-2017</t>
        </is>
      </c>
      <c r="AX6" s="183" t="inlineStr">
        <is>
          <t>End: 30-Apr-2017</t>
        </is>
      </c>
      <c r="AY6" s="183" t="inlineStr">
        <is>
          <t>End: 31-Jan-2017</t>
        </is>
      </c>
      <c r="AZ6" s="183" t="inlineStr">
        <is>
          <t>End: 31-Oct-2016</t>
        </is>
      </c>
      <c r="BA6" s="183" t="inlineStr">
        <is>
          <t>End: 31-Jul-2016</t>
        </is>
      </c>
      <c r="BB6" s="183" t="inlineStr">
        <is>
          <t>End: 30-Apr-2016</t>
        </is>
      </c>
      <c r="BC6" s="183" t="inlineStr">
        <is>
          <t>End: 31-Jan-2016</t>
        </is>
      </c>
      <c r="BD6" s="183" t="inlineStr">
        <is>
          <t>End: 31-Oct-2015</t>
        </is>
      </c>
      <c r="BE6" s="183" t="inlineStr">
        <is>
          <t>End: 31-Jul-2015</t>
        </is>
      </c>
      <c r="BF6" s="183" t="inlineStr">
        <is>
          <t>End: 30-Apr-2015</t>
        </is>
      </c>
      <c r="BG6" s="183" t="inlineStr">
        <is>
          <t>End: 31-Jan-2015</t>
        </is>
      </c>
      <c r="BH6" s="183" t="inlineStr">
        <is>
          <t>End: 31-Oct-2014</t>
        </is>
      </c>
      <c r="BI6" s="183" t="inlineStr">
        <is>
          <t>End: 31-Jul-2014</t>
        </is>
      </c>
      <c r="BJ6" s="183" t="inlineStr">
        <is>
          <t>End: 30-Apr-2014</t>
        </is>
      </c>
      <c r="BK6" s="183" t="inlineStr">
        <is>
          <t>End: 31-Jan-2014</t>
        </is>
      </c>
      <c r="BL6" s="183" t="inlineStr">
        <is>
          <t>End: 31-Oct-2013</t>
        </is>
      </c>
      <c r="BM6" s="183" t="inlineStr">
        <is>
          <t>End: 31-Jul-2013</t>
        </is>
      </c>
      <c r="BN6" s="183" t="inlineStr">
        <is>
          <t>End: 30-Apr-2013</t>
        </is>
      </c>
      <c r="BO6" s="183" t="inlineStr">
        <is>
          <t>End: 31-Jan-2013</t>
        </is>
      </c>
      <c r="BP6" s="183" t="inlineStr">
        <is>
          <t>End: 31-Oct-2012</t>
        </is>
      </c>
      <c r="BQ6" s="183" t="inlineStr">
        <is>
          <t>End: 31-Jul-2012</t>
        </is>
      </c>
      <c r="BR6" s="183" t="inlineStr">
        <is>
          <t>End: 30-Apr-2012</t>
        </is>
      </c>
      <c r="BS6" s="183" t="inlineStr">
        <is>
          <t>End: 31-Jan-2012</t>
        </is>
      </c>
      <c r="BT6" s="183" t="inlineStr">
        <is>
          <t>End: 31-Oct-2011</t>
        </is>
      </c>
      <c r="BU6" s="183" t="inlineStr">
        <is>
          <t>End: 31-Jul-2011</t>
        </is>
      </c>
      <c r="BV6" s="183" t="inlineStr">
        <is>
          <t>End: 30-Apr-2011</t>
        </is>
      </c>
      <c r="BW6" s="183" t="inlineStr">
        <is>
          <t>End: 31-Oct-2010</t>
        </is>
      </c>
      <c r="BX6" s="183" t="inlineStr">
        <is>
          <t>End: 31-Jul-2010</t>
        </is>
      </c>
      <c r="BY6" s="183" t="inlineStr">
        <is>
          <t>End: 30-Apr-2010</t>
        </is>
      </c>
      <c r="BZ6" s="183" t="inlineStr">
        <is>
          <t>End: 31-Jan-2010</t>
        </is>
      </c>
      <c r="CA6" s="183" t="inlineStr">
        <is>
          <t>End: 31-Oct-2009</t>
        </is>
      </c>
      <c r="CB6" s="183" t="inlineStr">
        <is>
          <t>End: 31-Jul-2009</t>
        </is>
      </c>
      <c r="CC6" s="183" t="inlineStr">
        <is>
          <t>End: 30-Apr-2009</t>
        </is>
      </c>
      <c r="CD6" s="183" t="inlineStr">
        <is>
          <t>End: 31-Jan-2009</t>
        </is>
      </c>
      <c r="CE6" s="183" t="inlineStr">
        <is>
          <t>End: 31-Oct-2008</t>
        </is>
      </c>
      <c r="CF6" s="183" t="inlineStr">
        <is>
          <t>End: 31-Jul-2008</t>
        </is>
      </c>
      <c r="CG6" s="183" t="inlineStr">
        <is>
          <t>End: 30-Apr-2008</t>
        </is>
      </c>
      <c r="CH6" s="183" t="inlineStr">
        <is>
          <t>End: 31-Jan-2008</t>
        </is>
      </c>
      <c r="CI6" s="183" t="inlineStr">
        <is>
          <t>End: 31-Oct-2007</t>
        </is>
      </c>
      <c r="CJ6" s="183" t="inlineStr">
        <is>
          <t>End: 31-Jul-2007</t>
        </is>
      </c>
      <c r="CK6" s="183" t="inlineStr">
        <is>
          <t>End: 30-Apr-2007</t>
        </is>
      </c>
      <c r="CL6" s="183" t="inlineStr">
        <is>
          <t>End: 31-Jan-2007</t>
        </is>
      </c>
      <c r="CM6" s="183" t="inlineStr">
        <is>
          <t>End: 31-Oct-2006</t>
        </is>
      </c>
      <c r="CN6" s="183" t="inlineStr">
        <is>
          <t>End: 31-Jul-2006</t>
        </is>
      </c>
      <c r="CO6" s="183" t="inlineStr">
        <is>
          <t>End: 30-Apr-2006</t>
        </is>
      </c>
      <c r="CP6" s="183" t="inlineStr">
        <is>
          <t>End: 31-Jan-2006</t>
        </is>
      </c>
      <c r="CQ6" s="183" t="inlineStr">
        <is>
          <t>End: 31-Oct-2005</t>
        </is>
      </c>
      <c r="CR6" s="183" t="inlineStr">
        <is>
          <t>End: 31-Jul-2005</t>
        </is>
      </c>
      <c r="CS6" s="183" t="inlineStr">
        <is>
          <t>End: 30-Apr-2005</t>
        </is>
      </c>
      <c r="CT6" s="183" t="inlineStr">
        <is>
          <t>End: 31-Jan-2005</t>
        </is>
      </c>
      <c r="CU6" s="183" t="inlineStr">
        <is>
          <t>End: 31-Oct-2004</t>
        </is>
      </c>
      <c r="CV6" s="183" t="inlineStr">
        <is>
          <t>End: 31-Jul-2004</t>
        </is>
      </c>
      <c r="CW6" s="183" t="inlineStr">
        <is>
          <t>End: 30-Apr-2004</t>
        </is>
      </c>
      <c r="CX6" s="183" t="inlineStr">
        <is>
          <t>End: 31-Jan-2004</t>
        </is>
      </c>
      <c r="CY6" s="183" t="inlineStr">
        <is>
          <t>End: 31-Oct-2003</t>
        </is>
      </c>
      <c r="CZ6" s="183" t="inlineStr">
        <is>
          <t>End: 31-Jul-2003</t>
        </is>
      </c>
      <c r="DA6" s="183" t="inlineStr">
        <is>
          <t>End: 30-Apr-2003</t>
        </is>
      </c>
      <c r="DB6" s="183" t="inlineStr">
        <is>
          <t>End: 31-Jan-2003</t>
        </is>
      </c>
      <c r="DC6" s="183" t="inlineStr">
        <is>
          <t>End: 31-Oct-2002</t>
        </is>
      </c>
      <c r="DD6" s="183" t="inlineStr">
        <is>
          <t>End: 31-Jul-2002</t>
        </is>
      </c>
      <c r="DE6" s="183" t="inlineStr">
        <is>
          <t>End: 30-Apr-2002</t>
        </is>
      </c>
      <c r="DF6" s="183" t="inlineStr">
        <is>
          <t>End: 31-Jan-2002</t>
        </is>
      </c>
      <c r="DG6" s="183" t="inlineStr">
        <is>
          <t>End: 31-Oct-2001</t>
        </is>
      </c>
      <c r="DH6" s="183" t="inlineStr">
        <is>
          <t>End: 31-Jul-2001</t>
        </is>
      </c>
      <c r="DI6" s="183" t="inlineStr">
        <is>
          <t>End: 30-Apr-2001</t>
        </is>
      </c>
      <c r="DJ6" s="183" t="inlineStr">
        <is>
          <t>End: 31-Jan-2001</t>
        </is>
      </c>
      <c r="DK6" s="183" t="inlineStr">
        <is>
          <t>End: 31-Oct-2000</t>
        </is>
      </c>
      <c r="DL6" s="183" t="inlineStr">
        <is>
          <t>End: 31-Jul-2000</t>
        </is>
      </c>
      <c r="DM6" s="183" t="inlineStr">
        <is>
          <t>End: 30-Apr-2000</t>
        </is>
      </c>
      <c r="DN6" s="183" t="inlineStr">
        <is>
          <t>End: 31-Jan-2000</t>
        </is>
      </c>
      <c r="DO6" s="183" t="inlineStr">
        <is>
          <t>End: 31-Oct-1999</t>
        </is>
      </c>
      <c r="DP6" s="183" t="inlineStr">
        <is>
          <t>End: 31-Jul-1999</t>
        </is>
      </c>
      <c r="DQ6" s="183" t="inlineStr">
        <is>
          <t>End: 30-Apr-1999</t>
        </is>
      </c>
      <c r="DR6" s="183" t="inlineStr">
        <is>
          <t>End: 31-Jan-1999</t>
        </is>
      </c>
      <c r="DS6" s="183" t="inlineStr">
        <is>
          <t>End: 31-Oct-1998</t>
        </is>
      </c>
      <c r="DT6" s="183" t="inlineStr">
        <is>
          <t>End: 31-Jul-1998</t>
        </is>
      </c>
      <c r="DU6" s="183" t="inlineStr">
        <is>
          <t>End: 30-Apr-1998</t>
        </is>
      </c>
      <c r="DV6" s="183" t="inlineStr">
        <is>
          <t>End: 31-Jan-1998</t>
        </is>
      </c>
      <c r="DW6" s="183" t="inlineStr">
        <is>
          <t>End: 31-Oct-1997</t>
        </is>
      </c>
      <c r="DX6" s="183" t="inlineStr">
        <is>
          <t>End: 31-Jul-1997</t>
        </is>
      </c>
      <c r="DY6" s="183" t="inlineStr">
        <is>
          <t>End: 30-Apr-1997</t>
        </is>
      </c>
      <c r="DZ6" s="183" t="inlineStr">
        <is>
          <t>End: 31-Jan-1997</t>
        </is>
      </c>
      <c r="EA6" s="183" t="inlineStr">
        <is>
          <t>End: 31-Oct-1996</t>
        </is>
      </c>
      <c r="EB6" s="183" t="inlineStr">
        <is>
          <t>End: 31-Jul-1996</t>
        </is>
      </c>
      <c r="EC6" s="183" t="inlineStr">
        <is>
          <t>End: 30-Apr-1996</t>
        </is>
      </c>
      <c r="ED6" s="183" t="inlineStr">
        <is>
          <t>End: 31-Jan-1996</t>
        </is>
      </c>
      <c r="EE6" s="183" t="inlineStr">
        <is>
          <t>End: 31-Oct-1995</t>
        </is>
      </c>
      <c r="EF6" s="183" t="inlineStr">
        <is>
          <t>End: 31-Jul-1995</t>
        </is>
      </c>
      <c r="EG6" s="183" t="inlineStr">
        <is>
          <t>End: 30-Apr-1995</t>
        </is>
      </c>
      <c r="EH6" s="183" t="inlineStr">
        <is>
          <t>End: 31-Jan-1995</t>
        </is>
      </c>
      <c r="EI6" s="183" t="inlineStr">
        <is>
          <t>End: 31-Oct-1994</t>
        </is>
      </c>
      <c r="EJ6" s="183" t="inlineStr">
        <is>
          <t>End: 31-Jul-1994</t>
        </is>
      </c>
      <c r="EK6" s="183" t="inlineStr">
        <is>
          <t>End: 30-Apr-1994</t>
        </is>
      </c>
      <c r="EL6" s="182" t="n"/>
      <c r="EM6" s="176" t="n"/>
      <c r="EN6" s="176" t="n"/>
      <c r="EO6" s="176" t="n"/>
      <c r="EP6" s="176" t="n"/>
      <c r="EQ6" s="176" t="n"/>
      <c r="ER6" s="176" t="n"/>
      <c r="ES6" s="176" t="n"/>
      <c r="ET6" s="176" t="n"/>
      <c r="EU6" s="176" t="n"/>
      <c r="EV6" s="176" t="n"/>
      <c r="EW6" s="176" t="n"/>
      <c r="EX6" s="176" t="n"/>
      <c r="EY6" s="176" t="n"/>
      <c r="EZ6" s="176" t="n"/>
      <c r="FA6" s="176" t="n"/>
      <c r="FB6" s="176" t="n"/>
      <c r="FC6" s="176" t="n"/>
      <c r="FD6" s="176" t="n"/>
      <c r="FE6" s="176" t="n"/>
      <c r="FF6" s="176" t="n"/>
      <c r="FG6" s="176" t="n"/>
      <c r="FH6" s="176" t="n"/>
      <c r="FI6" s="176" t="n"/>
      <c r="FJ6" s="176" t="n"/>
    </row>
    <row r="7" ht="15" customHeight="1" s="392">
      <c r="A7" s="176" t="n"/>
      <c r="B7" s="180" t="n"/>
      <c r="C7" s="183" t="inlineStr">
        <is>
          <t>Amount in thousands  (USD) (except Ratios, Multiples &amp; per share items)</t>
        </is>
      </c>
      <c r="D7" s="185" t="n"/>
      <c r="E7" s="185" t="n"/>
      <c r="F7" s="185" t="n"/>
      <c r="G7" s="185" t="n"/>
      <c r="H7" s="185" t="n"/>
      <c r="I7" s="185" t="n"/>
      <c r="J7" s="185" t="n"/>
      <c r="K7" s="185" t="n"/>
      <c r="N7" s="183" t="inlineStr">
        <is>
          <t>Filed: 29-May-2026</t>
        </is>
      </c>
      <c r="O7" s="183" t="inlineStr">
        <is>
          <t>Filed: 03-Mar-2026</t>
        </is>
      </c>
      <c r="P7" s="183" t="inlineStr">
        <is>
          <t>Filed: 24-Nov-2025</t>
        </is>
      </c>
      <c r="R7" s="183" t="inlineStr">
        <is>
          <t>Filed: 03-Jun-2025</t>
        </is>
      </c>
      <c r="S7" s="183" t="inlineStr">
        <is>
          <t>Filed: 26-Feb-2025</t>
        </is>
      </c>
      <c r="T7" s="183" t="inlineStr">
        <is>
          <t>Filed: 26-Nov-2024</t>
        </is>
      </c>
      <c r="V7" s="183" t="inlineStr">
        <is>
          <t>Filed: 23-May-2024</t>
        </is>
      </c>
      <c r="W7" s="183" t="inlineStr">
        <is>
          <t>Filed: 27-Feb-2024</t>
        </is>
      </c>
      <c r="X7" s="183" t="inlineStr">
        <is>
          <t>Filed: 21-Nov-2023</t>
        </is>
      </c>
      <c r="Z7" s="183" t="inlineStr">
        <is>
          <t>Filed: 25-May-2023</t>
        </is>
      </c>
      <c r="AA7" s="183" t="inlineStr">
        <is>
          <t>Filed: 24-Feb-2023</t>
        </is>
      </c>
      <c r="AB7" s="183" t="inlineStr">
        <is>
          <t>Filed: 18-Nov-2022</t>
        </is>
      </c>
      <c r="AD7" s="183" t="inlineStr">
        <is>
          <t>Filed: 25-May-2022</t>
        </is>
      </c>
      <c r="AE7" s="183" t="inlineStr">
        <is>
          <t>Filed: 03-Mar-2022</t>
        </is>
      </c>
      <c r="AF7" s="183" t="inlineStr">
        <is>
          <t>Filed: 19-Nov-2021</t>
        </is>
      </c>
      <c r="AH7" s="183" t="inlineStr">
        <is>
          <t>Filed: 24-May-2021</t>
        </is>
      </c>
      <c r="AI7" s="183" t="inlineStr">
        <is>
          <t>Filed: 24-Feb-2021</t>
        </is>
      </c>
      <c r="AJ7" s="183" t="inlineStr">
        <is>
          <t>Filed: 20-Nov-2020</t>
        </is>
      </c>
      <c r="AK7" s="183" t="inlineStr">
        <is>
          <t>Filed: 28-Sep-2020</t>
        </is>
      </c>
      <c r="AL7" s="183" t="inlineStr">
        <is>
          <t>Filed: 28-May-2020</t>
        </is>
      </c>
      <c r="AM7" s="183" t="inlineStr">
        <is>
          <t>Filed: 27-Feb-2020</t>
        </is>
      </c>
      <c r="AN7" s="183" t="inlineStr">
        <is>
          <t>Filed: 25-Nov-2019</t>
        </is>
      </c>
      <c r="AO7" s="183" t="inlineStr">
        <is>
          <t>Filed: 28-Sep-2020</t>
        </is>
      </c>
      <c r="AP7" s="183" t="inlineStr">
        <is>
          <t>Filed: 29-May-2019</t>
        </is>
      </c>
      <c r="AQ7" s="183" t="inlineStr">
        <is>
          <t>Filed: 28-Feb-2019</t>
        </is>
      </c>
      <c r="AR7" s="183" t="inlineStr">
        <is>
          <t>Filed: 29-Nov-2018</t>
        </is>
      </c>
      <c r="AS7" s="183" t="inlineStr">
        <is>
          <t>Filed: 30-Sep-2019</t>
        </is>
      </c>
      <c r="AT7" s="183" t="inlineStr">
        <is>
          <t>Filed: 25-May-2018</t>
        </is>
      </c>
      <c r="AU7" s="183" t="inlineStr">
        <is>
          <t>Filed: 27-Feb-2018</t>
        </is>
      </c>
      <c r="AV7" s="183" t="inlineStr">
        <is>
          <t>Filed: 28-Nov-2017</t>
        </is>
      </c>
      <c r="AW7" s="183" t="inlineStr">
        <is>
          <t>Filed: 01-Oct-2018</t>
        </is>
      </c>
      <c r="AX7" s="183" t="inlineStr">
        <is>
          <t>Filed: 25-May-2017</t>
        </is>
      </c>
      <c r="AY7" s="183" t="inlineStr">
        <is>
          <t>Filed: 28-Feb-2017</t>
        </is>
      </c>
      <c r="AZ7" s="183" t="inlineStr">
        <is>
          <t>Filed: 30-Nov-2016</t>
        </is>
      </c>
      <c r="BA7" s="183" t="inlineStr">
        <is>
          <t>Filed: 28-Sep-2017</t>
        </is>
      </c>
      <c r="BB7" s="183" t="inlineStr">
        <is>
          <t>Filed: 26-May-2016</t>
        </is>
      </c>
      <c r="BC7" s="183" t="inlineStr">
        <is>
          <t>Filed: 25-Feb-2016</t>
        </is>
      </c>
      <c r="BD7" s="183" t="inlineStr">
        <is>
          <t>Filed: 24-Nov-2015</t>
        </is>
      </c>
      <c r="BE7" s="183" t="inlineStr">
        <is>
          <t>Filed: 28-Sep-2016</t>
        </is>
      </c>
      <c r="BF7" s="183" t="inlineStr">
        <is>
          <t>Filed: 28-May-2015</t>
        </is>
      </c>
      <c r="BG7" s="183" t="inlineStr">
        <is>
          <t>Filed: 04-Mar-2015</t>
        </is>
      </c>
      <c r="BH7" s="183" t="inlineStr">
        <is>
          <t>Filed: 26-Nov-2014</t>
        </is>
      </c>
      <c r="BI7" s="183" t="inlineStr">
        <is>
          <t>Filed: 25-Sep-2015</t>
        </is>
      </c>
      <c r="BJ7" s="183" t="inlineStr">
        <is>
          <t>Filed: 09-Jun-2014</t>
        </is>
      </c>
      <c r="BK7" s="183" t="inlineStr">
        <is>
          <t>Filed: 05-Mar-2014</t>
        </is>
      </c>
      <c r="BL7" s="183" t="inlineStr">
        <is>
          <t>Filed: 10-Dec-2013</t>
        </is>
      </c>
      <c r="BM7" s="183" t="inlineStr">
        <is>
          <t>Filed: 29-Sep-2014</t>
        </is>
      </c>
      <c r="BN7" s="183" t="inlineStr">
        <is>
          <t>Filed: 05-Jun-2013</t>
        </is>
      </c>
      <c r="BO7" s="183" t="inlineStr">
        <is>
          <t>Filed: 12-Mar-2013</t>
        </is>
      </c>
      <c r="BP7" s="183" t="inlineStr">
        <is>
          <t>Filed: 31-Oct-2012</t>
        </is>
      </c>
      <c r="BQ7" s="183" t="inlineStr">
        <is>
          <t>Filed: 31-Jul-2012</t>
        </is>
      </c>
      <c r="BR7" s="183" t="inlineStr">
        <is>
          <t>Filed: 30-Apr-2012</t>
        </is>
      </c>
      <c r="BS7" s="183" t="inlineStr">
        <is>
          <t>Filed: 31-Jan-2012</t>
        </is>
      </c>
      <c r="BT7" s="183" t="inlineStr">
        <is>
          <t>Filed: 31-Oct-2011</t>
        </is>
      </c>
      <c r="BU7" s="183" t="inlineStr">
        <is>
          <t>Filed: 31-Jul-2011</t>
        </is>
      </c>
      <c r="BV7" s="183" t="inlineStr">
        <is>
          <t>Filed: 30-Apr-2011</t>
        </is>
      </c>
      <c r="BW7" s="183" t="inlineStr">
        <is>
          <t>Filed: 31-Oct-2010</t>
        </is>
      </c>
      <c r="BX7" s="183" t="inlineStr">
        <is>
          <t>Filed: 31-Jul-2010</t>
        </is>
      </c>
      <c r="BY7" s="183" t="inlineStr">
        <is>
          <t>Filed: 30-Apr-2010</t>
        </is>
      </c>
      <c r="BZ7" s="183" t="inlineStr">
        <is>
          <t>Filed: 31-Jan-2010</t>
        </is>
      </c>
      <c r="CA7" s="183" t="inlineStr">
        <is>
          <t>Filed: 31-Oct-2009</t>
        </is>
      </c>
      <c r="CB7" s="183" t="inlineStr">
        <is>
          <t>Filed: 31-Jul-2009</t>
        </is>
      </c>
      <c r="CC7" s="183" t="inlineStr">
        <is>
          <t>Filed: 30-Apr-2009</t>
        </is>
      </c>
      <c r="CD7" s="183" t="inlineStr">
        <is>
          <t>Filed: 31-Jan-2009</t>
        </is>
      </c>
      <c r="CE7" s="183" t="inlineStr">
        <is>
          <t>Filed: 31-Oct-2008</t>
        </is>
      </c>
      <c r="CF7" s="183" t="inlineStr">
        <is>
          <t>Filed: 31-Jul-2008</t>
        </is>
      </c>
      <c r="CG7" s="183" t="inlineStr">
        <is>
          <t>Filed: 30-Apr-2008</t>
        </is>
      </c>
      <c r="CH7" s="183" t="inlineStr">
        <is>
          <t>Filed: 31-Jan-2008</t>
        </is>
      </c>
      <c r="CI7" s="183" t="inlineStr">
        <is>
          <t>Filed: 31-Oct-2007</t>
        </is>
      </c>
      <c r="CJ7" s="183" t="inlineStr">
        <is>
          <t>Filed: 31-Jul-2007</t>
        </is>
      </c>
      <c r="CK7" s="183" t="inlineStr">
        <is>
          <t>Filed: 30-Apr-2007</t>
        </is>
      </c>
      <c r="CL7" s="183" t="inlineStr">
        <is>
          <t>Filed: 31-Jan-2007</t>
        </is>
      </c>
      <c r="CM7" s="183" t="inlineStr">
        <is>
          <t>Filed: 31-Oct-2006</t>
        </is>
      </c>
      <c r="CN7" s="183" t="inlineStr">
        <is>
          <t>Filed: 31-Jul-2006</t>
        </is>
      </c>
      <c r="CO7" s="183" t="inlineStr">
        <is>
          <t>Filed: 30-Apr-2006</t>
        </is>
      </c>
      <c r="CP7" s="183" t="inlineStr">
        <is>
          <t>Filed: 31-Jan-2006</t>
        </is>
      </c>
      <c r="CQ7" s="183" t="inlineStr">
        <is>
          <t>Filed: 31-Oct-2005</t>
        </is>
      </c>
      <c r="CR7" s="183" t="inlineStr">
        <is>
          <t>Filed: 31-Jul-2005</t>
        </is>
      </c>
      <c r="CS7" s="183" t="inlineStr">
        <is>
          <t>Filed: 30-Apr-2005</t>
        </is>
      </c>
      <c r="CT7" s="183" t="inlineStr">
        <is>
          <t>Filed: 31-Jan-2005</t>
        </is>
      </c>
      <c r="CU7" s="183" t="inlineStr">
        <is>
          <t>Filed: 31-Oct-2004</t>
        </is>
      </c>
      <c r="CV7" s="183" t="inlineStr">
        <is>
          <t>Filed: 31-Jul-2004</t>
        </is>
      </c>
      <c r="CW7" s="183" t="inlineStr">
        <is>
          <t>Filed: 30-Apr-2004</t>
        </is>
      </c>
      <c r="CX7" s="183" t="inlineStr">
        <is>
          <t>Filed: 31-Jan-2004</t>
        </is>
      </c>
      <c r="CY7" s="183" t="inlineStr">
        <is>
          <t>Filed: 31-Oct-2003</t>
        </is>
      </c>
      <c r="CZ7" s="183" t="inlineStr">
        <is>
          <t>Filed: 31-Jul-2003</t>
        </is>
      </c>
      <c r="DA7" s="183" t="inlineStr">
        <is>
          <t>Filed: 30-Apr-2003</t>
        </is>
      </c>
      <c r="DB7" s="183" t="inlineStr">
        <is>
          <t>Filed: 31-Jan-2003</t>
        </is>
      </c>
      <c r="DC7" s="183" t="inlineStr">
        <is>
          <t>Filed: 31-Oct-2002</t>
        </is>
      </c>
      <c r="DD7" s="183" t="inlineStr">
        <is>
          <t>Filed: 31-Jul-2002</t>
        </is>
      </c>
      <c r="DE7" s="183" t="inlineStr">
        <is>
          <t>Filed: 30-Apr-2002</t>
        </is>
      </c>
      <c r="DF7" s="183" t="inlineStr">
        <is>
          <t>Filed: 31-Jan-2002</t>
        </is>
      </c>
      <c r="DG7" s="183" t="inlineStr">
        <is>
          <t>Filed: 31-Oct-2001</t>
        </is>
      </c>
      <c r="DH7" s="183" t="inlineStr">
        <is>
          <t>Filed: 31-Jul-2001</t>
        </is>
      </c>
      <c r="DI7" s="183" t="inlineStr">
        <is>
          <t>Filed: 30-Apr-2001</t>
        </is>
      </c>
      <c r="DJ7" s="183" t="inlineStr">
        <is>
          <t>Filed: 31-Jan-2001</t>
        </is>
      </c>
      <c r="DK7" s="183" t="inlineStr">
        <is>
          <t>Filed: 31-Oct-2000</t>
        </is>
      </c>
      <c r="DL7" s="183" t="inlineStr">
        <is>
          <t>Filed: 31-Jul-2000</t>
        </is>
      </c>
      <c r="DM7" s="183" t="inlineStr">
        <is>
          <t>Filed: 30-Apr-2000</t>
        </is>
      </c>
      <c r="DN7" s="183" t="inlineStr">
        <is>
          <t>Filed: 31-Jan-2000</t>
        </is>
      </c>
      <c r="DO7" s="183" t="inlineStr">
        <is>
          <t>Filed: 31-Oct-1999</t>
        </is>
      </c>
      <c r="DP7" s="183" t="inlineStr">
        <is>
          <t>Filed: 31-Jul-1999</t>
        </is>
      </c>
      <c r="DQ7" s="183" t="inlineStr">
        <is>
          <t>Filed: 30-Apr-1999</t>
        </is>
      </c>
      <c r="DR7" s="183" t="inlineStr">
        <is>
          <t>Filed: 31-Jan-1999</t>
        </is>
      </c>
      <c r="DS7" s="183" t="inlineStr">
        <is>
          <t>Filed: 31-Oct-1998</t>
        </is>
      </c>
      <c r="DT7" s="183" t="inlineStr">
        <is>
          <t>Filed: 31-Jul-1998</t>
        </is>
      </c>
      <c r="DU7" s="183" t="inlineStr">
        <is>
          <t>Filed: 30-Apr-1998</t>
        </is>
      </c>
      <c r="DV7" s="183" t="inlineStr">
        <is>
          <t>Filed: 31-Jan-1998</t>
        </is>
      </c>
      <c r="DW7" s="183" t="inlineStr">
        <is>
          <t>Filed: 31-Oct-1997</t>
        </is>
      </c>
      <c r="DX7" s="183" t="inlineStr">
        <is>
          <t>Filed: 31-Jul-1997</t>
        </is>
      </c>
      <c r="DY7" s="183" t="inlineStr">
        <is>
          <t>Filed: 30-Apr-1997</t>
        </is>
      </c>
      <c r="DZ7" s="183" t="inlineStr">
        <is>
          <t>Filed: 31-Jan-1997</t>
        </is>
      </c>
      <c r="EA7" s="183" t="inlineStr">
        <is>
          <t>Filed: 31-Oct-1996</t>
        </is>
      </c>
      <c r="EB7" s="183" t="inlineStr">
        <is>
          <t>Filed: 31-Jul-1996</t>
        </is>
      </c>
      <c r="EC7" s="183" t="inlineStr">
        <is>
          <t>Filed: 30-Apr-1996</t>
        </is>
      </c>
      <c r="ED7" s="183" t="inlineStr">
        <is>
          <t>Filed: 31-Jan-1996</t>
        </is>
      </c>
      <c r="EE7" s="183" t="inlineStr">
        <is>
          <t>Filed: 31-Oct-1995</t>
        </is>
      </c>
      <c r="EF7" s="183" t="inlineStr">
        <is>
          <t>Filed: 31-Jul-1995</t>
        </is>
      </c>
      <c r="EG7" s="183" t="inlineStr">
        <is>
          <t>Filed: 30-Apr-1995</t>
        </is>
      </c>
      <c r="EH7" s="183" t="inlineStr">
        <is>
          <t>Filed: 31-Jan-1995</t>
        </is>
      </c>
      <c r="EI7" s="183" t="inlineStr">
        <is>
          <t>Filed: 31-Oct-1994</t>
        </is>
      </c>
      <c r="EJ7" s="183" t="inlineStr">
        <is>
          <t>Filed: 31-Jul-1994</t>
        </is>
      </c>
      <c r="EK7" s="183" t="inlineStr">
        <is>
          <t>Filed: 30-Apr-1994</t>
        </is>
      </c>
      <c r="EL7" s="182" t="n"/>
      <c r="EM7" s="176" t="n"/>
      <c r="EN7" s="176" t="n"/>
      <c r="EO7" s="176" t="n"/>
      <c r="EP7" s="176" t="n"/>
      <c r="EQ7" s="176" t="n"/>
      <c r="ER7" s="176" t="n"/>
      <c r="ES7" s="176" t="n"/>
      <c r="ET7" s="176" t="n"/>
      <c r="EU7" s="176" t="n"/>
      <c r="EV7" s="176" t="n"/>
      <c r="EW7" s="176" t="n"/>
      <c r="EX7" s="176" t="n"/>
      <c r="EY7" s="176" t="n"/>
      <c r="EZ7" s="176" t="n"/>
      <c r="FA7" s="176" t="n"/>
      <c r="FB7" s="176" t="n"/>
      <c r="FC7" s="176" t="n"/>
      <c r="FD7" s="176" t="n"/>
      <c r="FE7" s="176" t="n"/>
      <c r="FF7" s="176" t="n"/>
      <c r="FG7" s="176" t="n"/>
      <c r="FH7" s="176" t="n"/>
      <c r="FI7" s="176" t="n"/>
      <c r="FJ7" s="176" t="n"/>
    </row>
    <row r="8" ht="15" customHeight="1" s="392">
      <c r="A8" s="176" t="n"/>
      <c r="B8" s="180" t="n"/>
      <c r="D8" s="185" t="n"/>
      <c r="E8" s="185" t="n"/>
      <c r="F8" s="185" t="n"/>
      <c r="G8" s="185" t="n"/>
      <c r="H8" s="185" t="n"/>
      <c r="I8" s="185" t="n"/>
      <c r="J8" s="185" t="n"/>
      <c r="K8" s="185" t="n"/>
      <c r="N8" s="206" t="inlineStr">
        <is>
          <t>View 10-Q</t>
        </is>
      </c>
      <c r="O8" s="206" t="inlineStr">
        <is>
          <t>View 10-Q</t>
        </is>
      </c>
      <c r="P8" s="206" t="inlineStr">
        <is>
          <t>View 10-Q</t>
        </is>
      </c>
      <c r="R8" s="206" t="inlineStr">
        <is>
          <t>View 10-Q</t>
        </is>
      </c>
      <c r="S8" s="206" t="inlineStr">
        <is>
          <t>View 10-Q</t>
        </is>
      </c>
      <c r="T8" s="206" t="inlineStr">
        <is>
          <t>View 10-Q</t>
        </is>
      </c>
      <c r="V8" s="206" t="inlineStr">
        <is>
          <t>View 10-Q</t>
        </is>
      </c>
      <c r="W8" s="206" t="inlineStr">
        <is>
          <t>View 10-Q</t>
        </is>
      </c>
      <c r="X8" s="206" t="inlineStr">
        <is>
          <t>View 10-Q</t>
        </is>
      </c>
      <c r="Z8" s="206" t="inlineStr">
        <is>
          <t>View 10-Q</t>
        </is>
      </c>
      <c r="AA8" s="206" t="inlineStr">
        <is>
          <t>View 10-Q</t>
        </is>
      </c>
      <c r="AB8" s="206" t="inlineStr">
        <is>
          <t>View 10-Q</t>
        </is>
      </c>
      <c r="AD8" s="206" t="inlineStr">
        <is>
          <t>View 10-Q</t>
        </is>
      </c>
      <c r="AE8" s="206" t="inlineStr">
        <is>
          <t>View 10-Q</t>
        </is>
      </c>
      <c r="AF8" s="206" t="inlineStr">
        <is>
          <t>View 10-Q</t>
        </is>
      </c>
      <c r="AH8" s="206" t="inlineStr">
        <is>
          <t>View 10-Q</t>
        </is>
      </c>
      <c r="AI8" s="206" t="inlineStr">
        <is>
          <t>View 10-Q</t>
        </is>
      </c>
      <c r="AJ8" s="206" t="inlineStr">
        <is>
          <t>View 10-Q</t>
        </is>
      </c>
      <c r="AK8" s="206" t="inlineStr">
        <is>
          <t>View Source</t>
        </is>
      </c>
      <c r="AL8" s="206" t="inlineStr">
        <is>
          <t>View 10-Q</t>
        </is>
      </c>
      <c r="AM8" s="206" t="inlineStr">
        <is>
          <t>View 10-Q</t>
        </is>
      </c>
      <c r="AN8" s="206" t="inlineStr">
        <is>
          <t>View 10-Q</t>
        </is>
      </c>
      <c r="AO8" s="206" t="inlineStr">
        <is>
          <t>View Source</t>
        </is>
      </c>
      <c r="AP8" s="206" t="inlineStr">
        <is>
          <t>View 10-Q</t>
        </is>
      </c>
      <c r="AQ8" s="206" t="inlineStr">
        <is>
          <t>View 10-Q</t>
        </is>
      </c>
      <c r="AR8" s="206" t="inlineStr">
        <is>
          <t>View 10-Q</t>
        </is>
      </c>
      <c r="AS8" s="206" t="inlineStr">
        <is>
          <t>View Source</t>
        </is>
      </c>
      <c r="AT8" s="206" t="inlineStr">
        <is>
          <t>View 10-Q</t>
        </is>
      </c>
      <c r="AU8" s="206" t="inlineStr">
        <is>
          <t>View 10-Q</t>
        </is>
      </c>
      <c r="AV8" s="206" t="inlineStr">
        <is>
          <t>View 10-Q</t>
        </is>
      </c>
      <c r="AW8" s="206" t="inlineStr">
        <is>
          <t>View Source</t>
        </is>
      </c>
      <c r="AX8" s="206" t="inlineStr">
        <is>
          <t>View 10-Q</t>
        </is>
      </c>
      <c r="AY8" s="206" t="inlineStr">
        <is>
          <t>View 10-Q</t>
        </is>
      </c>
      <c r="AZ8" s="206" t="inlineStr">
        <is>
          <t>View 10-Q</t>
        </is>
      </c>
      <c r="BA8" s="206" t="inlineStr">
        <is>
          <t>View Source</t>
        </is>
      </c>
      <c r="BB8" s="206" t="inlineStr">
        <is>
          <t>View 10-Q</t>
        </is>
      </c>
      <c r="BC8" s="206" t="inlineStr">
        <is>
          <t>View 10-Q</t>
        </is>
      </c>
      <c r="BD8" s="206" t="inlineStr">
        <is>
          <t>View 10-Q</t>
        </is>
      </c>
      <c r="BE8" s="206" t="inlineStr">
        <is>
          <t>View Source</t>
        </is>
      </c>
      <c r="BF8" s="206" t="inlineStr">
        <is>
          <t>View 10-Q</t>
        </is>
      </c>
      <c r="BG8" s="206" t="inlineStr">
        <is>
          <t>View 10-Q</t>
        </is>
      </c>
      <c r="BH8" s="206" t="inlineStr">
        <is>
          <t>View 10-Q</t>
        </is>
      </c>
      <c r="BI8" s="206" t="inlineStr">
        <is>
          <t>View Source</t>
        </is>
      </c>
      <c r="BJ8" s="206" t="inlineStr">
        <is>
          <t>View 10-Q</t>
        </is>
      </c>
      <c r="BK8" s="206" t="inlineStr">
        <is>
          <t>View 10-Q</t>
        </is>
      </c>
      <c r="BL8" s="206" t="inlineStr">
        <is>
          <t>View 10-Q</t>
        </is>
      </c>
      <c r="BM8" s="206" t="inlineStr">
        <is>
          <t>View Source</t>
        </is>
      </c>
      <c r="BN8" s="206" t="inlineStr">
        <is>
          <t>View 10-Q</t>
        </is>
      </c>
      <c r="BO8" s="206" t="inlineStr">
        <is>
          <t>View 10-Q</t>
        </is>
      </c>
      <c r="BP8" s="206" t="inlineStr">
        <is>
          <t>View 10-Q</t>
        </is>
      </c>
      <c r="BQ8" s="206" t="inlineStr">
        <is>
          <t>View Source</t>
        </is>
      </c>
      <c r="BR8" s="206" t="inlineStr">
        <is>
          <t>View 10-Q</t>
        </is>
      </c>
      <c r="BS8" s="206" t="inlineStr">
        <is>
          <t>View 10-Q</t>
        </is>
      </c>
      <c r="BT8" s="206" t="inlineStr">
        <is>
          <t>View 10-Q</t>
        </is>
      </c>
      <c r="BU8" s="206" t="inlineStr">
        <is>
          <t>View Source</t>
        </is>
      </c>
      <c r="BV8" s="206" t="inlineStr">
        <is>
          <t>View 10-Q</t>
        </is>
      </c>
      <c r="BW8" s="206" t="inlineStr">
        <is>
          <t>View 10-Q</t>
        </is>
      </c>
      <c r="BX8" s="206" t="inlineStr">
        <is>
          <t>View Source</t>
        </is>
      </c>
      <c r="BY8" s="206" t="inlineStr">
        <is>
          <t>View 10-Q</t>
        </is>
      </c>
      <c r="BZ8" s="206" t="inlineStr">
        <is>
          <t>View 10-Q</t>
        </is>
      </c>
      <c r="CA8" s="206" t="inlineStr">
        <is>
          <t>View 10-Q</t>
        </is>
      </c>
      <c r="CB8" s="206" t="inlineStr">
        <is>
          <t>View Source</t>
        </is>
      </c>
      <c r="CC8" s="206" t="inlineStr">
        <is>
          <t>View 10-Q</t>
        </is>
      </c>
      <c r="CD8" s="206" t="inlineStr">
        <is>
          <t>View 10-Q</t>
        </is>
      </c>
      <c r="EL8" s="182" t="n"/>
      <c r="EM8" s="176" t="n"/>
      <c r="EN8" s="176" t="n"/>
      <c r="EO8" s="176" t="n"/>
      <c r="EP8" s="176" t="n"/>
      <c r="EQ8" s="176" t="n"/>
      <c r="ER8" s="176" t="n"/>
      <c r="ES8" s="176" t="n"/>
      <c r="ET8" s="176" t="n"/>
      <c r="EU8" s="176" t="n"/>
      <c r="EV8" s="176" t="n"/>
      <c r="EW8" s="176" t="n"/>
      <c r="EX8" s="176" t="n"/>
      <c r="EY8" s="176" t="n"/>
      <c r="EZ8" s="176" t="n"/>
      <c r="FA8" s="176" t="n"/>
      <c r="FB8" s="176" t="n"/>
      <c r="FC8" s="176" t="n"/>
      <c r="FD8" s="176" t="n"/>
      <c r="FE8" s="176" t="n"/>
      <c r="FF8" s="176" t="n"/>
      <c r="FG8" s="176" t="n"/>
      <c r="FH8" s="176" t="n"/>
      <c r="FI8" s="176" t="n"/>
      <c r="FJ8" s="176" t="n"/>
    </row>
    <row r="9" ht="15" customHeight="1" s="392">
      <c r="A9" s="176" t="n"/>
      <c r="B9" s="180" t="n"/>
      <c r="D9" s="185" t="n"/>
      <c r="E9" s="185" t="n"/>
      <c r="F9" s="185" t="n"/>
      <c r="G9" s="185" t="n"/>
      <c r="H9" s="185" t="n"/>
      <c r="I9" s="185" t="n"/>
      <c r="J9" s="185" t="n"/>
      <c r="K9" s="185" t="n"/>
      <c r="EL9" s="182" t="n"/>
      <c r="EM9" s="176" t="n"/>
      <c r="EN9" s="176" t="n"/>
      <c r="EO9" s="176" t="n"/>
      <c r="EP9" s="176" t="n"/>
      <c r="EQ9" s="176" t="n"/>
      <c r="ER9" s="176" t="n"/>
      <c r="ES9" s="176" t="n"/>
      <c r="ET9" s="176" t="n"/>
      <c r="EU9" s="176" t="n"/>
      <c r="EV9" s="176" t="n"/>
      <c r="EW9" s="176" t="n"/>
      <c r="EX9" s="176" t="n"/>
      <c r="EY9" s="176" t="n"/>
      <c r="EZ9" s="176" t="n"/>
      <c r="FA9" s="176" t="n"/>
      <c r="FB9" s="176" t="n"/>
      <c r="FC9" s="176" t="n"/>
      <c r="FD9" s="176" t="n"/>
      <c r="FE9" s="176" t="n"/>
      <c r="FF9" s="176" t="n"/>
      <c r="FG9" s="176" t="n"/>
      <c r="FH9" s="176" t="n"/>
      <c r="FI9" s="176" t="n"/>
      <c r="FJ9" s="176" t="n"/>
    </row>
    <row r="10" ht="15" customHeight="1" s="392">
      <c r="A10" s="176" t="n"/>
      <c r="B10" s="180" t="n"/>
      <c r="D10" s="185" t="n"/>
      <c r="E10" s="185" t="n"/>
      <c r="F10" s="185" t="n"/>
      <c r="G10" s="185" t="n"/>
      <c r="H10" s="185" t="n"/>
      <c r="I10" s="185" t="n"/>
      <c r="J10" s="185" t="n"/>
      <c r="K10" s="185" t="n"/>
      <c r="EL10" s="182" t="n"/>
      <c r="EM10" s="176" t="n"/>
      <c r="EN10" s="176" t="n"/>
      <c r="EO10" s="176" t="n"/>
      <c r="EP10" s="176" t="n"/>
      <c r="EQ10" s="176" t="n"/>
      <c r="ER10" s="176" t="n"/>
      <c r="ES10" s="176" t="n"/>
      <c r="ET10" s="176" t="n"/>
      <c r="EU10" s="176" t="n"/>
      <c r="EV10" s="176" t="n"/>
      <c r="EW10" s="176" t="n"/>
      <c r="EX10" s="176" t="n"/>
      <c r="EY10" s="176" t="n"/>
      <c r="EZ10" s="176" t="n"/>
      <c r="FA10" s="176" t="n"/>
      <c r="FB10" s="176" t="n"/>
      <c r="FC10" s="176" t="n"/>
      <c r="FD10" s="176" t="n"/>
      <c r="FE10" s="176" t="n"/>
      <c r="FF10" s="176" t="n"/>
      <c r="FG10" s="176" t="n"/>
      <c r="FH10" s="176" t="n"/>
      <c r="FI10" s="176" t="n"/>
      <c r="FJ10" s="176" t="n"/>
    </row>
    <row r="11" ht="15" customHeight="1" s="392">
      <c r="A11" s="176" t="n"/>
      <c r="B11" s="180" t="n"/>
      <c r="C11" s="189" t="inlineStr">
        <is>
          <t>Assets</t>
        </is>
      </c>
      <c r="D11" s="185" t="n"/>
      <c r="E11" s="185" t="n"/>
      <c r="F11" s="185" t="n"/>
      <c r="G11" s="185" t="n"/>
      <c r="H11" s="185" t="n"/>
      <c r="I11" s="185" t="n"/>
      <c r="J11" s="185" t="n"/>
      <c r="K11" s="185" t="n"/>
      <c r="L11" s="185" t="n"/>
      <c r="M11" s="185" t="n"/>
      <c r="N11" s="185" t="n"/>
      <c r="O11" s="185" t="n"/>
      <c r="P11" s="185" t="n"/>
      <c r="Q11" s="185" t="n"/>
      <c r="R11" s="185" t="n"/>
      <c r="S11" s="185" t="n"/>
      <c r="T11" s="185" t="n"/>
      <c r="U11" s="185" t="n"/>
      <c r="V11" s="185" t="n"/>
      <c r="W11" s="185" t="n"/>
      <c r="X11" s="185" t="n"/>
      <c r="Y11" s="185" t="n"/>
      <c r="Z11" s="185" t="n"/>
      <c r="AA11" s="185" t="n"/>
      <c r="AB11" s="185" t="n"/>
      <c r="AC11" s="185" t="n"/>
      <c r="AD11" s="185" t="n"/>
      <c r="AE11" s="185" t="n"/>
      <c r="AF11" s="185" t="n"/>
      <c r="AG11" s="185" t="n"/>
      <c r="AH11" s="185" t="n"/>
      <c r="AI11" s="185" t="n"/>
      <c r="AJ11" s="185" t="n"/>
      <c r="AK11" s="185" t="n"/>
      <c r="AL11" s="185" t="n"/>
      <c r="AM11" s="185" t="n"/>
      <c r="AN11" s="185" t="n"/>
      <c r="AO11" s="185" t="n"/>
      <c r="AP11" s="185" t="n"/>
      <c r="AQ11" s="185" t="n"/>
      <c r="AR11" s="185" t="n"/>
      <c r="AS11" s="185" t="n"/>
      <c r="AT11" s="185" t="n"/>
      <c r="AU11" s="185" t="n"/>
      <c r="AV11" s="185" t="n"/>
      <c r="AW11" s="185" t="n"/>
      <c r="AX11" s="185" t="n"/>
      <c r="AY11" s="185" t="n"/>
      <c r="AZ11" s="185" t="n"/>
      <c r="BA11" s="185" t="n"/>
      <c r="BB11" s="185" t="n"/>
      <c r="BC11" s="185" t="n"/>
      <c r="BD11" s="185" t="n"/>
      <c r="BE11" s="185" t="n"/>
      <c r="BF11" s="185" t="n"/>
      <c r="BG11" s="185" t="n"/>
      <c r="BH11" s="185" t="n"/>
      <c r="BI11" s="185" t="n"/>
      <c r="BJ11" s="185" t="n"/>
      <c r="BK11" s="185" t="n"/>
      <c r="BL11" s="185" t="n"/>
      <c r="BM11" s="185" t="n"/>
      <c r="BN11" s="185" t="n"/>
      <c r="BO11" s="185" t="n"/>
      <c r="BP11" s="185" t="n"/>
      <c r="BQ11" s="185" t="n"/>
      <c r="BR11" s="185" t="n"/>
      <c r="BS11" s="185" t="n"/>
      <c r="BT11" s="185" t="n"/>
      <c r="BU11" s="185" t="n"/>
      <c r="BV11" s="185" t="n"/>
      <c r="BW11" s="185" t="n"/>
      <c r="BX11" s="185" t="n"/>
      <c r="BY11" s="185" t="n"/>
      <c r="BZ11" s="185" t="n"/>
      <c r="CA11" s="185" t="n"/>
      <c r="CB11" s="185" t="n"/>
      <c r="CC11" s="185" t="n"/>
      <c r="CD11" s="185" t="n"/>
      <c r="CE11" s="185" t="n"/>
      <c r="CF11" s="185" t="n"/>
      <c r="CG11" s="185" t="n"/>
      <c r="CH11" s="185" t="n"/>
      <c r="CI11" s="185" t="n"/>
      <c r="CJ11" s="185" t="n"/>
      <c r="CK11" s="185" t="n"/>
      <c r="CL11" s="185" t="n"/>
      <c r="CM11" s="185" t="n"/>
      <c r="CN11" s="185" t="n"/>
      <c r="CO11" s="185" t="n"/>
      <c r="CP11" s="185" t="n"/>
      <c r="CQ11" s="185" t="n"/>
      <c r="CR11" s="185" t="n"/>
      <c r="CS11" s="185" t="n"/>
      <c r="CT11" s="185" t="n"/>
      <c r="CU11" s="185" t="n"/>
      <c r="CV11" s="185" t="n"/>
      <c r="CW11" s="185" t="n"/>
      <c r="CX11" s="185" t="n"/>
      <c r="CY11" s="185" t="n"/>
      <c r="CZ11" s="185" t="n"/>
      <c r="DA11" s="185" t="n"/>
      <c r="DB11" s="185" t="n"/>
      <c r="DC11" s="185" t="n"/>
      <c r="DD11" s="185" t="n"/>
      <c r="DE11" s="185" t="n"/>
      <c r="DF11" s="185" t="n"/>
      <c r="DG11" s="185" t="n"/>
      <c r="DH11" s="185" t="n"/>
      <c r="DI11" s="185" t="n"/>
      <c r="DJ11" s="185" t="n"/>
      <c r="DK11" s="185" t="n"/>
      <c r="DL11" s="185" t="n"/>
      <c r="DM11" s="185" t="n"/>
      <c r="DN11" s="185" t="n"/>
      <c r="DO11" s="185" t="n"/>
      <c r="DP11" s="185" t="n"/>
      <c r="DQ11" s="185" t="n"/>
      <c r="DR11" s="185" t="n"/>
      <c r="DS11" s="185" t="n"/>
      <c r="DT11" s="185" t="n"/>
      <c r="DU11" s="185" t="n"/>
      <c r="DV11" s="185" t="n"/>
      <c r="DW11" s="185" t="n"/>
      <c r="DX11" s="185" t="n"/>
      <c r="DY11" s="185" t="n"/>
      <c r="DZ11" s="185" t="n"/>
      <c r="EA11" s="185" t="n"/>
      <c r="EB11" s="185" t="n"/>
      <c r="EC11" s="185" t="n"/>
      <c r="ED11" s="185" t="n"/>
      <c r="EE11" s="185" t="n"/>
      <c r="EF11" s="185" t="n"/>
      <c r="EG11" s="185" t="n"/>
      <c r="EH11" s="185" t="n"/>
      <c r="EI11" s="185" t="n"/>
      <c r="EJ11" s="185" t="n"/>
      <c r="EK11" s="185" t="n"/>
      <c r="EL11" s="182" t="n"/>
      <c r="EM11" s="176" t="n"/>
      <c r="EN11" s="176" t="n"/>
      <c r="EO11" s="176" t="n"/>
      <c r="EP11" s="176" t="n"/>
      <c r="EQ11" s="176" t="n"/>
      <c r="ER11" s="176" t="n"/>
      <c r="ES11" s="176" t="n"/>
      <c r="ET11" s="176" t="n"/>
      <c r="EU11" s="176" t="n"/>
      <c r="EV11" s="176" t="n"/>
      <c r="EW11" s="176" t="n"/>
      <c r="EX11" s="176" t="n"/>
      <c r="EY11" s="176" t="n"/>
      <c r="EZ11" s="176" t="n"/>
      <c r="FA11" s="176" t="n"/>
      <c r="FB11" s="176" t="n"/>
      <c r="FC11" s="176" t="n"/>
      <c r="FD11" s="176" t="n"/>
      <c r="FE11" s="176" t="n"/>
      <c r="FF11" s="176" t="n"/>
      <c r="FG11" s="176" t="n"/>
      <c r="FH11" s="176" t="n"/>
      <c r="FI11" s="176" t="n"/>
      <c r="FJ11" s="176" t="n"/>
    </row>
    <row r="12" ht="15" customHeight="1" s="392">
      <c r="A12" s="176" t="n"/>
      <c r="B12" s="180" t="n"/>
      <c r="C12" s="183" t="inlineStr">
        <is>
          <t xml:space="preserve">    Current Assets</t>
        </is>
      </c>
      <c r="D12" s="185" t="n"/>
      <c r="E12" s="185" t="n"/>
      <c r="F12" s="185" t="n"/>
      <c r="G12" s="185" t="n"/>
      <c r="H12" s="185" t="n"/>
      <c r="I12" s="185" t="n"/>
      <c r="J12" s="185" t="n"/>
      <c r="K12" s="185" t="n"/>
      <c r="EL12" s="182" t="n"/>
      <c r="EM12" s="176" t="n"/>
      <c r="EN12" s="176" t="n"/>
      <c r="EO12" s="176" t="n"/>
      <c r="EP12" s="176" t="n"/>
      <c r="EQ12" s="176" t="n"/>
      <c r="ER12" s="176" t="n"/>
      <c r="ES12" s="176" t="n"/>
      <c r="ET12" s="176" t="n"/>
      <c r="EU12" s="176" t="n"/>
      <c r="EV12" s="176" t="n"/>
      <c r="EW12" s="176" t="n"/>
      <c r="EX12" s="176" t="n"/>
      <c r="EY12" s="176" t="n"/>
      <c r="EZ12" s="176" t="n"/>
      <c r="FA12" s="176" t="n"/>
      <c r="FB12" s="176" t="n"/>
      <c r="FC12" s="176" t="n"/>
      <c r="FD12" s="176" t="n"/>
      <c r="FE12" s="176" t="n"/>
      <c r="FF12" s="176" t="n"/>
      <c r="FG12" s="176" t="n"/>
      <c r="FH12" s="176" t="n"/>
      <c r="FI12" s="176" t="n"/>
      <c r="FJ12" s="176" t="n"/>
    </row>
    <row r="13" ht="15" customHeight="1" s="392">
      <c r="A13" s="176" t="n"/>
      <c r="B13" s="180" t="n"/>
      <c r="C13" s="183" t="inlineStr">
        <is>
          <t xml:space="preserve">        Cash, Cash Equivalents and Short Term Investments</t>
        </is>
      </c>
      <c r="D13" s="185" t="n"/>
      <c r="E13" s="185" t="n"/>
      <c r="F13" s="185" t="n"/>
      <c r="G13" s="185" t="n"/>
      <c r="H13" s="185" t="n"/>
      <c r="I13" s="185" t="n"/>
      <c r="J13" s="185" t="n"/>
      <c r="K13" s="185" t="n"/>
      <c r="EL13" s="182" t="n"/>
      <c r="EM13" s="176" t="n"/>
      <c r="EN13" s="176" t="n"/>
      <c r="EO13" s="176" t="n"/>
      <c r="EP13" s="176" t="n"/>
      <c r="EQ13" s="176" t="n"/>
      <c r="ER13" s="176" t="n"/>
      <c r="ES13" s="176" t="n"/>
      <c r="ET13" s="176" t="n"/>
      <c r="EU13" s="176" t="n"/>
      <c r="EV13" s="176" t="n"/>
      <c r="EW13" s="176" t="n"/>
      <c r="EX13" s="176" t="n"/>
      <c r="EY13" s="176" t="n"/>
      <c r="EZ13" s="176" t="n"/>
      <c r="FA13" s="176" t="n"/>
      <c r="FB13" s="176" t="n"/>
      <c r="FC13" s="176" t="n"/>
      <c r="FD13" s="176" t="n"/>
      <c r="FE13" s="176" t="n"/>
      <c r="FF13" s="176" t="n"/>
      <c r="FG13" s="176" t="n"/>
      <c r="FH13" s="176" t="n"/>
      <c r="FI13" s="176" t="n"/>
      <c r="FJ13" s="176" t="n"/>
    </row>
    <row r="14" ht="15" customHeight="1" s="392">
      <c r="A14" s="176" t="n"/>
      <c r="B14" s="180" t="n"/>
      <c r="C14" s="183" t="inlineStr">
        <is>
          <t xml:space="preserve">            Cash and Cash Equivalents</t>
        </is>
      </c>
      <c r="D14" s="185" t="n"/>
      <c r="E14" s="185" t="n"/>
      <c r="F14" s="185" t="n"/>
      <c r="G14" s="185" t="n"/>
      <c r="H14" s="185" t="n"/>
      <c r="I14" s="185" t="n"/>
      <c r="J14" s="185" t="n"/>
      <c r="K14" s="185" t="n"/>
      <c r="EL14" s="182" t="n"/>
      <c r="EM14" s="176" t="n"/>
      <c r="EN14" s="176" t="n"/>
      <c r="EO14" s="176" t="n"/>
      <c r="EP14" s="176" t="n"/>
      <c r="EQ14" s="176" t="n"/>
      <c r="ER14" s="176" t="n"/>
      <c r="ES14" s="176" t="n"/>
      <c r="ET14" s="176" t="n"/>
      <c r="EU14" s="176" t="n"/>
      <c r="EV14" s="176" t="n"/>
      <c r="EW14" s="176" t="n"/>
      <c r="EX14" s="176" t="n"/>
      <c r="EY14" s="176" t="n"/>
      <c r="EZ14" s="176" t="n"/>
      <c r="FA14" s="176" t="n"/>
      <c r="FB14" s="176" t="n"/>
      <c r="FC14" s="176" t="n"/>
      <c r="FD14" s="176" t="n"/>
      <c r="FE14" s="176" t="n"/>
      <c r="FF14" s="176" t="n"/>
      <c r="FG14" s="176" t="n"/>
      <c r="FH14" s="176" t="n"/>
      <c r="FI14" s="176" t="n"/>
      <c r="FJ14" s="176" t="n"/>
    </row>
    <row r="15" ht="15" customHeight="1" s="392">
      <c r="A15" s="176" t="n"/>
      <c r="B15" s="180" t="n"/>
      <c r="C15" s="183" t="inlineStr">
        <is>
          <t xml:space="preserve">                Cash</t>
        </is>
      </c>
      <c r="D15" s="190">
        <f>IF(COUNT(M15:EK15)&gt;0,MEDIAN(M15:EK15),"")</f>
        <v/>
      </c>
      <c r="E15" s="190">
        <f>IF(COUNT(M15:EK15)&gt;0,AVERAGE(M15:EK15),"")</f>
        <v/>
      </c>
      <c r="F15" s="190">
        <f>IF(COUNT(M15:EK15)&gt;0,MIN(M15:EK15),"")</f>
        <v/>
      </c>
      <c r="G15" s="190">
        <f>IF(COUNT(M15:EK15)&gt;0,MAX(M15:EK15),"")</f>
        <v/>
      </c>
      <c r="H15" s="190">
        <f>IF(COUNT(M15:EK15)&gt;0,QUARTILE(M15:EK15,1),"")</f>
        <v/>
      </c>
      <c r="I15" s="190">
        <f>IF(COUNT(M15:EK15)&gt;0,QUARTILE(M15:EK15,3),"")</f>
        <v/>
      </c>
      <c r="J15" s="190">
        <f>IF(COUNT(M15:EK15)&gt;1,STDEV(M15:EK15),"")</f>
        <v/>
      </c>
      <c r="K15" s="191">
        <f>IF(COUNT(M15:EK15)&gt;1,STDEV(M15:EK15)/AVERAGE(M15:EK15),"")</f>
        <v/>
      </c>
      <c r="M15" s="192" t="n"/>
      <c r="N15" s="192" t="n"/>
      <c r="O15" s="192" t="n"/>
      <c r="P15" s="192" t="n"/>
      <c r="Q15" s="192" t="n"/>
      <c r="R15" s="192" t="n"/>
      <c r="S15" s="192" t="n"/>
      <c r="T15" s="192" t="n"/>
      <c r="U15" s="192" t="n"/>
      <c r="V15" s="192" t="n"/>
      <c r="W15" s="192" t="n">
        <v>1256948</v>
      </c>
      <c r="X15" s="192" t="n"/>
      <c r="Y15" s="192" t="n"/>
      <c r="Z15" s="192" t="n"/>
      <c r="AA15" s="192" t="n"/>
      <c r="AB15" s="192" t="n"/>
      <c r="AC15" s="192" t="n"/>
      <c r="AD15" s="192" t="n"/>
      <c r="AE15" s="192" t="n"/>
      <c r="AF15" s="192" t="n"/>
      <c r="AG15" s="192" t="n"/>
      <c r="AH15" s="192" t="n"/>
      <c r="AI15" s="192" t="n"/>
      <c r="AJ15" s="192" t="n"/>
      <c r="AK15" s="192" t="n"/>
      <c r="AL15" s="192" t="n"/>
      <c r="AM15" s="192" t="n"/>
      <c r="AN15" s="192" t="n"/>
      <c r="AO15" s="192" t="n"/>
      <c r="AP15" s="192" t="n"/>
      <c r="AQ15" s="192" t="n"/>
      <c r="AR15" s="192" t="n"/>
      <c r="AS15" s="192" t="n"/>
      <c r="AT15" s="192" t="n"/>
      <c r="AU15" s="192" t="n"/>
      <c r="AV15" s="192" t="n"/>
      <c r="AW15" s="192" t="n"/>
      <c r="AX15" s="192" t="n"/>
      <c r="AY15" s="192" t="n"/>
      <c r="AZ15" s="192" t="n"/>
      <c r="BA15" s="192" t="n"/>
      <c r="BB15" s="192" t="n"/>
      <c r="BC15" s="192" t="n"/>
      <c r="BD15" s="192" t="n"/>
      <c r="BE15" s="192" t="n"/>
      <c r="BF15" s="192" t="n"/>
      <c r="BG15" s="192" t="n"/>
      <c r="BH15" s="192" t="n"/>
      <c r="BI15" s="192" t="n"/>
      <c r="BJ15" s="192" t="n"/>
      <c r="BK15" s="192" t="n"/>
      <c r="BL15" s="192" t="n"/>
      <c r="BM15" s="192" t="n"/>
      <c r="BN15" s="192" t="n"/>
      <c r="BO15" s="192" t="n"/>
      <c r="BP15" s="192" t="n"/>
      <c r="BQ15" s="192" t="n"/>
      <c r="BR15" s="192" t="n"/>
      <c r="BS15" s="192" t="n"/>
      <c r="BT15" s="192" t="n"/>
      <c r="BU15" s="192" t="n"/>
      <c r="BV15" s="192" t="n"/>
      <c r="BW15" s="192" t="n"/>
      <c r="BX15" s="192" t="n"/>
      <c r="BY15" s="192" t="n"/>
      <c r="BZ15" s="192" t="n"/>
      <c r="CA15" s="192" t="n"/>
      <c r="CB15" s="192" t="n"/>
      <c r="CC15" s="192" t="n"/>
      <c r="CD15" s="192" t="n"/>
      <c r="CE15" s="192" t="n"/>
      <c r="CF15" s="192" t="n"/>
      <c r="CG15" s="192" t="n"/>
      <c r="CH15" s="192" t="n"/>
      <c r="CI15" s="192" t="n"/>
      <c r="CJ15" s="192" t="n"/>
      <c r="CK15" s="192" t="n"/>
      <c r="CL15" s="192" t="n"/>
      <c r="CM15" s="192" t="n"/>
      <c r="CN15" s="192" t="n"/>
      <c r="CO15" s="192" t="n"/>
      <c r="CP15" s="192" t="n"/>
      <c r="CQ15" s="192" t="n"/>
      <c r="CR15" s="192" t="n"/>
      <c r="CS15" s="192" t="n"/>
      <c r="CT15" s="192" t="n"/>
      <c r="CU15" s="192" t="n"/>
      <c r="CV15" s="192" t="n"/>
      <c r="CW15" s="192" t="n"/>
      <c r="CX15" s="192" t="n"/>
      <c r="CY15" s="192" t="n"/>
      <c r="CZ15" s="192" t="n"/>
      <c r="DA15" s="192" t="n"/>
      <c r="DB15" s="192" t="n"/>
      <c r="DC15" s="192" t="n"/>
      <c r="DD15" s="192" t="n"/>
      <c r="DE15" s="192" t="n"/>
      <c r="DF15" s="192" t="n"/>
      <c r="DG15" s="192" t="n"/>
      <c r="DH15" s="192" t="n"/>
      <c r="DI15" s="192" t="n"/>
      <c r="DJ15" s="192" t="n"/>
      <c r="DK15" s="192" t="n"/>
      <c r="DL15" s="192" t="n"/>
      <c r="DM15" s="192" t="n"/>
      <c r="DN15" s="192" t="n"/>
      <c r="DO15" s="192" t="n"/>
      <c r="DP15" s="192" t="n"/>
      <c r="DQ15" s="192" t="n"/>
      <c r="DR15" s="192" t="n"/>
      <c r="DS15" s="192" t="n"/>
      <c r="DT15" s="192" t="n"/>
      <c r="DU15" s="192" t="n"/>
      <c r="DV15" s="192" t="n"/>
      <c r="DW15" s="192" t="n"/>
      <c r="DX15" s="192" t="n"/>
      <c r="DY15" s="192" t="n"/>
      <c r="DZ15" s="192" t="n"/>
      <c r="EA15" s="192" t="n"/>
      <c r="EB15" s="192" t="n"/>
      <c r="EC15" s="192" t="n"/>
      <c r="ED15" s="192" t="n"/>
      <c r="EE15" s="192" t="n"/>
      <c r="EF15" s="192" t="n"/>
      <c r="EG15" s="192" t="n"/>
      <c r="EH15" s="192" t="n"/>
      <c r="EI15" s="192" t="n"/>
      <c r="EJ15" s="192" t="n"/>
      <c r="EK15" s="192" t="n"/>
      <c r="EL15" s="182" t="n"/>
      <c r="EM15" s="176" t="n"/>
      <c r="EN15" s="176" t="n"/>
      <c r="EO15" s="176" t="n"/>
      <c r="EP15" s="176" t="n"/>
      <c r="EQ15" s="176" t="n"/>
      <c r="ER15" s="176" t="n"/>
      <c r="ES15" s="176" t="n"/>
      <c r="ET15" s="176" t="n"/>
      <c r="EU15" s="176" t="n"/>
      <c r="EV15" s="176" t="n"/>
      <c r="EW15" s="176" t="n"/>
      <c r="EX15" s="176" t="n"/>
      <c r="EY15" s="176" t="n"/>
      <c r="EZ15" s="176" t="n"/>
      <c r="FA15" s="176" t="n"/>
      <c r="FB15" s="176" t="n"/>
      <c r="FC15" s="176" t="n"/>
      <c r="FD15" s="176" t="n"/>
      <c r="FE15" s="176" t="n"/>
      <c r="FF15" s="176" t="n"/>
      <c r="FG15" s="176" t="n"/>
      <c r="FH15" s="176" t="n"/>
      <c r="FI15" s="176" t="n"/>
      <c r="FJ15" s="176" t="n"/>
    </row>
    <row r="16" ht="15" customHeight="1" s="392">
      <c r="A16" s="176" t="n"/>
      <c r="B16" s="180" t="n"/>
      <c r="C16" s="187" t="inlineStr">
        <is>
          <t xml:space="preserve">            Total Cash and Cash Equivalents</t>
        </is>
      </c>
      <c r="D16" s="193">
        <f>IF(COUNT(M16:EK16)&gt;0,MEDIAN(M16:EK16),"")</f>
        <v/>
      </c>
      <c r="E16" s="193">
        <f>IF(COUNT(M16:EK16)&gt;0,AVERAGE(M16:EK16),"")</f>
        <v/>
      </c>
      <c r="F16" s="193">
        <f>IF(COUNT(M16:EK16)&gt;0,MIN(M16:EK16),"")</f>
        <v/>
      </c>
      <c r="G16" s="193">
        <f>IF(COUNT(M16:EK16)&gt;0,MAX(M16:EK16),"")</f>
        <v/>
      </c>
      <c r="H16" s="193">
        <f>IF(COUNT(M16:EK16)&gt;0,QUARTILE(M16:EK16,1),"")</f>
        <v/>
      </c>
      <c r="I16" s="193">
        <f>IF(COUNT(M16:EK16)&gt;0,QUARTILE(M16:EK16,3),"")</f>
        <v/>
      </c>
      <c r="J16" s="193">
        <f>IF(COUNT(M16:EK16)&gt;1,STDEV(M16:EK16),"")</f>
        <v/>
      </c>
      <c r="K16" s="194">
        <f>IF(COUNT(M16:EK16)&gt;1,STDEV(M16:EK16)/AVERAGE(M16:EK16),"")</f>
        <v/>
      </c>
      <c r="L16" s="195" t="n"/>
      <c r="M16" s="196" t="n">
        <v>1907901</v>
      </c>
      <c r="N16" s="196" t="n">
        <v>3354142</v>
      </c>
      <c r="O16" s="196" t="n">
        <v>5101821</v>
      </c>
      <c r="P16" s="196" t="n">
        <v>5233590</v>
      </c>
      <c r="Q16" s="196" t="n">
        <v>2780531</v>
      </c>
      <c r="R16" s="196" t="n">
        <v>2366499</v>
      </c>
      <c r="S16" s="196" t="n">
        <v>3338909</v>
      </c>
      <c r="T16" s="196" t="n">
        <v>3698118</v>
      </c>
      <c r="U16" s="196" t="n">
        <v>1514111</v>
      </c>
      <c r="V16" s="196" t="n">
        <v>1089995</v>
      </c>
      <c r="W16" s="196" t="n">
        <v>1256948</v>
      </c>
      <c r="X16" s="196" t="n">
        <v>2581567</v>
      </c>
      <c r="Y16" s="196" t="n">
        <v>957395</v>
      </c>
      <c r="Z16" s="196" t="n">
        <v>2114183</v>
      </c>
      <c r="AA16" s="196" t="n">
        <v>1660952</v>
      </c>
      <c r="AB16" s="196" t="n">
        <v>1539391</v>
      </c>
      <c r="AC16" s="196" t="n">
        <v>1384236</v>
      </c>
      <c r="AD16" s="196" t="n">
        <v>1454818</v>
      </c>
      <c r="AE16" s="196" t="n">
        <v>971651</v>
      </c>
      <c r="AF16" s="196" t="n">
        <v>1298373</v>
      </c>
      <c r="AG16" s="196" t="n">
        <v>1048260</v>
      </c>
      <c r="AH16" s="196" t="n">
        <v>911890</v>
      </c>
      <c r="AI16" s="196" t="n">
        <v>616403</v>
      </c>
      <c r="AJ16" s="196" t="n">
        <v>605732</v>
      </c>
      <c r="AK16" s="196" t="n">
        <v>477718</v>
      </c>
      <c r="AL16" s="196" t="n">
        <v>306387</v>
      </c>
      <c r="AM16" s="196" t="n">
        <v>93511</v>
      </c>
      <c r="AN16" s="196" t="n">
        <v>181102</v>
      </c>
      <c r="AO16" s="196" t="n">
        <v>186319</v>
      </c>
      <c r="AP16" s="196" t="n">
        <v>102826</v>
      </c>
      <c r="AQ16" s="196" t="n">
        <v>108174</v>
      </c>
      <c r="AR16" s="196" t="n">
        <v>320309</v>
      </c>
      <c r="AS16" s="196" t="n">
        <v>274520</v>
      </c>
      <c r="AT16" s="196" t="n">
        <v>204275</v>
      </c>
      <c r="AU16" s="196" t="n">
        <v>195300</v>
      </c>
      <c r="AV16" s="196" t="n">
        <v>224246</v>
      </c>
      <c r="AW16" s="196" t="n">
        <v>210100</v>
      </c>
      <c r="AX16" s="196" t="n">
        <v>189621</v>
      </c>
      <c r="AY16" s="196" t="n">
        <v>174952</v>
      </c>
      <c r="AZ16" s="196" t="n">
        <v>168421</v>
      </c>
      <c r="BA16" s="196" t="n">
        <v>155849</v>
      </c>
      <c r="BB16" s="196" t="n">
        <v>137653</v>
      </c>
      <c r="BC16" s="196" t="n">
        <v>141416</v>
      </c>
      <c r="BD16" s="196" t="n">
        <v>472916</v>
      </c>
      <c r="BE16" s="196" t="n">
        <v>456012</v>
      </c>
      <c r="BF16" s="196" t="n">
        <v>678742</v>
      </c>
      <c r="BG16" s="196" t="n">
        <v>590366</v>
      </c>
      <c r="BH16" s="196" t="n">
        <v>198484</v>
      </c>
      <c r="BI16" s="196" t="n">
        <v>158668</v>
      </c>
      <c r="BJ16" s="196" t="n">
        <v>132832</v>
      </c>
      <c r="BK16" s="196" t="n">
        <v>46199</v>
      </c>
      <c r="BL16" s="196" t="n">
        <v>77052</v>
      </c>
      <c r="BM16" s="196" t="n">
        <v>63631</v>
      </c>
      <c r="BN16" s="196" t="n">
        <v>139331</v>
      </c>
      <c r="BO16" s="196" t="n">
        <v>49510</v>
      </c>
      <c r="BP16" s="196" t="n">
        <v>131430</v>
      </c>
      <c r="BQ16" s="196" t="n">
        <v>140112</v>
      </c>
      <c r="BR16" s="196" t="n">
        <v>207134</v>
      </c>
      <c r="BS16" s="196" t="n">
        <v>127640</v>
      </c>
      <c r="BT16" s="196" t="n">
        <v>212677</v>
      </c>
      <c r="BU16" s="196" t="n">
        <v>74009</v>
      </c>
      <c r="BV16" s="196" t="n">
        <v>192148</v>
      </c>
      <c r="BW16" s="196" t="n">
        <v>260470</v>
      </c>
      <c r="BX16" s="196" t="n">
        <v>268188</v>
      </c>
      <c r="BY16" s="196" t="n">
        <v>264252</v>
      </c>
      <c r="BZ16" s="196" t="n">
        <v>189290</v>
      </c>
      <c r="CA16" s="196" t="n">
        <v>218279</v>
      </c>
      <c r="CB16" s="196" t="n">
        <v>162691</v>
      </c>
      <c r="CC16" s="196" t="n">
        <v>118963</v>
      </c>
      <c r="CD16" s="196" t="n">
        <v>22449</v>
      </c>
      <c r="CE16" s="196" t="n">
        <v>50770</v>
      </c>
      <c r="CF16" s="196" t="n">
        <v>38954</v>
      </c>
      <c r="CG16" s="196" t="n">
        <v>96345</v>
      </c>
      <c r="CH16" s="196" t="n">
        <v>173225</v>
      </c>
      <c r="CI16" s="196" t="n">
        <v>249854</v>
      </c>
      <c r="CJ16" s="196" t="n">
        <v>107621</v>
      </c>
      <c r="CK16" s="196" t="n">
        <v>120779</v>
      </c>
      <c r="CL16" s="196" t="n">
        <v>124053</v>
      </c>
      <c r="CM16" s="196" t="n">
        <v>126645</v>
      </c>
      <c r="CN16" s="196" t="n">
        <v>126590</v>
      </c>
      <c r="CO16" s="196" t="n">
        <v>124012</v>
      </c>
      <c r="CP16" s="196" t="n">
        <v>96828</v>
      </c>
      <c r="CQ16" s="196" t="n">
        <v>105768</v>
      </c>
      <c r="CR16" s="196" t="n">
        <v>252548</v>
      </c>
      <c r="CS16" s="196" t="n">
        <v>243903</v>
      </c>
      <c r="CT16" s="196" t="n">
        <v>0</v>
      </c>
      <c r="CU16" s="196" t="n">
        <v>200041.3</v>
      </c>
      <c r="CV16" s="196" t="n">
        <v>178320</v>
      </c>
      <c r="CW16" s="196" t="n">
        <v>165639.1</v>
      </c>
      <c r="CX16" s="196" t="n">
        <v>105579</v>
      </c>
      <c r="CY16" s="196" t="n">
        <v>119463.5</v>
      </c>
      <c r="CZ16" s="196" t="n">
        <v>116746</v>
      </c>
      <c r="DA16" s="196" t="n">
        <v>110897.4</v>
      </c>
      <c r="DB16" s="196" t="n">
        <v>94003.8</v>
      </c>
      <c r="DC16" s="196" t="n">
        <v>125679.1</v>
      </c>
      <c r="DD16" s="196" t="n">
        <v>132690</v>
      </c>
      <c r="DE16" s="196" t="n">
        <v>144020.8</v>
      </c>
      <c r="DF16" s="196" t="n">
        <v>123440.8</v>
      </c>
      <c r="DG16" s="196" t="n">
        <v>13348.8</v>
      </c>
      <c r="DH16" s="196" t="n">
        <v>15245.2</v>
      </c>
      <c r="DI16" s="196" t="n">
        <v>18103.1</v>
      </c>
      <c r="DJ16" s="196" t="n">
        <v>2521.6</v>
      </c>
      <c r="DK16" s="196" t="n">
        <v>15676.8</v>
      </c>
      <c r="DL16" s="196" t="n">
        <v>12164.9</v>
      </c>
      <c r="DM16" s="196" t="n">
        <v>20595</v>
      </c>
      <c r="DN16" s="196" t="n">
        <v>15300</v>
      </c>
      <c r="DO16" s="196" t="n">
        <v>33000</v>
      </c>
      <c r="DP16" s="196" t="n">
        <v>37000</v>
      </c>
      <c r="DQ16" s="196" t="n">
        <v>38100</v>
      </c>
      <c r="DR16" s="196" t="n">
        <v>22800</v>
      </c>
      <c r="DS16" s="196" t="n">
        <v>22800</v>
      </c>
      <c r="DT16" s="196" t="n">
        <v>15700</v>
      </c>
      <c r="DU16" s="196" t="n">
        <v>36700</v>
      </c>
      <c r="DV16" s="196" t="n">
        <v>27700</v>
      </c>
      <c r="DW16" s="196" t="n">
        <v>30900</v>
      </c>
      <c r="DX16" s="196" t="n">
        <v>27700</v>
      </c>
      <c r="DY16" s="196" t="n">
        <v>19600</v>
      </c>
      <c r="DZ16" s="196" t="n">
        <v>12300</v>
      </c>
      <c r="EA16" s="196" t="n">
        <v>15400</v>
      </c>
      <c r="EB16" s="196" t="n">
        <v>13000</v>
      </c>
      <c r="EC16" s="196" t="n">
        <v>17700</v>
      </c>
      <c r="ED16" s="196" t="n">
        <v>12000</v>
      </c>
      <c r="EE16" s="196" t="n">
        <v>15100</v>
      </c>
      <c r="EF16" s="196" t="n">
        <v>13800</v>
      </c>
      <c r="EG16" s="196" t="n">
        <v>12900</v>
      </c>
      <c r="EH16" s="196" t="n">
        <v>13100</v>
      </c>
      <c r="EI16" s="196" t="n">
        <v>14900</v>
      </c>
      <c r="EJ16" s="196" t="n">
        <v>17900</v>
      </c>
      <c r="EK16" s="196" t="n">
        <v>21200</v>
      </c>
      <c r="EL16" s="182" t="n"/>
      <c r="EM16" s="176" t="n"/>
      <c r="EN16" s="176" t="n"/>
      <c r="EO16" s="176" t="n"/>
      <c r="EP16" s="176" t="n"/>
      <c r="EQ16" s="176" t="n"/>
      <c r="ER16" s="176" t="n"/>
      <c r="ES16" s="176" t="n"/>
      <c r="ET16" s="176" t="n"/>
      <c r="EU16" s="176" t="n"/>
      <c r="EV16" s="176" t="n"/>
      <c r="EW16" s="176" t="n"/>
      <c r="EX16" s="176" t="n"/>
      <c r="EY16" s="176" t="n"/>
      <c r="EZ16" s="176" t="n"/>
      <c r="FA16" s="176" t="n"/>
      <c r="FB16" s="176" t="n"/>
      <c r="FC16" s="176" t="n"/>
      <c r="FD16" s="176" t="n"/>
      <c r="FE16" s="176" t="n"/>
      <c r="FF16" s="176" t="n"/>
      <c r="FG16" s="176" t="n"/>
      <c r="FH16" s="176" t="n"/>
      <c r="FI16" s="176" t="n"/>
      <c r="FJ16" s="176" t="n"/>
    </row>
    <row r="17" ht="15" customHeight="1" s="392">
      <c r="A17" s="176" t="n"/>
      <c r="B17" s="180" t="n"/>
      <c r="C17" s="183" t="inlineStr">
        <is>
          <t xml:space="preserve">            Short Term Investments</t>
        </is>
      </c>
      <c r="D17" s="185" t="n"/>
      <c r="E17" s="185" t="n"/>
      <c r="F17" s="185" t="n"/>
      <c r="G17" s="185" t="n"/>
      <c r="H17" s="185" t="n"/>
      <c r="I17" s="185" t="n"/>
      <c r="J17" s="185" t="n"/>
      <c r="K17" s="185" t="n"/>
      <c r="EL17" s="182" t="n"/>
      <c r="EM17" s="176" t="n"/>
      <c r="EN17" s="176" t="n"/>
      <c r="EO17" s="176" t="n"/>
      <c r="EP17" s="176" t="n"/>
      <c r="EQ17" s="176" t="n"/>
      <c r="ER17" s="176" t="n"/>
      <c r="ES17" s="176" t="n"/>
      <c r="ET17" s="176" t="n"/>
      <c r="EU17" s="176" t="n"/>
      <c r="EV17" s="176" t="n"/>
      <c r="EW17" s="176" t="n"/>
      <c r="EX17" s="176" t="n"/>
      <c r="EY17" s="176" t="n"/>
      <c r="EZ17" s="176" t="n"/>
      <c r="FA17" s="176" t="n"/>
      <c r="FB17" s="176" t="n"/>
      <c r="FC17" s="176" t="n"/>
      <c r="FD17" s="176" t="n"/>
      <c r="FE17" s="176" t="n"/>
      <c r="FF17" s="176" t="n"/>
      <c r="FG17" s="176" t="n"/>
      <c r="FH17" s="176" t="n"/>
      <c r="FI17" s="176" t="n"/>
      <c r="FJ17" s="176" t="n"/>
    </row>
    <row r="18" ht="15" customHeight="1" s="392">
      <c r="A18" s="176" t="n"/>
      <c r="B18" s="180" t="n"/>
      <c r="C18" s="183" t="inlineStr">
        <is>
          <t xml:space="preserve">                Available-for-Sale Securities, Current</t>
        </is>
      </c>
      <c r="D18" s="190">
        <f>IF(COUNT(M18:EK18)&gt;0,MEDIAN(M18:EK18),"")</f>
        <v/>
      </c>
      <c r="E18" s="190">
        <f>IF(COUNT(M18:EK18)&gt;0,AVERAGE(M18:EK18),"")</f>
        <v/>
      </c>
      <c r="F18" s="190">
        <f>IF(COUNT(M18:EK18)&gt;0,MIN(M18:EK18),"")</f>
        <v/>
      </c>
      <c r="G18" s="190">
        <f>IF(COUNT(M18:EK18)&gt;0,MAX(M18:EK18),"")</f>
        <v/>
      </c>
      <c r="H18" s="190">
        <f>IF(COUNT(M18:EK18)&gt;0,QUARTILE(M18:EK18,1),"")</f>
        <v/>
      </c>
      <c r="I18" s="190">
        <f>IF(COUNT(M18:EK18)&gt;0,QUARTILE(M18:EK18,3),"")</f>
        <v/>
      </c>
      <c r="J18" s="190">
        <f>IF(COUNT(M18:EK18)&gt;1,STDEV(M18:EK18),"")</f>
        <v/>
      </c>
      <c r="K18" s="191">
        <f>IF(COUNT(M18:EK18)&gt;1,STDEV(M18:EK18)/AVERAGE(M18:EK18),"")</f>
        <v/>
      </c>
      <c r="M18" s="192" t="n"/>
      <c r="N18" s="192" t="n"/>
      <c r="O18" s="192" t="n"/>
      <c r="P18" s="192" t="n"/>
      <c r="Q18" s="192" t="n"/>
      <c r="R18" s="192" t="n"/>
      <c r="S18" s="192" t="n"/>
      <c r="T18" s="192" t="n"/>
      <c r="U18" s="192" t="n"/>
      <c r="V18" s="192" t="n"/>
      <c r="W18" s="192" t="n"/>
      <c r="X18" s="192" t="n"/>
      <c r="Y18" s="192" t="n"/>
      <c r="Z18" s="192" t="n"/>
      <c r="AA18" s="192" t="n"/>
      <c r="AB18" s="192" t="n"/>
      <c r="AC18" s="192" t="n"/>
      <c r="AD18" s="192" t="n"/>
      <c r="AE18" s="192" t="n"/>
      <c r="AF18" s="192" t="n"/>
      <c r="AG18" s="192" t="n"/>
      <c r="AH18" s="192" t="n"/>
      <c r="AI18" s="192" t="n"/>
      <c r="AJ18" s="192" t="n"/>
      <c r="AK18" s="192" t="n"/>
      <c r="AL18" s="192" t="n"/>
      <c r="AM18" s="192" t="n"/>
      <c r="AN18" s="192" t="n"/>
      <c r="AO18" s="192" t="n"/>
      <c r="AP18" s="192" t="n"/>
      <c r="AQ18" s="192" t="n"/>
      <c r="AR18" s="192" t="n"/>
      <c r="AS18" s="192" t="n"/>
      <c r="AT18" s="192" t="n"/>
      <c r="AU18" s="192" t="n"/>
      <c r="AV18" s="192" t="n"/>
      <c r="AW18" s="192" t="n"/>
      <c r="AX18" s="192" t="n"/>
      <c r="AY18" s="192" t="n"/>
      <c r="AZ18" s="192" t="n"/>
      <c r="BA18" s="192" t="n"/>
      <c r="BB18" s="192" t="n"/>
      <c r="BC18" s="192" t="n">
        <v>17465</v>
      </c>
      <c r="BD18" s="192" t="n">
        <v>21893</v>
      </c>
      <c r="BE18" s="192" t="n"/>
      <c r="BF18" s="192" t="n"/>
      <c r="BG18" s="192" t="n"/>
      <c r="BH18" s="192" t="n"/>
      <c r="BI18" s="192" t="n"/>
      <c r="BJ18" s="192" t="n"/>
      <c r="BK18" s="192" t="n"/>
      <c r="BL18" s="192" t="n"/>
      <c r="BM18" s="192" t="n"/>
      <c r="BN18" s="192" t="n"/>
      <c r="BO18" s="192" t="n"/>
      <c r="BP18" s="192" t="n"/>
      <c r="BQ18" s="192" t="n"/>
      <c r="BR18" s="192" t="n"/>
      <c r="BS18" s="192" t="n"/>
      <c r="BT18" s="192" t="n"/>
      <c r="BU18" s="192" t="n"/>
      <c r="BV18" s="192" t="n"/>
      <c r="BW18" s="192" t="n"/>
      <c r="BX18" s="192" t="n"/>
      <c r="BY18" s="192" t="n"/>
      <c r="BZ18" s="192" t="n"/>
      <c r="CA18" s="192" t="n"/>
      <c r="CB18" s="192" t="n"/>
      <c r="CC18" s="192" t="n"/>
      <c r="CD18" s="192" t="n"/>
      <c r="CE18" s="192" t="n"/>
      <c r="CF18" s="192" t="n"/>
      <c r="CG18" s="192" t="n"/>
      <c r="CH18" s="192" t="n"/>
      <c r="CI18" s="192" t="n"/>
      <c r="CJ18" s="192" t="n"/>
      <c r="CK18" s="192" t="n"/>
      <c r="CL18" s="192" t="n"/>
      <c r="CM18" s="192" t="n"/>
      <c r="CN18" s="192" t="n"/>
      <c r="CO18" s="192" t="n"/>
      <c r="CP18" s="192" t="n"/>
      <c r="CQ18" s="192" t="n"/>
      <c r="CR18" s="192" t="n"/>
      <c r="CS18" s="192" t="n"/>
      <c r="CT18" s="192" t="n"/>
      <c r="CU18" s="192" t="n"/>
      <c r="CV18" s="192" t="n"/>
      <c r="CW18" s="192" t="n"/>
      <c r="CX18" s="192" t="n"/>
      <c r="CY18" s="192" t="n"/>
      <c r="CZ18" s="192" t="n"/>
      <c r="DA18" s="192" t="n"/>
      <c r="DB18" s="192" t="n"/>
      <c r="DC18" s="192" t="n"/>
      <c r="DD18" s="192" t="n"/>
      <c r="DE18" s="192" t="n"/>
      <c r="DF18" s="192" t="n"/>
      <c r="DG18" s="192" t="n"/>
      <c r="DH18" s="192" t="n"/>
      <c r="DI18" s="192" t="n"/>
      <c r="DJ18" s="192" t="n"/>
      <c r="DK18" s="192" t="n"/>
      <c r="DL18" s="192" t="n"/>
      <c r="DM18" s="192" t="n"/>
      <c r="DN18" s="192" t="n"/>
      <c r="DO18" s="192" t="n"/>
      <c r="DP18" s="192" t="n"/>
      <c r="DQ18" s="192" t="n"/>
      <c r="DR18" s="192" t="n"/>
      <c r="DS18" s="192" t="n"/>
      <c r="DT18" s="192" t="n"/>
      <c r="DU18" s="192" t="n"/>
      <c r="DV18" s="192" t="n"/>
      <c r="DW18" s="192" t="n"/>
      <c r="DX18" s="192" t="n"/>
      <c r="DY18" s="192" t="n"/>
      <c r="DZ18" s="192" t="n"/>
      <c r="EA18" s="192" t="n"/>
      <c r="EB18" s="192" t="n"/>
      <c r="EC18" s="192" t="n"/>
      <c r="ED18" s="192" t="n"/>
      <c r="EE18" s="192" t="n"/>
      <c r="EF18" s="192" t="n"/>
      <c r="EG18" s="192" t="n"/>
      <c r="EH18" s="192" t="n"/>
      <c r="EI18" s="192" t="n"/>
      <c r="EJ18" s="192" t="n"/>
      <c r="EK18" s="192" t="n"/>
      <c r="EL18" s="182" t="n"/>
      <c r="EM18" s="176" t="n"/>
      <c r="EN18" s="176" t="n"/>
      <c r="EO18" s="176" t="n"/>
      <c r="EP18" s="176" t="n"/>
      <c r="EQ18" s="176" t="n"/>
      <c r="ER18" s="176" t="n"/>
      <c r="ES18" s="176" t="n"/>
      <c r="ET18" s="176" t="n"/>
      <c r="EU18" s="176" t="n"/>
      <c r="EV18" s="176" t="n"/>
      <c r="EW18" s="176" t="n"/>
      <c r="EX18" s="176" t="n"/>
      <c r="EY18" s="176" t="n"/>
      <c r="EZ18" s="176" t="n"/>
      <c r="FA18" s="176" t="n"/>
      <c r="FB18" s="176" t="n"/>
      <c r="FC18" s="176" t="n"/>
      <c r="FD18" s="176" t="n"/>
      <c r="FE18" s="176" t="n"/>
      <c r="FF18" s="176" t="n"/>
      <c r="FG18" s="176" t="n"/>
      <c r="FH18" s="176" t="n"/>
      <c r="FI18" s="176" t="n"/>
      <c r="FJ18" s="176" t="n"/>
    </row>
    <row r="19" ht="15" customHeight="1" s="392">
      <c r="A19" s="176" t="n"/>
      <c r="B19" s="180" t="n"/>
      <c r="C19" s="183" t="inlineStr">
        <is>
          <t xml:space="preserve">                Held-to-Maturity Securities, Current</t>
        </is>
      </c>
      <c r="D19" s="190">
        <f>IF(COUNT(M19:EK19)&gt;0,MEDIAN(M19:EK19),"")</f>
        <v/>
      </c>
      <c r="E19" s="190">
        <f>IF(COUNT(M19:EK19)&gt;0,AVERAGE(M19:EK19),"")</f>
        <v/>
      </c>
      <c r="F19" s="190">
        <f>IF(COUNT(M19:EK19)&gt;0,MIN(M19:EK19),"")</f>
        <v/>
      </c>
      <c r="G19" s="190">
        <f>IF(COUNT(M19:EK19)&gt;0,MAX(M19:EK19),"")</f>
        <v/>
      </c>
      <c r="H19" s="190">
        <f>IF(COUNT(M19:EK19)&gt;0,QUARTILE(M19:EK19,1),"")</f>
        <v/>
      </c>
      <c r="I19" s="190">
        <f>IF(COUNT(M19:EK19)&gt;0,QUARTILE(M19:EK19,3),"")</f>
        <v/>
      </c>
      <c r="J19" s="190">
        <f>IF(COUNT(M19:EK19)&gt;1,STDEV(M19:EK19),"")</f>
        <v/>
      </c>
      <c r="K19" s="191">
        <f>IF(COUNT(M19:EK19)&gt;1,STDEV(M19:EK19)/AVERAGE(M19:EK19),"")</f>
        <v/>
      </c>
      <c r="M19" s="192" t="n">
        <v>2581901</v>
      </c>
      <c r="N19" s="192" t="n">
        <v>845570</v>
      </c>
      <c r="O19" s="192" t="n">
        <v>0</v>
      </c>
      <c r="P19" s="192" t="n">
        <v>9861</v>
      </c>
      <c r="Q19" s="192" t="n">
        <v>2008539</v>
      </c>
      <c r="R19" s="192" t="n">
        <v>2017843</v>
      </c>
      <c r="S19" s="192" t="n">
        <v>458542</v>
      </c>
      <c r="T19" s="192" t="n">
        <v>0</v>
      </c>
      <c r="U19" s="192" t="n">
        <v>1908047</v>
      </c>
      <c r="V19" s="192" t="n">
        <v>2000334</v>
      </c>
      <c r="W19" s="192" t="n">
        <v>1411122</v>
      </c>
      <c r="X19" s="192" t="n">
        <v>48982</v>
      </c>
      <c r="Y19" s="192" t="n">
        <v>1406589</v>
      </c>
      <c r="Z19" s="192" t="n"/>
      <c r="AA19" s="192" t="n"/>
      <c r="AB19" s="192" t="n"/>
      <c r="AC19" s="192" t="n">
        <v>0</v>
      </c>
      <c r="AD19" s="192" t="n">
        <v>224889</v>
      </c>
      <c r="AE19" s="192" t="n">
        <v>374866</v>
      </c>
      <c r="AF19" s="192" t="n"/>
      <c r="AG19" s="192" t="n"/>
      <c r="AH19" s="192" t="n"/>
      <c r="AI19" s="192" t="n"/>
      <c r="AJ19" s="192" t="n"/>
      <c r="AK19" s="192" t="n"/>
      <c r="AL19" s="192" t="n"/>
      <c r="AM19" s="192" t="n"/>
      <c r="AN19" s="192" t="n"/>
      <c r="AO19" s="192" t="n"/>
      <c r="AP19" s="192" t="n"/>
      <c r="AQ19" s="192" t="n"/>
      <c r="AR19" s="192" t="n"/>
      <c r="AS19" s="192" t="n"/>
      <c r="AT19" s="192" t="n"/>
      <c r="AU19" s="192" t="n"/>
      <c r="AV19" s="192" t="n"/>
      <c r="AW19" s="192" t="n"/>
      <c r="AX19" s="192" t="n"/>
      <c r="AY19" s="192" t="n"/>
      <c r="AZ19" s="192" t="n"/>
      <c r="BA19" s="192" t="n"/>
      <c r="BB19" s="192" t="n"/>
      <c r="BC19" s="192" t="n"/>
      <c r="BD19" s="192" t="n"/>
      <c r="BE19" s="192" t="n"/>
      <c r="BF19" s="192" t="n"/>
      <c r="BG19" s="192" t="n"/>
      <c r="BH19" s="192" t="n"/>
      <c r="BI19" s="192" t="n"/>
      <c r="BJ19" s="192" t="n"/>
      <c r="BK19" s="192" t="n"/>
      <c r="BL19" s="192" t="n"/>
      <c r="BM19" s="192" t="n"/>
      <c r="BN19" s="192" t="n"/>
      <c r="BO19" s="192" t="n"/>
      <c r="BP19" s="192" t="n"/>
      <c r="BQ19" s="192" t="n"/>
      <c r="BR19" s="192" t="n"/>
      <c r="BS19" s="192" t="n"/>
      <c r="BT19" s="192" t="n"/>
      <c r="BU19" s="192" t="n"/>
      <c r="BV19" s="192" t="n"/>
      <c r="BW19" s="192" t="n"/>
      <c r="BX19" s="192" t="n"/>
      <c r="BY19" s="192" t="n"/>
      <c r="BZ19" s="192" t="n"/>
      <c r="CA19" s="192" t="n"/>
      <c r="CB19" s="192" t="n"/>
      <c r="CC19" s="192" t="n"/>
      <c r="CD19" s="192" t="n"/>
      <c r="CE19" s="192" t="n"/>
      <c r="CF19" s="192" t="n"/>
      <c r="CG19" s="192" t="n"/>
      <c r="CH19" s="192" t="n"/>
      <c r="CI19" s="192" t="n"/>
      <c r="CJ19" s="192" t="n"/>
      <c r="CK19" s="192" t="n"/>
      <c r="CL19" s="192" t="n"/>
      <c r="CM19" s="192" t="n"/>
      <c r="CN19" s="192" t="n"/>
      <c r="CO19" s="192" t="n"/>
      <c r="CP19" s="192" t="n"/>
      <c r="CQ19" s="192" t="n"/>
      <c r="CR19" s="192" t="n"/>
      <c r="CS19" s="192" t="n"/>
      <c r="CT19" s="192" t="n"/>
      <c r="CU19" s="192" t="n"/>
      <c r="CV19" s="192" t="n"/>
      <c r="CW19" s="192" t="n"/>
      <c r="CX19" s="192" t="n"/>
      <c r="CY19" s="192" t="n"/>
      <c r="CZ19" s="192" t="n"/>
      <c r="DA19" s="192" t="n"/>
      <c r="DB19" s="192" t="n"/>
      <c r="DC19" s="192" t="n"/>
      <c r="DD19" s="192" t="n"/>
      <c r="DE19" s="192" t="n"/>
      <c r="DF19" s="192" t="n"/>
      <c r="DG19" s="192" t="n"/>
      <c r="DH19" s="192" t="n"/>
      <c r="DI19" s="192" t="n"/>
      <c r="DJ19" s="192" t="n"/>
      <c r="DK19" s="192" t="n"/>
      <c r="DL19" s="192" t="n"/>
      <c r="DM19" s="192" t="n"/>
      <c r="DN19" s="192" t="n"/>
      <c r="DO19" s="192" t="n"/>
      <c r="DP19" s="192" t="n"/>
      <c r="DQ19" s="192" t="n"/>
      <c r="DR19" s="192" t="n"/>
      <c r="DS19" s="192" t="n"/>
      <c r="DT19" s="192" t="n"/>
      <c r="DU19" s="192" t="n"/>
      <c r="DV19" s="192" t="n"/>
      <c r="DW19" s="192" t="n"/>
      <c r="DX19" s="192" t="n"/>
      <c r="DY19" s="192" t="n"/>
      <c r="DZ19" s="192" t="n"/>
      <c r="EA19" s="192" t="n"/>
      <c r="EB19" s="192" t="n"/>
      <c r="EC19" s="192" t="n"/>
      <c r="ED19" s="192" t="n"/>
      <c r="EE19" s="192" t="n"/>
      <c r="EF19" s="192" t="n"/>
      <c r="EG19" s="192" t="n"/>
      <c r="EH19" s="192" t="n"/>
      <c r="EI19" s="192" t="n"/>
      <c r="EJ19" s="192" t="n"/>
      <c r="EK19" s="192" t="n"/>
      <c r="EL19" s="182" t="n"/>
      <c r="EM19" s="176" t="n"/>
      <c r="EN19" s="176" t="n"/>
      <c r="EO19" s="176" t="n"/>
      <c r="EP19" s="176" t="n"/>
      <c r="EQ19" s="176" t="n"/>
      <c r="ER19" s="176" t="n"/>
      <c r="ES19" s="176" t="n"/>
      <c r="ET19" s="176" t="n"/>
      <c r="EU19" s="176" t="n"/>
      <c r="EV19" s="176" t="n"/>
      <c r="EW19" s="176" t="n"/>
      <c r="EX19" s="176" t="n"/>
      <c r="EY19" s="176" t="n"/>
      <c r="EZ19" s="176" t="n"/>
      <c r="FA19" s="176" t="n"/>
      <c r="FB19" s="176" t="n"/>
      <c r="FC19" s="176" t="n"/>
      <c r="FD19" s="176" t="n"/>
      <c r="FE19" s="176" t="n"/>
      <c r="FF19" s="176" t="n"/>
      <c r="FG19" s="176" t="n"/>
      <c r="FH19" s="176" t="n"/>
      <c r="FI19" s="176" t="n"/>
      <c r="FJ19" s="176" t="n"/>
    </row>
    <row r="20" ht="15" customHeight="1" s="392">
      <c r="A20" s="176" t="n"/>
      <c r="B20" s="180" t="n"/>
      <c r="C20" s="187" t="inlineStr">
        <is>
          <t xml:space="preserve">            Total Short Term Investments</t>
        </is>
      </c>
      <c r="D20" s="193">
        <f>IF(COUNT(M20:EK20)&gt;0,MEDIAN(M20:EK20),"")</f>
        <v/>
      </c>
      <c r="E20" s="193">
        <f>IF(COUNT(M20:EK20)&gt;0,AVERAGE(M20:EK20),"")</f>
        <v/>
      </c>
      <c r="F20" s="193">
        <f>IF(COUNT(M20:EK20)&gt;0,MIN(M20:EK20),"")</f>
        <v/>
      </c>
      <c r="G20" s="193">
        <f>IF(COUNT(M20:EK20)&gt;0,MAX(M20:EK20),"")</f>
        <v/>
      </c>
      <c r="H20" s="193">
        <f>IF(COUNT(M20:EK20)&gt;0,QUARTILE(M20:EK20,1),"")</f>
        <v/>
      </c>
      <c r="I20" s="193">
        <f>IF(COUNT(M20:EK20)&gt;0,QUARTILE(M20:EK20,3),"")</f>
        <v/>
      </c>
      <c r="J20" s="193">
        <f>IF(COUNT(M20:EK20)&gt;1,STDEV(M20:EK20),"")</f>
        <v/>
      </c>
      <c r="K20" s="194">
        <f>IF(COUNT(M20:EK20)&gt;1,STDEV(M20:EK20)/AVERAGE(M20:EK20),"")</f>
        <v/>
      </c>
      <c r="L20" s="195" t="n"/>
      <c r="M20" s="196" t="n">
        <v>2581901</v>
      </c>
      <c r="N20" s="196" t="n">
        <v>845570</v>
      </c>
      <c r="O20" s="196" t="n">
        <v>0</v>
      </c>
      <c r="P20" s="196" t="n">
        <v>9861</v>
      </c>
      <c r="Q20" s="196" t="n">
        <v>2008539</v>
      </c>
      <c r="R20" s="196" t="n">
        <v>2017843</v>
      </c>
      <c r="S20" s="196" t="n">
        <v>458542</v>
      </c>
      <c r="T20" s="196" t="n">
        <v>0</v>
      </c>
      <c r="U20" s="196" t="n">
        <v>1908047</v>
      </c>
      <c r="V20" s="196" t="n">
        <v>2000334</v>
      </c>
      <c r="W20" s="196" t="n">
        <v>1411122</v>
      </c>
      <c r="X20" s="196" t="n">
        <v>48982</v>
      </c>
      <c r="Y20" s="196" t="n">
        <v>1406589</v>
      </c>
      <c r="Z20" s="196" t="n"/>
      <c r="AA20" s="196" t="n"/>
      <c r="AB20" s="196" t="n"/>
      <c r="AC20" s="196" t="n">
        <v>0</v>
      </c>
      <c r="AD20" s="196" t="n">
        <v>224889</v>
      </c>
      <c r="AE20" s="196" t="n">
        <v>374866</v>
      </c>
      <c r="AF20" s="196" t="n"/>
      <c r="AG20" s="196" t="n"/>
      <c r="AH20" s="196" t="n"/>
      <c r="AI20" s="196" t="n"/>
      <c r="AJ20" s="196" t="n"/>
      <c r="AK20" s="196" t="n"/>
      <c r="AL20" s="196" t="n"/>
      <c r="AM20" s="196" t="n"/>
      <c r="AN20" s="196" t="n"/>
      <c r="AO20" s="196" t="n"/>
      <c r="AP20" s="196" t="n"/>
      <c r="AQ20" s="196" t="n"/>
      <c r="AR20" s="196" t="n"/>
      <c r="AS20" s="196" t="n"/>
      <c r="AT20" s="196" t="n"/>
      <c r="AU20" s="196" t="n"/>
      <c r="AV20" s="196" t="n"/>
      <c r="AW20" s="196" t="n"/>
      <c r="AX20" s="196" t="n"/>
      <c r="AY20" s="196" t="n"/>
      <c r="AZ20" s="196" t="n"/>
      <c r="BA20" s="196" t="n"/>
      <c r="BB20" s="196" t="n"/>
      <c r="BC20" s="196" t="n">
        <v>17465</v>
      </c>
      <c r="BD20" s="196" t="n">
        <v>21893</v>
      </c>
      <c r="BE20" s="196" t="n"/>
      <c r="BF20" s="196" t="n"/>
      <c r="BG20" s="196" t="n"/>
      <c r="BH20" s="196" t="n"/>
      <c r="BI20" s="196" t="n"/>
      <c r="BJ20" s="196" t="n"/>
      <c r="BK20" s="196" t="n"/>
      <c r="BL20" s="196" t="n"/>
      <c r="BM20" s="196" t="n"/>
      <c r="BN20" s="196" t="n"/>
      <c r="BO20" s="196" t="n"/>
      <c r="BP20" s="196" t="n"/>
      <c r="BQ20" s="196" t="n"/>
      <c r="BR20" s="196" t="n"/>
      <c r="BS20" s="196" t="n"/>
      <c r="BT20" s="196" t="n"/>
      <c r="BU20" s="196" t="n"/>
      <c r="BV20" s="196" t="n"/>
      <c r="BW20" s="196" t="n"/>
      <c r="BX20" s="196" t="n"/>
      <c r="BY20" s="196" t="n"/>
      <c r="BZ20" s="196" t="n"/>
      <c r="CA20" s="196" t="n"/>
      <c r="CB20" s="196" t="n"/>
      <c r="CC20" s="196" t="n"/>
      <c r="CD20" s="196" t="n"/>
      <c r="CE20" s="196" t="n"/>
      <c r="CF20" s="196" t="n"/>
      <c r="CG20" s="196" t="n"/>
      <c r="CH20" s="196" t="n"/>
      <c r="CI20" s="196" t="n"/>
      <c r="CJ20" s="196" t="n">
        <v>102625</v>
      </c>
      <c r="CK20" s="196" t="n">
        <v>128335</v>
      </c>
      <c r="CL20" s="196" t="n">
        <v>195885</v>
      </c>
      <c r="CM20" s="196" t="n">
        <v>187055</v>
      </c>
      <c r="CN20" s="196" t="n">
        <v>148725</v>
      </c>
      <c r="CO20" s="196" t="n">
        <v>127900</v>
      </c>
      <c r="CP20" s="196" t="n">
        <v>105500</v>
      </c>
      <c r="CQ20" s="196" t="n">
        <v>149720</v>
      </c>
      <c r="CR20" s="196" t="n"/>
      <c r="CS20" s="196" t="n"/>
      <c r="CT20" s="196" t="n">
        <v>207175</v>
      </c>
      <c r="CU20" s="196" t="n"/>
      <c r="CV20" s="196" t="n"/>
      <c r="CW20" s="196" t="n"/>
      <c r="CX20" s="196" t="n"/>
      <c r="CY20" s="196" t="n"/>
      <c r="CZ20" s="196" t="n"/>
      <c r="DA20" s="196" t="n"/>
      <c r="DB20" s="196" t="n"/>
      <c r="DC20" s="196" t="n"/>
      <c r="DD20" s="196" t="n"/>
      <c r="DE20" s="196" t="n"/>
      <c r="DF20" s="196" t="n"/>
      <c r="DG20" s="196" t="n"/>
      <c r="DH20" s="196" t="n"/>
      <c r="DI20" s="196" t="n"/>
      <c r="DJ20" s="196" t="n"/>
      <c r="DK20" s="196" t="n"/>
      <c r="DL20" s="196" t="n"/>
      <c r="DM20" s="196" t="n"/>
      <c r="DN20" s="196" t="n"/>
      <c r="DO20" s="196" t="n"/>
      <c r="DP20" s="196" t="n"/>
      <c r="DQ20" s="196" t="n"/>
      <c r="DR20" s="196" t="n"/>
      <c r="DS20" s="196" t="n"/>
      <c r="DT20" s="196" t="n"/>
      <c r="DU20" s="196" t="n"/>
      <c r="DV20" s="196" t="n"/>
      <c r="DW20" s="196" t="n"/>
      <c r="DX20" s="196" t="n"/>
      <c r="DY20" s="196" t="n"/>
      <c r="DZ20" s="196" t="n"/>
      <c r="EA20" s="196" t="n"/>
      <c r="EB20" s="196" t="n"/>
      <c r="EC20" s="196" t="n"/>
      <c r="ED20" s="196" t="n"/>
      <c r="EE20" s="196" t="n"/>
      <c r="EF20" s="196" t="n"/>
      <c r="EG20" s="196" t="n"/>
      <c r="EH20" s="196" t="n"/>
      <c r="EI20" s="196" t="n"/>
      <c r="EJ20" s="196" t="n"/>
      <c r="EK20" s="196" t="n"/>
      <c r="EL20" s="182" t="n"/>
      <c r="EM20" s="176" t="n"/>
      <c r="EN20" s="176" t="n"/>
      <c r="EO20" s="176" t="n"/>
      <c r="EP20" s="176" t="n"/>
      <c r="EQ20" s="176" t="n"/>
      <c r="ER20" s="176" t="n"/>
      <c r="ES20" s="176" t="n"/>
      <c r="ET20" s="176" t="n"/>
      <c r="EU20" s="176" t="n"/>
      <c r="EV20" s="176" t="n"/>
      <c r="EW20" s="176" t="n"/>
      <c r="EX20" s="176" t="n"/>
      <c r="EY20" s="176" t="n"/>
      <c r="EZ20" s="176" t="n"/>
      <c r="FA20" s="176" t="n"/>
      <c r="FB20" s="176" t="n"/>
      <c r="FC20" s="176" t="n"/>
      <c r="FD20" s="176" t="n"/>
      <c r="FE20" s="176" t="n"/>
      <c r="FF20" s="176" t="n"/>
      <c r="FG20" s="176" t="n"/>
      <c r="FH20" s="176" t="n"/>
      <c r="FI20" s="176" t="n"/>
      <c r="FJ20" s="176" t="n"/>
    </row>
    <row r="21" ht="15" customHeight="1" s="392">
      <c r="A21" s="176" t="n"/>
      <c r="B21" s="180" t="n"/>
      <c r="C21" s="187" t="inlineStr">
        <is>
          <t xml:space="preserve">        Total Cash, Cash Equivalents and Short Term Investments</t>
        </is>
      </c>
      <c r="D21" s="193">
        <f>IF(COUNT(M21:EK21)&gt;0,MEDIAN(M21:EK21),"")</f>
        <v/>
      </c>
      <c r="E21" s="193">
        <f>IF(COUNT(M21:EK21)&gt;0,AVERAGE(M21:EK21),"")</f>
        <v/>
      </c>
      <c r="F21" s="193">
        <f>IF(COUNT(M21:EK21)&gt;0,MIN(M21:EK21),"")</f>
        <v/>
      </c>
      <c r="G21" s="193">
        <f>IF(COUNT(M21:EK21)&gt;0,MAX(M21:EK21),"")</f>
        <v/>
      </c>
      <c r="H21" s="193">
        <f>IF(COUNT(M21:EK21)&gt;0,QUARTILE(M21:EK21,1),"")</f>
        <v/>
      </c>
      <c r="I21" s="193">
        <f>IF(COUNT(M21:EK21)&gt;0,QUARTILE(M21:EK21,3),"")</f>
        <v/>
      </c>
      <c r="J21" s="193">
        <f>IF(COUNT(M21:EK21)&gt;1,STDEV(M21:EK21),"")</f>
        <v/>
      </c>
      <c r="K21" s="194">
        <f>IF(COUNT(M21:EK21)&gt;1,STDEV(M21:EK21)/AVERAGE(M21:EK21),"")</f>
        <v/>
      </c>
      <c r="L21" s="195" t="n"/>
      <c r="M21" s="196" t="n">
        <v>4489802</v>
      </c>
      <c r="N21" s="196" t="n">
        <v>4199712</v>
      </c>
      <c r="O21" s="196" t="n">
        <v>5101821</v>
      </c>
      <c r="P21" s="196" t="n">
        <v>5243451</v>
      </c>
      <c r="Q21" s="196" t="n">
        <v>4789070</v>
      </c>
      <c r="R21" s="196" t="n">
        <v>4384342</v>
      </c>
      <c r="S21" s="196" t="n">
        <v>3797451</v>
      </c>
      <c r="T21" s="196" t="n">
        <v>3698118</v>
      </c>
      <c r="U21" s="196" t="n">
        <v>3422158</v>
      </c>
      <c r="V21" s="196" t="n">
        <v>3090329</v>
      </c>
      <c r="W21" s="196" t="n">
        <v>2668070</v>
      </c>
      <c r="X21" s="196" t="n">
        <v>2630549</v>
      </c>
      <c r="Y21" s="196" t="n">
        <v>2363984</v>
      </c>
      <c r="Z21" s="196" t="n">
        <v>2114183</v>
      </c>
      <c r="AA21" s="196" t="n">
        <v>1660952</v>
      </c>
      <c r="AB21" s="196" t="n">
        <v>1539391</v>
      </c>
      <c r="AC21" s="196" t="n">
        <v>1384236</v>
      </c>
      <c r="AD21" s="196" t="n">
        <v>1679707</v>
      </c>
      <c r="AE21" s="196" t="n">
        <v>1346517</v>
      </c>
      <c r="AF21" s="196" t="n">
        <v>1298373</v>
      </c>
      <c r="AG21" s="196" t="n">
        <v>1048260</v>
      </c>
      <c r="AH21" s="196" t="n">
        <v>911890</v>
      </c>
      <c r="AI21" s="196" t="n">
        <v>616403</v>
      </c>
      <c r="AJ21" s="196" t="n">
        <v>605732</v>
      </c>
      <c r="AK21" s="196" t="n">
        <v>477718</v>
      </c>
      <c r="AL21" s="196" t="n">
        <v>306387</v>
      </c>
      <c r="AM21" s="196" t="n">
        <v>93511</v>
      </c>
      <c r="AN21" s="196" t="n">
        <v>181102</v>
      </c>
      <c r="AO21" s="196" t="n">
        <v>186319</v>
      </c>
      <c r="AP21" s="196" t="n">
        <v>102826</v>
      </c>
      <c r="AQ21" s="196" t="n">
        <v>108174</v>
      </c>
      <c r="AR21" s="196" t="n">
        <v>320309</v>
      </c>
      <c r="AS21" s="196" t="n">
        <v>274520</v>
      </c>
      <c r="AT21" s="196" t="n">
        <v>204275</v>
      </c>
      <c r="AU21" s="196" t="n">
        <v>195300</v>
      </c>
      <c r="AV21" s="196" t="n">
        <v>224246</v>
      </c>
      <c r="AW21" s="196" t="n">
        <v>210100</v>
      </c>
      <c r="AX21" s="196" t="n">
        <v>189621</v>
      </c>
      <c r="AY21" s="196" t="n">
        <v>174952</v>
      </c>
      <c r="AZ21" s="196" t="n">
        <v>168421</v>
      </c>
      <c r="BA21" s="196" t="n">
        <v>155849</v>
      </c>
      <c r="BB21" s="196" t="n">
        <v>137653</v>
      </c>
      <c r="BC21" s="196" t="n">
        <v>158881</v>
      </c>
      <c r="BD21" s="196" t="n">
        <v>494809</v>
      </c>
      <c r="BE21" s="196" t="n">
        <v>456012</v>
      </c>
      <c r="BF21" s="196" t="n">
        <v>678742</v>
      </c>
      <c r="BG21" s="196" t="n">
        <v>590366</v>
      </c>
      <c r="BH21" s="196" t="n">
        <v>198484</v>
      </c>
      <c r="BI21" s="196" t="n">
        <v>158668</v>
      </c>
      <c r="BJ21" s="196" t="n">
        <v>132832</v>
      </c>
      <c r="BK21" s="196" t="n">
        <v>46199</v>
      </c>
      <c r="BL21" s="196" t="n">
        <v>77052</v>
      </c>
      <c r="BM21" s="196" t="n">
        <v>63631</v>
      </c>
      <c r="BN21" s="196" t="n">
        <v>139331</v>
      </c>
      <c r="BO21" s="196" t="n">
        <v>49510</v>
      </c>
      <c r="BP21" s="196" t="n">
        <v>131430</v>
      </c>
      <c r="BQ21" s="196" t="n">
        <v>140112</v>
      </c>
      <c r="BR21" s="196" t="n">
        <v>207134</v>
      </c>
      <c r="BS21" s="196" t="n">
        <v>127640</v>
      </c>
      <c r="BT21" s="196" t="n">
        <v>212677</v>
      </c>
      <c r="BU21" s="196" t="n">
        <v>74009</v>
      </c>
      <c r="BV21" s="196" t="n">
        <v>192148</v>
      </c>
      <c r="BW21" s="196" t="n">
        <v>260470</v>
      </c>
      <c r="BX21" s="196" t="n">
        <v>268188</v>
      </c>
      <c r="BY21" s="196" t="n">
        <v>264252</v>
      </c>
      <c r="BZ21" s="196" t="n">
        <v>189290</v>
      </c>
      <c r="CA21" s="196" t="n">
        <v>218279</v>
      </c>
      <c r="CB21" s="196" t="n">
        <v>162691</v>
      </c>
      <c r="CC21" s="196" t="n">
        <v>118963</v>
      </c>
      <c r="CD21" s="196" t="n">
        <v>22449</v>
      </c>
      <c r="CE21" s="196" t="n">
        <v>50770</v>
      </c>
      <c r="CF21" s="196" t="n">
        <v>38954</v>
      </c>
      <c r="CG21" s="196" t="n">
        <v>96345</v>
      </c>
      <c r="CH21" s="196" t="n">
        <v>173225</v>
      </c>
      <c r="CI21" s="196" t="n">
        <v>249854</v>
      </c>
      <c r="CJ21" s="196" t="n">
        <v>210246</v>
      </c>
      <c r="CK21" s="196" t="n">
        <v>249114</v>
      </c>
      <c r="CL21" s="196" t="n">
        <v>319938</v>
      </c>
      <c r="CM21" s="196" t="n">
        <v>313700</v>
      </c>
      <c r="CN21" s="196" t="n">
        <v>275315</v>
      </c>
      <c r="CO21" s="196" t="n">
        <v>251912</v>
      </c>
      <c r="CP21" s="196" t="n">
        <v>202328</v>
      </c>
      <c r="CQ21" s="196" t="n">
        <v>255488</v>
      </c>
      <c r="CR21" s="196" t="n">
        <v>252548</v>
      </c>
      <c r="CS21" s="196" t="n">
        <v>243903</v>
      </c>
      <c r="CT21" s="196" t="n">
        <v>207175</v>
      </c>
      <c r="CU21" s="196" t="n">
        <v>200041.3</v>
      </c>
      <c r="CV21" s="196" t="n">
        <v>178320</v>
      </c>
      <c r="CW21" s="196" t="n">
        <v>165639.1</v>
      </c>
      <c r="CX21" s="196" t="n">
        <v>105579</v>
      </c>
      <c r="CY21" s="196" t="n">
        <v>119463.5</v>
      </c>
      <c r="CZ21" s="196" t="n">
        <v>116746</v>
      </c>
      <c r="DA21" s="196" t="n">
        <v>110897.4</v>
      </c>
      <c r="DB21" s="196" t="n">
        <v>94003.8</v>
      </c>
      <c r="DC21" s="196" t="n">
        <v>125679.1</v>
      </c>
      <c r="DD21" s="196" t="n">
        <v>132690</v>
      </c>
      <c r="DE21" s="196" t="n">
        <v>144020.8</v>
      </c>
      <c r="DF21" s="196" t="n">
        <v>123440.8</v>
      </c>
      <c r="DG21" s="196" t="n">
        <v>13348.8</v>
      </c>
      <c r="DH21" s="196" t="n">
        <v>15245.2</v>
      </c>
      <c r="DI21" s="196" t="n">
        <v>18103.1</v>
      </c>
      <c r="DJ21" s="196" t="n">
        <v>2521.6</v>
      </c>
      <c r="DK21" s="196" t="n">
        <v>15676.8</v>
      </c>
      <c r="DL21" s="196" t="n">
        <v>12164.9</v>
      </c>
      <c r="DM21" s="196" t="n">
        <v>20595</v>
      </c>
      <c r="DN21" s="196" t="n">
        <v>15300</v>
      </c>
      <c r="DO21" s="196" t="n">
        <v>33000</v>
      </c>
      <c r="DP21" s="196" t="n">
        <v>37000</v>
      </c>
      <c r="DQ21" s="196" t="n">
        <v>38100</v>
      </c>
      <c r="DR21" s="196" t="n">
        <v>22800</v>
      </c>
      <c r="DS21" s="196" t="n">
        <v>22800</v>
      </c>
      <c r="DT21" s="196" t="n">
        <v>15700</v>
      </c>
      <c r="DU21" s="196" t="n">
        <v>36700</v>
      </c>
      <c r="DV21" s="196" t="n">
        <v>27700</v>
      </c>
      <c r="DW21" s="196" t="n">
        <v>30900</v>
      </c>
      <c r="DX21" s="196" t="n">
        <v>27700</v>
      </c>
      <c r="DY21" s="196" t="n">
        <v>19600</v>
      </c>
      <c r="DZ21" s="196" t="n">
        <v>12300</v>
      </c>
      <c r="EA21" s="196" t="n">
        <v>15400</v>
      </c>
      <c r="EB21" s="196" t="n">
        <v>13000</v>
      </c>
      <c r="EC21" s="196" t="n">
        <v>17700</v>
      </c>
      <c r="ED21" s="196" t="n">
        <v>12000</v>
      </c>
      <c r="EE21" s="196" t="n">
        <v>15100</v>
      </c>
      <c r="EF21" s="196" t="n">
        <v>13800</v>
      </c>
      <c r="EG21" s="196" t="n">
        <v>12900</v>
      </c>
      <c r="EH21" s="196" t="n">
        <v>13100</v>
      </c>
      <c r="EI21" s="196" t="n">
        <v>14900</v>
      </c>
      <c r="EJ21" s="196" t="n">
        <v>17900</v>
      </c>
      <c r="EK21" s="196" t="n">
        <v>21200</v>
      </c>
      <c r="EL21" s="182" t="n"/>
      <c r="EM21" s="176" t="n"/>
      <c r="EN21" s="176" t="n"/>
      <c r="EO21" s="176" t="n"/>
      <c r="EP21" s="176" t="n"/>
      <c r="EQ21" s="176" t="n"/>
      <c r="ER21" s="176" t="n"/>
      <c r="ES21" s="176" t="n"/>
      <c r="ET21" s="176" t="n"/>
      <c r="EU21" s="176" t="n"/>
      <c r="EV21" s="176" t="n"/>
      <c r="EW21" s="176" t="n"/>
      <c r="EX21" s="176" t="n"/>
      <c r="EY21" s="176" t="n"/>
      <c r="EZ21" s="176" t="n"/>
      <c r="FA21" s="176" t="n"/>
      <c r="FB21" s="176" t="n"/>
      <c r="FC21" s="176" t="n"/>
      <c r="FD21" s="176" t="n"/>
      <c r="FE21" s="176" t="n"/>
      <c r="FF21" s="176" t="n"/>
      <c r="FG21" s="176" t="n"/>
      <c r="FH21" s="176" t="n"/>
      <c r="FI21" s="176" t="n"/>
      <c r="FJ21" s="176" t="n"/>
    </row>
    <row r="22" ht="15" customHeight="1" s="392">
      <c r="A22" s="176" t="n"/>
      <c r="B22" s="180" t="n"/>
      <c r="C22" s="183" t="inlineStr">
        <is>
          <t xml:space="preserve">        Inventories</t>
        </is>
      </c>
      <c r="D22" s="190">
        <f>IF(COUNT(M22:EK22)&gt;0,MEDIAN(M22:EK22),"")</f>
        <v/>
      </c>
      <c r="E22" s="190">
        <f>IF(COUNT(M22:EK22)&gt;0,AVERAGE(M22:EK22),"")</f>
        <v/>
      </c>
      <c r="F22" s="190">
        <f>IF(COUNT(M22:EK22)&gt;0,MIN(M22:EK22),"")</f>
        <v/>
      </c>
      <c r="G22" s="190">
        <f>IF(COUNT(M22:EK22)&gt;0,MAX(M22:EK22),"")</f>
        <v/>
      </c>
      <c r="H22" s="190">
        <f>IF(COUNT(M22:EK22)&gt;0,QUARTILE(M22:EK22,1),"")</f>
        <v/>
      </c>
      <c r="I22" s="190">
        <f>IF(COUNT(M22:EK22)&gt;0,QUARTILE(M22:EK22,3),"")</f>
        <v/>
      </c>
      <c r="J22" s="190">
        <f>IF(COUNT(M22:EK22)&gt;1,STDEV(M22:EK22),"")</f>
        <v/>
      </c>
      <c r="K22" s="191">
        <f>IF(COUNT(M22:EK22)&gt;1,STDEV(M22:EK22)/AVERAGE(M22:EK22),"")</f>
        <v/>
      </c>
      <c r="M22" s="192" t="n">
        <v>51382</v>
      </c>
      <c r="N22" s="192" t="n">
        <v>49632</v>
      </c>
      <c r="O22" s="192" t="n">
        <v>41870</v>
      </c>
      <c r="P22" s="192" t="n">
        <v>40408</v>
      </c>
      <c r="Q22" s="192" t="n">
        <v>39661</v>
      </c>
      <c r="R22" s="192" t="n">
        <v>44508</v>
      </c>
      <c r="S22" s="192" t="n">
        <v>59072</v>
      </c>
      <c r="T22" s="192" t="n">
        <v>52401</v>
      </c>
      <c r="U22" s="192" t="n">
        <v>43639</v>
      </c>
      <c r="V22" s="192" t="n">
        <v>46764</v>
      </c>
      <c r="W22" s="192" t="n">
        <v>42812</v>
      </c>
      <c r="X22" s="192" t="n">
        <v>42631</v>
      </c>
      <c r="Y22" s="192" t="n">
        <v>39973</v>
      </c>
      <c r="Z22" s="192" t="n">
        <v>44999</v>
      </c>
      <c r="AA22" s="192" t="n">
        <v>52071</v>
      </c>
      <c r="AB22" s="192" t="n">
        <v>53866</v>
      </c>
      <c r="AC22" s="192" t="n">
        <v>58791</v>
      </c>
      <c r="AD22" s="192" t="n">
        <v>56988</v>
      </c>
      <c r="AE22" s="192" t="n">
        <v>52979</v>
      </c>
      <c r="AF22" s="192" t="n">
        <v>48194</v>
      </c>
      <c r="AG22" s="192" t="n">
        <v>44968</v>
      </c>
      <c r="AH22" s="192" t="n">
        <v>39229</v>
      </c>
      <c r="AI22" s="192" t="n">
        <v>30203</v>
      </c>
      <c r="AJ22" s="192" t="n">
        <v>28244</v>
      </c>
      <c r="AK22" s="192" t="n">
        <v>20080</v>
      </c>
      <c r="AL22" s="192" t="n">
        <v>19809</v>
      </c>
      <c r="AM22" s="192" t="n">
        <v>18515</v>
      </c>
      <c r="AN22" s="192" t="n">
        <v>19482</v>
      </c>
      <c r="AO22" s="192" t="n">
        <v>20941</v>
      </c>
      <c r="AP22" s="192" t="n">
        <v>22309</v>
      </c>
      <c r="AQ22" s="192" t="n">
        <v>28315</v>
      </c>
      <c r="AR22" s="192" t="n">
        <v>19734</v>
      </c>
      <c r="AS22" s="192" t="n">
        <v>16734</v>
      </c>
      <c r="AT22" s="192" t="n">
        <v>17034</v>
      </c>
      <c r="AU22" s="192" t="n">
        <v>13025</v>
      </c>
      <c r="AV22" s="192" t="n">
        <v>10138</v>
      </c>
      <c r="AW22" s="192" t="n">
        <v>10163</v>
      </c>
      <c r="AX22" s="192" t="n">
        <v>9239</v>
      </c>
      <c r="AY22" s="192" t="n">
        <v>9136</v>
      </c>
      <c r="AZ22" s="192" t="n">
        <v>8918</v>
      </c>
      <c r="BA22" s="192" t="n">
        <v>10388</v>
      </c>
      <c r="BB22" s="192" t="n">
        <v>11439</v>
      </c>
      <c r="BC22" s="192" t="n">
        <v>9458</v>
      </c>
      <c r="BD22" s="192" t="n">
        <v>9075</v>
      </c>
      <c r="BE22" s="192" t="n">
        <v>8613</v>
      </c>
      <c r="BF22" s="192" t="n">
        <v>8107</v>
      </c>
      <c r="BG22" s="192" t="n">
        <v>8015</v>
      </c>
      <c r="BH22" s="192" t="n">
        <v>7592</v>
      </c>
      <c r="BI22" s="192" t="n">
        <v>7259</v>
      </c>
      <c r="BJ22" s="192" t="n">
        <v>9826</v>
      </c>
      <c r="BK22" s="192" t="n">
        <v>9850</v>
      </c>
      <c r="BL22" s="192" t="n">
        <v>9205</v>
      </c>
      <c r="BM22" s="192" t="n">
        <v>10736</v>
      </c>
      <c r="BN22" s="192" t="n">
        <v>10524</v>
      </c>
      <c r="BO22" s="192" t="n">
        <v>11043</v>
      </c>
      <c r="BP22" s="192" t="n">
        <v>7587</v>
      </c>
      <c r="BQ22" s="192" t="n">
        <v>8494</v>
      </c>
      <c r="BR22" s="192" t="n">
        <v>7458</v>
      </c>
      <c r="BS22" s="192" t="n">
        <v>7247</v>
      </c>
      <c r="BT22" s="192" t="n">
        <v>6433</v>
      </c>
      <c r="BU22" s="192" t="n">
        <v>8016</v>
      </c>
      <c r="BV22" s="192" t="n">
        <v>6412</v>
      </c>
      <c r="BW22" s="192" t="n">
        <v>4350</v>
      </c>
      <c r="BX22" s="192" t="n">
        <v>4976</v>
      </c>
      <c r="BY22" s="192" t="n">
        <v>4465</v>
      </c>
      <c r="BZ22" s="192" t="n">
        <v>4240</v>
      </c>
      <c r="CA22" s="192" t="n">
        <v>4411</v>
      </c>
      <c r="CB22" s="192" t="n">
        <v>4667</v>
      </c>
      <c r="CC22" s="192" t="n">
        <v>3784</v>
      </c>
      <c r="CD22" s="192" t="n">
        <v>4212</v>
      </c>
      <c r="CE22" s="192" t="n">
        <v>4329</v>
      </c>
      <c r="CF22" s="192" t="n">
        <v>5334</v>
      </c>
      <c r="CG22" s="192" t="n">
        <v>6851</v>
      </c>
      <c r="CH22" s="192" t="n">
        <v>7356</v>
      </c>
      <c r="CI22" s="192" t="n">
        <v>7772</v>
      </c>
      <c r="CJ22" s="192" t="n">
        <v>5999</v>
      </c>
      <c r="CK22" s="192" t="n"/>
      <c r="CL22" s="192" t="n"/>
      <c r="CM22" s="192" t="n"/>
      <c r="CN22" s="192" t="n">
        <v>971</v>
      </c>
      <c r="CO22" s="192" t="n"/>
      <c r="CP22" s="192" t="n"/>
      <c r="CQ22" s="192" t="n"/>
      <c r="CR22" s="192" t="n"/>
      <c r="CS22" s="192" t="n"/>
      <c r="CT22" s="192" t="n"/>
      <c r="CU22" s="192" t="n"/>
      <c r="CV22" s="192" t="n"/>
      <c r="CW22" s="192" t="n"/>
      <c r="CX22" s="192" t="n"/>
      <c r="CY22" s="192" t="n"/>
      <c r="CZ22" s="192" t="n"/>
      <c r="DA22" s="192" t="n"/>
      <c r="DB22" s="192" t="n"/>
      <c r="DC22" s="192" t="n"/>
      <c r="DD22" s="192" t="n"/>
      <c r="DE22" s="192" t="n"/>
      <c r="DF22" s="192" t="n"/>
      <c r="DG22" s="192" t="n"/>
      <c r="DH22" s="192" t="n"/>
      <c r="DI22" s="192" t="n"/>
      <c r="DJ22" s="192" t="n"/>
      <c r="DK22" s="192" t="n"/>
      <c r="DL22" s="192" t="n"/>
      <c r="DM22" s="192" t="n"/>
      <c r="DN22" s="192" t="n"/>
      <c r="DO22" s="192" t="n"/>
      <c r="DP22" s="192" t="n"/>
      <c r="DQ22" s="192" t="n"/>
      <c r="DR22" s="192" t="n"/>
      <c r="DS22" s="192" t="n"/>
      <c r="DT22" s="192" t="n"/>
      <c r="DU22" s="192" t="n">
        <v>100</v>
      </c>
      <c r="DV22" s="192" t="n">
        <v>100</v>
      </c>
      <c r="DW22" s="192" t="n">
        <v>200</v>
      </c>
      <c r="DX22" s="192" t="n">
        <v>300</v>
      </c>
      <c r="DY22" s="192" t="n">
        <v>900</v>
      </c>
      <c r="DZ22" s="192" t="n">
        <v>1600</v>
      </c>
      <c r="EA22" s="192" t="n">
        <v>1400</v>
      </c>
      <c r="EB22" s="192" t="n">
        <v>1500</v>
      </c>
      <c r="EC22" s="192" t="n">
        <v>1600</v>
      </c>
      <c r="ED22" s="192" t="n">
        <v>1500</v>
      </c>
      <c r="EE22" s="192" t="n">
        <v>1100</v>
      </c>
      <c r="EF22" s="192" t="n">
        <v>3300</v>
      </c>
      <c r="EG22" s="192" t="n"/>
      <c r="EH22" s="192" t="n"/>
      <c r="EI22" s="192" t="n"/>
      <c r="EJ22" s="192" t="n"/>
      <c r="EK22" s="192" t="n"/>
      <c r="EL22" s="182" t="n"/>
      <c r="EM22" s="176" t="n"/>
      <c r="EN22" s="176" t="n"/>
      <c r="EO22" s="176" t="n"/>
      <c r="EP22" s="176" t="n"/>
      <c r="EQ22" s="176" t="n"/>
      <c r="ER22" s="176" t="n"/>
      <c r="ES22" s="176" t="n"/>
      <c r="ET22" s="176" t="n"/>
      <c r="EU22" s="176" t="n"/>
      <c r="EV22" s="176" t="n"/>
      <c r="EW22" s="176" t="n"/>
      <c r="EX22" s="176" t="n"/>
      <c r="EY22" s="176" t="n"/>
      <c r="EZ22" s="176" t="n"/>
      <c r="FA22" s="176" t="n"/>
      <c r="FB22" s="176" t="n"/>
      <c r="FC22" s="176" t="n"/>
      <c r="FD22" s="176" t="n"/>
      <c r="FE22" s="176" t="n"/>
      <c r="FF22" s="176" t="n"/>
      <c r="FG22" s="176" t="n"/>
      <c r="FH22" s="176" t="n"/>
      <c r="FI22" s="176" t="n"/>
      <c r="FJ22" s="176" t="n"/>
    </row>
    <row r="23" ht="15" customHeight="1" s="392">
      <c r="A23" s="176" t="n"/>
      <c r="B23" s="180" t="n"/>
      <c r="C23" s="183" t="inlineStr">
        <is>
          <t xml:space="preserve">        Trade and Other Receivables, Current</t>
        </is>
      </c>
      <c r="D23" s="185" t="n"/>
      <c r="E23" s="185" t="n"/>
      <c r="F23" s="185" t="n"/>
      <c r="G23" s="185" t="n"/>
      <c r="H23" s="185" t="n"/>
      <c r="I23" s="185" t="n"/>
      <c r="J23" s="185" t="n"/>
      <c r="K23" s="185" t="n"/>
      <c r="EL23" s="182" t="n"/>
      <c r="EM23" s="176" t="n"/>
      <c r="EN23" s="176" t="n"/>
      <c r="EO23" s="176" t="n"/>
      <c r="EP23" s="176" t="n"/>
      <c r="EQ23" s="176" t="n"/>
      <c r="ER23" s="176" t="n"/>
      <c r="ES23" s="176" t="n"/>
      <c r="ET23" s="176" t="n"/>
      <c r="EU23" s="176" t="n"/>
      <c r="EV23" s="176" t="n"/>
      <c r="EW23" s="176" t="n"/>
      <c r="EX23" s="176" t="n"/>
      <c r="EY23" s="176" t="n"/>
      <c r="EZ23" s="176" t="n"/>
      <c r="FA23" s="176" t="n"/>
      <c r="FB23" s="176" t="n"/>
      <c r="FC23" s="176" t="n"/>
      <c r="FD23" s="176" t="n"/>
      <c r="FE23" s="176" t="n"/>
      <c r="FF23" s="176" t="n"/>
      <c r="FG23" s="176" t="n"/>
      <c r="FH23" s="176" t="n"/>
      <c r="FI23" s="176" t="n"/>
      <c r="FJ23" s="176" t="n"/>
    </row>
    <row r="24" ht="15" customHeight="1" s="392">
      <c r="A24" s="176" t="n"/>
      <c r="B24" s="180" t="n"/>
      <c r="C24" s="183" t="inlineStr">
        <is>
          <t xml:space="preserve">            Trade/Accounts Receivable, Current</t>
        </is>
      </c>
      <c r="D24" s="185" t="n"/>
      <c r="E24" s="185" t="n"/>
      <c r="F24" s="185" t="n"/>
      <c r="G24" s="185" t="n"/>
      <c r="H24" s="185" t="n"/>
      <c r="I24" s="185" t="n"/>
      <c r="J24" s="185" t="n"/>
      <c r="K24" s="185" t="n"/>
      <c r="EL24" s="182" t="n"/>
      <c r="EM24" s="176" t="n"/>
      <c r="EN24" s="176" t="n"/>
      <c r="EO24" s="176" t="n"/>
      <c r="EP24" s="176" t="n"/>
      <c r="EQ24" s="176" t="n"/>
      <c r="ER24" s="176" t="n"/>
      <c r="ES24" s="176" t="n"/>
      <c r="ET24" s="176" t="n"/>
      <c r="EU24" s="176" t="n"/>
      <c r="EV24" s="176" t="n"/>
      <c r="EW24" s="176" t="n"/>
      <c r="EX24" s="176" t="n"/>
      <c r="EY24" s="176" t="n"/>
      <c r="EZ24" s="176" t="n"/>
      <c r="FA24" s="176" t="n"/>
      <c r="FB24" s="176" t="n"/>
      <c r="FC24" s="176" t="n"/>
      <c r="FD24" s="176" t="n"/>
      <c r="FE24" s="176" t="n"/>
      <c r="FF24" s="176" t="n"/>
      <c r="FG24" s="176" t="n"/>
      <c r="FH24" s="176" t="n"/>
      <c r="FI24" s="176" t="n"/>
      <c r="FJ24" s="176" t="n"/>
    </row>
    <row r="25" ht="15" customHeight="1" s="392">
      <c r="A25" s="176" t="n"/>
      <c r="B25" s="180" t="n"/>
      <c r="C25" s="183" t="inlineStr">
        <is>
          <t xml:space="preserve">                Gross Trade/Accounts Receivable, Current</t>
        </is>
      </c>
      <c r="D25" s="190">
        <f>IF(COUNT(M25:EK25)&gt;0,MEDIAN(M25:EK25),"")</f>
        <v/>
      </c>
      <c r="E25" s="190">
        <f>IF(COUNT(M25:EK25)&gt;0,AVERAGE(M25:EK25),"")</f>
        <v/>
      </c>
      <c r="F25" s="190">
        <f>IF(COUNT(M25:EK25)&gt;0,MIN(M25:EK25),"")</f>
        <v/>
      </c>
      <c r="G25" s="190">
        <f>IF(COUNT(M25:EK25)&gt;0,MAX(M25:EK25),"")</f>
        <v/>
      </c>
      <c r="H25" s="190">
        <f>IF(COUNT(M25:EK25)&gt;0,QUARTILE(M25:EK25,1),"")</f>
        <v/>
      </c>
      <c r="I25" s="190">
        <f>IF(COUNT(M25:EK25)&gt;0,QUARTILE(M25:EK25,3),"")</f>
        <v/>
      </c>
      <c r="J25" s="190">
        <f>IF(COUNT(M25:EK25)&gt;1,STDEV(M25:EK25),"")</f>
        <v/>
      </c>
      <c r="K25" s="191">
        <f>IF(COUNT(M25:EK25)&gt;1,STDEV(M25:EK25)/AVERAGE(M25:EK25),"")</f>
        <v/>
      </c>
      <c r="M25" s="192" t="n">
        <v>827798</v>
      </c>
      <c r="N25" s="192" t="n">
        <v>809108</v>
      </c>
      <c r="O25" s="192" t="n">
        <v>876546</v>
      </c>
      <c r="P25" s="192" t="n">
        <v>774603</v>
      </c>
      <c r="Q25" s="192" t="n"/>
      <c r="R25" s="192" t="n"/>
      <c r="S25" s="192" t="n"/>
      <c r="T25" s="192" t="n"/>
      <c r="U25" s="192" t="n"/>
      <c r="V25" s="192" t="n"/>
      <c r="W25" s="192" t="n"/>
      <c r="X25" s="192" t="n"/>
      <c r="Y25" s="192" t="n"/>
      <c r="Z25" s="192" t="n"/>
      <c r="AA25" s="192" t="n"/>
      <c r="AB25" s="192" t="n"/>
      <c r="AC25" s="192" t="n"/>
      <c r="AD25" s="192" t="n"/>
      <c r="AE25" s="192" t="n"/>
      <c r="AF25" s="192" t="n"/>
      <c r="AG25" s="192" t="n"/>
      <c r="AH25" s="192" t="n"/>
      <c r="AI25" s="192" t="n"/>
      <c r="AJ25" s="192" t="n"/>
      <c r="AK25" s="192" t="n"/>
      <c r="AL25" s="192" t="n"/>
      <c r="AM25" s="192" t="n"/>
      <c r="AN25" s="192" t="n"/>
      <c r="AO25" s="192" t="n"/>
      <c r="AP25" s="192" t="n"/>
      <c r="AQ25" s="192" t="n"/>
      <c r="AR25" s="192" t="n"/>
      <c r="AS25" s="192" t="n"/>
      <c r="AT25" s="192" t="n"/>
      <c r="AU25" s="192" t="n"/>
      <c r="AV25" s="192" t="n"/>
      <c r="AW25" s="192" t="n"/>
      <c r="AX25" s="192" t="n"/>
      <c r="AY25" s="192" t="n"/>
      <c r="AZ25" s="192" t="n"/>
      <c r="BA25" s="192" t="n"/>
      <c r="BB25" s="192" t="n"/>
      <c r="BC25" s="192" t="n"/>
      <c r="BD25" s="192" t="n"/>
      <c r="BE25" s="192" t="n"/>
      <c r="BF25" s="192" t="n"/>
      <c r="BG25" s="192" t="n"/>
      <c r="BH25" s="192" t="n"/>
      <c r="BI25" s="192" t="n"/>
      <c r="BJ25" s="192" t="n"/>
      <c r="BK25" s="192" t="n"/>
      <c r="BL25" s="192" t="n"/>
      <c r="BM25" s="192" t="n"/>
      <c r="BN25" s="192" t="n"/>
      <c r="BO25" s="192" t="n"/>
      <c r="BP25" s="192" t="n"/>
      <c r="BQ25" s="192" t="n"/>
      <c r="BR25" s="192" t="n"/>
      <c r="BS25" s="192" t="n"/>
      <c r="BT25" s="192" t="n"/>
      <c r="BU25" s="192" t="n">
        <v>125981</v>
      </c>
      <c r="BV25" s="192" t="n"/>
      <c r="BW25" s="192" t="n"/>
      <c r="BX25" s="192" t="n">
        <v>111902</v>
      </c>
      <c r="BY25" s="192" t="n"/>
      <c r="BZ25" s="192" t="n"/>
      <c r="CA25" s="192" t="n"/>
      <c r="CB25" s="192" t="n"/>
      <c r="CC25" s="192" t="n"/>
      <c r="CD25" s="192" t="n"/>
      <c r="CE25" s="192" t="n"/>
      <c r="CF25" s="192" t="n"/>
      <c r="CG25" s="192" t="n"/>
      <c r="CH25" s="192" t="n"/>
      <c r="CI25" s="192" t="n"/>
      <c r="CJ25" s="192" t="n"/>
      <c r="CK25" s="192" t="n"/>
      <c r="CL25" s="192" t="n"/>
      <c r="CM25" s="192" t="n"/>
      <c r="CN25" s="192" t="n"/>
      <c r="CO25" s="192" t="n"/>
      <c r="CP25" s="192" t="n"/>
      <c r="CQ25" s="192" t="n"/>
      <c r="CR25" s="192" t="n"/>
      <c r="CS25" s="192" t="n"/>
      <c r="CT25" s="192" t="n"/>
      <c r="CU25" s="192" t="n"/>
      <c r="CV25" s="192" t="n"/>
      <c r="CW25" s="192" t="n"/>
      <c r="CX25" s="192" t="n"/>
      <c r="CY25" s="192" t="n"/>
      <c r="CZ25" s="192" t="n"/>
      <c r="DA25" s="192" t="n"/>
      <c r="DB25" s="192" t="n"/>
      <c r="DC25" s="192" t="n"/>
      <c r="DD25" s="192" t="n"/>
      <c r="DE25" s="192" t="n"/>
      <c r="DF25" s="192" t="n"/>
      <c r="DG25" s="192" t="n"/>
      <c r="DH25" s="192" t="n"/>
      <c r="DI25" s="192" t="n"/>
      <c r="DJ25" s="192" t="n"/>
      <c r="DK25" s="192" t="n"/>
      <c r="DL25" s="192" t="n"/>
      <c r="DM25" s="192" t="n"/>
      <c r="DN25" s="192" t="n"/>
      <c r="DO25" s="192" t="n"/>
      <c r="DP25" s="192" t="n"/>
      <c r="DQ25" s="192" t="n"/>
      <c r="DR25" s="192" t="n"/>
      <c r="DS25" s="192" t="n"/>
      <c r="DT25" s="192" t="n"/>
      <c r="DU25" s="192" t="n"/>
      <c r="DV25" s="192" t="n"/>
      <c r="DW25" s="192" t="n"/>
      <c r="DX25" s="192" t="n"/>
      <c r="DY25" s="192" t="n"/>
      <c r="DZ25" s="192" t="n"/>
      <c r="EA25" s="192" t="n"/>
      <c r="EB25" s="192" t="n"/>
      <c r="EC25" s="192" t="n"/>
      <c r="ED25" s="192" t="n"/>
      <c r="EE25" s="192" t="n"/>
      <c r="EF25" s="192" t="n"/>
      <c r="EG25" s="192" t="n"/>
      <c r="EH25" s="192" t="n"/>
      <c r="EI25" s="192" t="n"/>
      <c r="EJ25" s="192" t="n"/>
      <c r="EK25" s="192" t="n"/>
      <c r="EL25" s="182" t="n"/>
      <c r="EM25" s="176" t="n"/>
      <c r="EN25" s="176" t="n"/>
      <c r="EO25" s="176" t="n"/>
      <c r="EP25" s="176" t="n"/>
      <c r="EQ25" s="176" t="n"/>
      <c r="ER25" s="176" t="n"/>
      <c r="ES25" s="176" t="n"/>
      <c r="ET25" s="176" t="n"/>
      <c r="EU25" s="176" t="n"/>
      <c r="EV25" s="176" t="n"/>
      <c r="EW25" s="176" t="n"/>
      <c r="EX25" s="176" t="n"/>
      <c r="EY25" s="176" t="n"/>
      <c r="EZ25" s="176" t="n"/>
      <c r="FA25" s="176" t="n"/>
      <c r="FB25" s="176" t="n"/>
      <c r="FC25" s="176" t="n"/>
      <c r="FD25" s="176" t="n"/>
      <c r="FE25" s="176" t="n"/>
      <c r="FF25" s="176" t="n"/>
      <c r="FG25" s="176" t="n"/>
      <c r="FH25" s="176" t="n"/>
      <c r="FI25" s="176" t="n"/>
      <c r="FJ25" s="176" t="n"/>
    </row>
    <row r="26" ht="15" customHeight="1" s="392">
      <c r="A26" s="176" t="n"/>
      <c r="B26" s="180" t="n"/>
      <c r="C26" s="183" t="inlineStr">
        <is>
          <t xml:space="preserve">                Allowance/Adjustments for Trade/Accounts Receivable, Current</t>
        </is>
      </c>
      <c r="D26" s="190">
        <f>IF(COUNT(M26:EK26)&gt;0,MEDIAN(M26:EK26),"")</f>
        <v/>
      </c>
      <c r="E26" s="190">
        <f>IF(COUNT(M26:EK26)&gt;0,AVERAGE(M26:EK26),"")</f>
        <v/>
      </c>
      <c r="F26" s="190">
        <f>IF(COUNT(M26:EK26)&gt;0,MIN(M26:EK26),"")</f>
        <v/>
      </c>
      <c r="G26" s="190">
        <f>IF(COUNT(M26:EK26)&gt;0,MAX(M26:EK26),"")</f>
        <v/>
      </c>
      <c r="H26" s="190">
        <f>IF(COUNT(M26:EK26)&gt;0,QUARTILE(M26:EK26,1),"")</f>
        <v/>
      </c>
      <c r="I26" s="190">
        <f>IF(COUNT(M26:EK26)&gt;0,QUARTILE(M26:EK26,3),"")</f>
        <v/>
      </c>
      <c r="J26" s="190">
        <f>IF(COUNT(M26:EK26)&gt;1,STDEV(M26:EK26),"")</f>
        <v/>
      </c>
      <c r="K26" s="191">
        <f>IF(COUNT(M26:EK26)&gt;1,STDEV(M26:EK26)/AVERAGE(M26:EK26),"")</f>
        <v/>
      </c>
      <c r="M26" s="192" t="n">
        <v>-18551</v>
      </c>
      <c r="N26" s="192" t="n">
        <v>-14636</v>
      </c>
      <c r="O26" s="192" t="n">
        <v>-14916</v>
      </c>
      <c r="P26" s="192" t="n">
        <v>-14916</v>
      </c>
      <c r="Q26" s="192" t="n"/>
      <c r="R26" s="192" t="n"/>
      <c r="S26" s="192" t="n"/>
      <c r="T26" s="192" t="n"/>
      <c r="U26" s="192" t="n"/>
      <c r="V26" s="192" t="n"/>
      <c r="W26" s="192" t="n"/>
      <c r="X26" s="192" t="n"/>
      <c r="Y26" s="192" t="n"/>
      <c r="Z26" s="192" t="n"/>
      <c r="AA26" s="192" t="n"/>
      <c r="AB26" s="192" t="n"/>
      <c r="AC26" s="192" t="n"/>
      <c r="AD26" s="192" t="n"/>
      <c r="AE26" s="192" t="n"/>
      <c r="AF26" s="192" t="n"/>
      <c r="AG26" s="192" t="n"/>
      <c r="AH26" s="192" t="n"/>
      <c r="AI26" s="192" t="n"/>
      <c r="AJ26" s="192" t="n"/>
      <c r="AK26" s="192" t="n"/>
      <c r="AL26" s="192" t="n"/>
      <c r="AM26" s="192" t="n"/>
      <c r="AN26" s="192" t="n"/>
      <c r="AO26" s="192" t="n"/>
      <c r="AP26" s="192" t="n"/>
      <c r="AQ26" s="192" t="n"/>
      <c r="AR26" s="192" t="n"/>
      <c r="AS26" s="192" t="n"/>
      <c r="AT26" s="192" t="n"/>
      <c r="AU26" s="192" t="n"/>
      <c r="AV26" s="192" t="n"/>
      <c r="AW26" s="192" t="n"/>
      <c r="AX26" s="192" t="n"/>
      <c r="AY26" s="192" t="n"/>
      <c r="AZ26" s="192" t="n"/>
      <c r="BA26" s="192" t="n"/>
      <c r="BB26" s="192" t="n"/>
      <c r="BC26" s="192" t="n"/>
      <c r="BD26" s="192" t="n"/>
      <c r="BE26" s="192" t="n"/>
      <c r="BF26" s="192" t="n"/>
      <c r="BG26" s="192" t="n"/>
      <c r="BH26" s="192" t="n"/>
      <c r="BI26" s="192" t="n"/>
      <c r="BJ26" s="192" t="n"/>
      <c r="BK26" s="192" t="n"/>
      <c r="BL26" s="192" t="n"/>
      <c r="BM26" s="192" t="n"/>
      <c r="BN26" s="192" t="n"/>
      <c r="BO26" s="192" t="n"/>
      <c r="BP26" s="192" t="n"/>
      <c r="BQ26" s="192" t="n"/>
      <c r="BR26" s="192" t="n"/>
      <c r="BS26" s="192" t="n"/>
      <c r="BT26" s="192" t="n"/>
      <c r="BU26" s="192" t="n">
        <v>-3122</v>
      </c>
      <c r="BV26" s="192" t="n"/>
      <c r="BW26" s="192" t="n"/>
      <c r="BX26" s="192" t="n">
        <v>-2841</v>
      </c>
      <c r="BY26" s="192" t="n"/>
      <c r="BZ26" s="192" t="n"/>
      <c r="CA26" s="192" t="n"/>
      <c r="CB26" s="192" t="n"/>
      <c r="CC26" s="192" t="n"/>
      <c r="CD26" s="192" t="n"/>
      <c r="CE26" s="192" t="n"/>
      <c r="CF26" s="192" t="n"/>
      <c r="CG26" s="192" t="n"/>
      <c r="CH26" s="192" t="n"/>
      <c r="CI26" s="192" t="n"/>
      <c r="CJ26" s="192" t="n"/>
      <c r="CK26" s="192" t="n"/>
      <c r="CL26" s="192" t="n"/>
      <c r="CM26" s="192" t="n"/>
      <c r="CN26" s="192" t="n"/>
      <c r="CO26" s="192" t="n"/>
      <c r="CP26" s="192" t="n"/>
      <c r="CQ26" s="192" t="n"/>
      <c r="CR26" s="192" t="n"/>
      <c r="CS26" s="192" t="n"/>
      <c r="CT26" s="192" t="n"/>
      <c r="CU26" s="192" t="n"/>
      <c r="CV26" s="192" t="n"/>
      <c r="CW26" s="192" t="n"/>
      <c r="CX26" s="192" t="n"/>
      <c r="CY26" s="192" t="n"/>
      <c r="CZ26" s="192" t="n"/>
      <c r="DA26" s="192" t="n"/>
      <c r="DB26" s="192" t="n"/>
      <c r="DC26" s="192" t="n"/>
      <c r="DD26" s="192" t="n"/>
      <c r="DE26" s="192" t="n"/>
      <c r="DF26" s="192" t="n"/>
      <c r="DG26" s="192" t="n"/>
      <c r="DH26" s="192" t="n"/>
      <c r="DI26" s="192" t="n"/>
      <c r="DJ26" s="192" t="n"/>
      <c r="DK26" s="192" t="n"/>
      <c r="DL26" s="192" t="n"/>
      <c r="DM26" s="192" t="n"/>
      <c r="DN26" s="192" t="n"/>
      <c r="DO26" s="192" t="n"/>
      <c r="DP26" s="192" t="n"/>
      <c r="DQ26" s="192" t="n"/>
      <c r="DR26" s="192" t="n"/>
      <c r="DS26" s="192" t="n"/>
      <c r="DT26" s="192" t="n"/>
      <c r="DU26" s="192" t="n"/>
      <c r="DV26" s="192" t="n"/>
      <c r="DW26" s="192" t="n"/>
      <c r="DX26" s="192" t="n"/>
      <c r="DY26" s="192" t="n"/>
      <c r="DZ26" s="192" t="n"/>
      <c r="EA26" s="192" t="n"/>
      <c r="EB26" s="192" t="n"/>
      <c r="EC26" s="192" t="n"/>
      <c r="ED26" s="192" t="n"/>
      <c r="EE26" s="192" t="n"/>
      <c r="EF26" s="192" t="n"/>
      <c r="EG26" s="192" t="n"/>
      <c r="EH26" s="192" t="n"/>
      <c r="EI26" s="192" t="n"/>
      <c r="EJ26" s="192" t="n"/>
      <c r="EK26" s="192" t="n"/>
      <c r="EL26" s="182" t="n"/>
      <c r="EM26" s="176" t="n"/>
      <c r="EN26" s="176" t="n"/>
      <c r="EO26" s="176" t="n"/>
      <c r="EP26" s="176" t="n"/>
      <c r="EQ26" s="176" t="n"/>
      <c r="ER26" s="176" t="n"/>
      <c r="ES26" s="176" t="n"/>
      <c r="ET26" s="176" t="n"/>
      <c r="EU26" s="176" t="n"/>
      <c r="EV26" s="176" t="n"/>
      <c r="EW26" s="176" t="n"/>
      <c r="EX26" s="176" t="n"/>
      <c r="EY26" s="176" t="n"/>
      <c r="EZ26" s="176" t="n"/>
      <c r="FA26" s="176" t="n"/>
      <c r="FB26" s="176" t="n"/>
      <c r="FC26" s="176" t="n"/>
      <c r="FD26" s="176" t="n"/>
      <c r="FE26" s="176" t="n"/>
      <c r="FF26" s="176" t="n"/>
      <c r="FG26" s="176" t="n"/>
      <c r="FH26" s="176" t="n"/>
      <c r="FI26" s="176" t="n"/>
      <c r="FJ26" s="176" t="n"/>
    </row>
    <row r="27" ht="15" customHeight="1" s="392">
      <c r="A27" s="176" t="n"/>
      <c r="B27" s="180" t="n"/>
      <c r="C27" s="187" t="inlineStr">
        <is>
          <t xml:space="preserve">            Total Trade/Accounts Receivable, Current</t>
        </is>
      </c>
      <c r="D27" s="193">
        <f>IF(COUNT(M27:EK27)&gt;0,MEDIAN(M27:EK27),"")</f>
        <v/>
      </c>
      <c r="E27" s="193">
        <f>IF(COUNT(M27:EK27)&gt;0,AVERAGE(M27:EK27),"")</f>
        <v/>
      </c>
      <c r="F27" s="193">
        <f>IF(COUNT(M27:EK27)&gt;0,MIN(M27:EK27),"")</f>
        <v/>
      </c>
      <c r="G27" s="193">
        <f>IF(COUNT(M27:EK27)&gt;0,MAX(M27:EK27),"")</f>
        <v/>
      </c>
      <c r="H27" s="193">
        <f>IF(COUNT(M27:EK27)&gt;0,QUARTILE(M27:EK27,1),"")</f>
        <v/>
      </c>
      <c r="I27" s="193">
        <f>IF(COUNT(M27:EK27)&gt;0,QUARTILE(M27:EK27,3),"")</f>
        <v/>
      </c>
      <c r="J27" s="193">
        <f>IF(COUNT(M27:EK27)&gt;1,STDEV(M27:EK27),"")</f>
        <v/>
      </c>
      <c r="K27" s="194">
        <f>IF(COUNT(M27:EK27)&gt;1,STDEV(M27:EK27)/AVERAGE(M27:EK27),"")</f>
        <v/>
      </c>
      <c r="L27" s="195" t="n"/>
      <c r="M27" s="196" t="n">
        <v>809247</v>
      </c>
      <c r="N27" s="196" t="n">
        <v>794472</v>
      </c>
      <c r="O27" s="196" t="n">
        <v>861630</v>
      </c>
      <c r="P27" s="196" t="n">
        <v>759687</v>
      </c>
      <c r="Q27" s="196" t="n">
        <v>200969</v>
      </c>
      <c r="R27" s="196" t="n">
        <v>188087</v>
      </c>
      <c r="S27" s="196" t="n">
        <v>206041</v>
      </c>
      <c r="T27" s="196" t="n">
        <v>204512</v>
      </c>
      <c r="U27" s="196" t="n">
        <v>173652</v>
      </c>
      <c r="V27" s="196" t="n">
        <v>193334</v>
      </c>
      <c r="W27" s="196" t="n">
        <v>176484</v>
      </c>
      <c r="X27" s="196" t="n">
        <v>171497</v>
      </c>
      <c r="Y27" s="196" t="n">
        <v>157083</v>
      </c>
      <c r="Z27" s="196" t="n">
        <v>168160</v>
      </c>
      <c r="AA27" s="196" t="n">
        <v>160121</v>
      </c>
      <c r="AB27" s="196" t="n">
        <v>142010</v>
      </c>
      <c r="AC27" s="196" t="n">
        <v>137243</v>
      </c>
      <c r="AD27" s="196" t="n">
        <v>136563</v>
      </c>
      <c r="AE27" s="196" t="n">
        <v>127196</v>
      </c>
      <c r="AF27" s="196" t="n">
        <v>117337</v>
      </c>
      <c r="AG27" s="196" t="n">
        <v>97249</v>
      </c>
      <c r="AH27" s="196" t="n">
        <v>99584</v>
      </c>
      <c r="AI27" s="196" t="n">
        <v>98412</v>
      </c>
      <c r="AJ27" s="196" t="n">
        <v>97583</v>
      </c>
      <c r="AK27" s="196" t="n">
        <v>94281</v>
      </c>
      <c r="AL27" s="196" t="n">
        <v>79078</v>
      </c>
      <c r="AM27" s="196" t="n">
        <v>98529</v>
      </c>
      <c r="AN27" s="196" t="n">
        <v>87467</v>
      </c>
      <c r="AO27" s="196" t="n">
        <v>89274</v>
      </c>
      <c r="AP27" s="196" t="n">
        <v>97174</v>
      </c>
      <c r="AQ27" s="196" t="n">
        <v>84290</v>
      </c>
      <c r="AR27" s="196" t="n">
        <v>79229</v>
      </c>
      <c r="AS27" s="196" t="n">
        <v>125255</v>
      </c>
      <c r="AT27" s="196" t="n">
        <v>356125</v>
      </c>
      <c r="AU27" s="196" t="n">
        <v>398972</v>
      </c>
      <c r="AV27" s="196" t="n">
        <v>366641</v>
      </c>
      <c r="AW27" s="196" t="n">
        <v>110189</v>
      </c>
      <c r="AX27" s="196" t="n">
        <v>302071</v>
      </c>
      <c r="AY27" s="196" t="n">
        <v>340438</v>
      </c>
      <c r="AZ27" s="196" t="n">
        <v>294358</v>
      </c>
      <c r="BA27" s="196" t="n">
        <v>86455</v>
      </c>
      <c r="BB27" s="196" t="n">
        <v>263292</v>
      </c>
      <c r="BC27" s="196" t="n">
        <v>281227</v>
      </c>
      <c r="BD27" s="196" t="n">
        <v>231403</v>
      </c>
      <c r="BE27" s="196" t="n">
        <v>73773</v>
      </c>
      <c r="BF27" s="196" t="n">
        <v>217003</v>
      </c>
      <c r="BG27" s="196" t="n">
        <v>235477</v>
      </c>
      <c r="BH27" s="196" t="n">
        <v>204810</v>
      </c>
      <c r="BI27" s="196" t="n">
        <v>72170</v>
      </c>
      <c r="BJ27" s="196" t="n">
        <v>192610</v>
      </c>
      <c r="BK27" s="196" t="n">
        <v>222104</v>
      </c>
      <c r="BL27" s="196" t="n">
        <v>187615</v>
      </c>
      <c r="BM27" s="196" t="n">
        <v>65660</v>
      </c>
      <c r="BN27" s="196" t="n">
        <v>164155</v>
      </c>
      <c r="BO27" s="196" t="n">
        <v>198805</v>
      </c>
      <c r="BP27" s="196" t="n">
        <v>149554</v>
      </c>
      <c r="BQ27" s="196" t="n">
        <v>53163</v>
      </c>
      <c r="BR27" s="196" t="n">
        <v>129335</v>
      </c>
      <c r="BS27" s="196" t="n">
        <v>151903</v>
      </c>
      <c r="BT27" s="196" t="n">
        <v>136284</v>
      </c>
      <c r="BU27" s="196" t="n">
        <v>122859</v>
      </c>
      <c r="BV27" s="196" t="n">
        <v>117534</v>
      </c>
      <c r="BW27" s="196" t="n">
        <v>117032</v>
      </c>
      <c r="BX27" s="196" t="n">
        <v>109061</v>
      </c>
      <c r="BY27" s="196" t="n">
        <v>102093</v>
      </c>
      <c r="BZ27" s="196" t="n">
        <v>121753</v>
      </c>
      <c r="CA27" s="196" t="n">
        <v>109715</v>
      </c>
      <c r="CB27" s="196" t="n">
        <v>109248</v>
      </c>
      <c r="CC27" s="196" t="n">
        <v>107472</v>
      </c>
      <c r="CD27" s="196" t="n">
        <v>137810</v>
      </c>
      <c r="CE27" s="196" t="n">
        <v>118508</v>
      </c>
      <c r="CF27" s="196" t="n">
        <v>111705</v>
      </c>
      <c r="CG27" s="196" t="n">
        <v>129526</v>
      </c>
      <c r="CH27" s="196" t="n">
        <v>137286</v>
      </c>
      <c r="CI27" s="196" t="n">
        <v>114888</v>
      </c>
      <c r="CJ27" s="196" t="n">
        <v>109895</v>
      </c>
      <c r="CK27" s="196" t="n">
        <v>105694</v>
      </c>
      <c r="CL27" s="196" t="n">
        <v>112174</v>
      </c>
      <c r="CM27" s="196" t="n">
        <v>100375</v>
      </c>
      <c r="CN27" s="196" t="n">
        <v>99959</v>
      </c>
      <c r="CO27" s="196" t="n">
        <v>112845</v>
      </c>
      <c r="CP27" s="196" t="n">
        <v>123896</v>
      </c>
      <c r="CQ27" s="196" t="n">
        <v>92194</v>
      </c>
      <c r="CR27" s="196" t="n">
        <v>89002</v>
      </c>
      <c r="CS27" s="196" t="n">
        <v>94348</v>
      </c>
      <c r="CT27" s="196" t="n">
        <v>99705.89999999999</v>
      </c>
      <c r="CU27" s="196" t="n">
        <v>90710.10000000001</v>
      </c>
      <c r="CV27" s="196" t="n">
        <v>81633</v>
      </c>
      <c r="CW27" s="196" t="n">
        <v>84391.39999999999</v>
      </c>
      <c r="CX27" s="196" t="n">
        <v>94916</v>
      </c>
      <c r="CY27" s="196" t="n">
        <v>78888.60000000001</v>
      </c>
      <c r="CZ27" s="196" t="n">
        <v>71553</v>
      </c>
      <c r="DA27" s="196" t="n">
        <v>68079.39999999999</v>
      </c>
      <c r="DB27" s="196" t="n">
        <v>83341.89999999999</v>
      </c>
      <c r="DC27" s="196" t="n">
        <v>66501.5</v>
      </c>
      <c r="DD27" s="196" t="n">
        <v>64071.9</v>
      </c>
      <c r="DE27" s="196" t="n">
        <v>64033.1</v>
      </c>
      <c r="DF27" s="196" t="n">
        <v>76980.10000000001</v>
      </c>
      <c r="DG27" s="196" t="n">
        <v>67405</v>
      </c>
      <c r="DH27" s="196" t="n">
        <v>64907.3</v>
      </c>
      <c r="DI27" s="196" t="n">
        <v>62623</v>
      </c>
      <c r="DJ27" s="196" t="n">
        <v>68507.8</v>
      </c>
      <c r="DK27" s="196" t="n">
        <v>55621.4</v>
      </c>
      <c r="DL27" s="196" t="n"/>
      <c r="DM27" s="196" t="n"/>
      <c r="DN27" s="196" t="n"/>
      <c r="DO27" s="196" t="n"/>
      <c r="DP27" s="196" t="n"/>
      <c r="DQ27" s="196" t="n"/>
      <c r="DR27" s="196" t="n"/>
      <c r="DS27" s="196" t="n"/>
      <c r="DT27" s="196" t="n"/>
      <c r="DU27" s="196" t="n"/>
      <c r="DV27" s="196" t="n"/>
      <c r="DW27" s="196" t="n"/>
      <c r="DX27" s="196" t="n"/>
      <c r="DY27" s="196" t="n"/>
      <c r="DZ27" s="196" t="n"/>
      <c r="EA27" s="196" t="n"/>
      <c r="EB27" s="196" t="n"/>
      <c r="EC27" s="196" t="n"/>
      <c r="ED27" s="196" t="n"/>
      <c r="EE27" s="196" t="n"/>
      <c r="EF27" s="196" t="n"/>
      <c r="EG27" s="196" t="n"/>
      <c r="EH27" s="196" t="n"/>
      <c r="EI27" s="196" t="n"/>
      <c r="EJ27" s="196" t="n"/>
      <c r="EK27" s="196" t="n"/>
      <c r="EL27" s="182" t="n"/>
      <c r="EM27" s="176" t="n"/>
      <c r="EN27" s="176" t="n"/>
      <c r="EO27" s="176" t="n"/>
      <c r="EP27" s="176" t="n"/>
      <c r="EQ27" s="176" t="n"/>
      <c r="ER27" s="176" t="n"/>
      <c r="ES27" s="176" t="n"/>
      <c r="ET27" s="176" t="n"/>
      <c r="EU27" s="176" t="n"/>
      <c r="EV27" s="176" t="n"/>
      <c r="EW27" s="176" t="n"/>
      <c r="EX27" s="176" t="n"/>
      <c r="EY27" s="176" t="n"/>
      <c r="EZ27" s="176" t="n"/>
      <c r="FA27" s="176" t="n"/>
      <c r="FB27" s="176" t="n"/>
      <c r="FC27" s="176" t="n"/>
      <c r="FD27" s="176" t="n"/>
      <c r="FE27" s="176" t="n"/>
      <c r="FF27" s="176" t="n"/>
      <c r="FG27" s="176" t="n"/>
      <c r="FH27" s="176" t="n"/>
      <c r="FI27" s="176" t="n"/>
      <c r="FJ27" s="176" t="n"/>
    </row>
    <row r="28" ht="15" customHeight="1" s="392">
      <c r="A28" s="176" t="n"/>
      <c r="B28" s="180" t="n"/>
      <c r="C28" s="183" t="inlineStr">
        <is>
          <t xml:space="preserve">            Taxes Receivable, Current</t>
        </is>
      </c>
      <c r="D28" s="190">
        <f>IF(COUNT(M28:EK28)&gt;0,MEDIAN(M28:EK28),"")</f>
        <v/>
      </c>
      <c r="E28" s="190">
        <f>IF(COUNT(M28:EK28)&gt;0,AVERAGE(M28:EK28),"")</f>
        <v/>
      </c>
      <c r="F28" s="190">
        <f>IF(COUNT(M28:EK28)&gt;0,MIN(M28:EK28),"")</f>
        <v/>
      </c>
      <c r="G28" s="190">
        <f>IF(COUNT(M28:EK28)&gt;0,MAX(M28:EK28),"")</f>
        <v/>
      </c>
      <c r="H28" s="190">
        <f>IF(COUNT(M28:EK28)&gt;0,QUARTILE(M28:EK28,1),"")</f>
        <v/>
      </c>
      <c r="I28" s="190">
        <f>IF(COUNT(M28:EK28)&gt;0,QUARTILE(M28:EK28,3),"")</f>
        <v/>
      </c>
      <c r="J28" s="190">
        <f>IF(COUNT(M28:EK28)&gt;1,STDEV(M28:EK28),"")</f>
        <v/>
      </c>
      <c r="K28" s="191">
        <f>IF(COUNT(M28:EK28)&gt;1,STDEV(M28:EK28)/AVERAGE(M28:EK28),"")</f>
        <v/>
      </c>
      <c r="M28" s="192" t="n">
        <v>49856</v>
      </c>
      <c r="N28" s="192" t="n">
        <v>721</v>
      </c>
      <c r="O28" s="192" t="n">
        <v>817</v>
      </c>
      <c r="P28" s="192" t="n">
        <v>574</v>
      </c>
      <c r="Q28" s="192" t="n">
        <v>580</v>
      </c>
      <c r="R28" s="192" t="n"/>
      <c r="S28" s="192" t="n">
        <v>48240</v>
      </c>
      <c r="T28" s="192" t="n"/>
      <c r="U28" s="192" t="n">
        <v>0</v>
      </c>
      <c r="V28" s="192" t="n">
        <v>23402</v>
      </c>
      <c r="W28" s="192" t="n">
        <v>17030</v>
      </c>
      <c r="X28" s="192" t="n">
        <v>418</v>
      </c>
      <c r="Y28" s="192" t="n">
        <v>6574</v>
      </c>
      <c r="Z28" s="192" t="n">
        <v>428</v>
      </c>
      <c r="AA28" s="192" t="n">
        <v>436</v>
      </c>
      <c r="AB28" s="192" t="n">
        <v>5261</v>
      </c>
      <c r="AC28" s="192" t="n">
        <v>49882</v>
      </c>
      <c r="AD28" s="192" t="n">
        <v>1581</v>
      </c>
      <c r="AE28" s="192" t="n">
        <v>15426</v>
      </c>
      <c r="AF28" s="192" t="n">
        <v>537</v>
      </c>
      <c r="AG28" s="192" t="n">
        <v>20012</v>
      </c>
      <c r="AH28" s="192" t="n">
        <v>10588</v>
      </c>
      <c r="AI28" s="192" t="n">
        <v>6498</v>
      </c>
      <c r="AJ28" s="192" t="n">
        <v>915</v>
      </c>
      <c r="AK28" s="192" t="n">
        <v>26740</v>
      </c>
      <c r="AL28" s="192" t="n">
        <v>31578</v>
      </c>
      <c r="AM28" s="192" t="n">
        <v>68415</v>
      </c>
      <c r="AN28" s="192" t="n">
        <v>48370</v>
      </c>
      <c r="AO28" s="192" t="n">
        <v>19526</v>
      </c>
      <c r="AP28" s="192" t="n">
        <v>18902</v>
      </c>
      <c r="AQ28" s="192" t="n">
        <v>25</v>
      </c>
      <c r="AR28" s="192" t="n">
        <v>24</v>
      </c>
      <c r="AS28" s="192" t="n">
        <v>15312</v>
      </c>
      <c r="AT28" s="192" t="n">
        <v>1363</v>
      </c>
      <c r="AU28" s="192" t="n">
        <v>3836</v>
      </c>
      <c r="AV28" s="192" t="n">
        <v>139</v>
      </c>
      <c r="AW28" s="192" t="n">
        <v>6418</v>
      </c>
      <c r="AX28" s="192" t="n">
        <v>42663</v>
      </c>
      <c r="AY28" s="192" t="n">
        <v>83524</v>
      </c>
      <c r="AZ28" s="192" t="n">
        <v>110923</v>
      </c>
      <c r="BA28" s="192" t="n">
        <v>18751</v>
      </c>
      <c r="BB28" s="192" t="n">
        <v>2772</v>
      </c>
      <c r="BC28" s="192" t="n">
        <v>7734</v>
      </c>
      <c r="BD28" s="192" t="n">
        <v>950</v>
      </c>
      <c r="BE28" s="192" t="n">
        <v>6092</v>
      </c>
      <c r="BF28" s="192" t="n">
        <v>2587</v>
      </c>
      <c r="BG28" s="192" t="n">
        <v>7803</v>
      </c>
      <c r="BH28" s="192" t="n">
        <v>404</v>
      </c>
      <c r="BI28" s="192" t="n">
        <v>2288</v>
      </c>
      <c r="BJ28" s="192" t="n">
        <v>3358</v>
      </c>
      <c r="BK28" s="192" t="n">
        <v>5628</v>
      </c>
      <c r="BL28" s="192" t="n">
        <v>1846</v>
      </c>
      <c r="BM28" s="192" t="n">
        <v>9416</v>
      </c>
      <c r="BN28" s="192" t="n">
        <v>4384</v>
      </c>
      <c r="BO28" s="192" t="n">
        <v>12462</v>
      </c>
      <c r="BP28" s="192" t="n">
        <v>1220</v>
      </c>
      <c r="BQ28" s="192" t="n">
        <v>2312</v>
      </c>
      <c r="BR28" s="192" t="n">
        <v>3965</v>
      </c>
      <c r="BS28" s="192" t="n">
        <v>2977</v>
      </c>
      <c r="BT28" s="192" t="n">
        <v>785</v>
      </c>
      <c r="BU28" s="192" t="n">
        <v>5145</v>
      </c>
      <c r="BV28" s="192" t="n">
        <v>4844</v>
      </c>
      <c r="BW28" s="192" t="n">
        <v>2380</v>
      </c>
      <c r="BX28" s="192" t="n">
        <v>10958</v>
      </c>
      <c r="BY28" s="192" t="n">
        <v>5258</v>
      </c>
      <c r="BZ28" s="192" t="n">
        <v>9822</v>
      </c>
      <c r="CA28" s="192" t="n">
        <v>0</v>
      </c>
      <c r="CB28" s="192" t="n">
        <v>5426</v>
      </c>
      <c r="CC28" s="192" t="n">
        <v>8568</v>
      </c>
      <c r="CD28" s="192" t="n">
        <v>20535</v>
      </c>
      <c r="CE28" s="192" t="n"/>
      <c r="CF28" s="192" t="n"/>
      <c r="CG28" s="192" t="n"/>
      <c r="CH28" s="192" t="n"/>
      <c r="CI28" s="192" t="n"/>
      <c r="CJ28" s="192" t="n"/>
      <c r="CK28" s="192" t="n"/>
      <c r="CL28" s="192" t="n"/>
      <c r="CM28" s="192" t="n"/>
      <c r="CN28" s="192" t="n"/>
      <c r="CO28" s="192" t="n"/>
      <c r="CP28" s="192" t="n"/>
      <c r="CQ28" s="192" t="n"/>
      <c r="CR28" s="192" t="n"/>
      <c r="CS28" s="192" t="n"/>
      <c r="CT28" s="192" t="n"/>
      <c r="CU28" s="192" t="n"/>
      <c r="CV28" s="192" t="n"/>
      <c r="CW28" s="192" t="n"/>
      <c r="CX28" s="192" t="n"/>
      <c r="CY28" s="192" t="n"/>
      <c r="CZ28" s="192" t="n"/>
      <c r="DA28" s="192" t="n"/>
      <c r="DB28" s="192" t="n"/>
      <c r="DC28" s="192" t="n"/>
      <c r="DD28" s="192" t="n"/>
      <c r="DE28" s="192" t="n"/>
      <c r="DF28" s="192" t="n"/>
      <c r="DG28" s="192" t="n"/>
      <c r="DH28" s="192" t="n"/>
      <c r="DI28" s="192" t="n"/>
      <c r="DJ28" s="192" t="n"/>
      <c r="DK28" s="192" t="n"/>
      <c r="DL28" s="192" t="n"/>
      <c r="DM28" s="192" t="n"/>
      <c r="DN28" s="192" t="n"/>
      <c r="DO28" s="192" t="n"/>
      <c r="DP28" s="192" t="n"/>
      <c r="DQ28" s="192" t="n"/>
      <c r="DR28" s="192" t="n"/>
      <c r="DS28" s="192" t="n"/>
      <c r="DT28" s="192" t="n"/>
      <c r="DU28" s="192" t="n"/>
      <c r="DV28" s="192" t="n"/>
      <c r="DW28" s="192" t="n"/>
      <c r="DX28" s="192" t="n"/>
      <c r="DY28" s="192" t="n"/>
      <c r="DZ28" s="192" t="n"/>
      <c r="EA28" s="192" t="n"/>
      <c r="EB28" s="192" t="n"/>
      <c r="EC28" s="192" t="n"/>
      <c r="ED28" s="192" t="n"/>
      <c r="EE28" s="192" t="n"/>
      <c r="EF28" s="192" t="n"/>
      <c r="EG28" s="192" t="n"/>
      <c r="EH28" s="192" t="n"/>
      <c r="EI28" s="192" t="n"/>
      <c r="EJ28" s="192" t="n"/>
      <c r="EK28" s="192" t="n"/>
      <c r="EL28" s="182" t="n"/>
      <c r="EM28" s="176" t="n"/>
      <c r="EN28" s="176" t="n"/>
      <c r="EO28" s="176" t="n"/>
      <c r="EP28" s="176" t="n"/>
      <c r="EQ28" s="176" t="n"/>
      <c r="ER28" s="176" t="n"/>
      <c r="ES28" s="176" t="n"/>
      <c r="ET28" s="176" t="n"/>
      <c r="EU28" s="176" t="n"/>
      <c r="EV28" s="176" t="n"/>
      <c r="EW28" s="176" t="n"/>
      <c r="EX28" s="176" t="n"/>
      <c r="EY28" s="176" t="n"/>
      <c r="EZ28" s="176" t="n"/>
      <c r="FA28" s="176" t="n"/>
      <c r="FB28" s="176" t="n"/>
      <c r="FC28" s="176" t="n"/>
      <c r="FD28" s="176" t="n"/>
      <c r="FE28" s="176" t="n"/>
      <c r="FF28" s="176" t="n"/>
      <c r="FG28" s="176" t="n"/>
      <c r="FH28" s="176" t="n"/>
      <c r="FI28" s="176" t="n"/>
      <c r="FJ28" s="176" t="n"/>
    </row>
    <row r="29" ht="15" customHeight="1" s="392">
      <c r="A29" s="176" t="n"/>
      <c r="B29" s="180" t="n"/>
      <c r="C29" s="183" t="inlineStr">
        <is>
          <t xml:space="preserve">            Other Receivables, Current</t>
        </is>
      </c>
      <c r="D29" s="190">
        <f>IF(COUNT(M29:EK29)&gt;0,MEDIAN(M29:EK29),"")</f>
        <v/>
      </c>
      <c r="E29" s="190">
        <f>IF(COUNT(M29:EK29)&gt;0,AVERAGE(M29:EK29),"")</f>
        <v/>
      </c>
      <c r="F29" s="190">
        <f>IF(COUNT(M29:EK29)&gt;0,MIN(M29:EK29),"")</f>
        <v/>
      </c>
      <c r="G29" s="190">
        <f>IF(COUNT(M29:EK29)&gt;0,MAX(M29:EK29),"")</f>
        <v/>
      </c>
      <c r="H29" s="190">
        <f>IF(COUNT(M29:EK29)&gt;0,QUARTILE(M29:EK29,1),"")</f>
        <v/>
      </c>
      <c r="I29" s="190">
        <f>IF(COUNT(M29:EK29)&gt;0,QUARTILE(M29:EK29,3),"")</f>
        <v/>
      </c>
      <c r="J29" s="190">
        <f>IF(COUNT(M29:EK29)&gt;1,STDEV(M29:EK29),"")</f>
        <v/>
      </c>
      <c r="K29" s="191">
        <f>IF(COUNT(M29:EK29)&gt;1,STDEV(M29:EK29)/AVERAGE(M29:EK29),"")</f>
        <v/>
      </c>
      <c r="M29" s="192" t="n"/>
      <c r="N29" s="192" t="n"/>
      <c r="O29" s="192" t="n"/>
      <c r="P29" s="192" t="n"/>
      <c r="Q29" s="192" t="n">
        <v>574787</v>
      </c>
      <c r="R29" s="192" t="n">
        <v>582504</v>
      </c>
      <c r="S29" s="192" t="n">
        <v>690199</v>
      </c>
      <c r="T29" s="192" t="n">
        <v>610956</v>
      </c>
      <c r="U29" s="192" t="n">
        <v>624758</v>
      </c>
      <c r="V29" s="192" t="n">
        <v>641648</v>
      </c>
      <c r="W29" s="192" t="n">
        <v>683517</v>
      </c>
      <c r="X29" s="192" t="n">
        <v>593729</v>
      </c>
      <c r="Y29" s="192" t="n">
        <v>553595</v>
      </c>
      <c r="Z29" s="192" t="n">
        <v>533792</v>
      </c>
      <c r="AA29" s="192" t="n">
        <v>613670</v>
      </c>
      <c r="AB29" s="192" t="n">
        <v>494718</v>
      </c>
      <c r="AC29" s="192" t="n">
        <v>447907</v>
      </c>
      <c r="AD29" s="192" t="n">
        <v>456062</v>
      </c>
      <c r="AE29" s="192" t="n">
        <v>510470</v>
      </c>
      <c r="AF29" s="192" t="n">
        <v>450964</v>
      </c>
      <c r="AG29" s="192" t="n">
        <v>389015</v>
      </c>
      <c r="AH29" s="192" t="n">
        <v>340613</v>
      </c>
      <c r="AI29" s="192" t="n">
        <v>370947</v>
      </c>
      <c r="AJ29" s="192" t="n">
        <v>316826</v>
      </c>
      <c r="AK29" s="192" t="n">
        <v>262316</v>
      </c>
      <c r="AL29" s="192" t="n">
        <v>273187</v>
      </c>
      <c r="AM29" s="192" t="n">
        <v>353750</v>
      </c>
      <c r="AN29" s="192" t="n">
        <v>312226</v>
      </c>
      <c r="AO29" s="192" t="n">
        <v>282933</v>
      </c>
      <c r="AP29" s="192" t="n">
        <v>285172</v>
      </c>
      <c r="AQ29" s="192" t="n">
        <v>314811</v>
      </c>
      <c r="AR29" s="192" t="n">
        <v>262329</v>
      </c>
      <c r="AS29" s="192" t="n">
        <v>231790</v>
      </c>
      <c r="AT29" s="192" t="n"/>
      <c r="AU29" s="192" t="n"/>
      <c r="AV29" s="192" t="n"/>
      <c r="AW29" s="192" t="n">
        <v>205968</v>
      </c>
      <c r="AX29" s="192" t="n"/>
      <c r="AY29" s="192" t="n"/>
      <c r="AZ29" s="192" t="n"/>
      <c r="BA29" s="192" t="n">
        <v>183935</v>
      </c>
      <c r="BB29" s="192" t="n"/>
      <c r="BC29" s="192" t="n"/>
      <c r="BD29" s="192" t="n"/>
      <c r="BE29" s="192" t="n">
        <v>144911</v>
      </c>
      <c r="BF29" s="192" t="n"/>
      <c r="BG29" s="192" t="n"/>
      <c r="BH29" s="192" t="n"/>
      <c r="BI29" s="192" t="n">
        <v>128399</v>
      </c>
      <c r="BJ29" s="192" t="n"/>
      <c r="BK29" s="192" t="n"/>
      <c r="BL29" s="192" t="n"/>
      <c r="BM29" s="192" t="n">
        <v>119737</v>
      </c>
      <c r="BN29" s="192" t="n"/>
      <c r="BO29" s="192" t="n"/>
      <c r="BP29" s="192" t="n"/>
      <c r="BQ29" s="192" t="n">
        <v>87657</v>
      </c>
      <c r="BR29" s="192" t="n"/>
      <c r="BS29" s="192" t="n"/>
      <c r="BT29" s="192" t="n"/>
      <c r="BU29" s="192" t="n"/>
      <c r="BV29" s="192" t="n"/>
      <c r="BW29" s="192" t="n"/>
      <c r="BX29" s="192" t="n"/>
      <c r="BY29" s="192" t="n"/>
      <c r="BZ29" s="192" t="n"/>
      <c r="CA29" s="192" t="n"/>
      <c r="CB29" s="192" t="n"/>
      <c r="CC29" s="192" t="n"/>
      <c r="CD29" s="192" t="n"/>
      <c r="CE29" s="192" t="n">
        <v>7264</v>
      </c>
      <c r="CF29" s="192" t="n">
        <v>19041</v>
      </c>
      <c r="CG29" s="192" t="n"/>
      <c r="CH29" s="192" t="n">
        <v>1700</v>
      </c>
      <c r="CI29" s="192" t="n"/>
      <c r="CJ29" s="192" t="n">
        <v>3208</v>
      </c>
      <c r="CK29" s="192" t="n"/>
      <c r="CL29" s="192" t="n">
        <v>5340</v>
      </c>
      <c r="CM29" s="192" t="n"/>
      <c r="CN29" s="192" t="n">
        <v>2064</v>
      </c>
      <c r="CO29" s="192" t="n"/>
      <c r="CP29" s="192" t="n"/>
      <c r="CQ29" s="192" t="n"/>
      <c r="CR29" s="192" t="n"/>
      <c r="CS29" s="192" t="n"/>
      <c r="CT29" s="192" t="n"/>
      <c r="CU29" s="192" t="n"/>
      <c r="CV29" s="192" t="n"/>
      <c r="CW29" s="192" t="n"/>
      <c r="CX29" s="192" t="n"/>
      <c r="CY29" s="192" t="n"/>
      <c r="CZ29" s="192" t="n">
        <v>4018</v>
      </c>
      <c r="DA29" s="192" t="n"/>
      <c r="DB29" s="192" t="n"/>
      <c r="DC29" s="192" t="n"/>
      <c r="DD29" s="192" t="n"/>
      <c r="DE29" s="192" t="n"/>
      <c r="DF29" s="192" t="n"/>
      <c r="DG29" s="192" t="n"/>
      <c r="DH29" s="192" t="n"/>
      <c r="DI29" s="192" t="n"/>
      <c r="DJ29" s="192" t="n"/>
      <c r="DK29" s="192" t="n"/>
      <c r="DL29" s="192" t="n"/>
      <c r="DM29" s="192" t="n"/>
      <c r="DN29" s="192" t="n"/>
      <c r="DO29" s="192" t="n"/>
      <c r="DP29" s="192" t="n"/>
      <c r="DQ29" s="192" t="n"/>
      <c r="DR29" s="192" t="n"/>
      <c r="DS29" s="192" t="n"/>
      <c r="DT29" s="192" t="n"/>
      <c r="DU29" s="192" t="n"/>
      <c r="DV29" s="192" t="n"/>
      <c r="DW29" s="192" t="n"/>
      <c r="DX29" s="192" t="n"/>
      <c r="DY29" s="192" t="n"/>
      <c r="DZ29" s="192" t="n"/>
      <c r="EA29" s="192" t="n"/>
      <c r="EB29" s="192" t="n"/>
      <c r="EC29" s="192" t="n"/>
      <c r="ED29" s="192" t="n"/>
      <c r="EE29" s="192" t="n"/>
      <c r="EF29" s="192" t="n"/>
      <c r="EG29" s="192" t="n"/>
      <c r="EH29" s="192" t="n"/>
      <c r="EI29" s="192" t="n"/>
      <c r="EJ29" s="192" t="n"/>
      <c r="EK29" s="192" t="n"/>
      <c r="EL29" s="182" t="n"/>
      <c r="EM29" s="176" t="n"/>
      <c r="EN29" s="176" t="n"/>
      <c r="EO29" s="176" t="n"/>
      <c r="EP29" s="176" t="n"/>
      <c r="EQ29" s="176" t="n"/>
      <c r="ER29" s="176" t="n"/>
      <c r="ES29" s="176" t="n"/>
      <c r="ET29" s="176" t="n"/>
      <c r="EU29" s="176" t="n"/>
      <c r="EV29" s="176" t="n"/>
      <c r="EW29" s="176" t="n"/>
      <c r="EX29" s="176" t="n"/>
      <c r="EY29" s="176" t="n"/>
      <c r="EZ29" s="176" t="n"/>
      <c r="FA29" s="176" t="n"/>
      <c r="FB29" s="176" t="n"/>
      <c r="FC29" s="176" t="n"/>
      <c r="FD29" s="176" t="n"/>
      <c r="FE29" s="176" t="n"/>
      <c r="FF29" s="176" t="n"/>
      <c r="FG29" s="176" t="n"/>
      <c r="FH29" s="176" t="n"/>
      <c r="FI29" s="176" t="n"/>
      <c r="FJ29" s="176" t="n"/>
    </row>
    <row r="30" ht="15" customHeight="1" s="392">
      <c r="A30" s="176" t="n"/>
      <c r="B30" s="180" t="n"/>
      <c r="C30" s="183" t="inlineStr">
        <is>
          <t xml:space="preserve">            General Allowance for Receivables and Write Offs, Current</t>
        </is>
      </c>
      <c r="D30" s="190">
        <f>IF(COUNT(M30:EK30)&gt;0,MEDIAN(M30:EK30),"")</f>
        <v/>
      </c>
      <c r="E30" s="190">
        <f>IF(COUNT(M30:EK30)&gt;0,AVERAGE(M30:EK30),"")</f>
        <v/>
      </c>
      <c r="F30" s="190">
        <f>IF(COUNT(M30:EK30)&gt;0,MIN(M30:EK30),"")</f>
        <v/>
      </c>
      <c r="G30" s="190">
        <f>IF(COUNT(M30:EK30)&gt;0,MAX(M30:EK30),"")</f>
        <v/>
      </c>
      <c r="H30" s="190">
        <f>IF(COUNT(M30:EK30)&gt;0,QUARTILE(M30:EK30,1),"")</f>
        <v/>
      </c>
      <c r="I30" s="190">
        <f>IF(COUNT(M30:EK30)&gt;0,QUARTILE(M30:EK30,3),"")</f>
        <v/>
      </c>
      <c r="J30" s="190">
        <f>IF(COUNT(M30:EK30)&gt;1,STDEV(M30:EK30),"")</f>
        <v/>
      </c>
      <c r="K30" s="191">
        <f>IF(COUNT(M30:EK30)&gt;1,STDEV(M30:EK30)/AVERAGE(M30:EK30),"")</f>
        <v/>
      </c>
      <c r="M30" s="192" t="n"/>
      <c r="N30" s="192" t="n"/>
      <c r="O30" s="192" t="n"/>
      <c r="P30" s="192" t="n"/>
      <c r="Q30" s="192" t="n">
        <v>-12945</v>
      </c>
      <c r="R30" s="192" t="n">
        <v>-12748</v>
      </c>
      <c r="S30" s="192" t="n">
        <v>-13495</v>
      </c>
      <c r="T30" s="192" t="n">
        <v>-13628</v>
      </c>
      <c r="U30" s="192" t="n">
        <v>-12533</v>
      </c>
      <c r="V30" s="192" t="n">
        <v>-12332</v>
      </c>
      <c r="W30" s="192" t="n">
        <v>-13644</v>
      </c>
      <c r="X30" s="192" t="n">
        <v>-9591</v>
      </c>
      <c r="Y30" s="192" t="n">
        <v>-8640</v>
      </c>
      <c r="Z30" s="192" t="n">
        <v>-8118</v>
      </c>
      <c r="AA30" s="192" t="n">
        <v>-8599</v>
      </c>
      <c r="AB30" s="192" t="n">
        <v>-7764</v>
      </c>
      <c r="AC30" s="192" t="n">
        <v>-6577</v>
      </c>
      <c r="AD30" s="192" t="n">
        <v>-6711</v>
      </c>
      <c r="AE30" s="192" t="n">
        <v>-7037</v>
      </c>
      <c r="AF30" s="192" t="n">
        <v>-5664</v>
      </c>
      <c r="AG30" s="192" t="n">
        <v>-5636</v>
      </c>
      <c r="AH30" s="192" t="n">
        <v>-5324</v>
      </c>
      <c r="AI30" s="192" t="n">
        <v>-6954</v>
      </c>
      <c r="AJ30" s="192" t="n">
        <v>-6512</v>
      </c>
      <c r="AK30" s="192" t="n">
        <v>-6390</v>
      </c>
      <c r="AL30" s="192" t="n">
        <v>-6021</v>
      </c>
      <c r="AM30" s="192" t="n">
        <v>-6316</v>
      </c>
      <c r="AN30" s="192" t="n">
        <v>-5384</v>
      </c>
      <c r="AO30" s="192" t="n">
        <v>-4942</v>
      </c>
      <c r="AP30" s="192" t="n">
        <v>-5782</v>
      </c>
      <c r="AQ30" s="192" t="n">
        <v>-5540</v>
      </c>
      <c r="AR30" s="192" t="n">
        <v>-5554</v>
      </c>
      <c r="AS30" s="192" t="n">
        <v>-5444</v>
      </c>
      <c r="AT30" s="192" t="n"/>
      <c r="AU30" s="192" t="n"/>
      <c r="AV30" s="192" t="n"/>
      <c r="AW30" s="192" t="n">
        <v>-4311</v>
      </c>
      <c r="AX30" s="192" t="n"/>
      <c r="AY30" s="192" t="n"/>
      <c r="AZ30" s="192" t="n"/>
      <c r="BA30" s="192" t="n">
        <v>-4120</v>
      </c>
      <c r="BB30" s="192" t="n"/>
      <c r="BC30" s="192" t="n"/>
      <c r="BD30" s="192" t="n"/>
      <c r="BE30" s="192" t="n">
        <v>-2988</v>
      </c>
      <c r="BF30" s="192" t="n"/>
      <c r="BG30" s="192" t="n"/>
      <c r="BH30" s="192" t="n"/>
      <c r="BI30" s="192" t="n">
        <v>-3584</v>
      </c>
      <c r="BJ30" s="192" t="n"/>
      <c r="BK30" s="192" t="n"/>
      <c r="BL30" s="192" t="n"/>
      <c r="BM30" s="192" t="n">
        <v>-2683</v>
      </c>
      <c r="BN30" s="192" t="n"/>
      <c r="BO30" s="192" t="n"/>
      <c r="BP30" s="192" t="n"/>
      <c r="BQ30" s="192" t="n">
        <v>-2920</v>
      </c>
      <c r="BR30" s="192" t="n"/>
      <c r="BS30" s="192" t="n"/>
      <c r="BT30" s="192" t="n"/>
      <c r="BU30" s="192" t="n"/>
      <c r="BV30" s="192" t="n"/>
      <c r="BW30" s="192" t="n"/>
      <c r="BX30" s="192" t="n"/>
      <c r="BY30" s="192" t="n"/>
      <c r="BZ30" s="192" t="n"/>
      <c r="CA30" s="192" t="n"/>
      <c r="CB30" s="192" t="n"/>
      <c r="CC30" s="192" t="n"/>
      <c r="CD30" s="192" t="n"/>
      <c r="CE30" s="192" t="n"/>
      <c r="CF30" s="192" t="n"/>
      <c r="CG30" s="192" t="n"/>
      <c r="CH30" s="192" t="n"/>
      <c r="CI30" s="192" t="n"/>
      <c r="CJ30" s="192" t="n"/>
      <c r="CK30" s="192" t="n"/>
      <c r="CL30" s="192" t="n"/>
      <c r="CM30" s="192" t="n"/>
      <c r="CN30" s="192" t="n"/>
      <c r="CO30" s="192" t="n"/>
      <c r="CP30" s="192" t="n"/>
      <c r="CQ30" s="192" t="n"/>
      <c r="CR30" s="192" t="n"/>
      <c r="CS30" s="192" t="n"/>
      <c r="CT30" s="192" t="n"/>
      <c r="CU30" s="192" t="n"/>
      <c r="CV30" s="192" t="n"/>
      <c r="CW30" s="192" t="n"/>
      <c r="CX30" s="192" t="n"/>
      <c r="CY30" s="192" t="n"/>
      <c r="CZ30" s="192" t="n"/>
      <c r="DA30" s="192" t="n"/>
      <c r="DB30" s="192" t="n"/>
      <c r="DC30" s="192" t="n"/>
      <c r="DD30" s="192" t="n"/>
      <c r="DE30" s="192" t="n"/>
      <c r="DF30" s="192" t="n"/>
      <c r="DG30" s="192" t="n"/>
      <c r="DH30" s="192" t="n"/>
      <c r="DI30" s="192" t="n"/>
      <c r="DJ30" s="192" t="n"/>
      <c r="DK30" s="192" t="n"/>
      <c r="DL30" s="192" t="n"/>
      <c r="DM30" s="192" t="n"/>
      <c r="DN30" s="192" t="n"/>
      <c r="DO30" s="192" t="n"/>
      <c r="DP30" s="192" t="n"/>
      <c r="DQ30" s="192" t="n"/>
      <c r="DR30" s="192" t="n"/>
      <c r="DS30" s="192" t="n"/>
      <c r="DT30" s="192" t="n"/>
      <c r="DU30" s="192" t="n"/>
      <c r="DV30" s="192" t="n"/>
      <c r="DW30" s="192" t="n"/>
      <c r="DX30" s="192" t="n"/>
      <c r="DY30" s="192" t="n"/>
      <c r="DZ30" s="192" t="n"/>
      <c r="EA30" s="192" t="n"/>
      <c r="EB30" s="192" t="n"/>
      <c r="EC30" s="192" t="n"/>
      <c r="ED30" s="192" t="n"/>
      <c r="EE30" s="192" t="n"/>
      <c r="EF30" s="192" t="n"/>
      <c r="EG30" s="192" t="n"/>
      <c r="EH30" s="192" t="n"/>
      <c r="EI30" s="192" t="n"/>
      <c r="EJ30" s="192" t="n"/>
      <c r="EK30" s="192" t="n"/>
      <c r="EL30" s="182" t="n"/>
      <c r="EM30" s="176" t="n"/>
      <c r="EN30" s="176" t="n"/>
      <c r="EO30" s="176" t="n"/>
      <c r="EP30" s="176" t="n"/>
      <c r="EQ30" s="176" t="n"/>
      <c r="ER30" s="176" t="n"/>
      <c r="ES30" s="176" t="n"/>
      <c r="ET30" s="176" t="n"/>
      <c r="EU30" s="176" t="n"/>
      <c r="EV30" s="176" t="n"/>
      <c r="EW30" s="176" t="n"/>
      <c r="EX30" s="176" t="n"/>
      <c r="EY30" s="176" t="n"/>
      <c r="EZ30" s="176" t="n"/>
      <c r="FA30" s="176" t="n"/>
      <c r="FB30" s="176" t="n"/>
      <c r="FC30" s="176" t="n"/>
      <c r="FD30" s="176" t="n"/>
      <c r="FE30" s="176" t="n"/>
      <c r="FF30" s="176" t="n"/>
      <c r="FG30" s="176" t="n"/>
      <c r="FH30" s="176" t="n"/>
      <c r="FI30" s="176" t="n"/>
      <c r="FJ30" s="176" t="n"/>
    </row>
    <row r="31" ht="15" customHeight="1" s="392">
      <c r="A31" s="176" t="n"/>
      <c r="B31" s="180" t="n"/>
      <c r="C31" s="187" t="inlineStr">
        <is>
          <t xml:space="preserve">        Total Trade and Other Receivables, Current</t>
        </is>
      </c>
      <c r="D31" s="193">
        <f>IF(COUNT(M31:EK31)&gt;0,MEDIAN(M31:EK31),"")</f>
        <v/>
      </c>
      <c r="E31" s="193">
        <f>IF(COUNT(M31:EK31)&gt;0,AVERAGE(M31:EK31),"")</f>
        <v/>
      </c>
      <c r="F31" s="193">
        <f>IF(COUNT(M31:EK31)&gt;0,MIN(M31:EK31),"")</f>
        <v/>
      </c>
      <c r="G31" s="193">
        <f>IF(COUNT(M31:EK31)&gt;0,MAX(M31:EK31),"")</f>
        <v/>
      </c>
      <c r="H31" s="193">
        <f>IF(COUNT(M31:EK31)&gt;0,QUARTILE(M31:EK31,1),"")</f>
        <v/>
      </c>
      <c r="I31" s="193">
        <f>IF(COUNT(M31:EK31)&gt;0,QUARTILE(M31:EK31,3),"")</f>
        <v/>
      </c>
      <c r="J31" s="193">
        <f>IF(COUNT(M31:EK31)&gt;1,STDEV(M31:EK31),"")</f>
        <v/>
      </c>
      <c r="K31" s="194">
        <f>IF(COUNT(M31:EK31)&gt;1,STDEV(M31:EK31)/AVERAGE(M31:EK31),"")</f>
        <v/>
      </c>
      <c r="L31" s="195" t="n"/>
      <c r="M31" s="196" t="n">
        <v>859103</v>
      </c>
      <c r="N31" s="196" t="n">
        <v>795193</v>
      </c>
      <c r="O31" s="196" t="n">
        <v>862447</v>
      </c>
      <c r="P31" s="196" t="n">
        <v>760261</v>
      </c>
      <c r="Q31" s="196" t="n">
        <v>763391</v>
      </c>
      <c r="R31" s="196" t="n">
        <v>757843</v>
      </c>
      <c r="S31" s="196" t="n">
        <v>930985</v>
      </c>
      <c r="T31" s="196" t="n">
        <v>801840</v>
      </c>
      <c r="U31" s="196" t="n">
        <v>785877</v>
      </c>
      <c r="V31" s="196" t="n">
        <v>846052</v>
      </c>
      <c r="W31" s="196" t="n">
        <v>863387</v>
      </c>
      <c r="X31" s="196" t="n">
        <v>756053</v>
      </c>
      <c r="Y31" s="196" t="n">
        <v>708612</v>
      </c>
      <c r="Z31" s="196" t="n">
        <v>694262</v>
      </c>
      <c r="AA31" s="196" t="n">
        <v>765628</v>
      </c>
      <c r="AB31" s="196" t="n">
        <v>634225</v>
      </c>
      <c r="AC31" s="196" t="n">
        <v>628455</v>
      </c>
      <c r="AD31" s="196" t="n">
        <v>587495</v>
      </c>
      <c r="AE31" s="196" t="n">
        <v>646055</v>
      </c>
      <c r="AF31" s="196" t="n">
        <v>563174</v>
      </c>
      <c r="AG31" s="196" t="n">
        <v>500640</v>
      </c>
      <c r="AH31" s="196" t="n">
        <v>445461</v>
      </c>
      <c r="AI31" s="196" t="n">
        <v>468903</v>
      </c>
      <c r="AJ31" s="196" t="n">
        <v>408812</v>
      </c>
      <c r="AK31" s="196" t="n">
        <v>376947</v>
      </c>
      <c r="AL31" s="196" t="n">
        <v>377822</v>
      </c>
      <c r="AM31" s="196" t="n">
        <v>514378</v>
      </c>
      <c r="AN31" s="196" t="n">
        <v>442679</v>
      </c>
      <c r="AO31" s="196" t="n">
        <v>386791</v>
      </c>
      <c r="AP31" s="196" t="n">
        <v>395466</v>
      </c>
      <c r="AQ31" s="196" t="n">
        <v>393586</v>
      </c>
      <c r="AR31" s="196" t="n">
        <v>336028</v>
      </c>
      <c r="AS31" s="196" t="n">
        <v>366913</v>
      </c>
      <c r="AT31" s="196" t="n">
        <v>357488</v>
      </c>
      <c r="AU31" s="196" t="n">
        <v>402808</v>
      </c>
      <c r="AV31" s="196" t="n">
        <v>366780</v>
      </c>
      <c r="AW31" s="196" t="n">
        <v>318264</v>
      </c>
      <c r="AX31" s="196" t="n">
        <v>344734</v>
      </c>
      <c r="AY31" s="196" t="n">
        <v>423962</v>
      </c>
      <c r="AZ31" s="196" t="n">
        <v>405281</v>
      </c>
      <c r="BA31" s="196" t="n">
        <v>285021</v>
      </c>
      <c r="BB31" s="196" t="n">
        <v>266064</v>
      </c>
      <c r="BC31" s="196" t="n">
        <v>288961</v>
      </c>
      <c r="BD31" s="196" t="n">
        <v>232353</v>
      </c>
      <c r="BE31" s="196" t="n">
        <v>221788</v>
      </c>
      <c r="BF31" s="196" t="n">
        <v>219590</v>
      </c>
      <c r="BG31" s="196" t="n">
        <v>243280</v>
      </c>
      <c r="BH31" s="196" t="n">
        <v>205214</v>
      </c>
      <c r="BI31" s="196" t="n">
        <v>199273</v>
      </c>
      <c r="BJ31" s="196" t="n">
        <v>195968</v>
      </c>
      <c r="BK31" s="196" t="n">
        <v>227732</v>
      </c>
      <c r="BL31" s="196" t="n">
        <v>189461</v>
      </c>
      <c r="BM31" s="196" t="n">
        <v>192130</v>
      </c>
      <c r="BN31" s="196" t="n">
        <v>168539</v>
      </c>
      <c r="BO31" s="196" t="n">
        <v>211267</v>
      </c>
      <c r="BP31" s="196" t="n">
        <v>150774</v>
      </c>
      <c r="BQ31" s="196" t="n">
        <v>140212</v>
      </c>
      <c r="BR31" s="196" t="n">
        <v>133300</v>
      </c>
      <c r="BS31" s="196" t="n">
        <v>154880</v>
      </c>
      <c r="BT31" s="196" t="n">
        <v>137069</v>
      </c>
      <c r="BU31" s="196" t="n">
        <v>128004</v>
      </c>
      <c r="BV31" s="196" t="n">
        <v>122378</v>
      </c>
      <c r="BW31" s="196" t="n">
        <v>119412</v>
      </c>
      <c r="BX31" s="196" t="n">
        <v>120019</v>
      </c>
      <c r="BY31" s="196" t="n">
        <v>107351</v>
      </c>
      <c r="BZ31" s="196" t="n">
        <v>131575</v>
      </c>
      <c r="CA31" s="196" t="n">
        <v>109715</v>
      </c>
      <c r="CB31" s="196" t="n">
        <v>114674</v>
      </c>
      <c r="CC31" s="196" t="n">
        <v>116040</v>
      </c>
      <c r="CD31" s="196" t="n">
        <v>158345</v>
      </c>
      <c r="CE31" s="196" t="n">
        <v>125772</v>
      </c>
      <c r="CF31" s="196" t="n">
        <v>130746</v>
      </c>
      <c r="CG31" s="196" t="n">
        <v>129526</v>
      </c>
      <c r="CH31" s="196" t="n">
        <v>138986</v>
      </c>
      <c r="CI31" s="196" t="n">
        <v>114888</v>
      </c>
      <c r="CJ31" s="196" t="n">
        <v>113103</v>
      </c>
      <c r="CK31" s="196" t="n">
        <v>105694</v>
      </c>
      <c r="CL31" s="196" t="n">
        <v>117514</v>
      </c>
      <c r="CM31" s="196" t="n">
        <v>100375</v>
      </c>
      <c r="CN31" s="196" t="n">
        <v>102023</v>
      </c>
      <c r="CO31" s="196" t="n">
        <v>112845</v>
      </c>
      <c r="CP31" s="196" t="n">
        <v>123896</v>
      </c>
      <c r="CQ31" s="196" t="n">
        <v>92194</v>
      </c>
      <c r="CR31" s="196" t="n">
        <v>89002</v>
      </c>
      <c r="CS31" s="196" t="n">
        <v>94348</v>
      </c>
      <c r="CT31" s="196" t="n">
        <v>99705.89999999999</v>
      </c>
      <c r="CU31" s="196" t="n">
        <v>90710.10000000001</v>
      </c>
      <c r="CV31" s="196" t="n">
        <v>81633</v>
      </c>
      <c r="CW31" s="196" t="n">
        <v>84391.39999999999</v>
      </c>
      <c r="CX31" s="196" t="n">
        <v>94916</v>
      </c>
      <c r="CY31" s="196" t="n">
        <v>78888.60000000001</v>
      </c>
      <c r="CZ31" s="196" t="n">
        <v>75571</v>
      </c>
      <c r="DA31" s="196" t="n">
        <v>68079.39999999999</v>
      </c>
      <c r="DB31" s="196" t="n">
        <v>83341.89999999999</v>
      </c>
      <c r="DC31" s="196" t="n">
        <v>66501.5</v>
      </c>
      <c r="DD31" s="196" t="n">
        <v>64071.9</v>
      </c>
      <c r="DE31" s="196" t="n">
        <v>64033.1</v>
      </c>
      <c r="DF31" s="196" t="n">
        <v>76980.10000000001</v>
      </c>
      <c r="DG31" s="196" t="n">
        <v>67405</v>
      </c>
      <c r="DH31" s="196" t="n">
        <v>64907.3</v>
      </c>
      <c r="DI31" s="196" t="n">
        <v>62623</v>
      </c>
      <c r="DJ31" s="196" t="n">
        <v>68507.8</v>
      </c>
      <c r="DK31" s="196" t="n">
        <v>55621.4</v>
      </c>
      <c r="DL31" s="196" t="n">
        <v>52509.6</v>
      </c>
      <c r="DM31" s="196" t="n">
        <v>48585.1</v>
      </c>
      <c r="DN31" s="196" t="n">
        <v>50900</v>
      </c>
      <c r="DO31" s="196" t="n">
        <v>41900</v>
      </c>
      <c r="DP31" s="196" t="n">
        <v>37500</v>
      </c>
      <c r="DQ31" s="196" t="n">
        <v>36200</v>
      </c>
      <c r="DR31" s="196" t="n">
        <v>40700</v>
      </c>
      <c r="DS31" s="196" t="n">
        <v>34300</v>
      </c>
      <c r="DT31" s="196" t="n">
        <v>32800</v>
      </c>
      <c r="DU31" s="196" t="n">
        <v>30800</v>
      </c>
      <c r="DV31" s="196" t="n">
        <v>35600</v>
      </c>
      <c r="DW31" s="196" t="n">
        <v>32000</v>
      </c>
      <c r="DX31" s="196" t="n">
        <v>31300</v>
      </c>
      <c r="DY31" s="196" t="n">
        <v>35800</v>
      </c>
      <c r="DZ31" s="196" t="n">
        <v>38400</v>
      </c>
      <c r="EA31" s="196" t="n">
        <v>30800</v>
      </c>
      <c r="EB31" s="196" t="n">
        <v>30000</v>
      </c>
      <c r="EC31" s="196" t="n">
        <v>28900</v>
      </c>
      <c r="ED31" s="196" t="n">
        <v>30600</v>
      </c>
      <c r="EE31" s="196" t="n">
        <v>26400</v>
      </c>
      <c r="EF31" s="196" t="n">
        <v>23900</v>
      </c>
      <c r="EG31" s="196" t="n">
        <v>12100</v>
      </c>
      <c r="EH31" s="196" t="n">
        <v>11700</v>
      </c>
      <c r="EI31" s="196" t="n">
        <v>8900</v>
      </c>
      <c r="EJ31" s="196" t="n">
        <v>7200</v>
      </c>
      <c r="EK31" s="196" t="n">
        <v>5300</v>
      </c>
      <c r="EL31" s="182" t="n"/>
      <c r="EM31" s="176" t="n"/>
      <c r="EN31" s="176" t="n"/>
      <c r="EO31" s="176" t="n"/>
      <c r="EP31" s="176" t="n"/>
      <c r="EQ31" s="176" t="n"/>
      <c r="ER31" s="176" t="n"/>
      <c r="ES31" s="176" t="n"/>
      <c r="ET31" s="176" t="n"/>
      <c r="EU31" s="176" t="n"/>
      <c r="EV31" s="176" t="n"/>
      <c r="EW31" s="176" t="n"/>
      <c r="EX31" s="176" t="n"/>
      <c r="EY31" s="176" t="n"/>
      <c r="EZ31" s="176" t="n"/>
      <c r="FA31" s="176" t="n"/>
      <c r="FB31" s="176" t="n"/>
      <c r="FC31" s="176" t="n"/>
      <c r="FD31" s="176" t="n"/>
      <c r="FE31" s="176" t="n"/>
      <c r="FF31" s="176" t="n"/>
      <c r="FG31" s="176" t="n"/>
      <c r="FH31" s="176" t="n"/>
      <c r="FI31" s="176" t="n"/>
      <c r="FJ31" s="176" t="n"/>
    </row>
    <row r="32" ht="15" customHeight="1" s="392">
      <c r="A32" s="176" t="n"/>
      <c r="B32" s="180" t="n"/>
      <c r="C32" s="183" t="inlineStr">
        <is>
          <t xml:space="preserve">        Prepayments and Deposits, Current</t>
        </is>
      </c>
      <c r="D32" s="190">
        <f>IF(COUNT(M32:EK32)&gt;0,MEDIAN(M32:EK32),"")</f>
        <v/>
      </c>
      <c r="E32" s="190">
        <f>IF(COUNT(M32:EK32)&gt;0,AVERAGE(M32:EK32),"")</f>
        <v/>
      </c>
      <c r="F32" s="190">
        <f>IF(COUNT(M32:EK32)&gt;0,MIN(M32:EK32),"")</f>
        <v/>
      </c>
      <c r="G32" s="190">
        <f>IF(COUNT(M32:EK32)&gt;0,MAX(M32:EK32),"")</f>
        <v/>
      </c>
      <c r="H32" s="190">
        <f>IF(COUNT(M32:EK32)&gt;0,QUARTILE(M32:EK32,1),"")</f>
        <v/>
      </c>
      <c r="I32" s="190">
        <f>IF(COUNT(M32:EK32)&gt;0,QUARTILE(M32:EK32,3),"")</f>
        <v/>
      </c>
      <c r="J32" s="190">
        <f>IF(COUNT(M32:EK32)&gt;1,STDEV(M32:EK32),"")</f>
        <v/>
      </c>
      <c r="K32" s="191">
        <f>IF(COUNT(M32:EK32)&gt;1,STDEV(M32:EK32)/AVERAGE(M32:EK32),"")</f>
        <v/>
      </c>
      <c r="M32" s="192" t="n"/>
      <c r="N32" s="192" t="n"/>
      <c r="O32" s="192" t="n"/>
      <c r="P32" s="192" t="n"/>
      <c r="Q32" s="192" t="n"/>
      <c r="R32" s="192" t="n"/>
      <c r="S32" s="192" t="n"/>
      <c r="T32" s="192" t="n"/>
      <c r="U32" s="192" t="n"/>
      <c r="V32" s="192" t="n"/>
      <c r="W32" s="192" t="n"/>
      <c r="X32" s="192" t="n"/>
      <c r="Y32" s="192" t="n"/>
      <c r="Z32" s="192" t="n"/>
      <c r="AA32" s="192" t="n"/>
      <c r="AB32" s="192" t="n"/>
      <c r="AC32" s="192" t="n"/>
      <c r="AD32" s="192" t="n"/>
      <c r="AE32" s="192" t="n"/>
      <c r="AF32" s="192" t="n"/>
      <c r="AG32" s="192" t="n"/>
      <c r="AH32" s="192" t="n"/>
      <c r="AI32" s="192" t="n"/>
      <c r="AJ32" s="192" t="n"/>
      <c r="AK32" s="192" t="n"/>
      <c r="AL32" s="192" t="n"/>
      <c r="AM32" s="192" t="n"/>
      <c r="AN32" s="192" t="n"/>
      <c r="AO32" s="192" t="n"/>
      <c r="AP32" s="192" t="n"/>
      <c r="AQ32" s="192" t="n"/>
      <c r="AR32" s="192" t="n"/>
      <c r="AS32" s="192" t="n"/>
      <c r="AT32" s="192" t="n"/>
      <c r="AU32" s="192" t="n"/>
      <c r="AV32" s="192" t="n"/>
      <c r="AW32" s="192" t="n"/>
      <c r="AX32" s="192" t="n"/>
      <c r="AY32" s="192" t="n"/>
      <c r="AZ32" s="192" t="n"/>
      <c r="BA32" s="192" t="n"/>
      <c r="BB32" s="192" t="n"/>
      <c r="BC32" s="192" t="n"/>
      <c r="BD32" s="192" t="n"/>
      <c r="BE32" s="192" t="n"/>
      <c r="BF32" s="192" t="n"/>
      <c r="BG32" s="192" t="n"/>
      <c r="BH32" s="192" t="n"/>
      <c r="BI32" s="192" t="n"/>
      <c r="BJ32" s="192" t="n"/>
      <c r="BK32" s="192" t="n"/>
      <c r="BL32" s="192" t="n"/>
      <c r="BM32" s="192" t="n"/>
      <c r="BN32" s="192" t="n"/>
      <c r="BO32" s="192" t="n"/>
      <c r="BP32" s="192" t="n">
        <v>14655</v>
      </c>
      <c r="BQ32" s="192" t="n"/>
      <c r="BR32" s="192" t="n">
        <v>8898</v>
      </c>
      <c r="BS32" s="192" t="n">
        <v>7208</v>
      </c>
      <c r="BT32" s="192" t="n">
        <v>11206</v>
      </c>
      <c r="BU32" s="192" t="n">
        <v>14813</v>
      </c>
      <c r="BV32" s="192" t="n">
        <v>14521</v>
      </c>
      <c r="BW32" s="192" t="n">
        <v>11769</v>
      </c>
      <c r="BX32" s="192" t="n">
        <v>14342</v>
      </c>
      <c r="BY32" s="192" t="n">
        <v>16852</v>
      </c>
      <c r="BZ32" s="192" t="n">
        <v>9190</v>
      </c>
      <c r="CA32" s="192" t="n">
        <v>6237</v>
      </c>
      <c r="CB32" s="192" t="n">
        <v>5216</v>
      </c>
      <c r="CC32" s="192" t="n">
        <v>5409</v>
      </c>
      <c r="CD32" s="192" t="n">
        <v>5578</v>
      </c>
      <c r="CE32" s="192" t="n">
        <v>7538</v>
      </c>
      <c r="CF32" s="192" t="n">
        <v>6932</v>
      </c>
      <c r="CG32" s="192" t="n">
        <v>6696</v>
      </c>
      <c r="CH32" s="192" t="n">
        <v>6820</v>
      </c>
      <c r="CI32" s="192" t="n">
        <v>5172</v>
      </c>
      <c r="CJ32" s="192" t="n">
        <v>5518</v>
      </c>
      <c r="CK32" s="192" t="n">
        <v>4409</v>
      </c>
      <c r="CL32" s="192" t="n">
        <v>3999</v>
      </c>
      <c r="CM32" s="192" t="n">
        <v>4735</v>
      </c>
      <c r="CN32" s="192" t="n">
        <v>4864</v>
      </c>
      <c r="CO32" s="192" t="n">
        <v>6550</v>
      </c>
      <c r="CP32" s="192" t="n">
        <v>7300</v>
      </c>
      <c r="CQ32" s="192" t="n">
        <v>10909</v>
      </c>
      <c r="CR32" s="192" t="n">
        <v>6274</v>
      </c>
      <c r="CS32" s="192" t="n">
        <v>7195</v>
      </c>
      <c r="CT32" s="192" t="n">
        <v>6972</v>
      </c>
      <c r="CU32" s="192" t="n">
        <v>5066.7</v>
      </c>
      <c r="CV32" s="192" t="n">
        <v>5437</v>
      </c>
      <c r="CW32" s="192" t="n">
        <v>10861.1</v>
      </c>
      <c r="CX32" s="192" t="n">
        <v>10665</v>
      </c>
      <c r="CY32" s="192" t="n">
        <v>10493.2</v>
      </c>
      <c r="CZ32" s="192" t="n">
        <v>10069</v>
      </c>
      <c r="DA32" s="192" t="n">
        <v>11354.6</v>
      </c>
      <c r="DB32" s="192" t="n">
        <v>12222.5</v>
      </c>
      <c r="DC32" s="192" t="n">
        <v>13232.9</v>
      </c>
      <c r="DD32" s="192" t="n">
        <v>9216</v>
      </c>
      <c r="DE32" s="192" t="n">
        <v>10877.5</v>
      </c>
      <c r="DF32" s="192" t="n">
        <v>10578.3</v>
      </c>
      <c r="DG32" s="192" t="n">
        <v>12059.2</v>
      </c>
      <c r="DH32" s="192" t="n">
        <v>7866.2</v>
      </c>
      <c r="DI32" s="192" t="n">
        <v>9477.200000000001</v>
      </c>
      <c r="DJ32" s="192" t="n">
        <v>11484.5</v>
      </c>
      <c r="DK32" s="192" t="n">
        <v>10125.8</v>
      </c>
      <c r="DL32" s="192" t="n"/>
      <c r="DM32" s="192" t="n"/>
      <c r="DN32" s="192" t="n"/>
      <c r="DO32" s="192" t="n"/>
      <c r="DP32" s="192" t="n"/>
      <c r="DQ32" s="192" t="n"/>
      <c r="DR32" s="192" t="n"/>
      <c r="DS32" s="192" t="n"/>
      <c r="DT32" s="192" t="n"/>
      <c r="DU32" s="192" t="n"/>
      <c r="DV32" s="192" t="n"/>
      <c r="DW32" s="192" t="n"/>
      <c r="DX32" s="192" t="n"/>
      <c r="DY32" s="192" t="n"/>
      <c r="DZ32" s="192" t="n"/>
      <c r="EA32" s="192" t="n"/>
      <c r="EB32" s="192" t="n"/>
      <c r="EC32" s="192" t="n"/>
      <c r="ED32" s="192" t="n"/>
      <c r="EE32" s="192" t="n"/>
      <c r="EF32" s="192" t="n"/>
      <c r="EG32" s="192" t="n"/>
      <c r="EH32" s="192" t="n"/>
      <c r="EI32" s="192" t="n"/>
      <c r="EJ32" s="192" t="n"/>
      <c r="EK32" s="192" t="n"/>
      <c r="EL32" s="182" t="n"/>
      <c r="EM32" s="176" t="n"/>
      <c r="EN32" s="176" t="n"/>
      <c r="EO32" s="176" t="n"/>
      <c r="EP32" s="176" t="n"/>
      <c r="EQ32" s="176" t="n"/>
      <c r="ER32" s="176" t="n"/>
      <c r="ES32" s="176" t="n"/>
      <c r="ET32" s="176" t="n"/>
      <c r="EU32" s="176" t="n"/>
      <c r="EV32" s="176" t="n"/>
      <c r="EW32" s="176" t="n"/>
      <c r="EX32" s="176" t="n"/>
      <c r="EY32" s="176" t="n"/>
      <c r="EZ32" s="176" t="n"/>
      <c r="FA32" s="176" t="n"/>
      <c r="FB32" s="176" t="n"/>
      <c r="FC32" s="176" t="n"/>
      <c r="FD32" s="176" t="n"/>
      <c r="FE32" s="176" t="n"/>
      <c r="FF32" s="176" t="n"/>
      <c r="FG32" s="176" t="n"/>
      <c r="FH32" s="176" t="n"/>
      <c r="FI32" s="176" t="n"/>
      <c r="FJ32" s="176" t="n"/>
    </row>
    <row r="33" ht="15" customHeight="1" s="392">
      <c r="A33" s="176" t="n"/>
      <c r="B33" s="180" t="n"/>
      <c r="C33" s="183" t="inlineStr">
        <is>
          <t xml:space="preserve">        Deferred Tax Assets, Current</t>
        </is>
      </c>
      <c r="D33" s="190">
        <f>IF(COUNT(M33:EK33)&gt;0,MEDIAN(M33:EK33),"")</f>
        <v/>
      </c>
      <c r="E33" s="190">
        <f>IF(COUNT(M33:EK33)&gt;0,AVERAGE(M33:EK33),"")</f>
        <v/>
      </c>
      <c r="F33" s="190">
        <f>IF(COUNT(M33:EK33)&gt;0,MIN(M33:EK33),"")</f>
        <v/>
      </c>
      <c r="G33" s="190">
        <f>IF(COUNT(M33:EK33)&gt;0,MAX(M33:EK33),"")</f>
        <v/>
      </c>
      <c r="H33" s="190">
        <f>IF(COUNT(M33:EK33)&gt;0,QUARTILE(M33:EK33,1),"")</f>
        <v/>
      </c>
      <c r="I33" s="190">
        <f>IF(COUNT(M33:EK33)&gt;0,QUARTILE(M33:EK33,3),"")</f>
        <v/>
      </c>
      <c r="J33" s="190">
        <f>IF(COUNT(M33:EK33)&gt;1,STDEV(M33:EK33),"")</f>
        <v/>
      </c>
      <c r="K33" s="191">
        <f>IF(COUNT(M33:EK33)&gt;1,STDEV(M33:EK33)/AVERAGE(M33:EK33),"")</f>
        <v/>
      </c>
      <c r="M33" s="192" t="n"/>
      <c r="N33" s="192" t="n"/>
      <c r="O33" s="192" t="n"/>
      <c r="P33" s="192" t="n"/>
      <c r="Q33" s="192" t="n"/>
      <c r="R33" s="192" t="n"/>
      <c r="S33" s="192" t="n"/>
      <c r="T33" s="192" t="n"/>
      <c r="U33" s="192" t="n"/>
      <c r="V33" s="192" t="n"/>
      <c r="W33" s="192" t="n"/>
      <c r="X33" s="192" t="n"/>
      <c r="Y33" s="192" t="n"/>
      <c r="Z33" s="192" t="n"/>
      <c r="AA33" s="192" t="n"/>
      <c r="AB33" s="192" t="n"/>
      <c r="AC33" s="192" t="n"/>
      <c r="AD33" s="192" t="n"/>
      <c r="AE33" s="192" t="n"/>
      <c r="AF33" s="192" t="n"/>
      <c r="AG33" s="192" t="n"/>
      <c r="AH33" s="192" t="n"/>
      <c r="AI33" s="192" t="n"/>
      <c r="AJ33" s="192" t="n"/>
      <c r="AK33" s="192" t="n"/>
      <c r="AL33" s="192" t="n"/>
      <c r="AM33" s="192" t="n"/>
      <c r="AN33" s="192" t="n"/>
      <c r="AO33" s="192" t="n"/>
      <c r="AP33" s="192" t="n"/>
      <c r="AQ33" s="192" t="n"/>
      <c r="AR33" s="192" t="n"/>
      <c r="AS33" s="192" t="n"/>
      <c r="AT33" s="192" t="n"/>
      <c r="AU33" s="192" t="n"/>
      <c r="AV33" s="192" t="n"/>
      <c r="AW33" s="192" t="n"/>
      <c r="AX33" s="192" t="n">
        <v>191</v>
      </c>
      <c r="AY33" s="192" t="n">
        <v>0</v>
      </c>
      <c r="AZ33" s="192" t="n">
        <v>711</v>
      </c>
      <c r="BA33" s="192" t="n">
        <v>1444</v>
      </c>
      <c r="BB33" s="192" t="n">
        <v>668</v>
      </c>
      <c r="BC33" s="192" t="n">
        <v>685</v>
      </c>
      <c r="BD33" s="192" t="n">
        <v>2055</v>
      </c>
      <c r="BE33" s="192" t="n">
        <v>3396</v>
      </c>
      <c r="BF33" s="192" t="n">
        <v>5053</v>
      </c>
      <c r="BG33" s="192" t="n">
        <v>2769</v>
      </c>
      <c r="BH33" s="192" t="n">
        <v>4031</v>
      </c>
      <c r="BI33" s="192" t="n">
        <v>1803</v>
      </c>
      <c r="BJ33" s="192" t="n">
        <v>4950</v>
      </c>
      <c r="BK33" s="192" t="n">
        <v>3829</v>
      </c>
      <c r="BL33" s="192" t="n">
        <v>2656</v>
      </c>
      <c r="BM33" s="192" t="n">
        <v>2216</v>
      </c>
      <c r="BN33" s="192" t="n">
        <v>4162</v>
      </c>
      <c r="BO33" s="192" t="n">
        <v>4207</v>
      </c>
      <c r="BP33" s="192" t="n">
        <v>3770</v>
      </c>
      <c r="BQ33" s="192" t="n">
        <v>3600</v>
      </c>
      <c r="BR33" s="192" t="n">
        <v>388</v>
      </c>
      <c r="BS33" s="192" t="n"/>
      <c r="BT33" s="192" t="n"/>
      <c r="BU33" s="192" t="n"/>
      <c r="BV33" s="192" t="n">
        <v>1573</v>
      </c>
      <c r="BW33" s="192" t="n"/>
      <c r="BX33" s="192" t="n"/>
      <c r="BY33" s="192" t="n"/>
      <c r="BZ33" s="192" t="n"/>
      <c r="CA33" s="192" t="n"/>
      <c r="CB33" s="192" t="n"/>
      <c r="CC33" s="192" t="n"/>
      <c r="CD33" s="192" t="n"/>
      <c r="CE33" s="192" t="n"/>
      <c r="CF33" s="192" t="n"/>
      <c r="CG33" s="192" t="n"/>
      <c r="CH33" s="192" t="n"/>
      <c r="CI33" s="192" t="n"/>
      <c r="CJ33" s="192" t="n"/>
      <c r="CK33" s="192" t="n"/>
      <c r="CL33" s="192" t="n"/>
      <c r="CM33" s="192" t="n"/>
      <c r="CN33" s="192" t="n"/>
      <c r="CO33" s="192" t="n"/>
      <c r="CP33" s="192" t="n"/>
      <c r="CQ33" s="192" t="n"/>
      <c r="CR33" s="192" t="n"/>
      <c r="CS33" s="192" t="n"/>
      <c r="CT33" s="192" t="n"/>
      <c r="CU33" s="192" t="n"/>
      <c r="CV33" s="192" t="n"/>
      <c r="CW33" s="192" t="n"/>
      <c r="CX33" s="192" t="n"/>
      <c r="CY33" s="192" t="n"/>
      <c r="CZ33" s="192" t="n"/>
      <c r="DA33" s="192" t="n"/>
      <c r="DB33" s="192" t="n"/>
      <c r="DC33" s="192" t="n"/>
      <c r="DD33" s="192" t="n"/>
      <c r="DE33" s="192" t="n"/>
      <c r="DF33" s="192" t="n"/>
      <c r="DG33" s="192" t="n">
        <v>2654.9</v>
      </c>
      <c r="DH33" s="192" t="n"/>
      <c r="DI33" s="192" t="n">
        <v>1708.2</v>
      </c>
      <c r="DJ33" s="192" t="n">
        <v>1708.2</v>
      </c>
      <c r="DK33" s="192" t="n">
        <v>1708.2</v>
      </c>
      <c r="DL33" s="192" t="n"/>
      <c r="DM33" s="192" t="n"/>
      <c r="DN33" s="192" t="n"/>
      <c r="DO33" s="192" t="n"/>
      <c r="DP33" s="192" t="n"/>
      <c r="DQ33" s="192" t="n"/>
      <c r="DR33" s="192" t="n"/>
      <c r="DS33" s="192" t="n"/>
      <c r="DT33" s="192" t="n"/>
      <c r="DU33" s="192" t="n"/>
      <c r="DV33" s="192" t="n"/>
      <c r="DW33" s="192" t="n"/>
      <c r="DX33" s="192" t="n"/>
      <c r="DY33" s="192" t="n"/>
      <c r="DZ33" s="192" t="n"/>
      <c r="EA33" s="192" t="n"/>
      <c r="EB33" s="192" t="n"/>
      <c r="EC33" s="192" t="n"/>
      <c r="ED33" s="192" t="n"/>
      <c r="EE33" s="192" t="n"/>
      <c r="EF33" s="192" t="n"/>
      <c r="EG33" s="192" t="n"/>
      <c r="EH33" s="192" t="n"/>
      <c r="EI33" s="192" t="n"/>
      <c r="EJ33" s="192" t="n"/>
      <c r="EK33" s="192" t="n"/>
      <c r="EL33" s="182" t="n"/>
      <c r="EM33" s="176" t="n"/>
      <c r="EN33" s="176" t="n"/>
      <c r="EO33" s="176" t="n"/>
      <c r="EP33" s="176" t="n"/>
      <c r="EQ33" s="176" t="n"/>
      <c r="ER33" s="176" t="n"/>
      <c r="ES33" s="176" t="n"/>
      <c r="ET33" s="176" t="n"/>
      <c r="EU33" s="176" t="n"/>
      <c r="EV33" s="176" t="n"/>
      <c r="EW33" s="176" t="n"/>
      <c r="EX33" s="176" t="n"/>
      <c r="EY33" s="176" t="n"/>
      <c r="EZ33" s="176" t="n"/>
      <c r="FA33" s="176" t="n"/>
      <c r="FB33" s="176" t="n"/>
      <c r="FC33" s="176" t="n"/>
      <c r="FD33" s="176" t="n"/>
      <c r="FE33" s="176" t="n"/>
      <c r="FF33" s="176" t="n"/>
      <c r="FG33" s="176" t="n"/>
      <c r="FH33" s="176" t="n"/>
      <c r="FI33" s="176" t="n"/>
      <c r="FJ33" s="176" t="n"/>
    </row>
    <row r="34" ht="15" customHeight="1" s="392">
      <c r="A34" s="176" t="n"/>
      <c r="B34" s="180" t="n"/>
      <c r="C34" s="183" t="inlineStr">
        <is>
          <t xml:space="preserve">        Deferred Costs/Assets, Current</t>
        </is>
      </c>
      <c r="D34" s="190">
        <f>IF(COUNT(M34:EK34)&gt;0,MEDIAN(M34:EK34),"")</f>
        <v/>
      </c>
      <c r="E34" s="190">
        <f>IF(COUNT(M34:EK34)&gt;0,AVERAGE(M34:EK34),"")</f>
        <v/>
      </c>
      <c r="F34" s="190">
        <f>IF(COUNT(M34:EK34)&gt;0,MIN(M34:EK34),"")</f>
        <v/>
      </c>
      <c r="G34" s="190">
        <f>IF(COUNT(M34:EK34)&gt;0,MAX(M34:EK34),"")</f>
        <v/>
      </c>
      <c r="H34" s="190">
        <f>IF(COUNT(M34:EK34)&gt;0,QUARTILE(M34:EK34,1),"")</f>
        <v/>
      </c>
      <c r="I34" s="190">
        <f>IF(COUNT(M34:EK34)&gt;0,QUARTILE(M34:EK34,3),"")</f>
        <v/>
      </c>
      <c r="J34" s="190">
        <f>IF(COUNT(M34:EK34)&gt;1,STDEV(M34:EK34),"")</f>
        <v/>
      </c>
      <c r="K34" s="191">
        <f>IF(COUNT(M34:EK34)&gt;1,STDEV(M34:EK34)/AVERAGE(M34:EK34),"")</f>
        <v/>
      </c>
      <c r="M34" s="192" t="n">
        <v>122948</v>
      </c>
      <c r="N34" s="192" t="n">
        <v>117979</v>
      </c>
      <c r="O34" s="192" t="n">
        <v>129763</v>
      </c>
      <c r="P34" s="192" t="n">
        <v>118166</v>
      </c>
      <c r="Q34" s="192" t="n">
        <v>116145</v>
      </c>
      <c r="R34" s="192" t="n">
        <v>117916</v>
      </c>
      <c r="S34" s="192" t="n">
        <v>142815</v>
      </c>
      <c r="T34" s="192" t="n">
        <v>147792</v>
      </c>
      <c r="U34" s="192" t="n">
        <v>132638</v>
      </c>
      <c r="V34" s="192" t="n">
        <v>125001</v>
      </c>
      <c r="W34" s="192" t="n">
        <v>137907</v>
      </c>
      <c r="X34" s="192" t="n">
        <v>127512</v>
      </c>
      <c r="Y34" s="192" t="n">
        <v>123725</v>
      </c>
      <c r="Z34" s="192" t="n">
        <v>119724</v>
      </c>
      <c r="AA34" s="192" t="n">
        <v>133598</v>
      </c>
      <c r="AB34" s="192" t="n">
        <v>116526</v>
      </c>
      <c r="AC34" s="192" t="n">
        <v>112242</v>
      </c>
      <c r="AD34" s="192" t="n">
        <v>114028</v>
      </c>
      <c r="AE34" s="192" t="n">
        <v>123896</v>
      </c>
      <c r="AF34" s="192" t="n">
        <v>115994</v>
      </c>
      <c r="AG34" s="192" t="n">
        <v>94449</v>
      </c>
      <c r="AH34" s="192" t="n">
        <v>86685</v>
      </c>
      <c r="AI34" s="192" t="n">
        <v>92928</v>
      </c>
      <c r="AJ34" s="192" t="n">
        <v>84128</v>
      </c>
      <c r="AK34" s="192" t="n">
        <v>73684</v>
      </c>
      <c r="AL34" s="192" t="n">
        <v>75357</v>
      </c>
      <c r="AM34" s="192" t="n">
        <v>90595</v>
      </c>
      <c r="AN34" s="192" t="n">
        <v>86035</v>
      </c>
      <c r="AO34" s="192" t="n">
        <v>76548</v>
      </c>
      <c r="AP34" s="192" t="n">
        <v>75289</v>
      </c>
      <c r="AQ34" s="192" t="n">
        <v>80610</v>
      </c>
      <c r="AR34" s="192" t="n">
        <v>70598</v>
      </c>
      <c r="AS34" s="192" t="n">
        <v>34284</v>
      </c>
      <c r="AT34" s="192" t="n">
        <v>35489</v>
      </c>
      <c r="AU34" s="192" t="n">
        <v>37969</v>
      </c>
      <c r="AV34" s="192" t="n">
        <v>37679</v>
      </c>
      <c r="AW34" s="192" t="n">
        <v>31118</v>
      </c>
      <c r="AX34" s="192" t="n">
        <v>31822</v>
      </c>
      <c r="AY34" s="192" t="n">
        <v>34443</v>
      </c>
      <c r="AZ34" s="192" t="n">
        <v>31284</v>
      </c>
      <c r="BA34" s="192" t="n">
        <v>28599</v>
      </c>
      <c r="BB34" s="192" t="n">
        <v>29771</v>
      </c>
      <c r="BC34" s="192" t="n">
        <v>29694</v>
      </c>
      <c r="BD34" s="192" t="n">
        <v>26632</v>
      </c>
      <c r="BE34" s="192" t="n">
        <v>24949</v>
      </c>
      <c r="BF34" s="192" t="n">
        <v>24655</v>
      </c>
      <c r="BG34" s="192" t="n">
        <v>26091</v>
      </c>
      <c r="BH34" s="192" t="n">
        <v>23394</v>
      </c>
      <c r="BI34" s="192" t="n">
        <v>24438</v>
      </c>
      <c r="BJ34" s="192" t="n">
        <v>22390</v>
      </c>
      <c r="BK34" s="192" t="n">
        <v>23747</v>
      </c>
      <c r="BL34" s="192" t="n">
        <v>21302</v>
      </c>
      <c r="BM34" s="192" t="n">
        <v>20466</v>
      </c>
      <c r="BN34" s="192" t="n">
        <v>17883</v>
      </c>
      <c r="BO34" s="192" t="n">
        <v>20060</v>
      </c>
      <c r="BP34" s="192" t="n">
        <v>0</v>
      </c>
      <c r="BQ34" s="192" t="n">
        <v>15728</v>
      </c>
      <c r="BR34" s="192" t="n">
        <v>0</v>
      </c>
      <c r="BS34" s="192" t="n"/>
      <c r="BT34" s="192" t="n"/>
      <c r="BU34" s="192" t="n"/>
      <c r="BV34" s="192" t="n">
        <v>0</v>
      </c>
      <c r="BW34" s="192" t="n"/>
      <c r="BX34" s="192" t="n"/>
      <c r="BY34" s="192" t="n"/>
      <c r="BZ34" s="192" t="n"/>
      <c r="CA34" s="192" t="n"/>
      <c r="CB34" s="192" t="n"/>
      <c r="CC34" s="192" t="n"/>
      <c r="CD34" s="192" t="n"/>
      <c r="CE34" s="192" t="n"/>
      <c r="CF34" s="192" t="n"/>
      <c r="CG34" s="192" t="n"/>
      <c r="CH34" s="192" t="n"/>
      <c r="CI34" s="192" t="n"/>
      <c r="CJ34" s="192" t="n"/>
      <c r="CK34" s="192" t="n"/>
      <c r="CL34" s="192" t="n"/>
      <c r="CM34" s="192" t="n"/>
      <c r="CN34" s="192" t="n"/>
      <c r="CO34" s="192" t="n"/>
      <c r="CP34" s="192" t="n"/>
      <c r="CQ34" s="192" t="n"/>
      <c r="CR34" s="192" t="n"/>
      <c r="CS34" s="192" t="n"/>
      <c r="CT34" s="192" t="n"/>
      <c r="CU34" s="192" t="n"/>
      <c r="CV34" s="192" t="n"/>
      <c r="CW34" s="192" t="n"/>
      <c r="CX34" s="192" t="n"/>
      <c r="CY34" s="192" t="n"/>
      <c r="CZ34" s="192" t="n"/>
      <c r="DA34" s="192" t="n"/>
      <c r="DB34" s="192" t="n"/>
      <c r="DC34" s="192" t="n"/>
      <c r="DD34" s="192" t="n"/>
      <c r="DE34" s="192" t="n"/>
      <c r="DF34" s="192" t="n"/>
      <c r="DG34" s="192" t="n">
        <v>0</v>
      </c>
      <c r="DH34" s="192" t="n"/>
      <c r="DI34" s="192" t="n">
        <v>0</v>
      </c>
      <c r="DJ34" s="192" t="n">
        <v>0</v>
      </c>
      <c r="DK34" s="192" t="n">
        <v>0</v>
      </c>
      <c r="DL34" s="192" t="n"/>
      <c r="DM34" s="192" t="n"/>
      <c r="DN34" s="192" t="n"/>
      <c r="DO34" s="192" t="n"/>
      <c r="DP34" s="192" t="n"/>
      <c r="DQ34" s="192" t="n"/>
      <c r="DR34" s="192" t="n"/>
      <c r="DS34" s="192" t="n"/>
      <c r="DT34" s="192" t="n"/>
      <c r="DU34" s="192" t="n"/>
      <c r="DV34" s="192" t="n"/>
      <c r="DW34" s="192" t="n"/>
      <c r="DX34" s="192" t="n"/>
      <c r="DY34" s="192" t="n"/>
      <c r="DZ34" s="192" t="n"/>
      <c r="EA34" s="192" t="n"/>
      <c r="EB34" s="192" t="n"/>
      <c r="EC34" s="192" t="n"/>
      <c r="ED34" s="192" t="n"/>
      <c r="EE34" s="192" t="n"/>
      <c r="EF34" s="192" t="n"/>
      <c r="EG34" s="192" t="n"/>
      <c r="EH34" s="192" t="n"/>
      <c r="EI34" s="192" t="n"/>
      <c r="EJ34" s="192" t="n"/>
      <c r="EK34" s="192" t="n"/>
      <c r="EL34" s="182" t="n"/>
      <c r="EM34" s="176" t="n"/>
      <c r="EN34" s="176" t="n"/>
      <c r="EO34" s="176" t="n"/>
      <c r="EP34" s="176" t="n"/>
      <c r="EQ34" s="176" t="n"/>
      <c r="ER34" s="176" t="n"/>
      <c r="ES34" s="176" t="n"/>
      <c r="ET34" s="176" t="n"/>
      <c r="EU34" s="176" t="n"/>
      <c r="EV34" s="176" t="n"/>
      <c r="EW34" s="176" t="n"/>
      <c r="EX34" s="176" t="n"/>
      <c r="EY34" s="176" t="n"/>
      <c r="EZ34" s="176" t="n"/>
      <c r="FA34" s="176" t="n"/>
      <c r="FB34" s="176" t="n"/>
      <c r="FC34" s="176" t="n"/>
      <c r="FD34" s="176" t="n"/>
      <c r="FE34" s="176" t="n"/>
      <c r="FF34" s="176" t="n"/>
      <c r="FG34" s="176" t="n"/>
      <c r="FH34" s="176" t="n"/>
      <c r="FI34" s="176" t="n"/>
      <c r="FJ34" s="176" t="n"/>
    </row>
    <row r="35" ht="15" customHeight="1" s="392">
      <c r="A35" s="176" t="n"/>
      <c r="B35" s="180" t="n"/>
      <c r="C35" s="183" t="inlineStr">
        <is>
          <t xml:space="preserve">        Assets Held for Sale/Discontinued Operations, Current</t>
        </is>
      </c>
      <c r="D35" s="190">
        <f>IF(COUNT(M35:EK35)&gt;0,MEDIAN(M35:EK35),"")</f>
        <v/>
      </c>
      <c r="E35" s="190">
        <f>IF(COUNT(M35:EK35)&gt;0,AVERAGE(M35:EK35),"")</f>
        <v/>
      </c>
      <c r="F35" s="190">
        <f>IF(COUNT(M35:EK35)&gt;0,MIN(M35:EK35),"")</f>
        <v/>
      </c>
      <c r="G35" s="190">
        <f>IF(COUNT(M35:EK35)&gt;0,MAX(M35:EK35),"")</f>
        <v/>
      </c>
      <c r="H35" s="190">
        <f>IF(COUNT(M35:EK35)&gt;0,QUARTILE(M35:EK35,1),"")</f>
        <v/>
      </c>
      <c r="I35" s="190">
        <f>IF(COUNT(M35:EK35)&gt;0,QUARTILE(M35:EK35,3),"")</f>
        <v/>
      </c>
      <c r="J35" s="190">
        <f>IF(COUNT(M35:EK35)&gt;1,STDEV(M35:EK35),"")</f>
        <v/>
      </c>
      <c r="K35" s="191">
        <f>IF(COUNT(M35:EK35)&gt;1,STDEV(M35:EK35)/AVERAGE(M35:EK35),"")</f>
        <v/>
      </c>
      <c r="M35" s="192" t="n"/>
      <c r="N35" s="192" t="n"/>
      <c r="O35" s="192" t="n"/>
      <c r="P35" s="192" t="n"/>
      <c r="Q35" s="192" t="n"/>
      <c r="R35" s="192" t="n"/>
      <c r="S35" s="192" t="n"/>
      <c r="T35" s="192" t="n"/>
      <c r="U35" s="192" t="n"/>
      <c r="V35" s="192" t="n"/>
      <c r="W35" s="192" t="n"/>
      <c r="X35" s="192" t="n"/>
      <c r="Y35" s="192" t="n"/>
      <c r="Z35" s="192" t="n"/>
      <c r="AA35" s="192" t="n"/>
      <c r="AB35" s="192" t="n"/>
      <c r="AC35" s="192" t="n"/>
      <c r="AD35" s="192" t="n"/>
      <c r="AE35" s="192" t="n"/>
      <c r="AF35" s="192" t="n"/>
      <c r="AG35" s="192" t="n"/>
      <c r="AH35" s="192" t="n"/>
      <c r="AI35" s="192" t="n"/>
      <c r="AJ35" s="192" t="n"/>
      <c r="AK35" s="192" t="n"/>
      <c r="AL35" s="192" t="n"/>
      <c r="AM35" s="192" t="n"/>
      <c r="AN35" s="192" t="n"/>
      <c r="AO35" s="192" t="n"/>
      <c r="AP35" s="192" t="n"/>
      <c r="AQ35" s="192" t="n"/>
      <c r="AR35" s="192" t="n"/>
      <c r="AS35" s="192" t="n"/>
      <c r="AT35" s="192" t="n"/>
      <c r="AU35" s="192" t="n"/>
      <c r="AV35" s="192" t="n"/>
      <c r="AW35" s="192" t="n"/>
      <c r="AX35" s="192" t="n"/>
      <c r="AY35" s="192" t="n"/>
      <c r="AZ35" s="192" t="n"/>
      <c r="BA35" s="192" t="n"/>
      <c r="BB35" s="192" t="n"/>
      <c r="BC35" s="192" t="n"/>
      <c r="BD35" s="192" t="n"/>
      <c r="BE35" s="192" t="n"/>
      <c r="BF35" s="192" t="n"/>
      <c r="BG35" s="192" t="n"/>
      <c r="BH35" s="192" t="n">
        <v>564</v>
      </c>
      <c r="BI35" s="192" t="n"/>
      <c r="BJ35" s="192" t="n">
        <v>1345</v>
      </c>
      <c r="BK35" s="192" t="n">
        <v>1503</v>
      </c>
      <c r="BL35" s="192" t="n">
        <v>1929</v>
      </c>
      <c r="BM35" s="192" t="n">
        <v>1929</v>
      </c>
      <c r="BN35" s="192" t="n">
        <v>1929</v>
      </c>
      <c r="BO35" s="192" t="n">
        <v>4185</v>
      </c>
      <c r="BP35" s="192" t="n">
        <v>3026</v>
      </c>
      <c r="BQ35" s="192" t="n">
        <v>3926</v>
      </c>
      <c r="BR35" s="192" t="n">
        <v>10505</v>
      </c>
      <c r="BS35" s="192" t="n">
        <v>14640</v>
      </c>
      <c r="BT35" s="192" t="n"/>
      <c r="BU35" s="192" t="n"/>
      <c r="BV35" s="192" t="n"/>
      <c r="BW35" s="192" t="n"/>
      <c r="BX35" s="192" t="n"/>
      <c r="BY35" s="192" t="n"/>
      <c r="BZ35" s="192" t="n"/>
      <c r="CA35" s="192" t="n"/>
      <c r="CB35" s="192" t="n"/>
      <c r="CC35" s="192" t="n"/>
      <c r="CD35" s="192" t="n"/>
      <c r="CE35" s="192" t="n"/>
      <c r="CF35" s="192" t="n"/>
      <c r="CG35" s="192" t="n"/>
      <c r="CH35" s="192" t="n"/>
      <c r="CI35" s="192" t="n"/>
      <c r="CJ35" s="192" t="n"/>
      <c r="CK35" s="192" t="n"/>
      <c r="CL35" s="192" t="n"/>
      <c r="CM35" s="192" t="n"/>
      <c r="CN35" s="192" t="n"/>
      <c r="CO35" s="192" t="n"/>
      <c r="CP35" s="192" t="n"/>
      <c r="CQ35" s="192" t="n"/>
      <c r="CR35" s="192" t="n"/>
      <c r="CS35" s="192" t="n"/>
      <c r="CT35" s="192" t="n"/>
      <c r="CU35" s="192" t="n"/>
      <c r="CV35" s="192" t="n"/>
      <c r="CW35" s="192" t="n"/>
      <c r="CX35" s="192" t="n"/>
      <c r="CY35" s="192" t="n"/>
      <c r="CZ35" s="192" t="n"/>
      <c r="DA35" s="192" t="n"/>
      <c r="DB35" s="192" t="n"/>
      <c r="DC35" s="192" t="n"/>
      <c r="DD35" s="192" t="n"/>
      <c r="DE35" s="192" t="n"/>
      <c r="DF35" s="192" t="n"/>
      <c r="DG35" s="192" t="n"/>
      <c r="DH35" s="192" t="n"/>
      <c r="DI35" s="192" t="n"/>
      <c r="DJ35" s="192" t="n"/>
      <c r="DK35" s="192" t="n"/>
      <c r="DL35" s="192" t="n"/>
      <c r="DM35" s="192" t="n"/>
      <c r="DN35" s="192" t="n"/>
      <c r="DO35" s="192" t="n"/>
      <c r="DP35" s="192" t="n"/>
      <c r="DQ35" s="192" t="n"/>
      <c r="DR35" s="192" t="n"/>
      <c r="DS35" s="192" t="n"/>
      <c r="DT35" s="192" t="n"/>
      <c r="DU35" s="192" t="n"/>
      <c r="DV35" s="192" t="n"/>
      <c r="DW35" s="192" t="n"/>
      <c r="DX35" s="192" t="n"/>
      <c r="DY35" s="192" t="n"/>
      <c r="DZ35" s="192" t="n"/>
      <c r="EA35" s="192" t="n"/>
      <c r="EB35" s="192" t="n"/>
      <c r="EC35" s="192" t="n"/>
      <c r="ED35" s="192" t="n"/>
      <c r="EE35" s="192" t="n"/>
      <c r="EF35" s="192" t="n"/>
      <c r="EG35" s="192" t="n"/>
      <c r="EH35" s="192" t="n"/>
      <c r="EI35" s="192" t="n"/>
      <c r="EJ35" s="192" t="n"/>
      <c r="EK35" s="192" t="n"/>
      <c r="EL35" s="182" t="n"/>
      <c r="EM35" s="176" t="n"/>
      <c r="EN35" s="176" t="n"/>
      <c r="EO35" s="176" t="n"/>
      <c r="EP35" s="176" t="n"/>
      <c r="EQ35" s="176" t="n"/>
      <c r="ER35" s="176" t="n"/>
      <c r="ES35" s="176" t="n"/>
      <c r="ET35" s="176" t="n"/>
      <c r="EU35" s="176" t="n"/>
      <c r="EV35" s="176" t="n"/>
      <c r="EW35" s="176" t="n"/>
      <c r="EX35" s="176" t="n"/>
      <c r="EY35" s="176" t="n"/>
      <c r="EZ35" s="176" t="n"/>
      <c r="FA35" s="176" t="n"/>
      <c r="FB35" s="176" t="n"/>
      <c r="FC35" s="176" t="n"/>
      <c r="FD35" s="176" t="n"/>
      <c r="FE35" s="176" t="n"/>
      <c r="FF35" s="176" t="n"/>
      <c r="FG35" s="176" t="n"/>
      <c r="FH35" s="176" t="n"/>
      <c r="FI35" s="176" t="n"/>
      <c r="FJ35" s="176" t="n"/>
    </row>
    <row r="36" ht="15" customHeight="1" s="392">
      <c r="A36" s="176" t="n"/>
      <c r="B36" s="180" t="n"/>
      <c r="C36" s="183" t="inlineStr">
        <is>
          <t xml:space="preserve">        Other Current Assets</t>
        </is>
      </c>
      <c r="D36" s="190">
        <f>IF(COUNT(M36:EK36)&gt;0,MEDIAN(M36:EK36),"")</f>
        <v/>
      </c>
      <c r="E36" s="190">
        <f>IF(COUNT(M36:EK36)&gt;0,AVERAGE(M36:EK36),"")</f>
        <v/>
      </c>
      <c r="F36" s="190">
        <f>IF(COUNT(M36:EK36)&gt;0,MIN(M36:EK36),"")</f>
        <v/>
      </c>
      <c r="G36" s="190">
        <f>IF(COUNT(M36:EK36)&gt;0,MAX(M36:EK36),"")</f>
        <v/>
      </c>
      <c r="H36" s="190">
        <f>IF(COUNT(M36:EK36)&gt;0,QUARTILE(M36:EK36,1),"")</f>
        <v/>
      </c>
      <c r="I36" s="190">
        <f>IF(COUNT(M36:EK36)&gt;0,QUARTILE(M36:EK36,3),"")</f>
        <v/>
      </c>
      <c r="J36" s="190">
        <f>IF(COUNT(M36:EK36)&gt;1,STDEV(M36:EK36),"")</f>
        <v/>
      </c>
      <c r="K36" s="191">
        <f>IF(COUNT(M36:EK36)&gt;1,STDEV(M36:EK36)/AVERAGE(M36:EK36),"")</f>
        <v/>
      </c>
      <c r="M36" s="192" t="n">
        <v>44959</v>
      </c>
      <c r="N36" s="192" t="n">
        <v>54157</v>
      </c>
      <c r="O36" s="192" t="n">
        <v>40279</v>
      </c>
      <c r="P36" s="192" t="n">
        <v>39848</v>
      </c>
      <c r="Q36" s="192" t="n">
        <v>46361</v>
      </c>
      <c r="R36" s="192" t="n">
        <v>54545</v>
      </c>
      <c r="S36" s="192" t="n">
        <v>36460</v>
      </c>
      <c r="T36" s="192" t="n">
        <v>32966</v>
      </c>
      <c r="U36" s="192" t="n">
        <v>33872</v>
      </c>
      <c r="V36" s="192" t="n">
        <v>40983</v>
      </c>
      <c r="W36" s="192" t="n">
        <v>36310</v>
      </c>
      <c r="X36" s="192" t="n">
        <v>28145</v>
      </c>
      <c r="Y36" s="192" t="n">
        <v>26310</v>
      </c>
      <c r="Z36" s="192" t="n">
        <v>27862</v>
      </c>
      <c r="AA36" s="192" t="n">
        <v>26532</v>
      </c>
      <c r="AB36" s="192" t="n">
        <v>20597</v>
      </c>
      <c r="AC36" s="192" t="n">
        <v>18731</v>
      </c>
      <c r="AD36" s="192" t="n">
        <v>19208</v>
      </c>
      <c r="AE36" s="192" t="n">
        <v>19926</v>
      </c>
      <c r="AF36" s="192" t="n">
        <v>14045</v>
      </c>
      <c r="AG36" s="192" t="n">
        <v>14294</v>
      </c>
      <c r="AH36" s="192" t="n">
        <v>16106</v>
      </c>
      <c r="AI36" s="192" t="n">
        <v>17030</v>
      </c>
      <c r="AJ36" s="192" t="n">
        <v>11260</v>
      </c>
      <c r="AK36" s="192" t="n">
        <v>15330</v>
      </c>
      <c r="AL36" s="192" t="n">
        <v>14777</v>
      </c>
      <c r="AM36" s="192" t="n">
        <v>14964</v>
      </c>
      <c r="AN36" s="192" t="n">
        <v>14778</v>
      </c>
      <c r="AO36" s="192" t="n">
        <v>16568</v>
      </c>
      <c r="AP36" s="192" t="n">
        <v>17695</v>
      </c>
      <c r="AQ36" s="192" t="n">
        <v>17781</v>
      </c>
      <c r="AR36" s="192" t="n">
        <v>16553</v>
      </c>
      <c r="AS36" s="192" t="n">
        <v>16665</v>
      </c>
      <c r="AT36" s="192" t="n">
        <v>16616</v>
      </c>
      <c r="AU36" s="192" t="n">
        <v>17374</v>
      </c>
      <c r="AV36" s="192" t="n">
        <v>15528</v>
      </c>
      <c r="AW36" s="192" t="n">
        <v>17616</v>
      </c>
      <c r="AX36" s="192" t="n">
        <v>18002</v>
      </c>
      <c r="AY36" s="192" t="n">
        <v>16759</v>
      </c>
      <c r="AZ36" s="192" t="n">
        <v>16096</v>
      </c>
      <c r="BA36" s="192" t="n">
        <v>18005</v>
      </c>
      <c r="BB36" s="192" t="n">
        <v>18910</v>
      </c>
      <c r="BC36" s="192" t="n">
        <v>19179</v>
      </c>
      <c r="BD36" s="192" t="n">
        <v>20732</v>
      </c>
      <c r="BE36" s="192" t="n">
        <v>19824</v>
      </c>
      <c r="BF36" s="192" t="n">
        <v>18312</v>
      </c>
      <c r="BG36" s="192" t="n">
        <v>17904</v>
      </c>
      <c r="BH36" s="192" t="n">
        <v>18487</v>
      </c>
      <c r="BI36" s="192" t="n">
        <v>20850</v>
      </c>
      <c r="BJ36" s="192" t="n">
        <v>18443</v>
      </c>
      <c r="BK36" s="192" t="n">
        <v>20069</v>
      </c>
      <c r="BL36" s="192" t="n">
        <v>19350</v>
      </c>
      <c r="BM36" s="192" t="n">
        <v>15344</v>
      </c>
      <c r="BN36" s="192" t="n">
        <v>10794</v>
      </c>
      <c r="BO36" s="192" t="n">
        <v>11633</v>
      </c>
      <c r="BP36" s="192" t="n">
        <v>15827</v>
      </c>
      <c r="BQ36" s="192" t="n">
        <v>9155</v>
      </c>
      <c r="BR36" s="192" t="n">
        <v>15692</v>
      </c>
      <c r="BS36" s="192" t="n">
        <v>16597</v>
      </c>
      <c r="BT36" s="192" t="n">
        <v>16886</v>
      </c>
      <c r="BU36" s="192" t="n">
        <v>17026</v>
      </c>
      <c r="BV36" s="192" t="n">
        <v>16334</v>
      </c>
      <c r="BW36" s="192" t="n">
        <v>20715</v>
      </c>
      <c r="BX36" s="192" t="n">
        <v>29890</v>
      </c>
      <c r="BY36" s="192" t="n">
        <v>26763</v>
      </c>
      <c r="BZ36" s="192" t="n">
        <v>30813</v>
      </c>
      <c r="CA36" s="192" t="n">
        <v>27838</v>
      </c>
      <c r="CB36" s="192" t="n">
        <v>28685</v>
      </c>
      <c r="CC36" s="192" t="n">
        <v>30309</v>
      </c>
      <c r="CD36" s="192" t="n">
        <v>37044</v>
      </c>
      <c r="CE36" s="192" t="n">
        <v>32475</v>
      </c>
      <c r="CF36" s="192" t="n">
        <v>30787</v>
      </c>
      <c r="CG36" s="192" t="n">
        <v>32103</v>
      </c>
      <c r="CH36" s="192" t="n">
        <v>35231</v>
      </c>
      <c r="CI36" s="192" t="n">
        <v>29823</v>
      </c>
      <c r="CJ36" s="192" t="n">
        <v>28842</v>
      </c>
      <c r="CK36" s="192" t="n">
        <v>27877</v>
      </c>
      <c r="CL36" s="192" t="n">
        <v>31171</v>
      </c>
      <c r="CM36" s="192" t="n">
        <v>28396</v>
      </c>
      <c r="CN36" s="192" t="n">
        <v>28177</v>
      </c>
      <c r="CO36" s="192" t="n">
        <v>36388</v>
      </c>
      <c r="CP36" s="192" t="n">
        <v>48408</v>
      </c>
      <c r="CQ36" s="192" t="n">
        <v>29920</v>
      </c>
      <c r="CR36" s="192" t="n">
        <v>25983</v>
      </c>
      <c r="CS36" s="192" t="n">
        <v>24897</v>
      </c>
      <c r="CT36" s="192" t="n">
        <v>29184.1</v>
      </c>
      <c r="CU36" s="192" t="n">
        <v>27982.9</v>
      </c>
      <c r="CV36" s="192" t="n">
        <v>27721</v>
      </c>
      <c r="CW36" s="192" t="n">
        <v>31060.1</v>
      </c>
      <c r="CX36" s="192" t="n">
        <v>38746</v>
      </c>
      <c r="CY36" s="192" t="n">
        <v>25138.6</v>
      </c>
      <c r="CZ36" s="192" t="n">
        <v>23380</v>
      </c>
      <c r="DA36" s="192" t="n">
        <v>21844</v>
      </c>
      <c r="DB36" s="192" t="n">
        <v>23953.7</v>
      </c>
      <c r="DC36" s="192" t="n">
        <v>20774.2</v>
      </c>
      <c r="DD36" s="192" t="n">
        <v>20014.5</v>
      </c>
      <c r="DE36" s="192" t="n">
        <v>19825.6</v>
      </c>
      <c r="DF36" s="192" t="n">
        <v>23725.1</v>
      </c>
      <c r="DG36" s="192" t="n">
        <v>20604.1</v>
      </c>
      <c r="DH36" s="192" t="n">
        <v>19845.4</v>
      </c>
      <c r="DI36" s="192" t="n">
        <v>17391.8</v>
      </c>
      <c r="DJ36" s="192" t="n">
        <v>19731.3</v>
      </c>
      <c r="DK36" s="192" t="n">
        <v>16042.1</v>
      </c>
      <c r="DL36" s="192" t="n">
        <v>26740</v>
      </c>
      <c r="DM36" s="192" t="n">
        <v>19576.9</v>
      </c>
      <c r="DN36" s="192" t="n">
        <v>20200</v>
      </c>
      <c r="DO36" s="192" t="n">
        <v>16400</v>
      </c>
      <c r="DP36" s="192" t="n">
        <v>14800</v>
      </c>
      <c r="DQ36" s="192" t="n">
        <v>14500</v>
      </c>
      <c r="DR36" s="192" t="n">
        <v>16300</v>
      </c>
      <c r="DS36" s="192" t="n">
        <v>22800</v>
      </c>
      <c r="DT36" s="192" t="n">
        <v>26500</v>
      </c>
      <c r="DU36" s="192" t="n">
        <v>13300</v>
      </c>
      <c r="DV36" s="192" t="n">
        <v>13500</v>
      </c>
      <c r="DW36" s="192" t="n">
        <v>11600</v>
      </c>
      <c r="DX36" s="192" t="n">
        <v>12000</v>
      </c>
      <c r="DY36" s="192" t="n">
        <v>12900</v>
      </c>
      <c r="DZ36" s="192" t="n">
        <v>13800</v>
      </c>
      <c r="EA36" s="192" t="n">
        <v>13200</v>
      </c>
      <c r="EB36" s="192" t="n">
        <v>12800</v>
      </c>
      <c r="EC36" s="192" t="n">
        <v>10700</v>
      </c>
      <c r="ED36" s="192" t="n">
        <v>10400</v>
      </c>
      <c r="EE36" s="192" t="n">
        <v>7900</v>
      </c>
      <c r="EF36" s="192" t="n">
        <v>7000</v>
      </c>
      <c r="EG36" s="192" t="n">
        <v>4900</v>
      </c>
      <c r="EH36" s="192" t="n">
        <v>4500</v>
      </c>
      <c r="EI36" s="192" t="n">
        <v>3700</v>
      </c>
      <c r="EJ36" s="192" t="n">
        <v>3300</v>
      </c>
      <c r="EK36" s="192" t="n">
        <v>2900</v>
      </c>
      <c r="EL36" s="182" t="n"/>
      <c r="EM36" s="176" t="n"/>
      <c r="EN36" s="176" t="n"/>
      <c r="EO36" s="176" t="n"/>
      <c r="EP36" s="176" t="n"/>
      <c r="EQ36" s="176" t="n"/>
      <c r="ER36" s="176" t="n"/>
      <c r="ES36" s="176" t="n"/>
      <c r="ET36" s="176" t="n"/>
      <c r="EU36" s="176" t="n"/>
      <c r="EV36" s="176" t="n"/>
      <c r="EW36" s="176" t="n"/>
      <c r="EX36" s="176" t="n"/>
      <c r="EY36" s="176" t="n"/>
      <c r="EZ36" s="176" t="n"/>
      <c r="FA36" s="176" t="n"/>
      <c r="FB36" s="176" t="n"/>
      <c r="FC36" s="176" t="n"/>
      <c r="FD36" s="176" t="n"/>
      <c r="FE36" s="176" t="n"/>
      <c r="FF36" s="176" t="n"/>
      <c r="FG36" s="176" t="n"/>
      <c r="FH36" s="176" t="n"/>
      <c r="FI36" s="176" t="n"/>
      <c r="FJ36" s="176" t="n"/>
    </row>
    <row r="37" ht="15" customHeight="1" s="392">
      <c r="A37" s="176" t="n"/>
      <c r="B37" s="180" t="n"/>
      <c r="C37" s="187" t="inlineStr">
        <is>
          <t xml:space="preserve">    Total Current Assets</t>
        </is>
      </c>
      <c r="D37" s="193">
        <f>IF(COUNT(M37:EK37)&gt;0,MEDIAN(M37:EK37),"")</f>
        <v/>
      </c>
      <c r="E37" s="193">
        <f>IF(COUNT(M37:EK37)&gt;0,AVERAGE(M37:EK37),"")</f>
        <v/>
      </c>
      <c r="F37" s="193">
        <f>IF(COUNT(M37:EK37)&gt;0,MIN(M37:EK37),"")</f>
        <v/>
      </c>
      <c r="G37" s="193">
        <f>IF(COUNT(M37:EK37)&gt;0,MAX(M37:EK37),"")</f>
        <v/>
      </c>
      <c r="H37" s="193">
        <f>IF(COUNT(M37:EK37)&gt;0,QUARTILE(M37:EK37,1),"")</f>
        <v/>
      </c>
      <c r="I37" s="193">
        <f>IF(COUNT(M37:EK37)&gt;0,QUARTILE(M37:EK37,3),"")</f>
        <v/>
      </c>
      <c r="J37" s="193">
        <f>IF(COUNT(M37:EK37)&gt;1,STDEV(M37:EK37),"")</f>
        <v/>
      </c>
      <c r="K37" s="194">
        <f>IF(COUNT(M37:EK37)&gt;1,STDEV(M37:EK37)/AVERAGE(M37:EK37),"")</f>
        <v/>
      </c>
      <c r="L37" s="195" t="n"/>
      <c r="M37" s="196" t="n">
        <v>5568194</v>
      </c>
      <c r="N37" s="196" t="n">
        <v>5216673</v>
      </c>
      <c r="O37" s="196" t="n">
        <v>6176180</v>
      </c>
      <c r="P37" s="196" t="n">
        <v>6202134</v>
      </c>
      <c r="Q37" s="196" t="n">
        <v>5754628</v>
      </c>
      <c r="R37" s="196" t="n">
        <v>5359154</v>
      </c>
      <c r="S37" s="196" t="n">
        <v>4966783</v>
      </c>
      <c r="T37" s="196" t="n">
        <v>4733117</v>
      </c>
      <c r="U37" s="196" t="n">
        <v>4418184</v>
      </c>
      <c r="V37" s="196" t="n">
        <v>4149129</v>
      </c>
      <c r="W37" s="196" t="n">
        <v>3748486</v>
      </c>
      <c r="X37" s="196" t="n">
        <v>3584890</v>
      </c>
      <c r="Y37" s="196" t="n">
        <v>3262604</v>
      </c>
      <c r="Z37" s="196" t="n">
        <v>3001030</v>
      </c>
      <c r="AA37" s="196" t="n">
        <v>2638781</v>
      </c>
      <c r="AB37" s="196" t="n">
        <v>2364605</v>
      </c>
      <c r="AC37" s="196" t="n">
        <v>2202455</v>
      </c>
      <c r="AD37" s="196" t="n">
        <v>2457426</v>
      </c>
      <c r="AE37" s="196" t="n">
        <v>2189373</v>
      </c>
      <c r="AF37" s="196" t="n">
        <v>2039780</v>
      </c>
      <c r="AG37" s="196" t="n">
        <v>1702611</v>
      </c>
      <c r="AH37" s="196" t="n">
        <v>1499371</v>
      </c>
      <c r="AI37" s="196" t="n">
        <v>1225467</v>
      </c>
      <c r="AJ37" s="196" t="n">
        <v>1138176</v>
      </c>
      <c r="AK37" s="196" t="n">
        <v>963759</v>
      </c>
      <c r="AL37" s="196" t="n">
        <v>794152</v>
      </c>
      <c r="AM37" s="196" t="n">
        <v>731963</v>
      </c>
      <c r="AN37" s="196" t="n">
        <v>744076</v>
      </c>
      <c r="AO37" s="196" t="n">
        <v>687167</v>
      </c>
      <c r="AP37" s="196" t="n">
        <v>613585</v>
      </c>
      <c r="AQ37" s="196" t="n">
        <v>628466</v>
      </c>
      <c r="AR37" s="196" t="n">
        <v>763222</v>
      </c>
      <c r="AS37" s="196" t="n">
        <v>709116</v>
      </c>
      <c r="AT37" s="196" t="n">
        <v>630902</v>
      </c>
      <c r="AU37" s="196" t="n">
        <v>666476</v>
      </c>
      <c r="AV37" s="196" t="n">
        <v>654371</v>
      </c>
      <c r="AW37" s="196" t="n">
        <v>587261</v>
      </c>
      <c r="AX37" s="196" t="n">
        <v>593609</v>
      </c>
      <c r="AY37" s="196" t="n">
        <v>659252</v>
      </c>
      <c r="AZ37" s="196" t="n">
        <v>630711</v>
      </c>
      <c r="BA37" s="196" t="n">
        <v>499306</v>
      </c>
      <c r="BB37" s="196" t="n">
        <v>464505</v>
      </c>
      <c r="BC37" s="196" t="n">
        <v>506858</v>
      </c>
      <c r="BD37" s="196" t="n">
        <v>785656</v>
      </c>
      <c r="BE37" s="196" t="n">
        <v>734582</v>
      </c>
      <c r="BF37" s="196" t="n">
        <v>954459</v>
      </c>
      <c r="BG37" s="196" t="n">
        <v>888425</v>
      </c>
      <c r="BH37" s="196" t="n">
        <v>457766</v>
      </c>
      <c r="BI37" s="196" t="n">
        <v>412291</v>
      </c>
      <c r="BJ37" s="196" t="n">
        <v>385754</v>
      </c>
      <c r="BK37" s="196" t="n">
        <v>332929</v>
      </c>
      <c r="BL37" s="196" t="n">
        <v>320955</v>
      </c>
      <c r="BM37" s="196" t="n">
        <v>306452</v>
      </c>
      <c r="BN37" s="196" t="n">
        <v>353162</v>
      </c>
      <c r="BO37" s="196" t="n">
        <v>311905</v>
      </c>
      <c r="BP37" s="196" t="n">
        <v>327069</v>
      </c>
      <c r="BQ37" s="196" t="n">
        <v>321227</v>
      </c>
      <c r="BR37" s="196" t="n">
        <v>383375</v>
      </c>
      <c r="BS37" s="196" t="n">
        <v>328212</v>
      </c>
      <c r="BT37" s="196" t="n">
        <v>384271</v>
      </c>
      <c r="BU37" s="196" t="n">
        <v>241868</v>
      </c>
      <c r="BV37" s="196" t="n">
        <v>353366</v>
      </c>
      <c r="BW37" s="196" t="n">
        <v>416716</v>
      </c>
      <c r="BX37" s="196" t="n">
        <v>437415</v>
      </c>
      <c r="BY37" s="196" t="n">
        <v>419683</v>
      </c>
      <c r="BZ37" s="196" t="n">
        <v>365108</v>
      </c>
      <c r="CA37" s="196" t="n">
        <v>366480</v>
      </c>
      <c r="CB37" s="196" t="n">
        <v>315933</v>
      </c>
      <c r="CC37" s="196" t="n">
        <v>274505</v>
      </c>
      <c r="CD37" s="196" t="n">
        <v>227628</v>
      </c>
      <c r="CE37" s="196" t="n">
        <v>220884</v>
      </c>
      <c r="CF37" s="196" t="n">
        <v>212753</v>
      </c>
      <c r="CG37" s="196" t="n">
        <v>271521</v>
      </c>
      <c r="CH37" s="196" t="n">
        <v>361618</v>
      </c>
      <c r="CI37" s="196" t="n">
        <v>407509</v>
      </c>
      <c r="CJ37" s="196" t="n">
        <v>363708</v>
      </c>
      <c r="CK37" s="196" t="n">
        <v>387094</v>
      </c>
      <c r="CL37" s="196" t="n">
        <v>472622</v>
      </c>
      <c r="CM37" s="196" t="n">
        <v>447206</v>
      </c>
      <c r="CN37" s="196" t="n">
        <v>411350</v>
      </c>
      <c r="CO37" s="196" t="n">
        <v>407695</v>
      </c>
      <c r="CP37" s="196" t="n">
        <v>381932</v>
      </c>
      <c r="CQ37" s="196" t="n">
        <v>388511</v>
      </c>
      <c r="CR37" s="196" t="n">
        <v>373807</v>
      </c>
      <c r="CS37" s="196" t="n">
        <v>370343</v>
      </c>
      <c r="CT37" s="196" t="n">
        <v>343037</v>
      </c>
      <c r="CU37" s="196" t="n">
        <v>323801</v>
      </c>
      <c r="CV37" s="196" t="n">
        <v>293111</v>
      </c>
      <c r="CW37" s="196" t="n">
        <v>291951.7</v>
      </c>
      <c r="CX37" s="196" t="n">
        <v>249906</v>
      </c>
      <c r="CY37" s="196" t="n">
        <v>233983.9</v>
      </c>
      <c r="CZ37" s="196" t="n">
        <v>225766</v>
      </c>
      <c r="DA37" s="196" t="n">
        <v>212175.4</v>
      </c>
      <c r="DB37" s="196" t="n">
        <v>213521.9</v>
      </c>
      <c r="DC37" s="196" t="n">
        <v>226187.7</v>
      </c>
      <c r="DD37" s="196" t="n">
        <v>225992.4</v>
      </c>
      <c r="DE37" s="196" t="n">
        <v>238757</v>
      </c>
      <c r="DF37" s="196" t="n">
        <v>234724.3</v>
      </c>
      <c r="DG37" s="196" t="n">
        <v>116072</v>
      </c>
      <c r="DH37" s="196" t="n">
        <v>107864.1</v>
      </c>
      <c r="DI37" s="196" t="n">
        <v>109303.3</v>
      </c>
      <c r="DJ37" s="196" t="n">
        <v>103953.4</v>
      </c>
      <c r="DK37" s="196" t="n">
        <v>99174.3</v>
      </c>
      <c r="DL37" s="196" t="n">
        <v>91414.5</v>
      </c>
      <c r="DM37" s="196" t="n">
        <v>88757</v>
      </c>
      <c r="DN37" s="196" t="n">
        <v>86400</v>
      </c>
      <c r="DO37" s="196" t="n">
        <v>91300</v>
      </c>
      <c r="DP37" s="196" t="n">
        <v>89300</v>
      </c>
      <c r="DQ37" s="196" t="n">
        <v>88800</v>
      </c>
      <c r="DR37" s="196" t="n">
        <v>79800</v>
      </c>
      <c r="DS37" s="196" t="n">
        <v>79900</v>
      </c>
      <c r="DT37" s="196" t="n">
        <v>75000</v>
      </c>
      <c r="DU37" s="196" t="n">
        <v>80900</v>
      </c>
      <c r="DV37" s="196" t="n">
        <v>76900</v>
      </c>
      <c r="DW37" s="196" t="n">
        <v>74700</v>
      </c>
      <c r="DX37" s="196" t="n">
        <v>71300</v>
      </c>
      <c r="DY37" s="196" t="n">
        <v>69200</v>
      </c>
      <c r="DZ37" s="196" t="n">
        <v>66100</v>
      </c>
      <c r="EA37" s="196" t="n">
        <v>60800</v>
      </c>
      <c r="EB37" s="196" t="n">
        <v>57300</v>
      </c>
      <c r="EC37" s="196" t="n">
        <v>58900</v>
      </c>
      <c r="ED37" s="196" t="n">
        <v>54500</v>
      </c>
      <c r="EE37" s="196" t="n">
        <v>50500</v>
      </c>
      <c r="EF37" s="196" t="n">
        <v>48000</v>
      </c>
      <c r="EG37" s="196" t="n">
        <v>29900</v>
      </c>
      <c r="EH37" s="196" t="n">
        <v>29300</v>
      </c>
      <c r="EI37" s="196" t="n">
        <v>27500</v>
      </c>
      <c r="EJ37" s="196" t="n">
        <v>28400</v>
      </c>
      <c r="EK37" s="196" t="n">
        <v>29400</v>
      </c>
      <c r="EL37" s="182" t="n"/>
      <c r="EM37" s="176" t="n"/>
      <c r="EN37" s="176" t="n"/>
      <c r="EO37" s="176" t="n"/>
      <c r="EP37" s="176" t="n"/>
      <c r="EQ37" s="176" t="n"/>
      <c r="ER37" s="176" t="n"/>
      <c r="ES37" s="176" t="n"/>
      <c r="ET37" s="176" t="n"/>
      <c r="EU37" s="176" t="n"/>
      <c r="EV37" s="176" t="n"/>
      <c r="EW37" s="176" t="n"/>
      <c r="EX37" s="176" t="n"/>
      <c r="EY37" s="176" t="n"/>
      <c r="EZ37" s="176" t="n"/>
      <c r="FA37" s="176" t="n"/>
      <c r="FB37" s="176" t="n"/>
      <c r="FC37" s="176" t="n"/>
      <c r="FD37" s="176" t="n"/>
      <c r="FE37" s="176" t="n"/>
      <c r="FF37" s="176" t="n"/>
      <c r="FG37" s="176" t="n"/>
      <c r="FH37" s="176" t="n"/>
      <c r="FI37" s="176" t="n"/>
      <c r="FJ37" s="176" t="n"/>
    </row>
    <row r="38" ht="15" customHeight="1" s="392">
      <c r="A38" s="176" t="n"/>
      <c r="B38" s="180" t="n"/>
      <c r="C38" s="183" t="inlineStr">
        <is>
          <t xml:space="preserve">    Non-Current Assets</t>
        </is>
      </c>
      <c r="D38" s="185" t="n"/>
      <c r="E38" s="185" t="n"/>
      <c r="F38" s="185" t="n"/>
      <c r="G38" s="185" t="n"/>
      <c r="H38" s="185" t="n"/>
      <c r="I38" s="185" t="n"/>
      <c r="J38" s="185" t="n"/>
      <c r="K38" s="185" t="n"/>
      <c r="EL38" s="182" t="n"/>
      <c r="EM38" s="176" t="n"/>
      <c r="EN38" s="176" t="n"/>
      <c r="EO38" s="176" t="n"/>
      <c r="EP38" s="176" t="n"/>
      <c r="EQ38" s="176" t="n"/>
      <c r="ER38" s="176" t="n"/>
      <c r="ES38" s="176" t="n"/>
      <c r="ET38" s="176" t="n"/>
      <c r="EU38" s="176" t="n"/>
      <c r="EV38" s="176" t="n"/>
      <c r="EW38" s="176" t="n"/>
      <c r="EX38" s="176" t="n"/>
      <c r="EY38" s="176" t="n"/>
      <c r="EZ38" s="176" t="n"/>
      <c r="FA38" s="176" t="n"/>
      <c r="FB38" s="176" t="n"/>
      <c r="FC38" s="176" t="n"/>
      <c r="FD38" s="176" t="n"/>
      <c r="FE38" s="176" t="n"/>
      <c r="FF38" s="176" t="n"/>
      <c r="FG38" s="176" t="n"/>
      <c r="FH38" s="176" t="n"/>
      <c r="FI38" s="176" t="n"/>
      <c r="FJ38" s="176" t="n"/>
    </row>
    <row r="39" ht="15" customHeight="1" s="392">
      <c r="A39" s="176" t="n"/>
      <c r="B39" s="180" t="n"/>
      <c r="C39" s="183" t="inlineStr">
        <is>
          <t xml:space="preserve">        Net Property, Plant and Equipment</t>
        </is>
      </c>
      <c r="D39" s="185" t="n"/>
      <c r="E39" s="185" t="n"/>
      <c r="F39" s="185" t="n"/>
      <c r="G39" s="185" t="n"/>
      <c r="H39" s="185" t="n"/>
      <c r="I39" s="185" t="n"/>
      <c r="J39" s="185" t="n"/>
      <c r="K39" s="185" t="n"/>
      <c r="EL39" s="182" t="n"/>
      <c r="EM39" s="176" t="n"/>
      <c r="EN39" s="176" t="n"/>
      <c r="EO39" s="176" t="n"/>
      <c r="EP39" s="176" t="n"/>
      <c r="EQ39" s="176" t="n"/>
      <c r="ER39" s="176" t="n"/>
      <c r="ES39" s="176" t="n"/>
      <c r="ET39" s="176" t="n"/>
      <c r="EU39" s="176" t="n"/>
      <c r="EV39" s="176" t="n"/>
      <c r="EW39" s="176" t="n"/>
      <c r="EX39" s="176" t="n"/>
      <c r="EY39" s="176" t="n"/>
      <c r="EZ39" s="176" t="n"/>
      <c r="FA39" s="176" t="n"/>
      <c r="FB39" s="176" t="n"/>
      <c r="FC39" s="176" t="n"/>
      <c r="FD39" s="176" t="n"/>
      <c r="FE39" s="176" t="n"/>
      <c r="FF39" s="176" t="n"/>
      <c r="FG39" s="176" t="n"/>
      <c r="FH39" s="176" t="n"/>
      <c r="FI39" s="176" t="n"/>
      <c r="FJ39" s="176" t="n"/>
    </row>
    <row r="40" ht="15" customHeight="1" s="392">
      <c r="A40" s="176" t="n"/>
      <c r="B40" s="180" t="n"/>
      <c r="C40" s="183" t="inlineStr">
        <is>
          <t xml:space="preserve">            Gross Property, Plant and Equipment</t>
        </is>
      </c>
      <c r="D40" s="185" t="n"/>
      <c r="E40" s="185" t="n"/>
      <c r="F40" s="185" t="n"/>
      <c r="G40" s="185" t="n"/>
      <c r="H40" s="185" t="n"/>
      <c r="I40" s="185" t="n"/>
      <c r="J40" s="185" t="n"/>
      <c r="K40" s="185" t="n"/>
      <c r="EL40" s="182" t="n"/>
      <c r="EM40" s="176" t="n"/>
      <c r="EN40" s="176" t="n"/>
      <c r="EO40" s="176" t="n"/>
      <c r="EP40" s="176" t="n"/>
      <c r="EQ40" s="176" t="n"/>
      <c r="ER40" s="176" t="n"/>
      <c r="ES40" s="176" t="n"/>
      <c r="ET40" s="176" t="n"/>
      <c r="EU40" s="176" t="n"/>
      <c r="EV40" s="176" t="n"/>
      <c r="EW40" s="176" t="n"/>
      <c r="EX40" s="176" t="n"/>
      <c r="EY40" s="176" t="n"/>
      <c r="EZ40" s="176" t="n"/>
      <c r="FA40" s="176" t="n"/>
      <c r="FB40" s="176" t="n"/>
      <c r="FC40" s="176" t="n"/>
      <c r="FD40" s="176" t="n"/>
      <c r="FE40" s="176" t="n"/>
      <c r="FF40" s="176" t="n"/>
      <c r="FG40" s="176" t="n"/>
      <c r="FH40" s="176" t="n"/>
      <c r="FI40" s="176" t="n"/>
      <c r="FJ40" s="176" t="n"/>
    </row>
    <row r="41" ht="15" customHeight="1" s="392">
      <c r="A41" s="176" t="n"/>
      <c r="B41" s="180" t="n"/>
      <c r="C41" s="183" t="inlineStr">
        <is>
          <t xml:space="preserve">                Properties</t>
        </is>
      </c>
      <c r="D41" s="185" t="n"/>
      <c r="E41" s="185" t="n"/>
      <c r="F41" s="185" t="n"/>
      <c r="G41" s="185" t="n"/>
      <c r="H41" s="185" t="n"/>
      <c r="I41" s="185" t="n"/>
      <c r="J41" s="185" t="n"/>
      <c r="K41" s="185" t="n"/>
      <c r="EL41" s="182" t="n"/>
      <c r="EM41" s="176" t="n"/>
      <c r="EN41" s="176" t="n"/>
      <c r="EO41" s="176" t="n"/>
      <c r="EP41" s="176" t="n"/>
      <c r="EQ41" s="176" t="n"/>
      <c r="ER41" s="176" t="n"/>
      <c r="ES41" s="176" t="n"/>
      <c r="ET41" s="176" t="n"/>
      <c r="EU41" s="176" t="n"/>
      <c r="EV41" s="176" t="n"/>
      <c r="EW41" s="176" t="n"/>
      <c r="EX41" s="176" t="n"/>
      <c r="EY41" s="176" t="n"/>
      <c r="EZ41" s="176" t="n"/>
      <c r="FA41" s="176" t="n"/>
      <c r="FB41" s="176" t="n"/>
      <c r="FC41" s="176" t="n"/>
      <c r="FD41" s="176" t="n"/>
      <c r="FE41" s="176" t="n"/>
      <c r="FF41" s="176" t="n"/>
      <c r="FG41" s="176" t="n"/>
      <c r="FH41" s="176" t="n"/>
      <c r="FI41" s="176" t="n"/>
      <c r="FJ41" s="176" t="n"/>
    </row>
    <row r="42" ht="15" customHeight="1" s="392">
      <c r="A42" s="176" t="n"/>
      <c r="B42" s="180" t="n"/>
      <c r="C42" s="183" t="inlineStr">
        <is>
          <t xml:space="preserve">                    Land and Improvements</t>
        </is>
      </c>
      <c r="D42" s="190">
        <f>IF(COUNT(M42:EK42)&gt;0,MEDIAN(M42:EK42),"")</f>
        <v/>
      </c>
      <c r="E42" s="190">
        <f>IF(COUNT(M42:EK42)&gt;0,AVERAGE(M42:EK42),"")</f>
        <v/>
      </c>
      <c r="F42" s="190">
        <f>IF(COUNT(M42:EK42)&gt;0,MIN(M42:EK42),"")</f>
        <v/>
      </c>
      <c r="G42" s="190">
        <f>IF(COUNT(M42:EK42)&gt;0,MAX(M42:EK42),"")</f>
        <v/>
      </c>
      <c r="H42" s="190">
        <f>IF(COUNT(M42:EK42)&gt;0,QUARTILE(M42:EK42,1),"")</f>
        <v/>
      </c>
      <c r="I42" s="190">
        <f>IF(COUNT(M42:EK42)&gt;0,QUARTILE(M42:EK42,3),"")</f>
        <v/>
      </c>
      <c r="J42" s="190">
        <f>IF(COUNT(M42:EK42)&gt;1,STDEV(M42:EK42),"")</f>
        <v/>
      </c>
      <c r="K42" s="191">
        <f>IF(COUNT(M42:EK42)&gt;1,STDEV(M42:EK42)/AVERAGE(M42:EK42),"")</f>
        <v/>
      </c>
      <c r="M42" s="192" t="n"/>
      <c r="N42" s="192" t="n"/>
      <c r="O42" s="192" t="n"/>
      <c r="P42" s="192" t="n"/>
      <c r="Q42" s="192" t="n">
        <v>2394553</v>
      </c>
      <c r="R42" s="192" t="n">
        <v>2362897</v>
      </c>
      <c r="S42" s="192" t="n">
        <v>2261125</v>
      </c>
      <c r="T42" s="192" t="n">
        <v>2174815</v>
      </c>
      <c r="U42" s="192" t="n">
        <v>2027639</v>
      </c>
      <c r="V42" s="192" t="n">
        <v>1972821</v>
      </c>
      <c r="W42" s="192" t="n">
        <v>1953497</v>
      </c>
      <c r="X42" s="192" t="n">
        <v>1896396</v>
      </c>
      <c r="Y42" s="192" t="n">
        <v>1812001</v>
      </c>
      <c r="Z42" s="192" t="n">
        <v>1698253</v>
      </c>
      <c r="AA42" s="192" t="n">
        <v>1647906</v>
      </c>
      <c r="AB42" s="192" t="n">
        <v>1595410</v>
      </c>
      <c r="AC42" s="192" t="n">
        <v>1526446</v>
      </c>
      <c r="AD42" s="192" t="n">
        <v>1484617</v>
      </c>
      <c r="AE42" s="192" t="n">
        <v>1479387</v>
      </c>
      <c r="AF42" s="192" t="n">
        <v>1454026</v>
      </c>
      <c r="AG42" s="192" t="n">
        <v>1428262</v>
      </c>
      <c r="AH42" s="192" t="n">
        <v>1409340</v>
      </c>
      <c r="AI42" s="192" t="n">
        <v>1378632</v>
      </c>
      <c r="AJ42" s="192" t="n">
        <v>1333008</v>
      </c>
      <c r="AK42" s="192" t="n">
        <v>1235315</v>
      </c>
      <c r="AL42" s="192" t="n">
        <v>1149026</v>
      </c>
      <c r="AM42" s="192" t="n">
        <v>1131553</v>
      </c>
      <c r="AN42" s="192" t="n"/>
      <c r="AO42" s="192" t="n">
        <v>939817</v>
      </c>
      <c r="AP42" s="192" t="n"/>
      <c r="AQ42" s="192" t="n"/>
      <c r="AR42" s="192" t="n"/>
      <c r="AS42" s="192" t="n">
        <v>762524</v>
      </c>
      <c r="AT42" s="192" t="n"/>
      <c r="AU42" s="192" t="n"/>
      <c r="AV42" s="192" t="n"/>
      <c r="AW42" s="192" t="n">
        <v>629826</v>
      </c>
      <c r="AX42" s="192" t="n"/>
      <c r="AY42" s="192" t="n"/>
      <c r="AZ42" s="192" t="n"/>
      <c r="BA42" s="192" t="n">
        <v>556780</v>
      </c>
      <c r="BB42" s="192" t="n"/>
      <c r="BC42" s="192" t="n"/>
      <c r="BD42" s="192" t="n"/>
      <c r="BE42" s="192" t="n">
        <v>481748</v>
      </c>
      <c r="BF42" s="192" t="n"/>
      <c r="BG42" s="192" t="n"/>
      <c r="BH42" s="192" t="n"/>
      <c r="BI42" s="192" t="n">
        <v>475564</v>
      </c>
      <c r="BJ42" s="192" t="n"/>
      <c r="BK42" s="192" t="n"/>
      <c r="BL42" s="192" t="n"/>
      <c r="BM42" s="192" t="n">
        <v>443126</v>
      </c>
      <c r="BN42" s="192" t="n"/>
      <c r="BO42" s="192" t="n"/>
      <c r="BP42" s="192" t="n"/>
      <c r="BQ42" s="192" t="n">
        <v>350463</v>
      </c>
      <c r="BR42" s="192" t="n"/>
      <c r="BS42" s="192" t="n"/>
      <c r="BT42" s="192" t="n"/>
      <c r="BU42" s="192" t="n">
        <v>343170</v>
      </c>
      <c r="BV42" s="192" t="n"/>
      <c r="BW42" s="192" t="n"/>
      <c r="BX42" s="192" t="n">
        <v>306251</v>
      </c>
      <c r="BY42" s="192" t="n"/>
      <c r="BZ42" s="192" t="n"/>
      <c r="CA42" s="192" t="n"/>
      <c r="CB42" s="192" t="n">
        <v>285282</v>
      </c>
      <c r="CC42" s="192" t="n"/>
      <c r="CD42" s="192" t="n"/>
      <c r="CE42" s="192" t="n"/>
      <c r="CF42" s="192" t="n">
        <v>261320</v>
      </c>
      <c r="CG42" s="192" t="n"/>
      <c r="CH42" s="192" t="n"/>
      <c r="CI42" s="192" t="n"/>
      <c r="CJ42" s="192" t="n">
        <v>218144</v>
      </c>
      <c r="CK42" s="192" t="n"/>
      <c r="CL42" s="192" t="n"/>
      <c r="CM42" s="192" t="n"/>
      <c r="CN42" s="192" t="n">
        <v>155323</v>
      </c>
      <c r="CO42" s="192" t="n"/>
      <c r="CP42" s="192" t="n"/>
      <c r="CQ42" s="192" t="n"/>
      <c r="CR42" s="192" t="n">
        <v>125168</v>
      </c>
      <c r="CS42" s="192" t="n"/>
      <c r="CT42" s="192" t="n"/>
      <c r="CU42" s="192" t="n"/>
      <c r="CV42" s="192" t="n">
        <v>105153</v>
      </c>
      <c r="CW42" s="192" t="n"/>
      <c r="CX42" s="192" t="n"/>
      <c r="CY42" s="192" t="n"/>
      <c r="CZ42" s="192" t="n">
        <v>85076</v>
      </c>
      <c r="DA42" s="192" t="n"/>
      <c r="DB42" s="192" t="n"/>
      <c r="DC42" s="192" t="n"/>
      <c r="DD42" s="192" t="n">
        <v>77967.7</v>
      </c>
      <c r="DE42" s="192" t="n"/>
      <c r="DF42" s="192" t="n"/>
      <c r="DG42" s="192" t="n"/>
      <c r="DH42" s="192" t="n">
        <v>115202</v>
      </c>
      <c r="DI42" s="192" t="n"/>
      <c r="DJ42" s="192" t="n"/>
      <c r="DK42" s="192" t="n"/>
      <c r="DL42" s="192" t="n"/>
      <c r="DM42" s="192" t="n"/>
      <c r="DN42" s="192" t="n"/>
      <c r="DO42" s="192" t="n"/>
      <c r="DP42" s="192" t="n"/>
      <c r="DQ42" s="192" t="n"/>
      <c r="DR42" s="192" t="n"/>
      <c r="DS42" s="192" t="n"/>
      <c r="DT42" s="192" t="n"/>
      <c r="DU42" s="192" t="n"/>
      <c r="DV42" s="192" t="n"/>
      <c r="DW42" s="192" t="n"/>
      <c r="DX42" s="192" t="n"/>
      <c r="DY42" s="192" t="n"/>
      <c r="DZ42" s="192" t="n"/>
      <c r="EA42" s="192" t="n"/>
      <c r="EB42" s="192" t="n"/>
      <c r="EC42" s="192" t="n"/>
      <c r="ED42" s="192" t="n"/>
      <c r="EE42" s="192" t="n"/>
      <c r="EF42" s="192" t="n"/>
      <c r="EG42" s="192" t="n"/>
      <c r="EH42" s="192" t="n"/>
      <c r="EI42" s="192" t="n"/>
      <c r="EJ42" s="192" t="n"/>
      <c r="EK42" s="192" t="n"/>
      <c r="EL42" s="182" t="n"/>
      <c r="EM42" s="176" t="n"/>
      <c r="EN42" s="176" t="n"/>
      <c r="EO42" s="176" t="n"/>
      <c r="EP42" s="176" t="n"/>
      <c r="EQ42" s="176" t="n"/>
      <c r="ER42" s="176" t="n"/>
      <c r="ES42" s="176" t="n"/>
      <c r="ET42" s="176" t="n"/>
      <c r="EU42" s="176" t="n"/>
      <c r="EV42" s="176" t="n"/>
      <c r="EW42" s="176" t="n"/>
      <c r="EX42" s="176" t="n"/>
      <c r="EY42" s="176" t="n"/>
      <c r="EZ42" s="176" t="n"/>
      <c r="FA42" s="176" t="n"/>
      <c r="FB42" s="176" t="n"/>
      <c r="FC42" s="176" t="n"/>
      <c r="FD42" s="176" t="n"/>
      <c r="FE42" s="176" t="n"/>
      <c r="FF42" s="176" t="n"/>
      <c r="FG42" s="176" t="n"/>
      <c r="FH42" s="176" t="n"/>
      <c r="FI42" s="176" t="n"/>
      <c r="FJ42" s="176" t="n"/>
    </row>
    <row r="43" ht="15" customHeight="1" s="392">
      <c r="A43" s="176" t="n"/>
      <c r="B43" s="180" t="n"/>
      <c r="C43" s="183" t="inlineStr">
        <is>
          <t xml:space="preserve">                    Buildings and Improvements</t>
        </is>
      </c>
      <c r="D43" s="190">
        <f>IF(COUNT(M43:EK43)&gt;0,MEDIAN(M43:EK43),"")</f>
        <v/>
      </c>
      <c r="E43" s="190">
        <f>IF(COUNT(M43:EK43)&gt;0,AVERAGE(M43:EK43),"")</f>
        <v/>
      </c>
      <c r="F43" s="190">
        <f>IF(COUNT(M43:EK43)&gt;0,MIN(M43:EK43),"")</f>
        <v/>
      </c>
      <c r="G43" s="190">
        <f>IF(COUNT(M43:EK43)&gt;0,MAX(M43:EK43),"")</f>
        <v/>
      </c>
      <c r="H43" s="190">
        <f>IF(COUNT(M43:EK43)&gt;0,QUARTILE(M43:EK43,1),"")</f>
        <v/>
      </c>
      <c r="I43" s="190">
        <f>IF(COUNT(M43:EK43)&gt;0,QUARTILE(M43:EK43,3),"")</f>
        <v/>
      </c>
      <c r="J43" s="190">
        <f>IF(COUNT(M43:EK43)&gt;1,STDEV(M43:EK43),"")</f>
        <v/>
      </c>
      <c r="K43" s="191">
        <f>IF(COUNT(M43:EK43)&gt;1,STDEV(M43:EK43)/AVERAGE(M43:EK43),"")</f>
        <v/>
      </c>
      <c r="M43" s="192" t="n"/>
      <c r="N43" s="192" t="n"/>
      <c r="O43" s="192" t="n"/>
      <c r="P43" s="192" t="n"/>
      <c r="Q43" s="192" t="n">
        <v>1684171</v>
      </c>
      <c r="R43" s="192" t="n">
        <v>1636444</v>
      </c>
      <c r="S43" s="192" t="n">
        <v>1576005</v>
      </c>
      <c r="T43" s="192" t="n">
        <v>1531047</v>
      </c>
      <c r="U43" s="192" t="n">
        <v>1482891</v>
      </c>
      <c r="V43" s="192" t="n">
        <v>1442039</v>
      </c>
      <c r="W43" s="192" t="n">
        <v>1413781</v>
      </c>
      <c r="X43" s="192" t="n">
        <v>1365786</v>
      </c>
      <c r="Y43" s="192" t="n">
        <v>1339820</v>
      </c>
      <c r="Z43" s="192" t="n">
        <v>1301730</v>
      </c>
      <c r="AA43" s="192" t="n">
        <v>1288499</v>
      </c>
      <c r="AB43" s="192" t="n">
        <v>1245331</v>
      </c>
      <c r="AC43" s="192" t="n">
        <v>1209331</v>
      </c>
      <c r="AD43" s="192" t="n">
        <v>1186649</v>
      </c>
      <c r="AE43" s="192" t="n">
        <v>1157589</v>
      </c>
      <c r="AF43" s="192" t="n">
        <v>1128552</v>
      </c>
      <c r="AG43" s="192" t="n">
        <v>1126414</v>
      </c>
      <c r="AH43" s="192" t="n">
        <v>1075383</v>
      </c>
      <c r="AI43" s="192" t="n">
        <v>1040993</v>
      </c>
      <c r="AJ43" s="192" t="n">
        <v>974524</v>
      </c>
      <c r="AK43" s="192" t="n">
        <v>932976</v>
      </c>
      <c r="AL43" s="192" t="n">
        <v>902420</v>
      </c>
      <c r="AM43" s="192" t="n">
        <v>864245</v>
      </c>
      <c r="AN43" s="192" t="n"/>
      <c r="AO43" s="192" t="n">
        <v>686615</v>
      </c>
      <c r="AP43" s="192" t="n"/>
      <c r="AQ43" s="192" t="n"/>
      <c r="AR43" s="192" t="n"/>
      <c r="AS43" s="192" t="n">
        <v>610964</v>
      </c>
      <c r="AT43" s="192" t="n"/>
      <c r="AU43" s="192" t="n"/>
      <c r="AV43" s="192" t="n"/>
      <c r="AW43" s="192" t="n">
        <v>555525</v>
      </c>
      <c r="AX43" s="192" t="n"/>
      <c r="AY43" s="192" t="n"/>
      <c r="AZ43" s="192" t="n"/>
      <c r="BA43" s="192" t="n">
        <v>489566</v>
      </c>
      <c r="BB43" s="192" t="n"/>
      <c r="BC43" s="192" t="n"/>
      <c r="BD43" s="192" t="n"/>
      <c r="BE43" s="192" t="n">
        <v>453965</v>
      </c>
      <c r="BF43" s="192" t="n"/>
      <c r="BG43" s="192" t="n"/>
      <c r="BH43" s="192" t="n"/>
      <c r="BI43" s="192" t="n">
        <v>429895</v>
      </c>
      <c r="BJ43" s="192" t="n"/>
      <c r="BK43" s="192" t="n"/>
      <c r="BL43" s="192" t="n"/>
      <c r="BM43" s="192" t="n">
        <v>414284</v>
      </c>
      <c r="BN43" s="192" t="n"/>
      <c r="BO43" s="192" t="n"/>
      <c r="BP43" s="192" t="n"/>
      <c r="BQ43" s="192" t="n">
        <v>400302</v>
      </c>
      <c r="BR43" s="192" t="n"/>
      <c r="BS43" s="192" t="n"/>
      <c r="BT43" s="192" t="n"/>
      <c r="BU43" s="192" t="n">
        <v>384366</v>
      </c>
      <c r="BV43" s="192" t="n"/>
      <c r="BW43" s="192" t="n"/>
      <c r="BX43" s="192" t="n">
        <v>399350</v>
      </c>
      <c r="BY43" s="192" t="n"/>
      <c r="BZ43" s="192" t="n"/>
      <c r="CA43" s="192" t="n"/>
      <c r="CB43" s="192" t="n">
        <v>362262</v>
      </c>
      <c r="CC43" s="192" t="n"/>
      <c r="CD43" s="192" t="n"/>
      <c r="CE43" s="192" t="n"/>
      <c r="CF43" s="192" t="n">
        <v>333154</v>
      </c>
      <c r="CG43" s="192" t="n"/>
      <c r="CH43" s="192" t="n"/>
      <c r="CI43" s="192" t="n"/>
      <c r="CJ43" s="192" t="n">
        <v>296860</v>
      </c>
      <c r="CK43" s="192" t="n"/>
      <c r="CL43" s="192" t="n"/>
      <c r="CM43" s="192" t="n"/>
      <c r="CN43" s="192" t="n">
        <v>263707</v>
      </c>
      <c r="CO43" s="192" t="n"/>
      <c r="CP43" s="192" t="n"/>
      <c r="CQ43" s="192" t="n"/>
      <c r="CR43" s="192" t="n">
        <v>233407</v>
      </c>
      <c r="CS43" s="192" t="n"/>
      <c r="CT43" s="192" t="n"/>
      <c r="CU43" s="192" t="n"/>
      <c r="CV43" s="192" t="n">
        <v>196231</v>
      </c>
      <c r="CW43" s="192" t="n"/>
      <c r="CX43" s="192" t="n"/>
      <c r="CY43" s="192" t="n"/>
      <c r="CZ43" s="192" t="n">
        <v>179223</v>
      </c>
      <c r="DA43" s="192" t="n"/>
      <c r="DB43" s="192" t="n"/>
      <c r="DC43" s="192" t="n"/>
      <c r="DD43" s="192" t="n">
        <v>124238.4</v>
      </c>
      <c r="DE43" s="192" t="n"/>
      <c r="DF43" s="192" t="n"/>
      <c r="DG43" s="192" t="n"/>
      <c r="DH43" s="192" t="n"/>
      <c r="DI43" s="192" t="n"/>
      <c r="DJ43" s="192" t="n"/>
      <c r="DK43" s="192" t="n"/>
      <c r="DL43" s="192" t="n"/>
      <c r="DM43" s="192" t="n"/>
      <c r="DN43" s="192" t="n"/>
      <c r="DO43" s="192" t="n"/>
      <c r="DP43" s="192" t="n"/>
      <c r="DQ43" s="192" t="n"/>
      <c r="DR43" s="192" t="n"/>
      <c r="DS43" s="192" t="n"/>
      <c r="DT43" s="192" t="n"/>
      <c r="DU43" s="192" t="n"/>
      <c r="DV43" s="192" t="n"/>
      <c r="DW43" s="192" t="n"/>
      <c r="DX43" s="192" t="n"/>
      <c r="DY43" s="192" t="n"/>
      <c r="DZ43" s="192" t="n"/>
      <c r="EA43" s="192" t="n"/>
      <c r="EB43" s="192" t="n"/>
      <c r="EC43" s="192" t="n"/>
      <c r="ED43" s="192" t="n"/>
      <c r="EE43" s="192" t="n"/>
      <c r="EF43" s="192" t="n"/>
      <c r="EG43" s="192" t="n"/>
      <c r="EH43" s="192" t="n"/>
      <c r="EI43" s="192" t="n"/>
      <c r="EJ43" s="192" t="n"/>
      <c r="EK43" s="192" t="n"/>
      <c r="EL43" s="182" t="n"/>
      <c r="EM43" s="176" t="n"/>
      <c r="EN43" s="176" t="n"/>
      <c r="EO43" s="176" t="n"/>
      <c r="EP43" s="176" t="n"/>
      <c r="EQ43" s="176" t="n"/>
      <c r="ER43" s="176" t="n"/>
      <c r="ES43" s="176" t="n"/>
      <c r="ET43" s="176" t="n"/>
      <c r="EU43" s="176" t="n"/>
      <c r="EV43" s="176" t="n"/>
      <c r="EW43" s="176" t="n"/>
      <c r="EX43" s="176" t="n"/>
      <c r="EY43" s="176" t="n"/>
      <c r="EZ43" s="176" t="n"/>
      <c r="FA43" s="176" t="n"/>
      <c r="FB43" s="176" t="n"/>
      <c r="FC43" s="176" t="n"/>
      <c r="FD43" s="176" t="n"/>
      <c r="FE43" s="176" t="n"/>
      <c r="FF43" s="176" t="n"/>
      <c r="FG43" s="176" t="n"/>
      <c r="FH43" s="176" t="n"/>
      <c r="FI43" s="176" t="n"/>
      <c r="FJ43" s="176" t="n"/>
    </row>
    <row r="44" ht="15" customHeight="1" s="392">
      <c r="A44" s="176" t="n"/>
      <c r="B44" s="180" t="n"/>
      <c r="C44" s="187" t="inlineStr">
        <is>
          <t xml:space="preserve">                Total Properties</t>
        </is>
      </c>
      <c r="D44" s="193">
        <f>IF(COUNT(M44:EK44)&gt;0,MEDIAN(M44:EK44),"")</f>
        <v/>
      </c>
      <c r="E44" s="193">
        <f>IF(COUNT(M44:EK44)&gt;0,AVERAGE(M44:EK44),"")</f>
        <v/>
      </c>
      <c r="F44" s="193">
        <f>IF(COUNT(M44:EK44)&gt;0,MIN(M44:EK44),"")</f>
        <v/>
      </c>
      <c r="G44" s="193">
        <f>IF(COUNT(M44:EK44)&gt;0,MAX(M44:EK44),"")</f>
        <v/>
      </c>
      <c r="H44" s="193">
        <f>IF(COUNT(M44:EK44)&gt;0,QUARTILE(M44:EK44,1),"")</f>
        <v/>
      </c>
      <c r="I44" s="193">
        <f>IF(COUNT(M44:EK44)&gt;0,QUARTILE(M44:EK44,3),"")</f>
        <v/>
      </c>
      <c r="J44" s="193">
        <f>IF(COUNT(M44:EK44)&gt;1,STDEV(M44:EK44),"")</f>
        <v/>
      </c>
      <c r="K44" s="194">
        <f>IF(COUNT(M44:EK44)&gt;1,STDEV(M44:EK44)/AVERAGE(M44:EK44),"")</f>
        <v/>
      </c>
      <c r="L44" s="195" t="n"/>
      <c r="M44" s="196" t="n"/>
      <c r="N44" s="196" t="n"/>
      <c r="O44" s="196" t="n"/>
      <c r="P44" s="196" t="n"/>
      <c r="Q44" s="196" t="n">
        <v>4078724</v>
      </c>
      <c r="R44" s="196" t="n">
        <v>3999341</v>
      </c>
      <c r="S44" s="196" t="n">
        <v>3837130</v>
      </c>
      <c r="T44" s="196" t="n">
        <v>3705862</v>
      </c>
      <c r="U44" s="196" t="n">
        <v>3510530</v>
      </c>
      <c r="V44" s="196" t="n">
        <v>3414860</v>
      </c>
      <c r="W44" s="196" t="n">
        <v>3367278</v>
      </c>
      <c r="X44" s="196" t="n">
        <v>3262182</v>
      </c>
      <c r="Y44" s="196" t="n">
        <v>3151821</v>
      </c>
      <c r="Z44" s="196" t="n">
        <v>2999983</v>
      </c>
      <c r="AA44" s="196" t="n">
        <v>2936405</v>
      </c>
      <c r="AB44" s="196" t="n">
        <v>2840741</v>
      </c>
      <c r="AC44" s="196" t="n">
        <v>2735777</v>
      </c>
      <c r="AD44" s="196" t="n">
        <v>2671266</v>
      </c>
      <c r="AE44" s="196" t="n">
        <v>2636976</v>
      </c>
      <c r="AF44" s="196" t="n">
        <v>2582578</v>
      </c>
      <c r="AG44" s="196" t="n">
        <v>2554676</v>
      </c>
      <c r="AH44" s="196" t="n">
        <v>2484723</v>
      </c>
      <c r="AI44" s="196" t="n">
        <v>2419625</v>
      </c>
      <c r="AJ44" s="196" t="n">
        <v>2307532</v>
      </c>
      <c r="AK44" s="196" t="n">
        <v>2168291</v>
      </c>
      <c r="AL44" s="196" t="n">
        <v>2051446</v>
      </c>
      <c r="AM44" s="196" t="n">
        <v>1995798</v>
      </c>
      <c r="AN44" s="196" t="n"/>
      <c r="AO44" s="196" t="n">
        <v>1626432</v>
      </c>
      <c r="AP44" s="196" t="n"/>
      <c r="AQ44" s="196" t="n"/>
      <c r="AR44" s="196" t="n"/>
      <c r="AS44" s="196" t="n">
        <v>1373488</v>
      </c>
      <c r="AT44" s="196" t="n"/>
      <c r="AU44" s="196" t="n"/>
      <c r="AV44" s="196" t="n"/>
      <c r="AW44" s="196" t="n">
        <v>1185351</v>
      </c>
      <c r="AX44" s="196" t="n"/>
      <c r="AY44" s="196" t="n"/>
      <c r="AZ44" s="196" t="n"/>
      <c r="BA44" s="196" t="n">
        <v>1046346</v>
      </c>
      <c r="BB44" s="196" t="n"/>
      <c r="BC44" s="196" t="n"/>
      <c r="BD44" s="196" t="n"/>
      <c r="BE44" s="196" t="n">
        <v>935713</v>
      </c>
      <c r="BF44" s="196" t="n"/>
      <c r="BG44" s="196" t="n"/>
      <c r="BH44" s="196" t="n"/>
      <c r="BI44" s="196" t="n">
        <v>905459</v>
      </c>
      <c r="BJ44" s="196" t="n"/>
      <c r="BK44" s="196" t="n"/>
      <c r="BL44" s="196" t="n"/>
      <c r="BM44" s="196" t="n">
        <v>857410</v>
      </c>
      <c r="BN44" s="196" t="n"/>
      <c r="BO44" s="196" t="n"/>
      <c r="BP44" s="196" t="n"/>
      <c r="BQ44" s="196" t="n">
        <v>750765</v>
      </c>
      <c r="BR44" s="196" t="n"/>
      <c r="BS44" s="196" t="n"/>
      <c r="BT44" s="196" t="n"/>
      <c r="BU44" s="196" t="n">
        <v>727536</v>
      </c>
      <c r="BV44" s="196" t="n"/>
      <c r="BW44" s="196" t="n"/>
      <c r="BX44" s="196" t="n">
        <v>705601</v>
      </c>
      <c r="BY44" s="196" t="n"/>
      <c r="BZ44" s="196" t="n"/>
      <c r="CA44" s="196" t="n"/>
      <c r="CB44" s="196" t="n">
        <v>647544</v>
      </c>
      <c r="CC44" s="196" t="n"/>
      <c r="CD44" s="196" t="n"/>
      <c r="CE44" s="196" t="n"/>
      <c r="CF44" s="196" t="n">
        <v>594474</v>
      </c>
      <c r="CG44" s="196" t="n"/>
      <c r="CH44" s="196" t="n"/>
      <c r="CI44" s="196" t="n"/>
      <c r="CJ44" s="196" t="n">
        <v>515004</v>
      </c>
      <c r="CK44" s="196" t="n"/>
      <c r="CL44" s="196" t="n"/>
      <c r="CM44" s="196" t="n"/>
      <c r="CN44" s="196" t="n">
        <v>419030</v>
      </c>
      <c r="CO44" s="196" t="n"/>
      <c r="CP44" s="196" t="n"/>
      <c r="CQ44" s="196" t="n"/>
      <c r="CR44" s="196" t="n">
        <v>358575</v>
      </c>
      <c r="CS44" s="196" t="n"/>
      <c r="CT44" s="196" t="n"/>
      <c r="CU44" s="196" t="n"/>
      <c r="CV44" s="196" t="n">
        <v>301384</v>
      </c>
      <c r="CW44" s="196" t="n"/>
      <c r="CX44" s="196" t="n"/>
      <c r="CY44" s="196" t="n"/>
      <c r="CZ44" s="196" t="n">
        <v>264299</v>
      </c>
      <c r="DA44" s="196" t="n"/>
      <c r="DB44" s="196" t="n"/>
      <c r="DC44" s="196" t="n"/>
      <c r="DD44" s="196" t="n">
        <v>202206.1</v>
      </c>
      <c r="DE44" s="196" t="n"/>
      <c r="DF44" s="196" t="n"/>
      <c r="DG44" s="196" t="n"/>
      <c r="DH44" s="196" t="n">
        <v>115202</v>
      </c>
      <c r="DI44" s="196" t="n"/>
      <c r="DJ44" s="196" t="n"/>
      <c r="DK44" s="196" t="n"/>
      <c r="DL44" s="196" t="n"/>
      <c r="DM44" s="196" t="n"/>
      <c r="DN44" s="196" t="n"/>
      <c r="DO44" s="196" t="n"/>
      <c r="DP44" s="196" t="n"/>
      <c r="DQ44" s="196" t="n"/>
      <c r="DR44" s="196" t="n"/>
      <c r="DS44" s="196" t="n"/>
      <c r="DT44" s="196" t="n"/>
      <c r="DU44" s="196" t="n"/>
      <c r="DV44" s="196" t="n"/>
      <c r="DW44" s="196" t="n"/>
      <c r="DX44" s="196" t="n"/>
      <c r="DY44" s="196" t="n"/>
      <c r="DZ44" s="196" t="n"/>
      <c r="EA44" s="196" t="n"/>
      <c r="EB44" s="196" t="n"/>
      <c r="EC44" s="196" t="n"/>
      <c r="ED44" s="196" t="n"/>
      <c r="EE44" s="196" t="n"/>
      <c r="EF44" s="196" t="n"/>
      <c r="EG44" s="196" t="n"/>
      <c r="EH44" s="196" t="n"/>
      <c r="EI44" s="196" t="n"/>
      <c r="EJ44" s="196" t="n"/>
      <c r="EK44" s="196" t="n"/>
      <c r="EL44" s="182" t="n"/>
      <c r="EM44" s="176" t="n"/>
      <c r="EN44" s="176" t="n"/>
      <c r="EO44" s="176" t="n"/>
      <c r="EP44" s="176" t="n"/>
      <c r="EQ44" s="176" t="n"/>
      <c r="ER44" s="176" t="n"/>
      <c r="ES44" s="176" t="n"/>
      <c r="ET44" s="176" t="n"/>
      <c r="EU44" s="176" t="n"/>
      <c r="EV44" s="176" t="n"/>
      <c r="EW44" s="176" t="n"/>
      <c r="EX44" s="176" t="n"/>
      <c r="EY44" s="176" t="n"/>
      <c r="EZ44" s="176" t="n"/>
      <c r="FA44" s="176" t="n"/>
      <c r="FB44" s="176" t="n"/>
      <c r="FC44" s="176" t="n"/>
      <c r="FD44" s="176" t="n"/>
      <c r="FE44" s="176" t="n"/>
      <c r="FF44" s="176" t="n"/>
      <c r="FG44" s="176" t="n"/>
      <c r="FH44" s="176" t="n"/>
      <c r="FI44" s="176" t="n"/>
      <c r="FJ44" s="176" t="n"/>
    </row>
    <row r="45" ht="15" customHeight="1" s="392">
      <c r="A45" s="176" t="n"/>
      <c r="B45" s="180" t="n"/>
      <c r="C45" s="183" t="inlineStr">
        <is>
          <t xml:space="preserve">                Machinery, Furniture and Equipment</t>
        </is>
      </c>
      <c r="D45" s="185" t="n"/>
      <c r="E45" s="185" t="n"/>
      <c r="F45" s="185" t="n"/>
      <c r="G45" s="185" t="n"/>
      <c r="H45" s="185" t="n"/>
      <c r="I45" s="185" t="n"/>
      <c r="J45" s="185" t="n"/>
      <c r="K45" s="185" t="n"/>
      <c r="EL45" s="182" t="n"/>
      <c r="EM45" s="176" t="n"/>
      <c r="EN45" s="176" t="n"/>
      <c r="EO45" s="176" t="n"/>
      <c r="EP45" s="176" t="n"/>
      <c r="EQ45" s="176" t="n"/>
      <c r="ER45" s="176" t="n"/>
      <c r="ES45" s="176" t="n"/>
      <c r="ET45" s="176" t="n"/>
      <c r="EU45" s="176" t="n"/>
      <c r="EV45" s="176" t="n"/>
      <c r="EW45" s="176" t="n"/>
      <c r="EX45" s="176" t="n"/>
      <c r="EY45" s="176" t="n"/>
      <c r="EZ45" s="176" t="n"/>
      <c r="FA45" s="176" t="n"/>
      <c r="FB45" s="176" t="n"/>
      <c r="FC45" s="176" t="n"/>
      <c r="FD45" s="176" t="n"/>
      <c r="FE45" s="176" t="n"/>
      <c r="FF45" s="176" t="n"/>
      <c r="FG45" s="176" t="n"/>
      <c r="FH45" s="176" t="n"/>
      <c r="FI45" s="176" t="n"/>
      <c r="FJ45" s="176" t="n"/>
    </row>
    <row r="46" ht="15" customHeight="1" s="392">
      <c r="A46" s="176" t="n"/>
      <c r="B46" s="180" t="n"/>
      <c r="C46" s="183" t="inlineStr">
        <is>
          <t xml:space="preserve">                    Furniture, Fixtures and Office Equipment</t>
        </is>
      </c>
      <c r="D46" s="190">
        <f>IF(COUNT(M46:EK46)&gt;0,MEDIAN(M46:EK46),"")</f>
        <v/>
      </c>
      <c r="E46" s="190">
        <f>IF(COUNT(M46:EK46)&gt;0,AVERAGE(M46:EK46),"")</f>
        <v/>
      </c>
      <c r="F46" s="190">
        <f>IF(COUNT(M46:EK46)&gt;0,MIN(M46:EK46),"")</f>
        <v/>
      </c>
      <c r="G46" s="190">
        <f>IF(COUNT(M46:EK46)&gt;0,MAX(M46:EK46),"")</f>
        <v/>
      </c>
      <c r="H46" s="190">
        <f>IF(COUNT(M46:EK46)&gt;0,QUARTILE(M46:EK46,1),"")</f>
        <v/>
      </c>
      <c r="I46" s="190">
        <f>IF(COUNT(M46:EK46)&gt;0,QUARTILE(M46:EK46,3),"")</f>
        <v/>
      </c>
      <c r="J46" s="190">
        <f>IF(COUNT(M46:EK46)&gt;1,STDEV(M46:EK46),"")</f>
        <v/>
      </c>
      <c r="K46" s="191">
        <f>IF(COUNT(M46:EK46)&gt;1,STDEV(M46:EK46)/AVERAGE(M46:EK46),"")</f>
        <v/>
      </c>
      <c r="M46" s="192" t="n"/>
      <c r="N46" s="192" t="n"/>
      <c r="O46" s="192" t="n"/>
      <c r="P46" s="192" t="n"/>
      <c r="Q46" s="192" t="n">
        <v>220925</v>
      </c>
      <c r="R46" s="192" t="n">
        <v>217117</v>
      </c>
      <c r="S46" s="192" t="n">
        <v>210841</v>
      </c>
      <c r="T46" s="192" t="n">
        <v>207341</v>
      </c>
      <c r="U46" s="192" t="n">
        <v>202577</v>
      </c>
      <c r="V46" s="192" t="n">
        <v>194310</v>
      </c>
      <c r="W46" s="192" t="n">
        <v>189861</v>
      </c>
      <c r="X46" s="192" t="n">
        <v>184016</v>
      </c>
      <c r="Y46" s="192" t="n">
        <v>180606</v>
      </c>
      <c r="Z46" s="192" t="n">
        <v>176878</v>
      </c>
      <c r="AA46" s="192" t="n">
        <v>170145</v>
      </c>
      <c r="AB46" s="192" t="n">
        <v>164542</v>
      </c>
      <c r="AC46" s="192" t="n">
        <v>162944</v>
      </c>
      <c r="AD46" s="192" t="n">
        <v>157483</v>
      </c>
      <c r="AE46" s="192" t="n">
        <v>153974</v>
      </c>
      <c r="AF46" s="192" t="n">
        <v>150548</v>
      </c>
      <c r="AG46" s="192" t="n">
        <v>146098</v>
      </c>
      <c r="AH46" s="192" t="n">
        <v>139895</v>
      </c>
      <c r="AI46" s="192" t="n">
        <v>135227</v>
      </c>
      <c r="AJ46" s="192" t="n">
        <v>130125</v>
      </c>
      <c r="AK46" s="192" t="n">
        <v>123547</v>
      </c>
      <c r="AL46" s="192" t="n">
        <v>117106</v>
      </c>
      <c r="AM46" s="192" t="n">
        <v>112947</v>
      </c>
      <c r="AN46" s="192" t="n"/>
      <c r="AO46" s="192" t="n">
        <v>102634</v>
      </c>
      <c r="AP46" s="192" t="n"/>
      <c r="AQ46" s="192" t="n"/>
      <c r="AR46" s="192" t="n"/>
      <c r="AS46" s="192" t="n">
        <v>89157</v>
      </c>
      <c r="AT46" s="192" t="n"/>
      <c r="AU46" s="192" t="n"/>
      <c r="AV46" s="192" t="n"/>
      <c r="AW46" s="192" t="n">
        <v>90279</v>
      </c>
      <c r="AX46" s="192" t="n"/>
      <c r="AY46" s="192" t="n"/>
      <c r="AZ46" s="192" t="n"/>
      <c r="BA46" s="192" t="n">
        <v>100899</v>
      </c>
      <c r="BB46" s="192" t="n"/>
      <c r="BC46" s="192" t="n"/>
      <c r="BD46" s="192" t="n"/>
      <c r="BE46" s="192" t="n">
        <v>109909</v>
      </c>
      <c r="BF46" s="192" t="n"/>
      <c r="BG46" s="192" t="n"/>
      <c r="BH46" s="192" t="n"/>
      <c r="BI46" s="192" t="n">
        <v>103202</v>
      </c>
      <c r="BJ46" s="192" t="n"/>
      <c r="BK46" s="192" t="n"/>
      <c r="BL46" s="192" t="n"/>
      <c r="BM46" s="192" t="n">
        <v>134197</v>
      </c>
      <c r="BN46" s="192" t="n"/>
      <c r="BO46" s="192" t="n"/>
      <c r="BP46" s="192" t="n"/>
      <c r="BQ46" s="192" t="n">
        <v>107762</v>
      </c>
      <c r="BR46" s="192" t="n"/>
      <c r="BS46" s="192" t="n"/>
      <c r="BT46" s="192" t="n"/>
      <c r="BU46" s="192" t="n"/>
      <c r="BV46" s="192" t="n"/>
      <c r="BW46" s="192" t="n"/>
      <c r="BX46" s="192" t="n"/>
      <c r="BY46" s="192" t="n"/>
      <c r="BZ46" s="192" t="n"/>
      <c r="CA46" s="192" t="n"/>
      <c r="CB46" s="192" t="n"/>
      <c r="CC46" s="192" t="n"/>
      <c r="CD46" s="192" t="n"/>
      <c r="CE46" s="192" t="n"/>
      <c r="CF46" s="192" t="n"/>
      <c r="CG46" s="192" t="n"/>
      <c r="CH46" s="192" t="n"/>
      <c r="CI46" s="192" t="n"/>
      <c r="CJ46" s="192" t="n"/>
      <c r="CK46" s="192" t="n"/>
      <c r="CL46" s="192" t="n"/>
      <c r="CM46" s="192" t="n"/>
      <c r="CN46" s="192" t="n"/>
      <c r="CO46" s="192" t="n"/>
      <c r="CP46" s="192" t="n"/>
      <c r="CQ46" s="192" t="n"/>
      <c r="CR46" s="192" t="n"/>
      <c r="CS46" s="192" t="n"/>
      <c r="CT46" s="192" t="n"/>
      <c r="CU46" s="192" t="n"/>
      <c r="CV46" s="192" t="n"/>
      <c r="CW46" s="192" t="n"/>
      <c r="CX46" s="192" t="n"/>
      <c r="CY46" s="192" t="n"/>
      <c r="CZ46" s="192" t="n"/>
      <c r="DA46" s="192" t="n"/>
      <c r="DB46" s="192" t="n"/>
      <c r="DC46" s="192" t="n"/>
      <c r="DD46" s="192" t="n"/>
      <c r="DE46" s="192" t="n"/>
      <c r="DF46" s="192" t="n"/>
      <c r="DG46" s="192" t="n"/>
      <c r="DH46" s="192" t="n"/>
      <c r="DI46" s="192" t="n"/>
      <c r="DJ46" s="192" t="n"/>
      <c r="DK46" s="192" t="n"/>
      <c r="DL46" s="192" t="n"/>
      <c r="DM46" s="192" t="n"/>
      <c r="DN46" s="192" t="n"/>
      <c r="DO46" s="192" t="n"/>
      <c r="DP46" s="192" t="n"/>
      <c r="DQ46" s="192" t="n"/>
      <c r="DR46" s="192" t="n"/>
      <c r="DS46" s="192" t="n"/>
      <c r="DT46" s="192" t="n"/>
      <c r="DU46" s="192" t="n"/>
      <c r="DV46" s="192" t="n"/>
      <c r="DW46" s="192" t="n"/>
      <c r="DX46" s="192" t="n"/>
      <c r="DY46" s="192" t="n"/>
      <c r="DZ46" s="192" t="n"/>
      <c r="EA46" s="192" t="n"/>
      <c r="EB46" s="192" t="n"/>
      <c r="EC46" s="192" t="n"/>
      <c r="ED46" s="192" t="n"/>
      <c r="EE46" s="192" t="n"/>
      <c r="EF46" s="192" t="n"/>
      <c r="EG46" s="192" t="n"/>
      <c r="EH46" s="192" t="n"/>
      <c r="EI46" s="192" t="n"/>
      <c r="EJ46" s="192" t="n"/>
      <c r="EK46" s="192" t="n"/>
      <c r="EL46" s="182" t="n"/>
      <c r="EM46" s="176" t="n"/>
      <c r="EN46" s="176" t="n"/>
      <c r="EO46" s="176" t="n"/>
      <c r="EP46" s="176" t="n"/>
      <c r="EQ46" s="176" t="n"/>
      <c r="ER46" s="176" t="n"/>
      <c r="ES46" s="176" t="n"/>
      <c r="ET46" s="176" t="n"/>
      <c r="EU46" s="176" t="n"/>
      <c r="EV46" s="176" t="n"/>
      <c r="EW46" s="176" t="n"/>
      <c r="EX46" s="176" t="n"/>
      <c r="EY46" s="176" t="n"/>
      <c r="EZ46" s="176" t="n"/>
      <c r="FA46" s="176" t="n"/>
      <c r="FB46" s="176" t="n"/>
      <c r="FC46" s="176" t="n"/>
      <c r="FD46" s="176" t="n"/>
      <c r="FE46" s="176" t="n"/>
      <c r="FF46" s="176" t="n"/>
      <c r="FG46" s="176" t="n"/>
      <c r="FH46" s="176" t="n"/>
      <c r="FI46" s="176" t="n"/>
      <c r="FJ46" s="176" t="n"/>
    </row>
    <row r="47" ht="15" customHeight="1" s="392">
      <c r="A47" s="176" t="n"/>
      <c r="B47" s="180" t="n"/>
      <c r="C47" s="183" t="inlineStr">
        <is>
          <t xml:space="preserve">                    Flight, Fleet, Vehicle and Related Equipment</t>
        </is>
      </c>
      <c r="D47" s="190">
        <f>IF(COUNT(M47:EK47)&gt;0,MEDIAN(M47:EK47),"")</f>
        <v/>
      </c>
      <c r="E47" s="190">
        <f>IF(COUNT(M47:EK47)&gt;0,AVERAGE(M47:EK47),"")</f>
        <v/>
      </c>
      <c r="F47" s="190">
        <f>IF(COUNT(M47:EK47)&gt;0,MIN(M47:EK47),"")</f>
        <v/>
      </c>
      <c r="G47" s="190">
        <f>IF(COUNT(M47:EK47)&gt;0,MAX(M47:EK47),"")</f>
        <v/>
      </c>
      <c r="H47" s="190">
        <f>IF(COUNT(M47:EK47)&gt;0,QUARTILE(M47:EK47,1),"")</f>
        <v/>
      </c>
      <c r="I47" s="190">
        <f>IF(COUNT(M47:EK47)&gt;0,QUARTILE(M47:EK47,3),"")</f>
        <v/>
      </c>
      <c r="J47" s="190">
        <f>IF(COUNT(M47:EK47)&gt;1,STDEV(M47:EK47),"")</f>
        <v/>
      </c>
      <c r="K47" s="191">
        <f>IF(COUNT(M47:EK47)&gt;1,STDEV(M47:EK47)/AVERAGE(M47:EK47),"")</f>
        <v/>
      </c>
      <c r="M47" s="192" t="n"/>
      <c r="N47" s="192" t="n"/>
      <c r="O47" s="192" t="n"/>
      <c r="P47" s="192" t="n"/>
      <c r="Q47" s="192" t="n">
        <v>580029</v>
      </c>
      <c r="R47" s="192" t="n">
        <v>619789</v>
      </c>
      <c r="S47" s="192" t="n">
        <v>650407</v>
      </c>
      <c r="T47" s="192" t="n">
        <v>640980</v>
      </c>
      <c r="U47" s="192" t="n">
        <v>604977</v>
      </c>
      <c r="V47" s="192" t="n">
        <v>560433</v>
      </c>
      <c r="W47" s="192" t="n">
        <v>539461</v>
      </c>
      <c r="X47" s="192" t="n">
        <v>506959</v>
      </c>
      <c r="Y47" s="192" t="n">
        <v>490136</v>
      </c>
      <c r="Z47" s="192" t="n">
        <v>476886</v>
      </c>
      <c r="AA47" s="192" t="n">
        <v>459597</v>
      </c>
      <c r="AB47" s="192" t="n">
        <v>449017</v>
      </c>
      <c r="AC47" s="192" t="n">
        <v>429405</v>
      </c>
      <c r="AD47" s="192" t="n">
        <v>388179</v>
      </c>
      <c r="AE47" s="192" t="n">
        <v>371230</v>
      </c>
      <c r="AF47" s="192" t="n">
        <v>342868</v>
      </c>
      <c r="AG47" s="192" t="n">
        <v>326622</v>
      </c>
      <c r="AH47" s="192" t="n">
        <v>313091</v>
      </c>
      <c r="AI47" s="192" t="n">
        <v>301333</v>
      </c>
      <c r="AJ47" s="192" t="n">
        <v>282923</v>
      </c>
      <c r="AK47" s="192" t="n">
        <v>274422</v>
      </c>
      <c r="AL47" s="192" t="n">
        <v>268780</v>
      </c>
      <c r="AM47" s="192" t="n">
        <v>260237</v>
      </c>
      <c r="AN47" s="192" t="n"/>
      <c r="AO47" s="192" t="n">
        <v>236282</v>
      </c>
      <c r="AP47" s="192" t="n"/>
      <c r="AQ47" s="192" t="n"/>
      <c r="AR47" s="192" t="n"/>
      <c r="AS47" s="192" t="n">
        <v>190900</v>
      </c>
      <c r="AT47" s="192" t="n"/>
      <c r="AU47" s="192" t="n"/>
      <c r="AV47" s="192" t="n"/>
      <c r="AW47" s="192" t="n">
        <v>120420</v>
      </c>
      <c r="AX47" s="192" t="n"/>
      <c r="AY47" s="192" t="n"/>
      <c r="AZ47" s="192" t="n"/>
      <c r="BA47" s="192" t="n">
        <v>85083</v>
      </c>
      <c r="BB47" s="192" t="n"/>
      <c r="BC47" s="192" t="n"/>
      <c r="BD47" s="192" t="n"/>
      <c r="BE47" s="192" t="n">
        <v>70133</v>
      </c>
      <c r="BF47" s="192" t="n"/>
      <c r="BG47" s="192" t="n"/>
      <c r="BH47" s="192" t="n"/>
      <c r="BI47" s="192" t="n">
        <v>68956</v>
      </c>
      <c r="BJ47" s="192" t="n"/>
      <c r="BK47" s="192" t="n"/>
      <c r="BL47" s="192" t="n"/>
      <c r="BM47" s="192" t="n">
        <v>58016</v>
      </c>
      <c r="BN47" s="192" t="n"/>
      <c r="BO47" s="192" t="n"/>
      <c r="BP47" s="192" t="n"/>
      <c r="BQ47" s="192" t="n">
        <v>52066</v>
      </c>
      <c r="BR47" s="192" t="n"/>
      <c r="BS47" s="192" t="n"/>
      <c r="BT47" s="192" t="n"/>
      <c r="BU47" s="192" t="n"/>
      <c r="BV47" s="192" t="n"/>
      <c r="BW47" s="192" t="n"/>
      <c r="BX47" s="192" t="n"/>
      <c r="BY47" s="192" t="n"/>
      <c r="BZ47" s="192" t="n"/>
      <c r="CA47" s="192" t="n"/>
      <c r="CB47" s="192" t="n"/>
      <c r="CC47" s="192" t="n"/>
      <c r="CD47" s="192" t="n"/>
      <c r="CE47" s="192" t="n"/>
      <c r="CF47" s="192" t="n"/>
      <c r="CG47" s="192" t="n"/>
      <c r="CH47" s="192" t="n"/>
      <c r="CI47" s="192" t="n"/>
      <c r="CJ47" s="192" t="n"/>
      <c r="CK47" s="192" t="n"/>
      <c r="CL47" s="192" t="n"/>
      <c r="CM47" s="192" t="n"/>
      <c r="CN47" s="192" t="n"/>
      <c r="CO47" s="192" t="n"/>
      <c r="CP47" s="192" t="n"/>
      <c r="CQ47" s="192" t="n"/>
      <c r="CR47" s="192" t="n"/>
      <c r="CS47" s="192" t="n"/>
      <c r="CT47" s="192" t="n"/>
      <c r="CU47" s="192" t="n"/>
      <c r="CV47" s="192" t="n"/>
      <c r="CW47" s="192" t="n"/>
      <c r="CX47" s="192" t="n"/>
      <c r="CY47" s="192" t="n"/>
      <c r="CZ47" s="192" t="n"/>
      <c r="DA47" s="192" t="n"/>
      <c r="DB47" s="192" t="n"/>
      <c r="DC47" s="192" t="n"/>
      <c r="DD47" s="192" t="n"/>
      <c r="DE47" s="192" t="n"/>
      <c r="DF47" s="192" t="n"/>
      <c r="DG47" s="192" t="n"/>
      <c r="DH47" s="192" t="n"/>
      <c r="DI47" s="192" t="n"/>
      <c r="DJ47" s="192" t="n"/>
      <c r="DK47" s="192" t="n"/>
      <c r="DL47" s="192" t="n"/>
      <c r="DM47" s="192" t="n"/>
      <c r="DN47" s="192" t="n"/>
      <c r="DO47" s="192" t="n"/>
      <c r="DP47" s="192" t="n"/>
      <c r="DQ47" s="192" t="n"/>
      <c r="DR47" s="192" t="n"/>
      <c r="DS47" s="192" t="n"/>
      <c r="DT47" s="192" t="n"/>
      <c r="DU47" s="192" t="n"/>
      <c r="DV47" s="192" t="n"/>
      <c r="DW47" s="192" t="n"/>
      <c r="DX47" s="192" t="n"/>
      <c r="DY47" s="192" t="n"/>
      <c r="DZ47" s="192" t="n"/>
      <c r="EA47" s="192" t="n"/>
      <c r="EB47" s="192" t="n"/>
      <c r="EC47" s="192" t="n"/>
      <c r="ED47" s="192" t="n"/>
      <c r="EE47" s="192" t="n"/>
      <c r="EF47" s="192" t="n"/>
      <c r="EG47" s="192" t="n"/>
      <c r="EH47" s="192" t="n"/>
      <c r="EI47" s="192" t="n"/>
      <c r="EJ47" s="192" t="n"/>
      <c r="EK47" s="192" t="n"/>
      <c r="EL47" s="182" t="n"/>
      <c r="EM47" s="176" t="n"/>
      <c r="EN47" s="176" t="n"/>
      <c r="EO47" s="176" t="n"/>
      <c r="EP47" s="176" t="n"/>
      <c r="EQ47" s="176" t="n"/>
      <c r="ER47" s="176" t="n"/>
      <c r="ES47" s="176" t="n"/>
      <c r="ET47" s="176" t="n"/>
      <c r="EU47" s="176" t="n"/>
      <c r="EV47" s="176" t="n"/>
      <c r="EW47" s="176" t="n"/>
      <c r="EX47" s="176" t="n"/>
      <c r="EY47" s="176" t="n"/>
      <c r="EZ47" s="176" t="n"/>
      <c r="FA47" s="176" t="n"/>
      <c r="FB47" s="176" t="n"/>
      <c r="FC47" s="176" t="n"/>
      <c r="FD47" s="176" t="n"/>
      <c r="FE47" s="176" t="n"/>
      <c r="FF47" s="176" t="n"/>
      <c r="FG47" s="176" t="n"/>
      <c r="FH47" s="176" t="n"/>
      <c r="FI47" s="176" t="n"/>
      <c r="FJ47" s="176" t="n"/>
    </row>
    <row r="48" ht="15" customHeight="1" s="392">
      <c r="A48" s="176" t="n"/>
      <c r="B48" s="180" t="n"/>
      <c r="C48" s="187" t="inlineStr">
        <is>
          <t xml:space="preserve">                Total Machinery, Furniture and Equipment</t>
        </is>
      </c>
      <c r="D48" s="193">
        <f>IF(COUNT(M48:EK48)&gt;0,MEDIAN(M48:EK48),"")</f>
        <v/>
      </c>
      <c r="E48" s="193">
        <f>IF(COUNT(M48:EK48)&gt;0,AVERAGE(M48:EK48),"")</f>
        <v/>
      </c>
      <c r="F48" s="193">
        <f>IF(COUNT(M48:EK48)&gt;0,MIN(M48:EK48),"")</f>
        <v/>
      </c>
      <c r="G48" s="193">
        <f>IF(COUNT(M48:EK48)&gt;0,MAX(M48:EK48),"")</f>
        <v/>
      </c>
      <c r="H48" s="193">
        <f>IF(COUNT(M48:EK48)&gt;0,QUARTILE(M48:EK48,1),"")</f>
        <v/>
      </c>
      <c r="I48" s="193">
        <f>IF(COUNT(M48:EK48)&gt;0,QUARTILE(M48:EK48,3),"")</f>
        <v/>
      </c>
      <c r="J48" s="193">
        <f>IF(COUNT(M48:EK48)&gt;1,STDEV(M48:EK48),"")</f>
        <v/>
      </c>
      <c r="K48" s="194">
        <f>IF(COUNT(M48:EK48)&gt;1,STDEV(M48:EK48)/AVERAGE(M48:EK48),"")</f>
        <v/>
      </c>
      <c r="L48" s="195" t="n"/>
      <c r="M48" s="196" t="n"/>
      <c r="N48" s="196" t="n"/>
      <c r="O48" s="196" t="n"/>
      <c r="P48" s="196" t="n"/>
      <c r="Q48" s="196" t="n">
        <v>800954</v>
      </c>
      <c r="R48" s="196" t="n">
        <v>836906</v>
      </c>
      <c r="S48" s="196" t="n">
        <v>861248</v>
      </c>
      <c r="T48" s="196" t="n">
        <v>848321</v>
      </c>
      <c r="U48" s="196" t="n">
        <v>807554</v>
      </c>
      <c r="V48" s="196" t="n">
        <v>754743</v>
      </c>
      <c r="W48" s="196" t="n">
        <v>729322</v>
      </c>
      <c r="X48" s="196" t="n">
        <v>690975</v>
      </c>
      <c r="Y48" s="196" t="n">
        <v>670742</v>
      </c>
      <c r="Z48" s="196" t="n">
        <v>653764</v>
      </c>
      <c r="AA48" s="196" t="n">
        <v>629742</v>
      </c>
      <c r="AB48" s="196" t="n">
        <v>613559</v>
      </c>
      <c r="AC48" s="196" t="n">
        <v>592349</v>
      </c>
      <c r="AD48" s="196" t="n">
        <v>545662</v>
      </c>
      <c r="AE48" s="196" t="n">
        <v>525204</v>
      </c>
      <c r="AF48" s="196" t="n">
        <v>493416</v>
      </c>
      <c r="AG48" s="196" t="n">
        <v>472720</v>
      </c>
      <c r="AH48" s="196" t="n">
        <v>452986</v>
      </c>
      <c r="AI48" s="196" t="n">
        <v>436560</v>
      </c>
      <c r="AJ48" s="196" t="n">
        <v>413048</v>
      </c>
      <c r="AK48" s="196" t="n">
        <v>397969</v>
      </c>
      <c r="AL48" s="196" t="n">
        <v>385886</v>
      </c>
      <c r="AM48" s="196" t="n">
        <v>373184</v>
      </c>
      <c r="AN48" s="196" t="n"/>
      <c r="AO48" s="196" t="n">
        <v>338916</v>
      </c>
      <c r="AP48" s="196" t="n"/>
      <c r="AQ48" s="196" t="n"/>
      <c r="AR48" s="196" t="n"/>
      <c r="AS48" s="196" t="n">
        <v>280057</v>
      </c>
      <c r="AT48" s="196" t="n"/>
      <c r="AU48" s="196" t="n"/>
      <c r="AV48" s="196" t="n"/>
      <c r="AW48" s="196" t="n">
        <v>210699</v>
      </c>
      <c r="AX48" s="196" t="n"/>
      <c r="AY48" s="196" t="n"/>
      <c r="AZ48" s="196" t="n"/>
      <c r="BA48" s="196" t="n">
        <v>185982</v>
      </c>
      <c r="BB48" s="196" t="n"/>
      <c r="BC48" s="196" t="n"/>
      <c r="BD48" s="196" t="n"/>
      <c r="BE48" s="196" t="n">
        <v>180042</v>
      </c>
      <c r="BF48" s="196" t="n"/>
      <c r="BG48" s="196" t="n"/>
      <c r="BH48" s="196" t="n"/>
      <c r="BI48" s="196" t="n">
        <v>172158</v>
      </c>
      <c r="BJ48" s="196" t="n"/>
      <c r="BK48" s="196" t="n"/>
      <c r="BL48" s="196" t="n"/>
      <c r="BM48" s="196" t="n">
        <v>192213</v>
      </c>
      <c r="BN48" s="196" t="n"/>
      <c r="BO48" s="196" t="n"/>
      <c r="BP48" s="196" t="n"/>
      <c r="BQ48" s="196" t="n">
        <v>159828</v>
      </c>
      <c r="BR48" s="196" t="n"/>
      <c r="BS48" s="196" t="n"/>
      <c r="BT48" s="196" t="n"/>
      <c r="BU48" s="196" t="n">
        <v>165181</v>
      </c>
      <c r="BV48" s="196" t="n"/>
      <c r="BW48" s="196" t="n"/>
      <c r="BX48" s="196" t="n">
        <v>127467</v>
      </c>
      <c r="BY48" s="196" t="n"/>
      <c r="BZ48" s="196" t="n"/>
      <c r="CA48" s="196" t="n"/>
      <c r="CB48" s="196" t="n">
        <v>111092</v>
      </c>
      <c r="CC48" s="196" t="n"/>
      <c r="CD48" s="196" t="n"/>
      <c r="CE48" s="196" t="n"/>
      <c r="CF48" s="196" t="n">
        <v>109618</v>
      </c>
      <c r="CG48" s="196" t="n"/>
      <c r="CH48" s="196" t="n"/>
      <c r="CI48" s="196" t="n"/>
      <c r="CJ48" s="196" t="n">
        <v>68381</v>
      </c>
      <c r="CK48" s="196" t="n"/>
      <c r="CL48" s="196" t="n"/>
      <c r="CM48" s="196" t="n"/>
      <c r="CN48" s="196" t="n">
        <v>55793</v>
      </c>
      <c r="CO48" s="196" t="n"/>
      <c r="CP48" s="196" t="n"/>
      <c r="CQ48" s="196" t="n"/>
      <c r="CR48" s="196" t="n">
        <v>54579</v>
      </c>
      <c r="CS48" s="196" t="n"/>
      <c r="CT48" s="196" t="n"/>
      <c r="CU48" s="196" t="n"/>
      <c r="CV48" s="196" t="n">
        <v>50735</v>
      </c>
      <c r="CW48" s="196" t="n"/>
      <c r="CX48" s="196" t="n"/>
      <c r="CY48" s="196" t="n"/>
      <c r="CZ48" s="196" t="n">
        <v>49687</v>
      </c>
      <c r="DA48" s="196" t="n"/>
      <c r="DB48" s="196" t="n"/>
      <c r="DC48" s="196" t="n"/>
      <c r="DD48" s="196" t="n">
        <v>43336.9</v>
      </c>
      <c r="DE48" s="196" t="n"/>
      <c r="DF48" s="196" t="n"/>
      <c r="DG48" s="196" t="n"/>
      <c r="DH48" s="196" t="n">
        <v>33994.6</v>
      </c>
      <c r="DI48" s="196" t="n"/>
      <c r="DJ48" s="196" t="n"/>
      <c r="DK48" s="196" t="n"/>
      <c r="DL48" s="196" t="n"/>
      <c r="DM48" s="196" t="n"/>
      <c r="DN48" s="196" t="n"/>
      <c r="DO48" s="196" t="n"/>
      <c r="DP48" s="196" t="n"/>
      <c r="DQ48" s="196" t="n"/>
      <c r="DR48" s="196" t="n"/>
      <c r="DS48" s="196" t="n"/>
      <c r="DT48" s="196" t="n"/>
      <c r="DU48" s="196" t="n"/>
      <c r="DV48" s="196" t="n"/>
      <c r="DW48" s="196" t="n"/>
      <c r="DX48" s="196" t="n"/>
      <c r="DY48" s="196" t="n"/>
      <c r="DZ48" s="196" t="n"/>
      <c r="EA48" s="196" t="n"/>
      <c r="EB48" s="196" t="n"/>
      <c r="EC48" s="196" t="n"/>
      <c r="ED48" s="196" t="n"/>
      <c r="EE48" s="196" t="n"/>
      <c r="EF48" s="196" t="n"/>
      <c r="EG48" s="196" t="n"/>
      <c r="EH48" s="196" t="n"/>
      <c r="EI48" s="196" t="n"/>
      <c r="EJ48" s="196" t="n"/>
      <c r="EK48" s="196" t="n"/>
      <c r="EL48" s="182" t="n"/>
      <c r="EM48" s="176" t="n"/>
      <c r="EN48" s="176" t="n"/>
      <c r="EO48" s="176" t="n"/>
      <c r="EP48" s="176" t="n"/>
      <c r="EQ48" s="176" t="n"/>
      <c r="ER48" s="176" t="n"/>
      <c r="ES48" s="176" t="n"/>
      <c r="ET48" s="176" t="n"/>
      <c r="EU48" s="176" t="n"/>
      <c r="EV48" s="176" t="n"/>
      <c r="EW48" s="176" t="n"/>
      <c r="EX48" s="176" t="n"/>
      <c r="EY48" s="176" t="n"/>
      <c r="EZ48" s="176" t="n"/>
      <c r="FA48" s="176" t="n"/>
      <c r="FB48" s="176" t="n"/>
      <c r="FC48" s="176" t="n"/>
      <c r="FD48" s="176" t="n"/>
      <c r="FE48" s="176" t="n"/>
      <c r="FF48" s="176" t="n"/>
      <c r="FG48" s="176" t="n"/>
      <c r="FH48" s="176" t="n"/>
      <c r="FI48" s="176" t="n"/>
      <c r="FJ48" s="176" t="n"/>
    </row>
    <row r="49" ht="15" customHeight="1" s="392">
      <c r="A49" s="176" t="n"/>
      <c r="B49" s="180" t="n"/>
      <c r="C49" s="183" t="inlineStr">
        <is>
          <t xml:space="preserve">                Leased Property, Plant and Equipment</t>
        </is>
      </c>
      <c r="D49" s="190">
        <f>IF(COUNT(M49:EK49)&gt;0,MEDIAN(M49:EK49),"")</f>
        <v/>
      </c>
      <c r="E49" s="190">
        <f>IF(COUNT(M49:EK49)&gt;0,AVERAGE(M49:EK49),"")</f>
        <v/>
      </c>
      <c r="F49" s="190">
        <f>IF(COUNT(M49:EK49)&gt;0,MIN(M49:EK49),"")</f>
        <v/>
      </c>
      <c r="G49" s="190">
        <f>IF(COUNT(M49:EK49)&gt;0,MAX(M49:EK49),"")</f>
        <v/>
      </c>
      <c r="H49" s="190">
        <f>IF(COUNT(M49:EK49)&gt;0,QUARTILE(M49:EK49,1),"")</f>
        <v/>
      </c>
      <c r="I49" s="190">
        <f>IF(COUNT(M49:EK49)&gt;0,QUARTILE(M49:EK49,3),"")</f>
        <v/>
      </c>
      <c r="J49" s="190">
        <f>IF(COUNT(M49:EK49)&gt;1,STDEV(M49:EK49),"")</f>
        <v/>
      </c>
      <c r="K49" s="191">
        <f>IF(COUNT(M49:EK49)&gt;1,STDEV(M49:EK49)/AVERAGE(M49:EK49),"")</f>
        <v/>
      </c>
      <c r="M49" s="192" t="n">
        <v>83728</v>
      </c>
      <c r="N49" s="192" t="n">
        <v>88066</v>
      </c>
      <c r="O49" s="192" t="n">
        <v>91454</v>
      </c>
      <c r="P49" s="192" t="n">
        <v>95594</v>
      </c>
      <c r="Q49" s="192" t="n">
        <v>99708</v>
      </c>
      <c r="R49" s="192" t="n">
        <v>97678</v>
      </c>
      <c r="S49" s="192" t="n">
        <v>114839</v>
      </c>
      <c r="T49" s="192" t="n">
        <v>113557</v>
      </c>
      <c r="U49" s="192" t="n">
        <v>116301</v>
      </c>
      <c r="V49" s="192" t="n">
        <v>108859</v>
      </c>
      <c r="W49" s="192" t="n">
        <v>112838</v>
      </c>
      <c r="X49" s="192" t="n">
        <v>121690</v>
      </c>
      <c r="Y49" s="192" t="n">
        <v>108139</v>
      </c>
      <c r="Z49" s="192" t="n">
        <v>105260</v>
      </c>
      <c r="AA49" s="192" t="n">
        <v>106656</v>
      </c>
      <c r="AB49" s="192" t="n">
        <v>112530</v>
      </c>
      <c r="AC49" s="192" t="n">
        <v>116303</v>
      </c>
      <c r="AD49" s="192" t="n">
        <v>121006</v>
      </c>
      <c r="AE49" s="192" t="n">
        <v>120309</v>
      </c>
      <c r="AF49" s="192" t="n">
        <v>123254</v>
      </c>
      <c r="AG49" s="192" t="n">
        <v>119487</v>
      </c>
      <c r="AH49" s="192" t="n">
        <v>125709</v>
      </c>
      <c r="AI49" s="192" t="n">
        <v>107602</v>
      </c>
      <c r="AJ49" s="192" t="n">
        <v>112275</v>
      </c>
      <c r="AK49" s="192" t="n">
        <v>118455</v>
      </c>
      <c r="AL49" s="192" t="n">
        <v>106634</v>
      </c>
      <c r="AM49" s="192" t="n">
        <v>104360</v>
      </c>
      <c r="AN49" s="192" t="n">
        <v>136368</v>
      </c>
      <c r="AO49" s="192" t="n">
        <v>0</v>
      </c>
      <c r="AP49" s="192" t="n"/>
      <c r="AQ49" s="192" t="n"/>
      <c r="AR49" s="192" t="n"/>
      <c r="AS49" s="192" t="n"/>
      <c r="AT49" s="192" t="n"/>
      <c r="AU49" s="192" t="n"/>
      <c r="AV49" s="192" t="n"/>
      <c r="AW49" s="192" t="n"/>
      <c r="AX49" s="192" t="n"/>
      <c r="AY49" s="192" t="n"/>
      <c r="AZ49" s="192" t="n"/>
      <c r="BA49" s="192" t="n"/>
      <c r="BB49" s="192" t="n"/>
      <c r="BC49" s="192" t="n"/>
      <c r="BD49" s="192" t="n"/>
      <c r="BE49" s="192" t="n"/>
      <c r="BF49" s="192" t="n"/>
      <c r="BG49" s="192" t="n"/>
      <c r="BH49" s="192" t="n"/>
      <c r="BI49" s="192" t="n"/>
      <c r="BJ49" s="192" t="n"/>
      <c r="BK49" s="192" t="n"/>
      <c r="BL49" s="192" t="n"/>
      <c r="BM49" s="192" t="n"/>
      <c r="BN49" s="192" t="n"/>
      <c r="BO49" s="192" t="n"/>
      <c r="BP49" s="192" t="n"/>
      <c r="BQ49" s="192" t="n"/>
      <c r="BR49" s="192" t="n"/>
      <c r="BS49" s="192" t="n"/>
      <c r="BT49" s="192" t="n"/>
      <c r="BU49" s="192" t="n"/>
      <c r="BV49" s="192" t="n"/>
      <c r="BW49" s="192" t="n"/>
      <c r="BX49" s="192" t="n"/>
      <c r="BY49" s="192" t="n"/>
      <c r="BZ49" s="192" t="n"/>
      <c r="CA49" s="192" t="n"/>
      <c r="CB49" s="192" t="n"/>
      <c r="CC49" s="192" t="n"/>
      <c r="CD49" s="192" t="n"/>
      <c r="CE49" s="192" t="n"/>
      <c r="CF49" s="192" t="n"/>
      <c r="CG49" s="192" t="n"/>
      <c r="CH49" s="192" t="n"/>
      <c r="CI49" s="192" t="n"/>
      <c r="CJ49" s="192" t="n"/>
      <c r="CK49" s="192" t="n"/>
      <c r="CL49" s="192" t="n"/>
      <c r="CM49" s="192" t="n"/>
      <c r="CN49" s="192" t="n"/>
      <c r="CO49" s="192" t="n"/>
      <c r="CP49" s="192" t="n"/>
      <c r="CQ49" s="192" t="n"/>
      <c r="CR49" s="192" t="n"/>
      <c r="CS49" s="192" t="n"/>
      <c r="CT49" s="192" t="n"/>
      <c r="CU49" s="192" t="n"/>
      <c r="CV49" s="192" t="n"/>
      <c r="CW49" s="192" t="n"/>
      <c r="CX49" s="192" t="n"/>
      <c r="CY49" s="192" t="n"/>
      <c r="CZ49" s="192" t="n"/>
      <c r="DA49" s="192" t="n"/>
      <c r="DB49" s="192" t="n"/>
      <c r="DC49" s="192" t="n"/>
      <c r="DD49" s="192" t="n"/>
      <c r="DE49" s="192" t="n"/>
      <c r="DF49" s="192" t="n"/>
      <c r="DG49" s="192" t="n"/>
      <c r="DH49" s="192" t="n"/>
      <c r="DI49" s="192" t="n"/>
      <c r="DJ49" s="192" t="n"/>
      <c r="DK49" s="192" t="n"/>
      <c r="DL49" s="192" t="n"/>
      <c r="DM49" s="192" t="n"/>
      <c r="DN49" s="192" t="n"/>
      <c r="DO49" s="192" t="n"/>
      <c r="DP49" s="192" t="n"/>
      <c r="DQ49" s="192" t="n"/>
      <c r="DR49" s="192" t="n"/>
      <c r="DS49" s="192" t="n"/>
      <c r="DT49" s="192" t="n"/>
      <c r="DU49" s="192" t="n"/>
      <c r="DV49" s="192" t="n"/>
      <c r="DW49" s="192" t="n"/>
      <c r="DX49" s="192" t="n"/>
      <c r="DY49" s="192" t="n"/>
      <c r="DZ49" s="192" t="n"/>
      <c r="EA49" s="192" t="n"/>
      <c r="EB49" s="192" t="n"/>
      <c r="EC49" s="192" t="n"/>
      <c r="ED49" s="192" t="n"/>
      <c r="EE49" s="192" t="n"/>
      <c r="EF49" s="192" t="n"/>
      <c r="EG49" s="192" t="n"/>
      <c r="EH49" s="192" t="n"/>
      <c r="EI49" s="192" t="n"/>
      <c r="EJ49" s="192" t="n"/>
      <c r="EK49" s="192" t="n"/>
      <c r="EL49" s="182" t="n"/>
      <c r="EM49" s="176" t="n"/>
      <c r="EN49" s="176" t="n"/>
      <c r="EO49" s="176" t="n"/>
      <c r="EP49" s="176" t="n"/>
      <c r="EQ49" s="176" t="n"/>
      <c r="ER49" s="176" t="n"/>
      <c r="ES49" s="176" t="n"/>
      <c r="ET49" s="176" t="n"/>
      <c r="EU49" s="176" t="n"/>
      <c r="EV49" s="176" t="n"/>
      <c r="EW49" s="176" t="n"/>
      <c r="EX49" s="176" t="n"/>
      <c r="EY49" s="176" t="n"/>
      <c r="EZ49" s="176" t="n"/>
      <c r="FA49" s="176" t="n"/>
      <c r="FB49" s="176" t="n"/>
      <c r="FC49" s="176" t="n"/>
      <c r="FD49" s="176" t="n"/>
      <c r="FE49" s="176" t="n"/>
      <c r="FF49" s="176" t="n"/>
      <c r="FG49" s="176" t="n"/>
      <c r="FH49" s="176" t="n"/>
      <c r="FI49" s="176" t="n"/>
      <c r="FJ49" s="176" t="n"/>
    </row>
    <row r="50" ht="15" customHeight="1" s="392">
      <c r="A50" s="176" t="n"/>
      <c r="B50" s="180" t="n"/>
      <c r="C50" s="183" t="inlineStr">
        <is>
          <t xml:space="preserve">                Other Property, Plant and Equipment</t>
        </is>
      </c>
      <c r="D50" s="190">
        <f>IF(COUNT(M50:EK50)&gt;0,MEDIAN(M50:EK50),"")</f>
        <v/>
      </c>
      <c r="E50" s="190">
        <f>IF(COUNT(M50:EK50)&gt;0,AVERAGE(M50:EK50),"")</f>
        <v/>
      </c>
      <c r="F50" s="190">
        <f>IF(COUNT(M50:EK50)&gt;0,MIN(M50:EK50),"")</f>
        <v/>
      </c>
      <c r="G50" s="190">
        <f>IF(COUNT(M50:EK50)&gt;0,MAX(M50:EK50),"")</f>
        <v/>
      </c>
      <c r="H50" s="190">
        <f>IF(COUNT(M50:EK50)&gt;0,QUARTILE(M50:EK50,1),"")</f>
        <v/>
      </c>
      <c r="I50" s="190">
        <f>IF(COUNT(M50:EK50)&gt;0,QUARTILE(M50:EK50,3),"")</f>
        <v/>
      </c>
      <c r="J50" s="190">
        <f>IF(COUNT(M50:EK50)&gt;1,STDEV(M50:EK50),"")</f>
        <v/>
      </c>
      <c r="K50" s="191">
        <f>IF(COUNT(M50:EK50)&gt;1,STDEV(M50:EK50)/AVERAGE(M50:EK50),"")</f>
        <v/>
      </c>
      <c r="M50" s="192" t="n">
        <v>3733220</v>
      </c>
      <c r="N50" s="192" t="n">
        <v>3715922</v>
      </c>
      <c r="O50" s="192" t="n">
        <v>3693890</v>
      </c>
      <c r="P50" s="192" t="n">
        <v>3650424</v>
      </c>
      <c r="Q50" s="192" t="n"/>
      <c r="R50" s="192" t="n"/>
      <c r="S50" s="192" t="n"/>
      <c r="T50" s="192" t="n"/>
      <c r="U50" s="192" t="n"/>
      <c r="V50" s="192" t="n"/>
      <c r="W50" s="192" t="n"/>
      <c r="X50" s="192" t="n"/>
      <c r="Y50" s="192" t="n"/>
      <c r="Z50" s="192" t="n"/>
      <c r="AA50" s="192" t="n"/>
      <c r="AB50" s="192" t="n"/>
      <c r="AC50" s="192" t="n"/>
      <c r="AD50" s="192" t="n"/>
      <c r="AE50" s="192" t="n"/>
      <c r="AF50" s="192" t="n"/>
      <c r="AG50" s="192" t="n"/>
      <c r="AH50" s="192" t="n"/>
      <c r="AI50" s="192" t="n"/>
      <c r="AJ50" s="192" t="n"/>
      <c r="AK50" s="192" t="n"/>
      <c r="AL50" s="192" t="n"/>
      <c r="AM50" s="192" t="n"/>
      <c r="AN50" s="192" t="n">
        <v>1545714</v>
      </c>
      <c r="AO50" s="192" t="n"/>
      <c r="AP50" s="192" t="n"/>
      <c r="AQ50" s="192" t="n"/>
      <c r="AR50" s="192" t="n"/>
      <c r="AS50" s="192" t="n"/>
      <c r="AT50" s="192" t="n"/>
      <c r="AU50" s="192" t="n"/>
      <c r="AV50" s="192" t="n"/>
      <c r="AW50" s="192" t="n"/>
      <c r="AX50" s="192" t="n"/>
      <c r="AY50" s="192" t="n"/>
      <c r="AZ50" s="192" t="n"/>
      <c r="BA50" s="192" t="n"/>
      <c r="BB50" s="192" t="n"/>
      <c r="BC50" s="192" t="n"/>
      <c r="BD50" s="192" t="n"/>
      <c r="BE50" s="192" t="n"/>
      <c r="BF50" s="192" t="n"/>
      <c r="BG50" s="192" t="n"/>
      <c r="BH50" s="192" t="n"/>
      <c r="BI50" s="192" t="n"/>
      <c r="BJ50" s="192" t="n"/>
      <c r="BK50" s="192" t="n"/>
      <c r="BL50" s="192" t="n"/>
      <c r="BM50" s="192" t="n"/>
      <c r="BN50" s="192" t="n"/>
      <c r="BO50" s="192" t="n"/>
      <c r="BP50" s="192" t="n"/>
      <c r="BQ50" s="192" t="n"/>
      <c r="BR50" s="192" t="n"/>
      <c r="BS50" s="192" t="n"/>
      <c r="BT50" s="192" t="n"/>
      <c r="BU50" s="192" t="n"/>
      <c r="BV50" s="192" t="n"/>
      <c r="BW50" s="192" t="n"/>
      <c r="BX50" s="192" t="n"/>
      <c r="BY50" s="192" t="n"/>
      <c r="BZ50" s="192" t="n"/>
      <c r="CA50" s="192" t="n"/>
      <c r="CB50" s="192" t="n"/>
      <c r="CC50" s="192" t="n"/>
      <c r="CD50" s="192" t="n"/>
      <c r="CE50" s="192" t="n"/>
      <c r="CF50" s="192" t="n"/>
      <c r="CG50" s="192" t="n"/>
      <c r="CH50" s="192" t="n"/>
      <c r="CI50" s="192" t="n"/>
      <c r="CJ50" s="192" t="n"/>
      <c r="CK50" s="192" t="n"/>
      <c r="CL50" s="192" t="n"/>
      <c r="CM50" s="192" t="n"/>
      <c r="CN50" s="192" t="n"/>
      <c r="CO50" s="192" t="n"/>
      <c r="CP50" s="192" t="n"/>
      <c r="CQ50" s="192" t="n"/>
      <c r="CR50" s="192" t="n"/>
      <c r="CS50" s="192" t="n"/>
      <c r="CT50" s="192" t="n"/>
      <c r="CU50" s="192" t="n"/>
      <c r="CV50" s="192" t="n"/>
      <c r="CW50" s="192" t="n"/>
      <c r="CX50" s="192" t="n"/>
      <c r="CY50" s="192" t="n"/>
      <c r="CZ50" s="192" t="n"/>
      <c r="DA50" s="192" t="n"/>
      <c r="DB50" s="192" t="n"/>
      <c r="DC50" s="192" t="n"/>
      <c r="DD50" s="192" t="n"/>
      <c r="DE50" s="192" t="n"/>
      <c r="DF50" s="192" t="n"/>
      <c r="DG50" s="192" t="n"/>
      <c r="DH50" s="192" t="n"/>
      <c r="DI50" s="192" t="n"/>
      <c r="DJ50" s="192" t="n"/>
      <c r="DK50" s="192" t="n"/>
      <c r="DL50" s="192" t="n"/>
      <c r="DM50" s="192" t="n"/>
      <c r="DN50" s="192" t="n"/>
      <c r="DO50" s="192" t="n"/>
      <c r="DP50" s="192" t="n"/>
      <c r="DQ50" s="192" t="n"/>
      <c r="DR50" s="192" t="n"/>
      <c r="DS50" s="192" t="n"/>
      <c r="DT50" s="192" t="n"/>
      <c r="DU50" s="192" t="n"/>
      <c r="DV50" s="192" t="n"/>
      <c r="DW50" s="192" t="n"/>
      <c r="DX50" s="192" t="n"/>
      <c r="DY50" s="192" t="n"/>
      <c r="DZ50" s="192" t="n"/>
      <c r="EA50" s="192" t="n"/>
      <c r="EB50" s="192" t="n"/>
      <c r="EC50" s="192" t="n"/>
      <c r="ED50" s="192" t="n"/>
      <c r="EE50" s="192" t="n"/>
      <c r="EF50" s="192" t="n"/>
      <c r="EG50" s="192" t="n"/>
      <c r="EH50" s="192" t="n"/>
      <c r="EI50" s="192" t="n"/>
      <c r="EJ50" s="192" t="n"/>
      <c r="EK50" s="192" t="n"/>
      <c r="EL50" s="182" t="n"/>
      <c r="EM50" s="176" t="n"/>
      <c r="EN50" s="176" t="n"/>
      <c r="EO50" s="176" t="n"/>
      <c r="EP50" s="176" t="n"/>
      <c r="EQ50" s="176" t="n"/>
      <c r="ER50" s="176" t="n"/>
      <c r="ES50" s="176" t="n"/>
      <c r="ET50" s="176" t="n"/>
      <c r="EU50" s="176" t="n"/>
      <c r="EV50" s="176" t="n"/>
      <c r="EW50" s="176" t="n"/>
      <c r="EX50" s="176" t="n"/>
      <c r="EY50" s="176" t="n"/>
      <c r="EZ50" s="176" t="n"/>
      <c r="FA50" s="176" t="n"/>
      <c r="FB50" s="176" t="n"/>
      <c r="FC50" s="176" t="n"/>
      <c r="FD50" s="176" t="n"/>
      <c r="FE50" s="176" t="n"/>
      <c r="FF50" s="176" t="n"/>
      <c r="FG50" s="176" t="n"/>
      <c r="FH50" s="176" t="n"/>
      <c r="FI50" s="176" t="n"/>
      <c r="FJ50" s="176" t="n"/>
    </row>
    <row r="51" ht="15" customHeight="1" s="392">
      <c r="A51" s="176" t="n"/>
      <c r="B51" s="180" t="n"/>
      <c r="C51" s="187" t="inlineStr">
        <is>
          <t xml:space="preserve">            Total Gross Property, Plant and Equipment</t>
        </is>
      </c>
      <c r="D51" s="193">
        <f>IF(COUNT(M51:EK51)&gt;0,MEDIAN(M51:EK51),"")</f>
        <v/>
      </c>
      <c r="E51" s="193">
        <f>IF(COUNT(M51:EK51)&gt;0,AVERAGE(M51:EK51),"")</f>
        <v/>
      </c>
      <c r="F51" s="193">
        <f>IF(COUNT(M51:EK51)&gt;0,MIN(M51:EK51),"")</f>
        <v/>
      </c>
      <c r="G51" s="193">
        <f>IF(COUNT(M51:EK51)&gt;0,MAX(M51:EK51),"")</f>
        <v/>
      </c>
      <c r="H51" s="193">
        <f>IF(COUNT(M51:EK51)&gt;0,QUARTILE(M51:EK51,1),"")</f>
        <v/>
      </c>
      <c r="I51" s="193">
        <f>IF(COUNT(M51:EK51)&gt;0,QUARTILE(M51:EK51,3),"")</f>
        <v/>
      </c>
      <c r="J51" s="193">
        <f>IF(COUNT(M51:EK51)&gt;1,STDEV(M51:EK51),"")</f>
        <v/>
      </c>
      <c r="K51" s="194">
        <f>IF(COUNT(M51:EK51)&gt;1,STDEV(M51:EK51)/AVERAGE(M51:EK51),"")</f>
        <v/>
      </c>
      <c r="L51" s="195" t="n"/>
      <c r="M51" s="196" t="n">
        <v>3816948</v>
      </c>
      <c r="N51" s="196" t="n">
        <v>3803988</v>
      </c>
      <c r="O51" s="196" t="n">
        <v>3785344</v>
      </c>
      <c r="P51" s="196" t="n">
        <v>3746018</v>
      </c>
      <c r="Q51" s="196" t="n">
        <v>4979386</v>
      </c>
      <c r="R51" s="196" t="n">
        <v>4933925</v>
      </c>
      <c r="S51" s="196" t="n">
        <v>4813217</v>
      </c>
      <c r="T51" s="196" t="n">
        <v>4667740</v>
      </c>
      <c r="U51" s="196" t="n">
        <v>4434385</v>
      </c>
      <c r="V51" s="196" t="n">
        <v>4278462</v>
      </c>
      <c r="W51" s="196" t="n">
        <v>4209438</v>
      </c>
      <c r="X51" s="196" t="n">
        <v>4074847</v>
      </c>
      <c r="Y51" s="196" t="n">
        <v>3930702</v>
      </c>
      <c r="Z51" s="196" t="n">
        <v>3759007</v>
      </c>
      <c r="AA51" s="196" t="n">
        <v>3672803</v>
      </c>
      <c r="AB51" s="196" t="n">
        <v>3566830</v>
      </c>
      <c r="AC51" s="196" t="n">
        <v>3444429</v>
      </c>
      <c r="AD51" s="196" t="n">
        <v>3337934</v>
      </c>
      <c r="AE51" s="196" t="n">
        <v>3282489</v>
      </c>
      <c r="AF51" s="196" t="n">
        <v>3199248</v>
      </c>
      <c r="AG51" s="196" t="n">
        <v>3146883</v>
      </c>
      <c r="AH51" s="196" t="n">
        <v>3063418</v>
      </c>
      <c r="AI51" s="196" t="n">
        <v>2963787</v>
      </c>
      <c r="AJ51" s="196" t="n">
        <v>2832855</v>
      </c>
      <c r="AK51" s="196" t="n">
        <v>2684715</v>
      </c>
      <c r="AL51" s="196" t="n">
        <v>2543966</v>
      </c>
      <c r="AM51" s="196" t="n">
        <v>2473342</v>
      </c>
      <c r="AN51" s="196" t="n">
        <v>1682082</v>
      </c>
      <c r="AO51" s="196" t="n">
        <v>1965348</v>
      </c>
      <c r="AP51" s="196" t="n"/>
      <c r="AQ51" s="196" t="n"/>
      <c r="AR51" s="196" t="n"/>
      <c r="AS51" s="196" t="n">
        <v>1653545</v>
      </c>
      <c r="AT51" s="196" t="n"/>
      <c r="AU51" s="196" t="n"/>
      <c r="AV51" s="196" t="n"/>
      <c r="AW51" s="196" t="n">
        <v>1396050</v>
      </c>
      <c r="AX51" s="196" t="n"/>
      <c r="AY51" s="196" t="n"/>
      <c r="AZ51" s="196" t="n"/>
      <c r="BA51" s="196" t="n">
        <v>1232328</v>
      </c>
      <c r="BB51" s="196" t="n"/>
      <c r="BC51" s="196" t="n"/>
      <c r="BD51" s="196" t="n"/>
      <c r="BE51" s="196" t="n">
        <v>1115755</v>
      </c>
      <c r="BF51" s="196" t="n"/>
      <c r="BG51" s="196" t="n"/>
      <c r="BH51" s="196" t="n"/>
      <c r="BI51" s="196" t="n">
        <v>1077617</v>
      </c>
      <c r="BJ51" s="196" t="n"/>
      <c r="BK51" s="196" t="n"/>
      <c r="BL51" s="196" t="n"/>
      <c r="BM51" s="196" t="n">
        <v>1049623</v>
      </c>
      <c r="BN51" s="196" t="n"/>
      <c r="BO51" s="196" t="n"/>
      <c r="BP51" s="196" t="n"/>
      <c r="BQ51" s="196" t="n">
        <v>910593</v>
      </c>
      <c r="BR51" s="196" t="n"/>
      <c r="BS51" s="196" t="n"/>
      <c r="BT51" s="196" t="n"/>
      <c r="BU51" s="196" t="n">
        <v>892717</v>
      </c>
      <c r="BV51" s="196" t="n"/>
      <c r="BW51" s="196" t="n"/>
      <c r="BX51" s="196" t="n">
        <v>833068</v>
      </c>
      <c r="BY51" s="196" t="n"/>
      <c r="BZ51" s="196" t="n"/>
      <c r="CA51" s="196" t="n"/>
      <c r="CB51" s="196" t="n">
        <v>758636</v>
      </c>
      <c r="CC51" s="196" t="n"/>
      <c r="CD51" s="196" t="n"/>
      <c r="CE51" s="196" t="n">
        <v>708660</v>
      </c>
      <c r="CF51" s="196" t="n">
        <v>704092</v>
      </c>
      <c r="CG51" s="196" t="n">
        <v>660969</v>
      </c>
      <c r="CH51" s="196" t="n">
        <v>622042</v>
      </c>
      <c r="CI51" s="196" t="n">
        <v>598475</v>
      </c>
      <c r="CJ51" s="196" t="n">
        <v>583385</v>
      </c>
      <c r="CK51" s="196" t="n">
        <v>488189</v>
      </c>
      <c r="CL51" s="196" t="n">
        <v>485265</v>
      </c>
      <c r="CM51" s="196" t="n">
        <v>481098</v>
      </c>
      <c r="CN51" s="196" t="n">
        <v>474823</v>
      </c>
      <c r="CO51" s="196" t="n">
        <v>438770</v>
      </c>
      <c r="CP51" s="196" t="n">
        <v>428822</v>
      </c>
      <c r="CQ51" s="196" t="n">
        <v>424801</v>
      </c>
      <c r="CR51" s="196" t="n">
        <v>413154</v>
      </c>
      <c r="CS51" s="196" t="n">
        <v>370002</v>
      </c>
      <c r="CT51" s="196" t="n">
        <v>362059.4</v>
      </c>
      <c r="CU51" s="196" t="n">
        <v>356111.5</v>
      </c>
      <c r="CV51" s="196" t="n">
        <v>352119</v>
      </c>
      <c r="CW51" s="196" t="n">
        <v>321224.9</v>
      </c>
      <c r="CX51" s="196" t="n">
        <v>323456</v>
      </c>
      <c r="CY51" s="196" t="n">
        <v>318117.6</v>
      </c>
      <c r="CZ51" s="196" t="n">
        <v>313986</v>
      </c>
      <c r="DA51" s="196" t="n">
        <v>290198.5</v>
      </c>
      <c r="DB51" s="196" t="n">
        <v>288502.6</v>
      </c>
      <c r="DC51" s="196" t="n">
        <v>261085.4</v>
      </c>
      <c r="DD51" s="196" t="n">
        <v>245543</v>
      </c>
      <c r="DE51" s="196" t="n">
        <v>204311.1</v>
      </c>
      <c r="DF51" s="196" t="n">
        <v>182859.9</v>
      </c>
      <c r="DG51" s="196" t="n">
        <v>163725</v>
      </c>
      <c r="DH51" s="196" t="n">
        <v>149196.6</v>
      </c>
      <c r="DI51" s="196" t="n">
        <v>134412.7</v>
      </c>
      <c r="DJ51" s="196" t="n">
        <v>124051.9</v>
      </c>
      <c r="DK51" s="196" t="n">
        <v>114048.3</v>
      </c>
      <c r="DL51" s="196" t="n">
        <v>106129.2</v>
      </c>
      <c r="DM51" s="196" t="n">
        <v>97773.89999999999</v>
      </c>
      <c r="DN51" s="196" t="n">
        <v>85100</v>
      </c>
      <c r="DO51" s="196" t="n">
        <v>81400</v>
      </c>
      <c r="DP51" s="196" t="n">
        <v>70600</v>
      </c>
      <c r="DQ51" s="196" t="n">
        <v>64800</v>
      </c>
      <c r="DR51" s="196" t="n">
        <v>58600</v>
      </c>
      <c r="DS51" s="196" t="n">
        <v>53700</v>
      </c>
      <c r="DT51" s="196" t="n">
        <v>50800</v>
      </c>
      <c r="DU51" s="196" t="n">
        <v>47300</v>
      </c>
      <c r="DV51" s="196" t="n">
        <v>45000</v>
      </c>
      <c r="DW51" s="196" t="n">
        <v>40900</v>
      </c>
      <c r="DX51" s="196" t="n">
        <v>38400</v>
      </c>
      <c r="DY51" s="196" t="n">
        <v>31800</v>
      </c>
      <c r="DZ51" s="196" t="n">
        <v>30800</v>
      </c>
      <c r="EA51" s="196" t="n">
        <v>28800</v>
      </c>
      <c r="EB51" s="196" t="n">
        <v>33400</v>
      </c>
      <c r="EC51" s="196" t="n">
        <v>19100</v>
      </c>
      <c r="ED51" s="196" t="n">
        <v>18600</v>
      </c>
      <c r="EE51" s="196" t="n">
        <v>18000</v>
      </c>
      <c r="EF51" s="196" t="n">
        <v>17500</v>
      </c>
      <c r="EG51" s="196" t="n">
        <v>9500</v>
      </c>
      <c r="EH51" s="196" t="n">
        <v>8700</v>
      </c>
      <c r="EI51" s="196" t="n">
        <v>8500</v>
      </c>
      <c r="EJ51" s="196" t="n">
        <v>7600</v>
      </c>
      <c r="EK51" s="196" t="n">
        <v>5500</v>
      </c>
      <c r="EL51" s="182" t="n"/>
      <c r="EM51" s="176" t="n"/>
      <c r="EN51" s="176" t="n"/>
      <c r="EO51" s="176" t="n"/>
      <c r="EP51" s="176" t="n"/>
      <c r="EQ51" s="176" t="n"/>
      <c r="ER51" s="176" t="n"/>
      <c r="ES51" s="176" t="n"/>
      <c r="ET51" s="176" t="n"/>
      <c r="EU51" s="176" t="n"/>
      <c r="EV51" s="176" t="n"/>
      <c r="EW51" s="176" t="n"/>
      <c r="EX51" s="176" t="n"/>
      <c r="EY51" s="176" t="n"/>
      <c r="EZ51" s="176" t="n"/>
      <c r="FA51" s="176" t="n"/>
      <c r="FB51" s="176" t="n"/>
      <c r="FC51" s="176" t="n"/>
      <c r="FD51" s="176" t="n"/>
      <c r="FE51" s="176" t="n"/>
      <c r="FF51" s="176" t="n"/>
      <c r="FG51" s="176" t="n"/>
      <c r="FH51" s="176" t="n"/>
      <c r="FI51" s="176" t="n"/>
      <c r="FJ51" s="176" t="n"/>
    </row>
    <row r="52" ht="15" customHeight="1" s="392">
      <c r="A52" s="176" t="n"/>
      <c r="B52" s="180" t="n"/>
      <c r="C52" s="183" t="inlineStr">
        <is>
          <t xml:space="preserve">            Accumulated Depreciation and Impairment</t>
        </is>
      </c>
      <c r="D52" s="185" t="n"/>
      <c r="E52" s="185" t="n"/>
      <c r="F52" s="185" t="n"/>
      <c r="G52" s="185" t="n"/>
      <c r="H52" s="185" t="n"/>
      <c r="I52" s="185" t="n"/>
      <c r="J52" s="185" t="n"/>
      <c r="K52" s="185" t="n"/>
      <c r="EL52" s="182" t="n"/>
      <c r="EM52" s="176" t="n"/>
      <c r="EN52" s="176" t="n"/>
      <c r="EO52" s="176" t="n"/>
      <c r="EP52" s="176" t="n"/>
      <c r="EQ52" s="176" t="n"/>
      <c r="ER52" s="176" t="n"/>
      <c r="ES52" s="176" t="n"/>
      <c r="ET52" s="176" t="n"/>
      <c r="EU52" s="176" t="n"/>
      <c r="EV52" s="176" t="n"/>
      <c r="EW52" s="176" t="n"/>
      <c r="EX52" s="176" t="n"/>
      <c r="EY52" s="176" t="n"/>
      <c r="EZ52" s="176" t="n"/>
      <c r="FA52" s="176" t="n"/>
      <c r="FB52" s="176" t="n"/>
      <c r="FC52" s="176" t="n"/>
      <c r="FD52" s="176" t="n"/>
      <c r="FE52" s="176" t="n"/>
      <c r="FF52" s="176" t="n"/>
      <c r="FG52" s="176" t="n"/>
      <c r="FH52" s="176" t="n"/>
      <c r="FI52" s="176" t="n"/>
      <c r="FJ52" s="176" t="n"/>
    </row>
    <row r="53" ht="15" customHeight="1" s="392">
      <c r="A53" s="176" t="n"/>
      <c r="B53" s="180" t="n"/>
      <c r="C53" s="183" t="inlineStr">
        <is>
          <t xml:space="preserve">                Accumulated Depreciation</t>
        </is>
      </c>
      <c r="D53" s="190">
        <f>IF(COUNT(M53:EK53)&gt;0,MEDIAN(M53:EK53),"")</f>
        <v/>
      </c>
      <c r="E53" s="190">
        <f>IF(COUNT(M53:EK53)&gt;0,AVERAGE(M53:EK53),"")</f>
        <v/>
      </c>
      <c r="F53" s="190">
        <f>IF(COUNT(M53:EK53)&gt;0,MIN(M53:EK53),"")</f>
        <v/>
      </c>
      <c r="G53" s="190">
        <f>IF(COUNT(M53:EK53)&gt;0,MAX(M53:EK53),"")</f>
        <v/>
      </c>
      <c r="H53" s="190">
        <f>IF(COUNT(M53:EK53)&gt;0,QUARTILE(M53:EK53,1),"")</f>
        <v/>
      </c>
      <c r="I53" s="190">
        <f>IF(COUNT(M53:EK53)&gt;0,QUARTILE(M53:EK53,3),"")</f>
        <v/>
      </c>
      <c r="J53" s="190">
        <f>IF(COUNT(M53:EK53)&gt;1,STDEV(M53:EK53),"")</f>
        <v/>
      </c>
      <c r="K53" s="191">
        <f>IF(COUNT(M53:EK53)&gt;1,STDEV(M53:EK53)/AVERAGE(M53:EK53),"")</f>
        <v/>
      </c>
      <c r="M53" s="192" t="n"/>
      <c r="N53" s="192" t="n"/>
      <c r="O53" s="192" t="n"/>
      <c r="P53" s="192" t="n"/>
      <c r="Q53" s="192" t="n">
        <v>-1281585</v>
      </c>
      <c r="R53" s="192" t="n">
        <v>-1266980</v>
      </c>
      <c r="S53" s="192" t="n">
        <v>-1235610</v>
      </c>
      <c r="T53" s="192" t="n">
        <v>-1191028</v>
      </c>
      <c r="U53" s="192" t="n">
        <v>-1142246</v>
      </c>
      <c r="V53" s="192" t="n">
        <v>-1096513</v>
      </c>
      <c r="W53" s="192" t="n">
        <v>-1053889</v>
      </c>
      <c r="X53" s="192" t="n">
        <v>-1009620</v>
      </c>
      <c r="Y53" s="192" t="n">
        <v>-978224</v>
      </c>
      <c r="Z53" s="192" t="n">
        <v>-942814</v>
      </c>
      <c r="AA53" s="192" t="n">
        <v>-909874</v>
      </c>
      <c r="AB53" s="192" t="n">
        <v>-871819</v>
      </c>
      <c r="AC53" s="192" t="n">
        <v>-842362</v>
      </c>
      <c r="AD53" s="192" t="n">
        <v>-814119</v>
      </c>
      <c r="AE53" s="192" t="n">
        <v>-786167</v>
      </c>
      <c r="AF53" s="192" t="n">
        <v>-757293</v>
      </c>
      <c r="AG53" s="192" t="n">
        <v>-730772</v>
      </c>
      <c r="AH53" s="192" t="n">
        <v>-710178</v>
      </c>
      <c r="AI53" s="192" t="n">
        <v>-680839</v>
      </c>
      <c r="AJ53" s="192" t="n">
        <v>-648521</v>
      </c>
      <c r="AK53" s="192" t="n">
        <v>-624541</v>
      </c>
      <c r="AL53" s="192" t="n">
        <v>-599035</v>
      </c>
      <c r="AM53" s="192" t="n">
        <v>-579656</v>
      </c>
      <c r="AN53" s="192" t="n"/>
      <c r="AO53" s="192" t="n">
        <v>-537622</v>
      </c>
      <c r="AP53" s="192" t="n"/>
      <c r="AQ53" s="192" t="n"/>
      <c r="AR53" s="192" t="n"/>
      <c r="AS53" s="192" t="n">
        <v>-490120</v>
      </c>
      <c r="AT53" s="192" t="n"/>
      <c r="AU53" s="192" t="n"/>
      <c r="AV53" s="192" t="n"/>
      <c r="AW53" s="192" t="n">
        <v>-451994</v>
      </c>
      <c r="AX53" s="192" t="n"/>
      <c r="AY53" s="192" t="n"/>
      <c r="AZ53" s="192" t="n"/>
      <c r="BA53" s="192" t="n">
        <v>-415537</v>
      </c>
      <c r="BB53" s="192" t="n"/>
      <c r="BC53" s="192" t="n"/>
      <c r="BD53" s="192" t="n"/>
      <c r="BE53" s="192" t="n">
        <v>-415353</v>
      </c>
      <c r="BF53" s="192" t="n"/>
      <c r="BG53" s="192" t="n"/>
      <c r="BH53" s="192" t="n"/>
      <c r="BI53" s="192" t="n">
        <v>-385234</v>
      </c>
      <c r="BJ53" s="192" t="n"/>
      <c r="BK53" s="192" t="n"/>
      <c r="BL53" s="192" t="n"/>
      <c r="BM53" s="192" t="n">
        <v>-372106</v>
      </c>
      <c r="BN53" s="192" t="n"/>
      <c r="BO53" s="192" t="n"/>
      <c r="BP53" s="192" t="n"/>
      <c r="BQ53" s="192" t="n">
        <v>-323430</v>
      </c>
      <c r="BR53" s="192" t="n"/>
      <c r="BS53" s="192" t="n"/>
      <c r="BT53" s="192" t="n"/>
      <c r="BU53" s="192" t="n">
        <v>-292329</v>
      </c>
      <c r="BV53" s="192" t="n"/>
      <c r="BW53" s="192" t="n"/>
      <c r="BX53" s="192" t="n">
        <v>-259554</v>
      </c>
      <c r="BY53" s="192" t="n"/>
      <c r="BZ53" s="192" t="n"/>
      <c r="CA53" s="192" t="n"/>
      <c r="CB53" s="192" t="n">
        <v>-227750</v>
      </c>
      <c r="CC53" s="192" t="n"/>
      <c r="CD53" s="192" t="n"/>
      <c r="CE53" s="192" t="n">
        <v>-193752</v>
      </c>
      <c r="CF53" s="192" t="n">
        <v>-193752</v>
      </c>
      <c r="CG53" s="192" t="n">
        <v>-162721</v>
      </c>
      <c r="CH53" s="192" t="n">
        <v>-162721</v>
      </c>
      <c r="CI53" s="192" t="n">
        <v>-162721</v>
      </c>
      <c r="CJ53" s="192" t="n">
        <v>-162721</v>
      </c>
      <c r="CK53" s="192" t="n">
        <v>-132880</v>
      </c>
      <c r="CL53" s="192" t="n">
        <v>-132880</v>
      </c>
      <c r="CM53" s="192" t="n">
        <v>-132880</v>
      </c>
      <c r="CN53" s="192" t="n">
        <v>-132880</v>
      </c>
      <c r="CO53" s="192" t="n">
        <v>-117884</v>
      </c>
      <c r="CP53" s="192" t="n">
        <v>-117884</v>
      </c>
      <c r="CQ53" s="192" t="n">
        <v>-117884</v>
      </c>
      <c r="CR53" s="192" t="n">
        <v>-117884</v>
      </c>
      <c r="CS53" s="192" t="n">
        <v>-94452</v>
      </c>
      <c r="CT53" s="192" t="n">
        <v>-94451.5</v>
      </c>
      <c r="CU53" s="192" t="n">
        <v>-94451.5</v>
      </c>
      <c r="CV53" s="192" t="n">
        <v>-94452</v>
      </c>
      <c r="CW53" s="192" t="n">
        <v>-69625</v>
      </c>
      <c r="CX53" s="192" t="n">
        <v>-69625</v>
      </c>
      <c r="CY53" s="192" t="n">
        <v>-69624.5</v>
      </c>
      <c r="CZ53" s="192" t="n">
        <v>-69625</v>
      </c>
      <c r="DA53" s="192" t="n">
        <v>-47774.3</v>
      </c>
      <c r="DB53" s="192" t="n">
        <v>-47774.3</v>
      </c>
      <c r="DC53" s="192" t="n">
        <v>-47774.3</v>
      </c>
      <c r="DD53" s="192" t="n">
        <v>-47774.3</v>
      </c>
      <c r="DE53" s="192" t="n">
        <v>-34199</v>
      </c>
      <c r="DF53" s="192" t="n">
        <v>-34199</v>
      </c>
      <c r="DG53" s="192" t="n">
        <v>-34199</v>
      </c>
      <c r="DH53" s="192" t="n">
        <v>-34199</v>
      </c>
      <c r="DI53" s="192" t="n">
        <v>-25615</v>
      </c>
      <c r="DJ53" s="192" t="n">
        <v>-25615</v>
      </c>
      <c r="DK53" s="192" t="n">
        <v>-25615</v>
      </c>
      <c r="DL53" s="192" t="n">
        <v>-25615</v>
      </c>
      <c r="DM53" s="192" t="n">
        <v>-23868</v>
      </c>
      <c r="DN53" s="192" t="n">
        <v>-19000</v>
      </c>
      <c r="DO53" s="192" t="n">
        <v>-20300</v>
      </c>
      <c r="DP53" s="192" t="n">
        <v>-19000</v>
      </c>
      <c r="DQ53" s="192" t="n">
        <v>-17300</v>
      </c>
      <c r="DR53" s="192" t="n">
        <v>-13200</v>
      </c>
      <c r="DS53" s="192" t="n">
        <v>-13200</v>
      </c>
      <c r="DT53" s="192" t="n">
        <v>-13200</v>
      </c>
      <c r="DU53" s="192" t="n">
        <v>-11600</v>
      </c>
      <c r="DV53" s="192" t="n">
        <v>-11600</v>
      </c>
      <c r="DW53" s="192" t="n">
        <v>-10500</v>
      </c>
      <c r="DX53" s="192" t="n">
        <v>-9600</v>
      </c>
      <c r="DY53" s="192" t="n">
        <v>-3600</v>
      </c>
      <c r="DZ53" s="192" t="n">
        <v>-3600</v>
      </c>
      <c r="EA53" s="192" t="n">
        <v>-1800</v>
      </c>
      <c r="EB53" s="192" t="n">
        <v>-7200</v>
      </c>
      <c r="EC53" s="192" t="n">
        <v>-4400</v>
      </c>
      <c r="ED53" s="192" t="n">
        <v>-4400</v>
      </c>
      <c r="EE53" s="192" t="n">
        <v>-4400</v>
      </c>
      <c r="EF53" s="192" t="n">
        <v>-4400</v>
      </c>
      <c r="EG53" s="192" t="n">
        <v>-2800</v>
      </c>
      <c r="EH53" s="192" t="n">
        <v>-2800</v>
      </c>
      <c r="EI53" s="192" t="n">
        <v>-2800</v>
      </c>
      <c r="EJ53" s="192" t="n">
        <v>-2800</v>
      </c>
      <c r="EK53" s="192" t="n">
        <v>-2200</v>
      </c>
      <c r="EL53" s="182" t="n"/>
      <c r="EM53" s="176" t="n"/>
      <c r="EN53" s="176" t="n"/>
      <c r="EO53" s="176" t="n"/>
      <c r="EP53" s="176" t="n"/>
      <c r="EQ53" s="176" t="n"/>
      <c r="ER53" s="176" t="n"/>
      <c r="ES53" s="176" t="n"/>
      <c r="ET53" s="176" t="n"/>
      <c r="EU53" s="176" t="n"/>
      <c r="EV53" s="176" t="n"/>
      <c r="EW53" s="176" t="n"/>
      <c r="EX53" s="176" t="n"/>
      <c r="EY53" s="176" t="n"/>
      <c r="EZ53" s="176" t="n"/>
      <c r="FA53" s="176" t="n"/>
      <c r="FB53" s="176" t="n"/>
      <c r="FC53" s="176" t="n"/>
      <c r="FD53" s="176" t="n"/>
      <c r="FE53" s="176" t="n"/>
      <c r="FF53" s="176" t="n"/>
      <c r="FG53" s="176" t="n"/>
      <c r="FH53" s="176" t="n"/>
      <c r="FI53" s="176" t="n"/>
      <c r="FJ53" s="176" t="n"/>
    </row>
    <row r="54" ht="15" customHeight="1" s="392">
      <c r="A54" s="176" t="n"/>
      <c r="B54" s="180" t="n"/>
      <c r="C54" s="187" t="inlineStr">
        <is>
          <t xml:space="preserve">            Total Accumulated Depreciation and Impairment</t>
        </is>
      </c>
      <c r="D54" s="193">
        <f>IF(COUNT(M54:EK54)&gt;0,MEDIAN(M54:EK54),"")</f>
        <v/>
      </c>
      <c r="E54" s="193">
        <f>IF(COUNT(M54:EK54)&gt;0,AVERAGE(M54:EK54),"")</f>
        <v/>
      </c>
      <c r="F54" s="193">
        <f>IF(COUNT(M54:EK54)&gt;0,MIN(M54:EK54),"")</f>
        <v/>
      </c>
      <c r="G54" s="193">
        <f>IF(COUNT(M54:EK54)&gt;0,MAX(M54:EK54),"")</f>
        <v/>
      </c>
      <c r="H54" s="193">
        <f>IF(COUNT(M54:EK54)&gt;0,QUARTILE(M54:EK54,1),"")</f>
        <v/>
      </c>
      <c r="I54" s="193">
        <f>IF(COUNT(M54:EK54)&gt;0,QUARTILE(M54:EK54,3),"")</f>
        <v/>
      </c>
      <c r="J54" s="193">
        <f>IF(COUNT(M54:EK54)&gt;1,STDEV(M54:EK54),"")</f>
        <v/>
      </c>
      <c r="K54" s="194">
        <f>IF(COUNT(M54:EK54)&gt;1,STDEV(M54:EK54)/AVERAGE(M54:EK54),"")</f>
        <v/>
      </c>
      <c r="L54" s="195" t="n"/>
      <c r="M54" s="196" t="n"/>
      <c r="N54" s="196" t="n"/>
      <c r="O54" s="196" t="n"/>
      <c r="P54" s="196" t="n"/>
      <c r="Q54" s="196" t="n">
        <v>-1281585</v>
      </c>
      <c r="R54" s="196" t="n">
        <v>-1266980</v>
      </c>
      <c r="S54" s="196" t="n">
        <v>-1235610</v>
      </c>
      <c r="T54" s="196" t="n">
        <v>-1191028</v>
      </c>
      <c r="U54" s="196" t="n">
        <v>-1142246</v>
      </c>
      <c r="V54" s="196" t="n">
        <v>-1096513</v>
      </c>
      <c r="W54" s="196" t="n">
        <v>-1053889</v>
      </c>
      <c r="X54" s="196" t="n">
        <v>-1009620</v>
      </c>
      <c r="Y54" s="196" t="n">
        <v>-978224</v>
      </c>
      <c r="Z54" s="196" t="n">
        <v>-942814</v>
      </c>
      <c r="AA54" s="196" t="n">
        <v>-909874</v>
      </c>
      <c r="AB54" s="196" t="n">
        <v>-871819</v>
      </c>
      <c r="AC54" s="196" t="n">
        <v>-842362</v>
      </c>
      <c r="AD54" s="196" t="n">
        <v>-814119</v>
      </c>
      <c r="AE54" s="196" t="n">
        <v>-786167</v>
      </c>
      <c r="AF54" s="196" t="n">
        <v>-757293</v>
      </c>
      <c r="AG54" s="196" t="n">
        <v>-730772</v>
      </c>
      <c r="AH54" s="196" t="n">
        <v>-710178</v>
      </c>
      <c r="AI54" s="196" t="n">
        <v>-680839</v>
      </c>
      <c r="AJ54" s="196" t="n">
        <v>-648521</v>
      </c>
      <c r="AK54" s="196" t="n">
        <v>-624541</v>
      </c>
      <c r="AL54" s="196" t="n">
        <v>-599035</v>
      </c>
      <c r="AM54" s="196" t="n">
        <v>-579656</v>
      </c>
      <c r="AN54" s="196" t="n"/>
      <c r="AO54" s="196" t="n">
        <v>-537622</v>
      </c>
      <c r="AP54" s="196" t="n"/>
      <c r="AQ54" s="196" t="n"/>
      <c r="AR54" s="196" t="n"/>
      <c r="AS54" s="196" t="n">
        <v>-490120</v>
      </c>
      <c r="AT54" s="196" t="n"/>
      <c r="AU54" s="196" t="n"/>
      <c r="AV54" s="196" t="n"/>
      <c r="AW54" s="196" t="n">
        <v>-451994</v>
      </c>
      <c r="AX54" s="196" t="n"/>
      <c r="AY54" s="196" t="n"/>
      <c r="AZ54" s="196" t="n"/>
      <c r="BA54" s="196" t="n">
        <v>-415537</v>
      </c>
      <c r="BB54" s="196" t="n"/>
      <c r="BC54" s="196" t="n"/>
      <c r="BD54" s="196" t="n"/>
      <c r="BE54" s="196" t="n">
        <v>-415353</v>
      </c>
      <c r="BF54" s="196" t="n"/>
      <c r="BG54" s="196" t="n"/>
      <c r="BH54" s="196" t="n"/>
      <c r="BI54" s="196" t="n">
        <v>-385234</v>
      </c>
      <c r="BJ54" s="196" t="n"/>
      <c r="BK54" s="196" t="n"/>
      <c r="BL54" s="196" t="n"/>
      <c r="BM54" s="196" t="n">
        <v>-372106</v>
      </c>
      <c r="BN54" s="196" t="n"/>
      <c r="BO54" s="196" t="n"/>
      <c r="BP54" s="196" t="n"/>
      <c r="BQ54" s="196" t="n">
        <v>-323430</v>
      </c>
      <c r="BR54" s="196" t="n"/>
      <c r="BS54" s="196" t="n"/>
      <c r="BT54" s="196" t="n"/>
      <c r="BU54" s="196" t="n">
        <v>-292329</v>
      </c>
      <c r="BV54" s="196" t="n"/>
      <c r="BW54" s="196" t="n"/>
      <c r="BX54" s="196" t="n">
        <v>-259554</v>
      </c>
      <c r="BY54" s="196" t="n"/>
      <c r="BZ54" s="196" t="n"/>
      <c r="CA54" s="196" t="n"/>
      <c r="CB54" s="196" t="n">
        <v>-227750</v>
      </c>
      <c r="CC54" s="196" t="n"/>
      <c r="CD54" s="196" t="n"/>
      <c r="CE54" s="196" t="n">
        <v>-193752</v>
      </c>
      <c r="CF54" s="196" t="n">
        <v>-193752</v>
      </c>
      <c r="CG54" s="196" t="n">
        <v>-162721</v>
      </c>
      <c r="CH54" s="196" t="n">
        <v>-162721</v>
      </c>
      <c r="CI54" s="196" t="n">
        <v>-162721</v>
      </c>
      <c r="CJ54" s="196" t="n">
        <v>-162721</v>
      </c>
      <c r="CK54" s="196" t="n">
        <v>-132880</v>
      </c>
      <c r="CL54" s="196" t="n">
        <v>-132880</v>
      </c>
      <c r="CM54" s="196" t="n">
        <v>-132880</v>
      </c>
      <c r="CN54" s="196" t="n">
        <v>-132880</v>
      </c>
      <c r="CO54" s="196" t="n">
        <v>-117884</v>
      </c>
      <c r="CP54" s="196" t="n">
        <v>-117884</v>
      </c>
      <c r="CQ54" s="196" t="n">
        <v>-117884</v>
      </c>
      <c r="CR54" s="196" t="n">
        <v>-117884</v>
      </c>
      <c r="CS54" s="196" t="n">
        <v>-94452</v>
      </c>
      <c r="CT54" s="196" t="n">
        <v>-94451.5</v>
      </c>
      <c r="CU54" s="196" t="n">
        <v>-94451.5</v>
      </c>
      <c r="CV54" s="196" t="n">
        <v>-94452</v>
      </c>
      <c r="CW54" s="196" t="n">
        <v>-69625</v>
      </c>
      <c r="CX54" s="196" t="n">
        <v>-69625</v>
      </c>
      <c r="CY54" s="196" t="n">
        <v>-69624.5</v>
      </c>
      <c r="CZ54" s="196" t="n">
        <v>-69625</v>
      </c>
      <c r="DA54" s="196" t="n">
        <v>-47774.3</v>
      </c>
      <c r="DB54" s="196" t="n">
        <v>-47774.3</v>
      </c>
      <c r="DC54" s="196" t="n">
        <v>-47774.3</v>
      </c>
      <c r="DD54" s="196" t="n">
        <v>-47774.3</v>
      </c>
      <c r="DE54" s="196" t="n">
        <v>-34199</v>
      </c>
      <c r="DF54" s="196" t="n">
        <v>-34199</v>
      </c>
      <c r="DG54" s="196" t="n">
        <v>-34199</v>
      </c>
      <c r="DH54" s="196" t="n">
        <v>-34199</v>
      </c>
      <c r="DI54" s="196" t="n">
        <v>-25615</v>
      </c>
      <c r="DJ54" s="196" t="n">
        <v>-25615</v>
      </c>
      <c r="DK54" s="196" t="n">
        <v>-25615</v>
      </c>
      <c r="DL54" s="196" t="n">
        <v>-25615</v>
      </c>
      <c r="DM54" s="196" t="n">
        <v>-23868</v>
      </c>
      <c r="DN54" s="196" t="n">
        <v>-19000</v>
      </c>
      <c r="DO54" s="196" t="n">
        <v>-20300</v>
      </c>
      <c r="DP54" s="196" t="n">
        <v>-19000</v>
      </c>
      <c r="DQ54" s="196" t="n">
        <v>-17300</v>
      </c>
      <c r="DR54" s="196" t="n">
        <v>-13200</v>
      </c>
      <c r="DS54" s="196" t="n">
        <v>-13200</v>
      </c>
      <c r="DT54" s="196" t="n">
        <v>-13200</v>
      </c>
      <c r="DU54" s="196" t="n">
        <v>-11600</v>
      </c>
      <c r="DV54" s="196" t="n">
        <v>-11600</v>
      </c>
      <c r="DW54" s="196" t="n">
        <v>-10500</v>
      </c>
      <c r="DX54" s="196" t="n">
        <v>-9600</v>
      </c>
      <c r="DY54" s="196" t="n">
        <v>-3600</v>
      </c>
      <c r="DZ54" s="196" t="n">
        <v>-3600</v>
      </c>
      <c r="EA54" s="196" t="n">
        <v>-1800</v>
      </c>
      <c r="EB54" s="196" t="n">
        <v>-7200</v>
      </c>
      <c r="EC54" s="196" t="n">
        <v>-4400</v>
      </c>
      <c r="ED54" s="196" t="n">
        <v>-4400</v>
      </c>
      <c r="EE54" s="196" t="n">
        <v>-4400</v>
      </c>
      <c r="EF54" s="196" t="n">
        <v>-4400</v>
      </c>
      <c r="EG54" s="196" t="n">
        <v>-2800</v>
      </c>
      <c r="EH54" s="196" t="n">
        <v>-2800</v>
      </c>
      <c r="EI54" s="196" t="n">
        <v>-2800</v>
      </c>
      <c r="EJ54" s="196" t="n">
        <v>-2800</v>
      </c>
      <c r="EK54" s="196" t="n">
        <v>-2200</v>
      </c>
      <c r="EL54" s="182" t="n"/>
      <c r="EM54" s="176" t="n"/>
      <c r="EN54" s="176" t="n"/>
      <c r="EO54" s="176" t="n"/>
      <c r="EP54" s="176" t="n"/>
      <c r="EQ54" s="176" t="n"/>
      <c r="ER54" s="176" t="n"/>
      <c r="ES54" s="176" t="n"/>
      <c r="ET54" s="176" t="n"/>
      <c r="EU54" s="176" t="n"/>
      <c r="EV54" s="176" t="n"/>
      <c r="EW54" s="176" t="n"/>
      <c r="EX54" s="176" t="n"/>
      <c r="EY54" s="176" t="n"/>
      <c r="EZ54" s="176" t="n"/>
      <c r="FA54" s="176" t="n"/>
      <c r="FB54" s="176" t="n"/>
      <c r="FC54" s="176" t="n"/>
      <c r="FD54" s="176" t="n"/>
      <c r="FE54" s="176" t="n"/>
      <c r="FF54" s="176" t="n"/>
      <c r="FG54" s="176" t="n"/>
      <c r="FH54" s="176" t="n"/>
      <c r="FI54" s="176" t="n"/>
      <c r="FJ54" s="176" t="n"/>
    </row>
    <row r="55" ht="15" customHeight="1" s="392">
      <c r="A55" s="176" t="n"/>
      <c r="B55" s="180" t="n"/>
      <c r="C55" s="187" t="inlineStr">
        <is>
          <t xml:space="preserve">        Total Net Property, Plant and Equipment</t>
        </is>
      </c>
      <c r="D55" s="193">
        <f>IF(COUNT(M55:EK55)&gt;0,MEDIAN(M55:EK55),"")</f>
        <v/>
      </c>
      <c r="E55" s="193">
        <f>IF(COUNT(M55:EK55)&gt;0,AVERAGE(M55:EK55),"")</f>
        <v/>
      </c>
      <c r="F55" s="193">
        <f>IF(COUNT(M55:EK55)&gt;0,MIN(M55:EK55),"")</f>
        <v/>
      </c>
      <c r="G55" s="193">
        <f>IF(COUNT(M55:EK55)&gt;0,MAX(M55:EK55),"")</f>
        <v/>
      </c>
      <c r="H55" s="193">
        <f>IF(COUNT(M55:EK55)&gt;0,QUARTILE(M55:EK55,1),"")</f>
        <v/>
      </c>
      <c r="I55" s="193">
        <f>IF(COUNT(M55:EK55)&gt;0,QUARTILE(M55:EK55,3),"")</f>
        <v/>
      </c>
      <c r="J55" s="193">
        <f>IF(COUNT(M55:EK55)&gt;1,STDEV(M55:EK55),"")</f>
        <v/>
      </c>
      <c r="K55" s="194">
        <f>IF(COUNT(M55:EK55)&gt;1,STDEV(M55:EK55)/AVERAGE(M55:EK55),"")</f>
        <v/>
      </c>
      <c r="L55" s="195" t="n"/>
      <c r="M55" s="196" t="n">
        <v>3816948</v>
      </c>
      <c r="N55" s="196" t="n">
        <v>3803988</v>
      </c>
      <c r="O55" s="196" t="n">
        <v>3785344</v>
      </c>
      <c r="P55" s="196" t="n">
        <v>3746018</v>
      </c>
      <c r="Q55" s="196" t="n">
        <v>3697801</v>
      </c>
      <c r="R55" s="196" t="n">
        <v>3666945</v>
      </c>
      <c r="S55" s="196" t="n">
        <v>3577607</v>
      </c>
      <c r="T55" s="196" t="n">
        <v>3476712</v>
      </c>
      <c r="U55" s="196" t="n">
        <v>3292139</v>
      </c>
      <c r="V55" s="196" t="n">
        <v>3181949</v>
      </c>
      <c r="W55" s="196" t="n">
        <v>3155549</v>
      </c>
      <c r="X55" s="196" t="n">
        <v>3065227</v>
      </c>
      <c r="Y55" s="196" t="n">
        <v>2952478</v>
      </c>
      <c r="Z55" s="196" t="n">
        <v>2816193</v>
      </c>
      <c r="AA55" s="196" t="n">
        <v>2762929</v>
      </c>
      <c r="AB55" s="196" t="n">
        <v>2695011</v>
      </c>
      <c r="AC55" s="196" t="n">
        <v>2602067</v>
      </c>
      <c r="AD55" s="196" t="n">
        <v>2523815</v>
      </c>
      <c r="AE55" s="196" t="n">
        <v>2496322</v>
      </c>
      <c r="AF55" s="196" t="n">
        <v>2441955</v>
      </c>
      <c r="AG55" s="196" t="n">
        <v>2416111</v>
      </c>
      <c r="AH55" s="196" t="n">
        <v>2353240</v>
      </c>
      <c r="AI55" s="196" t="n">
        <v>2282948</v>
      </c>
      <c r="AJ55" s="196" t="n">
        <v>2184334</v>
      </c>
      <c r="AK55" s="196" t="n">
        <v>2060174</v>
      </c>
      <c r="AL55" s="196" t="n">
        <v>1944931</v>
      </c>
      <c r="AM55" s="196" t="n">
        <v>1893686</v>
      </c>
      <c r="AN55" s="196" t="n">
        <v>1682082</v>
      </c>
      <c r="AO55" s="196" t="n">
        <v>1427726</v>
      </c>
      <c r="AP55" s="196" t="n">
        <v>1340692</v>
      </c>
      <c r="AQ55" s="196" t="n">
        <v>1237117</v>
      </c>
      <c r="AR55" s="196" t="n">
        <v>1188088</v>
      </c>
      <c r="AS55" s="196" t="n">
        <v>1163425</v>
      </c>
      <c r="AT55" s="196" t="n">
        <v>1087910</v>
      </c>
      <c r="AU55" s="196" t="n">
        <v>1024564</v>
      </c>
      <c r="AV55" s="196" t="n">
        <v>959716</v>
      </c>
      <c r="AW55" s="196" t="n">
        <v>944056</v>
      </c>
      <c r="AX55" s="196" t="n">
        <v>913303</v>
      </c>
      <c r="AY55" s="196" t="n">
        <v>882256</v>
      </c>
      <c r="AZ55" s="196" t="n">
        <v>840587</v>
      </c>
      <c r="BA55" s="196" t="n">
        <v>816791</v>
      </c>
      <c r="BB55" s="196" t="n">
        <v>806973</v>
      </c>
      <c r="BC55" s="196" t="n">
        <v>744224</v>
      </c>
      <c r="BD55" s="196" t="n">
        <v>705590</v>
      </c>
      <c r="BE55" s="196" t="n">
        <v>700402</v>
      </c>
      <c r="BF55" s="196" t="n">
        <v>683956</v>
      </c>
      <c r="BG55" s="196" t="n">
        <v>688244</v>
      </c>
      <c r="BH55" s="196" t="n">
        <v>691981</v>
      </c>
      <c r="BI55" s="196" t="n">
        <v>692383</v>
      </c>
      <c r="BJ55" s="196" t="n">
        <v>685564</v>
      </c>
      <c r="BK55" s="196" t="n">
        <v>707379</v>
      </c>
      <c r="BL55" s="196" t="n">
        <v>692398</v>
      </c>
      <c r="BM55" s="196" t="n">
        <v>677517</v>
      </c>
      <c r="BN55" s="196" t="n">
        <v>676698</v>
      </c>
      <c r="BO55" s="196" t="n">
        <v>657424</v>
      </c>
      <c r="BP55" s="196" t="n">
        <v>625043</v>
      </c>
      <c r="BQ55" s="196" t="n">
        <v>587163</v>
      </c>
      <c r="BR55" s="196" t="n">
        <v>574732</v>
      </c>
      <c r="BS55" s="196" t="n">
        <v>568816</v>
      </c>
      <c r="BT55" s="196" t="n">
        <v>594851</v>
      </c>
      <c r="BU55" s="196" t="n">
        <v>600388</v>
      </c>
      <c r="BV55" s="196" t="n">
        <v>598968</v>
      </c>
      <c r="BW55" s="196" t="n">
        <v>574880</v>
      </c>
      <c r="BX55" s="196" t="n">
        <v>573514</v>
      </c>
      <c r="BY55" s="196" t="n">
        <v>563364</v>
      </c>
      <c r="BZ55" s="196" t="n">
        <v>558302</v>
      </c>
      <c r="CA55" s="196" t="n">
        <v>546088</v>
      </c>
      <c r="CB55" s="196" t="n">
        <v>530886</v>
      </c>
      <c r="CC55" s="196" t="n">
        <v>524184</v>
      </c>
      <c r="CD55" s="196" t="n">
        <v>520636</v>
      </c>
      <c r="CE55" s="196" t="n">
        <v>514908</v>
      </c>
      <c r="CF55" s="196" t="n">
        <v>510340</v>
      </c>
      <c r="CG55" s="196" t="n">
        <v>498248</v>
      </c>
      <c r="CH55" s="196" t="n">
        <v>459321</v>
      </c>
      <c r="CI55" s="196" t="n">
        <v>435754</v>
      </c>
      <c r="CJ55" s="196" t="n">
        <v>420664</v>
      </c>
      <c r="CK55" s="196" t="n">
        <v>355309</v>
      </c>
      <c r="CL55" s="196" t="n">
        <v>352385</v>
      </c>
      <c r="CM55" s="196" t="n">
        <v>348218</v>
      </c>
      <c r="CN55" s="196" t="n">
        <v>341943</v>
      </c>
      <c r="CO55" s="196" t="n">
        <v>320886</v>
      </c>
      <c r="CP55" s="196" t="n">
        <v>310938</v>
      </c>
      <c r="CQ55" s="196" t="n">
        <v>306917</v>
      </c>
      <c r="CR55" s="196" t="n">
        <v>295270</v>
      </c>
      <c r="CS55" s="196" t="n">
        <v>275550</v>
      </c>
      <c r="CT55" s="196" t="n">
        <v>267607.9</v>
      </c>
      <c r="CU55" s="196" t="n">
        <v>261660</v>
      </c>
      <c r="CV55" s="196" t="n">
        <v>257667</v>
      </c>
      <c r="CW55" s="196" t="n">
        <v>251599.9</v>
      </c>
      <c r="CX55" s="196" t="n">
        <v>253831</v>
      </c>
      <c r="CY55" s="196" t="n">
        <v>248493.1</v>
      </c>
      <c r="CZ55" s="196" t="n">
        <v>244361</v>
      </c>
      <c r="DA55" s="196" t="n">
        <v>242424.2</v>
      </c>
      <c r="DB55" s="196" t="n">
        <v>240728.3</v>
      </c>
      <c r="DC55" s="196" t="n">
        <v>213311.1</v>
      </c>
      <c r="DD55" s="196" t="n">
        <v>197768.7</v>
      </c>
      <c r="DE55" s="196" t="n">
        <v>170112.1</v>
      </c>
      <c r="DF55" s="196" t="n">
        <v>148660.9</v>
      </c>
      <c r="DG55" s="196" t="n">
        <v>129526</v>
      </c>
      <c r="DH55" s="196" t="n">
        <v>114997.6</v>
      </c>
      <c r="DI55" s="196" t="n">
        <v>108797.7</v>
      </c>
      <c r="DJ55" s="196" t="n">
        <v>98436.89999999999</v>
      </c>
      <c r="DK55" s="196" t="n">
        <v>88433.3</v>
      </c>
      <c r="DL55" s="196" t="n">
        <v>80514.2</v>
      </c>
      <c r="DM55" s="196" t="n">
        <v>73905.89999999999</v>
      </c>
      <c r="DN55" s="196" t="n">
        <v>66100</v>
      </c>
      <c r="DO55" s="196" t="n">
        <v>61100</v>
      </c>
      <c r="DP55" s="196" t="n">
        <v>51600</v>
      </c>
      <c r="DQ55" s="196" t="n">
        <v>47500</v>
      </c>
      <c r="DR55" s="196" t="n">
        <v>45400</v>
      </c>
      <c r="DS55" s="196" t="n">
        <v>40500</v>
      </c>
      <c r="DT55" s="196" t="n">
        <v>37600</v>
      </c>
      <c r="DU55" s="196" t="n">
        <v>35700</v>
      </c>
      <c r="DV55" s="196" t="n">
        <v>33400</v>
      </c>
      <c r="DW55" s="196" t="n">
        <v>30400</v>
      </c>
      <c r="DX55" s="196" t="n">
        <v>28800</v>
      </c>
      <c r="DY55" s="196" t="n">
        <v>28200</v>
      </c>
      <c r="DZ55" s="196" t="n">
        <v>27200</v>
      </c>
      <c r="EA55" s="196" t="n">
        <v>27000</v>
      </c>
      <c r="EB55" s="196" t="n">
        <v>26200</v>
      </c>
      <c r="EC55" s="196" t="n">
        <v>14700</v>
      </c>
      <c r="ED55" s="196" t="n">
        <v>14200</v>
      </c>
      <c r="EE55" s="196" t="n">
        <v>13600</v>
      </c>
      <c r="EF55" s="196" t="n">
        <v>13100</v>
      </c>
      <c r="EG55" s="196" t="n">
        <v>6700</v>
      </c>
      <c r="EH55" s="196" t="n">
        <v>5900</v>
      </c>
      <c r="EI55" s="196" t="n">
        <v>5700</v>
      </c>
      <c r="EJ55" s="196" t="n">
        <v>4800</v>
      </c>
      <c r="EK55" s="196" t="n">
        <v>3300</v>
      </c>
      <c r="EL55" s="182" t="n"/>
      <c r="EM55" s="176" t="n"/>
      <c r="EN55" s="176" t="n"/>
      <c r="EO55" s="176" t="n"/>
      <c r="EP55" s="176" t="n"/>
      <c r="EQ55" s="176" t="n"/>
      <c r="ER55" s="176" t="n"/>
      <c r="ES55" s="176" t="n"/>
      <c r="ET55" s="176" t="n"/>
      <c r="EU55" s="176" t="n"/>
      <c r="EV55" s="176" t="n"/>
      <c r="EW55" s="176" t="n"/>
      <c r="EX55" s="176" t="n"/>
      <c r="EY55" s="176" t="n"/>
      <c r="EZ55" s="176" t="n"/>
      <c r="FA55" s="176" t="n"/>
      <c r="FB55" s="176" t="n"/>
      <c r="FC55" s="176" t="n"/>
      <c r="FD55" s="176" t="n"/>
      <c r="FE55" s="176" t="n"/>
      <c r="FF55" s="176" t="n"/>
      <c r="FG55" s="176" t="n"/>
      <c r="FH55" s="176" t="n"/>
      <c r="FI55" s="176" t="n"/>
      <c r="FJ55" s="176" t="n"/>
    </row>
    <row r="56" ht="15" customHeight="1" s="392">
      <c r="A56" s="176" t="n"/>
      <c r="B56" s="180" t="n"/>
      <c r="C56" s="183" t="inlineStr">
        <is>
          <t xml:space="preserve">        Net Intangible Assets</t>
        </is>
      </c>
      <c r="D56" s="185" t="n"/>
      <c r="E56" s="185" t="n"/>
      <c r="F56" s="185" t="n"/>
      <c r="G56" s="185" t="n"/>
      <c r="H56" s="185" t="n"/>
      <c r="I56" s="185" t="n"/>
      <c r="J56" s="185" t="n"/>
      <c r="K56" s="185" t="n"/>
      <c r="EL56" s="182" t="n"/>
      <c r="EM56" s="176" t="n"/>
      <c r="EN56" s="176" t="n"/>
      <c r="EO56" s="176" t="n"/>
      <c r="EP56" s="176" t="n"/>
      <c r="EQ56" s="176" t="n"/>
      <c r="ER56" s="176" t="n"/>
      <c r="ES56" s="176" t="n"/>
      <c r="ET56" s="176" t="n"/>
      <c r="EU56" s="176" t="n"/>
      <c r="EV56" s="176" t="n"/>
      <c r="EW56" s="176" t="n"/>
      <c r="EX56" s="176" t="n"/>
      <c r="EY56" s="176" t="n"/>
      <c r="EZ56" s="176" t="n"/>
      <c r="FA56" s="176" t="n"/>
      <c r="FB56" s="176" t="n"/>
      <c r="FC56" s="176" t="n"/>
      <c r="FD56" s="176" t="n"/>
      <c r="FE56" s="176" t="n"/>
      <c r="FF56" s="176" t="n"/>
      <c r="FG56" s="176" t="n"/>
      <c r="FH56" s="176" t="n"/>
      <c r="FI56" s="176" t="n"/>
      <c r="FJ56" s="176" t="n"/>
    </row>
    <row r="57" ht="15" customHeight="1" s="392">
      <c r="A57" s="176" t="n"/>
      <c r="B57" s="180" t="n"/>
      <c r="C57" s="183" t="inlineStr">
        <is>
          <t xml:space="preserve">            Gross Goodwill and Other Intangible Assets</t>
        </is>
      </c>
      <c r="D57" s="185" t="n"/>
      <c r="E57" s="185" t="n"/>
      <c r="F57" s="185" t="n"/>
      <c r="G57" s="185" t="n"/>
      <c r="H57" s="185" t="n"/>
      <c r="I57" s="185" t="n"/>
      <c r="J57" s="185" t="n"/>
      <c r="K57" s="185" t="n"/>
      <c r="EL57" s="182" t="n"/>
      <c r="EM57" s="176" t="n"/>
      <c r="EN57" s="176" t="n"/>
      <c r="EO57" s="176" t="n"/>
      <c r="EP57" s="176" t="n"/>
      <c r="EQ57" s="176" t="n"/>
      <c r="ER57" s="176" t="n"/>
      <c r="ES57" s="176" t="n"/>
      <c r="ET57" s="176" t="n"/>
      <c r="EU57" s="176" t="n"/>
      <c r="EV57" s="176" t="n"/>
      <c r="EW57" s="176" t="n"/>
      <c r="EX57" s="176" t="n"/>
      <c r="EY57" s="176" t="n"/>
      <c r="EZ57" s="176" t="n"/>
      <c r="FA57" s="176" t="n"/>
      <c r="FB57" s="176" t="n"/>
      <c r="FC57" s="176" t="n"/>
      <c r="FD57" s="176" t="n"/>
      <c r="FE57" s="176" t="n"/>
      <c r="FF57" s="176" t="n"/>
      <c r="FG57" s="176" t="n"/>
      <c r="FH57" s="176" t="n"/>
      <c r="FI57" s="176" t="n"/>
      <c r="FJ57" s="176" t="n"/>
    </row>
    <row r="58" ht="15" customHeight="1" s="392">
      <c r="A58" s="176" t="n"/>
      <c r="B58" s="180" t="n"/>
      <c r="C58" s="183" t="inlineStr">
        <is>
          <t xml:space="preserve">                Goodwill</t>
        </is>
      </c>
      <c r="D58" s="190">
        <f>IF(COUNT(M58:EK58)&gt;0,MEDIAN(M58:EK58),"")</f>
        <v/>
      </c>
      <c r="E58" s="190">
        <f>IF(COUNT(M58:EK58)&gt;0,AVERAGE(M58:EK58),"")</f>
        <v/>
      </c>
      <c r="F58" s="190">
        <f>IF(COUNT(M58:EK58)&gt;0,MIN(M58:EK58),"")</f>
        <v/>
      </c>
      <c r="G58" s="190">
        <f>IF(COUNT(M58:EK58)&gt;0,MAX(M58:EK58),"")</f>
        <v/>
      </c>
      <c r="H58" s="190">
        <f>IF(COUNT(M58:EK58)&gt;0,QUARTILE(M58:EK58,1),"")</f>
        <v/>
      </c>
      <c r="I58" s="190">
        <f>IF(COUNT(M58:EK58)&gt;0,QUARTILE(M58:EK58,3),"")</f>
        <v/>
      </c>
      <c r="J58" s="190">
        <f>IF(COUNT(M58:EK58)&gt;1,STDEV(M58:EK58),"")</f>
        <v/>
      </c>
      <c r="K58" s="191">
        <f>IF(COUNT(M58:EK58)&gt;1,STDEV(M58:EK58)/AVERAGE(M58:EK58),"")</f>
        <v/>
      </c>
      <c r="M58" s="192" t="n">
        <v>511297</v>
      </c>
      <c r="N58" s="192" t="n">
        <v>522703</v>
      </c>
      <c r="O58" s="192" t="n">
        <v>523473</v>
      </c>
      <c r="P58" s="192" t="n">
        <v>518756</v>
      </c>
      <c r="Q58" s="192" t="n">
        <v>517779</v>
      </c>
      <c r="R58" s="192" t="n">
        <v>518600</v>
      </c>
      <c r="S58" s="192" t="n">
        <v>509670</v>
      </c>
      <c r="T58" s="192" t="n">
        <v>514483</v>
      </c>
      <c r="U58" s="192" t="n">
        <v>513909</v>
      </c>
      <c r="V58" s="192" t="n">
        <v>511372</v>
      </c>
      <c r="W58" s="192" t="n">
        <v>510563</v>
      </c>
      <c r="X58" s="192" t="n">
        <v>500926</v>
      </c>
      <c r="Y58" s="192" t="n">
        <v>394289</v>
      </c>
      <c r="Z58" s="192" t="n">
        <v>406640</v>
      </c>
      <c r="AA58" s="192" t="n">
        <v>404046</v>
      </c>
      <c r="AB58" s="192" t="n">
        <v>394844</v>
      </c>
      <c r="AC58" s="192" t="n">
        <v>401954</v>
      </c>
      <c r="AD58" s="192" t="n">
        <v>348000</v>
      </c>
      <c r="AE58" s="192" t="n">
        <v>352908</v>
      </c>
      <c r="AF58" s="192" t="n">
        <v>354062</v>
      </c>
      <c r="AG58" s="192" t="n">
        <v>355717</v>
      </c>
      <c r="AH58" s="192" t="n">
        <v>347515</v>
      </c>
      <c r="AI58" s="192" t="n">
        <v>346966</v>
      </c>
      <c r="AJ58" s="192" t="n">
        <v>342576</v>
      </c>
      <c r="AK58" s="192" t="n">
        <v>343622</v>
      </c>
      <c r="AL58" s="192" t="n">
        <v>338039</v>
      </c>
      <c r="AM58" s="192" t="n">
        <v>338262</v>
      </c>
      <c r="AN58" s="192" t="n">
        <v>337179</v>
      </c>
      <c r="AO58" s="192" t="n">
        <v>333321</v>
      </c>
      <c r="AP58" s="192" t="n">
        <v>337725</v>
      </c>
      <c r="AQ58" s="192" t="n">
        <v>338045</v>
      </c>
      <c r="AR58" s="192" t="n">
        <v>335120</v>
      </c>
      <c r="AS58" s="192" t="n">
        <v>337235</v>
      </c>
      <c r="AT58" s="192" t="n">
        <v>342459</v>
      </c>
      <c r="AU58" s="192" t="n">
        <v>344499</v>
      </c>
      <c r="AV58" s="192" t="n">
        <v>339024</v>
      </c>
      <c r="AW58" s="192" t="n">
        <v>340243</v>
      </c>
      <c r="AX58" s="192" t="n">
        <v>258634</v>
      </c>
      <c r="AY58" s="192" t="n">
        <v>256867</v>
      </c>
      <c r="AZ58" s="192" t="n">
        <v>255093</v>
      </c>
      <c r="BA58" s="192" t="n">
        <v>260198</v>
      </c>
      <c r="BB58" s="192" t="n">
        <v>267367</v>
      </c>
      <c r="BC58" s="192" t="n">
        <v>264128</v>
      </c>
      <c r="BD58" s="192" t="n">
        <v>270620</v>
      </c>
      <c r="BE58" s="192" t="n">
        <v>271850</v>
      </c>
      <c r="BF58" s="192" t="n">
        <v>271484</v>
      </c>
      <c r="BG58" s="192" t="n">
        <v>270492</v>
      </c>
      <c r="BH58" s="192" t="n">
        <v>276889</v>
      </c>
      <c r="BI58" s="192" t="n">
        <v>283780</v>
      </c>
      <c r="BJ58" s="192" t="n">
        <v>288402</v>
      </c>
      <c r="BK58" s="192" t="n">
        <v>291227</v>
      </c>
      <c r="BL58" s="192" t="n">
        <v>281447</v>
      </c>
      <c r="BM58" s="192" t="n">
        <v>267463</v>
      </c>
      <c r="BN58" s="192" t="n">
        <v>208580</v>
      </c>
      <c r="BO58" s="192" t="n">
        <v>210188</v>
      </c>
      <c r="BP58" s="192" t="n">
        <v>198558</v>
      </c>
      <c r="BQ58" s="192" t="n">
        <v>196438</v>
      </c>
      <c r="BR58" s="192" t="n">
        <v>197808</v>
      </c>
      <c r="BS58" s="192" t="n">
        <v>194954</v>
      </c>
      <c r="BT58" s="192" t="n">
        <v>197129</v>
      </c>
      <c r="BU58" s="192" t="n">
        <v>198620</v>
      </c>
      <c r="BV58" s="192" t="n">
        <v>200611</v>
      </c>
      <c r="BW58" s="192" t="n">
        <v>178438</v>
      </c>
      <c r="BX58" s="192" t="n">
        <v>175870</v>
      </c>
      <c r="BY58" s="192" t="n">
        <v>173778</v>
      </c>
      <c r="BZ58" s="192" t="n">
        <v>176697</v>
      </c>
      <c r="CA58" s="192" t="n">
        <v>166575</v>
      </c>
      <c r="CB58" s="192" t="n">
        <v>166327</v>
      </c>
      <c r="CC58" s="192" t="n">
        <v>160712</v>
      </c>
      <c r="CD58" s="192" t="n">
        <v>159446</v>
      </c>
      <c r="CE58" s="192" t="n">
        <v>165366</v>
      </c>
      <c r="CF58" s="192" t="n">
        <v>177164</v>
      </c>
      <c r="CG58" s="192" t="n">
        <v>173907</v>
      </c>
      <c r="CH58" s="192" t="n">
        <v>165976</v>
      </c>
      <c r="CI58" s="192" t="n">
        <v>168356</v>
      </c>
      <c r="CJ58" s="192" t="n">
        <v>161645</v>
      </c>
      <c r="CK58" s="192" t="n">
        <v>112291</v>
      </c>
      <c r="CL58" s="192" t="n">
        <v>112291</v>
      </c>
      <c r="CM58" s="192" t="n">
        <v>112291</v>
      </c>
      <c r="CN58" s="192" t="n">
        <v>112291</v>
      </c>
      <c r="CO58" s="192" t="n">
        <v>112230</v>
      </c>
      <c r="CP58" s="192" t="n"/>
      <c r="CQ58" s="192" t="n"/>
      <c r="CR58" s="192" t="n">
        <v>116375</v>
      </c>
      <c r="CS58" s="192" t="n"/>
      <c r="CT58" s="192" t="n"/>
      <c r="CU58" s="192" t="n"/>
      <c r="CV58" s="192" t="n"/>
      <c r="CW58" s="192" t="n"/>
      <c r="CX58" s="192" t="n"/>
      <c r="CY58" s="192" t="n"/>
      <c r="CZ58" s="192" t="n"/>
      <c r="DA58" s="192" t="n"/>
      <c r="DB58" s="192" t="n"/>
      <c r="DC58" s="192" t="n">
        <v>108662.6</v>
      </c>
      <c r="DD58" s="192" t="n">
        <v>102920.1</v>
      </c>
      <c r="DE58" s="192" t="n">
        <v>91776.8</v>
      </c>
      <c r="DF58" s="192" t="n"/>
      <c r="DG58" s="192" t="n"/>
      <c r="DH58" s="192" t="n">
        <v>82753.39999999999</v>
      </c>
      <c r="DI58" s="192" t="n"/>
      <c r="DJ58" s="192" t="n"/>
      <c r="DK58" s="192" t="n"/>
      <c r="DL58" s="192" t="n"/>
      <c r="DM58" s="192" t="n"/>
      <c r="DN58" s="192" t="n"/>
      <c r="DO58" s="192" t="n"/>
      <c r="DP58" s="192" t="n"/>
      <c r="DQ58" s="192" t="n"/>
      <c r="DR58" s="192" t="n"/>
      <c r="DS58" s="192" t="n"/>
      <c r="DT58" s="192" t="n"/>
      <c r="DU58" s="192" t="n"/>
      <c r="DV58" s="192" t="n"/>
      <c r="DW58" s="192" t="n"/>
      <c r="DX58" s="192" t="n"/>
      <c r="DY58" s="192" t="n"/>
      <c r="DZ58" s="192" t="n"/>
      <c r="EA58" s="192" t="n"/>
      <c r="EB58" s="192" t="n"/>
      <c r="EC58" s="192" t="n"/>
      <c r="ED58" s="192" t="n"/>
      <c r="EE58" s="192" t="n"/>
      <c r="EF58" s="192" t="n"/>
      <c r="EG58" s="192" t="n"/>
      <c r="EH58" s="192" t="n"/>
      <c r="EI58" s="192" t="n"/>
      <c r="EJ58" s="192" t="n"/>
      <c r="EK58" s="192" t="n"/>
      <c r="EL58" s="182" t="n"/>
      <c r="EM58" s="176" t="n"/>
      <c r="EN58" s="176" t="n"/>
      <c r="EO58" s="176" t="n"/>
      <c r="EP58" s="176" t="n"/>
      <c r="EQ58" s="176" t="n"/>
      <c r="ER58" s="176" t="n"/>
      <c r="ES58" s="176" t="n"/>
      <c r="ET58" s="176" t="n"/>
      <c r="EU58" s="176" t="n"/>
      <c r="EV58" s="176" t="n"/>
      <c r="EW58" s="176" t="n"/>
      <c r="EX58" s="176" t="n"/>
      <c r="EY58" s="176" t="n"/>
      <c r="EZ58" s="176" t="n"/>
      <c r="FA58" s="176" t="n"/>
      <c r="FB58" s="176" t="n"/>
      <c r="FC58" s="176" t="n"/>
      <c r="FD58" s="176" t="n"/>
      <c r="FE58" s="176" t="n"/>
      <c r="FF58" s="176" t="n"/>
      <c r="FG58" s="176" t="n"/>
      <c r="FH58" s="176" t="n"/>
      <c r="FI58" s="176" t="n"/>
      <c r="FJ58" s="176" t="n"/>
    </row>
    <row r="59" ht="15" customHeight="1" s="392">
      <c r="A59" s="176" t="n"/>
      <c r="B59" s="180" t="n"/>
      <c r="C59" s="183" t="inlineStr">
        <is>
          <t xml:space="preserve">                Intangibles other than Goodwill</t>
        </is>
      </c>
      <c r="D59" s="185" t="n"/>
      <c r="E59" s="185" t="n"/>
      <c r="F59" s="185" t="n"/>
      <c r="G59" s="185" t="n"/>
      <c r="H59" s="185" t="n"/>
      <c r="I59" s="185" t="n"/>
      <c r="J59" s="185" t="n"/>
      <c r="K59" s="185" t="n"/>
      <c r="EL59" s="182" t="n"/>
      <c r="EM59" s="176" t="n"/>
      <c r="EN59" s="176" t="n"/>
      <c r="EO59" s="176" t="n"/>
      <c r="EP59" s="176" t="n"/>
      <c r="EQ59" s="176" t="n"/>
      <c r="ER59" s="176" t="n"/>
      <c r="ES59" s="176" t="n"/>
      <c r="ET59" s="176" t="n"/>
      <c r="EU59" s="176" t="n"/>
      <c r="EV59" s="176" t="n"/>
      <c r="EW59" s="176" t="n"/>
      <c r="EX59" s="176" t="n"/>
      <c r="EY59" s="176" t="n"/>
      <c r="EZ59" s="176" t="n"/>
      <c r="FA59" s="176" t="n"/>
      <c r="FB59" s="176" t="n"/>
      <c r="FC59" s="176" t="n"/>
      <c r="FD59" s="176" t="n"/>
      <c r="FE59" s="176" t="n"/>
      <c r="FF59" s="176" t="n"/>
      <c r="FG59" s="176" t="n"/>
      <c r="FH59" s="176" t="n"/>
      <c r="FI59" s="176" t="n"/>
      <c r="FJ59" s="176" t="n"/>
    </row>
    <row r="60" ht="15" customHeight="1" s="392">
      <c r="A60" s="176" t="n"/>
      <c r="B60" s="180" t="n"/>
      <c r="C60" s="183" t="inlineStr">
        <is>
          <t xml:space="preserve">                    Trademarks and Patents</t>
        </is>
      </c>
      <c r="D60" s="190">
        <f>IF(COUNT(M60:EK60)&gt;0,MEDIAN(M60:EK60),"")</f>
        <v/>
      </c>
      <c r="E60" s="190">
        <f>IF(COUNT(M60:EK60)&gt;0,AVERAGE(M60:EK60),"")</f>
        <v/>
      </c>
      <c r="F60" s="190">
        <f>IF(COUNT(M60:EK60)&gt;0,MIN(M60:EK60),"")</f>
        <v/>
      </c>
      <c r="G60" s="190">
        <f>IF(COUNT(M60:EK60)&gt;0,MAX(M60:EK60),"")</f>
        <v/>
      </c>
      <c r="H60" s="190">
        <f>IF(COUNT(M60:EK60)&gt;0,QUARTILE(M60:EK60,1),"")</f>
        <v/>
      </c>
      <c r="I60" s="190">
        <f>IF(COUNT(M60:EK60)&gt;0,QUARTILE(M60:EK60,3),"")</f>
        <v/>
      </c>
      <c r="J60" s="190">
        <f>IF(COUNT(M60:EK60)&gt;1,STDEV(M60:EK60),"")</f>
        <v/>
      </c>
      <c r="K60" s="191">
        <f>IF(COUNT(M60:EK60)&gt;1,STDEV(M60:EK60)/AVERAGE(M60:EK60),"")</f>
        <v/>
      </c>
      <c r="M60" s="192" t="n"/>
      <c r="N60" s="192" t="n"/>
      <c r="O60" s="192" t="n"/>
      <c r="P60" s="192" t="n"/>
      <c r="Q60" s="192" t="n">
        <v>36088</v>
      </c>
      <c r="R60" s="192" t="n">
        <v>36155</v>
      </c>
      <c r="S60" s="192" t="n">
        <v>35563</v>
      </c>
      <c r="T60" s="192" t="n">
        <v>35883</v>
      </c>
      <c r="U60" s="192" t="n">
        <v>35854</v>
      </c>
      <c r="V60" s="192" t="n">
        <v>35628</v>
      </c>
      <c r="W60" s="192" t="n">
        <v>35747</v>
      </c>
      <c r="X60" s="192" t="n">
        <v>34318</v>
      </c>
      <c r="Y60" s="192" t="n">
        <v>26747</v>
      </c>
      <c r="Z60" s="192" t="n">
        <v>18919</v>
      </c>
      <c r="AA60" s="192" t="n">
        <v>18915</v>
      </c>
      <c r="AB60" s="192" t="n">
        <v>18887</v>
      </c>
      <c r="AC60" s="192" t="n">
        <v>18896</v>
      </c>
      <c r="AD60" s="192" t="n">
        <v>18906</v>
      </c>
      <c r="AE60" s="192" t="n">
        <v>18926</v>
      </c>
      <c r="AF60" s="192" t="n">
        <v>18935</v>
      </c>
      <c r="AG60" s="192" t="n">
        <v>18944</v>
      </c>
      <c r="AH60" s="192" t="n">
        <v>23682</v>
      </c>
      <c r="AI60" s="192" t="n">
        <v>23700</v>
      </c>
      <c r="AJ60" s="192" t="n">
        <v>23615</v>
      </c>
      <c r="AK60" s="192" t="n">
        <v>23635</v>
      </c>
      <c r="AL60" s="192" t="n">
        <v>23477</v>
      </c>
      <c r="AM60" s="192" t="n">
        <v>23506</v>
      </c>
      <c r="AN60" s="192" t="n">
        <v>23518</v>
      </c>
      <c r="AO60" s="192" t="n">
        <v>23501</v>
      </c>
      <c r="AP60" s="192" t="n">
        <v>23529</v>
      </c>
      <c r="AQ60" s="192" t="n">
        <v>23573</v>
      </c>
      <c r="AR60" s="192" t="n">
        <v>24092</v>
      </c>
      <c r="AS60" s="192" t="n">
        <v>24173</v>
      </c>
      <c r="AT60" s="192" t="n">
        <v>24257</v>
      </c>
      <c r="AU60" s="192" t="n">
        <v>23970</v>
      </c>
      <c r="AV60" s="192" t="n">
        <v>23827</v>
      </c>
      <c r="AW60" s="192" t="n">
        <v>23859</v>
      </c>
      <c r="AX60" s="192" t="n">
        <v>5113</v>
      </c>
      <c r="AY60" s="192" t="n">
        <v>5095</v>
      </c>
      <c r="AZ60" s="192" t="n">
        <v>5126</v>
      </c>
      <c r="BA60" s="192" t="n">
        <v>5163</v>
      </c>
      <c r="BB60" s="192" t="n">
        <v>5217</v>
      </c>
      <c r="BC60" s="192" t="n">
        <v>5097</v>
      </c>
      <c r="BD60" s="192" t="n">
        <v>5133</v>
      </c>
      <c r="BE60" s="192" t="n">
        <v>5129</v>
      </c>
      <c r="BF60" s="192" t="n">
        <v>5174</v>
      </c>
      <c r="BG60" s="192" t="n">
        <v>5193</v>
      </c>
      <c r="BH60" s="192" t="n">
        <v>5662</v>
      </c>
      <c r="BI60" s="192" t="n">
        <v>5791</v>
      </c>
      <c r="BJ60" s="192" t="n">
        <v>2540</v>
      </c>
      <c r="BK60" s="192" t="n">
        <v>3066</v>
      </c>
      <c r="BL60" s="192" t="n">
        <v>3078</v>
      </c>
      <c r="BM60" s="192" t="n">
        <v>2998</v>
      </c>
      <c r="BN60" s="192" t="n">
        <v>2440</v>
      </c>
      <c r="BO60" s="192" t="n">
        <v>2524</v>
      </c>
      <c r="BP60" s="192" t="n"/>
      <c r="BQ60" s="192" t="n"/>
      <c r="BR60" s="192" t="n"/>
      <c r="BS60" s="192" t="n"/>
      <c r="BT60" s="192" t="n"/>
      <c r="BU60" s="192" t="n"/>
      <c r="BV60" s="192" t="n"/>
      <c r="BW60" s="192" t="n"/>
      <c r="BX60" s="192" t="n"/>
      <c r="BY60" s="192" t="n"/>
      <c r="BZ60" s="192" t="n"/>
      <c r="CA60" s="192" t="n"/>
      <c r="CB60" s="192" t="n"/>
      <c r="CC60" s="192" t="n"/>
      <c r="CD60" s="192" t="n"/>
      <c r="CE60" s="192" t="n"/>
      <c r="CF60" s="192" t="n"/>
      <c r="CG60" s="192" t="n"/>
      <c r="CH60" s="192" t="n"/>
      <c r="CI60" s="192" t="n"/>
      <c r="CJ60" s="192" t="n"/>
      <c r="CK60" s="192" t="n"/>
      <c r="CL60" s="192" t="n"/>
      <c r="CM60" s="192" t="n"/>
      <c r="CN60" s="192" t="n"/>
      <c r="CO60" s="192" t="n"/>
      <c r="CP60" s="192" t="n"/>
      <c r="CQ60" s="192" t="n"/>
      <c r="CR60" s="192" t="n"/>
      <c r="CS60" s="192" t="n"/>
      <c r="CT60" s="192" t="n"/>
      <c r="CU60" s="192" t="n"/>
      <c r="CV60" s="192" t="n"/>
      <c r="CW60" s="192" t="n"/>
      <c r="CX60" s="192" t="n"/>
      <c r="CY60" s="192" t="n"/>
      <c r="CZ60" s="192" t="n"/>
      <c r="DA60" s="192" t="n"/>
      <c r="DB60" s="192" t="n"/>
      <c r="DC60" s="192" t="n"/>
      <c r="DD60" s="192" t="n"/>
      <c r="DE60" s="192" t="n"/>
      <c r="DF60" s="192" t="n"/>
      <c r="DG60" s="192" t="n"/>
      <c r="DH60" s="192" t="n"/>
      <c r="DI60" s="192" t="n"/>
      <c r="DJ60" s="192" t="n"/>
      <c r="DK60" s="192" t="n"/>
      <c r="DL60" s="192" t="n"/>
      <c r="DM60" s="192" t="n"/>
      <c r="DN60" s="192" t="n"/>
      <c r="DO60" s="192" t="n"/>
      <c r="DP60" s="192" t="n"/>
      <c r="DQ60" s="192" t="n"/>
      <c r="DR60" s="192" t="n"/>
      <c r="DS60" s="192" t="n"/>
      <c r="DT60" s="192" t="n"/>
      <c r="DU60" s="192" t="n"/>
      <c r="DV60" s="192" t="n"/>
      <c r="DW60" s="192" t="n"/>
      <c r="DX60" s="192" t="n"/>
      <c r="DY60" s="192" t="n"/>
      <c r="DZ60" s="192" t="n"/>
      <c r="EA60" s="192" t="n"/>
      <c r="EB60" s="192" t="n"/>
      <c r="EC60" s="192" t="n"/>
      <c r="ED60" s="192" t="n"/>
      <c r="EE60" s="192" t="n"/>
      <c r="EF60" s="192" t="n"/>
      <c r="EG60" s="192" t="n"/>
      <c r="EH60" s="192" t="n"/>
      <c r="EI60" s="192" t="n"/>
      <c r="EJ60" s="192" t="n"/>
      <c r="EK60" s="192" t="n"/>
      <c r="EL60" s="182" t="n"/>
      <c r="EM60" s="176" t="n"/>
      <c r="EN60" s="176" t="n"/>
      <c r="EO60" s="176" t="n"/>
      <c r="EP60" s="176" t="n"/>
      <c r="EQ60" s="176" t="n"/>
      <c r="ER60" s="176" t="n"/>
      <c r="ES60" s="176" t="n"/>
      <c r="ET60" s="176" t="n"/>
      <c r="EU60" s="176" t="n"/>
      <c r="EV60" s="176" t="n"/>
      <c r="EW60" s="176" t="n"/>
      <c r="EX60" s="176" t="n"/>
      <c r="EY60" s="176" t="n"/>
      <c r="EZ60" s="176" t="n"/>
      <c r="FA60" s="176" t="n"/>
      <c r="FB60" s="176" t="n"/>
      <c r="FC60" s="176" t="n"/>
      <c r="FD60" s="176" t="n"/>
      <c r="FE60" s="176" t="n"/>
      <c r="FF60" s="176" t="n"/>
      <c r="FG60" s="176" t="n"/>
      <c r="FH60" s="176" t="n"/>
      <c r="FI60" s="176" t="n"/>
      <c r="FJ60" s="176" t="n"/>
    </row>
    <row r="61" ht="15" customHeight="1" s="392">
      <c r="A61" s="176" t="n"/>
      <c r="B61" s="180" t="n"/>
      <c r="C61" s="183" t="inlineStr">
        <is>
          <t xml:space="preserve">                    Software and Technology</t>
        </is>
      </c>
      <c r="D61" s="190">
        <f>IF(COUNT(M61:EK61)&gt;0,MEDIAN(M61:EK61),"")</f>
        <v/>
      </c>
      <c r="E61" s="190">
        <f>IF(COUNT(M61:EK61)&gt;0,AVERAGE(M61:EK61),"")</f>
        <v/>
      </c>
      <c r="F61" s="190">
        <f>IF(COUNT(M61:EK61)&gt;0,MIN(M61:EK61),"")</f>
        <v/>
      </c>
      <c r="G61" s="190">
        <f>IF(COUNT(M61:EK61)&gt;0,MAX(M61:EK61),"")</f>
        <v/>
      </c>
      <c r="H61" s="190">
        <f>IF(COUNT(M61:EK61)&gt;0,QUARTILE(M61:EK61,1),"")</f>
        <v/>
      </c>
      <c r="I61" s="190">
        <f>IF(COUNT(M61:EK61)&gt;0,QUARTILE(M61:EK61,3),"")</f>
        <v/>
      </c>
      <c r="J61" s="190">
        <f>IF(COUNT(M61:EK61)&gt;1,STDEV(M61:EK61),"")</f>
        <v/>
      </c>
      <c r="K61" s="191">
        <f>IF(COUNT(M61:EK61)&gt;1,STDEV(M61:EK61)/AVERAGE(M61:EK61),"")</f>
        <v/>
      </c>
      <c r="M61" s="192" t="n"/>
      <c r="N61" s="192" t="n"/>
      <c r="O61" s="192" t="n"/>
      <c r="P61" s="192" t="n"/>
      <c r="Q61" s="192" t="n"/>
      <c r="R61" s="192" t="n"/>
      <c r="S61" s="192" t="n"/>
      <c r="T61" s="192" t="n"/>
      <c r="U61" s="192" t="n"/>
      <c r="V61" s="192" t="n"/>
      <c r="W61" s="192" t="n"/>
      <c r="X61" s="192" t="n"/>
      <c r="Y61" s="192" t="n"/>
      <c r="Z61" s="192" t="n"/>
      <c r="AA61" s="192" t="n"/>
      <c r="AB61" s="192" t="n"/>
      <c r="AC61" s="192" t="n"/>
      <c r="AD61" s="192" t="n"/>
      <c r="AE61" s="192" t="n"/>
      <c r="AF61" s="192" t="n"/>
      <c r="AG61" s="192" t="n"/>
      <c r="AH61" s="192" t="n"/>
      <c r="AI61" s="192" t="n"/>
      <c r="AJ61" s="192" t="n"/>
      <c r="AK61" s="192" t="n"/>
      <c r="AL61" s="192" t="n"/>
      <c r="AM61" s="192" t="n"/>
      <c r="AN61" s="192" t="n"/>
      <c r="AO61" s="192" t="n"/>
      <c r="AP61" s="192" t="n"/>
      <c r="AQ61" s="192" t="n"/>
      <c r="AR61" s="192" t="n"/>
      <c r="AS61" s="192" t="n"/>
      <c r="AT61" s="192" t="n"/>
      <c r="AU61" s="192" t="n"/>
      <c r="AV61" s="192" t="n"/>
      <c r="AW61" s="192" t="n"/>
      <c r="AX61" s="192" t="n"/>
      <c r="AY61" s="192" t="n"/>
      <c r="AZ61" s="192" t="n"/>
      <c r="BA61" s="192" t="n"/>
      <c r="BB61" s="192" t="n"/>
      <c r="BC61" s="192" t="n"/>
      <c r="BD61" s="192" t="n"/>
      <c r="BE61" s="192" t="n"/>
      <c r="BF61" s="192" t="n"/>
      <c r="BG61" s="192" t="n"/>
      <c r="BH61" s="192" t="n"/>
      <c r="BI61" s="192" t="n"/>
      <c r="BJ61" s="192" t="n"/>
      <c r="BK61" s="192" t="n"/>
      <c r="BL61" s="192" t="n"/>
      <c r="BM61" s="192" t="n"/>
      <c r="BN61" s="192" t="n">
        <v>262</v>
      </c>
      <c r="BO61" s="192" t="n">
        <v>271</v>
      </c>
      <c r="BP61" s="192" t="n"/>
      <c r="BQ61" s="192" t="n"/>
      <c r="BR61" s="192" t="n"/>
      <c r="BS61" s="192" t="n"/>
      <c r="BT61" s="192" t="n"/>
      <c r="BU61" s="192" t="n"/>
      <c r="BV61" s="192" t="n"/>
      <c r="BW61" s="192" t="n"/>
      <c r="BX61" s="192" t="n"/>
      <c r="BY61" s="192" t="n"/>
      <c r="BZ61" s="192" t="n"/>
      <c r="CA61" s="192" t="n"/>
      <c r="CB61" s="192" t="n"/>
      <c r="CC61" s="192" t="n"/>
      <c r="CD61" s="192" t="n"/>
      <c r="CE61" s="192" t="n"/>
      <c r="CF61" s="192" t="n"/>
      <c r="CG61" s="192" t="n"/>
      <c r="CH61" s="192" t="n"/>
      <c r="CI61" s="192" t="n"/>
      <c r="CJ61" s="192" t="n"/>
      <c r="CK61" s="192" t="n"/>
      <c r="CL61" s="192" t="n"/>
      <c r="CM61" s="192" t="n"/>
      <c r="CN61" s="192" t="n"/>
      <c r="CO61" s="192" t="n"/>
      <c r="CP61" s="192" t="n"/>
      <c r="CQ61" s="192" t="n"/>
      <c r="CR61" s="192" t="n"/>
      <c r="CS61" s="192" t="n"/>
      <c r="CT61" s="192" t="n"/>
      <c r="CU61" s="192" t="n"/>
      <c r="CV61" s="192" t="n"/>
      <c r="CW61" s="192" t="n"/>
      <c r="CX61" s="192" t="n"/>
      <c r="CY61" s="192" t="n"/>
      <c r="CZ61" s="192" t="n"/>
      <c r="DA61" s="192" t="n"/>
      <c r="DB61" s="192" t="n"/>
      <c r="DC61" s="192" t="n"/>
      <c r="DD61" s="192" t="n"/>
      <c r="DE61" s="192" t="n"/>
      <c r="DF61" s="192" t="n"/>
      <c r="DG61" s="192" t="n"/>
      <c r="DH61" s="192" t="n"/>
      <c r="DI61" s="192" t="n"/>
      <c r="DJ61" s="192" t="n"/>
      <c r="DK61" s="192" t="n"/>
      <c r="DL61" s="192" t="n"/>
      <c r="DM61" s="192" t="n"/>
      <c r="DN61" s="192" t="n"/>
      <c r="DO61" s="192" t="n"/>
      <c r="DP61" s="192" t="n"/>
      <c r="DQ61" s="192" t="n"/>
      <c r="DR61" s="192" t="n"/>
      <c r="DS61" s="192" t="n"/>
      <c r="DT61" s="192" t="n"/>
      <c r="DU61" s="192" t="n"/>
      <c r="DV61" s="192" t="n"/>
      <c r="DW61" s="192" t="n"/>
      <c r="DX61" s="192" t="n"/>
      <c r="DY61" s="192" t="n"/>
      <c r="DZ61" s="192" t="n"/>
      <c r="EA61" s="192" t="n"/>
      <c r="EB61" s="192" t="n"/>
      <c r="EC61" s="192" t="n"/>
      <c r="ED61" s="192" t="n"/>
      <c r="EE61" s="192" t="n"/>
      <c r="EF61" s="192" t="n"/>
      <c r="EG61" s="192" t="n"/>
      <c r="EH61" s="192" t="n"/>
      <c r="EI61" s="192" t="n"/>
      <c r="EJ61" s="192" t="n"/>
      <c r="EK61" s="192" t="n"/>
      <c r="EL61" s="182" t="n"/>
      <c r="EM61" s="176" t="n"/>
      <c r="EN61" s="176" t="n"/>
      <c r="EO61" s="176" t="n"/>
      <c r="EP61" s="176" t="n"/>
      <c r="EQ61" s="176" t="n"/>
      <c r="ER61" s="176" t="n"/>
      <c r="ES61" s="176" t="n"/>
      <c r="ET61" s="176" t="n"/>
      <c r="EU61" s="176" t="n"/>
      <c r="EV61" s="176" t="n"/>
      <c r="EW61" s="176" t="n"/>
      <c r="EX61" s="176" t="n"/>
      <c r="EY61" s="176" t="n"/>
      <c r="EZ61" s="176" t="n"/>
      <c r="FA61" s="176" t="n"/>
      <c r="FB61" s="176" t="n"/>
      <c r="FC61" s="176" t="n"/>
      <c r="FD61" s="176" t="n"/>
      <c r="FE61" s="176" t="n"/>
      <c r="FF61" s="176" t="n"/>
      <c r="FG61" s="176" t="n"/>
      <c r="FH61" s="176" t="n"/>
      <c r="FI61" s="176" t="n"/>
      <c r="FJ61" s="176" t="n"/>
    </row>
    <row r="62" ht="15" customHeight="1" s="392">
      <c r="A62" s="176" t="n"/>
      <c r="B62" s="180" t="n"/>
      <c r="C62" s="183" t="inlineStr">
        <is>
          <t xml:space="preserve">                    Licenses and Rights</t>
        </is>
      </c>
      <c r="D62" s="190">
        <f>IF(COUNT(M62:EK62)&gt;0,MEDIAN(M62:EK62),"")</f>
        <v/>
      </c>
      <c r="E62" s="190">
        <f>IF(COUNT(M62:EK62)&gt;0,AVERAGE(M62:EK62),"")</f>
        <v/>
      </c>
      <c r="F62" s="190">
        <f>IF(COUNT(M62:EK62)&gt;0,MIN(M62:EK62),"")</f>
        <v/>
      </c>
      <c r="G62" s="190">
        <f>IF(COUNT(M62:EK62)&gt;0,MAX(M62:EK62),"")</f>
        <v/>
      </c>
      <c r="H62" s="190">
        <f>IF(COUNT(M62:EK62)&gt;0,QUARTILE(M62:EK62,1),"")</f>
        <v/>
      </c>
      <c r="I62" s="190">
        <f>IF(COUNT(M62:EK62)&gt;0,QUARTILE(M62:EK62,3),"")</f>
        <v/>
      </c>
      <c r="J62" s="190">
        <f>IF(COUNT(M62:EK62)&gt;1,STDEV(M62:EK62),"")</f>
        <v/>
      </c>
      <c r="K62" s="191">
        <f>IF(COUNT(M62:EK62)&gt;1,STDEV(M62:EK62)/AVERAGE(M62:EK62),"")</f>
        <v/>
      </c>
      <c r="M62" s="192" t="n"/>
      <c r="N62" s="192" t="n"/>
      <c r="O62" s="192" t="n"/>
      <c r="P62" s="192" t="n"/>
      <c r="Q62" s="192" t="n">
        <v>16608</v>
      </c>
      <c r="R62" s="192" t="n">
        <v>16602</v>
      </c>
      <c r="S62" s="192" t="n">
        <v>16543</v>
      </c>
      <c r="T62" s="192" t="n">
        <v>16575</v>
      </c>
      <c r="U62" s="192" t="n">
        <v>16571</v>
      </c>
      <c r="V62" s="192" t="n">
        <v>16562</v>
      </c>
      <c r="W62" s="192" t="n">
        <v>20070</v>
      </c>
      <c r="X62" s="192" t="n">
        <v>16526</v>
      </c>
      <c r="Y62" s="192" t="n">
        <v>682</v>
      </c>
      <c r="Z62" s="192" t="n">
        <v>683</v>
      </c>
      <c r="AA62" s="192" t="n">
        <v>673</v>
      </c>
      <c r="AB62" s="192" t="n">
        <v>612</v>
      </c>
      <c r="AC62" s="192" t="n">
        <v>633</v>
      </c>
      <c r="AD62" s="192" t="n">
        <v>657</v>
      </c>
      <c r="AE62" s="192" t="n">
        <v>696</v>
      </c>
      <c r="AF62" s="192" t="n">
        <v>719</v>
      </c>
      <c r="AG62" s="192" t="n">
        <v>736</v>
      </c>
      <c r="AH62" s="192" t="n">
        <v>7645</v>
      </c>
      <c r="AI62" s="192" t="n">
        <v>7652</v>
      </c>
      <c r="AJ62" s="192" t="n">
        <v>7624</v>
      </c>
      <c r="AK62" s="192" t="n">
        <v>7630</v>
      </c>
      <c r="AL62" s="192" t="n">
        <v>7817</v>
      </c>
      <c r="AM62" s="192" t="n">
        <v>7691</v>
      </c>
      <c r="AN62" s="192" t="n">
        <v>7695</v>
      </c>
      <c r="AO62" s="192" t="n">
        <v>7688</v>
      </c>
      <c r="AP62" s="192" t="n">
        <v>7693</v>
      </c>
      <c r="AQ62" s="192" t="n">
        <v>7706</v>
      </c>
      <c r="AR62" s="192" t="n">
        <v>9341</v>
      </c>
      <c r="AS62" s="192" t="n">
        <v>9291</v>
      </c>
      <c r="AT62" s="192" t="n">
        <v>9458</v>
      </c>
      <c r="AU62" s="192" t="n">
        <v>8616</v>
      </c>
      <c r="AV62" s="192" t="n">
        <v>8575</v>
      </c>
      <c r="AW62" s="192" t="n">
        <v>5385</v>
      </c>
      <c r="AX62" s="192" t="n">
        <v>2476</v>
      </c>
      <c r="AY62" s="192" t="n">
        <v>2469</v>
      </c>
      <c r="AZ62" s="192" t="n">
        <v>2472</v>
      </c>
      <c r="BA62" s="192" t="n">
        <v>2488</v>
      </c>
      <c r="BB62" s="192" t="n">
        <v>2509</v>
      </c>
      <c r="BC62" s="192" t="n">
        <v>2470</v>
      </c>
      <c r="BD62" s="192" t="n">
        <v>2491</v>
      </c>
      <c r="BE62" s="192" t="n">
        <v>2498</v>
      </c>
      <c r="BF62" s="192" t="n">
        <v>2514</v>
      </c>
      <c r="BG62" s="192" t="n">
        <v>2526</v>
      </c>
      <c r="BH62" s="192" t="n">
        <v>2594</v>
      </c>
      <c r="BI62" s="192" t="n">
        <v>1810</v>
      </c>
      <c r="BJ62" s="192" t="n">
        <v>2113</v>
      </c>
      <c r="BK62" s="192" t="n">
        <v>2094</v>
      </c>
      <c r="BL62" s="192" t="n">
        <v>2092</v>
      </c>
      <c r="BM62" s="192" t="n">
        <v>3306</v>
      </c>
      <c r="BN62" s="192" t="n">
        <v>1552</v>
      </c>
      <c r="BO62" s="192" t="n">
        <v>1566</v>
      </c>
      <c r="BP62" s="192" t="n"/>
      <c r="BQ62" s="192" t="n">
        <v>1316</v>
      </c>
      <c r="BR62" s="192" t="n"/>
      <c r="BS62" s="192" t="n"/>
      <c r="BT62" s="192" t="n"/>
      <c r="BU62" s="192" t="n"/>
      <c r="BV62" s="192" t="n"/>
      <c r="BW62" s="192" t="n"/>
      <c r="BX62" s="192" t="n"/>
      <c r="BY62" s="192" t="n"/>
      <c r="BZ62" s="192" t="n"/>
      <c r="CA62" s="192" t="n"/>
      <c r="CB62" s="192" t="n"/>
      <c r="CC62" s="192" t="n"/>
      <c r="CD62" s="192" t="n"/>
      <c r="CE62" s="192" t="n"/>
      <c r="CF62" s="192" t="n"/>
      <c r="CG62" s="192" t="n"/>
      <c r="CH62" s="192" t="n"/>
      <c r="CI62" s="192" t="n"/>
      <c r="CJ62" s="192" t="n"/>
      <c r="CK62" s="192" t="n"/>
      <c r="CL62" s="192" t="n"/>
      <c r="CM62" s="192" t="n"/>
      <c r="CN62" s="192" t="n"/>
      <c r="CO62" s="192" t="n"/>
      <c r="CP62" s="192" t="n"/>
      <c r="CQ62" s="192" t="n"/>
      <c r="CR62" s="192" t="n"/>
      <c r="CS62" s="192" t="n"/>
      <c r="CT62" s="192" t="n"/>
      <c r="CU62" s="192" t="n"/>
      <c r="CV62" s="192" t="n"/>
      <c r="CW62" s="192" t="n"/>
      <c r="CX62" s="192" t="n"/>
      <c r="CY62" s="192" t="n"/>
      <c r="CZ62" s="192" t="n"/>
      <c r="DA62" s="192" t="n"/>
      <c r="DB62" s="192" t="n"/>
      <c r="DC62" s="192" t="n"/>
      <c r="DD62" s="192" t="n"/>
      <c r="DE62" s="192" t="n"/>
      <c r="DF62" s="192" t="n"/>
      <c r="DG62" s="192" t="n"/>
      <c r="DH62" s="192" t="n"/>
      <c r="DI62" s="192" t="n"/>
      <c r="DJ62" s="192" t="n"/>
      <c r="DK62" s="192" t="n"/>
      <c r="DL62" s="192" t="n"/>
      <c r="DM62" s="192" t="n"/>
      <c r="DN62" s="192" t="n"/>
      <c r="DO62" s="192" t="n"/>
      <c r="DP62" s="192" t="n"/>
      <c r="DQ62" s="192" t="n"/>
      <c r="DR62" s="192" t="n"/>
      <c r="DS62" s="192" t="n"/>
      <c r="DT62" s="192" t="n"/>
      <c r="DU62" s="192" t="n"/>
      <c r="DV62" s="192" t="n"/>
      <c r="DW62" s="192" t="n"/>
      <c r="DX62" s="192" t="n"/>
      <c r="DY62" s="192" t="n"/>
      <c r="DZ62" s="192" t="n"/>
      <c r="EA62" s="192" t="n"/>
      <c r="EB62" s="192" t="n"/>
      <c r="EC62" s="192" t="n"/>
      <c r="ED62" s="192" t="n"/>
      <c r="EE62" s="192" t="n"/>
      <c r="EF62" s="192" t="n"/>
      <c r="EG62" s="192" t="n"/>
      <c r="EH62" s="192" t="n"/>
      <c r="EI62" s="192" t="n"/>
      <c r="EJ62" s="192" t="n"/>
      <c r="EK62" s="192" t="n"/>
      <c r="EL62" s="182" t="n"/>
      <c r="EM62" s="176" t="n"/>
      <c r="EN62" s="176" t="n"/>
      <c r="EO62" s="176" t="n"/>
      <c r="EP62" s="176" t="n"/>
      <c r="EQ62" s="176" t="n"/>
      <c r="ER62" s="176" t="n"/>
      <c r="ES62" s="176" t="n"/>
      <c r="ET62" s="176" t="n"/>
      <c r="EU62" s="176" t="n"/>
      <c r="EV62" s="176" t="n"/>
      <c r="EW62" s="176" t="n"/>
      <c r="EX62" s="176" t="n"/>
      <c r="EY62" s="176" t="n"/>
      <c r="EZ62" s="176" t="n"/>
      <c r="FA62" s="176" t="n"/>
      <c r="FB62" s="176" t="n"/>
      <c r="FC62" s="176" t="n"/>
      <c r="FD62" s="176" t="n"/>
      <c r="FE62" s="176" t="n"/>
      <c r="FF62" s="176" t="n"/>
      <c r="FG62" s="176" t="n"/>
      <c r="FH62" s="176" t="n"/>
      <c r="FI62" s="176" t="n"/>
      <c r="FJ62" s="176" t="n"/>
    </row>
    <row r="63" ht="15" customHeight="1" s="392">
      <c r="A63" s="176" t="n"/>
      <c r="B63" s="180" t="n"/>
      <c r="C63" s="183" t="inlineStr">
        <is>
          <t xml:space="preserve">                    Customer Relationships</t>
        </is>
      </c>
      <c r="D63" s="190">
        <f>IF(COUNT(M63:EK63)&gt;0,MEDIAN(M63:EK63),"")</f>
        <v/>
      </c>
      <c r="E63" s="190">
        <f>IF(COUNT(M63:EK63)&gt;0,AVERAGE(M63:EK63),"")</f>
        <v/>
      </c>
      <c r="F63" s="190">
        <f>IF(COUNT(M63:EK63)&gt;0,MIN(M63:EK63),"")</f>
        <v/>
      </c>
      <c r="G63" s="190">
        <f>IF(COUNT(M63:EK63)&gt;0,MAX(M63:EK63),"")</f>
        <v/>
      </c>
      <c r="H63" s="190">
        <f>IF(COUNT(M63:EK63)&gt;0,QUARTILE(M63:EK63,1),"")</f>
        <v/>
      </c>
      <c r="I63" s="190">
        <f>IF(COUNT(M63:EK63)&gt;0,QUARTILE(M63:EK63,3),"")</f>
        <v/>
      </c>
      <c r="J63" s="190">
        <f>IF(COUNT(M63:EK63)&gt;1,STDEV(M63:EK63),"")</f>
        <v/>
      </c>
      <c r="K63" s="191">
        <f>IF(COUNT(M63:EK63)&gt;1,STDEV(M63:EK63)/AVERAGE(M63:EK63),"")</f>
        <v/>
      </c>
      <c r="M63" s="192" t="n"/>
      <c r="N63" s="192" t="n"/>
      <c r="O63" s="192" t="n"/>
      <c r="P63" s="192" t="n"/>
      <c r="Q63" s="192" t="n">
        <v>86956</v>
      </c>
      <c r="R63" s="192" t="n">
        <v>87141</v>
      </c>
      <c r="S63" s="192" t="n">
        <v>84863</v>
      </c>
      <c r="T63" s="192" t="n">
        <v>86066</v>
      </c>
      <c r="U63" s="192" t="n">
        <v>84228</v>
      </c>
      <c r="V63" s="192" t="n">
        <v>83589</v>
      </c>
      <c r="W63" s="192" t="n">
        <v>84133</v>
      </c>
      <c r="X63" s="192" t="n">
        <v>82904</v>
      </c>
      <c r="Y63" s="192" t="n">
        <v>84614</v>
      </c>
      <c r="Z63" s="192" t="n">
        <v>72580</v>
      </c>
      <c r="AA63" s="192" t="n">
        <v>72196</v>
      </c>
      <c r="AB63" s="192" t="n">
        <v>70920</v>
      </c>
      <c r="AC63" s="192" t="n">
        <v>71875</v>
      </c>
      <c r="AD63" s="192" t="n">
        <v>56158</v>
      </c>
      <c r="AE63" s="192" t="n">
        <v>56145</v>
      </c>
      <c r="AF63" s="192" t="n">
        <v>55438</v>
      </c>
      <c r="AG63" s="192" t="n">
        <v>55598</v>
      </c>
      <c r="AH63" s="192" t="n">
        <v>50573</v>
      </c>
      <c r="AI63" s="192" t="n">
        <v>50580</v>
      </c>
      <c r="AJ63" s="192" t="n">
        <v>50444</v>
      </c>
      <c r="AK63" s="192" t="n">
        <v>50600</v>
      </c>
      <c r="AL63" s="192" t="n">
        <v>49455</v>
      </c>
      <c r="AM63" s="192" t="n">
        <v>49006</v>
      </c>
      <c r="AN63" s="192" t="n">
        <v>49072</v>
      </c>
      <c r="AO63" s="192" t="n">
        <v>49109</v>
      </c>
      <c r="AP63" s="192" t="n">
        <v>49103</v>
      </c>
      <c r="AQ63" s="192" t="n">
        <v>49206</v>
      </c>
      <c r="AR63" s="192" t="n">
        <v>73105</v>
      </c>
      <c r="AS63" s="192" t="n">
        <v>71787</v>
      </c>
      <c r="AT63" s="192" t="n">
        <v>76162</v>
      </c>
      <c r="AU63" s="192" t="n">
        <v>74901</v>
      </c>
      <c r="AV63" s="192" t="n">
        <v>73977</v>
      </c>
      <c r="AW63" s="192" t="n">
        <v>75462</v>
      </c>
      <c r="AX63" s="192" t="n">
        <v>26823</v>
      </c>
      <c r="AY63" s="192" t="n">
        <v>26689</v>
      </c>
      <c r="AZ63" s="192" t="n">
        <v>25885</v>
      </c>
      <c r="BA63" s="192" t="n">
        <v>26471</v>
      </c>
      <c r="BB63" s="192" t="n">
        <v>27271</v>
      </c>
      <c r="BC63" s="192" t="n">
        <v>26459</v>
      </c>
      <c r="BD63" s="192" t="n">
        <v>27282</v>
      </c>
      <c r="BE63" s="192" t="n">
        <v>27506</v>
      </c>
      <c r="BF63" s="192" t="n">
        <v>27803</v>
      </c>
      <c r="BG63" s="192" t="n">
        <v>27829</v>
      </c>
      <c r="BH63" s="192" t="n">
        <v>46467</v>
      </c>
      <c r="BI63" s="192" t="n">
        <v>29128</v>
      </c>
      <c r="BJ63" s="192" t="n">
        <v>44787</v>
      </c>
      <c r="BK63" s="192" t="n">
        <v>35842</v>
      </c>
      <c r="BL63" s="192" t="n">
        <v>35209</v>
      </c>
      <c r="BM63" s="192" t="n">
        <v>33711</v>
      </c>
      <c r="BN63" s="192" t="n">
        <v>31650</v>
      </c>
      <c r="BO63" s="192" t="n">
        <v>32252</v>
      </c>
      <c r="BP63" s="192" t="n"/>
      <c r="BQ63" s="192" t="n">
        <v>26041</v>
      </c>
      <c r="BR63" s="192" t="n"/>
      <c r="BS63" s="192" t="n"/>
      <c r="BT63" s="192" t="n"/>
      <c r="BU63" s="192" t="n"/>
      <c r="BV63" s="192" t="n"/>
      <c r="BW63" s="192" t="n"/>
      <c r="BX63" s="192" t="n"/>
      <c r="BY63" s="192" t="n"/>
      <c r="BZ63" s="192" t="n"/>
      <c r="CA63" s="192" t="n"/>
      <c r="CB63" s="192" t="n"/>
      <c r="CC63" s="192" t="n"/>
      <c r="CD63" s="192" t="n"/>
      <c r="CE63" s="192" t="n"/>
      <c r="CF63" s="192" t="n"/>
      <c r="CG63" s="192" t="n"/>
      <c r="CH63" s="192" t="n"/>
      <c r="CI63" s="192" t="n"/>
      <c r="CJ63" s="192" t="n"/>
      <c r="CK63" s="192" t="n"/>
      <c r="CL63" s="192" t="n"/>
      <c r="CM63" s="192" t="n"/>
      <c r="CN63" s="192" t="n"/>
      <c r="CO63" s="192" t="n"/>
      <c r="CP63" s="192" t="n"/>
      <c r="CQ63" s="192" t="n"/>
      <c r="CR63" s="192" t="n"/>
      <c r="CS63" s="192" t="n"/>
      <c r="CT63" s="192" t="n"/>
      <c r="CU63" s="192" t="n"/>
      <c r="CV63" s="192" t="n"/>
      <c r="CW63" s="192" t="n"/>
      <c r="CX63" s="192" t="n"/>
      <c r="CY63" s="192" t="n"/>
      <c r="CZ63" s="192" t="n"/>
      <c r="DA63" s="192" t="n"/>
      <c r="DB63" s="192" t="n"/>
      <c r="DC63" s="192" t="n"/>
      <c r="DD63" s="192" t="n"/>
      <c r="DE63" s="192" t="n"/>
      <c r="DF63" s="192" t="n"/>
      <c r="DG63" s="192" t="n"/>
      <c r="DH63" s="192" t="n"/>
      <c r="DI63" s="192" t="n"/>
      <c r="DJ63" s="192" t="n"/>
      <c r="DK63" s="192" t="n"/>
      <c r="DL63" s="192" t="n"/>
      <c r="DM63" s="192" t="n"/>
      <c r="DN63" s="192" t="n"/>
      <c r="DO63" s="192" t="n"/>
      <c r="DP63" s="192" t="n"/>
      <c r="DQ63" s="192" t="n"/>
      <c r="DR63" s="192" t="n"/>
      <c r="DS63" s="192" t="n"/>
      <c r="DT63" s="192" t="n"/>
      <c r="DU63" s="192" t="n"/>
      <c r="DV63" s="192" t="n"/>
      <c r="DW63" s="192" t="n"/>
      <c r="DX63" s="192" t="n"/>
      <c r="DY63" s="192" t="n"/>
      <c r="DZ63" s="192" t="n"/>
      <c r="EA63" s="192" t="n"/>
      <c r="EB63" s="192" t="n"/>
      <c r="EC63" s="192" t="n"/>
      <c r="ED63" s="192" t="n"/>
      <c r="EE63" s="192" t="n"/>
      <c r="EF63" s="192" t="n"/>
      <c r="EG63" s="192" t="n"/>
      <c r="EH63" s="192" t="n"/>
      <c r="EI63" s="192" t="n"/>
      <c r="EJ63" s="192" t="n"/>
      <c r="EK63" s="192" t="n"/>
      <c r="EL63" s="182" t="n"/>
      <c r="EM63" s="176" t="n"/>
      <c r="EN63" s="176" t="n"/>
      <c r="EO63" s="176" t="n"/>
      <c r="EP63" s="176" t="n"/>
      <c r="EQ63" s="176" t="n"/>
      <c r="ER63" s="176" t="n"/>
      <c r="ES63" s="176" t="n"/>
      <c r="ET63" s="176" t="n"/>
      <c r="EU63" s="176" t="n"/>
      <c r="EV63" s="176" t="n"/>
      <c r="EW63" s="176" t="n"/>
      <c r="EX63" s="176" t="n"/>
      <c r="EY63" s="176" t="n"/>
      <c r="EZ63" s="176" t="n"/>
      <c r="FA63" s="176" t="n"/>
      <c r="FB63" s="176" t="n"/>
      <c r="FC63" s="176" t="n"/>
      <c r="FD63" s="176" t="n"/>
      <c r="FE63" s="176" t="n"/>
      <c r="FF63" s="176" t="n"/>
      <c r="FG63" s="176" t="n"/>
      <c r="FH63" s="176" t="n"/>
      <c r="FI63" s="176" t="n"/>
      <c r="FJ63" s="176" t="n"/>
    </row>
    <row r="64" ht="15" customHeight="1" s="392">
      <c r="A64" s="176" t="n"/>
      <c r="B64" s="180" t="n"/>
      <c r="C64" s="183" t="inlineStr">
        <is>
          <t xml:space="preserve">                    Other Intangible Assets</t>
        </is>
      </c>
      <c r="D64" s="190">
        <f>IF(COUNT(M64:EK64)&gt;0,MEDIAN(M64:EK64),"")</f>
        <v/>
      </c>
      <c r="E64" s="190">
        <f>IF(COUNT(M64:EK64)&gt;0,AVERAGE(M64:EK64),"")</f>
        <v/>
      </c>
      <c r="F64" s="190">
        <f>IF(COUNT(M64:EK64)&gt;0,MIN(M64:EK64),"")</f>
        <v/>
      </c>
      <c r="G64" s="190">
        <f>IF(COUNT(M64:EK64)&gt;0,MAX(M64:EK64),"")</f>
        <v/>
      </c>
      <c r="H64" s="190">
        <f>IF(COUNT(M64:EK64)&gt;0,QUARTILE(M64:EK64,1),"")</f>
        <v/>
      </c>
      <c r="I64" s="190">
        <f>IF(COUNT(M64:EK64)&gt;0,QUARTILE(M64:EK64,3),"")</f>
        <v/>
      </c>
      <c r="J64" s="190">
        <f>IF(COUNT(M64:EK64)&gt;1,STDEV(M64:EK64),"")</f>
        <v/>
      </c>
      <c r="K64" s="191">
        <f>IF(COUNT(M64:EK64)&gt;1,STDEV(M64:EK64)/AVERAGE(M64:EK64),"")</f>
        <v/>
      </c>
      <c r="M64" s="192" t="n"/>
      <c r="N64" s="192" t="n"/>
      <c r="O64" s="192" t="n"/>
      <c r="P64" s="192" t="n"/>
      <c r="Q64" s="192" t="n"/>
      <c r="R64" s="192" t="n"/>
      <c r="S64" s="192" t="n"/>
      <c r="T64" s="192" t="n"/>
      <c r="U64" s="192" t="n"/>
      <c r="V64" s="192" t="n"/>
      <c r="W64" s="192" t="n"/>
      <c r="X64" s="192" t="n"/>
      <c r="Y64" s="192" t="n"/>
      <c r="Z64" s="192" t="n"/>
      <c r="AA64" s="192" t="n"/>
      <c r="AB64" s="192" t="n"/>
      <c r="AC64" s="192" t="n"/>
      <c r="AD64" s="192" t="n"/>
      <c r="AE64" s="192" t="n"/>
      <c r="AF64" s="192" t="n"/>
      <c r="AG64" s="192" t="n"/>
      <c r="AH64" s="192" t="n"/>
      <c r="AI64" s="192" t="n"/>
      <c r="AJ64" s="192" t="n"/>
      <c r="AK64" s="192" t="n"/>
      <c r="AL64" s="192" t="n"/>
      <c r="AM64" s="192" t="n"/>
      <c r="AN64" s="192" t="n"/>
      <c r="AO64" s="192" t="n"/>
      <c r="AP64" s="192" t="n">
        <v>0</v>
      </c>
      <c r="AQ64" s="192" t="n"/>
      <c r="AR64" s="192" t="n">
        <v>1668</v>
      </c>
      <c r="AS64" s="192" t="n">
        <v>1666</v>
      </c>
      <c r="AT64" s="192" t="n">
        <v>1679</v>
      </c>
      <c r="AU64" s="192" t="n">
        <v>1698</v>
      </c>
      <c r="AV64" s="192" t="n">
        <v>1693</v>
      </c>
      <c r="AW64" s="192" t="n">
        <v>1702</v>
      </c>
      <c r="AX64" s="192" t="n">
        <v>1706</v>
      </c>
      <c r="AY64" s="192" t="n">
        <v>1708</v>
      </c>
      <c r="AZ64" s="192" t="n">
        <v>1705</v>
      </c>
      <c r="BA64" s="192" t="n">
        <v>1702</v>
      </c>
      <c r="BB64" s="192" t="n">
        <v>1691</v>
      </c>
      <c r="BC64" s="192" t="n">
        <v>1663</v>
      </c>
      <c r="BD64" s="192" t="n">
        <v>1670</v>
      </c>
      <c r="BE64" s="192" t="n">
        <v>1691</v>
      </c>
      <c r="BF64" s="192" t="n">
        <v>1719</v>
      </c>
      <c r="BG64" s="192" t="n">
        <v>1750</v>
      </c>
      <c r="BH64" s="192" t="n">
        <v>14642</v>
      </c>
      <c r="BI64" s="192" t="n">
        <v>1797</v>
      </c>
      <c r="BJ64" s="192" t="n">
        <v>17655</v>
      </c>
      <c r="BK64" s="192" t="n">
        <v>17525</v>
      </c>
      <c r="BL64" s="192" t="n">
        <v>12526</v>
      </c>
      <c r="BM64" s="192" t="n">
        <v>12515</v>
      </c>
      <c r="BN64" s="192" t="n">
        <v>11430</v>
      </c>
      <c r="BO64" s="192" t="n">
        <v>11447</v>
      </c>
      <c r="BP64" s="192" t="n">
        <v>39050</v>
      </c>
      <c r="BQ64" s="192" t="n">
        <v>11087</v>
      </c>
      <c r="BR64" s="192" t="n">
        <v>39378</v>
      </c>
      <c r="BS64" s="192" t="n">
        <v>38420</v>
      </c>
      <c r="BT64" s="192" t="n">
        <v>38971</v>
      </c>
      <c r="BU64" s="192" t="n">
        <v>39471</v>
      </c>
      <c r="BV64" s="192" t="n">
        <v>36737</v>
      </c>
      <c r="BW64" s="192" t="n">
        <v>11976</v>
      </c>
      <c r="BX64" s="192" t="n">
        <v>34379</v>
      </c>
      <c r="BY64" s="192" t="n">
        <v>13688</v>
      </c>
      <c r="BZ64" s="192" t="n">
        <v>15294</v>
      </c>
      <c r="CA64" s="192" t="n">
        <v>14212</v>
      </c>
      <c r="CB64" s="192" t="n">
        <v>15212</v>
      </c>
      <c r="CC64" s="192" t="n">
        <v>14754</v>
      </c>
      <c r="CD64" s="192" t="n">
        <v>14320</v>
      </c>
      <c r="CE64" s="192" t="n">
        <v>17024</v>
      </c>
      <c r="CF64" s="192" t="n">
        <v>21901</v>
      </c>
      <c r="CG64" s="192" t="n">
        <v>23470</v>
      </c>
      <c r="CH64" s="192" t="n">
        <v>26353</v>
      </c>
      <c r="CI64" s="192" t="n">
        <v>29299</v>
      </c>
      <c r="CJ64" s="192" t="n">
        <v>27442</v>
      </c>
      <c r="CK64" s="192" t="n">
        <v>1330</v>
      </c>
      <c r="CL64" s="192" t="n">
        <v>1507</v>
      </c>
      <c r="CM64" s="192" t="n">
        <v>1690</v>
      </c>
      <c r="CN64" s="192" t="n">
        <v>1874</v>
      </c>
      <c r="CO64" s="192" t="n">
        <v>2063</v>
      </c>
      <c r="CP64" s="192" t="n">
        <v>114301</v>
      </c>
      <c r="CQ64" s="192" t="n">
        <v>121219</v>
      </c>
      <c r="CR64" s="192" t="n">
        <v>1938</v>
      </c>
      <c r="CS64" s="192" t="n">
        <v>117680</v>
      </c>
      <c r="CT64" s="192" t="n">
        <v>114905</v>
      </c>
      <c r="CU64" s="192" t="n">
        <v>115223.8</v>
      </c>
      <c r="CV64" s="192" t="n">
        <v>115632</v>
      </c>
      <c r="CW64" s="192" t="n">
        <v>115237.9</v>
      </c>
      <c r="CX64" s="192" t="n">
        <v>115677</v>
      </c>
      <c r="CY64" s="192" t="n">
        <v>116093.1</v>
      </c>
      <c r="CZ64" s="192" t="n">
        <v>116973</v>
      </c>
      <c r="DA64" s="192" t="n">
        <v>116979</v>
      </c>
      <c r="DB64" s="192" t="n">
        <v>117372.3</v>
      </c>
      <c r="DC64" s="192" t="n">
        <v>9148.299999999999</v>
      </c>
      <c r="DD64" s="192" t="n">
        <v>9166.4</v>
      </c>
      <c r="DE64" s="192" t="n">
        <v>8112</v>
      </c>
      <c r="DF64" s="192" t="n">
        <v>100286.3</v>
      </c>
      <c r="DG64" s="192" t="n">
        <v>100402.4</v>
      </c>
      <c r="DH64" s="192" t="n">
        <v>8364.700000000001</v>
      </c>
      <c r="DI64" s="192" t="n">
        <v>91909.2</v>
      </c>
      <c r="DJ64" s="192" t="n">
        <v>90306.8</v>
      </c>
      <c r="DK64" s="192" t="n">
        <v>89431.89999999999</v>
      </c>
      <c r="DL64" s="192" t="n">
        <v>90395.60000000001</v>
      </c>
      <c r="DM64" s="192" t="n">
        <v>86027.2</v>
      </c>
      <c r="DN64" s="192" t="n">
        <v>85000</v>
      </c>
      <c r="DO64" s="192" t="n">
        <v>77000</v>
      </c>
      <c r="DP64" s="192" t="n">
        <v>77800</v>
      </c>
      <c r="DQ64" s="192" t="n">
        <v>76100</v>
      </c>
      <c r="DR64" s="192" t="n">
        <v>76800</v>
      </c>
      <c r="DS64" s="192" t="n">
        <v>77600</v>
      </c>
      <c r="DT64" s="192" t="n">
        <v>78400</v>
      </c>
      <c r="DU64" s="192" t="n">
        <v>72300</v>
      </c>
      <c r="DV64" s="192" t="n">
        <v>72500</v>
      </c>
      <c r="DW64" s="192" t="n">
        <v>75200</v>
      </c>
      <c r="DX64" s="192" t="n">
        <v>75300</v>
      </c>
      <c r="DY64" s="192" t="n">
        <v>75700</v>
      </c>
      <c r="DZ64" s="192" t="n">
        <v>75000</v>
      </c>
      <c r="EA64" s="192" t="n">
        <v>74400</v>
      </c>
      <c r="EB64" s="192" t="n">
        <v>74600</v>
      </c>
      <c r="EC64" s="192" t="n">
        <v>75500</v>
      </c>
      <c r="ED64" s="192" t="n">
        <v>75700</v>
      </c>
      <c r="EE64" s="192" t="n">
        <v>75500</v>
      </c>
      <c r="EF64" s="192" t="n">
        <v>73700</v>
      </c>
      <c r="EG64" s="192" t="n">
        <v>39600</v>
      </c>
      <c r="EH64" s="192" t="n">
        <v>35800</v>
      </c>
      <c r="EI64" s="192" t="n">
        <v>33800</v>
      </c>
      <c r="EJ64" s="192" t="n">
        <v>29300</v>
      </c>
      <c r="EK64" s="192" t="n">
        <v>26100</v>
      </c>
      <c r="EL64" s="182" t="n"/>
      <c r="EM64" s="176" t="n"/>
      <c r="EN64" s="176" t="n"/>
      <c r="EO64" s="176" t="n"/>
      <c r="EP64" s="176" t="n"/>
      <c r="EQ64" s="176" t="n"/>
      <c r="ER64" s="176" t="n"/>
      <c r="ES64" s="176" t="n"/>
      <c r="ET64" s="176" t="n"/>
      <c r="EU64" s="176" t="n"/>
      <c r="EV64" s="176" t="n"/>
      <c r="EW64" s="176" t="n"/>
      <c r="EX64" s="176" t="n"/>
      <c r="EY64" s="176" t="n"/>
      <c r="EZ64" s="176" t="n"/>
      <c r="FA64" s="176" t="n"/>
      <c r="FB64" s="176" t="n"/>
      <c r="FC64" s="176" t="n"/>
      <c r="FD64" s="176" t="n"/>
      <c r="FE64" s="176" t="n"/>
      <c r="FF64" s="176" t="n"/>
      <c r="FG64" s="176" t="n"/>
      <c r="FH64" s="176" t="n"/>
      <c r="FI64" s="176" t="n"/>
      <c r="FJ64" s="176" t="n"/>
    </row>
    <row r="65" ht="15" customHeight="1" s="392">
      <c r="A65" s="176" t="n"/>
      <c r="B65" s="180" t="n"/>
      <c r="C65" s="187" t="inlineStr">
        <is>
          <t xml:space="preserve">                Total Intangibles other than Goodwill</t>
        </is>
      </c>
      <c r="D65" s="193">
        <f>IF(COUNT(M65:EK65)&gt;0,MEDIAN(M65:EK65),"")</f>
        <v/>
      </c>
      <c r="E65" s="193">
        <f>IF(COUNT(M65:EK65)&gt;0,AVERAGE(M65:EK65),"")</f>
        <v/>
      </c>
      <c r="F65" s="193">
        <f>IF(COUNT(M65:EK65)&gt;0,MIN(M65:EK65),"")</f>
        <v/>
      </c>
      <c r="G65" s="193">
        <f>IF(COUNT(M65:EK65)&gt;0,MAX(M65:EK65),"")</f>
        <v/>
      </c>
      <c r="H65" s="193">
        <f>IF(COUNT(M65:EK65)&gt;0,QUARTILE(M65:EK65,1),"")</f>
        <v/>
      </c>
      <c r="I65" s="193">
        <f>IF(COUNT(M65:EK65)&gt;0,QUARTILE(M65:EK65,3),"")</f>
        <v/>
      </c>
      <c r="J65" s="193">
        <f>IF(COUNT(M65:EK65)&gt;1,STDEV(M65:EK65),"")</f>
        <v/>
      </c>
      <c r="K65" s="194">
        <f>IF(COUNT(M65:EK65)&gt;1,STDEV(M65:EK65)/AVERAGE(M65:EK65),"")</f>
        <v/>
      </c>
      <c r="L65" s="195" t="n"/>
      <c r="M65" s="196" t="n">
        <v>50477</v>
      </c>
      <c r="N65" s="196" t="n">
        <v>53943</v>
      </c>
      <c r="O65" s="196" t="n">
        <v>57292</v>
      </c>
      <c r="P65" s="196" t="n">
        <v>59615</v>
      </c>
      <c r="Q65" s="196" t="n">
        <v>139652</v>
      </c>
      <c r="R65" s="196" t="n">
        <v>139898</v>
      </c>
      <c r="S65" s="196" t="n">
        <v>136969</v>
      </c>
      <c r="T65" s="196" t="n">
        <v>138524</v>
      </c>
      <c r="U65" s="196" t="n">
        <v>136653</v>
      </c>
      <c r="V65" s="196" t="n">
        <v>135779</v>
      </c>
      <c r="W65" s="196" t="n">
        <v>139950</v>
      </c>
      <c r="X65" s="196" t="n">
        <v>133748</v>
      </c>
      <c r="Y65" s="196" t="n">
        <v>112043</v>
      </c>
      <c r="Z65" s="196" t="n">
        <v>92182</v>
      </c>
      <c r="AA65" s="196" t="n">
        <v>91784</v>
      </c>
      <c r="AB65" s="196" t="n">
        <v>90419</v>
      </c>
      <c r="AC65" s="196" t="n">
        <v>91404</v>
      </c>
      <c r="AD65" s="196" t="n">
        <v>75721</v>
      </c>
      <c r="AE65" s="196" t="n">
        <v>75767</v>
      </c>
      <c r="AF65" s="196" t="n">
        <v>75092</v>
      </c>
      <c r="AG65" s="196" t="n">
        <v>75278</v>
      </c>
      <c r="AH65" s="196" t="n">
        <v>81900</v>
      </c>
      <c r="AI65" s="196" t="n">
        <v>81932</v>
      </c>
      <c r="AJ65" s="196" t="n">
        <v>81683</v>
      </c>
      <c r="AK65" s="196" t="n">
        <v>81865</v>
      </c>
      <c r="AL65" s="196" t="n">
        <v>80749</v>
      </c>
      <c r="AM65" s="196" t="n">
        <v>80203</v>
      </c>
      <c r="AN65" s="196" t="n">
        <v>80285</v>
      </c>
      <c r="AO65" s="196" t="n">
        <v>80298</v>
      </c>
      <c r="AP65" s="196" t="n">
        <v>80325</v>
      </c>
      <c r="AQ65" s="196" t="n">
        <v>80485</v>
      </c>
      <c r="AR65" s="196" t="n">
        <v>108206</v>
      </c>
      <c r="AS65" s="196" t="n">
        <v>106917</v>
      </c>
      <c r="AT65" s="196" t="n">
        <v>111556</v>
      </c>
      <c r="AU65" s="196" t="n">
        <v>109185</v>
      </c>
      <c r="AV65" s="196" t="n">
        <v>108072</v>
      </c>
      <c r="AW65" s="196" t="n">
        <v>106408</v>
      </c>
      <c r="AX65" s="196" t="n">
        <v>36118</v>
      </c>
      <c r="AY65" s="196" t="n">
        <v>35961</v>
      </c>
      <c r="AZ65" s="196" t="n">
        <v>35188</v>
      </c>
      <c r="BA65" s="196" t="n">
        <v>35824</v>
      </c>
      <c r="BB65" s="196" t="n">
        <v>36688</v>
      </c>
      <c r="BC65" s="196" t="n">
        <v>35689</v>
      </c>
      <c r="BD65" s="196" t="n">
        <v>36576</v>
      </c>
      <c r="BE65" s="196" t="n">
        <v>36824</v>
      </c>
      <c r="BF65" s="196" t="n">
        <v>37210</v>
      </c>
      <c r="BG65" s="196" t="n">
        <v>37298</v>
      </c>
      <c r="BH65" s="196" t="n">
        <v>69365</v>
      </c>
      <c r="BI65" s="196" t="n">
        <v>38526</v>
      </c>
      <c r="BJ65" s="196" t="n">
        <v>67095</v>
      </c>
      <c r="BK65" s="196" t="n">
        <v>58527</v>
      </c>
      <c r="BL65" s="196" t="n">
        <v>52905</v>
      </c>
      <c r="BM65" s="196" t="n">
        <v>52530</v>
      </c>
      <c r="BN65" s="196" t="n">
        <v>47334</v>
      </c>
      <c r="BO65" s="196" t="n">
        <v>48060</v>
      </c>
      <c r="BP65" s="196" t="n">
        <v>39050</v>
      </c>
      <c r="BQ65" s="196" t="n">
        <v>38444</v>
      </c>
      <c r="BR65" s="196" t="n">
        <v>39378</v>
      </c>
      <c r="BS65" s="196" t="n">
        <v>38420</v>
      </c>
      <c r="BT65" s="196" t="n">
        <v>38971</v>
      </c>
      <c r="BU65" s="196" t="n">
        <v>39471</v>
      </c>
      <c r="BV65" s="196" t="n">
        <v>36737</v>
      </c>
      <c r="BW65" s="196" t="n">
        <v>11976</v>
      </c>
      <c r="BX65" s="196" t="n">
        <v>34379</v>
      </c>
      <c r="BY65" s="196" t="n">
        <v>13688</v>
      </c>
      <c r="BZ65" s="196" t="n">
        <v>15294</v>
      </c>
      <c r="CA65" s="196" t="n">
        <v>14212</v>
      </c>
      <c r="CB65" s="196" t="n">
        <v>15212</v>
      </c>
      <c r="CC65" s="196" t="n">
        <v>14754</v>
      </c>
      <c r="CD65" s="196" t="n">
        <v>14320</v>
      </c>
      <c r="CE65" s="196" t="n">
        <v>17024</v>
      </c>
      <c r="CF65" s="196" t="n">
        <v>21901</v>
      </c>
      <c r="CG65" s="196" t="n">
        <v>23470</v>
      </c>
      <c r="CH65" s="196" t="n">
        <v>26353</v>
      </c>
      <c r="CI65" s="196" t="n">
        <v>29299</v>
      </c>
      <c r="CJ65" s="196" t="n">
        <v>27442</v>
      </c>
      <c r="CK65" s="196" t="n">
        <v>1330</v>
      </c>
      <c r="CL65" s="196" t="n">
        <v>1507</v>
      </c>
      <c r="CM65" s="196" t="n">
        <v>1690</v>
      </c>
      <c r="CN65" s="196" t="n">
        <v>1874</v>
      </c>
      <c r="CO65" s="196" t="n">
        <v>2063</v>
      </c>
      <c r="CP65" s="196" t="n">
        <v>114301</v>
      </c>
      <c r="CQ65" s="196" t="n">
        <v>121219</v>
      </c>
      <c r="CR65" s="196" t="n">
        <v>1938</v>
      </c>
      <c r="CS65" s="196" t="n">
        <v>117680</v>
      </c>
      <c r="CT65" s="196" t="n">
        <v>114905</v>
      </c>
      <c r="CU65" s="196" t="n">
        <v>115223.8</v>
      </c>
      <c r="CV65" s="196" t="n">
        <v>115632</v>
      </c>
      <c r="CW65" s="196" t="n">
        <v>115237.9</v>
      </c>
      <c r="CX65" s="196" t="n">
        <v>115677</v>
      </c>
      <c r="CY65" s="196" t="n">
        <v>116093.1</v>
      </c>
      <c r="CZ65" s="196" t="n">
        <v>116973</v>
      </c>
      <c r="DA65" s="196" t="n">
        <v>116979</v>
      </c>
      <c r="DB65" s="196" t="n">
        <v>117372.3</v>
      </c>
      <c r="DC65" s="196" t="n">
        <v>9148.299999999999</v>
      </c>
      <c r="DD65" s="196" t="n">
        <v>9166.4</v>
      </c>
      <c r="DE65" s="196" t="n">
        <v>8112</v>
      </c>
      <c r="DF65" s="196" t="n">
        <v>100286.3</v>
      </c>
      <c r="DG65" s="196" t="n">
        <v>100402.4</v>
      </c>
      <c r="DH65" s="196" t="n">
        <v>8364.700000000001</v>
      </c>
      <c r="DI65" s="196" t="n">
        <v>91909.2</v>
      </c>
      <c r="DJ65" s="196" t="n">
        <v>90306.8</v>
      </c>
      <c r="DK65" s="196" t="n">
        <v>89431.89999999999</v>
      </c>
      <c r="DL65" s="196" t="n">
        <v>90395.60000000001</v>
      </c>
      <c r="DM65" s="196" t="n">
        <v>86027.2</v>
      </c>
      <c r="DN65" s="196" t="n">
        <v>85000</v>
      </c>
      <c r="DO65" s="196" t="n">
        <v>77000</v>
      </c>
      <c r="DP65" s="196" t="n">
        <v>77800</v>
      </c>
      <c r="DQ65" s="196" t="n">
        <v>76100</v>
      </c>
      <c r="DR65" s="196" t="n">
        <v>76800</v>
      </c>
      <c r="DS65" s="196" t="n">
        <v>77600</v>
      </c>
      <c r="DT65" s="196" t="n">
        <v>78400</v>
      </c>
      <c r="DU65" s="196" t="n">
        <v>72300</v>
      </c>
      <c r="DV65" s="196" t="n">
        <v>72500</v>
      </c>
      <c r="DW65" s="196" t="n">
        <v>75200</v>
      </c>
      <c r="DX65" s="196" t="n">
        <v>75300</v>
      </c>
      <c r="DY65" s="196" t="n">
        <v>75700</v>
      </c>
      <c r="DZ65" s="196" t="n">
        <v>75000</v>
      </c>
      <c r="EA65" s="196" t="n">
        <v>74400</v>
      </c>
      <c r="EB65" s="196" t="n">
        <v>74600</v>
      </c>
      <c r="EC65" s="196" t="n">
        <v>75500</v>
      </c>
      <c r="ED65" s="196" t="n">
        <v>75700</v>
      </c>
      <c r="EE65" s="196" t="n">
        <v>75500</v>
      </c>
      <c r="EF65" s="196" t="n">
        <v>73700</v>
      </c>
      <c r="EG65" s="196" t="n">
        <v>39600</v>
      </c>
      <c r="EH65" s="196" t="n">
        <v>35800</v>
      </c>
      <c r="EI65" s="196" t="n">
        <v>33800</v>
      </c>
      <c r="EJ65" s="196" t="n">
        <v>29300</v>
      </c>
      <c r="EK65" s="196" t="n">
        <v>26100</v>
      </c>
      <c r="EL65" s="182" t="n"/>
      <c r="EM65" s="176" t="n"/>
      <c r="EN65" s="176" t="n"/>
      <c r="EO65" s="176" t="n"/>
      <c r="EP65" s="176" t="n"/>
      <c r="EQ65" s="176" t="n"/>
      <c r="ER65" s="176" t="n"/>
      <c r="ES65" s="176" t="n"/>
      <c r="ET65" s="176" t="n"/>
      <c r="EU65" s="176" t="n"/>
      <c r="EV65" s="176" t="n"/>
      <c r="EW65" s="176" t="n"/>
      <c r="EX65" s="176" t="n"/>
      <c r="EY65" s="176" t="n"/>
      <c r="EZ65" s="176" t="n"/>
      <c r="FA65" s="176" t="n"/>
      <c r="FB65" s="176" t="n"/>
      <c r="FC65" s="176" t="n"/>
      <c r="FD65" s="176" t="n"/>
      <c r="FE65" s="176" t="n"/>
      <c r="FF65" s="176" t="n"/>
      <c r="FG65" s="176" t="n"/>
      <c r="FH65" s="176" t="n"/>
      <c r="FI65" s="176" t="n"/>
      <c r="FJ65" s="176" t="n"/>
    </row>
    <row r="66" ht="15" customHeight="1" s="392">
      <c r="A66" s="176" t="n"/>
      <c r="B66" s="180" t="n"/>
      <c r="C66" s="187" t="inlineStr">
        <is>
          <t xml:space="preserve">            Total Gross Goodwill and Other Intangible Assets</t>
        </is>
      </c>
      <c r="D66" s="193">
        <f>IF(COUNT(M66:EK66)&gt;0,MEDIAN(M66:EK66),"")</f>
        <v/>
      </c>
      <c r="E66" s="193">
        <f>IF(COUNT(M66:EK66)&gt;0,AVERAGE(M66:EK66),"")</f>
        <v/>
      </c>
      <c r="F66" s="193">
        <f>IF(COUNT(M66:EK66)&gt;0,MIN(M66:EK66),"")</f>
        <v/>
      </c>
      <c r="G66" s="193">
        <f>IF(COUNT(M66:EK66)&gt;0,MAX(M66:EK66),"")</f>
        <v/>
      </c>
      <c r="H66" s="193">
        <f>IF(COUNT(M66:EK66)&gt;0,QUARTILE(M66:EK66,1),"")</f>
        <v/>
      </c>
      <c r="I66" s="193">
        <f>IF(COUNT(M66:EK66)&gt;0,QUARTILE(M66:EK66,3),"")</f>
        <v/>
      </c>
      <c r="J66" s="193">
        <f>IF(COUNT(M66:EK66)&gt;1,STDEV(M66:EK66),"")</f>
        <v/>
      </c>
      <c r="K66" s="194">
        <f>IF(COUNT(M66:EK66)&gt;1,STDEV(M66:EK66)/AVERAGE(M66:EK66),"")</f>
        <v/>
      </c>
      <c r="L66" s="195" t="n"/>
      <c r="M66" s="196" t="n">
        <v>561774</v>
      </c>
      <c r="N66" s="196" t="n">
        <v>576646</v>
      </c>
      <c r="O66" s="196" t="n">
        <v>580765</v>
      </c>
      <c r="P66" s="196" t="n">
        <v>578371</v>
      </c>
      <c r="Q66" s="196" t="n">
        <v>657431</v>
      </c>
      <c r="R66" s="196" t="n">
        <v>658498</v>
      </c>
      <c r="S66" s="196" t="n">
        <v>646639</v>
      </c>
      <c r="T66" s="196" t="n">
        <v>653007</v>
      </c>
      <c r="U66" s="196" t="n">
        <v>650562</v>
      </c>
      <c r="V66" s="196" t="n">
        <v>647151</v>
      </c>
      <c r="W66" s="196" t="n">
        <v>650513</v>
      </c>
      <c r="X66" s="196" t="n">
        <v>634674</v>
      </c>
      <c r="Y66" s="196" t="n">
        <v>506332</v>
      </c>
      <c r="Z66" s="196" t="n">
        <v>498822</v>
      </c>
      <c r="AA66" s="196" t="n">
        <v>495830</v>
      </c>
      <c r="AB66" s="196" t="n">
        <v>485263</v>
      </c>
      <c r="AC66" s="196" t="n">
        <v>493358</v>
      </c>
      <c r="AD66" s="196" t="n">
        <v>423721</v>
      </c>
      <c r="AE66" s="196" t="n">
        <v>428675</v>
      </c>
      <c r="AF66" s="196" t="n">
        <v>429154</v>
      </c>
      <c r="AG66" s="196" t="n">
        <v>430995</v>
      </c>
      <c r="AH66" s="196" t="n">
        <v>429415</v>
      </c>
      <c r="AI66" s="196" t="n">
        <v>428898</v>
      </c>
      <c r="AJ66" s="196" t="n">
        <v>424259</v>
      </c>
      <c r="AK66" s="196" t="n">
        <v>425487</v>
      </c>
      <c r="AL66" s="196" t="n">
        <v>418788</v>
      </c>
      <c r="AM66" s="196" t="n">
        <v>418465</v>
      </c>
      <c r="AN66" s="196" t="n">
        <v>417464</v>
      </c>
      <c r="AO66" s="196" t="n">
        <v>413619</v>
      </c>
      <c r="AP66" s="196" t="n">
        <v>418050</v>
      </c>
      <c r="AQ66" s="196" t="n">
        <v>418530</v>
      </c>
      <c r="AR66" s="196" t="n">
        <v>443326</v>
      </c>
      <c r="AS66" s="196" t="n">
        <v>444152</v>
      </c>
      <c r="AT66" s="196" t="n">
        <v>454015</v>
      </c>
      <c r="AU66" s="196" t="n">
        <v>453684</v>
      </c>
      <c r="AV66" s="196" t="n">
        <v>447096</v>
      </c>
      <c r="AW66" s="196" t="n">
        <v>446651</v>
      </c>
      <c r="AX66" s="196" t="n">
        <v>294752</v>
      </c>
      <c r="AY66" s="196" t="n">
        <v>292828</v>
      </c>
      <c r="AZ66" s="196" t="n">
        <v>290281</v>
      </c>
      <c r="BA66" s="196" t="n">
        <v>296022</v>
      </c>
      <c r="BB66" s="196" t="n">
        <v>304055</v>
      </c>
      <c r="BC66" s="196" t="n">
        <v>299817</v>
      </c>
      <c r="BD66" s="196" t="n">
        <v>307196</v>
      </c>
      <c r="BE66" s="196" t="n">
        <v>308674</v>
      </c>
      <c r="BF66" s="196" t="n">
        <v>308694</v>
      </c>
      <c r="BG66" s="196" t="n">
        <v>307790</v>
      </c>
      <c r="BH66" s="196" t="n">
        <v>346254</v>
      </c>
      <c r="BI66" s="196" t="n">
        <v>322306</v>
      </c>
      <c r="BJ66" s="196" t="n">
        <v>355497</v>
      </c>
      <c r="BK66" s="196" t="n">
        <v>349754</v>
      </c>
      <c r="BL66" s="196" t="n">
        <v>334352</v>
      </c>
      <c r="BM66" s="196" t="n">
        <v>319993</v>
      </c>
      <c r="BN66" s="196" t="n">
        <v>255914</v>
      </c>
      <c r="BO66" s="196" t="n">
        <v>258248</v>
      </c>
      <c r="BP66" s="196" t="n">
        <v>237608</v>
      </c>
      <c r="BQ66" s="196" t="n">
        <v>234882</v>
      </c>
      <c r="BR66" s="196" t="n">
        <v>237186</v>
      </c>
      <c r="BS66" s="196" t="n">
        <v>233374</v>
      </c>
      <c r="BT66" s="196" t="n">
        <v>236100</v>
      </c>
      <c r="BU66" s="196" t="n">
        <v>238091</v>
      </c>
      <c r="BV66" s="196" t="n">
        <v>237348</v>
      </c>
      <c r="BW66" s="196" t="n">
        <v>190414</v>
      </c>
      <c r="BX66" s="196" t="n">
        <v>210249</v>
      </c>
      <c r="BY66" s="196" t="n">
        <v>187466</v>
      </c>
      <c r="BZ66" s="196" t="n">
        <v>191991</v>
      </c>
      <c r="CA66" s="196" t="n">
        <v>180787</v>
      </c>
      <c r="CB66" s="196" t="n">
        <v>181539</v>
      </c>
      <c r="CC66" s="196" t="n">
        <v>175466</v>
      </c>
      <c r="CD66" s="196" t="n">
        <v>173766</v>
      </c>
      <c r="CE66" s="196" t="n">
        <v>182390</v>
      </c>
      <c r="CF66" s="196" t="n">
        <v>199065</v>
      </c>
      <c r="CG66" s="196" t="n">
        <v>197377</v>
      </c>
      <c r="CH66" s="196" t="n">
        <v>192329</v>
      </c>
      <c r="CI66" s="196" t="n">
        <v>197655</v>
      </c>
      <c r="CJ66" s="196" t="n">
        <v>189087</v>
      </c>
      <c r="CK66" s="196" t="n">
        <v>113621</v>
      </c>
      <c r="CL66" s="196" t="n">
        <v>113798</v>
      </c>
      <c r="CM66" s="196" t="n">
        <v>113981</v>
      </c>
      <c r="CN66" s="196" t="n">
        <v>114165</v>
      </c>
      <c r="CO66" s="196" t="n">
        <v>114293</v>
      </c>
      <c r="CP66" s="196" t="n">
        <v>114301</v>
      </c>
      <c r="CQ66" s="196" t="n">
        <v>121219</v>
      </c>
      <c r="CR66" s="196" t="n">
        <v>118313</v>
      </c>
      <c r="CS66" s="196" t="n">
        <v>117680</v>
      </c>
      <c r="CT66" s="196" t="n">
        <v>114905</v>
      </c>
      <c r="CU66" s="196" t="n">
        <v>115223.8</v>
      </c>
      <c r="CV66" s="196" t="n">
        <v>115632</v>
      </c>
      <c r="CW66" s="196" t="n">
        <v>115237.9</v>
      </c>
      <c r="CX66" s="196" t="n">
        <v>115677</v>
      </c>
      <c r="CY66" s="196" t="n">
        <v>116093.1</v>
      </c>
      <c r="CZ66" s="196" t="n">
        <v>116973</v>
      </c>
      <c r="DA66" s="196" t="n">
        <v>116979</v>
      </c>
      <c r="DB66" s="196" t="n">
        <v>117372.3</v>
      </c>
      <c r="DC66" s="196" t="n">
        <v>117810.9</v>
      </c>
      <c r="DD66" s="196" t="n">
        <v>112086.5</v>
      </c>
      <c r="DE66" s="196" t="n">
        <v>99888.8</v>
      </c>
      <c r="DF66" s="196" t="n">
        <v>100286.3</v>
      </c>
      <c r="DG66" s="196" t="n">
        <v>100402.4</v>
      </c>
      <c r="DH66" s="196" t="n">
        <v>91118.10000000001</v>
      </c>
      <c r="DI66" s="196" t="n">
        <v>91909.2</v>
      </c>
      <c r="DJ66" s="196" t="n">
        <v>90306.8</v>
      </c>
      <c r="DK66" s="196" t="n">
        <v>89431.89999999999</v>
      </c>
      <c r="DL66" s="196" t="n">
        <v>90395.60000000001</v>
      </c>
      <c r="DM66" s="196" t="n">
        <v>86027.2</v>
      </c>
      <c r="DN66" s="196" t="n">
        <v>85000</v>
      </c>
      <c r="DO66" s="196" t="n">
        <v>77000</v>
      </c>
      <c r="DP66" s="196" t="n">
        <v>77800</v>
      </c>
      <c r="DQ66" s="196" t="n">
        <v>76100</v>
      </c>
      <c r="DR66" s="196" t="n">
        <v>76800</v>
      </c>
      <c r="DS66" s="196" t="n">
        <v>77600</v>
      </c>
      <c r="DT66" s="196" t="n">
        <v>78400</v>
      </c>
      <c r="DU66" s="196" t="n">
        <v>72300</v>
      </c>
      <c r="DV66" s="196" t="n">
        <v>72500</v>
      </c>
      <c r="DW66" s="196" t="n">
        <v>75200</v>
      </c>
      <c r="DX66" s="196" t="n">
        <v>75300</v>
      </c>
      <c r="DY66" s="196" t="n">
        <v>75700</v>
      </c>
      <c r="DZ66" s="196" t="n">
        <v>75000</v>
      </c>
      <c r="EA66" s="196" t="n">
        <v>74400</v>
      </c>
      <c r="EB66" s="196" t="n">
        <v>74600</v>
      </c>
      <c r="EC66" s="196" t="n">
        <v>75500</v>
      </c>
      <c r="ED66" s="196" t="n">
        <v>75700</v>
      </c>
      <c r="EE66" s="196" t="n">
        <v>75500</v>
      </c>
      <c r="EF66" s="196" t="n">
        <v>73700</v>
      </c>
      <c r="EG66" s="196" t="n">
        <v>39600</v>
      </c>
      <c r="EH66" s="196" t="n">
        <v>35800</v>
      </c>
      <c r="EI66" s="196" t="n">
        <v>33800</v>
      </c>
      <c r="EJ66" s="196" t="n">
        <v>29300</v>
      </c>
      <c r="EK66" s="196" t="n">
        <v>26100</v>
      </c>
      <c r="EL66" s="182" t="n"/>
      <c r="EM66" s="176" t="n"/>
      <c r="EN66" s="176" t="n"/>
      <c r="EO66" s="176" t="n"/>
      <c r="EP66" s="176" t="n"/>
      <c r="EQ66" s="176" t="n"/>
      <c r="ER66" s="176" t="n"/>
      <c r="ES66" s="176" t="n"/>
      <c r="ET66" s="176" t="n"/>
      <c r="EU66" s="176" t="n"/>
      <c r="EV66" s="176" t="n"/>
      <c r="EW66" s="176" t="n"/>
      <c r="EX66" s="176" t="n"/>
      <c r="EY66" s="176" t="n"/>
      <c r="EZ66" s="176" t="n"/>
      <c r="FA66" s="176" t="n"/>
      <c r="FB66" s="176" t="n"/>
      <c r="FC66" s="176" t="n"/>
      <c r="FD66" s="176" t="n"/>
      <c r="FE66" s="176" t="n"/>
      <c r="FF66" s="176" t="n"/>
      <c r="FG66" s="176" t="n"/>
      <c r="FH66" s="176" t="n"/>
      <c r="FI66" s="176" t="n"/>
      <c r="FJ66" s="176" t="n"/>
    </row>
    <row r="67" ht="15" customHeight="1" s="392">
      <c r="A67" s="176" t="n"/>
      <c r="B67" s="180" t="n"/>
      <c r="C67" s="183" t="inlineStr">
        <is>
          <t xml:space="preserve">            Accumulated Amortization and Impairment</t>
        </is>
      </c>
      <c r="D67" s="185" t="n"/>
      <c r="E67" s="185" t="n"/>
      <c r="F67" s="185" t="n"/>
      <c r="G67" s="185" t="n"/>
      <c r="H67" s="185" t="n"/>
      <c r="I67" s="185" t="n"/>
      <c r="J67" s="185" t="n"/>
      <c r="K67" s="185" t="n"/>
      <c r="EL67" s="182" t="n"/>
      <c r="EM67" s="176" t="n"/>
      <c r="EN67" s="176" t="n"/>
      <c r="EO67" s="176" t="n"/>
      <c r="EP67" s="176" t="n"/>
      <c r="EQ67" s="176" t="n"/>
      <c r="ER67" s="176" t="n"/>
      <c r="ES67" s="176" t="n"/>
      <c r="ET67" s="176" t="n"/>
      <c r="EU67" s="176" t="n"/>
      <c r="EV67" s="176" t="n"/>
      <c r="EW67" s="176" t="n"/>
      <c r="EX67" s="176" t="n"/>
      <c r="EY67" s="176" t="n"/>
      <c r="EZ67" s="176" t="n"/>
      <c r="FA67" s="176" t="n"/>
      <c r="FB67" s="176" t="n"/>
      <c r="FC67" s="176" t="n"/>
      <c r="FD67" s="176" t="n"/>
      <c r="FE67" s="176" t="n"/>
      <c r="FF67" s="176" t="n"/>
      <c r="FG67" s="176" t="n"/>
      <c r="FH67" s="176" t="n"/>
      <c r="FI67" s="176" t="n"/>
      <c r="FJ67" s="176" t="n"/>
    </row>
    <row r="68" ht="15" customHeight="1" s="392">
      <c r="A68" s="176" t="n"/>
      <c r="B68" s="180" t="n"/>
      <c r="C68" s="183" t="inlineStr">
        <is>
          <t xml:space="preserve">                Accumulated Amortization of Intangible Assets</t>
        </is>
      </c>
      <c r="D68" s="185" t="n"/>
      <c r="E68" s="185" t="n"/>
      <c r="F68" s="185" t="n"/>
      <c r="G68" s="185" t="n"/>
      <c r="H68" s="185" t="n"/>
      <c r="I68" s="185" t="n"/>
      <c r="J68" s="185" t="n"/>
      <c r="K68" s="185" t="n"/>
      <c r="EL68" s="182" t="n"/>
      <c r="EM68" s="176" t="n"/>
      <c r="EN68" s="176" t="n"/>
      <c r="EO68" s="176" t="n"/>
      <c r="EP68" s="176" t="n"/>
      <c r="EQ68" s="176" t="n"/>
      <c r="ER68" s="176" t="n"/>
      <c r="ES68" s="176" t="n"/>
      <c r="ET68" s="176" t="n"/>
      <c r="EU68" s="176" t="n"/>
      <c r="EV68" s="176" t="n"/>
      <c r="EW68" s="176" t="n"/>
      <c r="EX68" s="176" t="n"/>
      <c r="EY68" s="176" t="n"/>
      <c r="EZ68" s="176" t="n"/>
      <c r="FA68" s="176" t="n"/>
      <c r="FB68" s="176" t="n"/>
      <c r="FC68" s="176" t="n"/>
      <c r="FD68" s="176" t="n"/>
      <c r="FE68" s="176" t="n"/>
      <c r="FF68" s="176" t="n"/>
      <c r="FG68" s="176" t="n"/>
      <c r="FH68" s="176" t="n"/>
      <c r="FI68" s="176" t="n"/>
      <c r="FJ68" s="176" t="n"/>
    </row>
    <row r="69" ht="15" customHeight="1" s="392">
      <c r="A69" s="176" t="n"/>
      <c r="B69" s="180" t="n"/>
      <c r="C69" s="183" t="inlineStr">
        <is>
          <t xml:space="preserve">                    Accumulated Amortization of Intangibles other than Goodwill</t>
        </is>
      </c>
      <c r="D69" s="185" t="n"/>
      <c r="E69" s="185" t="n"/>
      <c r="F69" s="185" t="n"/>
      <c r="G69" s="185" t="n"/>
      <c r="H69" s="185" t="n"/>
      <c r="I69" s="185" t="n"/>
      <c r="J69" s="185" t="n"/>
      <c r="K69" s="185" t="n"/>
      <c r="EL69" s="182" t="n"/>
      <c r="EM69" s="176" t="n"/>
      <c r="EN69" s="176" t="n"/>
      <c r="EO69" s="176" t="n"/>
      <c r="EP69" s="176" t="n"/>
      <c r="EQ69" s="176" t="n"/>
      <c r="ER69" s="176" t="n"/>
      <c r="ES69" s="176" t="n"/>
      <c r="ET69" s="176" t="n"/>
      <c r="EU69" s="176" t="n"/>
      <c r="EV69" s="176" t="n"/>
      <c r="EW69" s="176" t="n"/>
      <c r="EX69" s="176" t="n"/>
      <c r="EY69" s="176" t="n"/>
      <c r="EZ69" s="176" t="n"/>
      <c r="FA69" s="176" t="n"/>
      <c r="FB69" s="176" t="n"/>
      <c r="FC69" s="176" t="n"/>
      <c r="FD69" s="176" t="n"/>
      <c r="FE69" s="176" t="n"/>
      <c r="FF69" s="176" t="n"/>
      <c r="FG69" s="176" t="n"/>
      <c r="FH69" s="176" t="n"/>
      <c r="FI69" s="176" t="n"/>
      <c r="FJ69" s="176" t="n"/>
    </row>
    <row r="70" ht="15" customHeight="1" s="392">
      <c r="A70" s="176" t="n"/>
      <c r="B70" s="180" t="n"/>
      <c r="C70" s="183" t="inlineStr">
        <is>
          <t xml:space="preserve">                        Accumulated Amortization of Trademarks and Patents</t>
        </is>
      </c>
      <c r="D70" s="190">
        <f>IF(COUNT(M70:EK70)&gt;0,MEDIAN(M70:EK70),"")</f>
        <v/>
      </c>
      <c r="E70" s="190">
        <f>IF(COUNT(M70:EK70)&gt;0,AVERAGE(M70:EK70),"")</f>
        <v/>
      </c>
      <c r="F70" s="190">
        <f>IF(COUNT(M70:EK70)&gt;0,MIN(M70:EK70),"")</f>
        <v/>
      </c>
      <c r="G70" s="190">
        <f>IF(COUNT(M70:EK70)&gt;0,MAX(M70:EK70),"")</f>
        <v/>
      </c>
      <c r="H70" s="190">
        <f>IF(COUNT(M70:EK70)&gt;0,QUARTILE(M70:EK70,1),"")</f>
        <v/>
      </c>
      <c r="I70" s="190">
        <f>IF(COUNT(M70:EK70)&gt;0,QUARTILE(M70:EK70,3),"")</f>
        <v/>
      </c>
      <c r="J70" s="190">
        <f>IF(COUNT(M70:EK70)&gt;1,STDEV(M70:EK70),"")</f>
        <v/>
      </c>
      <c r="K70" s="191">
        <f>IF(COUNT(M70:EK70)&gt;1,STDEV(M70:EK70)/AVERAGE(M70:EK70),"")</f>
        <v/>
      </c>
      <c r="M70" s="192" t="n"/>
      <c r="N70" s="192" t="n"/>
      <c r="O70" s="192" t="n"/>
      <c r="P70" s="192" t="n"/>
      <c r="Q70" s="192" t="n">
        <v>-14451</v>
      </c>
      <c r="R70" s="192" t="n"/>
      <c r="S70" s="192" t="n"/>
      <c r="T70" s="192" t="n"/>
      <c r="U70" s="192" t="n">
        <v>-12705</v>
      </c>
      <c r="V70" s="192" t="n"/>
      <c r="W70" s="192" t="n"/>
      <c r="X70" s="192" t="n"/>
      <c r="Y70" s="192" t="n">
        <v>-11045</v>
      </c>
      <c r="Z70" s="192" t="n"/>
      <c r="AA70" s="192" t="n"/>
      <c r="AB70" s="192" t="n"/>
      <c r="AC70" s="192" t="n">
        <v>-8867</v>
      </c>
      <c r="AD70" s="192" t="n"/>
      <c r="AE70" s="192" t="n"/>
      <c r="AF70" s="192" t="n"/>
      <c r="AG70" s="192" t="n">
        <v>-7163</v>
      </c>
      <c r="AH70" s="192" t="n"/>
      <c r="AI70" s="192" t="n"/>
      <c r="AJ70" s="192" t="n"/>
      <c r="AK70" s="192" t="n">
        <v>-10075</v>
      </c>
      <c r="AL70" s="192" t="n"/>
      <c r="AM70" s="192" t="n"/>
      <c r="AN70" s="192" t="n"/>
      <c r="AO70" s="192" t="n">
        <v>-8010</v>
      </c>
      <c r="AP70" s="192" t="n"/>
      <c r="AQ70" s="192" t="n"/>
      <c r="AR70" s="192" t="n"/>
      <c r="AS70" s="192" t="n">
        <v>-6405</v>
      </c>
      <c r="AT70" s="192" t="n"/>
      <c r="AU70" s="192" t="n"/>
      <c r="AV70" s="192" t="n"/>
      <c r="AW70" s="192" t="n">
        <v>-4989</v>
      </c>
      <c r="AX70" s="192" t="n"/>
      <c r="AY70" s="192" t="n"/>
      <c r="AZ70" s="192" t="n"/>
      <c r="BA70" s="192" t="n">
        <v>-3423</v>
      </c>
      <c r="BB70" s="192" t="n"/>
      <c r="BC70" s="192" t="n"/>
      <c r="BD70" s="192" t="n"/>
      <c r="BE70" s="192" t="n">
        <v>-2467</v>
      </c>
      <c r="BF70" s="192" t="n"/>
      <c r="BG70" s="192" t="n"/>
      <c r="BH70" s="192" t="n"/>
      <c r="BI70" s="192" t="n">
        <v>-1479</v>
      </c>
      <c r="BJ70" s="192" t="n"/>
      <c r="BK70" s="192" t="n"/>
      <c r="BL70" s="192" t="n"/>
      <c r="BM70" s="192" t="n">
        <v>-402</v>
      </c>
      <c r="BN70" s="192" t="n"/>
      <c r="BO70" s="192" t="n"/>
      <c r="BP70" s="192" t="n"/>
      <c r="BQ70" s="192" t="n"/>
      <c r="BR70" s="192" t="n"/>
      <c r="BS70" s="192" t="n"/>
      <c r="BT70" s="192" t="n"/>
      <c r="BU70" s="192" t="n"/>
      <c r="BV70" s="192" t="n"/>
      <c r="BW70" s="192" t="n"/>
      <c r="BX70" s="192" t="n"/>
      <c r="BY70" s="192" t="n"/>
      <c r="BZ70" s="192" t="n"/>
      <c r="CA70" s="192" t="n"/>
      <c r="CB70" s="192" t="n"/>
      <c r="CC70" s="192" t="n"/>
      <c r="CD70" s="192" t="n"/>
      <c r="CE70" s="192" t="n"/>
      <c r="CF70" s="192" t="n"/>
      <c r="CG70" s="192" t="n"/>
      <c r="CH70" s="192" t="n"/>
      <c r="CI70" s="192" t="n"/>
      <c r="CJ70" s="192" t="n"/>
      <c r="CK70" s="192" t="n"/>
      <c r="CL70" s="192" t="n"/>
      <c r="CM70" s="192" t="n"/>
      <c r="CN70" s="192" t="n"/>
      <c r="CO70" s="192" t="n"/>
      <c r="CP70" s="192" t="n"/>
      <c r="CQ70" s="192" t="n"/>
      <c r="CR70" s="192" t="n"/>
      <c r="CS70" s="192" t="n"/>
      <c r="CT70" s="192" t="n"/>
      <c r="CU70" s="192" t="n"/>
      <c r="CV70" s="192" t="n"/>
      <c r="CW70" s="192" t="n"/>
      <c r="CX70" s="192" t="n"/>
      <c r="CY70" s="192" t="n"/>
      <c r="CZ70" s="192" t="n"/>
      <c r="DA70" s="192" t="n"/>
      <c r="DB70" s="192" t="n"/>
      <c r="DC70" s="192" t="n"/>
      <c r="DD70" s="192" t="n"/>
      <c r="DE70" s="192" t="n"/>
      <c r="DF70" s="192" t="n"/>
      <c r="DG70" s="192" t="n"/>
      <c r="DH70" s="192" t="n"/>
      <c r="DI70" s="192" t="n"/>
      <c r="DJ70" s="192" t="n"/>
      <c r="DK70" s="192" t="n"/>
      <c r="DL70" s="192" t="n"/>
      <c r="DM70" s="192" t="n"/>
      <c r="DN70" s="192" t="n"/>
      <c r="DO70" s="192" t="n"/>
      <c r="DP70" s="192" t="n"/>
      <c r="DQ70" s="192" t="n"/>
      <c r="DR70" s="192" t="n"/>
      <c r="DS70" s="192" t="n"/>
      <c r="DT70" s="192" t="n"/>
      <c r="DU70" s="192" t="n"/>
      <c r="DV70" s="192" t="n"/>
      <c r="DW70" s="192" t="n"/>
      <c r="DX70" s="192" t="n"/>
      <c r="DY70" s="192" t="n"/>
      <c r="DZ70" s="192" t="n"/>
      <c r="EA70" s="192" t="n"/>
      <c r="EB70" s="192" t="n"/>
      <c r="EC70" s="192" t="n"/>
      <c r="ED70" s="192" t="n"/>
      <c r="EE70" s="192" t="n"/>
      <c r="EF70" s="192" t="n"/>
      <c r="EG70" s="192" t="n"/>
      <c r="EH70" s="192" t="n"/>
      <c r="EI70" s="192" t="n"/>
      <c r="EJ70" s="192" t="n"/>
      <c r="EK70" s="192" t="n"/>
      <c r="EL70" s="182" t="n"/>
      <c r="EM70" s="176" t="n"/>
      <c r="EN70" s="176" t="n"/>
      <c r="EO70" s="176" t="n"/>
      <c r="EP70" s="176" t="n"/>
      <c r="EQ70" s="176" t="n"/>
      <c r="ER70" s="176" t="n"/>
      <c r="ES70" s="176" t="n"/>
      <c r="ET70" s="176" t="n"/>
      <c r="EU70" s="176" t="n"/>
      <c r="EV70" s="176" t="n"/>
      <c r="EW70" s="176" t="n"/>
      <c r="EX70" s="176" t="n"/>
      <c r="EY70" s="176" t="n"/>
      <c r="EZ70" s="176" t="n"/>
      <c r="FA70" s="176" t="n"/>
      <c r="FB70" s="176" t="n"/>
      <c r="FC70" s="176" t="n"/>
      <c r="FD70" s="176" t="n"/>
      <c r="FE70" s="176" t="n"/>
      <c r="FF70" s="176" t="n"/>
      <c r="FG70" s="176" t="n"/>
      <c r="FH70" s="176" t="n"/>
      <c r="FI70" s="176" t="n"/>
      <c r="FJ70" s="176" t="n"/>
    </row>
    <row r="71" ht="15" customHeight="1" s="392">
      <c r="A71" s="176" t="n"/>
      <c r="B71" s="180" t="n"/>
      <c r="C71" s="183" t="inlineStr">
        <is>
          <t xml:space="preserve">                        Accumulated Amortization of Licences and Rights</t>
        </is>
      </c>
      <c r="D71" s="190">
        <f>IF(COUNT(M71:EK71)&gt;0,MEDIAN(M71:EK71),"")</f>
        <v/>
      </c>
      <c r="E71" s="190">
        <f>IF(COUNT(M71:EK71)&gt;0,AVERAGE(M71:EK71),"")</f>
        <v/>
      </c>
      <c r="F71" s="190">
        <f>IF(COUNT(M71:EK71)&gt;0,MIN(M71:EK71),"")</f>
        <v/>
      </c>
      <c r="G71" s="190">
        <f>IF(COUNT(M71:EK71)&gt;0,MAX(M71:EK71),"")</f>
        <v/>
      </c>
      <c r="H71" s="190">
        <f>IF(COUNT(M71:EK71)&gt;0,QUARTILE(M71:EK71,1),"")</f>
        <v/>
      </c>
      <c r="I71" s="190">
        <f>IF(COUNT(M71:EK71)&gt;0,QUARTILE(M71:EK71,3),"")</f>
        <v/>
      </c>
      <c r="J71" s="190">
        <f>IF(COUNT(M71:EK71)&gt;1,STDEV(M71:EK71),"")</f>
        <v/>
      </c>
      <c r="K71" s="191">
        <f>IF(COUNT(M71:EK71)&gt;1,STDEV(M71:EK71)/AVERAGE(M71:EK71),"")</f>
        <v/>
      </c>
      <c r="M71" s="192" t="n"/>
      <c r="N71" s="192" t="n"/>
      <c r="O71" s="192" t="n"/>
      <c r="P71" s="192" t="n"/>
      <c r="Q71" s="192" t="n">
        <v>-3622</v>
      </c>
      <c r="R71" s="192" t="n"/>
      <c r="S71" s="192" t="n"/>
      <c r="T71" s="192" t="n"/>
      <c r="U71" s="192" t="n">
        <v>-1996</v>
      </c>
      <c r="V71" s="192" t="n"/>
      <c r="W71" s="192" t="n"/>
      <c r="X71" s="192" t="n"/>
      <c r="Y71" s="192" t="n">
        <v>-682</v>
      </c>
      <c r="Z71" s="192" t="n"/>
      <c r="AA71" s="192" t="n"/>
      <c r="AB71" s="192" t="n"/>
      <c r="AC71" s="192" t="n">
        <v>-560</v>
      </c>
      <c r="AD71" s="192" t="n"/>
      <c r="AE71" s="192" t="n"/>
      <c r="AF71" s="192" t="n"/>
      <c r="AG71" s="192" t="n">
        <v>-503</v>
      </c>
      <c r="AH71" s="192" t="n"/>
      <c r="AI71" s="192" t="n"/>
      <c r="AJ71" s="192" t="n"/>
      <c r="AK71" s="192" t="n">
        <v>-7238</v>
      </c>
      <c r="AL71" s="192" t="n"/>
      <c r="AM71" s="192" t="n"/>
      <c r="AN71" s="192" t="n"/>
      <c r="AO71" s="192" t="n">
        <v>-5232</v>
      </c>
      <c r="AP71" s="192" t="n"/>
      <c r="AQ71" s="192" t="n"/>
      <c r="AR71" s="192" t="n"/>
      <c r="AS71" s="192" t="n">
        <v>-4363</v>
      </c>
      <c r="AT71" s="192" t="n"/>
      <c r="AU71" s="192" t="n"/>
      <c r="AV71" s="192" t="n"/>
      <c r="AW71" s="192" t="n">
        <v>-1844</v>
      </c>
      <c r="AX71" s="192" t="n"/>
      <c r="AY71" s="192" t="n"/>
      <c r="AZ71" s="192" t="n"/>
      <c r="BA71" s="192" t="n">
        <v>-2353</v>
      </c>
      <c r="BB71" s="192" t="n"/>
      <c r="BC71" s="192" t="n"/>
      <c r="BD71" s="192" t="n"/>
      <c r="BE71" s="192" t="n">
        <v>-2049</v>
      </c>
      <c r="BF71" s="192" t="n"/>
      <c r="BG71" s="192" t="n"/>
      <c r="BH71" s="192" t="n"/>
      <c r="BI71" s="192" t="n">
        <v>-1443</v>
      </c>
      <c r="BJ71" s="192" t="n"/>
      <c r="BK71" s="192" t="n"/>
      <c r="BL71" s="192" t="n"/>
      <c r="BM71" s="192" t="n">
        <v>-1305</v>
      </c>
      <c r="BN71" s="192" t="n"/>
      <c r="BO71" s="192" t="n"/>
      <c r="BP71" s="192" t="n"/>
      <c r="BQ71" s="192" t="n">
        <v>-1012</v>
      </c>
      <c r="BR71" s="192" t="n"/>
      <c r="BS71" s="192" t="n"/>
      <c r="BT71" s="192" t="n"/>
      <c r="BU71" s="192" t="n"/>
      <c r="BV71" s="192" t="n"/>
      <c r="BW71" s="192" t="n"/>
      <c r="BX71" s="192" t="n"/>
      <c r="BY71" s="192" t="n"/>
      <c r="BZ71" s="192" t="n"/>
      <c r="CA71" s="192" t="n"/>
      <c r="CB71" s="192" t="n"/>
      <c r="CC71" s="192" t="n"/>
      <c r="CD71" s="192" t="n"/>
      <c r="CE71" s="192" t="n"/>
      <c r="CF71" s="192" t="n"/>
      <c r="CG71" s="192" t="n"/>
      <c r="CH71" s="192" t="n"/>
      <c r="CI71" s="192" t="n"/>
      <c r="CJ71" s="192" t="n"/>
      <c r="CK71" s="192" t="n"/>
      <c r="CL71" s="192" t="n"/>
      <c r="CM71" s="192" t="n"/>
      <c r="CN71" s="192" t="n"/>
      <c r="CO71" s="192" t="n"/>
      <c r="CP71" s="192" t="n"/>
      <c r="CQ71" s="192" t="n"/>
      <c r="CR71" s="192" t="n"/>
      <c r="CS71" s="192" t="n"/>
      <c r="CT71" s="192" t="n"/>
      <c r="CU71" s="192" t="n"/>
      <c r="CV71" s="192" t="n"/>
      <c r="CW71" s="192" t="n"/>
      <c r="CX71" s="192" t="n"/>
      <c r="CY71" s="192" t="n"/>
      <c r="CZ71" s="192" t="n"/>
      <c r="DA71" s="192" t="n"/>
      <c r="DB71" s="192" t="n"/>
      <c r="DC71" s="192" t="n"/>
      <c r="DD71" s="192" t="n"/>
      <c r="DE71" s="192" t="n"/>
      <c r="DF71" s="192" t="n"/>
      <c r="DG71" s="192" t="n"/>
      <c r="DH71" s="192" t="n"/>
      <c r="DI71" s="192" t="n"/>
      <c r="DJ71" s="192" t="n"/>
      <c r="DK71" s="192" t="n"/>
      <c r="DL71" s="192" t="n"/>
      <c r="DM71" s="192" t="n"/>
      <c r="DN71" s="192" t="n"/>
      <c r="DO71" s="192" t="n"/>
      <c r="DP71" s="192" t="n"/>
      <c r="DQ71" s="192" t="n"/>
      <c r="DR71" s="192" t="n"/>
      <c r="DS71" s="192" t="n"/>
      <c r="DT71" s="192" t="n"/>
      <c r="DU71" s="192" t="n"/>
      <c r="DV71" s="192" t="n"/>
      <c r="DW71" s="192" t="n"/>
      <c r="DX71" s="192" t="n"/>
      <c r="DY71" s="192" t="n"/>
      <c r="DZ71" s="192" t="n"/>
      <c r="EA71" s="192" t="n"/>
      <c r="EB71" s="192" t="n"/>
      <c r="EC71" s="192" t="n"/>
      <c r="ED71" s="192" t="n"/>
      <c r="EE71" s="192" t="n"/>
      <c r="EF71" s="192" t="n"/>
      <c r="EG71" s="192" t="n"/>
      <c r="EH71" s="192" t="n"/>
      <c r="EI71" s="192" t="n"/>
      <c r="EJ71" s="192" t="n"/>
      <c r="EK71" s="192" t="n"/>
      <c r="EL71" s="182" t="n"/>
      <c r="EM71" s="176" t="n"/>
      <c r="EN71" s="176" t="n"/>
      <c r="EO71" s="176" t="n"/>
      <c r="EP71" s="176" t="n"/>
      <c r="EQ71" s="176" t="n"/>
      <c r="ER71" s="176" t="n"/>
      <c r="ES71" s="176" t="n"/>
      <c r="ET71" s="176" t="n"/>
      <c r="EU71" s="176" t="n"/>
      <c r="EV71" s="176" t="n"/>
      <c r="EW71" s="176" t="n"/>
      <c r="EX71" s="176" t="n"/>
      <c r="EY71" s="176" t="n"/>
      <c r="EZ71" s="176" t="n"/>
      <c r="FA71" s="176" t="n"/>
      <c r="FB71" s="176" t="n"/>
      <c r="FC71" s="176" t="n"/>
      <c r="FD71" s="176" t="n"/>
      <c r="FE71" s="176" t="n"/>
      <c r="FF71" s="176" t="n"/>
      <c r="FG71" s="176" t="n"/>
      <c r="FH71" s="176" t="n"/>
      <c r="FI71" s="176" t="n"/>
      <c r="FJ71" s="176" t="n"/>
    </row>
    <row r="72" ht="15" customHeight="1" s="392">
      <c r="A72" s="176" t="n"/>
      <c r="B72" s="180" t="n"/>
      <c r="C72" s="183" t="inlineStr">
        <is>
          <t xml:space="preserve">                        Accumulated Amortization of Customer Relationships</t>
        </is>
      </c>
      <c r="D72" s="190">
        <f>IF(COUNT(M72:EK72)&gt;0,MEDIAN(M72:EK72),"")</f>
        <v/>
      </c>
      <c r="E72" s="190">
        <f>IF(COUNT(M72:EK72)&gt;0,AVERAGE(M72:EK72),"")</f>
        <v/>
      </c>
      <c r="F72" s="190">
        <f>IF(COUNT(M72:EK72)&gt;0,MIN(M72:EK72),"")</f>
        <v/>
      </c>
      <c r="G72" s="190">
        <f>IF(COUNT(M72:EK72)&gt;0,MAX(M72:EK72),"")</f>
        <v/>
      </c>
      <c r="H72" s="190">
        <f>IF(COUNT(M72:EK72)&gt;0,QUARTILE(M72:EK72,1),"")</f>
        <v/>
      </c>
      <c r="I72" s="190">
        <f>IF(COUNT(M72:EK72)&gt;0,QUARTILE(M72:EK72,3),"")</f>
        <v/>
      </c>
      <c r="J72" s="190">
        <f>IF(COUNT(M72:EK72)&gt;1,STDEV(M72:EK72),"")</f>
        <v/>
      </c>
      <c r="K72" s="191">
        <f>IF(COUNT(M72:EK72)&gt;1,STDEV(M72:EK72)/AVERAGE(M72:EK72),"")</f>
        <v/>
      </c>
      <c r="M72" s="192" t="n"/>
      <c r="N72" s="192" t="n"/>
      <c r="O72" s="192" t="n"/>
      <c r="P72" s="192" t="n"/>
      <c r="Q72" s="192" t="n">
        <v>-58747</v>
      </c>
      <c r="R72" s="192" t="n"/>
      <c r="S72" s="192" t="n"/>
      <c r="T72" s="192" t="n"/>
      <c r="U72" s="192" t="n">
        <v>-47864</v>
      </c>
      <c r="V72" s="192" t="n"/>
      <c r="W72" s="192" t="n"/>
      <c r="X72" s="192" t="n"/>
      <c r="Y72" s="192" t="n">
        <v>-37614</v>
      </c>
      <c r="Z72" s="192" t="n"/>
      <c r="AA72" s="192" t="n"/>
      <c r="AB72" s="192" t="n"/>
      <c r="AC72" s="192" t="n">
        <v>-27297</v>
      </c>
      <c r="AD72" s="192" t="n"/>
      <c r="AE72" s="192" t="n"/>
      <c r="AF72" s="192" t="n"/>
      <c r="AG72" s="192" t="n">
        <v>-21739</v>
      </c>
      <c r="AH72" s="192" t="n"/>
      <c r="AI72" s="192" t="n"/>
      <c r="AJ72" s="192" t="n"/>
      <c r="AK72" s="192" t="n">
        <v>-16780</v>
      </c>
      <c r="AL72" s="192" t="n"/>
      <c r="AM72" s="192" t="n"/>
      <c r="AN72" s="192" t="n"/>
      <c r="AO72" s="192" t="n">
        <v>-11900</v>
      </c>
      <c r="AP72" s="192" t="n"/>
      <c r="AQ72" s="192" t="n"/>
      <c r="AR72" s="192" t="n"/>
      <c r="AS72" s="192" t="n">
        <v>-29601</v>
      </c>
      <c r="AT72" s="192" t="n"/>
      <c r="AU72" s="192" t="n"/>
      <c r="AV72" s="192" t="n"/>
      <c r="AW72" s="192" t="n">
        <v>-22248</v>
      </c>
      <c r="AX72" s="192" t="n"/>
      <c r="AY72" s="192" t="n"/>
      <c r="AZ72" s="192" t="n"/>
      <c r="BA72" s="192" t="n">
        <v>-17052</v>
      </c>
      <c r="BB72" s="192" t="n"/>
      <c r="BC72" s="192" t="n"/>
      <c r="BD72" s="192" t="n"/>
      <c r="BE72" s="192" t="n">
        <v>-13551</v>
      </c>
      <c r="BF72" s="192" t="n"/>
      <c r="BG72" s="192" t="n"/>
      <c r="BH72" s="192" t="n"/>
      <c r="BI72" s="192" t="n">
        <v>-9747</v>
      </c>
      <c r="BJ72" s="192" t="n"/>
      <c r="BK72" s="192" t="n"/>
      <c r="BL72" s="192" t="n"/>
      <c r="BM72" s="192" t="n">
        <v>-22152</v>
      </c>
      <c r="BN72" s="192" t="n"/>
      <c r="BO72" s="192" t="n"/>
      <c r="BP72" s="192" t="n"/>
      <c r="BQ72" s="192" t="n">
        <v>-18762</v>
      </c>
      <c r="BR72" s="192" t="n"/>
      <c r="BS72" s="192" t="n"/>
      <c r="BT72" s="192" t="n"/>
      <c r="BU72" s="192" t="n"/>
      <c r="BV72" s="192" t="n"/>
      <c r="BW72" s="192" t="n"/>
      <c r="BX72" s="192" t="n"/>
      <c r="BY72" s="192" t="n"/>
      <c r="BZ72" s="192" t="n"/>
      <c r="CA72" s="192" t="n"/>
      <c r="CB72" s="192" t="n"/>
      <c r="CC72" s="192" t="n"/>
      <c r="CD72" s="192" t="n"/>
      <c r="CE72" s="192" t="n"/>
      <c r="CF72" s="192" t="n"/>
      <c r="CG72" s="192" t="n"/>
      <c r="CH72" s="192" t="n"/>
      <c r="CI72" s="192" t="n"/>
      <c r="CJ72" s="192" t="n"/>
      <c r="CK72" s="192" t="n"/>
      <c r="CL72" s="192" t="n"/>
      <c r="CM72" s="192" t="n"/>
      <c r="CN72" s="192" t="n"/>
      <c r="CO72" s="192" t="n"/>
      <c r="CP72" s="192" t="n"/>
      <c r="CQ72" s="192" t="n"/>
      <c r="CR72" s="192" t="n"/>
      <c r="CS72" s="192" t="n"/>
      <c r="CT72" s="192" t="n"/>
      <c r="CU72" s="192" t="n"/>
      <c r="CV72" s="192" t="n"/>
      <c r="CW72" s="192" t="n"/>
      <c r="CX72" s="192" t="n"/>
      <c r="CY72" s="192" t="n"/>
      <c r="CZ72" s="192" t="n"/>
      <c r="DA72" s="192" t="n"/>
      <c r="DB72" s="192" t="n"/>
      <c r="DC72" s="192" t="n"/>
      <c r="DD72" s="192" t="n"/>
      <c r="DE72" s="192" t="n"/>
      <c r="DF72" s="192" t="n"/>
      <c r="DG72" s="192" t="n"/>
      <c r="DH72" s="192" t="n"/>
      <c r="DI72" s="192" t="n"/>
      <c r="DJ72" s="192" t="n"/>
      <c r="DK72" s="192" t="n"/>
      <c r="DL72" s="192" t="n"/>
      <c r="DM72" s="192" t="n"/>
      <c r="DN72" s="192" t="n"/>
      <c r="DO72" s="192" t="n"/>
      <c r="DP72" s="192" t="n"/>
      <c r="DQ72" s="192" t="n"/>
      <c r="DR72" s="192" t="n"/>
      <c r="DS72" s="192" t="n"/>
      <c r="DT72" s="192" t="n"/>
      <c r="DU72" s="192" t="n"/>
      <c r="DV72" s="192" t="n"/>
      <c r="DW72" s="192" t="n"/>
      <c r="DX72" s="192" t="n"/>
      <c r="DY72" s="192" t="n"/>
      <c r="DZ72" s="192" t="n"/>
      <c r="EA72" s="192" t="n"/>
      <c r="EB72" s="192" t="n"/>
      <c r="EC72" s="192" t="n"/>
      <c r="ED72" s="192" t="n"/>
      <c r="EE72" s="192" t="n"/>
      <c r="EF72" s="192" t="n"/>
      <c r="EG72" s="192" t="n"/>
      <c r="EH72" s="192" t="n"/>
      <c r="EI72" s="192" t="n"/>
      <c r="EJ72" s="192" t="n"/>
      <c r="EK72" s="192" t="n"/>
      <c r="EL72" s="182" t="n"/>
      <c r="EM72" s="176" t="n"/>
      <c r="EN72" s="176" t="n"/>
      <c r="EO72" s="176" t="n"/>
      <c r="EP72" s="176" t="n"/>
      <c r="EQ72" s="176" t="n"/>
      <c r="ER72" s="176" t="n"/>
      <c r="ES72" s="176" t="n"/>
      <c r="ET72" s="176" t="n"/>
      <c r="EU72" s="176" t="n"/>
      <c r="EV72" s="176" t="n"/>
      <c r="EW72" s="176" t="n"/>
      <c r="EX72" s="176" t="n"/>
      <c r="EY72" s="176" t="n"/>
      <c r="EZ72" s="176" t="n"/>
      <c r="FA72" s="176" t="n"/>
      <c r="FB72" s="176" t="n"/>
      <c r="FC72" s="176" t="n"/>
      <c r="FD72" s="176" t="n"/>
      <c r="FE72" s="176" t="n"/>
      <c r="FF72" s="176" t="n"/>
      <c r="FG72" s="176" t="n"/>
      <c r="FH72" s="176" t="n"/>
      <c r="FI72" s="176" t="n"/>
      <c r="FJ72" s="176" t="n"/>
    </row>
    <row r="73" ht="15" customHeight="1" s="392">
      <c r="A73" s="176" t="n"/>
      <c r="B73" s="180" t="n"/>
      <c r="C73" s="183" t="inlineStr">
        <is>
          <t xml:space="preserve">                        Accumulated Amortization of Other Intangible Assets</t>
        </is>
      </c>
      <c r="D73" s="190">
        <f>IF(COUNT(M73:EK73)&gt;0,MEDIAN(M73:EK73),"")</f>
        <v/>
      </c>
      <c r="E73" s="190">
        <f>IF(COUNT(M73:EK73)&gt;0,AVERAGE(M73:EK73),"")</f>
        <v/>
      </c>
      <c r="F73" s="190">
        <f>IF(COUNT(M73:EK73)&gt;0,MIN(M73:EK73),"")</f>
        <v/>
      </c>
      <c r="G73" s="190">
        <f>IF(COUNT(M73:EK73)&gt;0,MAX(M73:EK73),"")</f>
        <v/>
      </c>
      <c r="H73" s="190">
        <f>IF(COUNT(M73:EK73)&gt;0,QUARTILE(M73:EK73,1),"")</f>
        <v/>
      </c>
      <c r="I73" s="190">
        <f>IF(COUNT(M73:EK73)&gt;0,QUARTILE(M73:EK73,3),"")</f>
        <v/>
      </c>
      <c r="J73" s="190">
        <f>IF(COUNT(M73:EK73)&gt;1,STDEV(M73:EK73),"")</f>
        <v/>
      </c>
      <c r="K73" s="191">
        <f>IF(COUNT(M73:EK73)&gt;1,STDEV(M73:EK73)/AVERAGE(M73:EK73),"")</f>
        <v/>
      </c>
      <c r="M73" s="192" t="n"/>
      <c r="N73" s="192" t="n"/>
      <c r="O73" s="192" t="n"/>
      <c r="P73" s="192" t="n"/>
      <c r="Q73" s="192" t="n"/>
      <c r="R73" s="192" t="n"/>
      <c r="S73" s="192" t="n"/>
      <c r="T73" s="192" t="n"/>
      <c r="U73" s="192" t="n"/>
      <c r="V73" s="192" t="n"/>
      <c r="W73" s="192" t="n"/>
      <c r="X73" s="192" t="n"/>
      <c r="Y73" s="192" t="n"/>
      <c r="Z73" s="192" t="n"/>
      <c r="AA73" s="192" t="n"/>
      <c r="AB73" s="192" t="n"/>
      <c r="AC73" s="192" t="n"/>
      <c r="AD73" s="192" t="n"/>
      <c r="AE73" s="192" t="n"/>
      <c r="AF73" s="192" t="n"/>
      <c r="AG73" s="192" t="n"/>
      <c r="AH73" s="192" t="n"/>
      <c r="AI73" s="192" t="n"/>
      <c r="AJ73" s="192" t="n"/>
      <c r="AK73" s="192" t="n"/>
      <c r="AL73" s="192" t="n"/>
      <c r="AM73" s="192" t="n"/>
      <c r="AN73" s="192" t="n"/>
      <c r="AO73" s="192" t="n"/>
      <c r="AP73" s="192" t="n"/>
      <c r="AQ73" s="192" t="n"/>
      <c r="AR73" s="192" t="n"/>
      <c r="AS73" s="192" t="n">
        <v>-1656</v>
      </c>
      <c r="AT73" s="192" t="n"/>
      <c r="AU73" s="192" t="n"/>
      <c r="AV73" s="192" t="n"/>
      <c r="AW73" s="192" t="n">
        <v>-1389</v>
      </c>
      <c r="AX73" s="192" t="n"/>
      <c r="AY73" s="192" t="n"/>
      <c r="AZ73" s="192" t="n"/>
      <c r="BA73" s="192" t="n">
        <v>-1235</v>
      </c>
      <c r="BB73" s="192" t="n"/>
      <c r="BC73" s="192" t="n"/>
      <c r="BD73" s="192" t="n"/>
      <c r="BE73" s="192" t="n">
        <v>-900</v>
      </c>
      <c r="BF73" s="192" t="n"/>
      <c r="BG73" s="192" t="n"/>
      <c r="BH73" s="192" t="n"/>
      <c r="BI73" s="192" t="n">
        <v>-615</v>
      </c>
      <c r="BJ73" s="192" t="n"/>
      <c r="BK73" s="192" t="n"/>
      <c r="BL73" s="192" t="n"/>
      <c r="BM73" s="192" t="n">
        <v>-10965</v>
      </c>
      <c r="BN73" s="192" t="n"/>
      <c r="BO73" s="192" t="n"/>
      <c r="BP73" s="192" t="n"/>
      <c r="BQ73" s="192" t="n">
        <v>-10685</v>
      </c>
      <c r="BR73" s="192" t="n"/>
      <c r="BS73" s="192" t="n"/>
      <c r="BT73" s="192" t="n"/>
      <c r="BU73" s="192" t="n"/>
      <c r="BV73" s="192" t="n"/>
      <c r="BW73" s="192" t="n"/>
      <c r="BX73" s="192" t="n"/>
      <c r="BY73" s="192" t="n"/>
      <c r="BZ73" s="192" t="n"/>
      <c r="CA73" s="192" t="n"/>
      <c r="CB73" s="192" t="n"/>
      <c r="CC73" s="192" t="n"/>
      <c r="CD73" s="192" t="n"/>
      <c r="CE73" s="192" t="n"/>
      <c r="CF73" s="192" t="n"/>
      <c r="CG73" s="192" t="n"/>
      <c r="CH73" s="192" t="n"/>
      <c r="CI73" s="192" t="n"/>
      <c r="CJ73" s="192" t="n"/>
      <c r="CK73" s="192" t="n"/>
      <c r="CL73" s="192" t="n"/>
      <c r="CM73" s="192" t="n"/>
      <c r="CN73" s="192" t="n"/>
      <c r="CO73" s="192" t="n"/>
      <c r="CP73" s="192" t="n"/>
      <c r="CQ73" s="192" t="n"/>
      <c r="CR73" s="192" t="n"/>
      <c r="CS73" s="192" t="n"/>
      <c r="CT73" s="192" t="n"/>
      <c r="CU73" s="192" t="n"/>
      <c r="CV73" s="192" t="n"/>
      <c r="CW73" s="192" t="n"/>
      <c r="CX73" s="192" t="n"/>
      <c r="CY73" s="192" t="n"/>
      <c r="CZ73" s="192" t="n"/>
      <c r="DA73" s="192" t="n"/>
      <c r="DB73" s="192" t="n"/>
      <c r="DC73" s="192" t="n"/>
      <c r="DD73" s="192" t="n"/>
      <c r="DE73" s="192" t="n"/>
      <c r="DF73" s="192" t="n"/>
      <c r="DG73" s="192" t="n"/>
      <c r="DH73" s="192" t="n"/>
      <c r="DI73" s="192" t="n"/>
      <c r="DJ73" s="192" t="n"/>
      <c r="DK73" s="192" t="n"/>
      <c r="DL73" s="192" t="n"/>
      <c r="DM73" s="192" t="n"/>
      <c r="DN73" s="192" t="n"/>
      <c r="DO73" s="192" t="n"/>
      <c r="DP73" s="192" t="n"/>
      <c r="DQ73" s="192" t="n"/>
      <c r="DR73" s="192" t="n"/>
      <c r="DS73" s="192" t="n"/>
      <c r="DT73" s="192" t="n"/>
      <c r="DU73" s="192" t="n"/>
      <c r="DV73" s="192" t="n"/>
      <c r="DW73" s="192" t="n"/>
      <c r="DX73" s="192" t="n"/>
      <c r="DY73" s="192" t="n"/>
      <c r="DZ73" s="192" t="n"/>
      <c r="EA73" s="192" t="n"/>
      <c r="EB73" s="192" t="n"/>
      <c r="EC73" s="192" t="n"/>
      <c r="ED73" s="192" t="n"/>
      <c r="EE73" s="192" t="n"/>
      <c r="EF73" s="192" t="n"/>
      <c r="EG73" s="192" t="n"/>
      <c r="EH73" s="192" t="n"/>
      <c r="EI73" s="192" t="n"/>
      <c r="EJ73" s="192" t="n"/>
      <c r="EK73" s="192" t="n"/>
      <c r="EL73" s="182" t="n"/>
      <c r="EM73" s="176" t="n"/>
      <c r="EN73" s="176" t="n"/>
      <c r="EO73" s="176" t="n"/>
      <c r="EP73" s="176" t="n"/>
      <c r="EQ73" s="176" t="n"/>
      <c r="ER73" s="176" t="n"/>
      <c r="ES73" s="176" t="n"/>
      <c r="ET73" s="176" t="n"/>
      <c r="EU73" s="176" t="n"/>
      <c r="EV73" s="176" t="n"/>
      <c r="EW73" s="176" t="n"/>
      <c r="EX73" s="176" t="n"/>
      <c r="EY73" s="176" t="n"/>
      <c r="EZ73" s="176" t="n"/>
      <c r="FA73" s="176" t="n"/>
      <c r="FB73" s="176" t="n"/>
      <c r="FC73" s="176" t="n"/>
      <c r="FD73" s="176" t="n"/>
      <c r="FE73" s="176" t="n"/>
      <c r="FF73" s="176" t="n"/>
      <c r="FG73" s="176" t="n"/>
      <c r="FH73" s="176" t="n"/>
      <c r="FI73" s="176" t="n"/>
      <c r="FJ73" s="176" t="n"/>
    </row>
    <row r="74" ht="15" customHeight="1" s="392">
      <c r="A74" s="176" t="n"/>
      <c r="B74" s="180" t="n"/>
      <c r="C74" s="187" t="inlineStr">
        <is>
          <t xml:space="preserve">                    Total Accumulated Amortization of Intangibles other than Goodwill</t>
        </is>
      </c>
      <c r="D74" s="193">
        <f>IF(COUNT(M74:EK74)&gt;0,MEDIAN(M74:EK74),"")</f>
        <v/>
      </c>
      <c r="E74" s="193">
        <f>IF(COUNT(M74:EK74)&gt;0,AVERAGE(M74:EK74),"")</f>
        <v/>
      </c>
      <c r="F74" s="193">
        <f>IF(COUNT(M74:EK74)&gt;0,MIN(M74:EK74),"")</f>
        <v/>
      </c>
      <c r="G74" s="193">
        <f>IF(COUNT(M74:EK74)&gt;0,MAX(M74:EK74),"")</f>
        <v/>
      </c>
      <c r="H74" s="193">
        <f>IF(COUNT(M74:EK74)&gt;0,QUARTILE(M74:EK74,1),"")</f>
        <v/>
      </c>
      <c r="I74" s="193">
        <f>IF(COUNT(M74:EK74)&gt;0,QUARTILE(M74:EK74,3),"")</f>
        <v/>
      </c>
      <c r="J74" s="193">
        <f>IF(COUNT(M74:EK74)&gt;1,STDEV(M74:EK74),"")</f>
        <v/>
      </c>
      <c r="K74" s="194">
        <f>IF(COUNT(M74:EK74)&gt;1,STDEV(M74:EK74)/AVERAGE(M74:EK74),"")</f>
        <v/>
      </c>
      <c r="L74" s="195" t="n"/>
      <c r="M74" s="196" t="n"/>
      <c r="N74" s="196" t="n"/>
      <c r="O74" s="196" t="n"/>
      <c r="P74" s="196" t="n"/>
      <c r="Q74" s="196" t="n">
        <v>-76820</v>
      </c>
      <c r="R74" s="196" t="n">
        <v>-73481</v>
      </c>
      <c r="S74" s="196" t="n">
        <v>-68886</v>
      </c>
      <c r="T74" s="196" t="n">
        <v>-66012</v>
      </c>
      <c r="U74" s="196" t="n">
        <v>-62565</v>
      </c>
      <c r="V74" s="196" t="n">
        <v>-58993</v>
      </c>
      <c r="W74" s="196" t="n">
        <v>-55901</v>
      </c>
      <c r="X74" s="196" t="n">
        <v>-51916</v>
      </c>
      <c r="Y74" s="196" t="n">
        <v>-49341</v>
      </c>
      <c r="Z74" s="196" t="n">
        <v>-42506</v>
      </c>
      <c r="AA74" s="196" t="n">
        <v>-40598</v>
      </c>
      <c r="AB74" s="196" t="n">
        <v>-38572</v>
      </c>
      <c r="AC74" s="196" t="n">
        <v>-36724</v>
      </c>
      <c r="AD74" s="196" t="n">
        <v>-34867</v>
      </c>
      <c r="AE74" s="196" t="n">
        <v>-33036</v>
      </c>
      <c r="AF74" s="196" t="n">
        <v>-31178</v>
      </c>
      <c r="AG74" s="196" t="n">
        <v>-29405</v>
      </c>
      <c r="AH74" s="196" t="n">
        <v>-39365</v>
      </c>
      <c r="AI74" s="196" t="n">
        <v>-37662</v>
      </c>
      <c r="AJ74" s="196" t="n">
        <v>-35819</v>
      </c>
      <c r="AK74" s="196" t="n">
        <v>-34093</v>
      </c>
      <c r="AL74" s="196" t="n">
        <v>-32078</v>
      </c>
      <c r="AM74" s="196" t="n">
        <v>-29912</v>
      </c>
      <c r="AN74" s="196" t="n">
        <v>-27668</v>
      </c>
      <c r="AO74" s="196" t="n">
        <v>-25142</v>
      </c>
      <c r="AP74" s="196" t="n">
        <v>-22698</v>
      </c>
      <c r="AQ74" s="196" t="n">
        <v>-20220</v>
      </c>
      <c r="AR74" s="196" t="n">
        <v>-45309</v>
      </c>
      <c r="AS74" s="196" t="n">
        <v>-42025</v>
      </c>
      <c r="AT74" s="196" t="n">
        <v>-42174</v>
      </c>
      <c r="AU74" s="196" t="n">
        <v>-39251</v>
      </c>
      <c r="AV74" s="196" t="n">
        <v>-34787</v>
      </c>
      <c r="AW74" s="196" t="n">
        <v>-30470</v>
      </c>
      <c r="AX74" s="196" t="n">
        <v>-28494</v>
      </c>
      <c r="AY74" s="196" t="n">
        <v>-27023</v>
      </c>
      <c r="AZ74" s="196" t="n">
        <v>-24947</v>
      </c>
      <c r="BA74" s="196" t="n">
        <v>-24063</v>
      </c>
      <c r="BB74" s="196" t="n">
        <v>-23298</v>
      </c>
      <c r="BC74" s="196" t="n">
        <v>-21281</v>
      </c>
      <c r="BD74" s="196" t="n">
        <v>-20347</v>
      </c>
      <c r="BE74" s="196" t="n">
        <v>-18967</v>
      </c>
      <c r="BF74" s="196" t="n">
        <v>-17495</v>
      </c>
      <c r="BG74" s="196" t="n">
        <v>-15873</v>
      </c>
      <c r="BH74" s="196" t="n">
        <v>-45106</v>
      </c>
      <c r="BI74" s="196" t="n">
        <v>-13284</v>
      </c>
      <c r="BJ74" s="196" t="n">
        <v>-41711</v>
      </c>
      <c r="BK74" s="196" t="n">
        <v>-38818</v>
      </c>
      <c r="BL74" s="196" t="n">
        <v>-36998</v>
      </c>
      <c r="BM74" s="196" t="n">
        <v>-34824</v>
      </c>
      <c r="BN74" s="196" t="n">
        <v>-34234</v>
      </c>
      <c r="BO74" s="196" t="n">
        <v>-33135</v>
      </c>
      <c r="BP74" s="196" t="n"/>
      <c r="BQ74" s="196" t="n">
        <v>-30459</v>
      </c>
      <c r="BR74" s="196" t="n"/>
      <c r="BS74" s="196" t="n"/>
      <c r="BT74" s="196" t="n"/>
      <c r="BU74" s="196" t="n"/>
      <c r="BV74" s="196" t="n"/>
      <c r="BW74" s="196" t="n"/>
      <c r="BX74" s="196" t="n"/>
      <c r="BY74" s="196" t="n"/>
      <c r="BZ74" s="196" t="n"/>
      <c r="CA74" s="196" t="n"/>
      <c r="CB74" s="196" t="n"/>
      <c r="CC74" s="196" t="n"/>
      <c r="CD74" s="196" t="n"/>
      <c r="CE74" s="196" t="n"/>
      <c r="CF74" s="196" t="n"/>
      <c r="CG74" s="196" t="n"/>
      <c r="CH74" s="196" t="n"/>
      <c r="CI74" s="196" t="n"/>
      <c r="CJ74" s="196" t="n"/>
      <c r="CK74" s="196" t="n"/>
      <c r="CL74" s="196" t="n"/>
      <c r="CM74" s="196" t="n"/>
      <c r="CN74" s="196" t="n"/>
      <c r="CO74" s="196" t="n"/>
      <c r="CP74" s="196" t="n"/>
      <c r="CQ74" s="196" t="n"/>
      <c r="CR74" s="196" t="n"/>
      <c r="CS74" s="196" t="n"/>
      <c r="CT74" s="196" t="n"/>
      <c r="CU74" s="196" t="n"/>
      <c r="CV74" s="196" t="n"/>
      <c r="CW74" s="196" t="n"/>
      <c r="CX74" s="196" t="n"/>
      <c r="CY74" s="196" t="n"/>
      <c r="CZ74" s="196" t="n"/>
      <c r="DA74" s="196" t="n"/>
      <c r="DB74" s="196" t="n"/>
      <c r="DC74" s="196" t="n"/>
      <c r="DD74" s="196" t="n"/>
      <c r="DE74" s="196" t="n"/>
      <c r="DF74" s="196" t="n"/>
      <c r="DG74" s="196" t="n"/>
      <c r="DH74" s="196" t="n"/>
      <c r="DI74" s="196" t="n"/>
      <c r="DJ74" s="196" t="n"/>
      <c r="DK74" s="196" t="n"/>
      <c r="DL74" s="196" t="n"/>
      <c r="DM74" s="196" t="n"/>
      <c r="DN74" s="196" t="n"/>
      <c r="DO74" s="196" t="n"/>
      <c r="DP74" s="196" t="n"/>
      <c r="DQ74" s="196" t="n"/>
      <c r="DR74" s="196" t="n"/>
      <c r="DS74" s="196" t="n"/>
      <c r="DT74" s="196" t="n"/>
      <c r="DU74" s="196" t="n"/>
      <c r="DV74" s="196" t="n"/>
      <c r="DW74" s="196" t="n"/>
      <c r="DX74" s="196" t="n"/>
      <c r="DY74" s="196" t="n"/>
      <c r="DZ74" s="196" t="n"/>
      <c r="EA74" s="196" t="n"/>
      <c r="EB74" s="196" t="n"/>
      <c r="EC74" s="196" t="n"/>
      <c r="ED74" s="196" t="n"/>
      <c r="EE74" s="196" t="n"/>
      <c r="EF74" s="196" t="n"/>
      <c r="EG74" s="196" t="n"/>
      <c r="EH74" s="196" t="n"/>
      <c r="EI74" s="196" t="n"/>
      <c r="EJ74" s="196" t="n"/>
      <c r="EK74" s="196" t="n"/>
      <c r="EL74" s="182" t="n"/>
      <c r="EM74" s="176" t="n"/>
      <c r="EN74" s="176" t="n"/>
      <c r="EO74" s="176" t="n"/>
      <c r="EP74" s="176" t="n"/>
      <c r="EQ74" s="176" t="n"/>
      <c r="ER74" s="176" t="n"/>
      <c r="ES74" s="176" t="n"/>
      <c r="ET74" s="176" t="n"/>
      <c r="EU74" s="176" t="n"/>
      <c r="EV74" s="176" t="n"/>
      <c r="EW74" s="176" t="n"/>
      <c r="EX74" s="176" t="n"/>
      <c r="EY74" s="176" t="n"/>
      <c r="EZ74" s="176" t="n"/>
      <c r="FA74" s="176" t="n"/>
      <c r="FB74" s="176" t="n"/>
      <c r="FC74" s="176" t="n"/>
      <c r="FD74" s="176" t="n"/>
      <c r="FE74" s="176" t="n"/>
      <c r="FF74" s="176" t="n"/>
      <c r="FG74" s="176" t="n"/>
      <c r="FH74" s="176" t="n"/>
      <c r="FI74" s="176" t="n"/>
      <c r="FJ74" s="176" t="n"/>
    </row>
    <row r="75" ht="15" customHeight="1" s="392">
      <c r="A75" s="176" t="n"/>
      <c r="B75" s="180" t="n"/>
      <c r="C75" s="187" t="inlineStr">
        <is>
          <t xml:space="preserve">                Total Accumulated Amortization of Intangible Assets</t>
        </is>
      </c>
      <c r="D75" s="193">
        <f>IF(COUNT(M75:EK75)&gt;0,MEDIAN(M75:EK75),"")</f>
        <v/>
      </c>
      <c r="E75" s="193">
        <f>IF(COUNT(M75:EK75)&gt;0,AVERAGE(M75:EK75),"")</f>
        <v/>
      </c>
      <c r="F75" s="193">
        <f>IF(COUNT(M75:EK75)&gt;0,MIN(M75:EK75),"")</f>
        <v/>
      </c>
      <c r="G75" s="193">
        <f>IF(COUNT(M75:EK75)&gt;0,MAX(M75:EK75),"")</f>
        <v/>
      </c>
      <c r="H75" s="193">
        <f>IF(COUNT(M75:EK75)&gt;0,QUARTILE(M75:EK75,1),"")</f>
        <v/>
      </c>
      <c r="I75" s="193">
        <f>IF(COUNT(M75:EK75)&gt;0,QUARTILE(M75:EK75,3),"")</f>
        <v/>
      </c>
      <c r="J75" s="193">
        <f>IF(COUNT(M75:EK75)&gt;1,STDEV(M75:EK75),"")</f>
        <v/>
      </c>
      <c r="K75" s="194">
        <f>IF(COUNT(M75:EK75)&gt;1,STDEV(M75:EK75)/AVERAGE(M75:EK75),"")</f>
        <v/>
      </c>
      <c r="L75" s="195" t="n"/>
      <c r="M75" s="196" t="n"/>
      <c r="N75" s="196" t="n"/>
      <c r="O75" s="196" t="n"/>
      <c r="P75" s="196" t="n"/>
      <c r="Q75" s="196" t="n">
        <v>-76820</v>
      </c>
      <c r="R75" s="196" t="n">
        <v>-73481</v>
      </c>
      <c r="S75" s="196" t="n">
        <v>-68886</v>
      </c>
      <c r="T75" s="196" t="n">
        <v>-66012</v>
      </c>
      <c r="U75" s="196" t="n">
        <v>-62565</v>
      </c>
      <c r="V75" s="196" t="n">
        <v>-58993</v>
      </c>
      <c r="W75" s="196" t="n">
        <v>-55901</v>
      </c>
      <c r="X75" s="196" t="n">
        <v>-51916</v>
      </c>
      <c r="Y75" s="196" t="n">
        <v>-49341</v>
      </c>
      <c r="Z75" s="196" t="n">
        <v>-42506</v>
      </c>
      <c r="AA75" s="196" t="n">
        <v>-40598</v>
      </c>
      <c r="AB75" s="196" t="n">
        <v>-38572</v>
      </c>
      <c r="AC75" s="196" t="n">
        <v>-36724</v>
      </c>
      <c r="AD75" s="196" t="n">
        <v>-34867</v>
      </c>
      <c r="AE75" s="196" t="n">
        <v>-33036</v>
      </c>
      <c r="AF75" s="196" t="n">
        <v>-31178</v>
      </c>
      <c r="AG75" s="196" t="n">
        <v>-29405</v>
      </c>
      <c r="AH75" s="196" t="n">
        <v>-39365</v>
      </c>
      <c r="AI75" s="196" t="n">
        <v>-37662</v>
      </c>
      <c r="AJ75" s="196" t="n">
        <v>-35819</v>
      </c>
      <c r="AK75" s="196" t="n">
        <v>-34093</v>
      </c>
      <c r="AL75" s="196" t="n">
        <v>-32078</v>
      </c>
      <c r="AM75" s="196" t="n">
        <v>-29912</v>
      </c>
      <c r="AN75" s="196" t="n">
        <v>-27668</v>
      </c>
      <c r="AO75" s="196" t="n">
        <v>-25142</v>
      </c>
      <c r="AP75" s="196" t="n">
        <v>-22698</v>
      </c>
      <c r="AQ75" s="196" t="n">
        <v>-20220</v>
      </c>
      <c r="AR75" s="196" t="n">
        <v>-45309</v>
      </c>
      <c r="AS75" s="196" t="n">
        <v>-42025</v>
      </c>
      <c r="AT75" s="196" t="n">
        <v>-42174</v>
      </c>
      <c r="AU75" s="196" t="n">
        <v>-39251</v>
      </c>
      <c r="AV75" s="196" t="n">
        <v>-34787</v>
      </c>
      <c r="AW75" s="196" t="n">
        <v>-30470</v>
      </c>
      <c r="AX75" s="196" t="n">
        <v>-28494</v>
      </c>
      <c r="AY75" s="196" t="n">
        <v>-27023</v>
      </c>
      <c r="AZ75" s="196" t="n">
        <v>-24947</v>
      </c>
      <c r="BA75" s="196" t="n">
        <v>-24063</v>
      </c>
      <c r="BB75" s="196" t="n">
        <v>-23298</v>
      </c>
      <c r="BC75" s="196" t="n">
        <v>-21281</v>
      </c>
      <c r="BD75" s="196" t="n">
        <v>-20347</v>
      </c>
      <c r="BE75" s="196" t="n">
        <v>-18967</v>
      </c>
      <c r="BF75" s="196" t="n">
        <v>-17495</v>
      </c>
      <c r="BG75" s="196" t="n">
        <v>-15873</v>
      </c>
      <c r="BH75" s="196" t="n">
        <v>-45106</v>
      </c>
      <c r="BI75" s="196" t="n">
        <v>-13284</v>
      </c>
      <c r="BJ75" s="196" t="n">
        <v>-41711</v>
      </c>
      <c r="BK75" s="196" t="n">
        <v>-38818</v>
      </c>
      <c r="BL75" s="196" t="n">
        <v>-36998</v>
      </c>
      <c r="BM75" s="196" t="n">
        <v>-34824</v>
      </c>
      <c r="BN75" s="196" t="n">
        <v>-34234</v>
      </c>
      <c r="BO75" s="196" t="n">
        <v>-33135</v>
      </c>
      <c r="BP75" s="196" t="n">
        <v>-32009</v>
      </c>
      <c r="BQ75" s="196" t="n">
        <v>-30459</v>
      </c>
      <c r="BR75" s="196" t="n">
        <v>-30003</v>
      </c>
      <c r="BS75" s="196" t="n">
        <v>-28236</v>
      </c>
      <c r="BT75" s="196" t="n">
        <v>-27572</v>
      </c>
      <c r="BU75" s="196" t="n">
        <v>-26723</v>
      </c>
      <c r="BV75" s="196" t="n">
        <v>-26323</v>
      </c>
      <c r="BW75" s="196" t="n"/>
      <c r="BX75" s="196" t="n">
        <v>-21363</v>
      </c>
      <c r="BY75" s="196" t="n"/>
      <c r="BZ75" s="196" t="n"/>
      <c r="CA75" s="196" t="n"/>
      <c r="CB75" s="196" t="n"/>
      <c r="CC75" s="196" t="n"/>
      <c r="CD75" s="196" t="n"/>
      <c r="CE75" s="196" t="n"/>
      <c r="CF75" s="196" t="n"/>
      <c r="CG75" s="196" t="n"/>
      <c r="CH75" s="196" t="n"/>
      <c r="CI75" s="196" t="n"/>
      <c r="CJ75" s="196" t="n"/>
      <c r="CK75" s="196" t="n"/>
      <c r="CL75" s="196" t="n"/>
      <c r="CM75" s="196" t="n"/>
      <c r="CN75" s="196" t="n"/>
      <c r="CO75" s="196" t="n"/>
      <c r="CP75" s="196" t="n"/>
      <c r="CQ75" s="196" t="n"/>
      <c r="CR75" s="196" t="n"/>
      <c r="CS75" s="196" t="n"/>
      <c r="CT75" s="196" t="n"/>
      <c r="CU75" s="196" t="n"/>
      <c r="CV75" s="196" t="n"/>
      <c r="CW75" s="196" t="n"/>
      <c r="CX75" s="196" t="n"/>
      <c r="CY75" s="196" t="n"/>
      <c r="CZ75" s="196" t="n"/>
      <c r="DA75" s="196" t="n"/>
      <c r="DB75" s="196" t="n"/>
      <c r="DC75" s="196" t="n"/>
      <c r="DD75" s="196" t="n"/>
      <c r="DE75" s="196" t="n"/>
      <c r="DF75" s="196" t="n"/>
      <c r="DG75" s="196" t="n"/>
      <c r="DH75" s="196" t="n"/>
      <c r="DI75" s="196" t="n"/>
      <c r="DJ75" s="196" t="n"/>
      <c r="DK75" s="196" t="n"/>
      <c r="DL75" s="196" t="n"/>
      <c r="DM75" s="196" t="n"/>
      <c r="DN75" s="196" t="n"/>
      <c r="DO75" s="196" t="n"/>
      <c r="DP75" s="196" t="n"/>
      <c r="DQ75" s="196" t="n"/>
      <c r="DR75" s="196" t="n"/>
      <c r="DS75" s="196" t="n"/>
      <c r="DT75" s="196" t="n"/>
      <c r="DU75" s="196" t="n"/>
      <c r="DV75" s="196" t="n"/>
      <c r="DW75" s="196" t="n"/>
      <c r="DX75" s="196" t="n"/>
      <c r="DY75" s="196" t="n"/>
      <c r="DZ75" s="196" t="n"/>
      <c r="EA75" s="196" t="n"/>
      <c r="EB75" s="196" t="n"/>
      <c r="EC75" s="196" t="n"/>
      <c r="ED75" s="196" t="n"/>
      <c r="EE75" s="196" t="n"/>
      <c r="EF75" s="196" t="n"/>
      <c r="EG75" s="196" t="n"/>
      <c r="EH75" s="196" t="n"/>
      <c r="EI75" s="196" t="n"/>
      <c r="EJ75" s="196" t="n"/>
      <c r="EK75" s="196" t="n"/>
      <c r="EL75" s="182" t="n"/>
      <c r="EM75" s="176" t="n"/>
      <c r="EN75" s="176" t="n"/>
      <c r="EO75" s="176" t="n"/>
      <c r="EP75" s="176" t="n"/>
      <c r="EQ75" s="176" t="n"/>
      <c r="ER75" s="176" t="n"/>
      <c r="ES75" s="176" t="n"/>
      <c r="ET75" s="176" t="n"/>
      <c r="EU75" s="176" t="n"/>
      <c r="EV75" s="176" t="n"/>
      <c r="EW75" s="176" t="n"/>
      <c r="EX75" s="176" t="n"/>
      <c r="EY75" s="176" t="n"/>
      <c r="EZ75" s="176" t="n"/>
      <c r="FA75" s="176" t="n"/>
      <c r="FB75" s="176" t="n"/>
      <c r="FC75" s="176" t="n"/>
      <c r="FD75" s="176" t="n"/>
      <c r="FE75" s="176" t="n"/>
      <c r="FF75" s="176" t="n"/>
      <c r="FG75" s="176" t="n"/>
      <c r="FH75" s="176" t="n"/>
      <c r="FI75" s="176" t="n"/>
      <c r="FJ75" s="176" t="n"/>
    </row>
    <row r="76" ht="15" customHeight="1" s="392">
      <c r="A76" s="176" t="n"/>
      <c r="B76" s="180" t="n"/>
      <c r="C76" s="187" t="inlineStr">
        <is>
          <t xml:space="preserve">            Total Accumulated Amortization and Impairment</t>
        </is>
      </c>
      <c r="D76" s="193">
        <f>IF(COUNT(M76:EK76)&gt;0,MEDIAN(M76:EK76),"")</f>
        <v/>
      </c>
      <c r="E76" s="193">
        <f>IF(COUNT(M76:EK76)&gt;0,AVERAGE(M76:EK76),"")</f>
        <v/>
      </c>
      <c r="F76" s="193">
        <f>IF(COUNT(M76:EK76)&gt;0,MIN(M76:EK76),"")</f>
        <v/>
      </c>
      <c r="G76" s="193">
        <f>IF(COUNT(M76:EK76)&gt;0,MAX(M76:EK76),"")</f>
        <v/>
      </c>
      <c r="H76" s="193">
        <f>IF(COUNT(M76:EK76)&gt;0,QUARTILE(M76:EK76,1),"")</f>
        <v/>
      </c>
      <c r="I76" s="193">
        <f>IF(COUNT(M76:EK76)&gt;0,QUARTILE(M76:EK76,3),"")</f>
        <v/>
      </c>
      <c r="J76" s="193">
        <f>IF(COUNT(M76:EK76)&gt;1,STDEV(M76:EK76),"")</f>
        <v/>
      </c>
      <c r="K76" s="194">
        <f>IF(COUNT(M76:EK76)&gt;1,STDEV(M76:EK76)/AVERAGE(M76:EK76),"")</f>
        <v/>
      </c>
      <c r="L76" s="195" t="n"/>
      <c r="M76" s="196" t="n"/>
      <c r="N76" s="196" t="n"/>
      <c r="O76" s="196" t="n"/>
      <c r="P76" s="196" t="n"/>
      <c r="Q76" s="196" t="n">
        <v>-76820</v>
      </c>
      <c r="R76" s="196" t="n">
        <v>-73481</v>
      </c>
      <c r="S76" s="196" t="n">
        <v>-68886</v>
      </c>
      <c r="T76" s="196" t="n">
        <v>-66012</v>
      </c>
      <c r="U76" s="196" t="n">
        <v>-62565</v>
      </c>
      <c r="V76" s="196" t="n">
        <v>-58993</v>
      </c>
      <c r="W76" s="196" t="n">
        <v>-55901</v>
      </c>
      <c r="X76" s="196" t="n">
        <v>-51916</v>
      </c>
      <c r="Y76" s="196" t="n">
        <v>-49341</v>
      </c>
      <c r="Z76" s="196" t="n">
        <v>-42506</v>
      </c>
      <c r="AA76" s="196" t="n">
        <v>-40598</v>
      </c>
      <c r="AB76" s="196" t="n">
        <v>-38572</v>
      </c>
      <c r="AC76" s="196" t="n">
        <v>-36724</v>
      </c>
      <c r="AD76" s="196" t="n">
        <v>-34867</v>
      </c>
      <c r="AE76" s="196" t="n">
        <v>-33036</v>
      </c>
      <c r="AF76" s="196" t="n">
        <v>-31178</v>
      </c>
      <c r="AG76" s="196" t="n">
        <v>-29405</v>
      </c>
      <c r="AH76" s="196" t="n">
        <v>-39365</v>
      </c>
      <c r="AI76" s="196" t="n">
        <v>-37662</v>
      </c>
      <c r="AJ76" s="196" t="n">
        <v>-35819</v>
      </c>
      <c r="AK76" s="196" t="n">
        <v>-34093</v>
      </c>
      <c r="AL76" s="196" t="n">
        <v>-32078</v>
      </c>
      <c r="AM76" s="196" t="n">
        <v>-29912</v>
      </c>
      <c r="AN76" s="196" t="n">
        <v>-27668</v>
      </c>
      <c r="AO76" s="196" t="n">
        <v>-25142</v>
      </c>
      <c r="AP76" s="196" t="n">
        <v>-22698</v>
      </c>
      <c r="AQ76" s="196" t="n">
        <v>-20220</v>
      </c>
      <c r="AR76" s="196" t="n">
        <v>-45309</v>
      </c>
      <c r="AS76" s="196" t="n">
        <v>-42025</v>
      </c>
      <c r="AT76" s="196" t="n">
        <v>-42174</v>
      </c>
      <c r="AU76" s="196" t="n">
        <v>-39251</v>
      </c>
      <c r="AV76" s="196" t="n">
        <v>-34787</v>
      </c>
      <c r="AW76" s="196" t="n">
        <v>-30470</v>
      </c>
      <c r="AX76" s="196" t="n">
        <v>-28494</v>
      </c>
      <c r="AY76" s="196" t="n">
        <v>-27023</v>
      </c>
      <c r="AZ76" s="196" t="n">
        <v>-24947</v>
      </c>
      <c r="BA76" s="196" t="n">
        <v>-24063</v>
      </c>
      <c r="BB76" s="196" t="n">
        <v>-23298</v>
      </c>
      <c r="BC76" s="196" t="n">
        <v>-21281</v>
      </c>
      <c r="BD76" s="196" t="n">
        <v>-20347</v>
      </c>
      <c r="BE76" s="196" t="n">
        <v>-18967</v>
      </c>
      <c r="BF76" s="196" t="n">
        <v>-17495</v>
      </c>
      <c r="BG76" s="196" t="n">
        <v>-15873</v>
      </c>
      <c r="BH76" s="196" t="n">
        <v>-45106</v>
      </c>
      <c r="BI76" s="196" t="n">
        <v>-13284</v>
      </c>
      <c r="BJ76" s="196" t="n">
        <v>-41711</v>
      </c>
      <c r="BK76" s="196" t="n">
        <v>-38818</v>
      </c>
      <c r="BL76" s="196" t="n">
        <v>-36998</v>
      </c>
      <c r="BM76" s="196" t="n">
        <v>-34824</v>
      </c>
      <c r="BN76" s="196" t="n">
        <v>-34234</v>
      </c>
      <c r="BO76" s="196" t="n">
        <v>-33135</v>
      </c>
      <c r="BP76" s="196" t="n">
        <v>-32009</v>
      </c>
      <c r="BQ76" s="196" t="n">
        <v>-30459</v>
      </c>
      <c r="BR76" s="196" t="n">
        <v>-30003</v>
      </c>
      <c r="BS76" s="196" t="n">
        <v>-28236</v>
      </c>
      <c r="BT76" s="196" t="n">
        <v>-27572</v>
      </c>
      <c r="BU76" s="196" t="n">
        <v>-26723</v>
      </c>
      <c r="BV76" s="196" t="n">
        <v>-26323</v>
      </c>
      <c r="BW76" s="196" t="n"/>
      <c r="BX76" s="196" t="n">
        <v>-21363</v>
      </c>
      <c r="BY76" s="196" t="n"/>
      <c r="BZ76" s="196" t="n"/>
      <c r="CA76" s="196" t="n"/>
      <c r="CB76" s="196" t="n"/>
      <c r="CC76" s="196" t="n"/>
      <c r="CD76" s="196" t="n"/>
      <c r="CE76" s="196" t="n"/>
      <c r="CF76" s="196" t="n"/>
      <c r="CG76" s="196" t="n"/>
      <c r="CH76" s="196" t="n"/>
      <c r="CI76" s="196" t="n"/>
      <c r="CJ76" s="196" t="n"/>
      <c r="CK76" s="196" t="n"/>
      <c r="CL76" s="196" t="n"/>
      <c r="CM76" s="196" t="n"/>
      <c r="CN76" s="196" t="n"/>
      <c r="CO76" s="196" t="n"/>
      <c r="CP76" s="196" t="n"/>
      <c r="CQ76" s="196" t="n"/>
      <c r="CR76" s="196" t="n"/>
      <c r="CS76" s="196" t="n"/>
      <c r="CT76" s="196" t="n"/>
      <c r="CU76" s="196" t="n"/>
      <c r="CV76" s="196" t="n"/>
      <c r="CW76" s="196" t="n"/>
      <c r="CX76" s="196" t="n"/>
      <c r="CY76" s="196" t="n"/>
      <c r="CZ76" s="196" t="n"/>
      <c r="DA76" s="196" t="n"/>
      <c r="DB76" s="196" t="n"/>
      <c r="DC76" s="196" t="n"/>
      <c r="DD76" s="196" t="n"/>
      <c r="DE76" s="196" t="n"/>
      <c r="DF76" s="196" t="n"/>
      <c r="DG76" s="196" t="n"/>
      <c r="DH76" s="196" t="n"/>
      <c r="DI76" s="196" t="n"/>
      <c r="DJ76" s="196" t="n"/>
      <c r="DK76" s="196" t="n"/>
      <c r="DL76" s="196" t="n"/>
      <c r="DM76" s="196" t="n"/>
      <c r="DN76" s="196" t="n"/>
      <c r="DO76" s="196" t="n"/>
      <c r="DP76" s="196" t="n"/>
      <c r="DQ76" s="196" t="n"/>
      <c r="DR76" s="196" t="n"/>
      <c r="DS76" s="196" t="n"/>
      <c r="DT76" s="196" t="n"/>
      <c r="DU76" s="196" t="n"/>
      <c r="DV76" s="196" t="n"/>
      <c r="DW76" s="196" t="n"/>
      <c r="DX76" s="196" t="n"/>
      <c r="DY76" s="196" t="n"/>
      <c r="DZ76" s="196" t="n"/>
      <c r="EA76" s="196" t="n"/>
      <c r="EB76" s="196" t="n"/>
      <c r="EC76" s="196" t="n"/>
      <c r="ED76" s="196" t="n"/>
      <c r="EE76" s="196" t="n"/>
      <c r="EF76" s="196" t="n"/>
      <c r="EG76" s="196" t="n"/>
      <c r="EH76" s="196" t="n"/>
      <c r="EI76" s="196" t="n"/>
      <c r="EJ76" s="196" t="n"/>
      <c r="EK76" s="196" t="n"/>
      <c r="EL76" s="182" t="n"/>
      <c r="EM76" s="176" t="n"/>
      <c r="EN76" s="176" t="n"/>
      <c r="EO76" s="176" t="n"/>
      <c r="EP76" s="176" t="n"/>
      <c r="EQ76" s="176" t="n"/>
      <c r="ER76" s="176" t="n"/>
      <c r="ES76" s="176" t="n"/>
      <c r="ET76" s="176" t="n"/>
      <c r="EU76" s="176" t="n"/>
      <c r="EV76" s="176" t="n"/>
      <c r="EW76" s="176" t="n"/>
      <c r="EX76" s="176" t="n"/>
      <c r="EY76" s="176" t="n"/>
      <c r="EZ76" s="176" t="n"/>
      <c r="FA76" s="176" t="n"/>
      <c r="FB76" s="176" t="n"/>
      <c r="FC76" s="176" t="n"/>
      <c r="FD76" s="176" t="n"/>
      <c r="FE76" s="176" t="n"/>
      <c r="FF76" s="176" t="n"/>
      <c r="FG76" s="176" t="n"/>
      <c r="FH76" s="176" t="n"/>
      <c r="FI76" s="176" t="n"/>
      <c r="FJ76" s="176" t="n"/>
    </row>
    <row r="77" ht="15" customHeight="1" s="392">
      <c r="A77" s="176" t="n"/>
      <c r="B77" s="180" t="n"/>
      <c r="C77" s="187" t="inlineStr">
        <is>
          <t xml:space="preserve">        Total Net Intangible Assets</t>
        </is>
      </c>
      <c r="D77" s="193">
        <f>IF(COUNT(M77:EK77)&gt;0,MEDIAN(M77:EK77),"")</f>
        <v/>
      </c>
      <c r="E77" s="193">
        <f>IF(COUNT(M77:EK77)&gt;0,AVERAGE(M77:EK77),"")</f>
        <v/>
      </c>
      <c r="F77" s="193">
        <f>IF(COUNT(M77:EK77)&gt;0,MIN(M77:EK77),"")</f>
        <v/>
      </c>
      <c r="G77" s="193">
        <f>IF(COUNT(M77:EK77)&gt;0,MAX(M77:EK77),"")</f>
        <v/>
      </c>
      <c r="H77" s="193">
        <f>IF(COUNT(M77:EK77)&gt;0,QUARTILE(M77:EK77,1),"")</f>
        <v/>
      </c>
      <c r="I77" s="193">
        <f>IF(COUNT(M77:EK77)&gt;0,QUARTILE(M77:EK77,3),"")</f>
        <v/>
      </c>
      <c r="J77" s="193">
        <f>IF(COUNT(M77:EK77)&gt;1,STDEV(M77:EK77),"")</f>
        <v/>
      </c>
      <c r="K77" s="194">
        <f>IF(COUNT(M77:EK77)&gt;1,STDEV(M77:EK77)/AVERAGE(M77:EK77),"")</f>
        <v/>
      </c>
      <c r="L77" s="195" t="n"/>
      <c r="M77" s="196" t="n">
        <v>561774</v>
      </c>
      <c r="N77" s="196" t="n">
        <v>576646</v>
      </c>
      <c r="O77" s="196" t="n">
        <v>580765</v>
      </c>
      <c r="P77" s="196" t="n">
        <v>578371</v>
      </c>
      <c r="Q77" s="196" t="n">
        <v>580611</v>
      </c>
      <c r="R77" s="196" t="n">
        <v>585017</v>
      </c>
      <c r="S77" s="196" t="n">
        <v>577753</v>
      </c>
      <c r="T77" s="196" t="n">
        <v>586995</v>
      </c>
      <c r="U77" s="196" t="n">
        <v>587997</v>
      </c>
      <c r="V77" s="196" t="n">
        <v>588158</v>
      </c>
      <c r="W77" s="196" t="n">
        <v>594612</v>
      </c>
      <c r="X77" s="196" t="n">
        <v>582758</v>
      </c>
      <c r="Y77" s="196" t="n">
        <v>456991</v>
      </c>
      <c r="Z77" s="196" t="n">
        <v>456316</v>
      </c>
      <c r="AA77" s="196" t="n">
        <v>455232</v>
      </c>
      <c r="AB77" s="196" t="n">
        <v>446691</v>
      </c>
      <c r="AC77" s="196" t="n">
        <v>456634</v>
      </c>
      <c r="AD77" s="196" t="n">
        <v>388854</v>
      </c>
      <c r="AE77" s="196" t="n">
        <v>395639</v>
      </c>
      <c r="AF77" s="196" t="n">
        <v>397976</v>
      </c>
      <c r="AG77" s="196" t="n">
        <v>401590</v>
      </c>
      <c r="AH77" s="196" t="n">
        <v>390050</v>
      </c>
      <c r="AI77" s="196" t="n">
        <v>391236</v>
      </c>
      <c r="AJ77" s="196" t="n">
        <v>388440</v>
      </c>
      <c r="AK77" s="196" t="n">
        <v>391394</v>
      </c>
      <c r="AL77" s="196" t="n">
        <v>386710</v>
      </c>
      <c r="AM77" s="196" t="n">
        <v>388553</v>
      </c>
      <c r="AN77" s="196" t="n">
        <v>389796</v>
      </c>
      <c r="AO77" s="196" t="n">
        <v>388477</v>
      </c>
      <c r="AP77" s="196" t="n">
        <v>395352</v>
      </c>
      <c r="AQ77" s="196" t="n">
        <v>398310</v>
      </c>
      <c r="AR77" s="196" t="n">
        <v>398017</v>
      </c>
      <c r="AS77" s="196" t="n">
        <v>402127</v>
      </c>
      <c r="AT77" s="196" t="n">
        <v>411841</v>
      </c>
      <c r="AU77" s="196" t="n">
        <v>414433</v>
      </c>
      <c r="AV77" s="196" t="n">
        <v>412309</v>
      </c>
      <c r="AW77" s="196" t="n">
        <v>416181</v>
      </c>
      <c r="AX77" s="196" t="n">
        <v>266258</v>
      </c>
      <c r="AY77" s="196" t="n">
        <v>265805</v>
      </c>
      <c r="AZ77" s="196" t="n">
        <v>265334</v>
      </c>
      <c r="BA77" s="196" t="n">
        <v>271959</v>
      </c>
      <c r="BB77" s="196" t="n">
        <v>280757</v>
      </c>
      <c r="BC77" s="196" t="n">
        <v>278536</v>
      </c>
      <c r="BD77" s="196" t="n">
        <v>286849</v>
      </c>
      <c r="BE77" s="196" t="n">
        <v>289707</v>
      </c>
      <c r="BF77" s="196" t="n">
        <v>291199</v>
      </c>
      <c r="BG77" s="196" t="n">
        <v>291917</v>
      </c>
      <c r="BH77" s="196" t="n">
        <v>301148</v>
      </c>
      <c r="BI77" s="196" t="n">
        <v>309022</v>
      </c>
      <c r="BJ77" s="196" t="n">
        <v>313786</v>
      </c>
      <c r="BK77" s="196" t="n">
        <v>310936</v>
      </c>
      <c r="BL77" s="196" t="n">
        <v>297354</v>
      </c>
      <c r="BM77" s="196" t="n">
        <v>285169</v>
      </c>
      <c r="BN77" s="196" t="n">
        <v>221680</v>
      </c>
      <c r="BO77" s="196" t="n">
        <v>225113</v>
      </c>
      <c r="BP77" s="196" t="n">
        <v>205599</v>
      </c>
      <c r="BQ77" s="196" t="n">
        <v>204423</v>
      </c>
      <c r="BR77" s="196" t="n">
        <v>207183</v>
      </c>
      <c r="BS77" s="196" t="n">
        <v>205138</v>
      </c>
      <c r="BT77" s="196" t="n">
        <v>208528</v>
      </c>
      <c r="BU77" s="196" t="n">
        <v>211368</v>
      </c>
      <c r="BV77" s="196" t="n">
        <v>211025</v>
      </c>
      <c r="BW77" s="196" t="n">
        <v>190414</v>
      </c>
      <c r="BX77" s="196" t="n">
        <v>188886</v>
      </c>
      <c r="BY77" s="196" t="n">
        <v>187466</v>
      </c>
      <c r="BZ77" s="196" t="n">
        <v>191991</v>
      </c>
      <c r="CA77" s="196" t="n">
        <v>180787</v>
      </c>
      <c r="CB77" s="196" t="n">
        <v>181539</v>
      </c>
      <c r="CC77" s="196" t="n">
        <v>175466</v>
      </c>
      <c r="CD77" s="196" t="n">
        <v>173766</v>
      </c>
      <c r="CE77" s="196" t="n">
        <v>182390</v>
      </c>
      <c r="CF77" s="196" t="n">
        <v>199065</v>
      </c>
      <c r="CG77" s="196" t="n">
        <v>197377</v>
      </c>
      <c r="CH77" s="196" t="n">
        <v>192329</v>
      </c>
      <c r="CI77" s="196" t="n">
        <v>197655</v>
      </c>
      <c r="CJ77" s="196" t="n">
        <v>189087</v>
      </c>
      <c r="CK77" s="196" t="n">
        <v>113621</v>
      </c>
      <c r="CL77" s="196" t="n">
        <v>113798</v>
      </c>
      <c r="CM77" s="196" t="n">
        <v>113981</v>
      </c>
      <c r="CN77" s="196" t="n">
        <v>114165</v>
      </c>
      <c r="CO77" s="196" t="n">
        <v>114293</v>
      </c>
      <c r="CP77" s="196" t="n">
        <v>114301</v>
      </c>
      <c r="CQ77" s="196" t="n">
        <v>121219</v>
      </c>
      <c r="CR77" s="196" t="n">
        <v>118313</v>
      </c>
      <c r="CS77" s="196" t="n">
        <v>117680</v>
      </c>
      <c r="CT77" s="196" t="n">
        <v>114905</v>
      </c>
      <c r="CU77" s="196" t="n">
        <v>115223.8</v>
      </c>
      <c r="CV77" s="196" t="n">
        <v>115632</v>
      </c>
      <c r="CW77" s="196" t="n">
        <v>115237.9</v>
      </c>
      <c r="CX77" s="196" t="n">
        <v>115677</v>
      </c>
      <c r="CY77" s="196" t="n">
        <v>116093.1</v>
      </c>
      <c r="CZ77" s="196" t="n">
        <v>116973</v>
      </c>
      <c r="DA77" s="196" t="n">
        <v>116979</v>
      </c>
      <c r="DB77" s="196" t="n">
        <v>117372.3</v>
      </c>
      <c r="DC77" s="196" t="n">
        <v>117810.9</v>
      </c>
      <c r="DD77" s="196" t="n">
        <v>112086.5</v>
      </c>
      <c r="DE77" s="196" t="n">
        <v>99888.8</v>
      </c>
      <c r="DF77" s="196" t="n">
        <v>100286.3</v>
      </c>
      <c r="DG77" s="196" t="n">
        <v>100402.4</v>
      </c>
      <c r="DH77" s="196" t="n">
        <v>91118.10000000001</v>
      </c>
      <c r="DI77" s="196" t="n">
        <v>91909.2</v>
      </c>
      <c r="DJ77" s="196" t="n">
        <v>90306.8</v>
      </c>
      <c r="DK77" s="196" t="n">
        <v>89431.89999999999</v>
      </c>
      <c r="DL77" s="196" t="n">
        <v>90395.60000000001</v>
      </c>
      <c r="DM77" s="196" t="n">
        <v>86027.2</v>
      </c>
      <c r="DN77" s="196" t="n">
        <v>85000</v>
      </c>
      <c r="DO77" s="196" t="n">
        <v>77000</v>
      </c>
      <c r="DP77" s="196" t="n">
        <v>77800</v>
      </c>
      <c r="DQ77" s="196" t="n">
        <v>76100</v>
      </c>
      <c r="DR77" s="196" t="n">
        <v>76800</v>
      </c>
      <c r="DS77" s="196" t="n">
        <v>77600</v>
      </c>
      <c r="DT77" s="196" t="n">
        <v>78400</v>
      </c>
      <c r="DU77" s="196" t="n">
        <v>72300</v>
      </c>
      <c r="DV77" s="196" t="n">
        <v>72500</v>
      </c>
      <c r="DW77" s="196" t="n">
        <v>75200</v>
      </c>
      <c r="DX77" s="196" t="n">
        <v>75300</v>
      </c>
      <c r="DY77" s="196" t="n">
        <v>75700</v>
      </c>
      <c r="DZ77" s="196" t="n">
        <v>75000</v>
      </c>
      <c r="EA77" s="196" t="n">
        <v>74400</v>
      </c>
      <c r="EB77" s="196" t="n">
        <v>74600</v>
      </c>
      <c r="EC77" s="196" t="n">
        <v>75500</v>
      </c>
      <c r="ED77" s="196" t="n">
        <v>75700</v>
      </c>
      <c r="EE77" s="196" t="n">
        <v>75500</v>
      </c>
      <c r="EF77" s="196" t="n">
        <v>73700</v>
      </c>
      <c r="EG77" s="196" t="n">
        <v>39600</v>
      </c>
      <c r="EH77" s="196" t="n">
        <v>35800</v>
      </c>
      <c r="EI77" s="196" t="n">
        <v>33800</v>
      </c>
      <c r="EJ77" s="196" t="n">
        <v>29300</v>
      </c>
      <c r="EK77" s="196" t="n">
        <v>26100</v>
      </c>
      <c r="EL77" s="182" t="n"/>
      <c r="EM77" s="176" t="n"/>
      <c r="EN77" s="176" t="n"/>
      <c r="EO77" s="176" t="n"/>
      <c r="EP77" s="176" t="n"/>
      <c r="EQ77" s="176" t="n"/>
      <c r="ER77" s="176" t="n"/>
      <c r="ES77" s="176" t="n"/>
      <c r="ET77" s="176" t="n"/>
      <c r="EU77" s="176" t="n"/>
      <c r="EV77" s="176" t="n"/>
      <c r="EW77" s="176" t="n"/>
      <c r="EX77" s="176" t="n"/>
      <c r="EY77" s="176" t="n"/>
      <c r="EZ77" s="176" t="n"/>
      <c r="FA77" s="176" t="n"/>
      <c r="FB77" s="176" t="n"/>
      <c r="FC77" s="176" t="n"/>
      <c r="FD77" s="176" t="n"/>
      <c r="FE77" s="176" t="n"/>
      <c r="FF77" s="176" t="n"/>
      <c r="FG77" s="176" t="n"/>
      <c r="FH77" s="176" t="n"/>
      <c r="FI77" s="176" t="n"/>
      <c r="FJ77" s="176" t="n"/>
    </row>
    <row r="78" ht="15" customHeight="1" s="392">
      <c r="A78" s="176" t="n"/>
      <c r="B78" s="180" t="n"/>
      <c r="C78" s="183" t="inlineStr">
        <is>
          <t xml:space="preserve">        Long Term Investments</t>
        </is>
      </c>
      <c r="D78" s="190">
        <f>IF(COUNT(M78:EK78)&gt;0,MEDIAN(M78:EK78),"")</f>
        <v/>
      </c>
      <c r="E78" s="190">
        <f>IF(COUNT(M78:EK78)&gt;0,AVERAGE(M78:EK78),"")</f>
        <v/>
      </c>
      <c r="F78" s="190">
        <f>IF(COUNT(M78:EK78)&gt;0,MIN(M78:EK78),"")</f>
        <v/>
      </c>
      <c r="G78" s="190">
        <f>IF(COUNT(M78:EK78)&gt;0,MAX(M78:EK78),"")</f>
        <v/>
      </c>
      <c r="H78" s="190">
        <f>IF(COUNT(M78:EK78)&gt;0,QUARTILE(M78:EK78,1),"")</f>
        <v/>
      </c>
      <c r="I78" s="190">
        <f>IF(COUNT(M78:EK78)&gt;0,QUARTILE(M78:EK78,3),"")</f>
        <v/>
      </c>
      <c r="J78" s="190">
        <f>IF(COUNT(M78:EK78)&gt;1,STDEV(M78:EK78),"")</f>
        <v/>
      </c>
      <c r="K78" s="191">
        <f>IF(COUNT(M78:EK78)&gt;1,STDEV(M78:EK78)/AVERAGE(M78:EK78),"")</f>
        <v/>
      </c>
      <c r="M78" s="192" t="n"/>
      <c r="N78" s="192" t="n"/>
      <c r="O78" s="192" t="n"/>
      <c r="P78" s="192" t="n"/>
      <c r="Q78" s="192" t="n"/>
      <c r="R78" s="192" t="n"/>
      <c r="S78" s="192" t="n"/>
      <c r="T78" s="192" t="n"/>
      <c r="U78" s="192" t="n"/>
      <c r="V78" s="192" t="n"/>
      <c r="W78" s="192" t="n"/>
      <c r="X78" s="192" t="n"/>
      <c r="Y78" s="192" t="n"/>
      <c r="Z78" s="192" t="n"/>
      <c r="AA78" s="192" t="n"/>
      <c r="AB78" s="192" t="n"/>
      <c r="AC78" s="192" t="n"/>
      <c r="AD78" s="192" t="n"/>
      <c r="AE78" s="192" t="n"/>
      <c r="AF78" s="192" t="n"/>
      <c r="AG78" s="192" t="n"/>
      <c r="AH78" s="192" t="n"/>
      <c r="AI78" s="192" t="n"/>
      <c r="AJ78" s="192" t="n"/>
      <c r="AK78" s="192" t="n"/>
      <c r="AL78" s="192" t="n"/>
      <c r="AM78" s="192" t="n"/>
      <c r="AN78" s="192" t="n"/>
      <c r="AO78" s="192" t="n"/>
      <c r="AP78" s="192" t="n"/>
      <c r="AQ78" s="192" t="n"/>
      <c r="AR78" s="192" t="n"/>
      <c r="AS78" s="192" t="n"/>
      <c r="AT78" s="192" t="n"/>
      <c r="AU78" s="192" t="n"/>
      <c r="AV78" s="192" t="n"/>
      <c r="AW78" s="192" t="n"/>
      <c r="AX78" s="192" t="n"/>
      <c r="AY78" s="192" t="n"/>
      <c r="AZ78" s="192" t="n"/>
      <c r="BA78" s="192" t="n"/>
      <c r="BB78" s="192" t="n"/>
      <c r="BC78" s="192" t="n"/>
      <c r="BD78" s="192" t="n"/>
      <c r="BE78" s="192" t="n"/>
      <c r="BF78" s="192" t="n"/>
      <c r="BG78" s="192" t="n"/>
      <c r="BH78" s="192" t="n"/>
      <c r="BI78" s="192" t="n"/>
      <c r="BJ78" s="192" t="n"/>
      <c r="BK78" s="192" t="n"/>
      <c r="BL78" s="192" t="n"/>
      <c r="BM78" s="192" t="n"/>
      <c r="BN78" s="192" t="n"/>
      <c r="BO78" s="192" t="n"/>
      <c r="BP78" s="192" t="n"/>
      <c r="BQ78" s="192" t="n"/>
      <c r="BR78" s="192" t="n"/>
      <c r="BS78" s="192" t="n"/>
      <c r="BT78" s="192" t="n"/>
      <c r="BU78" s="192" t="n"/>
      <c r="BV78" s="192" t="n"/>
      <c r="BW78" s="192" t="n"/>
      <c r="BX78" s="192" t="n"/>
      <c r="BY78" s="192" t="n"/>
      <c r="BZ78" s="192" t="n"/>
      <c r="CA78" s="192" t="n">
        <v>20228</v>
      </c>
      <c r="CB78" s="192" t="n"/>
      <c r="CC78" s="192" t="n">
        <v>22708</v>
      </c>
      <c r="CD78" s="192" t="n">
        <v>23348</v>
      </c>
      <c r="CE78" s="192" t="n"/>
      <c r="CF78" s="192" t="n"/>
      <c r="CG78" s="192" t="n"/>
      <c r="CH78" s="192" t="n"/>
      <c r="CI78" s="192" t="n"/>
      <c r="CJ78" s="192" t="n"/>
      <c r="CK78" s="192" t="n"/>
      <c r="CL78" s="192" t="n"/>
      <c r="CM78" s="192" t="n"/>
      <c r="CN78" s="192" t="n"/>
      <c r="CO78" s="192" t="n"/>
      <c r="CP78" s="192" t="n"/>
      <c r="CQ78" s="192" t="n"/>
      <c r="CR78" s="192" t="n"/>
      <c r="CS78" s="192" t="n"/>
      <c r="CT78" s="192" t="n"/>
      <c r="CU78" s="192" t="n"/>
      <c r="CV78" s="192" t="n"/>
      <c r="CW78" s="192" t="n"/>
      <c r="CX78" s="192" t="n"/>
      <c r="CY78" s="192" t="n"/>
      <c r="CZ78" s="192" t="n"/>
      <c r="DA78" s="192" t="n"/>
      <c r="DB78" s="192" t="n"/>
      <c r="DC78" s="192" t="n"/>
      <c r="DD78" s="192" t="n"/>
      <c r="DE78" s="192" t="n"/>
      <c r="DF78" s="192" t="n"/>
      <c r="DG78" s="192" t="n"/>
      <c r="DH78" s="192" t="n"/>
      <c r="DI78" s="192" t="n"/>
      <c r="DJ78" s="192" t="n"/>
      <c r="DK78" s="192" t="n"/>
      <c r="DL78" s="192" t="n"/>
      <c r="DM78" s="192" t="n"/>
      <c r="DN78" s="192" t="n"/>
      <c r="DO78" s="192" t="n"/>
      <c r="DP78" s="192" t="n"/>
      <c r="DQ78" s="192" t="n"/>
      <c r="DR78" s="192" t="n"/>
      <c r="DS78" s="192" t="n"/>
      <c r="DT78" s="192" t="n"/>
      <c r="DU78" s="192" t="n"/>
      <c r="DV78" s="192" t="n"/>
      <c r="DW78" s="192" t="n"/>
      <c r="DX78" s="192" t="n"/>
      <c r="DY78" s="192" t="n"/>
      <c r="DZ78" s="192" t="n"/>
      <c r="EA78" s="192" t="n"/>
      <c r="EB78" s="192" t="n"/>
      <c r="EC78" s="192" t="n"/>
      <c r="ED78" s="192" t="n"/>
      <c r="EE78" s="192" t="n"/>
      <c r="EF78" s="192" t="n"/>
      <c r="EG78" s="192" t="n"/>
      <c r="EH78" s="192" t="n"/>
      <c r="EI78" s="192" t="n"/>
      <c r="EJ78" s="192" t="n"/>
      <c r="EK78" s="192" t="n"/>
      <c r="EL78" s="182" t="n"/>
      <c r="EM78" s="176" t="n"/>
      <c r="EN78" s="176" t="n"/>
      <c r="EO78" s="176" t="n"/>
      <c r="EP78" s="176" t="n"/>
      <c r="EQ78" s="176" t="n"/>
      <c r="ER78" s="176" t="n"/>
      <c r="ES78" s="176" t="n"/>
      <c r="ET78" s="176" t="n"/>
      <c r="EU78" s="176" t="n"/>
      <c r="EV78" s="176" t="n"/>
      <c r="EW78" s="176" t="n"/>
      <c r="EX78" s="176" t="n"/>
      <c r="EY78" s="176" t="n"/>
      <c r="EZ78" s="176" t="n"/>
      <c r="FA78" s="176" t="n"/>
      <c r="FB78" s="176" t="n"/>
      <c r="FC78" s="176" t="n"/>
      <c r="FD78" s="176" t="n"/>
      <c r="FE78" s="176" t="n"/>
      <c r="FF78" s="176" t="n"/>
      <c r="FG78" s="176" t="n"/>
      <c r="FH78" s="176" t="n"/>
      <c r="FI78" s="176" t="n"/>
      <c r="FJ78" s="176" t="n"/>
    </row>
    <row r="79" ht="15" customHeight="1" s="392">
      <c r="A79" s="176" t="n"/>
      <c r="B79" s="180" t="n"/>
      <c r="C79" s="183" t="inlineStr">
        <is>
          <t xml:space="preserve">        Deferred Tax Assets, Non-Current</t>
        </is>
      </c>
      <c r="D79" s="190">
        <f>IF(COUNT(M79:EK79)&gt;0,MEDIAN(M79:EK79),"")</f>
        <v/>
      </c>
      <c r="E79" s="190">
        <f>IF(COUNT(M79:EK79)&gt;0,AVERAGE(M79:EK79),"")</f>
        <v/>
      </c>
      <c r="F79" s="190">
        <f>IF(COUNT(M79:EK79)&gt;0,MIN(M79:EK79),"")</f>
        <v/>
      </c>
      <c r="G79" s="190">
        <f>IF(COUNT(M79:EK79)&gt;0,MAX(M79:EK79),"")</f>
        <v/>
      </c>
      <c r="H79" s="190">
        <f>IF(COUNT(M79:EK79)&gt;0,QUARTILE(M79:EK79,1),"")</f>
        <v/>
      </c>
      <c r="I79" s="190">
        <f>IF(COUNT(M79:EK79)&gt;0,QUARTILE(M79:EK79,3),"")</f>
        <v/>
      </c>
      <c r="J79" s="190">
        <f>IF(COUNT(M79:EK79)&gt;1,STDEV(M79:EK79),"")</f>
        <v/>
      </c>
      <c r="K79" s="191">
        <f>IF(COUNT(M79:EK79)&gt;1,STDEV(M79:EK79)/AVERAGE(M79:EK79),"")</f>
        <v/>
      </c>
      <c r="M79" s="192" t="n"/>
      <c r="N79" s="192" t="n"/>
      <c r="O79" s="192" t="n"/>
      <c r="P79" s="192" t="n"/>
      <c r="Q79" s="192" t="n"/>
      <c r="R79" s="192" t="n"/>
      <c r="S79" s="192" t="n"/>
      <c r="T79" s="192" t="n"/>
      <c r="U79" s="192" t="n"/>
      <c r="V79" s="192" t="n"/>
      <c r="W79" s="192" t="n"/>
      <c r="X79" s="192" t="n"/>
      <c r="Y79" s="192" t="n"/>
      <c r="Z79" s="192" t="n"/>
      <c r="AA79" s="192" t="n"/>
      <c r="AB79" s="192" t="n"/>
      <c r="AC79" s="192" t="n"/>
      <c r="AD79" s="192" t="n"/>
      <c r="AE79" s="192" t="n"/>
      <c r="AF79" s="192" t="n"/>
      <c r="AG79" s="192" t="n"/>
      <c r="AH79" s="192" t="n"/>
      <c r="AI79" s="192" t="n">
        <v>221</v>
      </c>
      <c r="AJ79" s="192" t="n">
        <v>212</v>
      </c>
      <c r="AK79" s="192" t="n"/>
      <c r="AL79" s="192" t="n">
        <v>310</v>
      </c>
      <c r="AM79" s="192" t="n">
        <v>348</v>
      </c>
      <c r="AN79" s="192" t="n">
        <v>404</v>
      </c>
      <c r="AO79" s="192" t="n">
        <v>411</v>
      </c>
      <c r="AP79" s="192" t="n">
        <v>333</v>
      </c>
      <c r="AQ79" s="192" t="n">
        <v>348</v>
      </c>
      <c r="AR79" s="192" t="n">
        <v>468</v>
      </c>
      <c r="AS79" s="192" t="n">
        <v>470</v>
      </c>
      <c r="AT79" s="192" t="n">
        <v>1239</v>
      </c>
      <c r="AU79" s="192" t="n">
        <v>301</v>
      </c>
      <c r="AV79" s="192" t="n">
        <v>0</v>
      </c>
      <c r="AW79" s="192" t="n">
        <v>1287</v>
      </c>
      <c r="AX79" s="192" t="n">
        <v>2978</v>
      </c>
      <c r="AY79" s="192" t="n">
        <v>1236</v>
      </c>
      <c r="AZ79" s="192" t="n">
        <v>1912</v>
      </c>
      <c r="BA79" s="192" t="n">
        <v>23506</v>
      </c>
      <c r="BB79" s="192" t="n">
        <v>31245</v>
      </c>
      <c r="BC79" s="192" t="n">
        <v>31432</v>
      </c>
      <c r="BD79" s="192" t="n">
        <v>30636</v>
      </c>
      <c r="BE79" s="192" t="n">
        <v>28840</v>
      </c>
      <c r="BF79" s="192" t="n">
        <v>29116</v>
      </c>
      <c r="BG79" s="192" t="n">
        <v>37524</v>
      </c>
      <c r="BH79" s="192" t="n">
        <v>35474</v>
      </c>
      <c r="BI79" s="192" t="n">
        <v>36721</v>
      </c>
      <c r="BJ79" s="192" t="n">
        <v>33765</v>
      </c>
      <c r="BK79" s="192" t="n">
        <v>30654</v>
      </c>
      <c r="BL79" s="192" t="n">
        <v>29029</v>
      </c>
      <c r="BM79" s="192" t="n">
        <v>30117</v>
      </c>
      <c r="BN79" s="192" t="n">
        <v>23872</v>
      </c>
      <c r="BO79" s="192" t="n">
        <v>27596</v>
      </c>
      <c r="BP79" s="192" t="n">
        <v>25490</v>
      </c>
      <c r="BQ79" s="192" t="n">
        <v>22280</v>
      </c>
      <c r="BR79" s="192" t="n">
        <v>20331</v>
      </c>
      <c r="BS79" s="192" t="n">
        <v>18284</v>
      </c>
      <c r="BT79" s="192" t="n">
        <v>12400</v>
      </c>
      <c r="BU79" s="192" t="n">
        <v>9425</v>
      </c>
      <c r="BV79" s="192" t="n">
        <v>9438</v>
      </c>
      <c r="BW79" s="192" t="n">
        <v>9375</v>
      </c>
      <c r="BX79" s="192" t="n">
        <v>10213</v>
      </c>
      <c r="BY79" s="192" t="n">
        <v>13690</v>
      </c>
      <c r="BZ79" s="192" t="n">
        <v>12363</v>
      </c>
      <c r="CA79" s="192" t="n">
        <v>9757</v>
      </c>
      <c r="CB79" s="192" t="n">
        <v>7759</v>
      </c>
      <c r="CC79" s="192" t="n">
        <v>9123</v>
      </c>
      <c r="CD79" s="192" t="n">
        <v>10288</v>
      </c>
      <c r="CE79" s="192" t="n">
        <v>6010</v>
      </c>
      <c r="CF79" s="192" t="n">
        <v>2319</v>
      </c>
      <c r="CG79" s="192" t="n">
        <v>14166</v>
      </c>
      <c r="CH79" s="192" t="n">
        <v>12120</v>
      </c>
      <c r="CI79" s="192" t="n">
        <v>12085</v>
      </c>
      <c r="CJ79" s="192" t="n">
        <v>7785</v>
      </c>
      <c r="CK79" s="192" t="n">
        <v>8089</v>
      </c>
      <c r="CL79" s="192" t="n">
        <v>7184</v>
      </c>
      <c r="CM79" s="192" t="n">
        <v>6247</v>
      </c>
      <c r="CN79" s="192" t="n">
        <v>5137</v>
      </c>
      <c r="CO79" s="192" t="n">
        <v>5929</v>
      </c>
      <c r="CP79" s="192" t="n">
        <v>6157</v>
      </c>
      <c r="CQ79" s="192" t="n">
        <v>676</v>
      </c>
      <c r="CR79" s="192" t="n"/>
      <c r="CS79" s="192" t="n"/>
      <c r="CT79" s="192" t="n"/>
      <c r="CU79" s="192" t="n"/>
      <c r="CV79" s="192" t="n"/>
      <c r="CW79" s="192" t="n"/>
      <c r="CX79" s="192" t="n"/>
      <c r="CY79" s="192" t="n"/>
      <c r="CZ79" s="192" t="n"/>
      <c r="DA79" s="192" t="n"/>
      <c r="DB79" s="192" t="n"/>
      <c r="DC79" s="192" t="n"/>
      <c r="DD79" s="192" t="n"/>
      <c r="DE79" s="192" t="n">
        <v>1084.4</v>
      </c>
      <c r="DF79" s="192" t="n">
        <v>1084.4</v>
      </c>
      <c r="DG79" s="192" t="n"/>
      <c r="DH79" s="192" t="n">
        <v>1084.4</v>
      </c>
      <c r="DI79" s="192" t="n"/>
      <c r="DJ79" s="192" t="n"/>
      <c r="DK79" s="192" t="n"/>
      <c r="DL79" s="192" t="n"/>
      <c r="DM79" s="192" t="n"/>
      <c r="DN79" s="192" t="n"/>
      <c r="DO79" s="192" t="n"/>
      <c r="DP79" s="192" t="n"/>
      <c r="DQ79" s="192" t="n"/>
      <c r="DR79" s="192" t="n"/>
      <c r="DS79" s="192" t="n"/>
      <c r="DT79" s="192" t="n"/>
      <c r="DU79" s="192" t="n"/>
      <c r="DV79" s="192" t="n"/>
      <c r="DW79" s="192" t="n"/>
      <c r="DX79" s="192" t="n"/>
      <c r="DY79" s="192" t="n"/>
      <c r="DZ79" s="192" t="n"/>
      <c r="EA79" s="192" t="n"/>
      <c r="EB79" s="192" t="n"/>
      <c r="EC79" s="192" t="n"/>
      <c r="ED79" s="192" t="n"/>
      <c r="EE79" s="192" t="n"/>
      <c r="EF79" s="192" t="n"/>
      <c r="EG79" s="192" t="n"/>
      <c r="EH79" s="192" t="n"/>
      <c r="EI79" s="192" t="n"/>
      <c r="EJ79" s="192" t="n"/>
      <c r="EK79" s="192" t="n"/>
      <c r="EL79" s="182" t="n"/>
      <c r="EM79" s="176" t="n"/>
      <c r="EN79" s="176" t="n"/>
      <c r="EO79" s="176" t="n"/>
      <c r="EP79" s="176" t="n"/>
      <c r="EQ79" s="176" t="n"/>
      <c r="ER79" s="176" t="n"/>
      <c r="ES79" s="176" t="n"/>
      <c r="ET79" s="176" t="n"/>
      <c r="EU79" s="176" t="n"/>
      <c r="EV79" s="176" t="n"/>
      <c r="EW79" s="176" t="n"/>
      <c r="EX79" s="176" t="n"/>
      <c r="EY79" s="176" t="n"/>
      <c r="EZ79" s="176" t="n"/>
      <c r="FA79" s="176" t="n"/>
      <c r="FB79" s="176" t="n"/>
      <c r="FC79" s="176" t="n"/>
      <c r="FD79" s="176" t="n"/>
      <c r="FE79" s="176" t="n"/>
      <c r="FF79" s="176" t="n"/>
      <c r="FG79" s="176" t="n"/>
      <c r="FH79" s="176" t="n"/>
      <c r="FI79" s="176" t="n"/>
      <c r="FJ79" s="176" t="n"/>
    </row>
    <row r="80" ht="15" customHeight="1" s="392">
      <c r="A80" s="176" t="n"/>
      <c r="B80" s="180" t="n"/>
      <c r="C80" s="183" t="inlineStr">
        <is>
          <t xml:space="preserve">        Deferred Costs/Assets, Non-Current</t>
        </is>
      </c>
      <c r="D80" s="190">
        <f>IF(COUNT(M80:EK80)&gt;0,MEDIAN(M80:EK80),"")</f>
        <v/>
      </c>
      <c r="E80" s="190">
        <f>IF(COUNT(M80:EK80)&gt;0,AVERAGE(M80:EK80),"")</f>
        <v/>
      </c>
      <c r="F80" s="190">
        <f>IF(COUNT(M80:EK80)&gt;0,MIN(M80:EK80),"")</f>
        <v/>
      </c>
      <c r="G80" s="190">
        <f>IF(COUNT(M80:EK80)&gt;0,MAX(M80:EK80),"")</f>
        <v/>
      </c>
      <c r="H80" s="190">
        <f>IF(COUNT(M80:EK80)&gt;0,QUARTILE(M80:EK80,1),"")</f>
        <v/>
      </c>
      <c r="I80" s="190">
        <f>IF(COUNT(M80:EK80)&gt;0,QUARTILE(M80:EK80,3),"")</f>
        <v/>
      </c>
      <c r="J80" s="190">
        <f>IF(COUNT(M80:EK80)&gt;1,STDEV(M80:EK80),"")</f>
        <v/>
      </c>
      <c r="K80" s="191">
        <f>IFERROR(IF(COUNT(M80:EK80)&gt;1,STDEV(M80:EK80)/AVERAGE(M80:EK80),""),"")</f>
        <v/>
      </c>
      <c r="M80" s="192" t="n"/>
      <c r="N80" s="192" t="n"/>
      <c r="O80" s="192" t="n"/>
      <c r="P80" s="192" t="n"/>
      <c r="Q80" s="192" t="n"/>
      <c r="R80" s="192" t="n"/>
      <c r="S80" s="192" t="n"/>
      <c r="T80" s="192" t="n"/>
      <c r="U80" s="192" t="n"/>
      <c r="V80" s="192" t="n"/>
      <c r="W80" s="192" t="n"/>
      <c r="X80" s="192" t="n"/>
      <c r="Y80" s="192" t="n"/>
      <c r="Z80" s="192" t="n"/>
      <c r="AA80" s="192" t="n"/>
      <c r="AB80" s="192" t="n"/>
      <c r="AC80" s="192" t="n"/>
      <c r="AD80" s="192" t="n"/>
      <c r="AE80" s="192" t="n"/>
      <c r="AF80" s="192" t="n"/>
      <c r="AG80" s="192" t="n"/>
      <c r="AH80" s="192" t="n"/>
      <c r="AI80" s="192" t="n"/>
      <c r="AJ80" s="192" t="n"/>
      <c r="AK80" s="192" t="n"/>
      <c r="AL80" s="192" t="n"/>
      <c r="AM80" s="192" t="n"/>
      <c r="AN80" s="192" t="n"/>
      <c r="AO80" s="192" t="n"/>
      <c r="AP80" s="192" t="n"/>
      <c r="AQ80" s="192" t="n"/>
      <c r="AR80" s="192" t="n"/>
      <c r="AS80" s="192" t="n"/>
      <c r="AT80" s="192" t="n"/>
      <c r="AU80" s="192" t="n"/>
      <c r="AV80" s="192" t="n"/>
      <c r="AW80" s="192" t="n"/>
      <c r="AX80" s="192" t="n"/>
      <c r="AY80" s="192" t="n"/>
      <c r="AZ80" s="192" t="n"/>
      <c r="BA80" s="192" t="n"/>
      <c r="BB80" s="192" t="n"/>
      <c r="BC80" s="192" t="n"/>
      <c r="BD80" s="192" t="n"/>
      <c r="BE80" s="192" t="n"/>
      <c r="BF80" s="192" t="n"/>
      <c r="BG80" s="192" t="n"/>
      <c r="BH80" s="192" t="n"/>
      <c r="BI80" s="192" t="n"/>
      <c r="BJ80" s="192" t="n"/>
      <c r="BK80" s="192" t="n"/>
      <c r="BL80" s="192" t="n"/>
      <c r="BM80" s="192" t="n"/>
      <c r="BN80" s="192" t="n"/>
      <c r="BO80" s="192" t="n"/>
      <c r="BP80" s="192" t="n">
        <v>0</v>
      </c>
      <c r="BQ80" s="192" t="n"/>
      <c r="BR80" s="192" t="n">
        <v>0</v>
      </c>
      <c r="BS80" s="192" t="n">
        <v>0</v>
      </c>
      <c r="BT80" s="192" t="n">
        <v>0</v>
      </c>
      <c r="BU80" s="192" t="n">
        <v>0</v>
      </c>
      <c r="BV80" s="192" t="n">
        <v>0</v>
      </c>
      <c r="BW80" s="192" t="n">
        <v>0</v>
      </c>
      <c r="BX80" s="192" t="n">
        <v>0</v>
      </c>
      <c r="BY80" s="192" t="n">
        <v>0</v>
      </c>
      <c r="BZ80" s="192" t="n">
        <v>0</v>
      </c>
      <c r="CA80" s="192" t="n">
        <v>0</v>
      </c>
      <c r="CB80" s="192" t="n">
        <v>0</v>
      </c>
      <c r="CC80" s="192" t="n">
        <v>0</v>
      </c>
      <c r="CD80" s="192" t="n">
        <v>0</v>
      </c>
      <c r="CE80" s="192" t="n">
        <v>0</v>
      </c>
      <c r="CF80" s="192" t="n">
        <v>0</v>
      </c>
      <c r="CG80" s="192" t="n">
        <v>0</v>
      </c>
      <c r="CH80" s="192" t="n">
        <v>0</v>
      </c>
      <c r="CI80" s="192" t="n">
        <v>0</v>
      </c>
      <c r="CJ80" s="192" t="n">
        <v>0</v>
      </c>
      <c r="CK80" s="192" t="n">
        <v>0</v>
      </c>
      <c r="CL80" s="192" t="n">
        <v>0</v>
      </c>
      <c r="CM80" s="192" t="n">
        <v>0</v>
      </c>
      <c r="CN80" s="192" t="n">
        <v>0</v>
      </c>
      <c r="CO80" s="192" t="n">
        <v>0</v>
      </c>
      <c r="CP80" s="192" t="n">
        <v>0</v>
      </c>
      <c r="CQ80" s="192" t="n">
        <v>0</v>
      </c>
      <c r="CR80" s="192" t="n"/>
      <c r="CS80" s="192" t="n"/>
      <c r="CT80" s="192" t="n"/>
      <c r="CU80" s="192" t="n"/>
      <c r="CV80" s="192" t="n"/>
      <c r="CW80" s="192" t="n"/>
      <c r="CX80" s="192" t="n"/>
      <c r="CY80" s="192" t="n"/>
      <c r="CZ80" s="192" t="n"/>
      <c r="DA80" s="192" t="n"/>
      <c r="DB80" s="192" t="n"/>
      <c r="DC80" s="192" t="n"/>
      <c r="DD80" s="192" t="n"/>
      <c r="DE80" s="192" t="n">
        <v>0</v>
      </c>
      <c r="DF80" s="192" t="n">
        <v>0</v>
      </c>
      <c r="DG80" s="192" t="n"/>
      <c r="DH80" s="192" t="n">
        <v>0</v>
      </c>
      <c r="DI80" s="192" t="n"/>
      <c r="DJ80" s="192" t="n"/>
      <c r="DK80" s="192" t="n"/>
      <c r="DL80" s="192" t="n"/>
      <c r="DM80" s="192" t="n"/>
      <c r="DN80" s="192" t="n"/>
      <c r="DO80" s="192" t="n"/>
      <c r="DP80" s="192" t="n"/>
      <c r="DQ80" s="192" t="n"/>
      <c r="DR80" s="192" t="n"/>
      <c r="DS80" s="192" t="n"/>
      <c r="DT80" s="192" t="n"/>
      <c r="DU80" s="192" t="n"/>
      <c r="DV80" s="192" t="n"/>
      <c r="DW80" s="192" t="n"/>
      <c r="DX80" s="192" t="n"/>
      <c r="DY80" s="192" t="n"/>
      <c r="DZ80" s="192" t="n"/>
      <c r="EA80" s="192" t="n"/>
      <c r="EB80" s="192" t="n"/>
      <c r="EC80" s="192" t="n"/>
      <c r="ED80" s="192" t="n"/>
      <c r="EE80" s="192" t="n"/>
      <c r="EF80" s="192" t="n"/>
      <c r="EG80" s="192" t="n"/>
      <c r="EH80" s="192" t="n"/>
      <c r="EI80" s="192" t="n"/>
      <c r="EJ80" s="192" t="n"/>
      <c r="EK80" s="192" t="n"/>
      <c r="EL80" s="182" t="n"/>
      <c r="EM80" s="176" t="n"/>
      <c r="EN80" s="176" t="n"/>
      <c r="EO80" s="176" t="n"/>
      <c r="EP80" s="176" t="n"/>
      <c r="EQ80" s="176" t="n"/>
      <c r="ER80" s="176" t="n"/>
      <c r="ES80" s="176" t="n"/>
      <c r="ET80" s="176" t="n"/>
      <c r="EU80" s="176" t="n"/>
      <c r="EV80" s="176" t="n"/>
      <c r="EW80" s="176" t="n"/>
      <c r="EX80" s="176" t="n"/>
      <c r="EY80" s="176" t="n"/>
      <c r="EZ80" s="176" t="n"/>
      <c r="FA80" s="176" t="n"/>
      <c r="FB80" s="176" t="n"/>
      <c r="FC80" s="176" t="n"/>
      <c r="FD80" s="176" t="n"/>
      <c r="FE80" s="176" t="n"/>
      <c r="FF80" s="176" t="n"/>
      <c r="FG80" s="176" t="n"/>
      <c r="FH80" s="176" t="n"/>
      <c r="FI80" s="176" t="n"/>
      <c r="FJ80" s="176" t="n"/>
    </row>
    <row r="81" ht="15" customHeight="1" s="392">
      <c r="A81" s="176" t="n"/>
      <c r="B81" s="180" t="n"/>
      <c r="C81" s="183" t="inlineStr">
        <is>
          <t xml:space="preserve">        Other Non-Current Assets</t>
        </is>
      </c>
      <c r="D81" s="190">
        <f>IF(COUNT(M81:EK81)&gt;0,MEDIAN(M81:EK81),"")</f>
        <v/>
      </c>
      <c r="E81" s="190">
        <f>IF(COUNT(M81:EK81)&gt;0,AVERAGE(M81:EK81),"")</f>
        <v/>
      </c>
      <c r="F81" s="190">
        <f>IF(COUNT(M81:EK81)&gt;0,MIN(M81:EK81),"")</f>
        <v/>
      </c>
      <c r="G81" s="190">
        <f>IF(COUNT(M81:EK81)&gt;0,MAX(M81:EK81),"")</f>
        <v/>
      </c>
      <c r="H81" s="190">
        <f>IF(COUNT(M81:EK81)&gt;0,QUARTILE(M81:EK81,1),"")</f>
        <v/>
      </c>
      <c r="I81" s="190">
        <f>IF(COUNT(M81:EK81)&gt;0,QUARTILE(M81:EK81,3),"")</f>
        <v/>
      </c>
      <c r="J81" s="190">
        <f>IF(COUNT(M81:EK81)&gt;1,STDEV(M81:EK81),"")</f>
        <v/>
      </c>
      <c r="K81" s="191">
        <f>IF(COUNT(M81:EK81)&gt;1,STDEV(M81:EK81)/AVERAGE(M81:EK81),"")</f>
        <v/>
      </c>
      <c r="M81" s="192" t="n">
        <v>80894</v>
      </c>
      <c r="N81" s="192" t="n">
        <v>51729</v>
      </c>
      <c r="O81" s="192" t="n">
        <v>52673</v>
      </c>
      <c r="P81" s="192" t="n">
        <v>54491</v>
      </c>
      <c r="Q81" s="192" t="n">
        <v>57862</v>
      </c>
      <c r="R81" s="192" t="n">
        <v>61106</v>
      </c>
      <c r="S81" s="192" t="n">
        <v>65204</v>
      </c>
      <c r="T81" s="192" t="n">
        <v>72663</v>
      </c>
      <c r="U81" s="192" t="n">
        <v>129444</v>
      </c>
      <c r="V81" s="192" t="n">
        <v>91396</v>
      </c>
      <c r="W81" s="192" t="n">
        <v>99873</v>
      </c>
      <c r="X81" s="192" t="n">
        <v>100911</v>
      </c>
      <c r="Y81" s="192" t="n">
        <v>65806</v>
      </c>
      <c r="Z81" s="192" t="n">
        <v>76266</v>
      </c>
      <c r="AA81" s="192" t="n">
        <v>75466</v>
      </c>
      <c r="AB81" s="192" t="n">
        <v>87370</v>
      </c>
      <c r="AC81" s="192" t="n">
        <v>47708</v>
      </c>
      <c r="AD81" s="192" t="n">
        <v>73779</v>
      </c>
      <c r="AE81" s="192" t="n">
        <v>55622</v>
      </c>
      <c r="AF81" s="192" t="n">
        <v>39141</v>
      </c>
      <c r="AG81" s="192" t="n">
        <v>41831</v>
      </c>
      <c r="AH81" s="192" t="n">
        <v>39285</v>
      </c>
      <c r="AI81" s="192" t="n">
        <v>34566</v>
      </c>
      <c r="AJ81" s="192" t="n">
        <v>30026</v>
      </c>
      <c r="AK81" s="192" t="n">
        <v>39934</v>
      </c>
      <c r="AL81" s="192" t="n">
        <v>35480</v>
      </c>
      <c r="AM81" s="192" t="n">
        <v>34055</v>
      </c>
      <c r="AN81" s="192" t="n">
        <v>39581</v>
      </c>
      <c r="AO81" s="192" t="n">
        <v>43836</v>
      </c>
      <c r="AP81" s="192" t="n">
        <v>41801</v>
      </c>
      <c r="AQ81" s="192" t="n">
        <v>32664</v>
      </c>
      <c r="AR81" s="192" t="n">
        <v>31993</v>
      </c>
      <c r="AS81" s="192" t="n">
        <v>32560</v>
      </c>
      <c r="AT81" s="192" t="n">
        <v>33301</v>
      </c>
      <c r="AU81" s="192" t="n">
        <v>37767</v>
      </c>
      <c r="AV81" s="192" t="n">
        <v>36274</v>
      </c>
      <c r="AW81" s="192" t="n">
        <v>33716</v>
      </c>
      <c r="AX81" s="192" t="n">
        <v>35538</v>
      </c>
      <c r="AY81" s="192" t="n">
        <v>32692</v>
      </c>
      <c r="AZ81" s="192" t="n">
        <v>31852</v>
      </c>
      <c r="BA81" s="192" t="n">
        <v>38258</v>
      </c>
      <c r="BB81" s="192" t="n">
        <v>40655</v>
      </c>
      <c r="BC81" s="192" t="n">
        <v>43314</v>
      </c>
      <c r="BD81" s="192" t="n">
        <v>47033</v>
      </c>
      <c r="BE81" s="192" t="n">
        <v>45129</v>
      </c>
      <c r="BF81" s="192" t="n">
        <v>44247</v>
      </c>
      <c r="BG81" s="192" t="n">
        <v>45961</v>
      </c>
      <c r="BH81" s="192" t="n">
        <v>50217</v>
      </c>
      <c r="BI81" s="192" t="n">
        <v>56387</v>
      </c>
      <c r="BJ81" s="192" t="n">
        <v>57803</v>
      </c>
      <c r="BK81" s="192" t="n">
        <v>56595</v>
      </c>
      <c r="BL81" s="192" t="n">
        <v>57652</v>
      </c>
      <c r="BM81" s="192" t="n">
        <v>35226</v>
      </c>
      <c r="BN81" s="192" t="n">
        <v>23270</v>
      </c>
      <c r="BO81" s="192" t="n">
        <v>31908</v>
      </c>
      <c r="BP81" s="192" t="n">
        <v>31325</v>
      </c>
      <c r="BQ81" s="192" t="n">
        <v>18907</v>
      </c>
      <c r="BR81" s="192" t="n">
        <v>19142</v>
      </c>
      <c r="BS81" s="192" t="n">
        <v>19208</v>
      </c>
      <c r="BT81" s="192" t="n">
        <v>25834</v>
      </c>
      <c r="BU81" s="192" t="n">
        <v>21387</v>
      </c>
      <c r="BV81" s="192" t="n">
        <v>18515</v>
      </c>
      <c r="BW81" s="192" t="n">
        <v>18762</v>
      </c>
      <c r="BX81" s="192" t="n">
        <v>18784</v>
      </c>
      <c r="BY81" s="192" t="n">
        <v>17803</v>
      </c>
      <c r="BZ81" s="192" t="n">
        <v>20125</v>
      </c>
      <c r="CA81" s="192" t="n"/>
      <c r="CB81" s="192" t="n">
        <v>21915</v>
      </c>
      <c r="CC81" s="192" t="n"/>
      <c r="CD81" s="192" t="n"/>
      <c r="CE81" s="192" t="n">
        <v>25370</v>
      </c>
      <c r="CF81" s="192" t="n">
        <v>31770</v>
      </c>
      <c r="CG81" s="192" t="n">
        <v>26949</v>
      </c>
      <c r="CH81" s="192" t="n">
        <v>27515</v>
      </c>
      <c r="CI81" s="192" t="n">
        <v>24684</v>
      </c>
      <c r="CJ81" s="192" t="n">
        <v>33356</v>
      </c>
      <c r="CK81" s="192" t="n">
        <v>150920</v>
      </c>
      <c r="CL81" s="192" t="n">
        <v>23038</v>
      </c>
      <c r="CM81" s="192" t="n">
        <v>23375</v>
      </c>
      <c r="CN81" s="192" t="n">
        <v>22110</v>
      </c>
      <c r="CO81" s="192" t="n">
        <v>21060</v>
      </c>
      <c r="CP81" s="192" t="n">
        <v>15040</v>
      </c>
      <c r="CQ81" s="192" t="n">
        <v>17239</v>
      </c>
      <c r="CR81" s="192" t="n">
        <v>6138</v>
      </c>
      <c r="CS81" s="192" t="n">
        <v>6642</v>
      </c>
      <c r="CT81" s="192" t="n">
        <v>6540</v>
      </c>
      <c r="CU81" s="192" t="n">
        <v>6825.6</v>
      </c>
      <c r="CV81" s="192" t="n">
        <v>6613</v>
      </c>
      <c r="CW81" s="192" t="n"/>
      <c r="CX81" s="192" t="n"/>
      <c r="CY81" s="192" t="n"/>
      <c r="CZ81" s="192" t="n"/>
      <c r="DA81" s="192" t="n"/>
      <c r="DB81" s="192" t="n"/>
      <c r="DC81" s="192" t="n"/>
      <c r="DD81" s="192" t="n"/>
      <c r="DE81" s="192" t="n"/>
      <c r="DF81" s="192" t="n"/>
      <c r="DG81" s="192" t="n"/>
      <c r="DH81" s="192" t="n"/>
      <c r="DI81" s="192" t="n"/>
      <c r="DJ81" s="192" t="n"/>
      <c r="DK81" s="192" t="n"/>
      <c r="DL81" s="192" t="n"/>
      <c r="DM81" s="192" t="n"/>
      <c r="DN81" s="192" t="n"/>
      <c r="DO81" s="192" t="n">
        <v>100</v>
      </c>
      <c r="DP81" s="192" t="n"/>
      <c r="DQ81" s="192" t="n">
        <v>-100</v>
      </c>
      <c r="DR81" s="192" t="n">
        <v>-100</v>
      </c>
      <c r="DS81" s="192" t="n"/>
      <c r="DT81" s="192" t="n">
        <v>-100</v>
      </c>
      <c r="DU81" s="192" t="n">
        <v>-100</v>
      </c>
      <c r="DV81" s="192" t="n"/>
      <c r="DW81" s="192" t="n"/>
      <c r="DX81" s="192" t="n">
        <v>-100</v>
      </c>
      <c r="DY81" s="192" t="n"/>
      <c r="DZ81" s="192" t="n"/>
      <c r="EA81" s="192" t="n"/>
      <c r="EB81" s="192" t="n"/>
      <c r="EC81" s="192" t="n"/>
      <c r="ED81" s="192" t="n"/>
      <c r="EE81" s="192" t="n">
        <v>-100</v>
      </c>
      <c r="EF81" s="192" t="n">
        <v>400</v>
      </c>
      <c r="EG81" s="192" t="n"/>
      <c r="EH81" s="192" t="n"/>
      <c r="EI81" s="192" t="n">
        <v>-100</v>
      </c>
      <c r="EJ81" s="192" t="n">
        <v>100</v>
      </c>
      <c r="EK81" s="192" t="n">
        <v>300</v>
      </c>
      <c r="EL81" s="182" t="n"/>
      <c r="EM81" s="176" t="n"/>
      <c r="EN81" s="176" t="n"/>
      <c r="EO81" s="176" t="n"/>
      <c r="EP81" s="176" t="n"/>
      <c r="EQ81" s="176" t="n"/>
      <c r="ER81" s="176" t="n"/>
      <c r="ES81" s="176" t="n"/>
      <c r="ET81" s="176" t="n"/>
      <c r="EU81" s="176" t="n"/>
      <c r="EV81" s="176" t="n"/>
      <c r="EW81" s="176" t="n"/>
      <c r="EX81" s="176" t="n"/>
      <c r="EY81" s="176" t="n"/>
      <c r="EZ81" s="176" t="n"/>
      <c r="FA81" s="176" t="n"/>
      <c r="FB81" s="176" t="n"/>
      <c r="FC81" s="176" t="n"/>
      <c r="FD81" s="176" t="n"/>
      <c r="FE81" s="176" t="n"/>
      <c r="FF81" s="176" t="n"/>
      <c r="FG81" s="176" t="n"/>
      <c r="FH81" s="176" t="n"/>
      <c r="FI81" s="176" t="n"/>
      <c r="FJ81" s="176" t="n"/>
    </row>
    <row r="82" ht="15" customHeight="1" s="392">
      <c r="A82" s="176" t="n"/>
      <c r="B82" s="180" t="n"/>
      <c r="C82" s="187" t="inlineStr">
        <is>
          <t xml:space="preserve">    Total Non-Current Assets</t>
        </is>
      </c>
      <c r="D82" s="193">
        <f>IF(COUNT(M82:EK82)&gt;0,MEDIAN(M82:EK82),"")</f>
        <v/>
      </c>
      <c r="E82" s="193">
        <f>IF(COUNT(M82:EK82)&gt;0,AVERAGE(M82:EK82),"")</f>
        <v/>
      </c>
      <c r="F82" s="193">
        <f>IF(COUNT(M82:EK82)&gt;0,MIN(M82:EK82),"")</f>
        <v/>
      </c>
      <c r="G82" s="193">
        <f>IF(COUNT(M82:EK82)&gt;0,MAX(M82:EK82),"")</f>
        <v/>
      </c>
      <c r="H82" s="193">
        <f>IF(COUNT(M82:EK82)&gt;0,QUARTILE(M82:EK82,1),"")</f>
        <v/>
      </c>
      <c r="I82" s="193">
        <f>IF(COUNT(M82:EK82)&gt;0,QUARTILE(M82:EK82,3),"")</f>
        <v/>
      </c>
      <c r="J82" s="193">
        <f>IF(COUNT(M82:EK82)&gt;1,STDEV(M82:EK82),"")</f>
        <v/>
      </c>
      <c r="K82" s="194">
        <f>IF(COUNT(M82:EK82)&gt;1,STDEV(M82:EK82)/AVERAGE(M82:EK82),"")</f>
        <v/>
      </c>
      <c r="L82" s="195" t="n"/>
      <c r="M82" s="196" t="n">
        <v>4459616</v>
      </c>
      <c r="N82" s="196" t="n">
        <v>4432363</v>
      </c>
      <c r="O82" s="196" t="n">
        <v>4418782</v>
      </c>
      <c r="P82" s="196" t="n">
        <v>4378880</v>
      </c>
      <c r="Q82" s="196" t="n">
        <v>4336274</v>
      </c>
      <c r="R82" s="196" t="n">
        <v>4313068</v>
      </c>
      <c r="S82" s="196" t="n">
        <v>4220564</v>
      </c>
      <c r="T82" s="196" t="n">
        <v>4136370</v>
      </c>
      <c r="U82" s="196" t="n">
        <v>4009580</v>
      </c>
      <c r="V82" s="196" t="n">
        <v>3861503</v>
      </c>
      <c r="W82" s="196" t="n">
        <v>3850034</v>
      </c>
      <c r="X82" s="196" t="n">
        <v>3748896</v>
      </c>
      <c r="Y82" s="196" t="n">
        <v>3475275</v>
      </c>
      <c r="Z82" s="196" t="n">
        <v>3348775</v>
      </c>
      <c r="AA82" s="196" t="n">
        <v>3293627</v>
      </c>
      <c r="AB82" s="196" t="n">
        <v>3229072</v>
      </c>
      <c r="AC82" s="196" t="n">
        <v>3106409</v>
      </c>
      <c r="AD82" s="196" t="n">
        <v>2986448</v>
      </c>
      <c r="AE82" s="196" t="n">
        <v>2947583</v>
      </c>
      <c r="AF82" s="196" t="n">
        <v>2879072</v>
      </c>
      <c r="AG82" s="196" t="n">
        <v>2859532</v>
      </c>
      <c r="AH82" s="196" t="n">
        <v>2782575</v>
      </c>
      <c r="AI82" s="196" t="n">
        <v>2708971</v>
      </c>
      <c r="AJ82" s="196" t="n">
        <v>2603012</v>
      </c>
      <c r="AK82" s="196" t="n">
        <v>2491502</v>
      </c>
      <c r="AL82" s="196" t="n">
        <v>2367431</v>
      </c>
      <c r="AM82" s="196" t="n">
        <v>2316642</v>
      </c>
      <c r="AN82" s="196" t="n">
        <v>2111863</v>
      </c>
      <c r="AO82" s="196" t="n">
        <v>1860450</v>
      </c>
      <c r="AP82" s="196" t="n">
        <v>1778178</v>
      </c>
      <c r="AQ82" s="196" t="n">
        <v>1668439</v>
      </c>
      <c r="AR82" s="196" t="n">
        <v>1618566</v>
      </c>
      <c r="AS82" s="196" t="n">
        <v>1598582</v>
      </c>
      <c r="AT82" s="196" t="n">
        <v>1534291</v>
      </c>
      <c r="AU82" s="196" t="n">
        <v>1477065</v>
      </c>
      <c r="AV82" s="196" t="n">
        <v>1408299</v>
      </c>
      <c r="AW82" s="196" t="n">
        <v>1395240</v>
      </c>
      <c r="AX82" s="196" t="n">
        <v>1218077</v>
      </c>
      <c r="AY82" s="196" t="n">
        <v>1181989</v>
      </c>
      <c r="AZ82" s="196" t="n">
        <v>1139685</v>
      </c>
      <c r="BA82" s="196" t="n">
        <v>1150514</v>
      </c>
      <c r="BB82" s="196" t="n">
        <v>1159630</v>
      </c>
      <c r="BC82" s="196" t="n">
        <v>1097506</v>
      </c>
      <c r="BD82" s="196" t="n">
        <v>1070108</v>
      </c>
      <c r="BE82" s="196" t="n">
        <v>1064078</v>
      </c>
      <c r="BF82" s="196" t="n">
        <v>1048518</v>
      </c>
      <c r="BG82" s="196" t="n">
        <v>1063646</v>
      </c>
      <c r="BH82" s="196" t="n">
        <v>1078820</v>
      </c>
      <c r="BI82" s="196" t="n">
        <v>1094513</v>
      </c>
      <c r="BJ82" s="196" t="n">
        <v>1090918</v>
      </c>
      <c r="BK82" s="196" t="n">
        <v>1105564</v>
      </c>
      <c r="BL82" s="196" t="n">
        <v>1076433</v>
      </c>
      <c r="BM82" s="196" t="n">
        <v>1028029</v>
      </c>
      <c r="BN82" s="196" t="n">
        <v>945520</v>
      </c>
      <c r="BO82" s="196" t="n">
        <v>942041</v>
      </c>
      <c r="BP82" s="196" t="n">
        <v>887457</v>
      </c>
      <c r="BQ82" s="196" t="n">
        <v>832773</v>
      </c>
      <c r="BR82" s="196" t="n">
        <v>821388</v>
      </c>
      <c r="BS82" s="196" t="n">
        <v>811446</v>
      </c>
      <c r="BT82" s="196" t="n">
        <v>841613</v>
      </c>
      <c r="BU82" s="196" t="n">
        <v>842568</v>
      </c>
      <c r="BV82" s="196" t="n">
        <v>837946</v>
      </c>
      <c r="BW82" s="196" t="n">
        <v>793431</v>
      </c>
      <c r="BX82" s="196" t="n">
        <v>791397</v>
      </c>
      <c r="BY82" s="196" t="n">
        <v>782323</v>
      </c>
      <c r="BZ82" s="196" t="n">
        <v>782781</v>
      </c>
      <c r="CA82" s="196" t="n">
        <v>756860</v>
      </c>
      <c r="CB82" s="196" t="n">
        <v>742099</v>
      </c>
      <c r="CC82" s="196" t="n">
        <v>731481</v>
      </c>
      <c r="CD82" s="196" t="n">
        <v>728038</v>
      </c>
      <c r="CE82" s="196" t="n">
        <v>728678</v>
      </c>
      <c r="CF82" s="196" t="n">
        <v>743494</v>
      </c>
      <c r="CG82" s="196" t="n">
        <v>736740</v>
      </c>
      <c r="CH82" s="196" t="n">
        <v>691285</v>
      </c>
      <c r="CI82" s="196" t="n">
        <v>670178</v>
      </c>
      <c r="CJ82" s="196" t="n">
        <v>650892</v>
      </c>
      <c r="CK82" s="196" t="n">
        <v>627939</v>
      </c>
      <c r="CL82" s="196" t="n">
        <v>496405</v>
      </c>
      <c r="CM82" s="196" t="n">
        <v>491821</v>
      </c>
      <c r="CN82" s="196" t="n">
        <v>483355</v>
      </c>
      <c r="CO82" s="196" t="n">
        <v>462168</v>
      </c>
      <c r="CP82" s="196" t="n">
        <v>446436</v>
      </c>
      <c r="CQ82" s="196" t="n">
        <v>446051</v>
      </c>
      <c r="CR82" s="196" t="n">
        <v>419721</v>
      </c>
      <c r="CS82" s="196" t="n">
        <v>399872</v>
      </c>
      <c r="CT82" s="196" t="n">
        <v>389052.9</v>
      </c>
      <c r="CU82" s="196" t="n">
        <v>383709.4</v>
      </c>
      <c r="CV82" s="196" t="n">
        <v>379912</v>
      </c>
      <c r="CW82" s="196" t="n">
        <v>366837.8</v>
      </c>
      <c r="CX82" s="196" t="n">
        <v>369508</v>
      </c>
      <c r="CY82" s="196" t="n">
        <v>364586.2</v>
      </c>
      <c r="CZ82" s="196" t="n">
        <v>361334</v>
      </c>
      <c r="DA82" s="196" t="n">
        <v>359403.2</v>
      </c>
      <c r="DB82" s="196" t="n">
        <v>358100.6</v>
      </c>
      <c r="DC82" s="196" t="n">
        <v>331122</v>
      </c>
      <c r="DD82" s="196" t="n">
        <v>309855.2</v>
      </c>
      <c r="DE82" s="196" t="n">
        <v>271085.3</v>
      </c>
      <c r="DF82" s="196" t="n">
        <v>250031.6</v>
      </c>
      <c r="DG82" s="196" t="n">
        <v>229928.4</v>
      </c>
      <c r="DH82" s="196" t="n">
        <v>207200.1</v>
      </c>
      <c r="DI82" s="196" t="n">
        <v>200706.9</v>
      </c>
      <c r="DJ82" s="196" t="n">
        <v>188743.7</v>
      </c>
      <c r="DK82" s="196" t="n">
        <v>177865.2</v>
      </c>
      <c r="DL82" s="196" t="n">
        <v>170909.8</v>
      </c>
      <c r="DM82" s="196" t="n">
        <v>159933.1</v>
      </c>
      <c r="DN82" s="196" t="n">
        <v>151100</v>
      </c>
      <c r="DO82" s="196" t="n">
        <v>138200</v>
      </c>
      <c r="DP82" s="196" t="n">
        <v>129400</v>
      </c>
      <c r="DQ82" s="196" t="n">
        <v>123500</v>
      </c>
      <c r="DR82" s="196" t="n">
        <v>122100</v>
      </c>
      <c r="DS82" s="196" t="n">
        <v>118100</v>
      </c>
      <c r="DT82" s="196" t="n">
        <v>115900</v>
      </c>
      <c r="DU82" s="196" t="n">
        <v>107900</v>
      </c>
      <c r="DV82" s="196" t="n">
        <v>105900</v>
      </c>
      <c r="DW82" s="196" t="n">
        <v>105600</v>
      </c>
      <c r="DX82" s="196" t="n">
        <v>104000</v>
      </c>
      <c r="DY82" s="196" t="n">
        <v>103900</v>
      </c>
      <c r="DZ82" s="196" t="n">
        <v>102200</v>
      </c>
      <c r="EA82" s="196" t="n">
        <v>101400</v>
      </c>
      <c r="EB82" s="196" t="n">
        <v>100800</v>
      </c>
      <c r="EC82" s="196" t="n">
        <v>90200</v>
      </c>
      <c r="ED82" s="196" t="n">
        <v>89900</v>
      </c>
      <c r="EE82" s="196" t="n">
        <v>89000</v>
      </c>
      <c r="EF82" s="196" t="n">
        <v>87200</v>
      </c>
      <c r="EG82" s="196" t="n">
        <v>46300</v>
      </c>
      <c r="EH82" s="196" t="n">
        <v>41700</v>
      </c>
      <c r="EI82" s="196" t="n">
        <v>39400</v>
      </c>
      <c r="EJ82" s="196" t="n">
        <v>34200</v>
      </c>
      <c r="EK82" s="196" t="n">
        <v>29700</v>
      </c>
      <c r="EL82" s="182" t="n"/>
      <c r="EM82" s="176" t="n"/>
      <c r="EN82" s="176" t="n"/>
      <c r="EO82" s="176" t="n"/>
      <c r="EP82" s="176" t="n"/>
      <c r="EQ82" s="176" t="n"/>
      <c r="ER82" s="176" t="n"/>
      <c r="ES82" s="176" t="n"/>
      <c r="ET82" s="176" t="n"/>
      <c r="EU82" s="176" t="n"/>
      <c r="EV82" s="176" t="n"/>
      <c r="EW82" s="176" t="n"/>
      <c r="EX82" s="176" t="n"/>
      <c r="EY82" s="176" t="n"/>
      <c r="EZ82" s="176" t="n"/>
      <c r="FA82" s="176" t="n"/>
      <c r="FB82" s="176" t="n"/>
      <c r="FC82" s="176" t="n"/>
      <c r="FD82" s="176" t="n"/>
      <c r="FE82" s="176" t="n"/>
      <c r="FF82" s="176" t="n"/>
      <c r="FG82" s="176" t="n"/>
      <c r="FH82" s="176" t="n"/>
      <c r="FI82" s="176" t="n"/>
      <c r="FJ82" s="176" t="n"/>
    </row>
    <row r="83" ht="15" customHeight="1" s="392">
      <c r="A83" s="176" t="n"/>
      <c r="B83" s="180" t="n"/>
      <c r="C83" s="187" t="inlineStr">
        <is>
          <t>Total Assets</t>
        </is>
      </c>
      <c r="D83" s="193">
        <f>IF(COUNT(M83:EK83)&gt;0,MEDIAN(M83:EK83),"")</f>
        <v/>
      </c>
      <c r="E83" s="193">
        <f>IF(COUNT(M83:EK83)&gt;0,AVERAGE(M83:EK83),"")</f>
        <v/>
      </c>
      <c r="F83" s="193">
        <f>IF(COUNT(M83:EK83)&gt;0,MIN(M83:EK83),"")</f>
        <v/>
      </c>
      <c r="G83" s="193">
        <f>IF(COUNT(M83:EK83)&gt;0,MAX(M83:EK83),"")</f>
        <v/>
      </c>
      <c r="H83" s="193">
        <f>IF(COUNT(M83:EK83)&gt;0,QUARTILE(M83:EK83,1),"")</f>
        <v/>
      </c>
      <c r="I83" s="193">
        <f>IF(COUNT(M83:EK83)&gt;0,QUARTILE(M83:EK83,3),"")</f>
        <v/>
      </c>
      <c r="J83" s="193">
        <f>IF(COUNT(M83:EK83)&gt;1,STDEV(M83:EK83),"")</f>
        <v/>
      </c>
      <c r="K83" s="194">
        <f>IF(COUNT(M83:EK83)&gt;1,STDEV(M83:EK83)/AVERAGE(M83:EK83),"")</f>
        <v/>
      </c>
      <c r="L83" s="195" t="n"/>
      <c r="M83" s="196" t="n">
        <v>10027810</v>
      </c>
      <c r="N83" s="196" t="n">
        <v>9649036</v>
      </c>
      <c r="O83" s="196" t="n">
        <v>10594962</v>
      </c>
      <c r="P83" s="196" t="n">
        <v>10581014</v>
      </c>
      <c r="Q83" s="196" t="n">
        <v>10090902</v>
      </c>
      <c r="R83" s="196" t="n">
        <v>9672222</v>
      </c>
      <c r="S83" s="196" t="n">
        <v>9187347</v>
      </c>
      <c r="T83" s="196" t="n">
        <v>8869487</v>
      </c>
      <c r="U83" s="196" t="n">
        <v>8427764</v>
      </c>
      <c r="V83" s="196" t="n">
        <v>8010632</v>
      </c>
      <c r="W83" s="196" t="n">
        <v>7598520</v>
      </c>
      <c r="X83" s="196" t="n">
        <v>7333786</v>
      </c>
      <c r="Y83" s="196" t="n">
        <v>6737879</v>
      </c>
      <c r="Z83" s="196" t="n">
        <v>6349805</v>
      </c>
      <c r="AA83" s="196" t="n">
        <v>5932408</v>
      </c>
      <c r="AB83" s="196" t="n">
        <v>5593677</v>
      </c>
      <c r="AC83" s="196" t="n">
        <v>5308864</v>
      </c>
      <c r="AD83" s="196" t="n">
        <v>5443874</v>
      </c>
      <c r="AE83" s="196" t="n">
        <v>5136956</v>
      </c>
      <c r="AF83" s="196" t="n">
        <v>4918852</v>
      </c>
      <c r="AG83" s="196" t="n">
        <v>4562143</v>
      </c>
      <c r="AH83" s="196" t="n">
        <v>4281946</v>
      </c>
      <c r="AI83" s="196" t="n">
        <v>3934438</v>
      </c>
      <c r="AJ83" s="196" t="n">
        <v>3741188</v>
      </c>
      <c r="AK83" s="196" t="n">
        <v>3455261</v>
      </c>
      <c r="AL83" s="196" t="n">
        <v>3161583</v>
      </c>
      <c r="AM83" s="196" t="n">
        <v>3048605</v>
      </c>
      <c r="AN83" s="196" t="n">
        <v>2855939</v>
      </c>
      <c r="AO83" s="196" t="n">
        <v>2547617</v>
      </c>
      <c r="AP83" s="196" t="n">
        <v>2391763</v>
      </c>
      <c r="AQ83" s="196" t="n">
        <v>2296905</v>
      </c>
      <c r="AR83" s="196" t="n">
        <v>2381788</v>
      </c>
      <c r="AS83" s="196" t="n">
        <v>2307698</v>
      </c>
      <c r="AT83" s="196" t="n">
        <v>2165193</v>
      </c>
      <c r="AU83" s="196" t="n">
        <v>2143541</v>
      </c>
      <c r="AV83" s="196" t="n">
        <v>2062670</v>
      </c>
      <c r="AW83" s="196" t="n">
        <v>1982501</v>
      </c>
      <c r="AX83" s="196" t="n">
        <v>1811686</v>
      </c>
      <c r="AY83" s="196" t="n">
        <v>1841241</v>
      </c>
      <c r="AZ83" s="196" t="n">
        <v>1770396</v>
      </c>
      <c r="BA83" s="196" t="n">
        <v>1649820</v>
      </c>
      <c r="BB83" s="196" t="n">
        <v>1624135</v>
      </c>
      <c r="BC83" s="196" t="n">
        <v>1604364</v>
      </c>
      <c r="BD83" s="196" t="n">
        <v>1855764</v>
      </c>
      <c r="BE83" s="196" t="n">
        <v>1798660</v>
      </c>
      <c r="BF83" s="196" t="n">
        <v>2002977</v>
      </c>
      <c r="BG83" s="196" t="n">
        <v>1952071</v>
      </c>
      <c r="BH83" s="196" t="n">
        <v>1536586</v>
      </c>
      <c r="BI83" s="196" t="n">
        <v>1506804</v>
      </c>
      <c r="BJ83" s="196" t="n">
        <v>1476672</v>
      </c>
      <c r="BK83" s="196" t="n">
        <v>1438493</v>
      </c>
      <c r="BL83" s="196" t="n">
        <v>1397388</v>
      </c>
      <c r="BM83" s="196" t="n">
        <v>1334481</v>
      </c>
      <c r="BN83" s="196" t="n">
        <v>1298682</v>
      </c>
      <c r="BO83" s="196" t="n">
        <v>1253946</v>
      </c>
      <c r="BP83" s="196" t="n">
        <v>1214526</v>
      </c>
      <c r="BQ83" s="196" t="n">
        <v>1154000</v>
      </c>
      <c r="BR83" s="196" t="n">
        <v>1204763</v>
      </c>
      <c r="BS83" s="196" t="n">
        <v>1139658</v>
      </c>
      <c r="BT83" s="196" t="n">
        <v>1225884</v>
      </c>
      <c r="BU83" s="196" t="n">
        <v>1084436</v>
      </c>
      <c r="BV83" s="196" t="n">
        <v>1191312</v>
      </c>
      <c r="BW83" s="196" t="n">
        <v>1210147</v>
      </c>
      <c r="BX83" s="196" t="n">
        <v>1228812</v>
      </c>
      <c r="BY83" s="196" t="n">
        <v>1202006</v>
      </c>
      <c r="BZ83" s="196" t="n">
        <v>1147889</v>
      </c>
      <c r="CA83" s="196" t="n">
        <v>1123340</v>
      </c>
      <c r="CB83" s="196" t="n">
        <v>1058032</v>
      </c>
      <c r="CC83" s="196" t="n">
        <v>1005986</v>
      </c>
      <c r="CD83" s="196" t="n">
        <v>955666</v>
      </c>
      <c r="CE83" s="196" t="n">
        <v>949562</v>
      </c>
      <c r="CF83" s="196" t="n">
        <v>956247</v>
      </c>
      <c r="CG83" s="196" t="n">
        <v>1008261</v>
      </c>
      <c r="CH83" s="196" t="n">
        <v>1052903</v>
      </c>
      <c r="CI83" s="196" t="n">
        <v>1077687</v>
      </c>
      <c r="CJ83" s="196" t="n">
        <v>1014600</v>
      </c>
      <c r="CK83" s="196" t="n">
        <v>1015033</v>
      </c>
      <c r="CL83" s="196" t="n">
        <v>969027</v>
      </c>
      <c r="CM83" s="196" t="n">
        <v>939027</v>
      </c>
      <c r="CN83" s="196" t="n">
        <v>894705</v>
      </c>
      <c r="CO83" s="196" t="n">
        <v>869863</v>
      </c>
      <c r="CP83" s="196" t="n">
        <v>828368</v>
      </c>
      <c r="CQ83" s="196" t="n">
        <v>834562</v>
      </c>
      <c r="CR83" s="196" t="n">
        <v>793528</v>
      </c>
      <c r="CS83" s="196" t="n">
        <v>770215</v>
      </c>
      <c r="CT83" s="196" t="n">
        <v>732089.9</v>
      </c>
      <c r="CU83" s="196" t="n">
        <v>707510.4</v>
      </c>
      <c r="CV83" s="196" t="n">
        <v>673023</v>
      </c>
      <c r="CW83" s="196" t="n">
        <v>658789.5</v>
      </c>
      <c r="CX83" s="196" t="n">
        <v>619414</v>
      </c>
      <c r="CY83" s="196" t="n">
        <v>598570.1</v>
      </c>
      <c r="CZ83" s="196" t="n">
        <v>587100</v>
      </c>
      <c r="DA83" s="196" t="n">
        <v>571578.6</v>
      </c>
      <c r="DB83" s="196" t="n">
        <v>571622.5</v>
      </c>
      <c r="DC83" s="196" t="n">
        <v>557309.7</v>
      </c>
      <c r="DD83" s="196" t="n">
        <v>535847.6</v>
      </c>
      <c r="DE83" s="196" t="n">
        <v>509842.3</v>
      </c>
      <c r="DF83" s="196" t="n">
        <v>484755.9</v>
      </c>
      <c r="DG83" s="196" t="n">
        <v>346000.4</v>
      </c>
      <c r="DH83" s="196" t="n">
        <v>315064.2</v>
      </c>
      <c r="DI83" s="196" t="n">
        <v>310010.2</v>
      </c>
      <c r="DJ83" s="196" t="n">
        <v>292697.1</v>
      </c>
      <c r="DK83" s="196" t="n">
        <v>277039.5</v>
      </c>
      <c r="DL83" s="196" t="n">
        <v>262324.3</v>
      </c>
      <c r="DM83" s="196" t="n">
        <v>248690.1</v>
      </c>
      <c r="DN83" s="196" t="n">
        <v>237500</v>
      </c>
      <c r="DO83" s="196" t="n">
        <v>229500</v>
      </c>
      <c r="DP83" s="196" t="n">
        <v>218700</v>
      </c>
      <c r="DQ83" s="196" t="n">
        <v>212300</v>
      </c>
      <c r="DR83" s="196" t="n">
        <v>201900</v>
      </c>
      <c r="DS83" s="196" t="n">
        <v>198000</v>
      </c>
      <c r="DT83" s="196" t="n">
        <v>190900</v>
      </c>
      <c r="DU83" s="196" t="n">
        <v>188800</v>
      </c>
      <c r="DV83" s="196" t="n">
        <v>182800</v>
      </c>
      <c r="DW83" s="196" t="n">
        <v>180300</v>
      </c>
      <c r="DX83" s="196" t="n">
        <v>175300</v>
      </c>
      <c r="DY83" s="196" t="n">
        <v>173100</v>
      </c>
      <c r="DZ83" s="196" t="n">
        <v>168300</v>
      </c>
      <c r="EA83" s="196" t="n">
        <v>162200</v>
      </c>
      <c r="EB83" s="196" t="n">
        <v>158100</v>
      </c>
      <c r="EC83" s="196" t="n">
        <v>149100</v>
      </c>
      <c r="ED83" s="196" t="n">
        <v>144400</v>
      </c>
      <c r="EE83" s="196" t="n">
        <v>139500</v>
      </c>
      <c r="EF83" s="196" t="n">
        <v>135200</v>
      </c>
      <c r="EG83" s="196" t="n">
        <v>76200</v>
      </c>
      <c r="EH83" s="196" t="n">
        <v>71000</v>
      </c>
      <c r="EI83" s="196" t="n">
        <v>66900</v>
      </c>
      <c r="EJ83" s="196" t="n">
        <v>62600</v>
      </c>
      <c r="EK83" s="196" t="n">
        <v>59100</v>
      </c>
      <c r="EL83" s="182" t="n"/>
      <c r="EM83" s="176" t="n"/>
      <c r="EN83" s="176" t="n"/>
      <c r="EO83" s="176" t="n"/>
      <c r="EP83" s="176" t="n"/>
      <c r="EQ83" s="176" t="n"/>
      <c r="ER83" s="176" t="n"/>
      <c r="ES83" s="176" t="n"/>
      <c r="ET83" s="176" t="n"/>
      <c r="EU83" s="176" t="n"/>
      <c r="EV83" s="176" t="n"/>
      <c r="EW83" s="176" t="n"/>
      <c r="EX83" s="176" t="n"/>
      <c r="EY83" s="176" t="n"/>
      <c r="EZ83" s="176" t="n"/>
      <c r="FA83" s="176" t="n"/>
      <c r="FB83" s="176" t="n"/>
      <c r="FC83" s="176" t="n"/>
      <c r="FD83" s="176" t="n"/>
      <c r="FE83" s="176" t="n"/>
      <c r="FF83" s="176" t="n"/>
      <c r="FG83" s="176" t="n"/>
      <c r="FH83" s="176" t="n"/>
      <c r="FI83" s="176" t="n"/>
      <c r="FJ83" s="176" t="n"/>
    </row>
    <row r="84" ht="15" customHeight="1" s="392">
      <c r="A84" s="176" t="n"/>
      <c r="B84" s="180" t="n"/>
      <c r="C84" s="189" t="inlineStr">
        <is>
          <t>Liabilities</t>
        </is>
      </c>
      <c r="D84" s="185" t="n"/>
      <c r="E84" s="185" t="n"/>
      <c r="F84" s="185" t="n"/>
      <c r="G84" s="185" t="n"/>
      <c r="H84" s="185" t="n"/>
      <c r="I84" s="185" t="n"/>
      <c r="J84" s="185" t="n"/>
      <c r="K84" s="185" t="n"/>
      <c r="L84" s="185" t="n"/>
      <c r="M84" s="185" t="n"/>
      <c r="N84" s="185" t="n"/>
      <c r="O84" s="185" t="n"/>
      <c r="P84" s="185" t="n"/>
      <c r="Q84" s="185" t="n"/>
      <c r="R84" s="185" t="n"/>
      <c r="S84" s="185" t="n"/>
      <c r="T84" s="185" t="n"/>
      <c r="U84" s="185" t="n"/>
      <c r="V84" s="185" t="n"/>
      <c r="W84" s="185" t="n"/>
      <c r="X84" s="185" t="n"/>
      <c r="Y84" s="185" t="n"/>
      <c r="Z84" s="185" t="n"/>
      <c r="AA84" s="185" t="n"/>
      <c r="AB84" s="185" t="n"/>
      <c r="AC84" s="185" t="n"/>
      <c r="AD84" s="185" t="n"/>
      <c r="AE84" s="185" t="n"/>
      <c r="AF84" s="185" t="n"/>
      <c r="AG84" s="185" t="n"/>
      <c r="AH84" s="185" t="n"/>
      <c r="AI84" s="185" t="n"/>
      <c r="AJ84" s="185" t="n"/>
      <c r="AK84" s="185" t="n"/>
      <c r="AL84" s="185" t="n"/>
      <c r="AM84" s="185" t="n"/>
      <c r="AN84" s="185" t="n"/>
      <c r="AO84" s="185" t="n"/>
      <c r="AP84" s="185" t="n"/>
      <c r="AQ84" s="185" t="n"/>
      <c r="AR84" s="185" t="n"/>
      <c r="AS84" s="185" t="n"/>
      <c r="AT84" s="185" t="n"/>
      <c r="AU84" s="185" t="n"/>
      <c r="AV84" s="185" t="n"/>
      <c r="AW84" s="185" t="n"/>
      <c r="AX84" s="185" t="n"/>
      <c r="AY84" s="185" t="n"/>
      <c r="AZ84" s="185" t="n"/>
      <c r="BA84" s="185" t="n"/>
      <c r="BB84" s="185" t="n"/>
      <c r="BC84" s="185" t="n"/>
      <c r="BD84" s="185" t="n"/>
      <c r="BE84" s="185" t="n"/>
      <c r="BF84" s="185" t="n"/>
      <c r="BG84" s="185" t="n"/>
      <c r="BH84" s="185" t="n"/>
      <c r="BI84" s="185" t="n"/>
      <c r="BJ84" s="185" t="n"/>
      <c r="BK84" s="185" t="n"/>
      <c r="BL84" s="185" t="n"/>
      <c r="BM84" s="185" t="n"/>
      <c r="BN84" s="185" t="n"/>
      <c r="BO84" s="185" t="n"/>
      <c r="BP84" s="185" t="n"/>
      <c r="BQ84" s="185" t="n"/>
      <c r="BR84" s="185" t="n"/>
      <c r="BS84" s="185" t="n"/>
      <c r="BT84" s="185" t="n"/>
      <c r="BU84" s="185" t="n"/>
      <c r="BV84" s="185" t="n"/>
      <c r="BW84" s="185" t="n"/>
      <c r="BX84" s="185" t="n"/>
      <c r="BY84" s="185" t="n"/>
      <c r="BZ84" s="185" t="n"/>
      <c r="CA84" s="185" t="n"/>
      <c r="CB84" s="185" t="n"/>
      <c r="CC84" s="185" t="n"/>
      <c r="CD84" s="185" t="n"/>
      <c r="CE84" s="185" t="n"/>
      <c r="CF84" s="185" t="n"/>
      <c r="CG84" s="185" t="n"/>
      <c r="CH84" s="185" t="n"/>
      <c r="CI84" s="185" t="n"/>
      <c r="CJ84" s="185" t="n"/>
      <c r="CK84" s="185" t="n"/>
      <c r="CL84" s="185" t="n"/>
      <c r="CM84" s="185" t="n"/>
      <c r="CN84" s="185" t="n"/>
      <c r="CO84" s="185" t="n"/>
      <c r="CP84" s="185" t="n"/>
      <c r="CQ84" s="185" t="n"/>
      <c r="CR84" s="185" t="n"/>
      <c r="CS84" s="185" t="n"/>
      <c r="CT84" s="185" t="n"/>
      <c r="CU84" s="185" t="n"/>
      <c r="CV84" s="185" t="n"/>
      <c r="CW84" s="185" t="n"/>
      <c r="CX84" s="185" t="n"/>
      <c r="CY84" s="185" t="n"/>
      <c r="CZ84" s="185" t="n"/>
      <c r="DA84" s="185" t="n"/>
      <c r="DB84" s="185" t="n"/>
      <c r="DC84" s="185" t="n"/>
      <c r="DD84" s="185" t="n"/>
      <c r="DE84" s="185" t="n"/>
      <c r="DF84" s="185" t="n"/>
      <c r="DG84" s="185" t="n"/>
      <c r="DH84" s="185" t="n"/>
      <c r="DI84" s="185" t="n"/>
      <c r="DJ84" s="185" t="n"/>
      <c r="DK84" s="185" t="n"/>
      <c r="DL84" s="185" t="n"/>
      <c r="DM84" s="185" t="n"/>
      <c r="DN84" s="185" t="n"/>
      <c r="DO84" s="185" t="n"/>
      <c r="DP84" s="185" t="n"/>
      <c r="DQ84" s="185" t="n"/>
      <c r="DR84" s="185" t="n"/>
      <c r="DS84" s="185" t="n"/>
      <c r="DT84" s="185" t="n"/>
      <c r="DU84" s="185" t="n"/>
      <c r="DV84" s="185" t="n"/>
      <c r="DW84" s="185" t="n"/>
      <c r="DX84" s="185" t="n"/>
      <c r="DY84" s="185" t="n"/>
      <c r="DZ84" s="185" t="n"/>
      <c r="EA84" s="185" t="n"/>
      <c r="EB84" s="185" t="n"/>
      <c r="EC84" s="185" t="n"/>
      <c r="ED84" s="185" t="n"/>
      <c r="EE84" s="185" t="n"/>
      <c r="EF84" s="185" t="n"/>
      <c r="EG84" s="185" t="n"/>
      <c r="EH84" s="185" t="n"/>
      <c r="EI84" s="185" t="n"/>
      <c r="EJ84" s="185" t="n"/>
      <c r="EK84" s="185" t="n"/>
      <c r="EL84" s="182" t="n"/>
      <c r="EM84" s="176" t="n"/>
      <c r="EN84" s="176" t="n"/>
      <c r="EO84" s="176" t="n"/>
      <c r="EP84" s="176" t="n"/>
      <c r="EQ84" s="176" t="n"/>
      <c r="ER84" s="176" t="n"/>
      <c r="ES84" s="176" t="n"/>
      <c r="ET84" s="176" t="n"/>
      <c r="EU84" s="176" t="n"/>
      <c r="EV84" s="176" t="n"/>
      <c r="EW84" s="176" t="n"/>
      <c r="EX84" s="176" t="n"/>
      <c r="EY84" s="176" t="n"/>
      <c r="EZ84" s="176" t="n"/>
      <c r="FA84" s="176" t="n"/>
      <c r="FB84" s="176" t="n"/>
      <c r="FC84" s="176" t="n"/>
      <c r="FD84" s="176" t="n"/>
      <c r="FE84" s="176" t="n"/>
      <c r="FF84" s="176" t="n"/>
      <c r="FG84" s="176" t="n"/>
      <c r="FH84" s="176" t="n"/>
      <c r="FI84" s="176" t="n"/>
      <c r="FJ84" s="176" t="n"/>
    </row>
    <row r="85" ht="15" customHeight="1" s="392">
      <c r="A85" s="176" t="n"/>
      <c r="B85" s="180" t="n"/>
      <c r="C85" s="183" t="inlineStr">
        <is>
          <t xml:space="preserve">    Current Liabilities</t>
        </is>
      </c>
      <c r="D85" s="185" t="n"/>
      <c r="E85" s="185" t="n"/>
      <c r="F85" s="185" t="n"/>
      <c r="G85" s="185" t="n"/>
      <c r="H85" s="185" t="n"/>
      <c r="I85" s="185" t="n"/>
      <c r="J85" s="185" t="n"/>
      <c r="K85" s="185" t="n"/>
      <c r="EL85" s="182" t="n"/>
      <c r="EM85" s="176" t="n"/>
      <c r="EN85" s="176" t="n"/>
      <c r="EO85" s="176" t="n"/>
      <c r="EP85" s="176" t="n"/>
      <c r="EQ85" s="176" t="n"/>
      <c r="ER85" s="176" t="n"/>
      <c r="ES85" s="176" t="n"/>
      <c r="ET85" s="176" t="n"/>
      <c r="EU85" s="176" t="n"/>
      <c r="EV85" s="176" t="n"/>
      <c r="EW85" s="176" t="n"/>
      <c r="EX85" s="176" t="n"/>
      <c r="EY85" s="176" t="n"/>
      <c r="EZ85" s="176" t="n"/>
      <c r="FA85" s="176" t="n"/>
      <c r="FB85" s="176" t="n"/>
      <c r="FC85" s="176" t="n"/>
      <c r="FD85" s="176" t="n"/>
      <c r="FE85" s="176" t="n"/>
      <c r="FF85" s="176" t="n"/>
      <c r="FG85" s="176" t="n"/>
      <c r="FH85" s="176" t="n"/>
      <c r="FI85" s="176" t="n"/>
      <c r="FJ85" s="176" t="n"/>
    </row>
    <row r="86" ht="15" customHeight="1" s="392">
      <c r="A86" s="176" t="n"/>
      <c r="B86" s="180" t="n"/>
      <c r="C86" s="183" t="inlineStr">
        <is>
          <t xml:space="preserve">        Payables and Accrued Expenses, Current</t>
        </is>
      </c>
      <c r="D86" s="185" t="n"/>
      <c r="E86" s="185" t="n"/>
      <c r="F86" s="185" t="n"/>
      <c r="G86" s="185" t="n"/>
      <c r="H86" s="185" t="n"/>
      <c r="I86" s="185" t="n"/>
      <c r="J86" s="185" t="n"/>
      <c r="K86" s="185" t="n"/>
      <c r="EL86" s="182" t="n"/>
      <c r="EM86" s="176" t="n"/>
      <c r="EN86" s="176" t="n"/>
      <c r="EO86" s="176" t="n"/>
      <c r="EP86" s="176" t="n"/>
      <c r="EQ86" s="176" t="n"/>
      <c r="ER86" s="176" t="n"/>
      <c r="ES86" s="176" t="n"/>
      <c r="ET86" s="176" t="n"/>
      <c r="EU86" s="176" t="n"/>
      <c r="EV86" s="176" t="n"/>
      <c r="EW86" s="176" t="n"/>
      <c r="EX86" s="176" t="n"/>
      <c r="EY86" s="176" t="n"/>
      <c r="EZ86" s="176" t="n"/>
      <c r="FA86" s="176" t="n"/>
      <c r="FB86" s="176" t="n"/>
      <c r="FC86" s="176" t="n"/>
      <c r="FD86" s="176" t="n"/>
      <c r="FE86" s="176" t="n"/>
      <c r="FF86" s="176" t="n"/>
      <c r="FG86" s="176" t="n"/>
      <c r="FH86" s="176" t="n"/>
      <c r="FI86" s="176" t="n"/>
      <c r="FJ86" s="176" t="n"/>
    </row>
    <row r="87" ht="15" customHeight="1" s="392">
      <c r="A87" s="176" t="n"/>
      <c r="B87" s="180" t="n"/>
      <c r="C87" s="183" t="inlineStr">
        <is>
          <t xml:space="preserve">            Trade and Other Payables, Current</t>
        </is>
      </c>
      <c r="D87" s="185" t="n"/>
      <c r="E87" s="185" t="n"/>
      <c r="F87" s="185" t="n"/>
      <c r="G87" s="185" t="n"/>
      <c r="H87" s="185" t="n"/>
      <c r="I87" s="185" t="n"/>
      <c r="J87" s="185" t="n"/>
      <c r="K87" s="185" t="n"/>
      <c r="EL87" s="182" t="n"/>
      <c r="EM87" s="176" t="n"/>
      <c r="EN87" s="176" t="n"/>
      <c r="EO87" s="176" t="n"/>
      <c r="EP87" s="176" t="n"/>
      <c r="EQ87" s="176" t="n"/>
      <c r="ER87" s="176" t="n"/>
      <c r="ES87" s="176" t="n"/>
      <c r="ET87" s="176" t="n"/>
      <c r="EU87" s="176" t="n"/>
      <c r="EV87" s="176" t="n"/>
      <c r="EW87" s="176" t="n"/>
      <c r="EX87" s="176" t="n"/>
      <c r="EY87" s="176" t="n"/>
      <c r="EZ87" s="176" t="n"/>
      <c r="FA87" s="176" t="n"/>
      <c r="FB87" s="176" t="n"/>
      <c r="FC87" s="176" t="n"/>
      <c r="FD87" s="176" t="n"/>
      <c r="FE87" s="176" t="n"/>
      <c r="FF87" s="176" t="n"/>
      <c r="FG87" s="176" t="n"/>
      <c r="FH87" s="176" t="n"/>
      <c r="FI87" s="176" t="n"/>
      <c r="FJ87" s="176" t="n"/>
    </row>
    <row r="88" ht="15" customHeight="1" s="392">
      <c r="A88" s="176" t="n"/>
      <c r="B88" s="180" t="n"/>
      <c r="C88" s="183" t="inlineStr">
        <is>
          <t xml:space="preserve">                Trade/Accounts Payable, Current</t>
        </is>
      </c>
      <c r="D88" s="190">
        <f>IF(COUNT(M88:EK88)&gt;0,MEDIAN(M88:EK88),"")</f>
        <v/>
      </c>
      <c r="E88" s="190">
        <f>IF(COUNT(M88:EK88)&gt;0,AVERAGE(M88:EK88),"")</f>
        <v/>
      </c>
      <c r="F88" s="190">
        <f>IF(COUNT(M88:EK88)&gt;0,MIN(M88:EK88),"")</f>
        <v/>
      </c>
      <c r="G88" s="190">
        <f>IF(COUNT(M88:EK88)&gt;0,MAX(M88:EK88),"")</f>
        <v/>
      </c>
      <c r="H88" s="190">
        <f>IF(COUNT(M88:EK88)&gt;0,QUARTILE(M88:EK88,1),"")</f>
        <v/>
      </c>
      <c r="I88" s="190">
        <f>IF(COUNT(M88:EK88)&gt;0,QUARTILE(M88:EK88,3),"")</f>
        <v/>
      </c>
      <c r="J88" s="190">
        <f>IF(COUNT(M88:EK88)&gt;1,STDEV(M88:EK88),"")</f>
        <v/>
      </c>
      <c r="K88" s="191">
        <f>IF(COUNT(M88:EK88)&gt;1,STDEV(M88:EK88)/AVERAGE(M88:EK88),"")</f>
        <v/>
      </c>
      <c r="M88" s="192" t="n">
        <v>634675</v>
      </c>
      <c r="N88" s="192" t="n">
        <v>598290</v>
      </c>
      <c r="O88" s="192" t="n">
        <v>549171</v>
      </c>
      <c r="P88" s="192" t="n">
        <v>607386</v>
      </c>
      <c r="Q88" s="192" t="n">
        <v>214402</v>
      </c>
      <c r="R88" s="192" t="n">
        <v>576923</v>
      </c>
      <c r="S88" s="192" t="n">
        <v>562205</v>
      </c>
      <c r="T88" s="192" t="n">
        <v>582215</v>
      </c>
      <c r="U88" s="192" t="n">
        <v>193333</v>
      </c>
      <c r="V88" s="192" t="n">
        <v>506795</v>
      </c>
      <c r="W88" s="192" t="n">
        <v>473856</v>
      </c>
      <c r="X88" s="192" t="n">
        <v>495201</v>
      </c>
      <c r="Y88" s="192" t="n">
        <v>180016</v>
      </c>
      <c r="Z88" s="192" t="n">
        <v>441466</v>
      </c>
      <c r="AA88" s="192" t="n">
        <v>439271</v>
      </c>
      <c r="AB88" s="192" t="n">
        <v>446974</v>
      </c>
      <c r="AC88" s="192" t="n">
        <v>187170</v>
      </c>
      <c r="AD88" s="192" t="n">
        <v>398414</v>
      </c>
      <c r="AE88" s="192" t="n">
        <v>367699</v>
      </c>
      <c r="AF88" s="192" t="n">
        <v>411249</v>
      </c>
      <c r="AG88" s="192" t="n">
        <v>163237</v>
      </c>
      <c r="AH88" s="192" t="n">
        <v>359239</v>
      </c>
      <c r="AI88" s="192" t="n">
        <v>324108</v>
      </c>
      <c r="AJ88" s="192" t="n">
        <v>359816</v>
      </c>
      <c r="AK88" s="192" t="n">
        <v>132919</v>
      </c>
      <c r="AL88" s="192" t="n">
        <v>250841</v>
      </c>
      <c r="AM88" s="192" t="n">
        <v>296977</v>
      </c>
      <c r="AN88" s="192" t="n">
        <v>289247</v>
      </c>
      <c r="AO88" s="192" t="n">
        <v>113947</v>
      </c>
      <c r="AP88" s="192" t="n">
        <v>279779</v>
      </c>
      <c r="AQ88" s="192" t="n">
        <v>266126</v>
      </c>
      <c r="AR88" s="192" t="n">
        <v>235982</v>
      </c>
      <c r="AS88" s="192" t="n">
        <v>133717</v>
      </c>
      <c r="AT88" s="192" t="n">
        <v>245473</v>
      </c>
      <c r="AU88" s="192" t="n">
        <v>242594</v>
      </c>
      <c r="AV88" s="192" t="n">
        <v>222400</v>
      </c>
      <c r="AW88" s="192" t="n">
        <v>71160</v>
      </c>
      <c r="AX88" s="192" t="n">
        <v>192769</v>
      </c>
      <c r="AY88" s="192" t="n">
        <v>184968</v>
      </c>
      <c r="AZ88" s="192" t="n">
        <v>175969</v>
      </c>
      <c r="BA88" s="192" t="n">
        <v>76953</v>
      </c>
      <c r="BB88" s="192" t="n">
        <v>150298</v>
      </c>
      <c r="BC88" s="192" t="n">
        <v>147839</v>
      </c>
      <c r="BD88" s="192" t="n">
        <v>147342</v>
      </c>
      <c r="BE88" s="192" t="n">
        <v>57517</v>
      </c>
      <c r="BF88" s="192" t="n">
        <v>154255</v>
      </c>
      <c r="BG88" s="192" t="n">
        <v>148180</v>
      </c>
      <c r="BH88" s="192" t="n">
        <v>153799</v>
      </c>
      <c r="BI88" s="192" t="n">
        <v>62213</v>
      </c>
      <c r="BJ88" s="192" t="n">
        <v>164218</v>
      </c>
      <c r="BK88" s="192" t="n">
        <v>154871</v>
      </c>
      <c r="BL88" s="192" t="n">
        <v>154847</v>
      </c>
      <c r="BM88" s="192" t="n">
        <v>70561</v>
      </c>
      <c r="BN88" s="192" t="n">
        <v>129001</v>
      </c>
      <c r="BO88" s="192" t="n">
        <v>125400</v>
      </c>
      <c r="BP88" s="192" t="n">
        <v>112347</v>
      </c>
      <c r="BQ88" s="192" t="n">
        <v>52506</v>
      </c>
      <c r="BR88" s="192" t="n">
        <v>108592</v>
      </c>
      <c r="BS88" s="192" t="n">
        <v>100441</v>
      </c>
      <c r="BT88" s="192" t="n">
        <v>101489</v>
      </c>
      <c r="BU88" s="192" t="n">
        <v>54555</v>
      </c>
      <c r="BV88" s="192" t="n">
        <v>104229</v>
      </c>
      <c r="BW88" s="192" t="n">
        <v>95423</v>
      </c>
      <c r="BX88" s="192" t="n">
        <v>55293</v>
      </c>
      <c r="BY88" s="192" t="n">
        <v>102546</v>
      </c>
      <c r="BZ88" s="192" t="n">
        <v>92061</v>
      </c>
      <c r="CA88" s="192" t="n">
        <v>93636</v>
      </c>
      <c r="CB88" s="192" t="n">
        <v>44996</v>
      </c>
      <c r="CC88" s="192" t="n">
        <v>77646</v>
      </c>
      <c r="CD88" s="192" t="n">
        <v>75082</v>
      </c>
      <c r="CE88" s="192" t="n">
        <v>77329</v>
      </c>
      <c r="CF88" s="192" t="n">
        <v>88883</v>
      </c>
      <c r="CG88" s="192" t="n">
        <v>99207</v>
      </c>
      <c r="CH88" s="192" t="n">
        <v>90934</v>
      </c>
      <c r="CI88" s="192" t="n">
        <v>80308</v>
      </c>
      <c r="CJ88" s="192" t="n">
        <v>85082</v>
      </c>
      <c r="CK88" s="192" t="n">
        <v>62967</v>
      </c>
      <c r="CL88" s="192" t="n">
        <v>58787</v>
      </c>
      <c r="CM88" s="192" t="n">
        <v>56979</v>
      </c>
      <c r="CN88" s="192" t="n">
        <v>60644</v>
      </c>
      <c r="CO88" s="192" t="n">
        <v>62687</v>
      </c>
      <c r="CP88" s="192" t="n">
        <v>58308</v>
      </c>
      <c r="CQ88" s="192" t="n">
        <v>62247</v>
      </c>
      <c r="CR88" s="192" t="n">
        <v>56965</v>
      </c>
      <c r="CS88" s="192" t="n">
        <v>50421</v>
      </c>
      <c r="CT88" s="192" t="n">
        <v>48129.4</v>
      </c>
      <c r="CU88" s="192" t="n">
        <v>41915.2</v>
      </c>
      <c r="CV88" s="192" t="n">
        <v>44080</v>
      </c>
      <c r="CW88" s="192" t="n">
        <v>47343.6</v>
      </c>
      <c r="CX88" s="192" t="n">
        <v>39941</v>
      </c>
      <c r="CY88" s="192" t="n">
        <v>38826.8</v>
      </c>
      <c r="CZ88" s="192" t="n">
        <v>38309</v>
      </c>
      <c r="DA88" s="192" t="n">
        <v>35106.3</v>
      </c>
      <c r="DB88" s="192" t="n">
        <v>33506.3</v>
      </c>
      <c r="DC88" s="192" t="n">
        <v>32236.2</v>
      </c>
      <c r="DD88" s="192" t="n">
        <v>31893.4</v>
      </c>
      <c r="DE88" s="192" t="n">
        <v>33988.8</v>
      </c>
      <c r="DF88" s="192" t="n">
        <v>28705.8</v>
      </c>
      <c r="DG88" s="192" t="n">
        <v>29382.9</v>
      </c>
      <c r="DH88" s="192" t="n">
        <v>26769.8</v>
      </c>
      <c r="DI88" s="192" t="n">
        <v>27791.5</v>
      </c>
      <c r="DJ88" s="192" t="n">
        <v>24633.2</v>
      </c>
      <c r="DK88" s="192" t="n">
        <v>24249</v>
      </c>
      <c r="DL88" s="192" t="n">
        <v>19984.5</v>
      </c>
      <c r="DM88" s="192" t="n">
        <v>22726.8</v>
      </c>
      <c r="DN88" s="192" t="n">
        <v>20100</v>
      </c>
      <c r="DO88" s="192" t="n">
        <v>18100</v>
      </c>
      <c r="DP88" s="192" t="n">
        <v>16600</v>
      </c>
      <c r="DQ88" s="192" t="n">
        <v>16200</v>
      </c>
      <c r="DR88" s="192" t="n">
        <v>11700</v>
      </c>
      <c r="DS88" s="192" t="n">
        <v>12700</v>
      </c>
      <c r="DT88" s="192" t="n">
        <v>11700</v>
      </c>
      <c r="DU88" s="192" t="n">
        <v>14700</v>
      </c>
      <c r="DV88" s="192" t="n">
        <v>12500</v>
      </c>
      <c r="DW88" s="192" t="n">
        <v>13800</v>
      </c>
      <c r="DX88" s="192" t="n">
        <v>11800</v>
      </c>
      <c r="DY88" s="192" t="n">
        <v>12100</v>
      </c>
      <c r="DZ88" s="192" t="n">
        <v>11500</v>
      </c>
      <c r="EA88" s="192" t="n">
        <v>11100</v>
      </c>
      <c r="EB88" s="192" t="n">
        <v>10400</v>
      </c>
      <c r="EC88" s="192" t="n">
        <v>12500</v>
      </c>
      <c r="ED88" s="192" t="n">
        <v>10900</v>
      </c>
      <c r="EE88" s="192" t="n">
        <v>9000</v>
      </c>
      <c r="EF88" s="192" t="n">
        <v>9600</v>
      </c>
      <c r="EG88" s="192" t="n">
        <v>5900</v>
      </c>
      <c r="EH88" s="192" t="n">
        <v>4200</v>
      </c>
      <c r="EI88" s="192" t="n">
        <v>4400</v>
      </c>
      <c r="EJ88" s="192" t="n">
        <v>4100</v>
      </c>
      <c r="EK88" s="192" t="n">
        <v>3900</v>
      </c>
      <c r="EL88" s="182" t="n"/>
      <c r="EM88" s="176" t="n"/>
      <c r="EN88" s="176" t="n"/>
      <c r="EO88" s="176" t="n"/>
      <c r="EP88" s="176" t="n"/>
      <c r="EQ88" s="176" t="n"/>
      <c r="ER88" s="176" t="n"/>
      <c r="ES88" s="176" t="n"/>
      <c r="ET88" s="176" t="n"/>
      <c r="EU88" s="176" t="n"/>
      <c r="EV88" s="176" t="n"/>
      <c r="EW88" s="176" t="n"/>
      <c r="EX88" s="176" t="n"/>
      <c r="EY88" s="176" t="n"/>
      <c r="EZ88" s="176" t="n"/>
      <c r="FA88" s="176" t="n"/>
      <c r="FB88" s="176" t="n"/>
      <c r="FC88" s="176" t="n"/>
      <c r="FD88" s="176" t="n"/>
      <c r="FE88" s="176" t="n"/>
      <c r="FF88" s="176" t="n"/>
      <c r="FG88" s="176" t="n"/>
      <c r="FH88" s="176" t="n"/>
      <c r="FI88" s="176" t="n"/>
      <c r="FJ88" s="176" t="n"/>
    </row>
    <row r="89" ht="15" customHeight="1" s="392">
      <c r="A89" s="176" t="n"/>
      <c r="B89" s="180" t="n"/>
      <c r="C89" s="183" t="inlineStr">
        <is>
          <t xml:space="preserve">                Taxes Payable, Current</t>
        </is>
      </c>
      <c r="D89" s="185" t="n"/>
      <c r="E89" s="185" t="n"/>
      <c r="F89" s="185" t="n"/>
      <c r="G89" s="185" t="n"/>
      <c r="H89" s="185" t="n"/>
      <c r="I89" s="185" t="n"/>
      <c r="J89" s="185" t="n"/>
      <c r="K89" s="185" t="n"/>
      <c r="EL89" s="182" t="n"/>
      <c r="EM89" s="176" t="n"/>
      <c r="EN89" s="176" t="n"/>
      <c r="EO89" s="176" t="n"/>
      <c r="EP89" s="176" t="n"/>
      <c r="EQ89" s="176" t="n"/>
      <c r="ER89" s="176" t="n"/>
      <c r="ES89" s="176" t="n"/>
      <c r="ET89" s="176" t="n"/>
      <c r="EU89" s="176" t="n"/>
      <c r="EV89" s="176" t="n"/>
      <c r="EW89" s="176" t="n"/>
      <c r="EX89" s="176" t="n"/>
      <c r="EY89" s="176" t="n"/>
      <c r="EZ89" s="176" t="n"/>
      <c r="FA89" s="176" t="n"/>
      <c r="FB89" s="176" t="n"/>
      <c r="FC89" s="176" t="n"/>
      <c r="FD89" s="176" t="n"/>
      <c r="FE89" s="176" t="n"/>
      <c r="FF89" s="176" t="n"/>
      <c r="FG89" s="176" t="n"/>
      <c r="FH89" s="176" t="n"/>
      <c r="FI89" s="176" t="n"/>
      <c r="FJ89" s="176" t="n"/>
    </row>
    <row r="90" ht="15" customHeight="1" s="392">
      <c r="A90" s="176" t="n"/>
      <c r="B90" s="180" t="n"/>
      <c r="C90" s="183" t="inlineStr">
        <is>
          <t xml:space="preserve">                    Income Tax Payable, Current</t>
        </is>
      </c>
      <c r="D90" s="190">
        <f>IF(COUNT(M90:EK90)&gt;0,MEDIAN(M90:EK90),"")</f>
        <v/>
      </c>
      <c r="E90" s="190">
        <f>IF(COUNT(M90:EK90)&gt;0,AVERAGE(M90:EK90),"")</f>
        <v/>
      </c>
      <c r="F90" s="190">
        <f>IF(COUNT(M90:EK90)&gt;0,MIN(M90:EK90),"")</f>
        <v/>
      </c>
      <c r="G90" s="190">
        <f>IF(COUNT(M90:EK90)&gt;0,MAX(M90:EK90),"")</f>
        <v/>
      </c>
      <c r="H90" s="190">
        <f>IF(COUNT(M90:EK90)&gt;0,QUARTILE(M90:EK90,1),"")</f>
        <v/>
      </c>
      <c r="I90" s="190">
        <f>IF(COUNT(M90:EK90)&gt;0,QUARTILE(M90:EK90,3),"")</f>
        <v/>
      </c>
      <c r="J90" s="190">
        <f>IF(COUNT(M90:EK90)&gt;1,STDEV(M90:EK90),"")</f>
        <v/>
      </c>
      <c r="K90" s="191">
        <f>IF(COUNT(M90:EK90)&gt;1,STDEV(M90:EK90)/AVERAGE(M90:EK90),"")</f>
        <v/>
      </c>
      <c r="M90" s="192" t="n">
        <v>21437</v>
      </c>
      <c r="N90" s="192" t="n">
        <v>37650</v>
      </c>
      <c r="O90" s="192" t="n">
        <v>16627</v>
      </c>
      <c r="P90" s="192" t="n">
        <v>125469</v>
      </c>
      <c r="Q90" s="192" t="n">
        <v>41141</v>
      </c>
      <c r="R90" s="192" t="n">
        <v>30125</v>
      </c>
      <c r="S90" s="192" t="n">
        <v>17844</v>
      </c>
      <c r="T90" s="192" t="n">
        <v>85628</v>
      </c>
      <c r="U90" s="192" t="n">
        <v>60994</v>
      </c>
      <c r="V90" s="192" t="n">
        <v>7388</v>
      </c>
      <c r="W90" s="192" t="n">
        <v>4740</v>
      </c>
      <c r="X90" s="192" t="n">
        <v>80106</v>
      </c>
      <c r="Y90" s="192" t="n">
        <v>4374</v>
      </c>
      <c r="Z90" s="192" t="n">
        <v>18534</v>
      </c>
      <c r="AA90" s="192" t="n">
        <v>3820</v>
      </c>
      <c r="AB90" s="192" t="n">
        <v>16101</v>
      </c>
      <c r="AC90" s="192" t="n">
        <v>0</v>
      </c>
      <c r="AD90" s="192" t="n">
        <v>6907</v>
      </c>
      <c r="AE90" s="192" t="n">
        <v>6458</v>
      </c>
      <c r="AF90" s="192" t="n">
        <v>37175</v>
      </c>
      <c r="AG90" s="192" t="n">
        <v>7760</v>
      </c>
      <c r="AH90" s="192" t="n">
        <v>9140</v>
      </c>
      <c r="AI90" s="192" t="n">
        <v>8672</v>
      </c>
      <c r="AJ90" s="192" t="n">
        <v>12640</v>
      </c>
      <c r="AK90" s="192" t="n">
        <v>3709</v>
      </c>
      <c r="AL90" s="192" t="n">
        <v>905</v>
      </c>
      <c r="AM90" s="192" t="n">
        <v>728</v>
      </c>
      <c r="AN90" s="192" t="n">
        <v>1313</v>
      </c>
      <c r="AO90" s="192" t="n">
        <v>3482</v>
      </c>
      <c r="AP90" s="192" t="n">
        <v>1583</v>
      </c>
      <c r="AQ90" s="192" t="n">
        <v>4441</v>
      </c>
      <c r="AR90" s="192" t="n">
        <v>12893</v>
      </c>
      <c r="AS90" s="192" t="n">
        <v>673</v>
      </c>
      <c r="AT90" s="192" t="n">
        <v>18048</v>
      </c>
      <c r="AU90" s="192" t="n">
        <v>13806</v>
      </c>
      <c r="AV90" s="192" t="n">
        <v>28430</v>
      </c>
      <c r="AW90" s="192" t="n">
        <v>6472</v>
      </c>
      <c r="AX90" s="192" t="n">
        <v>6421</v>
      </c>
      <c r="AY90" s="192" t="n">
        <v>7624</v>
      </c>
      <c r="AZ90" s="192" t="n">
        <v>6583</v>
      </c>
      <c r="BA90" s="192" t="n">
        <v>5625</v>
      </c>
      <c r="BB90" s="192" t="n">
        <v>17169</v>
      </c>
      <c r="BC90" s="192" t="n">
        <v>12629</v>
      </c>
      <c r="BD90" s="192" t="n">
        <v>30444</v>
      </c>
      <c r="BE90" s="192" t="n">
        <v>8279</v>
      </c>
      <c r="BF90" s="192" t="n">
        <v>5660</v>
      </c>
      <c r="BG90" s="192" t="n">
        <v>5858</v>
      </c>
      <c r="BH90" s="192" t="n">
        <v>25906</v>
      </c>
      <c r="BI90" s="192" t="n">
        <v>8284</v>
      </c>
      <c r="BJ90" s="192" t="n">
        <v>11207</v>
      </c>
      <c r="BK90" s="192" t="n">
        <v>5539</v>
      </c>
      <c r="BL90" s="192" t="n">
        <v>21576</v>
      </c>
      <c r="BM90" s="192" t="n">
        <v>4741</v>
      </c>
      <c r="BN90" s="192" t="n">
        <v>8034</v>
      </c>
      <c r="BO90" s="192" t="n">
        <v>6083</v>
      </c>
      <c r="BP90" s="192" t="n">
        <v>23671</v>
      </c>
      <c r="BQ90" s="192" t="n">
        <v>3082</v>
      </c>
      <c r="BR90" s="192" t="n">
        <v>8638</v>
      </c>
      <c r="BS90" s="192" t="n">
        <v>3350</v>
      </c>
      <c r="BT90" s="192" t="n">
        <v>22262</v>
      </c>
      <c r="BU90" s="192" t="n">
        <v>3543</v>
      </c>
      <c r="BV90" s="192" t="n">
        <v>10243</v>
      </c>
      <c r="BW90" s="192" t="n">
        <v>14616</v>
      </c>
      <c r="BX90" s="192" t="n">
        <v>1314</v>
      </c>
      <c r="BY90" s="192" t="n">
        <v>5910</v>
      </c>
      <c r="BZ90" s="192" t="n">
        <v>4503</v>
      </c>
      <c r="CA90" s="192" t="n">
        <v>18154</v>
      </c>
      <c r="CB90" s="192" t="n">
        <v>5269</v>
      </c>
      <c r="CC90" s="192" t="n">
        <v>11062</v>
      </c>
      <c r="CD90" s="192" t="n">
        <v>3681</v>
      </c>
      <c r="CE90" s="192" t="n"/>
      <c r="CF90" s="192" t="n"/>
      <c r="CG90" s="192" t="n"/>
      <c r="CH90" s="192" t="n"/>
      <c r="CI90" s="192" t="n"/>
      <c r="CJ90" s="192" t="n"/>
      <c r="CK90" s="192" t="n"/>
      <c r="CL90" s="192" t="n"/>
      <c r="CM90" s="192" t="n"/>
      <c r="CN90" s="192" t="n"/>
      <c r="CO90" s="192" t="n"/>
      <c r="CP90" s="192" t="n"/>
      <c r="CQ90" s="192" t="n"/>
      <c r="CR90" s="192" t="n"/>
      <c r="CS90" s="192" t="n"/>
      <c r="CT90" s="192" t="n"/>
      <c r="CU90" s="192" t="n"/>
      <c r="CV90" s="192" t="n"/>
      <c r="CW90" s="192" t="n"/>
      <c r="CX90" s="192" t="n"/>
      <c r="CY90" s="192" t="n"/>
      <c r="CZ90" s="192" t="n"/>
      <c r="DA90" s="192" t="n"/>
      <c r="DB90" s="192" t="n"/>
      <c r="DC90" s="192" t="n"/>
      <c r="DD90" s="192" t="n"/>
      <c r="DE90" s="192" t="n"/>
      <c r="DF90" s="192" t="n"/>
      <c r="DG90" s="192" t="n"/>
      <c r="DH90" s="192" t="n"/>
      <c r="DI90" s="192" t="n"/>
      <c r="DJ90" s="192" t="n"/>
      <c r="DK90" s="192" t="n"/>
      <c r="DL90" s="192" t="n"/>
      <c r="DM90" s="192" t="n"/>
      <c r="DN90" s="192" t="n"/>
      <c r="DO90" s="192" t="n"/>
      <c r="DP90" s="192" t="n"/>
      <c r="DQ90" s="192" t="n"/>
      <c r="DR90" s="192" t="n"/>
      <c r="DS90" s="192" t="n"/>
      <c r="DT90" s="192" t="n"/>
      <c r="DU90" s="192" t="n"/>
      <c r="DV90" s="192" t="n"/>
      <c r="DW90" s="192" t="n"/>
      <c r="DX90" s="192" t="n"/>
      <c r="DY90" s="192" t="n"/>
      <c r="DZ90" s="192" t="n"/>
      <c r="EA90" s="192" t="n"/>
      <c r="EB90" s="192" t="n"/>
      <c r="EC90" s="192" t="n"/>
      <c r="ED90" s="192" t="n"/>
      <c r="EE90" s="192" t="n"/>
      <c r="EF90" s="192" t="n"/>
      <c r="EG90" s="192" t="n"/>
      <c r="EH90" s="192" t="n"/>
      <c r="EI90" s="192" t="n"/>
      <c r="EJ90" s="192" t="n"/>
      <c r="EK90" s="192" t="n"/>
      <c r="EL90" s="182" t="n"/>
      <c r="EM90" s="176" t="n"/>
      <c r="EN90" s="176" t="n"/>
      <c r="EO90" s="176" t="n"/>
      <c r="EP90" s="176" t="n"/>
      <c r="EQ90" s="176" t="n"/>
      <c r="ER90" s="176" t="n"/>
      <c r="ES90" s="176" t="n"/>
      <c r="ET90" s="176" t="n"/>
      <c r="EU90" s="176" t="n"/>
      <c r="EV90" s="176" t="n"/>
      <c r="EW90" s="176" t="n"/>
      <c r="EX90" s="176" t="n"/>
      <c r="EY90" s="176" t="n"/>
      <c r="EZ90" s="176" t="n"/>
      <c r="FA90" s="176" t="n"/>
      <c r="FB90" s="176" t="n"/>
      <c r="FC90" s="176" t="n"/>
      <c r="FD90" s="176" t="n"/>
      <c r="FE90" s="176" t="n"/>
      <c r="FF90" s="176" t="n"/>
      <c r="FG90" s="176" t="n"/>
      <c r="FH90" s="176" t="n"/>
      <c r="FI90" s="176" t="n"/>
      <c r="FJ90" s="176" t="n"/>
    </row>
    <row r="91" ht="15" customHeight="1" s="392">
      <c r="A91" s="176" t="n"/>
      <c r="B91" s="180" t="n"/>
      <c r="C91" s="183" t="inlineStr">
        <is>
          <t xml:space="preserve">                    Other Tax Payable, Current</t>
        </is>
      </c>
      <c r="D91" s="190">
        <f>IF(COUNT(M91:EK91)&gt;0,MEDIAN(M91:EK91),"")</f>
        <v/>
      </c>
      <c r="E91" s="190">
        <f>IF(COUNT(M91:EK91)&gt;0,AVERAGE(M91:EK91),"")</f>
        <v/>
      </c>
      <c r="F91" s="190">
        <f>IF(COUNT(M91:EK91)&gt;0,MIN(M91:EK91),"")</f>
        <v/>
      </c>
      <c r="G91" s="190">
        <f>IF(COUNT(M91:EK91)&gt;0,MAX(M91:EK91),"")</f>
        <v/>
      </c>
      <c r="H91" s="190">
        <f>IF(COUNT(M91:EK91)&gt;0,QUARTILE(M91:EK91,1),"")</f>
        <v/>
      </c>
      <c r="I91" s="190">
        <f>IF(COUNT(M91:EK91)&gt;0,QUARTILE(M91:EK91,3),"")</f>
        <v/>
      </c>
      <c r="J91" s="190">
        <f>IF(COUNT(M91:EK91)&gt;1,STDEV(M91:EK91),"")</f>
        <v/>
      </c>
      <c r="K91" s="191">
        <f>IF(COUNT(M91:EK91)&gt;1,STDEV(M91:EK91)/AVERAGE(M91:EK91),"")</f>
        <v/>
      </c>
      <c r="M91" s="192" t="n"/>
      <c r="N91" s="192" t="n"/>
      <c r="O91" s="192" t="n"/>
      <c r="P91" s="192" t="n"/>
      <c r="Q91" s="192" t="n">
        <v>12789</v>
      </c>
      <c r="R91" s="192" t="n"/>
      <c r="S91" s="192" t="n"/>
      <c r="T91" s="192" t="n"/>
      <c r="U91" s="192" t="n">
        <v>8220</v>
      </c>
      <c r="V91" s="192" t="n"/>
      <c r="W91" s="192" t="n"/>
      <c r="X91" s="192" t="n"/>
      <c r="Y91" s="192" t="n">
        <v>-512</v>
      </c>
      <c r="Z91" s="192" t="n"/>
      <c r="AA91" s="192" t="n"/>
      <c r="AB91" s="192" t="n"/>
      <c r="AC91" s="192" t="n">
        <v>6906</v>
      </c>
      <c r="AD91" s="192" t="n"/>
      <c r="AE91" s="192" t="n"/>
      <c r="AF91" s="192" t="n"/>
      <c r="AG91" s="192" t="n">
        <v>10953</v>
      </c>
      <c r="AH91" s="192" t="n"/>
      <c r="AI91" s="192" t="n"/>
      <c r="AJ91" s="192" t="n"/>
      <c r="AK91" s="192" t="n">
        <v>17036</v>
      </c>
      <c r="AL91" s="192" t="n"/>
      <c r="AM91" s="192" t="n"/>
      <c r="AN91" s="192" t="n"/>
      <c r="AO91" s="192" t="n">
        <v>3881</v>
      </c>
      <c r="AP91" s="192" t="n"/>
      <c r="AQ91" s="192" t="n"/>
      <c r="AR91" s="192" t="n"/>
      <c r="AS91" s="192" t="n"/>
      <c r="AT91" s="192" t="n"/>
      <c r="AU91" s="192" t="n"/>
      <c r="AV91" s="192" t="n"/>
      <c r="AW91" s="192" t="n"/>
      <c r="AX91" s="192" t="n"/>
      <c r="AY91" s="192" t="n"/>
      <c r="AZ91" s="192" t="n"/>
      <c r="BA91" s="192" t="n"/>
      <c r="BB91" s="192" t="n"/>
      <c r="BC91" s="192" t="n"/>
      <c r="BD91" s="192" t="n"/>
      <c r="BE91" s="192" t="n"/>
      <c r="BF91" s="192" t="n"/>
      <c r="BG91" s="192" t="n"/>
      <c r="BH91" s="192" t="n"/>
      <c r="BI91" s="192" t="n"/>
      <c r="BJ91" s="192" t="n"/>
      <c r="BK91" s="192" t="n"/>
      <c r="BL91" s="192" t="n"/>
      <c r="BM91" s="192" t="n"/>
      <c r="BN91" s="192" t="n"/>
      <c r="BO91" s="192" t="n"/>
      <c r="BP91" s="192" t="n">
        <v>0</v>
      </c>
      <c r="BQ91" s="192" t="n"/>
      <c r="BR91" s="192" t="n">
        <v>0</v>
      </c>
      <c r="BS91" s="192" t="n">
        <v>0</v>
      </c>
      <c r="BT91" s="192" t="n">
        <v>0</v>
      </c>
      <c r="BU91" s="192" t="n">
        <v>0</v>
      </c>
      <c r="BV91" s="192" t="n">
        <v>0</v>
      </c>
      <c r="BW91" s="192" t="n">
        <v>0</v>
      </c>
      <c r="BX91" s="192" t="n">
        <v>0</v>
      </c>
      <c r="BY91" s="192" t="n">
        <v>0</v>
      </c>
      <c r="BZ91" s="192" t="n">
        <v>0</v>
      </c>
      <c r="CA91" s="192" t="n">
        <v>0</v>
      </c>
      <c r="CB91" s="192" t="n">
        <v>0</v>
      </c>
      <c r="CC91" s="192" t="n">
        <v>0</v>
      </c>
      <c r="CD91" s="192" t="n">
        <v>0</v>
      </c>
      <c r="CE91" s="192" t="n"/>
      <c r="CF91" s="192" t="n"/>
      <c r="CG91" s="192" t="n"/>
      <c r="CH91" s="192" t="n"/>
      <c r="CI91" s="192" t="n"/>
      <c r="CJ91" s="192" t="n"/>
      <c r="CK91" s="192" t="n"/>
      <c r="CL91" s="192" t="n"/>
      <c r="CM91" s="192" t="n"/>
      <c r="CN91" s="192" t="n"/>
      <c r="CO91" s="192" t="n"/>
      <c r="CP91" s="192" t="n"/>
      <c r="CQ91" s="192" t="n"/>
      <c r="CR91" s="192" t="n"/>
      <c r="CS91" s="192" t="n"/>
      <c r="CT91" s="192" t="n"/>
      <c r="CU91" s="192" t="n"/>
      <c r="CV91" s="192" t="n"/>
      <c r="CW91" s="192" t="n"/>
      <c r="CX91" s="192" t="n"/>
      <c r="CY91" s="192" t="n"/>
      <c r="CZ91" s="192" t="n"/>
      <c r="DA91" s="192" t="n"/>
      <c r="DB91" s="192" t="n"/>
      <c r="DC91" s="192" t="n"/>
      <c r="DD91" s="192" t="n"/>
      <c r="DE91" s="192" t="n"/>
      <c r="DF91" s="192" t="n"/>
      <c r="DG91" s="192" t="n"/>
      <c r="DH91" s="192" t="n"/>
      <c r="DI91" s="192" t="n"/>
      <c r="DJ91" s="192" t="n"/>
      <c r="DK91" s="192" t="n"/>
      <c r="DL91" s="192" t="n"/>
      <c r="DM91" s="192" t="n"/>
      <c r="DN91" s="192" t="n"/>
      <c r="DO91" s="192" t="n"/>
      <c r="DP91" s="192" t="n"/>
      <c r="DQ91" s="192" t="n"/>
      <c r="DR91" s="192" t="n"/>
      <c r="DS91" s="192" t="n"/>
      <c r="DT91" s="192" t="n"/>
      <c r="DU91" s="192" t="n"/>
      <c r="DV91" s="192" t="n"/>
      <c r="DW91" s="192" t="n"/>
      <c r="DX91" s="192" t="n"/>
      <c r="DY91" s="192" t="n"/>
      <c r="DZ91" s="192" t="n"/>
      <c r="EA91" s="192" t="n"/>
      <c r="EB91" s="192" t="n"/>
      <c r="EC91" s="192" t="n"/>
      <c r="ED91" s="192" t="n"/>
      <c r="EE91" s="192" t="n"/>
      <c r="EF91" s="192" t="n"/>
      <c r="EG91" s="192" t="n"/>
      <c r="EH91" s="192" t="n"/>
      <c r="EI91" s="192" t="n"/>
      <c r="EJ91" s="192" t="n"/>
      <c r="EK91" s="192" t="n"/>
      <c r="EL91" s="182" t="n"/>
      <c r="EM91" s="176" t="n"/>
      <c r="EN91" s="176" t="n"/>
      <c r="EO91" s="176" t="n"/>
      <c r="EP91" s="176" t="n"/>
      <c r="EQ91" s="176" t="n"/>
      <c r="ER91" s="176" t="n"/>
      <c r="ES91" s="176" t="n"/>
      <c r="ET91" s="176" t="n"/>
      <c r="EU91" s="176" t="n"/>
      <c r="EV91" s="176" t="n"/>
      <c r="EW91" s="176" t="n"/>
      <c r="EX91" s="176" t="n"/>
      <c r="EY91" s="176" t="n"/>
      <c r="EZ91" s="176" t="n"/>
      <c r="FA91" s="176" t="n"/>
      <c r="FB91" s="176" t="n"/>
      <c r="FC91" s="176" t="n"/>
      <c r="FD91" s="176" t="n"/>
      <c r="FE91" s="176" t="n"/>
      <c r="FF91" s="176" t="n"/>
      <c r="FG91" s="176" t="n"/>
      <c r="FH91" s="176" t="n"/>
      <c r="FI91" s="176" t="n"/>
      <c r="FJ91" s="176" t="n"/>
    </row>
    <row r="92" ht="15" customHeight="1" s="392">
      <c r="A92" s="176" t="n"/>
      <c r="B92" s="180" t="n"/>
      <c r="C92" s="187" t="inlineStr">
        <is>
          <t xml:space="preserve">                Total Taxes Payable, Current</t>
        </is>
      </c>
      <c r="D92" s="193">
        <f>IF(COUNT(M92:EK92)&gt;0,MEDIAN(M92:EK92),"")</f>
        <v/>
      </c>
      <c r="E92" s="193">
        <f>IF(COUNT(M92:EK92)&gt;0,AVERAGE(M92:EK92),"")</f>
        <v/>
      </c>
      <c r="F92" s="193">
        <f>IF(COUNT(M92:EK92)&gt;0,MIN(M92:EK92),"")</f>
        <v/>
      </c>
      <c r="G92" s="193">
        <f>IF(COUNT(M92:EK92)&gt;0,MAX(M92:EK92),"")</f>
        <v/>
      </c>
      <c r="H92" s="193">
        <f>IF(COUNT(M92:EK92)&gt;0,QUARTILE(M92:EK92,1),"")</f>
        <v/>
      </c>
      <c r="I92" s="193">
        <f>IF(COUNT(M92:EK92)&gt;0,QUARTILE(M92:EK92,3),"")</f>
        <v/>
      </c>
      <c r="J92" s="193">
        <f>IF(COUNT(M92:EK92)&gt;1,STDEV(M92:EK92),"")</f>
        <v/>
      </c>
      <c r="K92" s="194">
        <f>IF(COUNT(M92:EK92)&gt;1,STDEV(M92:EK92)/AVERAGE(M92:EK92),"")</f>
        <v/>
      </c>
      <c r="L92" s="195" t="n"/>
      <c r="M92" s="196" t="n">
        <v>21437</v>
      </c>
      <c r="N92" s="196" t="n">
        <v>37650</v>
      </c>
      <c r="O92" s="196" t="n">
        <v>16627</v>
      </c>
      <c r="P92" s="196" t="n">
        <v>125469</v>
      </c>
      <c r="Q92" s="196" t="n">
        <v>53930</v>
      </c>
      <c r="R92" s="196" t="n">
        <v>30125</v>
      </c>
      <c r="S92" s="196" t="n">
        <v>17844</v>
      </c>
      <c r="T92" s="196" t="n">
        <v>85628</v>
      </c>
      <c r="U92" s="196" t="n">
        <v>69214</v>
      </c>
      <c r="V92" s="196" t="n">
        <v>7388</v>
      </c>
      <c r="W92" s="196" t="n">
        <v>4740</v>
      </c>
      <c r="X92" s="196" t="n">
        <v>80106</v>
      </c>
      <c r="Y92" s="196" t="n">
        <v>3862</v>
      </c>
      <c r="Z92" s="196" t="n">
        <v>18534</v>
      </c>
      <c r="AA92" s="196" t="n">
        <v>3820</v>
      </c>
      <c r="AB92" s="196" t="n">
        <v>16101</v>
      </c>
      <c r="AC92" s="196" t="n">
        <v>6906</v>
      </c>
      <c r="AD92" s="196" t="n">
        <v>6907</v>
      </c>
      <c r="AE92" s="196" t="n">
        <v>6458</v>
      </c>
      <c r="AF92" s="196" t="n">
        <v>37175</v>
      </c>
      <c r="AG92" s="196" t="n">
        <v>18713</v>
      </c>
      <c r="AH92" s="196" t="n">
        <v>9140</v>
      </c>
      <c r="AI92" s="196" t="n">
        <v>8672</v>
      </c>
      <c r="AJ92" s="196" t="n">
        <v>12640</v>
      </c>
      <c r="AK92" s="196" t="n">
        <v>20745</v>
      </c>
      <c r="AL92" s="196" t="n">
        <v>905</v>
      </c>
      <c r="AM92" s="196" t="n">
        <v>728</v>
      </c>
      <c r="AN92" s="196" t="n">
        <v>1313</v>
      </c>
      <c r="AO92" s="196" t="n">
        <v>7363</v>
      </c>
      <c r="AP92" s="196" t="n">
        <v>1583</v>
      </c>
      <c r="AQ92" s="196" t="n">
        <v>4441</v>
      </c>
      <c r="AR92" s="196" t="n">
        <v>12893</v>
      </c>
      <c r="AS92" s="196" t="n">
        <v>673</v>
      </c>
      <c r="AT92" s="196" t="n">
        <v>18048</v>
      </c>
      <c r="AU92" s="196" t="n">
        <v>13806</v>
      </c>
      <c r="AV92" s="196" t="n">
        <v>28430</v>
      </c>
      <c r="AW92" s="196" t="n">
        <v>6472</v>
      </c>
      <c r="AX92" s="196" t="n">
        <v>6421</v>
      </c>
      <c r="AY92" s="196" t="n">
        <v>7624</v>
      </c>
      <c r="AZ92" s="196" t="n">
        <v>6583</v>
      </c>
      <c r="BA92" s="196" t="n">
        <v>5625</v>
      </c>
      <c r="BB92" s="196" t="n">
        <v>17169</v>
      </c>
      <c r="BC92" s="196" t="n">
        <v>12629</v>
      </c>
      <c r="BD92" s="196" t="n">
        <v>30444</v>
      </c>
      <c r="BE92" s="196" t="n">
        <v>8279</v>
      </c>
      <c r="BF92" s="196" t="n">
        <v>5660</v>
      </c>
      <c r="BG92" s="196" t="n">
        <v>5858</v>
      </c>
      <c r="BH92" s="196" t="n">
        <v>25906</v>
      </c>
      <c r="BI92" s="196" t="n">
        <v>8284</v>
      </c>
      <c r="BJ92" s="196" t="n">
        <v>11207</v>
      </c>
      <c r="BK92" s="196" t="n">
        <v>5539</v>
      </c>
      <c r="BL92" s="196" t="n">
        <v>21576</v>
      </c>
      <c r="BM92" s="196" t="n">
        <v>4741</v>
      </c>
      <c r="BN92" s="196" t="n">
        <v>8034</v>
      </c>
      <c r="BO92" s="196" t="n">
        <v>6083</v>
      </c>
      <c r="BP92" s="196" t="n">
        <v>23671</v>
      </c>
      <c r="BQ92" s="196" t="n">
        <v>3082</v>
      </c>
      <c r="BR92" s="196" t="n">
        <v>8638</v>
      </c>
      <c r="BS92" s="196" t="n">
        <v>3350</v>
      </c>
      <c r="BT92" s="196" t="n">
        <v>22262</v>
      </c>
      <c r="BU92" s="196" t="n">
        <v>3543</v>
      </c>
      <c r="BV92" s="196" t="n">
        <v>10243</v>
      </c>
      <c r="BW92" s="196" t="n">
        <v>14616</v>
      </c>
      <c r="BX92" s="196" t="n">
        <v>1314</v>
      </c>
      <c r="BY92" s="196" t="n">
        <v>5910</v>
      </c>
      <c r="BZ92" s="196" t="n">
        <v>4503</v>
      </c>
      <c r="CA92" s="196" t="n">
        <v>18154</v>
      </c>
      <c r="CB92" s="196" t="n">
        <v>5269</v>
      </c>
      <c r="CC92" s="196" t="n">
        <v>11062</v>
      </c>
      <c r="CD92" s="196" t="n">
        <v>3681</v>
      </c>
      <c r="CE92" s="196" t="n"/>
      <c r="CF92" s="196" t="n"/>
      <c r="CG92" s="196" t="n"/>
      <c r="CH92" s="196" t="n"/>
      <c r="CI92" s="196" t="n"/>
      <c r="CJ92" s="196" t="n"/>
      <c r="CK92" s="196" t="n"/>
      <c r="CL92" s="196" t="n"/>
      <c r="CM92" s="196" t="n"/>
      <c r="CN92" s="196" t="n"/>
      <c r="CO92" s="196" t="n"/>
      <c r="CP92" s="196" t="n"/>
      <c r="CQ92" s="196" t="n"/>
      <c r="CR92" s="196" t="n"/>
      <c r="CS92" s="196" t="n"/>
      <c r="CT92" s="196" t="n"/>
      <c r="CU92" s="196" t="n"/>
      <c r="CV92" s="196" t="n"/>
      <c r="CW92" s="196" t="n"/>
      <c r="CX92" s="196" t="n"/>
      <c r="CY92" s="196" t="n"/>
      <c r="CZ92" s="196" t="n"/>
      <c r="DA92" s="196" t="n"/>
      <c r="DB92" s="196" t="n"/>
      <c r="DC92" s="196" t="n"/>
      <c r="DD92" s="196" t="n"/>
      <c r="DE92" s="196" t="n"/>
      <c r="DF92" s="196" t="n"/>
      <c r="DG92" s="196" t="n"/>
      <c r="DH92" s="196" t="n"/>
      <c r="DI92" s="196" t="n"/>
      <c r="DJ92" s="196" t="n"/>
      <c r="DK92" s="196" t="n"/>
      <c r="DL92" s="196" t="n"/>
      <c r="DM92" s="196" t="n"/>
      <c r="DN92" s="196" t="n"/>
      <c r="DO92" s="196" t="n"/>
      <c r="DP92" s="196" t="n"/>
      <c r="DQ92" s="196" t="n"/>
      <c r="DR92" s="196" t="n"/>
      <c r="DS92" s="196" t="n"/>
      <c r="DT92" s="196" t="n"/>
      <c r="DU92" s="196" t="n"/>
      <c r="DV92" s="196" t="n"/>
      <c r="DW92" s="196" t="n"/>
      <c r="DX92" s="196" t="n"/>
      <c r="DY92" s="196" t="n"/>
      <c r="DZ92" s="196" t="n"/>
      <c r="EA92" s="196" t="n"/>
      <c r="EB92" s="196" t="n"/>
      <c r="EC92" s="196" t="n"/>
      <c r="ED92" s="196" t="n"/>
      <c r="EE92" s="196" t="n"/>
      <c r="EF92" s="196" t="n"/>
      <c r="EG92" s="196" t="n"/>
      <c r="EH92" s="196" t="n"/>
      <c r="EI92" s="196" t="n"/>
      <c r="EJ92" s="196" t="n"/>
      <c r="EK92" s="196" t="n"/>
      <c r="EL92" s="182" t="n"/>
      <c r="EM92" s="176" t="n"/>
      <c r="EN92" s="176" t="n"/>
      <c r="EO92" s="176" t="n"/>
      <c r="EP92" s="176" t="n"/>
      <c r="EQ92" s="176" t="n"/>
      <c r="ER92" s="176" t="n"/>
      <c r="ES92" s="176" t="n"/>
      <c r="ET92" s="176" t="n"/>
      <c r="EU92" s="176" t="n"/>
      <c r="EV92" s="176" t="n"/>
      <c r="EW92" s="176" t="n"/>
      <c r="EX92" s="176" t="n"/>
      <c r="EY92" s="176" t="n"/>
      <c r="EZ92" s="176" t="n"/>
      <c r="FA92" s="176" t="n"/>
      <c r="FB92" s="176" t="n"/>
      <c r="FC92" s="176" t="n"/>
      <c r="FD92" s="176" t="n"/>
      <c r="FE92" s="176" t="n"/>
      <c r="FF92" s="176" t="n"/>
      <c r="FG92" s="176" t="n"/>
      <c r="FH92" s="176" t="n"/>
      <c r="FI92" s="176" t="n"/>
      <c r="FJ92" s="176" t="n"/>
    </row>
    <row r="93" ht="15" customHeight="1" s="392">
      <c r="A93" s="176" t="n"/>
      <c r="B93" s="180" t="n"/>
      <c r="C93" s="187" t="inlineStr">
        <is>
          <t xml:space="preserve">            Total Trade and Other Payables, Current</t>
        </is>
      </c>
      <c r="D93" s="193">
        <f>IF(COUNT(M93:EK93)&gt;0,MEDIAN(M93:EK93),"")</f>
        <v/>
      </c>
      <c r="E93" s="193">
        <f>IF(COUNT(M93:EK93)&gt;0,AVERAGE(M93:EK93),"")</f>
        <v/>
      </c>
      <c r="F93" s="193">
        <f>IF(COUNT(M93:EK93)&gt;0,MIN(M93:EK93),"")</f>
        <v/>
      </c>
      <c r="G93" s="193">
        <f>IF(COUNT(M93:EK93)&gt;0,MAX(M93:EK93),"")</f>
        <v/>
      </c>
      <c r="H93" s="193">
        <f>IF(COUNT(M93:EK93)&gt;0,QUARTILE(M93:EK93,1),"")</f>
        <v/>
      </c>
      <c r="I93" s="193">
        <f>IF(COUNT(M93:EK93)&gt;0,QUARTILE(M93:EK93,3),"")</f>
        <v/>
      </c>
      <c r="J93" s="193">
        <f>IF(COUNT(M93:EK93)&gt;1,STDEV(M93:EK93),"")</f>
        <v/>
      </c>
      <c r="K93" s="194">
        <f>IF(COUNT(M93:EK93)&gt;1,STDEV(M93:EK93)/AVERAGE(M93:EK93),"")</f>
        <v/>
      </c>
      <c r="L93" s="195" t="n"/>
      <c r="M93" s="196" t="n">
        <v>656112</v>
      </c>
      <c r="N93" s="196" t="n">
        <v>635940</v>
      </c>
      <c r="O93" s="196" t="n">
        <v>565798</v>
      </c>
      <c r="P93" s="196" t="n">
        <v>732855</v>
      </c>
      <c r="Q93" s="196" t="n">
        <v>268332</v>
      </c>
      <c r="R93" s="196" t="n">
        <v>607048</v>
      </c>
      <c r="S93" s="196" t="n">
        <v>580049</v>
      </c>
      <c r="T93" s="196" t="n">
        <v>667843</v>
      </c>
      <c r="U93" s="196" t="n">
        <v>262547</v>
      </c>
      <c r="V93" s="196" t="n">
        <v>514183</v>
      </c>
      <c r="W93" s="196" t="n">
        <v>478596</v>
      </c>
      <c r="X93" s="196" t="n">
        <v>575307</v>
      </c>
      <c r="Y93" s="196" t="n">
        <v>183878</v>
      </c>
      <c r="Z93" s="196" t="n">
        <v>460000</v>
      </c>
      <c r="AA93" s="196" t="n">
        <v>443091</v>
      </c>
      <c r="AB93" s="196" t="n">
        <v>463075</v>
      </c>
      <c r="AC93" s="196" t="n">
        <v>194076</v>
      </c>
      <c r="AD93" s="196" t="n">
        <v>405321</v>
      </c>
      <c r="AE93" s="196" t="n">
        <v>374157</v>
      </c>
      <c r="AF93" s="196" t="n">
        <v>448424</v>
      </c>
      <c r="AG93" s="196" t="n">
        <v>181950</v>
      </c>
      <c r="AH93" s="196" t="n">
        <v>368379</v>
      </c>
      <c r="AI93" s="196" t="n">
        <v>332780</v>
      </c>
      <c r="AJ93" s="196" t="n">
        <v>372456</v>
      </c>
      <c r="AK93" s="196" t="n">
        <v>153664</v>
      </c>
      <c r="AL93" s="196" t="n">
        <v>251746</v>
      </c>
      <c r="AM93" s="196" t="n">
        <v>297705</v>
      </c>
      <c r="AN93" s="196" t="n">
        <v>290560</v>
      </c>
      <c r="AO93" s="196" t="n">
        <v>121310</v>
      </c>
      <c r="AP93" s="196" t="n">
        <v>281362</v>
      </c>
      <c r="AQ93" s="196" t="n">
        <v>270567</v>
      </c>
      <c r="AR93" s="196" t="n">
        <v>248875</v>
      </c>
      <c r="AS93" s="196" t="n">
        <v>134390</v>
      </c>
      <c r="AT93" s="196" t="n">
        <v>263521</v>
      </c>
      <c r="AU93" s="196" t="n">
        <v>256400</v>
      </c>
      <c r="AV93" s="196" t="n">
        <v>250830</v>
      </c>
      <c r="AW93" s="196" t="n">
        <v>77632</v>
      </c>
      <c r="AX93" s="196" t="n">
        <v>199190</v>
      </c>
      <c r="AY93" s="196" t="n">
        <v>192592</v>
      </c>
      <c r="AZ93" s="196" t="n">
        <v>182552</v>
      </c>
      <c r="BA93" s="196" t="n">
        <v>82578</v>
      </c>
      <c r="BB93" s="196" t="n">
        <v>167467</v>
      </c>
      <c r="BC93" s="196" t="n">
        <v>160468</v>
      </c>
      <c r="BD93" s="196" t="n">
        <v>177786</v>
      </c>
      <c r="BE93" s="196" t="n">
        <v>65796</v>
      </c>
      <c r="BF93" s="196" t="n">
        <v>159915</v>
      </c>
      <c r="BG93" s="196" t="n">
        <v>154038</v>
      </c>
      <c r="BH93" s="196" t="n">
        <v>179705</v>
      </c>
      <c r="BI93" s="196" t="n">
        <v>70497</v>
      </c>
      <c r="BJ93" s="196" t="n">
        <v>175425</v>
      </c>
      <c r="BK93" s="196" t="n">
        <v>160410</v>
      </c>
      <c r="BL93" s="196" t="n">
        <v>176423</v>
      </c>
      <c r="BM93" s="196" t="n">
        <v>75302</v>
      </c>
      <c r="BN93" s="196" t="n">
        <v>137035</v>
      </c>
      <c r="BO93" s="196" t="n">
        <v>131483</v>
      </c>
      <c r="BP93" s="196" t="n">
        <v>136018</v>
      </c>
      <c r="BQ93" s="196" t="n">
        <v>55588</v>
      </c>
      <c r="BR93" s="196" t="n">
        <v>117230</v>
      </c>
      <c r="BS93" s="196" t="n">
        <v>103791</v>
      </c>
      <c r="BT93" s="196" t="n">
        <v>123751</v>
      </c>
      <c r="BU93" s="196" t="n">
        <v>58098</v>
      </c>
      <c r="BV93" s="196" t="n">
        <v>114472</v>
      </c>
      <c r="BW93" s="196" t="n">
        <v>110039</v>
      </c>
      <c r="BX93" s="196" t="n">
        <v>56607</v>
      </c>
      <c r="BY93" s="196" t="n">
        <v>108456</v>
      </c>
      <c r="BZ93" s="196" t="n">
        <v>96564</v>
      </c>
      <c r="CA93" s="196" t="n">
        <v>111790</v>
      </c>
      <c r="CB93" s="196" t="n">
        <v>50265</v>
      </c>
      <c r="CC93" s="196" t="n">
        <v>88708</v>
      </c>
      <c r="CD93" s="196" t="n">
        <v>78763</v>
      </c>
      <c r="CE93" s="196" t="n">
        <v>77329</v>
      </c>
      <c r="CF93" s="196" t="n">
        <v>88883</v>
      </c>
      <c r="CG93" s="196" t="n">
        <v>99207</v>
      </c>
      <c r="CH93" s="196" t="n">
        <v>90934</v>
      </c>
      <c r="CI93" s="196" t="n">
        <v>80308</v>
      </c>
      <c r="CJ93" s="196" t="n">
        <v>85082</v>
      </c>
      <c r="CK93" s="196" t="n">
        <v>62967</v>
      </c>
      <c r="CL93" s="196" t="n">
        <v>58787</v>
      </c>
      <c r="CM93" s="196" t="n">
        <v>56979</v>
      </c>
      <c r="CN93" s="196" t="n">
        <v>60644</v>
      </c>
      <c r="CO93" s="196" t="n">
        <v>62687</v>
      </c>
      <c r="CP93" s="196" t="n">
        <v>58308</v>
      </c>
      <c r="CQ93" s="196" t="n">
        <v>62247</v>
      </c>
      <c r="CR93" s="196" t="n">
        <v>56965</v>
      </c>
      <c r="CS93" s="196" t="n">
        <v>50421</v>
      </c>
      <c r="CT93" s="196" t="n">
        <v>48129.4</v>
      </c>
      <c r="CU93" s="196" t="n">
        <v>41915.2</v>
      </c>
      <c r="CV93" s="196" t="n">
        <v>44080</v>
      </c>
      <c r="CW93" s="196" t="n">
        <v>47343.6</v>
      </c>
      <c r="CX93" s="196" t="n">
        <v>39941</v>
      </c>
      <c r="CY93" s="196" t="n">
        <v>38826.8</v>
      </c>
      <c r="CZ93" s="196" t="n">
        <v>38309</v>
      </c>
      <c r="DA93" s="196" t="n">
        <v>35106.3</v>
      </c>
      <c r="DB93" s="196" t="n">
        <v>33506.3</v>
      </c>
      <c r="DC93" s="196" t="n">
        <v>32236.2</v>
      </c>
      <c r="DD93" s="196" t="n">
        <v>31893.4</v>
      </c>
      <c r="DE93" s="196" t="n">
        <v>33988.8</v>
      </c>
      <c r="DF93" s="196" t="n">
        <v>28705.8</v>
      </c>
      <c r="DG93" s="196" t="n">
        <v>29382.9</v>
      </c>
      <c r="DH93" s="196" t="n">
        <v>26769.8</v>
      </c>
      <c r="DI93" s="196" t="n">
        <v>27791.5</v>
      </c>
      <c r="DJ93" s="196" t="n">
        <v>24633.2</v>
      </c>
      <c r="DK93" s="196" t="n">
        <v>24249</v>
      </c>
      <c r="DL93" s="196" t="n">
        <v>19984.5</v>
      </c>
      <c r="DM93" s="196" t="n">
        <v>22726.8</v>
      </c>
      <c r="DN93" s="196" t="n">
        <v>20100</v>
      </c>
      <c r="DO93" s="196" t="n">
        <v>18100</v>
      </c>
      <c r="DP93" s="196" t="n">
        <v>16600</v>
      </c>
      <c r="DQ93" s="196" t="n">
        <v>16200</v>
      </c>
      <c r="DR93" s="196" t="n">
        <v>11700</v>
      </c>
      <c r="DS93" s="196" t="n">
        <v>12700</v>
      </c>
      <c r="DT93" s="196" t="n">
        <v>11700</v>
      </c>
      <c r="DU93" s="196" t="n">
        <v>14700</v>
      </c>
      <c r="DV93" s="196" t="n">
        <v>12500</v>
      </c>
      <c r="DW93" s="196" t="n">
        <v>13800</v>
      </c>
      <c r="DX93" s="196" t="n">
        <v>11800</v>
      </c>
      <c r="DY93" s="196" t="n">
        <v>12100</v>
      </c>
      <c r="DZ93" s="196" t="n">
        <v>11500</v>
      </c>
      <c r="EA93" s="196" t="n">
        <v>11100</v>
      </c>
      <c r="EB93" s="196" t="n">
        <v>10400</v>
      </c>
      <c r="EC93" s="196" t="n">
        <v>12500</v>
      </c>
      <c r="ED93" s="196" t="n">
        <v>10900</v>
      </c>
      <c r="EE93" s="196" t="n">
        <v>9000</v>
      </c>
      <c r="EF93" s="196" t="n">
        <v>9600</v>
      </c>
      <c r="EG93" s="196" t="n">
        <v>5900</v>
      </c>
      <c r="EH93" s="196" t="n">
        <v>4200</v>
      </c>
      <c r="EI93" s="196" t="n">
        <v>4400</v>
      </c>
      <c r="EJ93" s="196" t="n">
        <v>4100</v>
      </c>
      <c r="EK93" s="196" t="n">
        <v>3900</v>
      </c>
      <c r="EL93" s="182" t="n"/>
      <c r="EM93" s="176" t="n"/>
      <c r="EN93" s="176" t="n"/>
      <c r="EO93" s="176" t="n"/>
      <c r="EP93" s="176" t="n"/>
      <c r="EQ93" s="176" t="n"/>
      <c r="ER93" s="176" t="n"/>
      <c r="ES93" s="176" t="n"/>
      <c r="ET93" s="176" t="n"/>
      <c r="EU93" s="176" t="n"/>
      <c r="EV93" s="176" t="n"/>
      <c r="EW93" s="176" t="n"/>
      <c r="EX93" s="176" t="n"/>
      <c r="EY93" s="176" t="n"/>
      <c r="EZ93" s="176" t="n"/>
      <c r="FA93" s="176" t="n"/>
      <c r="FB93" s="176" t="n"/>
      <c r="FC93" s="176" t="n"/>
      <c r="FD93" s="176" t="n"/>
      <c r="FE93" s="176" t="n"/>
      <c r="FF93" s="176" t="n"/>
      <c r="FG93" s="176" t="n"/>
      <c r="FH93" s="176" t="n"/>
      <c r="FI93" s="176" t="n"/>
      <c r="FJ93" s="176" t="n"/>
    </row>
    <row r="94" ht="15" customHeight="1" s="392">
      <c r="A94" s="176" t="n"/>
      <c r="B94" s="180" t="n"/>
      <c r="C94" s="183" t="inlineStr">
        <is>
          <t xml:space="preserve">            Accrued Expenses, Current</t>
        </is>
      </c>
      <c r="D94" s="190">
        <f>IF(COUNT(M94:EK94)&gt;0,MEDIAN(M94:EK94),"")</f>
        <v/>
      </c>
      <c r="E94" s="190">
        <f>IF(COUNT(M94:EK94)&gt;0,AVERAGE(M94:EK94),"")</f>
        <v/>
      </c>
      <c r="F94" s="190">
        <f>IF(COUNT(M94:EK94)&gt;0,MIN(M94:EK94),"")</f>
        <v/>
      </c>
      <c r="G94" s="190">
        <f>IF(COUNT(M94:EK94)&gt;0,MAX(M94:EK94),"")</f>
        <v/>
      </c>
      <c r="H94" s="190">
        <f>IF(COUNT(M94:EK94)&gt;0,QUARTILE(M94:EK94,1),"")</f>
        <v/>
      </c>
      <c r="I94" s="190">
        <f>IF(COUNT(M94:EK94)&gt;0,QUARTILE(M94:EK94,3),"")</f>
        <v/>
      </c>
      <c r="J94" s="190">
        <f>IF(COUNT(M94:EK94)&gt;1,STDEV(M94:EK94),"")</f>
        <v/>
      </c>
      <c r="K94" s="191">
        <f>IF(COUNT(M94:EK94)&gt;1,STDEV(M94:EK94)/AVERAGE(M94:EK94),"")</f>
        <v/>
      </c>
      <c r="M94" s="192" t="n"/>
      <c r="N94" s="192" t="n"/>
      <c r="O94" s="192" t="n"/>
      <c r="P94" s="192" t="n"/>
      <c r="Q94" s="192" t="n">
        <v>127954</v>
      </c>
      <c r="R94" s="192" t="n"/>
      <c r="S94" s="192" t="n"/>
      <c r="T94" s="192" t="n"/>
      <c r="U94" s="192" t="n">
        <v>96648</v>
      </c>
      <c r="V94" s="192" t="n"/>
      <c r="W94" s="192" t="n"/>
      <c r="X94" s="192" t="n"/>
      <c r="Y94" s="192" t="n">
        <v>71916</v>
      </c>
      <c r="Z94" s="192" t="n"/>
      <c r="AA94" s="192" t="n"/>
      <c r="AB94" s="192" t="n"/>
      <c r="AC94" s="192" t="n">
        <v>35821</v>
      </c>
      <c r="AD94" s="192" t="n"/>
      <c r="AE94" s="192" t="n"/>
      <c r="AF94" s="192" t="n"/>
      <c r="AG94" s="192" t="n">
        <v>39579</v>
      </c>
      <c r="AH94" s="192" t="n"/>
      <c r="AI94" s="192" t="n"/>
      <c r="AJ94" s="192" t="n"/>
      <c r="AK94" s="192" t="n">
        <v>37502</v>
      </c>
      <c r="AL94" s="192" t="n"/>
      <c r="AM94" s="192" t="n"/>
      <c r="AN94" s="192" t="n"/>
      <c r="AO94" s="192" t="n">
        <v>38269</v>
      </c>
      <c r="AP94" s="192" t="n"/>
      <c r="AQ94" s="192" t="n"/>
      <c r="AR94" s="192" t="n"/>
      <c r="AS94" s="192" t="n">
        <v>37566</v>
      </c>
      <c r="AT94" s="192" t="n"/>
      <c r="AU94" s="192" t="n"/>
      <c r="AV94" s="192" t="n"/>
      <c r="AW94" s="192" t="n">
        <v>55479</v>
      </c>
      <c r="AX94" s="192" t="n"/>
      <c r="AY94" s="192" t="n"/>
      <c r="AZ94" s="192" t="n"/>
      <c r="BA94" s="192" t="n">
        <v>41544</v>
      </c>
      <c r="BB94" s="192" t="n"/>
      <c r="BC94" s="192" t="n"/>
      <c r="BD94" s="192" t="n"/>
      <c r="BE94" s="192" t="n">
        <v>30417</v>
      </c>
      <c r="BF94" s="192" t="n"/>
      <c r="BG94" s="192" t="n"/>
      <c r="BH94" s="192" t="n"/>
      <c r="BI94" s="192" t="n">
        <v>36105</v>
      </c>
      <c r="BJ94" s="192" t="n"/>
      <c r="BK94" s="192" t="n"/>
      <c r="BL94" s="192" t="n"/>
      <c r="BM94" s="192" t="n">
        <v>18725</v>
      </c>
      <c r="BN94" s="192" t="n"/>
      <c r="BO94" s="192" t="n"/>
      <c r="BP94" s="192" t="n"/>
      <c r="BQ94" s="192" t="n">
        <v>15319</v>
      </c>
      <c r="BR94" s="192" t="n"/>
      <c r="BS94" s="192" t="n"/>
      <c r="BT94" s="192" t="n"/>
      <c r="BU94" s="192" t="n">
        <v>31548</v>
      </c>
      <c r="BV94" s="192" t="n"/>
      <c r="BW94" s="192" t="n"/>
      <c r="BX94" s="192" t="n">
        <v>24149</v>
      </c>
      <c r="BY94" s="192" t="n"/>
      <c r="BZ94" s="192" t="n"/>
      <c r="CA94" s="192" t="n"/>
      <c r="CB94" s="192" t="n">
        <v>37777</v>
      </c>
      <c r="CC94" s="192" t="n"/>
      <c r="CD94" s="192" t="n"/>
      <c r="CE94" s="192" t="n"/>
      <c r="CF94" s="192" t="n"/>
      <c r="CG94" s="192" t="n"/>
      <c r="CH94" s="192" t="n"/>
      <c r="CI94" s="192" t="n"/>
      <c r="CJ94" s="192" t="n"/>
      <c r="CK94" s="192" t="n"/>
      <c r="CL94" s="192" t="n"/>
      <c r="CM94" s="192" t="n"/>
      <c r="CN94" s="192" t="n"/>
      <c r="CO94" s="192" t="n"/>
      <c r="CP94" s="192" t="n"/>
      <c r="CQ94" s="192" t="n"/>
      <c r="CR94" s="192" t="n"/>
      <c r="CS94" s="192" t="n"/>
      <c r="CT94" s="192" t="n"/>
      <c r="CU94" s="192" t="n"/>
      <c r="CV94" s="192" t="n"/>
      <c r="CW94" s="192" t="n"/>
      <c r="CX94" s="192" t="n"/>
      <c r="CY94" s="192" t="n"/>
      <c r="CZ94" s="192" t="n"/>
      <c r="DA94" s="192" t="n"/>
      <c r="DB94" s="192" t="n"/>
      <c r="DC94" s="192" t="n"/>
      <c r="DD94" s="192" t="n"/>
      <c r="DE94" s="192" t="n"/>
      <c r="DF94" s="192" t="n"/>
      <c r="DG94" s="192" t="n"/>
      <c r="DH94" s="192" t="n"/>
      <c r="DI94" s="192" t="n"/>
      <c r="DJ94" s="192" t="n"/>
      <c r="DK94" s="192" t="n"/>
      <c r="DL94" s="192" t="n"/>
      <c r="DM94" s="192" t="n"/>
      <c r="DN94" s="192" t="n"/>
      <c r="DO94" s="192" t="n"/>
      <c r="DP94" s="192" t="n"/>
      <c r="DQ94" s="192" t="n"/>
      <c r="DR94" s="192" t="n"/>
      <c r="DS94" s="192" t="n"/>
      <c r="DT94" s="192" t="n"/>
      <c r="DU94" s="192" t="n"/>
      <c r="DV94" s="192" t="n"/>
      <c r="DW94" s="192" t="n"/>
      <c r="DX94" s="192" t="n"/>
      <c r="DY94" s="192" t="n"/>
      <c r="DZ94" s="192" t="n"/>
      <c r="EA94" s="192" t="n"/>
      <c r="EB94" s="192" t="n"/>
      <c r="EC94" s="192" t="n"/>
      <c r="ED94" s="192" t="n"/>
      <c r="EE94" s="192" t="n"/>
      <c r="EF94" s="192" t="n"/>
      <c r="EG94" s="192" t="n"/>
      <c r="EH94" s="192" t="n"/>
      <c r="EI94" s="192" t="n"/>
      <c r="EJ94" s="192" t="n"/>
      <c r="EK94" s="192" t="n"/>
      <c r="EL94" s="182" t="n"/>
      <c r="EM94" s="176" t="n"/>
      <c r="EN94" s="176" t="n"/>
      <c r="EO94" s="176" t="n"/>
      <c r="EP94" s="176" t="n"/>
      <c r="EQ94" s="176" t="n"/>
      <c r="ER94" s="176" t="n"/>
      <c r="ES94" s="176" t="n"/>
      <c r="ET94" s="176" t="n"/>
      <c r="EU94" s="176" t="n"/>
      <c r="EV94" s="176" t="n"/>
      <c r="EW94" s="176" t="n"/>
      <c r="EX94" s="176" t="n"/>
      <c r="EY94" s="176" t="n"/>
      <c r="EZ94" s="176" t="n"/>
      <c r="FA94" s="176" t="n"/>
      <c r="FB94" s="176" t="n"/>
      <c r="FC94" s="176" t="n"/>
      <c r="FD94" s="176" t="n"/>
      <c r="FE94" s="176" t="n"/>
      <c r="FF94" s="176" t="n"/>
      <c r="FG94" s="176" t="n"/>
      <c r="FH94" s="176" t="n"/>
      <c r="FI94" s="176" t="n"/>
      <c r="FJ94" s="176" t="n"/>
    </row>
    <row r="95" ht="15" customHeight="1" s="392">
      <c r="A95" s="176" t="n"/>
      <c r="B95" s="180" t="n"/>
      <c r="C95" s="187" t="inlineStr">
        <is>
          <t xml:space="preserve">        Total Payables and Accrued Expenses, Current</t>
        </is>
      </c>
      <c r="D95" s="193">
        <f>IF(COUNT(M95:EK95)&gt;0,MEDIAN(M95:EK95),"")</f>
        <v/>
      </c>
      <c r="E95" s="193">
        <f>IF(COUNT(M95:EK95)&gt;0,AVERAGE(M95:EK95),"")</f>
        <v/>
      </c>
      <c r="F95" s="193">
        <f>IF(COUNT(M95:EK95)&gt;0,MIN(M95:EK95),"")</f>
        <v/>
      </c>
      <c r="G95" s="193">
        <f>IF(COUNT(M95:EK95)&gt;0,MAX(M95:EK95),"")</f>
        <v/>
      </c>
      <c r="H95" s="193">
        <f>IF(COUNT(M95:EK95)&gt;0,QUARTILE(M95:EK95,1),"")</f>
        <v/>
      </c>
      <c r="I95" s="193">
        <f>IF(COUNT(M95:EK95)&gt;0,QUARTILE(M95:EK95,3),"")</f>
        <v/>
      </c>
      <c r="J95" s="193">
        <f>IF(COUNT(M95:EK95)&gt;1,STDEV(M95:EK95),"")</f>
        <v/>
      </c>
      <c r="K95" s="194">
        <f>IF(COUNT(M95:EK95)&gt;1,STDEV(M95:EK95)/AVERAGE(M95:EK95),"")</f>
        <v/>
      </c>
      <c r="L95" s="195" t="n"/>
      <c r="M95" s="196" t="n">
        <v>656112</v>
      </c>
      <c r="N95" s="196" t="n">
        <v>635940</v>
      </c>
      <c r="O95" s="196" t="n">
        <v>565798</v>
      </c>
      <c r="P95" s="196" t="n">
        <v>732855</v>
      </c>
      <c r="Q95" s="196" t="n">
        <v>396286</v>
      </c>
      <c r="R95" s="196" t="n">
        <v>607048</v>
      </c>
      <c r="S95" s="196" t="n">
        <v>580049</v>
      </c>
      <c r="T95" s="196" t="n">
        <v>667843</v>
      </c>
      <c r="U95" s="196" t="n">
        <v>359195</v>
      </c>
      <c r="V95" s="196" t="n">
        <v>514183</v>
      </c>
      <c r="W95" s="196" t="n">
        <v>478596</v>
      </c>
      <c r="X95" s="196" t="n">
        <v>575307</v>
      </c>
      <c r="Y95" s="196" t="n">
        <v>255794</v>
      </c>
      <c r="Z95" s="196" t="n">
        <v>460000</v>
      </c>
      <c r="AA95" s="196" t="n">
        <v>443091</v>
      </c>
      <c r="AB95" s="196" t="n">
        <v>463075</v>
      </c>
      <c r="AC95" s="196" t="n">
        <v>229897</v>
      </c>
      <c r="AD95" s="196" t="n">
        <v>405321</v>
      </c>
      <c r="AE95" s="196" t="n">
        <v>374157</v>
      </c>
      <c r="AF95" s="196" t="n">
        <v>448424</v>
      </c>
      <c r="AG95" s="196" t="n">
        <v>221529</v>
      </c>
      <c r="AH95" s="196" t="n">
        <v>368379</v>
      </c>
      <c r="AI95" s="196" t="n">
        <v>332780</v>
      </c>
      <c r="AJ95" s="196" t="n">
        <v>372456</v>
      </c>
      <c r="AK95" s="196" t="n">
        <v>191166</v>
      </c>
      <c r="AL95" s="196" t="n">
        <v>251746</v>
      </c>
      <c r="AM95" s="196" t="n">
        <v>297705</v>
      </c>
      <c r="AN95" s="196" t="n">
        <v>290560</v>
      </c>
      <c r="AO95" s="196" t="n">
        <v>159579</v>
      </c>
      <c r="AP95" s="196" t="n">
        <v>281362</v>
      </c>
      <c r="AQ95" s="196" t="n">
        <v>270567</v>
      </c>
      <c r="AR95" s="196" t="n">
        <v>248875</v>
      </c>
      <c r="AS95" s="196" t="n">
        <v>171956</v>
      </c>
      <c r="AT95" s="196" t="n">
        <v>263521</v>
      </c>
      <c r="AU95" s="196" t="n">
        <v>256400</v>
      </c>
      <c r="AV95" s="196" t="n">
        <v>250830</v>
      </c>
      <c r="AW95" s="196" t="n">
        <v>133111</v>
      </c>
      <c r="AX95" s="196" t="n">
        <v>199190</v>
      </c>
      <c r="AY95" s="196" t="n">
        <v>192592</v>
      </c>
      <c r="AZ95" s="196" t="n">
        <v>182552</v>
      </c>
      <c r="BA95" s="196" t="n">
        <v>124122</v>
      </c>
      <c r="BB95" s="196" t="n">
        <v>167467</v>
      </c>
      <c r="BC95" s="196" t="n">
        <v>160468</v>
      </c>
      <c r="BD95" s="196" t="n">
        <v>177786</v>
      </c>
      <c r="BE95" s="196" t="n">
        <v>96213</v>
      </c>
      <c r="BF95" s="196" t="n">
        <v>159915</v>
      </c>
      <c r="BG95" s="196" t="n">
        <v>154038</v>
      </c>
      <c r="BH95" s="196" t="n">
        <v>179705</v>
      </c>
      <c r="BI95" s="196" t="n">
        <v>106602</v>
      </c>
      <c r="BJ95" s="196" t="n">
        <v>175425</v>
      </c>
      <c r="BK95" s="196" t="n">
        <v>160410</v>
      </c>
      <c r="BL95" s="196" t="n">
        <v>176423</v>
      </c>
      <c r="BM95" s="196" t="n">
        <v>94027</v>
      </c>
      <c r="BN95" s="196" t="n">
        <v>137035</v>
      </c>
      <c r="BO95" s="196" t="n">
        <v>131483</v>
      </c>
      <c r="BP95" s="196" t="n">
        <v>136018</v>
      </c>
      <c r="BQ95" s="196" t="n">
        <v>70907</v>
      </c>
      <c r="BR95" s="196" t="n">
        <v>117230</v>
      </c>
      <c r="BS95" s="196" t="n">
        <v>103791</v>
      </c>
      <c r="BT95" s="196" t="n">
        <v>123751</v>
      </c>
      <c r="BU95" s="196" t="n">
        <v>89646</v>
      </c>
      <c r="BV95" s="196" t="n">
        <v>114472</v>
      </c>
      <c r="BW95" s="196" t="n">
        <v>110039</v>
      </c>
      <c r="BX95" s="196" t="n">
        <v>80756</v>
      </c>
      <c r="BY95" s="196" t="n">
        <v>108456</v>
      </c>
      <c r="BZ95" s="196" t="n">
        <v>96564</v>
      </c>
      <c r="CA95" s="196" t="n">
        <v>111790</v>
      </c>
      <c r="CB95" s="196" t="n">
        <v>88042</v>
      </c>
      <c r="CC95" s="196" t="n">
        <v>88708</v>
      </c>
      <c r="CD95" s="196" t="n">
        <v>78763</v>
      </c>
      <c r="CE95" s="196" t="n">
        <v>77329</v>
      </c>
      <c r="CF95" s="196" t="n">
        <v>88883</v>
      </c>
      <c r="CG95" s="196" t="n">
        <v>99207</v>
      </c>
      <c r="CH95" s="196" t="n">
        <v>90934</v>
      </c>
      <c r="CI95" s="196" t="n">
        <v>80308</v>
      </c>
      <c r="CJ95" s="196" t="n">
        <v>85082</v>
      </c>
      <c r="CK95" s="196" t="n">
        <v>62967</v>
      </c>
      <c r="CL95" s="196" t="n">
        <v>58787</v>
      </c>
      <c r="CM95" s="196" t="n">
        <v>56979</v>
      </c>
      <c r="CN95" s="196" t="n">
        <v>60644</v>
      </c>
      <c r="CO95" s="196" t="n">
        <v>62687</v>
      </c>
      <c r="CP95" s="196" t="n">
        <v>58308</v>
      </c>
      <c r="CQ95" s="196" t="n">
        <v>62247</v>
      </c>
      <c r="CR95" s="196" t="n">
        <v>56965</v>
      </c>
      <c r="CS95" s="196" t="n">
        <v>50421</v>
      </c>
      <c r="CT95" s="196" t="n">
        <v>48129.4</v>
      </c>
      <c r="CU95" s="196" t="n">
        <v>41915.2</v>
      </c>
      <c r="CV95" s="196" t="n">
        <v>44080</v>
      </c>
      <c r="CW95" s="196" t="n">
        <v>47343.6</v>
      </c>
      <c r="CX95" s="196" t="n">
        <v>39941</v>
      </c>
      <c r="CY95" s="196" t="n">
        <v>38826.8</v>
      </c>
      <c r="CZ95" s="196" t="n">
        <v>38309</v>
      </c>
      <c r="DA95" s="196" t="n">
        <v>35106.3</v>
      </c>
      <c r="DB95" s="196" t="n">
        <v>33506.3</v>
      </c>
      <c r="DC95" s="196" t="n">
        <v>32236.2</v>
      </c>
      <c r="DD95" s="196" t="n">
        <v>31893.4</v>
      </c>
      <c r="DE95" s="196" t="n">
        <v>33988.8</v>
      </c>
      <c r="DF95" s="196" t="n">
        <v>28705.8</v>
      </c>
      <c r="DG95" s="196" t="n">
        <v>29382.9</v>
      </c>
      <c r="DH95" s="196" t="n">
        <v>26769.8</v>
      </c>
      <c r="DI95" s="196" t="n">
        <v>27791.5</v>
      </c>
      <c r="DJ95" s="196" t="n">
        <v>24633.2</v>
      </c>
      <c r="DK95" s="196" t="n">
        <v>24249</v>
      </c>
      <c r="DL95" s="196" t="n">
        <v>19984.5</v>
      </c>
      <c r="DM95" s="196" t="n">
        <v>22726.8</v>
      </c>
      <c r="DN95" s="196" t="n">
        <v>20100</v>
      </c>
      <c r="DO95" s="196" t="n">
        <v>18100</v>
      </c>
      <c r="DP95" s="196" t="n">
        <v>16600</v>
      </c>
      <c r="DQ95" s="196" t="n">
        <v>16200</v>
      </c>
      <c r="DR95" s="196" t="n">
        <v>11700</v>
      </c>
      <c r="DS95" s="196" t="n">
        <v>12700</v>
      </c>
      <c r="DT95" s="196" t="n">
        <v>11700</v>
      </c>
      <c r="DU95" s="196" t="n">
        <v>14700</v>
      </c>
      <c r="DV95" s="196" t="n">
        <v>12500</v>
      </c>
      <c r="DW95" s="196" t="n">
        <v>13800</v>
      </c>
      <c r="DX95" s="196" t="n">
        <v>11800</v>
      </c>
      <c r="DY95" s="196" t="n">
        <v>12100</v>
      </c>
      <c r="DZ95" s="196" t="n">
        <v>11500</v>
      </c>
      <c r="EA95" s="196" t="n">
        <v>11100</v>
      </c>
      <c r="EB95" s="196" t="n">
        <v>10400</v>
      </c>
      <c r="EC95" s="196" t="n">
        <v>12500</v>
      </c>
      <c r="ED95" s="196" t="n">
        <v>10900</v>
      </c>
      <c r="EE95" s="196" t="n">
        <v>9000</v>
      </c>
      <c r="EF95" s="196" t="n">
        <v>9600</v>
      </c>
      <c r="EG95" s="196" t="n">
        <v>5900</v>
      </c>
      <c r="EH95" s="196" t="n">
        <v>4200</v>
      </c>
      <c r="EI95" s="196" t="n">
        <v>4400</v>
      </c>
      <c r="EJ95" s="196" t="n">
        <v>4100</v>
      </c>
      <c r="EK95" s="196" t="n">
        <v>3900</v>
      </c>
      <c r="EL95" s="182" t="n"/>
      <c r="EM95" s="176" t="n"/>
      <c r="EN95" s="176" t="n"/>
      <c r="EO95" s="176" t="n"/>
      <c r="EP95" s="176" t="n"/>
      <c r="EQ95" s="176" t="n"/>
      <c r="ER95" s="176" t="n"/>
      <c r="ES95" s="176" t="n"/>
      <c r="ET95" s="176" t="n"/>
      <c r="EU95" s="176" t="n"/>
      <c r="EV95" s="176" t="n"/>
      <c r="EW95" s="176" t="n"/>
      <c r="EX95" s="176" t="n"/>
      <c r="EY95" s="176" t="n"/>
      <c r="EZ95" s="176" t="n"/>
      <c r="FA95" s="176" t="n"/>
      <c r="FB95" s="176" t="n"/>
      <c r="FC95" s="176" t="n"/>
      <c r="FD95" s="176" t="n"/>
      <c r="FE95" s="176" t="n"/>
      <c r="FF95" s="176" t="n"/>
      <c r="FG95" s="176" t="n"/>
      <c r="FH95" s="176" t="n"/>
      <c r="FI95" s="176" t="n"/>
      <c r="FJ95" s="176" t="n"/>
    </row>
    <row r="96" ht="15" customHeight="1" s="392">
      <c r="A96" s="176" t="n"/>
      <c r="B96" s="180" t="n"/>
      <c r="C96" s="183" t="inlineStr">
        <is>
          <t xml:space="preserve">        Financial Liabilities, Current</t>
        </is>
      </c>
      <c r="D96" s="185" t="n"/>
      <c r="E96" s="185" t="n"/>
      <c r="F96" s="185" t="n"/>
      <c r="G96" s="185" t="n"/>
      <c r="H96" s="185" t="n"/>
      <c r="I96" s="185" t="n"/>
      <c r="J96" s="185" t="n"/>
      <c r="K96" s="185" t="n"/>
      <c r="EL96" s="182" t="n"/>
      <c r="EM96" s="176" t="n"/>
      <c r="EN96" s="176" t="n"/>
      <c r="EO96" s="176" t="n"/>
      <c r="EP96" s="176" t="n"/>
      <c r="EQ96" s="176" t="n"/>
      <c r="ER96" s="176" t="n"/>
      <c r="ES96" s="176" t="n"/>
      <c r="ET96" s="176" t="n"/>
      <c r="EU96" s="176" t="n"/>
      <c r="EV96" s="176" t="n"/>
      <c r="EW96" s="176" t="n"/>
      <c r="EX96" s="176" t="n"/>
      <c r="EY96" s="176" t="n"/>
      <c r="EZ96" s="176" t="n"/>
      <c r="FA96" s="176" t="n"/>
      <c r="FB96" s="176" t="n"/>
      <c r="FC96" s="176" t="n"/>
      <c r="FD96" s="176" t="n"/>
      <c r="FE96" s="176" t="n"/>
      <c r="FF96" s="176" t="n"/>
      <c r="FG96" s="176" t="n"/>
      <c r="FH96" s="176" t="n"/>
      <c r="FI96" s="176" t="n"/>
      <c r="FJ96" s="176" t="n"/>
    </row>
    <row r="97" ht="15" customHeight="1" s="392">
      <c r="A97" s="176" t="n"/>
      <c r="B97" s="180" t="n"/>
      <c r="C97" s="183" t="inlineStr">
        <is>
          <t xml:space="preserve">            Current Debt and Capital Lease Obligation</t>
        </is>
      </c>
      <c r="D97" s="185" t="n"/>
      <c r="E97" s="185" t="n"/>
      <c r="F97" s="185" t="n"/>
      <c r="G97" s="185" t="n"/>
      <c r="H97" s="185" t="n"/>
      <c r="I97" s="185" t="n"/>
      <c r="J97" s="185" t="n"/>
      <c r="K97" s="185" t="n"/>
      <c r="EL97" s="182" t="n"/>
      <c r="EM97" s="176" t="n"/>
      <c r="EN97" s="176" t="n"/>
      <c r="EO97" s="176" t="n"/>
      <c r="EP97" s="176" t="n"/>
      <c r="EQ97" s="176" t="n"/>
      <c r="ER97" s="176" t="n"/>
      <c r="ES97" s="176" t="n"/>
      <c r="ET97" s="176" t="n"/>
      <c r="EU97" s="176" t="n"/>
      <c r="EV97" s="176" t="n"/>
      <c r="EW97" s="176" t="n"/>
      <c r="EX97" s="176" t="n"/>
      <c r="EY97" s="176" t="n"/>
      <c r="EZ97" s="176" t="n"/>
      <c r="FA97" s="176" t="n"/>
      <c r="FB97" s="176" t="n"/>
      <c r="FC97" s="176" t="n"/>
      <c r="FD97" s="176" t="n"/>
      <c r="FE97" s="176" t="n"/>
      <c r="FF97" s="176" t="n"/>
      <c r="FG97" s="176" t="n"/>
      <c r="FH97" s="176" t="n"/>
      <c r="FI97" s="176" t="n"/>
      <c r="FJ97" s="176" t="n"/>
    </row>
    <row r="98" ht="15" customHeight="1" s="392">
      <c r="A98" s="176" t="n"/>
      <c r="B98" s="180" t="n"/>
      <c r="C98" s="183" t="inlineStr">
        <is>
          <t xml:space="preserve">                Current Debt</t>
        </is>
      </c>
      <c r="D98" s="185" t="n"/>
      <c r="E98" s="185" t="n"/>
      <c r="F98" s="185" t="n"/>
      <c r="G98" s="185" t="n"/>
      <c r="H98" s="185" t="n"/>
      <c r="I98" s="185" t="n"/>
      <c r="J98" s="185" t="n"/>
      <c r="K98" s="185" t="n"/>
      <c r="EL98" s="182" t="n"/>
      <c r="EM98" s="176" t="n"/>
      <c r="EN98" s="176" t="n"/>
      <c r="EO98" s="176" t="n"/>
      <c r="EP98" s="176" t="n"/>
      <c r="EQ98" s="176" t="n"/>
      <c r="ER98" s="176" t="n"/>
      <c r="ES98" s="176" t="n"/>
      <c r="ET98" s="176" t="n"/>
      <c r="EU98" s="176" t="n"/>
      <c r="EV98" s="176" t="n"/>
      <c r="EW98" s="176" t="n"/>
      <c r="EX98" s="176" t="n"/>
      <c r="EY98" s="176" t="n"/>
      <c r="EZ98" s="176" t="n"/>
      <c r="FA98" s="176" t="n"/>
      <c r="FB98" s="176" t="n"/>
      <c r="FC98" s="176" t="n"/>
      <c r="FD98" s="176" t="n"/>
      <c r="FE98" s="176" t="n"/>
      <c r="FF98" s="176" t="n"/>
      <c r="FG98" s="176" t="n"/>
      <c r="FH98" s="176" t="n"/>
      <c r="FI98" s="176" t="n"/>
      <c r="FJ98" s="176" t="n"/>
    </row>
    <row r="99" ht="15" customHeight="1" s="392">
      <c r="A99" s="176" t="n"/>
      <c r="B99" s="180" t="n"/>
      <c r="C99" s="183" t="inlineStr">
        <is>
          <t xml:space="preserve">                    Bank Overdraft, Current Debt</t>
        </is>
      </c>
      <c r="D99" s="190">
        <f>IF(COUNT(M99:EK99)&gt;0,MEDIAN(M99:EK99),"")</f>
        <v/>
      </c>
      <c r="E99" s="190">
        <f>IF(COUNT(M99:EK99)&gt;0,AVERAGE(M99:EK99),"")</f>
        <v/>
      </c>
      <c r="F99" s="190">
        <f>IF(COUNT(M99:EK99)&gt;0,MIN(M99:EK99),"")</f>
        <v/>
      </c>
      <c r="G99" s="190">
        <f>IF(COUNT(M99:EK99)&gt;0,MAX(M99:EK99),"")</f>
        <v/>
      </c>
      <c r="H99" s="190">
        <f>IF(COUNT(M99:EK99)&gt;0,QUARTILE(M99:EK99,1),"")</f>
        <v/>
      </c>
      <c r="I99" s="190">
        <f>IF(COUNT(M99:EK99)&gt;0,QUARTILE(M99:EK99,3),"")</f>
        <v/>
      </c>
      <c r="J99" s="190">
        <f>IF(COUNT(M99:EK99)&gt;1,STDEV(M99:EK99),"")</f>
        <v/>
      </c>
      <c r="K99" s="191">
        <f>IF(COUNT(M99:EK99)&gt;1,STDEV(M99:EK99)/AVERAGE(M99:EK99),"")</f>
        <v/>
      </c>
      <c r="M99" s="192" t="n"/>
      <c r="N99" s="192" t="n"/>
      <c r="O99" s="192" t="n"/>
      <c r="P99" s="192" t="n"/>
      <c r="Q99" s="192" t="n"/>
      <c r="R99" s="192" t="n"/>
      <c r="S99" s="192" t="n"/>
      <c r="T99" s="192" t="n"/>
      <c r="U99" s="192" t="n"/>
      <c r="V99" s="192" t="n"/>
      <c r="W99" s="192" t="n"/>
      <c r="X99" s="192" t="n"/>
      <c r="Y99" s="192" t="n"/>
      <c r="Z99" s="192" t="n"/>
      <c r="AA99" s="192" t="n"/>
      <c r="AB99" s="192" t="n"/>
      <c r="AC99" s="192" t="n"/>
      <c r="AD99" s="192" t="n"/>
      <c r="AE99" s="192" t="n"/>
      <c r="AF99" s="192" t="n"/>
      <c r="AG99" s="192" t="n"/>
      <c r="AH99" s="192" t="n"/>
      <c r="AI99" s="192" t="n"/>
      <c r="AJ99" s="192" t="n"/>
      <c r="AK99" s="192" t="n"/>
      <c r="AL99" s="192" t="n"/>
      <c r="AM99" s="192" t="n"/>
      <c r="AN99" s="192" t="n"/>
      <c r="AO99" s="192" t="n"/>
      <c r="AP99" s="192" t="n"/>
      <c r="AQ99" s="192" t="n"/>
      <c r="AR99" s="192" t="n"/>
      <c r="AS99" s="192" t="n"/>
      <c r="AT99" s="192" t="n"/>
      <c r="AU99" s="192" t="n"/>
      <c r="AV99" s="192" t="n"/>
      <c r="AW99" s="192" t="n"/>
      <c r="AX99" s="192" t="n"/>
      <c r="AY99" s="192" t="n"/>
      <c r="AZ99" s="192" t="n"/>
      <c r="BA99" s="192" t="n"/>
      <c r="BB99" s="192" t="n"/>
      <c r="BC99" s="192" t="n"/>
      <c r="BD99" s="192" t="n"/>
      <c r="BE99" s="192" t="n"/>
      <c r="BF99" s="192" t="n"/>
      <c r="BG99" s="192" t="n"/>
      <c r="BH99" s="192" t="n"/>
      <c r="BI99" s="192" t="n"/>
      <c r="BJ99" s="192" t="n">
        <v>0</v>
      </c>
      <c r="BK99" s="192" t="n">
        <v>17034</v>
      </c>
      <c r="BL99" s="192" t="n">
        <v>0</v>
      </c>
      <c r="BM99" s="192" t="n">
        <v>16291</v>
      </c>
      <c r="BN99" s="192" t="n"/>
      <c r="BO99" s="192" t="n"/>
      <c r="BP99" s="192" t="n"/>
      <c r="BQ99" s="192" t="n">
        <v>0</v>
      </c>
      <c r="BR99" s="192" t="n"/>
      <c r="BS99" s="192" t="n"/>
      <c r="BT99" s="192" t="n"/>
      <c r="BU99" s="192" t="n"/>
      <c r="BV99" s="192" t="n"/>
      <c r="BW99" s="192" t="n"/>
      <c r="BX99" s="192" t="n"/>
      <c r="BY99" s="192" t="n"/>
      <c r="BZ99" s="192" t="n"/>
      <c r="CA99" s="192" t="n"/>
      <c r="CB99" s="192" t="n"/>
      <c r="CC99" s="192" t="n"/>
      <c r="CD99" s="192" t="n"/>
      <c r="CE99" s="192" t="n"/>
      <c r="CF99" s="192" t="n"/>
      <c r="CG99" s="192" t="n"/>
      <c r="CH99" s="192" t="n"/>
      <c r="CI99" s="192" t="n"/>
      <c r="CJ99" s="192" t="n"/>
      <c r="CK99" s="192" t="n"/>
      <c r="CL99" s="192" t="n"/>
      <c r="CM99" s="192" t="n"/>
      <c r="CN99" s="192" t="n"/>
      <c r="CO99" s="192" t="n"/>
      <c r="CP99" s="192" t="n"/>
      <c r="CQ99" s="192" t="n"/>
      <c r="CR99" s="192" t="n"/>
      <c r="CS99" s="192" t="n"/>
      <c r="CT99" s="192" t="n"/>
      <c r="CU99" s="192" t="n"/>
      <c r="CV99" s="192" t="n"/>
      <c r="CW99" s="192" t="n"/>
      <c r="CX99" s="192" t="n"/>
      <c r="CY99" s="192" t="n"/>
      <c r="CZ99" s="192" t="n"/>
      <c r="DA99" s="192" t="n"/>
      <c r="DB99" s="192" t="n"/>
      <c r="DC99" s="192" t="n"/>
      <c r="DD99" s="192" t="n"/>
      <c r="DE99" s="192" t="n"/>
      <c r="DF99" s="192" t="n"/>
      <c r="DG99" s="192" t="n"/>
      <c r="DH99" s="192" t="n"/>
      <c r="DI99" s="192" t="n"/>
      <c r="DJ99" s="192" t="n"/>
      <c r="DK99" s="192" t="n"/>
      <c r="DL99" s="192" t="n"/>
      <c r="DM99" s="192" t="n"/>
      <c r="DN99" s="192" t="n"/>
      <c r="DO99" s="192" t="n"/>
      <c r="DP99" s="192" t="n"/>
      <c r="DQ99" s="192" t="n"/>
      <c r="DR99" s="192" t="n"/>
      <c r="DS99" s="192" t="n"/>
      <c r="DT99" s="192" t="n"/>
      <c r="DU99" s="192" t="n"/>
      <c r="DV99" s="192" t="n"/>
      <c r="DW99" s="192" t="n"/>
      <c r="DX99" s="192" t="n"/>
      <c r="DY99" s="192" t="n"/>
      <c r="DZ99" s="192" t="n"/>
      <c r="EA99" s="192" t="n"/>
      <c r="EB99" s="192" t="n"/>
      <c r="EC99" s="192" t="n"/>
      <c r="ED99" s="192" t="n"/>
      <c r="EE99" s="192" t="n"/>
      <c r="EF99" s="192" t="n"/>
      <c r="EG99" s="192" t="n"/>
      <c r="EH99" s="192" t="n"/>
      <c r="EI99" s="192" t="n"/>
      <c r="EJ99" s="192" t="n"/>
      <c r="EK99" s="192" t="n"/>
      <c r="EL99" s="182" t="n"/>
      <c r="EM99" s="176" t="n"/>
      <c r="EN99" s="176" t="n"/>
      <c r="EO99" s="176" t="n"/>
      <c r="EP99" s="176" t="n"/>
      <c r="EQ99" s="176" t="n"/>
      <c r="ER99" s="176" t="n"/>
      <c r="ES99" s="176" t="n"/>
      <c r="ET99" s="176" t="n"/>
      <c r="EU99" s="176" t="n"/>
      <c r="EV99" s="176" t="n"/>
      <c r="EW99" s="176" t="n"/>
      <c r="EX99" s="176" t="n"/>
      <c r="EY99" s="176" t="n"/>
      <c r="EZ99" s="176" t="n"/>
      <c r="FA99" s="176" t="n"/>
      <c r="FB99" s="176" t="n"/>
      <c r="FC99" s="176" t="n"/>
      <c r="FD99" s="176" t="n"/>
      <c r="FE99" s="176" t="n"/>
      <c r="FF99" s="176" t="n"/>
      <c r="FG99" s="176" t="n"/>
      <c r="FH99" s="176" t="n"/>
      <c r="FI99" s="176" t="n"/>
      <c r="FJ99" s="176" t="n"/>
    </row>
    <row r="100" ht="15" customHeight="1" s="392">
      <c r="A100" s="176" t="n"/>
      <c r="B100" s="180" t="n"/>
      <c r="C100" s="187" t="inlineStr">
        <is>
          <t xml:space="preserve">                Total Current Debt</t>
        </is>
      </c>
      <c r="D100" s="193">
        <f>IF(COUNT(M100:EK100)&gt;0,MEDIAN(M100:EK100),"")</f>
        <v/>
      </c>
      <c r="E100" s="193">
        <f>IF(COUNT(M100:EK100)&gt;0,AVERAGE(M100:EK100),"")</f>
        <v/>
      </c>
      <c r="F100" s="193">
        <f>IF(COUNT(M100:EK100)&gt;0,MIN(M100:EK100),"")</f>
        <v/>
      </c>
      <c r="G100" s="193">
        <f>IF(COUNT(M100:EK100)&gt;0,MAX(M100:EK100),"")</f>
        <v/>
      </c>
      <c r="H100" s="193">
        <f>IF(COUNT(M100:EK100)&gt;0,QUARTILE(M100:EK100,1),"")</f>
        <v/>
      </c>
      <c r="I100" s="193">
        <f>IF(COUNT(M100:EK100)&gt;0,QUARTILE(M100:EK100,3),"")</f>
        <v/>
      </c>
      <c r="J100" s="193">
        <f>IF(COUNT(M100:EK100)&gt;1,STDEV(M100:EK100),"")</f>
        <v/>
      </c>
      <c r="K100" s="194">
        <f>IF(COUNT(M100:EK100)&gt;1,STDEV(M100:EK100)/AVERAGE(M100:EK100),"")</f>
        <v/>
      </c>
      <c r="L100" s="195" t="n"/>
      <c r="M100" s="196" t="n"/>
      <c r="N100" s="196" t="n"/>
      <c r="O100" s="196" t="n"/>
      <c r="P100" s="196" t="n"/>
      <c r="Q100" s="196" t="n"/>
      <c r="R100" s="196" t="n"/>
      <c r="S100" s="196" t="n"/>
      <c r="T100" s="196" t="n"/>
      <c r="U100" s="196" t="n"/>
      <c r="V100" s="196" t="n"/>
      <c r="W100" s="196" t="n"/>
      <c r="X100" s="196" t="n"/>
      <c r="Y100" s="196" t="n"/>
      <c r="Z100" s="196" t="n"/>
      <c r="AA100" s="196" t="n"/>
      <c r="AB100" s="196" t="n"/>
      <c r="AC100" s="196" t="n"/>
      <c r="AD100" s="196" t="n"/>
      <c r="AE100" s="196" t="n"/>
      <c r="AF100" s="196" t="n"/>
      <c r="AG100" s="196" t="n"/>
      <c r="AH100" s="196" t="n"/>
      <c r="AI100" s="196" t="n"/>
      <c r="AJ100" s="196" t="n"/>
      <c r="AK100" s="196" t="n"/>
      <c r="AL100" s="196" t="n"/>
      <c r="AM100" s="196" t="n"/>
      <c r="AN100" s="196" t="n"/>
      <c r="AO100" s="196" t="n"/>
      <c r="AP100" s="196" t="n"/>
      <c r="AQ100" s="196" t="n"/>
      <c r="AR100" s="196" t="n"/>
      <c r="AS100" s="196" t="n"/>
      <c r="AT100" s="196" t="n"/>
      <c r="AU100" s="196" t="n"/>
      <c r="AV100" s="196" t="n"/>
      <c r="AW100" s="196" t="n"/>
      <c r="AX100" s="196" t="n"/>
      <c r="AY100" s="196" t="n"/>
      <c r="AZ100" s="196" t="n"/>
      <c r="BA100" s="196" t="n"/>
      <c r="BB100" s="196" t="n"/>
      <c r="BC100" s="196" t="n"/>
      <c r="BD100" s="196" t="n"/>
      <c r="BE100" s="196" t="n"/>
      <c r="BF100" s="196" t="n"/>
      <c r="BG100" s="196" t="n"/>
      <c r="BH100" s="196" t="n"/>
      <c r="BI100" s="196" t="n"/>
      <c r="BJ100" s="196" t="n">
        <v>0</v>
      </c>
      <c r="BK100" s="196" t="n">
        <v>17034</v>
      </c>
      <c r="BL100" s="196" t="n">
        <v>0</v>
      </c>
      <c r="BM100" s="196" t="n">
        <v>16291</v>
      </c>
      <c r="BN100" s="196" t="n"/>
      <c r="BO100" s="196" t="n"/>
      <c r="BP100" s="196" t="n"/>
      <c r="BQ100" s="196" t="n">
        <v>0</v>
      </c>
      <c r="BR100" s="196" t="n"/>
      <c r="BS100" s="196" t="n"/>
      <c r="BT100" s="196" t="n"/>
      <c r="BU100" s="196" t="n"/>
      <c r="BV100" s="196" t="n"/>
      <c r="BW100" s="196" t="n"/>
      <c r="BX100" s="196" t="n"/>
      <c r="BY100" s="196" t="n"/>
      <c r="BZ100" s="196" t="n"/>
      <c r="CA100" s="196" t="n"/>
      <c r="CB100" s="196" t="n"/>
      <c r="CC100" s="196" t="n"/>
      <c r="CD100" s="196" t="n">
        <v>9910</v>
      </c>
      <c r="CE100" s="196" t="n">
        <v>7579</v>
      </c>
      <c r="CF100" s="196" t="n">
        <v>17502</v>
      </c>
      <c r="CG100" s="196" t="n"/>
      <c r="CH100" s="196" t="n"/>
      <c r="CI100" s="196" t="n"/>
      <c r="CJ100" s="196" t="n">
        <v>9256</v>
      </c>
      <c r="CK100" s="196" t="n"/>
      <c r="CL100" s="196" t="n"/>
      <c r="CM100" s="196" t="n"/>
      <c r="CN100" s="196" t="n"/>
      <c r="CO100" s="196" t="n"/>
      <c r="CP100" s="196" t="n"/>
      <c r="CQ100" s="196" t="n"/>
      <c r="CR100" s="196" t="n"/>
      <c r="CS100" s="196" t="n"/>
      <c r="CT100" s="196" t="n">
        <v>149.3</v>
      </c>
      <c r="CU100" s="196" t="n">
        <v>7.6</v>
      </c>
      <c r="CV100" s="196" t="n"/>
      <c r="CW100" s="196" t="n">
        <v>7.1</v>
      </c>
      <c r="CX100" s="196" t="n">
        <v>7</v>
      </c>
      <c r="CY100" s="196" t="n">
        <v>6.7</v>
      </c>
      <c r="CZ100" s="196" t="n">
        <v>91</v>
      </c>
      <c r="DA100" s="196" t="n">
        <v>174.3</v>
      </c>
      <c r="DB100" s="196" t="n">
        <v>256</v>
      </c>
      <c r="DC100" s="196" t="n">
        <v>330.2</v>
      </c>
      <c r="DD100" s="196" t="n">
        <v>324.5</v>
      </c>
      <c r="DE100" s="196" t="n">
        <v>319</v>
      </c>
      <c r="DF100" s="196" t="n">
        <v>313.5</v>
      </c>
      <c r="DG100" s="196" t="n">
        <v>308.2</v>
      </c>
      <c r="DH100" s="196" t="n">
        <v>302.9</v>
      </c>
      <c r="DI100" s="196" t="n">
        <v>7797.8</v>
      </c>
      <c r="DJ100" s="196" t="n">
        <v>7810.2</v>
      </c>
      <c r="DK100" s="196" t="n">
        <v>7895</v>
      </c>
      <c r="DL100" s="196" t="n">
        <v>7842.3</v>
      </c>
      <c r="DM100" s="196" t="n">
        <v>80.7</v>
      </c>
      <c r="DN100" s="196" t="n">
        <v>100</v>
      </c>
      <c r="DO100" s="196" t="n">
        <v>100</v>
      </c>
      <c r="DP100" s="196" t="n">
        <v>300</v>
      </c>
      <c r="DQ100" s="196" t="n">
        <v>400</v>
      </c>
      <c r="DR100" s="196" t="n">
        <v>500</v>
      </c>
      <c r="DS100" s="196" t="n">
        <v>500</v>
      </c>
      <c r="DT100" s="196" t="n">
        <v>600</v>
      </c>
      <c r="DU100" s="196" t="n">
        <v>500</v>
      </c>
      <c r="DV100" s="196" t="n">
        <v>500</v>
      </c>
      <c r="DW100" s="196" t="n">
        <v>300</v>
      </c>
      <c r="DX100" s="196" t="n">
        <v>1900</v>
      </c>
      <c r="DY100" s="196" t="n">
        <v>2100</v>
      </c>
      <c r="DZ100" s="196" t="n">
        <v>2200</v>
      </c>
      <c r="EA100" s="196" t="n">
        <v>2300</v>
      </c>
      <c r="EB100" s="196" t="n">
        <v>800</v>
      </c>
      <c r="EC100" s="196" t="n">
        <v>600</v>
      </c>
      <c r="ED100" s="196" t="n">
        <v>600</v>
      </c>
      <c r="EE100" s="196" t="n">
        <v>600</v>
      </c>
      <c r="EF100" s="196" t="n">
        <v>600</v>
      </c>
      <c r="EG100" s="196" t="n">
        <v>600</v>
      </c>
      <c r="EH100" s="196" t="n">
        <v>700</v>
      </c>
      <c r="EI100" s="196" t="n">
        <v>700</v>
      </c>
      <c r="EJ100" s="196" t="n">
        <v>700</v>
      </c>
      <c r="EK100" s="196" t="n">
        <v>600</v>
      </c>
      <c r="EL100" s="182" t="n"/>
      <c r="EM100" s="176" t="n"/>
      <c r="EN100" s="176" t="n"/>
      <c r="EO100" s="176" t="n"/>
      <c r="EP100" s="176" t="n"/>
      <c r="EQ100" s="176" t="n"/>
      <c r="ER100" s="176" t="n"/>
      <c r="ES100" s="176" t="n"/>
      <c r="ET100" s="176" t="n"/>
      <c r="EU100" s="176" t="n"/>
      <c r="EV100" s="176" t="n"/>
      <c r="EW100" s="176" t="n"/>
      <c r="EX100" s="176" t="n"/>
      <c r="EY100" s="176" t="n"/>
      <c r="EZ100" s="176" t="n"/>
      <c r="FA100" s="176" t="n"/>
      <c r="FB100" s="176" t="n"/>
      <c r="FC100" s="176" t="n"/>
      <c r="FD100" s="176" t="n"/>
      <c r="FE100" s="176" t="n"/>
      <c r="FF100" s="176" t="n"/>
      <c r="FG100" s="176" t="n"/>
      <c r="FH100" s="176" t="n"/>
      <c r="FI100" s="176" t="n"/>
      <c r="FJ100" s="176" t="n"/>
    </row>
    <row r="101" ht="15" customHeight="1" s="392">
      <c r="A101" s="176" t="n"/>
      <c r="B101" s="180" t="n"/>
      <c r="C101" s="183" t="inlineStr">
        <is>
          <t xml:space="preserve">                Current Portion of Long Term Debt and Capital Lease</t>
        </is>
      </c>
      <c r="D101" s="185" t="n"/>
      <c r="E101" s="185" t="n"/>
      <c r="F101" s="185" t="n"/>
      <c r="G101" s="185" t="n"/>
      <c r="H101" s="185" t="n"/>
      <c r="I101" s="185" t="n"/>
      <c r="J101" s="185" t="n"/>
      <c r="K101" s="185" t="n"/>
      <c r="EL101" s="182" t="n"/>
      <c r="EM101" s="176" t="n"/>
      <c r="EN101" s="176" t="n"/>
      <c r="EO101" s="176" t="n"/>
      <c r="EP101" s="176" t="n"/>
      <c r="EQ101" s="176" t="n"/>
      <c r="ER101" s="176" t="n"/>
      <c r="ES101" s="176" t="n"/>
      <c r="ET101" s="176" t="n"/>
      <c r="EU101" s="176" t="n"/>
      <c r="EV101" s="176" t="n"/>
      <c r="EW101" s="176" t="n"/>
      <c r="EX101" s="176" t="n"/>
      <c r="EY101" s="176" t="n"/>
      <c r="EZ101" s="176" t="n"/>
      <c r="FA101" s="176" t="n"/>
      <c r="FB101" s="176" t="n"/>
      <c r="FC101" s="176" t="n"/>
      <c r="FD101" s="176" t="n"/>
      <c r="FE101" s="176" t="n"/>
      <c r="FF101" s="176" t="n"/>
      <c r="FG101" s="176" t="n"/>
      <c r="FH101" s="176" t="n"/>
      <c r="FI101" s="176" t="n"/>
      <c r="FJ101" s="176" t="n"/>
    </row>
    <row r="102" ht="15" customHeight="1" s="392">
      <c r="A102" s="176" t="n"/>
      <c r="B102" s="180" t="n"/>
      <c r="C102" s="183" t="inlineStr">
        <is>
          <t xml:space="preserve">                    Current Portion of Long Term Debt</t>
        </is>
      </c>
      <c r="D102" s="185" t="n"/>
      <c r="E102" s="185" t="n"/>
      <c r="F102" s="185" t="n"/>
      <c r="G102" s="185" t="n"/>
      <c r="H102" s="185" t="n"/>
      <c r="I102" s="185" t="n"/>
      <c r="J102" s="185" t="n"/>
      <c r="K102" s="185" t="n"/>
      <c r="EL102" s="182" t="n"/>
      <c r="EM102" s="176" t="n"/>
      <c r="EN102" s="176" t="n"/>
      <c r="EO102" s="176" t="n"/>
      <c r="EP102" s="176" t="n"/>
      <c r="EQ102" s="176" t="n"/>
      <c r="ER102" s="176" t="n"/>
      <c r="ES102" s="176" t="n"/>
      <c r="ET102" s="176" t="n"/>
      <c r="EU102" s="176" t="n"/>
      <c r="EV102" s="176" t="n"/>
      <c r="EW102" s="176" t="n"/>
      <c r="EX102" s="176" t="n"/>
      <c r="EY102" s="176" t="n"/>
      <c r="EZ102" s="176" t="n"/>
      <c r="FA102" s="176" t="n"/>
      <c r="FB102" s="176" t="n"/>
      <c r="FC102" s="176" t="n"/>
      <c r="FD102" s="176" t="n"/>
      <c r="FE102" s="176" t="n"/>
      <c r="FF102" s="176" t="n"/>
      <c r="FG102" s="176" t="n"/>
      <c r="FH102" s="176" t="n"/>
      <c r="FI102" s="176" t="n"/>
      <c r="FJ102" s="176" t="n"/>
    </row>
    <row r="103" ht="15" customHeight="1" s="392">
      <c r="A103" s="176" t="n"/>
      <c r="B103" s="180" t="n"/>
      <c r="C103" s="183" t="inlineStr">
        <is>
          <t xml:space="preserve">                        Other Current Portion of LT Debt</t>
        </is>
      </c>
      <c r="D103" s="190">
        <f>IF(COUNT(M103:EK103)&gt;0,MEDIAN(M103:EK103),"")</f>
        <v/>
      </c>
      <c r="E103" s="190">
        <f>IF(COUNT(M103:EK103)&gt;0,AVERAGE(M103:EK103),"")</f>
        <v/>
      </c>
      <c r="F103" s="190">
        <f>IF(COUNT(M103:EK103)&gt;0,MIN(M103:EK103),"")</f>
        <v/>
      </c>
      <c r="G103" s="190">
        <f>IF(COUNT(M103:EK103)&gt;0,MAX(M103:EK103),"")</f>
        <v/>
      </c>
      <c r="H103" s="190">
        <f>IF(COUNT(M103:EK103)&gt;0,QUARTILE(M103:EK103,1),"")</f>
        <v/>
      </c>
      <c r="I103" s="190">
        <f>IF(COUNT(M103:EK103)&gt;0,QUARTILE(M103:EK103,3),"")</f>
        <v/>
      </c>
      <c r="J103" s="190">
        <f>IF(COUNT(M103:EK103)&gt;1,STDEV(M103:EK103),"")</f>
        <v/>
      </c>
      <c r="K103" s="191">
        <f>IF(COUNT(M103:EK103)&gt;1,STDEV(M103:EK103)/AVERAGE(M103:EK103),"")</f>
        <v/>
      </c>
      <c r="M103" s="192" t="n"/>
      <c r="N103" s="192" t="n"/>
      <c r="O103" s="192" t="n"/>
      <c r="P103" s="192" t="n"/>
      <c r="Q103" s="192" t="n"/>
      <c r="R103" s="192" t="n"/>
      <c r="S103" s="192" t="n"/>
      <c r="T103" s="192" t="n"/>
      <c r="U103" s="192" t="n"/>
      <c r="V103" s="192" t="n"/>
      <c r="W103" s="192" t="n"/>
      <c r="X103" s="192" t="n"/>
      <c r="Y103" s="192" t="n"/>
      <c r="Z103" s="192" t="n"/>
      <c r="AA103" s="192" t="n"/>
      <c r="AB103" s="192" t="n"/>
      <c r="AC103" s="192" t="n"/>
      <c r="AD103" s="192" t="n"/>
      <c r="AE103" s="192" t="n"/>
      <c r="AF103" s="192" t="n"/>
      <c r="AG103" s="192" t="n"/>
      <c r="AH103" s="192" t="n"/>
      <c r="AI103" s="192" t="n"/>
      <c r="AJ103" s="192" t="n"/>
      <c r="AK103" s="192" t="n"/>
      <c r="AL103" s="192" t="n"/>
      <c r="AM103" s="192" t="n">
        <v>14215</v>
      </c>
      <c r="AN103" s="192" t="n">
        <v>590</v>
      </c>
      <c r="AO103" s="192" t="n"/>
      <c r="AP103" s="192" t="n"/>
      <c r="AQ103" s="192" t="n"/>
      <c r="AR103" s="192" t="n"/>
      <c r="AS103" s="192" t="n"/>
      <c r="AT103" s="192" t="n"/>
      <c r="AU103" s="192" t="n"/>
      <c r="AV103" s="192" t="n"/>
      <c r="AW103" s="192" t="n"/>
      <c r="AX103" s="192" t="n"/>
      <c r="AY103" s="192" t="n"/>
      <c r="AZ103" s="192" t="n"/>
      <c r="BA103" s="192" t="n"/>
      <c r="BB103" s="192" t="n"/>
      <c r="BC103" s="192" t="n"/>
      <c r="BD103" s="192" t="n"/>
      <c r="BE103" s="192" t="n"/>
      <c r="BF103" s="192" t="n"/>
      <c r="BG103" s="192" t="n"/>
      <c r="BH103" s="192" t="n"/>
      <c r="BI103" s="192" t="n"/>
      <c r="BJ103" s="192" t="n"/>
      <c r="BK103" s="192" t="n"/>
      <c r="BL103" s="192" t="n"/>
      <c r="BM103" s="192" t="n"/>
      <c r="BN103" s="192" t="n"/>
      <c r="BO103" s="192" t="n"/>
      <c r="BP103" s="192" t="n"/>
      <c r="BQ103" s="192" t="n"/>
      <c r="BR103" s="192" t="n"/>
      <c r="BS103" s="192" t="n"/>
      <c r="BT103" s="192" t="n"/>
      <c r="BU103" s="192" t="n"/>
      <c r="BV103" s="192" t="n"/>
      <c r="BW103" s="192" t="n"/>
      <c r="BX103" s="192" t="n"/>
      <c r="BY103" s="192" t="n"/>
      <c r="BZ103" s="192" t="n"/>
      <c r="CA103" s="192" t="n"/>
      <c r="CB103" s="192" t="n"/>
      <c r="CC103" s="192" t="n"/>
      <c r="CD103" s="192" t="n"/>
      <c r="CE103" s="192" t="n"/>
      <c r="CF103" s="192" t="n"/>
      <c r="CG103" s="192" t="n"/>
      <c r="CH103" s="192" t="n"/>
      <c r="CI103" s="192" t="n"/>
      <c r="CJ103" s="192" t="n"/>
      <c r="CK103" s="192" t="n"/>
      <c r="CL103" s="192" t="n"/>
      <c r="CM103" s="192" t="n"/>
      <c r="CN103" s="192" t="n"/>
      <c r="CO103" s="192" t="n"/>
      <c r="CP103" s="192" t="n"/>
      <c r="CQ103" s="192" t="n"/>
      <c r="CR103" s="192" t="n"/>
      <c r="CS103" s="192" t="n"/>
      <c r="CT103" s="192" t="n"/>
      <c r="CU103" s="192" t="n"/>
      <c r="CV103" s="192" t="n"/>
      <c r="CW103" s="192" t="n"/>
      <c r="CX103" s="192" t="n"/>
      <c r="CY103" s="192" t="n"/>
      <c r="CZ103" s="192" t="n"/>
      <c r="DA103" s="192" t="n"/>
      <c r="DB103" s="192" t="n"/>
      <c r="DC103" s="192" t="n"/>
      <c r="DD103" s="192" t="n"/>
      <c r="DE103" s="192" t="n"/>
      <c r="DF103" s="192" t="n"/>
      <c r="DG103" s="192" t="n"/>
      <c r="DH103" s="192" t="n"/>
      <c r="DI103" s="192" t="n"/>
      <c r="DJ103" s="192" t="n"/>
      <c r="DK103" s="192" t="n"/>
      <c r="DL103" s="192" t="n"/>
      <c r="DM103" s="192" t="n"/>
      <c r="DN103" s="192" t="n"/>
      <c r="DO103" s="192" t="n"/>
      <c r="DP103" s="192" t="n"/>
      <c r="DQ103" s="192" t="n"/>
      <c r="DR103" s="192" t="n"/>
      <c r="DS103" s="192" t="n"/>
      <c r="DT103" s="192" t="n"/>
      <c r="DU103" s="192" t="n"/>
      <c r="DV103" s="192" t="n"/>
      <c r="DW103" s="192" t="n"/>
      <c r="DX103" s="192" t="n"/>
      <c r="DY103" s="192" t="n"/>
      <c r="DZ103" s="192" t="n"/>
      <c r="EA103" s="192" t="n"/>
      <c r="EB103" s="192" t="n"/>
      <c r="EC103" s="192" t="n"/>
      <c r="ED103" s="192" t="n"/>
      <c r="EE103" s="192" t="n"/>
      <c r="EF103" s="192" t="n"/>
      <c r="EG103" s="192" t="n"/>
      <c r="EH103" s="192" t="n"/>
      <c r="EI103" s="192" t="n"/>
      <c r="EJ103" s="192" t="n"/>
      <c r="EK103" s="192" t="n"/>
      <c r="EL103" s="182" t="n"/>
      <c r="EM103" s="176" t="n"/>
      <c r="EN103" s="176" t="n"/>
      <c r="EO103" s="176" t="n"/>
      <c r="EP103" s="176" t="n"/>
      <c r="EQ103" s="176" t="n"/>
      <c r="ER103" s="176" t="n"/>
      <c r="ES103" s="176" t="n"/>
      <c r="ET103" s="176" t="n"/>
      <c r="EU103" s="176" t="n"/>
      <c r="EV103" s="176" t="n"/>
      <c r="EW103" s="176" t="n"/>
      <c r="EX103" s="176" t="n"/>
      <c r="EY103" s="176" t="n"/>
      <c r="EZ103" s="176" t="n"/>
      <c r="FA103" s="176" t="n"/>
      <c r="FB103" s="176" t="n"/>
      <c r="FC103" s="176" t="n"/>
      <c r="FD103" s="176" t="n"/>
      <c r="FE103" s="176" t="n"/>
      <c r="FF103" s="176" t="n"/>
      <c r="FG103" s="176" t="n"/>
      <c r="FH103" s="176" t="n"/>
      <c r="FI103" s="176" t="n"/>
      <c r="FJ103" s="176" t="n"/>
    </row>
    <row r="104" ht="15" customHeight="1" s="392">
      <c r="A104" s="176" t="n"/>
      <c r="B104" s="180" t="n"/>
      <c r="C104" s="187" t="inlineStr">
        <is>
          <t xml:space="preserve">                    Total Current Portion of Long Term Debt</t>
        </is>
      </c>
      <c r="D104" s="193">
        <f>IF(COUNT(M104:EK104)&gt;0,MEDIAN(M104:EK104),"")</f>
        <v/>
      </c>
      <c r="E104" s="193">
        <f>IF(COUNT(M104:EK104)&gt;0,AVERAGE(M104:EK104),"")</f>
        <v/>
      </c>
      <c r="F104" s="193">
        <f>IF(COUNT(M104:EK104)&gt;0,MIN(M104:EK104),"")</f>
        <v/>
      </c>
      <c r="G104" s="193">
        <f>IF(COUNT(M104:EK104)&gt;0,MAX(M104:EK104),"")</f>
        <v/>
      </c>
      <c r="H104" s="193">
        <f>IF(COUNT(M104:EK104)&gt;0,QUARTILE(M104:EK104,1),"")</f>
        <v/>
      </c>
      <c r="I104" s="193">
        <f>IF(COUNT(M104:EK104)&gt;0,QUARTILE(M104:EK104,3),"")</f>
        <v/>
      </c>
      <c r="J104" s="193">
        <f>IF(COUNT(M104:EK104)&gt;1,STDEV(M104:EK104),"")</f>
        <v/>
      </c>
      <c r="K104" s="194">
        <f>IF(COUNT(M104:EK104)&gt;1,STDEV(M104:EK104)/AVERAGE(M104:EK104),"")</f>
        <v/>
      </c>
      <c r="L104" s="195" t="n"/>
      <c r="M104" s="196" t="n"/>
      <c r="N104" s="196" t="n"/>
      <c r="O104" s="196" t="n"/>
      <c r="P104" s="196" t="n"/>
      <c r="Q104" s="196" t="n"/>
      <c r="R104" s="196" t="n"/>
      <c r="S104" s="196" t="n"/>
      <c r="T104" s="196" t="n"/>
      <c r="U104" s="196" t="n"/>
      <c r="V104" s="196" t="n"/>
      <c r="W104" s="196" t="n"/>
      <c r="X104" s="196" t="n"/>
      <c r="Y104" s="196" t="n"/>
      <c r="Z104" s="196" t="n"/>
      <c r="AA104" s="196" t="n"/>
      <c r="AB104" s="196" t="n"/>
      <c r="AC104" s="196" t="n"/>
      <c r="AD104" s="196" t="n"/>
      <c r="AE104" s="196" t="n"/>
      <c r="AF104" s="196" t="n"/>
      <c r="AG104" s="196" t="n"/>
      <c r="AH104" s="196" t="n"/>
      <c r="AI104" s="196" t="n"/>
      <c r="AJ104" s="196" t="n"/>
      <c r="AK104" s="196" t="n"/>
      <c r="AL104" s="196" t="n"/>
      <c r="AM104" s="196" t="n">
        <v>14215</v>
      </c>
      <c r="AN104" s="196" t="n">
        <v>590</v>
      </c>
      <c r="AO104" s="196" t="n"/>
      <c r="AP104" s="196" t="n"/>
      <c r="AQ104" s="196" t="n"/>
      <c r="AR104" s="196" t="n"/>
      <c r="AS104" s="196" t="n"/>
      <c r="AT104" s="196" t="n"/>
      <c r="AU104" s="196" t="n"/>
      <c r="AV104" s="196" t="n"/>
      <c r="AW104" s="196" t="n"/>
      <c r="AX104" s="196" t="n"/>
      <c r="AY104" s="196" t="n"/>
      <c r="AZ104" s="196" t="n"/>
      <c r="BA104" s="196" t="n"/>
      <c r="BB104" s="196" t="n"/>
      <c r="BC104" s="196" t="n"/>
      <c r="BD104" s="196" t="n"/>
      <c r="BE104" s="196" t="n"/>
      <c r="BF104" s="196" t="n"/>
      <c r="BG104" s="196" t="n"/>
      <c r="BH104" s="196" t="n"/>
      <c r="BI104" s="196" t="n"/>
      <c r="BJ104" s="196" t="n"/>
      <c r="BK104" s="196" t="n"/>
      <c r="BL104" s="196" t="n"/>
      <c r="BM104" s="196" t="n"/>
      <c r="BN104" s="196" t="n"/>
      <c r="BO104" s="196" t="n"/>
      <c r="BP104" s="196" t="n">
        <v>75177</v>
      </c>
      <c r="BQ104" s="196" t="n"/>
      <c r="BR104" s="196" t="n">
        <v>75174</v>
      </c>
      <c r="BS104" s="196" t="n">
        <v>75180</v>
      </c>
      <c r="BT104" s="196" t="n">
        <v>75387</v>
      </c>
      <c r="BU104" s="196" t="n">
        <v>50370</v>
      </c>
      <c r="BV104" s="196" t="n">
        <v>50745</v>
      </c>
      <c r="BW104" s="196" t="n"/>
      <c r="BX104" s="196" t="n">
        <v>374</v>
      </c>
      <c r="BY104" s="196" t="n"/>
      <c r="BZ104" s="196" t="n"/>
      <c r="CA104" s="196" t="n"/>
      <c r="CB104" s="196" t="n"/>
      <c r="CC104" s="196" t="n"/>
      <c r="CD104" s="196" t="n"/>
      <c r="CE104" s="196" t="n"/>
      <c r="CF104" s="196" t="n"/>
      <c r="CG104" s="196" t="n"/>
      <c r="CH104" s="196" t="n"/>
      <c r="CI104" s="196" t="n"/>
      <c r="CJ104" s="196" t="n"/>
      <c r="CK104" s="196" t="n"/>
      <c r="CL104" s="196" t="n"/>
      <c r="CM104" s="196" t="n"/>
      <c r="CN104" s="196" t="n"/>
      <c r="CO104" s="196" t="n"/>
      <c r="CP104" s="196" t="n"/>
      <c r="CQ104" s="196" t="n"/>
      <c r="CR104" s="196" t="n"/>
      <c r="CS104" s="196" t="n"/>
      <c r="CT104" s="196" t="n"/>
      <c r="CU104" s="196" t="n"/>
      <c r="CV104" s="196" t="n"/>
      <c r="CW104" s="196" t="n"/>
      <c r="CX104" s="196" t="n"/>
      <c r="CY104" s="196" t="n"/>
      <c r="CZ104" s="196" t="n"/>
      <c r="DA104" s="196" t="n"/>
      <c r="DB104" s="196" t="n"/>
      <c r="DC104" s="196" t="n"/>
      <c r="DD104" s="196" t="n"/>
      <c r="DE104" s="196" t="n"/>
      <c r="DF104" s="196" t="n"/>
      <c r="DG104" s="196" t="n"/>
      <c r="DH104" s="196" t="n"/>
      <c r="DI104" s="196" t="n"/>
      <c r="DJ104" s="196" t="n"/>
      <c r="DK104" s="196" t="n"/>
      <c r="DL104" s="196" t="n"/>
      <c r="DM104" s="196" t="n"/>
      <c r="DN104" s="196" t="n"/>
      <c r="DO104" s="196" t="n"/>
      <c r="DP104" s="196" t="n"/>
      <c r="DQ104" s="196" t="n"/>
      <c r="DR104" s="196" t="n"/>
      <c r="DS104" s="196" t="n"/>
      <c r="DT104" s="196" t="n"/>
      <c r="DU104" s="196" t="n"/>
      <c r="DV104" s="196" t="n"/>
      <c r="DW104" s="196" t="n"/>
      <c r="DX104" s="196" t="n"/>
      <c r="DY104" s="196" t="n"/>
      <c r="DZ104" s="196" t="n"/>
      <c r="EA104" s="196" t="n"/>
      <c r="EB104" s="196" t="n"/>
      <c r="EC104" s="196" t="n"/>
      <c r="ED104" s="196" t="n"/>
      <c r="EE104" s="196" t="n"/>
      <c r="EF104" s="196" t="n"/>
      <c r="EG104" s="196" t="n"/>
      <c r="EH104" s="196" t="n"/>
      <c r="EI104" s="196" t="n"/>
      <c r="EJ104" s="196" t="n"/>
      <c r="EK104" s="196" t="n"/>
      <c r="EL104" s="182" t="n"/>
      <c r="EM104" s="176" t="n"/>
      <c r="EN104" s="176" t="n"/>
      <c r="EO104" s="176" t="n"/>
      <c r="EP104" s="176" t="n"/>
      <c r="EQ104" s="176" t="n"/>
      <c r="ER104" s="176" t="n"/>
      <c r="ES104" s="176" t="n"/>
      <c r="ET104" s="176" t="n"/>
      <c r="EU104" s="176" t="n"/>
      <c r="EV104" s="176" t="n"/>
      <c r="EW104" s="176" t="n"/>
      <c r="EX104" s="176" t="n"/>
      <c r="EY104" s="176" t="n"/>
      <c r="EZ104" s="176" t="n"/>
      <c r="FA104" s="176" t="n"/>
      <c r="FB104" s="176" t="n"/>
      <c r="FC104" s="176" t="n"/>
      <c r="FD104" s="176" t="n"/>
      <c r="FE104" s="176" t="n"/>
      <c r="FF104" s="176" t="n"/>
      <c r="FG104" s="176" t="n"/>
      <c r="FH104" s="176" t="n"/>
      <c r="FI104" s="176" t="n"/>
      <c r="FJ104" s="176" t="n"/>
    </row>
    <row r="105" ht="15" customHeight="1" s="392">
      <c r="A105" s="176" t="n"/>
      <c r="B105" s="180" t="n"/>
      <c r="C105" s="183" t="inlineStr">
        <is>
          <t xml:space="preserve">                    Capital Lease Obligations, Current</t>
        </is>
      </c>
      <c r="D105" s="190">
        <f>IF(COUNT(M105:EK105)&gt;0,MEDIAN(M105:EK105),"")</f>
        <v/>
      </c>
      <c r="E105" s="190">
        <f>IF(COUNT(M105:EK105)&gt;0,AVERAGE(M105:EK105),"")</f>
        <v/>
      </c>
      <c r="F105" s="190">
        <f>IF(COUNT(M105:EK105)&gt;0,MIN(M105:EK105),"")</f>
        <v/>
      </c>
      <c r="G105" s="190">
        <f>IF(COUNT(M105:EK105)&gt;0,MAX(M105:EK105),"")</f>
        <v/>
      </c>
      <c r="H105" s="190">
        <f>IF(COUNT(M105:EK105)&gt;0,QUARTILE(M105:EK105,1),"")</f>
        <v/>
      </c>
      <c r="I105" s="190">
        <f>IF(COUNT(M105:EK105)&gt;0,QUARTILE(M105:EK105,3),"")</f>
        <v/>
      </c>
      <c r="J105" s="190">
        <f>IF(COUNT(M105:EK105)&gt;1,STDEV(M105:EK105),"")</f>
        <v/>
      </c>
      <c r="K105" s="191">
        <f>IF(COUNT(M105:EK105)&gt;1,STDEV(M105:EK105)/AVERAGE(M105:EK105),"")</f>
        <v/>
      </c>
      <c r="M105" s="192" t="n">
        <v>15163</v>
      </c>
      <c r="N105" s="192" t="n">
        <v>15825</v>
      </c>
      <c r="O105" s="192" t="n">
        <v>16692</v>
      </c>
      <c r="P105" s="192" t="n">
        <v>17870</v>
      </c>
      <c r="Q105" s="192" t="n">
        <v>19869</v>
      </c>
      <c r="R105" s="192" t="n">
        <v>19792</v>
      </c>
      <c r="S105" s="192" t="n">
        <v>22696</v>
      </c>
      <c r="T105" s="192" t="n">
        <v>21436</v>
      </c>
      <c r="U105" s="192" t="n">
        <v>21304</v>
      </c>
      <c r="V105" s="192" t="n">
        <v>20475</v>
      </c>
      <c r="W105" s="192" t="n">
        <v>21223</v>
      </c>
      <c r="X105" s="192" t="n">
        <v>21936</v>
      </c>
      <c r="Y105" s="192" t="n">
        <v>21468</v>
      </c>
      <c r="Z105" s="192" t="n">
        <v>20900</v>
      </c>
      <c r="AA105" s="192" t="n">
        <v>20736</v>
      </c>
      <c r="AB105" s="192" t="n">
        <v>22083</v>
      </c>
      <c r="AC105" s="192" t="n">
        <v>21794</v>
      </c>
      <c r="AD105" s="192" t="n">
        <v>22687</v>
      </c>
      <c r="AE105" s="192" t="n">
        <v>23126</v>
      </c>
      <c r="AF105" s="192" t="n">
        <v>23536</v>
      </c>
      <c r="AG105" s="192" t="n">
        <v>22472</v>
      </c>
      <c r="AH105" s="192" t="n">
        <v>24006</v>
      </c>
      <c r="AI105" s="192" t="n">
        <v>23804</v>
      </c>
      <c r="AJ105" s="192" t="n">
        <v>25604</v>
      </c>
      <c r="AK105" s="192" t="n">
        <v>25572</v>
      </c>
      <c r="AL105" s="192" t="n">
        <v>26938</v>
      </c>
      <c r="AM105" s="192" t="n">
        <v>23314</v>
      </c>
      <c r="AN105" s="192" t="n">
        <v>27055</v>
      </c>
      <c r="AO105" s="192" t="n">
        <v>1138</v>
      </c>
      <c r="AP105" s="192" t="n"/>
      <c r="AQ105" s="192" t="n"/>
      <c r="AR105" s="192" t="n"/>
      <c r="AS105" s="192" t="n"/>
      <c r="AT105" s="192" t="n"/>
      <c r="AU105" s="192" t="n"/>
      <c r="AV105" s="192" t="n"/>
      <c r="AW105" s="192" t="n"/>
      <c r="AX105" s="192" t="n"/>
      <c r="AY105" s="192" t="n"/>
      <c r="AZ105" s="192" t="n"/>
      <c r="BA105" s="192" t="n"/>
      <c r="BB105" s="192" t="n"/>
      <c r="BC105" s="192" t="n"/>
      <c r="BD105" s="192" t="n"/>
      <c r="BE105" s="192" t="n"/>
      <c r="BF105" s="192" t="n"/>
      <c r="BG105" s="192" t="n"/>
      <c r="BH105" s="192" t="n"/>
      <c r="BI105" s="192" t="n"/>
      <c r="BJ105" s="192" t="n"/>
      <c r="BK105" s="192" t="n"/>
      <c r="BL105" s="192" t="n"/>
      <c r="BM105" s="192" t="n"/>
      <c r="BN105" s="192" t="n"/>
      <c r="BO105" s="192" t="n"/>
      <c r="BP105" s="192" t="n"/>
      <c r="BQ105" s="192" t="n"/>
      <c r="BR105" s="192" t="n"/>
      <c r="BS105" s="192" t="n"/>
      <c r="BT105" s="192" t="n"/>
      <c r="BU105" s="192" t="n"/>
      <c r="BV105" s="192" t="n"/>
      <c r="BW105" s="192" t="n"/>
      <c r="BX105" s="192" t="n"/>
      <c r="BY105" s="192" t="n"/>
      <c r="BZ105" s="192" t="n"/>
      <c r="CA105" s="192" t="n"/>
      <c r="CB105" s="192" t="n"/>
      <c r="CC105" s="192" t="n"/>
      <c r="CD105" s="192" t="n"/>
      <c r="CE105" s="192" t="n"/>
      <c r="CF105" s="192" t="n"/>
      <c r="CG105" s="192" t="n"/>
      <c r="CH105" s="192" t="n"/>
      <c r="CI105" s="192" t="n"/>
      <c r="CJ105" s="192" t="n"/>
      <c r="CK105" s="192" t="n"/>
      <c r="CL105" s="192" t="n"/>
      <c r="CM105" s="192" t="n"/>
      <c r="CN105" s="192" t="n"/>
      <c r="CO105" s="192" t="n"/>
      <c r="CP105" s="192" t="n"/>
      <c r="CQ105" s="192" t="n"/>
      <c r="CR105" s="192" t="n"/>
      <c r="CS105" s="192" t="n"/>
      <c r="CT105" s="192" t="n"/>
      <c r="CU105" s="192" t="n"/>
      <c r="CV105" s="192" t="n"/>
      <c r="CW105" s="192" t="n"/>
      <c r="CX105" s="192" t="n"/>
      <c r="CY105" s="192" t="n"/>
      <c r="CZ105" s="192" t="n"/>
      <c r="DA105" s="192" t="n"/>
      <c r="DB105" s="192" t="n"/>
      <c r="DC105" s="192" t="n"/>
      <c r="DD105" s="192" t="n"/>
      <c r="DE105" s="192" t="n"/>
      <c r="DF105" s="192" t="n"/>
      <c r="DG105" s="192" t="n"/>
      <c r="DH105" s="192" t="n"/>
      <c r="DI105" s="192" t="n"/>
      <c r="DJ105" s="192" t="n"/>
      <c r="DK105" s="192" t="n"/>
      <c r="DL105" s="192" t="n"/>
      <c r="DM105" s="192" t="n"/>
      <c r="DN105" s="192" t="n"/>
      <c r="DO105" s="192" t="n"/>
      <c r="DP105" s="192" t="n"/>
      <c r="DQ105" s="192" t="n"/>
      <c r="DR105" s="192" t="n"/>
      <c r="DS105" s="192" t="n"/>
      <c r="DT105" s="192" t="n"/>
      <c r="DU105" s="192" t="n"/>
      <c r="DV105" s="192" t="n"/>
      <c r="DW105" s="192" t="n"/>
      <c r="DX105" s="192" t="n"/>
      <c r="DY105" s="192" t="n"/>
      <c r="DZ105" s="192" t="n"/>
      <c r="EA105" s="192" t="n"/>
      <c r="EB105" s="192" t="n"/>
      <c r="EC105" s="192" t="n"/>
      <c r="ED105" s="192" t="n"/>
      <c r="EE105" s="192" t="n"/>
      <c r="EF105" s="192" t="n"/>
      <c r="EG105" s="192" t="n"/>
      <c r="EH105" s="192" t="n"/>
      <c r="EI105" s="192" t="n"/>
      <c r="EJ105" s="192" t="n"/>
      <c r="EK105" s="192" t="n"/>
      <c r="EL105" s="182" t="n"/>
      <c r="EM105" s="176" t="n"/>
      <c r="EN105" s="176" t="n"/>
      <c r="EO105" s="176" t="n"/>
      <c r="EP105" s="176" t="n"/>
      <c r="EQ105" s="176" t="n"/>
      <c r="ER105" s="176" t="n"/>
      <c r="ES105" s="176" t="n"/>
      <c r="ET105" s="176" t="n"/>
      <c r="EU105" s="176" t="n"/>
      <c r="EV105" s="176" t="n"/>
      <c r="EW105" s="176" t="n"/>
      <c r="EX105" s="176" t="n"/>
      <c r="EY105" s="176" t="n"/>
      <c r="EZ105" s="176" t="n"/>
      <c r="FA105" s="176" t="n"/>
      <c r="FB105" s="176" t="n"/>
      <c r="FC105" s="176" t="n"/>
      <c r="FD105" s="176" t="n"/>
      <c r="FE105" s="176" t="n"/>
      <c r="FF105" s="176" t="n"/>
      <c r="FG105" s="176" t="n"/>
      <c r="FH105" s="176" t="n"/>
      <c r="FI105" s="176" t="n"/>
      <c r="FJ105" s="176" t="n"/>
    </row>
    <row r="106" ht="15" customHeight="1" s="392">
      <c r="A106" s="176" t="n"/>
      <c r="B106" s="180" t="n"/>
      <c r="C106" s="187" t="inlineStr">
        <is>
          <t xml:space="preserve">                Total Current Portion of Long Term Debt and Capital Lease</t>
        </is>
      </c>
      <c r="D106" s="193">
        <f>IF(COUNT(M106:EK106)&gt;0,MEDIAN(M106:EK106),"")</f>
        <v/>
      </c>
      <c r="E106" s="193">
        <f>IF(COUNT(M106:EK106)&gt;0,AVERAGE(M106:EK106),"")</f>
        <v/>
      </c>
      <c r="F106" s="193">
        <f>IF(COUNT(M106:EK106)&gt;0,MIN(M106:EK106),"")</f>
        <v/>
      </c>
      <c r="G106" s="193">
        <f>IF(COUNT(M106:EK106)&gt;0,MAX(M106:EK106),"")</f>
        <v/>
      </c>
      <c r="H106" s="193">
        <f>IF(COUNT(M106:EK106)&gt;0,QUARTILE(M106:EK106,1),"")</f>
        <v/>
      </c>
      <c r="I106" s="193">
        <f>IF(COUNT(M106:EK106)&gt;0,QUARTILE(M106:EK106,3),"")</f>
        <v/>
      </c>
      <c r="J106" s="193">
        <f>IF(COUNT(M106:EK106)&gt;1,STDEV(M106:EK106),"")</f>
        <v/>
      </c>
      <c r="K106" s="194">
        <f>IF(COUNT(M106:EK106)&gt;1,STDEV(M106:EK106)/AVERAGE(M106:EK106),"")</f>
        <v/>
      </c>
      <c r="L106" s="195" t="n"/>
      <c r="M106" s="196" t="n">
        <v>15163</v>
      </c>
      <c r="N106" s="196" t="n">
        <v>15825</v>
      </c>
      <c r="O106" s="196" t="n">
        <v>16692</v>
      </c>
      <c r="P106" s="196" t="n">
        <v>17870</v>
      </c>
      <c r="Q106" s="196" t="n">
        <v>19869</v>
      </c>
      <c r="R106" s="196" t="n">
        <v>19792</v>
      </c>
      <c r="S106" s="196" t="n">
        <v>22696</v>
      </c>
      <c r="T106" s="196" t="n">
        <v>21436</v>
      </c>
      <c r="U106" s="196" t="n">
        <v>21304</v>
      </c>
      <c r="V106" s="196" t="n">
        <v>20475</v>
      </c>
      <c r="W106" s="196" t="n">
        <v>21223</v>
      </c>
      <c r="X106" s="196" t="n">
        <v>21936</v>
      </c>
      <c r="Y106" s="196" t="n">
        <v>21468</v>
      </c>
      <c r="Z106" s="196" t="n">
        <v>20900</v>
      </c>
      <c r="AA106" s="196" t="n">
        <v>20736</v>
      </c>
      <c r="AB106" s="196" t="n">
        <v>22083</v>
      </c>
      <c r="AC106" s="196" t="n">
        <v>21794</v>
      </c>
      <c r="AD106" s="196" t="n">
        <v>22687</v>
      </c>
      <c r="AE106" s="196" t="n">
        <v>23126</v>
      </c>
      <c r="AF106" s="196" t="n">
        <v>23536</v>
      </c>
      <c r="AG106" s="196" t="n">
        <v>22472</v>
      </c>
      <c r="AH106" s="196" t="n">
        <v>24006</v>
      </c>
      <c r="AI106" s="196" t="n">
        <v>23804</v>
      </c>
      <c r="AJ106" s="196" t="n">
        <v>25604</v>
      </c>
      <c r="AK106" s="196" t="n">
        <v>25572</v>
      </c>
      <c r="AL106" s="196" t="n">
        <v>26938</v>
      </c>
      <c r="AM106" s="196" t="n">
        <v>37529</v>
      </c>
      <c r="AN106" s="196" t="n">
        <v>27645</v>
      </c>
      <c r="AO106" s="196" t="n">
        <v>1138</v>
      </c>
      <c r="AP106" s="196" t="n">
        <v>7556</v>
      </c>
      <c r="AQ106" s="196" t="n">
        <v>94122</v>
      </c>
      <c r="AR106" s="196" t="n">
        <v>999</v>
      </c>
      <c r="AS106" s="196" t="n">
        <v>1151</v>
      </c>
      <c r="AT106" s="196" t="n">
        <v>1151</v>
      </c>
      <c r="AU106" s="196" t="n">
        <v>111851</v>
      </c>
      <c r="AV106" s="196" t="n">
        <v>33150</v>
      </c>
      <c r="AW106" s="196" t="n">
        <v>82155</v>
      </c>
      <c r="AX106" s="196" t="n">
        <v>16151</v>
      </c>
      <c r="AY106" s="196" t="n">
        <v>146151</v>
      </c>
      <c r="AZ106" s="196" t="n">
        <v>171151</v>
      </c>
      <c r="BA106" s="196" t="n">
        <v>76151</v>
      </c>
      <c r="BB106" s="196" t="n">
        <v>30369</v>
      </c>
      <c r="BC106" s="196" t="n">
        <v>99171</v>
      </c>
      <c r="BD106" s="196" t="n">
        <v>42421</v>
      </c>
      <c r="BE106" s="196" t="n">
        <v>53671</v>
      </c>
      <c r="BF106" s="196" t="n">
        <v>64921</v>
      </c>
      <c r="BG106" s="196" t="n">
        <v>76171</v>
      </c>
      <c r="BH106" s="196" t="n">
        <v>76171</v>
      </c>
      <c r="BI106" s="196" t="n">
        <v>79674</v>
      </c>
      <c r="BJ106" s="196" t="n">
        <v>76171</v>
      </c>
      <c r="BK106" s="196" t="n">
        <v>77028</v>
      </c>
      <c r="BL106" s="196" t="n">
        <v>77305</v>
      </c>
      <c r="BM106" s="196" t="n">
        <v>76047</v>
      </c>
      <c r="BN106" s="196" t="n">
        <v>75937</v>
      </c>
      <c r="BO106" s="196" t="n">
        <v>75177</v>
      </c>
      <c r="BP106" s="196" t="n">
        <v>75177</v>
      </c>
      <c r="BQ106" s="196" t="n">
        <v>75170</v>
      </c>
      <c r="BR106" s="196" t="n">
        <v>75174</v>
      </c>
      <c r="BS106" s="196" t="n">
        <v>75180</v>
      </c>
      <c r="BT106" s="196" t="n">
        <v>75387</v>
      </c>
      <c r="BU106" s="196" t="n">
        <v>50370</v>
      </c>
      <c r="BV106" s="196" t="n">
        <v>50745</v>
      </c>
      <c r="BW106" s="196" t="n"/>
      <c r="BX106" s="196" t="n">
        <v>374</v>
      </c>
      <c r="BY106" s="196" t="n"/>
      <c r="BZ106" s="196" t="n"/>
      <c r="CA106" s="196" t="n"/>
      <c r="CB106" s="196" t="n"/>
      <c r="CC106" s="196" t="n"/>
      <c r="CD106" s="196" t="n"/>
      <c r="CE106" s="196" t="n"/>
      <c r="CF106" s="196" t="n"/>
      <c r="CG106" s="196" t="n"/>
      <c r="CH106" s="196" t="n"/>
      <c r="CI106" s="196" t="n"/>
      <c r="CJ106" s="196" t="n"/>
      <c r="CK106" s="196" t="n"/>
      <c r="CL106" s="196" t="n"/>
      <c r="CM106" s="196" t="n"/>
      <c r="CN106" s="196" t="n"/>
      <c r="CO106" s="196" t="n"/>
      <c r="CP106" s="196" t="n"/>
      <c r="CQ106" s="196" t="n"/>
      <c r="CR106" s="196" t="n"/>
      <c r="CS106" s="196" t="n"/>
      <c r="CT106" s="196" t="n"/>
      <c r="CU106" s="196" t="n"/>
      <c r="CV106" s="196" t="n"/>
      <c r="CW106" s="196" t="n"/>
      <c r="CX106" s="196" t="n"/>
      <c r="CY106" s="196" t="n"/>
      <c r="CZ106" s="196" t="n"/>
      <c r="DA106" s="196" t="n"/>
      <c r="DB106" s="196" t="n"/>
      <c r="DC106" s="196" t="n"/>
      <c r="DD106" s="196" t="n"/>
      <c r="DE106" s="196" t="n"/>
      <c r="DF106" s="196" t="n"/>
      <c r="DG106" s="196" t="n"/>
      <c r="DH106" s="196" t="n"/>
      <c r="DI106" s="196" t="n"/>
      <c r="DJ106" s="196" t="n"/>
      <c r="DK106" s="196" t="n"/>
      <c r="DL106" s="196" t="n"/>
      <c r="DM106" s="196" t="n"/>
      <c r="DN106" s="196" t="n"/>
      <c r="DO106" s="196" t="n"/>
      <c r="DP106" s="196" t="n"/>
      <c r="DQ106" s="196" t="n"/>
      <c r="DR106" s="196" t="n"/>
      <c r="DS106" s="196" t="n"/>
      <c r="DT106" s="196" t="n"/>
      <c r="DU106" s="196" t="n"/>
      <c r="DV106" s="196" t="n"/>
      <c r="DW106" s="196" t="n"/>
      <c r="DX106" s="196" t="n"/>
      <c r="DY106" s="196" t="n"/>
      <c r="DZ106" s="196" t="n"/>
      <c r="EA106" s="196" t="n"/>
      <c r="EB106" s="196" t="n"/>
      <c r="EC106" s="196" t="n"/>
      <c r="ED106" s="196" t="n"/>
      <c r="EE106" s="196" t="n"/>
      <c r="EF106" s="196" t="n"/>
      <c r="EG106" s="196" t="n"/>
      <c r="EH106" s="196" t="n"/>
      <c r="EI106" s="196" t="n"/>
      <c r="EJ106" s="196" t="n"/>
      <c r="EK106" s="196" t="n"/>
      <c r="EL106" s="182" t="n"/>
      <c r="EM106" s="176" t="n"/>
      <c r="EN106" s="176" t="n"/>
      <c r="EO106" s="176" t="n"/>
      <c r="EP106" s="176" t="n"/>
      <c r="EQ106" s="176" t="n"/>
      <c r="ER106" s="176" t="n"/>
      <c r="ES106" s="176" t="n"/>
      <c r="ET106" s="176" t="n"/>
      <c r="EU106" s="176" t="n"/>
      <c r="EV106" s="176" t="n"/>
      <c r="EW106" s="176" t="n"/>
      <c r="EX106" s="176" t="n"/>
      <c r="EY106" s="176" t="n"/>
      <c r="EZ106" s="176" t="n"/>
      <c r="FA106" s="176" t="n"/>
      <c r="FB106" s="176" t="n"/>
      <c r="FC106" s="176" t="n"/>
      <c r="FD106" s="176" t="n"/>
      <c r="FE106" s="176" t="n"/>
      <c r="FF106" s="176" t="n"/>
      <c r="FG106" s="176" t="n"/>
      <c r="FH106" s="176" t="n"/>
      <c r="FI106" s="176" t="n"/>
      <c r="FJ106" s="176" t="n"/>
    </row>
    <row r="107" ht="15" customHeight="1" s="392">
      <c r="A107" s="176" t="n"/>
      <c r="B107" s="180" t="n"/>
      <c r="C107" s="187" t="inlineStr">
        <is>
          <t xml:space="preserve">            Total Current Debt and Capital Lease Obligation</t>
        </is>
      </c>
      <c r="D107" s="193">
        <f>IF(COUNT(M107:EK107)&gt;0,MEDIAN(M107:EK107),"")</f>
        <v/>
      </c>
      <c r="E107" s="193">
        <f>IF(COUNT(M107:EK107)&gt;0,AVERAGE(M107:EK107),"")</f>
        <v/>
      </c>
      <c r="F107" s="193">
        <f>IF(COUNT(M107:EK107)&gt;0,MIN(M107:EK107),"")</f>
        <v/>
      </c>
      <c r="G107" s="193">
        <f>IF(COUNT(M107:EK107)&gt;0,MAX(M107:EK107),"")</f>
        <v/>
      </c>
      <c r="H107" s="193">
        <f>IF(COUNT(M107:EK107)&gt;0,QUARTILE(M107:EK107,1),"")</f>
        <v/>
      </c>
      <c r="I107" s="193">
        <f>IF(COUNT(M107:EK107)&gt;0,QUARTILE(M107:EK107,3),"")</f>
        <v/>
      </c>
      <c r="J107" s="193">
        <f>IF(COUNT(M107:EK107)&gt;1,STDEV(M107:EK107),"")</f>
        <v/>
      </c>
      <c r="K107" s="194">
        <f>IF(COUNT(M107:EK107)&gt;1,STDEV(M107:EK107)/AVERAGE(M107:EK107),"")</f>
        <v/>
      </c>
      <c r="L107" s="195" t="n"/>
      <c r="M107" s="196" t="n">
        <v>15163</v>
      </c>
      <c r="N107" s="196" t="n">
        <v>15825</v>
      </c>
      <c r="O107" s="196" t="n">
        <v>16692</v>
      </c>
      <c r="P107" s="196" t="n">
        <v>17870</v>
      </c>
      <c r="Q107" s="196" t="n">
        <v>19869</v>
      </c>
      <c r="R107" s="196" t="n">
        <v>19792</v>
      </c>
      <c r="S107" s="196" t="n">
        <v>22696</v>
      </c>
      <c r="T107" s="196" t="n">
        <v>21436</v>
      </c>
      <c r="U107" s="196" t="n">
        <v>21304</v>
      </c>
      <c r="V107" s="196" t="n">
        <v>20475</v>
      </c>
      <c r="W107" s="196" t="n">
        <v>21223</v>
      </c>
      <c r="X107" s="196" t="n">
        <v>21936</v>
      </c>
      <c r="Y107" s="196" t="n">
        <v>21468</v>
      </c>
      <c r="Z107" s="196" t="n">
        <v>20900</v>
      </c>
      <c r="AA107" s="196" t="n">
        <v>20736</v>
      </c>
      <c r="AB107" s="196" t="n">
        <v>22083</v>
      </c>
      <c r="AC107" s="196" t="n">
        <v>21794</v>
      </c>
      <c r="AD107" s="196" t="n">
        <v>22687</v>
      </c>
      <c r="AE107" s="196" t="n">
        <v>23126</v>
      </c>
      <c r="AF107" s="196" t="n">
        <v>23536</v>
      </c>
      <c r="AG107" s="196" t="n">
        <v>22472</v>
      </c>
      <c r="AH107" s="196" t="n">
        <v>24006</v>
      </c>
      <c r="AI107" s="196" t="n">
        <v>23804</v>
      </c>
      <c r="AJ107" s="196" t="n">
        <v>25604</v>
      </c>
      <c r="AK107" s="196" t="n">
        <v>25572</v>
      </c>
      <c r="AL107" s="196" t="n">
        <v>26938</v>
      </c>
      <c r="AM107" s="196" t="n">
        <v>37529</v>
      </c>
      <c r="AN107" s="196" t="n">
        <v>27645</v>
      </c>
      <c r="AO107" s="196" t="n">
        <v>1138</v>
      </c>
      <c r="AP107" s="196" t="n">
        <v>7556</v>
      </c>
      <c r="AQ107" s="196" t="n">
        <v>94122</v>
      </c>
      <c r="AR107" s="196" t="n">
        <v>999</v>
      </c>
      <c r="AS107" s="196" t="n">
        <v>1151</v>
      </c>
      <c r="AT107" s="196" t="n">
        <v>1151</v>
      </c>
      <c r="AU107" s="196" t="n">
        <v>111851</v>
      </c>
      <c r="AV107" s="196" t="n">
        <v>33150</v>
      </c>
      <c r="AW107" s="196" t="n">
        <v>82155</v>
      </c>
      <c r="AX107" s="196" t="n">
        <v>16151</v>
      </c>
      <c r="AY107" s="196" t="n">
        <v>146151</v>
      </c>
      <c r="AZ107" s="196" t="n">
        <v>171151</v>
      </c>
      <c r="BA107" s="196" t="n">
        <v>76151</v>
      </c>
      <c r="BB107" s="196" t="n">
        <v>30369</v>
      </c>
      <c r="BC107" s="196" t="n">
        <v>99171</v>
      </c>
      <c r="BD107" s="196" t="n">
        <v>42421</v>
      </c>
      <c r="BE107" s="196" t="n">
        <v>53671</v>
      </c>
      <c r="BF107" s="196" t="n">
        <v>64921</v>
      </c>
      <c r="BG107" s="196" t="n">
        <v>76171</v>
      </c>
      <c r="BH107" s="196" t="n">
        <v>76171</v>
      </c>
      <c r="BI107" s="196" t="n">
        <v>79674</v>
      </c>
      <c r="BJ107" s="196" t="n">
        <v>76171</v>
      </c>
      <c r="BK107" s="196" t="n">
        <v>94062</v>
      </c>
      <c r="BL107" s="196" t="n">
        <v>77305</v>
      </c>
      <c r="BM107" s="196" t="n">
        <v>92338</v>
      </c>
      <c r="BN107" s="196" t="n">
        <v>75937</v>
      </c>
      <c r="BO107" s="196" t="n">
        <v>75177</v>
      </c>
      <c r="BP107" s="196" t="n">
        <v>75177</v>
      </c>
      <c r="BQ107" s="196" t="n">
        <v>75170</v>
      </c>
      <c r="BR107" s="196" t="n">
        <v>75174</v>
      </c>
      <c r="BS107" s="196" t="n">
        <v>75180</v>
      </c>
      <c r="BT107" s="196" t="n">
        <v>75387</v>
      </c>
      <c r="BU107" s="196" t="n">
        <v>50370</v>
      </c>
      <c r="BV107" s="196" t="n">
        <v>50745</v>
      </c>
      <c r="BW107" s="196" t="n"/>
      <c r="BX107" s="196" t="n">
        <v>374</v>
      </c>
      <c r="BY107" s="196" t="n"/>
      <c r="BZ107" s="196" t="n"/>
      <c r="CA107" s="196" t="n"/>
      <c r="CB107" s="196" t="n"/>
      <c r="CC107" s="196" t="n">
        <v>0</v>
      </c>
      <c r="CD107" s="196" t="n">
        <v>9910</v>
      </c>
      <c r="CE107" s="196" t="n">
        <v>7579</v>
      </c>
      <c r="CF107" s="196" t="n">
        <v>17502</v>
      </c>
      <c r="CG107" s="196" t="n"/>
      <c r="CH107" s="196" t="n"/>
      <c r="CI107" s="196" t="n"/>
      <c r="CJ107" s="196" t="n">
        <v>9256</v>
      </c>
      <c r="CK107" s="196" t="n"/>
      <c r="CL107" s="196" t="n"/>
      <c r="CM107" s="196" t="n"/>
      <c r="CN107" s="196" t="n"/>
      <c r="CO107" s="196" t="n"/>
      <c r="CP107" s="196" t="n"/>
      <c r="CQ107" s="196" t="n"/>
      <c r="CR107" s="196" t="n"/>
      <c r="CS107" s="196" t="n"/>
      <c r="CT107" s="196" t="n">
        <v>149.3</v>
      </c>
      <c r="CU107" s="196" t="n">
        <v>7.6</v>
      </c>
      <c r="CV107" s="196" t="n"/>
      <c r="CW107" s="196" t="n">
        <v>7.1</v>
      </c>
      <c r="CX107" s="196" t="n">
        <v>7</v>
      </c>
      <c r="CY107" s="196" t="n">
        <v>6.7</v>
      </c>
      <c r="CZ107" s="196" t="n">
        <v>91</v>
      </c>
      <c r="DA107" s="196" t="n">
        <v>174.3</v>
      </c>
      <c r="DB107" s="196" t="n">
        <v>256</v>
      </c>
      <c r="DC107" s="196" t="n">
        <v>330.2</v>
      </c>
      <c r="DD107" s="196" t="n">
        <v>324.5</v>
      </c>
      <c r="DE107" s="196" t="n">
        <v>319</v>
      </c>
      <c r="DF107" s="196" t="n">
        <v>313.5</v>
      </c>
      <c r="DG107" s="196" t="n">
        <v>308.2</v>
      </c>
      <c r="DH107" s="196" t="n">
        <v>302.9</v>
      </c>
      <c r="DI107" s="196" t="n">
        <v>7797.8</v>
      </c>
      <c r="DJ107" s="196" t="n">
        <v>7810.2</v>
      </c>
      <c r="DK107" s="196" t="n">
        <v>7895</v>
      </c>
      <c r="DL107" s="196" t="n">
        <v>7842.3</v>
      </c>
      <c r="DM107" s="196" t="n">
        <v>80.7</v>
      </c>
      <c r="DN107" s="196" t="n">
        <v>100</v>
      </c>
      <c r="DO107" s="196" t="n">
        <v>100</v>
      </c>
      <c r="DP107" s="196" t="n">
        <v>300</v>
      </c>
      <c r="DQ107" s="196" t="n">
        <v>400</v>
      </c>
      <c r="DR107" s="196" t="n">
        <v>500</v>
      </c>
      <c r="DS107" s="196" t="n">
        <v>500</v>
      </c>
      <c r="DT107" s="196" t="n">
        <v>600</v>
      </c>
      <c r="DU107" s="196" t="n">
        <v>500</v>
      </c>
      <c r="DV107" s="196" t="n">
        <v>500</v>
      </c>
      <c r="DW107" s="196" t="n">
        <v>300</v>
      </c>
      <c r="DX107" s="196" t="n">
        <v>1900</v>
      </c>
      <c r="DY107" s="196" t="n">
        <v>2100</v>
      </c>
      <c r="DZ107" s="196" t="n">
        <v>2200</v>
      </c>
      <c r="EA107" s="196" t="n">
        <v>2300</v>
      </c>
      <c r="EB107" s="196" t="n">
        <v>800</v>
      </c>
      <c r="EC107" s="196" t="n">
        <v>600</v>
      </c>
      <c r="ED107" s="196" t="n">
        <v>600</v>
      </c>
      <c r="EE107" s="196" t="n">
        <v>600</v>
      </c>
      <c r="EF107" s="196" t="n">
        <v>600</v>
      </c>
      <c r="EG107" s="196" t="n">
        <v>600</v>
      </c>
      <c r="EH107" s="196" t="n">
        <v>700</v>
      </c>
      <c r="EI107" s="196" t="n">
        <v>700</v>
      </c>
      <c r="EJ107" s="196" t="n">
        <v>700</v>
      </c>
      <c r="EK107" s="196" t="n">
        <v>600</v>
      </c>
      <c r="EL107" s="182" t="n"/>
      <c r="EM107" s="176" t="n"/>
      <c r="EN107" s="176" t="n"/>
      <c r="EO107" s="176" t="n"/>
      <c r="EP107" s="176" t="n"/>
      <c r="EQ107" s="176" t="n"/>
      <c r="ER107" s="176" t="n"/>
      <c r="ES107" s="176" t="n"/>
      <c r="ET107" s="176" t="n"/>
      <c r="EU107" s="176" t="n"/>
      <c r="EV107" s="176" t="n"/>
      <c r="EW107" s="176" t="n"/>
      <c r="EX107" s="176" t="n"/>
      <c r="EY107" s="176" t="n"/>
      <c r="EZ107" s="176" t="n"/>
      <c r="FA107" s="176" t="n"/>
      <c r="FB107" s="176" t="n"/>
      <c r="FC107" s="176" t="n"/>
      <c r="FD107" s="176" t="n"/>
      <c r="FE107" s="176" t="n"/>
      <c r="FF107" s="176" t="n"/>
      <c r="FG107" s="176" t="n"/>
      <c r="FH107" s="176" t="n"/>
      <c r="FI107" s="176" t="n"/>
      <c r="FJ107" s="176" t="n"/>
    </row>
    <row r="108" ht="15" customHeight="1" s="392">
      <c r="A108" s="176" t="n"/>
      <c r="B108" s="180" t="n"/>
      <c r="C108" s="187" t="inlineStr">
        <is>
          <t xml:space="preserve">        Total Financial Liabilities, Current</t>
        </is>
      </c>
      <c r="D108" s="193">
        <f>IF(COUNT(M108:EK108)&gt;0,MEDIAN(M108:EK108),"")</f>
        <v/>
      </c>
      <c r="E108" s="193">
        <f>IF(COUNT(M108:EK108)&gt;0,AVERAGE(M108:EK108),"")</f>
        <v/>
      </c>
      <c r="F108" s="193">
        <f>IF(COUNT(M108:EK108)&gt;0,MIN(M108:EK108),"")</f>
        <v/>
      </c>
      <c r="G108" s="193">
        <f>IF(COUNT(M108:EK108)&gt;0,MAX(M108:EK108),"")</f>
        <v/>
      </c>
      <c r="H108" s="193">
        <f>IF(COUNT(M108:EK108)&gt;0,QUARTILE(M108:EK108,1),"")</f>
        <v/>
      </c>
      <c r="I108" s="193">
        <f>IF(COUNT(M108:EK108)&gt;0,QUARTILE(M108:EK108,3),"")</f>
        <v/>
      </c>
      <c r="J108" s="193">
        <f>IF(COUNT(M108:EK108)&gt;1,STDEV(M108:EK108),"")</f>
        <v/>
      </c>
      <c r="K108" s="194">
        <f>IF(COUNT(M108:EK108)&gt;1,STDEV(M108:EK108)/AVERAGE(M108:EK108),"")</f>
        <v/>
      </c>
      <c r="L108" s="195" t="n"/>
      <c r="M108" s="196" t="n">
        <v>15163</v>
      </c>
      <c r="N108" s="196" t="n">
        <v>15825</v>
      </c>
      <c r="O108" s="196" t="n">
        <v>16692</v>
      </c>
      <c r="P108" s="196" t="n">
        <v>17870</v>
      </c>
      <c r="Q108" s="196" t="n">
        <v>19869</v>
      </c>
      <c r="R108" s="196" t="n">
        <v>19792</v>
      </c>
      <c r="S108" s="196" t="n">
        <v>22696</v>
      </c>
      <c r="T108" s="196" t="n">
        <v>21436</v>
      </c>
      <c r="U108" s="196" t="n">
        <v>21304</v>
      </c>
      <c r="V108" s="196" t="n">
        <v>20475</v>
      </c>
      <c r="W108" s="196" t="n">
        <v>21223</v>
      </c>
      <c r="X108" s="196" t="n">
        <v>21936</v>
      </c>
      <c r="Y108" s="196" t="n">
        <v>21468</v>
      </c>
      <c r="Z108" s="196" t="n">
        <v>20900</v>
      </c>
      <c r="AA108" s="196" t="n">
        <v>20736</v>
      </c>
      <c r="AB108" s="196" t="n">
        <v>22083</v>
      </c>
      <c r="AC108" s="196" t="n">
        <v>21794</v>
      </c>
      <c r="AD108" s="196" t="n">
        <v>22687</v>
      </c>
      <c r="AE108" s="196" t="n">
        <v>23126</v>
      </c>
      <c r="AF108" s="196" t="n">
        <v>23536</v>
      </c>
      <c r="AG108" s="196" t="n">
        <v>22472</v>
      </c>
      <c r="AH108" s="196" t="n">
        <v>24006</v>
      </c>
      <c r="AI108" s="196" t="n">
        <v>23804</v>
      </c>
      <c r="AJ108" s="196" t="n">
        <v>25604</v>
      </c>
      <c r="AK108" s="196" t="n">
        <v>25572</v>
      </c>
      <c r="AL108" s="196" t="n">
        <v>26938</v>
      </c>
      <c r="AM108" s="196" t="n">
        <v>37529</v>
      </c>
      <c r="AN108" s="196" t="n">
        <v>27645</v>
      </c>
      <c r="AO108" s="196" t="n">
        <v>1138</v>
      </c>
      <c r="AP108" s="196" t="n">
        <v>7556</v>
      </c>
      <c r="AQ108" s="196" t="n">
        <v>94122</v>
      </c>
      <c r="AR108" s="196" t="n">
        <v>999</v>
      </c>
      <c r="AS108" s="196" t="n">
        <v>1151</v>
      </c>
      <c r="AT108" s="196" t="n">
        <v>1151</v>
      </c>
      <c r="AU108" s="196" t="n">
        <v>111851</v>
      </c>
      <c r="AV108" s="196" t="n">
        <v>33150</v>
      </c>
      <c r="AW108" s="196" t="n">
        <v>82155</v>
      </c>
      <c r="AX108" s="196" t="n">
        <v>16151</v>
      </c>
      <c r="AY108" s="196" t="n">
        <v>146151</v>
      </c>
      <c r="AZ108" s="196" t="n">
        <v>171151</v>
      </c>
      <c r="BA108" s="196" t="n">
        <v>76151</v>
      </c>
      <c r="BB108" s="196" t="n">
        <v>30369</v>
      </c>
      <c r="BC108" s="196" t="n">
        <v>99171</v>
      </c>
      <c r="BD108" s="196" t="n">
        <v>42421</v>
      </c>
      <c r="BE108" s="196" t="n">
        <v>53671</v>
      </c>
      <c r="BF108" s="196" t="n">
        <v>64921</v>
      </c>
      <c r="BG108" s="196" t="n">
        <v>76171</v>
      </c>
      <c r="BH108" s="196" t="n">
        <v>76171</v>
      </c>
      <c r="BI108" s="196" t="n">
        <v>79674</v>
      </c>
      <c r="BJ108" s="196" t="n">
        <v>76171</v>
      </c>
      <c r="BK108" s="196" t="n">
        <v>94062</v>
      </c>
      <c r="BL108" s="196" t="n">
        <v>77305</v>
      </c>
      <c r="BM108" s="196" t="n">
        <v>92338</v>
      </c>
      <c r="BN108" s="196" t="n">
        <v>75937</v>
      </c>
      <c r="BO108" s="196" t="n">
        <v>75177</v>
      </c>
      <c r="BP108" s="196" t="n">
        <v>75177</v>
      </c>
      <c r="BQ108" s="196" t="n">
        <v>75170</v>
      </c>
      <c r="BR108" s="196" t="n">
        <v>75174</v>
      </c>
      <c r="BS108" s="196" t="n">
        <v>75180</v>
      </c>
      <c r="BT108" s="196" t="n">
        <v>75387</v>
      </c>
      <c r="BU108" s="196" t="n">
        <v>50370</v>
      </c>
      <c r="BV108" s="196" t="n">
        <v>50745</v>
      </c>
      <c r="BW108" s="196" t="n"/>
      <c r="BX108" s="196" t="n">
        <v>374</v>
      </c>
      <c r="BY108" s="196" t="n"/>
      <c r="BZ108" s="196" t="n"/>
      <c r="CA108" s="196" t="n"/>
      <c r="CB108" s="196" t="n"/>
      <c r="CC108" s="196" t="n">
        <v>0</v>
      </c>
      <c r="CD108" s="196" t="n">
        <v>9910</v>
      </c>
      <c r="CE108" s="196" t="n">
        <v>7579</v>
      </c>
      <c r="CF108" s="196" t="n">
        <v>17502</v>
      </c>
      <c r="CG108" s="196" t="n"/>
      <c r="CH108" s="196" t="n"/>
      <c r="CI108" s="196" t="n"/>
      <c r="CJ108" s="196" t="n">
        <v>9256</v>
      </c>
      <c r="CK108" s="196" t="n"/>
      <c r="CL108" s="196" t="n"/>
      <c r="CM108" s="196" t="n"/>
      <c r="CN108" s="196" t="n"/>
      <c r="CO108" s="196" t="n"/>
      <c r="CP108" s="196" t="n"/>
      <c r="CQ108" s="196" t="n"/>
      <c r="CR108" s="196" t="n"/>
      <c r="CS108" s="196" t="n"/>
      <c r="CT108" s="196" t="n">
        <v>149.3</v>
      </c>
      <c r="CU108" s="196" t="n">
        <v>7.6</v>
      </c>
      <c r="CV108" s="196" t="n"/>
      <c r="CW108" s="196" t="n">
        <v>7.1</v>
      </c>
      <c r="CX108" s="196" t="n">
        <v>7</v>
      </c>
      <c r="CY108" s="196" t="n">
        <v>6.7</v>
      </c>
      <c r="CZ108" s="196" t="n">
        <v>91</v>
      </c>
      <c r="DA108" s="196" t="n">
        <v>174.3</v>
      </c>
      <c r="DB108" s="196" t="n">
        <v>256</v>
      </c>
      <c r="DC108" s="196" t="n">
        <v>330.2</v>
      </c>
      <c r="DD108" s="196" t="n">
        <v>324.5</v>
      </c>
      <c r="DE108" s="196" t="n">
        <v>319</v>
      </c>
      <c r="DF108" s="196" t="n">
        <v>313.5</v>
      </c>
      <c r="DG108" s="196" t="n">
        <v>308.2</v>
      </c>
      <c r="DH108" s="196" t="n">
        <v>302.9</v>
      </c>
      <c r="DI108" s="196" t="n">
        <v>7797.8</v>
      </c>
      <c r="DJ108" s="196" t="n">
        <v>7810.2</v>
      </c>
      <c r="DK108" s="196" t="n">
        <v>7895</v>
      </c>
      <c r="DL108" s="196" t="n">
        <v>7842.3</v>
      </c>
      <c r="DM108" s="196" t="n">
        <v>80.7</v>
      </c>
      <c r="DN108" s="196" t="n">
        <v>100</v>
      </c>
      <c r="DO108" s="196" t="n">
        <v>100</v>
      </c>
      <c r="DP108" s="196" t="n">
        <v>300</v>
      </c>
      <c r="DQ108" s="196" t="n">
        <v>400</v>
      </c>
      <c r="DR108" s="196" t="n">
        <v>500</v>
      </c>
      <c r="DS108" s="196" t="n">
        <v>500</v>
      </c>
      <c r="DT108" s="196" t="n">
        <v>600</v>
      </c>
      <c r="DU108" s="196" t="n">
        <v>500</v>
      </c>
      <c r="DV108" s="196" t="n">
        <v>500</v>
      </c>
      <c r="DW108" s="196" t="n">
        <v>300</v>
      </c>
      <c r="DX108" s="196" t="n">
        <v>1900</v>
      </c>
      <c r="DY108" s="196" t="n">
        <v>2100</v>
      </c>
      <c r="DZ108" s="196" t="n">
        <v>2200</v>
      </c>
      <c r="EA108" s="196" t="n">
        <v>2300</v>
      </c>
      <c r="EB108" s="196" t="n">
        <v>800</v>
      </c>
      <c r="EC108" s="196" t="n">
        <v>600</v>
      </c>
      <c r="ED108" s="196" t="n">
        <v>600</v>
      </c>
      <c r="EE108" s="196" t="n">
        <v>600</v>
      </c>
      <c r="EF108" s="196" t="n">
        <v>600</v>
      </c>
      <c r="EG108" s="196" t="n">
        <v>600</v>
      </c>
      <c r="EH108" s="196" t="n">
        <v>700</v>
      </c>
      <c r="EI108" s="196" t="n">
        <v>700</v>
      </c>
      <c r="EJ108" s="196" t="n">
        <v>700</v>
      </c>
      <c r="EK108" s="196" t="n">
        <v>600</v>
      </c>
      <c r="EL108" s="182" t="n"/>
      <c r="EM108" s="176" t="n"/>
      <c r="EN108" s="176" t="n"/>
      <c r="EO108" s="176" t="n"/>
      <c r="EP108" s="176" t="n"/>
      <c r="EQ108" s="176" t="n"/>
      <c r="ER108" s="176" t="n"/>
      <c r="ES108" s="176" t="n"/>
      <c r="ET108" s="176" t="n"/>
      <c r="EU108" s="176" t="n"/>
      <c r="EV108" s="176" t="n"/>
      <c r="EW108" s="176" t="n"/>
      <c r="EX108" s="176" t="n"/>
      <c r="EY108" s="176" t="n"/>
      <c r="EZ108" s="176" t="n"/>
      <c r="FA108" s="176" t="n"/>
      <c r="FB108" s="176" t="n"/>
      <c r="FC108" s="176" t="n"/>
      <c r="FD108" s="176" t="n"/>
      <c r="FE108" s="176" t="n"/>
      <c r="FF108" s="176" t="n"/>
      <c r="FG108" s="176" t="n"/>
      <c r="FH108" s="176" t="n"/>
      <c r="FI108" s="176" t="n"/>
      <c r="FJ108" s="176" t="n"/>
    </row>
    <row r="109" ht="15" customHeight="1" s="392">
      <c r="A109" s="176" t="n"/>
      <c r="B109" s="180" t="n"/>
      <c r="C109" s="183" t="inlineStr">
        <is>
          <t xml:space="preserve">        Provisions, Current</t>
        </is>
      </c>
      <c r="D109" s="185" t="n"/>
      <c r="E109" s="185" t="n"/>
      <c r="F109" s="185" t="n"/>
      <c r="G109" s="185" t="n"/>
      <c r="H109" s="185" t="n"/>
      <c r="I109" s="185" t="n"/>
      <c r="J109" s="185" t="n"/>
      <c r="K109" s="185" t="n"/>
      <c r="EL109" s="182" t="n"/>
      <c r="EM109" s="176" t="n"/>
      <c r="EN109" s="176" t="n"/>
      <c r="EO109" s="176" t="n"/>
      <c r="EP109" s="176" t="n"/>
      <c r="EQ109" s="176" t="n"/>
      <c r="ER109" s="176" t="n"/>
      <c r="ES109" s="176" t="n"/>
      <c r="ET109" s="176" t="n"/>
      <c r="EU109" s="176" t="n"/>
      <c r="EV109" s="176" t="n"/>
      <c r="EW109" s="176" t="n"/>
      <c r="EX109" s="176" t="n"/>
      <c r="EY109" s="176" t="n"/>
      <c r="EZ109" s="176" t="n"/>
      <c r="FA109" s="176" t="n"/>
      <c r="FB109" s="176" t="n"/>
      <c r="FC109" s="176" t="n"/>
      <c r="FD109" s="176" t="n"/>
      <c r="FE109" s="176" t="n"/>
      <c r="FF109" s="176" t="n"/>
      <c r="FG109" s="176" t="n"/>
      <c r="FH109" s="176" t="n"/>
      <c r="FI109" s="176" t="n"/>
      <c r="FJ109" s="176" t="n"/>
    </row>
    <row r="110" ht="15" customHeight="1" s="392">
      <c r="A110" s="176" t="n"/>
      <c r="B110" s="180" t="n"/>
      <c r="C110" s="183" t="inlineStr">
        <is>
          <t xml:space="preserve">            Provision for Employee Entitlements, Current</t>
        </is>
      </c>
      <c r="D110" s="190">
        <f>IF(COUNT(M110:EK110)&gt;0,MEDIAN(M110:EK110),"")</f>
        <v/>
      </c>
      <c r="E110" s="190">
        <f>IF(COUNT(M110:EK110)&gt;0,AVERAGE(M110:EK110),"")</f>
        <v/>
      </c>
      <c r="F110" s="190">
        <f>IF(COUNT(M110:EK110)&gt;0,MIN(M110:EK110),"")</f>
        <v/>
      </c>
      <c r="G110" s="190">
        <f>IF(COUNT(M110:EK110)&gt;0,MAX(M110:EK110),"")</f>
        <v/>
      </c>
      <c r="H110" s="190">
        <f>IF(COUNT(M110:EK110)&gt;0,QUARTILE(M110:EK110,1),"")</f>
        <v/>
      </c>
      <c r="I110" s="190">
        <f>IF(COUNT(M110:EK110)&gt;0,QUARTILE(M110:EK110,3),"")</f>
        <v/>
      </c>
      <c r="J110" s="190">
        <f>IF(COUNT(M110:EK110)&gt;1,STDEV(M110:EK110),"")</f>
        <v/>
      </c>
      <c r="K110" s="191">
        <f>IF(COUNT(M110:EK110)&gt;1,STDEV(M110:EK110)/AVERAGE(M110:EK110),"")</f>
        <v/>
      </c>
      <c r="M110" s="192" t="n"/>
      <c r="N110" s="192" t="n"/>
      <c r="O110" s="192" t="n"/>
      <c r="P110" s="192" t="n"/>
      <c r="Q110" s="192" t="n">
        <v>67057</v>
      </c>
      <c r="R110" s="192" t="n"/>
      <c r="S110" s="192" t="n"/>
      <c r="T110" s="192" t="n"/>
      <c r="U110" s="192" t="n">
        <v>64036</v>
      </c>
      <c r="V110" s="192" t="n"/>
      <c r="W110" s="192" t="n"/>
      <c r="X110" s="192" t="n"/>
      <c r="Y110" s="192" t="n">
        <v>50914</v>
      </c>
      <c r="Z110" s="192" t="n"/>
      <c r="AA110" s="192" t="n"/>
      <c r="AB110" s="192" t="n"/>
      <c r="AC110" s="192" t="n">
        <v>47206</v>
      </c>
      <c r="AD110" s="192" t="n"/>
      <c r="AE110" s="192" t="n"/>
      <c r="AF110" s="192" t="n"/>
      <c r="AG110" s="192" t="n">
        <v>50688</v>
      </c>
      <c r="AH110" s="192" t="n"/>
      <c r="AI110" s="192" t="n"/>
      <c r="AJ110" s="192" t="n"/>
      <c r="AK110" s="192" t="n">
        <v>42053</v>
      </c>
      <c r="AL110" s="192" t="n"/>
      <c r="AM110" s="192" t="n"/>
      <c r="AN110" s="192" t="n"/>
      <c r="AO110" s="192" t="n">
        <v>41400</v>
      </c>
      <c r="AP110" s="192" t="n"/>
      <c r="AQ110" s="192" t="n"/>
      <c r="AR110" s="192" t="n"/>
      <c r="AS110" s="192" t="n">
        <v>37218</v>
      </c>
      <c r="AT110" s="192" t="n"/>
      <c r="AU110" s="192" t="n"/>
      <c r="AV110" s="192" t="n"/>
      <c r="AW110" s="192" t="n">
        <v>31173</v>
      </c>
      <c r="AX110" s="192" t="n"/>
      <c r="AY110" s="192" t="n"/>
      <c r="AZ110" s="192" t="n"/>
      <c r="BA110" s="192" t="n">
        <v>33382</v>
      </c>
      <c r="BB110" s="192" t="n"/>
      <c r="BC110" s="192" t="n"/>
      <c r="BD110" s="192" t="n"/>
      <c r="BE110" s="192" t="n">
        <v>25647</v>
      </c>
      <c r="BF110" s="192" t="n"/>
      <c r="BG110" s="192" t="n"/>
      <c r="BH110" s="192" t="n"/>
      <c r="BI110" s="192" t="n">
        <v>25721</v>
      </c>
      <c r="BJ110" s="192" t="n"/>
      <c r="BK110" s="192" t="n"/>
      <c r="BL110" s="192" t="n"/>
      <c r="BM110" s="192" t="n">
        <v>21978</v>
      </c>
      <c r="BN110" s="192" t="n"/>
      <c r="BO110" s="192" t="n"/>
      <c r="BP110" s="192" t="n"/>
      <c r="BQ110" s="192" t="n">
        <v>16791</v>
      </c>
      <c r="BR110" s="192" t="n"/>
      <c r="BS110" s="192" t="n"/>
      <c r="BT110" s="192" t="n"/>
      <c r="BU110" s="192" t="n">
        <v>15605</v>
      </c>
      <c r="BV110" s="192" t="n"/>
      <c r="BW110" s="192" t="n"/>
      <c r="BX110" s="192" t="n">
        <v>14298</v>
      </c>
      <c r="BY110" s="192" t="n"/>
      <c r="BZ110" s="192" t="n"/>
      <c r="CA110" s="192" t="n"/>
      <c r="CB110" s="192" t="n"/>
      <c r="CC110" s="192" t="n"/>
      <c r="CD110" s="192" t="n"/>
      <c r="CE110" s="192" t="n"/>
      <c r="CF110" s="192" t="n"/>
      <c r="CG110" s="192" t="n"/>
      <c r="CH110" s="192" t="n"/>
      <c r="CI110" s="192" t="n"/>
      <c r="CJ110" s="192" t="n"/>
      <c r="CK110" s="192" t="n"/>
      <c r="CL110" s="192" t="n"/>
      <c r="CM110" s="192" t="n"/>
      <c r="CN110" s="192" t="n"/>
      <c r="CO110" s="192" t="n"/>
      <c r="CP110" s="192" t="n"/>
      <c r="CQ110" s="192" t="n"/>
      <c r="CR110" s="192" t="n"/>
      <c r="CS110" s="192" t="n"/>
      <c r="CT110" s="192" t="n"/>
      <c r="CU110" s="192" t="n"/>
      <c r="CV110" s="192" t="n"/>
      <c r="CW110" s="192" t="n"/>
      <c r="CX110" s="192" t="n"/>
      <c r="CY110" s="192" t="n"/>
      <c r="CZ110" s="192" t="n"/>
      <c r="DA110" s="192" t="n"/>
      <c r="DB110" s="192" t="n"/>
      <c r="DC110" s="192" t="n"/>
      <c r="DD110" s="192" t="n"/>
      <c r="DE110" s="192" t="n"/>
      <c r="DF110" s="192" t="n"/>
      <c r="DG110" s="192" t="n"/>
      <c r="DH110" s="192" t="n"/>
      <c r="DI110" s="192" t="n"/>
      <c r="DJ110" s="192" t="n"/>
      <c r="DK110" s="192" t="n"/>
      <c r="DL110" s="192" t="n"/>
      <c r="DM110" s="192" t="n"/>
      <c r="DN110" s="192" t="n"/>
      <c r="DO110" s="192" t="n"/>
      <c r="DP110" s="192" t="n"/>
      <c r="DQ110" s="192" t="n"/>
      <c r="DR110" s="192" t="n"/>
      <c r="DS110" s="192" t="n"/>
      <c r="DT110" s="192" t="n"/>
      <c r="DU110" s="192" t="n"/>
      <c r="DV110" s="192" t="n"/>
      <c r="DW110" s="192" t="n"/>
      <c r="DX110" s="192" t="n"/>
      <c r="DY110" s="192" t="n"/>
      <c r="DZ110" s="192" t="n"/>
      <c r="EA110" s="192" t="n"/>
      <c r="EB110" s="192" t="n"/>
      <c r="EC110" s="192" t="n"/>
      <c r="ED110" s="192" t="n"/>
      <c r="EE110" s="192" t="n"/>
      <c r="EF110" s="192" t="n"/>
      <c r="EG110" s="192" t="n"/>
      <c r="EH110" s="192" t="n"/>
      <c r="EI110" s="192" t="n"/>
      <c r="EJ110" s="192" t="n"/>
      <c r="EK110" s="192" t="n"/>
      <c r="EL110" s="182" t="n"/>
      <c r="EM110" s="176" t="n"/>
      <c r="EN110" s="176" t="n"/>
      <c r="EO110" s="176" t="n"/>
      <c r="EP110" s="176" t="n"/>
      <c r="EQ110" s="176" t="n"/>
      <c r="ER110" s="176" t="n"/>
      <c r="ES110" s="176" t="n"/>
      <c r="ET110" s="176" t="n"/>
      <c r="EU110" s="176" t="n"/>
      <c r="EV110" s="176" t="n"/>
      <c r="EW110" s="176" t="n"/>
      <c r="EX110" s="176" t="n"/>
      <c r="EY110" s="176" t="n"/>
      <c r="EZ110" s="176" t="n"/>
      <c r="FA110" s="176" t="n"/>
      <c r="FB110" s="176" t="n"/>
      <c r="FC110" s="176" t="n"/>
      <c r="FD110" s="176" t="n"/>
      <c r="FE110" s="176" t="n"/>
      <c r="FF110" s="176" t="n"/>
      <c r="FG110" s="176" t="n"/>
      <c r="FH110" s="176" t="n"/>
      <c r="FI110" s="176" t="n"/>
      <c r="FJ110" s="176" t="n"/>
    </row>
    <row r="111" ht="15" customHeight="1" s="392">
      <c r="A111" s="176" t="n"/>
      <c r="B111" s="180" t="n"/>
      <c r="C111" s="187" t="inlineStr">
        <is>
          <t xml:space="preserve">        Total Provisions, Current</t>
        </is>
      </c>
      <c r="D111" s="193">
        <f>IF(COUNT(M111:EK111)&gt;0,MEDIAN(M111:EK111),"")</f>
        <v/>
      </c>
      <c r="E111" s="193">
        <f>IF(COUNT(M111:EK111)&gt;0,AVERAGE(M111:EK111),"")</f>
        <v/>
      </c>
      <c r="F111" s="193">
        <f>IF(COUNT(M111:EK111)&gt;0,MIN(M111:EK111),"")</f>
        <v/>
      </c>
      <c r="G111" s="193">
        <f>IF(COUNT(M111:EK111)&gt;0,MAX(M111:EK111),"")</f>
        <v/>
      </c>
      <c r="H111" s="193">
        <f>IF(COUNT(M111:EK111)&gt;0,QUARTILE(M111:EK111,1),"")</f>
        <v/>
      </c>
      <c r="I111" s="193">
        <f>IF(COUNT(M111:EK111)&gt;0,QUARTILE(M111:EK111,3),"")</f>
        <v/>
      </c>
      <c r="J111" s="193">
        <f>IF(COUNT(M111:EK111)&gt;1,STDEV(M111:EK111),"")</f>
        <v/>
      </c>
      <c r="K111" s="194">
        <f>IF(COUNT(M111:EK111)&gt;1,STDEV(M111:EK111)/AVERAGE(M111:EK111),"")</f>
        <v/>
      </c>
      <c r="L111" s="195" t="n"/>
      <c r="M111" s="196" t="n"/>
      <c r="N111" s="196" t="n"/>
      <c r="O111" s="196" t="n"/>
      <c r="P111" s="196" t="n"/>
      <c r="Q111" s="196" t="n">
        <v>67057</v>
      </c>
      <c r="R111" s="196" t="n"/>
      <c r="S111" s="196" t="n"/>
      <c r="T111" s="196" t="n"/>
      <c r="U111" s="196" t="n">
        <v>64036</v>
      </c>
      <c r="V111" s="196" t="n"/>
      <c r="W111" s="196" t="n"/>
      <c r="X111" s="196" t="n"/>
      <c r="Y111" s="196" t="n">
        <v>50914</v>
      </c>
      <c r="Z111" s="196" t="n"/>
      <c r="AA111" s="196" t="n"/>
      <c r="AB111" s="196" t="n"/>
      <c r="AC111" s="196" t="n">
        <v>47206</v>
      </c>
      <c r="AD111" s="196" t="n"/>
      <c r="AE111" s="196" t="n"/>
      <c r="AF111" s="196" t="n"/>
      <c r="AG111" s="196" t="n">
        <v>50688</v>
      </c>
      <c r="AH111" s="196" t="n"/>
      <c r="AI111" s="196" t="n"/>
      <c r="AJ111" s="196" t="n"/>
      <c r="AK111" s="196" t="n">
        <v>42053</v>
      </c>
      <c r="AL111" s="196" t="n"/>
      <c r="AM111" s="196" t="n"/>
      <c r="AN111" s="196" t="n"/>
      <c r="AO111" s="196" t="n">
        <v>41400</v>
      </c>
      <c r="AP111" s="196" t="n"/>
      <c r="AQ111" s="196" t="n"/>
      <c r="AR111" s="196" t="n"/>
      <c r="AS111" s="196" t="n">
        <v>37218</v>
      </c>
      <c r="AT111" s="196" t="n"/>
      <c r="AU111" s="196" t="n"/>
      <c r="AV111" s="196" t="n"/>
      <c r="AW111" s="196" t="n">
        <v>31173</v>
      </c>
      <c r="AX111" s="196" t="n"/>
      <c r="AY111" s="196" t="n"/>
      <c r="AZ111" s="196" t="n"/>
      <c r="BA111" s="196" t="n">
        <v>33382</v>
      </c>
      <c r="BB111" s="196" t="n"/>
      <c r="BC111" s="196" t="n"/>
      <c r="BD111" s="196" t="n"/>
      <c r="BE111" s="196" t="n">
        <v>25647</v>
      </c>
      <c r="BF111" s="196" t="n"/>
      <c r="BG111" s="196" t="n"/>
      <c r="BH111" s="196" t="n"/>
      <c r="BI111" s="196" t="n">
        <v>25721</v>
      </c>
      <c r="BJ111" s="196" t="n"/>
      <c r="BK111" s="196" t="n"/>
      <c r="BL111" s="196" t="n"/>
      <c r="BM111" s="196" t="n">
        <v>21978</v>
      </c>
      <c r="BN111" s="196" t="n"/>
      <c r="BO111" s="196" t="n"/>
      <c r="BP111" s="196" t="n"/>
      <c r="BQ111" s="196" t="n">
        <v>16791</v>
      </c>
      <c r="BR111" s="196" t="n"/>
      <c r="BS111" s="196" t="n"/>
      <c r="BT111" s="196" t="n"/>
      <c r="BU111" s="196" t="n">
        <v>15605</v>
      </c>
      <c r="BV111" s="196" t="n"/>
      <c r="BW111" s="196" t="n"/>
      <c r="BX111" s="196" t="n">
        <v>14298</v>
      </c>
      <c r="BY111" s="196" t="n"/>
      <c r="BZ111" s="196" t="n"/>
      <c r="CA111" s="196" t="n"/>
      <c r="CB111" s="196" t="n"/>
      <c r="CC111" s="196" t="n"/>
      <c r="CD111" s="196" t="n"/>
      <c r="CE111" s="196" t="n"/>
      <c r="CF111" s="196" t="n"/>
      <c r="CG111" s="196" t="n"/>
      <c r="CH111" s="196" t="n"/>
      <c r="CI111" s="196" t="n"/>
      <c r="CJ111" s="196" t="n"/>
      <c r="CK111" s="196" t="n"/>
      <c r="CL111" s="196" t="n"/>
      <c r="CM111" s="196" t="n"/>
      <c r="CN111" s="196" t="n"/>
      <c r="CO111" s="196" t="n"/>
      <c r="CP111" s="196" t="n"/>
      <c r="CQ111" s="196" t="n"/>
      <c r="CR111" s="196" t="n"/>
      <c r="CS111" s="196" t="n"/>
      <c r="CT111" s="196" t="n"/>
      <c r="CU111" s="196" t="n"/>
      <c r="CV111" s="196" t="n"/>
      <c r="CW111" s="196" t="n"/>
      <c r="CX111" s="196" t="n"/>
      <c r="CY111" s="196" t="n"/>
      <c r="CZ111" s="196" t="n"/>
      <c r="DA111" s="196" t="n"/>
      <c r="DB111" s="196" t="n"/>
      <c r="DC111" s="196" t="n"/>
      <c r="DD111" s="196" t="n"/>
      <c r="DE111" s="196" t="n"/>
      <c r="DF111" s="196" t="n"/>
      <c r="DG111" s="196" t="n"/>
      <c r="DH111" s="196" t="n"/>
      <c r="DI111" s="196" t="n"/>
      <c r="DJ111" s="196" t="n"/>
      <c r="DK111" s="196" t="n"/>
      <c r="DL111" s="196" t="n"/>
      <c r="DM111" s="196" t="n"/>
      <c r="DN111" s="196" t="n"/>
      <c r="DO111" s="196" t="n"/>
      <c r="DP111" s="196" t="n"/>
      <c r="DQ111" s="196" t="n"/>
      <c r="DR111" s="196" t="n"/>
      <c r="DS111" s="196" t="n"/>
      <c r="DT111" s="196" t="n"/>
      <c r="DU111" s="196" t="n"/>
      <c r="DV111" s="196" t="n"/>
      <c r="DW111" s="196" t="n"/>
      <c r="DX111" s="196" t="n"/>
      <c r="DY111" s="196" t="n"/>
      <c r="DZ111" s="196" t="n"/>
      <c r="EA111" s="196" t="n"/>
      <c r="EB111" s="196" t="n"/>
      <c r="EC111" s="196" t="n"/>
      <c r="ED111" s="196" t="n"/>
      <c r="EE111" s="196" t="n"/>
      <c r="EF111" s="196" t="n"/>
      <c r="EG111" s="196" t="n"/>
      <c r="EH111" s="196" t="n"/>
      <c r="EI111" s="196" t="n"/>
      <c r="EJ111" s="196" t="n"/>
      <c r="EK111" s="196" t="n"/>
      <c r="EL111" s="182" t="n"/>
      <c r="EM111" s="176" t="n"/>
      <c r="EN111" s="176" t="n"/>
      <c r="EO111" s="176" t="n"/>
      <c r="EP111" s="176" t="n"/>
      <c r="EQ111" s="176" t="n"/>
      <c r="ER111" s="176" t="n"/>
      <c r="ES111" s="176" t="n"/>
      <c r="ET111" s="176" t="n"/>
      <c r="EU111" s="176" t="n"/>
      <c r="EV111" s="176" t="n"/>
      <c r="EW111" s="176" t="n"/>
      <c r="EX111" s="176" t="n"/>
      <c r="EY111" s="176" t="n"/>
      <c r="EZ111" s="176" t="n"/>
      <c r="FA111" s="176" t="n"/>
      <c r="FB111" s="176" t="n"/>
      <c r="FC111" s="176" t="n"/>
      <c r="FD111" s="176" t="n"/>
      <c r="FE111" s="176" t="n"/>
      <c r="FF111" s="176" t="n"/>
      <c r="FG111" s="176" t="n"/>
      <c r="FH111" s="176" t="n"/>
      <c r="FI111" s="176" t="n"/>
      <c r="FJ111" s="176" t="n"/>
    </row>
    <row r="112" ht="15" customHeight="1" s="392">
      <c r="A112" s="176" t="n"/>
      <c r="B112" s="180" t="n"/>
      <c r="C112" s="183" t="inlineStr">
        <is>
          <t xml:space="preserve">        Tax Liabilities, Current</t>
        </is>
      </c>
      <c r="D112" s="185" t="n"/>
      <c r="E112" s="185" t="n"/>
      <c r="F112" s="185" t="n"/>
      <c r="G112" s="185" t="n"/>
      <c r="H112" s="185" t="n"/>
      <c r="I112" s="185" t="n"/>
      <c r="J112" s="185" t="n"/>
      <c r="K112" s="185" t="n"/>
      <c r="EL112" s="182" t="n"/>
      <c r="EM112" s="176" t="n"/>
      <c r="EN112" s="176" t="n"/>
      <c r="EO112" s="176" t="n"/>
      <c r="EP112" s="176" t="n"/>
      <c r="EQ112" s="176" t="n"/>
      <c r="ER112" s="176" t="n"/>
      <c r="ES112" s="176" t="n"/>
      <c r="ET112" s="176" t="n"/>
      <c r="EU112" s="176" t="n"/>
      <c r="EV112" s="176" t="n"/>
      <c r="EW112" s="176" t="n"/>
      <c r="EX112" s="176" t="n"/>
      <c r="EY112" s="176" t="n"/>
      <c r="EZ112" s="176" t="n"/>
      <c r="FA112" s="176" t="n"/>
      <c r="FB112" s="176" t="n"/>
      <c r="FC112" s="176" t="n"/>
      <c r="FD112" s="176" t="n"/>
      <c r="FE112" s="176" t="n"/>
      <c r="FF112" s="176" t="n"/>
      <c r="FG112" s="176" t="n"/>
      <c r="FH112" s="176" t="n"/>
      <c r="FI112" s="176" t="n"/>
      <c r="FJ112" s="176" t="n"/>
    </row>
    <row r="113" ht="15" customHeight="1" s="392">
      <c r="A113" s="176" t="n"/>
      <c r="B113" s="180" t="n"/>
      <c r="C113" s="183" t="inlineStr">
        <is>
          <t xml:space="preserve">            Deferred Tax Liabilities, Current</t>
        </is>
      </c>
      <c r="D113" s="190">
        <f>IF(COUNT(M113:EK113)&gt;0,MEDIAN(M113:EK113),"")</f>
        <v/>
      </c>
      <c r="E113" s="190">
        <f>IF(COUNT(M113:EK113)&gt;0,AVERAGE(M113:EK113),"")</f>
        <v/>
      </c>
      <c r="F113" s="190">
        <f>IF(COUNT(M113:EK113)&gt;0,MIN(M113:EK113),"")</f>
        <v/>
      </c>
      <c r="G113" s="190">
        <f>IF(COUNT(M113:EK113)&gt;0,MAX(M113:EK113),"")</f>
        <v/>
      </c>
      <c r="H113" s="190">
        <f>IF(COUNT(M113:EK113)&gt;0,QUARTILE(M113:EK113,1),"")</f>
        <v/>
      </c>
      <c r="I113" s="190">
        <f>IF(COUNT(M113:EK113)&gt;0,QUARTILE(M113:EK113,3),"")</f>
        <v/>
      </c>
      <c r="J113" s="190">
        <f>IF(COUNT(M113:EK113)&gt;1,STDEV(M113:EK113),"")</f>
        <v/>
      </c>
      <c r="K113" s="191">
        <f>IF(COUNT(M113:EK113)&gt;1,STDEV(M113:EK113)/AVERAGE(M113:EK113),"")</f>
        <v/>
      </c>
      <c r="M113" s="192" t="n"/>
      <c r="N113" s="192" t="n"/>
      <c r="O113" s="192" t="n"/>
      <c r="P113" s="192" t="n"/>
      <c r="Q113" s="192" t="n"/>
      <c r="R113" s="192" t="n"/>
      <c r="S113" s="192" t="n"/>
      <c r="T113" s="192" t="n"/>
      <c r="U113" s="192" t="n"/>
      <c r="V113" s="192" t="n"/>
      <c r="W113" s="192" t="n"/>
      <c r="X113" s="192" t="n"/>
      <c r="Y113" s="192" t="n"/>
      <c r="Z113" s="192" t="n"/>
      <c r="AA113" s="192" t="n"/>
      <c r="AB113" s="192" t="n"/>
      <c r="AC113" s="192" t="n"/>
      <c r="AD113" s="192" t="n"/>
      <c r="AE113" s="192" t="n"/>
      <c r="AF113" s="192" t="n"/>
      <c r="AG113" s="192" t="n"/>
      <c r="AH113" s="192" t="n"/>
      <c r="AI113" s="192" t="n"/>
      <c r="AJ113" s="192" t="n"/>
      <c r="AK113" s="192" t="n"/>
      <c r="AL113" s="192" t="n"/>
      <c r="AM113" s="192" t="n"/>
      <c r="AN113" s="192" t="n"/>
      <c r="AO113" s="192" t="n"/>
      <c r="AP113" s="192" t="n"/>
      <c r="AQ113" s="192" t="n"/>
      <c r="AR113" s="192" t="n"/>
      <c r="AS113" s="192" t="n"/>
      <c r="AT113" s="192" t="n"/>
      <c r="AU113" s="192" t="n"/>
      <c r="AV113" s="192" t="n">
        <v>0</v>
      </c>
      <c r="AW113" s="192" t="n">
        <v>92</v>
      </c>
      <c r="AX113" s="192" t="n"/>
      <c r="AY113" s="192" t="n">
        <v>1266</v>
      </c>
      <c r="AZ113" s="192" t="n"/>
      <c r="BA113" s="192" t="n">
        <v>0</v>
      </c>
      <c r="BB113" s="192" t="n"/>
      <c r="BC113" s="192" t="n"/>
      <c r="BD113" s="192" t="n"/>
      <c r="BE113" s="192" t="n"/>
      <c r="BF113" s="192" t="n"/>
      <c r="BG113" s="192" t="n"/>
      <c r="BH113" s="192" t="n"/>
      <c r="BI113" s="192" t="n"/>
      <c r="BJ113" s="192" t="n"/>
      <c r="BK113" s="192" t="n"/>
      <c r="BL113" s="192" t="n"/>
      <c r="BM113" s="192" t="n"/>
      <c r="BN113" s="192" t="n"/>
      <c r="BO113" s="192" t="n"/>
      <c r="BP113" s="192" t="n"/>
      <c r="BQ113" s="192" t="n"/>
      <c r="BR113" s="192" t="n">
        <v>0</v>
      </c>
      <c r="BS113" s="192" t="n">
        <v>95</v>
      </c>
      <c r="BT113" s="192" t="n">
        <v>131</v>
      </c>
      <c r="BU113" s="192" t="n">
        <v>440</v>
      </c>
      <c r="BV113" s="192" t="n">
        <v>0</v>
      </c>
      <c r="BW113" s="192" t="n">
        <v>241</v>
      </c>
      <c r="BX113" s="192" t="n">
        <v>1154</v>
      </c>
      <c r="BY113" s="192" t="n">
        <v>1012</v>
      </c>
      <c r="BZ113" s="192" t="n">
        <v>1738</v>
      </c>
      <c r="CA113" s="192" t="n">
        <v>1843</v>
      </c>
      <c r="CB113" s="192" t="n">
        <v>1948</v>
      </c>
      <c r="CC113" s="192" t="n">
        <v>4168</v>
      </c>
      <c r="CD113" s="192" t="n">
        <v>3115</v>
      </c>
      <c r="CE113" s="192" t="n">
        <v>3854</v>
      </c>
      <c r="CF113" s="192" t="n">
        <v>2768</v>
      </c>
      <c r="CG113" s="192" t="n">
        <v>2134</v>
      </c>
      <c r="CH113" s="192" t="n">
        <v>2575</v>
      </c>
      <c r="CI113" s="192" t="n">
        <v>2981</v>
      </c>
      <c r="CJ113" s="192" t="n">
        <v>3219</v>
      </c>
      <c r="CK113" s="192" t="n">
        <v>3199</v>
      </c>
      <c r="CL113" s="192" t="n">
        <v>7225</v>
      </c>
      <c r="CM113" s="192" t="n">
        <v>6959</v>
      </c>
      <c r="CN113" s="192" t="n">
        <v>7191</v>
      </c>
      <c r="CO113" s="192" t="n">
        <v>8849</v>
      </c>
      <c r="CP113" s="192" t="n">
        <v>7379</v>
      </c>
      <c r="CQ113" s="192" t="n">
        <v>5444</v>
      </c>
      <c r="CR113" s="192" t="n">
        <v>3295</v>
      </c>
      <c r="CS113" s="192" t="n">
        <v>5564</v>
      </c>
      <c r="CT113" s="192" t="n">
        <v>6781.7</v>
      </c>
      <c r="CU113" s="192" t="n">
        <v>6488.6</v>
      </c>
      <c r="CV113" s="192" t="n">
        <v>5438</v>
      </c>
      <c r="CW113" s="192" t="n">
        <v>6331.2</v>
      </c>
      <c r="CX113" s="192" t="n">
        <v>7952</v>
      </c>
      <c r="CY113" s="192" t="n">
        <v>5224.6</v>
      </c>
      <c r="CZ113" s="192" t="n">
        <v>5902</v>
      </c>
      <c r="DA113" s="192" t="n">
        <v>5775.6</v>
      </c>
      <c r="DB113" s="192" t="n">
        <v>6164.7</v>
      </c>
      <c r="DC113" s="192" t="n">
        <v>4974.3</v>
      </c>
      <c r="DD113" s="192" t="n">
        <v>3646.5</v>
      </c>
      <c r="DE113" s="192" t="n">
        <v>3976.4</v>
      </c>
      <c r="DF113" s="192" t="n">
        <v>5477.7</v>
      </c>
      <c r="DG113" s="192" t="n"/>
      <c r="DH113" s="192" t="n">
        <v>2982.5</v>
      </c>
      <c r="DI113" s="192" t="n"/>
      <c r="DJ113" s="192" t="n"/>
      <c r="DK113" s="192" t="n"/>
      <c r="DL113" s="192" t="n"/>
      <c r="DM113" s="192" t="n"/>
      <c r="DN113" s="192" t="n"/>
      <c r="DO113" s="192" t="n"/>
      <c r="DP113" s="192" t="n"/>
      <c r="DQ113" s="192" t="n"/>
      <c r="DR113" s="192" t="n"/>
      <c r="DS113" s="192" t="n"/>
      <c r="DT113" s="192" t="n"/>
      <c r="DU113" s="192" t="n"/>
      <c r="DV113" s="192" t="n"/>
      <c r="DW113" s="192" t="n"/>
      <c r="DX113" s="192" t="n"/>
      <c r="DY113" s="192" t="n"/>
      <c r="DZ113" s="192" t="n"/>
      <c r="EA113" s="192" t="n"/>
      <c r="EB113" s="192" t="n"/>
      <c r="EC113" s="192" t="n"/>
      <c r="ED113" s="192" t="n"/>
      <c r="EE113" s="192" t="n"/>
      <c r="EF113" s="192" t="n"/>
      <c r="EG113" s="192" t="n"/>
      <c r="EH113" s="192" t="n"/>
      <c r="EI113" s="192" t="n"/>
      <c r="EJ113" s="192" t="n"/>
      <c r="EK113" s="192" t="n"/>
      <c r="EL113" s="182" t="n"/>
      <c r="EM113" s="176" t="n"/>
      <c r="EN113" s="176" t="n"/>
      <c r="EO113" s="176" t="n"/>
      <c r="EP113" s="176" t="n"/>
      <c r="EQ113" s="176" t="n"/>
      <c r="ER113" s="176" t="n"/>
      <c r="ES113" s="176" t="n"/>
      <c r="ET113" s="176" t="n"/>
      <c r="EU113" s="176" t="n"/>
      <c r="EV113" s="176" t="n"/>
      <c r="EW113" s="176" t="n"/>
      <c r="EX113" s="176" t="n"/>
      <c r="EY113" s="176" t="n"/>
      <c r="EZ113" s="176" t="n"/>
      <c r="FA113" s="176" t="n"/>
      <c r="FB113" s="176" t="n"/>
      <c r="FC113" s="176" t="n"/>
      <c r="FD113" s="176" t="n"/>
      <c r="FE113" s="176" t="n"/>
      <c r="FF113" s="176" t="n"/>
      <c r="FG113" s="176" t="n"/>
      <c r="FH113" s="176" t="n"/>
      <c r="FI113" s="176" t="n"/>
      <c r="FJ113" s="176" t="n"/>
    </row>
    <row r="114" ht="15" customHeight="1" s="392">
      <c r="A114" s="176" t="n"/>
      <c r="B114" s="180" t="n"/>
      <c r="C114" s="187" t="inlineStr">
        <is>
          <t xml:space="preserve">        Total Liabilities, Current </t>
        </is>
      </c>
      <c r="D114" s="193">
        <f>IF(COUNT(M114:EK114)&gt;0,MEDIAN(M114:EK114),"")</f>
        <v/>
      </c>
      <c r="E114" s="193">
        <f>IF(COUNT(M114:EK114)&gt;0,AVERAGE(M114:EK114),"")</f>
        <v/>
      </c>
      <c r="F114" s="193">
        <f>IF(COUNT(M114:EK114)&gt;0,MIN(M114:EK114),"")</f>
        <v/>
      </c>
      <c r="G114" s="193">
        <f>IF(COUNT(M114:EK114)&gt;0,MAX(M114:EK114),"")</f>
        <v/>
      </c>
      <c r="H114" s="193">
        <f>IF(COUNT(M114:EK114)&gt;0,QUARTILE(M114:EK114,1),"")</f>
        <v/>
      </c>
      <c r="I114" s="193">
        <f>IF(COUNT(M114:EK114)&gt;0,QUARTILE(M114:EK114,3),"")</f>
        <v/>
      </c>
      <c r="J114" s="193">
        <f>IF(COUNT(M114:EK114)&gt;1,STDEV(M114:EK114),"")</f>
        <v/>
      </c>
      <c r="K114" s="194">
        <f>IF(COUNT(M114:EK114)&gt;1,STDEV(M114:EK114)/AVERAGE(M114:EK114),"")</f>
        <v/>
      </c>
      <c r="L114" s="195" t="n"/>
      <c r="M114" s="196" t="n"/>
      <c r="N114" s="196" t="n"/>
      <c r="O114" s="196" t="n"/>
      <c r="P114" s="196" t="n"/>
      <c r="Q114" s="196" t="n"/>
      <c r="R114" s="196" t="n"/>
      <c r="S114" s="196" t="n"/>
      <c r="T114" s="196" t="n"/>
      <c r="U114" s="196" t="n"/>
      <c r="V114" s="196" t="n"/>
      <c r="W114" s="196" t="n"/>
      <c r="X114" s="196" t="n"/>
      <c r="Y114" s="196" t="n"/>
      <c r="Z114" s="196" t="n"/>
      <c r="AA114" s="196" t="n"/>
      <c r="AB114" s="196" t="n"/>
      <c r="AC114" s="196" t="n"/>
      <c r="AD114" s="196" t="n"/>
      <c r="AE114" s="196" t="n"/>
      <c r="AF114" s="196" t="n"/>
      <c r="AG114" s="196" t="n"/>
      <c r="AH114" s="196" t="n"/>
      <c r="AI114" s="196" t="n"/>
      <c r="AJ114" s="196" t="n"/>
      <c r="AK114" s="196" t="n"/>
      <c r="AL114" s="196" t="n"/>
      <c r="AM114" s="196" t="n"/>
      <c r="AN114" s="196" t="n"/>
      <c r="AO114" s="196" t="n"/>
      <c r="AP114" s="196" t="n"/>
      <c r="AQ114" s="196" t="n"/>
      <c r="AR114" s="196" t="n"/>
      <c r="AS114" s="196" t="n"/>
      <c r="AT114" s="196" t="n"/>
      <c r="AU114" s="196" t="n"/>
      <c r="AV114" s="196" t="n">
        <v>0</v>
      </c>
      <c r="AW114" s="196" t="n">
        <v>92</v>
      </c>
      <c r="AX114" s="196" t="n"/>
      <c r="AY114" s="196" t="n">
        <v>1266</v>
      </c>
      <c r="AZ114" s="196" t="n"/>
      <c r="BA114" s="196" t="n">
        <v>0</v>
      </c>
      <c r="BB114" s="196" t="n"/>
      <c r="BC114" s="196" t="n"/>
      <c r="BD114" s="196" t="n"/>
      <c r="BE114" s="196" t="n"/>
      <c r="BF114" s="196" t="n"/>
      <c r="BG114" s="196" t="n"/>
      <c r="BH114" s="196" t="n"/>
      <c r="BI114" s="196" t="n"/>
      <c r="BJ114" s="196" t="n"/>
      <c r="BK114" s="196" t="n"/>
      <c r="BL114" s="196" t="n"/>
      <c r="BM114" s="196" t="n"/>
      <c r="BN114" s="196" t="n"/>
      <c r="BO114" s="196" t="n"/>
      <c r="BP114" s="196" t="n"/>
      <c r="BQ114" s="196" t="n"/>
      <c r="BR114" s="196" t="n">
        <v>0</v>
      </c>
      <c r="BS114" s="196" t="n">
        <v>95</v>
      </c>
      <c r="BT114" s="196" t="n">
        <v>131</v>
      </c>
      <c r="BU114" s="196" t="n">
        <v>440</v>
      </c>
      <c r="BV114" s="196" t="n">
        <v>0</v>
      </c>
      <c r="BW114" s="196" t="n">
        <v>241</v>
      </c>
      <c r="BX114" s="196" t="n">
        <v>1154</v>
      </c>
      <c r="BY114" s="196" t="n">
        <v>1012</v>
      </c>
      <c r="BZ114" s="196" t="n">
        <v>1738</v>
      </c>
      <c r="CA114" s="196" t="n">
        <v>1843</v>
      </c>
      <c r="CB114" s="196" t="n">
        <v>1948</v>
      </c>
      <c r="CC114" s="196" t="n">
        <v>4168</v>
      </c>
      <c r="CD114" s="196" t="n">
        <v>3115</v>
      </c>
      <c r="CE114" s="196" t="n">
        <v>3854</v>
      </c>
      <c r="CF114" s="196" t="n">
        <v>2768</v>
      </c>
      <c r="CG114" s="196" t="n">
        <v>2134</v>
      </c>
      <c r="CH114" s="196" t="n">
        <v>2575</v>
      </c>
      <c r="CI114" s="196" t="n">
        <v>2981</v>
      </c>
      <c r="CJ114" s="196" t="n">
        <v>3219</v>
      </c>
      <c r="CK114" s="196" t="n">
        <v>3199</v>
      </c>
      <c r="CL114" s="196" t="n">
        <v>7225</v>
      </c>
      <c r="CM114" s="196" t="n">
        <v>6959</v>
      </c>
      <c r="CN114" s="196" t="n">
        <v>7191</v>
      </c>
      <c r="CO114" s="196" t="n">
        <v>8849</v>
      </c>
      <c r="CP114" s="196" t="n">
        <v>7379</v>
      </c>
      <c r="CQ114" s="196" t="n">
        <v>5444</v>
      </c>
      <c r="CR114" s="196" t="n">
        <v>3295</v>
      </c>
      <c r="CS114" s="196" t="n">
        <v>5564</v>
      </c>
      <c r="CT114" s="196" t="n">
        <v>6781.7</v>
      </c>
      <c r="CU114" s="196" t="n">
        <v>6488.6</v>
      </c>
      <c r="CV114" s="196" t="n">
        <v>5438</v>
      </c>
      <c r="CW114" s="196" t="n">
        <v>6331.2</v>
      </c>
      <c r="CX114" s="196" t="n">
        <v>7952</v>
      </c>
      <c r="CY114" s="196" t="n">
        <v>5224.6</v>
      </c>
      <c r="CZ114" s="196" t="n">
        <v>5902</v>
      </c>
      <c r="DA114" s="196" t="n">
        <v>5775.6</v>
      </c>
      <c r="DB114" s="196" t="n">
        <v>6164.7</v>
      </c>
      <c r="DC114" s="196" t="n">
        <v>4974.3</v>
      </c>
      <c r="DD114" s="196" t="n">
        <v>3646.5</v>
      </c>
      <c r="DE114" s="196" t="n">
        <v>3976.4</v>
      </c>
      <c r="DF114" s="196" t="n">
        <v>5477.7</v>
      </c>
      <c r="DG114" s="196" t="n"/>
      <c r="DH114" s="196" t="n">
        <v>2982.5</v>
      </c>
      <c r="DI114" s="196" t="n"/>
      <c r="DJ114" s="196" t="n"/>
      <c r="DK114" s="196" t="n"/>
      <c r="DL114" s="196" t="n"/>
      <c r="DM114" s="196" t="n"/>
      <c r="DN114" s="196" t="n"/>
      <c r="DO114" s="196" t="n"/>
      <c r="DP114" s="196" t="n"/>
      <c r="DQ114" s="196" t="n"/>
      <c r="DR114" s="196" t="n"/>
      <c r="DS114" s="196" t="n"/>
      <c r="DT114" s="196" t="n"/>
      <c r="DU114" s="196" t="n"/>
      <c r="DV114" s="196" t="n"/>
      <c r="DW114" s="196" t="n"/>
      <c r="DX114" s="196" t="n"/>
      <c r="DY114" s="196" t="n"/>
      <c r="DZ114" s="196" t="n"/>
      <c r="EA114" s="196" t="n"/>
      <c r="EB114" s="196" t="n"/>
      <c r="EC114" s="196" t="n"/>
      <c r="ED114" s="196" t="n"/>
      <c r="EE114" s="196" t="n"/>
      <c r="EF114" s="196" t="n"/>
      <c r="EG114" s="196" t="n"/>
      <c r="EH114" s="196" t="n"/>
      <c r="EI114" s="196" t="n"/>
      <c r="EJ114" s="196" t="n"/>
      <c r="EK114" s="196" t="n"/>
      <c r="EL114" s="182" t="n"/>
      <c r="EM114" s="176" t="n"/>
      <c r="EN114" s="176" t="n"/>
      <c r="EO114" s="176" t="n"/>
      <c r="EP114" s="176" t="n"/>
      <c r="EQ114" s="176" t="n"/>
      <c r="ER114" s="176" t="n"/>
      <c r="ES114" s="176" t="n"/>
      <c r="ET114" s="176" t="n"/>
      <c r="EU114" s="176" t="n"/>
      <c r="EV114" s="176" t="n"/>
      <c r="EW114" s="176" t="n"/>
      <c r="EX114" s="176" t="n"/>
      <c r="EY114" s="176" t="n"/>
      <c r="EZ114" s="176" t="n"/>
      <c r="FA114" s="176" t="n"/>
      <c r="FB114" s="176" t="n"/>
      <c r="FC114" s="176" t="n"/>
      <c r="FD114" s="176" t="n"/>
      <c r="FE114" s="176" t="n"/>
      <c r="FF114" s="176" t="n"/>
      <c r="FG114" s="176" t="n"/>
      <c r="FH114" s="176" t="n"/>
      <c r="FI114" s="176" t="n"/>
      <c r="FJ114" s="176" t="n"/>
    </row>
    <row r="115" ht="15" customHeight="1" s="392">
      <c r="A115" s="176" t="n"/>
      <c r="B115" s="180" t="n"/>
      <c r="C115" s="183" t="inlineStr">
        <is>
          <t xml:space="preserve">        Deferred Liabilities, Current</t>
        </is>
      </c>
      <c r="D115" s="185" t="n"/>
      <c r="E115" s="185" t="n"/>
      <c r="F115" s="185" t="n"/>
      <c r="G115" s="185" t="n"/>
      <c r="H115" s="185" t="n"/>
      <c r="I115" s="185" t="n"/>
      <c r="J115" s="185" t="n"/>
      <c r="K115" s="185" t="n"/>
      <c r="EL115" s="182" t="n"/>
      <c r="EM115" s="176" t="n"/>
      <c r="EN115" s="176" t="n"/>
      <c r="EO115" s="176" t="n"/>
      <c r="EP115" s="176" t="n"/>
      <c r="EQ115" s="176" t="n"/>
      <c r="ER115" s="176" t="n"/>
      <c r="ES115" s="176" t="n"/>
      <c r="ET115" s="176" t="n"/>
      <c r="EU115" s="176" t="n"/>
      <c r="EV115" s="176" t="n"/>
      <c r="EW115" s="176" t="n"/>
      <c r="EX115" s="176" t="n"/>
      <c r="EY115" s="176" t="n"/>
      <c r="EZ115" s="176" t="n"/>
      <c r="FA115" s="176" t="n"/>
      <c r="FB115" s="176" t="n"/>
      <c r="FC115" s="176" t="n"/>
      <c r="FD115" s="176" t="n"/>
      <c r="FE115" s="176" t="n"/>
      <c r="FF115" s="176" t="n"/>
      <c r="FG115" s="176" t="n"/>
      <c r="FH115" s="176" t="n"/>
      <c r="FI115" s="176" t="n"/>
      <c r="FJ115" s="176" t="n"/>
    </row>
    <row r="116" ht="15" customHeight="1" s="392">
      <c r="A116" s="176" t="n"/>
      <c r="B116" s="180" t="n"/>
      <c r="C116" s="183" t="inlineStr">
        <is>
          <t xml:space="preserve">            Deferred Income/Customer Advances/Billings in Excess of Cost, Current</t>
        </is>
      </c>
      <c r="D116" s="190">
        <f>IF(COUNT(M116:EK116)&gt;0,MEDIAN(M116:EK116),"")</f>
        <v/>
      </c>
      <c r="E116" s="190">
        <f>IF(COUNT(M116:EK116)&gt;0,AVERAGE(M116:EK116),"")</f>
        <v/>
      </c>
      <c r="F116" s="190">
        <f>IF(COUNT(M116:EK116)&gt;0,MIN(M116:EK116),"")</f>
        <v/>
      </c>
      <c r="G116" s="190">
        <f>IF(COUNT(M116:EK116)&gt;0,MAX(M116:EK116),"")</f>
        <v/>
      </c>
      <c r="H116" s="190">
        <f>IF(COUNT(M116:EK116)&gt;0,QUARTILE(M116:EK116,1),"")</f>
        <v/>
      </c>
      <c r="I116" s="190">
        <f>IF(COUNT(M116:EK116)&gt;0,QUARTILE(M116:EK116,3),"")</f>
        <v/>
      </c>
      <c r="J116" s="190">
        <f>IF(COUNT(M116:EK116)&gt;1,STDEV(M116:EK116),"")</f>
        <v/>
      </c>
      <c r="K116" s="191">
        <f>IF(COUNT(M116:EK116)&gt;1,STDEV(M116:EK116)/AVERAGE(M116:EK116),"")</f>
        <v/>
      </c>
      <c r="M116" s="192" t="n">
        <v>32466</v>
      </c>
      <c r="N116" s="192" t="n">
        <v>33494</v>
      </c>
      <c r="O116" s="192" t="n">
        <v>31383</v>
      </c>
      <c r="P116" s="192" t="n">
        <v>30471</v>
      </c>
      <c r="Q116" s="192" t="n">
        <v>200069</v>
      </c>
      <c r="R116" s="192" t="n">
        <v>30292</v>
      </c>
      <c r="S116" s="192" t="n">
        <v>26892</v>
      </c>
      <c r="T116" s="192" t="n">
        <v>25576</v>
      </c>
      <c r="U116" s="192" t="n">
        <v>184032</v>
      </c>
      <c r="V116" s="192" t="n">
        <v>28761</v>
      </c>
      <c r="W116" s="192" t="n">
        <v>26204</v>
      </c>
      <c r="X116" s="192" t="n">
        <v>27174</v>
      </c>
      <c r="Y116" s="192" t="n">
        <v>164593</v>
      </c>
      <c r="Z116" s="192" t="n">
        <v>25664</v>
      </c>
      <c r="AA116" s="192" t="n">
        <v>23796</v>
      </c>
      <c r="AB116" s="192" t="n">
        <v>19319</v>
      </c>
      <c r="AC116" s="192" t="n">
        <v>141992</v>
      </c>
      <c r="AD116" s="192" t="n">
        <v>21087</v>
      </c>
      <c r="AE116" s="192" t="n">
        <v>20577</v>
      </c>
      <c r="AF116" s="192" t="n">
        <v>19951</v>
      </c>
      <c r="AG116" s="192" t="n">
        <v>126342</v>
      </c>
      <c r="AH116" s="192" t="n">
        <v>20660</v>
      </c>
      <c r="AI116" s="192" t="n">
        <v>14431</v>
      </c>
      <c r="AJ116" s="192" t="n">
        <v>9476</v>
      </c>
      <c r="AK116" s="192" t="n">
        <v>97253</v>
      </c>
      <c r="AL116" s="192" t="n">
        <v>7884</v>
      </c>
      <c r="AM116" s="192" t="n">
        <v>7603</v>
      </c>
      <c r="AN116" s="192" t="n">
        <v>5113</v>
      </c>
      <c r="AO116" s="192" t="n">
        <v>79887</v>
      </c>
      <c r="AP116" s="192" t="n">
        <v>7988</v>
      </c>
      <c r="AQ116" s="192" t="n">
        <v>7344</v>
      </c>
      <c r="AR116" s="192" t="n">
        <v>4934</v>
      </c>
      <c r="AS116" s="192" t="n">
        <v>66931</v>
      </c>
      <c r="AT116" s="192" t="n">
        <v>5906</v>
      </c>
      <c r="AU116" s="192" t="n">
        <v>6797</v>
      </c>
      <c r="AV116" s="192" t="n">
        <v>5189</v>
      </c>
      <c r="AW116" s="192" t="n">
        <v>55622</v>
      </c>
      <c r="AX116" s="192" t="n">
        <v>6147</v>
      </c>
      <c r="AY116" s="192" t="n">
        <v>5938</v>
      </c>
      <c r="AZ116" s="192" t="n">
        <v>3975</v>
      </c>
      <c r="BA116" s="192" t="n">
        <v>45128</v>
      </c>
      <c r="BB116" s="192" t="n">
        <v>5745</v>
      </c>
      <c r="BC116" s="192" t="n">
        <v>5478</v>
      </c>
      <c r="BD116" s="192" t="n">
        <v>3719</v>
      </c>
      <c r="BE116" s="192" t="n">
        <v>37595</v>
      </c>
      <c r="BF116" s="192" t="n">
        <v>4612</v>
      </c>
      <c r="BG116" s="192" t="n">
        <v>4515</v>
      </c>
      <c r="BH116" s="192" t="n">
        <v>3815</v>
      </c>
      <c r="BI116" s="192" t="n">
        <v>32287</v>
      </c>
      <c r="BJ116" s="192" t="n">
        <v>5146</v>
      </c>
      <c r="BK116" s="192" t="n">
        <v>5179</v>
      </c>
      <c r="BL116" s="192" t="n">
        <v>4179</v>
      </c>
      <c r="BM116" s="192" t="n">
        <v>30216</v>
      </c>
      <c r="BN116" s="192" t="n">
        <v>5405</v>
      </c>
      <c r="BO116" s="192" t="n">
        <v>5363</v>
      </c>
      <c r="BP116" s="192" t="n">
        <v>5218</v>
      </c>
      <c r="BQ116" s="192" t="n">
        <v>23451</v>
      </c>
      <c r="BR116" s="192" t="n">
        <v>6367</v>
      </c>
      <c r="BS116" s="192" t="n">
        <v>6331</v>
      </c>
      <c r="BT116" s="192" t="n">
        <v>4526</v>
      </c>
      <c r="BU116" s="192" t="n">
        <v>5636</v>
      </c>
      <c r="BV116" s="192" t="n">
        <v>6189</v>
      </c>
      <c r="BW116" s="192" t="n">
        <v>5607</v>
      </c>
      <c r="BX116" s="192" t="n">
        <v>10642</v>
      </c>
      <c r="BY116" s="192" t="n">
        <v>10819</v>
      </c>
      <c r="BZ116" s="192" t="n">
        <v>12917</v>
      </c>
      <c r="CA116" s="192" t="n">
        <v>12299</v>
      </c>
      <c r="CB116" s="192" t="n">
        <v>13165</v>
      </c>
      <c r="CC116" s="192" t="n">
        <v>14425</v>
      </c>
      <c r="CD116" s="192" t="n">
        <v>16315</v>
      </c>
      <c r="CE116" s="192" t="n">
        <v>15409</v>
      </c>
      <c r="CF116" s="192" t="n">
        <v>14518</v>
      </c>
      <c r="CG116" s="192" t="n">
        <v>15457</v>
      </c>
      <c r="CH116" s="192" t="n">
        <v>16033</v>
      </c>
      <c r="CI116" s="192" t="n">
        <v>14159</v>
      </c>
      <c r="CJ116" s="192" t="n">
        <v>13897</v>
      </c>
      <c r="CK116" s="192" t="n">
        <v>14342</v>
      </c>
      <c r="CL116" s="192" t="n">
        <v>14728</v>
      </c>
      <c r="CM116" s="192" t="n">
        <v>14372</v>
      </c>
      <c r="CN116" s="192" t="n">
        <v>15372</v>
      </c>
      <c r="CO116" s="192" t="n">
        <v>20729</v>
      </c>
      <c r="CP116" s="192" t="n">
        <v>23214</v>
      </c>
      <c r="CQ116" s="192" t="n">
        <v>14989</v>
      </c>
      <c r="CR116" s="192" t="n">
        <v>12477</v>
      </c>
      <c r="CS116" s="192" t="n">
        <v>12742</v>
      </c>
      <c r="CT116" s="192" t="n">
        <v>13880.2</v>
      </c>
      <c r="CU116" s="192" t="n">
        <v>11351.8</v>
      </c>
      <c r="CV116" s="192" t="n">
        <v>9721</v>
      </c>
      <c r="CW116" s="192" t="n">
        <v>9888.9</v>
      </c>
      <c r="CX116" s="192" t="n">
        <v>11882</v>
      </c>
      <c r="CY116" s="192" t="n">
        <v>10715.5</v>
      </c>
      <c r="CZ116" s="192" t="n">
        <v>9708</v>
      </c>
      <c r="DA116" s="192" t="n">
        <v>8957.6</v>
      </c>
      <c r="DB116" s="192" t="n">
        <v>10136.6</v>
      </c>
      <c r="DC116" s="192" t="n">
        <v>8613.200000000001</v>
      </c>
      <c r="DD116" s="192" t="n">
        <v>8352</v>
      </c>
      <c r="DE116" s="192" t="n">
        <v>8614</v>
      </c>
      <c r="DF116" s="192" t="n">
        <v>10024.8</v>
      </c>
      <c r="DG116" s="192" t="n">
        <v>9282.799999999999</v>
      </c>
      <c r="DH116" s="192" t="n">
        <v>8863.1</v>
      </c>
      <c r="DI116" s="192" t="n">
        <v>8877.5</v>
      </c>
      <c r="DJ116" s="192" t="n">
        <v>9988.299999999999</v>
      </c>
      <c r="DK116" s="192" t="n">
        <v>8200.200000000001</v>
      </c>
      <c r="DL116" s="192" t="n"/>
      <c r="DM116" s="192" t="n"/>
      <c r="DN116" s="192" t="n"/>
      <c r="DO116" s="192" t="n"/>
      <c r="DP116" s="192" t="n"/>
      <c r="DQ116" s="192" t="n"/>
      <c r="DR116" s="192" t="n"/>
      <c r="DS116" s="192" t="n"/>
      <c r="DT116" s="192" t="n"/>
      <c r="DU116" s="192" t="n"/>
      <c r="DV116" s="192" t="n"/>
      <c r="DW116" s="192" t="n"/>
      <c r="DX116" s="192" t="n"/>
      <c r="DY116" s="192" t="n"/>
      <c r="DZ116" s="192" t="n"/>
      <c r="EA116" s="192" t="n"/>
      <c r="EB116" s="192" t="n"/>
      <c r="EC116" s="192" t="n"/>
      <c r="ED116" s="192" t="n"/>
      <c r="EE116" s="192" t="n"/>
      <c r="EF116" s="192" t="n"/>
      <c r="EG116" s="192" t="n"/>
      <c r="EH116" s="192" t="n"/>
      <c r="EI116" s="192" t="n"/>
      <c r="EJ116" s="192" t="n"/>
      <c r="EK116" s="192" t="n"/>
      <c r="EL116" s="182" t="n"/>
      <c r="EM116" s="176" t="n"/>
      <c r="EN116" s="176" t="n"/>
      <c r="EO116" s="176" t="n"/>
      <c r="EP116" s="176" t="n"/>
      <c r="EQ116" s="176" t="n"/>
      <c r="ER116" s="176" t="n"/>
      <c r="ES116" s="176" t="n"/>
      <c r="ET116" s="176" t="n"/>
      <c r="EU116" s="176" t="n"/>
      <c r="EV116" s="176" t="n"/>
      <c r="EW116" s="176" t="n"/>
      <c r="EX116" s="176" t="n"/>
      <c r="EY116" s="176" t="n"/>
      <c r="EZ116" s="176" t="n"/>
      <c r="FA116" s="176" t="n"/>
      <c r="FB116" s="176" t="n"/>
      <c r="FC116" s="176" t="n"/>
      <c r="FD116" s="176" t="n"/>
      <c r="FE116" s="176" t="n"/>
      <c r="FF116" s="176" t="n"/>
      <c r="FG116" s="176" t="n"/>
      <c r="FH116" s="176" t="n"/>
      <c r="FI116" s="176" t="n"/>
      <c r="FJ116" s="176" t="n"/>
    </row>
    <row r="117" ht="15" customHeight="1" s="392">
      <c r="A117" s="176" t="n"/>
      <c r="B117" s="180" t="n"/>
      <c r="C117" s="187" t="inlineStr">
        <is>
          <t xml:space="preserve">        Total Deferred Liabilities, Current</t>
        </is>
      </c>
      <c r="D117" s="193">
        <f>IF(COUNT(M117:EK117)&gt;0,MEDIAN(M117:EK117),"")</f>
        <v/>
      </c>
      <c r="E117" s="193">
        <f>IF(COUNT(M117:EK117)&gt;0,AVERAGE(M117:EK117),"")</f>
        <v/>
      </c>
      <c r="F117" s="193">
        <f>IF(COUNT(M117:EK117)&gt;0,MIN(M117:EK117),"")</f>
        <v/>
      </c>
      <c r="G117" s="193">
        <f>IF(COUNT(M117:EK117)&gt;0,MAX(M117:EK117),"")</f>
        <v/>
      </c>
      <c r="H117" s="193">
        <f>IF(COUNT(M117:EK117)&gt;0,QUARTILE(M117:EK117,1),"")</f>
        <v/>
      </c>
      <c r="I117" s="193">
        <f>IF(COUNT(M117:EK117)&gt;0,QUARTILE(M117:EK117,3),"")</f>
        <v/>
      </c>
      <c r="J117" s="193">
        <f>IF(COUNT(M117:EK117)&gt;1,STDEV(M117:EK117),"")</f>
        <v/>
      </c>
      <c r="K117" s="194">
        <f>IF(COUNT(M117:EK117)&gt;1,STDEV(M117:EK117)/AVERAGE(M117:EK117),"")</f>
        <v/>
      </c>
      <c r="L117" s="195" t="n"/>
      <c r="M117" s="196" t="n">
        <v>32466</v>
      </c>
      <c r="N117" s="196" t="n">
        <v>33494</v>
      </c>
      <c r="O117" s="196" t="n">
        <v>31383</v>
      </c>
      <c r="P117" s="196" t="n">
        <v>30471</v>
      </c>
      <c r="Q117" s="196" t="n">
        <v>200069</v>
      </c>
      <c r="R117" s="196" t="n">
        <v>30292</v>
      </c>
      <c r="S117" s="196" t="n">
        <v>26892</v>
      </c>
      <c r="T117" s="196" t="n">
        <v>25576</v>
      </c>
      <c r="U117" s="196" t="n">
        <v>184032</v>
      </c>
      <c r="V117" s="196" t="n">
        <v>28761</v>
      </c>
      <c r="W117" s="196" t="n">
        <v>26204</v>
      </c>
      <c r="X117" s="196" t="n">
        <v>27174</v>
      </c>
      <c r="Y117" s="196" t="n">
        <v>164593</v>
      </c>
      <c r="Z117" s="196" t="n">
        <v>25664</v>
      </c>
      <c r="AA117" s="196" t="n">
        <v>23796</v>
      </c>
      <c r="AB117" s="196" t="n">
        <v>19319</v>
      </c>
      <c r="AC117" s="196" t="n">
        <v>141992</v>
      </c>
      <c r="AD117" s="196" t="n">
        <v>21087</v>
      </c>
      <c r="AE117" s="196" t="n">
        <v>20577</v>
      </c>
      <c r="AF117" s="196" t="n">
        <v>19951</v>
      </c>
      <c r="AG117" s="196" t="n">
        <v>126342</v>
      </c>
      <c r="AH117" s="196" t="n">
        <v>20660</v>
      </c>
      <c r="AI117" s="196" t="n">
        <v>14431</v>
      </c>
      <c r="AJ117" s="196" t="n">
        <v>9476</v>
      </c>
      <c r="AK117" s="196" t="n">
        <v>97253</v>
      </c>
      <c r="AL117" s="196" t="n">
        <v>7884</v>
      </c>
      <c r="AM117" s="196" t="n">
        <v>7603</v>
      </c>
      <c r="AN117" s="196" t="n">
        <v>5113</v>
      </c>
      <c r="AO117" s="196" t="n">
        <v>79887</v>
      </c>
      <c r="AP117" s="196" t="n">
        <v>7988</v>
      </c>
      <c r="AQ117" s="196" t="n">
        <v>7344</v>
      </c>
      <c r="AR117" s="196" t="n">
        <v>4934</v>
      </c>
      <c r="AS117" s="196" t="n">
        <v>66931</v>
      </c>
      <c r="AT117" s="196" t="n">
        <v>5906</v>
      </c>
      <c r="AU117" s="196" t="n">
        <v>6797</v>
      </c>
      <c r="AV117" s="196" t="n">
        <v>5189</v>
      </c>
      <c r="AW117" s="196" t="n">
        <v>55622</v>
      </c>
      <c r="AX117" s="196" t="n">
        <v>6147</v>
      </c>
      <c r="AY117" s="196" t="n">
        <v>5938</v>
      </c>
      <c r="AZ117" s="196" t="n">
        <v>3975</v>
      </c>
      <c r="BA117" s="196" t="n">
        <v>45128</v>
      </c>
      <c r="BB117" s="196" t="n">
        <v>5745</v>
      </c>
      <c r="BC117" s="196" t="n">
        <v>5478</v>
      </c>
      <c r="BD117" s="196" t="n">
        <v>3719</v>
      </c>
      <c r="BE117" s="196" t="n">
        <v>37595</v>
      </c>
      <c r="BF117" s="196" t="n">
        <v>4612</v>
      </c>
      <c r="BG117" s="196" t="n">
        <v>4515</v>
      </c>
      <c r="BH117" s="196" t="n">
        <v>3815</v>
      </c>
      <c r="BI117" s="196" t="n">
        <v>32287</v>
      </c>
      <c r="BJ117" s="196" t="n">
        <v>5146</v>
      </c>
      <c r="BK117" s="196" t="n">
        <v>5179</v>
      </c>
      <c r="BL117" s="196" t="n">
        <v>4179</v>
      </c>
      <c r="BM117" s="196" t="n">
        <v>30216</v>
      </c>
      <c r="BN117" s="196" t="n">
        <v>5405</v>
      </c>
      <c r="BO117" s="196" t="n">
        <v>5363</v>
      </c>
      <c r="BP117" s="196" t="n">
        <v>5218</v>
      </c>
      <c r="BQ117" s="196" t="n">
        <v>23451</v>
      </c>
      <c r="BR117" s="196" t="n">
        <v>6367</v>
      </c>
      <c r="BS117" s="196" t="n">
        <v>6331</v>
      </c>
      <c r="BT117" s="196" t="n">
        <v>4526</v>
      </c>
      <c r="BU117" s="196" t="n">
        <v>5636</v>
      </c>
      <c r="BV117" s="196" t="n">
        <v>6189</v>
      </c>
      <c r="BW117" s="196" t="n">
        <v>5607</v>
      </c>
      <c r="BX117" s="196" t="n">
        <v>10642</v>
      </c>
      <c r="BY117" s="196" t="n">
        <v>10819</v>
      </c>
      <c r="BZ117" s="196" t="n">
        <v>12917</v>
      </c>
      <c r="CA117" s="196" t="n">
        <v>12299</v>
      </c>
      <c r="CB117" s="196" t="n">
        <v>13165</v>
      </c>
      <c r="CC117" s="196" t="n">
        <v>14425</v>
      </c>
      <c r="CD117" s="196" t="n">
        <v>16315</v>
      </c>
      <c r="CE117" s="196" t="n">
        <v>15409</v>
      </c>
      <c r="CF117" s="196" t="n">
        <v>14518</v>
      </c>
      <c r="CG117" s="196" t="n">
        <v>15457</v>
      </c>
      <c r="CH117" s="196" t="n">
        <v>16033</v>
      </c>
      <c r="CI117" s="196" t="n">
        <v>14159</v>
      </c>
      <c r="CJ117" s="196" t="n">
        <v>13897</v>
      </c>
      <c r="CK117" s="196" t="n">
        <v>14342</v>
      </c>
      <c r="CL117" s="196" t="n">
        <v>14728</v>
      </c>
      <c r="CM117" s="196" t="n">
        <v>14372</v>
      </c>
      <c r="CN117" s="196" t="n">
        <v>15372</v>
      </c>
      <c r="CO117" s="196" t="n">
        <v>20729</v>
      </c>
      <c r="CP117" s="196" t="n">
        <v>23214</v>
      </c>
      <c r="CQ117" s="196" t="n">
        <v>14989</v>
      </c>
      <c r="CR117" s="196" t="n">
        <v>12477</v>
      </c>
      <c r="CS117" s="196" t="n">
        <v>12742</v>
      </c>
      <c r="CT117" s="196" t="n">
        <v>13880.2</v>
      </c>
      <c r="CU117" s="196" t="n">
        <v>11351.8</v>
      </c>
      <c r="CV117" s="196" t="n">
        <v>9721</v>
      </c>
      <c r="CW117" s="196" t="n">
        <v>9888.9</v>
      </c>
      <c r="CX117" s="196" t="n">
        <v>11882</v>
      </c>
      <c r="CY117" s="196" t="n">
        <v>10715.5</v>
      </c>
      <c r="CZ117" s="196" t="n">
        <v>9708</v>
      </c>
      <c r="DA117" s="196" t="n">
        <v>8957.6</v>
      </c>
      <c r="DB117" s="196" t="n">
        <v>10136.6</v>
      </c>
      <c r="DC117" s="196" t="n">
        <v>8613.200000000001</v>
      </c>
      <c r="DD117" s="196" t="n">
        <v>8352</v>
      </c>
      <c r="DE117" s="196" t="n">
        <v>8614</v>
      </c>
      <c r="DF117" s="196" t="n">
        <v>10024.8</v>
      </c>
      <c r="DG117" s="196" t="n">
        <v>9282.799999999999</v>
      </c>
      <c r="DH117" s="196" t="n">
        <v>8863.1</v>
      </c>
      <c r="DI117" s="196" t="n">
        <v>8877.5</v>
      </c>
      <c r="DJ117" s="196" t="n">
        <v>9988.299999999999</v>
      </c>
      <c r="DK117" s="196" t="n">
        <v>8200.200000000001</v>
      </c>
      <c r="DL117" s="196" t="n"/>
      <c r="DM117" s="196" t="n"/>
      <c r="DN117" s="196" t="n"/>
      <c r="DO117" s="196" t="n"/>
      <c r="DP117" s="196" t="n"/>
      <c r="DQ117" s="196" t="n"/>
      <c r="DR117" s="196" t="n"/>
      <c r="DS117" s="196" t="n"/>
      <c r="DT117" s="196" t="n"/>
      <c r="DU117" s="196" t="n"/>
      <c r="DV117" s="196" t="n"/>
      <c r="DW117" s="196" t="n"/>
      <c r="DX117" s="196" t="n"/>
      <c r="DY117" s="196" t="n"/>
      <c r="DZ117" s="196" t="n"/>
      <c r="EA117" s="196" t="n"/>
      <c r="EB117" s="196" t="n"/>
      <c r="EC117" s="196" t="n"/>
      <c r="ED117" s="196" t="n"/>
      <c r="EE117" s="196" t="n"/>
      <c r="EF117" s="196" t="n"/>
      <c r="EG117" s="196" t="n"/>
      <c r="EH117" s="196" t="n"/>
      <c r="EI117" s="196" t="n"/>
      <c r="EJ117" s="196" t="n"/>
      <c r="EK117" s="196" t="n"/>
      <c r="EL117" s="182" t="n"/>
      <c r="EM117" s="176" t="n"/>
      <c r="EN117" s="176" t="n"/>
      <c r="EO117" s="176" t="n"/>
      <c r="EP117" s="176" t="n"/>
      <c r="EQ117" s="176" t="n"/>
      <c r="ER117" s="176" t="n"/>
      <c r="ES117" s="176" t="n"/>
      <c r="ET117" s="176" t="n"/>
      <c r="EU117" s="176" t="n"/>
      <c r="EV117" s="176" t="n"/>
      <c r="EW117" s="176" t="n"/>
      <c r="EX117" s="176" t="n"/>
      <c r="EY117" s="176" t="n"/>
      <c r="EZ117" s="176" t="n"/>
      <c r="FA117" s="176" t="n"/>
      <c r="FB117" s="176" t="n"/>
      <c r="FC117" s="176" t="n"/>
      <c r="FD117" s="176" t="n"/>
      <c r="FE117" s="176" t="n"/>
      <c r="FF117" s="176" t="n"/>
      <c r="FG117" s="176" t="n"/>
      <c r="FH117" s="176" t="n"/>
      <c r="FI117" s="176" t="n"/>
      <c r="FJ117" s="176" t="n"/>
    </row>
    <row r="118" ht="15" customHeight="1" s="392">
      <c r="A118" s="176" t="n"/>
      <c r="B118" s="180" t="n"/>
      <c r="C118" s="183" t="inlineStr">
        <is>
          <t xml:space="preserve">        Other Current Liabilities</t>
        </is>
      </c>
      <c r="D118" s="190">
        <f>IF(COUNT(M118:EK118)&gt;0,MEDIAN(M118:EK118),"")</f>
        <v/>
      </c>
      <c r="E118" s="190">
        <f>IF(COUNT(M118:EK118)&gt;0,AVERAGE(M118:EK118),"")</f>
        <v/>
      </c>
      <c r="F118" s="190">
        <f>IF(COUNT(M118:EK118)&gt;0,MIN(M118:EK118),"")</f>
        <v/>
      </c>
      <c r="G118" s="190">
        <f>IF(COUNT(M118:EK118)&gt;0,MAX(M118:EK118),"")</f>
        <v/>
      </c>
      <c r="H118" s="190">
        <f>IF(COUNT(M118:EK118)&gt;0,QUARTILE(M118:EK118,1),"")</f>
        <v/>
      </c>
      <c r="I118" s="190">
        <f>IF(COUNT(M118:EK118)&gt;0,QUARTILE(M118:EK118,3),"")</f>
        <v/>
      </c>
      <c r="J118" s="190">
        <f>IF(COUNT(M118:EK118)&gt;1,STDEV(M118:EK118),"")</f>
        <v/>
      </c>
      <c r="K118" s="191">
        <f>IF(COUNT(M118:EK118)&gt;1,STDEV(M118:EK118)/AVERAGE(M118:EK118),"")</f>
        <v/>
      </c>
      <c r="M118" s="192" t="n"/>
      <c r="N118" s="192" t="n"/>
      <c r="O118" s="192" t="n"/>
      <c r="P118" s="192" t="n"/>
      <c r="Q118" s="192" t="n"/>
      <c r="R118" s="192" t="n"/>
      <c r="S118" s="192" t="n"/>
      <c r="T118" s="192" t="n"/>
      <c r="U118" s="192" t="n"/>
      <c r="V118" s="192" t="n"/>
      <c r="W118" s="192" t="n"/>
      <c r="X118" s="192" t="n"/>
      <c r="Y118" s="192" t="n"/>
      <c r="Z118" s="192" t="n"/>
      <c r="AA118" s="192" t="n"/>
      <c r="AB118" s="192" t="n"/>
      <c r="AC118" s="192" t="n"/>
      <c r="AD118" s="192" t="n"/>
      <c r="AE118" s="192" t="n"/>
      <c r="AF118" s="192" t="n"/>
      <c r="AG118" s="192" t="n"/>
      <c r="AH118" s="192" t="n"/>
      <c r="AI118" s="192" t="n"/>
      <c r="AJ118" s="192" t="n"/>
      <c r="AK118" s="192" t="n"/>
      <c r="AL118" s="192" t="n"/>
      <c r="AM118" s="192" t="n"/>
      <c r="AN118" s="192" t="n"/>
      <c r="AO118" s="192" t="n"/>
      <c r="AP118" s="192" t="n"/>
      <c r="AQ118" s="192" t="n"/>
      <c r="AR118" s="192" t="n"/>
      <c r="AS118" s="192" t="n"/>
      <c r="AT118" s="192" t="n"/>
      <c r="AU118" s="192" t="n"/>
      <c r="AV118" s="192" t="n"/>
      <c r="AW118" s="192" t="n"/>
      <c r="AX118" s="192" t="n"/>
      <c r="AY118" s="192" t="n"/>
      <c r="AZ118" s="192" t="n"/>
      <c r="BA118" s="192" t="n"/>
      <c r="BB118" s="192" t="n"/>
      <c r="BC118" s="192" t="n"/>
      <c r="BD118" s="192" t="n"/>
      <c r="BE118" s="192" t="n"/>
      <c r="BF118" s="192" t="n"/>
      <c r="BG118" s="192" t="n"/>
      <c r="BH118" s="192" t="n"/>
      <c r="BI118" s="192" t="n"/>
      <c r="BJ118" s="192" t="n"/>
      <c r="BK118" s="192" t="n"/>
      <c r="BL118" s="192" t="n"/>
      <c r="BM118" s="192" t="n"/>
      <c r="BN118" s="192" t="n">
        <v>0</v>
      </c>
      <c r="BO118" s="192" t="n">
        <v>788</v>
      </c>
      <c r="BP118" s="192" t="n">
        <v>802</v>
      </c>
      <c r="BQ118" s="192" t="n"/>
      <c r="BR118" s="192" t="n"/>
      <c r="BS118" s="192" t="n">
        <v>785</v>
      </c>
      <c r="BT118" s="192" t="n">
        <v>4840</v>
      </c>
      <c r="BU118" s="192" t="n">
        <v>4929</v>
      </c>
      <c r="BV118" s="192" t="n"/>
      <c r="BW118" s="192" t="n">
        <v>343</v>
      </c>
      <c r="BX118" s="192" t="n"/>
      <c r="BY118" s="192" t="n">
        <v>389</v>
      </c>
      <c r="BZ118" s="192" t="n">
        <v>427</v>
      </c>
      <c r="CA118" s="192" t="n">
        <v>440</v>
      </c>
      <c r="CB118" s="192" t="n">
        <v>429</v>
      </c>
      <c r="CC118" s="192" t="n">
        <v>378</v>
      </c>
      <c r="CD118" s="192" t="n">
        <v>362</v>
      </c>
      <c r="CE118" s="192" t="n">
        <v>10692</v>
      </c>
      <c r="CF118" s="192" t="n">
        <v>4581</v>
      </c>
      <c r="CG118" s="192" t="n">
        <v>12112</v>
      </c>
      <c r="CH118" s="192" t="n">
        <v>3472</v>
      </c>
      <c r="CI118" s="192" t="n">
        <v>27654</v>
      </c>
      <c r="CJ118" s="192" t="n">
        <v>4404</v>
      </c>
      <c r="CK118" s="192" t="n">
        <v>3812</v>
      </c>
      <c r="CL118" s="192" t="n"/>
      <c r="CM118" s="192" t="n">
        <v>15608</v>
      </c>
      <c r="CN118" s="192" t="n">
        <v>126</v>
      </c>
      <c r="CO118" s="192" t="n">
        <v>1418</v>
      </c>
      <c r="CP118" s="192" t="n">
        <v>678</v>
      </c>
      <c r="CQ118" s="192" t="n">
        <v>15631</v>
      </c>
      <c r="CR118" s="192" t="n">
        <v>7375</v>
      </c>
      <c r="CS118" s="192" t="n">
        <v>10257</v>
      </c>
      <c r="CT118" s="192" t="n">
        <v>5845.8</v>
      </c>
      <c r="CU118" s="192" t="n">
        <v>12858.5</v>
      </c>
      <c r="CV118" s="192" t="n">
        <v>3984</v>
      </c>
      <c r="CW118" s="192" t="n">
        <v>9844.700000000001</v>
      </c>
      <c r="CX118" s="192" t="n">
        <v>843</v>
      </c>
      <c r="CY118" s="192" t="n">
        <v>3913</v>
      </c>
      <c r="CZ118" s="192" t="n">
        <v>174</v>
      </c>
      <c r="DA118" s="192" t="n">
        <v>3935.4</v>
      </c>
      <c r="DB118" s="192" t="n">
        <v>2728.9</v>
      </c>
      <c r="DC118" s="192" t="n">
        <v>7681.1</v>
      </c>
      <c r="DD118" s="192" t="n">
        <v>2830</v>
      </c>
      <c r="DE118" s="192" t="n">
        <v>8672.799999999999</v>
      </c>
      <c r="DF118" s="192" t="n">
        <v>4966.2</v>
      </c>
      <c r="DG118" s="192" t="n">
        <v>9854</v>
      </c>
      <c r="DH118" s="192" t="n">
        <v>5172</v>
      </c>
      <c r="DI118" s="192" t="n">
        <v>7984.2</v>
      </c>
      <c r="DJ118" s="192" t="n">
        <v>4531.3</v>
      </c>
      <c r="DK118" s="192" t="n">
        <v>2879.9</v>
      </c>
      <c r="DL118" s="192" t="n">
        <v>9545.4</v>
      </c>
      <c r="DM118" s="192" t="n">
        <v>9795.299999999999</v>
      </c>
      <c r="DN118" s="192" t="n">
        <v>9700</v>
      </c>
      <c r="DO118" s="192" t="n">
        <v>10900</v>
      </c>
      <c r="DP118" s="192" t="n">
        <v>7700</v>
      </c>
      <c r="DQ118" s="192" t="n">
        <v>8800</v>
      </c>
      <c r="DR118" s="192" t="n">
        <v>9400</v>
      </c>
      <c r="DS118" s="192" t="n">
        <v>9600</v>
      </c>
      <c r="DT118" s="192" t="n">
        <v>7900</v>
      </c>
      <c r="DU118" s="192" t="n">
        <v>8700</v>
      </c>
      <c r="DV118" s="192" t="n">
        <v>9300</v>
      </c>
      <c r="DW118" s="192" t="n">
        <v>10000</v>
      </c>
      <c r="DX118" s="192" t="n">
        <v>8700</v>
      </c>
      <c r="DY118" s="192" t="n">
        <v>6100</v>
      </c>
      <c r="DZ118" s="192" t="n">
        <v>6400</v>
      </c>
      <c r="EA118" s="192" t="n">
        <v>6500</v>
      </c>
      <c r="EB118" s="192" t="n">
        <v>5500</v>
      </c>
      <c r="EC118" s="192" t="n">
        <v>5800</v>
      </c>
      <c r="ED118" s="192" t="n">
        <v>5700</v>
      </c>
      <c r="EE118" s="192" t="n">
        <v>7000</v>
      </c>
      <c r="EF118" s="192" t="n">
        <v>5000</v>
      </c>
      <c r="EG118" s="192" t="n">
        <v>4100</v>
      </c>
      <c r="EH118" s="192" t="n">
        <v>4200</v>
      </c>
      <c r="EI118" s="192" t="n">
        <v>2800</v>
      </c>
      <c r="EJ118" s="192" t="n">
        <v>1700</v>
      </c>
      <c r="EK118" s="192" t="n">
        <v>1100</v>
      </c>
      <c r="EL118" s="182" t="n"/>
      <c r="EM118" s="176" t="n"/>
      <c r="EN118" s="176" t="n"/>
      <c r="EO118" s="176" t="n"/>
      <c r="EP118" s="176" t="n"/>
      <c r="EQ118" s="176" t="n"/>
      <c r="ER118" s="176" t="n"/>
      <c r="ES118" s="176" t="n"/>
      <c r="ET118" s="176" t="n"/>
      <c r="EU118" s="176" t="n"/>
      <c r="EV118" s="176" t="n"/>
      <c r="EW118" s="176" t="n"/>
      <c r="EX118" s="176" t="n"/>
      <c r="EY118" s="176" t="n"/>
      <c r="EZ118" s="176" t="n"/>
      <c r="FA118" s="176" t="n"/>
      <c r="FB118" s="176" t="n"/>
      <c r="FC118" s="176" t="n"/>
      <c r="FD118" s="176" t="n"/>
      <c r="FE118" s="176" t="n"/>
      <c r="FF118" s="176" t="n"/>
      <c r="FG118" s="176" t="n"/>
      <c r="FH118" s="176" t="n"/>
      <c r="FI118" s="176" t="n"/>
      <c r="FJ118" s="176" t="n"/>
    </row>
    <row r="119" ht="15" customHeight="1" s="392">
      <c r="A119" s="176" t="n"/>
      <c r="B119" s="180" t="n"/>
      <c r="C119" s="187" t="inlineStr">
        <is>
          <t xml:space="preserve">    Total Current Liabilities</t>
        </is>
      </c>
      <c r="D119" s="193">
        <f>IF(COUNT(M119:EK119)&gt;0,MEDIAN(M119:EK119),"")</f>
        <v/>
      </c>
      <c r="E119" s="193">
        <f>IF(COUNT(M119:EK119)&gt;0,AVERAGE(M119:EK119),"")</f>
        <v/>
      </c>
      <c r="F119" s="193">
        <f>IF(COUNT(M119:EK119)&gt;0,MIN(M119:EK119),"")</f>
        <v/>
      </c>
      <c r="G119" s="193">
        <f>IF(COUNT(M119:EK119)&gt;0,MAX(M119:EK119),"")</f>
        <v/>
      </c>
      <c r="H119" s="193">
        <f>IF(COUNT(M119:EK119)&gt;0,QUARTILE(M119:EK119,1),"")</f>
        <v/>
      </c>
      <c r="I119" s="193">
        <f>IF(COUNT(M119:EK119)&gt;0,QUARTILE(M119:EK119,3),"")</f>
        <v/>
      </c>
      <c r="J119" s="193">
        <f>IF(COUNT(M119:EK119)&gt;1,STDEV(M119:EK119),"")</f>
        <v/>
      </c>
      <c r="K119" s="194">
        <f>IF(COUNT(M119:EK119)&gt;1,STDEV(M119:EK119)/AVERAGE(M119:EK119),"")</f>
        <v/>
      </c>
      <c r="L119" s="195" t="n"/>
      <c r="M119" s="196" t="n">
        <v>703741</v>
      </c>
      <c r="N119" s="196" t="n">
        <v>685259</v>
      </c>
      <c r="O119" s="196" t="n">
        <v>613873</v>
      </c>
      <c r="P119" s="196" t="n">
        <v>781196</v>
      </c>
      <c r="Q119" s="196" t="n">
        <v>683281</v>
      </c>
      <c r="R119" s="196" t="n">
        <v>657132</v>
      </c>
      <c r="S119" s="196" t="n">
        <v>629637</v>
      </c>
      <c r="T119" s="196" t="n">
        <v>714855</v>
      </c>
      <c r="U119" s="196" t="n">
        <v>628567</v>
      </c>
      <c r="V119" s="196" t="n">
        <v>563419</v>
      </c>
      <c r="W119" s="196" t="n">
        <v>526023</v>
      </c>
      <c r="X119" s="196" t="n">
        <v>624417</v>
      </c>
      <c r="Y119" s="196" t="n">
        <v>492769</v>
      </c>
      <c r="Z119" s="196" t="n">
        <v>506564</v>
      </c>
      <c r="AA119" s="196" t="n">
        <v>487623</v>
      </c>
      <c r="AB119" s="196" t="n">
        <v>504477</v>
      </c>
      <c r="AC119" s="196" t="n">
        <v>440889</v>
      </c>
      <c r="AD119" s="196" t="n">
        <v>449095</v>
      </c>
      <c r="AE119" s="196" t="n">
        <v>417860</v>
      </c>
      <c r="AF119" s="196" t="n">
        <v>491911</v>
      </c>
      <c r="AG119" s="196" t="n">
        <v>421031</v>
      </c>
      <c r="AH119" s="196" t="n">
        <v>413045</v>
      </c>
      <c r="AI119" s="196" t="n">
        <v>371015</v>
      </c>
      <c r="AJ119" s="196" t="n">
        <v>407536</v>
      </c>
      <c r="AK119" s="196" t="n">
        <v>356044</v>
      </c>
      <c r="AL119" s="196" t="n">
        <v>286568</v>
      </c>
      <c r="AM119" s="196" t="n">
        <v>342837</v>
      </c>
      <c r="AN119" s="196" t="n">
        <v>323318</v>
      </c>
      <c r="AO119" s="196" t="n">
        <v>282004</v>
      </c>
      <c r="AP119" s="196" t="n">
        <v>296906</v>
      </c>
      <c r="AQ119" s="196" t="n">
        <v>372033</v>
      </c>
      <c r="AR119" s="196" t="n">
        <v>254808</v>
      </c>
      <c r="AS119" s="196" t="n">
        <v>277256</v>
      </c>
      <c r="AT119" s="196" t="n">
        <v>270578</v>
      </c>
      <c r="AU119" s="196" t="n">
        <v>375048</v>
      </c>
      <c r="AV119" s="196" t="n">
        <v>289169</v>
      </c>
      <c r="AW119" s="196" t="n">
        <v>302153</v>
      </c>
      <c r="AX119" s="196" t="n">
        <v>221488</v>
      </c>
      <c r="AY119" s="196" t="n">
        <v>345947</v>
      </c>
      <c r="AZ119" s="196" t="n">
        <v>357678</v>
      </c>
      <c r="BA119" s="196" t="n">
        <v>278783</v>
      </c>
      <c r="BB119" s="196" t="n">
        <v>203581</v>
      </c>
      <c r="BC119" s="196" t="n">
        <v>265117</v>
      </c>
      <c r="BD119" s="196" t="n">
        <v>223926</v>
      </c>
      <c r="BE119" s="196" t="n">
        <v>213126</v>
      </c>
      <c r="BF119" s="196" t="n">
        <v>229448</v>
      </c>
      <c r="BG119" s="196" t="n">
        <v>234724</v>
      </c>
      <c r="BH119" s="196" t="n">
        <v>259691</v>
      </c>
      <c r="BI119" s="196" t="n">
        <v>244284</v>
      </c>
      <c r="BJ119" s="196" t="n">
        <v>256742</v>
      </c>
      <c r="BK119" s="196" t="n">
        <v>259651</v>
      </c>
      <c r="BL119" s="196" t="n">
        <v>257907</v>
      </c>
      <c r="BM119" s="196" t="n">
        <v>238559</v>
      </c>
      <c r="BN119" s="196" t="n">
        <v>218377</v>
      </c>
      <c r="BO119" s="196" t="n">
        <v>212811</v>
      </c>
      <c r="BP119" s="196" t="n">
        <v>217215</v>
      </c>
      <c r="BQ119" s="196" t="n">
        <v>186319</v>
      </c>
      <c r="BR119" s="196" t="n">
        <v>198771</v>
      </c>
      <c r="BS119" s="196" t="n">
        <v>186182</v>
      </c>
      <c r="BT119" s="196" t="n">
        <v>208635</v>
      </c>
      <c r="BU119" s="196" t="n">
        <v>166626</v>
      </c>
      <c r="BV119" s="196" t="n">
        <v>171406</v>
      </c>
      <c r="BW119" s="196" t="n">
        <v>116230</v>
      </c>
      <c r="BX119" s="196" t="n">
        <v>107224</v>
      </c>
      <c r="BY119" s="196" t="n">
        <v>120676</v>
      </c>
      <c r="BZ119" s="196" t="n">
        <v>111646</v>
      </c>
      <c r="CA119" s="196" t="n">
        <v>126372</v>
      </c>
      <c r="CB119" s="196" t="n">
        <v>103584</v>
      </c>
      <c r="CC119" s="196" t="n">
        <v>107679</v>
      </c>
      <c r="CD119" s="196" t="n">
        <v>108465</v>
      </c>
      <c r="CE119" s="196" t="n">
        <v>114863</v>
      </c>
      <c r="CF119" s="196" t="n">
        <v>128252</v>
      </c>
      <c r="CG119" s="196" t="n">
        <v>128910</v>
      </c>
      <c r="CH119" s="196" t="n">
        <v>113014</v>
      </c>
      <c r="CI119" s="196" t="n">
        <v>125102</v>
      </c>
      <c r="CJ119" s="196" t="n">
        <v>115858</v>
      </c>
      <c r="CK119" s="196" t="n">
        <v>84320</v>
      </c>
      <c r="CL119" s="196" t="n">
        <v>80740</v>
      </c>
      <c r="CM119" s="196" t="n">
        <v>93918</v>
      </c>
      <c r="CN119" s="196" t="n">
        <v>83333</v>
      </c>
      <c r="CO119" s="196" t="n">
        <v>93683</v>
      </c>
      <c r="CP119" s="196" t="n">
        <v>89579</v>
      </c>
      <c r="CQ119" s="196" t="n">
        <v>98311</v>
      </c>
      <c r="CR119" s="196" t="n">
        <v>80112</v>
      </c>
      <c r="CS119" s="196" t="n">
        <v>78984</v>
      </c>
      <c r="CT119" s="196" t="n">
        <v>74786.39999999999</v>
      </c>
      <c r="CU119" s="196" t="n">
        <v>72621.7</v>
      </c>
      <c r="CV119" s="196" t="n">
        <v>63223</v>
      </c>
      <c r="CW119" s="196" t="n">
        <v>73415.5</v>
      </c>
      <c r="CX119" s="196" t="n">
        <v>60625</v>
      </c>
      <c r="CY119" s="196" t="n">
        <v>58686.6</v>
      </c>
      <c r="CZ119" s="196" t="n">
        <v>54184</v>
      </c>
      <c r="DA119" s="196" t="n">
        <v>53949.2</v>
      </c>
      <c r="DB119" s="196" t="n">
        <v>52792.5</v>
      </c>
      <c r="DC119" s="196" t="n">
        <v>53835</v>
      </c>
      <c r="DD119" s="196" t="n">
        <v>47046.4</v>
      </c>
      <c r="DE119" s="196" t="n">
        <v>55571</v>
      </c>
      <c r="DF119" s="196" t="n">
        <v>49488</v>
      </c>
      <c r="DG119" s="196" t="n">
        <v>48827.9</v>
      </c>
      <c r="DH119" s="196" t="n">
        <v>44090.3</v>
      </c>
      <c r="DI119" s="196" t="n">
        <v>52451</v>
      </c>
      <c r="DJ119" s="196" t="n">
        <v>46963</v>
      </c>
      <c r="DK119" s="196" t="n">
        <v>43224.1</v>
      </c>
      <c r="DL119" s="196" t="n">
        <v>37372.2</v>
      </c>
      <c r="DM119" s="196" t="n">
        <v>32602.8</v>
      </c>
      <c r="DN119" s="196" t="n">
        <v>29900</v>
      </c>
      <c r="DO119" s="196" t="n">
        <v>29100</v>
      </c>
      <c r="DP119" s="196" t="n">
        <v>24600</v>
      </c>
      <c r="DQ119" s="196" t="n">
        <v>25400</v>
      </c>
      <c r="DR119" s="196" t="n">
        <v>21600</v>
      </c>
      <c r="DS119" s="196" t="n">
        <v>22800</v>
      </c>
      <c r="DT119" s="196" t="n">
        <v>20200</v>
      </c>
      <c r="DU119" s="196" t="n">
        <v>23900</v>
      </c>
      <c r="DV119" s="196" t="n">
        <v>22300</v>
      </c>
      <c r="DW119" s="196" t="n">
        <v>24100</v>
      </c>
      <c r="DX119" s="196" t="n">
        <v>22400</v>
      </c>
      <c r="DY119" s="196" t="n">
        <v>20300</v>
      </c>
      <c r="DZ119" s="196" t="n">
        <v>20100</v>
      </c>
      <c r="EA119" s="196" t="n">
        <v>19900</v>
      </c>
      <c r="EB119" s="196" t="n">
        <v>16700</v>
      </c>
      <c r="EC119" s="196" t="n">
        <v>18900</v>
      </c>
      <c r="ED119" s="196" t="n">
        <v>17200</v>
      </c>
      <c r="EE119" s="196" t="n">
        <v>16600</v>
      </c>
      <c r="EF119" s="196" t="n">
        <v>15200</v>
      </c>
      <c r="EG119" s="196" t="n">
        <v>10600</v>
      </c>
      <c r="EH119" s="196" t="n">
        <v>9100</v>
      </c>
      <c r="EI119" s="196" t="n">
        <v>7900</v>
      </c>
      <c r="EJ119" s="196" t="n">
        <v>6500</v>
      </c>
      <c r="EK119" s="196" t="n">
        <v>5600</v>
      </c>
      <c r="EL119" s="182" t="n"/>
      <c r="EM119" s="176" t="n"/>
      <c r="EN119" s="176" t="n"/>
      <c r="EO119" s="176" t="n"/>
      <c r="EP119" s="176" t="n"/>
      <c r="EQ119" s="176" t="n"/>
      <c r="ER119" s="176" t="n"/>
      <c r="ES119" s="176" t="n"/>
      <c r="ET119" s="176" t="n"/>
      <c r="EU119" s="176" t="n"/>
      <c r="EV119" s="176" t="n"/>
      <c r="EW119" s="176" t="n"/>
      <c r="EX119" s="176" t="n"/>
      <c r="EY119" s="176" t="n"/>
      <c r="EZ119" s="176" t="n"/>
      <c r="FA119" s="176" t="n"/>
      <c r="FB119" s="176" t="n"/>
      <c r="FC119" s="176" t="n"/>
      <c r="FD119" s="176" t="n"/>
      <c r="FE119" s="176" t="n"/>
      <c r="FF119" s="176" t="n"/>
      <c r="FG119" s="176" t="n"/>
      <c r="FH119" s="176" t="n"/>
      <c r="FI119" s="176" t="n"/>
      <c r="FJ119" s="176" t="n"/>
    </row>
    <row r="120" ht="15" customHeight="1" s="392">
      <c r="A120" s="176" t="n"/>
      <c r="B120" s="180" t="n"/>
      <c r="C120" s="183" t="inlineStr">
        <is>
          <t xml:space="preserve">    Non-Current Liabilities</t>
        </is>
      </c>
      <c r="D120" s="185" t="n"/>
      <c r="E120" s="185" t="n"/>
      <c r="F120" s="185" t="n"/>
      <c r="G120" s="185" t="n"/>
      <c r="H120" s="185" t="n"/>
      <c r="I120" s="185" t="n"/>
      <c r="J120" s="185" t="n"/>
      <c r="K120" s="185" t="n"/>
      <c r="EL120" s="182" t="n"/>
      <c r="EM120" s="176" t="n"/>
      <c r="EN120" s="176" t="n"/>
      <c r="EO120" s="176" t="n"/>
      <c r="EP120" s="176" t="n"/>
      <c r="EQ120" s="176" t="n"/>
      <c r="ER120" s="176" t="n"/>
      <c r="ES120" s="176" t="n"/>
      <c r="ET120" s="176" t="n"/>
      <c r="EU120" s="176" t="n"/>
      <c r="EV120" s="176" t="n"/>
      <c r="EW120" s="176" t="n"/>
      <c r="EX120" s="176" t="n"/>
      <c r="EY120" s="176" t="n"/>
      <c r="EZ120" s="176" t="n"/>
      <c r="FA120" s="176" t="n"/>
      <c r="FB120" s="176" t="n"/>
      <c r="FC120" s="176" t="n"/>
      <c r="FD120" s="176" t="n"/>
      <c r="FE120" s="176" t="n"/>
      <c r="FF120" s="176" t="n"/>
      <c r="FG120" s="176" t="n"/>
      <c r="FH120" s="176" t="n"/>
      <c r="FI120" s="176" t="n"/>
      <c r="FJ120" s="176" t="n"/>
    </row>
    <row r="121" ht="15" customHeight="1" s="392">
      <c r="A121" s="176" t="n"/>
      <c r="B121" s="180" t="n"/>
      <c r="C121" s="183" t="inlineStr">
        <is>
          <t xml:space="preserve">        Financial Liabilities, Non-Current</t>
        </is>
      </c>
      <c r="D121" s="185" t="n"/>
      <c r="E121" s="185" t="n"/>
      <c r="F121" s="185" t="n"/>
      <c r="G121" s="185" t="n"/>
      <c r="H121" s="185" t="n"/>
      <c r="I121" s="185" t="n"/>
      <c r="J121" s="185" t="n"/>
      <c r="K121" s="185" t="n"/>
      <c r="EL121" s="182" t="n"/>
      <c r="EM121" s="176" t="n"/>
      <c r="EN121" s="176" t="n"/>
      <c r="EO121" s="176" t="n"/>
      <c r="EP121" s="176" t="n"/>
      <c r="EQ121" s="176" t="n"/>
      <c r="ER121" s="176" t="n"/>
      <c r="ES121" s="176" t="n"/>
      <c r="ET121" s="176" t="n"/>
      <c r="EU121" s="176" t="n"/>
      <c r="EV121" s="176" t="n"/>
      <c r="EW121" s="176" t="n"/>
      <c r="EX121" s="176" t="n"/>
      <c r="EY121" s="176" t="n"/>
      <c r="EZ121" s="176" t="n"/>
      <c r="FA121" s="176" t="n"/>
      <c r="FB121" s="176" t="n"/>
      <c r="FC121" s="176" t="n"/>
      <c r="FD121" s="176" t="n"/>
      <c r="FE121" s="176" t="n"/>
      <c r="FF121" s="176" t="n"/>
      <c r="FG121" s="176" t="n"/>
      <c r="FH121" s="176" t="n"/>
      <c r="FI121" s="176" t="n"/>
      <c r="FJ121" s="176" t="n"/>
    </row>
    <row r="122" ht="15" customHeight="1" s="392">
      <c r="A122" s="176" t="n"/>
      <c r="B122" s="180" t="n"/>
      <c r="C122" s="183" t="inlineStr">
        <is>
          <t xml:space="preserve">            Long Term Debt and Capital Lease Obligation</t>
        </is>
      </c>
      <c r="D122" s="185" t="n"/>
      <c r="E122" s="185" t="n"/>
      <c r="F122" s="185" t="n"/>
      <c r="G122" s="185" t="n"/>
      <c r="H122" s="185" t="n"/>
      <c r="I122" s="185" t="n"/>
      <c r="J122" s="185" t="n"/>
      <c r="K122" s="185" t="n"/>
      <c r="EL122" s="182" t="n"/>
      <c r="EM122" s="176" t="n"/>
      <c r="EN122" s="176" t="n"/>
      <c r="EO122" s="176" t="n"/>
      <c r="EP122" s="176" t="n"/>
      <c r="EQ122" s="176" t="n"/>
      <c r="ER122" s="176" t="n"/>
      <c r="ES122" s="176" t="n"/>
      <c r="ET122" s="176" t="n"/>
      <c r="EU122" s="176" t="n"/>
      <c r="EV122" s="176" t="n"/>
      <c r="EW122" s="176" t="n"/>
      <c r="EX122" s="176" t="n"/>
      <c r="EY122" s="176" t="n"/>
      <c r="EZ122" s="176" t="n"/>
      <c r="FA122" s="176" t="n"/>
      <c r="FB122" s="176" t="n"/>
      <c r="FC122" s="176" t="n"/>
      <c r="FD122" s="176" t="n"/>
      <c r="FE122" s="176" t="n"/>
      <c r="FF122" s="176" t="n"/>
      <c r="FG122" s="176" t="n"/>
      <c r="FH122" s="176" t="n"/>
      <c r="FI122" s="176" t="n"/>
      <c r="FJ122" s="176" t="n"/>
    </row>
    <row r="123" ht="15" customHeight="1" s="392">
      <c r="A123" s="176" t="n"/>
      <c r="B123" s="180" t="n"/>
      <c r="C123" s="183" t="inlineStr">
        <is>
          <t xml:space="preserve">                Long Term Debt</t>
        </is>
      </c>
      <c r="D123" s="185" t="n"/>
      <c r="E123" s="185" t="n"/>
      <c r="F123" s="185" t="n"/>
      <c r="G123" s="185" t="n"/>
      <c r="H123" s="185" t="n"/>
      <c r="I123" s="185" t="n"/>
      <c r="J123" s="185" t="n"/>
      <c r="K123" s="185" t="n"/>
      <c r="EL123" s="182" t="n"/>
      <c r="EM123" s="176" t="n"/>
      <c r="EN123" s="176" t="n"/>
      <c r="EO123" s="176" t="n"/>
      <c r="EP123" s="176" t="n"/>
      <c r="EQ123" s="176" t="n"/>
      <c r="ER123" s="176" t="n"/>
      <c r="ES123" s="176" t="n"/>
      <c r="ET123" s="176" t="n"/>
      <c r="EU123" s="176" t="n"/>
      <c r="EV123" s="176" t="n"/>
      <c r="EW123" s="176" t="n"/>
      <c r="EX123" s="176" t="n"/>
      <c r="EY123" s="176" t="n"/>
      <c r="EZ123" s="176" t="n"/>
      <c r="FA123" s="176" t="n"/>
      <c r="FB123" s="176" t="n"/>
      <c r="FC123" s="176" t="n"/>
      <c r="FD123" s="176" t="n"/>
      <c r="FE123" s="176" t="n"/>
      <c r="FF123" s="176" t="n"/>
      <c r="FG123" s="176" t="n"/>
      <c r="FH123" s="176" t="n"/>
      <c r="FI123" s="176" t="n"/>
      <c r="FJ123" s="176" t="n"/>
    </row>
    <row r="124" ht="15" customHeight="1" s="392">
      <c r="A124" s="176" t="n"/>
      <c r="B124" s="180" t="n"/>
      <c r="C124" s="183" t="inlineStr">
        <is>
          <t xml:space="preserve">                    Bank/Institutional Loans, Non-Current</t>
        </is>
      </c>
      <c r="D124" s="190">
        <f>IF(COUNT(M124:EK124)&gt;0,MEDIAN(M124:EK124),"")</f>
        <v/>
      </c>
      <c r="E124" s="190">
        <f>IF(COUNT(M124:EK124)&gt;0,AVERAGE(M124:EK124),"")</f>
        <v/>
      </c>
      <c r="F124" s="190">
        <f>IF(COUNT(M124:EK124)&gt;0,MIN(M124:EK124),"")</f>
        <v/>
      </c>
      <c r="G124" s="190">
        <f>IF(COUNT(M124:EK124)&gt;0,MAX(M124:EK124),"")</f>
        <v/>
      </c>
      <c r="H124" s="190">
        <f>IF(COUNT(M124:EK124)&gt;0,QUARTILE(M124:EK124,1),"")</f>
        <v/>
      </c>
      <c r="I124" s="190">
        <f>IF(COUNT(M124:EK124)&gt;0,QUARTILE(M124:EK124,3),"")</f>
        <v/>
      </c>
      <c r="J124" s="190">
        <f>IF(COUNT(M124:EK124)&gt;1,STDEV(M124:EK124),"")</f>
        <v/>
      </c>
      <c r="K124" s="191">
        <f>IF(COUNT(M124:EK124)&gt;1,STDEV(M124:EK124)/AVERAGE(M124:EK124),"")</f>
        <v/>
      </c>
      <c r="M124" s="192" t="n"/>
      <c r="N124" s="192" t="n"/>
      <c r="O124" s="192" t="n"/>
      <c r="P124" s="192" t="n"/>
      <c r="Q124" s="192" t="n"/>
      <c r="R124" s="192" t="n"/>
      <c r="S124" s="192" t="n"/>
      <c r="T124" s="192" t="n"/>
      <c r="U124" s="192" t="n"/>
      <c r="V124" s="192" t="n"/>
      <c r="W124" s="192" t="n"/>
      <c r="X124" s="192" t="n"/>
      <c r="Y124" s="192" t="n"/>
      <c r="Z124" s="192" t="n"/>
      <c r="AA124" s="192" t="n"/>
      <c r="AB124" s="192" t="n"/>
      <c r="AC124" s="192" t="n"/>
      <c r="AD124" s="192" t="n"/>
      <c r="AE124" s="192" t="n"/>
      <c r="AF124" s="192" t="n"/>
      <c r="AG124" s="192" t="n"/>
      <c r="AH124" s="192" t="n"/>
      <c r="AI124" s="192" t="n"/>
      <c r="AJ124" s="192" t="n"/>
      <c r="AK124" s="192" t="n"/>
      <c r="AL124" s="192" t="n"/>
      <c r="AM124" s="192" t="n">
        <v>399846</v>
      </c>
      <c r="AN124" s="192" t="n">
        <v>399979</v>
      </c>
      <c r="AO124" s="192" t="n"/>
      <c r="AP124" s="192" t="n"/>
      <c r="AQ124" s="192" t="n"/>
      <c r="AR124" s="192" t="n"/>
      <c r="AS124" s="192" t="n"/>
      <c r="AT124" s="192" t="n"/>
      <c r="AU124" s="192" t="n"/>
      <c r="AV124" s="192" t="n"/>
      <c r="AW124" s="192" t="n"/>
      <c r="AX124" s="192" t="n"/>
      <c r="AY124" s="192" t="n"/>
      <c r="AZ124" s="192" t="n"/>
      <c r="BA124" s="192" t="n"/>
      <c r="BB124" s="192" t="n"/>
      <c r="BC124" s="192" t="n"/>
      <c r="BD124" s="192" t="n"/>
      <c r="BE124" s="192" t="n"/>
      <c r="BF124" s="192" t="n"/>
      <c r="BG124" s="192" t="n"/>
      <c r="BH124" s="192" t="n"/>
      <c r="BI124" s="192" t="n"/>
      <c r="BJ124" s="192" t="n"/>
      <c r="BK124" s="192" t="n"/>
      <c r="BL124" s="192" t="n"/>
      <c r="BM124" s="192" t="n"/>
      <c r="BN124" s="192" t="n"/>
      <c r="BO124" s="192" t="n"/>
      <c r="BP124" s="192" t="n"/>
      <c r="BQ124" s="192" t="n"/>
      <c r="BR124" s="192" t="n"/>
      <c r="BS124" s="192" t="n"/>
      <c r="BT124" s="192" t="n"/>
      <c r="BU124" s="192" t="n"/>
      <c r="BV124" s="192" t="n"/>
      <c r="BW124" s="192" t="n"/>
      <c r="BX124" s="192" t="n"/>
      <c r="BY124" s="192" t="n"/>
      <c r="BZ124" s="192" t="n"/>
      <c r="CA124" s="192" t="n"/>
      <c r="CB124" s="192" t="n"/>
      <c r="CC124" s="192" t="n"/>
      <c r="CD124" s="192" t="n"/>
      <c r="CE124" s="192" t="n"/>
      <c r="CF124" s="192" t="n"/>
      <c r="CG124" s="192" t="n"/>
      <c r="CH124" s="192" t="n"/>
      <c r="CI124" s="192" t="n"/>
      <c r="CJ124" s="192" t="n"/>
      <c r="CK124" s="192" t="n"/>
      <c r="CL124" s="192" t="n"/>
      <c r="CM124" s="192" t="n"/>
      <c r="CN124" s="192" t="n"/>
      <c r="CO124" s="192" t="n"/>
      <c r="CP124" s="192" t="n"/>
      <c r="CQ124" s="192" t="n"/>
      <c r="CR124" s="192" t="n"/>
      <c r="CS124" s="192" t="n"/>
      <c r="CT124" s="192" t="n"/>
      <c r="CU124" s="192" t="n"/>
      <c r="CV124" s="192" t="n"/>
      <c r="CW124" s="192" t="n"/>
      <c r="CX124" s="192" t="n"/>
      <c r="CY124" s="192" t="n"/>
      <c r="CZ124" s="192" t="n"/>
      <c r="DA124" s="192" t="n"/>
      <c r="DB124" s="192" t="n"/>
      <c r="DC124" s="192" t="n"/>
      <c r="DD124" s="192" t="n"/>
      <c r="DE124" s="192" t="n"/>
      <c r="DF124" s="192" t="n"/>
      <c r="DG124" s="192" t="n"/>
      <c r="DH124" s="192" t="n"/>
      <c r="DI124" s="192" t="n"/>
      <c r="DJ124" s="192" t="n"/>
      <c r="DK124" s="192" t="n"/>
      <c r="DL124" s="192" t="n"/>
      <c r="DM124" s="192" t="n"/>
      <c r="DN124" s="192" t="n"/>
      <c r="DO124" s="192" t="n"/>
      <c r="DP124" s="192" t="n"/>
      <c r="DQ124" s="192" t="n"/>
      <c r="DR124" s="192" t="n"/>
      <c r="DS124" s="192" t="n"/>
      <c r="DT124" s="192" t="n"/>
      <c r="DU124" s="192" t="n"/>
      <c r="DV124" s="192" t="n"/>
      <c r="DW124" s="192" t="n"/>
      <c r="DX124" s="192" t="n"/>
      <c r="DY124" s="192" t="n"/>
      <c r="DZ124" s="192" t="n"/>
      <c r="EA124" s="192" t="n"/>
      <c r="EB124" s="192" t="n"/>
      <c r="EC124" s="192" t="n"/>
      <c r="ED124" s="192" t="n"/>
      <c r="EE124" s="192" t="n"/>
      <c r="EF124" s="192" t="n"/>
      <c r="EG124" s="192" t="n"/>
      <c r="EH124" s="192" t="n"/>
      <c r="EI124" s="192" t="n"/>
      <c r="EJ124" s="192" t="n"/>
      <c r="EK124" s="192" t="n"/>
      <c r="EL124" s="182" t="n"/>
      <c r="EM124" s="176" t="n"/>
      <c r="EN124" s="176" t="n"/>
      <c r="EO124" s="176" t="n"/>
      <c r="EP124" s="176" t="n"/>
      <c r="EQ124" s="176" t="n"/>
      <c r="ER124" s="176" t="n"/>
      <c r="ES124" s="176" t="n"/>
      <c r="ET124" s="176" t="n"/>
      <c r="EU124" s="176" t="n"/>
      <c r="EV124" s="176" t="n"/>
      <c r="EW124" s="176" t="n"/>
      <c r="EX124" s="176" t="n"/>
      <c r="EY124" s="176" t="n"/>
      <c r="EZ124" s="176" t="n"/>
      <c r="FA124" s="176" t="n"/>
      <c r="FB124" s="176" t="n"/>
      <c r="FC124" s="176" t="n"/>
      <c r="FD124" s="176" t="n"/>
      <c r="FE124" s="176" t="n"/>
      <c r="FF124" s="176" t="n"/>
      <c r="FG124" s="176" t="n"/>
      <c r="FH124" s="176" t="n"/>
      <c r="FI124" s="176" t="n"/>
      <c r="FJ124" s="176" t="n"/>
    </row>
    <row r="125" ht="15" customHeight="1" s="392">
      <c r="A125" s="176" t="n"/>
      <c r="B125" s="180" t="n"/>
      <c r="C125" s="187" t="inlineStr">
        <is>
          <t xml:space="preserve">                Total Long Term Debt</t>
        </is>
      </c>
      <c r="D125" s="193">
        <f>IF(COUNT(M125:EK125)&gt;0,MEDIAN(M125:EK125),"")</f>
        <v/>
      </c>
      <c r="E125" s="193">
        <f>IF(COUNT(M125:EK125)&gt;0,AVERAGE(M125:EK125),"")</f>
        <v/>
      </c>
      <c r="F125" s="193">
        <f>IF(COUNT(M125:EK125)&gt;0,MIN(M125:EK125),"")</f>
        <v/>
      </c>
      <c r="G125" s="193">
        <f>IF(COUNT(M125:EK125)&gt;0,MAX(M125:EK125),"")</f>
        <v/>
      </c>
      <c r="H125" s="193">
        <f>IF(COUNT(M125:EK125)&gt;0,QUARTILE(M125:EK125,1),"")</f>
        <v/>
      </c>
      <c r="I125" s="193">
        <f>IF(COUNT(M125:EK125)&gt;0,QUARTILE(M125:EK125,3),"")</f>
        <v/>
      </c>
      <c r="J125" s="193">
        <f>IF(COUNT(M125:EK125)&gt;1,STDEV(M125:EK125),"")</f>
        <v/>
      </c>
      <c r="K125" s="194">
        <f>IF(COUNT(M125:EK125)&gt;1,STDEV(M125:EK125)/AVERAGE(M125:EK125),"")</f>
        <v/>
      </c>
      <c r="L125" s="195" t="n"/>
      <c r="M125" s="196" t="n"/>
      <c r="N125" s="196" t="n"/>
      <c r="O125" s="196" t="n"/>
      <c r="P125" s="196" t="n"/>
      <c r="Q125" s="196" t="n"/>
      <c r="R125" s="196" t="n"/>
      <c r="S125" s="196" t="n"/>
      <c r="T125" s="196" t="n"/>
      <c r="U125" s="196" t="n"/>
      <c r="V125" s="196" t="n">
        <v>427</v>
      </c>
      <c r="W125" s="196" t="n">
        <v>453</v>
      </c>
      <c r="X125" s="196" t="n">
        <v>9462</v>
      </c>
      <c r="Y125" s="196" t="n">
        <v>10903</v>
      </c>
      <c r="Z125" s="196" t="n">
        <v>22368</v>
      </c>
      <c r="AA125" s="196" t="n">
        <v>1946</v>
      </c>
      <c r="AB125" s="196" t="n">
        <v>1969</v>
      </c>
      <c r="AC125" s="196" t="n">
        <v>1996</v>
      </c>
      <c r="AD125" s="196" t="n">
        <v>402733</v>
      </c>
      <c r="AE125" s="196" t="n">
        <v>403829</v>
      </c>
      <c r="AF125" s="196" t="n">
        <v>408940</v>
      </c>
      <c r="AG125" s="196" t="n">
        <v>397636</v>
      </c>
      <c r="AH125" s="196" t="n">
        <v>397633</v>
      </c>
      <c r="AI125" s="196" t="n">
        <v>402703</v>
      </c>
      <c r="AJ125" s="196" t="n">
        <v>411845</v>
      </c>
      <c r="AK125" s="196" t="n">
        <v>396900</v>
      </c>
      <c r="AL125" s="196" t="n">
        <v>403653</v>
      </c>
      <c r="AM125" s="196" t="n">
        <v>399846</v>
      </c>
      <c r="AN125" s="196" t="n">
        <v>399979</v>
      </c>
      <c r="AO125" s="196" t="n">
        <v>400091</v>
      </c>
      <c r="AP125" s="196" t="n"/>
      <c r="AQ125" s="196" t="n"/>
      <c r="AR125" s="196" t="n"/>
      <c r="AS125" s="196" t="n"/>
      <c r="AT125" s="196" t="n"/>
      <c r="AU125" s="196" t="n"/>
      <c r="AV125" s="196" t="n"/>
      <c r="AW125" s="196" t="n"/>
      <c r="AX125" s="196" t="n"/>
      <c r="AY125" s="196" t="n"/>
      <c r="AZ125" s="196" t="n"/>
      <c r="BA125" s="196" t="n"/>
      <c r="BB125" s="196" t="n"/>
      <c r="BC125" s="196" t="n"/>
      <c r="BD125" s="196" t="n"/>
      <c r="BE125" s="196" t="n"/>
      <c r="BF125" s="196" t="n"/>
      <c r="BG125" s="196" t="n"/>
      <c r="BH125" s="196" t="n"/>
      <c r="BI125" s="196" t="n"/>
      <c r="BJ125" s="196" t="n"/>
      <c r="BK125" s="196" t="n"/>
      <c r="BL125" s="196" t="n"/>
      <c r="BM125" s="196" t="n"/>
      <c r="BN125" s="196" t="n"/>
      <c r="BO125" s="196" t="n"/>
      <c r="BP125" s="196" t="n"/>
      <c r="BQ125" s="196" t="n"/>
      <c r="BR125" s="196" t="n"/>
      <c r="BS125" s="196" t="n"/>
      <c r="BT125" s="196" t="n"/>
      <c r="BU125" s="196" t="n"/>
      <c r="BV125" s="196" t="n">
        <v>337952</v>
      </c>
      <c r="BW125" s="196" t="n"/>
      <c r="BX125" s="196" t="n"/>
      <c r="BY125" s="196" t="n"/>
      <c r="BZ125" s="196" t="n"/>
      <c r="CA125" s="196" t="n"/>
      <c r="CB125" s="196" t="n"/>
      <c r="CC125" s="196" t="n"/>
      <c r="CD125" s="196" t="n"/>
      <c r="CE125" s="196" t="n"/>
      <c r="CF125" s="196" t="n"/>
      <c r="CG125" s="196" t="n"/>
      <c r="CH125" s="196" t="n"/>
      <c r="CI125" s="196" t="n"/>
      <c r="CJ125" s="196" t="n"/>
      <c r="CK125" s="196" t="n"/>
      <c r="CL125" s="196" t="n"/>
      <c r="CM125" s="196" t="n"/>
      <c r="CN125" s="196" t="n"/>
      <c r="CO125" s="196" t="n"/>
      <c r="CP125" s="196" t="n"/>
      <c r="CQ125" s="196" t="n"/>
      <c r="CR125" s="196" t="n"/>
      <c r="CS125" s="196" t="n"/>
      <c r="CT125" s="196" t="n">
        <v>4.9</v>
      </c>
      <c r="CU125" s="196" t="n">
        <v>7</v>
      </c>
      <c r="CV125" s="196" t="n"/>
      <c r="CW125" s="196" t="n">
        <v>10.8</v>
      </c>
      <c r="CX125" s="196" t="n">
        <v>13</v>
      </c>
      <c r="CY125" s="196" t="n">
        <v>14.5</v>
      </c>
      <c r="CZ125" s="196" t="n">
        <v>16</v>
      </c>
      <c r="DA125" s="196" t="n">
        <v>17.9</v>
      </c>
      <c r="DB125" s="196" t="n">
        <v>19.6</v>
      </c>
      <c r="DC125" s="196" t="n"/>
      <c r="DD125" s="196" t="n">
        <v>84.7</v>
      </c>
      <c r="DE125" s="196" t="n">
        <v>167.9</v>
      </c>
      <c r="DF125" s="196" t="n">
        <v>249.7</v>
      </c>
      <c r="DG125" s="196" t="n">
        <v>330.2</v>
      </c>
      <c r="DH125" s="196" t="n">
        <v>409.2</v>
      </c>
      <c r="DI125" s="196" t="n">
        <v>486.9</v>
      </c>
      <c r="DJ125" s="196" t="n">
        <v>563.3</v>
      </c>
      <c r="DK125" s="196" t="n">
        <v>638.4</v>
      </c>
      <c r="DL125" s="196" t="n">
        <v>712.2</v>
      </c>
      <c r="DM125" s="196" t="n">
        <v>7500</v>
      </c>
      <c r="DN125" s="196" t="n">
        <v>7500</v>
      </c>
      <c r="DO125" s="196" t="n">
        <v>7500</v>
      </c>
      <c r="DP125" s="196" t="n">
        <v>7600</v>
      </c>
      <c r="DQ125" s="196" t="n">
        <v>7600</v>
      </c>
      <c r="DR125" s="196" t="n">
        <v>7600</v>
      </c>
      <c r="DS125" s="196" t="n">
        <v>7700</v>
      </c>
      <c r="DT125" s="196" t="n">
        <v>7800</v>
      </c>
      <c r="DU125" s="196" t="n">
        <v>7900</v>
      </c>
      <c r="DV125" s="196" t="n">
        <v>7900</v>
      </c>
      <c r="DW125" s="196" t="n">
        <v>7700</v>
      </c>
      <c r="DX125" s="196" t="n">
        <v>7800</v>
      </c>
      <c r="DY125" s="196" t="n">
        <v>8500</v>
      </c>
      <c r="DZ125" s="196" t="n">
        <v>8700</v>
      </c>
      <c r="EA125" s="196" t="n">
        <v>8800</v>
      </c>
      <c r="EB125" s="196" t="n">
        <v>10500</v>
      </c>
      <c r="EC125" s="196" t="n">
        <v>2700</v>
      </c>
      <c r="ED125" s="196" t="n">
        <v>2900</v>
      </c>
      <c r="EE125" s="196" t="n">
        <v>3000</v>
      </c>
      <c r="EF125" s="196" t="n">
        <v>3200</v>
      </c>
      <c r="EG125" s="196" t="n">
        <v>2900</v>
      </c>
      <c r="EH125" s="196" t="n">
        <v>3200</v>
      </c>
      <c r="EI125" s="196" t="n">
        <v>3300</v>
      </c>
      <c r="EJ125" s="196" t="n">
        <v>3300</v>
      </c>
      <c r="EK125" s="196" t="n">
        <v>2900</v>
      </c>
      <c r="EL125" s="182" t="n"/>
      <c r="EM125" s="176" t="n"/>
      <c r="EN125" s="176" t="n"/>
      <c r="EO125" s="176" t="n"/>
      <c r="EP125" s="176" t="n"/>
      <c r="EQ125" s="176" t="n"/>
      <c r="ER125" s="176" t="n"/>
      <c r="ES125" s="176" t="n"/>
      <c r="ET125" s="176" t="n"/>
      <c r="EU125" s="176" t="n"/>
      <c r="EV125" s="176" t="n"/>
      <c r="EW125" s="176" t="n"/>
      <c r="EX125" s="176" t="n"/>
      <c r="EY125" s="176" t="n"/>
      <c r="EZ125" s="176" t="n"/>
      <c r="FA125" s="176" t="n"/>
      <c r="FB125" s="176" t="n"/>
      <c r="FC125" s="176" t="n"/>
      <c r="FD125" s="176" t="n"/>
      <c r="FE125" s="176" t="n"/>
      <c r="FF125" s="176" t="n"/>
      <c r="FG125" s="176" t="n"/>
      <c r="FH125" s="176" t="n"/>
      <c r="FI125" s="176" t="n"/>
      <c r="FJ125" s="176" t="n"/>
    </row>
    <row r="126" ht="15" customHeight="1" s="392">
      <c r="A126" s="176" t="n"/>
      <c r="B126" s="180" t="n"/>
      <c r="C126" s="183" t="inlineStr">
        <is>
          <t xml:space="preserve">                Capital Lease Obligations, Non-Current</t>
        </is>
      </c>
      <c r="D126" s="190">
        <f>IF(COUNT(M126:EK126)&gt;0,MEDIAN(M126:EK126),"")</f>
        <v/>
      </c>
      <c r="E126" s="190">
        <f>IF(COUNT(M126:EK126)&gt;0,AVERAGE(M126:EK126),"")</f>
        <v/>
      </c>
      <c r="F126" s="190">
        <f>IF(COUNT(M126:EK126)&gt;0,MIN(M126:EK126),"")</f>
        <v/>
      </c>
      <c r="G126" s="190">
        <f>IF(COUNT(M126:EK126)&gt;0,MAX(M126:EK126),"")</f>
        <v/>
      </c>
      <c r="H126" s="190">
        <f>IF(COUNT(M126:EK126)&gt;0,QUARTILE(M126:EK126,1),"")</f>
        <v/>
      </c>
      <c r="I126" s="190">
        <f>IF(COUNT(M126:EK126)&gt;0,QUARTILE(M126:EK126,3),"")</f>
        <v/>
      </c>
      <c r="J126" s="190">
        <f>IF(COUNT(M126:EK126)&gt;1,STDEV(M126:EK126),"")</f>
        <v/>
      </c>
      <c r="K126" s="191">
        <f>IF(COUNT(M126:EK126)&gt;1,STDEV(M126:EK126)/AVERAGE(M126:EK126),"")</f>
        <v/>
      </c>
      <c r="M126" s="192" t="n">
        <v>73204</v>
      </c>
      <c r="N126" s="192" t="n">
        <v>77291</v>
      </c>
      <c r="O126" s="192" t="n">
        <v>79444</v>
      </c>
      <c r="P126" s="192" t="n">
        <v>82066</v>
      </c>
      <c r="Q126" s="192" t="n">
        <v>83870</v>
      </c>
      <c r="R126" s="192" t="n">
        <v>81268</v>
      </c>
      <c r="S126" s="192" t="n">
        <v>96701</v>
      </c>
      <c r="T126" s="192" t="n">
        <v>95435</v>
      </c>
      <c r="U126" s="192" t="n">
        <v>97429</v>
      </c>
      <c r="V126" s="192" t="n">
        <v>91131</v>
      </c>
      <c r="W126" s="192" t="n">
        <v>93876</v>
      </c>
      <c r="X126" s="192" t="n">
        <v>101465</v>
      </c>
      <c r="Y126" s="192" t="n">
        <v>88082</v>
      </c>
      <c r="Z126" s="192" t="n">
        <v>86016</v>
      </c>
      <c r="AA126" s="192" t="n">
        <v>87394</v>
      </c>
      <c r="AB126" s="192" t="n">
        <v>91670</v>
      </c>
      <c r="AC126" s="192" t="n">
        <v>95683</v>
      </c>
      <c r="AD126" s="192" t="n">
        <v>99610</v>
      </c>
      <c r="AE126" s="192" t="n">
        <v>98459</v>
      </c>
      <c r="AF126" s="192" t="n">
        <v>100920</v>
      </c>
      <c r="AG126" s="192" t="n">
        <v>97961</v>
      </c>
      <c r="AH126" s="192" t="n">
        <v>108487</v>
      </c>
      <c r="AI126" s="192" t="n">
        <v>85307</v>
      </c>
      <c r="AJ126" s="192" t="n">
        <v>88490</v>
      </c>
      <c r="AK126" s="192" t="n">
        <v>96150</v>
      </c>
      <c r="AL126" s="192" t="n">
        <v>85698</v>
      </c>
      <c r="AM126" s="192" t="n">
        <v>81906</v>
      </c>
      <c r="AN126" s="192" t="n">
        <v>113263</v>
      </c>
      <c r="AO126" s="192" t="n">
        <v>0</v>
      </c>
      <c r="AP126" s="192" t="n"/>
      <c r="AQ126" s="192" t="n"/>
      <c r="AR126" s="192" t="n"/>
      <c r="AS126" s="192" t="n"/>
      <c r="AT126" s="192" t="n"/>
      <c r="AU126" s="192" t="n"/>
      <c r="AV126" s="192" t="n"/>
      <c r="AW126" s="192" t="n"/>
      <c r="AX126" s="192" t="n"/>
      <c r="AY126" s="192" t="n"/>
      <c r="AZ126" s="192" t="n"/>
      <c r="BA126" s="192" t="n"/>
      <c r="BB126" s="192" t="n"/>
      <c r="BC126" s="192" t="n"/>
      <c r="BD126" s="192" t="n"/>
      <c r="BE126" s="192" t="n"/>
      <c r="BF126" s="192" t="n"/>
      <c r="BG126" s="192" t="n"/>
      <c r="BH126" s="192" t="n"/>
      <c r="BI126" s="192" t="n"/>
      <c r="BJ126" s="192" t="n"/>
      <c r="BK126" s="192" t="n"/>
      <c r="BL126" s="192" t="n"/>
      <c r="BM126" s="192" t="n"/>
      <c r="BN126" s="192" t="n"/>
      <c r="BO126" s="192" t="n"/>
      <c r="BP126" s="192" t="n"/>
      <c r="BQ126" s="192" t="n"/>
      <c r="BR126" s="192" t="n"/>
      <c r="BS126" s="192" t="n"/>
      <c r="BT126" s="192" t="n"/>
      <c r="BU126" s="192" t="n"/>
      <c r="BV126" s="192" t="n"/>
      <c r="BW126" s="192" t="n"/>
      <c r="BX126" s="192" t="n"/>
      <c r="BY126" s="192" t="n"/>
      <c r="BZ126" s="192" t="n"/>
      <c r="CA126" s="192" t="n"/>
      <c r="CB126" s="192" t="n"/>
      <c r="CC126" s="192" t="n"/>
      <c r="CD126" s="192" t="n"/>
      <c r="CE126" s="192" t="n"/>
      <c r="CF126" s="192" t="n"/>
      <c r="CG126" s="192" t="n"/>
      <c r="CH126" s="192" t="n"/>
      <c r="CI126" s="192" t="n"/>
      <c r="CJ126" s="192" t="n"/>
      <c r="CK126" s="192" t="n"/>
      <c r="CL126" s="192" t="n"/>
      <c r="CM126" s="192" t="n"/>
      <c r="CN126" s="192" t="n"/>
      <c r="CO126" s="192" t="n"/>
      <c r="CP126" s="192" t="n"/>
      <c r="CQ126" s="192" t="n"/>
      <c r="CR126" s="192" t="n"/>
      <c r="CS126" s="192" t="n"/>
      <c r="CT126" s="192" t="n"/>
      <c r="CU126" s="192" t="n"/>
      <c r="CV126" s="192" t="n"/>
      <c r="CW126" s="192" t="n"/>
      <c r="CX126" s="192" t="n"/>
      <c r="CY126" s="192" t="n"/>
      <c r="CZ126" s="192" t="n"/>
      <c r="DA126" s="192" t="n"/>
      <c r="DB126" s="192" t="n"/>
      <c r="DC126" s="192" t="n"/>
      <c r="DD126" s="192" t="n"/>
      <c r="DE126" s="192" t="n"/>
      <c r="DF126" s="192" t="n"/>
      <c r="DG126" s="192" t="n"/>
      <c r="DH126" s="192" t="n"/>
      <c r="DI126" s="192" t="n"/>
      <c r="DJ126" s="192" t="n"/>
      <c r="DK126" s="192" t="n"/>
      <c r="DL126" s="192" t="n"/>
      <c r="DM126" s="192" t="n"/>
      <c r="DN126" s="192" t="n"/>
      <c r="DO126" s="192" t="n"/>
      <c r="DP126" s="192" t="n"/>
      <c r="DQ126" s="192" t="n"/>
      <c r="DR126" s="192" t="n"/>
      <c r="DS126" s="192" t="n"/>
      <c r="DT126" s="192" t="n"/>
      <c r="DU126" s="192" t="n"/>
      <c r="DV126" s="192" t="n"/>
      <c r="DW126" s="192" t="n"/>
      <c r="DX126" s="192" t="n"/>
      <c r="DY126" s="192" t="n"/>
      <c r="DZ126" s="192" t="n"/>
      <c r="EA126" s="192" t="n"/>
      <c r="EB126" s="192" t="n"/>
      <c r="EC126" s="192" t="n"/>
      <c r="ED126" s="192" t="n"/>
      <c r="EE126" s="192" t="n"/>
      <c r="EF126" s="192" t="n"/>
      <c r="EG126" s="192" t="n"/>
      <c r="EH126" s="192" t="n"/>
      <c r="EI126" s="192" t="n"/>
      <c r="EJ126" s="192" t="n"/>
      <c r="EK126" s="192" t="n"/>
      <c r="EL126" s="182" t="n"/>
      <c r="EM126" s="176" t="n"/>
      <c r="EN126" s="176" t="n"/>
      <c r="EO126" s="176" t="n"/>
      <c r="EP126" s="176" t="n"/>
      <c r="EQ126" s="176" t="n"/>
      <c r="ER126" s="176" t="n"/>
      <c r="ES126" s="176" t="n"/>
      <c r="ET126" s="176" t="n"/>
      <c r="EU126" s="176" t="n"/>
      <c r="EV126" s="176" t="n"/>
      <c r="EW126" s="176" t="n"/>
      <c r="EX126" s="176" t="n"/>
      <c r="EY126" s="176" t="n"/>
      <c r="EZ126" s="176" t="n"/>
      <c r="FA126" s="176" t="n"/>
      <c r="FB126" s="176" t="n"/>
      <c r="FC126" s="176" t="n"/>
      <c r="FD126" s="176" t="n"/>
      <c r="FE126" s="176" t="n"/>
      <c r="FF126" s="176" t="n"/>
      <c r="FG126" s="176" t="n"/>
      <c r="FH126" s="176" t="n"/>
      <c r="FI126" s="176" t="n"/>
      <c r="FJ126" s="176" t="n"/>
    </row>
    <row r="127" ht="15" customHeight="1" s="392">
      <c r="A127" s="176" t="n"/>
      <c r="B127" s="180" t="n"/>
      <c r="C127" s="187" t="inlineStr">
        <is>
          <t xml:space="preserve">            Total Long Term Debt and Capital Lease Obligation</t>
        </is>
      </c>
      <c r="D127" s="193">
        <f>IF(COUNT(M127:EK127)&gt;0,MEDIAN(M127:EK127),"")</f>
        <v/>
      </c>
      <c r="E127" s="193">
        <f>IF(COUNT(M127:EK127)&gt;0,AVERAGE(M127:EK127),"")</f>
        <v/>
      </c>
      <c r="F127" s="193">
        <f>IF(COUNT(M127:EK127)&gt;0,MIN(M127:EK127),"")</f>
        <v/>
      </c>
      <c r="G127" s="193">
        <f>IF(COUNT(M127:EK127)&gt;0,MAX(M127:EK127),"")</f>
        <v/>
      </c>
      <c r="H127" s="193">
        <f>IF(COUNT(M127:EK127)&gt;0,QUARTILE(M127:EK127,1),"")</f>
        <v/>
      </c>
      <c r="I127" s="193">
        <f>IF(COUNT(M127:EK127)&gt;0,QUARTILE(M127:EK127,3),"")</f>
        <v/>
      </c>
      <c r="J127" s="193">
        <f>IF(COUNT(M127:EK127)&gt;1,STDEV(M127:EK127),"")</f>
        <v/>
      </c>
      <c r="K127" s="194">
        <f>IF(COUNT(M127:EK127)&gt;1,STDEV(M127:EK127)/AVERAGE(M127:EK127),"")</f>
        <v/>
      </c>
      <c r="L127" s="195" t="n"/>
      <c r="M127" s="196" t="n">
        <v>73204</v>
      </c>
      <c r="N127" s="196" t="n">
        <v>77291</v>
      </c>
      <c r="O127" s="196" t="n">
        <v>79444</v>
      </c>
      <c r="P127" s="196" t="n">
        <v>82066</v>
      </c>
      <c r="Q127" s="196" t="n">
        <v>83870</v>
      </c>
      <c r="R127" s="196" t="n">
        <v>81268</v>
      </c>
      <c r="S127" s="196" t="n">
        <v>96701</v>
      </c>
      <c r="T127" s="196" t="n">
        <v>95435</v>
      </c>
      <c r="U127" s="196" t="n">
        <v>97429</v>
      </c>
      <c r="V127" s="196" t="n">
        <v>91558</v>
      </c>
      <c r="W127" s="196" t="n">
        <v>94329</v>
      </c>
      <c r="X127" s="196" t="n">
        <v>110927</v>
      </c>
      <c r="Y127" s="196" t="n">
        <v>98985</v>
      </c>
      <c r="Z127" s="196" t="n">
        <v>108384</v>
      </c>
      <c r="AA127" s="196" t="n">
        <v>89340</v>
      </c>
      <c r="AB127" s="196" t="n">
        <v>93639</v>
      </c>
      <c r="AC127" s="196" t="n">
        <v>97679</v>
      </c>
      <c r="AD127" s="196" t="n">
        <v>502343</v>
      </c>
      <c r="AE127" s="196" t="n">
        <v>502288</v>
      </c>
      <c r="AF127" s="196" t="n">
        <v>509860</v>
      </c>
      <c r="AG127" s="196" t="n">
        <v>495597</v>
      </c>
      <c r="AH127" s="196" t="n">
        <v>506120</v>
      </c>
      <c r="AI127" s="196" t="n">
        <v>488010</v>
      </c>
      <c r="AJ127" s="196" t="n">
        <v>500335</v>
      </c>
      <c r="AK127" s="196" t="n">
        <v>493050</v>
      </c>
      <c r="AL127" s="196" t="n">
        <v>489351</v>
      </c>
      <c r="AM127" s="196" t="n">
        <v>481752</v>
      </c>
      <c r="AN127" s="196" t="n">
        <v>513242</v>
      </c>
      <c r="AO127" s="196" t="n">
        <v>400091</v>
      </c>
      <c r="AP127" s="196" t="n">
        <v>398835</v>
      </c>
      <c r="AQ127" s="196" t="n">
        <v>398740</v>
      </c>
      <c r="AR127" s="196" t="n">
        <v>398642</v>
      </c>
      <c r="AS127" s="196" t="n">
        <v>398747</v>
      </c>
      <c r="AT127" s="196" t="n">
        <v>398914</v>
      </c>
      <c r="AU127" s="196" t="n">
        <v>400646</v>
      </c>
      <c r="AV127" s="196" t="n">
        <v>550704</v>
      </c>
      <c r="AW127" s="196" t="n">
        <v>550883</v>
      </c>
      <c r="AX127" s="196" t="n">
        <v>550755</v>
      </c>
      <c r="AY127" s="196" t="n">
        <v>565926</v>
      </c>
      <c r="AZ127" s="196" t="n">
        <v>573030</v>
      </c>
      <c r="BA127" s="196" t="n">
        <v>564341</v>
      </c>
      <c r="BB127" s="196" t="n">
        <v>670507</v>
      </c>
      <c r="BC127" s="196" t="n">
        <v>576501</v>
      </c>
      <c r="BD127" s="196" t="n">
        <v>584302</v>
      </c>
      <c r="BE127" s="196" t="n">
        <v>590843</v>
      </c>
      <c r="BF127" s="196" t="n">
        <v>599951</v>
      </c>
      <c r="BG127" s="196" t="n">
        <v>608236</v>
      </c>
      <c r="BH127" s="196" t="n">
        <v>203868</v>
      </c>
      <c r="BI127" s="196" t="n">
        <v>223227</v>
      </c>
      <c r="BJ127" s="196" t="n">
        <v>242106</v>
      </c>
      <c r="BK127" s="196" t="n">
        <v>261182</v>
      </c>
      <c r="BL127" s="196" t="n">
        <v>280121</v>
      </c>
      <c r="BM127" s="196" t="n">
        <v>296410</v>
      </c>
      <c r="BN127" s="196" t="n">
        <v>314230</v>
      </c>
      <c r="BO127" s="196" t="n">
        <v>333068</v>
      </c>
      <c r="BP127" s="196" t="n">
        <v>350159</v>
      </c>
      <c r="BQ127" s="196" t="n">
        <v>368950</v>
      </c>
      <c r="BR127" s="196" t="n">
        <v>387752</v>
      </c>
      <c r="BS127" s="196" t="n">
        <v>406536</v>
      </c>
      <c r="BT127" s="196" t="n">
        <v>425337</v>
      </c>
      <c r="BU127" s="196" t="n">
        <v>325386</v>
      </c>
      <c r="BV127" s="196" t="n">
        <v>337952</v>
      </c>
      <c r="BW127" s="196" t="n"/>
      <c r="BX127" s="196" t="n">
        <v>601</v>
      </c>
      <c r="BY127" s="196" t="n"/>
      <c r="BZ127" s="196" t="n"/>
      <c r="CA127" s="196" t="n"/>
      <c r="CB127" s="196" t="n"/>
      <c r="CC127" s="196" t="n"/>
      <c r="CD127" s="196" t="n"/>
      <c r="CE127" s="196" t="n"/>
      <c r="CF127" s="196" t="n"/>
      <c r="CG127" s="196" t="n"/>
      <c r="CH127" s="196" t="n"/>
      <c r="CI127" s="196" t="n"/>
      <c r="CJ127" s="196" t="n"/>
      <c r="CK127" s="196" t="n"/>
      <c r="CL127" s="196" t="n"/>
      <c r="CM127" s="196" t="n"/>
      <c r="CN127" s="196" t="n"/>
      <c r="CO127" s="196" t="n"/>
      <c r="CP127" s="196" t="n"/>
      <c r="CQ127" s="196" t="n"/>
      <c r="CR127" s="196" t="n"/>
      <c r="CS127" s="196" t="n"/>
      <c r="CT127" s="196" t="n">
        <v>4.9</v>
      </c>
      <c r="CU127" s="196" t="n">
        <v>7</v>
      </c>
      <c r="CV127" s="196" t="n"/>
      <c r="CW127" s="196" t="n">
        <v>10.8</v>
      </c>
      <c r="CX127" s="196" t="n">
        <v>13</v>
      </c>
      <c r="CY127" s="196" t="n">
        <v>14.5</v>
      </c>
      <c r="CZ127" s="196" t="n">
        <v>16</v>
      </c>
      <c r="DA127" s="196" t="n">
        <v>17.9</v>
      </c>
      <c r="DB127" s="196" t="n">
        <v>19.6</v>
      </c>
      <c r="DC127" s="196" t="n"/>
      <c r="DD127" s="196" t="n">
        <v>84.7</v>
      </c>
      <c r="DE127" s="196" t="n">
        <v>167.9</v>
      </c>
      <c r="DF127" s="196" t="n">
        <v>249.7</v>
      </c>
      <c r="DG127" s="196" t="n">
        <v>330.2</v>
      </c>
      <c r="DH127" s="196" t="n">
        <v>409.2</v>
      </c>
      <c r="DI127" s="196" t="n">
        <v>486.9</v>
      </c>
      <c r="DJ127" s="196" t="n">
        <v>563.3</v>
      </c>
      <c r="DK127" s="196" t="n">
        <v>638.4</v>
      </c>
      <c r="DL127" s="196" t="n">
        <v>712.2</v>
      </c>
      <c r="DM127" s="196" t="n">
        <v>7500</v>
      </c>
      <c r="DN127" s="196" t="n">
        <v>7500</v>
      </c>
      <c r="DO127" s="196" t="n">
        <v>7500</v>
      </c>
      <c r="DP127" s="196" t="n">
        <v>7600</v>
      </c>
      <c r="DQ127" s="196" t="n">
        <v>7600</v>
      </c>
      <c r="DR127" s="196" t="n">
        <v>7600</v>
      </c>
      <c r="DS127" s="196" t="n">
        <v>7700</v>
      </c>
      <c r="DT127" s="196" t="n">
        <v>7800</v>
      </c>
      <c r="DU127" s="196" t="n">
        <v>7900</v>
      </c>
      <c r="DV127" s="196" t="n">
        <v>7900</v>
      </c>
      <c r="DW127" s="196" t="n">
        <v>7700</v>
      </c>
      <c r="DX127" s="196" t="n">
        <v>7800</v>
      </c>
      <c r="DY127" s="196" t="n">
        <v>8500</v>
      </c>
      <c r="DZ127" s="196" t="n">
        <v>8700</v>
      </c>
      <c r="EA127" s="196" t="n">
        <v>8800</v>
      </c>
      <c r="EB127" s="196" t="n">
        <v>10500</v>
      </c>
      <c r="EC127" s="196" t="n">
        <v>2700</v>
      </c>
      <c r="ED127" s="196" t="n">
        <v>2900</v>
      </c>
      <c r="EE127" s="196" t="n">
        <v>3000</v>
      </c>
      <c r="EF127" s="196" t="n">
        <v>3200</v>
      </c>
      <c r="EG127" s="196" t="n">
        <v>2900</v>
      </c>
      <c r="EH127" s="196" t="n">
        <v>3200</v>
      </c>
      <c r="EI127" s="196" t="n">
        <v>3300</v>
      </c>
      <c r="EJ127" s="196" t="n">
        <v>3300</v>
      </c>
      <c r="EK127" s="196" t="n">
        <v>2900</v>
      </c>
      <c r="EL127" s="182" t="n"/>
      <c r="EM127" s="176" t="n"/>
      <c r="EN127" s="176" t="n"/>
      <c r="EO127" s="176" t="n"/>
      <c r="EP127" s="176" t="n"/>
      <c r="EQ127" s="176" t="n"/>
      <c r="ER127" s="176" t="n"/>
      <c r="ES127" s="176" t="n"/>
      <c r="ET127" s="176" t="n"/>
      <c r="EU127" s="176" t="n"/>
      <c r="EV127" s="176" t="n"/>
      <c r="EW127" s="176" t="n"/>
      <c r="EX127" s="176" t="n"/>
      <c r="EY127" s="176" t="n"/>
      <c r="EZ127" s="176" t="n"/>
      <c r="FA127" s="176" t="n"/>
      <c r="FB127" s="176" t="n"/>
      <c r="FC127" s="176" t="n"/>
      <c r="FD127" s="176" t="n"/>
      <c r="FE127" s="176" t="n"/>
      <c r="FF127" s="176" t="n"/>
      <c r="FG127" s="176" t="n"/>
      <c r="FH127" s="176" t="n"/>
      <c r="FI127" s="176" t="n"/>
      <c r="FJ127" s="176" t="n"/>
    </row>
    <row r="128" ht="15" customHeight="1" s="392">
      <c r="A128" s="176" t="n"/>
      <c r="B128" s="180" t="n"/>
      <c r="C128" s="187" t="inlineStr">
        <is>
          <t xml:space="preserve">        Total Financial Liabilities, Non-Current</t>
        </is>
      </c>
      <c r="D128" s="193">
        <f>IF(COUNT(M128:EK128)&gt;0,MEDIAN(M128:EK128),"")</f>
        <v/>
      </c>
      <c r="E128" s="193">
        <f>IF(COUNT(M128:EK128)&gt;0,AVERAGE(M128:EK128),"")</f>
        <v/>
      </c>
      <c r="F128" s="193">
        <f>IF(COUNT(M128:EK128)&gt;0,MIN(M128:EK128),"")</f>
        <v/>
      </c>
      <c r="G128" s="193">
        <f>IF(COUNT(M128:EK128)&gt;0,MAX(M128:EK128),"")</f>
        <v/>
      </c>
      <c r="H128" s="193">
        <f>IF(COUNT(M128:EK128)&gt;0,QUARTILE(M128:EK128,1),"")</f>
        <v/>
      </c>
      <c r="I128" s="193">
        <f>IF(COUNT(M128:EK128)&gt;0,QUARTILE(M128:EK128,3),"")</f>
        <v/>
      </c>
      <c r="J128" s="193">
        <f>IF(COUNT(M128:EK128)&gt;1,STDEV(M128:EK128),"")</f>
        <v/>
      </c>
      <c r="K128" s="194">
        <f>IF(COUNT(M128:EK128)&gt;1,STDEV(M128:EK128)/AVERAGE(M128:EK128),"")</f>
        <v/>
      </c>
      <c r="L128" s="195" t="n"/>
      <c r="M128" s="196" t="n">
        <v>73204</v>
      </c>
      <c r="N128" s="196" t="n">
        <v>77291</v>
      </c>
      <c r="O128" s="196" t="n">
        <v>79444</v>
      </c>
      <c r="P128" s="196" t="n">
        <v>82066</v>
      </c>
      <c r="Q128" s="196" t="n">
        <v>83870</v>
      </c>
      <c r="R128" s="196" t="n">
        <v>81268</v>
      </c>
      <c r="S128" s="196" t="n">
        <v>96701</v>
      </c>
      <c r="T128" s="196" t="n">
        <v>95435</v>
      </c>
      <c r="U128" s="196" t="n">
        <v>97429</v>
      </c>
      <c r="V128" s="196" t="n">
        <v>91558</v>
      </c>
      <c r="W128" s="196" t="n">
        <v>94329</v>
      </c>
      <c r="X128" s="196" t="n">
        <v>110927</v>
      </c>
      <c r="Y128" s="196" t="n">
        <v>98985</v>
      </c>
      <c r="Z128" s="196" t="n">
        <v>108384</v>
      </c>
      <c r="AA128" s="196" t="n">
        <v>89340</v>
      </c>
      <c r="AB128" s="196" t="n">
        <v>93639</v>
      </c>
      <c r="AC128" s="196" t="n">
        <v>97679</v>
      </c>
      <c r="AD128" s="196" t="n">
        <v>502343</v>
      </c>
      <c r="AE128" s="196" t="n">
        <v>502288</v>
      </c>
      <c r="AF128" s="196" t="n">
        <v>509860</v>
      </c>
      <c r="AG128" s="196" t="n">
        <v>495597</v>
      </c>
      <c r="AH128" s="196" t="n">
        <v>506120</v>
      </c>
      <c r="AI128" s="196" t="n">
        <v>488010</v>
      </c>
      <c r="AJ128" s="196" t="n">
        <v>500335</v>
      </c>
      <c r="AK128" s="196" t="n">
        <v>493050</v>
      </c>
      <c r="AL128" s="196" t="n">
        <v>489351</v>
      </c>
      <c r="AM128" s="196" t="n">
        <v>481752</v>
      </c>
      <c r="AN128" s="196" t="n">
        <v>513242</v>
      </c>
      <c r="AO128" s="196" t="n">
        <v>400091</v>
      </c>
      <c r="AP128" s="196" t="n">
        <v>398835</v>
      </c>
      <c r="AQ128" s="196" t="n">
        <v>398740</v>
      </c>
      <c r="AR128" s="196" t="n">
        <v>398642</v>
      </c>
      <c r="AS128" s="196" t="n">
        <v>398747</v>
      </c>
      <c r="AT128" s="196" t="n">
        <v>398914</v>
      </c>
      <c r="AU128" s="196" t="n">
        <v>400646</v>
      </c>
      <c r="AV128" s="196" t="n">
        <v>550704</v>
      </c>
      <c r="AW128" s="196" t="n">
        <v>550883</v>
      </c>
      <c r="AX128" s="196" t="n">
        <v>550755</v>
      </c>
      <c r="AY128" s="196" t="n">
        <v>565926</v>
      </c>
      <c r="AZ128" s="196" t="n">
        <v>573030</v>
      </c>
      <c r="BA128" s="196" t="n">
        <v>564341</v>
      </c>
      <c r="BB128" s="196" t="n">
        <v>670507</v>
      </c>
      <c r="BC128" s="196" t="n">
        <v>576501</v>
      </c>
      <c r="BD128" s="196" t="n">
        <v>584302</v>
      </c>
      <c r="BE128" s="196" t="n">
        <v>590843</v>
      </c>
      <c r="BF128" s="196" t="n">
        <v>599951</v>
      </c>
      <c r="BG128" s="196" t="n">
        <v>608236</v>
      </c>
      <c r="BH128" s="196" t="n">
        <v>203868</v>
      </c>
      <c r="BI128" s="196" t="n">
        <v>223227</v>
      </c>
      <c r="BJ128" s="196" t="n">
        <v>242106</v>
      </c>
      <c r="BK128" s="196" t="n">
        <v>261182</v>
      </c>
      <c r="BL128" s="196" t="n">
        <v>280121</v>
      </c>
      <c r="BM128" s="196" t="n">
        <v>296410</v>
      </c>
      <c r="BN128" s="196" t="n">
        <v>314230</v>
      </c>
      <c r="BO128" s="196" t="n">
        <v>333068</v>
      </c>
      <c r="BP128" s="196" t="n">
        <v>350159</v>
      </c>
      <c r="BQ128" s="196" t="n">
        <v>368950</v>
      </c>
      <c r="BR128" s="196" t="n">
        <v>387752</v>
      </c>
      <c r="BS128" s="196" t="n">
        <v>406536</v>
      </c>
      <c r="BT128" s="196" t="n">
        <v>425337</v>
      </c>
      <c r="BU128" s="196" t="n">
        <v>325386</v>
      </c>
      <c r="BV128" s="196" t="n">
        <v>337952</v>
      </c>
      <c r="BW128" s="196" t="n"/>
      <c r="BX128" s="196" t="n">
        <v>601</v>
      </c>
      <c r="BY128" s="196" t="n"/>
      <c r="BZ128" s="196" t="n"/>
      <c r="CA128" s="196" t="n"/>
      <c r="CB128" s="196" t="n"/>
      <c r="CC128" s="196" t="n"/>
      <c r="CD128" s="196" t="n"/>
      <c r="CE128" s="196" t="n"/>
      <c r="CF128" s="196" t="n"/>
      <c r="CG128" s="196" t="n"/>
      <c r="CH128" s="196" t="n"/>
      <c r="CI128" s="196" t="n"/>
      <c r="CJ128" s="196" t="n"/>
      <c r="CK128" s="196" t="n"/>
      <c r="CL128" s="196" t="n"/>
      <c r="CM128" s="196" t="n"/>
      <c r="CN128" s="196" t="n"/>
      <c r="CO128" s="196" t="n"/>
      <c r="CP128" s="196" t="n"/>
      <c r="CQ128" s="196" t="n"/>
      <c r="CR128" s="196" t="n"/>
      <c r="CS128" s="196" t="n"/>
      <c r="CT128" s="196" t="n">
        <v>4.9</v>
      </c>
      <c r="CU128" s="196" t="n">
        <v>7</v>
      </c>
      <c r="CV128" s="196" t="n"/>
      <c r="CW128" s="196" t="n">
        <v>10.8</v>
      </c>
      <c r="CX128" s="196" t="n">
        <v>13</v>
      </c>
      <c r="CY128" s="196" t="n">
        <v>14.5</v>
      </c>
      <c r="CZ128" s="196" t="n">
        <v>16</v>
      </c>
      <c r="DA128" s="196" t="n">
        <v>17.9</v>
      </c>
      <c r="DB128" s="196" t="n">
        <v>19.6</v>
      </c>
      <c r="DC128" s="196" t="n"/>
      <c r="DD128" s="196" t="n">
        <v>84.7</v>
      </c>
      <c r="DE128" s="196" t="n">
        <v>167.9</v>
      </c>
      <c r="DF128" s="196" t="n">
        <v>249.7</v>
      </c>
      <c r="DG128" s="196" t="n">
        <v>330.2</v>
      </c>
      <c r="DH128" s="196" t="n">
        <v>409.2</v>
      </c>
      <c r="DI128" s="196" t="n">
        <v>486.9</v>
      </c>
      <c r="DJ128" s="196" t="n">
        <v>563.3</v>
      </c>
      <c r="DK128" s="196" t="n">
        <v>638.4</v>
      </c>
      <c r="DL128" s="196" t="n">
        <v>712.2</v>
      </c>
      <c r="DM128" s="196" t="n">
        <v>7500</v>
      </c>
      <c r="DN128" s="196" t="n">
        <v>7500</v>
      </c>
      <c r="DO128" s="196" t="n">
        <v>7500</v>
      </c>
      <c r="DP128" s="196" t="n">
        <v>7600</v>
      </c>
      <c r="DQ128" s="196" t="n">
        <v>7600</v>
      </c>
      <c r="DR128" s="196" t="n">
        <v>7600</v>
      </c>
      <c r="DS128" s="196" t="n">
        <v>7700</v>
      </c>
      <c r="DT128" s="196" t="n">
        <v>7800</v>
      </c>
      <c r="DU128" s="196" t="n">
        <v>7900</v>
      </c>
      <c r="DV128" s="196" t="n">
        <v>7900</v>
      </c>
      <c r="DW128" s="196" t="n">
        <v>7700</v>
      </c>
      <c r="DX128" s="196" t="n">
        <v>7800</v>
      </c>
      <c r="DY128" s="196" t="n">
        <v>8500</v>
      </c>
      <c r="DZ128" s="196" t="n">
        <v>8700</v>
      </c>
      <c r="EA128" s="196" t="n">
        <v>8800</v>
      </c>
      <c r="EB128" s="196" t="n">
        <v>10500</v>
      </c>
      <c r="EC128" s="196" t="n">
        <v>2700</v>
      </c>
      <c r="ED128" s="196" t="n">
        <v>2900</v>
      </c>
      <c r="EE128" s="196" t="n">
        <v>3000</v>
      </c>
      <c r="EF128" s="196" t="n">
        <v>3200</v>
      </c>
      <c r="EG128" s="196" t="n">
        <v>2900</v>
      </c>
      <c r="EH128" s="196" t="n">
        <v>3200</v>
      </c>
      <c r="EI128" s="196" t="n">
        <v>3300</v>
      </c>
      <c r="EJ128" s="196" t="n">
        <v>3300</v>
      </c>
      <c r="EK128" s="196" t="n">
        <v>2900</v>
      </c>
      <c r="EL128" s="182" t="n"/>
      <c r="EM128" s="176" t="n"/>
      <c r="EN128" s="176" t="n"/>
      <c r="EO128" s="176" t="n"/>
      <c r="EP128" s="176" t="n"/>
      <c r="EQ128" s="176" t="n"/>
      <c r="ER128" s="176" t="n"/>
      <c r="ES128" s="176" t="n"/>
      <c r="ET128" s="176" t="n"/>
      <c r="EU128" s="176" t="n"/>
      <c r="EV128" s="176" t="n"/>
      <c r="EW128" s="176" t="n"/>
      <c r="EX128" s="176" t="n"/>
      <c r="EY128" s="176" t="n"/>
      <c r="EZ128" s="176" t="n"/>
      <c r="FA128" s="176" t="n"/>
      <c r="FB128" s="176" t="n"/>
      <c r="FC128" s="176" t="n"/>
      <c r="FD128" s="176" t="n"/>
      <c r="FE128" s="176" t="n"/>
      <c r="FF128" s="176" t="n"/>
      <c r="FG128" s="176" t="n"/>
      <c r="FH128" s="176" t="n"/>
      <c r="FI128" s="176" t="n"/>
      <c r="FJ128" s="176" t="n"/>
    </row>
    <row r="129" ht="15" customHeight="1" s="392">
      <c r="A129" s="176" t="n"/>
      <c r="B129" s="180" t="n"/>
      <c r="C129" s="183" t="inlineStr">
        <is>
          <t xml:space="preserve">        Tax Liabilities, Non-Current</t>
        </is>
      </c>
      <c r="D129" s="185" t="n"/>
      <c r="E129" s="185" t="n"/>
      <c r="F129" s="185" t="n"/>
      <c r="G129" s="185" t="n"/>
      <c r="H129" s="185" t="n"/>
      <c r="I129" s="185" t="n"/>
      <c r="J129" s="185" t="n"/>
      <c r="K129" s="185" t="n"/>
      <c r="EL129" s="182" t="n"/>
      <c r="EM129" s="176" t="n"/>
      <c r="EN129" s="176" t="n"/>
      <c r="EO129" s="176" t="n"/>
      <c r="EP129" s="176" t="n"/>
      <c r="EQ129" s="176" t="n"/>
      <c r="ER129" s="176" t="n"/>
      <c r="ES129" s="176" t="n"/>
      <c r="ET129" s="176" t="n"/>
      <c r="EU129" s="176" t="n"/>
      <c r="EV129" s="176" t="n"/>
      <c r="EW129" s="176" t="n"/>
      <c r="EX129" s="176" t="n"/>
      <c r="EY129" s="176" t="n"/>
      <c r="EZ129" s="176" t="n"/>
      <c r="FA129" s="176" t="n"/>
      <c r="FB129" s="176" t="n"/>
      <c r="FC129" s="176" t="n"/>
      <c r="FD129" s="176" t="n"/>
      <c r="FE129" s="176" t="n"/>
      <c r="FF129" s="176" t="n"/>
      <c r="FG129" s="176" t="n"/>
      <c r="FH129" s="176" t="n"/>
      <c r="FI129" s="176" t="n"/>
      <c r="FJ129" s="176" t="n"/>
    </row>
    <row r="130" ht="15" customHeight="1" s="392">
      <c r="A130" s="176" t="n"/>
      <c r="B130" s="180" t="n"/>
      <c r="C130" s="183" t="inlineStr">
        <is>
          <t xml:space="preserve">            Deferred Tax Liabilities, Non-Current</t>
        </is>
      </c>
      <c r="D130" s="190">
        <f>IF(COUNT(M130:EK130)&gt;0,MEDIAN(M130:EK130),"")</f>
        <v/>
      </c>
      <c r="E130" s="190">
        <f>IF(COUNT(M130:EK130)&gt;0,AVERAGE(M130:EK130),"")</f>
        <v/>
      </c>
      <c r="F130" s="190">
        <f>IF(COUNT(M130:EK130)&gt;0,MIN(M130:EK130),"")</f>
        <v/>
      </c>
      <c r="G130" s="190">
        <f>IF(COUNT(M130:EK130)&gt;0,MAX(M130:EK130),"")</f>
        <v/>
      </c>
      <c r="H130" s="190">
        <f>IF(COUNT(M130:EK130)&gt;0,QUARTILE(M130:EK130,1),"")</f>
        <v/>
      </c>
      <c r="I130" s="190">
        <f>IF(COUNT(M130:EK130)&gt;0,QUARTILE(M130:EK130,3),"")</f>
        <v/>
      </c>
      <c r="J130" s="190">
        <f>IF(COUNT(M130:EK130)&gt;1,STDEV(M130:EK130),"")</f>
        <v/>
      </c>
      <c r="K130" s="191">
        <f>IF(COUNT(M130:EK130)&gt;1,STDEV(M130:EK130)/AVERAGE(M130:EK130),"")</f>
        <v/>
      </c>
      <c r="M130" s="192" t="n">
        <v>127918</v>
      </c>
      <c r="N130" s="192" t="n">
        <v>89733</v>
      </c>
      <c r="O130" s="192" t="n">
        <v>87625</v>
      </c>
      <c r="P130" s="192" t="n">
        <v>85839</v>
      </c>
      <c r="Q130" s="192" t="n">
        <v>80625</v>
      </c>
      <c r="R130" s="192" t="n">
        <v>94551</v>
      </c>
      <c r="S130" s="192" t="n">
        <v>92886</v>
      </c>
      <c r="T130" s="192" t="n">
        <v>95465</v>
      </c>
      <c r="U130" s="192" t="n">
        <v>93653</v>
      </c>
      <c r="V130" s="192" t="n">
        <v>92014</v>
      </c>
      <c r="W130" s="192" t="n">
        <v>94140</v>
      </c>
      <c r="X130" s="192" t="n">
        <v>91821</v>
      </c>
      <c r="Y130" s="192" t="n">
        <v>89492</v>
      </c>
      <c r="Z130" s="192" t="n">
        <v>76690</v>
      </c>
      <c r="AA130" s="192" t="n">
        <v>76471</v>
      </c>
      <c r="AB130" s="192" t="n">
        <v>77452</v>
      </c>
      <c r="AC130" s="192" t="n">
        <v>80060</v>
      </c>
      <c r="AD130" s="192" t="n">
        <v>78023</v>
      </c>
      <c r="AE130" s="192" t="n">
        <v>69759</v>
      </c>
      <c r="AF130" s="192" t="n">
        <v>72166</v>
      </c>
      <c r="AG130" s="192" t="n">
        <v>63969</v>
      </c>
      <c r="AH130" s="192" t="n">
        <v>57767</v>
      </c>
      <c r="AI130" s="192" t="n">
        <v>81316</v>
      </c>
      <c r="AJ130" s="192" t="n">
        <v>77826</v>
      </c>
      <c r="AK130" s="192" t="n">
        <v>71686</v>
      </c>
      <c r="AL130" s="192" t="n">
        <v>57724</v>
      </c>
      <c r="AM130" s="192" t="n">
        <v>55499</v>
      </c>
      <c r="AN130" s="192" t="n">
        <v>53678</v>
      </c>
      <c r="AO130" s="192" t="n">
        <v>48683</v>
      </c>
      <c r="AP130" s="192" t="n">
        <v>40165</v>
      </c>
      <c r="AQ130" s="192" t="n">
        <v>32314</v>
      </c>
      <c r="AR130" s="192" t="n">
        <v>23815</v>
      </c>
      <c r="AS130" s="192" t="n">
        <v>19733</v>
      </c>
      <c r="AT130" s="192" t="n">
        <v>3927</v>
      </c>
      <c r="AU130" s="192" t="n">
        <v>5196</v>
      </c>
      <c r="AV130" s="192" t="n">
        <v>4807</v>
      </c>
      <c r="AW130" s="192" t="n">
        <v>3192</v>
      </c>
      <c r="AX130" s="192" t="n">
        <v>3773</v>
      </c>
      <c r="AY130" s="192" t="n">
        <v>3446</v>
      </c>
      <c r="AZ130" s="192" t="n">
        <v>3380</v>
      </c>
      <c r="BA130" s="192" t="n">
        <v>3816</v>
      </c>
      <c r="BB130" s="192" t="n">
        <v>5001</v>
      </c>
      <c r="BC130" s="192" t="n">
        <v>4868</v>
      </c>
      <c r="BD130" s="192" t="n">
        <v>5194</v>
      </c>
      <c r="BE130" s="192" t="n">
        <v>5322</v>
      </c>
      <c r="BF130" s="192" t="n">
        <v>6334</v>
      </c>
      <c r="BG130" s="192" t="n">
        <v>6324</v>
      </c>
      <c r="BH130" s="192" t="n">
        <v>6854</v>
      </c>
      <c r="BI130" s="192" t="n">
        <v>7372</v>
      </c>
      <c r="BJ130" s="192" t="n">
        <v>7494</v>
      </c>
      <c r="BK130" s="192" t="n">
        <v>7461</v>
      </c>
      <c r="BL130" s="192" t="n">
        <v>7475</v>
      </c>
      <c r="BM130" s="192" t="n">
        <v>8071</v>
      </c>
      <c r="BN130" s="192" t="n">
        <v>8638</v>
      </c>
      <c r="BO130" s="192" t="n">
        <v>9153</v>
      </c>
      <c r="BP130" s="192" t="n">
        <v>7098</v>
      </c>
      <c r="BQ130" s="192" t="n">
        <v>7186</v>
      </c>
      <c r="BR130" s="192" t="n">
        <v>9130</v>
      </c>
      <c r="BS130" s="192" t="n">
        <v>9063</v>
      </c>
      <c r="BT130" s="192" t="n">
        <v>9585</v>
      </c>
      <c r="BU130" s="192" t="n">
        <v>10057</v>
      </c>
      <c r="BV130" s="192" t="n">
        <v>9482</v>
      </c>
      <c r="BW130" s="192" t="n">
        <v>33725</v>
      </c>
      <c r="BX130" s="192" t="n">
        <v>9748</v>
      </c>
      <c r="BY130" s="192" t="n">
        <v>33540</v>
      </c>
      <c r="BZ130" s="192" t="n">
        <v>10504</v>
      </c>
      <c r="CA130" s="192" t="n">
        <v>32429</v>
      </c>
      <c r="CB130" s="192" t="n">
        <v>31263</v>
      </c>
      <c r="CC130" s="192" t="n">
        <v>30866</v>
      </c>
      <c r="CD130" s="192" t="n">
        <v>23265</v>
      </c>
      <c r="CE130" s="192" t="n">
        <v>11197</v>
      </c>
      <c r="CF130" s="192" t="n">
        <v>14044</v>
      </c>
      <c r="CG130" s="192" t="n">
        <v>12688</v>
      </c>
      <c r="CH130" s="192" t="n">
        <v>13554</v>
      </c>
      <c r="CI130" s="192" t="n">
        <v>14666</v>
      </c>
      <c r="CJ130" s="192" t="n">
        <v>13998</v>
      </c>
      <c r="CK130" s="192" t="n"/>
      <c r="CL130" s="192" t="n"/>
      <c r="CM130" s="192" t="n"/>
      <c r="CN130" s="192" t="n"/>
      <c r="CO130" s="192" t="n"/>
      <c r="CP130" s="192" t="n"/>
      <c r="CQ130" s="192" t="n"/>
      <c r="CR130" s="192" t="n">
        <v>2878</v>
      </c>
      <c r="CS130" s="192" t="n">
        <v>7960</v>
      </c>
      <c r="CT130" s="192" t="n">
        <v>6091.3</v>
      </c>
      <c r="CU130" s="192" t="n">
        <v>8377.4</v>
      </c>
      <c r="CV130" s="192" t="n">
        <v>6355</v>
      </c>
      <c r="CW130" s="192" t="n">
        <v>8013.9</v>
      </c>
      <c r="CX130" s="192" t="n">
        <v>8014</v>
      </c>
      <c r="CY130" s="192" t="n">
        <v>8013.9</v>
      </c>
      <c r="CZ130" s="192" t="n">
        <v>6014</v>
      </c>
      <c r="DA130" s="192" t="n">
        <v>4818.2</v>
      </c>
      <c r="DB130" s="192" t="n">
        <v>1063.1</v>
      </c>
      <c r="DC130" s="192" t="n">
        <v>1063.1</v>
      </c>
      <c r="DD130" s="192" t="n">
        <v>1063.1</v>
      </c>
      <c r="DE130" s="192" t="n"/>
      <c r="DF130" s="192" t="n"/>
      <c r="DG130" s="192" t="n">
        <v>4553</v>
      </c>
      <c r="DH130" s="192" t="n"/>
      <c r="DI130" s="192" t="n">
        <v>2834.3</v>
      </c>
      <c r="DJ130" s="192" t="n">
        <v>2834.3</v>
      </c>
      <c r="DK130" s="192" t="n">
        <v>2834.3</v>
      </c>
      <c r="DL130" s="192" t="n">
        <v>2834.3</v>
      </c>
      <c r="DM130" s="192" t="n">
        <v>802.1</v>
      </c>
      <c r="DN130" s="192" t="n">
        <v>800</v>
      </c>
      <c r="DO130" s="192" t="n">
        <v>800</v>
      </c>
      <c r="DP130" s="192" t="n">
        <v>800</v>
      </c>
      <c r="DQ130" s="192" t="n">
        <v>1100</v>
      </c>
      <c r="DR130" s="192" t="n">
        <v>1100</v>
      </c>
      <c r="DS130" s="192" t="n">
        <v>1100</v>
      </c>
      <c r="DT130" s="192" t="n">
        <v>1100</v>
      </c>
      <c r="DU130" s="192" t="n">
        <v>1000</v>
      </c>
      <c r="DV130" s="192" t="n">
        <v>1000</v>
      </c>
      <c r="DW130" s="192" t="n">
        <v>1000</v>
      </c>
      <c r="DX130" s="192" t="n">
        <v>1000</v>
      </c>
      <c r="DY130" s="192" t="n">
        <v>900</v>
      </c>
      <c r="DZ130" s="192" t="n">
        <v>600</v>
      </c>
      <c r="EA130" s="192" t="n">
        <v>600</v>
      </c>
      <c r="EB130" s="192" t="n">
        <v>600</v>
      </c>
      <c r="EC130" s="192" t="n">
        <v>600</v>
      </c>
      <c r="ED130" s="192" t="n">
        <v>600</v>
      </c>
      <c r="EE130" s="192" t="n">
        <v>600</v>
      </c>
      <c r="EF130" s="192" t="n">
        <v>600</v>
      </c>
      <c r="EG130" s="192" t="n">
        <v>400</v>
      </c>
      <c r="EH130" s="192" t="n">
        <v>400</v>
      </c>
      <c r="EI130" s="192" t="n">
        <v>400</v>
      </c>
      <c r="EJ130" s="192" t="n">
        <v>400</v>
      </c>
      <c r="EK130" s="192" t="n">
        <v>100</v>
      </c>
      <c r="EL130" s="182" t="n"/>
      <c r="EM130" s="176" t="n"/>
      <c r="EN130" s="176" t="n"/>
      <c r="EO130" s="176" t="n"/>
      <c r="EP130" s="176" t="n"/>
      <c r="EQ130" s="176" t="n"/>
      <c r="ER130" s="176" t="n"/>
      <c r="ES130" s="176" t="n"/>
      <c r="ET130" s="176" t="n"/>
      <c r="EU130" s="176" t="n"/>
      <c r="EV130" s="176" t="n"/>
      <c r="EW130" s="176" t="n"/>
      <c r="EX130" s="176" t="n"/>
      <c r="EY130" s="176" t="n"/>
      <c r="EZ130" s="176" t="n"/>
      <c r="FA130" s="176" t="n"/>
      <c r="FB130" s="176" t="n"/>
      <c r="FC130" s="176" t="n"/>
      <c r="FD130" s="176" t="n"/>
      <c r="FE130" s="176" t="n"/>
      <c r="FF130" s="176" t="n"/>
      <c r="FG130" s="176" t="n"/>
      <c r="FH130" s="176" t="n"/>
      <c r="FI130" s="176" t="n"/>
      <c r="FJ130" s="176" t="n"/>
    </row>
    <row r="131" ht="15" customHeight="1" s="392">
      <c r="A131" s="176" t="n"/>
      <c r="B131" s="180" t="n"/>
      <c r="C131" s="187" t="inlineStr">
        <is>
          <t xml:space="preserve">        Total Tax Liabilities, Non-Current</t>
        </is>
      </c>
      <c r="D131" s="193">
        <f>IF(COUNT(M131:EK131)&gt;0,MEDIAN(M131:EK131),"")</f>
        <v/>
      </c>
      <c r="E131" s="193">
        <f>IF(COUNT(M131:EK131)&gt;0,AVERAGE(M131:EK131),"")</f>
        <v/>
      </c>
      <c r="F131" s="193">
        <f>IF(COUNT(M131:EK131)&gt;0,MIN(M131:EK131),"")</f>
        <v/>
      </c>
      <c r="G131" s="193">
        <f>IF(COUNT(M131:EK131)&gt;0,MAX(M131:EK131),"")</f>
        <v/>
      </c>
      <c r="H131" s="193">
        <f>IF(COUNT(M131:EK131)&gt;0,QUARTILE(M131:EK131,1),"")</f>
        <v/>
      </c>
      <c r="I131" s="193">
        <f>IF(COUNT(M131:EK131)&gt;0,QUARTILE(M131:EK131,3),"")</f>
        <v/>
      </c>
      <c r="J131" s="193">
        <f>IF(COUNT(M131:EK131)&gt;1,STDEV(M131:EK131),"")</f>
        <v/>
      </c>
      <c r="K131" s="194">
        <f>IF(COUNT(M131:EK131)&gt;1,STDEV(M131:EK131)/AVERAGE(M131:EK131),"")</f>
        <v/>
      </c>
      <c r="L131" s="195" t="n"/>
      <c r="M131" s="196" t="n">
        <v>127918</v>
      </c>
      <c r="N131" s="196" t="n">
        <v>89733</v>
      </c>
      <c r="O131" s="196" t="n">
        <v>87625</v>
      </c>
      <c r="P131" s="196" t="n">
        <v>85839</v>
      </c>
      <c r="Q131" s="196" t="n">
        <v>80625</v>
      </c>
      <c r="R131" s="196" t="n">
        <v>94551</v>
      </c>
      <c r="S131" s="196" t="n">
        <v>92886</v>
      </c>
      <c r="T131" s="196" t="n">
        <v>95465</v>
      </c>
      <c r="U131" s="196" t="n">
        <v>93653</v>
      </c>
      <c r="V131" s="196" t="n">
        <v>92014</v>
      </c>
      <c r="W131" s="196" t="n">
        <v>94140</v>
      </c>
      <c r="X131" s="196" t="n">
        <v>91821</v>
      </c>
      <c r="Y131" s="196" t="n">
        <v>89492</v>
      </c>
      <c r="Z131" s="196" t="n">
        <v>76690</v>
      </c>
      <c r="AA131" s="196" t="n">
        <v>76471</v>
      </c>
      <c r="AB131" s="196" t="n">
        <v>77452</v>
      </c>
      <c r="AC131" s="196" t="n">
        <v>80060</v>
      </c>
      <c r="AD131" s="196" t="n">
        <v>78023</v>
      </c>
      <c r="AE131" s="196" t="n">
        <v>69759</v>
      </c>
      <c r="AF131" s="196" t="n">
        <v>72166</v>
      </c>
      <c r="AG131" s="196" t="n">
        <v>63969</v>
      </c>
      <c r="AH131" s="196" t="n">
        <v>57767</v>
      </c>
      <c r="AI131" s="196" t="n">
        <v>81316</v>
      </c>
      <c r="AJ131" s="196" t="n">
        <v>77826</v>
      </c>
      <c r="AK131" s="196" t="n">
        <v>71686</v>
      </c>
      <c r="AL131" s="196" t="n">
        <v>57724</v>
      </c>
      <c r="AM131" s="196" t="n">
        <v>55499</v>
      </c>
      <c r="AN131" s="196" t="n">
        <v>53678</v>
      </c>
      <c r="AO131" s="196" t="n">
        <v>48683</v>
      </c>
      <c r="AP131" s="196" t="n">
        <v>40165</v>
      </c>
      <c r="AQ131" s="196" t="n">
        <v>32314</v>
      </c>
      <c r="AR131" s="196" t="n">
        <v>23815</v>
      </c>
      <c r="AS131" s="196" t="n">
        <v>19733</v>
      </c>
      <c r="AT131" s="196" t="n">
        <v>3927</v>
      </c>
      <c r="AU131" s="196" t="n">
        <v>5196</v>
      </c>
      <c r="AV131" s="196" t="n">
        <v>4807</v>
      </c>
      <c r="AW131" s="196" t="n">
        <v>3192</v>
      </c>
      <c r="AX131" s="196" t="n">
        <v>3773</v>
      </c>
      <c r="AY131" s="196" t="n">
        <v>3446</v>
      </c>
      <c r="AZ131" s="196" t="n">
        <v>3380</v>
      </c>
      <c r="BA131" s="196" t="n">
        <v>3816</v>
      </c>
      <c r="BB131" s="196" t="n">
        <v>5001</v>
      </c>
      <c r="BC131" s="196" t="n">
        <v>4868</v>
      </c>
      <c r="BD131" s="196" t="n">
        <v>5194</v>
      </c>
      <c r="BE131" s="196" t="n">
        <v>5322</v>
      </c>
      <c r="BF131" s="196" t="n">
        <v>6334</v>
      </c>
      <c r="BG131" s="196" t="n">
        <v>6324</v>
      </c>
      <c r="BH131" s="196" t="n">
        <v>6854</v>
      </c>
      <c r="BI131" s="196" t="n">
        <v>7372</v>
      </c>
      <c r="BJ131" s="196" t="n">
        <v>7494</v>
      </c>
      <c r="BK131" s="196" t="n">
        <v>7461</v>
      </c>
      <c r="BL131" s="196" t="n">
        <v>7475</v>
      </c>
      <c r="BM131" s="196" t="n">
        <v>8071</v>
      </c>
      <c r="BN131" s="196" t="n">
        <v>8638</v>
      </c>
      <c r="BO131" s="196" t="n">
        <v>9153</v>
      </c>
      <c r="BP131" s="196" t="n">
        <v>7098</v>
      </c>
      <c r="BQ131" s="196" t="n">
        <v>7186</v>
      </c>
      <c r="BR131" s="196" t="n">
        <v>9130</v>
      </c>
      <c r="BS131" s="196" t="n">
        <v>9063</v>
      </c>
      <c r="BT131" s="196" t="n">
        <v>9585</v>
      </c>
      <c r="BU131" s="196" t="n">
        <v>10057</v>
      </c>
      <c r="BV131" s="196" t="n">
        <v>9482</v>
      </c>
      <c r="BW131" s="196" t="n">
        <v>33725</v>
      </c>
      <c r="BX131" s="196" t="n">
        <v>9748</v>
      </c>
      <c r="BY131" s="196" t="n">
        <v>33540</v>
      </c>
      <c r="BZ131" s="196" t="n">
        <v>10504</v>
      </c>
      <c r="CA131" s="196" t="n">
        <v>32429</v>
      </c>
      <c r="CB131" s="196" t="n">
        <v>31263</v>
      </c>
      <c r="CC131" s="196" t="n">
        <v>30866</v>
      </c>
      <c r="CD131" s="196" t="n">
        <v>23265</v>
      </c>
      <c r="CE131" s="196" t="n">
        <v>11197</v>
      </c>
      <c r="CF131" s="196" t="n">
        <v>14044</v>
      </c>
      <c r="CG131" s="196" t="n">
        <v>12688</v>
      </c>
      <c r="CH131" s="196" t="n">
        <v>13554</v>
      </c>
      <c r="CI131" s="196" t="n">
        <v>14666</v>
      </c>
      <c r="CJ131" s="196" t="n">
        <v>13998</v>
      </c>
      <c r="CK131" s="196" t="n"/>
      <c r="CL131" s="196" t="n"/>
      <c r="CM131" s="196" t="n"/>
      <c r="CN131" s="196" t="n"/>
      <c r="CO131" s="196" t="n"/>
      <c r="CP131" s="196" t="n"/>
      <c r="CQ131" s="196" t="n"/>
      <c r="CR131" s="196" t="n">
        <v>2878</v>
      </c>
      <c r="CS131" s="196" t="n">
        <v>7960</v>
      </c>
      <c r="CT131" s="196" t="n">
        <v>6091.3</v>
      </c>
      <c r="CU131" s="196" t="n">
        <v>8377.4</v>
      </c>
      <c r="CV131" s="196" t="n">
        <v>6355</v>
      </c>
      <c r="CW131" s="196" t="n">
        <v>8013.9</v>
      </c>
      <c r="CX131" s="196" t="n">
        <v>8014</v>
      </c>
      <c r="CY131" s="196" t="n">
        <v>8013.9</v>
      </c>
      <c r="CZ131" s="196" t="n">
        <v>6014</v>
      </c>
      <c r="DA131" s="196" t="n">
        <v>4818.2</v>
      </c>
      <c r="DB131" s="196" t="n">
        <v>1063.1</v>
      </c>
      <c r="DC131" s="196" t="n">
        <v>1063.1</v>
      </c>
      <c r="DD131" s="196" t="n">
        <v>1063.1</v>
      </c>
      <c r="DE131" s="196" t="n"/>
      <c r="DF131" s="196" t="n"/>
      <c r="DG131" s="196" t="n">
        <v>4553</v>
      </c>
      <c r="DH131" s="196" t="n"/>
      <c r="DI131" s="196" t="n">
        <v>2834.3</v>
      </c>
      <c r="DJ131" s="196" t="n">
        <v>2834.3</v>
      </c>
      <c r="DK131" s="196" t="n">
        <v>2834.3</v>
      </c>
      <c r="DL131" s="196" t="n">
        <v>2834.3</v>
      </c>
      <c r="DM131" s="196" t="n">
        <v>802.1</v>
      </c>
      <c r="DN131" s="196" t="n">
        <v>800</v>
      </c>
      <c r="DO131" s="196" t="n">
        <v>800</v>
      </c>
      <c r="DP131" s="196" t="n">
        <v>800</v>
      </c>
      <c r="DQ131" s="196" t="n">
        <v>1100</v>
      </c>
      <c r="DR131" s="196" t="n">
        <v>1100</v>
      </c>
      <c r="DS131" s="196" t="n">
        <v>1100</v>
      </c>
      <c r="DT131" s="196" t="n">
        <v>1100</v>
      </c>
      <c r="DU131" s="196" t="n">
        <v>1000</v>
      </c>
      <c r="DV131" s="196" t="n">
        <v>1000</v>
      </c>
      <c r="DW131" s="196" t="n">
        <v>1000</v>
      </c>
      <c r="DX131" s="196" t="n">
        <v>1000</v>
      </c>
      <c r="DY131" s="196" t="n">
        <v>900</v>
      </c>
      <c r="DZ131" s="196" t="n">
        <v>600</v>
      </c>
      <c r="EA131" s="196" t="n">
        <v>600</v>
      </c>
      <c r="EB131" s="196" t="n">
        <v>600</v>
      </c>
      <c r="EC131" s="196" t="n">
        <v>600</v>
      </c>
      <c r="ED131" s="196" t="n">
        <v>600</v>
      </c>
      <c r="EE131" s="196" t="n">
        <v>600</v>
      </c>
      <c r="EF131" s="196" t="n">
        <v>600</v>
      </c>
      <c r="EG131" s="196" t="n">
        <v>400</v>
      </c>
      <c r="EH131" s="196" t="n">
        <v>400</v>
      </c>
      <c r="EI131" s="196" t="n">
        <v>400</v>
      </c>
      <c r="EJ131" s="196" t="n">
        <v>400</v>
      </c>
      <c r="EK131" s="196" t="n">
        <v>100</v>
      </c>
      <c r="EL131" s="182" t="n"/>
      <c r="EM131" s="176" t="n"/>
      <c r="EN131" s="176" t="n"/>
      <c r="EO131" s="176" t="n"/>
      <c r="EP131" s="176" t="n"/>
      <c r="EQ131" s="176" t="n"/>
      <c r="ER131" s="176" t="n"/>
      <c r="ES131" s="176" t="n"/>
      <c r="ET131" s="176" t="n"/>
      <c r="EU131" s="176" t="n"/>
      <c r="EV131" s="176" t="n"/>
      <c r="EW131" s="176" t="n"/>
      <c r="EX131" s="176" t="n"/>
      <c r="EY131" s="176" t="n"/>
      <c r="EZ131" s="176" t="n"/>
      <c r="FA131" s="176" t="n"/>
      <c r="FB131" s="176" t="n"/>
      <c r="FC131" s="176" t="n"/>
      <c r="FD131" s="176" t="n"/>
      <c r="FE131" s="176" t="n"/>
      <c r="FF131" s="176" t="n"/>
      <c r="FG131" s="176" t="n"/>
      <c r="FH131" s="176" t="n"/>
      <c r="FI131" s="176" t="n"/>
      <c r="FJ131" s="176" t="n"/>
    </row>
    <row r="132" ht="15" customHeight="1" s="392">
      <c r="A132" s="176" t="n"/>
      <c r="B132" s="180" t="n"/>
      <c r="C132" s="183" t="inlineStr">
        <is>
          <t xml:space="preserve">        Payables and Accrued Expenses, Non-Current</t>
        </is>
      </c>
      <c r="D132" s="185" t="n"/>
      <c r="E132" s="185" t="n"/>
      <c r="F132" s="185" t="n"/>
      <c r="G132" s="185" t="n"/>
      <c r="H132" s="185" t="n"/>
      <c r="I132" s="185" t="n"/>
      <c r="J132" s="185" t="n"/>
      <c r="K132" s="185" t="n"/>
      <c r="EL132" s="182" t="n"/>
      <c r="EM132" s="176" t="n"/>
      <c r="EN132" s="176" t="n"/>
      <c r="EO132" s="176" t="n"/>
      <c r="EP132" s="176" t="n"/>
      <c r="EQ132" s="176" t="n"/>
      <c r="ER132" s="176" t="n"/>
      <c r="ES132" s="176" t="n"/>
      <c r="ET132" s="176" t="n"/>
      <c r="EU132" s="176" t="n"/>
      <c r="EV132" s="176" t="n"/>
      <c r="EW132" s="176" t="n"/>
      <c r="EX132" s="176" t="n"/>
      <c r="EY132" s="176" t="n"/>
      <c r="EZ132" s="176" t="n"/>
      <c r="FA132" s="176" t="n"/>
      <c r="FB132" s="176" t="n"/>
      <c r="FC132" s="176" t="n"/>
      <c r="FD132" s="176" t="n"/>
      <c r="FE132" s="176" t="n"/>
      <c r="FF132" s="176" t="n"/>
      <c r="FG132" s="176" t="n"/>
      <c r="FH132" s="176" t="n"/>
      <c r="FI132" s="176" t="n"/>
      <c r="FJ132" s="176" t="n"/>
    </row>
    <row r="133" ht="15" customHeight="1" s="392">
      <c r="A133" s="176" t="n"/>
      <c r="B133" s="180" t="n"/>
      <c r="C133" s="183" t="inlineStr">
        <is>
          <t xml:space="preserve">            Trade and Other Payables, Non-Current</t>
        </is>
      </c>
      <c r="D133" s="185" t="n"/>
      <c r="E133" s="185" t="n"/>
      <c r="F133" s="185" t="n"/>
      <c r="G133" s="185" t="n"/>
      <c r="H133" s="185" t="n"/>
      <c r="I133" s="185" t="n"/>
      <c r="J133" s="185" t="n"/>
      <c r="K133" s="185" t="n"/>
      <c r="EL133" s="182" t="n"/>
      <c r="EM133" s="176" t="n"/>
      <c r="EN133" s="176" t="n"/>
      <c r="EO133" s="176" t="n"/>
      <c r="EP133" s="176" t="n"/>
      <c r="EQ133" s="176" t="n"/>
      <c r="ER133" s="176" t="n"/>
      <c r="ES133" s="176" t="n"/>
      <c r="ET133" s="176" t="n"/>
      <c r="EU133" s="176" t="n"/>
      <c r="EV133" s="176" t="n"/>
      <c r="EW133" s="176" t="n"/>
      <c r="EX133" s="176" t="n"/>
      <c r="EY133" s="176" t="n"/>
      <c r="EZ133" s="176" t="n"/>
      <c r="FA133" s="176" t="n"/>
      <c r="FB133" s="176" t="n"/>
      <c r="FC133" s="176" t="n"/>
      <c r="FD133" s="176" t="n"/>
      <c r="FE133" s="176" t="n"/>
      <c r="FF133" s="176" t="n"/>
      <c r="FG133" s="176" t="n"/>
      <c r="FH133" s="176" t="n"/>
      <c r="FI133" s="176" t="n"/>
      <c r="FJ133" s="176" t="n"/>
    </row>
    <row r="134" ht="15" customHeight="1" s="392">
      <c r="A134" s="176" t="n"/>
      <c r="B134" s="180" t="n"/>
      <c r="C134" s="183" t="inlineStr">
        <is>
          <t xml:space="preserve">                Taxes Payable, Non-Current</t>
        </is>
      </c>
      <c r="D134" s="190">
        <f>IF(COUNT(M134:EK134)&gt;0,MEDIAN(M134:EK134),"")</f>
        <v/>
      </c>
      <c r="E134" s="190">
        <f>IF(COUNT(M134:EK134)&gt;0,AVERAGE(M134:EK134),"")</f>
        <v/>
      </c>
      <c r="F134" s="190">
        <f>IF(COUNT(M134:EK134)&gt;0,MIN(M134:EK134),"")</f>
        <v/>
      </c>
      <c r="G134" s="190">
        <f>IF(COUNT(M134:EK134)&gt;0,MAX(M134:EK134),"")</f>
        <v/>
      </c>
      <c r="H134" s="190">
        <f>IF(COUNT(M134:EK134)&gt;0,QUARTILE(M134:EK134,1),"")</f>
        <v/>
      </c>
      <c r="I134" s="190">
        <f>IF(COUNT(M134:EK134)&gt;0,QUARTILE(M134:EK134,3),"")</f>
        <v/>
      </c>
      <c r="J134" s="190">
        <f>IF(COUNT(M134:EK134)&gt;1,STDEV(M134:EK134),"")</f>
        <v/>
      </c>
      <c r="K134" s="191">
        <f>IF(COUNT(M134:EK134)&gt;1,STDEV(M134:EK134)/AVERAGE(M134:EK134),"")</f>
        <v/>
      </c>
      <c r="M134" s="192" t="n">
        <v>9067</v>
      </c>
      <c r="N134" s="192" t="n">
        <v>5308</v>
      </c>
      <c r="O134" s="192" t="n">
        <v>6786</v>
      </c>
      <c r="P134" s="192" t="n">
        <v>12802</v>
      </c>
      <c r="Q134" s="192" t="n">
        <v>35635</v>
      </c>
      <c r="R134" s="192" t="n">
        <v>36574</v>
      </c>
      <c r="S134" s="192" t="n">
        <v>44091</v>
      </c>
      <c r="T134" s="192" t="n">
        <v>43786</v>
      </c>
      <c r="U134" s="192" t="n">
        <v>59560</v>
      </c>
      <c r="V134" s="192" t="n">
        <v>67455</v>
      </c>
      <c r="W134" s="192" t="n">
        <v>71314</v>
      </c>
      <c r="X134" s="192" t="n">
        <v>69982</v>
      </c>
      <c r="Y134" s="192" t="n">
        <v>69193</v>
      </c>
      <c r="Z134" s="192" t="n">
        <v>65745</v>
      </c>
      <c r="AA134" s="192" t="n">
        <v>65322</v>
      </c>
      <c r="AB134" s="192" t="n">
        <v>65275</v>
      </c>
      <c r="AC134" s="192" t="n">
        <v>64637</v>
      </c>
      <c r="AD134" s="192" t="n">
        <v>61359</v>
      </c>
      <c r="AE134" s="192" t="n">
        <v>57193</v>
      </c>
      <c r="AF134" s="192" t="n">
        <v>51094</v>
      </c>
      <c r="AG134" s="192" t="n">
        <v>52345</v>
      </c>
      <c r="AH134" s="192" t="n">
        <v>55637</v>
      </c>
      <c r="AI134" s="192" t="n">
        <v>51177</v>
      </c>
      <c r="AJ134" s="192" t="n">
        <v>44347</v>
      </c>
      <c r="AK134" s="192" t="n">
        <v>44965</v>
      </c>
      <c r="AL134" s="192" t="n">
        <v>46795</v>
      </c>
      <c r="AM134" s="192" t="n">
        <v>43650</v>
      </c>
      <c r="AN134" s="192" t="n">
        <v>38965</v>
      </c>
      <c r="AO134" s="192" t="n">
        <v>35116</v>
      </c>
      <c r="AP134" s="192" t="n">
        <v>33634</v>
      </c>
      <c r="AQ134" s="192" t="n">
        <v>30390</v>
      </c>
      <c r="AR134" s="192" t="n">
        <v>29254</v>
      </c>
      <c r="AS134" s="192" t="n">
        <v>27277</v>
      </c>
      <c r="AT134" s="192" t="n">
        <v>27303</v>
      </c>
      <c r="AU134" s="192" t="n">
        <v>27128</v>
      </c>
      <c r="AV134" s="192" t="n">
        <v>26086</v>
      </c>
      <c r="AW134" s="192" t="n">
        <v>24573</v>
      </c>
      <c r="AX134" s="192" t="n">
        <v>26772</v>
      </c>
      <c r="AY134" s="192" t="n">
        <v>27470</v>
      </c>
      <c r="AZ134" s="192" t="n">
        <v>26867</v>
      </c>
      <c r="BA134" s="192" t="n">
        <v>25641</v>
      </c>
      <c r="BB134" s="192" t="n">
        <v>25675</v>
      </c>
      <c r="BC134" s="192" t="n">
        <v>23696</v>
      </c>
      <c r="BD134" s="192" t="n">
        <v>22395</v>
      </c>
      <c r="BE134" s="192" t="n">
        <v>21157</v>
      </c>
      <c r="BF134" s="192" t="n">
        <v>26982</v>
      </c>
      <c r="BG134" s="192" t="n">
        <v>25499</v>
      </c>
      <c r="BH134" s="192" t="n">
        <v>24227</v>
      </c>
      <c r="BI134" s="192" t="n">
        <v>23771</v>
      </c>
      <c r="BJ134" s="192" t="n">
        <v>25378</v>
      </c>
      <c r="BK134" s="192" t="n">
        <v>24165</v>
      </c>
      <c r="BL134" s="192" t="n">
        <v>23399</v>
      </c>
      <c r="BM134" s="192" t="n">
        <v>23091</v>
      </c>
      <c r="BN134" s="192" t="n">
        <v>26185</v>
      </c>
      <c r="BO134" s="192" t="n">
        <v>24434</v>
      </c>
      <c r="BP134" s="192" t="n">
        <v>23525</v>
      </c>
      <c r="BQ134" s="192" t="n">
        <v>22531</v>
      </c>
      <c r="BR134" s="192" t="n">
        <v>25481</v>
      </c>
      <c r="BS134" s="192" t="n">
        <v>24796</v>
      </c>
      <c r="BT134" s="192" t="n">
        <v>24707</v>
      </c>
      <c r="BU134" s="192" t="n">
        <v>24773</v>
      </c>
      <c r="BV134" s="192" t="n">
        <v>25127</v>
      </c>
      <c r="BW134" s="192" t="n"/>
      <c r="BX134" s="192" t="n">
        <v>23369</v>
      </c>
      <c r="BY134" s="192" t="n"/>
      <c r="BZ134" s="192" t="n"/>
      <c r="CA134" s="192" t="n"/>
      <c r="CB134" s="192" t="n"/>
      <c r="CC134" s="192" t="n"/>
      <c r="CD134" s="192" t="n"/>
      <c r="CE134" s="192" t="n"/>
      <c r="CF134" s="192" t="n"/>
      <c r="CG134" s="192" t="n"/>
      <c r="CH134" s="192" t="n"/>
      <c r="CI134" s="192" t="n"/>
      <c r="CJ134" s="192" t="n"/>
      <c r="CK134" s="192" t="n"/>
      <c r="CL134" s="192" t="n"/>
      <c r="CM134" s="192" t="n"/>
      <c r="CN134" s="192" t="n"/>
      <c r="CO134" s="192" t="n"/>
      <c r="CP134" s="192" t="n"/>
      <c r="CQ134" s="192" t="n"/>
      <c r="CR134" s="192" t="n"/>
      <c r="CS134" s="192" t="n"/>
      <c r="CT134" s="192" t="n"/>
      <c r="CU134" s="192" t="n"/>
      <c r="CV134" s="192" t="n"/>
      <c r="CW134" s="192" t="n"/>
      <c r="CX134" s="192" t="n"/>
      <c r="CY134" s="192" t="n"/>
      <c r="CZ134" s="192" t="n"/>
      <c r="DA134" s="192" t="n"/>
      <c r="DB134" s="192" t="n"/>
      <c r="DC134" s="192" t="n"/>
      <c r="DD134" s="192" t="n"/>
      <c r="DE134" s="192" t="n"/>
      <c r="DF134" s="192" t="n"/>
      <c r="DG134" s="192" t="n"/>
      <c r="DH134" s="192" t="n"/>
      <c r="DI134" s="192" t="n"/>
      <c r="DJ134" s="192" t="n"/>
      <c r="DK134" s="192" t="n"/>
      <c r="DL134" s="192" t="n"/>
      <c r="DM134" s="192" t="n"/>
      <c r="DN134" s="192" t="n"/>
      <c r="DO134" s="192" t="n"/>
      <c r="DP134" s="192" t="n"/>
      <c r="DQ134" s="192" t="n"/>
      <c r="DR134" s="192" t="n"/>
      <c r="DS134" s="192" t="n"/>
      <c r="DT134" s="192" t="n"/>
      <c r="DU134" s="192" t="n"/>
      <c r="DV134" s="192" t="n"/>
      <c r="DW134" s="192" t="n"/>
      <c r="DX134" s="192" t="n"/>
      <c r="DY134" s="192" t="n"/>
      <c r="DZ134" s="192" t="n"/>
      <c r="EA134" s="192" t="n"/>
      <c r="EB134" s="192" t="n"/>
      <c r="EC134" s="192" t="n"/>
      <c r="ED134" s="192" t="n"/>
      <c r="EE134" s="192" t="n"/>
      <c r="EF134" s="192" t="n"/>
      <c r="EG134" s="192" t="n"/>
      <c r="EH134" s="192" t="n"/>
      <c r="EI134" s="192" t="n"/>
      <c r="EJ134" s="192" t="n"/>
      <c r="EK134" s="192" t="n"/>
      <c r="EL134" s="182" t="n"/>
      <c r="EM134" s="176" t="n"/>
      <c r="EN134" s="176" t="n"/>
      <c r="EO134" s="176" t="n"/>
      <c r="EP134" s="176" t="n"/>
      <c r="EQ134" s="176" t="n"/>
      <c r="ER134" s="176" t="n"/>
      <c r="ES134" s="176" t="n"/>
      <c r="ET134" s="176" t="n"/>
      <c r="EU134" s="176" t="n"/>
      <c r="EV134" s="176" t="n"/>
      <c r="EW134" s="176" t="n"/>
      <c r="EX134" s="176" t="n"/>
      <c r="EY134" s="176" t="n"/>
      <c r="EZ134" s="176" t="n"/>
      <c r="FA134" s="176" t="n"/>
      <c r="FB134" s="176" t="n"/>
      <c r="FC134" s="176" t="n"/>
      <c r="FD134" s="176" t="n"/>
      <c r="FE134" s="176" t="n"/>
      <c r="FF134" s="176" t="n"/>
      <c r="FG134" s="176" t="n"/>
      <c r="FH134" s="176" t="n"/>
      <c r="FI134" s="176" t="n"/>
      <c r="FJ134" s="176" t="n"/>
    </row>
    <row r="135" ht="15" customHeight="1" s="392">
      <c r="A135" s="176" t="n"/>
      <c r="B135" s="180" t="n"/>
      <c r="C135" s="187" t="inlineStr">
        <is>
          <t xml:space="preserve">            Total Trade and Other Payables, Non-Current</t>
        </is>
      </c>
      <c r="D135" s="193">
        <f>IF(COUNT(M135:EK135)&gt;0,MEDIAN(M135:EK135),"")</f>
        <v/>
      </c>
      <c r="E135" s="193">
        <f>IF(COUNT(M135:EK135)&gt;0,AVERAGE(M135:EK135),"")</f>
        <v/>
      </c>
      <c r="F135" s="193">
        <f>IF(COUNT(M135:EK135)&gt;0,MIN(M135:EK135),"")</f>
        <v/>
      </c>
      <c r="G135" s="193">
        <f>IF(COUNT(M135:EK135)&gt;0,MAX(M135:EK135),"")</f>
        <v/>
      </c>
      <c r="H135" s="193">
        <f>IF(COUNT(M135:EK135)&gt;0,QUARTILE(M135:EK135,1),"")</f>
        <v/>
      </c>
      <c r="I135" s="193">
        <f>IF(COUNT(M135:EK135)&gt;0,QUARTILE(M135:EK135,3),"")</f>
        <v/>
      </c>
      <c r="J135" s="193">
        <f>IF(COUNT(M135:EK135)&gt;1,STDEV(M135:EK135),"")</f>
        <v/>
      </c>
      <c r="K135" s="194">
        <f>IF(COUNT(M135:EK135)&gt;1,STDEV(M135:EK135)/AVERAGE(M135:EK135),"")</f>
        <v/>
      </c>
      <c r="L135" s="195" t="n"/>
      <c r="M135" s="196" t="n">
        <v>9067</v>
      </c>
      <c r="N135" s="196" t="n">
        <v>5308</v>
      </c>
      <c r="O135" s="196" t="n">
        <v>6786</v>
      </c>
      <c r="P135" s="196" t="n">
        <v>12802</v>
      </c>
      <c r="Q135" s="196" t="n">
        <v>35635</v>
      </c>
      <c r="R135" s="196" t="n">
        <v>36574</v>
      </c>
      <c r="S135" s="196" t="n">
        <v>44091</v>
      </c>
      <c r="T135" s="196" t="n">
        <v>43786</v>
      </c>
      <c r="U135" s="196" t="n">
        <v>59560</v>
      </c>
      <c r="V135" s="196" t="n">
        <v>67455</v>
      </c>
      <c r="W135" s="196" t="n">
        <v>71314</v>
      </c>
      <c r="X135" s="196" t="n">
        <v>69982</v>
      </c>
      <c r="Y135" s="196" t="n">
        <v>69193</v>
      </c>
      <c r="Z135" s="196" t="n">
        <v>65745</v>
      </c>
      <c r="AA135" s="196" t="n">
        <v>65322</v>
      </c>
      <c r="AB135" s="196" t="n">
        <v>65275</v>
      </c>
      <c r="AC135" s="196" t="n">
        <v>64637</v>
      </c>
      <c r="AD135" s="196" t="n">
        <v>61359</v>
      </c>
      <c r="AE135" s="196" t="n">
        <v>57193</v>
      </c>
      <c r="AF135" s="196" t="n">
        <v>51094</v>
      </c>
      <c r="AG135" s="196" t="n">
        <v>52345</v>
      </c>
      <c r="AH135" s="196" t="n">
        <v>55637</v>
      </c>
      <c r="AI135" s="196" t="n">
        <v>51177</v>
      </c>
      <c r="AJ135" s="196" t="n">
        <v>44347</v>
      </c>
      <c r="AK135" s="196" t="n">
        <v>44965</v>
      </c>
      <c r="AL135" s="196" t="n">
        <v>46795</v>
      </c>
      <c r="AM135" s="196" t="n">
        <v>43650</v>
      </c>
      <c r="AN135" s="196" t="n">
        <v>38965</v>
      </c>
      <c r="AO135" s="196" t="n">
        <v>35116</v>
      </c>
      <c r="AP135" s="196" t="n">
        <v>33634</v>
      </c>
      <c r="AQ135" s="196" t="n">
        <v>30390</v>
      </c>
      <c r="AR135" s="196" t="n">
        <v>29254</v>
      </c>
      <c r="AS135" s="196" t="n">
        <v>27277</v>
      </c>
      <c r="AT135" s="196" t="n">
        <v>27303</v>
      </c>
      <c r="AU135" s="196" t="n">
        <v>27128</v>
      </c>
      <c r="AV135" s="196" t="n">
        <v>26086</v>
      </c>
      <c r="AW135" s="196" t="n">
        <v>24573</v>
      </c>
      <c r="AX135" s="196" t="n">
        <v>26772</v>
      </c>
      <c r="AY135" s="196" t="n">
        <v>27470</v>
      </c>
      <c r="AZ135" s="196" t="n">
        <v>26867</v>
      </c>
      <c r="BA135" s="196" t="n">
        <v>25641</v>
      </c>
      <c r="BB135" s="196" t="n">
        <v>25675</v>
      </c>
      <c r="BC135" s="196" t="n">
        <v>23696</v>
      </c>
      <c r="BD135" s="196" t="n">
        <v>22395</v>
      </c>
      <c r="BE135" s="196" t="n">
        <v>21157</v>
      </c>
      <c r="BF135" s="196" t="n">
        <v>26982</v>
      </c>
      <c r="BG135" s="196" t="n">
        <v>25499</v>
      </c>
      <c r="BH135" s="196" t="n">
        <v>24227</v>
      </c>
      <c r="BI135" s="196" t="n">
        <v>23771</v>
      </c>
      <c r="BJ135" s="196" t="n">
        <v>25378</v>
      </c>
      <c r="BK135" s="196" t="n">
        <v>24165</v>
      </c>
      <c r="BL135" s="196" t="n">
        <v>23399</v>
      </c>
      <c r="BM135" s="196" t="n">
        <v>23091</v>
      </c>
      <c r="BN135" s="196" t="n">
        <v>26185</v>
      </c>
      <c r="BO135" s="196" t="n">
        <v>24434</v>
      </c>
      <c r="BP135" s="196" t="n">
        <v>23525</v>
      </c>
      <c r="BQ135" s="196" t="n">
        <v>22531</v>
      </c>
      <c r="BR135" s="196" t="n">
        <v>25481</v>
      </c>
      <c r="BS135" s="196" t="n">
        <v>24796</v>
      </c>
      <c r="BT135" s="196" t="n">
        <v>24707</v>
      </c>
      <c r="BU135" s="196" t="n">
        <v>24773</v>
      </c>
      <c r="BV135" s="196" t="n">
        <v>25127</v>
      </c>
      <c r="BW135" s="196" t="n"/>
      <c r="BX135" s="196" t="n">
        <v>23369</v>
      </c>
      <c r="BY135" s="196" t="n"/>
      <c r="BZ135" s="196" t="n"/>
      <c r="CA135" s="196" t="n"/>
      <c r="CB135" s="196" t="n"/>
      <c r="CC135" s="196" t="n"/>
      <c r="CD135" s="196" t="n"/>
      <c r="CE135" s="196" t="n"/>
      <c r="CF135" s="196" t="n"/>
      <c r="CG135" s="196" t="n"/>
      <c r="CH135" s="196" t="n"/>
      <c r="CI135" s="196" t="n"/>
      <c r="CJ135" s="196" t="n"/>
      <c r="CK135" s="196" t="n"/>
      <c r="CL135" s="196" t="n"/>
      <c r="CM135" s="196" t="n"/>
      <c r="CN135" s="196" t="n"/>
      <c r="CO135" s="196" t="n"/>
      <c r="CP135" s="196" t="n"/>
      <c r="CQ135" s="196" t="n"/>
      <c r="CR135" s="196" t="n"/>
      <c r="CS135" s="196" t="n"/>
      <c r="CT135" s="196" t="n"/>
      <c r="CU135" s="196" t="n"/>
      <c r="CV135" s="196" t="n"/>
      <c r="CW135" s="196" t="n"/>
      <c r="CX135" s="196" t="n"/>
      <c r="CY135" s="196" t="n"/>
      <c r="CZ135" s="196" t="n"/>
      <c r="DA135" s="196" t="n"/>
      <c r="DB135" s="196" t="n"/>
      <c r="DC135" s="196" t="n"/>
      <c r="DD135" s="196" t="n"/>
      <c r="DE135" s="196" t="n"/>
      <c r="DF135" s="196" t="n"/>
      <c r="DG135" s="196" t="n"/>
      <c r="DH135" s="196" t="n"/>
      <c r="DI135" s="196" t="n"/>
      <c r="DJ135" s="196" t="n"/>
      <c r="DK135" s="196" t="n"/>
      <c r="DL135" s="196" t="n"/>
      <c r="DM135" s="196" t="n"/>
      <c r="DN135" s="196" t="n"/>
      <c r="DO135" s="196" t="n"/>
      <c r="DP135" s="196" t="n"/>
      <c r="DQ135" s="196" t="n"/>
      <c r="DR135" s="196" t="n"/>
      <c r="DS135" s="196" t="n"/>
      <c r="DT135" s="196" t="n"/>
      <c r="DU135" s="196" t="n"/>
      <c r="DV135" s="196" t="n"/>
      <c r="DW135" s="196" t="n"/>
      <c r="DX135" s="196" t="n"/>
      <c r="DY135" s="196" t="n"/>
      <c r="DZ135" s="196" t="n"/>
      <c r="EA135" s="196" t="n"/>
      <c r="EB135" s="196" t="n"/>
      <c r="EC135" s="196" t="n"/>
      <c r="ED135" s="196" t="n"/>
      <c r="EE135" s="196" t="n"/>
      <c r="EF135" s="196" t="n"/>
      <c r="EG135" s="196" t="n"/>
      <c r="EH135" s="196" t="n"/>
      <c r="EI135" s="196" t="n"/>
      <c r="EJ135" s="196" t="n"/>
      <c r="EK135" s="196" t="n"/>
      <c r="EL135" s="182" t="n"/>
      <c r="EM135" s="176" t="n"/>
      <c r="EN135" s="176" t="n"/>
      <c r="EO135" s="176" t="n"/>
      <c r="EP135" s="176" t="n"/>
      <c r="EQ135" s="176" t="n"/>
      <c r="ER135" s="176" t="n"/>
      <c r="ES135" s="176" t="n"/>
      <c r="ET135" s="176" t="n"/>
      <c r="EU135" s="176" t="n"/>
      <c r="EV135" s="176" t="n"/>
      <c r="EW135" s="176" t="n"/>
      <c r="EX135" s="176" t="n"/>
      <c r="EY135" s="176" t="n"/>
      <c r="EZ135" s="176" t="n"/>
      <c r="FA135" s="176" t="n"/>
      <c r="FB135" s="176" t="n"/>
      <c r="FC135" s="176" t="n"/>
      <c r="FD135" s="176" t="n"/>
      <c r="FE135" s="176" t="n"/>
      <c r="FF135" s="176" t="n"/>
      <c r="FG135" s="176" t="n"/>
      <c r="FH135" s="176" t="n"/>
      <c r="FI135" s="176" t="n"/>
      <c r="FJ135" s="176" t="n"/>
    </row>
    <row r="136" ht="15" customHeight="1" s="392">
      <c r="A136" s="176" t="n"/>
      <c r="B136" s="180" t="n"/>
      <c r="C136" s="187" t="inlineStr">
        <is>
          <t xml:space="preserve">        Total Payables and Accrued Expenses, Non-Current</t>
        </is>
      </c>
      <c r="D136" s="193">
        <f>IF(COUNT(M136:EK136)&gt;0,MEDIAN(M136:EK136),"")</f>
        <v/>
      </c>
      <c r="E136" s="193">
        <f>IF(COUNT(M136:EK136)&gt;0,AVERAGE(M136:EK136),"")</f>
        <v/>
      </c>
      <c r="F136" s="193">
        <f>IF(COUNT(M136:EK136)&gt;0,MIN(M136:EK136),"")</f>
        <v/>
      </c>
      <c r="G136" s="193">
        <f>IF(COUNT(M136:EK136)&gt;0,MAX(M136:EK136),"")</f>
        <v/>
      </c>
      <c r="H136" s="193">
        <f>IF(COUNT(M136:EK136)&gt;0,QUARTILE(M136:EK136,1),"")</f>
        <v/>
      </c>
      <c r="I136" s="193">
        <f>IF(COUNT(M136:EK136)&gt;0,QUARTILE(M136:EK136,3),"")</f>
        <v/>
      </c>
      <c r="J136" s="193">
        <f>IF(COUNT(M136:EK136)&gt;1,STDEV(M136:EK136),"")</f>
        <v/>
      </c>
      <c r="K136" s="194">
        <f>IF(COUNT(M136:EK136)&gt;1,STDEV(M136:EK136)/AVERAGE(M136:EK136),"")</f>
        <v/>
      </c>
      <c r="L136" s="195" t="n"/>
      <c r="M136" s="196" t="n">
        <v>9067</v>
      </c>
      <c r="N136" s="196" t="n">
        <v>5308</v>
      </c>
      <c r="O136" s="196" t="n">
        <v>6786</v>
      </c>
      <c r="P136" s="196" t="n">
        <v>12802</v>
      </c>
      <c r="Q136" s="196" t="n">
        <v>35635</v>
      </c>
      <c r="R136" s="196" t="n">
        <v>36574</v>
      </c>
      <c r="S136" s="196" t="n">
        <v>44091</v>
      </c>
      <c r="T136" s="196" t="n">
        <v>43786</v>
      </c>
      <c r="U136" s="196" t="n">
        <v>59560</v>
      </c>
      <c r="V136" s="196" t="n">
        <v>67455</v>
      </c>
      <c r="W136" s="196" t="n">
        <v>71314</v>
      </c>
      <c r="X136" s="196" t="n">
        <v>69982</v>
      </c>
      <c r="Y136" s="196" t="n">
        <v>69193</v>
      </c>
      <c r="Z136" s="196" t="n">
        <v>65745</v>
      </c>
      <c r="AA136" s="196" t="n">
        <v>65322</v>
      </c>
      <c r="AB136" s="196" t="n">
        <v>65275</v>
      </c>
      <c r="AC136" s="196" t="n">
        <v>64637</v>
      </c>
      <c r="AD136" s="196" t="n">
        <v>61359</v>
      </c>
      <c r="AE136" s="196" t="n">
        <v>57193</v>
      </c>
      <c r="AF136" s="196" t="n">
        <v>51094</v>
      </c>
      <c r="AG136" s="196" t="n">
        <v>52345</v>
      </c>
      <c r="AH136" s="196" t="n">
        <v>55637</v>
      </c>
      <c r="AI136" s="196" t="n">
        <v>51177</v>
      </c>
      <c r="AJ136" s="196" t="n">
        <v>44347</v>
      </c>
      <c r="AK136" s="196" t="n">
        <v>44965</v>
      </c>
      <c r="AL136" s="196" t="n">
        <v>46795</v>
      </c>
      <c r="AM136" s="196" t="n">
        <v>43650</v>
      </c>
      <c r="AN136" s="196" t="n">
        <v>38965</v>
      </c>
      <c r="AO136" s="196" t="n">
        <v>35116</v>
      </c>
      <c r="AP136" s="196" t="n">
        <v>33634</v>
      </c>
      <c r="AQ136" s="196" t="n">
        <v>30390</v>
      </c>
      <c r="AR136" s="196" t="n">
        <v>29254</v>
      </c>
      <c r="AS136" s="196" t="n">
        <v>27277</v>
      </c>
      <c r="AT136" s="196" t="n">
        <v>27303</v>
      </c>
      <c r="AU136" s="196" t="n">
        <v>27128</v>
      </c>
      <c r="AV136" s="196" t="n">
        <v>26086</v>
      </c>
      <c r="AW136" s="196" t="n">
        <v>24573</v>
      </c>
      <c r="AX136" s="196" t="n">
        <v>26772</v>
      </c>
      <c r="AY136" s="196" t="n">
        <v>27470</v>
      </c>
      <c r="AZ136" s="196" t="n">
        <v>26867</v>
      </c>
      <c r="BA136" s="196" t="n">
        <v>25641</v>
      </c>
      <c r="BB136" s="196" t="n">
        <v>25675</v>
      </c>
      <c r="BC136" s="196" t="n">
        <v>23696</v>
      </c>
      <c r="BD136" s="196" t="n">
        <v>22395</v>
      </c>
      <c r="BE136" s="196" t="n">
        <v>21157</v>
      </c>
      <c r="BF136" s="196" t="n">
        <v>26982</v>
      </c>
      <c r="BG136" s="196" t="n">
        <v>25499</v>
      </c>
      <c r="BH136" s="196" t="n">
        <v>24227</v>
      </c>
      <c r="BI136" s="196" t="n">
        <v>23771</v>
      </c>
      <c r="BJ136" s="196" t="n">
        <v>25378</v>
      </c>
      <c r="BK136" s="196" t="n">
        <v>24165</v>
      </c>
      <c r="BL136" s="196" t="n">
        <v>23399</v>
      </c>
      <c r="BM136" s="196" t="n">
        <v>23091</v>
      </c>
      <c r="BN136" s="196" t="n">
        <v>26185</v>
      </c>
      <c r="BO136" s="196" t="n">
        <v>24434</v>
      </c>
      <c r="BP136" s="196" t="n">
        <v>23525</v>
      </c>
      <c r="BQ136" s="196" t="n">
        <v>22531</v>
      </c>
      <c r="BR136" s="196" t="n">
        <v>25481</v>
      </c>
      <c r="BS136" s="196" t="n">
        <v>24796</v>
      </c>
      <c r="BT136" s="196" t="n">
        <v>24707</v>
      </c>
      <c r="BU136" s="196" t="n">
        <v>24773</v>
      </c>
      <c r="BV136" s="196" t="n">
        <v>25127</v>
      </c>
      <c r="BW136" s="196" t="n"/>
      <c r="BX136" s="196" t="n">
        <v>23369</v>
      </c>
      <c r="BY136" s="196" t="n"/>
      <c r="BZ136" s="196" t="n"/>
      <c r="CA136" s="196" t="n"/>
      <c r="CB136" s="196" t="n"/>
      <c r="CC136" s="196" t="n"/>
      <c r="CD136" s="196" t="n"/>
      <c r="CE136" s="196" t="n"/>
      <c r="CF136" s="196" t="n"/>
      <c r="CG136" s="196" t="n"/>
      <c r="CH136" s="196" t="n"/>
      <c r="CI136" s="196" t="n"/>
      <c r="CJ136" s="196" t="n"/>
      <c r="CK136" s="196" t="n"/>
      <c r="CL136" s="196" t="n"/>
      <c r="CM136" s="196" t="n"/>
      <c r="CN136" s="196" t="n"/>
      <c r="CO136" s="196" t="n"/>
      <c r="CP136" s="196" t="n"/>
      <c r="CQ136" s="196" t="n"/>
      <c r="CR136" s="196" t="n"/>
      <c r="CS136" s="196" t="n"/>
      <c r="CT136" s="196" t="n"/>
      <c r="CU136" s="196" t="n"/>
      <c r="CV136" s="196" t="n"/>
      <c r="CW136" s="196" t="n"/>
      <c r="CX136" s="196" t="n"/>
      <c r="CY136" s="196" t="n"/>
      <c r="CZ136" s="196" t="n"/>
      <c r="DA136" s="196" t="n"/>
      <c r="DB136" s="196" t="n"/>
      <c r="DC136" s="196" t="n"/>
      <c r="DD136" s="196" t="n"/>
      <c r="DE136" s="196" t="n"/>
      <c r="DF136" s="196" t="n"/>
      <c r="DG136" s="196" t="n"/>
      <c r="DH136" s="196" t="n"/>
      <c r="DI136" s="196" t="n"/>
      <c r="DJ136" s="196" t="n"/>
      <c r="DK136" s="196" t="n"/>
      <c r="DL136" s="196" t="n"/>
      <c r="DM136" s="196" t="n"/>
      <c r="DN136" s="196" t="n"/>
      <c r="DO136" s="196" t="n"/>
      <c r="DP136" s="196" t="n"/>
      <c r="DQ136" s="196" t="n"/>
      <c r="DR136" s="196" t="n"/>
      <c r="DS136" s="196" t="n"/>
      <c r="DT136" s="196" t="n"/>
      <c r="DU136" s="196" t="n"/>
      <c r="DV136" s="196" t="n"/>
      <c r="DW136" s="196" t="n"/>
      <c r="DX136" s="196" t="n"/>
      <c r="DY136" s="196" t="n"/>
      <c r="DZ136" s="196" t="n"/>
      <c r="EA136" s="196" t="n"/>
      <c r="EB136" s="196" t="n"/>
      <c r="EC136" s="196" t="n"/>
      <c r="ED136" s="196" t="n"/>
      <c r="EE136" s="196" t="n"/>
      <c r="EF136" s="196" t="n"/>
      <c r="EG136" s="196" t="n"/>
      <c r="EH136" s="196" t="n"/>
      <c r="EI136" s="196" t="n"/>
      <c r="EJ136" s="196" t="n"/>
      <c r="EK136" s="196" t="n"/>
      <c r="EL136" s="182" t="n"/>
      <c r="EM136" s="176" t="n"/>
      <c r="EN136" s="176" t="n"/>
      <c r="EO136" s="176" t="n"/>
      <c r="EP136" s="176" t="n"/>
      <c r="EQ136" s="176" t="n"/>
      <c r="ER136" s="176" t="n"/>
      <c r="ES136" s="176" t="n"/>
      <c r="ET136" s="176" t="n"/>
      <c r="EU136" s="176" t="n"/>
      <c r="EV136" s="176" t="n"/>
      <c r="EW136" s="176" t="n"/>
      <c r="EX136" s="176" t="n"/>
      <c r="EY136" s="176" t="n"/>
      <c r="EZ136" s="176" t="n"/>
      <c r="FA136" s="176" t="n"/>
      <c r="FB136" s="176" t="n"/>
      <c r="FC136" s="176" t="n"/>
      <c r="FD136" s="176" t="n"/>
      <c r="FE136" s="176" t="n"/>
      <c r="FF136" s="176" t="n"/>
      <c r="FG136" s="176" t="n"/>
      <c r="FH136" s="176" t="n"/>
      <c r="FI136" s="176" t="n"/>
      <c r="FJ136" s="176" t="n"/>
    </row>
    <row r="137" ht="15" customHeight="1" s="392">
      <c r="A137" s="176" t="n"/>
      <c r="B137" s="180" t="n"/>
      <c r="C137" s="183" t="inlineStr">
        <is>
          <t xml:space="preserve">        Other Non-Current Liabilities</t>
        </is>
      </c>
      <c r="D137" s="190">
        <f>IF(COUNT(M137:EK137)&gt;0,MEDIAN(M137:EK137),"")</f>
        <v/>
      </c>
      <c r="E137" s="190">
        <f>IF(COUNT(M137:EK137)&gt;0,AVERAGE(M137:EK137),"")</f>
        <v/>
      </c>
      <c r="F137" s="190">
        <f>IF(COUNT(M137:EK137)&gt;0,MIN(M137:EK137),"")</f>
        <v/>
      </c>
      <c r="G137" s="190">
        <f>IF(COUNT(M137:EK137)&gt;0,MAX(M137:EK137),"")</f>
        <v/>
      </c>
      <c r="H137" s="190">
        <f>IF(COUNT(M137:EK137)&gt;0,QUARTILE(M137:EK137,1),"")</f>
        <v/>
      </c>
      <c r="I137" s="190">
        <f>IF(COUNT(M137:EK137)&gt;0,QUARTILE(M137:EK137,3),"")</f>
        <v/>
      </c>
      <c r="J137" s="190">
        <f>IF(COUNT(M137:EK137)&gt;1,STDEV(M137:EK137),"")</f>
        <v/>
      </c>
      <c r="K137" s="191">
        <f>IF(COUNT(M137:EK137)&gt;1,STDEV(M137:EK137)/AVERAGE(M137:EK137),"")</f>
        <v/>
      </c>
      <c r="M137" s="192" t="n"/>
      <c r="N137" s="192" t="n"/>
      <c r="O137" s="192" t="n"/>
      <c r="P137" s="192" t="n"/>
      <c r="Q137" s="192" t="n"/>
      <c r="R137" s="192" t="n"/>
      <c r="S137" s="192" t="n"/>
      <c r="T137" s="192" t="n"/>
      <c r="U137" s="192" t="n"/>
      <c r="V137" s="192" t="n"/>
      <c r="W137" s="192" t="n"/>
      <c r="X137" s="192" t="n"/>
      <c r="Y137" s="192" t="n"/>
      <c r="Z137" s="192" t="n"/>
      <c r="AA137" s="192" t="n"/>
      <c r="AB137" s="192" t="n"/>
      <c r="AC137" s="192" t="n"/>
      <c r="AD137" s="192" t="n"/>
      <c r="AE137" s="192" t="n"/>
      <c r="AF137" s="192" t="n"/>
      <c r="AG137" s="192" t="n"/>
      <c r="AH137" s="192" t="n"/>
      <c r="AI137" s="192" t="n">
        <v>328</v>
      </c>
      <c r="AJ137" s="192" t="n">
        <v>311</v>
      </c>
      <c r="AK137" s="192" t="n"/>
      <c r="AL137" s="192" t="n">
        <v>134</v>
      </c>
      <c r="AM137" s="192" t="n">
        <v>138</v>
      </c>
      <c r="AN137" s="192" t="n">
        <v>137</v>
      </c>
      <c r="AO137" s="192" t="n">
        <v>3342</v>
      </c>
      <c r="AP137" s="192" t="n">
        <v>3371</v>
      </c>
      <c r="AQ137" s="192" t="n">
        <v>3475</v>
      </c>
      <c r="AR137" s="192" t="n">
        <v>3509</v>
      </c>
      <c r="AS137" s="192" t="n">
        <v>3586</v>
      </c>
      <c r="AT137" s="192" t="n">
        <v>3659</v>
      </c>
      <c r="AU137" s="192" t="n">
        <v>3732</v>
      </c>
      <c r="AV137" s="192" t="n">
        <v>2995</v>
      </c>
      <c r="AW137" s="192" t="n">
        <v>3100</v>
      </c>
      <c r="AX137" s="192" t="n">
        <v>2569</v>
      </c>
      <c r="AY137" s="192" t="n">
        <v>2749</v>
      </c>
      <c r="AZ137" s="192" t="n">
        <v>2034</v>
      </c>
      <c r="BA137" s="192" t="n">
        <v>2783</v>
      </c>
      <c r="BB137" s="192" t="n">
        <v>2844</v>
      </c>
      <c r="BC137" s="192" t="n">
        <v>2782</v>
      </c>
      <c r="BD137" s="192" t="n">
        <v>3402</v>
      </c>
      <c r="BE137" s="192" t="n">
        <v>3748</v>
      </c>
      <c r="BF137" s="192" t="n">
        <v>4294</v>
      </c>
      <c r="BG137" s="192" t="n">
        <v>4051</v>
      </c>
      <c r="BH137" s="192" t="n">
        <v>4515</v>
      </c>
      <c r="BI137" s="192" t="n">
        <v>4651</v>
      </c>
      <c r="BJ137" s="192" t="n">
        <v>5191</v>
      </c>
      <c r="BK137" s="192" t="n">
        <v>5310</v>
      </c>
      <c r="BL137" s="192" t="n">
        <v>5839</v>
      </c>
      <c r="BM137" s="192" t="n">
        <v>5949</v>
      </c>
      <c r="BN137" s="192" t="n">
        <v>6858</v>
      </c>
      <c r="BO137" s="192" t="n">
        <v>6977</v>
      </c>
      <c r="BP137" s="192" t="n">
        <v>7658</v>
      </c>
      <c r="BQ137" s="192" t="n">
        <v>7897</v>
      </c>
      <c r="BR137" s="192" t="n">
        <v>4897</v>
      </c>
      <c r="BS137" s="192" t="n">
        <v>5709</v>
      </c>
      <c r="BT137" s="192" t="n">
        <v>2775</v>
      </c>
      <c r="BU137" s="192" t="n">
        <v>2422</v>
      </c>
      <c r="BV137" s="192" t="n">
        <v>1003</v>
      </c>
      <c r="BW137" s="192" t="n">
        <v>1163</v>
      </c>
      <c r="BX137" s="192" t="n">
        <v>636</v>
      </c>
      <c r="BY137" s="192" t="n">
        <v>1328</v>
      </c>
      <c r="BZ137" s="192" t="n">
        <v>24316</v>
      </c>
      <c r="CA137" s="192" t="n">
        <v>1603</v>
      </c>
      <c r="CB137" s="192" t="n">
        <v>1726</v>
      </c>
      <c r="CC137" s="192" t="n">
        <v>1750</v>
      </c>
      <c r="CD137" s="192" t="n">
        <v>2185</v>
      </c>
      <c r="CE137" s="192" t="n">
        <v>16374</v>
      </c>
      <c r="CF137" s="192" t="n">
        <v>14955</v>
      </c>
      <c r="CG137" s="192" t="n">
        <v>4013</v>
      </c>
      <c r="CH137" s="192" t="n">
        <v>4492</v>
      </c>
      <c r="CI137" s="192" t="n">
        <v>3821</v>
      </c>
      <c r="CJ137" s="192" t="n">
        <v>3878</v>
      </c>
      <c r="CK137" s="192" t="n"/>
      <c r="CL137" s="192" t="n"/>
      <c r="CM137" s="192" t="n"/>
      <c r="CN137" s="192" t="n"/>
      <c r="CO137" s="192" t="n"/>
      <c r="CP137" s="192" t="n"/>
      <c r="CQ137" s="192" t="n"/>
      <c r="CR137" s="192" t="n">
        <v>1159</v>
      </c>
      <c r="CS137" s="192" t="n">
        <v>1263</v>
      </c>
      <c r="CT137" s="192" t="n">
        <v>1080.8</v>
      </c>
      <c r="CU137" s="192" t="n">
        <v>1133.3</v>
      </c>
      <c r="CV137" s="192" t="n">
        <v>1182</v>
      </c>
      <c r="CW137" s="192" t="n">
        <v>1194.1</v>
      </c>
      <c r="CX137" s="192" t="n">
        <v>1202</v>
      </c>
      <c r="CY137" s="192" t="n">
        <v>1236.7</v>
      </c>
      <c r="CZ137" s="192" t="n">
        <v>1246</v>
      </c>
      <c r="DA137" s="192" t="n">
        <v>1400.5</v>
      </c>
      <c r="DB137" s="192" t="n">
        <v>1409.7</v>
      </c>
      <c r="DC137" s="192" t="n">
        <v>1424.2</v>
      </c>
      <c r="DD137" s="192" t="n">
        <v>1436.4</v>
      </c>
      <c r="DE137" s="192" t="n">
        <v>1436.7</v>
      </c>
      <c r="DF137" s="192" t="n">
        <v>1419.5</v>
      </c>
      <c r="DG137" s="192" t="n">
        <v>1393.3</v>
      </c>
      <c r="DH137" s="192" t="n">
        <v>1412.3</v>
      </c>
      <c r="DI137" s="192" t="n">
        <v>1448.9</v>
      </c>
      <c r="DJ137" s="192" t="n">
        <v>1469.4</v>
      </c>
      <c r="DK137" s="192" t="n">
        <v>1489.2</v>
      </c>
      <c r="DL137" s="192" t="n">
        <v>1515.2</v>
      </c>
      <c r="DM137" s="192" t="n">
        <v>1552.1</v>
      </c>
      <c r="DN137" s="192" t="n">
        <v>1600</v>
      </c>
      <c r="DO137" s="192" t="n">
        <v>1800</v>
      </c>
      <c r="DP137" s="192" t="n">
        <v>1700</v>
      </c>
      <c r="DQ137" s="192" t="n">
        <v>1700</v>
      </c>
      <c r="DR137" s="192" t="n">
        <v>1700</v>
      </c>
      <c r="DS137" s="192" t="n">
        <v>1700</v>
      </c>
      <c r="DT137" s="192" t="n">
        <v>1600</v>
      </c>
      <c r="DU137" s="192" t="n">
        <v>1600</v>
      </c>
      <c r="DV137" s="192" t="n">
        <v>1500</v>
      </c>
      <c r="DW137" s="192" t="n">
        <v>1400</v>
      </c>
      <c r="DX137" s="192" t="n">
        <v>1300</v>
      </c>
      <c r="DY137" s="192" t="n">
        <v>4500</v>
      </c>
      <c r="DZ137" s="192" t="n">
        <v>4300</v>
      </c>
      <c r="EA137" s="192" t="n">
        <v>4200</v>
      </c>
      <c r="EB137" s="192" t="n">
        <v>4100</v>
      </c>
      <c r="EC137" s="192" t="n">
        <v>3800</v>
      </c>
      <c r="ED137" s="192" t="n">
        <v>3700</v>
      </c>
      <c r="EE137" s="192" t="n">
        <v>3500</v>
      </c>
      <c r="EF137" s="192" t="n">
        <v>3100</v>
      </c>
      <c r="EG137" s="192" t="n">
        <v>3000</v>
      </c>
      <c r="EH137" s="192" t="n">
        <v>3100</v>
      </c>
      <c r="EI137" s="192" t="n">
        <v>3000</v>
      </c>
      <c r="EJ137" s="192" t="n">
        <v>3100</v>
      </c>
      <c r="EK137" s="192" t="n">
        <v>3100</v>
      </c>
      <c r="EL137" s="182" t="n"/>
      <c r="EM137" s="176" t="n"/>
      <c r="EN137" s="176" t="n"/>
      <c r="EO137" s="176" t="n"/>
      <c r="EP137" s="176" t="n"/>
      <c r="EQ137" s="176" t="n"/>
      <c r="ER137" s="176" t="n"/>
      <c r="ES137" s="176" t="n"/>
      <c r="ET137" s="176" t="n"/>
      <c r="EU137" s="176" t="n"/>
      <c r="EV137" s="176" t="n"/>
      <c r="EW137" s="176" t="n"/>
      <c r="EX137" s="176" t="n"/>
      <c r="EY137" s="176" t="n"/>
      <c r="EZ137" s="176" t="n"/>
      <c r="FA137" s="176" t="n"/>
      <c r="FB137" s="176" t="n"/>
      <c r="FC137" s="176" t="n"/>
      <c r="FD137" s="176" t="n"/>
      <c r="FE137" s="176" t="n"/>
      <c r="FF137" s="176" t="n"/>
      <c r="FG137" s="176" t="n"/>
      <c r="FH137" s="176" t="n"/>
      <c r="FI137" s="176" t="n"/>
      <c r="FJ137" s="176" t="n"/>
    </row>
    <row r="138" ht="15" customHeight="1" s="392">
      <c r="A138" s="176" t="n"/>
      <c r="B138" s="180" t="n"/>
      <c r="C138" s="187" t="inlineStr">
        <is>
          <t xml:space="preserve">    Total Non-Current Liabilities</t>
        </is>
      </c>
      <c r="D138" s="193">
        <f>IF(COUNT(M138:EK138)&gt;0,MEDIAN(M138:EK138),"")</f>
        <v/>
      </c>
      <c r="E138" s="193">
        <f>IF(COUNT(M138:EK138)&gt;0,AVERAGE(M138:EK138),"")</f>
        <v/>
      </c>
      <c r="F138" s="193">
        <f>IF(COUNT(M138:EK138)&gt;0,MIN(M138:EK138),"")</f>
        <v/>
      </c>
      <c r="G138" s="193">
        <f>IF(COUNT(M138:EK138)&gt;0,MAX(M138:EK138),"")</f>
        <v/>
      </c>
      <c r="H138" s="193">
        <f>IF(COUNT(M138:EK138)&gt;0,QUARTILE(M138:EK138,1),"")</f>
        <v/>
      </c>
      <c r="I138" s="193">
        <f>IF(COUNT(M138:EK138)&gt;0,QUARTILE(M138:EK138,3),"")</f>
        <v/>
      </c>
      <c r="J138" s="193">
        <f>IF(COUNT(M138:EK138)&gt;1,STDEV(M138:EK138),"")</f>
        <v/>
      </c>
      <c r="K138" s="194">
        <f>IF(COUNT(M138:EK138)&gt;1,STDEV(M138:EK138)/AVERAGE(M138:EK138),"")</f>
        <v/>
      </c>
      <c r="L138" s="195" t="n"/>
      <c r="M138" s="196" t="n">
        <v>210189</v>
      </c>
      <c r="N138" s="196" t="n">
        <v>172332</v>
      </c>
      <c r="O138" s="196" t="n">
        <v>173855</v>
      </c>
      <c r="P138" s="196" t="n">
        <v>180707</v>
      </c>
      <c r="Q138" s="196" t="n">
        <v>200130</v>
      </c>
      <c r="R138" s="196" t="n">
        <v>212393</v>
      </c>
      <c r="S138" s="196" t="n">
        <v>233678</v>
      </c>
      <c r="T138" s="196" t="n">
        <v>234686</v>
      </c>
      <c r="U138" s="196" t="n">
        <v>250642</v>
      </c>
      <c r="V138" s="196" t="n">
        <v>251027</v>
      </c>
      <c r="W138" s="196" t="n">
        <v>259783</v>
      </c>
      <c r="X138" s="196" t="n">
        <v>272730</v>
      </c>
      <c r="Y138" s="196" t="n">
        <v>257670</v>
      </c>
      <c r="Z138" s="196" t="n">
        <v>250819</v>
      </c>
      <c r="AA138" s="196" t="n">
        <v>231133</v>
      </c>
      <c r="AB138" s="196" t="n">
        <v>236366</v>
      </c>
      <c r="AC138" s="196" t="n">
        <v>242376</v>
      </c>
      <c r="AD138" s="196" t="n">
        <v>641725</v>
      </c>
      <c r="AE138" s="196" t="n">
        <v>629240</v>
      </c>
      <c r="AF138" s="196" t="n">
        <v>633120</v>
      </c>
      <c r="AG138" s="196" t="n">
        <v>611911</v>
      </c>
      <c r="AH138" s="196" t="n">
        <v>619524</v>
      </c>
      <c r="AI138" s="196" t="n">
        <v>620831</v>
      </c>
      <c r="AJ138" s="196" t="n">
        <v>622819</v>
      </c>
      <c r="AK138" s="196" t="n">
        <v>609701</v>
      </c>
      <c r="AL138" s="196" t="n">
        <v>594004</v>
      </c>
      <c r="AM138" s="196" t="n">
        <v>581039</v>
      </c>
      <c r="AN138" s="196" t="n">
        <v>606022</v>
      </c>
      <c r="AO138" s="196" t="n">
        <v>487232</v>
      </c>
      <c r="AP138" s="196" t="n">
        <v>476005</v>
      </c>
      <c r="AQ138" s="196" t="n">
        <v>464919</v>
      </c>
      <c r="AR138" s="196" t="n">
        <v>455220</v>
      </c>
      <c r="AS138" s="196" t="n">
        <v>449343</v>
      </c>
      <c r="AT138" s="196" t="n">
        <v>433803</v>
      </c>
      <c r="AU138" s="196" t="n">
        <v>436702</v>
      </c>
      <c r="AV138" s="196" t="n">
        <v>584592</v>
      </c>
      <c r="AW138" s="196" t="n">
        <v>581748</v>
      </c>
      <c r="AX138" s="196" t="n">
        <v>583869</v>
      </c>
      <c r="AY138" s="196" t="n">
        <v>599591</v>
      </c>
      <c r="AZ138" s="196" t="n">
        <v>605311</v>
      </c>
      <c r="BA138" s="196" t="n">
        <v>596581</v>
      </c>
      <c r="BB138" s="196" t="n">
        <v>704027</v>
      </c>
      <c r="BC138" s="196" t="n">
        <v>607847</v>
      </c>
      <c r="BD138" s="196" t="n">
        <v>615293</v>
      </c>
      <c r="BE138" s="196" t="n">
        <v>621070</v>
      </c>
      <c r="BF138" s="196" t="n">
        <v>637561</v>
      </c>
      <c r="BG138" s="196" t="n">
        <v>644110</v>
      </c>
      <c r="BH138" s="196" t="n">
        <v>239464</v>
      </c>
      <c r="BI138" s="196" t="n">
        <v>259021</v>
      </c>
      <c r="BJ138" s="196" t="n">
        <v>280169</v>
      </c>
      <c r="BK138" s="196" t="n">
        <v>298118</v>
      </c>
      <c r="BL138" s="196" t="n">
        <v>316834</v>
      </c>
      <c r="BM138" s="196" t="n">
        <v>333521</v>
      </c>
      <c r="BN138" s="196" t="n">
        <v>355911</v>
      </c>
      <c r="BO138" s="196" t="n">
        <v>373632</v>
      </c>
      <c r="BP138" s="196" t="n">
        <v>388440</v>
      </c>
      <c r="BQ138" s="196" t="n">
        <v>406564</v>
      </c>
      <c r="BR138" s="196" t="n">
        <v>427260</v>
      </c>
      <c r="BS138" s="196" t="n">
        <v>446104</v>
      </c>
      <c r="BT138" s="196" t="n">
        <v>462404</v>
      </c>
      <c r="BU138" s="196" t="n">
        <v>362638</v>
      </c>
      <c r="BV138" s="196" t="n">
        <v>373564</v>
      </c>
      <c r="BW138" s="196" t="n">
        <v>34888</v>
      </c>
      <c r="BX138" s="196" t="n">
        <v>34354</v>
      </c>
      <c r="BY138" s="196" t="n">
        <v>34868</v>
      </c>
      <c r="BZ138" s="196" t="n">
        <v>34820</v>
      </c>
      <c r="CA138" s="196" t="n">
        <v>34032</v>
      </c>
      <c r="CB138" s="196" t="n">
        <v>32989</v>
      </c>
      <c r="CC138" s="196" t="n">
        <v>32616</v>
      </c>
      <c r="CD138" s="196" t="n">
        <v>25450</v>
      </c>
      <c r="CE138" s="196" t="n">
        <v>27571</v>
      </c>
      <c r="CF138" s="196" t="n">
        <v>28999</v>
      </c>
      <c r="CG138" s="196" t="n">
        <v>16701</v>
      </c>
      <c r="CH138" s="196" t="n">
        <v>18046</v>
      </c>
      <c r="CI138" s="196" t="n">
        <v>18487</v>
      </c>
      <c r="CJ138" s="196" t="n">
        <v>17876</v>
      </c>
      <c r="CK138" s="196" t="n">
        <v>1535</v>
      </c>
      <c r="CL138" s="196" t="n">
        <v>1502</v>
      </c>
      <c r="CM138" s="196" t="n">
        <v>1434</v>
      </c>
      <c r="CN138" s="196" t="n">
        <v>1402</v>
      </c>
      <c r="CO138" s="196" t="n">
        <v>1174</v>
      </c>
      <c r="CP138" s="196" t="n">
        <v>1173</v>
      </c>
      <c r="CQ138" s="196" t="n">
        <v>1094</v>
      </c>
      <c r="CR138" s="196" t="n">
        <v>4037</v>
      </c>
      <c r="CS138" s="196" t="n">
        <v>9223</v>
      </c>
      <c r="CT138" s="196" t="n">
        <v>7177</v>
      </c>
      <c r="CU138" s="196" t="n">
        <v>9517.700000000001</v>
      </c>
      <c r="CV138" s="196" t="n">
        <v>7537</v>
      </c>
      <c r="CW138" s="196" t="n">
        <v>9218.799999999999</v>
      </c>
      <c r="CX138" s="196" t="n">
        <v>9229</v>
      </c>
      <c r="CY138" s="196" t="n">
        <v>9265.1</v>
      </c>
      <c r="CZ138" s="196" t="n">
        <v>7276</v>
      </c>
      <c r="DA138" s="196" t="n">
        <v>6236.6</v>
      </c>
      <c r="DB138" s="196" t="n">
        <v>2492.4</v>
      </c>
      <c r="DC138" s="196" t="n">
        <v>2487.3</v>
      </c>
      <c r="DD138" s="196" t="n">
        <v>2584.2</v>
      </c>
      <c r="DE138" s="196" t="n">
        <v>1604.6</v>
      </c>
      <c r="DF138" s="196" t="n">
        <v>1669.2</v>
      </c>
      <c r="DG138" s="196" t="n">
        <v>6276.5</v>
      </c>
      <c r="DH138" s="196" t="n">
        <v>1821.5</v>
      </c>
      <c r="DI138" s="196" t="n">
        <v>4770.1</v>
      </c>
      <c r="DJ138" s="196" t="n">
        <v>4867</v>
      </c>
      <c r="DK138" s="196" t="n">
        <v>4961.9</v>
      </c>
      <c r="DL138" s="196" t="n">
        <v>5061.7</v>
      </c>
      <c r="DM138" s="196" t="n">
        <v>9854.200000000001</v>
      </c>
      <c r="DN138" s="196" t="n">
        <v>9900</v>
      </c>
      <c r="DO138" s="196" t="n">
        <v>10100</v>
      </c>
      <c r="DP138" s="196" t="n">
        <v>10100</v>
      </c>
      <c r="DQ138" s="196" t="n">
        <v>10400</v>
      </c>
      <c r="DR138" s="196" t="n">
        <v>10400</v>
      </c>
      <c r="DS138" s="196" t="n">
        <v>10500</v>
      </c>
      <c r="DT138" s="196" t="n">
        <v>10500</v>
      </c>
      <c r="DU138" s="196" t="n">
        <v>10500</v>
      </c>
      <c r="DV138" s="196" t="n">
        <v>10400</v>
      </c>
      <c r="DW138" s="196" t="n">
        <v>10100</v>
      </c>
      <c r="DX138" s="196" t="n">
        <v>10100</v>
      </c>
      <c r="DY138" s="196" t="n">
        <v>13900</v>
      </c>
      <c r="DZ138" s="196" t="n">
        <v>13600</v>
      </c>
      <c r="EA138" s="196" t="n">
        <v>13600</v>
      </c>
      <c r="EB138" s="196" t="n">
        <v>15200</v>
      </c>
      <c r="EC138" s="196" t="n">
        <v>7100</v>
      </c>
      <c r="ED138" s="196" t="n">
        <v>7200</v>
      </c>
      <c r="EE138" s="196" t="n">
        <v>7100</v>
      </c>
      <c r="EF138" s="196" t="n">
        <v>6900</v>
      </c>
      <c r="EG138" s="196" t="n">
        <v>6300</v>
      </c>
      <c r="EH138" s="196" t="n">
        <v>6700</v>
      </c>
      <c r="EI138" s="196" t="n">
        <v>6700</v>
      </c>
      <c r="EJ138" s="196" t="n">
        <v>6800</v>
      </c>
      <c r="EK138" s="196" t="n">
        <v>6100</v>
      </c>
      <c r="EL138" s="182" t="n"/>
      <c r="EM138" s="176" t="n"/>
      <c r="EN138" s="176" t="n"/>
      <c r="EO138" s="176" t="n"/>
      <c r="EP138" s="176" t="n"/>
      <c r="EQ138" s="176" t="n"/>
      <c r="ER138" s="176" t="n"/>
      <c r="ES138" s="176" t="n"/>
      <c r="ET138" s="176" t="n"/>
      <c r="EU138" s="176" t="n"/>
      <c r="EV138" s="176" t="n"/>
      <c r="EW138" s="176" t="n"/>
      <c r="EX138" s="176" t="n"/>
      <c r="EY138" s="176" t="n"/>
      <c r="EZ138" s="176" t="n"/>
      <c r="FA138" s="176" t="n"/>
      <c r="FB138" s="176" t="n"/>
      <c r="FC138" s="176" t="n"/>
      <c r="FD138" s="176" t="n"/>
      <c r="FE138" s="176" t="n"/>
      <c r="FF138" s="176" t="n"/>
      <c r="FG138" s="176" t="n"/>
      <c r="FH138" s="176" t="n"/>
      <c r="FI138" s="176" t="n"/>
      <c r="FJ138" s="176" t="n"/>
    </row>
    <row r="139" ht="15" customHeight="1" s="392">
      <c r="A139" s="176" t="n"/>
      <c r="B139" s="180" t="n"/>
      <c r="C139" s="187" t="inlineStr">
        <is>
          <t>Total Liabilities</t>
        </is>
      </c>
      <c r="D139" s="193">
        <f>IF(COUNT(M139:EK139)&gt;0,MEDIAN(M139:EK139),"")</f>
        <v/>
      </c>
      <c r="E139" s="193">
        <f>IF(COUNT(M139:EK139)&gt;0,AVERAGE(M139:EK139),"")</f>
        <v/>
      </c>
      <c r="F139" s="193">
        <f>IF(COUNT(M139:EK139)&gt;0,MIN(M139:EK139),"")</f>
        <v/>
      </c>
      <c r="G139" s="193">
        <f>IF(COUNT(M139:EK139)&gt;0,MAX(M139:EK139),"")</f>
        <v/>
      </c>
      <c r="H139" s="193">
        <f>IF(COUNT(M139:EK139)&gt;0,QUARTILE(M139:EK139,1),"")</f>
        <v/>
      </c>
      <c r="I139" s="193">
        <f>IF(COUNT(M139:EK139)&gt;0,QUARTILE(M139:EK139,3),"")</f>
        <v/>
      </c>
      <c r="J139" s="193">
        <f>IF(COUNT(M139:EK139)&gt;1,STDEV(M139:EK139),"")</f>
        <v/>
      </c>
      <c r="K139" s="194">
        <f>IF(COUNT(M139:EK139)&gt;1,STDEV(M139:EK139)/AVERAGE(M139:EK139),"")</f>
        <v/>
      </c>
      <c r="L139" s="195" t="n"/>
      <c r="M139" s="196" t="n">
        <v>913930</v>
      </c>
      <c r="N139" s="196" t="n">
        <v>857591</v>
      </c>
      <c r="O139" s="196" t="n">
        <v>787728</v>
      </c>
      <c r="P139" s="196" t="n">
        <v>961903</v>
      </c>
      <c r="Q139" s="196" t="n">
        <v>883411</v>
      </c>
      <c r="R139" s="196" t="n">
        <v>869525</v>
      </c>
      <c r="S139" s="196" t="n">
        <v>863315</v>
      </c>
      <c r="T139" s="196" t="n">
        <v>949541</v>
      </c>
      <c r="U139" s="196" t="n">
        <v>879209</v>
      </c>
      <c r="V139" s="196" t="n">
        <v>814446</v>
      </c>
      <c r="W139" s="196" t="n">
        <v>785806</v>
      </c>
      <c r="X139" s="196" t="n">
        <v>897147</v>
      </c>
      <c r="Y139" s="196" t="n">
        <v>750439</v>
      </c>
      <c r="Z139" s="196" t="n">
        <v>757383</v>
      </c>
      <c r="AA139" s="196" t="n">
        <v>718756</v>
      </c>
      <c r="AB139" s="196" t="n">
        <v>740843</v>
      </c>
      <c r="AC139" s="196" t="n">
        <v>683265</v>
      </c>
      <c r="AD139" s="196" t="n">
        <v>1090820</v>
      </c>
      <c r="AE139" s="196" t="n">
        <v>1047100</v>
      </c>
      <c r="AF139" s="196" t="n">
        <v>1125031</v>
      </c>
      <c r="AG139" s="196" t="n">
        <v>1032942</v>
      </c>
      <c r="AH139" s="196" t="n">
        <v>1032569</v>
      </c>
      <c r="AI139" s="196" t="n">
        <v>991846</v>
      </c>
      <c r="AJ139" s="196" t="n">
        <v>1030355</v>
      </c>
      <c r="AK139" s="196" t="n">
        <v>965745</v>
      </c>
      <c r="AL139" s="196" t="n">
        <v>880572</v>
      </c>
      <c r="AM139" s="196" t="n">
        <v>923876</v>
      </c>
      <c r="AN139" s="196" t="n">
        <v>929340</v>
      </c>
      <c r="AO139" s="196" t="n">
        <v>769236</v>
      </c>
      <c r="AP139" s="196" t="n">
        <v>772911</v>
      </c>
      <c r="AQ139" s="196" t="n">
        <v>836952</v>
      </c>
      <c r="AR139" s="196" t="n">
        <v>710028</v>
      </c>
      <c r="AS139" s="196" t="n">
        <v>726599</v>
      </c>
      <c r="AT139" s="196" t="n">
        <v>704381</v>
      </c>
      <c r="AU139" s="196" t="n">
        <v>811750</v>
      </c>
      <c r="AV139" s="196" t="n">
        <v>873761</v>
      </c>
      <c r="AW139" s="196" t="n">
        <v>883901</v>
      </c>
      <c r="AX139" s="196" t="n">
        <v>805357</v>
      </c>
      <c r="AY139" s="196" t="n">
        <v>945538</v>
      </c>
      <c r="AZ139" s="196" t="n">
        <v>962989</v>
      </c>
      <c r="BA139" s="196" t="n">
        <v>875364</v>
      </c>
      <c r="BB139" s="196" t="n">
        <v>907608</v>
      </c>
      <c r="BC139" s="196" t="n">
        <v>872964</v>
      </c>
      <c r="BD139" s="196" t="n">
        <v>839219</v>
      </c>
      <c r="BE139" s="196" t="n">
        <v>834196</v>
      </c>
      <c r="BF139" s="196" t="n">
        <v>867009</v>
      </c>
      <c r="BG139" s="196" t="n">
        <v>878834</v>
      </c>
      <c r="BH139" s="196" t="n">
        <v>499155</v>
      </c>
      <c r="BI139" s="196" t="n">
        <v>503305</v>
      </c>
      <c r="BJ139" s="196" t="n">
        <v>536911</v>
      </c>
      <c r="BK139" s="196" t="n">
        <v>557769</v>
      </c>
      <c r="BL139" s="196" t="n">
        <v>574741</v>
      </c>
      <c r="BM139" s="196" t="n">
        <v>572080</v>
      </c>
      <c r="BN139" s="196" t="n">
        <v>574288</v>
      </c>
      <c r="BO139" s="196" t="n">
        <v>586443</v>
      </c>
      <c r="BP139" s="196" t="n">
        <v>605655</v>
      </c>
      <c r="BQ139" s="196" t="n">
        <v>592883</v>
      </c>
      <c r="BR139" s="196" t="n">
        <v>626031</v>
      </c>
      <c r="BS139" s="196" t="n">
        <v>632286</v>
      </c>
      <c r="BT139" s="196" t="n">
        <v>671039</v>
      </c>
      <c r="BU139" s="196" t="n">
        <v>529264</v>
      </c>
      <c r="BV139" s="196" t="n">
        <v>544970</v>
      </c>
      <c r="BW139" s="196" t="n">
        <v>151118</v>
      </c>
      <c r="BX139" s="196" t="n">
        <v>141578</v>
      </c>
      <c r="BY139" s="196" t="n">
        <v>155544</v>
      </c>
      <c r="BZ139" s="196" t="n">
        <v>146466</v>
      </c>
      <c r="CA139" s="196" t="n">
        <v>160404</v>
      </c>
      <c r="CB139" s="196" t="n">
        <v>136573</v>
      </c>
      <c r="CC139" s="196" t="n">
        <v>140295</v>
      </c>
      <c r="CD139" s="196" t="n">
        <v>133915</v>
      </c>
      <c r="CE139" s="196" t="n">
        <v>142434</v>
      </c>
      <c r="CF139" s="196" t="n">
        <v>157251</v>
      </c>
      <c r="CG139" s="196" t="n">
        <v>145611</v>
      </c>
      <c r="CH139" s="196" t="n">
        <v>131060</v>
      </c>
      <c r="CI139" s="196" t="n">
        <v>143589</v>
      </c>
      <c r="CJ139" s="196" t="n">
        <v>133734</v>
      </c>
      <c r="CK139" s="196" t="n">
        <v>85855</v>
      </c>
      <c r="CL139" s="196" t="n">
        <v>82242</v>
      </c>
      <c r="CM139" s="196" t="n">
        <v>95352</v>
      </c>
      <c r="CN139" s="196" t="n">
        <v>84735</v>
      </c>
      <c r="CO139" s="196" t="n">
        <v>94857</v>
      </c>
      <c r="CP139" s="196" t="n">
        <v>90752</v>
      </c>
      <c r="CQ139" s="196" t="n">
        <v>99405</v>
      </c>
      <c r="CR139" s="196" t="n">
        <v>84149</v>
      </c>
      <c r="CS139" s="196" t="n">
        <v>88207</v>
      </c>
      <c r="CT139" s="196" t="n">
        <v>81963.39999999999</v>
      </c>
      <c r="CU139" s="196" t="n">
        <v>82139.39999999999</v>
      </c>
      <c r="CV139" s="196" t="n">
        <v>70760</v>
      </c>
      <c r="CW139" s="196" t="n">
        <v>82634.3</v>
      </c>
      <c r="CX139" s="196" t="n">
        <v>69854</v>
      </c>
      <c r="CY139" s="196" t="n">
        <v>67951.7</v>
      </c>
      <c r="CZ139" s="196" t="n">
        <v>61460</v>
      </c>
      <c r="DA139" s="196" t="n">
        <v>60185.8</v>
      </c>
      <c r="DB139" s="196" t="n">
        <v>55284.9</v>
      </c>
      <c r="DC139" s="196" t="n">
        <v>56322.3</v>
      </c>
      <c r="DD139" s="196" t="n">
        <v>49630.6</v>
      </c>
      <c r="DE139" s="196" t="n">
        <v>57175.6</v>
      </c>
      <c r="DF139" s="196" t="n">
        <v>51157.2</v>
      </c>
      <c r="DG139" s="196" t="n">
        <v>55104.4</v>
      </c>
      <c r="DH139" s="196" t="n">
        <v>45911.8</v>
      </c>
      <c r="DI139" s="196" t="n">
        <v>57221.1</v>
      </c>
      <c r="DJ139" s="196" t="n">
        <v>51830</v>
      </c>
      <c r="DK139" s="196" t="n">
        <v>48186</v>
      </c>
      <c r="DL139" s="196" t="n">
        <v>42433.9</v>
      </c>
      <c r="DM139" s="196" t="n">
        <v>42457</v>
      </c>
      <c r="DN139" s="196" t="n">
        <v>39800</v>
      </c>
      <c r="DO139" s="196" t="n">
        <v>39200</v>
      </c>
      <c r="DP139" s="196" t="n">
        <v>34700</v>
      </c>
      <c r="DQ139" s="196" t="n">
        <v>35800</v>
      </c>
      <c r="DR139" s="196" t="n">
        <v>32000</v>
      </c>
      <c r="DS139" s="196" t="n">
        <v>33300</v>
      </c>
      <c r="DT139" s="196" t="n">
        <v>30700</v>
      </c>
      <c r="DU139" s="196" t="n">
        <v>34400</v>
      </c>
      <c r="DV139" s="196" t="n">
        <v>32700</v>
      </c>
      <c r="DW139" s="196" t="n">
        <v>34200</v>
      </c>
      <c r="DX139" s="196" t="n">
        <v>32500</v>
      </c>
      <c r="DY139" s="196" t="n">
        <v>34200</v>
      </c>
      <c r="DZ139" s="196" t="n">
        <v>33700</v>
      </c>
      <c r="EA139" s="196" t="n">
        <v>33500</v>
      </c>
      <c r="EB139" s="196" t="n">
        <v>31900</v>
      </c>
      <c r="EC139" s="196" t="n">
        <v>26000</v>
      </c>
      <c r="ED139" s="196" t="n">
        <v>24400</v>
      </c>
      <c r="EE139" s="196" t="n">
        <v>23700</v>
      </c>
      <c r="EF139" s="196" t="n">
        <v>22100</v>
      </c>
      <c r="EG139" s="196" t="n">
        <v>16900</v>
      </c>
      <c r="EH139" s="196" t="n">
        <v>15800</v>
      </c>
      <c r="EI139" s="196" t="n">
        <v>14600</v>
      </c>
      <c r="EJ139" s="196" t="n">
        <v>13300</v>
      </c>
      <c r="EK139" s="196" t="n">
        <v>11700</v>
      </c>
      <c r="EL139" s="182" t="n"/>
      <c r="EM139" s="176" t="n"/>
      <c r="EN139" s="176" t="n"/>
      <c r="EO139" s="176" t="n"/>
      <c r="EP139" s="176" t="n"/>
      <c r="EQ139" s="176" t="n"/>
      <c r="ER139" s="176" t="n"/>
      <c r="ES139" s="176" t="n"/>
      <c r="ET139" s="176" t="n"/>
      <c r="EU139" s="176" t="n"/>
      <c r="EV139" s="176" t="n"/>
      <c r="EW139" s="176" t="n"/>
      <c r="EX139" s="176" t="n"/>
      <c r="EY139" s="176" t="n"/>
      <c r="EZ139" s="176" t="n"/>
      <c r="FA139" s="176" t="n"/>
      <c r="FB139" s="176" t="n"/>
      <c r="FC139" s="176" t="n"/>
      <c r="FD139" s="176" t="n"/>
      <c r="FE139" s="176" t="n"/>
      <c r="FF139" s="176" t="n"/>
      <c r="FG139" s="176" t="n"/>
      <c r="FH139" s="176" t="n"/>
      <c r="FI139" s="176" t="n"/>
      <c r="FJ139" s="176" t="n"/>
    </row>
    <row r="140" ht="15" customHeight="1" s="392">
      <c r="A140" s="176" t="n"/>
      <c r="B140" s="180" t="n"/>
      <c r="C140" s="189" t="inlineStr">
        <is>
          <t>Equity</t>
        </is>
      </c>
      <c r="D140" s="185" t="n"/>
      <c r="E140" s="185" t="n"/>
      <c r="F140" s="185" t="n"/>
      <c r="G140" s="185" t="n"/>
      <c r="H140" s="185" t="n"/>
      <c r="I140" s="185" t="n"/>
      <c r="J140" s="185" t="n"/>
      <c r="K140" s="185" t="n"/>
      <c r="L140" s="185" t="n"/>
      <c r="M140" s="185" t="n"/>
      <c r="N140" s="185" t="n"/>
      <c r="O140" s="185" t="n"/>
      <c r="P140" s="185" t="n"/>
      <c r="Q140" s="185" t="n"/>
      <c r="R140" s="185" t="n"/>
      <c r="S140" s="185" t="n"/>
      <c r="T140" s="185" t="n"/>
      <c r="U140" s="185" t="n"/>
      <c r="V140" s="185" t="n"/>
      <c r="W140" s="185" t="n"/>
      <c r="X140" s="185" t="n"/>
      <c r="Y140" s="185" t="n"/>
      <c r="Z140" s="185" t="n"/>
      <c r="AA140" s="185" t="n"/>
      <c r="AB140" s="185" t="n"/>
      <c r="AC140" s="185" t="n"/>
      <c r="AD140" s="185" t="n"/>
      <c r="AE140" s="185" t="n"/>
      <c r="AF140" s="185" t="n"/>
      <c r="AG140" s="185" t="n"/>
      <c r="AH140" s="185" t="n"/>
      <c r="AI140" s="185" t="n"/>
      <c r="AJ140" s="185" t="n"/>
      <c r="AK140" s="185" t="n"/>
      <c r="AL140" s="185" t="n"/>
      <c r="AM140" s="185" t="n"/>
      <c r="AN140" s="185" t="n"/>
      <c r="AO140" s="185" t="n"/>
      <c r="AP140" s="185" t="n"/>
      <c r="AQ140" s="185" t="n"/>
      <c r="AR140" s="185" t="n"/>
      <c r="AS140" s="185" t="n"/>
      <c r="AT140" s="185" t="n"/>
      <c r="AU140" s="185" t="n"/>
      <c r="AV140" s="185" t="n"/>
      <c r="AW140" s="185" t="n"/>
      <c r="AX140" s="185" t="n"/>
      <c r="AY140" s="185" t="n"/>
      <c r="AZ140" s="185" t="n"/>
      <c r="BA140" s="185" t="n"/>
      <c r="BB140" s="185" t="n"/>
      <c r="BC140" s="185" t="n"/>
      <c r="BD140" s="185" t="n"/>
      <c r="BE140" s="185" t="n"/>
      <c r="BF140" s="185" t="n"/>
      <c r="BG140" s="185" t="n"/>
      <c r="BH140" s="185" t="n"/>
      <c r="BI140" s="185" t="n"/>
      <c r="BJ140" s="185" t="n"/>
      <c r="BK140" s="185" t="n"/>
      <c r="BL140" s="185" t="n"/>
      <c r="BM140" s="185" t="n"/>
      <c r="BN140" s="185" t="n"/>
      <c r="BO140" s="185" t="n"/>
      <c r="BP140" s="185" t="n"/>
      <c r="BQ140" s="185" t="n"/>
      <c r="BR140" s="185" t="n"/>
      <c r="BS140" s="185" t="n"/>
      <c r="BT140" s="185" t="n"/>
      <c r="BU140" s="185" t="n"/>
      <c r="BV140" s="185" t="n"/>
      <c r="BW140" s="185" t="n"/>
      <c r="BX140" s="185" t="n"/>
      <c r="BY140" s="185" t="n"/>
      <c r="BZ140" s="185" t="n"/>
      <c r="CA140" s="185" t="n"/>
      <c r="CB140" s="185" t="n"/>
      <c r="CC140" s="185" t="n"/>
      <c r="CD140" s="185" t="n"/>
      <c r="CE140" s="185" t="n"/>
      <c r="CF140" s="185" t="n"/>
      <c r="CG140" s="185" t="n"/>
      <c r="CH140" s="185" t="n"/>
      <c r="CI140" s="185" t="n"/>
      <c r="CJ140" s="185" t="n"/>
      <c r="CK140" s="185" t="n"/>
      <c r="CL140" s="185" t="n"/>
      <c r="CM140" s="185" t="n"/>
      <c r="CN140" s="185" t="n"/>
      <c r="CO140" s="185" t="n"/>
      <c r="CP140" s="185" t="n"/>
      <c r="CQ140" s="185" t="n"/>
      <c r="CR140" s="185" t="n"/>
      <c r="CS140" s="185" t="n"/>
      <c r="CT140" s="185" t="n"/>
      <c r="CU140" s="185" t="n"/>
      <c r="CV140" s="185" t="n"/>
      <c r="CW140" s="185" t="n"/>
      <c r="CX140" s="185" t="n"/>
      <c r="CY140" s="185" t="n"/>
      <c r="CZ140" s="185" t="n"/>
      <c r="DA140" s="185" t="n"/>
      <c r="DB140" s="185" t="n"/>
      <c r="DC140" s="185" t="n"/>
      <c r="DD140" s="185" t="n"/>
      <c r="DE140" s="185" t="n"/>
      <c r="DF140" s="185" t="n"/>
      <c r="DG140" s="185" t="n"/>
      <c r="DH140" s="185" t="n"/>
      <c r="DI140" s="185" t="n"/>
      <c r="DJ140" s="185" t="n"/>
      <c r="DK140" s="185" t="n"/>
      <c r="DL140" s="185" t="n"/>
      <c r="DM140" s="185" t="n"/>
      <c r="DN140" s="185" t="n"/>
      <c r="DO140" s="185" t="n"/>
      <c r="DP140" s="185" t="n"/>
      <c r="DQ140" s="185" t="n"/>
      <c r="DR140" s="185" t="n"/>
      <c r="DS140" s="185" t="n"/>
      <c r="DT140" s="185" t="n"/>
      <c r="DU140" s="185" t="n"/>
      <c r="DV140" s="185" t="n"/>
      <c r="DW140" s="185" t="n"/>
      <c r="DX140" s="185" t="n"/>
      <c r="DY140" s="185" t="n"/>
      <c r="DZ140" s="185" t="n"/>
      <c r="EA140" s="185" t="n"/>
      <c r="EB140" s="185" t="n"/>
      <c r="EC140" s="185" t="n"/>
      <c r="ED140" s="185" t="n"/>
      <c r="EE140" s="185" t="n"/>
      <c r="EF140" s="185" t="n"/>
      <c r="EG140" s="185" t="n"/>
      <c r="EH140" s="185" t="n"/>
      <c r="EI140" s="185" t="n"/>
      <c r="EJ140" s="185" t="n"/>
      <c r="EK140" s="185" t="n"/>
      <c r="EL140" s="182" t="n"/>
      <c r="EM140" s="176" t="n"/>
      <c r="EN140" s="176" t="n"/>
      <c r="EO140" s="176" t="n"/>
      <c r="EP140" s="176" t="n"/>
      <c r="EQ140" s="176" t="n"/>
      <c r="ER140" s="176" t="n"/>
      <c r="ES140" s="176" t="n"/>
      <c r="ET140" s="176" t="n"/>
      <c r="EU140" s="176" t="n"/>
      <c r="EV140" s="176" t="n"/>
      <c r="EW140" s="176" t="n"/>
      <c r="EX140" s="176" t="n"/>
      <c r="EY140" s="176" t="n"/>
      <c r="EZ140" s="176" t="n"/>
      <c r="FA140" s="176" t="n"/>
      <c r="FB140" s="176" t="n"/>
      <c r="FC140" s="176" t="n"/>
      <c r="FD140" s="176" t="n"/>
      <c r="FE140" s="176" t="n"/>
      <c r="FF140" s="176" t="n"/>
      <c r="FG140" s="176" t="n"/>
      <c r="FH140" s="176" t="n"/>
      <c r="FI140" s="176" t="n"/>
      <c r="FJ140" s="176" t="n"/>
    </row>
    <row r="141" ht="15" customHeight="1" s="392">
      <c r="A141" s="176" t="n"/>
      <c r="B141" s="180" t="n"/>
      <c r="C141" s="183" t="inlineStr">
        <is>
          <t xml:space="preserve">    Equity Attributable to Parent Stockholders</t>
        </is>
      </c>
      <c r="D141" s="185" t="n"/>
      <c r="E141" s="185" t="n"/>
      <c r="F141" s="185" t="n"/>
      <c r="G141" s="185" t="n"/>
      <c r="H141" s="185" t="n"/>
      <c r="I141" s="185" t="n"/>
      <c r="J141" s="185" t="n"/>
      <c r="K141" s="185" t="n"/>
      <c r="EL141" s="182" t="n"/>
      <c r="EM141" s="176" t="n"/>
      <c r="EN141" s="176" t="n"/>
      <c r="EO141" s="176" t="n"/>
      <c r="EP141" s="176" t="n"/>
      <c r="EQ141" s="176" t="n"/>
      <c r="ER141" s="176" t="n"/>
      <c r="ES141" s="176" t="n"/>
      <c r="ET141" s="176" t="n"/>
      <c r="EU141" s="176" t="n"/>
      <c r="EV141" s="176" t="n"/>
      <c r="EW141" s="176" t="n"/>
      <c r="EX141" s="176" t="n"/>
      <c r="EY141" s="176" t="n"/>
      <c r="EZ141" s="176" t="n"/>
      <c r="FA141" s="176" t="n"/>
      <c r="FB141" s="176" t="n"/>
      <c r="FC141" s="176" t="n"/>
      <c r="FD141" s="176" t="n"/>
      <c r="FE141" s="176" t="n"/>
      <c r="FF141" s="176" t="n"/>
      <c r="FG141" s="176" t="n"/>
      <c r="FH141" s="176" t="n"/>
      <c r="FI141" s="176" t="n"/>
      <c r="FJ141" s="176" t="n"/>
    </row>
    <row r="142" ht="15" customHeight="1" s="392">
      <c r="A142" s="176" t="n"/>
      <c r="B142" s="180" t="n"/>
      <c r="C142" s="183" t="inlineStr">
        <is>
          <t xml:space="preserve">        Paid in Capital</t>
        </is>
      </c>
      <c r="D142" s="185" t="n"/>
      <c r="E142" s="185" t="n"/>
      <c r="F142" s="185" t="n"/>
      <c r="G142" s="185" t="n"/>
      <c r="H142" s="185" t="n"/>
      <c r="I142" s="185" t="n"/>
      <c r="J142" s="185" t="n"/>
      <c r="K142" s="185" t="n"/>
      <c r="EL142" s="182" t="n"/>
      <c r="EM142" s="176" t="n"/>
      <c r="EN142" s="176" t="n"/>
      <c r="EO142" s="176" t="n"/>
      <c r="EP142" s="176" t="n"/>
      <c r="EQ142" s="176" t="n"/>
      <c r="ER142" s="176" t="n"/>
      <c r="ES142" s="176" t="n"/>
      <c r="ET142" s="176" t="n"/>
      <c r="EU142" s="176" t="n"/>
      <c r="EV142" s="176" t="n"/>
      <c r="EW142" s="176" t="n"/>
      <c r="EX142" s="176" t="n"/>
      <c r="EY142" s="176" t="n"/>
      <c r="EZ142" s="176" t="n"/>
      <c r="FA142" s="176" t="n"/>
      <c r="FB142" s="176" t="n"/>
      <c r="FC142" s="176" t="n"/>
      <c r="FD142" s="176" t="n"/>
      <c r="FE142" s="176" t="n"/>
      <c r="FF142" s="176" t="n"/>
      <c r="FG142" s="176" t="n"/>
      <c r="FH142" s="176" t="n"/>
      <c r="FI142" s="176" t="n"/>
      <c r="FJ142" s="176" t="n"/>
    </row>
    <row r="143" ht="15" customHeight="1" s="392">
      <c r="A143" s="176" t="n"/>
      <c r="B143" s="180" t="n"/>
      <c r="C143" s="183" t="inlineStr">
        <is>
          <t xml:space="preserve">            Capital Stock</t>
        </is>
      </c>
      <c r="D143" s="185" t="n"/>
      <c r="E143" s="185" t="n"/>
      <c r="F143" s="185" t="n"/>
      <c r="G143" s="185" t="n"/>
      <c r="H143" s="185" t="n"/>
      <c r="I143" s="185" t="n"/>
      <c r="J143" s="185" t="n"/>
      <c r="K143" s="185" t="n"/>
      <c r="EL143" s="182" t="n"/>
      <c r="EM143" s="176" t="n"/>
      <c r="EN143" s="176" t="n"/>
      <c r="EO143" s="176" t="n"/>
      <c r="EP143" s="176" t="n"/>
      <c r="EQ143" s="176" t="n"/>
      <c r="ER143" s="176" t="n"/>
      <c r="ES143" s="176" t="n"/>
      <c r="ET143" s="176" t="n"/>
      <c r="EU143" s="176" t="n"/>
      <c r="EV143" s="176" t="n"/>
      <c r="EW143" s="176" t="n"/>
      <c r="EX143" s="176" t="n"/>
      <c r="EY143" s="176" t="n"/>
      <c r="EZ143" s="176" t="n"/>
      <c r="FA143" s="176" t="n"/>
      <c r="FB143" s="176" t="n"/>
      <c r="FC143" s="176" t="n"/>
      <c r="FD143" s="176" t="n"/>
      <c r="FE143" s="176" t="n"/>
      <c r="FF143" s="176" t="n"/>
      <c r="FG143" s="176" t="n"/>
      <c r="FH143" s="176" t="n"/>
      <c r="FI143" s="176" t="n"/>
      <c r="FJ143" s="176" t="n"/>
    </row>
    <row r="144" ht="15" customHeight="1" s="392">
      <c r="A144" s="176" t="n"/>
      <c r="B144" s="180" t="n"/>
      <c r="C144" s="183" t="inlineStr">
        <is>
          <t xml:space="preserve">                Common Stock</t>
        </is>
      </c>
      <c r="D144" s="185" t="n"/>
      <c r="E144" s="185" t="n"/>
      <c r="F144" s="185" t="n"/>
      <c r="G144" s="185" t="n"/>
      <c r="H144" s="185" t="n"/>
      <c r="I144" s="185" t="n"/>
      <c r="J144" s="185" t="n"/>
      <c r="K144" s="185" t="n"/>
      <c r="EL144" s="182" t="n"/>
      <c r="EM144" s="176" t="n"/>
      <c r="EN144" s="176" t="n"/>
      <c r="EO144" s="176" t="n"/>
      <c r="EP144" s="176" t="n"/>
      <c r="EQ144" s="176" t="n"/>
      <c r="ER144" s="176" t="n"/>
      <c r="ES144" s="176" t="n"/>
      <c r="ET144" s="176" t="n"/>
      <c r="EU144" s="176" t="n"/>
      <c r="EV144" s="176" t="n"/>
      <c r="EW144" s="176" t="n"/>
      <c r="EX144" s="176" t="n"/>
      <c r="EY144" s="176" t="n"/>
      <c r="EZ144" s="176" t="n"/>
      <c r="FA144" s="176" t="n"/>
      <c r="FB144" s="176" t="n"/>
      <c r="FC144" s="176" t="n"/>
      <c r="FD144" s="176" t="n"/>
      <c r="FE144" s="176" t="n"/>
      <c r="FF144" s="176" t="n"/>
      <c r="FG144" s="176" t="n"/>
      <c r="FH144" s="176" t="n"/>
      <c r="FI144" s="176" t="n"/>
      <c r="FJ144" s="176" t="n"/>
    </row>
    <row r="145" ht="15" customHeight="1" s="392">
      <c r="A145" s="176" t="n"/>
      <c r="B145" s="180" t="n"/>
      <c r="C145" s="183" t="inlineStr">
        <is>
          <t xml:space="preserve">                    Common Stock, with Par Value</t>
        </is>
      </c>
      <c r="D145" s="190">
        <f>IF(COUNT(M145:EK145)&gt;0,MEDIAN(M145:EK145),"")</f>
        <v/>
      </c>
      <c r="E145" s="190">
        <f>IF(COUNT(M145:EK145)&gt;0,AVERAGE(M145:EK145),"")</f>
        <v/>
      </c>
      <c r="F145" s="190">
        <f>IF(COUNT(M145:EK145)&gt;0,MIN(M145:EK145),"")</f>
        <v/>
      </c>
      <c r="G145" s="190">
        <f>IF(COUNT(M145:EK145)&gt;0,MAX(M145:EK145),"")</f>
        <v/>
      </c>
      <c r="H145" s="190">
        <f>IF(COUNT(M145:EK145)&gt;0,QUARTILE(M145:EK145,1),"")</f>
        <v/>
      </c>
      <c r="I145" s="190">
        <f>IF(COUNT(M145:EK145)&gt;0,QUARTILE(M145:EK145,3),"")</f>
        <v/>
      </c>
      <c r="J145" s="190">
        <f>IF(COUNT(M145:EK145)&gt;1,STDEV(M145:EK145),"")</f>
        <v/>
      </c>
      <c r="K145" s="191">
        <f>IF(COUNT(M145:EK145)&gt;1,STDEV(M145:EK145)/AVERAGE(M145:EK145),"")</f>
        <v/>
      </c>
      <c r="M145" s="192" t="n"/>
      <c r="N145" s="192" t="n"/>
      <c r="O145" s="192" t="n"/>
      <c r="P145" s="192" t="n"/>
      <c r="Q145" s="192" t="n"/>
      <c r="R145" s="192" t="n"/>
      <c r="S145" s="192" t="n"/>
      <c r="T145" s="192" t="n"/>
      <c r="U145" s="192" t="n"/>
      <c r="V145" s="192" t="n"/>
      <c r="W145" s="192" t="n"/>
      <c r="X145" s="192" t="n"/>
      <c r="Y145" s="192" t="n"/>
      <c r="Z145" s="192" t="n"/>
      <c r="AA145" s="192" t="n"/>
      <c r="AB145" s="192" t="n"/>
      <c r="AC145" s="192" t="n"/>
      <c r="AD145" s="192" t="n"/>
      <c r="AE145" s="192" t="n"/>
      <c r="AF145" s="192" t="n"/>
      <c r="AG145" s="192" t="n"/>
      <c r="AH145" s="192" t="n"/>
      <c r="AI145" s="192" t="n"/>
      <c r="AJ145" s="192" t="n"/>
      <c r="AK145" s="192" t="n"/>
      <c r="AL145" s="192" t="n"/>
      <c r="AM145" s="192" t="n"/>
      <c r="AN145" s="192" t="n"/>
      <c r="AO145" s="192" t="n"/>
      <c r="AP145" s="192" t="n"/>
      <c r="AQ145" s="192" t="n"/>
      <c r="AR145" s="192" t="n"/>
      <c r="AS145" s="192" t="n"/>
      <c r="AT145" s="192" t="n"/>
      <c r="AU145" s="192" t="n"/>
      <c r="AV145" s="192" t="n"/>
      <c r="AW145" s="192" t="n"/>
      <c r="AX145" s="192" t="n"/>
      <c r="AY145" s="192" t="n"/>
      <c r="AZ145" s="192" t="n"/>
      <c r="BA145" s="192" t="n"/>
      <c r="BB145" s="192" t="n"/>
      <c r="BC145" s="192" t="n"/>
      <c r="BD145" s="192" t="n"/>
      <c r="BE145" s="192" t="n"/>
      <c r="BF145" s="192" t="n"/>
      <c r="BG145" s="192" t="n"/>
      <c r="BH145" s="192" t="n"/>
      <c r="BI145" s="192" t="n"/>
      <c r="BJ145" s="192" t="n"/>
      <c r="BK145" s="192" t="n"/>
      <c r="BL145" s="192" t="n"/>
      <c r="BM145" s="192" t="n"/>
      <c r="BN145" s="192" t="n"/>
      <c r="BO145" s="192" t="n"/>
      <c r="BP145" s="192" t="n">
        <v>12</v>
      </c>
      <c r="BQ145" s="192" t="n"/>
      <c r="BR145" s="192" t="n">
        <v>13</v>
      </c>
      <c r="BS145" s="192" t="n">
        <v>6</v>
      </c>
      <c r="BT145" s="192" t="n"/>
      <c r="BU145" s="192" t="n"/>
      <c r="BV145" s="192" t="n"/>
      <c r="BW145" s="192" t="n"/>
      <c r="BX145" s="192" t="n"/>
      <c r="BY145" s="192" t="n"/>
      <c r="BZ145" s="192" t="n"/>
      <c r="CA145" s="192" t="n"/>
      <c r="CB145" s="192" t="n"/>
      <c r="CC145" s="192" t="n"/>
      <c r="CD145" s="192" t="n"/>
      <c r="CE145" s="192" t="n"/>
      <c r="CF145" s="192" t="n"/>
      <c r="CG145" s="192" t="n"/>
      <c r="CH145" s="192" t="n"/>
      <c r="CI145" s="192" t="n"/>
      <c r="CJ145" s="192" t="n"/>
      <c r="CK145" s="192" t="n"/>
      <c r="CL145" s="192" t="n"/>
      <c r="CM145" s="192" t="n"/>
      <c r="CN145" s="192" t="n"/>
      <c r="CO145" s="192" t="n"/>
      <c r="CP145" s="192" t="n"/>
      <c r="CQ145" s="192" t="n"/>
      <c r="CR145" s="192" t="n"/>
      <c r="CS145" s="192" t="n"/>
      <c r="CT145" s="192" t="n"/>
      <c r="CU145" s="192" t="n"/>
      <c r="CV145" s="192" t="n"/>
      <c r="CW145" s="192" t="n"/>
      <c r="CX145" s="192" t="n"/>
      <c r="CY145" s="192" t="n"/>
      <c r="CZ145" s="192" t="n"/>
      <c r="DA145" s="192" t="n"/>
      <c r="DB145" s="192" t="n"/>
      <c r="DC145" s="192" t="n"/>
      <c r="DD145" s="192" t="n"/>
      <c r="DE145" s="192" t="n"/>
      <c r="DF145" s="192" t="n"/>
      <c r="DG145" s="192" t="n"/>
      <c r="DH145" s="192" t="n"/>
      <c r="DI145" s="192" t="n"/>
      <c r="DJ145" s="192" t="n"/>
      <c r="DK145" s="192" t="n"/>
      <c r="DL145" s="192" t="n"/>
      <c r="DM145" s="192" t="n"/>
      <c r="DN145" s="192" t="n"/>
      <c r="DO145" s="192" t="n"/>
      <c r="DP145" s="192" t="n"/>
      <c r="DQ145" s="192" t="n"/>
      <c r="DR145" s="192" t="n"/>
      <c r="DS145" s="192" t="n"/>
      <c r="DT145" s="192" t="n"/>
      <c r="DU145" s="192" t="n"/>
      <c r="DV145" s="192" t="n"/>
      <c r="DW145" s="192" t="n"/>
      <c r="DX145" s="192" t="n"/>
      <c r="DY145" s="192" t="n"/>
      <c r="DZ145" s="192" t="n"/>
      <c r="EA145" s="192" t="n"/>
      <c r="EB145" s="192" t="n"/>
      <c r="EC145" s="192" t="n"/>
      <c r="ED145" s="192" t="n"/>
      <c r="EE145" s="192" t="n"/>
      <c r="EF145" s="192" t="n"/>
      <c r="EG145" s="192" t="n"/>
      <c r="EH145" s="192" t="n"/>
      <c r="EI145" s="192" t="n"/>
      <c r="EJ145" s="192" t="n"/>
      <c r="EK145" s="192" t="n"/>
      <c r="EL145" s="182" t="n"/>
      <c r="EM145" s="176" t="n"/>
      <c r="EN145" s="176" t="n"/>
      <c r="EO145" s="176" t="n"/>
      <c r="EP145" s="176" t="n"/>
      <c r="EQ145" s="176" t="n"/>
      <c r="ER145" s="176" t="n"/>
      <c r="ES145" s="176" t="n"/>
      <c r="ET145" s="176" t="n"/>
      <c r="EU145" s="176" t="n"/>
      <c r="EV145" s="176" t="n"/>
      <c r="EW145" s="176" t="n"/>
      <c r="EX145" s="176" t="n"/>
      <c r="EY145" s="176" t="n"/>
      <c r="EZ145" s="176" t="n"/>
      <c r="FA145" s="176" t="n"/>
      <c r="FB145" s="176" t="n"/>
      <c r="FC145" s="176" t="n"/>
      <c r="FD145" s="176" t="n"/>
      <c r="FE145" s="176" t="n"/>
      <c r="FF145" s="176" t="n"/>
      <c r="FG145" s="176" t="n"/>
      <c r="FH145" s="176" t="n"/>
      <c r="FI145" s="176" t="n"/>
      <c r="FJ145" s="176" t="n"/>
    </row>
    <row r="146" ht="15" customHeight="1" s="392">
      <c r="A146" s="176" t="n"/>
      <c r="B146" s="180" t="n"/>
      <c r="C146" s="183" t="inlineStr">
        <is>
          <t xml:space="preserve">                    Common Stock, without Par Value</t>
        </is>
      </c>
      <c r="D146" s="190">
        <f>IF(COUNT(M146:EK146)&gt;0,MEDIAN(M146:EK146),"")</f>
        <v/>
      </c>
      <c r="E146" s="190">
        <f>IF(COUNT(M146:EK146)&gt;0,AVERAGE(M146:EK146),"")</f>
        <v/>
      </c>
      <c r="F146" s="190">
        <f>IF(COUNT(M146:EK146)&gt;0,MIN(M146:EK146),"")</f>
        <v/>
      </c>
      <c r="G146" s="190">
        <f>IF(COUNT(M146:EK146)&gt;0,MAX(M146:EK146),"")</f>
        <v/>
      </c>
      <c r="H146" s="190">
        <f>IF(COUNT(M146:EK146)&gt;0,QUARTILE(M146:EK146,1),"")</f>
        <v/>
      </c>
      <c r="I146" s="190">
        <f>IF(COUNT(M146:EK146)&gt;0,QUARTILE(M146:EK146,3),"")</f>
        <v/>
      </c>
      <c r="J146" s="190">
        <f>IF(COUNT(M146:EK146)&gt;1,STDEV(M146:EK146),"")</f>
        <v/>
      </c>
      <c r="K146" s="191">
        <f>IF(COUNT(M146:EK146)&gt;1,STDEV(M146:EK146)/AVERAGE(M146:EK146),"")</f>
        <v/>
      </c>
      <c r="M146" s="192" t="n"/>
      <c r="N146" s="192" t="n"/>
      <c r="O146" s="192" t="n"/>
      <c r="P146" s="192" t="n"/>
      <c r="Q146" s="192" t="n"/>
      <c r="R146" s="192" t="n"/>
      <c r="S146" s="192" t="n"/>
      <c r="T146" s="192" t="n"/>
      <c r="U146" s="192" t="n"/>
      <c r="V146" s="192" t="n"/>
      <c r="W146" s="192" t="n"/>
      <c r="X146" s="192" t="n"/>
      <c r="Y146" s="192" t="n"/>
      <c r="Z146" s="192" t="n"/>
      <c r="AA146" s="192" t="n"/>
      <c r="AB146" s="192" t="n"/>
      <c r="AC146" s="192" t="n"/>
      <c r="AD146" s="192" t="n"/>
      <c r="AE146" s="192" t="n"/>
      <c r="AF146" s="192" t="n"/>
      <c r="AG146" s="192" t="n"/>
      <c r="AH146" s="192" t="n"/>
      <c r="AI146" s="192" t="n"/>
      <c r="AJ146" s="192" t="n"/>
      <c r="AK146" s="192" t="n"/>
      <c r="AL146" s="192" t="n"/>
      <c r="AM146" s="192" t="n"/>
      <c r="AN146" s="192" t="n"/>
      <c r="AO146" s="192" t="n"/>
      <c r="AP146" s="192" t="n"/>
      <c r="AQ146" s="192" t="n"/>
      <c r="AR146" s="192" t="n"/>
      <c r="AS146" s="192" t="n"/>
      <c r="AT146" s="192" t="n"/>
      <c r="AU146" s="192" t="n"/>
      <c r="AV146" s="192" t="n"/>
      <c r="AW146" s="192" t="n"/>
      <c r="AX146" s="192" t="n"/>
      <c r="AY146" s="192" t="n"/>
      <c r="AZ146" s="192" t="n"/>
      <c r="BA146" s="192" t="n"/>
      <c r="BB146" s="192" t="n"/>
      <c r="BC146" s="192" t="n"/>
      <c r="BD146" s="192" t="n"/>
      <c r="BE146" s="192" t="n"/>
      <c r="BF146" s="192" t="n"/>
      <c r="BG146" s="192" t="n"/>
      <c r="BH146" s="192" t="n"/>
      <c r="BI146" s="192" t="n"/>
      <c r="BJ146" s="192" t="n"/>
      <c r="BK146" s="192" t="n"/>
      <c r="BL146" s="192" t="n"/>
      <c r="BM146" s="192" t="n"/>
      <c r="BN146" s="192" t="n"/>
      <c r="BO146" s="192" t="n"/>
      <c r="BP146" s="192" t="n"/>
      <c r="BQ146" s="192" t="n"/>
      <c r="BR146" s="192" t="n"/>
      <c r="BS146" s="192" t="n"/>
      <c r="BT146" s="192" t="n">
        <v>315428</v>
      </c>
      <c r="BU146" s="192" t="n">
        <v>313940</v>
      </c>
      <c r="BV146" s="192" t="n">
        <v>319642</v>
      </c>
      <c r="BW146" s="192" t="n"/>
      <c r="BX146" s="192" t="n">
        <v>365507</v>
      </c>
      <c r="BY146" s="192" t="n"/>
      <c r="BZ146" s="192" t="n"/>
      <c r="CA146" s="192" t="n"/>
      <c r="CB146" s="192" t="n"/>
      <c r="CC146" s="192" t="n"/>
      <c r="CD146" s="192" t="n"/>
      <c r="CE146" s="192" t="n"/>
      <c r="CF146" s="192" t="n"/>
      <c r="CG146" s="192" t="n"/>
      <c r="CH146" s="192" t="n"/>
      <c r="CI146" s="192" t="n"/>
      <c r="CJ146" s="192" t="n"/>
      <c r="CK146" s="192" t="n"/>
      <c r="CL146" s="192" t="n"/>
      <c r="CM146" s="192" t="n"/>
      <c r="CN146" s="192" t="n"/>
      <c r="CO146" s="192" t="n"/>
      <c r="CP146" s="192" t="n"/>
      <c r="CQ146" s="192" t="n"/>
      <c r="CR146" s="192" t="n"/>
      <c r="CS146" s="192" t="n"/>
      <c r="CT146" s="192" t="n"/>
      <c r="CU146" s="192" t="n"/>
      <c r="CV146" s="192" t="n"/>
      <c r="CW146" s="192" t="n"/>
      <c r="CX146" s="192" t="n"/>
      <c r="CY146" s="192" t="n"/>
      <c r="CZ146" s="192" t="n"/>
      <c r="DA146" s="192" t="n"/>
      <c r="DB146" s="192" t="n"/>
      <c r="DC146" s="192" t="n"/>
      <c r="DD146" s="192" t="n"/>
      <c r="DE146" s="192" t="n"/>
      <c r="DF146" s="192" t="n"/>
      <c r="DG146" s="192" t="n"/>
      <c r="DH146" s="192" t="n"/>
      <c r="DI146" s="192" t="n"/>
      <c r="DJ146" s="192" t="n"/>
      <c r="DK146" s="192" t="n"/>
      <c r="DL146" s="192" t="n"/>
      <c r="DM146" s="192" t="n"/>
      <c r="DN146" s="192" t="n"/>
      <c r="DO146" s="192" t="n"/>
      <c r="DP146" s="192" t="n"/>
      <c r="DQ146" s="192" t="n"/>
      <c r="DR146" s="192" t="n"/>
      <c r="DS146" s="192" t="n"/>
      <c r="DT146" s="192" t="n"/>
      <c r="DU146" s="192" t="n"/>
      <c r="DV146" s="192" t="n"/>
      <c r="DW146" s="192" t="n"/>
      <c r="DX146" s="192" t="n"/>
      <c r="DY146" s="192" t="n"/>
      <c r="DZ146" s="192" t="n"/>
      <c r="EA146" s="192" t="n"/>
      <c r="EB146" s="192" t="n"/>
      <c r="EC146" s="192" t="n"/>
      <c r="ED146" s="192" t="n"/>
      <c r="EE146" s="192" t="n"/>
      <c r="EF146" s="192" t="n"/>
      <c r="EG146" s="192" t="n"/>
      <c r="EH146" s="192" t="n"/>
      <c r="EI146" s="192" t="n"/>
      <c r="EJ146" s="192" t="n"/>
      <c r="EK146" s="192" t="n"/>
      <c r="EL146" s="182" t="n"/>
      <c r="EM146" s="176" t="n"/>
      <c r="EN146" s="176" t="n"/>
      <c r="EO146" s="176" t="n"/>
      <c r="EP146" s="176" t="n"/>
      <c r="EQ146" s="176" t="n"/>
      <c r="ER146" s="176" t="n"/>
      <c r="ES146" s="176" t="n"/>
      <c r="ET146" s="176" t="n"/>
      <c r="EU146" s="176" t="n"/>
      <c r="EV146" s="176" t="n"/>
      <c r="EW146" s="176" t="n"/>
      <c r="EX146" s="176" t="n"/>
      <c r="EY146" s="176" t="n"/>
      <c r="EZ146" s="176" t="n"/>
      <c r="FA146" s="176" t="n"/>
      <c r="FB146" s="176" t="n"/>
      <c r="FC146" s="176" t="n"/>
      <c r="FD146" s="176" t="n"/>
      <c r="FE146" s="176" t="n"/>
      <c r="FF146" s="176" t="n"/>
      <c r="FG146" s="176" t="n"/>
      <c r="FH146" s="176" t="n"/>
      <c r="FI146" s="176" t="n"/>
      <c r="FJ146" s="176" t="n"/>
    </row>
    <row r="147" ht="15" customHeight="1" s="392">
      <c r="A147" s="176" t="n"/>
      <c r="B147" s="180" t="n"/>
      <c r="C147" s="187" t="inlineStr">
        <is>
          <t xml:space="preserve">                Total Common Stock</t>
        </is>
      </c>
      <c r="D147" s="193">
        <f>IF(COUNT(M147:EK147)&gt;0,MEDIAN(M147:EK147),"")</f>
        <v/>
      </c>
      <c r="E147" s="193">
        <f>IF(COUNT(M147:EK147)&gt;0,AVERAGE(M147:EK147),"")</f>
        <v/>
      </c>
      <c r="F147" s="193">
        <f>IF(COUNT(M147:EK147)&gt;0,MIN(M147:EK147),"")</f>
        <v/>
      </c>
      <c r="G147" s="193">
        <f>IF(COUNT(M147:EK147)&gt;0,MAX(M147:EK147),"")</f>
        <v/>
      </c>
      <c r="H147" s="193">
        <f>IF(COUNT(M147:EK147)&gt;0,QUARTILE(M147:EK147,1),"")</f>
        <v/>
      </c>
      <c r="I147" s="193">
        <f>IF(COUNT(M147:EK147)&gt;0,QUARTILE(M147:EK147,3),"")</f>
        <v/>
      </c>
      <c r="J147" s="193">
        <f>IF(COUNT(M147:EK147)&gt;1,STDEV(M147:EK147),"")</f>
        <v/>
      </c>
      <c r="K147" s="194">
        <f>IF(COUNT(M147:EK147)&gt;1,STDEV(M147:EK147)/AVERAGE(M147:EK147),"")</f>
        <v/>
      </c>
      <c r="L147" s="195" t="n"/>
      <c r="M147" s="196" t="n">
        <v>93</v>
      </c>
      <c r="N147" s="196" t="n">
        <v>93</v>
      </c>
      <c r="O147" s="196" t="n">
        <v>96</v>
      </c>
      <c r="P147" s="196" t="n">
        <v>97</v>
      </c>
      <c r="Q147" s="196" t="n">
        <v>97</v>
      </c>
      <c r="R147" s="196" t="n">
        <v>97</v>
      </c>
      <c r="S147" s="196" t="n">
        <v>97</v>
      </c>
      <c r="T147" s="196" t="n">
        <v>96</v>
      </c>
      <c r="U147" s="196" t="n">
        <v>96</v>
      </c>
      <c r="V147" s="196" t="n">
        <v>96</v>
      </c>
      <c r="W147" s="196" t="n">
        <v>96</v>
      </c>
      <c r="X147" s="196" t="n">
        <v>96</v>
      </c>
      <c r="Y147" s="196" t="n">
        <v>96</v>
      </c>
      <c r="Z147" s="196" t="n">
        <v>48</v>
      </c>
      <c r="AA147" s="196" t="n">
        <v>48</v>
      </c>
      <c r="AB147" s="196" t="n">
        <v>48</v>
      </c>
      <c r="AC147" s="196" t="n">
        <v>96</v>
      </c>
      <c r="AD147" s="196" t="n">
        <v>24</v>
      </c>
      <c r="AE147" s="196" t="n">
        <v>24</v>
      </c>
      <c r="AF147" s="196" t="n">
        <v>24</v>
      </c>
      <c r="AG147" s="196" t="n">
        <v>24</v>
      </c>
      <c r="AH147" s="196" t="n">
        <v>24</v>
      </c>
      <c r="AI147" s="196" t="n">
        <v>24</v>
      </c>
      <c r="AJ147" s="196" t="n">
        <v>24</v>
      </c>
      <c r="AK147" s="196" t="n">
        <v>24</v>
      </c>
      <c r="AL147" s="196" t="n">
        <v>23</v>
      </c>
      <c r="AM147" s="196" t="n">
        <v>23</v>
      </c>
      <c r="AN147" s="196" t="n">
        <v>23</v>
      </c>
      <c r="AO147" s="196" t="n">
        <v>23</v>
      </c>
      <c r="AP147" s="196" t="n">
        <v>23</v>
      </c>
      <c r="AQ147" s="196" t="n">
        <v>23</v>
      </c>
      <c r="AR147" s="196" t="n">
        <v>23</v>
      </c>
      <c r="AS147" s="196" t="n">
        <v>23</v>
      </c>
      <c r="AT147" s="196" t="n">
        <v>23</v>
      </c>
      <c r="AU147" s="196" t="n">
        <v>23</v>
      </c>
      <c r="AV147" s="196" t="n">
        <v>23</v>
      </c>
      <c r="AW147" s="196" t="n">
        <v>23</v>
      </c>
      <c r="AX147" s="196" t="n">
        <v>22</v>
      </c>
      <c r="AY147" s="196" t="n">
        <v>11</v>
      </c>
      <c r="AZ147" s="196" t="n">
        <v>11</v>
      </c>
      <c r="BA147" s="196" t="n">
        <v>22</v>
      </c>
      <c r="BB147" s="196" t="n">
        <v>11</v>
      </c>
      <c r="BC147" s="196" t="n">
        <v>11</v>
      </c>
      <c r="BD147" s="196" t="n">
        <v>12</v>
      </c>
      <c r="BE147" s="196" t="n">
        <v>12</v>
      </c>
      <c r="BF147" s="196" t="n">
        <v>13</v>
      </c>
      <c r="BG147" s="196" t="n">
        <v>13</v>
      </c>
      <c r="BH147" s="196" t="n">
        <v>13</v>
      </c>
      <c r="BI147" s="196" t="n">
        <v>13</v>
      </c>
      <c r="BJ147" s="196" t="n">
        <v>13</v>
      </c>
      <c r="BK147" s="196" t="n">
        <v>13</v>
      </c>
      <c r="BL147" s="196" t="n">
        <v>13</v>
      </c>
      <c r="BM147" s="196" t="n">
        <v>13</v>
      </c>
      <c r="BN147" s="196" t="n">
        <v>13</v>
      </c>
      <c r="BO147" s="196" t="n">
        <v>13</v>
      </c>
      <c r="BP147" s="196" t="n">
        <v>12</v>
      </c>
      <c r="BQ147" s="196" t="n">
        <v>12</v>
      </c>
      <c r="BR147" s="196" t="n">
        <v>13</v>
      </c>
      <c r="BS147" s="196" t="n">
        <v>6</v>
      </c>
      <c r="BT147" s="196" t="n">
        <v>315428</v>
      </c>
      <c r="BU147" s="196" t="n">
        <v>313940</v>
      </c>
      <c r="BV147" s="196" t="n">
        <v>319642</v>
      </c>
      <c r="BW147" s="196" t="n"/>
      <c r="BX147" s="196" t="n">
        <v>365507</v>
      </c>
      <c r="BY147" s="196" t="n"/>
      <c r="BZ147" s="196" t="n"/>
      <c r="CA147" s="196" t="n"/>
      <c r="CB147" s="196" t="n"/>
      <c r="CC147" s="196" t="n"/>
      <c r="CD147" s="196" t="n"/>
      <c r="CE147" s="196" t="n"/>
      <c r="CF147" s="196" t="n"/>
      <c r="CG147" s="196" t="n"/>
      <c r="CH147" s="196" t="n"/>
      <c r="CI147" s="196" t="n"/>
      <c r="CJ147" s="196" t="n"/>
      <c r="CK147" s="196" t="n"/>
      <c r="CL147" s="196" t="n"/>
      <c r="CM147" s="196" t="n"/>
      <c r="CN147" s="196" t="n"/>
      <c r="CO147" s="196" t="n"/>
      <c r="CP147" s="196" t="n">
        <v>269560</v>
      </c>
      <c r="CQ147" s="196" t="n">
        <v>274968</v>
      </c>
      <c r="CR147" s="196" t="n"/>
      <c r="CS147" s="196" t="n">
        <v>269681</v>
      </c>
      <c r="CT147" s="196" t="n">
        <v>268759.5</v>
      </c>
      <c r="CU147" s="196" t="n">
        <v>267538.1</v>
      </c>
      <c r="CV147" s="196" t="n">
        <v>267276</v>
      </c>
      <c r="CW147" s="196" t="n">
        <v>262740.6</v>
      </c>
      <c r="CX147" s="196" t="n">
        <v>261293</v>
      </c>
      <c r="CY147" s="196" t="n">
        <v>259640.9</v>
      </c>
      <c r="CZ147" s="196" t="n">
        <v>269968</v>
      </c>
      <c r="DA147" s="196" t="n">
        <v>269057.4</v>
      </c>
      <c r="DB147" s="196" t="n">
        <v>289425</v>
      </c>
      <c r="DC147" s="196" t="n">
        <v>287731.3</v>
      </c>
      <c r="DD147" s="196" t="n">
        <v>287767.4</v>
      </c>
      <c r="DE147" s="196" t="n">
        <v>269752.3</v>
      </c>
      <c r="DF147" s="196" t="n">
        <v>267284.6</v>
      </c>
      <c r="DG147" s="196" t="n">
        <v>137077.4</v>
      </c>
      <c r="DH147" s="196" t="n">
        <v>128092</v>
      </c>
      <c r="DI147" s="196" t="n">
        <v>124660.1</v>
      </c>
      <c r="DJ147" s="196" t="n">
        <v>124223.3</v>
      </c>
      <c r="DK147" s="196" t="n">
        <v>121558.9</v>
      </c>
      <c r="DL147" s="196" t="n">
        <v>121515</v>
      </c>
      <c r="DM147" s="196" t="n">
        <v>116019.9</v>
      </c>
      <c r="DN147" s="196" t="n">
        <v>115900</v>
      </c>
      <c r="DO147" s="196" t="n">
        <v>115100</v>
      </c>
      <c r="DP147" s="196" t="n">
        <v>115000</v>
      </c>
      <c r="DQ147" s="196" t="n"/>
      <c r="DR147" s="196" t="n"/>
      <c r="DS147" s="196" t="n"/>
      <c r="DT147" s="196" t="n"/>
      <c r="DU147" s="196" t="n"/>
      <c r="DV147" s="196" t="n"/>
      <c r="DW147" s="196" t="n"/>
      <c r="DX147" s="196" t="n"/>
      <c r="DY147" s="196" t="n"/>
      <c r="DZ147" s="196" t="n"/>
      <c r="EA147" s="196" t="n"/>
      <c r="EB147" s="196" t="n"/>
      <c r="EC147" s="196" t="n"/>
      <c r="ED147" s="196" t="n"/>
      <c r="EE147" s="196" t="n"/>
      <c r="EF147" s="196" t="n"/>
      <c r="EG147" s="196" t="n"/>
      <c r="EH147" s="196" t="n"/>
      <c r="EI147" s="196" t="n"/>
      <c r="EJ147" s="196" t="n"/>
      <c r="EK147" s="196" t="n"/>
      <c r="EL147" s="182" t="n"/>
      <c r="EM147" s="176" t="n"/>
      <c r="EN147" s="176" t="n"/>
      <c r="EO147" s="176" t="n"/>
      <c r="EP147" s="176" t="n"/>
      <c r="EQ147" s="176" t="n"/>
      <c r="ER147" s="176" t="n"/>
      <c r="ES147" s="176" t="n"/>
      <c r="ET147" s="176" t="n"/>
      <c r="EU147" s="176" t="n"/>
      <c r="EV147" s="176" t="n"/>
      <c r="EW147" s="176" t="n"/>
      <c r="EX147" s="176" t="n"/>
      <c r="EY147" s="176" t="n"/>
      <c r="EZ147" s="176" t="n"/>
      <c r="FA147" s="176" t="n"/>
      <c r="FB147" s="176" t="n"/>
      <c r="FC147" s="176" t="n"/>
      <c r="FD147" s="176" t="n"/>
      <c r="FE147" s="176" t="n"/>
      <c r="FF147" s="176" t="n"/>
      <c r="FG147" s="176" t="n"/>
      <c r="FH147" s="176" t="n"/>
      <c r="FI147" s="176" t="n"/>
      <c r="FJ147" s="176" t="n"/>
    </row>
    <row r="148" ht="15" customHeight="1" s="392">
      <c r="A148" s="176" t="n"/>
      <c r="B148" s="180" t="n"/>
      <c r="C148" s="183" t="inlineStr">
        <is>
          <t xml:space="preserve">                Preferred Stock</t>
        </is>
      </c>
      <c r="D148" s="190">
        <f>IF(COUNT(M148:EK148)&gt;0,MEDIAN(M148:EK148),"")</f>
        <v/>
      </c>
      <c r="E148" s="190">
        <f>IF(COUNT(M148:EK148)&gt;0,AVERAGE(M148:EK148),"")</f>
        <v/>
      </c>
      <c r="F148" s="190">
        <f>IF(COUNT(M148:EK148)&gt;0,MIN(M148:EK148),"")</f>
        <v/>
      </c>
      <c r="G148" s="190">
        <f>IF(COUNT(M148:EK148)&gt;0,MAX(M148:EK148),"")</f>
        <v/>
      </c>
      <c r="H148" s="190">
        <f>IF(COUNT(M148:EK148)&gt;0,QUARTILE(M148:EK148,1),"")</f>
        <v/>
      </c>
      <c r="I148" s="190">
        <f>IF(COUNT(M148:EK148)&gt;0,QUARTILE(M148:EK148,3),"")</f>
        <v/>
      </c>
      <c r="J148" s="190">
        <f>IF(COUNT(M148:EK148)&gt;1,STDEV(M148:EK148),"")</f>
        <v/>
      </c>
      <c r="K148" s="191">
        <f>IFERROR(IF(COUNT(M148:EK148)&gt;1,STDEV(M148:EK148)/AVERAGE(M148:EK148),""),"")</f>
        <v/>
      </c>
      <c r="M148" s="192" t="n">
        <v>0</v>
      </c>
      <c r="N148" s="192" t="n">
        <v>0</v>
      </c>
      <c r="O148" s="192" t="n">
        <v>0</v>
      </c>
      <c r="P148" s="192" t="n">
        <v>0</v>
      </c>
      <c r="Q148" s="192" t="n">
        <v>0</v>
      </c>
      <c r="R148" s="192" t="n">
        <v>0</v>
      </c>
      <c r="S148" s="192" t="n">
        <v>0</v>
      </c>
      <c r="T148" s="192" t="n">
        <v>0</v>
      </c>
      <c r="U148" s="192" t="n">
        <v>0</v>
      </c>
      <c r="V148" s="192" t="n">
        <v>0</v>
      </c>
      <c r="W148" s="192" t="n">
        <v>0</v>
      </c>
      <c r="X148" s="192" t="n">
        <v>0</v>
      </c>
      <c r="Y148" s="192" t="n">
        <v>0</v>
      </c>
      <c r="Z148" s="192" t="n">
        <v>0</v>
      </c>
      <c r="AA148" s="192" t="n">
        <v>0</v>
      </c>
      <c r="AB148" s="192" t="n">
        <v>0</v>
      </c>
      <c r="AC148" s="192" t="n">
        <v>0</v>
      </c>
      <c r="AD148" s="192" t="n">
        <v>0</v>
      </c>
      <c r="AE148" s="192" t="n">
        <v>0</v>
      </c>
      <c r="AF148" s="192" t="n">
        <v>0</v>
      </c>
      <c r="AG148" s="192" t="n">
        <v>0</v>
      </c>
      <c r="AH148" s="192" t="n">
        <v>0</v>
      </c>
      <c r="AI148" s="192" t="n">
        <v>0</v>
      </c>
      <c r="AJ148" s="192" t="n">
        <v>0</v>
      </c>
      <c r="AK148" s="192" t="n">
        <v>0</v>
      </c>
      <c r="AL148" s="192" t="n">
        <v>0</v>
      </c>
      <c r="AM148" s="192" t="n">
        <v>0</v>
      </c>
      <c r="AN148" s="192" t="n">
        <v>0</v>
      </c>
      <c r="AO148" s="192" t="n">
        <v>0</v>
      </c>
      <c r="AP148" s="192" t="n">
        <v>0</v>
      </c>
      <c r="AQ148" s="192" t="n">
        <v>0</v>
      </c>
      <c r="AR148" s="192" t="n">
        <v>0</v>
      </c>
      <c r="AS148" s="192" t="n">
        <v>0</v>
      </c>
      <c r="AT148" s="192" t="n">
        <v>0</v>
      </c>
      <c r="AU148" s="192" t="n"/>
      <c r="AV148" s="192" t="n">
        <v>0</v>
      </c>
      <c r="AW148" s="192" t="n">
        <v>0</v>
      </c>
      <c r="AX148" s="192" t="n">
        <v>0</v>
      </c>
      <c r="AY148" s="192" t="n">
        <v>0</v>
      </c>
      <c r="AZ148" s="192" t="n">
        <v>0</v>
      </c>
      <c r="BA148" s="192" t="n">
        <v>0</v>
      </c>
      <c r="BB148" s="192" t="n">
        <v>0</v>
      </c>
      <c r="BC148" s="192" t="n"/>
      <c r="BD148" s="192" t="n">
        <v>0</v>
      </c>
      <c r="BE148" s="192" t="n"/>
      <c r="BF148" s="192" t="n">
        <v>0</v>
      </c>
      <c r="BG148" s="192" t="n">
        <v>0</v>
      </c>
      <c r="BH148" s="192" t="n">
        <v>0</v>
      </c>
      <c r="BI148" s="192" t="n">
        <v>0</v>
      </c>
      <c r="BJ148" s="192" t="n">
        <v>0</v>
      </c>
      <c r="BK148" s="192" t="n">
        <v>0</v>
      </c>
      <c r="BL148" s="192" t="n">
        <v>0</v>
      </c>
      <c r="BM148" s="192" t="n">
        <v>0</v>
      </c>
      <c r="BN148" s="192" t="n">
        <v>0</v>
      </c>
      <c r="BO148" s="192" t="n">
        <v>0</v>
      </c>
      <c r="BP148" s="192" t="n">
        <v>0</v>
      </c>
      <c r="BQ148" s="192" t="n">
        <v>0</v>
      </c>
      <c r="BR148" s="192" t="n">
        <v>0</v>
      </c>
      <c r="BS148" s="192" t="n">
        <v>0</v>
      </c>
      <c r="BT148" s="192" t="n"/>
      <c r="BU148" s="192" t="n"/>
      <c r="BV148" s="192" t="n"/>
      <c r="BW148" s="192" t="n"/>
      <c r="BX148" s="192" t="n"/>
      <c r="BY148" s="192" t="n"/>
      <c r="BZ148" s="192" t="n"/>
      <c r="CA148" s="192" t="n"/>
      <c r="CB148" s="192" t="n"/>
      <c r="CC148" s="192" t="n"/>
      <c r="CD148" s="192" t="n"/>
      <c r="CE148" s="192" t="n"/>
      <c r="CF148" s="192" t="n"/>
      <c r="CG148" s="192" t="n"/>
      <c r="CH148" s="192" t="n"/>
      <c r="CI148" s="192" t="n"/>
      <c r="CJ148" s="192" t="n"/>
      <c r="CK148" s="192" t="n"/>
      <c r="CL148" s="192" t="n"/>
      <c r="CM148" s="192" t="n"/>
      <c r="CN148" s="192" t="n"/>
      <c r="CO148" s="192" t="n"/>
      <c r="CP148" s="192" t="n"/>
      <c r="CQ148" s="192" t="n"/>
      <c r="CR148" s="192" t="n"/>
      <c r="CS148" s="192" t="n"/>
      <c r="CT148" s="192" t="n"/>
      <c r="CU148" s="192" t="n"/>
      <c r="CV148" s="192" t="n"/>
      <c r="CW148" s="192" t="n"/>
      <c r="CX148" s="192" t="n"/>
      <c r="CY148" s="192" t="n"/>
      <c r="CZ148" s="192" t="n"/>
      <c r="DA148" s="192" t="n"/>
      <c r="DB148" s="192" t="n"/>
      <c r="DC148" s="192" t="n"/>
      <c r="DD148" s="192" t="n"/>
      <c r="DE148" s="192" t="n"/>
      <c r="DF148" s="192" t="n"/>
      <c r="DG148" s="192" t="n"/>
      <c r="DH148" s="192" t="n"/>
      <c r="DI148" s="192" t="n"/>
      <c r="DJ148" s="192" t="n"/>
      <c r="DK148" s="192" t="n"/>
      <c r="DL148" s="192" t="n"/>
      <c r="DM148" s="192" t="n"/>
      <c r="DN148" s="192" t="n"/>
      <c r="DO148" s="192" t="n"/>
      <c r="DP148" s="192" t="n"/>
      <c r="DQ148" s="192" t="n"/>
      <c r="DR148" s="192" t="n"/>
      <c r="DS148" s="192" t="n"/>
      <c r="DT148" s="192" t="n"/>
      <c r="DU148" s="192" t="n"/>
      <c r="DV148" s="192" t="n"/>
      <c r="DW148" s="192" t="n"/>
      <c r="DX148" s="192" t="n"/>
      <c r="DY148" s="192" t="n"/>
      <c r="DZ148" s="192" t="n"/>
      <c r="EA148" s="192" t="n"/>
      <c r="EB148" s="192" t="n"/>
      <c r="EC148" s="192" t="n"/>
      <c r="ED148" s="192" t="n"/>
      <c r="EE148" s="192" t="n"/>
      <c r="EF148" s="192" t="n"/>
      <c r="EG148" s="192" t="n"/>
      <c r="EH148" s="192" t="n"/>
      <c r="EI148" s="192" t="n"/>
      <c r="EJ148" s="192" t="n"/>
      <c r="EK148" s="192" t="n"/>
      <c r="EL148" s="182" t="n"/>
      <c r="EM148" s="176" t="n"/>
      <c r="EN148" s="176" t="n"/>
      <c r="EO148" s="176" t="n"/>
      <c r="EP148" s="176" t="n"/>
      <c r="EQ148" s="176" t="n"/>
      <c r="ER148" s="176" t="n"/>
      <c r="ES148" s="176" t="n"/>
      <c r="ET148" s="176" t="n"/>
      <c r="EU148" s="176" t="n"/>
      <c r="EV148" s="176" t="n"/>
      <c r="EW148" s="176" t="n"/>
      <c r="EX148" s="176" t="n"/>
      <c r="EY148" s="176" t="n"/>
      <c r="EZ148" s="176" t="n"/>
      <c r="FA148" s="176" t="n"/>
      <c r="FB148" s="176" t="n"/>
      <c r="FC148" s="176" t="n"/>
      <c r="FD148" s="176" t="n"/>
      <c r="FE148" s="176" t="n"/>
      <c r="FF148" s="176" t="n"/>
      <c r="FG148" s="176" t="n"/>
      <c r="FH148" s="176" t="n"/>
      <c r="FI148" s="176" t="n"/>
      <c r="FJ148" s="176" t="n"/>
    </row>
    <row r="149" ht="15" customHeight="1" s="392">
      <c r="A149" s="176" t="n"/>
      <c r="B149" s="180" t="n"/>
      <c r="C149" s="183" t="inlineStr">
        <is>
          <t xml:space="preserve">                Additional Paid in Capital/Share Premium</t>
        </is>
      </c>
      <c r="D149" s="190">
        <f>IF(COUNT(M149:EK149)&gt;0,MEDIAN(M149:EK149),"")</f>
        <v/>
      </c>
      <c r="E149" s="190">
        <f>IF(COUNT(M149:EK149)&gt;0,AVERAGE(M149:EK149),"")</f>
        <v/>
      </c>
      <c r="F149" s="190">
        <f>IF(COUNT(M149:EK149)&gt;0,MIN(M149:EK149),"")</f>
        <v/>
      </c>
      <c r="G149" s="190">
        <f>IF(COUNT(M149:EK149)&gt;0,MAX(M149:EK149),"")</f>
        <v/>
      </c>
      <c r="H149" s="190">
        <f>IF(COUNT(M149:EK149)&gt;0,QUARTILE(M149:EK149,1),"")</f>
        <v/>
      </c>
      <c r="I149" s="190">
        <f>IF(COUNT(M149:EK149)&gt;0,QUARTILE(M149:EK149,3),"")</f>
        <v/>
      </c>
      <c r="J149" s="190">
        <f>IF(COUNT(M149:EK149)&gt;1,STDEV(M149:EK149),"")</f>
        <v/>
      </c>
      <c r="K149" s="191">
        <f>IF(COUNT(M149:EK149)&gt;1,STDEV(M149:EK149)/AVERAGE(M149:EK149),"")</f>
        <v/>
      </c>
      <c r="M149" s="192" t="n">
        <v>1226354</v>
      </c>
      <c r="N149" s="192" t="n">
        <v>1207201</v>
      </c>
      <c r="O149" s="192" t="n">
        <v>1242164</v>
      </c>
      <c r="P149" s="192" t="n">
        <v>1224683</v>
      </c>
      <c r="Q149" s="192" t="n">
        <v>1214150</v>
      </c>
      <c r="R149" s="192" t="n">
        <v>1195757</v>
      </c>
      <c r="S149" s="192" t="n">
        <v>1179816</v>
      </c>
      <c r="T149" s="192" t="n">
        <v>1133687</v>
      </c>
      <c r="U149" s="192" t="n">
        <v>1120985</v>
      </c>
      <c r="V149" s="192" t="n">
        <v>1102684</v>
      </c>
      <c r="W149" s="192" t="n">
        <v>1087345</v>
      </c>
      <c r="X149" s="192" t="n">
        <v>1067424</v>
      </c>
      <c r="Y149" s="192" t="n">
        <v>938910</v>
      </c>
      <c r="Z149" s="192" t="n">
        <v>901495</v>
      </c>
      <c r="AA149" s="192" t="n">
        <v>875009</v>
      </c>
      <c r="AB149" s="192" t="n">
        <v>849761</v>
      </c>
      <c r="AC149" s="192" t="n">
        <v>838460</v>
      </c>
      <c r="AD149" s="192" t="n">
        <v>811900</v>
      </c>
      <c r="AE149" s="192" t="n">
        <v>797955</v>
      </c>
      <c r="AF149" s="192" t="n">
        <v>776858</v>
      </c>
      <c r="AG149" s="192" t="n">
        <v>761834</v>
      </c>
      <c r="AH149" s="192" t="n">
        <v>733581</v>
      </c>
      <c r="AI149" s="192" t="n">
        <v>718497</v>
      </c>
      <c r="AJ149" s="192" t="n">
        <v>701654</v>
      </c>
      <c r="AK149" s="192" t="n">
        <v>672727</v>
      </c>
      <c r="AL149" s="192" t="n">
        <v>646331</v>
      </c>
      <c r="AM149" s="192" t="n">
        <v>617714</v>
      </c>
      <c r="AN149" s="192" t="n">
        <v>587643</v>
      </c>
      <c r="AO149" s="192" t="n">
        <v>572559</v>
      </c>
      <c r="AP149" s="192" t="n">
        <v>545895</v>
      </c>
      <c r="AQ149" s="192" t="n">
        <v>530102</v>
      </c>
      <c r="AR149" s="192" t="n">
        <v>534108</v>
      </c>
      <c r="AS149" s="192" t="n">
        <v>526858</v>
      </c>
      <c r="AT149" s="192" t="n">
        <v>497010</v>
      </c>
      <c r="AU149" s="192" t="n">
        <v>483895</v>
      </c>
      <c r="AV149" s="192" t="n">
        <v>467909</v>
      </c>
      <c r="AW149" s="192" t="n">
        <v>453349</v>
      </c>
      <c r="AX149" s="192" t="n">
        <v>444745</v>
      </c>
      <c r="AY149" s="192" t="n">
        <v>429957</v>
      </c>
      <c r="AZ149" s="192" t="n">
        <v>416125</v>
      </c>
      <c r="BA149" s="192" t="n">
        <v>392434</v>
      </c>
      <c r="BB149" s="192" t="n">
        <v>393351</v>
      </c>
      <c r="BC149" s="192" t="n">
        <v>394002</v>
      </c>
      <c r="BD149" s="192" t="n">
        <v>413423</v>
      </c>
      <c r="BE149" s="192" t="n">
        <v>407808</v>
      </c>
      <c r="BF149" s="192" t="n">
        <v>422194</v>
      </c>
      <c r="BG149" s="192" t="n">
        <v>416958</v>
      </c>
      <c r="BH149" s="192" t="n">
        <v>410629</v>
      </c>
      <c r="BI149" s="192" t="n">
        <v>404542</v>
      </c>
      <c r="BJ149" s="192" t="n">
        <v>393225</v>
      </c>
      <c r="BK149" s="192" t="n">
        <v>384947</v>
      </c>
      <c r="BL149" s="192" t="n">
        <v>373177</v>
      </c>
      <c r="BM149" s="192" t="n">
        <v>368769</v>
      </c>
      <c r="BN149" s="192" t="n">
        <v>361585</v>
      </c>
      <c r="BO149" s="192" t="n">
        <v>353111</v>
      </c>
      <c r="BP149" s="192" t="n">
        <v>332021</v>
      </c>
      <c r="BQ149" s="192" t="n">
        <v>326187</v>
      </c>
      <c r="BR149" s="192" t="n">
        <v>326575</v>
      </c>
      <c r="BS149" s="192" t="n">
        <v>317765</v>
      </c>
      <c r="BT149" s="192" t="n"/>
      <c r="BU149" s="192" t="n">
        <v>0</v>
      </c>
      <c r="BV149" s="192" t="n"/>
      <c r="BW149" s="192" t="n">
        <v>361298</v>
      </c>
      <c r="BX149" s="192" t="n">
        <v>0</v>
      </c>
      <c r="BY149" s="192" t="n">
        <v>355937</v>
      </c>
      <c r="BZ149" s="192" t="n">
        <v>349406</v>
      </c>
      <c r="CA149" s="192" t="n">
        <v>342257</v>
      </c>
      <c r="CB149" s="192" t="n">
        <v>334440</v>
      </c>
      <c r="CC149" s="192" t="n">
        <v>324254</v>
      </c>
      <c r="CD149" s="192" t="n">
        <v>325738</v>
      </c>
      <c r="CE149" s="192" t="n">
        <v>318844</v>
      </c>
      <c r="CF149" s="192" t="n">
        <v>316673</v>
      </c>
      <c r="CG149" s="192" t="n">
        <v>78794</v>
      </c>
      <c r="CH149" s="192" t="n">
        <v>183937</v>
      </c>
      <c r="CI149" s="192" t="n">
        <v>221235</v>
      </c>
      <c r="CJ149" s="192" t="n">
        <v>206126</v>
      </c>
      <c r="CK149" s="192" t="n">
        <v>295156</v>
      </c>
      <c r="CL149" s="192" t="n">
        <v>292200</v>
      </c>
      <c r="CM149" s="192" t="n">
        <v>279053</v>
      </c>
      <c r="CN149" s="192" t="n">
        <v>276052</v>
      </c>
      <c r="CO149" s="192" t="n">
        <v>272344</v>
      </c>
      <c r="CP149" s="192" t="n"/>
      <c r="CQ149" s="192" t="n"/>
      <c r="CR149" s="192" t="n">
        <v>272017</v>
      </c>
      <c r="CS149" s="192" t="n"/>
      <c r="CT149" s="192" t="n"/>
      <c r="CU149" s="192" t="n"/>
      <c r="CV149" s="192" t="n"/>
      <c r="CW149" s="192" t="n"/>
      <c r="CX149" s="192" t="n"/>
      <c r="CY149" s="192" t="n"/>
      <c r="CZ149" s="192" t="n"/>
      <c r="DA149" s="192" t="n"/>
      <c r="DB149" s="192" t="n"/>
      <c r="DC149" s="192" t="n"/>
      <c r="DD149" s="192" t="n"/>
      <c r="DE149" s="192" t="n"/>
      <c r="DF149" s="192" t="n"/>
      <c r="DG149" s="192" t="n"/>
      <c r="DH149" s="192" t="n"/>
      <c r="DI149" s="192" t="n"/>
      <c r="DJ149" s="192" t="n"/>
      <c r="DK149" s="192" t="n"/>
      <c r="DL149" s="192" t="n"/>
      <c r="DM149" s="192" t="n"/>
      <c r="DN149" s="192" t="n"/>
      <c r="DO149" s="192" t="n"/>
      <c r="DP149" s="192" t="n"/>
      <c r="DQ149" s="192" t="n"/>
      <c r="DR149" s="192" t="n"/>
      <c r="DS149" s="192" t="n"/>
      <c r="DT149" s="192" t="n"/>
      <c r="DU149" s="192" t="n"/>
      <c r="DV149" s="192" t="n"/>
      <c r="DW149" s="192" t="n"/>
      <c r="DX149" s="192" t="n"/>
      <c r="DY149" s="192" t="n"/>
      <c r="DZ149" s="192" t="n"/>
      <c r="EA149" s="192" t="n"/>
      <c r="EB149" s="192" t="n"/>
      <c r="EC149" s="192" t="n"/>
      <c r="ED149" s="192" t="n"/>
      <c r="EE149" s="192" t="n"/>
      <c r="EF149" s="192" t="n"/>
      <c r="EG149" s="192" t="n"/>
      <c r="EH149" s="192" t="n"/>
      <c r="EI149" s="192" t="n"/>
      <c r="EJ149" s="192" t="n"/>
      <c r="EK149" s="192" t="n"/>
      <c r="EL149" s="182" t="n"/>
      <c r="EM149" s="176" t="n"/>
      <c r="EN149" s="176" t="n"/>
      <c r="EO149" s="176" t="n"/>
      <c r="EP149" s="176" t="n"/>
      <c r="EQ149" s="176" t="n"/>
      <c r="ER149" s="176" t="n"/>
      <c r="ES149" s="176" t="n"/>
      <c r="ET149" s="176" t="n"/>
      <c r="EU149" s="176" t="n"/>
      <c r="EV149" s="176" t="n"/>
      <c r="EW149" s="176" t="n"/>
      <c r="EX149" s="176" t="n"/>
      <c r="EY149" s="176" t="n"/>
      <c r="EZ149" s="176" t="n"/>
      <c r="FA149" s="176" t="n"/>
      <c r="FB149" s="176" t="n"/>
      <c r="FC149" s="176" t="n"/>
      <c r="FD149" s="176" t="n"/>
      <c r="FE149" s="176" t="n"/>
      <c r="FF149" s="176" t="n"/>
      <c r="FG149" s="176" t="n"/>
      <c r="FH149" s="176" t="n"/>
      <c r="FI149" s="176" t="n"/>
      <c r="FJ149" s="176" t="n"/>
    </row>
    <row r="150" ht="15" customHeight="1" s="392">
      <c r="A150" s="176" t="n"/>
      <c r="B150" s="180" t="n"/>
      <c r="C150" s="187" t="inlineStr">
        <is>
          <t xml:space="preserve">            Total Capital Stock</t>
        </is>
      </c>
      <c r="D150" s="193">
        <f>IF(COUNT(M150:EK150)&gt;0,MEDIAN(M150:EK150),"")</f>
        <v/>
      </c>
      <c r="E150" s="193">
        <f>IF(COUNT(M150:EK150)&gt;0,AVERAGE(M150:EK150),"")</f>
        <v/>
      </c>
      <c r="F150" s="193">
        <f>IF(COUNT(M150:EK150)&gt;0,MIN(M150:EK150),"")</f>
        <v/>
      </c>
      <c r="G150" s="193">
        <f>IF(COUNT(M150:EK150)&gt;0,MAX(M150:EK150),"")</f>
        <v/>
      </c>
      <c r="H150" s="193">
        <f>IF(COUNT(M150:EK150)&gt;0,QUARTILE(M150:EK150,1),"")</f>
        <v/>
      </c>
      <c r="I150" s="193">
        <f>IF(COUNT(M150:EK150)&gt;0,QUARTILE(M150:EK150,3),"")</f>
        <v/>
      </c>
      <c r="J150" s="193">
        <f>IF(COUNT(M150:EK150)&gt;1,STDEV(M150:EK150),"")</f>
        <v/>
      </c>
      <c r="K150" s="194">
        <f>IF(COUNT(M150:EK150)&gt;1,STDEV(M150:EK150)/AVERAGE(M150:EK150),"")</f>
        <v/>
      </c>
      <c r="L150" s="195" t="n"/>
      <c r="M150" s="196" t="n">
        <v>1226447</v>
      </c>
      <c r="N150" s="196" t="n">
        <v>1207294</v>
      </c>
      <c r="O150" s="196" t="n">
        <v>1242260</v>
      </c>
      <c r="P150" s="196" t="n">
        <v>1224780</v>
      </c>
      <c r="Q150" s="196" t="n">
        <v>1214247</v>
      </c>
      <c r="R150" s="196" t="n">
        <v>1195854</v>
      </c>
      <c r="S150" s="196" t="n">
        <v>1179913</v>
      </c>
      <c r="T150" s="196" t="n">
        <v>1133783</v>
      </c>
      <c r="U150" s="196" t="n">
        <v>1121081</v>
      </c>
      <c r="V150" s="196" t="n">
        <v>1102780</v>
      </c>
      <c r="W150" s="196" t="n">
        <v>1087441</v>
      </c>
      <c r="X150" s="196" t="n">
        <v>1067520</v>
      </c>
      <c r="Y150" s="196" t="n">
        <v>939006</v>
      </c>
      <c r="Z150" s="196" t="n">
        <v>901543</v>
      </c>
      <c r="AA150" s="196" t="n">
        <v>875057</v>
      </c>
      <c r="AB150" s="196" t="n">
        <v>849809</v>
      </c>
      <c r="AC150" s="196" t="n">
        <v>838556</v>
      </c>
      <c r="AD150" s="196" t="n">
        <v>811924</v>
      </c>
      <c r="AE150" s="196" t="n">
        <v>797979</v>
      </c>
      <c r="AF150" s="196" t="n">
        <v>776882</v>
      </c>
      <c r="AG150" s="196" t="n">
        <v>761858</v>
      </c>
      <c r="AH150" s="196" t="n">
        <v>733605</v>
      </c>
      <c r="AI150" s="196" t="n">
        <v>718521</v>
      </c>
      <c r="AJ150" s="196" t="n">
        <v>701678</v>
      </c>
      <c r="AK150" s="196" t="n">
        <v>672751</v>
      </c>
      <c r="AL150" s="196" t="n">
        <v>646354</v>
      </c>
      <c r="AM150" s="196" t="n">
        <v>617737</v>
      </c>
      <c r="AN150" s="196" t="n">
        <v>587666</v>
      </c>
      <c r="AO150" s="196" t="n">
        <v>572582</v>
      </c>
      <c r="AP150" s="196" t="n">
        <v>545918</v>
      </c>
      <c r="AQ150" s="196" t="n">
        <v>530125</v>
      </c>
      <c r="AR150" s="196" t="n">
        <v>534131</v>
      </c>
      <c r="AS150" s="196" t="n">
        <v>526881</v>
      </c>
      <c r="AT150" s="196" t="n">
        <v>497033</v>
      </c>
      <c r="AU150" s="196" t="n">
        <v>483918</v>
      </c>
      <c r="AV150" s="196" t="n">
        <v>467932</v>
      </c>
      <c r="AW150" s="196" t="n">
        <v>453372</v>
      </c>
      <c r="AX150" s="196" t="n">
        <v>444767</v>
      </c>
      <c r="AY150" s="196" t="n">
        <v>429968</v>
      </c>
      <c r="AZ150" s="196" t="n">
        <v>416136</v>
      </c>
      <c r="BA150" s="196" t="n">
        <v>392456</v>
      </c>
      <c r="BB150" s="196" t="n">
        <v>393362</v>
      </c>
      <c r="BC150" s="196" t="n">
        <v>394013</v>
      </c>
      <c r="BD150" s="196" t="n">
        <v>413435</v>
      </c>
      <c r="BE150" s="196" t="n">
        <v>407820</v>
      </c>
      <c r="BF150" s="196" t="n">
        <v>422207</v>
      </c>
      <c r="BG150" s="196" t="n">
        <v>416971</v>
      </c>
      <c r="BH150" s="196" t="n">
        <v>410642</v>
      </c>
      <c r="BI150" s="196" t="n">
        <v>404555</v>
      </c>
      <c r="BJ150" s="196" t="n">
        <v>393238</v>
      </c>
      <c r="BK150" s="196" t="n">
        <v>384960</v>
      </c>
      <c r="BL150" s="196" t="n">
        <v>373190</v>
      </c>
      <c r="BM150" s="196" t="n">
        <v>368782</v>
      </c>
      <c r="BN150" s="196" t="n">
        <v>361598</v>
      </c>
      <c r="BO150" s="196" t="n">
        <v>353124</v>
      </c>
      <c r="BP150" s="196" t="n">
        <v>332033</v>
      </c>
      <c r="BQ150" s="196" t="n">
        <v>326199</v>
      </c>
      <c r="BR150" s="196" t="n">
        <v>326588</v>
      </c>
      <c r="BS150" s="196" t="n">
        <v>317771</v>
      </c>
      <c r="BT150" s="196" t="n">
        <v>315428</v>
      </c>
      <c r="BU150" s="196" t="n">
        <v>313940</v>
      </c>
      <c r="BV150" s="196" t="n">
        <v>319642</v>
      </c>
      <c r="BW150" s="196" t="n">
        <v>361298</v>
      </c>
      <c r="BX150" s="196" t="n">
        <v>365507</v>
      </c>
      <c r="BY150" s="196" t="n">
        <v>355937</v>
      </c>
      <c r="BZ150" s="196" t="n">
        <v>349406</v>
      </c>
      <c r="CA150" s="196" t="n">
        <v>342257</v>
      </c>
      <c r="CB150" s="196" t="n">
        <v>334440</v>
      </c>
      <c r="CC150" s="196" t="n">
        <v>324254</v>
      </c>
      <c r="CD150" s="196" t="n">
        <v>325738</v>
      </c>
      <c r="CE150" s="196" t="n">
        <v>318844</v>
      </c>
      <c r="CF150" s="196" t="n">
        <v>316673</v>
      </c>
      <c r="CG150" s="196" t="n">
        <v>78794</v>
      </c>
      <c r="CH150" s="196" t="n">
        <v>183937</v>
      </c>
      <c r="CI150" s="196" t="n">
        <v>221235</v>
      </c>
      <c r="CJ150" s="196" t="n">
        <v>206126</v>
      </c>
      <c r="CK150" s="196" t="n">
        <v>295156</v>
      </c>
      <c r="CL150" s="196" t="n">
        <v>292200</v>
      </c>
      <c r="CM150" s="196" t="n">
        <v>279053</v>
      </c>
      <c r="CN150" s="196" t="n">
        <v>276052</v>
      </c>
      <c r="CO150" s="196" t="n">
        <v>272344</v>
      </c>
      <c r="CP150" s="196" t="n">
        <v>269560</v>
      </c>
      <c r="CQ150" s="196" t="n">
        <v>274968</v>
      </c>
      <c r="CR150" s="196" t="n">
        <v>272017</v>
      </c>
      <c r="CS150" s="196" t="n">
        <v>269681</v>
      </c>
      <c r="CT150" s="196" t="n">
        <v>268759.5</v>
      </c>
      <c r="CU150" s="196" t="n">
        <v>267538.1</v>
      </c>
      <c r="CV150" s="196" t="n">
        <v>267276</v>
      </c>
      <c r="CW150" s="196" t="n">
        <v>262740.6</v>
      </c>
      <c r="CX150" s="196" t="n">
        <v>261293</v>
      </c>
      <c r="CY150" s="196" t="n">
        <v>259640.9</v>
      </c>
      <c r="CZ150" s="196" t="n">
        <v>269968</v>
      </c>
      <c r="DA150" s="196" t="n">
        <v>269057.4</v>
      </c>
      <c r="DB150" s="196" t="n">
        <v>289425</v>
      </c>
      <c r="DC150" s="196" t="n">
        <v>287731.3</v>
      </c>
      <c r="DD150" s="196" t="n">
        <v>287767.4</v>
      </c>
      <c r="DE150" s="196" t="n">
        <v>269752.3</v>
      </c>
      <c r="DF150" s="196" t="n">
        <v>267284.6</v>
      </c>
      <c r="DG150" s="196" t="n">
        <v>137077.4</v>
      </c>
      <c r="DH150" s="196" t="n">
        <v>128092</v>
      </c>
      <c r="DI150" s="196" t="n">
        <v>124660.1</v>
      </c>
      <c r="DJ150" s="196" t="n">
        <v>124223.3</v>
      </c>
      <c r="DK150" s="196" t="n">
        <v>121558.9</v>
      </c>
      <c r="DL150" s="196" t="n">
        <v>121515</v>
      </c>
      <c r="DM150" s="196" t="n">
        <v>116019.9</v>
      </c>
      <c r="DN150" s="196" t="n">
        <v>115900</v>
      </c>
      <c r="DO150" s="196" t="n">
        <v>115100</v>
      </c>
      <c r="DP150" s="196" t="n">
        <v>115000</v>
      </c>
      <c r="DQ150" s="196" t="n"/>
      <c r="DR150" s="196" t="n"/>
      <c r="DS150" s="196" t="n"/>
      <c r="DT150" s="196" t="n"/>
      <c r="DU150" s="196" t="n"/>
      <c r="DV150" s="196" t="n"/>
      <c r="DW150" s="196" t="n"/>
      <c r="DX150" s="196" t="n"/>
      <c r="DY150" s="196" t="n"/>
      <c r="DZ150" s="196" t="n"/>
      <c r="EA150" s="196" t="n"/>
      <c r="EB150" s="196" t="n"/>
      <c r="EC150" s="196" t="n"/>
      <c r="ED150" s="196" t="n"/>
      <c r="EE150" s="196" t="n"/>
      <c r="EF150" s="196" t="n"/>
      <c r="EG150" s="196" t="n"/>
      <c r="EH150" s="196" t="n"/>
      <c r="EI150" s="196" t="n"/>
      <c r="EJ150" s="196" t="n"/>
      <c r="EK150" s="196" t="n"/>
      <c r="EL150" s="182" t="n"/>
      <c r="EM150" s="176" t="n"/>
      <c r="EN150" s="176" t="n"/>
      <c r="EO150" s="176" t="n"/>
      <c r="EP150" s="176" t="n"/>
      <c r="EQ150" s="176" t="n"/>
      <c r="ER150" s="176" t="n"/>
      <c r="ES150" s="176" t="n"/>
      <c r="ET150" s="176" t="n"/>
      <c r="EU150" s="176" t="n"/>
      <c r="EV150" s="176" t="n"/>
      <c r="EW150" s="176" t="n"/>
      <c r="EX150" s="176" t="n"/>
      <c r="EY150" s="176" t="n"/>
      <c r="EZ150" s="176" t="n"/>
      <c r="FA150" s="176" t="n"/>
      <c r="FB150" s="176" t="n"/>
      <c r="FC150" s="176" t="n"/>
      <c r="FD150" s="176" t="n"/>
      <c r="FE150" s="176" t="n"/>
      <c r="FF150" s="176" t="n"/>
      <c r="FG150" s="176" t="n"/>
      <c r="FH150" s="176" t="n"/>
      <c r="FI150" s="176" t="n"/>
      <c r="FJ150" s="176" t="n"/>
    </row>
    <row r="151" ht="15" customHeight="1" s="392">
      <c r="A151" s="176" t="n"/>
      <c r="B151" s="180" t="n"/>
      <c r="C151" s="187" t="inlineStr">
        <is>
          <t xml:space="preserve">        Total Paid in Capital</t>
        </is>
      </c>
      <c r="D151" s="193">
        <f>IF(COUNT(M151:EK151)&gt;0,MEDIAN(M151:EK151),"")</f>
        <v/>
      </c>
      <c r="E151" s="193">
        <f>IF(COUNT(M151:EK151)&gt;0,AVERAGE(M151:EK151),"")</f>
        <v/>
      </c>
      <c r="F151" s="193">
        <f>IF(COUNT(M151:EK151)&gt;0,MIN(M151:EK151),"")</f>
        <v/>
      </c>
      <c r="G151" s="193">
        <f>IF(COUNT(M151:EK151)&gt;0,MAX(M151:EK151),"")</f>
        <v/>
      </c>
      <c r="H151" s="193">
        <f>IF(COUNT(M151:EK151)&gt;0,QUARTILE(M151:EK151,1),"")</f>
        <v/>
      </c>
      <c r="I151" s="193">
        <f>IF(COUNT(M151:EK151)&gt;0,QUARTILE(M151:EK151,3),"")</f>
        <v/>
      </c>
      <c r="J151" s="193">
        <f>IF(COUNT(M151:EK151)&gt;1,STDEV(M151:EK151),"")</f>
        <v/>
      </c>
      <c r="K151" s="194">
        <f>IF(COUNT(M151:EK151)&gt;1,STDEV(M151:EK151)/AVERAGE(M151:EK151),"")</f>
        <v/>
      </c>
      <c r="L151" s="195" t="n"/>
      <c r="M151" s="196" t="n">
        <v>1226447</v>
      </c>
      <c r="N151" s="196" t="n">
        <v>1207294</v>
      </c>
      <c r="O151" s="196" t="n">
        <v>1242260</v>
      </c>
      <c r="P151" s="196" t="n">
        <v>1224780</v>
      </c>
      <c r="Q151" s="196" t="n">
        <v>1214247</v>
      </c>
      <c r="R151" s="196" t="n">
        <v>1195854</v>
      </c>
      <c r="S151" s="196" t="n">
        <v>1179913</v>
      </c>
      <c r="T151" s="196" t="n">
        <v>1133783</v>
      </c>
      <c r="U151" s="196" t="n">
        <v>1121081</v>
      </c>
      <c r="V151" s="196" t="n">
        <v>1102780</v>
      </c>
      <c r="W151" s="196" t="n">
        <v>1087441</v>
      </c>
      <c r="X151" s="196" t="n">
        <v>1067520</v>
      </c>
      <c r="Y151" s="196" t="n">
        <v>939006</v>
      </c>
      <c r="Z151" s="196" t="n">
        <v>901543</v>
      </c>
      <c r="AA151" s="196" t="n">
        <v>875057</v>
      </c>
      <c r="AB151" s="196" t="n">
        <v>849809</v>
      </c>
      <c r="AC151" s="196" t="n">
        <v>838556</v>
      </c>
      <c r="AD151" s="196" t="n">
        <v>811924</v>
      </c>
      <c r="AE151" s="196" t="n">
        <v>797979</v>
      </c>
      <c r="AF151" s="196" t="n">
        <v>776882</v>
      </c>
      <c r="AG151" s="196" t="n">
        <v>761858</v>
      </c>
      <c r="AH151" s="196" t="n">
        <v>733605</v>
      </c>
      <c r="AI151" s="196" t="n">
        <v>718521</v>
      </c>
      <c r="AJ151" s="196" t="n">
        <v>701678</v>
      </c>
      <c r="AK151" s="196" t="n">
        <v>672751</v>
      </c>
      <c r="AL151" s="196" t="n">
        <v>646354</v>
      </c>
      <c r="AM151" s="196" t="n">
        <v>617737</v>
      </c>
      <c r="AN151" s="196" t="n">
        <v>587666</v>
      </c>
      <c r="AO151" s="196" t="n">
        <v>572582</v>
      </c>
      <c r="AP151" s="196" t="n">
        <v>545918</v>
      </c>
      <c r="AQ151" s="196" t="n">
        <v>530125</v>
      </c>
      <c r="AR151" s="196" t="n">
        <v>534131</v>
      </c>
      <c r="AS151" s="196" t="n">
        <v>526881</v>
      </c>
      <c r="AT151" s="196" t="n">
        <v>497033</v>
      </c>
      <c r="AU151" s="196" t="n">
        <v>483918</v>
      </c>
      <c r="AV151" s="196" t="n">
        <v>467932</v>
      </c>
      <c r="AW151" s="196" t="n">
        <v>453372</v>
      </c>
      <c r="AX151" s="196" t="n">
        <v>444767</v>
      </c>
      <c r="AY151" s="196" t="n">
        <v>429968</v>
      </c>
      <c r="AZ151" s="196" t="n">
        <v>416136</v>
      </c>
      <c r="BA151" s="196" t="n">
        <v>392456</v>
      </c>
      <c r="BB151" s="196" t="n">
        <v>393362</v>
      </c>
      <c r="BC151" s="196" t="n">
        <v>394013</v>
      </c>
      <c r="BD151" s="196" t="n">
        <v>413435</v>
      </c>
      <c r="BE151" s="196" t="n">
        <v>407820</v>
      </c>
      <c r="BF151" s="196" t="n">
        <v>422207</v>
      </c>
      <c r="BG151" s="196" t="n">
        <v>416971</v>
      </c>
      <c r="BH151" s="196" t="n">
        <v>410642</v>
      </c>
      <c r="BI151" s="196" t="n">
        <v>404555</v>
      </c>
      <c r="BJ151" s="196" t="n">
        <v>393238</v>
      </c>
      <c r="BK151" s="196" t="n">
        <v>384960</v>
      </c>
      <c r="BL151" s="196" t="n">
        <v>373190</v>
      </c>
      <c r="BM151" s="196" t="n">
        <v>368782</v>
      </c>
      <c r="BN151" s="196" t="n">
        <v>361598</v>
      </c>
      <c r="BO151" s="196" t="n">
        <v>353124</v>
      </c>
      <c r="BP151" s="196" t="n">
        <v>332033</v>
      </c>
      <c r="BQ151" s="196" t="n">
        <v>326199</v>
      </c>
      <c r="BR151" s="196" t="n">
        <v>326588</v>
      </c>
      <c r="BS151" s="196" t="n">
        <v>317771</v>
      </c>
      <c r="BT151" s="196" t="n">
        <v>315428</v>
      </c>
      <c r="BU151" s="196" t="n">
        <v>313940</v>
      </c>
      <c r="BV151" s="196" t="n">
        <v>319642</v>
      </c>
      <c r="BW151" s="196" t="n">
        <v>361298</v>
      </c>
      <c r="BX151" s="196" t="n">
        <v>365507</v>
      </c>
      <c r="BY151" s="196" t="n">
        <v>355937</v>
      </c>
      <c r="BZ151" s="196" t="n">
        <v>349406</v>
      </c>
      <c r="CA151" s="196" t="n">
        <v>342257</v>
      </c>
      <c r="CB151" s="196" t="n">
        <v>334440</v>
      </c>
      <c r="CC151" s="196" t="n">
        <v>324254</v>
      </c>
      <c r="CD151" s="196" t="n">
        <v>325738</v>
      </c>
      <c r="CE151" s="196" t="n">
        <v>318844</v>
      </c>
      <c r="CF151" s="196" t="n">
        <v>316673</v>
      </c>
      <c r="CG151" s="196" t="n">
        <v>78794</v>
      </c>
      <c r="CH151" s="196" t="n">
        <v>183937</v>
      </c>
      <c r="CI151" s="196" t="n">
        <v>221235</v>
      </c>
      <c r="CJ151" s="196" t="n">
        <v>206126</v>
      </c>
      <c r="CK151" s="196" t="n">
        <v>295156</v>
      </c>
      <c r="CL151" s="196" t="n">
        <v>292200</v>
      </c>
      <c r="CM151" s="196" t="n">
        <v>279053</v>
      </c>
      <c r="CN151" s="196" t="n">
        <v>276052</v>
      </c>
      <c r="CO151" s="196" t="n">
        <v>272344</v>
      </c>
      <c r="CP151" s="196" t="n">
        <v>269560</v>
      </c>
      <c r="CQ151" s="196" t="n">
        <v>274968</v>
      </c>
      <c r="CR151" s="196" t="n">
        <v>272017</v>
      </c>
      <c r="CS151" s="196" t="n">
        <v>269681</v>
      </c>
      <c r="CT151" s="196" t="n">
        <v>268759.5</v>
      </c>
      <c r="CU151" s="196" t="n">
        <v>267538.1</v>
      </c>
      <c r="CV151" s="196" t="n">
        <v>267276</v>
      </c>
      <c r="CW151" s="196" t="n">
        <v>262740.6</v>
      </c>
      <c r="CX151" s="196" t="n">
        <v>261293</v>
      </c>
      <c r="CY151" s="196" t="n">
        <v>259640.9</v>
      </c>
      <c r="CZ151" s="196" t="n">
        <v>269968</v>
      </c>
      <c r="DA151" s="196" t="n">
        <v>269057.4</v>
      </c>
      <c r="DB151" s="196" t="n">
        <v>289425</v>
      </c>
      <c r="DC151" s="196" t="n">
        <v>287731.3</v>
      </c>
      <c r="DD151" s="196" t="n">
        <v>287767.4</v>
      </c>
      <c r="DE151" s="196" t="n">
        <v>269752.3</v>
      </c>
      <c r="DF151" s="196" t="n">
        <v>267284.6</v>
      </c>
      <c r="DG151" s="196" t="n">
        <v>137077.4</v>
      </c>
      <c r="DH151" s="196" t="n">
        <v>128092</v>
      </c>
      <c r="DI151" s="196" t="n">
        <v>124660.1</v>
      </c>
      <c r="DJ151" s="196" t="n">
        <v>124223.3</v>
      </c>
      <c r="DK151" s="196" t="n">
        <v>121558.9</v>
      </c>
      <c r="DL151" s="196" t="n">
        <v>121515</v>
      </c>
      <c r="DM151" s="196" t="n">
        <v>116019.9</v>
      </c>
      <c r="DN151" s="196" t="n">
        <v>115900</v>
      </c>
      <c r="DO151" s="196" t="n">
        <v>115100</v>
      </c>
      <c r="DP151" s="196" t="n">
        <v>115000</v>
      </c>
      <c r="DQ151" s="196" t="n"/>
      <c r="DR151" s="196" t="n"/>
      <c r="DS151" s="196" t="n"/>
      <c r="DT151" s="196" t="n"/>
      <c r="DU151" s="196" t="n"/>
      <c r="DV151" s="196" t="n"/>
      <c r="DW151" s="196" t="n"/>
      <c r="DX151" s="196" t="n"/>
      <c r="DY151" s="196" t="n"/>
      <c r="DZ151" s="196" t="n"/>
      <c r="EA151" s="196" t="n"/>
      <c r="EB151" s="196" t="n"/>
      <c r="EC151" s="196" t="n"/>
      <c r="ED151" s="196" t="n"/>
      <c r="EE151" s="196" t="n"/>
      <c r="EF151" s="196" t="n"/>
      <c r="EG151" s="196" t="n"/>
      <c r="EH151" s="196" t="n"/>
      <c r="EI151" s="196" t="n"/>
      <c r="EJ151" s="196" t="n"/>
      <c r="EK151" s="196" t="n"/>
      <c r="EL151" s="182" t="n"/>
      <c r="EM151" s="176" t="n"/>
      <c r="EN151" s="176" t="n"/>
      <c r="EO151" s="176" t="n"/>
      <c r="EP151" s="176" t="n"/>
      <c r="EQ151" s="176" t="n"/>
      <c r="ER151" s="176" t="n"/>
      <c r="ES151" s="176" t="n"/>
      <c r="ET151" s="176" t="n"/>
      <c r="EU151" s="176" t="n"/>
      <c r="EV151" s="176" t="n"/>
      <c r="EW151" s="176" t="n"/>
      <c r="EX151" s="176" t="n"/>
      <c r="EY151" s="176" t="n"/>
      <c r="EZ151" s="176" t="n"/>
      <c r="FA151" s="176" t="n"/>
      <c r="FB151" s="176" t="n"/>
      <c r="FC151" s="176" t="n"/>
      <c r="FD151" s="176" t="n"/>
      <c r="FE151" s="176" t="n"/>
      <c r="FF151" s="176" t="n"/>
      <c r="FG151" s="176" t="n"/>
      <c r="FH151" s="176" t="n"/>
      <c r="FI151" s="176" t="n"/>
      <c r="FJ151" s="176" t="n"/>
    </row>
    <row r="152" ht="15" customHeight="1" s="392">
      <c r="A152" s="176" t="n"/>
      <c r="B152" s="180" t="n"/>
      <c r="C152" s="183" t="inlineStr">
        <is>
          <t xml:space="preserve">        Retained Earnings/Accumulated Deficit</t>
        </is>
      </c>
      <c r="D152" s="190">
        <f>IF(COUNT(M152:EK152)&gt;0,MEDIAN(M152:EK152),"")</f>
        <v/>
      </c>
      <c r="E152" s="190">
        <f>IF(COUNT(M152:EK152)&gt;0,AVERAGE(M152:EK152),"")</f>
        <v/>
      </c>
      <c r="F152" s="190">
        <f>IF(COUNT(M152:EK152)&gt;0,MIN(M152:EK152),"")</f>
        <v/>
      </c>
      <c r="G152" s="190">
        <f>IF(COUNT(M152:EK152)&gt;0,MAX(M152:EK152),"")</f>
        <v/>
      </c>
      <c r="H152" s="190">
        <f>IF(COUNT(M152:EK152)&gt;0,QUARTILE(M152:EK152,1),"")</f>
        <v/>
      </c>
      <c r="I152" s="190">
        <f>IF(COUNT(M152:EK152)&gt;0,QUARTILE(M152:EK152,3),"")</f>
        <v/>
      </c>
      <c r="J152" s="190">
        <f>IF(COUNT(M152:EK152)&gt;1,STDEV(M152:EK152),"")</f>
        <v/>
      </c>
      <c r="K152" s="191">
        <f>IF(COUNT(M152:EK152)&gt;1,STDEV(M152:EK152)/AVERAGE(M152:EK152),"")</f>
        <v/>
      </c>
      <c r="M152" s="192" t="n">
        <v>7980626</v>
      </c>
      <c r="N152" s="192" t="n">
        <v>7654177</v>
      </c>
      <c r="O152" s="192" t="n">
        <v>8634076</v>
      </c>
      <c r="P152" s="192" t="n">
        <v>8495453</v>
      </c>
      <c r="Q152" s="192" t="n">
        <v>8093069</v>
      </c>
      <c r="R152" s="192" t="n">
        <v>7698639</v>
      </c>
      <c r="S152" s="192" t="n">
        <v>7292904</v>
      </c>
      <c r="T152" s="192" t="n">
        <v>6907268</v>
      </c>
      <c r="U152" s="192" t="n">
        <v>6545902</v>
      </c>
      <c r="V152" s="192" t="n">
        <v>6225280</v>
      </c>
      <c r="W152" s="192" t="n">
        <v>5845438</v>
      </c>
      <c r="X152" s="192" t="n">
        <v>5521256</v>
      </c>
      <c r="Y152" s="192" t="n">
        <v>5189440</v>
      </c>
      <c r="Z152" s="192" t="n">
        <v>4843338</v>
      </c>
      <c r="AA152" s="192" t="n">
        <v>4495102</v>
      </c>
      <c r="AB152" s="192" t="n">
        <v>4201961</v>
      </c>
      <c r="AC152" s="192" t="n">
        <v>3956408</v>
      </c>
      <c r="AD152" s="192" t="n">
        <v>3693726</v>
      </c>
      <c r="AE152" s="192" t="n">
        <v>3415379</v>
      </c>
      <c r="AF152" s="192" t="n">
        <v>3128317</v>
      </c>
      <c r="AG152" s="192" t="n">
        <v>2868203</v>
      </c>
      <c r="AH152" s="192" t="n">
        <v>2617436</v>
      </c>
      <c r="AI152" s="192" t="n">
        <v>2330791</v>
      </c>
      <c r="AJ152" s="192" t="n">
        <v>2137649</v>
      </c>
      <c r="AK152" s="192" t="n">
        <v>1937853</v>
      </c>
      <c r="AL152" s="192" t="n">
        <v>1773580</v>
      </c>
      <c r="AM152" s="192" t="n">
        <v>1626862</v>
      </c>
      <c r="AN152" s="192" t="n">
        <v>1458223</v>
      </c>
      <c r="AO152" s="192" t="n">
        <v>1338328</v>
      </c>
      <c r="AP152" s="192" t="n">
        <v>1186125</v>
      </c>
      <c r="AQ152" s="192" t="n">
        <v>1037051</v>
      </c>
      <c r="AR152" s="192" t="n">
        <v>1253275</v>
      </c>
      <c r="AS152" s="192" t="n">
        <v>1162146</v>
      </c>
      <c r="AT152" s="192" t="n">
        <v>1053510</v>
      </c>
      <c r="AU152" s="192" t="n">
        <v>926163</v>
      </c>
      <c r="AV152" s="192" t="n">
        <v>822555</v>
      </c>
      <c r="AW152" s="192" t="n">
        <v>745370</v>
      </c>
      <c r="AX152" s="192" t="n">
        <v>675830</v>
      </c>
      <c r="AY152" s="192" t="n">
        <v>585284</v>
      </c>
      <c r="AZ152" s="192" t="n">
        <v>519240</v>
      </c>
      <c r="BA152" s="192" t="n">
        <v>491194</v>
      </c>
      <c r="BB152" s="192" t="n">
        <v>406956</v>
      </c>
      <c r="BC152" s="192" t="n">
        <v>440458</v>
      </c>
      <c r="BD152" s="192" t="n">
        <v>677850</v>
      </c>
      <c r="BE152" s="192" t="n">
        <v>625437</v>
      </c>
      <c r="BF152" s="192" t="n">
        <v>780355</v>
      </c>
      <c r="BG152" s="192" t="n">
        <v>722791</v>
      </c>
      <c r="BH152" s="192" t="n">
        <v>670725</v>
      </c>
      <c r="BI152" s="192" t="n">
        <v>619004</v>
      </c>
      <c r="BJ152" s="192" t="n">
        <v>568352</v>
      </c>
      <c r="BK152" s="192" t="n">
        <v>527482</v>
      </c>
      <c r="BL152" s="192" t="n">
        <v>482137</v>
      </c>
      <c r="BM152" s="192" t="n">
        <v>440780</v>
      </c>
      <c r="BN152" s="192" t="n">
        <v>399874</v>
      </c>
      <c r="BO152" s="192" t="n">
        <v>346649</v>
      </c>
      <c r="BP152" s="192" t="n">
        <v>307543</v>
      </c>
      <c r="BQ152" s="192" t="n">
        <v>272961</v>
      </c>
      <c r="BR152" s="192" t="n">
        <v>279155</v>
      </c>
      <c r="BS152" s="192" t="n">
        <v>225513</v>
      </c>
      <c r="BT152" s="192" t="n">
        <v>266756</v>
      </c>
      <c r="BU152" s="192" t="n">
        <v>264457</v>
      </c>
      <c r="BV152" s="192" t="n">
        <v>346868</v>
      </c>
      <c r="BW152" s="192" t="n">
        <v>726214</v>
      </c>
      <c r="BX152" s="192" t="n">
        <v>754468</v>
      </c>
      <c r="BY152" s="192" t="n">
        <v>726345</v>
      </c>
      <c r="BZ152" s="192" t="n">
        <v>681956</v>
      </c>
      <c r="CA152" s="192" t="n">
        <v>646221</v>
      </c>
      <c r="CB152" s="192" t="n">
        <v>614101</v>
      </c>
      <c r="CC152" s="192" t="n">
        <v>582818</v>
      </c>
      <c r="CD152" s="192" t="n">
        <v>540749</v>
      </c>
      <c r="CE152" s="192" t="n">
        <v>518744</v>
      </c>
      <c r="CF152" s="192" t="n">
        <v>481490</v>
      </c>
      <c r="CG152" s="192" t="n">
        <v>782782</v>
      </c>
      <c r="CH152" s="192" t="n">
        <v>736306</v>
      </c>
      <c r="CI152" s="192" t="n">
        <v>704282</v>
      </c>
      <c r="CJ152" s="192" t="n">
        <v>670293</v>
      </c>
      <c r="CK152" s="192" t="n">
        <v>633558</v>
      </c>
      <c r="CL152" s="192" t="n">
        <v>594690</v>
      </c>
      <c r="CM152" s="192" t="n">
        <v>564300</v>
      </c>
      <c r="CN152" s="192" t="n">
        <v>533955</v>
      </c>
      <c r="CO152" s="192" t="n">
        <v>502382</v>
      </c>
      <c r="CP152" s="192" t="n">
        <v>467674</v>
      </c>
      <c r="CQ152" s="192" t="n">
        <v>459821</v>
      </c>
      <c r="CR152" s="192" t="n">
        <v>437008</v>
      </c>
      <c r="CS152" s="192" t="n">
        <v>412019</v>
      </c>
      <c r="CT152" s="192" t="n">
        <v>381114.5</v>
      </c>
      <c r="CU152" s="192" t="n">
        <v>357561.9</v>
      </c>
      <c r="CV152" s="192" t="n">
        <v>334892</v>
      </c>
      <c r="CW152" s="192" t="n">
        <v>313442.9</v>
      </c>
      <c r="CX152" s="192" t="n">
        <v>288281</v>
      </c>
      <c r="CY152" s="192" t="n">
        <v>270912.9</v>
      </c>
      <c r="CZ152" s="192" t="n">
        <v>255672</v>
      </c>
      <c r="DA152" s="192" t="n">
        <v>242335.4</v>
      </c>
      <c r="DB152" s="192" t="n">
        <v>226912.6</v>
      </c>
      <c r="DC152" s="192" t="n">
        <v>213156.1</v>
      </c>
      <c r="DD152" s="192" t="n">
        <v>198449.6</v>
      </c>
      <c r="DE152" s="192" t="n">
        <v>182914.4</v>
      </c>
      <c r="DF152" s="192" t="n">
        <v>166314.1</v>
      </c>
      <c r="DG152" s="192" t="n">
        <v>153818.6</v>
      </c>
      <c r="DH152" s="192" t="n">
        <v>141060.4</v>
      </c>
      <c r="DI152" s="192" t="n">
        <v>128129</v>
      </c>
      <c r="DJ152" s="192" t="n">
        <v>116643.8</v>
      </c>
      <c r="DK152" s="192" t="n">
        <v>107294.6</v>
      </c>
      <c r="DL152" s="192" t="n">
        <v>98375.39999999999</v>
      </c>
      <c r="DM152" s="192" t="n">
        <v>90213.2</v>
      </c>
      <c r="DN152" s="192" t="n">
        <v>81900</v>
      </c>
      <c r="DO152" s="192" t="n">
        <v>75300</v>
      </c>
      <c r="DP152" s="192" t="n">
        <v>68900</v>
      </c>
      <c r="DQ152" s="192" t="n">
        <v>62300</v>
      </c>
      <c r="DR152" s="192" t="n">
        <v>56000</v>
      </c>
      <c r="DS152" s="192" t="n">
        <v>51200</v>
      </c>
      <c r="DT152" s="192" t="n">
        <v>47000</v>
      </c>
      <c r="DU152" s="192" t="n">
        <v>42700</v>
      </c>
      <c r="DV152" s="192" t="n">
        <v>38400</v>
      </c>
      <c r="DW152" s="192" t="n">
        <v>34900</v>
      </c>
      <c r="DX152" s="192" t="n">
        <v>31800</v>
      </c>
      <c r="DY152" s="192" t="n">
        <v>28400</v>
      </c>
      <c r="DZ152" s="192" t="n">
        <v>25100</v>
      </c>
      <c r="EA152" s="192" t="n">
        <v>22100</v>
      </c>
      <c r="EB152" s="192" t="n">
        <v>19800</v>
      </c>
      <c r="EC152" s="192" t="n">
        <v>17000</v>
      </c>
      <c r="ED152" s="192" t="n">
        <v>14200</v>
      </c>
      <c r="EE152" s="192" t="n">
        <v>11200</v>
      </c>
      <c r="EF152" s="192" t="n">
        <v>8600</v>
      </c>
      <c r="EG152" s="192" t="n">
        <v>6400</v>
      </c>
      <c r="EH152" s="192" t="n">
        <v>4500</v>
      </c>
      <c r="EI152" s="192" t="n">
        <v>3000</v>
      </c>
      <c r="EJ152" s="192" t="n">
        <v>1700</v>
      </c>
      <c r="EK152" s="192" t="n">
        <v>500</v>
      </c>
      <c r="EL152" s="182" t="n"/>
      <c r="EM152" s="176" t="n"/>
      <c r="EN152" s="176" t="n"/>
      <c r="EO152" s="176" t="n"/>
      <c r="EP152" s="176" t="n"/>
      <c r="EQ152" s="176" t="n"/>
      <c r="ER152" s="176" t="n"/>
      <c r="ES152" s="176" t="n"/>
      <c r="ET152" s="176" t="n"/>
      <c r="EU152" s="176" t="n"/>
      <c r="EV152" s="176" t="n"/>
      <c r="EW152" s="176" t="n"/>
      <c r="EX152" s="176" t="n"/>
      <c r="EY152" s="176" t="n"/>
      <c r="EZ152" s="176" t="n"/>
      <c r="FA152" s="176" t="n"/>
      <c r="FB152" s="176" t="n"/>
      <c r="FC152" s="176" t="n"/>
      <c r="FD152" s="176" t="n"/>
      <c r="FE152" s="176" t="n"/>
      <c r="FF152" s="176" t="n"/>
      <c r="FG152" s="176" t="n"/>
      <c r="FH152" s="176" t="n"/>
      <c r="FI152" s="176" t="n"/>
      <c r="FJ152" s="176" t="n"/>
    </row>
    <row r="153" ht="15" customHeight="1" s="392">
      <c r="A153" s="176" t="n"/>
      <c r="B153" s="180" t="n"/>
      <c r="C153" s="183" t="inlineStr">
        <is>
          <t xml:space="preserve">        Reserves/Accumulated Comprehensive Income/Losses</t>
        </is>
      </c>
      <c r="D153" s="185" t="n"/>
      <c r="E153" s="185" t="n"/>
      <c r="F153" s="185" t="n"/>
      <c r="G153" s="185" t="n"/>
      <c r="H153" s="185" t="n"/>
      <c r="I153" s="185" t="n"/>
      <c r="J153" s="185" t="n"/>
      <c r="K153" s="185" t="n"/>
      <c r="EL153" s="182" t="n"/>
      <c r="EM153" s="176" t="n"/>
      <c r="EN153" s="176" t="n"/>
      <c r="EO153" s="176" t="n"/>
      <c r="EP153" s="176" t="n"/>
      <c r="EQ153" s="176" t="n"/>
      <c r="ER153" s="176" t="n"/>
      <c r="ES153" s="176" t="n"/>
      <c r="ET153" s="176" t="n"/>
      <c r="EU153" s="176" t="n"/>
      <c r="EV153" s="176" t="n"/>
      <c r="EW153" s="176" t="n"/>
      <c r="EX153" s="176" t="n"/>
      <c r="EY153" s="176" t="n"/>
      <c r="EZ153" s="176" t="n"/>
      <c r="FA153" s="176" t="n"/>
      <c r="FB153" s="176" t="n"/>
      <c r="FC153" s="176" t="n"/>
      <c r="FD153" s="176" t="n"/>
      <c r="FE153" s="176" t="n"/>
      <c r="FF153" s="176" t="n"/>
      <c r="FG153" s="176" t="n"/>
      <c r="FH153" s="176" t="n"/>
      <c r="FI153" s="176" t="n"/>
      <c r="FJ153" s="176" t="n"/>
    </row>
    <row r="154" ht="15" customHeight="1" s="392">
      <c r="A154" s="176" t="n"/>
      <c r="B154" s="180" t="n"/>
      <c r="C154" s="183" t="inlineStr">
        <is>
          <t xml:space="preserve">            Other Reserves/Accum. Comp. Inc</t>
        </is>
      </c>
      <c r="D154" s="190">
        <f>IF(COUNT(M154:EK154)&gt;0,MEDIAN(M154:EK154),"")</f>
        <v/>
      </c>
      <c r="E154" s="190">
        <f>IF(COUNT(M154:EK154)&gt;0,AVERAGE(M154:EK154),"")</f>
        <v/>
      </c>
      <c r="F154" s="190">
        <f>IF(COUNT(M154:EK154)&gt;0,MIN(M154:EK154),"")</f>
        <v/>
      </c>
      <c r="G154" s="190">
        <f>IF(COUNT(M154:EK154)&gt;0,MAX(M154:EK154),"")</f>
        <v/>
      </c>
      <c r="H154" s="190">
        <f>IF(COUNT(M154:EK154)&gt;0,QUARTILE(M154:EK154,1),"")</f>
        <v/>
      </c>
      <c r="I154" s="190">
        <f>IF(COUNT(M154:EK154)&gt;0,QUARTILE(M154:EK154,3),"")</f>
        <v/>
      </c>
      <c r="J154" s="190">
        <f>IF(COUNT(M154:EK154)&gt;1,STDEV(M154:EK154),"")</f>
        <v/>
      </c>
      <c r="K154" s="191">
        <f>IF(COUNT(M154:EK154)&gt;1,STDEV(M154:EK154)/AVERAGE(M154:EK154),"")</f>
        <v/>
      </c>
      <c r="M154" s="192" t="n">
        <v>-109778</v>
      </c>
      <c r="N154" s="192" t="n">
        <v>-87207</v>
      </c>
      <c r="O154" s="192" t="n">
        <v>-87291</v>
      </c>
      <c r="P154" s="192" t="n">
        <v>-120076</v>
      </c>
      <c r="Q154" s="192" t="n">
        <v>-120283</v>
      </c>
      <c r="R154" s="192" t="n">
        <v>-113300</v>
      </c>
      <c r="S154" s="192" t="n">
        <v>-171560</v>
      </c>
      <c r="T154" s="192" t="n">
        <v>-144739</v>
      </c>
      <c r="U154" s="192" t="n">
        <v>-142972</v>
      </c>
      <c r="V154" s="192" t="n"/>
      <c r="W154" s="192" t="n">
        <v>-145279</v>
      </c>
      <c r="X154" s="192" t="n">
        <v>-177359</v>
      </c>
      <c r="Y154" s="192" t="n">
        <v>-141006</v>
      </c>
      <c r="Z154" s="192" t="n">
        <v>-152459</v>
      </c>
      <c r="AA154" s="192" t="n">
        <v>-156507</v>
      </c>
      <c r="AB154" s="192" t="n">
        <v>-198936</v>
      </c>
      <c r="AC154" s="192" t="n">
        <v>-169365</v>
      </c>
      <c r="AD154" s="192" t="n">
        <v>-152596</v>
      </c>
      <c r="AE154" s="192" t="n">
        <v>-123502</v>
      </c>
      <c r="AF154" s="192" t="n">
        <v>-111378</v>
      </c>
      <c r="AG154" s="192" t="n">
        <v>-100860</v>
      </c>
      <c r="AH154" s="192" t="n">
        <v>-101664</v>
      </c>
      <c r="AI154" s="192" t="n">
        <v>-106720</v>
      </c>
      <c r="AJ154" s="192" t="n">
        <v>-128494</v>
      </c>
      <c r="AK154" s="192" t="n">
        <v>-121088</v>
      </c>
      <c r="AL154" s="192" t="n">
        <v>-138923</v>
      </c>
      <c r="AM154" s="192" t="n">
        <v>-119870</v>
      </c>
      <c r="AN154" s="192" t="n">
        <v>-119290</v>
      </c>
      <c r="AO154" s="192" t="n">
        <v>-132529</v>
      </c>
      <c r="AP154" s="192" t="n">
        <v>-113191</v>
      </c>
      <c r="AQ154" s="192" t="n">
        <v>-107223</v>
      </c>
      <c r="AR154" s="192" t="n">
        <v>-115646</v>
      </c>
      <c r="AS154" s="192" t="n">
        <v>-107928</v>
      </c>
      <c r="AT154" s="192" t="n">
        <v>-90412</v>
      </c>
      <c r="AU154" s="192" t="n">
        <v>-78913</v>
      </c>
      <c r="AV154" s="192" t="n">
        <v>-102156</v>
      </c>
      <c r="AW154" s="192" t="n">
        <v>-100676</v>
      </c>
      <c r="AX154" s="192" t="n">
        <v>-114268</v>
      </c>
      <c r="AY154" s="192" t="n">
        <v>-119549</v>
      </c>
      <c r="AZ154" s="192" t="n">
        <v>-127969</v>
      </c>
      <c r="BA154" s="192" t="n">
        <v>-109194</v>
      </c>
      <c r="BB154" s="192" t="n">
        <v>-83791</v>
      </c>
      <c r="BC154" s="192" t="n">
        <v>-103071</v>
      </c>
      <c r="BD154" s="192" t="n">
        <v>-74740</v>
      </c>
      <c r="BE154" s="192" t="n">
        <v>-68793</v>
      </c>
      <c r="BF154" s="192" t="n">
        <v>-66594</v>
      </c>
      <c r="BG154" s="192" t="n">
        <v>-66525</v>
      </c>
      <c r="BH154" s="192" t="n">
        <v>-43936</v>
      </c>
      <c r="BI154" s="192" t="n">
        <v>-20060</v>
      </c>
      <c r="BJ154" s="192" t="n">
        <v>-21829</v>
      </c>
      <c r="BK154" s="192" t="n">
        <v>-31718</v>
      </c>
      <c r="BL154" s="192" t="n">
        <v>-32680</v>
      </c>
      <c r="BM154" s="192" t="n">
        <v>-47161</v>
      </c>
      <c r="BN154" s="192" t="n">
        <v>-37078</v>
      </c>
      <c r="BO154" s="192" t="n">
        <v>-32270</v>
      </c>
      <c r="BP154" s="192" t="n"/>
      <c r="BQ154" s="192" t="n">
        <v>-38043</v>
      </c>
      <c r="BR154" s="192" t="n"/>
      <c r="BS154" s="192" t="n"/>
      <c r="BT154" s="192" t="n"/>
      <c r="BU154" s="192" t="n"/>
      <c r="BV154" s="192" t="n"/>
      <c r="BW154" s="192" t="n"/>
      <c r="BX154" s="192" t="n"/>
      <c r="BY154" s="192" t="n"/>
      <c r="BZ154" s="192" t="n"/>
      <c r="CA154" s="192" t="n"/>
      <c r="CB154" s="192" t="n"/>
      <c r="CC154" s="192" t="n"/>
      <c r="CD154" s="192" t="n"/>
      <c r="CE154" s="192" t="n"/>
      <c r="CF154" s="192" t="n"/>
      <c r="CG154" s="192" t="n"/>
      <c r="CH154" s="192" t="n"/>
      <c r="CI154" s="192" t="n"/>
      <c r="CJ154" s="192" t="n"/>
      <c r="CK154" s="192" t="n"/>
      <c r="CL154" s="192" t="n"/>
      <c r="CM154" s="192" t="n"/>
      <c r="CN154" s="192" t="n"/>
      <c r="CO154" s="192" t="n"/>
      <c r="CP154" s="192" t="n"/>
      <c r="CQ154" s="192" t="n"/>
      <c r="CR154" s="192" t="n"/>
      <c r="CS154" s="192" t="n"/>
      <c r="CT154" s="192" t="n"/>
      <c r="CU154" s="192" t="n"/>
      <c r="CV154" s="192" t="n"/>
      <c r="CW154" s="192" t="n"/>
      <c r="CX154" s="192" t="n"/>
      <c r="CY154" s="192" t="n"/>
      <c r="CZ154" s="192" t="n"/>
      <c r="DA154" s="192" t="n"/>
      <c r="DB154" s="192" t="n"/>
      <c r="DC154" s="192" t="n"/>
      <c r="DD154" s="192" t="n"/>
      <c r="DE154" s="192" t="n"/>
      <c r="DF154" s="192" t="n"/>
      <c r="DG154" s="192" t="n"/>
      <c r="DH154" s="192" t="n"/>
      <c r="DI154" s="192" t="n"/>
      <c r="DJ154" s="192" t="n"/>
      <c r="DK154" s="192" t="n"/>
      <c r="DL154" s="192" t="n"/>
      <c r="DM154" s="192" t="n"/>
      <c r="DN154" s="192" t="n"/>
      <c r="DO154" s="192" t="n"/>
      <c r="DP154" s="192" t="n"/>
      <c r="DQ154" s="192" t="n"/>
      <c r="DR154" s="192" t="n"/>
      <c r="DS154" s="192" t="n"/>
      <c r="DT154" s="192" t="n"/>
      <c r="DU154" s="192" t="n"/>
      <c r="DV154" s="192" t="n"/>
      <c r="DW154" s="192" t="n"/>
      <c r="DX154" s="192" t="n"/>
      <c r="DY154" s="192" t="n"/>
      <c r="DZ154" s="192" t="n"/>
      <c r="EA154" s="192" t="n"/>
      <c r="EB154" s="192" t="n"/>
      <c r="EC154" s="192" t="n"/>
      <c r="ED154" s="192" t="n"/>
      <c r="EE154" s="192" t="n"/>
      <c r="EF154" s="192" t="n"/>
      <c r="EG154" s="192" t="n"/>
      <c r="EH154" s="192" t="n"/>
      <c r="EI154" s="192" t="n"/>
      <c r="EJ154" s="192" t="n"/>
      <c r="EK154" s="192" t="n"/>
      <c r="EL154" s="182" t="n"/>
      <c r="EM154" s="176" t="n"/>
      <c r="EN154" s="176" t="n"/>
      <c r="EO154" s="176" t="n"/>
      <c r="EP154" s="176" t="n"/>
      <c r="EQ154" s="176" t="n"/>
      <c r="ER154" s="176" t="n"/>
      <c r="ES154" s="176" t="n"/>
      <c r="ET154" s="176" t="n"/>
      <c r="EU154" s="176" t="n"/>
      <c r="EV154" s="176" t="n"/>
      <c r="EW154" s="176" t="n"/>
      <c r="EX154" s="176" t="n"/>
      <c r="EY154" s="176" t="n"/>
      <c r="EZ154" s="176" t="n"/>
      <c r="FA154" s="176" t="n"/>
      <c r="FB154" s="176" t="n"/>
      <c r="FC154" s="176" t="n"/>
      <c r="FD154" s="176" t="n"/>
      <c r="FE154" s="176" t="n"/>
      <c r="FF154" s="176" t="n"/>
      <c r="FG154" s="176" t="n"/>
      <c r="FH154" s="176" t="n"/>
      <c r="FI154" s="176" t="n"/>
      <c r="FJ154" s="176" t="n"/>
    </row>
    <row r="155" ht="15" customHeight="1" s="392">
      <c r="A155" s="176" t="n"/>
      <c r="B155" s="180" t="n"/>
      <c r="C155" s="183" t="inlineStr">
        <is>
          <t xml:space="preserve">            Cumulative Foreign Exchange Translation Reserves/Accum. Comp. Inc</t>
        </is>
      </c>
      <c r="D155" s="190">
        <f>IF(COUNT(M155:EK155)&gt;0,MEDIAN(M155:EK155),"")</f>
        <v/>
      </c>
      <c r="E155" s="190">
        <f>IF(COUNT(M155:EK155)&gt;0,AVERAGE(M155:EK155),"")</f>
        <v/>
      </c>
      <c r="F155" s="190">
        <f>IF(COUNT(M155:EK155)&gt;0,MIN(M155:EK155),"")</f>
        <v/>
      </c>
      <c r="G155" s="190">
        <f>IF(COUNT(M155:EK155)&gt;0,MAX(M155:EK155),"")</f>
        <v/>
      </c>
      <c r="H155" s="190">
        <f>IF(COUNT(M155:EK155)&gt;0,QUARTILE(M155:EK155,1),"")</f>
        <v/>
      </c>
      <c r="I155" s="190">
        <f>IF(COUNT(M155:EK155)&gt;0,QUARTILE(M155:EK155,3),"")</f>
        <v/>
      </c>
      <c r="J155" s="190">
        <f>IF(COUNT(M155:EK155)&gt;1,STDEV(M155:EK155),"")</f>
        <v/>
      </c>
      <c r="K155" s="191">
        <f>IF(COUNT(M155:EK155)&gt;1,STDEV(M155:EK155)/AVERAGE(M155:EK155),"")</f>
        <v/>
      </c>
      <c r="M155" s="192" t="n"/>
      <c r="N155" s="192" t="n"/>
      <c r="O155" s="192" t="n"/>
      <c r="P155" s="192" t="n"/>
      <c r="Q155" s="192" t="n"/>
      <c r="R155" s="192" t="n"/>
      <c r="S155" s="192" t="n"/>
      <c r="T155" s="192" t="n"/>
      <c r="U155" s="192" t="n"/>
      <c r="V155" s="192" t="n">
        <v>-156807</v>
      </c>
      <c r="W155" s="192" t="n"/>
      <c r="X155" s="192" t="n"/>
      <c r="Y155" s="192" t="n"/>
      <c r="Z155" s="192" t="n"/>
      <c r="AA155" s="192" t="n"/>
      <c r="AB155" s="192" t="n"/>
      <c r="AC155" s="192" t="n"/>
      <c r="AD155" s="192" t="n"/>
      <c r="AE155" s="192" t="n"/>
      <c r="AF155" s="192" t="n"/>
      <c r="AG155" s="192" t="n"/>
      <c r="AH155" s="192" t="n"/>
      <c r="AI155" s="192" t="n"/>
      <c r="AJ155" s="192" t="n"/>
      <c r="AK155" s="192" t="n"/>
      <c r="AL155" s="192" t="n"/>
      <c r="AM155" s="192" t="n"/>
      <c r="AN155" s="192" t="n"/>
      <c r="AO155" s="192" t="n"/>
      <c r="AP155" s="192" t="n"/>
      <c r="AQ155" s="192" t="n"/>
      <c r="AR155" s="192" t="n"/>
      <c r="AS155" s="192" t="n"/>
      <c r="AT155" s="192" t="n"/>
      <c r="AU155" s="192" t="n"/>
      <c r="AV155" s="192" t="n"/>
      <c r="AW155" s="192" t="n"/>
      <c r="AX155" s="192" t="n"/>
      <c r="AY155" s="192" t="n"/>
      <c r="AZ155" s="192" t="n"/>
      <c r="BA155" s="192" t="n"/>
      <c r="BB155" s="192" t="n"/>
      <c r="BC155" s="192" t="n"/>
      <c r="BD155" s="192" t="n"/>
      <c r="BE155" s="192" t="n"/>
      <c r="BF155" s="192" t="n"/>
      <c r="BG155" s="192" t="n"/>
      <c r="BH155" s="192" t="n"/>
      <c r="BI155" s="192" t="n"/>
      <c r="BJ155" s="192" t="n"/>
      <c r="BK155" s="192" t="n"/>
      <c r="BL155" s="192" t="n"/>
      <c r="BM155" s="192" t="n"/>
      <c r="BN155" s="192" t="n"/>
      <c r="BO155" s="192" t="n"/>
      <c r="BP155" s="192" t="n"/>
      <c r="BQ155" s="192" t="n"/>
      <c r="BR155" s="192" t="n"/>
      <c r="BS155" s="192" t="n"/>
      <c r="BT155" s="192" t="n"/>
      <c r="BU155" s="192" t="n"/>
      <c r="BV155" s="192" t="n"/>
      <c r="BW155" s="192" t="n"/>
      <c r="BX155" s="192" t="n"/>
      <c r="BY155" s="192" t="n"/>
      <c r="BZ155" s="192" t="n"/>
      <c r="CA155" s="192" t="n"/>
      <c r="CB155" s="192" t="n"/>
      <c r="CC155" s="192" t="n"/>
      <c r="CD155" s="192" t="n"/>
      <c r="CE155" s="192" t="n"/>
      <c r="CF155" s="192" t="n"/>
      <c r="CG155" s="192" t="n"/>
      <c r="CH155" s="192" t="n"/>
      <c r="CI155" s="192" t="n"/>
      <c r="CJ155" s="192" t="n"/>
      <c r="CK155" s="192" t="n"/>
      <c r="CL155" s="192" t="n"/>
      <c r="CM155" s="192" t="n"/>
      <c r="CN155" s="192" t="n"/>
      <c r="CO155" s="192" t="n"/>
      <c r="CP155" s="192" t="n"/>
      <c r="CQ155" s="192" t="n"/>
      <c r="CR155" s="192" t="n"/>
      <c r="CS155" s="192" t="n"/>
      <c r="CT155" s="192" t="n"/>
      <c r="CU155" s="192" t="n"/>
      <c r="CV155" s="192" t="n"/>
      <c r="CW155" s="192" t="n"/>
      <c r="CX155" s="192" t="n"/>
      <c r="CY155" s="192" t="n"/>
      <c r="CZ155" s="192" t="n"/>
      <c r="DA155" s="192" t="n"/>
      <c r="DB155" s="192" t="n"/>
      <c r="DC155" s="192" t="n"/>
      <c r="DD155" s="192" t="n"/>
      <c r="DE155" s="192" t="n"/>
      <c r="DF155" s="192" t="n"/>
      <c r="DG155" s="192" t="n"/>
      <c r="DH155" s="192" t="n"/>
      <c r="DI155" s="192" t="n"/>
      <c r="DJ155" s="192" t="n"/>
      <c r="DK155" s="192" t="n"/>
      <c r="DL155" s="192" t="n"/>
      <c r="DM155" s="192" t="n"/>
      <c r="DN155" s="192" t="n"/>
      <c r="DO155" s="192" t="n"/>
      <c r="DP155" s="192" t="n"/>
      <c r="DQ155" s="192" t="n"/>
      <c r="DR155" s="192" t="n"/>
      <c r="DS155" s="192" t="n"/>
      <c r="DT155" s="192" t="n"/>
      <c r="DU155" s="192" t="n"/>
      <c r="DV155" s="192" t="n"/>
      <c r="DW155" s="192" t="n"/>
      <c r="DX155" s="192" t="n"/>
      <c r="DY155" s="192" t="n"/>
      <c r="DZ155" s="192" t="n"/>
      <c r="EA155" s="192" t="n"/>
      <c r="EB155" s="192" t="n"/>
      <c r="EC155" s="192" t="n"/>
      <c r="ED155" s="192" t="n"/>
      <c r="EE155" s="192" t="n"/>
      <c r="EF155" s="192" t="n"/>
      <c r="EG155" s="192" t="n"/>
      <c r="EH155" s="192" t="n"/>
      <c r="EI155" s="192" t="n"/>
      <c r="EJ155" s="192" t="n"/>
      <c r="EK155" s="192" t="n"/>
      <c r="EL155" s="182" t="n"/>
      <c r="EM155" s="176" t="n"/>
      <c r="EN155" s="176" t="n"/>
      <c r="EO155" s="176" t="n"/>
      <c r="EP155" s="176" t="n"/>
      <c r="EQ155" s="176" t="n"/>
      <c r="ER155" s="176" t="n"/>
      <c r="ES155" s="176" t="n"/>
      <c r="ET155" s="176" t="n"/>
      <c r="EU155" s="176" t="n"/>
      <c r="EV155" s="176" t="n"/>
      <c r="EW155" s="176" t="n"/>
      <c r="EX155" s="176" t="n"/>
      <c r="EY155" s="176" t="n"/>
      <c r="EZ155" s="176" t="n"/>
      <c r="FA155" s="176" t="n"/>
      <c r="FB155" s="176" t="n"/>
      <c r="FC155" s="176" t="n"/>
      <c r="FD155" s="176" t="n"/>
      <c r="FE155" s="176" t="n"/>
      <c r="FF155" s="176" t="n"/>
      <c r="FG155" s="176" t="n"/>
      <c r="FH155" s="176" t="n"/>
      <c r="FI155" s="176" t="n"/>
      <c r="FJ155" s="176" t="n"/>
    </row>
    <row r="156" ht="15" customHeight="1" s="392">
      <c r="A156" s="176" t="n"/>
      <c r="B156" s="180" t="n"/>
      <c r="C156" s="187" t="inlineStr">
        <is>
          <t xml:space="preserve">        Total Reserves/Accumulated Comprehensive Income/Losses</t>
        </is>
      </c>
      <c r="D156" s="193">
        <f>IF(COUNT(M156:EK156)&gt;0,MEDIAN(M156:EK156),"")</f>
        <v/>
      </c>
      <c r="E156" s="193">
        <f>IF(COUNT(M156:EK156)&gt;0,AVERAGE(M156:EK156),"")</f>
        <v/>
      </c>
      <c r="F156" s="193">
        <f>IF(COUNT(M156:EK156)&gt;0,MIN(M156:EK156),"")</f>
        <v/>
      </c>
      <c r="G156" s="193">
        <f>IF(COUNT(M156:EK156)&gt;0,MAX(M156:EK156),"")</f>
        <v/>
      </c>
      <c r="H156" s="193">
        <f>IF(COUNT(M156:EK156)&gt;0,QUARTILE(M156:EK156,1),"")</f>
        <v/>
      </c>
      <c r="I156" s="193">
        <f>IF(COUNT(M156:EK156)&gt;0,QUARTILE(M156:EK156,3),"")</f>
        <v/>
      </c>
      <c r="J156" s="193">
        <f>IF(COUNT(M156:EK156)&gt;1,STDEV(M156:EK156),"")</f>
        <v/>
      </c>
      <c r="K156" s="194">
        <f>IF(COUNT(M156:EK156)&gt;1,STDEV(M156:EK156)/AVERAGE(M156:EK156),"")</f>
        <v/>
      </c>
      <c r="L156" s="195" t="n"/>
      <c r="M156" s="196" t="n">
        <v>-109778</v>
      </c>
      <c r="N156" s="196" t="n">
        <v>-87207</v>
      </c>
      <c r="O156" s="196" t="n">
        <v>-87291</v>
      </c>
      <c r="P156" s="196" t="n">
        <v>-120076</v>
      </c>
      <c r="Q156" s="196" t="n">
        <v>-120283</v>
      </c>
      <c r="R156" s="196" t="n">
        <v>-113300</v>
      </c>
      <c r="S156" s="196" t="n">
        <v>-171560</v>
      </c>
      <c r="T156" s="196" t="n">
        <v>-144739</v>
      </c>
      <c r="U156" s="196" t="n">
        <v>-142972</v>
      </c>
      <c r="V156" s="196" t="n">
        <v>-156807</v>
      </c>
      <c r="W156" s="196" t="n">
        <v>-145279</v>
      </c>
      <c r="X156" s="196" t="n">
        <v>-177359</v>
      </c>
      <c r="Y156" s="196" t="n">
        <v>-141006</v>
      </c>
      <c r="Z156" s="196" t="n">
        <v>-152459</v>
      </c>
      <c r="AA156" s="196" t="n">
        <v>-156507</v>
      </c>
      <c r="AB156" s="196" t="n">
        <v>-198936</v>
      </c>
      <c r="AC156" s="196" t="n">
        <v>-169365</v>
      </c>
      <c r="AD156" s="196" t="n">
        <v>-152596</v>
      </c>
      <c r="AE156" s="196" t="n">
        <v>-123502</v>
      </c>
      <c r="AF156" s="196" t="n">
        <v>-111378</v>
      </c>
      <c r="AG156" s="196" t="n">
        <v>-100860</v>
      </c>
      <c r="AH156" s="196" t="n">
        <v>-101664</v>
      </c>
      <c r="AI156" s="196" t="n">
        <v>-106720</v>
      </c>
      <c r="AJ156" s="196" t="n">
        <v>-128494</v>
      </c>
      <c r="AK156" s="196" t="n">
        <v>-121088</v>
      </c>
      <c r="AL156" s="196" t="n">
        <v>-138923</v>
      </c>
      <c r="AM156" s="196" t="n">
        <v>-119870</v>
      </c>
      <c r="AN156" s="196" t="n">
        <v>-119290</v>
      </c>
      <c r="AO156" s="196" t="n">
        <v>-132529</v>
      </c>
      <c r="AP156" s="196" t="n">
        <v>-113191</v>
      </c>
      <c r="AQ156" s="196" t="n">
        <v>-107223</v>
      </c>
      <c r="AR156" s="196" t="n">
        <v>-115646</v>
      </c>
      <c r="AS156" s="196" t="n">
        <v>-107928</v>
      </c>
      <c r="AT156" s="196" t="n">
        <v>-90412</v>
      </c>
      <c r="AU156" s="196" t="n">
        <v>-78913</v>
      </c>
      <c r="AV156" s="196" t="n">
        <v>-102156</v>
      </c>
      <c r="AW156" s="196" t="n">
        <v>-100676</v>
      </c>
      <c r="AX156" s="196" t="n">
        <v>-114268</v>
      </c>
      <c r="AY156" s="196" t="n">
        <v>-119549</v>
      </c>
      <c r="AZ156" s="196" t="n">
        <v>-127969</v>
      </c>
      <c r="BA156" s="196" t="n">
        <v>-109194</v>
      </c>
      <c r="BB156" s="196" t="n">
        <v>-83791</v>
      </c>
      <c r="BC156" s="196" t="n">
        <v>-103071</v>
      </c>
      <c r="BD156" s="196" t="n">
        <v>-74740</v>
      </c>
      <c r="BE156" s="196" t="n">
        <v>-68793</v>
      </c>
      <c r="BF156" s="196" t="n">
        <v>-66594</v>
      </c>
      <c r="BG156" s="196" t="n">
        <v>-66525</v>
      </c>
      <c r="BH156" s="196" t="n">
        <v>-43936</v>
      </c>
      <c r="BI156" s="196" t="n">
        <v>-20060</v>
      </c>
      <c r="BJ156" s="196" t="n">
        <v>-21829</v>
      </c>
      <c r="BK156" s="196" t="n">
        <v>-31718</v>
      </c>
      <c r="BL156" s="196" t="n">
        <v>-32680</v>
      </c>
      <c r="BM156" s="196" t="n">
        <v>-47161</v>
      </c>
      <c r="BN156" s="196" t="n">
        <v>-37078</v>
      </c>
      <c r="BO156" s="196" t="n">
        <v>-32270</v>
      </c>
      <c r="BP156" s="196" t="n">
        <v>-30705</v>
      </c>
      <c r="BQ156" s="196" t="n">
        <v>-38043</v>
      </c>
      <c r="BR156" s="196" t="n">
        <v>-27011</v>
      </c>
      <c r="BS156" s="196" t="n">
        <v>-35912</v>
      </c>
      <c r="BT156" s="196" t="n">
        <v>-27339</v>
      </c>
      <c r="BU156" s="196" t="n">
        <v>-23225</v>
      </c>
      <c r="BV156" s="196" t="n">
        <v>-20168</v>
      </c>
      <c r="BW156" s="196" t="n">
        <v>-28483</v>
      </c>
      <c r="BX156" s="196" t="n">
        <v>-32741</v>
      </c>
      <c r="BY156" s="196" t="n">
        <v>-35820</v>
      </c>
      <c r="BZ156" s="196" t="n">
        <v>-29939</v>
      </c>
      <c r="CA156" s="196" t="n">
        <v>-25542</v>
      </c>
      <c r="CB156" s="196" t="n">
        <v>-27082</v>
      </c>
      <c r="CC156" s="196" t="n">
        <v>-41381</v>
      </c>
      <c r="CD156" s="196" t="n">
        <v>-44736</v>
      </c>
      <c r="CE156" s="196" t="n">
        <v>-30460</v>
      </c>
      <c r="CF156" s="196" t="n">
        <v>833</v>
      </c>
      <c r="CG156" s="196" t="n">
        <v>1074</v>
      </c>
      <c r="CH156" s="196" t="n">
        <v>1600</v>
      </c>
      <c r="CI156" s="196" t="n">
        <v>8581</v>
      </c>
      <c r="CJ156" s="196" t="n">
        <v>4447</v>
      </c>
      <c r="CK156" s="196" t="n">
        <v>464</v>
      </c>
      <c r="CL156" s="196" t="n">
        <v>-105</v>
      </c>
      <c r="CM156" s="196" t="n">
        <v>322</v>
      </c>
      <c r="CN156" s="196" t="n">
        <v>-37</v>
      </c>
      <c r="CO156" s="196" t="n">
        <v>280</v>
      </c>
      <c r="CP156" s="196" t="n">
        <v>382</v>
      </c>
      <c r="CQ156" s="196" t="n">
        <v>368</v>
      </c>
      <c r="CR156" s="196" t="n">
        <v>354</v>
      </c>
      <c r="CS156" s="196" t="n">
        <v>308</v>
      </c>
      <c r="CT156" s="196" t="n">
        <v>252.5</v>
      </c>
      <c r="CU156" s="196" t="n">
        <v>271</v>
      </c>
      <c r="CV156" s="196" t="n">
        <v>95</v>
      </c>
      <c r="CW156" s="196" t="n">
        <v>-28.3</v>
      </c>
      <c r="CX156" s="196" t="n">
        <v>-14</v>
      </c>
      <c r="CY156" s="196" t="n">
        <v>64.59999999999999</v>
      </c>
      <c r="CZ156" s="196" t="n"/>
      <c r="DA156" s="196" t="n"/>
      <c r="DB156" s="196" t="n"/>
      <c r="DC156" s="196" t="n">
        <v>100</v>
      </c>
      <c r="DD156" s="196" t="n"/>
      <c r="DE156" s="196" t="n"/>
      <c r="DF156" s="196" t="n"/>
      <c r="DG156" s="196" t="n"/>
      <c r="DH156" s="196" t="n"/>
      <c r="DI156" s="196" t="n"/>
      <c r="DJ156" s="196" t="n"/>
      <c r="DK156" s="196" t="n"/>
      <c r="DL156" s="196" t="n"/>
      <c r="DM156" s="196" t="n"/>
      <c r="DN156" s="196" t="n"/>
      <c r="DO156" s="196" t="n"/>
      <c r="DP156" s="196" t="n"/>
      <c r="DQ156" s="196" t="n"/>
      <c r="DR156" s="196" t="n"/>
      <c r="DS156" s="196" t="n"/>
      <c r="DT156" s="196" t="n"/>
      <c r="DU156" s="196" t="n"/>
      <c r="DV156" s="196" t="n"/>
      <c r="DW156" s="196" t="n"/>
      <c r="DX156" s="196" t="n"/>
      <c r="DY156" s="196" t="n"/>
      <c r="DZ156" s="196" t="n"/>
      <c r="EA156" s="196" t="n"/>
      <c r="EB156" s="196" t="n"/>
      <c r="EC156" s="196" t="n"/>
      <c r="ED156" s="196" t="n"/>
      <c r="EE156" s="196" t="n"/>
      <c r="EF156" s="196" t="n"/>
      <c r="EG156" s="196" t="n"/>
      <c r="EH156" s="196" t="n"/>
      <c r="EI156" s="196" t="n"/>
      <c r="EJ156" s="196" t="n"/>
      <c r="EK156" s="196" t="n"/>
      <c r="EL156" s="182" t="n"/>
      <c r="EM156" s="176" t="n"/>
      <c r="EN156" s="176" t="n"/>
      <c r="EO156" s="176" t="n"/>
      <c r="EP156" s="176" t="n"/>
      <c r="EQ156" s="176" t="n"/>
      <c r="ER156" s="176" t="n"/>
      <c r="ES156" s="176" t="n"/>
      <c r="ET156" s="176" t="n"/>
      <c r="EU156" s="176" t="n"/>
      <c r="EV156" s="176" t="n"/>
      <c r="EW156" s="176" t="n"/>
      <c r="EX156" s="176" t="n"/>
      <c r="EY156" s="176" t="n"/>
      <c r="EZ156" s="176" t="n"/>
      <c r="FA156" s="176" t="n"/>
      <c r="FB156" s="176" t="n"/>
      <c r="FC156" s="176" t="n"/>
      <c r="FD156" s="176" t="n"/>
      <c r="FE156" s="176" t="n"/>
      <c r="FF156" s="176" t="n"/>
      <c r="FG156" s="176" t="n"/>
      <c r="FH156" s="176" t="n"/>
      <c r="FI156" s="176" t="n"/>
      <c r="FJ156" s="176" t="n"/>
    </row>
    <row r="157" ht="15" customHeight="1" s="392">
      <c r="A157" s="176" t="n"/>
      <c r="B157" s="180" t="n"/>
      <c r="C157" s="183" t="inlineStr">
        <is>
          <t xml:space="preserve">        Other Equity Interest</t>
        </is>
      </c>
      <c r="D157" s="190">
        <f>IF(COUNT(M157:EK157)&gt;0,MEDIAN(M157:EK157),"")</f>
        <v/>
      </c>
      <c r="E157" s="190">
        <f>IF(COUNT(M157:EK157)&gt;0,AVERAGE(M157:EK157),"")</f>
        <v/>
      </c>
      <c r="F157" s="190">
        <f>IF(COUNT(M157:EK157)&gt;0,MIN(M157:EK157),"")</f>
        <v/>
      </c>
      <c r="G157" s="190">
        <f>IF(COUNT(M157:EK157)&gt;0,MAX(M157:EK157),"")</f>
        <v/>
      </c>
      <c r="H157" s="190">
        <f>IF(COUNT(M157:EK157)&gt;0,QUARTILE(M157:EK157,1),"")</f>
        <v/>
      </c>
      <c r="I157" s="190">
        <f>IF(COUNT(M157:EK157)&gt;0,QUARTILE(M157:EK157,3),"")</f>
        <v/>
      </c>
      <c r="J157" s="190">
        <f>IF(COUNT(M157:EK157)&gt;1,STDEV(M157:EK157),"")</f>
        <v/>
      </c>
      <c r="K157" s="191">
        <f>IF(COUNT(M157:EK157)&gt;1,STDEV(M157:EK157)/AVERAGE(M157:EK157),"")</f>
        <v/>
      </c>
      <c r="M157" s="192" t="n"/>
      <c r="N157" s="192" t="n"/>
      <c r="O157" s="192" t="n"/>
      <c r="P157" s="192" t="n"/>
      <c r="Q157" s="192" t="n"/>
      <c r="R157" s="192" t="n"/>
      <c r="S157" s="192" t="n"/>
      <c r="T157" s="192" t="n"/>
      <c r="U157" s="192" t="n"/>
      <c r="V157" s="192" t="n"/>
      <c r="W157" s="192" t="n"/>
      <c r="X157" s="192" t="n"/>
      <c r="Y157" s="192" t="n"/>
      <c r="Z157" s="192" t="n"/>
      <c r="AA157" s="192" t="n"/>
      <c r="AB157" s="192" t="n"/>
      <c r="AC157" s="192" t="n"/>
      <c r="AD157" s="192" t="n"/>
      <c r="AE157" s="192" t="n"/>
      <c r="AF157" s="192" t="n"/>
      <c r="AG157" s="192" t="n"/>
      <c r="AH157" s="192" t="n"/>
      <c r="AI157" s="192" t="n"/>
      <c r="AJ157" s="192" t="n"/>
      <c r="AK157" s="192" t="n"/>
      <c r="AL157" s="192" t="n"/>
      <c r="AM157" s="192" t="n"/>
      <c r="AN157" s="192" t="n"/>
      <c r="AO157" s="192" t="n"/>
      <c r="AP157" s="192" t="n"/>
      <c r="AQ157" s="192" t="n"/>
      <c r="AR157" s="192" t="n"/>
      <c r="AS157" s="192" t="n"/>
      <c r="AT157" s="192" t="n"/>
      <c r="AU157" s="192" t="n"/>
      <c r="AV157" s="192" t="n"/>
      <c r="AW157" s="192" t="n"/>
      <c r="AX157" s="192" t="n"/>
      <c r="AY157" s="192" t="n"/>
      <c r="AZ157" s="192" t="n"/>
      <c r="BA157" s="192" t="n"/>
      <c r="BB157" s="192" t="n"/>
      <c r="BC157" s="192" t="n"/>
      <c r="BD157" s="192" t="n"/>
      <c r="BE157" s="192" t="n"/>
      <c r="BF157" s="192" t="n"/>
      <c r="BG157" s="192" t="n"/>
      <c r="BH157" s="192" t="n"/>
      <c r="BI157" s="192" t="n"/>
      <c r="BJ157" s="192" t="n"/>
      <c r="BK157" s="192" t="n"/>
      <c r="BL157" s="192" t="n"/>
      <c r="BM157" s="192" t="n"/>
      <c r="BN157" s="192" t="n"/>
      <c r="BO157" s="192" t="n"/>
      <c r="BP157" s="192" t="n"/>
      <c r="BQ157" s="192" t="n"/>
      <c r="BR157" s="192" t="n"/>
      <c r="BS157" s="192" t="n"/>
      <c r="BT157" s="192" t="n"/>
      <c r="BU157" s="192" t="n"/>
      <c r="BV157" s="192" t="n"/>
      <c r="BW157" s="192" t="n"/>
      <c r="BX157" s="192" t="n"/>
      <c r="BY157" s="192" t="n"/>
      <c r="BZ157" s="192" t="n"/>
      <c r="CA157" s="192" t="n"/>
      <c r="CB157" s="192" t="n"/>
      <c r="CC157" s="192" t="n"/>
      <c r="CD157" s="192" t="n"/>
      <c r="CE157" s="192" t="n"/>
      <c r="CF157" s="192" t="n"/>
      <c r="CG157" s="192" t="n"/>
      <c r="CH157" s="192" t="n"/>
      <c r="CI157" s="192" t="n"/>
      <c r="CJ157" s="192" t="n"/>
      <c r="CK157" s="192" t="n"/>
      <c r="CL157" s="192" t="n"/>
      <c r="CM157" s="192" t="n"/>
      <c r="CN157" s="192" t="n"/>
      <c r="CO157" s="192" t="n"/>
      <c r="CP157" s="192" t="n"/>
      <c r="CQ157" s="192" t="n"/>
      <c r="CR157" s="192" t="n"/>
      <c r="CS157" s="192" t="n"/>
      <c r="CT157" s="192" t="n"/>
      <c r="CU157" s="192" t="n"/>
      <c r="CV157" s="192" t="n"/>
      <c r="CW157" s="192" t="n"/>
      <c r="CX157" s="192" t="n"/>
      <c r="CY157" s="192" t="n"/>
      <c r="CZ157" s="192" t="n"/>
      <c r="DA157" s="192" t="n"/>
      <c r="DB157" s="192" t="n"/>
      <c r="DC157" s="192" t="n"/>
      <c r="DD157" s="192" t="n"/>
      <c r="DE157" s="192" t="n"/>
      <c r="DF157" s="192" t="n"/>
      <c r="DG157" s="192" t="n"/>
      <c r="DH157" s="192" t="n"/>
      <c r="DI157" s="192" t="n"/>
      <c r="DJ157" s="192" t="n"/>
      <c r="DK157" s="192" t="n"/>
      <c r="DL157" s="192" t="n"/>
      <c r="DM157" s="192" t="n"/>
      <c r="DN157" s="192" t="n">
        <v>-100</v>
      </c>
      <c r="DO157" s="192" t="n">
        <v>-100</v>
      </c>
      <c r="DP157" s="192" t="n">
        <v>100</v>
      </c>
      <c r="DQ157" s="192" t="n">
        <v>114200</v>
      </c>
      <c r="DR157" s="192" t="n">
        <v>113900</v>
      </c>
      <c r="DS157" s="192" t="n">
        <v>113500</v>
      </c>
      <c r="DT157" s="192" t="n">
        <v>113200</v>
      </c>
      <c r="DU157" s="192" t="n">
        <v>111700</v>
      </c>
      <c r="DV157" s="192" t="n">
        <v>111700</v>
      </c>
      <c r="DW157" s="192" t="n">
        <v>111200</v>
      </c>
      <c r="DX157" s="192" t="n">
        <v>111000</v>
      </c>
      <c r="DY157" s="192" t="n">
        <v>110500</v>
      </c>
      <c r="DZ157" s="192" t="n">
        <v>109500</v>
      </c>
      <c r="EA157" s="192" t="n">
        <v>106600</v>
      </c>
      <c r="EB157" s="192" t="n">
        <v>106400</v>
      </c>
      <c r="EC157" s="192" t="n">
        <v>106100</v>
      </c>
      <c r="ED157" s="192" t="n">
        <v>105800</v>
      </c>
      <c r="EE157" s="192" t="n">
        <v>104600</v>
      </c>
      <c r="EF157" s="192" t="n">
        <v>104500</v>
      </c>
      <c r="EG157" s="192" t="n">
        <v>52900</v>
      </c>
      <c r="EH157" s="192" t="n">
        <v>50700</v>
      </c>
      <c r="EI157" s="192" t="n">
        <v>49300</v>
      </c>
      <c r="EJ157" s="192" t="n">
        <v>47600</v>
      </c>
      <c r="EK157" s="192" t="n">
        <v>46900</v>
      </c>
      <c r="EL157" s="182" t="n"/>
      <c r="EM157" s="176" t="n"/>
      <c r="EN157" s="176" t="n"/>
      <c r="EO157" s="176" t="n"/>
      <c r="EP157" s="176" t="n"/>
      <c r="EQ157" s="176" t="n"/>
      <c r="ER157" s="176" t="n"/>
      <c r="ES157" s="176" t="n"/>
      <c r="ET157" s="176" t="n"/>
      <c r="EU157" s="176" t="n"/>
      <c r="EV157" s="176" t="n"/>
      <c r="EW157" s="176" t="n"/>
      <c r="EX157" s="176" t="n"/>
      <c r="EY157" s="176" t="n"/>
      <c r="EZ157" s="176" t="n"/>
      <c r="FA157" s="176" t="n"/>
      <c r="FB157" s="176" t="n"/>
      <c r="FC157" s="176" t="n"/>
      <c r="FD157" s="176" t="n"/>
      <c r="FE157" s="176" t="n"/>
      <c r="FF157" s="176" t="n"/>
      <c r="FG157" s="176" t="n"/>
      <c r="FH157" s="176" t="n"/>
      <c r="FI157" s="176" t="n"/>
      <c r="FJ157" s="176" t="n"/>
    </row>
    <row r="158" ht="15" customHeight="1" s="392">
      <c r="A158" s="176" t="n"/>
      <c r="B158" s="180" t="n"/>
      <c r="C158" s="187" t="inlineStr">
        <is>
          <t xml:space="preserve">    Total Equity Attributable to Parent Stockholders</t>
        </is>
      </c>
      <c r="D158" s="193">
        <f>IF(COUNT(M158:EK158)&gt;0,MEDIAN(M158:EK158),"")</f>
        <v/>
      </c>
      <c r="E158" s="193">
        <f>IF(COUNT(M158:EK158)&gt;0,AVERAGE(M158:EK158),"")</f>
        <v/>
      </c>
      <c r="F158" s="193">
        <f>IF(COUNT(M158:EK158)&gt;0,MIN(M158:EK158),"")</f>
        <v/>
      </c>
      <c r="G158" s="193">
        <f>IF(COUNT(M158:EK158)&gt;0,MAX(M158:EK158),"")</f>
        <v/>
      </c>
      <c r="H158" s="193">
        <f>IF(COUNT(M158:EK158)&gt;0,QUARTILE(M158:EK158,1),"")</f>
        <v/>
      </c>
      <c r="I158" s="193">
        <f>IF(COUNT(M158:EK158)&gt;0,QUARTILE(M158:EK158,3),"")</f>
        <v/>
      </c>
      <c r="J158" s="193">
        <f>IF(COUNT(M158:EK158)&gt;1,STDEV(M158:EK158),"")</f>
        <v/>
      </c>
      <c r="K158" s="194">
        <f>IF(COUNT(M158:EK158)&gt;1,STDEV(M158:EK158)/AVERAGE(M158:EK158),"")</f>
        <v/>
      </c>
      <c r="L158" s="195" t="n"/>
      <c r="M158" s="196" t="n">
        <v>9097295</v>
      </c>
      <c r="N158" s="196" t="n">
        <v>8774264</v>
      </c>
      <c r="O158" s="196" t="n">
        <v>9789045</v>
      </c>
      <c r="P158" s="196" t="n">
        <v>9600157</v>
      </c>
      <c r="Q158" s="196" t="n">
        <v>9187033</v>
      </c>
      <c r="R158" s="196" t="n">
        <v>8781193</v>
      </c>
      <c r="S158" s="196" t="n">
        <v>8301257</v>
      </c>
      <c r="T158" s="196" t="n">
        <v>7896312</v>
      </c>
      <c r="U158" s="196" t="n">
        <v>7524011</v>
      </c>
      <c r="V158" s="196" t="n">
        <v>7171253</v>
      </c>
      <c r="W158" s="196" t="n">
        <v>6787600</v>
      </c>
      <c r="X158" s="196" t="n">
        <v>6411417</v>
      </c>
      <c r="Y158" s="196" t="n">
        <v>5987440</v>
      </c>
      <c r="Z158" s="196" t="n">
        <v>5592422</v>
      </c>
      <c r="AA158" s="196" t="n">
        <v>5213652</v>
      </c>
      <c r="AB158" s="196" t="n">
        <v>4852834</v>
      </c>
      <c r="AC158" s="196" t="n">
        <v>4625599</v>
      </c>
      <c r="AD158" s="196" t="n">
        <v>4353054</v>
      </c>
      <c r="AE158" s="196" t="n">
        <v>4089856</v>
      </c>
      <c r="AF158" s="196" t="n">
        <v>3793821</v>
      </c>
      <c r="AG158" s="196" t="n">
        <v>3529201</v>
      </c>
      <c r="AH158" s="196" t="n">
        <v>3249377</v>
      </c>
      <c r="AI158" s="196" t="n">
        <v>2942592</v>
      </c>
      <c r="AJ158" s="196" t="n">
        <v>2710833</v>
      </c>
      <c r="AK158" s="196" t="n">
        <v>2489516</v>
      </c>
      <c r="AL158" s="196" t="n">
        <v>2281011</v>
      </c>
      <c r="AM158" s="196" t="n">
        <v>2124729</v>
      </c>
      <c r="AN158" s="196" t="n">
        <v>1926599</v>
      </c>
      <c r="AO158" s="196" t="n">
        <v>1778381</v>
      </c>
      <c r="AP158" s="196" t="n">
        <v>1618852</v>
      </c>
      <c r="AQ158" s="196" t="n">
        <v>1459953</v>
      </c>
      <c r="AR158" s="196" t="n">
        <v>1671760</v>
      </c>
      <c r="AS158" s="196" t="n">
        <v>1581099</v>
      </c>
      <c r="AT158" s="196" t="n">
        <v>1460131</v>
      </c>
      <c r="AU158" s="196" t="n">
        <v>1331168</v>
      </c>
      <c r="AV158" s="196" t="n">
        <v>1188331</v>
      </c>
      <c r="AW158" s="196" t="n">
        <v>1098066</v>
      </c>
      <c r="AX158" s="196" t="n">
        <v>1006329</v>
      </c>
      <c r="AY158" s="196" t="n">
        <v>895703</v>
      </c>
      <c r="AZ158" s="196" t="n">
        <v>807407</v>
      </c>
      <c r="BA158" s="196" t="n">
        <v>774456</v>
      </c>
      <c r="BB158" s="196" t="n">
        <v>716527</v>
      </c>
      <c r="BC158" s="196" t="n">
        <v>731400</v>
      </c>
      <c r="BD158" s="196" t="n">
        <v>1016545</v>
      </c>
      <c r="BE158" s="196" t="n">
        <v>964464</v>
      </c>
      <c r="BF158" s="196" t="n">
        <v>1135968</v>
      </c>
      <c r="BG158" s="196" t="n">
        <v>1073237</v>
      </c>
      <c r="BH158" s="196" t="n">
        <v>1037431</v>
      </c>
      <c r="BI158" s="196" t="n">
        <v>1003499</v>
      </c>
      <c r="BJ158" s="196" t="n">
        <v>939761</v>
      </c>
      <c r="BK158" s="196" t="n">
        <v>880724</v>
      </c>
      <c r="BL158" s="196" t="n">
        <v>822647</v>
      </c>
      <c r="BM158" s="196" t="n">
        <v>762401</v>
      </c>
      <c r="BN158" s="196" t="n">
        <v>724394</v>
      </c>
      <c r="BO158" s="196" t="n">
        <v>667503</v>
      </c>
      <c r="BP158" s="196" t="n">
        <v>608871</v>
      </c>
      <c r="BQ158" s="196" t="n">
        <v>561117</v>
      </c>
      <c r="BR158" s="196" t="n">
        <v>578732</v>
      </c>
      <c r="BS158" s="196" t="n">
        <v>507372</v>
      </c>
      <c r="BT158" s="196" t="n">
        <v>554845</v>
      </c>
      <c r="BU158" s="196" t="n">
        <v>555172</v>
      </c>
      <c r="BV158" s="196" t="n">
        <v>646342</v>
      </c>
      <c r="BW158" s="196" t="n">
        <v>1059029</v>
      </c>
      <c r="BX158" s="196" t="n">
        <v>1087234</v>
      </c>
      <c r="BY158" s="196" t="n">
        <v>1046462</v>
      </c>
      <c r="BZ158" s="196" t="n">
        <v>1001423</v>
      </c>
      <c r="CA158" s="196" t="n">
        <v>962936</v>
      </c>
      <c r="CB158" s="196" t="n">
        <v>921459</v>
      </c>
      <c r="CC158" s="196" t="n">
        <v>865691</v>
      </c>
      <c r="CD158" s="196" t="n">
        <v>821751</v>
      </c>
      <c r="CE158" s="196" t="n">
        <v>807128</v>
      </c>
      <c r="CF158" s="196" t="n">
        <v>798996</v>
      </c>
      <c r="CG158" s="196" t="n">
        <v>862650</v>
      </c>
      <c r="CH158" s="196" t="n">
        <v>921843</v>
      </c>
      <c r="CI158" s="196" t="n">
        <v>934098</v>
      </c>
      <c r="CJ158" s="196" t="n">
        <v>880866</v>
      </c>
      <c r="CK158" s="196" t="n">
        <v>929178</v>
      </c>
      <c r="CL158" s="196" t="n">
        <v>886785</v>
      </c>
      <c r="CM158" s="196" t="n">
        <v>843675</v>
      </c>
      <c r="CN158" s="196" t="n">
        <v>809970</v>
      </c>
      <c r="CO158" s="196" t="n">
        <v>775006</v>
      </c>
      <c r="CP158" s="196" t="n">
        <v>737616</v>
      </c>
      <c r="CQ158" s="196" t="n">
        <v>735157</v>
      </c>
      <c r="CR158" s="196" t="n">
        <v>709379</v>
      </c>
      <c r="CS158" s="196" t="n">
        <v>682008</v>
      </c>
      <c r="CT158" s="196" t="n">
        <v>650126.5</v>
      </c>
      <c r="CU158" s="196" t="n">
        <v>625371</v>
      </c>
      <c r="CV158" s="196" t="n">
        <v>602263</v>
      </c>
      <c r="CW158" s="196" t="n">
        <v>576155.2</v>
      </c>
      <c r="CX158" s="196" t="n">
        <v>549560</v>
      </c>
      <c r="CY158" s="196" t="n">
        <v>530618.4</v>
      </c>
      <c r="CZ158" s="196" t="n">
        <v>525640</v>
      </c>
      <c r="DA158" s="196" t="n">
        <v>511392.8</v>
      </c>
      <c r="DB158" s="196" t="n">
        <v>516337.6</v>
      </c>
      <c r="DC158" s="196" t="n">
        <v>500987.4</v>
      </c>
      <c r="DD158" s="196" t="n">
        <v>486217</v>
      </c>
      <c r="DE158" s="196" t="n">
        <v>452666.7</v>
      </c>
      <c r="DF158" s="196" t="n">
        <v>433598.7</v>
      </c>
      <c r="DG158" s="196" t="n">
        <v>290896</v>
      </c>
      <c r="DH158" s="196" t="n">
        <v>269152.4</v>
      </c>
      <c r="DI158" s="196" t="n">
        <v>252789.1</v>
      </c>
      <c r="DJ158" s="196" t="n">
        <v>240867.1</v>
      </c>
      <c r="DK158" s="196" t="n">
        <v>228853.5</v>
      </c>
      <c r="DL158" s="196" t="n">
        <v>219890.4</v>
      </c>
      <c r="DM158" s="196" t="n">
        <v>206233.1</v>
      </c>
      <c r="DN158" s="196" t="n">
        <v>197700</v>
      </c>
      <c r="DO158" s="196" t="n">
        <v>190300</v>
      </c>
      <c r="DP158" s="196" t="n">
        <v>184000</v>
      </c>
      <c r="DQ158" s="196" t="n">
        <v>176500</v>
      </c>
      <c r="DR158" s="196" t="n">
        <v>169900</v>
      </c>
      <c r="DS158" s="196" t="n">
        <v>164700</v>
      </c>
      <c r="DT158" s="196" t="n">
        <v>160200</v>
      </c>
      <c r="DU158" s="196" t="n">
        <v>154400</v>
      </c>
      <c r="DV158" s="196" t="n">
        <v>150100</v>
      </c>
      <c r="DW158" s="196" t="n">
        <v>146100</v>
      </c>
      <c r="DX158" s="196" t="n">
        <v>142800</v>
      </c>
      <c r="DY158" s="196" t="n">
        <v>138900</v>
      </c>
      <c r="DZ158" s="196" t="n">
        <v>134600</v>
      </c>
      <c r="EA158" s="196" t="n">
        <v>128700</v>
      </c>
      <c r="EB158" s="196" t="n">
        <v>126200</v>
      </c>
      <c r="EC158" s="196" t="n">
        <v>123100</v>
      </c>
      <c r="ED158" s="196" t="n">
        <v>120000</v>
      </c>
      <c r="EE158" s="196" t="n">
        <v>115800</v>
      </c>
      <c r="EF158" s="196" t="n">
        <v>113100</v>
      </c>
      <c r="EG158" s="196" t="n">
        <v>59300</v>
      </c>
      <c r="EH158" s="196" t="n">
        <v>55200</v>
      </c>
      <c r="EI158" s="196" t="n">
        <v>52300</v>
      </c>
      <c r="EJ158" s="196" t="n">
        <v>49300</v>
      </c>
      <c r="EK158" s="196" t="n">
        <v>47400</v>
      </c>
      <c r="EL158" s="182" t="n"/>
      <c r="EM158" s="176" t="n"/>
      <c r="EN158" s="176" t="n"/>
      <c r="EO158" s="176" t="n"/>
      <c r="EP158" s="176" t="n"/>
      <c r="EQ158" s="176" t="n"/>
      <c r="ER158" s="176" t="n"/>
      <c r="ES158" s="176" t="n"/>
      <c r="ET158" s="176" t="n"/>
      <c r="EU158" s="176" t="n"/>
      <c r="EV158" s="176" t="n"/>
      <c r="EW158" s="176" t="n"/>
      <c r="EX158" s="176" t="n"/>
      <c r="EY158" s="176" t="n"/>
      <c r="EZ158" s="176" t="n"/>
      <c r="FA158" s="176" t="n"/>
      <c r="FB158" s="176" t="n"/>
      <c r="FC158" s="176" t="n"/>
      <c r="FD158" s="176" t="n"/>
      <c r="FE158" s="176" t="n"/>
      <c r="FF158" s="176" t="n"/>
      <c r="FG158" s="176" t="n"/>
      <c r="FH158" s="176" t="n"/>
      <c r="FI158" s="176" t="n"/>
      <c r="FJ158" s="176" t="n"/>
    </row>
    <row r="159" ht="15" customHeight="1" s="392">
      <c r="A159" s="176" t="n"/>
      <c r="B159" s="180" t="n"/>
      <c r="C159" s="183" t="inlineStr">
        <is>
          <t xml:space="preserve">    Non-Controlling/Minority Interests</t>
        </is>
      </c>
      <c r="D159" s="190">
        <f>IF(COUNT(M159:EK159)&gt;0,MEDIAN(M159:EK159),"")</f>
        <v/>
      </c>
      <c r="E159" s="190">
        <f>IF(COUNT(M159:EK159)&gt;0,AVERAGE(M159:EK159),"")</f>
        <v/>
      </c>
      <c r="F159" s="190">
        <f>IF(COUNT(M159:EK159)&gt;0,MIN(M159:EK159),"")</f>
        <v/>
      </c>
      <c r="G159" s="190">
        <f>IF(COUNT(M159:EK159)&gt;0,MAX(M159:EK159),"")</f>
        <v/>
      </c>
      <c r="H159" s="190">
        <f>IF(COUNT(M159:EK159)&gt;0,QUARTILE(M159:EK159,1),"")</f>
        <v/>
      </c>
      <c r="I159" s="190">
        <f>IF(COUNT(M159:EK159)&gt;0,QUARTILE(M159:EK159,3),"")</f>
        <v/>
      </c>
      <c r="J159" s="190">
        <f>IF(COUNT(M159:EK159)&gt;1,STDEV(M159:EK159),"")</f>
        <v/>
      </c>
      <c r="K159" s="191">
        <f>IF(COUNT(M159:EK159)&gt;1,STDEV(M159:EK159)/AVERAGE(M159:EK159),"")</f>
        <v/>
      </c>
      <c r="M159" s="192" t="n">
        <v>16585</v>
      </c>
      <c r="N159" s="192" t="n">
        <v>17181</v>
      </c>
      <c r="O159" s="192" t="n">
        <v>18189</v>
      </c>
      <c r="P159" s="192" t="n">
        <v>18954</v>
      </c>
      <c r="Q159" s="192" t="n">
        <v>20458</v>
      </c>
      <c r="R159" s="192" t="n">
        <v>21504</v>
      </c>
      <c r="S159" s="192" t="n">
        <v>22775</v>
      </c>
      <c r="T159" s="192" t="n">
        <v>23634</v>
      </c>
      <c r="U159" s="192" t="n">
        <v>24544</v>
      </c>
      <c r="V159" s="192" t="n">
        <v>24933</v>
      </c>
      <c r="W159" s="192" t="n">
        <v>25114</v>
      </c>
      <c r="X159" s="192" t="n">
        <v>25222</v>
      </c>
      <c r="Y159" s="192" t="n">
        <v>0</v>
      </c>
      <c r="Z159" s="192" t="n"/>
      <c r="AA159" s="192" t="n"/>
      <c r="AB159" s="192" t="n"/>
      <c r="AC159" s="192" t="n"/>
      <c r="AD159" s="192" t="n"/>
      <c r="AE159" s="192" t="n"/>
      <c r="AF159" s="192" t="n"/>
      <c r="AG159" s="192" t="n"/>
      <c r="AH159" s="192" t="n"/>
      <c r="AI159" s="192" t="n"/>
      <c r="AJ159" s="192" t="n"/>
      <c r="AK159" s="192" t="n"/>
      <c r="AL159" s="192" t="n"/>
      <c r="AM159" s="192" t="n"/>
      <c r="AN159" s="192" t="n"/>
      <c r="AO159" s="192" t="n"/>
      <c r="AP159" s="192" t="n"/>
      <c r="AQ159" s="192" t="n"/>
      <c r="AR159" s="192" t="n"/>
      <c r="AS159" s="192" t="n"/>
      <c r="AT159" s="192" t="n">
        <v>681</v>
      </c>
      <c r="AU159" s="192" t="n">
        <v>623</v>
      </c>
      <c r="AV159" s="192" t="n">
        <v>578</v>
      </c>
      <c r="AW159" s="192" t="n">
        <v>534</v>
      </c>
      <c r="AX159" s="192" t="n"/>
      <c r="AY159" s="192" t="n"/>
      <c r="AZ159" s="192" t="n"/>
      <c r="BA159" s="192" t="n">
        <v>0</v>
      </c>
      <c r="BB159" s="192" t="n"/>
      <c r="BC159" s="192" t="n"/>
      <c r="BD159" s="192" t="n"/>
      <c r="BE159" s="192" t="n"/>
      <c r="BF159" s="192" t="n"/>
      <c r="BG159" s="192" t="n"/>
      <c r="BH159" s="192" t="n"/>
      <c r="BI159" s="192" t="n"/>
      <c r="BJ159" s="192" t="n"/>
      <c r="BK159" s="192" t="n"/>
      <c r="BL159" s="192" t="n"/>
      <c r="BM159" s="192" t="n"/>
      <c r="BN159" s="192" t="n"/>
      <c r="BO159" s="192" t="n"/>
      <c r="BP159" s="192" t="n"/>
      <c r="BQ159" s="192" t="n"/>
      <c r="BR159" s="192" t="n"/>
      <c r="BS159" s="192" t="n"/>
      <c r="BT159" s="192" t="n"/>
      <c r="BU159" s="192" t="n"/>
      <c r="BV159" s="192" t="n"/>
      <c r="BW159" s="192" t="n"/>
      <c r="BX159" s="192" t="n"/>
      <c r="BY159" s="192" t="n"/>
      <c r="BZ159" s="192" t="n"/>
      <c r="CA159" s="192" t="n"/>
      <c r="CB159" s="192" t="n"/>
      <c r="CC159" s="192" t="n"/>
      <c r="CD159" s="192" t="n"/>
      <c r="CE159" s="192" t="n"/>
      <c r="CF159" s="192" t="n"/>
      <c r="CG159" s="192" t="n"/>
      <c r="CH159" s="192" t="n"/>
      <c r="CI159" s="192" t="n"/>
      <c r="CJ159" s="192" t="n"/>
      <c r="CK159" s="192" t="n"/>
      <c r="CL159" s="192" t="n"/>
      <c r="CM159" s="192" t="n"/>
      <c r="CN159" s="192" t="n"/>
      <c r="CO159" s="192" t="n"/>
      <c r="CP159" s="192" t="n"/>
      <c r="CQ159" s="192" t="n"/>
      <c r="CR159" s="192" t="n"/>
      <c r="CS159" s="192" t="n"/>
      <c r="CT159" s="192" t="n"/>
      <c r="CU159" s="192" t="n"/>
      <c r="CV159" s="192" t="n"/>
      <c r="CW159" s="192" t="n"/>
      <c r="CX159" s="192" t="n"/>
      <c r="CY159" s="192" t="n"/>
      <c r="CZ159" s="192" t="n"/>
      <c r="DA159" s="192" t="n"/>
      <c r="DB159" s="192" t="n"/>
      <c r="DC159" s="192" t="n"/>
      <c r="DD159" s="192" t="n"/>
      <c r="DE159" s="192" t="n"/>
      <c r="DF159" s="192" t="n"/>
      <c r="DG159" s="192" t="n"/>
      <c r="DH159" s="192" t="n"/>
      <c r="DI159" s="192" t="n"/>
      <c r="DJ159" s="192" t="n"/>
      <c r="DK159" s="192" t="n"/>
      <c r="DL159" s="192" t="n"/>
      <c r="DM159" s="192" t="n"/>
      <c r="DN159" s="192" t="n"/>
      <c r="DO159" s="192" t="n"/>
      <c r="DP159" s="192" t="n"/>
      <c r="DQ159" s="192" t="n"/>
      <c r="DR159" s="192" t="n"/>
      <c r="DS159" s="192" t="n"/>
      <c r="DT159" s="192" t="n"/>
      <c r="DU159" s="192" t="n"/>
      <c r="DV159" s="192" t="n"/>
      <c r="DW159" s="192" t="n"/>
      <c r="DX159" s="192" t="n"/>
      <c r="DY159" s="192" t="n"/>
      <c r="DZ159" s="192" t="n"/>
      <c r="EA159" s="192" t="n"/>
      <c r="EB159" s="192" t="n"/>
      <c r="EC159" s="192" t="n"/>
      <c r="ED159" s="192" t="n"/>
      <c r="EE159" s="192" t="n"/>
      <c r="EF159" s="192" t="n"/>
      <c r="EG159" s="192" t="n"/>
      <c r="EH159" s="192" t="n"/>
      <c r="EI159" s="192" t="n"/>
      <c r="EJ159" s="192" t="n"/>
      <c r="EK159" s="192" t="n"/>
      <c r="EL159" s="182" t="n"/>
      <c r="EM159" s="176" t="n"/>
      <c r="EN159" s="176" t="n"/>
      <c r="EO159" s="176" t="n"/>
      <c r="EP159" s="176" t="n"/>
      <c r="EQ159" s="176" t="n"/>
      <c r="ER159" s="176" t="n"/>
      <c r="ES159" s="176" t="n"/>
      <c r="ET159" s="176" t="n"/>
      <c r="EU159" s="176" t="n"/>
      <c r="EV159" s="176" t="n"/>
      <c r="EW159" s="176" t="n"/>
      <c r="EX159" s="176" t="n"/>
      <c r="EY159" s="176" t="n"/>
      <c r="EZ159" s="176" t="n"/>
      <c r="FA159" s="176" t="n"/>
      <c r="FB159" s="176" t="n"/>
      <c r="FC159" s="176" t="n"/>
      <c r="FD159" s="176" t="n"/>
      <c r="FE159" s="176" t="n"/>
      <c r="FF159" s="176" t="n"/>
      <c r="FG159" s="176" t="n"/>
      <c r="FH159" s="176" t="n"/>
      <c r="FI159" s="176" t="n"/>
      <c r="FJ159" s="176" t="n"/>
    </row>
    <row r="160" ht="15" customHeight="1" s="392">
      <c r="A160" s="176" t="n"/>
      <c r="B160" s="180" t="n"/>
      <c r="C160" s="187" t="inlineStr">
        <is>
          <t>Total Equity</t>
        </is>
      </c>
      <c r="D160" s="193">
        <f>IF(COUNT(M160:EK160)&gt;0,MEDIAN(M160:EK160),"")</f>
        <v/>
      </c>
      <c r="E160" s="193">
        <f>IF(COUNT(M160:EK160)&gt;0,AVERAGE(M160:EK160),"")</f>
        <v/>
      </c>
      <c r="F160" s="193">
        <f>IF(COUNT(M160:EK160)&gt;0,MIN(M160:EK160),"")</f>
        <v/>
      </c>
      <c r="G160" s="193">
        <f>IF(COUNT(M160:EK160)&gt;0,MAX(M160:EK160),"")</f>
        <v/>
      </c>
      <c r="H160" s="193">
        <f>IF(COUNT(M160:EK160)&gt;0,QUARTILE(M160:EK160,1),"")</f>
        <v/>
      </c>
      <c r="I160" s="193">
        <f>IF(COUNT(M160:EK160)&gt;0,QUARTILE(M160:EK160,3),"")</f>
        <v/>
      </c>
      <c r="J160" s="193">
        <f>IF(COUNT(M160:EK160)&gt;1,STDEV(M160:EK160),"")</f>
        <v/>
      </c>
      <c r="K160" s="194">
        <f>IF(COUNT(M160:EK160)&gt;1,STDEV(M160:EK160)/AVERAGE(M160:EK160),"")</f>
        <v/>
      </c>
      <c r="L160" s="195" t="n"/>
      <c r="M160" s="196" t="n">
        <v>9113880</v>
      </c>
      <c r="N160" s="196" t="n">
        <v>8791445</v>
      </c>
      <c r="O160" s="196" t="n">
        <v>9807234</v>
      </c>
      <c r="P160" s="196" t="n">
        <v>9619111</v>
      </c>
      <c r="Q160" s="196" t="n">
        <v>9207491</v>
      </c>
      <c r="R160" s="196" t="n">
        <v>8802697</v>
      </c>
      <c r="S160" s="196" t="n">
        <v>8324032</v>
      </c>
      <c r="T160" s="196" t="n">
        <v>7919946</v>
      </c>
      <c r="U160" s="196" t="n">
        <v>7548555</v>
      </c>
      <c r="V160" s="196" t="n">
        <v>7196186</v>
      </c>
      <c r="W160" s="196" t="n">
        <v>6812714</v>
      </c>
      <c r="X160" s="196" t="n">
        <v>6436639</v>
      </c>
      <c r="Y160" s="196" t="n">
        <v>5987440</v>
      </c>
      <c r="Z160" s="196" t="n">
        <v>5592422</v>
      </c>
      <c r="AA160" s="196" t="n">
        <v>5213652</v>
      </c>
      <c r="AB160" s="196" t="n">
        <v>4852834</v>
      </c>
      <c r="AC160" s="196" t="n">
        <v>4625599</v>
      </c>
      <c r="AD160" s="196" t="n">
        <v>4353054</v>
      </c>
      <c r="AE160" s="196" t="n">
        <v>4089856</v>
      </c>
      <c r="AF160" s="196" t="n">
        <v>3793821</v>
      </c>
      <c r="AG160" s="196" t="n">
        <v>3529201</v>
      </c>
      <c r="AH160" s="196" t="n">
        <v>3249377</v>
      </c>
      <c r="AI160" s="196" t="n">
        <v>2942592</v>
      </c>
      <c r="AJ160" s="196" t="n">
        <v>2710833</v>
      </c>
      <c r="AK160" s="196" t="n">
        <v>2489516</v>
      </c>
      <c r="AL160" s="196" t="n">
        <v>2281011</v>
      </c>
      <c r="AM160" s="196" t="n">
        <v>2124729</v>
      </c>
      <c r="AN160" s="196" t="n">
        <v>1926599</v>
      </c>
      <c r="AO160" s="196" t="n">
        <v>1778381</v>
      </c>
      <c r="AP160" s="196" t="n">
        <v>1618852</v>
      </c>
      <c r="AQ160" s="196" t="n">
        <v>1459953</v>
      </c>
      <c r="AR160" s="196" t="n">
        <v>1671760</v>
      </c>
      <c r="AS160" s="196" t="n">
        <v>1581099</v>
      </c>
      <c r="AT160" s="196" t="n">
        <v>1460812</v>
      </c>
      <c r="AU160" s="196" t="n">
        <v>1331791</v>
      </c>
      <c r="AV160" s="196" t="n">
        <v>1188909</v>
      </c>
      <c r="AW160" s="196" t="n">
        <v>1098600</v>
      </c>
      <c r="AX160" s="196" t="n">
        <v>1006329</v>
      </c>
      <c r="AY160" s="196" t="n">
        <v>895703</v>
      </c>
      <c r="AZ160" s="196" t="n">
        <v>807407</v>
      </c>
      <c r="BA160" s="196" t="n">
        <v>774456</v>
      </c>
      <c r="BB160" s="196" t="n">
        <v>716527</v>
      </c>
      <c r="BC160" s="196" t="n">
        <v>731400</v>
      </c>
      <c r="BD160" s="196" t="n">
        <v>1016545</v>
      </c>
      <c r="BE160" s="196" t="n">
        <v>964464</v>
      </c>
      <c r="BF160" s="196" t="n">
        <v>1135968</v>
      </c>
      <c r="BG160" s="196" t="n">
        <v>1073237</v>
      </c>
      <c r="BH160" s="196" t="n">
        <v>1037431</v>
      </c>
      <c r="BI160" s="196" t="n">
        <v>1003499</v>
      </c>
      <c r="BJ160" s="196" t="n">
        <v>939761</v>
      </c>
      <c r="BK160" s="196" t="n">
        <v>880724</v>
      </c>
      <c r="BL160" s="196" t="n">
        <v>822647</v>
      </c>
      <c r="BM160" s="196" t="n">
        <v>762401</v>
      </c>
      <c r="BN160" s="196" t="n">
        <v>724394</v>
      </c>
      <c r="BO160" s="196" t="n">
        <v>667503</v>
      </c>
      <c r="BP160" s="196" t="n">
        <v>608871</v>
      </c>
      <c r="BQ160" s="196" t="n">
        <v>561117</v>
      </c>
      <c r="BR160" s="196" t="n">
        <v>578732</v>
      </c>
      <c r="BS160" s="196" t="n">
        <v>507372</v>
      </c>
      <c r="BT160" s="196" t="n">
        <v>554845</v>
      </c>
      <c r="BU160" s="196" t="n">
        <v>555172</v>
      </c>
      <c r="BV160" s="196" t="n">
        <v>646342</v>
      </c>
      <c r="BW160" s="196" t="n">
        <v>1059029</v>
      </c>
      <c r="BX160" s="196" t="n">
        <v>1087234</v>
      </c>
      <c r="BY160" s="196" t="n">
        <v>1046462</v>
      </c>
      <c r="BZ160" s="196" t="n">
        <v>1001423</v>
      </c>
      <c r="CA160" s="196" t="n">
        <v>962936</v>
      </c>
      <c r="CB160" s="196" t="n">
        <v>921459</v>
      </c>
      <c r="CC160" s="196" t="n">
        <v>865691</v>
      </c>
      <c r="CD160" s="196" t="n">
        <v>821751</v>
      </c>
      <c r="CE160" s="196" t="n">
        <v>807128</v>
      </c>
      <c r="CF160" s="196" t="n">
        <v>798996</v>
      </c>
      <c r="CG160" s="196" t="n">
        <v>862650</v>
      </c>
      <c r="CH160" s="196" t="n">
        <v>921843</v>
      </c>
      <c r="CI160" s="196" t="n">
        <v>934098</v>
      </c>
      <c r="CJ160" s="196" t="n">
        <v>880866</v>
      </c>
      <c r="CK160" s="196" t="n">
        <v>929178</v>
      </c>
      <c r="CL160" s="196" t="n">
        <v>886785</v>
      </c>
      <c r="CM160" s="196" t="n">
        <v>843675</v>
      </c>
      <c r="CN160" s="196" t="n">
        <v>809970</v>
      </c>
      <c r="CO160" s="196" t="n">
        <v>775006</v>
      </c>
      <c r="CP160" s="196" t="n">
        <v>737616</v>
      </c>
      <c r="CQ160" s="196" t="n">
        <v>735157</v>
      </c>
      <c r="CR160" s="196" t="n">
        <v>709379</v>
      </c>
      <c r="CS160" s="196" t="n">
        <v>682008</v>
      </c>
      <c r="CT160" s="196" t="n">
        <v>650126.5</v>
      </c>
      <c r="CU160" s="196" t="n">
        <v>625371</v>
      </c>
      <c r="CV160" s="196" t="n">
        <v>602263</v>
      </c>
      <c r="CW160" s="196" t="n">
        <v>576155.2</v>
      </c>
      <c r="CX160" s="196" t="n">
        <v>549560</v>
      </c>
      <c r="CY160" s="196" t="n">
        <v>530618.4</v>
      </c>
      <c r="CZ160" s="196" t="n">
        <v>525640</v>
      </c>
      <c r="DA160" s="196" t="n">
        <v>511392.8</v>
      </c>
      <c r="DB160" s="196" t="n">
        <v>516337.6</v>
      </c>
      <c r="DC160" s="196" t="n">
        <v>500987.4</v>
      </c>
      <c r="DD160" s="196" t="n">
        <v>486217</v>
      </c>
      <c r="DE160" s="196" t="n">
        <v>452666.7</v>
      </c>
      <c r="DF160" s="196" t="n">
        <v>433598.7</v>
      </c>
      <c r="DG160" s="196" t="n">
        <v>290896</v>
      </c>
      <c r="DH160" s="196" t="n">
        <v>269152.4</v>
      </c>
      <c r="DI160" s="196" t="n">
        <v>252789.1</v>
      </c>
      <c r="DJ160" s="196" t="n">
        <v>240867.1</v>
      </c>
      <c r="DK160" s="196" t="n">
        <v>228853.5</v>
      </c>
      <c r="DL160" s="196" t="n">
        <v>219890.4</v>
      </c>
      <c r="DM160" s="196" t="n">
        <v>206233.1</v>
      </c>
      <c r="DN160" s="196" t="n">
        <v>197700</v>
      </c>
      <c r="DO160" s="196" t="n">
        <v>190300</v>
      </c>
      <c r="DP160" s="196" t="n">
        <v>184000</v>
      </c>
      <c r="DQ160" s="196" t="n">
        <v>176500</v>
      </c>
      <c r="DR160" s="196" t="n">
        <v>169900</v>
      </c>
      <c r="DS160" s="196" t="n">
        <v>164700</v>
      </c>
      <c r="DT160" s="196" t="n">
        <v>160200</v>
      </c>
      <c r="DU160" s="196" t="n">
        <v>154400</v>
      </c>
      <c r="DV160" s="196" t="n">
        <v>150100</v>
      </c>
      <c r="DW160" s="196" t="n">
        <v>146100</v>
      </c>
      <c r="DX160" s="196" t="n">
        <v>142800</v>
      </c>
      <c r="DY160" s="196" t="n">
        <v>138900</v>
      </c>
      <c r="DZ160" s="196" t="n">
        <v>134600</v>
      </c>
      <c r="EA160" s="196" t="n">
        <v>128700</v>
      </c>
      <c r="EB160" s="196" t="n">
        <v>126200</v>
      </c>
      <c r="EC160" s="196" t="n">
        <v>123100</v>
      </c>
      <c r="ED160" s="196" t="n">
        <v>120000</v>
      </c>
      <c r="EE160" s="196" t="n">
        <v>115800</v>
      </c>
      <c r="EF160" s="196" t="n">
        <v>113100</v>
      </c>
      <c r="EG160" s="196" t="n">
        <v>59300</v>
      </c>
      <c r="EH160" s="196" t="n">
        <v>55200</v>
      </c>
      <c r="EI160" s="196" t="n">
        <v>52300</v>
      </c>
      <c r="EJ160" s="196" t="n">
        <v>49300</v>
      </c>
      <c r="EK160" s="196" t="n">
        <v>47400</v>
      </c>
      <c r="EL160" s="182" t="n"/>
      <c r="EM160" s="176" t="n"/>
      <c r="EN160" s="176" t="n"/>
      <c r="EO160" s="176" t="n"/>
      <c r="EP160" s="176" t="n"/>
      <c r="EQ160" s="176" t="n"/>
      <c r="ER160" s="176" t="n"/>
      <c r="ES160" s="176" t="n"/>
      <c r="ET160" s="176" t="n"/>
      <c r="EU160" s="176" t="n"/>
      <c r="EV160" s="176" t="n"/>
      <c r="EW160" s="176" t="n"/>
      <c r="EX160" s="176" t="n"/>
      <c r="EY160" s="176" t="n"/>
      <c r="EZ160" s="176" t="n"/>
      <c r="FA160" s="176" t="n"/>
      <c r="FB160" s="176" t="n"/>
      <c r="FC160" s="176" t="n"/>
      <c r="FD160" s="176" t="n"/>
      <c r="FE160" s="176" t="n"/>
      <c r="FF160" s="176" t="n"/>
      <c r="FG160" s="176" t="n"/>
      <c r="FH160" s="176" t="n"/>
      <c r="FI160" s="176" t="n"/>
      <c r="FJ160" s="176" t="n"/>
    </row>
    <row r="161" ht="15" customHeight="1" s="392">
      <c r="A161" s="176" t="n"/>
      <c r="B161" s="180" t="n"/>
      <c r="C161" s="189" t="inlineStr">
        <is>
          <t>Balance Sheet Supplemental Section</t>
        </is>
      </c>
      <c r="D161" s="185" t="n"/>
      <c r="E161" s="185" t="n"/>
      <c r="F161" s="185" t="n"/>
      <c r="G161" s="185" t="n"/>
      <c r="H161" s="185" t="n"/>
      <c r="I161" s="185" t="n"/>
      <c r="J161" s="185" t="n"/>
      <c r="K161" s="185" t="n"/>
      <c r="L161" s="185" t="n"/>
      <c r="M161" s="185" t="n"/>
      <c r="N161" s="185" t="n"/>
      <c r="O161" s="185" t="n"/>
      <c r="P161" s="185" t="n"/>
      <c r="Q161" s="185" t="n"/>
      <c r="R161" s="185" t="n"/>
      <c r="S161" s="185" t="n"/>
      <c r="T161" s="185" t="n"/>
      <c r="U161" s="185" t="n"/>
      <c r="V161" s="185" t="n"/>
      <c r="W161" s="185" t="n"/>
      <c r="X161" s="185" t="n"/>
      <c r="Y161" s="185" t="n"/>
      <c r="Z161" s="185" t="n"/>
      <c r="AA161" s="185" t="n"/>
      <c r="AB161" s="185" t="n"/>
      <c r="AC161" s="185" t="n"/>
      <c r="AD161" s="185" t="n"/>
      <c r="AE161" s="185" t="n"/>
      <c r="AF161" s="185" t="n"/>
      <c r="AG161" s="185" t="n"/>
      <c r="AH161" s="185" t="n"/>
      <c r="AI161" s="185" t="n"/>
      <c r="AJ161" s="185" t="n"/>
      <c r="AK161" s="185" t="n"/>
      <c r="AL161" s="185" t="n"/>
      <c r="AM161" s="185" t="n"/>
      <c r="AN161" s="185" t="n"/>
      <c r="AO161" s="185" t="n"/>
      <c r="AP161" s="185" t="n"/>
      <c r="AQ161" s="185" t="n"/>
      <c r="AR161" s="185" t="n"/>
      <c r="AS161" s="185" t="n"/>
      <c r="AT161" s="185" t="n"/>
      <c r="AU161" s="185" t="n"/>
      <c r="AV161" s="185" t="n"/>
      <c r="AW161" s="185" t="n"/>
      <c r="AX161" s="185" t="n"/>
      <c r="AY161" s="185" t="n"/>
      <c r="AZ161" s="185" t="n"/>
      <c r="BA161" s="185" t="n"/>
      <c r="BB161" s="185" t="n"/>
      <c r="BC161" s="185" t="n"/>
      <c r="BD161" s="185" t="n"/>
      <c r="BE161" s="185" t="n"/>
      <c r="BF161" s="185" t="n"/>
      <c r="BG161" s="185" t="n"/>
      <c r="BH161" s="185" t="n"/>
      <c r="BI161" s="185" t="n"/>
      <c r="BJ161" s="185" t="n"/>
      <c r="BK161" s="185" t="n"/>
      <c r="BL161" s="185" t="n"/>
      <c r="BM161" s="185" t="n"/>
      <c r="BN161" s="185" t="n"/>
      <c r="BO161" s="185" t="n"/>
      <c r="BP161" s="185" t="n"/>
      <c r="BQ161" s="185" t="n"/>
      <c r="BR161" s="185" t="n"/>
      <c r="BS161" s="185" t="n"/>
      <c r="BT161" s="185" t="n"/>
      <c r="BU161" s="185" t="n"/>
      <c r="BV161" s="185" t="n"/>
      <c r="BW161" s="185" t="n"/>
      <c r="BX161" s="185" t="n"/>
      <c r="BY161" s="185" t="n"/>
      <c r="BZ161" s="185" t="n"/>
      <c r="CA161" s="185" t="n"/>
      <c r="CB161" s="185" t="n"/>
      <c r="CC161" s="185" t="n"/>
      <c r="CD161" s="185" t="n"/>
      <c r="CE161" s="185" t="n"/>
      <c r="CF161" s="185" t="n"/>
      <c r="CG161" s="185" t="n"/>
      <c r="CH161" s="185" t="n"/>
      <c r="CI161" s="185" t="n"/>
      <c r="CJ161" s="185" t="n"/>
      <c r="CK161" s="185" t="n"/>
      <c r="CL161" s="185" t="n"/>
      <c r="CM161" s="185" t="n"/>
      <c r="CN161" s="185" t="n"/>
      <c r="CO161" s="185" t="n"/>
      <c r="CP161" s="185" t="n"/>
      <c r="CQ161" s="185" t="n"/>
      <c r="CR161" s="185" t="n"/>
      <c r="CS161" s="185" t="n"/>
      <c r="CT161" s="185" t="n"/>
      <c r="CU161" s="185" t="n"/>
      <c r="CV161" s="185" t="n"/>
      <c r="CW161" s="185" t="n"/>
      <c r="CX161" s="185" t="n"/>
      <c r="CY161" s="185" t="n"/>
      <c r="CZ161" s="185" t="n"/>
      <c r="DA161" s="185" t="n"/>
      <c r="DB161" s="185" t="n"/>
      <c r="DC161" s="185" t="n"/>
      <c r="DD161" s="185" t="n"/>
      <c r="DE161" s="185" t="n"/>
      <c r="DF161" s="185" t="n"/>
      <c r="DG161" s="185" t="n"/>
      <c r="DH161" s="185" t="n"/>
      <c r="DI161" s="185" t="n"/>
      <c r="DJ161" s="185" t="n"/>
      <c r="DK161" s="185" t="n"/>
      <c r="DL161" s="185" t="n"/>
      <c r="DM161" s="185" t="n"/>
      <c r="DN161" s="185" t="n"/>
      <c r="DO161" s="185" t="n"/>
      <c r="DP161" s="185" t="n"/>
      <c r="DQ161" s="185" t="n"/>
      <c r="DR161" s="185" t="n"/>
      <c r="DS161" s="185" t="n"/>
      <c r="DT161" s="185" t="n"/>
      <c r="DU161" s="185" t="n"/>
      <c r="DV161" s="185" t="n"/>
      <c r="DW161" s="185" t="n"/>
      <c r="DX161" s="185" t="n"/>
      <c r="DY161" s="185" t="n"/>
      <c r="DZ161" s="185" t="n"/>
      <c r="EA161" s="185" t="n"/>
      <c r="EB161" s="185" t="n"/>
      <c r="EC161" s="185" t="n"/>
      <c r="ED161" s="185" t="n"/>
      <c r="EE161" s="185" t="n"/>
      <c r="EF161" s="185" t="n"/>
      <c r="EG161" s="185" t="n"/>
      <c r="EH161" s="185" t="n"/>
      <c r="EI161" s="185" t="n"/>
      <c r="EJ161" s="185" t="n"/>
      <c r="EK161" s="185" t="n"/>
      <c r="EL161" s="182" t="n"/>
      <c r="EM161" s="176" t="n"/>
      <c r="EN161" s="176" t="n"/>
      <c r="EO161" s="176" t="n"/>
      <c r="EP161" s="176" t="n"/>
      <c r="EQ161" s="176" t="n"/>
      <c r="ER161" s="176" t="n"/>
      <c r="ES161" s="176" t="n"/>
      <c r="ET161" s="176" t="n"/>
      <c r="EU161" s="176" t="n"/>
      <c r="EV161" s="176" t="n"/>
      <c r="EW161" s="176" t="n"/>
      <c r="EX161" s="176" t="n"/>
      <c r="EY161" s="176" t="n"/>
      <c r="EZ161" s="176" t="n"/>
      <c r="FA161" s="176" t="n"/>
      <c r="FB161" s="176" t="n"/>
      <c r="FC161" s="176" t="n"/>
      <c r="FD161" s="176" t="n"/>
      <c r="FE161" s="176" t="n"/>
      <c r="FF161" s="176" t="n"/>
      <c r="FG161" s="176" t="n"/>
      <c r="FH161" s="176" t="n"/>
      <c r="FI161" s="176" t="n"/>
      <c r="FJ161" s="176" t="n"/>
    </row>
    <row r="162" ht="15" customHeight="1" s="392">
      <c r="A162" s="176" t="n"/>
      <c r="B162" s="180" t="n"/>
      <c r="C162" s="183" t="inlineStr">
        <is>
          <t xml:space="preserve">    Common Shares Issued</t>
        </is>
      </c>
      <c r="D162" s="185" t="n"/>
      <c r="E162" s="185" t="n"/>
      <c r="F162" s="185" t="n"/>
      <c r="G162" s="185" t="n"/>
      <c r="H162" s="185" t="n"/>
      <c r="I162" s="185" t="n"/>
      <c r="J162" s="185" t="n"/>
      <c r="K162" s="185" t="n"/>
      <c r="EL162" s="182" t="n"/>
      <c r="EM162" s="176" t="n"/>
      <c r="EN162" s="176" t="n"/>
      <c r="EO162" s="176" t="n"/>
      <c r="EP162" s="176" t="n"/>
      <c r="EQ162" s="176" t="n"/>
      <c r="ER162" s="176" t="n"/>
      <c r="ES162" s="176" t="n"/>
      <c r="ET162" s="176" t="n"/>
      <c r="EU162" s="176" t="n"/>
      <c r="EV162" s="176" t="n"/>
      <c r="EW162" s="176" t="n"/>
      <c r="EX162" s="176" t="n"/>
      <c r="EY162" s="176" t="n"/>
      <c r="EZ162" s="176" t="n"/>
      <c r="FA162" s="176" t="n"/>
      <c r="FB162" s="176" t="n"/>
      <c r="FC162" s="176" t="n"/>
      <c r="FD162" s="176" t="n"/>
      <c r="FE162" s="176" t="n"/>
      <c r="FF162" s="176" t="n"/>
      <c r="FG162" s="176" t="n"/>
      <c r="FH162" s="176" t="n"/>
      <c r="FI162" s="176" t="n"/>
      <c r="FJ162" s="176" t="n"/>
    </row>
    <row r="163" ht="15" customHeight="1" s="392">
      <c r="A163" s="176" t="n"/>
      <c r="B163" s="180" t="n"/>
      <c r="C163" s="183" t="inlineStr">
        <is>
          <t xml:space="preserve">        Common Shares Outstanding</t>
        </is>
      </c>
      <c r="D163" s="190">
        <f>IF(COUNT(M163:EK163)&gt;0,MEDIAN(M163:EK163),"")</f>
        <v/>
      </c>
      <c r="E163" s="190">
        <f>IF(COUNT(M163:EK163)&gt;0,AVERAGE(M163:EK163),"")</f>
        <v/>
      </c>
      <c r="F163" s="190">
        <f>IF(COUNT(M163:EK163)&gt;0,MIN(M163:EK163),"")</f>
        <v/>
      </c>
      <c r="G163" s="190">
        <f>IF(COUNT(M163:EK163)&gt;0,MAX(M163:EK163),"")</f>
        <v/>
      </c>
      <c r="H163" s="190">
        <f>IF(COUNT(M163:EK163)&gt;0,QUARTILE(M163:EK163,1),"")</f>
        <v/>
      </c>
      <c r="I163" s="190">
        <f>IF(COUNT(M163:EK163)&gt;0,QUARTILE(M163:EK163,3),"")</f>
        <v/>
      </c>
      <c r="J163" s="190">
        <f>IF(COUNT(M163:EK163)&gt;1,STDEV(M163:EK163),"")</f>
        <v/>
      </c>
      <c r="K163" s="191">
        <f>IF(COUNT(M163:EK163)&gt;1,STDEV(M163:EK163)/AVERAGE(M163:EK163),"")</f>
        <v/>
      </c>
      <c r="M163" s="192" t="n">
        <v>925811482</v>
      </c>
      <c r="N163" s="192" t="n">
        <v>925811482</v>
      </c>
      <c r="O163" s="192" t="n">
        <v>963290932</v>
      </c>
      <c r="P163" s="192" t="n">
        <v>967904634</v>
      </c>
      <c r="Q163" s="192" t="n">
        <v>967478690</v>
      </c>
      <c r="R163" s="192" t="n">
        <v>966812661</v>
      </c>
      <c r="S163" s="192" t="n">
        <v>966053166</v>
      </c>
      <c r="T163" s="192" t="n">
        <v>963524402</v>
      </c>
      <c r="U163" s="192" t="n">
        <v>962967011</v>
      </c>
      <c r="V163" s="192" t="n">
        <v>962268657</v>
      </c>
      <c r="W163" s="192" t="n">
        <v>961311496</v>
      </c>
      <c r="X163" s="192" t="n">
        <v>960208274</v>
      </c>
      <c r="Y163" s="192" t="n">
        <v>957344162</v>
      </c>
      <c r="Z163" s="192" t="n">
        <v>954260050</v>
      </c>
      <c r="AA163" s="192" t="n">
        <v>953128296</v>
      </c>
      <c r="AB163" s="192" t="n">
        <v>952391628</v>
      </c>
      <c r="AC163" s="192" t="n">
        <v>952163896</v>
      </c>
      <c r="AD163" s="192" t="n">
        <v>950454464</v>
      </c>
      <c r="AE163" s="192" t="n">
        <v>949897968</v>
      </c>
      <c r="AF163" s="192" t="n">
        <v>948725400</v>
      </c>
      <c r="AG163" s="192" t="n">
        <v>948057092</v>
      </c>
      <c r="AH163" s="192" t="n">
        <v>946273576</v>
      </c>
      <c r="AI163" s="192" t="n">
        <v>945228168</v>
      </c>
      <c r="AJ163" s="192" t="n">
        <v>944472028</v>
      </c>
      <c r="AK163" s="192" t="n">
        <v>941261348</v>
      </c>
      <c r="AL163" s="192" t="n">
        <v>938804056</v>
      </c>
      <c r="AM163" s="192" t="n">
        <v>934546740</v>
      </c>
      <c r="AN163" s="192" t="n">
        <v>929734312</v>
      </c>
      <c r="AO163" s="192" t="n">
        <v>919161072</v>
      </c>
      <c r="AP163" s="192" t="n">
        <v>915254588</v>
      </c>
      <c r="AQ163" s="192" t="n">
        <v>906802680</v>
      </c>
      <c r="AR163" s="192" t="n">
        <v>936032648</v>
      </c>
      <c r="AS163" s="192" t="n">
        <v>935595364</v>
      </c>
      <c r="AT163" s="192" t="n">
        <v>929021520</v>
      </c>
      <c r="AU163" s="192" t="n">
        <v>927310448</v>
      </c>
      <c r="AV163" s="192" t="n">
        <v>924874476</v>
      </c>
      <c r="AW163" s="192" t="n">
        <v>921953184</v>
      </c>
      <c r="AX163" s="192" t="n">
        <v>921325020</v>
      </c>
      <c r="AY163" s="192" t="n">
        <v>918085912</v>
      </c>
      <c r="AZ163" s="192" t="n">
        <v>916095984</v>
      </c>
      <c r="BA163" s="192" t="n">
        <v>880976480</v>
      </c>
      <c r="BB163" s="192" t="n">
        <v>873773072</v>
      </c>
      <c r="BC163" s="192" t="n">
        <v>895995664</v>
      </c>
      <c r="BD163" s="192" t="n">
        <v>961844080</v>
      </c>
      <c r="BE163" s="192" t="n">
        <v>961250720</v>
      </c>
      <c r="BF163" s="192" t="n">
        <v>1012172784</v>
      </c>
      <c r="BG163" s="192" t="n">
        <v>1011413888</v>
      </c>
      <c r="BH163" s="192" t="n">
        <v>1010682024</v>
      </c>
      <c r="BI163" s="192" t="n">
        <v>1009146928</v>
      </c>
      <c r="BJ163" s="192" t="n">
        <v>1007232024</v>
      </c>
      <c r="BK163" s="192" t="n">
        <v>1006880080</v>
      </c>
      <c r="BL163" s="192" t="n">
        <v>1004378144</v>
      </c>
      <c r="BM163" s="192" t="n">
        <v>1003959960</v>
      </c>
      <c r="BN163" s="192" t="n">
        <v>1003495936</v>
      </c>
      <c r="BO163" s="192" t="n">
        <v>1002272976</v>
      </c>
      <c r="BP163" s="192" t="n">
        <v>994381464</v>
      </c>
      <c r="BQ163" s="192" t="n">
        <v>995149600</v>
      </c>
      <c r="BR163" s="192" t="n">
        <v>1014988640</v>
      </c>
      <c r="BS163" s="192" t="n">
        <v>1012203632</v>
      </c>
      <c r="BT163" s="192" t="n">
        <v>1040876976</v>
      </c>
      <c r="BU163" s="192" t="n">
        <v>1056088272</v>
      </c>
      <c r="BV163" s="192" t="n">
        <v>1103104000</v>
      </c>
      <c r="BW163" s="192" t="n">
        <v>1314976000</v>
      </c>
      <c r="BX163" s="192" t="n">
        <v>1349809008</v>
      </c>
      <c r="BY163" s="192" t="n">
        <v>1349328000</v>
      </c>
      <c r="BZ163" s="192" t="n">
        <v>1347792000</v>
      </c>
      <c r="CA163" s="192" t="n">
        <v>1346336000</v>
      </c>
      <c r="CB163" s="192" t="n">
        <v>1343021024</v>
      </c>
      <c r="CC163" s="192" t="n">
        <v>1345970448</v>
      </c>
      <c r="CD163" s="192" t="n">
        <v>1338678688</v>
      </c>
      <c r="CE163" s="192" t="n">
        <v>1332542368</v>
      </c>
      <c r="CF163" s="192" t="n">
        <v>1332399920</v>
      </c>
      <c r="CG163" s="192" t="n">
        <v>1367088000</v>
      </c>
      <c r="CH163" s="192" t="n">
        <v>1410704000</v>
      </c>
      <c r="CI163" s="192" t="n">
        <v>1424672000</v>
      </c>
      <c r="CJ163" s="192" t="n">
        <v>1413717744</v>
      </c>
      <c r="CK163" s="192" t="n">
        <v>1460706048</v>
      </c>
      <c r="CL163" s="192" t="n">
        <v>1459712000</v>
      </c>
      <c r="CM163" s="192" t="n">
        <v>1448864000</v>
      </c>
      <c r="CN163" s="192" t="n">
        <v>1447123328</v>
      </c>
      <c r="CO163" s="192" t="n">
        <v>1445600000</v>
      </c>
      <c r="CP163" s="192" t="n">
        <v>1443760000</v>
      </c>
      <c r="CQ163" s="192" t="n">
        <v>1447136000</v>
      </c>
      <c r="CR163" s="192" t="n">
        <v>1445402288</v>
      </c>
      <c r="CS163" s="192" t="n">
        <v>1443520128</v>
      </c>
      <c r="CT163" s="192" t="n">
        <v>1442497856</v>
      </c>
      <c r="CU163" s="192" t="n">
        <v>1441486304</v>
      </c>
      <c r="CV163" s="192" t="n">
        <v>1441213488</v>
      </c>
      <c r="CW163" s="192" t="n">
        <v>1436242224</v>
      </c>
      <c r="CX163" s="192" t="n">
        <v>1425921760</v>
      </c>
      <c r="CY163" s="192" t="n">
        <v>1423460992</v>
      </c>
      <c r="CZ163" s="192" t="n">
        <v>1438134592</v>
      </c>
      <c r="DA163" s="192" t="n">
        <v>1436365136</v>
      </c>
      <c r="DB163" s="192" t="n">
        <v>1479136336</v>
      </c>
      <c r="DC163" s="192" t="n">
        <v>1476237744</v>
      </c>
      <c r="DD163" s="192" t="n">
        <v>1475837744</v>
      </c>
      <c r="DE163" s="192" t="n">
        <v>1455903136</v>
      </c>
      <c r="DF163" s="192" t="n">
        <v>1451043936</v>
      </c>
      <c r="DG163" s="192" t="n">
        <v>1336697448</v>
      </c>
      <c r="DH163" s="192" t="n">
        <v>1328007120</v>
      </c>
      <c r="DI163" s="192" t="n">
        <v>1323337320</v>
      </c>
      <c r="DJ163" s="192" t="n">
        <v>1320586536</v>
      </c>
      <c r="DK163" s="192" t="n">
        <v>1309490256</v>
      </c>
      <c r="DL163" s="192" t="n">
        <v>1309274256</v>
      </c>
      <c r="DM163" s="192" t="n">
        <v>1295819280</v>
      </c>
      <c r="DN163" s="192" t="n">
        <v>1290984000</v>
      </c>
      <c r="DO163" s="192" t="n">
        <v>1288704000</v>
      </c>
      <c r="DP163" s="192" t="n">
        <v>1288560000</v>
      </c>
      <c r="DQ163" s="192" t="n">
        <v>1282752000</v>
      </c>
      <c r="DR163" s="192" t="n">
        <v>1280976000</v>
      </c>
      <c r="DS163" s="192" t="n">
        <v>1278336000</v>
      </c>
      <c r="DT163" s="192" t="n">
        <v>1274400000</v>
      </c>
      <c r="DU163" s="192" t="n">
        <v>1269408000</v>
      </c>
      <c r="DV163" s="192" t="n">
        <v>1268640000</v>
      </c>
      <c r="DW163" s="192" t="n">
        <v>1259520000</v>
      </c>
      <c r="DX163" s="192" t="n">
        <v>1254816000</v>
      </c>
      <c r="DY163" s="192" t="n">
        <v>1247232000</v>
      </c>
      <c r="DZ163" s="192" t="n">
        <v>1245408000</v>
      </c>
      <c r="EA163" s="192" t="n">
        <v>1214976000</v>
      </c>
      <c r="EB163" s="192" t="n">
        <v>1212929536</v>
      </c>
      <c r="EC163" s="192" t="n">
        <v>1203238384</v>
      </c>
      <c r="ED163" s="192" t="n">
        <v>1199592208</v>
      </c>
      <c r="EE163" s="192" t="n">
        <v>1188845584</v>
      </c>
      <c r="EF163" s="192" t="n">
        <v>1187118448</v>
      </c>
      <c r="EG163" s="192" t="n">
        <v>892257872</v>
      </c>
      <c r="EH163" s="192" t="n">
        <v>869229392</v>
      </c>
      <c r="EI163" s="192" t="n">
        <v>859730128</v>
      </c>
      <c r="EJ163" s="192" t="n">
        <v>839868064</v>
      </c>
      <c r="EK163" s="192" t="n">
        <v>835838080</v>
      </c>
      <c r="EL163" s="182" t="n"/>
      <c r="EM163" s="176" t="n"/>
      <c r="EN163" s="176" t="n"/>
      <c r="EO163" s="176" t="n"/>
      <c r="EP163" s="176" t="n"/>
      <c r="EQ163" s="176" t="n"/>
      <c r="ER163" s="176" t="n"/>
      <c r="ES163" s="176" t="n"/>
      <c r="ET163" s="176" t="n"/>
      <c r="EU163" s="176" t="n"/>
      <c r="EV163" s="176" t="n"/>
      <c r="EW163" s="176" t="n"/>
      <c r="EX163" s="176" t="n"/>
      <c r="EY163" s="176" t="n"/>
      <c r="EZ163" s="176" t="n"/>
      <c r="FA163" s="176" t="n"/>
      <c r="FB163" s="176" t="n"/>
      <c r="FC163" s="176" t="n"/>
      <c r="FD163" s="176" t="n"/>
      <c r="FE163" s="176" t="n"/>
      <c r="FF163" s="176" t="n"/>
      <c r="FG163" s="176" t="n"/>
      <c r="FH163" s="176" t="n"/>
      <c r="FI163" s="176" t="n"/>
      <c r="FJ163" s="176" t="n"/>
    </row>
    <row r="164" ht="15" customHeight="1" s="392">
      <c r="A164" s="176" t="n"/>
      <c r="B164" s="180" t="n"/>
      <c r="C164" s="187" t="inlineStr">
        <is>
          <t xml:space="preserve">    Total Common Shares Issued</t>
        </is>
      </c>
      <c r="D164" s="193">
        <f>IF(COUNT(M164:EK164)&gt;0,MEDIAN(M164:EK164),"")</f>
        <v/>
      </c>
      <c r="E164" s="193">
        <f>IF(COUNT(M164:EK164)&gt;0,AVERAGE(M164:EK164),"")</f>
        <v/>
      </c>
      <c r="F164" s="193">
        <f>IF(COUNT(M164:EK164)&gt;0,MIN(M164:EK164),"")</f>
        <v/>
      </c>
      <c r="G164" s="193">
        <f>IF(COUNT(M164:EK164)&gt;0,MAX(M164:EK164),"")</f>
        <v/>
      </c>
      <c r="H164" s="193">
        <f>IF(COUNT(M164:EK164)&gt;0,QUARTILE(M164:EK164,1),"")</f>
        <v/>
      </c>
      <c r="I164" s="193">
        <f>IF(COUNT(M164:EK164)&gt;0,QUARTILE(M164:EK164,3),"")</f>
        <v/>
      </c>
      <c r="J164" s="193">
        <f>IF(COUNT(M164:EK164)&gt;1,STDEV(M164:EK164),"")</f>
        <v/>
      </c>
      <c r="K164" s="194">
        <f>IF(COUNT(M164:EK164)&gt;1,STDEV(M164:EK164)/AVERAGE(M164:EK164),"")</f>
        <v/>
      </c>
      <c r="L164" s="195" t="n"/>
      <c r="M164" s="196" t="n">
        <v>925811482</v>
      </c>
      <c r="N164" s="196" t="n">
        <v>925811482</v>
      </c>
      <c r="O164" s="196" t="n">
        <v>963290932</v>
      </c>
      <c r="P164" s="196" t="n">
        <v>967904634</v>
      </c>
      <c r="Q164" s="196" t="n">
        <v>967478690</v>
      </c>
      <c r="R164" s="196" t="n">
        <v>966812661</v>
      </c>
      <c r="S164" s="196" t="n">
        <v>966053166</v>
      </c>
      <c r="T164" s="196" t="n">
        <v>963524402</v>
      </c>
      <c r="U164" s="196" t="n">
        <v>962967011</v>
      </c>
      <c r="V164" s="196" t="n">
        <v>962268657</v>
      </c>
      <c r="W164" s="196" t="n">
        <v>961311496</v>
      </c>
      <c r="X164" s="196" t="n">
        <v>960208274</v>
      </c>
      <c r="Y164" s="196" t="n">
        <v>957344162</v>
      </c>
      <c r="Z164" s="196" t="n">
        <v>954260050</v>
      </c>
      <c r="AA164" s="196" t="n">
        <v>953128296</v>
      </c>
      <c r="AB164" s="196" t="n">
        <v>952391628</v>
      </c>
      <c r="AC164" s="196" t="n">
        <v>952163896</v>
      </c>
      <c r="AD164" s="196" t="n">
        <v>950454464</v>
      </c>
      <c r="AE164" s="196" t="n">
        <v>949897968</v>
      </c>
      <c r="AF164" s="196" t="n">
        <v>948725400</v>
      </c>
      <c r="AG164" s="196" t="n">
        <v>948057092</v>
      </c>
      <c r="AH164" s="196" t="n">
        <v>946273576</v>
      </c>
      <c r="AI164" s="196" t="n">
        <v>945228168</v>
      </c>
      <c r="AJ164" s="196" t="n">
        <v>944472028</v>
      </c>
      <c r="AK164" s="196" t="n">
        <v>941261348</v>
      </c>
      <c r="AL164" s="196" t="n">
        <v>938804056</v>
      </c>
      <c r="AM164" s="196" t="n">
        <v>934546740</v>
      </c>
      <c r="AN164" s="196" t="n">
        <v>929734312</v>
      </c>
      <c r="AO164" s="196" t="n">
        <v>919161072</v>
      </c>
      <c r="AP164" s="196" t="n">
        <v>915254588</v>
      </c>
      <c r="AQ164" s="196" t="n">
        <v>906802680</v>
      </c>
      <c r="AR164" s="196" t="n">
        <v>936032648</v>
      </c>
      <c r="AS164" s="196" t="n">
        <v>935595364</v>
      </c>
      <c r="AT164" s="196" t="n">
        <v>929021520</v>
      </c>
      <c r="AU164" s="196" t="n">
        <v>927310448</v>
      </c>
      <c r="AV164" s="196" t="n">
        <v>924874476</v>
      </c>
      <c r="AW164" s="196" t="n">
        <v>921953184</v>
      </c>
      <c r="AX164" s="196" t="n">
        <v>921325020</v>
      </c>
      <c r="AY164" s="196" t="n">
        <v>918085912</v>
      </c>
      <c r="AZ164" s="196" t="n">
        <v>916095984</v>
      </c>
      <c r="BA164" s="196" t="n">
        <v>880976480</v>
      </c>
      <c r="BB164" s="196" t="n">
        <v>873773072</v>
      </c>
      <c r="BC164" s="196" t="n">
        <v>895995664</v>
      </c>
      <c r="BD164" s="196" t="n">
        <v>961844080</v>
      </c>
      <c r="BE164" s="196" t="n">
        <v>961250720</v>
      </c>
      <c r="BF164" s="196" t="n">
        <v>1012172784</v>
      </c>
      <c r="BG164" s="196" t="n">
        <v>1011413888</v>
      </c>
      <c r="BH164" s="196" t="n">
        <v>1010682024</v>
      </c>
      <c r="BI164" s="196" t="n">
        <v>1009146928</v>
      </c>
      <c r="BJ164" s="196" t="n">
        <v>1007232024</v>
      </c>
      <c r="BK164" s="196" t="n">
        <v>1006880080</v>
      </c>
      <c r="BL164" s="196" t="n">
        <v>1004378144</v>
      </c>
      <c r="BM164" s="196" t="n">
        <v>1003959960</v>
      </c>
      <c r="BN164" s="196" t="n">
        <v>1003495936</v>
      </c>
      <c r="BO164" s="196" t="n">
        <v>1002272976</v>
      </c>
      <c r="BP164" s="196" t="n">
        <v>994381464</v>
      </c>
      <c r="BQ164" s="196" t="n">
        <v>995149600</v>
      </c>
      <c r="BR164" s="196" t="n">
        <v>1014988640</v>
      </c>
      <c r="BS164" s="196" t="n">
        <v>1012203632</v>
      </c>
      <c r="BT164" s="196" t="n">
        <v>1040876976</v>
      </c>
      <c r="BU164" s="196" t="n">
        <v>1056088272</v>
      </c>
      <c r="BV164" s="196" t="n">
        <v>1103104000</v>
      </c>
      <c r="BW164" s="196" t="n">
        <v>1314976000</v>
      </c>
      <c r="BX164" s="196" t="n">
        <v>1349809008</v>
      </c>
      <c r="BY164" s="196" t="n">
        <v>1349328000</v>
      </c>
      <c r="BZ164" s="196" t="n">
        <v>1347792000</v>
      </c>
      <c r="CA164" s="196" t="n">
        <v>1346336000</v>
      </c>
      <c r="CB164" s="196" t="n">
        <v>1343021024</v>
      </c>
      <c r="CC164" s="196" t="n">
        <v>1345970448</v>
      </c>
      <c r="CD164" s="196" t="n">
        <v>1338678688</v>
      </c>
      <c r="CE164" s="196" t="n">
        <v>1332542368</v>
      </c>
      <c r="CF164" s="196" t="n">
        <v>1332399920</v>
      </c>
      <c r="CG164" s="196" t="n">
        <v>1367088000</v>
      </c>
      <c r="CH164" s="196" t="n">
        <v>1410704000</v>
      </c>
      <c r="CI164" s="196" t="n">
        <v>1424672000</v>
      </c>
      <c r="CJ164" s="196" t="n">
        <v>1413717744</v>
      </c>
      <c r="CK164" s="196" t="n">
        <v>1460706048</v>
      </c>
      <c r="CL164" s="196" t="n">
        <v>1459712000</v>
      </c>
      <c r="CM164" s="196" t="n">
        <v>1448864000</v>
      </c>
      <c r="CN164" s="196" t="n">
        <v>1447123328</v>
      </c>
      <c r="CO164" s="196" t="n">
        <v>1445600000</v>
      </c>
      <c r="CP164" s="196" t="n">
        <v>1443760000</v>
      </c>
      <c r="CQ164" s="196" t="n">
        <v>1447136000</v>
      </c>
      <c r="CR164" s="196" t="n">
        <v>1445402288</v>
      </c>
      <c r="CS164" s="196" t="n">
        <v>1443520128</v>
      </c>
      <c r="CT164" s="196" t="n">
        <v>1442497856</v>
      </c>
      <c r="CU164" s="196" t="n">
        <v>1441486304</v>
      </c>
      <c r="CV164" s="196" t="n">
        <v>1441213488</v>
      </c>
      <c r="CW164" s="196" t="n">
        <v>1436242224</v>
      </c>
      <c r="CX164" s="196" t="n">
        <v>1425921760</v>
      </c>
      <c r="CY164" s="196" t="n">
        <v>1423460992</v>
      </c>
      <c r="CZ164" s="196" t="n">
        <v>1438134592</v>
      </c>
      <c r="DA164" s="196" t="n">
        <v>1436365136</v>
      </c>
      <c r="DB164" s="196" t="n">
        <v>1479136336</v>
      </c>
      <c r="DC164" s="196" t="n">
        <v>1476237744</v>
      </c>
      <c r="DD164" s="196" t="n">
        <v>1475837744</v>
      </c>
      <c r="DE164" s="196" t="n">
        <v>1455903136</v>
      </c>
      <c r="DF164" s="196" t="n">
        <v>1451043936</v>
      </c>
      <c r="DG164" s="196" t="n">
        <v>1336697448</v>
      </c>
      <c r="DH164" s="196" t="n">
        <v>1328007120</v>
      </c>
      <c r="DI164" s="196" t="n">
        <v>1323337320</v>
      </c>
      <c r="DJ164" s="196" t="n">
        <v>1320586536</v>
      </c>
      <c r="DK164" s="196" t="n">
        <v>1309490256</v>
      </c>
      <c r="DL164" s="196" t="n">
        <v>1309274256</v>
      </c>
      <c r="DM164" s="196" t="n">
        <v>1295819280</v>
      </c>
      <c r="DN164" s="196" t="n">
        <v>1290984000</v>
      </c>
      <c r="DO164" s="196" t="n">
        <v>1288704000</v>
      </c>
      <c r="DP164" s="196" t="n">
        <v>1288560000</v>
      </c>
      <c r="DQ164" s="196" t="n">
        <v>1282752000</v>
      </c>
      <c r="DR164" s="196" t="n">
        <v>1280976000</v>
      </c>
      <c r="DS164" s="196" t="n">
        <v>1278336000</v>
      </c>
      <c r="DT164" s="196" t="n">
        <v>1274400000</v>
      </c>
      <c r="DU164" s="196" t="n">
        <v>1269408000</v>
      </c>
      <c r="DV164" s="196" t="n">
        <v>1268640000</v>
      </c>
      <c r="DW164" s="196" t="n">
        <v>1259520000</v>
      </c>
      <c r="DX164" s="196" t="n">
        <v>1254816000</v>
      </c>
      <c r="DY164" s="196" t="n">
        <v>1247232000</v>
      </c>
      <c r="DZ164" s="196" t="n">
        <v>1245408000</v>
      </c>
      <c r="EA164" s="196" t="n">
        <v>1214976000</v>
      </c>
      <c r="EB164" s="196" t="n">
        <v>1212929536</v>
      </c>
      <c r="EC164" s="196" t="n">
        <v>1203238384</v>
      </c>
      <c r="ED164" s="196" t="n">
        <v>1199592208</v>
      </c>
      <c r="EE164" s="196" t="n">
        <v>1188845584</v>
      </c>
      <c r="EF164" s="196" t="n">
        <v>1187118448</v>
      </c>
      <c r="EG164" s="196" t="n">
        <v>892257872</v>
      </c>
      <c r="EH164" s="196" t="n">
        <v>869229392</v>
      </c>
      <c r="EI164" s="196" t="n">
        <v>859730128</v>
      </c>
      <c r="EJ164" s="196" t="n">
        <v>839868064</v>
      </c>
      <c r="EK164" s="196" t="n">
        <v>835838080</v>
      </c>
      <c r="EL164" s="182" t="n"/>
      <c r="EM164" s="176" t="n"/>
      <c r="EN164" s="176" t="n"/>
      <c r="EO164" s="176" t="n"/>
      <c r="EP164" s="176" t="n"/>
      <c r="EQ164" s="176" t="n"/>
      <c r="ER164" s="176" t="n"/>
      <c r="ES164" s="176" t="n"/>
      <c r="ET164" s="176" t="n"/>
      <c r="EU164" s="176" t="n"/>
      <c r="EV164" s="176" t="n"/>
      <c r="EW164" s="176" t="n"/>
      <c r="EX164" s="176" t="n"/>
      <c r="EY164" s="176" t="n"/>
      <c r="EZ164" s="176" t="n"/>
      <c r="FA164" s="176" t="n"/>
      <c r="FB164" s="176" t="n"/>
      <c r="FC164" s="176" t="n"/>
      <c r="FD164" s="176" t="n"/>
      <c r="FE164" s="176" t="n"/>
      <c r="FF164" s="176" t="n"/>
      <c r="FG164" s="176" t="n"/>
      <c r="FH164" s="176" t="n"/>
      <c r="FI164" s="176" t="n"/>
      <c r="FJ164" s="176" t="n"/>
    </row>
    <row r="165" ht="15" customHeight="1" s="392">
      <c r="A165" s="176" t="n"/>
      <c r="B165" s="180" t="n"/>
      <c r="C165" s="189" t="inlineStr">
        <is>
          <t>Maturity Schedules</t>
        </is>
      </c>
      <c r="D165" s="185" t="n"/>
      <c r="E165" s="185" t="n"/>
      <c r="F165" s="185" t="n"/>
      <c r="G165" s="185" t="n"/>
      <c r="H165" s="185" t="n"/>
      <c r="I165" s="185" t="n"/>
      <c r="J165" s="185" t="n"/>
      <c r="K165" s="185" t="n"/>
      <c r="L165" s="185" t="n"/>
      <c r="M165" s="185" t="n"/>
      <c r="N165" s="185" t="n"/>
      <c r="O165" s="185" t="n"/>
      <c r="P165" s="185" t="n"/>
      <c r="Q165" s="185" t="n"/>
      <c r="R165" s="185" t="n"/>
      <c r="S165" s="185" t="n"/>
      <c r="T165" s="185" t="n"/>
      <c r="U165" s="185" t="n"/>
      <c r="V165" s="185" t="n"/>
      <c r="W165" s="185" t="n"/>
      <c r="X165" s="185" t="n"/>
      <c r="Y165" s="185" t="n"/>
      <c r="Z165" s="185" t="n"/>
      <c r="AA165" s="185" t="n"/>
      <c r="AB165" s="185" t="n"/>
      <c r="AC165" s="185" t="n"/>
      <c r="AD165" s="185" t="n"/>
      <c r="AE165" s="185" t="n"/>
      <c r="AF165" s="185" t="n"/>
      <c r="AG165" s="185" t="n"/>
      <c r="AH165" s="185" t="n"/>
      <c r="AI165" s="185" t="n"/>
      <c r="AJ165" s="185" t="n"/>
      <c r="AK165" s="185" t="n"/>
      <c r="AL165" s="185" t="n"/>
      <c r="AM165" s="185" t="n"/>
      <c r="AN165" s="185" t="n"/>
      <c r="AO165" s="185" t="n"/>
      <c r="AP165" s="185" t="n"/>
      <c r="AQ165" s="185" t="n"/>
      <c r="AR165" s="185" t="n"/>
      <c r="AS165" s="185" t="n"/>
      <c r="AT165" s="185" t="n"/>
      <c r="AU165" s="185" t="n"/>
      <c r="AV165" s="185" t="n"/>
      <c r="AW165" s="185" t="n"/>
      <c r="AX165" s="185" t="n"/>
      <c r="AY165" s="185" t="n"/>
      <c r="AZ165" s="185" t="n"/>
      <c r="BA165" s="185" t="n"/>
      <c r="BB165" s="185" t="n"/>
      <c r="BC165" s="185" t="n"/>
      <c r="BD165" s="185" t="n"/>
      <c r="BE165" s="185" t="n"/>
      <c r="BF165" s="185" t="n"/>
      <c r="BG165" s="185" t="n"/>
      <c r="BH165" s="185" t="n"/>
      <c r="BI165" s="185" t="n"/>
      <c r="BJ165" s="185" t="n"/>
      <c r="BK165" s="185" t="n"/>
      <c r="BL165" s="185" t="n"/>
      <c r="BM165" s="185" t="n"/>
      <c r="BN165" s="185" t="n"/>
      <c r="BO165" s="185" t="n"/>
      <c r="BP165" s="185" t="n"/>
      <c r="BQ165" s="185" t="n"/>
      <c r="BR165" s="185" t="n"/>
      <c r="BS165" s="185" t="n"/>
      <c r="BT165" s="185" t="n"/>
      <c r="BU165" s="185" t="n"/>
      <c r="BV165" s="185" t="n"/>
      <c r="BW165" s="185" t="n"/>
      <c r="BX165" s="185" t="n"/>
      <c r="BY165" s="185" t="n"/>
      <c r="BZ165" s="185" t="n"/>
      <c r="CA165" s="185" t="n"/>
      <c r="CB165" s="185" t="n"/>
      <c r="CC165" s="185" t="n"/>
      <c r="CD165" s="185" t="n"/>
      <c r="CE165" s="185" t="n"/>
      <c r="CF165" s="185" t="n"/>
      <c r="CG165" s="185" t="n"/>
      <c r="CH165" s="185" t="n"/>
      <c r="CI165" s="185" t="n"/>
      <c r="CJ165" s="185" t="n"/>
      <c r="CK165" s="185" t="n"/>
      <c r="CL165" s="185" t="n"/>
      <c r="CM165" s="185" t="n"/>
      <c r="CN165" s="185" t="n"/>
      <c r="CO165" s="185" t="n"/>
      <c r="CP165" s="185" t="n"/>
      <c r="CQ165" s="185" t="n"/>
      <c r="CR165" s="185" t="n"/>
      <c r="CS165" s="185" t="n"/>
      <c r="CT165" s="185" t="n"/>
      <c r="CU165" s="185" t="n"/>
      <c r="CV165" s="185" t="n"/>
      <c r="CW165" s="185" t="n"/>
      <c r="CX165" s="185" t="n"/>
      <c r="CY165" s="185" t="n"/>
      <c r="CZ165" s="185" t="n"/>
      <c r="DA165" s="185" t="n"/>
      <c r="DB165" s="185" t="n"/>
      <c r="DC165" s="185" t="n"/>
      <c r="DD165" s="185" t="n"/>
      <c r="DE165" s="185" t="n"/>
      <c r="DF165" s="185" t="n"/>
      <c r="DG165" s="185" t="n"/>
      <c r="DH165" s="185" t="n"/>
      <c r="DI165" s="185" t="n"/>
      <c r="DJ165" s="185" t="n"/>
      <c r="DK165" s="185" t="n"/>
      <c r="DL165" s="185" t="n"/>
      <c r="DM165" s="185" t="n"/>
      <c r="DN165" s="185" t="n"/>
      <c r="DO165" s="185" t="n"/>
      <c r="DP165" s="185" t="n"/>
      <c r="DQ165" s="185" t="n"/>
      <c r="DR165" s="185" t="n"/>
      <c r="DS165" s="185" t="n"/>
      <c r="DT165" s="185" t="n"/>
      <c r="DU165" s="185" t="n"/>
      <c r="DV165" s="185" t="n"/>
      <c r="DW165" s="185" t="n"/>
      <c r="DX165" s="185" t="n"/>
      <c r="DY165" s="185" t="n"/>
      <c r="DZ165" s="185" t="n"/>
      <c r="EA165" s="185" t="n"/>
      <c r="EB165" s="185" t="n"/>
      <c r="EC165" s="185" t="n"/>
      <c r="ED165" s="185" t="n"/>
      <c r="EE165" s="185" t="n"/>
      <c r="EF165" s="185" t="n"/>
      <c r="EG165" s="185" t="n"/>
      <c r="EH165" s="185" t="n"/>
      <c r="EI165" s="185" t="n"/>
      <c r="EJ165" s="185" t="n"/>
      <c r="EK165" s="185" t="n"/>
      <c r="EL165" s="182" t="n"/>
      <c r="EM165" s="176" t="n"/>
      <c r="EN165" s="176" t="n"/>
      <c r="EO165" s="176" t="n"/>
      <c r="EP165" s="176" t="n"/>
      <c r="EQ165" s="176" t="n"/>
      <c r="ER165" s="176" t="n"/>
      <c r="ES165" s="176" t="n"/>
      <c r="ET165" s="176" t="n"/>
      <c r="EU165" s="176" t="n"/>
      <c r="EV165" s="176" t="n"/>
      <c r="EW165" s="176" t="n"/>
      <c r="EX165" s="176" t="n"/>
      <c r="EY165" s="176" t="n"/>
      <c r="EZ165" s="176" t="n"/>
      <c r="FA165" s="176" t="n"/>
      <c r="FB165" s="176" t="n"/>
      <c r="FC165" s="176" t="n"/>
      <c r="FD165" s="176" t="n"/>
      <c r="FE165" s="176" t="n"/>
      <c r="FF165" s="176" t="n"/>
      <c r="FG165" s="176" t="n"/>
      <c r="FH165" s="176" t="n"/>
      <c r="FI165" s="176" t="n"/>
      <c r="FJ165" s="176" t="n"/>
    </row>
    <row r="166" ht="15" customHeight="1" s="392">
      <c r="A166" s="176" t="n"/>
      <c r="B166" s="180" t="n"/>
      <c r="C166" s="183" t="inlineStr">
        <is>
          <t xml:space="preserve">    Debt Maturity Schedule</t>
        </is>
      </c>
      <c r="D166" s="185" t="n"/>
      <c r="E166" s="185" t="n"/>
      <c r="F166" s="185" t="n"/>
      <c r="G166" s="185" t="n"/>
      <c r="H166" s="185" t="n"/>
      <c r="I166" s="185" t="n"/>
      <c r="J166" s="185" t="n"/>
      <c r="K166" s="185" t="n"/>
      <c r="EL166" s="182" t="n"/>
      <c r="EM166" s="176" t="n"/>
      <c r="EN166" s="176" t="n"/>
      <c r="EO166" s="176" t="n"/>
      <c r="EP166" s="176" t="n"/>
      <c r="EQ166" s="176" t="n"/>
      <c r="ER166" s="176" t="n"/>
      <c r="ES166" s="176" t="n"/>
      <c r="ET166" s="176" t="n"/>
      <c r="EU166" s="176" t="n"/>
      <c r="EV166" s="176" t="n"/>
      <c r="EW166" s="176" t="n"/>
      <c r="EX166" s="176" t="n"/>
      <c r="EY166" s="176" t="n"/>
      <c r="EZ166" s="176" t="n"/>
      <c r="FA166" s="176" t="n"/>
      <c r="FB166" s="176" t="n"/>
      <c r="FC166" s="176" t="n"/>
      <c r="FD166" s="176" t="n"/>
      <c r="FE166" s="176" t="n"/>
      <c r="FF166" s="176" t="n"/>
      <c r="FG166" s="176" t="n"/>
      <c r="FH166" s="176" t="n"/>
      <c r="FI166" s="176" t="n"/>
      <c r="FJ166" s="176" t="n"/>
    </row>
    <row r="167" ht="15" customHeight="1" s="392">
      <c r="A167" s="176" t="n"/>
      <c r="B167" s="180" t="n"/>
      <c r="C167" s="183" t="inlineStr">
        <is>
          <t xml:space="preserve">        Debt due in Year 1</t>
        </is>
      </c>
      <c r="D167" s="190">
        <f>IF(COUNT(M167:EK167)&gt;0,MEDIAN(M167:EK167),"")</f>
        <v/>
      </c>
      <c r="E167" s="190">
        <f>IF(COUNT(M167:EK167)&gt;0,AVERAGE(M167:EK167),"")</f>
        <v/>
      </c>
      <c r="F167" s="190">
        <f>IF(COUNT(M167:EK167)&gt;0,MIN(M167:EK167),"")</f>
        <v/>
      </c>
      <c r="G167" s="190">
        <f>IF(COUNT(M167:EK167)&gt;0,MAX(M167:EK167),"")</f>
        <v/>
      </c>
      <c r="H167" s="190">
        <f>IF(COUNT(M167:EK167)&gt;0,QUARTILE(M167:EK167,1),"")</f>
        <v/>
      </c>
      <c r="I167" s="190">
        <f>IF(COUNT(M167:EK167)&gt;0,QUARTILE(M167:EK167,3),"")</f>
        <v/>
      </c>
      <c r="J167" s="190">
        <f>IF(COUNT(M167:EK167)&gt;1,STDEV(M167:EK167),"")</f>
        <v/>
      </c>
      <c r="K167" s="191">
        <f>IF(COUNT(M167:EK167)&gt;1,STDEV(M167:EK167)/AVERAGE(M167:EK167),"")</f>
        <v/>
      </c>
      <c r="M167" s="192" t="n"/>
      <c r="N167" s="192" t="n"/>
      <c r="O167" s="192" t="n"/>
      <c r="P167" s="192" t="n"/>
      <c r="Q167" s="192" t="n"/>
      <c r="R167" s="192" t="n"/>
      <c r="S167" s="192" t="n"/>
      <c r="T167" s="192" t="n"/>
      <c r="U167" s="192" t="n"/>
      <c r="V167" s="192" t="n"/>
      <c r="W167" s="192" t="n"/>
      <c r="X167" s="192" t="n"/>
      <c r="Y167" s="192" t="n"/>
      <c r="Z167" s="192" t="n"/>
      <c r="AA167" s="192" t="n"/>
      <c r="AB167" s="192" t="n"/>
      <c r="AC167" s="192" t="n"/>
      <c r="AD167" s="192" t="n"/>
      <c r="AE167" s="192" t="n"/>
      <c r="AF167" s="192" t="n"/>
      <c r="AG167" s="192" t="n"/>
      <c r="AH167" s="192" t="n"/>
      <c r="AI167" s="192" t="n"/>
      <c r="AJ167" s="192" t="n"/>
      <c r="AK167" s="192" t="n"/>
      <c r="AL167" s="192" t="n"/>
      <c r="AM167" s="192" t="n"/>
      <c r="AN167" s="192" t="n"/>
      <c r="AO167" s="192" t="n"/>
      <c r="AP167" s="192" t="n"/>
      <c r="AQ167" s="192" t="n"/>
      <c r="AR167" s="192" t="n"/>
      <c r="AS167" s="192" t="n"/>
      <c r="AT167" s="192" t="n"/>
      <c r="AU167" s="192" t="n"/>
      <c r="AV167" s="192" t="n"/>
      <c r="AW167" s="192" t="n">
        <v>81000</v>
      </c>
      <c r="AX167" s="192" t="n"/>
      <c r="AY167" s="192" t="n"/>
      <c r="AZ167" s="192" t="n"/>
      <c r="BA167" s="192" t="n">
        <v>75000</v>
      </c>
      <c r="BB167" s="192" t="n"/>
      <c r="BC167" s="192" t="n"/>
      <c r="BD167" s="192" t="n"/>
      <c r="BE167" s="192" t="n">
        <v>52500</v>
      </c>
      <c r="BF167" s="192" t="n"/>
      <c r="BG167" s="192" t="n"/>
      <c r="BH167" s="192" t="n"/>
      <c r="BI167" s="192" t="n">
        <v>75000</v>
      </c>
      <c r="BJ167" s="192" t="n"/>
      <c r="BK167" s="192" t="n"/>
      <c r="BL167" s="192" t="n"/>
      <c r="BM167" s="192" t="n">
        <v>75000</v>
      </c>
      <c r="BN167" s="192" t="n"/>
      <c r="BO167" s="192" t="n"/>
      <c r="BP167" s="192" t="n"/>
      <c r="BQ167" s="192" t="n">
        <v>150000</v>
      </c>
      <c r="BR167" s="192" t="n"/>
      <c r="BS167" s="192" t="n">
        <v>150000</v>
      </c>
      <c r="BT167" s="192" t="n"/>
      <c r="BU167" s="192" t="n"/>
      <c r="BV167" s="192" t="n"/>
      <c r="BW167" s="192" t="n"/>
      <c r="BX167" s="192" t="n"/>
      <c r="BY167" s="192" t="n"/>
      <c r="BZ167" s="192" t="n"/>
      <c r="CA167" s="192" t="n"/>
      <c r="CB167" s="192" t="n"/>
      <c r="CC167" s="192" t="n"/>
      <c r="CD167" s="192" t="n"/>
      <c r="CE167" s="192" t="n"/>
      <c r="CF167" s="192" t="n"/>
      <c r="CG167" s="192" t="n"/>
      <c r="CH167" s="192" t="n"/>
      <c r="CI167" s="192" t="n"/>
      <c r="CJ167" s="192" t="n"/>
      <c r="CK167" s="192" t="n"/>
      <c r="CL167" s="192" t="n"/>
      <c r="CM167" s="192" t="n"/>
      <c r="CN167" s="192" t="n"/>
      <c r="CO167" s="192" t="n"/>
      <c r="CP167" s="192" t="n"/>
      <c r="CQ167" s="192" t="n"/>
      <c r="CR167" s="192" t="n"/>
      <c r="CS167" s="192" t="n"/>
      <c r="CT167" s="192" t="n"/>
      <c r="CU167" s="192" t="n"/>
      <c r="CV167" s="192" t="n"/>
      <c r="CW167" s="192" t="n"/>
      <c r="CX167" s="192" t="n"/>
      <c r="CY167" s="192" t="n"/>
      <c r="CZ167" s="192" t="n"/>
      <c r="DA167" s="192" t="n"/>
      <c r="DB167" s="192" t="n"/>
      <c r="DC167" s="192" t="n"/>
      <c r="DD167" s="192" t="n"/>
      <c r="DE167" s="192" t="n"/>
      <c r="DF167" s="192" t="n"/>
      <c r="DG167" s="192" t="n"/>
      <c r="DH167" s="192" t="n"/>
      <c r="DI167" s="192" t="n"/>
      <c r="DJ167" s="192" t="n"/>
      <c r="DK167" s="192" t="n"/>
      <c r="DL167" s="192" t="n"/>
      <c r="DM167" s="192" t="n"/>
      <c r="DN167" s="192" t="n"/>
      <c r="DO167" s="192" t="n"/>
      <c r="DP167" s="192" t="n"/>
      <c r="DQ167" s="192" t="n"/>
      <c r="DR167" s="192" t="n"/>
      <c r="DS167" s="192" t="n"/>
      <c r="DT167" s="192" t="n"/>
      <c r="DU167" s="192" t="n"/>
      <c r="DV167" s="192" t="n"/>
      <c r="DW167" s="192" t="n"/>
      <c r="DX167" s="192" t="n"/>
      <c r="DY167" s="192" t="n"/>
      <c r="DZ167" s="192" t="n"/>
      <c r="EA167" s="192" t="n"/>
      <c r="EB167" s="192" t="n"/>
      <c r="EC167" s="192" t="n"/>
      <c r="ED167" s="192" t="n"/>
      <c r="EE167" s="192" t="n"/>
      <c r="EF167" s="192" t="n"/>
      <c r="EG167" s="192" t="n"/>
      <c r="EH167" s="192" t="n"/>
      <c r="EI167" s="192" t="n"/>
      <c r="EJ167" s="192" t="n"/>
      <c r="EK167" s="192" t="n"/>
      <c r="EL167" s="182" t="n"/>
      <c r="EM167" s="176" t="n"/>
      <c r="EN167" s="176" t="n"/>
      <c r="EO167" s="176" t="n"/>
      <c r="EP167" s="176" t="n"/>
      <c r="EQ167" s="176" t="n"/>
      <c r="ER167" s="176" t="n"/>
      <c r="ES167" s="176" t="n"/>
      <c r="ET167" s="176" t="n"/>
      <c r="EU167" s="176" t="n"/>
      <c r="EV167" s="176" t="n"/>
      <c r="EW167" s="176" t="n"/>
      <c r="EX167" s="176" t="n"/>
      <c r="EY167" s="176" t="n"/>
      <c r="EZ167" s="176" t="n"/>
      <c r="FA167" s="176" t="n"/>
      <c r="FB167" s="176" t="n"/>
      <c r="FC167" s="176" t="n"/>
      <c r="FD167" s="176" t="n"/>
      <c r="FE167" s="176" t="n"/>
      <c r="FF167" s="176" t="n"/>
      <c r="FG167" s="176" t="n"/>
      <c r="FH167" s="176" t="n"/>
      <c r="FI167" s="176" t="n"/>
      <c r="FJ167" s="176" t="n"/>
    </row>
    <row r="168" ht="15" customHeight="1" s="392">
      <c r="A168" s="176" t="n"/>
      <c r="B168" s="180" t="n"/>
      <c r="C168" s="183" t="inlineStr">
        <is>
          <t xml:space="preserve">        Debt due in Year 2</t>
        </is>
      </c>
      <c r="D168" s="190">
        <f>IF(COUNT(M168:EK168)&gt;0,MEDIAN(M168:EK168),"")</f>
        <v/>
      </c>
      <c r="E168" s="190">
        <f>IF(COUNT(M168:EK168)&gt;0,AVERAGE(M168:EK168),"")</f>
        <v/>
      </c>
      <c r="F168" s="190">
        <f>IF(COUNT(M168:EK168)&gt;0,MIN(M168:EK168),"")</f>
        <v/>
      </c>
      <c r="G168" s="190">
        <f>IF(COUNT(M168:EK168)&gt;0,MAX(M168:EK168),"")</f>
        <v/>
      </c>
      <c r="H168" s="190">
        <f>IF(COUNT(M168:EK168)&gt;0,QUARTILE(M168:EK168,1),"")</f>
        <v/>
      </c>
      <c r="I168" s="190">
        <f>IF(COUNT(M168:EK168)&gt;0,QUARTILE(M168:EK168,3),"")</f>
        <v/>
      </c>
      <c r="J168" s="190">
        <f>IF(COUNT(M168:EK168)&gt;1,STDEV(M168:EK168),"")</f>
        <v/>
      </c>
      <c r="K168" s="191">
        <f>IF(COUNT(M168:EK168)&gt;1,STDEV(M168:EK168)/AVERAGE(M168:EK168),"")</f>
        <v/>
      </c>
      <c r="M168" s="192" t="n"/>
      <c r="N168" s="192" t="n"/>
      <c r="O168" s="192" t="n"/>
      <c r="P168" s="192" t="n"/>
      <c r="Q168" s="192" t="n"/>
      <c r="R168" s="192" t="n"/>
      <c r="S168" s="192" t="n"/>
      <c r="T168" s="192" t="n"/>
      <c r="U168" s="192" t="n"/>
      <c r="V168" s="192" t="n"/>
      <c r="W168" s="192" t="n"/>
      <c r="X168" s="192" t="n"/>
      <c r="Y168" s="192" t="n"/>
      <c r="Z168" s="192" t="n"/>
      <c r="AA168" s="192" t="n"/>
      <c r="AB168" s="192" t="n"/>
      <c r="AC168" s="192" t="n"/>
      <c r="AD168" s="192" t="n"/>
      <c r="AE168" s="192" t="n"/>
      <c r="AF168" s="192" t="n"/>
      <c r="AG168" s="192" t="n"/>
      <c r="AH168" s="192" t="n"/>
      <c r="AI168" s="192" t="n"/>
      <c r="AJ168" s="192" t="n"/>
      <c r="AK168" s="192" t="n"/>
      <c r="AL168" s="192" t="n"/>
      <c r="AM168" s="192" t="n"/>
      <c r="AN168" s="192" t="n"/>
      <c r="AO168" s="192" t="n"/>
      <c r="AP168" s="192" t="n"/>
      <c r="AQ168" s="192" t="n"/>
      <c r="AR168" s="192" t="n"/>
      <c r="AS168" s="192" t="n"/>
      <c r="AT168" s="192" t="n"/>
      <c r="AU168" s="192" t="n"/>
      <c r="AV168" s="192" t="n"/>
      <c r="AW168" s="192" t="n">
        <v>150000</v>
      </c>
      <c r="AX168" s="192" t="n"/>
      <c r="AY168" s="192" t="n"/>
      <c r="AZ168" s="192" t="n"/>
      <c r="BA168" s="192" t="n">
        <v>163000</v>
      </c>
      <c r="BB168" s="192" t="n"/>
      <c r="BC168" s="192" t="n"/>
      <c r="BD168" s="192" t="n"/>
      <c r="BE168" s="192" t="n">
        <v>30000</v>
      </c>
      <c r="BF168" s="192" t="n"/>
      <c r="BG168" s="192" t="n"/>
      <c r="BH168" s="192" t="n"/>
      <c r="BI168" s="192" t="n"/>
      <c r="BJ168" s="192" t="n"/>
      <c r="BK168" s="192" t="n"/>
      <c r="BL168" s="192" t="n"/>
      <c r="BM168" s="192" t="n"/>
      <c r="BN168" s="192" t="n"/>
      <c r="BO168" s="192" t="n"/>
      <c r="BP168" s="192" t="n"/>
      <c r="BQ168" s="192" t="n"/>
      <c r="BR168" s="192" t="n"/>
      <c r="BS168" s="192" t="n"/>
      <c r="BT168" s="192" t="n"/>
      <c r="BU168" s="192" t="n"/>
      <c r="BV168" s="192" t="n"/>
      <c r="BW168" s="192" t="n"/>
      <c r="BX168" s="192" t="n"/>
      <c r="BY168" s="192" t="n"/>
      <c r="BZ168" s="192" t="n"/>
      <c r="CA168" s="192" t="n"/>
      <c r="CB168" s="192" t="n"/>
      <c r="CC168" s="192" t="n"/>
      <c r="CD168" s="192" t="n"/>
      <c r="CE168" s="192" t="n"/>
      <c r="CF168" s="192" t="n"/>
      <c r="CG168" s="192" t="n"/>
      <c r="CH168" s="192" t="n"/>
      <c r="CI168" s="192" t="n"/>
      <c r="CJ168" s="192" t="n"/>
      <c r="CK168" s="192" t="n"/>
      <c r="CL168" s="192" t="n"/>
      <c r="CM168" s="192" t="n"/>
      <c r="CN168" s="192" t="n"/>
      <c r="CO168" s="192" t="n"/>
      <c r="CP168" s="192" t="n"/>
      <c r="CQ168" s="192" t="n"/>
      <c r="CR168" s="192" t="n"/>
      <c r="CS168" s="192" t="n"/>
      <c r="CT168" s="192" t="n"/>
      <c r="CU168" s="192" t="n"/>
      <c r="CV168" s="192" t="n"/>
      <c r="CW168" s="192" t="n"/>
      <c r="CX168" s="192" t="n"/>
      <c r="CY168" s="192" t="n"/>
      <c r="CZ168" s="192" t="n"/>
      <c r="DA168" s="192" t="n"/>
      <c r="DB168" s="192" t="n"/>
      <c r="DC168" s="192" t="n"/>
      <c r="DD168" s="192" t="n"/>
      <c r="DE168" s="192" t="n"/>
      <c r="DF168" s="192" t="n"/>
      <c r="DG168" s="192" t="n"/>
      <c r="DH168" s="192" t="n"/>
      <c r="DI168" s="192" t="n"/>
      <c r="DJ168" s="192" t="n"/>
      <c r="DK168" s="192" t="n"/>
      <c r="DL168" s="192" t="n"/>
      <c r="DM168" s="192" t="n"/>
      <c r="DN168" s="192" t="n"/>
      <c r="DO168" s="192" t="n"/>
      <c r="DP168" s="192" t="n"/>
      <c r="DQ168" s="192" t="n"/>
      <c r="DR168" s="192" t="n"/>
      <c r="DS168" s="192" t="n"/>
      <c r="DT168" s="192" t="n"/>
      <c r="DU168" s="192" t="n"/>
      <c r="DV168" s="192" t="n"/>
      <c r="DW168" s="192" t="n"/>
      <c r="DX168" s="192" t="n"/>
      <c r="DY168" s="192" t="n"/>
      <c r="DZ168" s="192" t="n"/>
      <c r="EA168" s="192" t="n"/>
      <c r="EB168" s="192" t="n"/>
      <c r="EC168" s="192" t="n"/>
      <c r="ED168" s="192" t="n"/>
      <c r="EE168" s="192" t="n"/>
      <c r="EF168" s="192" t="n"/>
      <c r="EG168" s="192" t="n"/>
      <c r="EH168" s="192" t="n"/>
      <c r="EI168" s="192" t="n"/>
      <c r="EJ168" s="192" t="n"/>
      <c r="EK168" s="192" t="n"/>
      <c r="EL168" s="182" t="n"/>
      <c r="EM168" s="176" t="n"/>
      <c r="EN168" s="176" t="n"/>
      <c r="EO168" s="176" t="n"/>
      <c r="EP168" s="176" t="n"/>
      <c r="EQ168" s="176" t="n"/>
      <c r="ER168" s="176" t="n"/>
      <c r="ES168" s="176" t="n"/>
      <c r="ET168" s="176" t="n"/>
      <c r="EU168" s="176" t="n"/>
      <c r="EV168" s="176" t="n"/>
      <c r="EW168" s="176" t="n"/>
      <c r="EX168" s="176" t="n"/>
      <c r="EY168" s="176" t="n"/>
      <c r="EZ168" s="176" t="n"/>
      <c r="FA168" s="176" t="n"/>
      <c r="FB168" s="176" t="n"/>
      <c r="FC168" s="176" t="n"/>
      <c r="FD168" s="176" t="n"/>
      <c r="FE168" s="176" t="n"/>
      <c r="FF168" s="176" t="n"/>
      <c r="FG168" s="176" t="n"/>
      <c r="FH168" s="176" t="n"/>
      <c r="FI168" s="176" t="n"/>
      <c r="FJ168" s="176" t="n"/>
    </row>
    <row r="169" ht="15" customHeight="1" s="392">
      <c r="A169" s="176" t="n"/>
      <c r="B169" s="180" t="n"/>
      <c r="C169" s="183" t="inlineStr">
        <is>
          <t xml:space="preserve">        Debt due in Year 3</t>
        </is>
      </c>
      <c r="D169" s="190">
        <f>IF(COUNT(M169:EK169)&gt;0,MEDIAN(M169:EK169),"")</f>
        <v/>
      </c>
      <c r="E169" s="190">
        <f>IF(COUNT(M169:EK169)&gt;0,AVERAGE(M169:EK169),"")</f>
        <v/>
      </c>
      <c r="F169" s="190">
        <f>IF(COUNT(M169:EK169)&gt;0,MIN(M169:EK169),"")</f>
        <v/>
      </c>
      <c r="G169" s="190">
        <f>IF(COUNT(M169:EK169)&gt;0,MAX(M169:EK169),"")</f>
        <v/>
      </c>
      <c r="H169" s="190">
        <f>IF(COUNT(M169:EK169)&gt;0,QUARTILE(M169:EK169,1),"")</f>
        <v/>
      </c>
      <c r="I169" s="190">
        <f>IF(COUNT(M169:EK169)&gt;0,QUARTILE(M169:EK169,3),"")</f>
        <v/>
      </c>
      <c r="J169" s="190">
        <f>IF(COUNT(M169:EK169)&gt;1,STDEV(M169:EK169),"")</f>
        <v/>
      </c>
      <c r="K169" s="191">
        <f>IF(COUNT(M169:EK169)&gt;1,STDEV(M169:EK169)/AVERAGE(M169:EK169),"")</f>
        <v/>
      </c>
      <c r="M169" s="192" t="n"/>
      <c r="N169" s="192" t="n"/>
      <c r="O169" s="192" t="n"/>
      <c r="P169" s="192" t="n"/>
      <c r="Q169" s="192" t="n"/>
      <c r="R169" s="192" t="n"/>
      <c r="S169" s="192" t="n"/>
      <c r="T169" s="192" t="n"/>
      <c r="U169" s="192" t="n"/>
      <c r="V169" s="192" t="n"/>
      <c r="W169" s="192" t="n"/>
      <c r="X169" s="192" t="n"/>
      <c r="Y169" s="192" t="n"/>
      <c r="Z169" s="192" t="n"/>
      <c r="AA169" s="192" t="n"/>
      <c r="AB169" s="192" t="n"/>
      <c r="AC169" s="192" t="n"/>
      <c r="AD169" s="192" t="n"/>
      <c r="AE169" s="192" t="n"/>
      <c r="AF169" s="192" t="n"/>
      <c r="AG169" s="192" t="n"/>
      <c r="AH169" s="192" t="n"/>
      <c r="AI169" s="192" t="n"/>
      <c r="AJ169" s="192" t="n"/>
      <c r="AK169" s="192" t="n"/>
      <c r="AL169" s="192" t="n"/>
      <c r="AM169" s="192" t="n"/>
      <c r="AN169" s="192" t="n"/>
      <c r="AO169" s="192" t="n"/>
      <c r="AP169" s="192" t="n"/>
      <c r="AQ169" s="192" t="n"/>
      <c r="AR169" s="192" t="n"/>
      <c r="AS169" s="192" t="n"/>
      <c r="AT169" s="192" t="n"/>
      <c r="AU169" s="192" t="n"/>
      <c r="AV169" s="192" t="n"/>
      <c r="AW169" s="192" t="n"/>
      <c r="AX169" s="192" t="n"/>
      <c r="AY169" s="192" t="n"/>
      <c r="AZ169" s="192" t="n"/>
      <c r="BA169" s="192" t="n"/>
      <c r="BB169" s="192" t="n"/>
      <c r="BC169" s="192" t="n"/>
      <c r="BD169" s="192" t="n"/>
      <c r="BE169" s="192" t="n">
        <v>30000</v>
      </c>
      <c r="BF169" s="192" t="n"/>
      <c r="BG169" s="192" t="n"/>
      <c r="BH169" s="192" t="n"/>
      <c r="BI169" s="192" t="n">
        <v>218750</v>
      </c>
      <c r="BJ169" s="192" t="n"/>
      <c r="BK169" s="192" t="n"/>
      <c r="BL169" s="192" t="n"/>
      <c r="BM169" s="192" t="n">
        <v>293750</v>
      </c>
      <c r="BN169" s="192" t="n"/>
      <c r="BO169" s="192" t="n"/>
      <c r="BP169" s="192" t="n"/>
      <c r="BQ169" s="192" t="n">
        <v>218750</v>
      </c>
      <c r="BR169" s="192" t="n"/>
      <c r="BS169" s="192" t="n">
        <v>256250</v>
      </c>
      <c r="BT169" s="192" t="n"/>
      <c r="BU169" s="192" t="n"/>
      <c r="BV169" s="192" t="n"/>
      <c r="BW169" s="192" t="n"/>
      <c r="BX169" s="192" t="n"/>
      <c r="BY169" s="192" t="n"/>
      <c r="BZ169" s="192" t="n"/>
      <c r="CA169" s="192" t="n"/>
      <c r="CB169" s="192" t="n"/>
      <c r="CC169" s="192" t="n"/>
      <c r="CD169" s="192" t="n"/>
      <c r="CE169" s="192" t="n"/>
      <c r="CF169" s="192" t="n"/>
      <c r="CG169" s="192" t="n"/>
      <c r="CH169" s="192" t="n"/>
      <c r="CI169" s="192" t="n"/>
      <c r="CJ169" s="192" t="n"/>
      <c r="CK169" s="192" t="n"/>
      <c r="CL169" s="192" t="n"/>
      <c r="CM169" s="192" t="n"/>
      <c r="CN169" s="192" t="n"/>
      <c r="CO169" s="192" t="n"/>
      <c r="CP169" s="192" t="n"/>
      <c r="CQ169" s="192" t="n"/>
      <c r="CR169" s="192" t="n"/>
      <c r="CS169" s="192" t="n"/>
      <c r="CT169" s="192" t="n"/>
      <c r="CU169" s="192" t="n"/>
      <c r="CV169" s="192" t="n"/>
      <c r="CW169" s="192" t="n"/>
      <c r="CX169" s="192" t="n"/>
      <c r="CY169" s="192" t="n"/>
      <c r="CZ169" s="192" t="n"/>
      <c r="DA169" s="192" t="n"/>
      <c r="DB169" s="192" t="n"/>
      <c r="DC169" s="192" t="n"/>
      <c r="DD169" s="192" t="n"/>
      <c r="DE169" s="192" t="n"/>
      <c r="DF169" s="192" t="n"/>
      <c r="DG169" s="192" t="n"/>
      <c r="DH169" s="192" t="n"/>
      <c r="DI169" s="192" t="n"/>
      <c r="DJ169" s="192" t="n"/>
      <c r="DK169" s="192" t="n"/>
      <c r="DL169" s="192" t="n"/>
      <c r="DM169" s="192" t="n"/>
      <c r="DN169" s="192" t="n"/>
      <c r="DO169" s="192" t="n"/>
      <c r="DP169" s="192" t="n"/>
      <c r="DQ169" s="192" t="n"/>
      <c r="DR169" s="192" t="n"/>
      <c r="DS169" s="192" t="n"/>
      <c r="DT169" s="192" t="n"/>
      <c r="DU169" s="192" t="n"/>
      <c r="DV169" s="192" t="n"/>
      <c r="DW169" s="192" t="n"/>
      <c r="DX169" s="192" t="n"/>
      <c r="DY169" s="192" t="n"/>
      <c r="DZ169" s="192" t="n"/>
      <c r="EA169" s="192" t="n"/>
      <c r="EB169" s="192" t="n"/>
      <c r="EC169" s="192" t="n"/>
      <c r="ED169" s="192" t="n"/>
      <c r="EE169" s="192" t="n"/>
      <c r="EF169" s="192" t="n"/>
      <c r="EG169" s="192" t="n"/>
      <c r="EH169" s="192" t="n"/>
      <c r="EI169" s="192" t="n"/>
      <c r="EJ169" s="192" t="n"/>
      <c r="EK169" s="192" t="n"/>
      <c r="EL169" s="182" t="n"/>
      <c r="EM169" s="176" t="n"/>
      <c r="EN169" s="176" t="n"/>
      <c r="EO169" s="176" t="n"/>
      <c r="EP169" s="176" t="n"/>
      <c r="EQ169" s="176" t="n"/>
      <c r="ER169" s="176" t="n"/>
      <c r="ES169" s="176" t="n"/>
      <c r="ET169" s="176" t="n"/>
      <c r="EU169" s="176" t="n"/>
      <c r="EV169" s="176" t="n"/>
      <c r="EW169" s="176" t="n"/>
      <c r="EX169" s="176" t="n"/>
      <c r="EY169" s="176" t="n"/>
      <c r="EZ169" s="176" t="n"/>
      <c r="FA169" s="176" t="n"/>
      <c r="FB169" s="176" t="n"/>
      <c r="FC169" s="176" t="n"/>
      <c r="FD169" s="176" t="n"/>
      <c r="FE169" s="176" t="n"/>
      <c r="FF169" s="176" t="n"/>
      <c r="FG169" s="176" t="n"/>
      <c r="FH169" s="176" t="n"/>
      <c r="FI169" s="176" t="n"/>
      <c r="FJ169" s="176" t="n"/>
    </row>
    <row r="170" ht="15" customHeight="1" s="392">
      <c r="A170" s="176" t="n"/>
      <c r="B170" s="180" t="n"/>
      <c r="C170" s="183" t="inlineStr">
        <is>
          <t xml:space="preserve">        Debt due in Year 4</t>
        </is>
      </c>
      <c r="D170" s="190">
        <f>IF(COUNT(M170:EK170)&gt;0,MEDIAN(M170:EK170),"")</f>
        <v/>
      </c>
      <c r="E170" s="190">
        <f>IF(COUNT(M170:EK170)&gt;0,AVERAGE(M170:EK170),"")</f>
        <v/>
      </c>
      <c r="F170" s="190">
        <f>IF(COUNT(M170:EK170)&gt;0,MIN(M170:EK170),"")</f>
        <v/>
      </c>
      <c r="G170" s="190">
        <f>IF(COUNT(M170:EK170)&gt;0,MAX(M170:EK170),"")</f>
        <v/>
      </c>
      <c r="H170" s="190">
        <f>IF(COUNT(M170:EK170)&gt;0,QUARTILE(M170:EK170,1),"")</f>
        <v/>
      </c>
      <c r="I170" s="190">
        <f>IF(COUNT(M170:EK170)&gt;0,QUARTILE(M170:EK170,3),"")</f>
        <v/>
      </c>
      <c r="J170" s="190">
        <f>IF(COUNT(M170:EK170)&gt;1,STDEV(M170:EK170),"")</f>
        <v/>
      </c>
      <c r="K170" s="191">
        <f>IF(COUNT(M170:EK170)&gt;1,STDEV(M170:EK170)/AVERAGE(M170:EK170),"")</f>
        <v/>
      </c>
      <c r="M170" s="192" t="n"/>
      <c r="N170" s="192" t="n"/>
      <c r="O170" s="192" t="n"/>
      <c r="P170" s="192" t="n"/>
      <c r="Q170" s="192" t="n"/>
      <c r="R170" s="192" t="n"/>
      <c r="S170" s="192" t="n"/>
      <c r="T170" s="192" t="n"/>
      <c r="U170" s="192" t="n"/>
      <c r="V170" s="192" t="n"/>
      <c r="W170" s="192" t="n"/>
      <c r="X170" s="192" t="n"/>
      <c r="Y170" s="192" t="n"/>
      <c r="Z170" s="192" t="n"/>
      <c r="AA170" s="192" t="n"/>
      <c r="AB170" s="192" t="n"/>
      <c r="AC170" s="192" t="n"/>
      <c r="AD170" s="192" t="n"/>
      <c r="AE170" s="192" t="n"/>
      <c r="AF170" s="192" t="n"/>
      <c r="AG170" s="192" t="n">
        <v>100000</v>
      </c>
      <c r="AH170" s="192" t="n"/>
      <c r="AI170" s="192" t="n"/>
      <c r="AJ170" s="192" t="n"/>
      <c r="AK170" s="192" t="n"/>
      <c r="AL170" s="192" t="n"/>
      <c r="AM170" s="192" t="n"/>
      <c r="AN170" s="192" t="n"/>
      <c r="AO170" s="192" t="n"/>
      <c r="AP170" s="192" t="n"/>
      <c r="AQ170" s="192" t="n"/>
      <c r="AR170" s="192" t="n"/>
      <c r="AS170" s="192" t="n"/>
      <c r="AT170" s="192" t="n"/>
      <c r="AU170" s="192" t="n"/>
      <c r="AV170" s="192" t="n"/>
      <c r="AW170" s="192" t="n"/>
      <c r="AX170" s="192" t="n"/>
      <c r="AY170" s="192" t="n"/>
      <c r="AZ170" s="192" t="n"/>
      <c r="BA170" s="192" t="n"/>
      <c r="BB170" s="192" t="n"/>
      <c r="BC170" s="192" t="n"/>
      <c r="BD170" s="192" t="n"/>
      <c r="BE170" s="192" t="n">
        <v>30000</v>
      </c>
      <c r="BF170" s="192" t="n"/>
      <c r="BG170" s="192" t="n"/>
      <c r="BH170" s="192" t="n"/>
      <c r="BI170" s="192" t="n"/>
      <c r="BJ170" s="192" t="n"/>
      <c r="BK170" s="192" t="n"/>
      <c r="BL170" s="192" t="n"/>
      <c r="BM170" s="192" t="n"/>
      <c r="BN170" s="192" t="n"/>
      <c r="BO170" s="192" t="n"/>
      <c r="BP170" s="192" t="n"/>
      <c r="BQ170" s="192" t="n"/>
      <c r="BR170" s="192" t="n"/>
      <c r="BS170" s="192" t="n"/>
      <c r="BT170" s="192" t="n"/>
      <c r="BU170" s="192" t="n"/>
      <c r="BV170" s="192" t="n"/>
      <c r="BW170" s="192" t="n"/>
      <c r="BX170" s="192" t="n"/>
      <c r="BY170" s="192" t="n"/>
      <c r="BZ170" s="192" t="n"/>
      <c r="CA170" s="192" t="n"/>
      <c r="CB170" s="192" t="n"/>
      <c r="CC170" s="192" t="n"/>
      <c r="CD170" s="192" t="n"/>
      <c r="CE170" s="192" t="n"/>
      <c r="CF170" s="192" t="n"/>
      <c r="CG170" s="192" t="n"/>
      <c r="CH170" s="192" t="n"/>
      <c r="CI170" s="192" t="n"/>
      <c r="CJ170" s="192" t="n"/>
      <c r="CK170" s="192" t="n"/>
      <c r="CL170" s="192" t="n"/>
      <c r="CM170" s="192" t="n"/>
      <c r="CN170" s="192" t="n"/>
      <c r="CO170" s="192" t="n"/>
      <c r="CP170" s="192" t="n"/>
      <c r="CQ170" s="192" t="n"/>
      <c r="CR170" s="192" t="n"/>
      <c r="CS170" s="192" t="n"/>
      <c r="CT170" s="192" t="n"/>
      <c r="CU170" s="192" t="n"/>
      <c r="CV170" s="192" t="n"/>
      <c r="CW170" s="192" t="n"/>
      <c r="CX170" s="192" t="n"/>
      <c r="CY170" s="192" t="n"/>
      <c r="CZ170" s="192" t="n"/>
      <c r="DA170" s="192" t="n"/>
      <c r="DB170" s="192" t="n"/>
      <c r="DC170" s="192" t="n"/>
      <c r="DD170" s="192" t="n"/>
      <c r="DE170" s="192" t="n"/>
      <c r="DF170" s="192" t="n"/>
      <c r="DG170" s="192" t="n"/>
      <c r="DH170" s="192" t="n"/>
      <c r="DI170" s="192" t="n"/>
      <c r="DJ170" s="192" t="n"/>
      <c r="DK170" s="192" t="n"/>
      <c r="DL170" s="192" t="n"/>
      <c r="DM170" s="192" t="n"/>
      <c r="DN170" s="192" t="n"/>
      <c r="DO170" s="192" t="n"/>
      <c r="DP170" s="192" t="n"/>
      <c r="DQ170" s="192" t="n"/>
      <c r="DR170" s="192" t="n"/>
      <c r="DS170" s="192" t="n"/>
      <c r="DT170" s="192" t="n"/>
      <c r="DU170" s="192" t="n"/>
      <c r="DV170" s="192" t="n"/>
      <c r="DW170" s="192" t="n"/>
      <c r="DX170" s="192" t="n"/>
      <c r="DY170" s="192" t="n"/>
      <c r="DZ170" s="192" t="n"/>
      <c r="EA170" s="192" t="n"/>
      <c r="EB170" s="192" t="n"/>
      <c r="EC170" s="192" t="n"/>
      <c r="ED170" s="192" t="n"/>
      <c r="EE170" s="192" t="n"/>
      <c r="EF170" s="192" t="n"/>
      <c r="EG170" s="192" t="n"/>
      <c r="EH170" s="192" t="n"/>
      <c r="EI170" s="192" t="n"/>
      <c r="EJ170" s="192" t="n"/>
      <c r="EK170" s="192" t="n"/>
      <c r="EL170" s="182" t="n"/>
      <c r="EM170" s="176" t="n"/>
      <c r="EN170" s="176" t="n"/>
      <c r="EO170" s="176" t="n"/>
      <c r="EP170" s="176" t="n"/>
      <c r="EQ170" s="176" t="n"/>
      <c r="ER170" s="176" t="n"/>
      <c r="ES170" s="176" t="n"/>
      <c r="ET170" s="176" t="n"/>
      <c r="EU170" s="176" t="n"/>
      <c r="EV170" s="176" t="n"/>
      <c r="EW170" s="176" t="n"/>
      <c r="EX170" s="176" t="n"/>
      <c r="EY170" s="176" t="n"/>
      <c r="EZ170" s="176" t="n"/>
      <c r="FA170" s="176" t="n"/>
      <c r="FB170" s="176" t="n"/>
      <c r="FC170" s="176" t="n"/>
      <c r="FD170" s="176" t="n"/>
      <c r="FE170" s="176" t="n"/>
      <c r="FF170" s="176" t="n"/>
      <c r="FG170" s="176" t="n"/>
      <c r="FH170" s="176" t="n"/>
      <c r="FI170" s="176" t="n"/>
      <c r="FJ170" s="176" t="n"/>
    </row>
    <row r="171" ht="15" customHeight="1" s="392">
      <c r="A171" s="176" t="n"/>
      <c r="B171" s="180" t="n"/>
      <c r="C171" s="183" t="inlineStr">
        <is>
          <t xml:space="preserve">        Debt due in Year 5</t>
        </is>
      </c>
      <c r="D171" s="190">
        <f>IF(COUNT(M171:EK171)&gt;0,MEDIAN(M171:EK171),"")</f>
        <v/>
      </c>
      <c r="E171" s="190">
        <f>IF(COUNT(M171:EK171)&gt;0,AVERAGE(M171:EK171),"")</f>
        <v/>
      </c>
      <c r="F171" s="190">
        <f>IF(COUNT(M171:EK171)&gt;0,MIN(M171:EK171),"")</f>
        <v/>
      </c>
      <c r="G171" s="190">
        <f>IF(COUNT(M171:EK171)&gt;0,MAX(M171:EK171),"")</f>
        <v/>
      </c>
      <c r="H171" s="190">
        <f>IF(COUNT(M171:EK171)&gt;0,QUARTILE(M171:EK171,1),"")</f>
        <v/>
      </c>
      <c r="I171" s="190">
        <f>IF(COUNT(M171:EK171)&gt;0,QUARTILE(M171:EK171,3),"")</f>
        <v/>
      </c>
      <c r="J171" s="190">
        <f>IF(COUNT(M171:EK171)&gt;1,STDEV(M171:EK171),"")</f>
        <v/>
      </c>
      <c r="K171" s="191">
        <f>IF(COUNT(M171:EK171)&gt;1,STDEV(M171:EK171)/AVERAGE(M171:EK171),"")</f>
        <v/>
      </c>
      <c r="M171" s="192" t="n"/>
      <c r="N171" s="192" t="n"/>
      <c r="O171" s="192" t="n"/>
      <c r="P171" s="192" t="n"/>
      <c r="Q171" s="192" t="n"/>
      <c r="R171" s="192" t="n"/>
      <c r="S171" s="192" t="n"/>
      <c r="T171" s="192" t="n"/>
      <c r="U171" s="192" t="n"/>
      <c r="V171" s="192" t="n"/>
      <c r="W171" s="192" t="n"/>
      <c r="X171" s="192" t="n"/>
      <c r="Y171" s="192" t="n"/>
      <c r="Z171" s="192" t="n"/>
      <c r="AA171" s="192" t="n"/>
      <c r="AB171" s="192" t="n"/>
      <c r="AC171" s="192" t="n"/>
      <c r="AD171" s="192" t="n"/>
      <c r="AE171" s="192" t="n"/>
      <c r="AF171" s="192" t="n"/>
      <c r="AG171" s="192" t="n"/>
      <c r="AH171" s="192" t="n"/>
      <c r="AI171" s="192" t="n"/>
      <c r="AJ171" s="192" t="n"/>
      <c r="AK171" s="192" t="n">
        <v>100000</v>
      </c>
      <c r="AL171" s="192" t="n"/>
      <c r="AM171" s="192" t="n"/>
      <c r="AN171" s="192" t="n"/>
      <c r="AO171" s="192" t="n">
        <v>100000</v>
      </c>
      <c r="AP171" s="192" t="n"/>
      <c r="AQ171" s="192" t="n"/>
      <c r="AR171" s="192" t="n"/>
      <c r="AS171" s="192" t="n"/>
      <c r="AT171" s="192" t="n"/>
      <c r="AU171" s="192" t="n"/>
      <c r="AV171" s="192" t="n"/>
      <c r="AW171" s="192" t="n"/>
      <c r="AX171" s="192" t="n"/>
      <c r="AY171" s="192" t="n"/>
      <c r="AZ171" s="192" t="n"/>
      <c r="BA171" s="192" t="n"/>
      <c r="BB171" s="192" t="n"/>
      <c r="BC171" s="192" t="n"/>
      <c r="BD171" s="192" t="n"/>
      <c r="BE171" s="192" t="n">
        <v>101250</v>
      </c>
      <c r="BF171" s="192" t="n"/>
      <c r="BG171" s="192" t="n"/>
      <c r="BH171" s="192" t="n"/>
      <c r="BI171" s="192" t="n"/>
      <c r="BJ171" s="192" t="n"/>
      <c r="BK171" s="192" t="n"/>
      <c r="BL171" s="192" t="n"/>
      <c r="BM171" s="192" t="n"/>
      <c r="BN171" s="192" t="n"/>
      <c r="BO171" s="192" t="n"/>
      <c r="BP171" s="192" t="n"/>
      <c r="BQ171" s="192" t="n"/>
      <c r="BR171" s="192" t="n"/>
      <c r="BS171" s="192" t="n"/>
      <c r="BT171" s="192" t="n"/>
      <c r="BU171" s="192" t="n"/>
      <c r="BV171" s="192" t="n"/>
      <c r="BW171" s="192" t="n"/>
      <c r="BX171" s="192" t="n"/>
      <c r="BY171" s="192" t="n"/>
      <c r="BZ171" s="192" t="n"/>
      <c r="CA171" s="192" t="n"/>
      <c r="CB171" s="192" t="n"/>
      <c r="CC171" s="192" t="n"/>
      <c r="CD171" s="192" t="n"/>
      <c r="CE171" s="192" t="n"/>
      <c r="CF171" s="192" t="n"/>
      <c r="CG171" s="192" t="n"/>
      <c r="CH171" s="192" t="n"/>
      <c r="CI171" s="192" t="n"/>
      <c r="CJ171" s="192" t="n"/>
      <c r="CK171" s="192" t="n"/>
      <c r="CL171" s="192" t="n"/>
      <c r="CM171" s="192" t="n"/>
      <c r="CN171" s="192" t="n"/>
      <c r="CO171" s="192" t="n"/>
      <c r="CP171" s="192" t="n"/>
      <c r="CQ171" s="192" t="n"/>
      <c r="CR171" s="192" t="n"/>
      <c r="CS171" s="192" t="n"/>
      <c r="CT171" s="192" t="n"/>
      <c r="CU171" s="192" t="n"/>
      <c r="CV171" s="192" t="n"/>
      <c r="CW171" s="192" t="n"/>
      <c r="CX171" s="192" t="n"/>
      <c r="CY171" s="192" t="n"/>
      <c r="CZ171" s="192" t="n"/>
      <c r="DA171" s="192" t="n"/>
      <c r="DB171" s="192" t="n"/>
      <c r="DC171" s="192" t="n"/>
      <c r="DD171" s="192" t="n"/>
      <c r="DE171" s="192" t="n"/>
      <c r="DF171" s="192" t="n"/>
      <c r="DG171" s="192" t="n"/>
      <c r="DH171" s="192" t="n"/>
      <c r="DI171" s="192" t="n"/>
      <c r="DJ171" s="192" t="n"/>
      <c r="DK171" s="192" t="n"/>
      <c r="DL171" s="192" t="n"/>
      <c r="DM171" s="192" t="n"/>
      <c r="DN171" s="192" t="n"/>
      <c r="DO171" s="192" t="n"/>
      <c r="DP171" s="192" t="n"/>
      <c r="DQ171" s="192" t="n"/>
      <c r="DR171" s="192" t="n"/>
      <c r="DS171" s="192" t="n"/>
      <c r="DT171" s="192" t="n"/>
      <c r="DU171" s="192" t="n"/>
      <c r="DV171" s="192" t="n"/>
      <c r="DW171" s="192" t="n"/>
      <c r="DX171" s="192" t="n"/>
      <c r="DY171" s="192" t="n"/>
      <c r="DZ171" s="192" t="n"/>
      <c r="EA171" s="192" t="n"/>
      <c r="EB171" s="192" t="n"/>
      <c r="EC171" s="192" t="n"/>
      <c r="ED171" s="192" t="n"/>
      <c r="EE171" s="192" t="n"/>
      <c r="EF171" s="192" t="n"/>
      <c r="EG171" s="192" t="n"/>
      <c r="EH171" s="192" t="n"/>
      <c r="EI171" s="192" t="n"/>
      <c r="EJ171" s="192" t="n"/>
      <c r="EK171" s="192" t="n"/>
      <c r="EL171" s="182" t="n"/>
      <c r="EM171" s="176" t="n"/>
      <c r="EN171" s="176" t="n"/>
      <c r="EO171" s="176" t="n"/>
      <c r="EP171" s="176" t="n"/>
      <c r="EQ171" s="176" t="n"/>
      <c r="ER171" s="176" t="n"/>
      <c r="ES171" s="176" t="n"/>
      <c r="ET171" s="176" t="n"/>
      <c r="EU171" s="176" t="n"/>
      <c r="EV171" s="176" t="n"/>
      <c r="EW171" s="176" t="n"/>
      <c r="EX171" s="176" t="n"/>
      <c r="EY171" s="176" t="n"/>
      <c r="EZ171" s="176" t="n"/>
      <c r="FA171" s="176" t="n"/>
      <c r="FB171" s="176" t="n"/>
      <c r="FC171" s="176" t="n"/>
      <c r="FD171" s="176" t="n"/>
      <c r="FE171" s="176" t="n"/>
      <c r="FF171" s="176" t="n"/>
      <c r="FG171" s="176" t="n"/>
      <c r="FH171" s="176" t="n"/>
      <c r="FI171" s="176" t="n"/>
      <c r="FJ171" s="176" t="n"/>
    </row>
    <row r="172" ht="15" customHeight="1" s="392">
      <c r="A172" s="176" t="n"/>
      <c r="B172" s="180" t="n"/>
      <c r="C172" s="183" t="inlineStr">
        <is>
          <t xml:space="preserve">        Debt due Beyond</t>
        </is>
      </c>
      <c r="D172" s="190">
        <f>IF(COUNT(M172:EK172)&gt;0,MEDIAN(M172:EK172),"")</f>
        <v/>
      </c>
      <c r="E172" s="190">
        <f>IF(COUNT(M172:EK172)&gt;0,AVERAGE(M172:EK172),"")</f>
        <v/>
      </c>
      <c r="F172" s="190">
        <f>IF(COUNT(M172:EK172)&gt;0,MIN(M172:EK172),"")</f>
        <v/>
      </c>
      <c r="G172" s="190">
        <f>IF(COUNT(M172:EK172)&gt;0,MAX(M172:EK172),"")</f>
        <v/>
      </c>
      <c r="H172" s="190">
        <f>IF(COUNT(M172:EK172)&gt;0,QUARTILE(M172:EK172,1),"")</f>
        <v/>
      </c>
      <c r="I172" s="190">
        <f>IF(COUNT(M172:EK172)&gt;0,QUARTILE(M172:EK172,3),"")</f>
        <v/>
      </c>
      <c r="J172" s="190">
        <f>IF(COUNT(M172:EK172)&gt;1,STDEV(M172:EK172),"")</f>
        <v/>
      </c>
      <c r="K172" s="191">
        <f>IF(COUNT(M172:EK172)&gt;1,STDEV(M172:EK172)/AVERAGE(M172:EK172),"")</f>
        <v/>
      </c>
      <c r="M172" s="192" t="n"/>
      <c r="N172" s="192" t="n"/>
      <c r="O172" s="192" t="n"/>
      <c r="P172" s="192" t="n"/>
      <c r="Q172" s="192" t="n"/>
      <c r="R172" s="192" t="n"/>
      <c r="S172" s="192" t="n"/>
      <c r="T172" s="192" t="n"/>
      <c r="U172" s="192" t="n"/>
      <c r="V172" s="192" t="n"/>
      <c r="W172" s="192" t="n"/>
      <c r="X172" s="192" t="n"/>
      <c r="Y172" s="192" t="n"/>
      <c r="Z172" s="192" t="n"/>
      <c r="AA172" s="192" t="n"/>
      <c r="AB172" s="192" t="n"/>
      <c r="AC172" s="192" t="n"/>
      <c r="AD172" s="192" t="n"/>
      <c r="AE172" s="192" t="n"/>
      <c r="AF172" s="192" t="n"/>
      <c r="AG172" s="192" t="n">
        <v>300000</v>
      </c>
      <c r="AH172" s="192" t="n"/>
      <c r="AI172" s="192" t="n"/>
      <c r="AJ172" s="192" t="n"/>
      <c r="AK172" s="192" t="n">
        <v>300000</v>
      </c>
      <c r="AL172" s="192" t="n"/>
      <c r="AM172" s="192" t="n"/>
      <c r="AN172" s="192" t="n"/>
      <c r="AO172" s="192" t="n">
        <v>300000</v>
      </c>
      <c r="AP172" s="192" t="n"/>
      <c r="AQ172" s="192" t="n"/>
      <c r="AR172" s="192" t="n"/>
      <c r="AS172" s="192" t="n">
        <v>400000</v>
      </c>
      <c r="AT172" s="192" t="n"/>
      <c r="AU172" s="192" t="n"/>
      <c r="AV172" s="192" t="n"/>
      <c r="AW172" s="192" t="n">
        <v>400000</v>
      </c>
      <c r="AX172" s="192" t="n"/>
      <c r="AY172" s="192" t="n"/>
      <c r="AZ172" s="192" t="n"/>
      <c r="BA172" s="192" t="n">
        <v>400000</v>
      </c>
      <c r="BB172" s="192" t="n"/>
      <c r="BC172" s="192" t="n"/>
      <c r="BD172" s="192" t="n"/>
      <c r="BE172" s="192" t="n">
        <v>400000</v>
      </c>
      <c r="BF172" s="192" t="n"/>
      <c r="BG172" s="192" t="n"/>
      <c r="BH172" s="192" t="n"/>
      <c r="BI172" s="192" t="n"/>
      <c r="BJ172" s="192" t="n"/>
      <c r="BK172" s="192" t="n"/>
      <c r="BL172" s="192" t="n"/>
      <c r="BM172" s="192" t="n"/>
      <c r="BN172" s="192" t="n"/>
      <c r="BO172" s="192" t="n"/>
      <c r="BP172" s="192" t="n"/>
      <c r="BQ172" s="192" t="n"/>
      <c r="BR172" s="192" t="n"/>
      <c r="BS172" s="192" t="n"/>
      <c r="BT172" s="192" t="n"/>
      <c r="BU172" s="192" t="n"/>
      <c r="BV172" s="192" t="n"/>
      <c r="BW172" s="192" t="n"/>
      <c r="BX172" s="192" t="n"/>
      <c r="BY172" s="192" t="n"/>
      <c r="BZ172" s="192" t="n"/>
      <c r="CA172" s="192" t="n"/>
      <c r="CB172" s="192" t="n"/>
      <c r="CC172" s="192" t="n"/>
      <c r="CD172" s="192" t="n"/>
      <c r="CE172" s="192" t="n"/>
      <c r="CF172" s="192" t="n"/>
      <c r="CG172" s="192" t="n"/>
      <c r="CH172" s="192" t="n"/>
      <c r="CI172" s="192" t="n"/>
      <c r="CJ172" s="192" t="n"/>
      <c r="CK172" s="192" t="n"/>
      <c r="CL172" s="192" t="n"/>
      <c r="CM172" s="192" t="n"/>
      <c r="CN172" s="192" t="n"/>
      <c r="CO172" s="192" t="n"/>
      <c r="CP172" s="192" t="n"/>
      <c r="CQ172" s="192" t="n"/>
      <c r="CR172" s="192" t="n"/>
      <c r="CS172" s="192" t="n"/>
      <c r="CT172" s="192" t="n"/>
      <c r="CU172" s="192" t="n"/>
      <c r="CV172" s="192" t="n"/>
      <c r="CW172" s="192" t="n"/>
      <c r="CX172" s="192" t="n"/>
      <c r="CY172" s="192" t="n"/>
      <c r="CZ172" s="192" t="n"/>
      <c r="DA172" s="192" t="n"/>
      <c r="DB172" s="192" t="n"/>
      <c r="DC172" s="192" t="n"/>
      <c r="DD172" s="192" t="n"/>
      <c r="DE172" s="192" t="n"/>
      <c r="DF172" s="192" t="n"/>
      <c r="DG172" s="192" t="n"/>
      <c r="DH172" s="192" t="n"/>
      <c r="DI172" s="192" t="n"/>
      <c r="DJ172" s="192" t="n"/>
      <c r="DK172" s="192" t="n"/>
      <c r="DL172" s="192" t="n"/>
      <c r="DM172" s="192" t="n"/>
      <c r="DN172" s="192" t="n"/>
      <c r="DO172" s="192" t="n"/>
      <c r="DP172" s="192" t="n"/>
      <c r="DQ172" s="192" t="n"/>
      <c r="DR172" s="192" t="n"/>
      <c r="DS172" s="192" t="n"/>
      <c r="DT172" s="192" t="n"/>
      <c r="DU172" s="192" t="n"/>
      <c r="DV172" s="192" t="n"/>
      <c r="DW172" s="192" t="n"/>
      <c r="DX172" s="192" t="n"/>
      <c r="DY172" s="192" t="n"/>
      <c r="DZ172" s="192" t="n"/>
      <c r="EA172" s="192" t="n"/>
      <c r="EB172" s="192" t="n"/>
      <c r="EC172" s="192" t="n"/>
      <c r="ED172" s="192" t="n"/>
      <c r="EE172" s="192" t="n"/>
      <c r="EF172" s="192" t="n"/>
      <c r="EG172" s="192" t="n"/>
      <c r="EH172" s="192" t="n"/>
      <c r="EI172" s="192" t="n"/>
      <c r="EJ172" s="192" t="n"/>
      <c r="EK172" s="192" t="n"/>
      <c r="EL172" s="182" t="n"/>
      <c r="EM172" s="176" t="n"/>
      <c r="EN172" s="176" t="n"/>
      <c r="EO172" s="176" t="n"/>
      <c r="EP172" s="176" t="n"/>
      <c r="EQ172" s="176" t="n"/>
      <c r="ER172" s="176" t="n"/>
      <c r="ES172" s="176" t="n"/>
      <c r="ET172" s="176" t="n"/>
      <c r="EU172" s="176" t="n"/>
      <c r="EV172" s="176" t="n"/>
      <c r="EW172" s="176" t="n"/>
      <c r="EX172" s="176" t="n"/>
      <c r="EY172" s="176" t="n"/>
      <c r="EZ172" s="176" t="n"/>
      <c r="FA172" s="176" t="n"/>
      <c r="FB172" s="176" t="n"/>
      <c r="FC172" s="176" t="n"/>
      <c r="FD172" s="176" t="n"/>
      <c r="FE172" s="176" t="n"/>
      <c r="FF172" s="176" t="n"/>
      <c r="FG172" s="176" t="n"/>
      <c r="FH172" s="176" t="n"/>
      <c r="FI172" s="176" t="n"/>
      <c r="FJ172" s="176" t="n"/>
    </row>
    <row r="173" ht="15" customHeight="1" s="392">
      <c r="A173" s="176" t="n"/>
      <c r="B173" s="180" t="n"/>
      <c r="C173" s="183" t="inlineStr">
        <is>
          <t xml:space="preserve">        Debt - Interests Charges and Other Adjustments</t>
        </is>
      </c>
      <c r="D173" s="190">
        <f>IF(COUNT(M173:EK173)&gt;0,MEDIAN(M173:EK173),"")</f>
        <v/>
      </c>
      <c r="E173" s="190">
        <f>IF(COUNT(M173:EK173)&gt;0,AVERAGE(M173:EK173),"")</f>
        <v/>
      </c>
      <c r="F173" s="190">
        <f>IF(COUNT(M173:EK173)&gt;0,MIN(M173:EK173),"")</f>
        <v/>
      </c>
      <c r="G173" s="190">
        <f>IF(COUNT(M173:EK173)&gt;0,MAX(M173:EK173),"")</f>
        <v/>
      </c>
      <c r="H173" s="190">
        <f>IF(COUNT(M173:EK173)&gt;0,QUARTILE(M173:EK173,1),"")</f>
        <v/>
      </c>
      <c r="I173" s="190">
        <f>IF(COUNT(M173:EK173)&gt;0,QUARTILE(M173:EK173,3),"")</f>
        <v/>
      </c>
      <c r="J173" s="190">
        <f>IF(COUNT(M173:EK173)&gt;1,STDEV(M173:EK173),"")</f>
        <v/>
      </c>
      <c r="K173" s="191">
        <f>IF(COUNT(M173:EK173)&gt;1,STDEV(M173:EK173)/AVERAGE(M173:EK173),"")</f>
        <v/>
      </c>
      <c r="M173" s="192" t="n"/>
      <c r="N173" s="192" t="n"/>
      <c r="O173" s="192" t="n"/>
      <c r="P173" s="192" t="n"/>
      <c r="Q173" s="192" t="n"/>
      <c r="R173" s="192" t="n"/>
      <c r="S173" s="192" t="n"/>
      <c r="T173" s="192" t="n"/>
      <c r="U173" s="192" t="n"/>
      <c r="V173" s="192" t="n"/>
      <c r="W173" s="192" t="n"/>
      <c r="X173" s="192" t="n"/>
      <c r="Y173" s="192" t="n"/>
      <c r="Z173" s="192" t="n"/>
      <c r="AA173" s="192" t="n"/>
      <c r="AB173" s="192" t="n"/>
      <c r="AC173" s="192" t="n"/>
      <c r="AD173" s="192" t="n"/>
      <c r="AE173" s="192" t="n"/>
      <c r="AF173" s="192" t="n"/>
      <c r="AG173" s="192" t="n"/>
      <c r="AH173" s="192" t="n"/>
      <c r="AI173" s="192" t="n"/>
      <c r="AJ173" s="192" t="n"/>
      <c r="AK173" s="192" t="n"/>
      <c r="AL173" s="192" t="n"/>
      <c r="AM173" s="192" t="n"/>
      <c r="AN173" s="192" t="n"/>
      <c r="AO173" s="192" t="n"/>
      <c r="AP173" s="192" t="n"/>
      <c r="AQ173" s="192" t="n"/>
      <c r="AR173" s="192" t="n"/>
      <c r="AS173" s="192" t="n">
        <v>-1082</v>
      </c>
      <c r="AT173" s="192" t="n"/>
      <c r="AU173" s="192" t="n"/>
      <c r="AV173" s="192" t="n"/>
      <c r="AW173" s="192" t="n"/>
      <c r="AX173" s="192" t="n"/>
      <c r="AY173" s="192" t="n"/>
      <c r="AZ173" s="192" t="n"/>
      <c r="BA173" s="192" t="n"/>
      <c r="BB173" s="192" t="n"/>
      <c r="BC173" s="192" t="n"/>
      <c r="BD173" s="192" t="n"/>
      <c r="BE173" s="192" t="n"/>
      <c r="BF173" s="192" t="n"/>
      <c r="BG173" s="192" t="n"/>
      <c r="BH173" s="192" t="n"/>
      <c r="BI173" s="192" t="n"/>
      <c r="BJ173" s="192" t="n"/>
      <c r="BK173" s="192" t="n"/>
      <c r="BL173" s="192" t="n"/>
      <c r="BM173" s="192" t="n"/>
      <c r="BN173" s="192" t="n"/>
      <c r="BO173" s="192" t="n"/>
      <c r="BP173" s="192" t="n"/>
      <c r="BQ173" s="192" t="n"/>
      <c r="BR173" s="192" t="n"/>
      <c r="BS173" s="192" t="n"/>
      <c r="BT173" s="192" t="n"/>
      <c r="BU173" s="192" t="n"/>
      <c r="BV173" s="192" t="n"/>
      <c r="BW173" s="192" t="n"/>
      <c r="BX173" s="192" t="n"/>
      <c r="BY173" s="192" t="n"/>
      <c r="BZ173" s="192" t="n"/>
      <c r="CA173" s="192" t="n"/>
      <c r="CB173" s="192" t="n"/>
      <c r="CC173" s="192" t="n"/>
      <c r="CD173" s="192" t="n"/>
      <c r="CE173" s="192" t="n"/>
      <c r="CF173" s="192" t="n"/>
      <c r="CG173" s="192" t="n"/>
      <c r="CH173" s="192" t="n"/>
      <c r="CI173" s="192" t="n"/>
      <c r="CJ173" s="192" t="n"/>
      <c r="CK173" s="192" t="n"/>
      <c r="CL173" s="192" t="n"/>
      <c r="CM173" s="192" t="n"/>
      <c r="CN173" s="192" t="n"/>
      <c r="CO173" s="192" t="n"/>
      <c r="CP173" s="192" t="n"/>
      <c r="CQ173" s="192" t="n"/>
      <c r="CR173" s="192" t="n"/>
      <c r="CS173" s="192" t="n"/>
      <c r="CT173" s="192" t="n"/>
      <c r="CU173" s="192" t="n"/>
      <c r="CV173" s="192" t="n"/>
      <c r="CW173" s="192" t="n"/>
      <c r="CX173" s="192" t="n"/>
      <c r="CY173" s="192" t="n"/>
      <c r="CZ173" s="192" t="n"/>
      <c r="DA173" s="192" t="n"/>
      <c r="DB173" s="192" t="n"/>
      <c r="DC173" s="192" t="n"/>
      <c r="DD173" s="192" t="n"/>
      <c r="DE173" s="192" t="n"/>
      <c r="DF173" s="192" t="n"/>
      <c r="DG173" s="192" t="n"/>
      <c r="DH173" s="192" t="n"/>
      <c r="DI173" s="192" t="n"/>
      <c r="DJ173" s="192" t="n"/>
      <c r="DK173" s="192" t="n"/>
      <c r="DL173" s="192" t="n"/>
      <c r="DM173" s="192" t="n"/>
      <c r="DN173" s="192" t="n"/>
      <c r="DO173" s="192" t="n"/>
      <c r="DP173" s="192" t="n"/>
      <c r="DQ173" s="192" t="n"/>
      <c r="DR173" s="192" t="n"/>
      <c r="DS173" s="192" t="n"/>
      <c r="DT173" s="192" t="n"/>
      <c r="DU173" s="192" t="n"/>
      <c r="DV173" s="192" t="n"/>
      <c r="DW173" s="192" t="n"/>
      <c r="DX173" s="192" t="n"/>
      <c r="DY173" s="192" t="n"/>
      <c r="DZ173" s="192" t="n"/>
      <c r="EA173" s="192" t="n"/>
      <c r="EB173" s="192" t="n"/>
      <c r="EC173" s="192" t="n"/>
      <c r="ED173" s="192" t="n"/>
      <c r="EE173" s="192" t="n"/>
      <c r="EF173" s="192" t="n"/>
      <c r="EG173" s="192" t="n"/>
      <c r="EH173" s="192" t="n"/>
      <c r="EI173" s="192" t="n"/>
      <c r="EJ173" s="192" t="n"/>
      <c r="EK173" s="192" t="n"/>
      <c r="EL173" s="182" t="n"/>
      <c r="EM173" s="176" t="n"/>
      <c r="EN173" s="176" t="n"/>
      <c r="EO173" s="176" t="n"/>
      <c r="EP173" s="176" t="n"/>
      <c r="EQ173" s="176" t="n"/>
      <c r="ER173" s="176" t="n"/>
      <c r="ES173" s="176" t="n"/>
      <c r="ET173" s="176" t="n"/>
      <c r="EU173" s="176" t="n"/>
      <c r="EV173" s="176" t="n"/>
      <c r="EW173" s="176" t="n"/>
      <c r="EX173" s="176" t="n"/>
      <c r="EY173" s="176" t="n"/>
      <c r="EZ173" s="176" t="n"/>
      <c r="FA173" s="176" t="n"/>
      <c r="FB173" s="176" t="n"/>
      <c r="FC173" s="176" t="n"/>
      <c r="FD173" s="176" t="n"/>
      <c r="FE173" s="176" t="n"/>
      <c r="FF173" s="176" t="n"/>
      <c r="FG173" s="176" t="n"/>
      <c r="FH173" s="176" t="n"/>
      <c r="FI173" s="176" t="n"/>
      <c r="FJ173" s="176" t="n"/>
    </row>
    <row r="174" ht="15" customHeight="1" s="392">
      <c r="A174" s="176" t="n"/>
      <c r="B174" s="180" t="n"/>
      <c r="C174" s="187" t="inlineStr">
        <is>
          <t xml:space="preserve">    Total Debt Maturity Schedule</t>
        </is>
      </c>
      <c r="D174" s="193">
        <f>IF(COUNT(M174:EK174)&gt;0,MEDIAN(M174:EK174),"")</f>
        <v/>
      </c>
      <c r="E174" s="193">
        <f>IF(COUNT(M174:EK174)&gt;0,AVERAGE(M174:EK174),"")</f>
        <v/>
      </c>
      <c r="F174" s="193">
        <f>IF(COUNT(M174:EK174)&gt;0,MIN(M174:EK174),"")</f>
        <v/>
      </c>
      <c r="G174" s="193">
        <f>IF(COUNT(M174:EK174)&gt;0,MAX(M174:EK174),"")</f>
        <v/>
      </c>
      <c r="H174" s="193">
        <f>IF(COUNT(M174:EK174)&gt;0,QUARTILE(M174:EK174,1),"")</f>
        <v/>
      </c>
      <c r="I174" s="193">
        <f>IF(COUNT(M174:EK174)&gt;0,QUARTILE(M174:EK174,3),"")</f>
        <v/>
      </c>
      <c r="J174" s="193">
        <f>IF(COUNT(M174:EK174)&gt;1,STDEV(M174:EK174),"")</f>
        <v/>
      </c>
      <c r="K174" s="194">
        <f>IF(COUNT(M174:EK174)&gt;1,STDEV(M174:EK174)/AVERAGE(M174:EK174),"")</f>
        <v/>
      </c>
      <c r="L174" s="195" t="n"/>
      <c r="M174" s="196" t="n"/>
      <c r="N174" s="196" t="n"/>
      <c r="O174" s="196" t="n"/>
      <c r="P174" s="196" t="n"/>
      <c r="Q174" s="196" t="n"/>
      <c r="R174" s="196" t="n"/>
      <c r="S174" s="196" t="n"/>
      <c r="T174" s="196" t="n"/>
      <c r="U174" s="196" t="n"/>
      <c r="V174" s="196" t="n"/>
      <c r="W174" s="196" t="n"/>
      <c r="X174" s="196" t="n"/>
      <c r="Y174" s="196" t="n"/>
      <c r="Z174" s="196" t="n"/>
      <c r="AA174" s="196" t="n"/>
      <c r="AB174" s="196" t="n"/>
      <c r="AC174" s="196" t="n"/>
      <c r="AD174" s="196" t="n"/>
      <c r="AE174" s="196" t="n"/>
      <c r="AF174" s="196" t="n"/>
      <c r="AG174" s="196" t="n">
        <v>400000</v>
      </c>
      <c r="AH174" s="196" t="n"/>
      <c r="AI174" s="196" t="n"/>
      <c r="AJ174" s="196" t="n"/>
      <c r="AK174" s="196" t="n">
        <v>400000</v>
      </c>
      <c r="AL174" s="196" t="n"/>
      <c r="AM174" s="196" t="n"/>
      <c r="AN174" s="196" t="n"/>
      <c r="AO174" s="196" t="n">
        <v>400000</v>
      </c>
      <c r="AP174" s="196" t="n"/>
      <c r="AQ174" s="196" t="n"/>
      <c r="AR174" s="196" t="n"/>
      <c r="AS174" s="196" t="n">
        <v>398918</v>
      </c>
      <c r="AT174" s="196" t="n"/>
      <c r="AU174" s="196" t="n"/>
      <c r="AV174" s="196" t="n"/>
      <c r="AW174" s="196" t="n">
        <v>631000</v>
      </c>
      <c r="AX174" s="196" t="n"/>
      <c r="AY174" s="196" t="n"/>
      <c r="AZ174" s="196" t="n"/>
      <c r="BA174" s="196" t="n">
        <v>638000</v>
      </c>
      <c r="BB174" s="196" t="n"/>
      <c r="BC174" s="196" t="n"/>
      <c r="BD174" s="196" t="n"/>
      <c r="BE174" s="196" t="n">
        <v>643750</v>
      </c>
      <c r="BF174" s="196" t="n"/>
      <c r="BG174" s="196" t="n"/>
      <c r="BH174" s="196" t="n"/>
      <c r="BI174" s="196" t="n">
        <v>293750</v>
      </c>
      <c r="BJ174" s="196" t="n"/>
      <c r="BK174" s="196" t="n"/>
      <c r="BL174" s="196" t="n"/>
      <c r="BM174" s="196" t="n">
        <v>368750</v>
      </c>
      <c r="BN174" s="196" t="n"/>
      <c r="BO174" s="196" t="n"/>
      <c r="BP174" s="196" t="n"/>
      <c r="BQ174" s="196" t="n">
        <v>450409</v>
      </c>
      <c r="BR174" s="196" t="n"/>
      <c r="BS174" s="196" t="n">
        <v>481250</v>
      </c>
      <c r="BT174" s="196" t="n"/>
      <c r="BU174" s="196" t="n"/>
      <c r="BV174" s="196" t="n"/>
      <c r="BW174" s="196" t="n"/>
      <c r="BX174" s="196" t="n"/>
      <c r="BY174" s="196" t="n"/>
      <c r="BZ174" s="196" t="n"/>
      <c r="CA174" s="196" t="n"/>
      <c r="CB174" s="196" t="n"/>
      <c r="CC174" s="196" t="n"/>
      <c r="CD174" s="196" t="n"/>
      <c r="CE174" s="196" t="n"/>
      <c r="CF174" s="196" t="n"/>
      <c r="CG174" s="196" t="n"/>
      <c r="CH174" s="196" t="n"/>
      <c r="CI174" s="196" t="n"/>
      <c r="CJ174" s="196" t="n"/>
      <c r="CK174" s="196" t="n"/>
      <c r="CL174" s="196" t="n"/>
      <c r="CM174" s="196" t="n"/>
      <c r="CN174" s="196" t="n"/>
      <c r="CO174" s="196" t="n"/>
      <c r="CP174" s="196" t="n"/>
      <c r="CQ174" s="196" t="n"/>
      <c r="CR174" s="196" t="n"/>
      <c r="CS174" s="196" t="n"/>
      <c r="CT174" s="196" t="n"/>
      <c r="CU174" s="196" t="n"/>
      <c r="CV174" s="196" t="n"/>
      <c r="CW174" s="196" t="n"/>
      <c r="CX174" s="196" t="n"/>
      <c r="CY174" s="196" t="n"/>
      <c r="CZ174" s="196" t="n"/>
      <c r="DA174" s="196" t="n"/>
      <c r="DB174" s="196" t="n"/>
      <c r="DC174" s="196" t="n"/>
      <c r="DD174" s="196" t="n"/>
      <c r="DE174" s="196" t="n"/>
      <c r="DF174" s="196" t="n"/>
      <c r="DG174" s="196" t="n"/>
      <c r="DH174" s="196" t="n"/>
      <c r="DI174" s="196" t="n"/>
      <c r="DJ174" s="196" t="n"/>
      <c r="DK174" s="196" t="n"/>
      <c r="DL174" s="196" t="n"/>
      <c r="DM174" s="196" t="n"/>
      <c r="DN174" s="196" t="n"/>
      <c r="DO174" s="196" t="n"/>
      <c r="DP174" s="196" t="n"/>
      <c r="DQ174" s="196" t="n"/>
      <c r="DR174" s="196" t="n"/>
      <c r="DS174" s="196" t="n"/>
      <c r="DT174" s="196" t="n"/>
      <c r="DU174" s="196" t="n"/>
      <c r="DV174" s="196" t="n"/>
      <c r="DW174" s="196" t="n"/>
      <c r="DX174" s="196" t="n"/>
      <c r="DY174" s="196" t="n"/>
      <c r="DZ174" s="196" t="n"/>
      <c r="EA174" s="196" t="n"/>
      <c r="EB174" s="196" t="n"/>
      <c r="EC174" s="196" t="n"/>
      <c r="ED174" s="196" t="n"/>
      <c r="EE174" s="196" t="n"/>
      <c r="EF174" s="196" t="n"/>
      <c r="EG174" s="196" t="n"/>
      <c r="EH174" s="196" t="n"/>
      <c r="EI174" s="196" t="n"/>
      <c r="EJ174" s="196" t="n"/>
      <c r="EK174" s="196" t="n"/>
      <c r="EL174" s="182" t="n"/>
      <c r="EM174" s="176" t="n"/>
      <c r="EN174" s="176" t="n"/>
      <c r="EO174" s="176" t="n"/>
      <c r="EP174" s="176" t="n"/>
      <c r="EQ174" s="176" t="n"/>
      <c r="ER174" s="176" t="n"/>
      <c r="ES174" s="176" t="n"/>
      <c r="ET174" s="176" t="n"/>
      <c r="EU174" s="176" t="n"/>
      <c r="EV174" s="176" t="n"/>
      <c r="EW174" s="176" t="n"/>
      <c r="EX174" s="176" t="n"/>
      <c r="EY174" s="176" t="n"/>
      <c r="EZ174" s="176" t="n"/>
      <c r="FA174" s="176" t="n"/>
      <c r="FB174" s="176" t="n"/>
      <c r="FC174" s="176" t="n"/>
      <c r="FD174" s="176" t="n"/>
      <c r="FE174" s="176" t="n"/>
      <c r="FF174" s="176" t="n"/>
      <c r="FG174" s="176" t="n"/>
      <c r="FH174" s="176" t="n"/>
      <c r="FI174" s="176" t="n"/>
      <c r="FJ174" s="176" t="n"/>
    </row>
    <row r="175" ht="15" customHeight="1" s="392">
      <c r="A175" s="176" t="n"/>
      <c r="B175" s="180" t="n"/>
      <c r="C175" s="183" t="inlineStr">
        <is>
          <t xml:space="preserve">    Capital Lease Obligation Maturity Schedule</t>
        </is>
      </c>
      <c r="D175" s="185" t="n"/>
      <c r="E175" s="185" t="n"/>
      <c r="F175" s="185" t="n"/>
      <c r="G175" s="185" t="n"/>
      <c r="H175" s="185" t="n"/>
      <c r="I175" s="185" t="n"/>
      <c r="J175" s="185" t="n"/>
      <c r="K175" s="185" t="n"/>
      <c r="EL175" s="182" t="n"/>
      <c r="EM175" s="176" t="n"/>
      <c r="EN175" s="176" t="n"/>
      <c r="EO175" s="176" t="n"/>
      <c r="EP175" s="176" t="n"/>
      <c r="EQ175" s="176" t="n"/>
      <c r="ER175" s="176" t="n"/>
      <c r="ES175" s="176" t="n"/>
      <c r="ET175" s="176" t="n"/>
      <c r="EU175" s="176" t="n"/>
      <c r="EV175" s="176" t="n"/>
      <c r="EW175" s="176" t="n"/>
      <c r="EX175" s="176" t="n"/>
      <c r="EY175" s="176" t="n"/>
      <c r="EZ175" s="176" t="n"/>
      <c r="FA175" s="176" t="n"/>
      <c r="FB175" s="176" t="n"/>
      <c r="FC175" s="176" t="n"/>
      <c r="FD175" s="176" t="n"/>
      <c r="FE175" s="176" t="n"/>
      <c r="FF175" s="176" t="n"/>
      <c r="FG175" s="176" t="n"/>
      <c r="FH175" s="176" t="n"/>
      <c r="FI175" s="176" t="n"/>
      <c r="FJ175" s="176" t="n"/>
    </row>
    <row r="176" ht="15" customHeight="1" s="392">
      <c r="A176" s="176" t="n"/>
      <c r="B176" s="180" t="n"/>
      <c r="C176" s="183" t="inlineStr">
        <is>
          <t xml:space="preserve">        Capital Lease due in Year 1</t>
        </is>
      </c>
      <c r="D176" s="190">
        <f>IF(COUNT(M176:EK176)&gt;0,MEDIAN(M176:EK176),"")</f>
        <v/>
      </c>
      <c r="E176" s="190">
        <f>IF(COUNT(M176:EK176)&gt;0,AVERAGE(M176:EK176),"")</f>
        <v/>
      </c>
      <c r="F176" s="190">
        <f>IF(COUNT(M176:EK176)&gt;0,MIN(M176:EK176),"")</f>
        <v/>
      </c>
      <c r="G176" s="190">
        <f>IF(COUNT(M176:EK176)&gt;0,MAX(M176:EK176),"")</f>
        <v/>
      </c>
      <c r="H176" s="190">
        <f>IF(COUNT(M176:EK176)&gt;0,QUARTILE(M176:EK176,1),"")</f>
        <v/>
      </c>
      <c r="I176" s="190">
        <f>IF(COUNT(M176:EK176)&gt;0,QUARTILE(M176:EK176,3),"")</f>
        <v/>
      </c>
      <c r="J176" s="190">
        <f>IF(COUNT(M176:EK176)&gt;1,STDEV(M176:EK176),"")</f>
        <v/>
      </c>
      <c r="K176" s="191">
        <f>IF(COUNT(M176:EK176)&gt;1,STDEV(M176:EK176)/AVERAGE(M176:EK176),"")</f>
        <v/>
      </c>
      <c r="M176" s="192" t="n"/>
      <c r="N176" s="192" t="n"/>
      <c r="O176" s="192" t="n"/>
      <c r="P176" s="192" t="n"/>
      <c r="Q176" s="192" t="n">
        <v>135</v>
      </c>
      <c r="R176" s="192" t="n"/>
      <c r="S176" s="192" t="n"/>
      <c r="T176" s="192" t="n"/>
      <c r="U176" s="192" t="n"/>
      <c r="V176" s="192" t="n"/>
      <c r="W176" s="192" t="n"/>
      <c r="X176" s="192" t="n"/>
      <c r="Y176" s="192" t="n"/>
      <c r="Z176" s="192" t="n"/>
      <c r="AA176" s="192" t="n"/>
      <c r="AB176" s="192" t="n"/>
      <c r="AC176" s="192" t="n">
        <v>24</v>
      </c>
      <c r="AD176" s="192" t="n"/>
      <c r="AE176" s="192" t="n"/>
      <c r="AF176" s="192" t="n"/>
      <c r="AG176" s="192" t="n">
        <v>535</v>
      </c>
      <c r="AH176" s="192" t="n"/>
      <c r="AI176" s="192" t="n"/>
      <c r="AJ176" s="192" t="n"/>
      <c r="AK176" s="192" t="n">
        <v>768</v>
      </c>
      <c r="AL176" s="192" t="n">
        <v>581</v>
      </c>
      <c r="AM176" s="192" t="n">
        <v>318</v>
      </c>
      <c r="AN176" s="192" t="n">
        <v>478</v>
      </c>
      <c r="AO176" s="192" t="n">
        <v>644</v>
      </c>
      <c r="AP176" s="192" t="n"/>
      <c r="AQ176" s="192" t="n"/>
      <c r="AR176" s="192" t="n"/>
      <c r="AS176" s="192" t="n">
        <v>966</v>
      </c>
      <c r="AT176" s="192" t="n"/>
      <c r="AU176" s="192" t="n"/>
      <c r="AV176" s="192" t="n"/>
      <c r="AW176" s="192" t="n">
        <v>1153</v>
      </c>
      <c r="AX176" s="192" t="n"/>
      <c r="AY176" s="192" t="n"/>
      <c r="AZ176" s="192" t="n"/>
      <c r="BA176" s="192" t="n">
        <v>1124</v>
      </c>
      <c r="BB176" s="192" t="n"/>
      <c r="BC176" s="192" t="n"/>
      <c r="BD176" s="192" t="n"/>
      <c r="BE176" s="192" t="n">
        <v>1312</v>
      </c>
      <c r="BF176" s="192" t="n"/>
      <c r="BG176" s="192" t="n"/>
      <c r="BH176" s="192" t="n"/>
      <c r="BI176" s="192" t="n">
        <v>1407</v>
      </c>
      <c r="BJ176" s="192" t="n"/>
      <c r="BK176" s="192" t="n"/>
      <c r="BL176" s="192" t="n"/>
      <c r="BM176" s="192" t="n">
        <v>229</v>
      </c>
      <c r="BN176" s="192" t="n"/>
      <c r="BO176" s="192" t="n"/>
      <c r="BP176" s="192" t="n"/>
      <c r="BQ176" s="192" t="n">
        <v>198</v>
      </c>
      <c r="BR176" s="192" t="n"/>
      <c r="BS176" s="192" t="n"/>
      <c r="BT176" s="192" t="n"/>
      <c r="BU176" s="192" t="n"/>
      <c r="BV176" s="192" t="n"/>
      <c r="BW176" s="192" t="n"/>
      <c r="BX176" s="192" t="n"/>
      <c r="BY176" s="192" t="n"/>
      <c r="BZ176" s="192" t="n"/>
      <c r="CA176" s="192" t="n"/>
      <c r="CB176" s="192" t="n"/>
      <c r="CC176" s="192" t="n"/>
      <c r="CD176" s="192" t="n"/>
      <c r="CE176" s="192" t="n"/>
      <c r="CF176" s="192" t="n"/>
      <c r="CG176" s="192" t="n"/>
      <c r="CH176" s="192" t="n"/>
      <c r="CI176" s="192" t="n"/>
      <c r="CJ176" s="192" t="n"/>
      <c r="CK176" s="192" t="n"/>
      <c r="CL176" s="192" t="n"/>
      <c r="CM176" s="192" t="n"/>
      <c r="CN176" s="192" t="n"/>
      <c r="CO176" s="192" t="n"/>
      <c r="CP176" s="192" t="n"/>
      <c r="CQ176" s="192" t="n"/>
      <c r="CR176" s="192" t="n"/>
      <c r="CS176" s="192" t="n"/>
      <c r="CT176" s="192" t="n"/>
      <c r="CU176" s="192" t="n"/>
      <c r="CV176" s="192" t="n"/>
      <c r="CW176" s="192" t="n"/>
      <c r="CX176" s="192" t="n"/>
      <c r="CY176" s="192" t="n"/>
      <c r="CZ176" s="192" t="n"/>
      <c r="DA176" s="192" t="n"/>
      <c r="DB176" s="192" t="n"/>
      <c r="DC176" s="192" t="n"/>
      <c r="DD176" s="192" t="n"/>
      <c r="DE176" s="192" t="n"/>
      <c r="DF176" s="192" t="n"/>
      <c r="DG176" s="192" t="n"/>
      <c r="DH176" s="192" t="n"/>
      <c r="DI176" s="192" t="n"/>
      <c r="DJ176" s="192" t="n"/>
      <c r="DK176" s="192" t="n"/>
      <c r="DL176" s="192" t="n"/>
      <c r="DM176" s="192" t="n"/>
      <c r="DN176" s="192" t="n"/>
      <c r="DO176" s="192" t="n"/>
      <c r="DP176" s="192" t="n"/>
      <c r="DQ176" s="192" t="n"/>
      <c r="DR176" s="192" t="n"/>
      <c r="DS176" s="192" t="n"/>
      <c r="DT176" s="192" t="n"/>
      <c r="DU176" s="192" t="n"/>
      <c r="DV176" s="192" t="n"/>
      <c r="DW176" s="192" t="n"/>
      <c r="DX176" s="192" t="n"/>
      <c r="DY176" s="192" t="n"/>
      <c r="DZ176" s="192" t="n"/>
      <c r="EA176" s="192" t="n"/>
      <c r="EB176" s="192" t="n"/>
      <c r="EC176" s="192" t="n"/>
      <c r="ED176" s="192" t="n"/>
      <c r="EE176" s="192" t="n"/>
      <c r="EF176" s="192" t="n"/>
      <c r="EG176" s="192" t="n"/>
      <c r="EH176" s="192" t="n"/>
      <c r="EI176" s="192" t="n"/>
      <c r="EJ176" s="192" t="n"/>
      <c r="EK176" s="192" t="n"/>
      <c r="EL176" s="182" t="n"/>
      <c r="EM176" s="176" t="n"/>
      <c r="EN176" s="176" t="n"/>
      <c r="EO176" s="176" t="n"/>
      <c r="EP176" s="176" t="n"/>
      <c r="EQ176" s="176" t="n"/>
      <c r="ER176" s="176" t="n"/>
      <c r="ES176" s="176" t="n"/>
      <c r="ET176" s="176" t="n"/>
      <c r="EU176" s="176" t="n"/>
      <c r="EV176" s="176" t="n"/>
      <c r="EW176" s="176" t="n"/>
      <c r="EX176" s="176" t="n"/>
      <c r="EY176" s="176" t="n"/>
      <c r="EZ176" s="176" t="n"/>
      <c r="FA176" s="176" t="n"/>
      <c r="FB176" s="176" t="n"/>
      <c r="FC176" s="176" t="n"/>
      <c r="FD176" s="176" t="n"/>
      <c r="FE176" s="176" t="n"/>
      <c r="FF176" s="176" t="n"/>
      <c r="FG176" s="176" t="n"/>
      <c r="FH176" s="176" t="n"/>
      <c r="FI176" s="176" t="n"/>
      <c r="FJ176" s="176" t="n"/>
    </row>
    <row r="177" ht="15" customHeight="1" s="392">
      <c r="A177" s="176" t="n"/>
      <c r="B177" s="180" t="n"/>
      <c r="C177" s="183" t="inlineStr">
        <is>
          <t xml:space="preserve">        Capital Lease due in Year 2</t>
        </is>
      </c>
      <c r="D177" s="190">
        <f>IF(COUNT(M177:EK177)&gt;0,MEDIAN(M177:EK177),"")</f>
        <v/>
      </c>
      <c r="E177" s="190">
        <f>IF(COUNT(M177:EK177)&gt;0,AVERAGE(M177:EK177),"")</f>
        <v/>
      </c>
      <c r="F177" s="190">
        <f>IF(COUNT(M177:EK177)&gt;0,MIN(M177:EK177),"")</f>
        <v/>
      </c>
      <c r="G177" s="190">
        <f>IF(COUNT(M177:EK177)&gt;0,MAX(M177:EK177),"")</f>
        <v/>
      </c>
      <c r="H177" s="190">
        <f>IF(COUNT(M177:EK177)&gt;0,QUARTILE(M177:EK177,1),"")</f>
        <v/>
      </c>
      <c r="I177" s="190">
        <f>IF(COUNT(M177:EK177)&gt;0,QUARTILE(M177:EK177,3),"")</f>
        <v/>
      </c>
      <c r="J177" s="190">
        <f>IF(COUNT(M177:EK177)&gt;1,STDEV(M177:EK177),"")</f>
        <v/>
      </c>
      <c r="K177" s="191">
        <f>IF(COUNT(M177:EK177)&gt;1,STDEV(M177:EK177)/AVERAGE(M177:EK177),"")</f>
        <v/>
      </c>
      <c r="M177" s="192" t="n"/>
      <c r="N177" s="192" t="n"/>
      <c r="O177" s="192" t="n"/>
      <c r="P177" s="192" t="n"/>
      <c r="Q177" s="192" t="n">
        <v>135</v>
      </c>
      <c r="R177" s="192" t="n"/>
      <c r="S177" s="192" t="n"/>
      <c r="T177" s="192" t="n"/>
      <c r="U177" s="192" t="n"/>
      <c r="V177" s="192" t="n"/>
      <c r="W177" s="192" t="n"/>
      <c r="X177" s="192" t="n"/>
      <c r="Y177" s="192" t="n"/>
      <c r="Z177" s="192" t="n"/>
      <c r="AA177" s="192" t="n"/>
      <c r="AB177" s="192" t="n"/>
      <c r="AC177" s="192" t="n">
        <v>13</v>
      </c>
      <c r="AD177" s="192" t="n"/>
      <c r="AE177" s="192" t="n"/>
      <c r="AF177" s="192" t="n"/>
      <c r="AG177" s="192" t="n">
        <v>24</v>
      </c>
      <c r="AH177" s="192" t="n"/>
      <c r="AI177" s="192" t="n"/>
      <c r="AJ177" s="192" t="n"/>
      <c r="AK177" s="192" t="n">
        <v>534</v>
      </c>
      <c r="AL177" s="192" t="n">
        <v>3474</v>
      </c>
      <c r="AM177" s="192" t="n">
        <v>619</v>
      </c>
      <c r="AN177" s="192" t="n">
        <v>619</v>
      </c>
      <c r="AO177" s="192" t="n">
        <v>619</v>
      </c>
      <c r="AP177" s="192" t="n"/>
      <c r="AQ177" s="192" t="n"/>
      <c r="AR177" s="192" t="n"/>
      <c r="AS177" s="192" t="n">
        <v>30</v>
      </c>
      <c r="AT177" s="192" t="n"/>
      <c r="AU177" s="192" t="n"/>
      <c r="AV177" s="192" t="n"/>
      <c r="AW177" s="192" t="n">
        <v>966</v>
      </c>
      <c r="AX177" s="192" t="n"/>
      <c r="AY177" s="192" t="n"/>
      <c r="AZ177" s="192" t="n"/>
      <c r="BA177" s="192" t="n">
        <v>1093</v>
      </c>
      <c r="BB177" s="192" t="n"/>
      <c r="BC177" s="192" t="n"/>
      <c r="BD177" s="192" t="n"/>
      <c r="BE177" s="192" t="n">
        <v>37</v>
      </c>
      <c r="BF177" s="192" t="n"/>
      <c r="BG177" s="192" t="n"/>
      <c r="BH177" s="192" t="n"/>
      <c r="BI177" s="192" t="n">
        <v>1312</v>
      </c>
      <c r="BJ177" s="192" t="n"/>
      <c r="BK177" s="192" t="n"/>
      <c r="BL177" s="192" t="n"/>
      <c r="BM177" s="192" t="n">
        <v>62</v>
      </c>
      <c r="BN177" s="192" t="n"/>
      <c r="BO177" s="192" t="n"/>
      <c r="BP177" s="192" t="n"/>
      <c r="BQ177" s="192" t="n">
        <v>126</v>
      </c>
      <c r="BR177" s="192" t="n"/>
      <c r="BS177" s="192" t="n"/>
      <c r="BT177" s="192" t="n"/>
      <c r="BU177" s="192" t="n"/>
      <c r="BV177" s="192" t="n"/>
      <c r="BW177" s="192" t="n"/>
      <c r="BX177" s="192" t="n"/>
      <c r="BY177" s="192" t="n"/>
      <c r="BZ177" s="192" t="n"/>
      <c r="CA177" s="192" t="n"/>
      <c r="CB177" s="192" t="n"/>
      <c r="CC177" s="192" t="n"/>
      <c r="CD177" s="192" t="n"/>
      <c r="CE177" s="192" t="n"/>
      <c r="CF177" s="192" t="n"/>
      <c r="CG177" s="192" t="n"/>
      <c r="CH177" s="192" t="n"/>
      <c r="CI177" s="192" t="n"/>
      <c r="CJ177" s="192" t="n"/>
      <c r="CK177" s="192" t="n"/>
      <c r="CL177" s="192" t="n"/>
      <c r="CM177" s="192" t="n"/>
      <c r="CN177" s="192" t="n"/>
      <c r="CO177" s="192" t="n"/>
      <c r="CP177" s="192" t="n"/>
      <c r="CQ177" s="192" t="n"/>
      <c r="CR177" s="192" t="n"/>
      <c r="CS177" s="192" t="n"/>
      <c r="CT177" s="192" t="n"/>
      <c r="CU177" s="192" t="n"/>
      <c r="CV177" s="192" t="n"/>
      <c r="CW177" s="192" t="n"/>
      <c r="CX177" s="192" t="n"/>
      <c r="CY177" s="192" t="n"/>
      <c r="CZ177" s="192" t="n"/>
      <c r="DA177" s="192" t="n"/>
      <c r="DB177" s="192" t="n"/>
      <c r="DC177" s="192" t="n"/>
      <c r="DD177" s="192" t="n"/>
      <c r="DE177" s="192" t="n"/>
      <c r="DF177" s="192" t="n"/>
      <c r="DG177" s="192" t="n"/>
      <c r="DH177" s="192" t="n"/>
      <c r="DI177" s="192" t="n"/>
      <c r="DJ177" s="192" t="n"/>
      <c r="DK177" s="192" t="n"/>
      <c r="DL177" s="192" t="n"/>
      <c r="DM177" s="192" t="n"/>
      <c r="DN177" s="192" t="n"/>
      <c r="DO177" s="192" t="n"/>
      <c r="DP177" s="192" t="n"/>
      <c r="DQ177" s="192" t="n"/>
      <c r="DR177" s="192" t="n"/>
      <c r="DS177" s="192" t="n"/>
      <c r="DT177" s="192" t="n"/>
      <c r="DU177" s="192" t="n"/>
      <c r="DV177" s="192" t="n"/>
      <c r="DW177" s="192" t="n"/>
      <c r="DX177" s="192" t="n"/>
      <c r="DY177" s="192" t="n"/>
      <c r="DZ177" s="192" t="n"/>
      <c r="EA177" s="192" t="n"/>
      <c r="EB177" s="192" t="n"/>
      <c r="EC177" s="192" t="n"/>
      <c r="ED177" s="192" t="n"/>
      <c r="EE177" s="192" t="n"/>
      <c r="EF177" s="192" t="n"/>
      <c r="EG177" s="192" t="n"/>
      <c r="EH177" s="192" t="n"/>
      <c r="EI177" s="192" t="n"/>
      <c r="EJ177" s="192" t="n"/>
      <c r="EK177" s="192" t="n"/>
      <c r="EL177" s="182" t="n"/>
      <c r="EM177" s="176" t="n"/>
      <c r="EN177" s="176" t="n"/>
      <c r="EO177" s="176" t="n"/>
      <c r="EP177" s="176" t="n"/>
      <c r="EQ177" s="176" t="n"/>
      <c r="ER177" s="176" t="n"/>
      <c r="ES177" s="176" t="n"/>
      <c r="ET177" s="176" t="n"/>
      <c r="EU177" s="176" t="n"/>
      <c r="EV177" s="176" t="n"/>
      <c r="EW177" s="176" t="n"/>
      <c r="EX177" s="176" t="n"/>
      <c r="EY177" s="176" t="n"/>
      <c r="EZ177" s="176" t="n"/>
      <c r="FA177" s="176" t="n"/>
      <c r="FB177" s="176" t="n"/>
      <c r="FC177" s="176" t="n"/>
      <c r="FD177" s="176" t="n"/>
      <c r="FE177" s="176" t="n"/>
      <c r="FF177" s="176" t="n"/>
      <c r="FG177" s="176" t="n"/>
      <c r="FH177" s="176" t="n"/>
      <c r="FI177" s="176" t="n"/>
      <c r="FJ177" s="176" t="n"/>
    </row>
    <row r="178" ht="15" customHeight="1" s="392">
      <c r="A178" s="176" t="n"/>
      <c r="B178" s="180" t="n"/>
      <c r="C178" s="183" t="inlineStr">
        <is>
          <t xml:space="preserve">        Capital Lease due in Year 3</t>
        </is>
      </c>
      <c r="D178" s="190">
        <f>IF(COUNT(M178:EK178)&gt;0,MEDIAN(M178:EK178),"")</f>
        <v/>
      </c>
      <c r="E178" s="190">
        <f>IF(COUNT(M178:EK178)&gt;0,AVERAGE(M178:EK178),"")</f>
        <v/>
      </c>
      <c r="F178" s="190">
        <f>IF(COUNT(M178:EK178)&gt;0,MIN(M178:EK178),"")</f>
        <v/>
      </c>
      <c r="G178" s="190">
        <f>IF(COUNT(M178:EK178)&gt;0,MAX(M178:EK178),"")</f>
        <v/>
      </c>
      <c r="H178" s="190">
        <f>IF(COUNT(M178:EK178)&gt;0,QUARTILE(M178:EK178,1),"")</f>
        <v/>
      </c>
      <c r="I178" s="190">
        <f>IF(COUNT(M178:EK178)&gt;0,QUARTILE(M178:EK178,3),"")</f>
        <v/>
      </c>
      <c r="J178" s="190">
        <f>IF(COUNT(M178:EK178)&gt;1,STDEV(M178:EK178),"")</f>
        <v/>
      </c>
      <c r="K178" s="191">
        <f>IF(COUNT(M178:EK178)&gt;1,STDEV(M178:EK178)/AVERAGE(M178:EK178),"")</f>
        <v/>
      </c>
      <c r="M178" s="192" t="n"/>
      <c r="N178" s="192" t="n"/>
      <c r="O178" s="192" t="n"/>
      <c r="P178" s="192" t="n"/>
      <c r="Q178" s="192" t="n">
        <v>135</v>
      </c>
      <c r="R178" s="192" t="n"/>
      <c r="S178" s="192" t="n"/>
      <c r="T178" s="192" t="n"/>
      <c r="U178" s="192" t="n"/>
      <c r="V178" s="192" t="n"/>
      <c r="W178" s="192" t="n"/>
      <c r="X178" s="192" t="n"/>
      <c r="Y178" s="192" t="n"/>
      <c r="Z178" s="192" t="n"/>
      <c r="AA178" s="192" t="n"/>
      <c r="AB178" s="192" t="n"/>
      <c r="AC178" s="192" t="n"/>
      <c r="AD178" s="192" t="n"/>
      <c r="AE178" s="192" t="n"/>
      <c r="AF178" s="192" t="n"/>
      <c r="AG178" s="192" t="n">
        <v>13</v>
      </c>
      <c r="AH178" s="192" t="n"/>
      <c r="AI178" s="192" t="n"/>
      <c r="AJ178" s="192" t="n"/>
      <c r="AK178" s="192" t="n">
        <v>24</v>
      </c>
      <c r="AL178" s="192" t="n">
        <v>1036</v>
      </c>
      <c r="AM178" s="192" t="n">
        <v>505</v>
      </c>
      <c r="AN178" s="192" t="n">
        <v>505</v>
      </c>
      <c r="AO178" s="192" t="n">
        <v>505</v>
      </c>
      <c r="AP178" s="192" t="n"/>
      <c r="AQ178" s="192" t="n"/>
      <c r="AR178" s="192" t="n"/>
      <c r="AS178" s="192" t="n">
        <v>13</v>
      </c>
      <c r="AT178" s="192" t="n"/>
      <c r="AU178" s="192" t="n"/>
      <c r="AV178" s="192" t="n"/>
      <c r="AW178" s="192" t="n">
        <v>30</v>
      </c>
      <c r="AX178" s="192" t="n"/>
      <c r="AY178" s="192" t="n"/>
      <c r="AZ178" s="192" t="n"/>
      <c r="BA178" s="192" t="n">
        <v>909</v>
      </c>
      <c r="BB178" s="192" t="n"/>
      <c r="BC178" s="192" t="n"/>
      <c r="BD178" s="192" t="n"/>
      <c r="BE178" s="192" t="n">
        <v>3</v>
      </c>
      <c r="BF178" s="192" t="n"/>
      <c r="BG178" s="192" t="n"/>
      <c r="BH178" s="192" t="n"/>
      <c r="BI178" s="192" t="n">
        <v>37</v>
      </c>
      <c r="BJ178" s="192" t="n"/>
      <c r="BK178" s="192" t="n"/>
      <c r="BL178" s="192" t="n"/>
      <c r="BM178" s="192" t="n">
        <v>6</v>
      </c>
      <c r="BN178" s="192" t="n"/>
      <c r="BO178" s="192" t="n"/>
      <c r="BP178" s="192" t="n"/>
      <c r="BQ178" s="192" t="n"/>
      <c r="BR178" s="192" t="n"/>
      <c r="BS178" s="192" t="n"/>
      <c r="BT178" s="192" t="n"/>
      <c r="BU178" s="192" t="n"/>
      <c r="BV178" s="192" t="n"/>
      <c r="BW178" s="192" t="n"/>
      <c r="BX178" s="192" t="n"/>
      <c r="BY178" s="192" t="n"/>
      <c r="BZ178" s="192" t="n"/>
      <c r="CA178" s="192" t="n"/>
      <c r="CB178" s="192" t="n"/>
      <c r="CC178" s="192" t="n"/>
      <c r="CD178" s="192" t="n"/>
      <c r="CE178" s="192" t="n"/>
      <c r="CF178" s="192" t="n"/>
      <c r="CG178" s="192" t="n"/>
      <c r="CH178" s="192" t="n"/>
      <c r="CI178" s="192" t="n"/>
      <c r="CJ178" s="192" t="n"/>
      <c r="CK178" s="192" t="n"/>
      <c r="CL178" s="192" t="n"/>
      <c r="CM178" s="192" t="n"/>
      <c r="CN178" s="192" t="n"/>
      <c r="CO178" s="192" t="n"/>
      <c r="CP178" s="192" t="n"/>
      <c r="CQ178" s="192" t="n"/>
      <c r="CR178" s="192" t="n"/>
      <c r="CS178" s="192" t="n"/>
      <c r="CT178" s="192" t="n"/>
      <c r="CU178" s="192" t="n"/>
      <c r="CV178" s="192" t="n"/>
      <c r="CW178" s="192" t="n"/>
      <c r="CX178" s="192" t="n"/>
      <c r="CY178" s="192" t="n"/>
      <c r="CZ178" s="192" t="n"/>
      <c r="DA178" s="192" t="n"/>
      <c r="DB178" s="192" t="n"/>
      <c r="DC178" s="192" t="n"/>
      <c r="DD178" s="192" t="n"/>
      <c r="DE178" s="192" t="n"/>
      <c r="DF178" s="192" t="n"/>
      <c r="DG178" s="192" t="n"/>
      <c r="DH178" s="192" t="n"/>
      <c r="DI178" s="192" t="n"/>
      <c r="DJ178" s="192" t="n"/>
      <c r="DK178" s="192" t="n"/>
      <c r="DL178" s="192" t="n"/>
      <c r="DM178" s="192" t="n"/>
      <c r="DN178" s="192" t="n"/>
      <c r="DO178" s="192" t="n"/>
      <c r="DP178" s="192" t="n"/>
      <c r="DQ178" s="192" t="n"/>
      <c r="DR178" s="192" t="n"/>
      <c r="DS178" s="192" t="n"/>
      <c r="DT178" s="192" t="n"/>
      <c r="DU178" s="192" t="n"/>
      <c r="DV178" s="192" t="n"/>
      <c r="DW178" s="192" t="n"/>
      <c r="DX178" s="192" t="n"/>
      <c r="DY178" s="192" t="n"/>
      <c r="DZ178" s="192" t="n"/>
      <c r="EA178" s="192" t="n"/>
      <c r="EB178" s="192" t="n"/>
      <c r="EC178" s="192" t="n"/>
      <c r="ED178" s="192" t="n"/>
      <c r="EE178" s="192" t="n"/>
      <c r="EF178" s="192" t="n"/>
      <c r="EG178" s="192" t="n"/>
      <c r="EH178" s="192" t="n"/>
      <c r="EI178" s="192" t="n"/>
      <c r="EJ178" s="192" t="n"/>
      <c r="EK178" s="192" t="n"/>
      <c r="EL178" s="182" t="n"/>
      <c r="EM178" s="176" t="n"/>
      <c r="EN178" s="176" t="n"/>
      <c r="EO178" s="176" t="n"/>
      <c r="EP178" s="176" t="n"/>
      <c r="EQ178" s="176" t="n"/>
      <c r="ER178" s="176" t="n"/>
      <c r="ES178" s="176" t="n"/>
      <c r="ET178" s="176" t="n"/>
      <c r="EU178" s="176" t="n"/>
      <c r="EV178" s="176" t="n"/>
      <c r="EW178" s="176" t="n"/>
      <c r="EX178" s="176" t="n"/>
      <c r="EY178" s="176" t="n"/>
      <c r="EZ178" s="176" t="n"/>
      <c r="FA178" s="176" t="n"/>
      <c r="FB178" s="176" t="n"/>
      <c r="FC178" s="176" t="n"/>
      <c r="FD178" s="176" t="n"/>
      <c r="FE178" s="176" t="n"/>
      <c r="FF178" s="176" t="n"/>
      <c r="FG178" s="176" t="n"/>
      <c r="FH178" s="176" t="n"/>
      <c r="FI178" s="176" t="n"/>
      <c r="FJ178" s="176" t="n"/>
    </row>
    <row r="179" ht="15" customHeight="1" s="392">
      <c r="A179" s="176" t="n"/>
      <c r="B179" s="180" t="n"/>
      <c r="C179" s="183" t="inlineStr">
        <is>
          <t xml:space="preserve">        Capital Lease due in Year 4</t>
        </is>
      </c>
      <c r="D179" s="190">
        <f>IF(COUNT(M179:EK179)&gt;0,MEDIAN(M179:EK179),"")</f>
        <v/>
      </c>
      <c r="E179" s="190">
        <f>IF(COUNT(M179:EK179)&gt;0,AVERAGE(M179:EK179),"")</f>
        <v/>
      </c>
      <c r="F179" s="190">
        <f>IF(COUNT(M179:EK179)&gt;0,MIN(M179:EK179),"")</f>
        <v/>
      </c>
      <c r="G179" s="190">
        <f>IF(COUNT(M179:EK179)&gt;0,MAX(M179:EK179),"")</f>
        <v/>
      </c>
      <c r="H179" s="190">
        <f>IF(COUNT(M179:EK179)&gt;0,QUARTILE(M179:EK179,1),"")</f>
        <v/>
      </c>
      <c r="I179" s="190">
        <f>IF(COUNT(M179:EK179)&gt;0,QUARTILE(M179:EK179,3),"")</f>
        <v/>
      </c>
      <c r="J179" s="190">
        <f>IF(COUNT(M179:EK179)&gt;1,STDEV(M179:EK179),"")</f>
        <v/>
      </c>
      <c r="K179" s="191">
        <f>IF(COUNT(M179:EK179)&gt;1,STDEV(M179:EK179)/AVERAGE(M179:EK179),"")</f>
        <v/>
      </c>
      <c r="M179" s="192" t="n"/>
      <c r="N179" s="192" t="n"/>
      <c r="O179" s="192" t="n"/>
      <c r="P179" s="192" t="n"/>
      <c r="Q179" s="192" t="n">
        <v>135</v>
      </c>
      <c r="R179" s="192" t="n"/>
      <c r="S179" s="192" t="n"/>
      <c r="T179" s="192" t="n"/>
      <c r="U179" s="192" t="n"/>
      <c r="V179" s="192" t="n"/>
      <c r="W179" s="192" t="n"/>
      <c r="X179" s="192" t="n"/>
      <c r="Y179" s="192" t="n"/>
      <c r="Z179" s="192" t="n"/>
      <c r="AA179" s="192" t="n"/>
      <c r="AB179" s="192" t="n"/>
      <c r="AC179" s="192" t="n"/>
      <c r="AD179" s="192" t="n"/>
      <c r="AE179" s="192" t="n"/>
      <c r="AF179" s="192" t="n"/>
      <c r="AG179" s="192" t="n"/>
      <c r="AH179" s="192" t="n"/>
      <c r="AI179" s="192" t="n"/>
      <c r="AJ179" s="192" t="n"/>
      <c r="AK179" s="192" t="n">
        <v>13</v>
      </c>
      <c r="AL179" s="192" t="n">
        <v>544</v>
      </c>
      <c r="AM179" s="192" t="n"/>
      <c r="AN179" s="192" t="n"/>
      <c r="AO179" s="192" t="n"/>
      <c r="AP179" s="192" t="n"/>
      <c r="AQ179" s="192" t="n"/>
      <c r="AR179" s="192" t="n"/>
      <c r="AS179" s="192" t="n"/>
      <c r="AT179" s="192" t="n"/>
      <c r="AU179" s="192" t="n"/>
      <c r="AV179" s="192" t="n"/>
      <c r="AW179" s="192" t="n">
        <v>13</v>
      </c>
      <c r="AX179" s="192" t="n"/>
      <c r="AY179" s="192" t="n"/>
      <c r="AZ179" s="192" t="n"/>
      <c r="BA179" s="192" t="n"/>
      <c r="BB179" s="192" t="n"/>
      <c r="BC179" s="192" t="n"/>
      <c r="BD179" s="192" t="n"/>
      <c r="BE179" s="192" t="n"/>
      <c r="BF179" s="192" t="n"/>
      <c r="BG179" s="192" t="n"/>
      <c r="BH179" s="192" t="n"/>
      <c r="BI179" s="192" t="n">
        <v>3</v>
      </c>
      <c r="BJ179" s="192" t="n"/>
      <c r="BK179" s="192" t="n"/>
      <c r="BL179" s="192" t="n"/>
      <c r="BM179" s="192" t="n"/>
      <c r="BN179" s="192" t="n"/>
      <c r="BO179" s="192" t="n"/>
      <c r="BP179" s="192" t="n"/>
      <c r="BQ179" s="192" t="n"/>
      <c r="BR179" s="192" t="n"/>
      <c r="BS179" s="192" t="n"/>
      <c r="BT179" s="192" t="n"/>
      <c r="BU179" s="192" t="n"/>
      <c r="BV179" s="192" t="n"/>
      <c r="BW179" s="192" t="n"/>
      <c r="BX179" s="192" t="n"/>
      <c r="BY179" s="192" t="n"/>
      <c r="BZ179" s="192" t="n"/>
      <c r="CA179" s="192" t="n"/>
      <c r="CB179" s="192" t="n"/>
      <c r="CC179" s="192" t="n"/>
      <c r="CD179" s="192" t="n"/>
      <c r="CE179" s="192" t="n"/>
      <c r="CF179" s="192" t="n"/>
      <c r="CG179" s="192" t="n"/>
      <c r="CH179" s="192" t="n"/>
      <c r="CI179" s="192" t="n"/>
      <c r="CJ179" s="192" t="n"/>
      <c r="CK179" s="192" t="n"/>
      <c r="CL179" s="192" t="n"/>
      <c r="CM179" s="192" t="n"/>
      <c r="CN179" s="192" t="n"/>
      <c r="CO179" s="192" t="n"/>
      <c r="CP179" s="192" t="n"/>
      <c r="CQ179" s="192" t="n"/>
      <c r="CR179" s="192" t="n"/>
      <c r="CS179" s="192" t="n"/>
      <c r="CT179" s="192" t="n"/>
      <c r="CU179" s="192" t="n"/>
      <c r="CV179" s="192" t="n"/>
      <c r="CW179" s="192" t="n"/>
      <c r="CX179" s="192" t="n"/>
      <c r="CY179" s="192" t="n"/>
      <c r="CZ179" s="192" t="n"/>
      <c r="DA179" s="192" t="n"/>
      <c r="DB179" s="192" t="n"/>
      <c r="DC179" s="192" t="n"/>
      <c r="DD179" s="192" t="n"/>
      <c r="DE179" s="192" t="n"/>
      <c r="DF179" s="192" t="n"/>
      <c r="DG179" s="192" t="n"/>
      <c r="DH179" s="192" t="n"/>
      <c r="DI179" s="192" t="n"/>
      <c r="DJ179" s="192" t="n"/>
      <c r="DK179" s="192" t="n"/>
      <c r="DL179" s="192" t="n"/>
      <c r="DM179" s="192" t="n"/>
      <c r="DN179" s="192" t="n"/>
      <c r="DO179" s="192" t="n"/>
      <c r="DP179" s="192" t="n"/>
      <c r="DQ179" s="192" t="n"/>
      <c r="DR179" s="192" t="n"/>
      <c r="DS179" s="192" t="n"/>
      <c r="DT179" s="192" t="n"/>
      <c r="DU179" s="192" t="n"/>
      <c r="DV179" s="192" t="n"/>
      <c r="DW179" s="192" t="n"/>
      <c r="DX179" s="192" t="n"/>
      <c r="DY179" s="192" t="n"/>
      <c r="DZ179" s="192" t="n"/>
      <c r="EA179" s="192" t="n"/>
      <c r="EB179" s="192" t="n"/>
      <c r="EC179" s="192" t="n"/>
      <c r="ED179" s="192" t="n"/>
      <c r="EE179" s="192" t="n"/>
      <c r="EF179" s="192" t="n"/>
      <c r="EG179" s="192" t="n"/>
      <c r="EH179" s="192" t="n"/>
      <c r="EI179" s="192" t="n"/>
      <c r="EJ179" s="192" t="n"/>
      <c r="EK179" s="192" t="n"/>
      <c r="EL179" s="182" t="n"/>
      <c r="EM179" s="176" t="n"/>
      <c r="EN179" s="176" t="n"/>
      <c r="EO179" s="176" t="n"/>
      <c r="EP179" s="176" t="n"/>
      <c r="EQ179" s="176" t="n"/>
      <c r="ER179" s="176" t="n"/>
      <c r="ES179" s="176" t="n"/>
      <c r="ET179" s="176" t="n"/>
      <c r="EU179" s="176" t="n"/>
      <c r="EV179" s="176" t="n"/>
      <c r="EW179" s="176" t="n"/>
      <c r="EX179" s="176" t="n"/>
      <c r="EY179" s="176" t="n"/>
      <c r="EZ179" s="176" t="n"/>
      <c r="FA179" s="176" t="n"/>
      <c r="FB179" s="176" t="n"/>
      <c r="FC179" s="176" t="n"/>
      <c r="FD179" s="176" t="n"/>
      <c r="FE179" s="176" t="n"/>
      <c r="FF179" s="176" t="n"/>
      <c r="FG179" s="176" t="n"/>
      <c r="FH179" s="176" t="n"/>
      <c r="FI179" s="176" t="n"/>
      <c r="FJ179" s="176" t="n"/>
    </row>
    <row r="180" ht="15" customHeight="1" s="392">
      <c r="A180" s="176" t="n"/>
      <c r="B180" s="180" t="n"/>
      <c r="C180" s="183" t="inlineStr">
        <is>
          <t xml:space="preserve">        Capital Lease due in Year 5</t>
        </is>
      </c>
      <c r="D180" s="190">
        <f>IF(COUNT(M180:EK180)&gt;0,MEDIAN(M180:EK180),"")</f>
        <v/>
      </c>
      <c r="E180" s="190">
        <f>IF(COUNT(M180:EK180)&gt;0,AVERAGE(M180:EK180),"")</f>
        <v/>
      </c>
      <c r="F180" s="190">
        <f>IF(COUNT(M180:EK180)&gt;0,MIN(M180:EK180),"")</f>
        <v/>
      </c>
      <c r="G180" s="190">
        <f>IF(COUNT(M180:EK180)&gt;0,MAX(M180:EK180),"")</f>
        <v/>
      </c>
      <c r="H180" s="190">
        <f>IF(COUNT(M180:EK180)&gt;0,QUARTILE(M180:EK180,1),"")</f>
        <v/>
      </c>
      <c r="I180" s="190">
        <f>IF(COUNT(M180:EK180)&gt;0,QUARTILE(M180:EK180,3),"")</f>
        <v/>
      </c>
      <c r="J180" s="190">
        <f>IF(COUNT(M180:EK180)&gt;1,STDEV(M180:EK180),"")</f>
        <v/>
      </c>
      <c r="K180" s="191">
        <f>IF(COUNT(M180:EK180)&gt;1,STDEV(M180:EK180)/AVERAGE(M180:EK180),"")</f>
        <v/>
      </c>
      <c r="M180" s="192" t="n"/>
      <c r="N180" s="192" t="n"/>
      <c r="O180" s="192" t="n"/>
      <c r="P180" s="192" t="n"/>
      <c r="Q180" s="192" t="n">
        <v>135</v>
      </c>
      <c r="R180" s="192" t="n"/>
      <c r="S180" s="192" t="n"/>
      <c r="T180" s="192" t="n"/>
      <c r="U180" s="192" t="n"/>
      <c r="V180" s="192" t="n"/>
      <c r="W180" s="192" t="n"/>
      <c r="X180" s="192" t="n"/>
      <c r="Y180" s="192" t="n"/>
      <c r="Z180" s="192" t="n"/>
      <c r="AA180" s="192" t="n"/>
      <c r="AB180" s="192" t="n"/>
      <c r="AC180" s="192" t="n"/>
      <c r="AD180" s="192" t="n"/>
      <c r="AE180" s="192" t="n"/>
      <c r="AF180" s="192" t="n"/>
      <c r="AG180" s="192" t="n"/>
      <c r="AH180" s="192" t="n"/>
      <c r="AI180" s="192" t="n"/>
      <c r="AJ180" s="192" t="n"/>
      <c r="AK180" s="192" t="n"/>
      <c r="AL180" s="192" t="n">
        <v>558</v>
      </c>
      <c r="AM180" s="192" t="n"/>
      <c r="AN180" s="192" t="n"/>
      <c r="AO180" s="192" t="n"/>
      <c r="AP180" s="192" t="n"/>
      <c r="AQ180" s="192" t="n"/>
      <c r="AR180" s="192" t="n"/>
      <c r="AS180" s="192" t="n"/>
      <c r="AT180" s="192" t="n"/>
      <c r="AU180" s="192" t="n"/>
      <c r="AV180" s="192" t="n"/>
      <c r="AW180" s="192" t="n"/>
      <c r="AX180" s="192" t="n"/>
      <c r="AY180" s="192" t="n"/>
      <c r="AZ180" s="192" t="n"/>
      <c r="BA180" s="192" t="n"/>
      <c r="BB180" s="192" t="n"/>
      <c r="BC180" s="192" t="n"/>
      <c r="BD180" s="192" t="n"/>
      <c r="BE180" s="192" t="n"/>
      <c r="BF180" s="192" t="n"/>
      <c r="BG180" s="192" t="n"/>
      <c r="BH180" s="192" t="n"/>
      <c r="BI180" s="192" t="n"/>
      <c r="BJ180" s="192" t="n"/>
      <c r="BK180" s="192" t="n"/>
      <c r="BL180" s="192" t="n"/>
      <c r="BM180" s="192" t="n"/>
      <c r="BN180" s="192" t="n"/>
      <c r="BO180" s="192" t="n"/>
      <c r="BP180" s="192" t="n"/>
      <c r="BQ180" s="192" t="n"/>
      <c r="BR180" s="192" t="n"/>
      <c r="BS180" s="192" t="n"/>
      <c r="BT180" s="192" t="n"/>
      <c r="BU180" s="192" t="n"/>
      <c r="BV180" s="192" t="n"/>
      <c r="BW180" s="192" t="n"/>
      <c r="BX180" s="192" t="n"/>
      <c r="BY180" s="192" t="n"/>
      <c r="BZ180" s="192" t="n"/>
      <c r="CA180" s="192" t="n"/>
      <c r="CB180" s="192" t="n"/>
      <c r="CC180" s="192" t="n"/>
      <c r="CD180" s="192" t="n"/>
      <c r="CE180" s="192" t="n"/>
      <c r="CF180" s="192" t="n"/>
      <c r="CG180" s="192" t="n"/>
      <c r="CH180" s="192" t="n"/>
      <c r="CI180" s="192" t="n"/>
      <c r="CJ180" s="192" t="n"/>
      <c r="CK180" s="192" t="n"/>
      <c r="CL180" s="192" t="n"/>
      <c r="CM180" s="192" t="n"/>
      <c r="CN180" s="192" t="n"/>
      <c r="CO180" s="192" t="n"/>
      <c r="CP180" s="192" t="n"/>
      <c r="CQ180" s="192" t="n"/>
      <c r="CR180" s="192" t="n"/>
      <c r="CS180" s="192" t="n"/>
      <c r="CT180" s="192" t="n"/>
      <c r="CU180" s="192" t="n"/>
      <c r="CV180" s="192" t="n"/>
      <c r="CW180" s="192" t="n"/>
      <c r="CX180" s="192" t="n"/>
      <c r="CY180" s="192" t="n"/>
      <c r="CZ180" s="192" t="n"/>
      <c r="DA180" s="192" t="n"/>
      <c r="DB180" s="192" t="n"/>
      <c r="DC180" s="192" t="n"/>
      <c r="DD180" s="192" t="n"/>
      <c r="DE180" s="192" t="n"/>
      <c r="DF180" s="192" t="n"/>
      <c r="DG180" s="192" t="n"/>
      <c r="DH180" s="192" t="n"/>
      <c r="DI180" s="192" t="n"/>
      <c r="DJ180" s="192" t="n"/>
      <c r="DK180" s="192" t="n"/>
      <c r="DL180" s="192" t="n"/>
      <c r="DM180" s="192" t="n"/>
      <c r="DN180" s="192" t="n"/>
      <c r="DO180" s="192" t="n"/>
      <c r="DP180" s="192" t="n"/>
      <c r="DQ180" s="192" t="n"/>
      <c r="DR180" s="192" t="n"/>
      <c r="DS180" s="192" t="n"/>
      <c r="DT180" s="192" t="n"/>
      <c r="DU180" s="192" t="n"/>
      <c r="DV180" s="192" t="n"/>
      <c r="DW180" s="192" t="n"/>
      <c r="DX180" s="192" t="n"/>
      <c r="DY180" s="192" t="n"/>
      <c r="DZ180" s="192" t="n"/>
      <c r="EA180" s="192" t="n"/>
      <c r="EB180" s="192" t="n"/>
      <c r="EC180" s="192" t="n"/>
      <c r="ED180" s="192" t="n"/>
      <c r="EE180" s="192" t="n"/>
      <c r="EF180" s="192" t="n"/>
      <c r="EG180" s="192" t="n"/>
      <c r="EH180" s="192" t="n"/>
      <c r="EI180" s="192" t="n"/>
      <c r="EJ180" s="192" t="n"/>
      <c r="EK180" s="192" t="n"/>
      <c r="EL180" s="182" t="n"/>
      <c r="EM180" s="176" t="n"/>
      <c r="EN180" s="176" t="n"/>
      <c r="EO180" s="176" t="n"/>
      <c r="EP180" s="176" t="n"/>
      <c r="EQ180" s="176" t="n"/>
      <c r="ER180" s="176" t="n"/>
      <c r="ES180" s="176" t="n"/>
      <c r="ET180" s="176" t="n"/>
      <c r="EU180" s="176" t="n"/>
      <c r="EV180" s="176" t="n"/>
      <c r="EW180" s="176" t="n"/>
      <c r="EX180" s="176" t="n"/>
      <c r="EY180" s="176" t="n"/>
      <c r="EZ180" s="176" t="n"/>
      <c r="FA180" s="176" t="n"/>
      <c r="FB180" s="176" t="n"/>
      <c r="FC180" s="176" t="n"/>
      <c r="FD180" s="176" t="n"/>
      <c r="FE180" s="176" t="n"/>
      <c r="FF180" s="176" t="n"/>
      <c r="FG180" s="176" t="n"/>
      <c r="FH180" s="176" t="n"/>
      <c r="FI180" s="176" t="n"/>
      <c r="FJ180" s="176" t="n"/>
    </row>
    <row r="181" ht="15" customHeight="1" s="392">
      <c r="A181" s="176" t="n"/>
      <c r="B181" s="180" t="n"/>
      <c r="C181" s="183" t="inlineStr">
        <is>
          <t xml:space="preserve">        Capital Lease due Beyond</t>
        </is>
      </c>
      <c r="D181" s="190">
        <f>IF(COUNT(M181:EK181)&gt;0,MEDIAN(M181:EK181),"")</f>
        <v/>
      </c>
      <c r="E181" s="190">
        <f>IF(COUNT(M181:EK181)&gt;0,AVERAGE(M181:EK181),"")</f>
        <v/>
      </c>
      <c r="F181" s="190">
        <f>IF(COUNT(M181:EK181)&gt;0,MIN(M181:EK181),"")</f>
        <v/>
      </c>
      <c r="G181" s="190">
        <f>IF(COUNT(M181:EK181)&gt;0,MAX(M181:EK181),"")</f>
        <v/>
      </c>
      <c r="H181" s="190">
        <f>IF(COUNT(M181:EK181)&gt;0,QUARTILE(M181:EK181,1),"")</f>
        <v/>
      </c>
      <c r="I181" s="190">
        <f>IF(COUNT(M181:EK181)&gt;0,QUARTILE(M181:EK181,3),"")</f>
        <v/>
      </c>
      <c r="J181" s="190">
        <f>IF(COUNT(M181:EK181)&gt;1,STDEV(M181:EK181),"")</f>
        <v/>
      </c>
      <c r="K181" s="191">
        <f>IF(COUNT(M181:EK181)&gt;1,STDEV(M181:EK181)/AVERAGE(M181:EK181),"")</f>
        <v/>
      </c>
      <c r="M181" s="192" t="n"/>
      <c r="N181" s="192" t="n"/>
      <c r="O181" s="192" t="n"/>
      <c r="P181" s="192" t="n"/>
      <c r="Q181" s="192" t="n">
        <v>4536</v>
      </c>
      <c r="R181" s="192" t="n"/>
      <c r="S181" s="192" t="n"/>
      <c r="T181" s="192" t="n"/>
      <c r="U181" s="192" t="n"/>
      <c r="V181" s="192" t="n"/>
      <c r="W181" s="192" t="n"/>
      <c r="X181" s="192" t="n"/>
      <c r="Y181" s="192" t="n"/>
      <c r="Z181" s="192" t="n"/>
      <c r="AA181" s="192" t="n"/>
      <c r="AB181" s="192" t="n"/>
      <c r="AC181" s="192" t="n"/>
      <c r="AD181" s="192" t="n"/>
      <c r="AE181" s="192" t="n"/>
      <c r="AF181" s="192" t="n"/>
      <c r="AG181" s="192" t="n"/>
      <c r="AH181" s="192" t="n"/>
      <c r="AI181" s="192" t="n"/>
      <c r="AJ181" s="192" t="n"/>
      <c r="AK181" s="192" t="n"/>
      <c r="AL181" s="192" t="n">
        <v>2738</v>
      </c>
      <c r="AM181" s="192" t="n"/>
      <c r="AN181" s="192" t="n"/>
      <c r="AO181" s="192" t="n"/>
      <c r="AP181" s="192" t="n"/>
      <c r="AQ181" s="192" t="n"/>
      <c r="AR181" s="192" t="n"/>
      <c r="AS181" s="192" t="n"/>
      <c r="AT181" s="192" t="n"/>
      <c r="AU181" s="192" t="n"/>
      <c r="AV181" s="192" t="n"/>
      <c r="AW181" s="192" t="n"/>
      <c r="AX181" s="192" t="n"/>
      <c r="AY181" s="192" t="n"/>
      <c r="AZ181" s="192" t="n"/>
      <c r="BA181" s="192" t="n"/>
      <c r="BB181" s="192" t="n"/>
      <c r="BC181" s="192" t="n"/>
      <c r="BD181" s="192" t="n"/>
      <c r="BE181" s="192" t="n"/>
      <c r="BF181" s="192" t="n"/>
      <c r="BG181" s="192" t="n"/>
      <c r="BH181" s="192" t="n"/>
      <c r="BI181" s="192" t="n"/>
      <c r="BJ181" s="192" t="n"/>
      <c r="BK181" s="192" t="n"/>
      <c r="BL181" s="192" t="n"/>
      <c r="BM181" s="192" t="n"/>
      <c r="BN181" s="192" t="n"/>
      <c r="BO181" s="192" t="n"/>
      <c r="BP181" s="192" t="n"/>
      <c r="BQ181" s="192" t="n"/>
      <c r="BR181" s="192" t="n"/>
      <c r="BS181" s="192" t="n"/>
      <c r="BT181" s="192" t="n"/>
      <c r="BU181" s="192" t="n"/>
      <c r="BV181" s="192" t="n"/>
      <c r="BW181" s="192" t="n"/>
      <c r="BX181" s="192" t="n"/>
      <c r="BY181" s="192" t="n"/>
      <c r="BZ181" s="192" t="n"/>
      <c r="CA181" s="192" t="n"/>
      <c r="CB181" s="192" t="n"/>
      <c r="CC181" s="192" t="n"/>
      <c r="CD181" s="192" t="n"/>
      <c r="CE181" s="192" t="n"/>
      <c r="CF181" s="192" t="n"/>
      <c r="CG181" s="192" t="n"/>
      <c r="CH181" s="192" t="n"/>
      <c r="CI181" s="192" t="n"/>
      <c r="CJ181" s="192" t="n"/>
      <c r="CK181" s="192" t="n"/>
      <c r="CL181" s="192" t="n"/>
      <c r="CM181" s="192" t="n"/>
      <c r="CN181" s="192" t="n"/>
      <c r="CO181" s="192" t="n"/>
      <c r="CP181" s="192" t="n"/>
      <c r="CQ181" s="192" t="n"/>
      <c r="CR181" s="192" t="n"/>
      <c r="CS181" s="192" t="n"/>
      <c r="CT181" s="192" t="n"/>
      <c r="CU181" s="192" t="n"/>
      <c r="CV181" s="192" t="n"/>
      <c r="CW181" s="192" t="n"/>
      <c r="CX181" s="192" t="n"/>
      <c r="CY181" s="192" t="n"/>
      <c r="CZ181" s="192" t="n"/>
      <c r="DA181" s="192" t="n"/>
      <c r="DB181" s="192" t="n"/>
      <c r="DC181" s="192" t="n"/>
      <c r="DD181" s="192" t="n"/>
      <c r="DE181" s="192" t="n"/>
      <c r="DF181" s="192" t="n"/>
      <c r="DG181" s="192" t="n"/>
      <c r="DH181" s="192" t="n"/>
      <c r="DI181" s="192" t="n"/>
      <c r="DJ181" s="192" t="n"/>
      <c r="DK181" s="192" t="n"/>
      <c r="DL181" s="192" t="n"/>
      <c r="DM181" s="192" t="n"/>
      <c r="DN181" s="192" t="n"/>
      <c r="DO181" s="192" t="n"/>
      <c r="DP181" s="192" t="n"/>
      <c r="DQ181" s="192" t="n"/>
      <c r="DR181" s="192" t="n"/>
      <c r="DS181" s="192" t="n"/>
      <c r="DT181" s="192" t="n"/>
      <c r="DU181" s="192" t="n"/>
      <c r="DV181" s="192" t="n"/>
      <c r="DW181" s="192" t="n"/>
      <c r="DX181" s="192" t="n"/>
      <c r="DY181" s="192" t="n"/>
      <c r="DZ181" s="192" t="n"/>
      <c r="EA181" s="192" t="n"/>
      <c r="EB181" s="192" t="n"/>
      <c r="EC181" s="192" t="n"/>
      <c r="ED181" s="192" t="n"/>
      <c r="EE181" s="192" t="n"/>
      <c r="EF181" s="192" t="n"/>
      <c r="EG181" s="192" t="n"/>
      <c r="EH181" s="192" t="n"/>
      <c r="EI181" s="192" t="n"/>
      <c r="EJ181" s="192" t="n"/>
      <c r="EK181" s="192" t="n"/>
      <c r="EL181" s="182" t="n"/>
      <c r="EM181" s="176" t="n"/>
      <c r="EN181" s="176" t="n"/>
      <c r="EO181" s="176" t="n"/>
      <c r="EP181" s="176" t="n"/>
      <c r="EQ181" s="176" t="n"/>
      <c r="ER181" s="176" t="n"/>
      <c r="ES181" s="176" t="n"/>
      <c r="ET181" s="176" t="n"/>
      <c r="EU181" s="176" t="n"/>
      <c r="EV181" s="176" t="n"/>
      <c r="EW181" s="176" t="n"/>
      <c r="EX181" s="176" t="n"/>
      <c r="EY181" s="176" t="n"/>
      <c r="EZ181" s="176" t="n"/>
      <c r="FA181" s="176" t="n"/>
      <c r="FB181" s="176" t="n"/>
      <c r="FC181" s="176" t="n"/>
      <c r="FD181" s="176" t="n"/>
      <c r="FE181" s="176" t="n"/>
      <c r="FF181" s="176" t="n"/>
      <c r="FG181" s="176" t="n"/>
      <c r="FH181" s="176" t="n"/>
      <c r="FI181" s="176" t="n"/>
      <c r="FJ181" s="176" t="n"/>
    </row>
    <row r="182" ht="15" customHeight="1" s="392">
      <c r="A182" s="176" t="n"/>
      <c r="B182" s="180" t="n"/>
      <c r="C182" s="183" t="inlineStr">
        <is>
          <t xml:space="preserve">        Capital Lease - Interests Charges and Other Adjustments</t>
        </is>
      </c>
      <c r="D182" s="190">
        <f>IF(COUNT(M182:EK182)&gt;0,MEDIAN(M182:EK182),"")</f>
        <v/>
      </c>
      <c r="E182" s="190">
        <f>IF(COUNT(M182:EK182)&gt;0,AVERAGE(M182:EK182),"")</f>
        <v/>
      </c>
      <c r="F182" s="190">
        <f>IF(COUNT(M182:EK182)&gt;0,MIN(M182:EK182),"")</f>
        <v/>
      </c>
      <c r="G182" s="190">
        <f>IF(COUNT(M182:EK182)&gt;0,MAX(M182:EK182),"")</f>
        <v/>
      </c>
      <c r="H182" s="190">
        <f>IF(COUNT(M182:EK182)&gt;0,QUARTILE(M182:EK182,1),"")</f>
        <v/>
      </c>
      <c r="I182" s="190">
        <f>IF(COUNT(M182:EK182)&gt;0,QUARTILE(M182:EK182,3),"")</f>
        <v/>
      </c>
      <c r="J182" s="190">
        <f>IF(COUNT(M182:EK182)&gt;1,STDEV(M182:EK182),"")</f>
        <v/>
      </c>
      <c r="K182" s="191">
        <f>IF(COUNT(M182:EK182)&gt;1,STDEV(M182:EK182)/AVERAGE(M182:EK182),"")</f>
        <v/>
      </c>
      <c r="M182" s="192" t="n"/>
      <c r="N182" s="192" t="n"/>
      <c r="O182" s="192" t="n"/>
      <c r="P182" s="192" t="n"/>
      <c r="Q182" s="192" t="n">
        <v>-2506</v>
      </c>
      <c r="R182" s="192" t="n"/>
      <c r="S182" s="192" t="n"/>
      <c r="T182" s="192" t="n"/>
      <c r="U182" s="192" t="n"/>
      <c r="V182" s="192" t="n"/>
      <c r="W182" s="192" t="n"/>
      <c r="X182" s="192" t="n"/>
      <c r="Y182" s="192" t="n"/>
      <c r="Z182" s="192" t="n"/>
      <c r="AA182" s="192" t="n"/>
      <c r="AB182" s="192" t="n"/>
      <c r="AC182" s="192" t="n">
        <v>-1</v>
      </c>
      <c r="AD182" s="192" t="n"/>
      <c r="AE182" s="192" t="n"/>
      <c r="AF182" s="192" t="n"/>
      <c r="AG182" s="192" t="n">
        <v>-6</v>
      </c>
      <c r="AH182" s="192" t="n"/>
      <c r="AI182" s="192" t="n"/>
      <c r="AJ182" s="192" t="n"/>
      <c r="AK182" s="192" t="n">
        <v>-22</v>
      </c>
      <c r="AL182" s="192" t="n">
        <v>-892</v>
      </c>
      <c r="AM182" s="192" t="n">
        <v>-27</v>
      </c>
      <c r="AN182" s="192" t="n">
        <v>-34</v>
      </c>
      <c r="AO182" s="192" t="n">
        <v>-41</v>
      </c>
      <c r="AP182" s="192" t="n"/>
      <c r="AQ182" s="192" t="n"/>
      <c r="AR182" s="192" t="n"/>
      <c r="AS182" s="192" t="n">
        <v>-29</v>
      </c>
      <c r="AT182" s="192" t="n"/>
      <c r="AU182" s="192" t="n"/>
      <c r="AV182" s="192" t="n"/>
      <c r="AW182" s="192" t="n">
        <v>-97</v>
      </c>
      <c r="AX182" s="192" t="n"/>
      <c r="AY182" s="192" t="n"/>
      <c r="AZ182" s="192" t="n"/>
      <c r="BA182" s="192" t="n">
        <v>-194</v>
      </c>
      <c r="BB182" s="192" t="n"/>
      <c r="BC182" s="192" t="n"/>
      <c r="BD182" s="192" t="n"/>
      <c r="BE182" s="192" t="n">
        <v>-28</v>
      </c>
      <c r="BF182" s="192" t="n"/>
      <c r="BG182" s="192" t="n"/>
      <c r="BH182" s="192" t="n"/>
      <c r="BI182" s="192" t="n">
        <v>-92</v>
      </c>
      <c r="BJ182" s="192" t="n"/>
      <c r="BK182" s="192" t="n"/>
      <c r="BL182" s="192" t="n"/>
      <c r="BM182" s="192" t="n">
        <v>-8</v>
      </c>
      <c r="BN182" s="192" t="n"/>
      <c r="BO182" s="192" t="n"/>
      <c r="BP182" s="192" t="n"/>
      <c r="BQ182" s="192" t="n">
        <v>-17</v>
      </c>
      <c r="BR182" s="192" t="n"/>
      <c r="BS182" s="192" t="n"/>
      <c r="BT182" s="192" t="n"/>
      <c r="BU182" s="192" t="n"/>
      <c r="BV182" s="192" t="n"/>
      <c r="BW182" s="192" t="n"/>
      <c r="BX182" s="192" t="n"/>
      <c r="BY182" s="192" t="n"/>
      <c r="BZ182" s="192" t="n"/>
      <c r="CA182" s="192" t="n"/>
      <c r="CB182" s="192" t="n"/>
      <c r="CC182" s="192" t="n"/>
      <c r="CD182" s="192" t="n"/>
      <c r="CE182" s="192" t="n"/>
      <c r="CF182" s="192" t="n"/>
      <c r="CG182" s="192" t="n"/>
      <c r="CH182" s="192" t="n"/>
      <c r="CI182" s="192" t="n"/>
      <c r="CJ182" s="192" t="n"/>
      <c r="CK182" s="192" t="n"/>
      <c r="CL182" s="192" t="n"/>
      <c r="CM182" s="192" t="n"/>
      <c r="CN182" s="192" t="n"/>
      <c r="CO182" s="192" t="n"/>
      <c r="CP182" s="192" t="n"/>
      <c r="CQ182" s="192" t="n"/>
      <c r="CR182" s="192" t="n"/>
      <c r="CS182" s="192" t="n"/>
      <c r="CT182" s="192" t="n"/>
      <c r="CU182" s="192" t="n"/>
      <c r="CV182" s="192" t="n"/>
      <c r="CW182" s="192" t="n"/>
      <c r="CX182" s="192" t="n"/>
      <c r="CY182" s="192" t="n"/>
      <c r="CZ182" s="192" t="n"/>
      <c r="DA182" s="192" t="n"/>
      <c r="DB182" s="192" t="n"/>
      <c r="DC182" s="192" t="n"/>
      <c r="DD182" s="192" t="n"/>
      <c r="DE182" s="192" t="n"/>
      <c r="DF182" s="192" t="n"/>
      <c r="DG182" s="192" t="n"/>
      <c r="DH182" s="192" t="n"/>
      <c r="DI182" s="192" t="n"/>
      <c r="DJ182" s="192" t="n"/>
      <c r="DK182" s="192" t="n"/>
      <c r="DL182" s="192" t="n"/>
      <c r="DM182" s="192" t="n"/>
      <c r="DN182" s="192" t="n"/>
      <c r="DO182" s="192" t="n"/>
      <c r="DP182" s="192" t="n"/>
      <c r="DQ182" s="192" t="n"/>
      <c r="DR182" s="192" t="n"/>
      <c r="DS182" s="192" t="n"/>
      <c r="DT182" s="192" t="n"/>
      <c r="DU182" s="192" t="n"/>
      <c r="DV182" s="192" t="n"/>
      <c r="DW182" s="192" t="n"/>
      <c r="DX182" s="192" t="n"/>
      <c r="DY182" s="192" t="n"/>
      <c r="DZ182" s="192" t="n"/>
      <c r="EA182" s="192" t="n"/>
      <c r="EB182" s="192" t="n"/>
      <c r="EC182" s="192" t="n"/>
      <c r="ED182" s="192" t="n"/>
      <c r="EE182" s="192" t="n"/>
      <c r="EF182" s="192" t="n"/>
      <c r="EG182" s="192" t="n"/>
      <c r="EH182" s="192" t="n"/>
      <c r="EI182" s="192" t="n"/>
      <c r="EJ182" s="192" t="n"/>
      <c r="EK182" s="192" t="n"/>
      <c r="EL182" s="182" t="n"/>
      <c r="EM182" s="176" t="n"/>
      <c r="EN182" s="176" t="n"/>
      <c r="EO182" s="176" t="n"/>
      <c r="EP182" s="176" t="n"/>
      <c r="EQ182" s="176" t="n"/>
      <c r="ER182" s="176" t="n"/>
      <c r="ES182" s="176" t="n"/>
      <c r="ET182" s="176" t="n"/>
      <c r="EU182" s="176" t="n"/>
      <c r="EV182" s="176" t="n"/>
      <c r="EW182" s="176" t="n"/>
      <c r="EX182" s="176" t="n"/>
      <c r="EY182" s="176" t="n"/>
      <c r="EZ182" s="176" t="n"/>
      <c r="FA182" s="176" t="n"/>
      <c r="FB182" s="176" t="n"/>
      <c r="FC182" s="176" t="n"/>
      <c r="FD182" s="176" t="n"/>
      <c r="FE182" s="176" t="n"/>
      <c r="FF182" s="176" t="n"/>
      <c r="FG182" s="176" t="n"/>
      <c r="FH182" s="176" t="n"/>
      <c r="FI182" s="176" t="n"/>
      <c r="FJ182" s="176" t="n"/>
    </row>
    <row r="183" ht="15" customHeight="1" s="392">
      <c r="A183" s="176" t="n"/>
      <c r="B183" s="180" t="n"/>
      <c r="C183" s="187" t="inlineStr">
        <is>
          <t xml:space="preserve">    Total Capital Lease Obligation Maturity Schedule</t>
        </is>
      </c>
      <c r="D183" s="193">
        <f>IF(COUNT(M183:EK183)&gt;0,MEDIAN(M183:EK183),"")</f>
        <v/>
      </c>
      <c r="E183" s="193">
        <f>IF(COUNT(M183:EK183)&gt;0,AVERAGE(M183:EK183),"")</f>
        <v/>
      </c>
      <c r="F183" s="193">
        <f>IF(COUNT(M183:EK183)&gt;0,MIN(M183:EK183),"")</f>
        <v/>
      </c>
      <c r="G183" s="193">
        <f>IF(COUNT(M183:EK183)&gt;0,MAX(M183:EK183),"")</f>
        <v/>
      </c>
      <c r="H183" s="193">
        <f>IF(COUNT(M183:EK183)&gt;0,QUARTILE(M183:EK183,1),"")</f>
        <v/>
      </c>
      <c r="I183" s="193">
        <f>IF(COUNT(M183:EK183)&gt;0,QUARTILE(M183:EK183,3),"")</f>
        <v/>
      </c>
      <c r="J183" s="193">
        <f>IF(COUNT(M183:EK183)&gt;1,STDEV(M183:EK183),"")</f>
        <v/>
      </c>
      <c r="K183" s="194">
        <f>IF(COUNT(M183:EK183)&gt;1,STDEV(M183:EK183)/AVERAGE(M183:EK183),"")</f>
        <v/>
      </c>
      <c r="L183" s="195" t="n"/>
      <c r="M183" s="196" t="n"/>
      <c r="N183" s="196" t="n"/>
      <c r="O183" s="196" t="n"/>
      <c r="P183" s="196" t="n"/>
      <c r="Q183" s="196" t="n">
        <v>2705</v>
      </c>
      <c r="R183" s="196" t="n"/>
      <c r="S183" s="196" t="n"/>
      <c r="T183" s="196" t="n"/>
      <c r="U183" s="196" t="n"/>
      <c r="V183" s="196" t="n"/>
      <c r="W183" s="196" t="n"/>
      <c r="X183" s="196" t="n"/>
      <c r="Y183" s="196" t="n"/>
      <c r="Z183" s="196" t="n"/>
      <c r="AA183" s="196" t="n"/>
      <c r="AB183" s="196" t="n"/>
      <c r="AC183" s="196" t="n">
        <v>36</v>
      </c>
      <c r="AD183" s="196" t="n"/>
      <c r="AE183" s="196" t="n"/>
      <c r="AF183" s="196" t="n"/>
      <c r="AG183" s="196" t="n">
        <v>566</v>
      </c>
      <c r="AH183" s="196" t="n"/>
      <c r="AI183" s="196" t="n"/>
      <c r="AJ183" s="196" t="n"/>
      <c r="AK183" s="196" t="n">
        <v>1317</v>
      </c>
      <c r="AL183" s="196" t="n">
        <v>8039</v>
      </c>
      <c r="AM183" s="196" t="n">
        <v>1415</v>
      </c>
      <c r="AN183" s="196" t="n">
        <v>1568</v>
      </c>
      <c r="AO183" s="196" t="n">
        <v>1727</v>
      </c>
      <c r="AP183" s="196" t="n"/>
      <c r="AQ183" s="196" t="n"/>
      <c r="AR183" s="196" t="n"/>
      <c r="AS183" s="196" t="n">
        <v>980</v>
      </c>
      <c r="AT183" s="196" t="n"/>
      <c r="AU183" s="196" t="n"/>
      <c r="AV183" s="196" t="n"/>
      <c r="AW183" s="196" t="n">
        <v>2065</v>
      </c>
      <c r="AX183" s="196" t="n"/>
      <c r="AY183" s="196" t="n"/>
      <c r="AZ183" s="196" t="n"/>
      <c r="BA183" s="196" t="n">
        <v>2932</v>
      </c>
      <c r="BB183" s="196" t="n"/>
      <c r="BC183" s="196" t="n"/>
      <c r="BD183" s="196" t="n"/>
      <c r="BE183" s="196" t="n">
        <v>1324</v>
      </c>
      <c r="BF183" s="196" t="n"/>
      <c r="BG183" s="196" t="n"/>
      <c r="BH183" s="196" t="n"/>
      <c r="BI183" s="196" t="n">
        <v>2667</v>
      </c>
      <c r="BJ183" s="196" t="n"/>
      <c r="BK183" s="196" t="n"/>
      <c r="BL183" s="196" t="n"/>
      <c r="BM183" s="196" t="n">
        <v>289</v>
      </c>
      <c r="BN183" s="196" t="n"/>
      <c r="BO183" s="196" t="n"/>
      <c r="BP183" s="196" t="n"/>
      <c r="BQ183" s="196" t="n">
        <v>307</v>
      </c>
      <c r="BR183" s="196" t="n"/>
      <c r="BS183" s="196" t="n"/>
      <c r="BT183" s="196" t="n"/>
      <c r="BU183" s="196" t="n"/>
      <c r="BV183" s="196" t="n"/>
      <c r="BW183" s="196" t="n"/>
      <c r="BX183" s="196" t="n"/>
      <c r="BY183" s="196" t="n"/>
      <c r="BZ183" s="196" t="n"/>
      <c r="CA183" s="196" t="n"/>
      <c r="CB183" s="196" t="n"/>
      <c r="CC183" s="196" t="n"/>
      <c r="CD183" s="196" t="n"/>
      <c r="CE183" s="196" t="n"/>
      <c r="CF183" s="196" t="n"/>
      <c r="CG183" s="196" t="n"/>
      <c r="CH183" s="196" t="n"/>
      <c r="CI183" s="196" t="n"/>
      <c r="CJ183" s="196" t="n"/>
      <c r="CK183" s="196" t="n"/>
      <c r="CL183" s="196" t="n"/>
      <c r="CM183" s="196" t="n"/>
      <c r="CN183" s="196" t="n"/>
      <c r="CO183" s="196" t="n"/>
      <c r="CP183" s="196" t="n"/>
      <c r="CQ183" s="196" t="n"/>
      <c r="CR183" s="196" t="n"/>
      <c r="CS183" s="196" t="n"/>
      <c r="CT183" s="196" t="n"/>
      <c r="CU183" s="196" t="n"/>
      <c r="CV183" s="196" t="n"/>
      <c r="CW183" s="196" t="n"/>
      <c r="CX183" s="196" t="n"/>
      <c r="CY183" s="196" t="n"/>
      <c r="CZ183" s="196" t="n"/>
      <c r="DA183" s="196" t="n"/>
      <c r="DB183" s="196" t="n"/>
      <c r="DC183" s="196" t="n"/>
      <c r="DD183" s="196" t="n"/>
      <c r="DE183" s="196" t="n"/>
      <c r="DF183" s="196" t="n"/>
      <c r="DG183" s="196" t="n"/>
      <c r="DH183" s="196" t="n"/>
      <c r="DI183" s="196" t="n"/>
      <c r="DJ183" s="196" t="n"/>
      <c r="DK183" s="196" t="n"/>
      <c r="DL183" s="196" t="n"/>
      <c r="DM183" s="196" t="n"/>
      <c r="DN183" s="196" t="n"/>
      <c r="DO183" s="196" t="n"/>
      <c r="DP183" s="196" t="n"/>
      <c r="DQ183" s="196" t="n"/>
      <c r="DR183" s="196" t="n"/>
      <c r="DS183" s="196" t="n"/>
      <c r="DT183" s="196" t="n"/>
      <c r="DU183" s="196" t="n"/>
      <c r="DV183" s="196" t="n"/>
      <c r="DW183" s="196" t="n"/>
      <c r="DX183" s="196" t="n"/>
      <c r="DY183" s="196" t="n"/>
      <c r="DZ183" s="196" t="n"/>
      <c r="EA183" s="196" t="n"/>
      <c r="EB183" s="196" t="n"/>
      <c r="EC183" s="196" t="n"/>
      <c r="ED183" s="196" t="n"/>
      <c r="EE183" s="196" t="n"/>
      <c r="EF183" s="196" t="n"/>
      <c r="EG183" s="196" t="n"/>
      <c r="EH183" s="196" t="n"/>
      <c r="EI183" s="196" t="n"/>
      <c r="EJ183" s="196" t="n"/>
      <c r="EK183" s="196" t="n"/>
      <c r="EL183" s="182" t="n"/>
      <c r="EM183" s="176" t="n"/>
      <c r="EN183" s="176" t="n"/>
      <c r="EO183" s="176" t="n"/>
      <c r="EP183" s="176" t="n"/>
      <c r="EQ183" s="176" t="n"/>
      <c r="ER183" s="176" t="n"/>
      <c r="ES183" s="176" t="n"/>
      <c r="ET183" s="176" t="n"/>
      <c r="EU183" s="176" t="n"/>
      <c r="EV183" s="176" t="n"/>
      <c r="EW183" s="176" t="n"/>
      <c r="EX183" s="176" t="n"/>
      <c r="EY183" s="176" t="n"/>
      <c r="EZ183" s="176" t="n"/>
      <c r="FA183" s="176" t="n"/>
      <c r="FB183" s="176" t="n"/>
      <c r="FC183" s="176" t="n"/>
      <c r="FD183" s="176" t="n"/>
      <c r="FE183" s="176" t="n"/>
      <c r="FF183" s="176" t="n"/>
      <c r="FG183" s="176" t="n"/>
      <c r="FH183" s="176" t="n"/>
      <c r="FI183" s="176" t="n"/>
      <c r="FJ183" s="176" t="n"/>
    </row>
    <row r="184" ht="15" customHeight="1" s="392">
      <c r="A184" s="176" t="n"/>
      <c r="B184" s="180" t="n"/>
      <c r="C184" s="183" t="inlineStr">
        <is>
          <t xml:space="preserve">    Operating Lease Obligation Maturity Schedule</t>
        </is>
      </c>
      <c r="D184" s="185" t="n"/>
      <c r="E184" s="185" t="n"/>
      <c r="F184" s="185" t="n"/>
      <c r="G184" s="185" t="n"/>
      <c r="H184" s="185" t="n"/>
      <c r="I184" s="185" t="n"/>
      <c r="J184" s="185" t="n"/>
      <c r="K184" s="185" t="n"/>
      <c r="EL184" s="182" t="n"/>
      <c r="EM184" s="176" t="n"/>
      <c r="EN184" s="176" t="n"/>
      <c r="EO184" s="176" t="n"/>
      <c r="EP184" s="176" t="n"/>
      <c r="EQ184" s="176" t="n"/>
      <c r="ER184" s="176" t="n"/>
      <c r="ES184" s="176" t="n"/>
      <c r="ET184" s="176" t="n"/>
      <c r="EU184" s="176" t="n"/>
      <c r="EV184" s="176" t="n"/>
      <c r="EW184" s="176" t="n"/>
      <c r="EX184" s="176" t="n"/>
      <c r="EY184" s="176" t="n"/>
      <c r="EZ184" s="176" t="n"/>
      <c r="FA184" s="176" t="n"/>
      <c r="FB184" s="176" t="n"/>
      <c r="FC184" s="176" t="n"/>
      <c r="FD184" s="176" t="n"/>
      <c r="FE184" s="176" t="n"/>
      <c r="FF184" s="176" t="n"/>
      <c r="FG184" s="176" t="n"/>
      <c r="FH184" s="176" t="n"/>
      <c r="FI184" s="176" t="n"/>
      <c r="FJ184" s="176" t="n"/>
    </row>
    <row r="185" ht="15" customHeight="1" s="392">
      <c r="A185" s="176" t="n"/>
      <c r="B185" s="180" t="n"/>
      <c r="C185" s="183" t="inlineStr">
        <is>
          <t xml:space="preserve">        Operating Lease due in year 1</t>
        </is>
      </c>
      <c r="D185" s="190">
        <f>IF(COUNT(M185:EK185)&gt;0,MEDIAN(M185:EK185),"")</f>
        <v/>
      </c>
      <c r="E185" s="190">
        <f>IF(COUNT(M185:EK185)&gt;0,AVERAGE(M185:EK185),"")</f>
        <v/>
      </c>
      <c r="F185" s="190">
        <f>IF(COUNT(M185:EK185)&gt;0,MIN(M185:EK185),"")</f>
        <v/>
      </c>
      <c r="G185" s="190">
        <f>IF(COUNT(M185:EK185)&gt;0,MAX(M185:EK185),"")</f>
        <v/>
      </c>
      <c r="H185" s="190">
        <f>IF(COUNT(M185:EK185)&gt;0,QUARTILE(M185:EK185,1),"")</f>
        <v/>
      </c>
      <c r="I185" s="190">
        <f>IF(COUNT(M185:EK185)&gt;0,QUARTILE(M185:EK185,3),"")</f>
        <v/>
      </c>
      <c r="J185" s="190">
        <f>IF(COUNT(M185:EK185)&gt;1,STDEV(M185:EK185),"")</f>
        <v/>
      </c>
      <c r="K185" s="191">
        <f>IF(COUNT(M185:EK185)&gt;1,STDEV(M185:EK185)/AVERAGE(M185:EK185),"")</f>
        <v/>
      </c>
      <c r="M185" s="192" t="n"/>
      <c r="N185" s="192" t="n"/>
      <c r="O185" s="192" t="n"/>
      <c r="P185" s="192" t="n"/>
      <c r="Q185" s="192" t="n">
        <v>22407</v>
      </c>
      <c r="R185" s="192" t="n"/>
      <c r="S185" s="192" t="n"/>
      <c r="T185" s="192" t="n"/>
      <c r="U185" s="192" t="n">
        <v>24745</v>
      </c>
      <c r="V185" s="192" t="n"/>
      <c r="W185" s="192" t="n"/>
      <c r="X185" s="192" t="n"/>
      <c r="Y185" s="192" t="n">
        <v>24034</v>
      </c>
      <c r="Z185" s="192" t="n"/>
      <c r="AA185" s="192" t="n"/>
      <c r="AB185" s="192" t="n"/>
      <c r="AC185" s="192" t="n">
        <v>24650</v>
      </c>
      <c r="AD185" s="192" t="n"/>
      <c r="AE185" s="192" t="n"/>
      <c r="AF185" s="192" t="n"/>
      <c r="AG185" s="192" t="n">
        <v>24626</v>
      </c>
      <c r="AH185" s="192" t="n"/>
      <c r="AI185" s="192" t="n"/>
      <c r="AJ185" s="192" t="n"/>
      <c r="AK185" s="192" t="n">
        <v>27718</v>
      </c>
      <c r="AL185" s="192" t="n">
        <v>6992</v>
      </c>
      <c r="AM185" s="192" t="n">
        <v>13636</v>
      </c>
      <c r="AN185" s="192" t="n"/>
      <c r="AO185" s="192" t="n">
        <v>30158</v>
      </c>
      <c r="AP185" s="192" t="n"/>
      <c r="AQ185" s="192" t="n"/>
      <c r="AR185" s="192" t="n"/>
      <c r="AS185" s="192" t="n">
        <v>29773</v>
      </c>
      <c r="AT185" s="192" t="n"/>
      <c r="AU185" s="192" t="n"/>
      <c r="AV185" s="192" t="n"/>
      <c r="AW185" s="192" t="n">
        <v>28126</v>
      </c>
      <c r="AX185" s="192" t="n"/>
      <c r="AY185" s="192" t="n"/>
      <c r="AZ185" s="192" t="n"/>
      <c r="BA185" s="192" t="n">
        <v>23217</v>
      </c>
      <c r="BB185" s="192" t="n"/>
      <c r="BC185" s="192" t="n"/>
      <c r="BD185" s="192" t="n"/>
      <c r="BE185" s="192" t="n">
        <v>22311</v>
      </c>
      <c r="BF185" s="192" t="n"/>
      <c r="BG185" s="192" t="n"/>
      <c r="BH185" s="192" t="n"/>
      <c r="BI185" s="192" t="n">
        <v>23357</v>
      </c>
      <c r="BJ185" s="192" t="n"/>
      <c r="BK185" s="192" t="n"/>
      <c r="BL185" s="192" t="n"/>
      <c r="BM185" s="192" t="n">
        <v>23162</v>
      </c>
      <c r="BN185" s="192" t="n"/>
      <c r="BO185" s="192" t="n"/>
      <c r="BP185" s="192" t="n"/>
      <c r="BQ185" s="192" t="n"/>
      <c r="BR185" s="192" t="n"/>
      <c r="BS185" s="192" t="n"/>
      <c r="BT185" s="192" t="n"/>
      <c r="BU185" s="192" t="n"/>
      <c r="BV185" s="192" t="n"/>
      <c r="BW185" s="192" t="n"/>
      <c r="BX185" s="192" t="n"/>
      <c r="BY185" s="192" t="n"/>
      <c r="BZ185" s="192" t="n"/>
      <c r="CA185" s="192" t="n"/>
      <c r="CB185" s="192" t="n"/>
      <c r="CC185" s="192" t="n"/>
      <c r="CD185" s="192" t="n"/>
      <c r="CE185" s="192" t="n"/>
      <c r="CF185" s="192" t="n"/>
      <c r="CG185" s="192" t="n"/>
      <c r="CH185" s="192" t="n"/>
      <c r="CI185" s="192" t="n"/>
      <c r="CJ185" s="192" t="n"/>
      <c r="CK185" s="192" t="n"/>
      <c r="CL185" s="192" t="n"/>
      <c r="CM185" s="192" t="n"/>
      <c r="CN185" s="192" t="n"/>
      <c r="CO185" s="192" t="n"/>
      <c r="CP185" s="192" t="n"/>
      <c r="CQ185" s="192" t="n"/>
      <c r="CR185" s="192" t="n"/>
      <c r="CS185" s="192" t="n"/>
      <c r="CT185" s="192" t="n"/>
      <c r="CU185" s="192" t="n"/>
      <c r="CV185" s="192" t="n"/>
      <c r="CW185" s="192" t="n"/>
      <c r="CX185" s="192" t="n"/>
      <c r="CY185" s="192" t="n"/>
      <c r="CZ185" s="192" t="n"/>
      <c r="DA185" s="192" t="n"/>
      <c r="DB185" s="192" t="n"/>
      <c r="DC185" s="192" t="n"/>
      <c r="DD185" s="192" t="n"/>
      <c r="DE185" s="192" t="n"/>
      <c r="DF185" s="192" t="n"/>
      <c r="DG185" s="192" t="n"/>
      <c r="DH185" s="192" t="n"/>
      <c r="DI185" s="192" t="n"/>
      <c r="DJ185" s="192" t="n"/>
      <c r="DK185" s="192" t="n"/>
      <c r="DL185" s="192" t="n"/>
      <c r="DM185" s="192" t="n"/>
      <c r="DN185" s="192" t="n"/>
      <c r="DO185" s="192" t="n"/>
      <c r="DP185" s="192" t="n"/>
      <c r="DQ185" s="192" t="n"/>
      <c r="DR185" s="192" t="n"/>
      <c r="DS185" s="192" t="n"/>
      <c r="DT185" s="192" t="n"/>
      <c r="DU185" s="192" t="n"/>
      <c r="DV185" s="192" t="n"/>
      <c r="DW185" s="192" t="n"/>
      <c r="DX185" s="192" t="n"/>
      <c r="DY185" s="192" t="n"/>
      <c r="DZ185" s="192" t="n"/>
      <c r="EA185" s="192" t="n"/>
      <c r="EB185" s="192" t="n"/>
      <c r="EC185" s="192" t="n"/>
      <c r="ED185" s="192" t="n"/>
      <c r="EE185" s="192" t="n"/>
      <c r="EF185" s="192" t="n"/>
      <c r="EG185" s="192" t="n"/>
      <c r="EH185" s="192" t="n"/>
      <c r="EI185" s="192" t="n"/>
      <c r="EJ185" s="192" t="n"/>
      <c r="EK185" s="192" t="n"/>
      <c r="EL185" s="182" t="n"/>
      <c r="EM185" s="176" t="n"/>
      <c r="EN185" s="176" t="n"/>
      <c r="EO185" s="176" t="n"/>
      <c r="EP185" s="176" t="n"/>
      <c r="EQ185" s="176" t="n"/>
      <c r="ER185" s="176" t="n"/>
      <c r="ES185" s="176" t="n"/>
      <c r="ET185" s="176" t="n"/>
      <c r="EU185" s="176" t="n"/>
      <c r="EV185" s="176" t="n"/>
      <c r="EW185" s="176" t="n"/>
      <c r="EX185" s="176" t="n"/>
      <c r="EY185" s="176" t="n"/>
      <c r="EZ185" s="176" t="n"/>
      <c r="FA185" s="176" t="n"/>
      <c r="FB185" s="176" t="n"/>
      <c r="FC185" s="176" t="n"/>
      <c r="FD185" s="176" t="n"/>
      <c r="FE185" s="176" t="n"/>
      <c r="FF185" s="176" t="n"/>
      <c r="FG185" s="176" t="n"/>
      <c r="FH185" s="176" t="n"/>
      <c r="FI185" s="176" t="n"/>
      <c r="FJ185" s="176" t="n"/>
    </row>
    <row r="186" ht="15" customHeight="1" s="392">
      <c r="A186" s="176" t="n"/>
      <c r="B186" s="180" t="n"/>
      <c r="C186" s="183" t="inlineStr">
        <is>
          <t xml:space="preserve">        Operating Lease due in year 2</t>
        </is>
      </c>
      <c r="D186" s="190">
        <f>IF(COUNT(M186:EK186)&gt;0,MEDIAN(M186:EK186),"")</f>
        <v/>
      </c>
      <c r="E186" s="190">
        <f>IF(COUNT(M186:EK186)&gt;0,AVERAGE(M186:EK186),"")</f>
        <v/>
      </c>
      <c r="F186" s="190">
        <f>IF(COUNT(M186:EK186)&gt;0,MIN(M186:EK186),"")</f>
        <v/>
      </c>
      <c r="G186" s="190">
        <f>IF(COUNT(M186:EK186)&gt;0,MAX(M186:EK186),"")</f>
        <v/>
      </c>
      <c r="H186" s="190">
        <f>IF(COUNT(M186:EK186)&gt;0,QUARTILE(M186:EK186,1),"")</f>
        <v/>
      </c>
      <c r="I186" s="190">
        <f>IF(COUNT(M186:EK186)&gt;0,QUARTILE(M186:EK186,3),"")</f>
        <v/>
      </c>
      <c r="J186" s="190">
        <f>IF(COUNT(M186:EK186)&gt;1,STDEV(M186:EK186),"")</f>
        <v/>
      </c>
      <c r="K186" s="191">
        <f>IF(COUNT(M186:EK186)&gt;1,STDEV(M186:EK186)/AVERAGE(M186:EK186),"")</f>
        <v/>
      </c>
      <c r="M186" s="192" t="n"/>
      <c r="N186" s="192" t="n"/>
      <c r="O186" s="192" t="n"/>
      <c r="P186" s="192" t="n"/>
      <c r="Q186" s="192" t="n">
        <v>18104</v>
      </c>
      <c r="R186" s="192" t="n"/>
      <c r="S186" s="192" t="n"/>
      <c r="T186" s="192" t="n"/>
      <c r="U186" s="192" t="n">
        <v>20978</v>
      </c>
      <c r="V186" s="192" t="n"/>
      <c r="W186" s="192" t="n"/>
      <c r="X186" s="192" t="n"/>
      <c r="Y186" s="192" t="n">
        <v>20746</v>
      </c>
      <c r="Z186" s="192" t="n"/>
      <c r="AA186" s="192" t="n"/>
      <c r="AB186" s="192" t="n"/>
      <c r="AC186" s="192" t="n">
        <v>20119</v>
      </c>
      <c r="AD186" s="192" t="n"/>
      <c r="AE186" s="192" t="n"/>
      <c r="AF186" s="192" t="n"/>
      <c r="AG186" s="192" t="n">
        <v>20818</v>
      </c>
      <c r="AH186" s="192" t="n"/>
      <c r="AI186" s="192" t="n"/>
      <c r="AJ186" s="192" t="n"/>
      <c r="AK186" s="192" t="n">
        <v>22619</v>
      </c>
      <c r="AL186" s="192" t="n">
        <v>24650</v>
      </c>
      <c r="AM186" s="192" t="n">
        <v>22806</v>
      </c>
      <c r="AN186" s="192" t="n"/>
      <c r="AO186" s="192" t="n">
        <v>25177</v>
      </c>
      <c r="AP186" s="192" t="n"/>
      <c r="AQ186" s="192" t="n"/>
      <c r="AR186" s="192" t="n"/>
      <c r="AS186" s="192" t="n">
        <v>22471</v>
      </c>
      <c r="AT186" s="192" t="n"/>
      <c r="AU186" s="192" t="n"/>
      <c r="AV186" s="192" t="n"/>
      <c r="AW186" s="192" t="n">
        <v>23364</v>
      </c>
      <c r="AX186" s="192" t="n"/>
      <c r="AY186" s="192" t="n"/>
      <c r="AZ186" s="192" t="n"/>
      <c r="BA186" s="192" t="n">
        <v>20154</v>
      </c>
      <c r="BB186" s="192" t="n"/>
      <c r="BC186" s="192" t="n"/>
      <c r="BD186" s="192" t="n"/>
      <c r="BE186" s="192" t="n">
        <v>19734</v>
      </c>
      <c r="BF186" s="192" t="n"/>
      <c r="BG186" s="192" t="n"/>
      <c r="BH186" s="192" t="n"/>
      <c r="BI186" s="192" t="n">
        <v>20718</v>
      </c>
      <c r="BJ186" s="192" t="n"/>
      <c r="BK186" s="192" t="n"/>
      <c r="BL186" s="192" t="n"/>
      <c r="BM186" s="192" t="n">
        <v>18493</v>
      </c>
      <c r="BN186" s="192" t="n"/>
      <c r="BO186" s="192" t="n"/>
      <c r="BP186" s="192" t="n"/>
      <c r="BQ186" s="192" t="n"/>
      <c r="BR186" s="192" t="n"/>
      <c r="BS186" s="192" t="n"/>
      <c r="BT186" s="192" t="n"/>
      <c r="BU186" s="192" t="n"/>
      <c r="BV186" s="192" t="n"/>
      <c r="BW186" s="192" t="n"/>
      <c r="BX186" s="192" t="n"/>
      <c r="BY186" s="192" t="n"/>
      <c r="BZ186" s="192" t="n"/>
      <c r="CA186" s="192" t="n"/>
      <c r="CB186" s="192" t="n"/>
      <c r="CC186" s="192" t="n"/>
      <c r="CD186" s="192" t="n"/>
      <c r="CE186" s="192" t="n"/>
      <c r="CF186" s="192" t="n"/>
      <c r="CG186" s="192" t="n"/>
      <c r="CH186" s="192" t="n"/>
      <c r="CI186" s="192" t="n"/>
      <c r="CJ186" s="192" t="n"/>
      <c r="CK186" s="192" t="n"/>
      <c r="CL186" s="192" t="n"/>
      <c r="CM186" s="192" t="n"/>
      <c r="CN186" s="192" t="n"/>
      <c r="CO186" s="192" t="n"/>
      <c r="CP186" s="192" t="n"/>
      <c r="CQ186" s="192" t="n"/>
      <c r="CR186" s="192" t="n"/>
      <c r="CS186" s="192" t="n"/>
      <c r="CT186" s="192" t="n"/>
      <c r="CU186" s="192" t="n"/>
      <c r="CV186" s="192" t="n"/>
      <c r="CW186" s="192" t="n"/>
      <c r="CX186" s="192" t="n"/>
      <c r="CY186" s="192" t="n"/>
      <c r="CZ186" s="192" t="n"/>
      <c r="DA186" s="192" t="n"/>
      <c r="DB186" s="192" t="n"/>
      <c r="DC186" s="192" t="n"/>
      <c r="DD186" s="192" t="n"/>
      <c r="DE186" s="192" t="n"/>
      <c r="DF186" s="192" t="n"/>
      <c r="DG186" s="192" t="n"/>
      <c r="DH186" s="192" t="n"/>
      <c r="DI186" s="192" t="n"/>
      <c r="DJ186" s="192" t="n"/>
      <c r="DK186" s="192" t="n"/>
      <c r="DL186" s="192" t="n"/>
      <c r="DM186" s="192" t="n"/>
      <c r="DN186" s="192" t="n"/>
      <c r="DO186" s="192" t="n"/>
      <c r="DP186" s="192" t="n"/>
      <c r="DQ186" s="192" t="n"/>
      <c r="DR186" s="192" t="n"/>
      <c r="DS186" s="192" t="n"/>
      <c r="DT186" s="192" t="n"/>
      <c r="DU186" s="192" t="n"/>
      <c r="DV186" s="192" t="n"/>
      <c r="DW186" s="192" t="n"/>
      <c r="DX186" s="192" t="n"/>
      <c r="DY186" s="192" t="n"/>
      <c r="DZ186" s="192" t="n"/>
      <c r="EA186" s="192" t="n"/>
      <c r="EB186" s="192" t="n"/>
      <c r="EC186" s="192" t="n"/>
      <c r="ED186" s="192" t="n"/>
      <c r="EE186" s="192" t="n"/>
      <c r="EF186" s="192" t="n"/>
      <c r="EG186" s="192" t="n"/>
      <c r="EH186" s="192" t="n"/>
      <c r="EI186" s="192" t="n"/>
      <c r="EJ186" s="192" t="n"/>
      <c r="EK186" s="192" t="n"/>
      <c r="EL186" s="182" t="n"/>
      <c r="EM186" s="176" t="n"/>
      <c r="EN186" s="176" t="n"/>
      <c r="EO186" s="176" t="n"/>
      <c r="EP186" s="176" t="n"/>
      <c r="EQ186" s="176" t="n"/>
      <c r="ER186" s="176" t="n"/>
      <c r="ES186" s="176" t="n"/>
      <c r="ET186" s="176" t="n"/>
      <c r="EU186" s="176" t="n"/>
      <c r="EV186" s="176" t="n"/>
      <c r="EW186" s="176" t="n"/>
      <c r="EX186" s="176" t="n"/>
      <c r="EY186" s="176" t="n"/>
      <c r="EZ186" s="176" t="n"/>
      <c r="FA186" s="176" t="n"/>
      <c r="FB186" s="176" t="n"/>
      <c r="FC186" s="176" t="n"/>
      <c r="FD186" s="176" t="n"/>
      <c r="FE186" s="176" t="n"/>
      <c r="FF186" s="176" t="n"/>
      <c r="FG186" s="176" t="n"/>
      <c r="FH186" s="176" t="n"/>
      <c r="FI186" s="176" t="n"/>
      <c r="FJ186" s="176" t="n"/>
    </row>
    <row r="187" ht="15" customHeight="1" s="392">
      <c r="A187" s="176" t="n"/>
      <c r="B187" s="180" t="n"/>
      <c r="C187" s="183" t="inlineStr">
        <is>
          <t xml:space="preserve">        Operating Lease due in year 3</t>
        </is>
      </c>
      <c r="D187" s="190">
        <f>IF(COUNT(M187:EK187)&gt;0,MEDIAN(M187:EK187),"")</f>
        <v/>
      </c>
      <c r="E187" s="190">
        <f>IF(COUNT(M187:EK187)&gt;0,AVERAGE(M187:EK187),"")</f>
        <v/>
      </c>
      <c r="F187" s="190">
        <f>IF(COUNT(M187:EK187)&gt;0,MIN(M187:EK187),"")</f>
        <v/>
      </c>
      <c r="G187" s="190">
        <f>IF(COUNT(M187:EK187)&gt;0,MAX(M187:EK187),"")</f>
        <v/>
      </c>
      <c r="H187" s="190">
        <f>IF(COUNT(M187:EK187)&gt;0,QUARTILE(M187:EK187,1),"")</f>
        <v/>
      </c>
      <c r="I187" s="190">
        <f>IF(COUNT(M187:EK187)&gt;0,QUARTILE(M187:EK187,3),"")</f>
        <v/>
      </c>
      <c r="J187" s="190">
        <f>IF(COUNT(M187:EK187)&gt;1,STDEV(M187:EK187),"")</f>
        <v/>
      </c>
      <c r="K187" s="191">
        <f>IF(COUNT(M187:EK187)&gt;1,STDEV(M187:EK187)/AVERAGE(M187:EK187),"")</f>
        <v/>
      </c>
      <c r="M187" s="192" t="n"/>
      <c r="N187" s="192" t="n"/>
      <c r="O187" s="192" t="n"/>
      <c r="P187" s="192" t="n"/>
      <c r="Q187" s="192" t="n">
        <v>16625</v>
      </c>
      <c r="R187" s="192" t="n"/>
      <c r="S187" s="192" t="n"/>
      <c r="T187" s="192" t="n"/>
      <c r="U187" s="192" t="n">
        <v>17028</v>
      </c>
      <c r="V187" s="192" t="n"/>
      <c r="W187" s="192" t="n"/>
      <c r="X187" s="192" t="n"/>
      <c r="Y187" s="192" t="n">
        <v>16795</v>
      </c>
      <c r="Z187" s="192" t="n"/>
      <c r="AA187" s="192" t="n"/>
      <c r="AB187" s="192" t="n"/>
      <c r="AC187" s="192" t="n">
        <v>17683</v>
      </c>
      <c r="AD187" s="192" t="n"/>
      <c r="AE187" s="192" t="n"/>
      <c r="AF187" s="192" t="n"/>
      <c r="AG187" s="192" t="n">
        <v>16005</v>
      </c>
      <c r="AH187" s="192" t="n"/>
      <c r="AI187" s="192" t="n"/>
      <c r="AJ187" s="192" t="n"/>
      <c r="AK187" s="192" t="n">
        <v>19355</v>
      </c>
      <c r="AL187" s="192" t="n">
        <v>19976</v>
      </c>
      <c r="AM187" s="192" t="n">
        <v>17891</v>
      </c>
      <c r="AN187" s="192" t="n"/>
      <c r="AO187" s="192" t="n">
        <v>20211</v>
      </c>
      <c r="AP187" s="192" t="n"/>
      <c r="AQ187" s="192" t="n"/>
      <c r="AR187" s="192" t="n"/>
      <c r="AS187" s="192" t="n">
        <v>18515</v>
      </c>
      <c r="AT187" s="192" t="n"/>
      <c r="AU187" s="192" t="n"/>
      <c r="AV187" s="192" t="n"/>
      <c r="AW187" s="192" t="n">
        <v>17285</v>
      </c>
      <c r="AX187" s="192" t="n"/>
      <c r="AY187" s="192" t="n"/>
      <c r="AZ187" s="192" t="n"/>
      <c r="BA187" s="192" t="n">
        <v>16179</v>
      </c>
      <c r="BB187" s="192" t="n"/>
      <c r="BC187" s="192" t="n"/>
      <c r="BD187" s="192" t="n"/>
      <c r="BE187" s="192" t="n">
        <v>17431</v>
      </c>
      <c r="BF187" s="192" t="n"/>
      <c r="BG187" s="192" t="n"/>
      <c r="BH187" s="192" t="n"/>
      <c r="BI187" s="192" t="n">
        <v>18334</v>
      </c>
      <c r="BJ187" s="192" t="n"/>
      <c r="BK187" s="192" t="n"/>
      <c r="BL187" s="192" t="n"/>
      <c r="BM187" s="192" t="n">
        <v>15343</v>
      </c>
      <c r="BN187" s="192" t="n"/>
      <c r="BO187" s="192" t="n"/>
      <c r="BP187" s="192" t="n"/>
      <c r="BQ187" s="192" t="n"/>
      <c r="BR187" s="192" t="n"/>
      <c r="BS187" s="192" t="n"/>
      <c r="BT187" s="192" t="n"/>
      <c r="BU187" s="192" t="n"/>
      <c r="BV187" s="192" t="n"/>
      <c r="BW187" s="192" t="n"/>
      <c r="BX187" s="192" t="n"/>
      <c r="BY187" s="192" t="n"/>
      <c r="BZ187" s="192" t="n"/>
      <c r="CA187" s="192" t="n"/>
      <c r="CB187" s="192" t="n"/>
      <c r="CC187" s="192" t="n"/>
      <c r="CD187" s="192" t="n"/>
      <c r="CE187" s="192" t="n"/>
      <c r="CF187" s="192" t="n"/>
      <c r="CG187" s="192" t="n"/>
      <c r="CH187" s="192" t="n"/>
      <c r="CI187" s="192" t="n"/>
      <c r="CJ187" s="192" t="n"/>
      <c r="CK187" s="192" t="n"/>
      <c r="CL187" s="192" t="n"/>
      <c r="CM187" s="192" t="n"/>
      <c r="CN187" s="192" t="n"/>
      <c r="CO187" s="192" t="n"/>
      <c r="CP187" s="192" t="n"/>
      <c r="CQ187" s="192" t="n"/>
      <c r="CR187" s="192" t="n"/>
      <c r="CS187" s="192" t="n"/>
      <c r="CT187" s="192" t="n"/>
      <c r="CU187" s="192" t="n"/>
      <c r="CV187" s="192" t="n"/>
      <c r="CW187" s="192" t="n"/>
      <c r="CX187" s="192" t="n"/>
      <c r="CY187" s="192" t="n"/>
      <c r="CZ187" s="192" t="n"/>
      <c r="DA187" s="192" t="n"/>
      <c r="DB187" s="192" t="n"/>
      <c r="DC187" s="192" t="n"/>
      <c r="DD187" s="192" t="n"/>
      <c r="DE187" s="192" t="n"/>
      <c r="DF187" s="192" t="n"/>
      <c r="DG187" s="192" t="n"/>
      <c r="DH187" s="192" t="n"/>
      <c r="DI187" s="192" t="n"/>
      <c r="DJ187" s="192" t="n"/>
      <c r="DK187" s="192" t="n"/>
      <c r="DL187" s="192" t="n"/>
      <c r="DM187" s="192" t="n"/>
      <c r="DN187" s="192" t="n"/>
      <c r="DO187" s="192" t="n"/>
      <c r="DP187" s="192" t="n"/>
      <c r="DQ187" s="192" t="n"/>
      <c r="DR187" s="192" t="n"/>
      <c r="DS187" s="192" t="n"/>
      <c r="DT187" s="192" t="n"/>
      <c r="DU187" s="192" t="n"/>
      <c r="DV187" s="192" t="n"/>
      <c r="DW187" s="192" t="n"/>
      <c r="DX187" s="192" t="n"/>
      <c r="DY187" s="192" t="n"/>
      <c r="DZ187" s="192" t="n"/>
      <c r="EA187" s="192" t="n"/>
      <c r="EB187" s="192" t="n"/>
      <c r="EC187" s="192" t="n"/>
      <c r="ED187" s="192" t="n"/>
      <c r="EE187" s="192" t="n"/>
      <c r="EF187" s="192" t="n"/>
      <c r="EG187" s="192" t="n"/>
      <c r="EH187" s="192" t="n"/>
      <c r="EI187" s="192" t="n"/>
      <c r="EJ187" s="192" t="n"/>
      <c r="EK187" s="192" t="n"/>
      <c r="EL187" s="182" t="n"/>
      <c r="EM187" s="176" t="n"/>
      <c r="EN187" s="176" t="n"/>
      <c r="EO187" s="176" t="n"/>
      <c r="EP187" s="176" t="n"/>
      <c r="EQ187" s="176" t="n"/>
      <c r="ER187" s="176" t="n"/>
      <c r="ES187" s="176" t="n"/>
      <c r="ET187" s="176" t="n"/>
      <c r="EU187" s="176" t="n"/>
      <c r="EV187" s="176" t="n"/>
      <c r="EW187" s="176" t="n"/>
      <c r="EX187" s="176" t="n"/>
      <c r="EY187" s="176" t="n"/>
      <c r="EZ187" s="176" t="n"/>
      <c r="FA187" s="176" t="n"/>
      <c r="FB187" s="176" t="n"/>
      <c r="FC187" s="176" t="n"/>
      <c r="FD187" s="176" t="n"/>
      <c r="FE187" s="176" t="n"/>
      <c r="FF187" s="176" t="n"/>
      <c r="FG187" s="176" t="n"/>
      <c r="FH187" s="176" t="n"/>
      <c r="FI187" s="176" t="n"/>
      <c r="FJ187" s="176" t="n"/>
    </row>
    <row r="188" ht="15" customHeight="1" s="392">
      <c r="A188" s="176" t="n"/>
      <c r="B188" s="180" t="n"/>
      <c r="C188" s="183" t="inlineStr">
        <is>
          <t xml:space="preserve">        Operating Lease due in year 4</t>
        </is>
      </c>
      <c r="D188" s="190">
        <f>IF(COUNT(M188:EK188)&gt;0,MEDIAN(M188:EK188),"")</f>
        <v/>
      </c>
      <c r="E188" s="190">
        <f>IF(COUNT(M188:EK188)&gt;0,AVERAGE(M188:EK188),"")</f>
        <v/>
      </c>
      <c r="F188" s="190">
        <f>IF(COUNT(M188:EK188)&gt;0,MIN(M188:EK188),"")</f>
        <v/>
      </c>
      <c r="G188" s="190">
        <f>IF(COUNT(M188:EK188)&gt;0,MAX(M188:EK188),"")</f>
        <v/>
      </c>
      <c r="H188" s="190">
        <f>IF(COUNT(M188:EK188)&gt;0,QUARTILE(M188:EK188,1),"")</f>
        <v/>
      </c>
      <c r="I188" s="190">
        <f>IF(COUNT(M188:EK188)&gt;0,QUARTILE(M188:EK188,3),"")</f>
        <v/>
      </c>
      <c r="J188" s="190">
        <f>IF(COUNT(M188:EK188)&gt;1,STDEV(M188:EK188),"")</f>
        <v/>
      </c>
      <c r="K188" s="191">
        <f>IF(COUNT(M188:EK188)&gt;1,STDEV(M188:EK188)/AVERAGE(M188:EK188),"")</f>
        <v/>
      </c>
      <c r="M188" s="192" t="n"/>
      <c r="N188" s="192" t="n"/>
      <c r="O188" s="192" t="n"/>
      <c r="P188" s="192" t="n"/>
      <c r="Q188" s="192" t="n">
        <v>13956</v>
      </c>
      <c r="R188" s="192" t="n"/>
      <c r="S188" s="192" t="n"/>
      <c r="T188" s="192" t="n"/>
      <c r="U188" s="192" t="n">
        <v>15513</v>
      </c>
      <c r="V188" s="192" t="n"/>
      <c r="W188" s="192" t="n"/>
      <c r="X188" s="192" t="n"/>
      <c r="Y188" s="192" t="n">
        <v>12488</v>
      </c>
      <c r="Z188" s="192" t="n"/>
      <c r="AA188" s="192" t="n"/>
      <c r="AB188" s="192" t="n"/>
      <c r="AC188" s="192" t="n">
        <v>14403</v>
      </c>
      <c r="AD188" s="192" t="n"/>
      <c r="AE188" s="192" t="n"/>
      <c r="AF188" s="192" t="n"/>
      <c r="AG188" s="192" t="n">
        <v>13833</v>
      </c>
      <c r="AH188" s="192" t="n"/>
      <c r="AI188" s="192" t="n"/>
      <c r="AJ188" s="192" t="n"/>
      <c r="AK188" s="192" t="n">
        <v>14980</v>
      </c>
      <c r="AL188" s="192" t="n">
        <v>16950</v>
      </c>
      <c r="AM188" s="192" t="n">
        <v>14892</v>
      </c>
      <c r="AN188" s="192" t="n"/>
      <c r="AO188" s="192" t="n">
        <v>17794</v>
      </c>
      <c r="AP188" s="192" t="n"/>
      <c r="AQ188" s="192" t="n"/>
      <c r="AR188" s="192" t="n"/>
      <c r="AS188" s="192" t="n">
        <v>13782</v>
      </c>
      <c r="AT188" s="192" t="n"/>
      <c r="AU188" s="192" t="n"/>
      <c r="AV188" s="192" t="n"/>
      <c r="AW188" s="192" t="n">
        <v>14409</v>
      </c>
      <c r="AX188" s="192" t="n"/>
      <c r="AY188" s="192" t="n"/>
      <c r="AZ188" s="192" t="n"/>
      <c r="BA188" s="192" t="n">
        <v>12777</v>
      </c>
      <c r="BB188" s="192" t="n"/>
      <c r="BC188" s="192" t="n"/>
      <c r="BD188" s="192" t="n"/>
      <c r="BE188" s="192" t="n">
        <v>14113</v>
      </c>
      <c r="BF188" s="192" t="n"/>
      <c r="BG188" s="192" t="n"/>
      <c r="BH188" s="192" t="n"/>
      <c r="BI188" s="192" t="n">
        <v>16050</v>
      </c>
      <c r="BJ188" s="192" t="n"/>
      <c r="BK188" s="192" t="n"/>
      <c r="BL188" s="192" t="n"/>
      <c r="BM188" s="192" t="n">
        <v>13953</v>
      </c>
      <c r="BN188" s="192" t="n"/>
      <c r="BO188" s="192" t="n"/>
      <c r="BP188" s="192" t="n"/>
      <c r="BQ188" s="192" t="n"/>
      <c r="BR188" s="192" t="n"/>
      <c r="BS188" s="192" t="n"/>
      <c r="BT188" s="192" t="n"/>
      <c r="BU188" s="192" t="n"/>
      <c r="BV188" s="192" t="n"/>
      <c r="BW188" s="192" t="n"/>
      <c r="BX188" s="192" t="n"/>
      <c r="BY188" s="192" t="n"/>
      <c r="BZ188" s="192" t="n"/>
      <c r="CA188" s="192" t="n"/>
      <c r="CB188" s="192" t="n"/>
      <c r="CC188" s="192" t="n"/>
      <c r="CD188" s="192" t="n"/>
      <c r="CE188" s="192" t="n"/>
      <c r="CF188" s="192" t="n"/>
      <c r="CG188" s="192" t="n"/>
      <c r="CH188" s="192" t="n"/>
      <c r="CI188" s="192" t="n"/>
      <c r="CJ188" s="192" t="n"/>
      <c r="CK188" s="192" t="n"/>
      <c r="CL188" s="192" t="n"/>
      <c r="CM188" s="192" t="n"/>
      <c r="CN188" s="192" t="n"/>
      <c r="CO188" s="192" t="n"/>
      <c r="CP188" s="192" t="n"/>
      <c r="CQ188" s="192" t="n"/>
      <c r="CR188" s="192" t="n"/>
      <c r="CS188" s="192" t="n"/>
      <c r="CT188" s="192" t="n"/>
      <c r="CU188" s="192" t="n"/>
      <c r="CV188" s="192" t="n"/>
      <c r="CW188" s="192" t="n"/>
      <c r="CX188" s="192" t="n"/>
      <c r="CY188" s="192" t="n"/>
      <c r="CZ188" s="192" t="n"/>
      <c r="DA188" s="192" t="n"/>
      <c r="DB188" s="192" t="n"/>
      <c r="DC188" s="192" t="n"/>
      <c r="DD188" s="192" t="n"/>
      <c r="DE188" s="192" t="n"/>
      <c r="DF188" s="192" t="n"/>
      <c r="DG188" s="192" t="n"/>
      <c r="DH188" s="192" t="n"/>
      <c r="DI188" s="192" t="n"/>
      <c r="DJ188" s="192" t="n"/>
      <c r="DK188" s="192" t="n"/>
      <c r="DL188" s="192" t="n"/>
      <c r="DM188" s="192" t="n"/>
      <c r="DN188" s="192" t="n"/>
      <c r="DO188" s="192" t="n"/>
      <c r="DP188" s="192" t="n"/>
      <c r="DQ188" s="192" t="n"/>
      <c r="DR188" s="192" t="n"/>
      <c r="DS188" s="192" t="n"/>
      <c r="DT188" s="192" t="n"/>
      <c r="DU188" s="192" t="n"/>
      <c r="DV188" s="192" t="n"/>
      <c r="DW188" s="192" t="n"/>
      <c r="DX188" s="192" t="n"/>
      <c r="DY188" s="192" t="n"/>
      <c r="DZ188" s="192" t="n"/>
      <c r="EA188" s="192" t="n"/>
      <c r="EB188" s="192" t="n"/>
      <c r="EC188" s="192" t="n"/>
      <c r="ED188" s="192" t="n"/>
      <c r="EE188" s="192" t="n"/>
      <c r="EF188" s="192" t="n"/>
      <c r="EG188" s="192" t="n"/>
      <c r="EH188" s="192" t="n"/>
      <c r="EI188" s="192" t="n"/>
      <c r="EJ188" s="192" t="n"/>
      <c r="EK188" s="192" t="n"/>
      <c r="EL188" s="182" t="n"/>
      <c r="EM188" s="176" t="n"/>
      <c r="EN188" s="176" t="n"/>
      <c r="EO188" s="176" t="n"/>
      <c r="EP188" s="176" t="n"/>
      <c r="EQ188" s="176" t="n"/>
      <c r="ER188" s="176" t="n"/>
      <c r="ES188" s="176" t="n"/>
      <c r="ET188" s="176" t="n"/>
      <c r="EU188" s="176" t="n"/>
      <c r="EV188" s="176" t="n"/>
      <c r="EW188" s="176" t="n"/>
      <c r="EX188" s="176" t="n"/>
      <c r="EY188" s="176" t="n"/>
      <c r="EZ188" s="176" t="n"/>
      <c r="FA188" s="176" t="n"/>
      <c r="FB188" s="176" t="n"/>
      <c r="FC188" s="176" t="n"/>
      <c r="FD188" s="176" t="n"/>
      <c r="FE188" s="176" t="n"/>
      <c r="FF188" s="176" t="n"/>
      <c r="FG188" s="176" t="n"/>
      <c r="FH188" s="176" t="n"/>
      <c r="FI188" s="176" t="n"/>
      <c r="FJ188" s="176" t="n"/>
    </row>
    <row r="189" ht="15" customHeight="1" s="392">
      <c r="A189" s="176" t="n"/>
      <c r="B189" s="180" t="n"/>
      <c r="C189" s="183" t="inlineStr">
        <is>
          <t xml:space="preserve">        Operating Lease due in year 5</t>
        </is>
      </c>
      <c r="D189" s="190">
        <f>IF(COUNT(M189:EK189)&gt;0,MEDIAN(M189:EK189),"")</f>
        <v/>
      </c>
      <c r="E189" s="190">
        <f>IF(COUNT(M189:EK189)&gt;0,AVERAGE(M189:EK189),"")</f>
        <v/>
      </c>
      <c r="F189" s="190">
        <f>IF(COUNT(M189:EK189)&gt;0,MIN(M189:EK189),"")</f>
        <v/>
      </c>
      <c r="G189" s="190">
        <f>IF(COUNT(M189:EK189)&gt;0,MAX(M189:EK189),"")</f>
        <v/>
      </c>
      <c r="H189" s="190">
        <f>IF(COUNT(M189:EK189)&gt;0,QUARTILE(M189:EK189,1),"")</f>
        <v/>
      </c>
      <c r="I189" s="190">
        <f>IF(COUNT(M189:EK189)&gt;0,QUARTILE(M189:EK189,3),"")</f>
        <v/>
      </c>
      <c r="J189" s="190">
        <f>IF(COUNT(M189:EK189)&gt;1,STDEV(M189:EK189),"")</f>
        <v/>
      </c>
      <c r="K189" s="191">
        <f>IF(COUNT(M189:EK189)&gt;1,STDEV(M189:EK189)/AVERAGE(M189:EK189),"")</f>
        <v/>
      </c>
      <c r="M189" s="192" t="n"/>
      <c r="N189" s="192" t="n"/>
      <c r="O189" s="192" t="n"/>
      <c r="P189" s="192" t="n"/>
      <c r="Q189" s="192" t="n">
        <v>8534</v>
      </c>
      <c r="R189" s="192" t="n"/>
      <c r="S189" s="192" t="n"/>
      <c r="T189" s="192" t="n"/>
      <c r="U189" s="192" t="n">
        <v>13634</v>
      </c>
      <c r="V189" s="192" t="n"/>
      <c r="W189" s="192" t="n"/>
      <c r="X189" s="192" t="n"/>
      <c r="Y189" s="192" t="n">
        <v>10668</v>
      </c>
      <c r="Z189" s="192" t="n"/>
      <c r="AA189" s="192" t="n"/>
      <c r="AB189" s="192" t="n"/>
      <c r="AC189" s="192" t="n">
        <v>10428</v>
      </c>
      <c r="AD189" s="192" t="n"/>
      <c r="AE189" s="192" t="n"/>
      <c r="AF189" s="192" t="n"/>
      <c r="AG189" s="192" t="n">
        <v>10870</v>
      </c>
      <c r="AH189" s="192" t="n"/>
      <c r="AI189" s="192" t="n"/>
      <c r="AJ189" s="192" t="n"/>
      <c r="AK189" s="192" t="n">
        <v>10156</v>
      </c>
      <c r="AL189" s="192" t="n">
        <v>12608</v>
      </c>
      <c r="AM189" s="192" t="n">
        <v>10549</v>
      </c>
      <c r="AN189" s="192" t="n"/>
      <c r="AO189" s="192" t="n">
        <v>13516</v>
      </c>
      <c r="AP189" s="192" t="n"/>
      <c r="AQ189" s="192" t="n"/>
      <c r="AR189" s="192" t="n"/>
      <c r="AS189" s="192" t="n">
        <v>11680</v>
      </c>
      <c r="AT189" s="192" t="n"/>
      <c r="AU189" s="192" t="n"/>
      <c r="AV189" s="192" t="n"/>
      <c r="AW189" s="192" t="n">
        <v>10147</v>
      </c>
      <c r="AX189" s="192" t="n"/>
      <c r="AY189" s="192" t="n"/>
      <c r="AZ189" s="192" t="n"/>
      <c r="BA189" s="192" t="n">
        <v>9847</v>
      </c>
      <c r="BB189" s="192" t="n"/>
      <c r="BC189" s="192" t="n"/>
      <c r="BD189" s="192" t="n"/>
      <c r="BE189" s="192" t="n">
        <v>10895</v>
      </c>
      <c r="BF189" s="192" t="n"/>
      <c r="BG189" s="192" t="n"/>
      <c r="BH189" s="192" t="n"/>
      <c r="BI189" s="192" t="n">
        <v>12685</v>
      </c>
      <c r="BJ189" s="192" t="n"/>
      <c r="BK189" s="192" t="n"/>
      <c r="BL189" s="192" t="n"/>
      <c r="BM189" s="192" t="n">
        <v>12168</v>
      </c>
      <c r="BN189" s="192" t="n"/>
      <c r="BO189" s="192" t="n"/>
      <c r="BP189" s="192" t="n"/>
      <c r="BQ189" s="192" t="n"/>
      <c r="BR189" s="192" t="n"/>
      <c r="BS189" s="192" t="n"/>
      <c r="BT189" s="192" t="n"/>
      <c r="BU189" s="192" t="n"/>
      <c r="BV189" s="192" t="n"/>
      <c r="BW189" s="192" t="n"/>
      <c r="BX189" s="192" t="n"/>
      <c r="BY189" s="192" t="n"/>
      <c r="BZ189" s="192" t="n"/>
      <c r="CA189" s="192" t="n"/>
      <c r="CB189" s="192" t="n"/>
      <c r="CC189" s="192" t="n"/>
      <c r="CD189" s="192" t="n"/>
      <c r="CE189" s="192" t="n"/>
      <c r="CF189" s="192" t="n"/>
      <c r="CG189" s="192" t="n"/>
      <c r="CH189" s="192" t="n"/>
      <c r="CI189" s="192" t="n"/>
      <c r="CJ189" s="192" t="n"/>
      <c r="CK189" s="192" t="n"/>
      <c r="CL189" s="192" t="n"/>
      <c r="CM189" s="192" t="n"/>
      <c r="CN189" s="192" t="n"/>
      <c r="CO189" s="192" t="n"/>
      <c r="CP189" s="192" t="n"/>
      <c r="CQ189" s="192" t="n"/>
      <c r="CR189" s="192" t="n"/>
      <c r="CS189" s="192" t="n"/>
      <c r="CT189" s="192" t="n"/>
      <c r="CU189" s="192" t="n"/>
      <c r="CV189" s="192" t="n"/>
      <c r="CW189" s="192" t="n"/>
      <c r="CX189" s="192" t="n"/>
      <c r="CY189" s="192" t="n"/>
      <c r="CZ189" s="192" t="n"/>
      <c r="DA189" s="192" t="n"/>
      <c r="DB189" s="192" t="n"/>
      <c r="DC189" s="192" t="n"/>
      <c r="DD189" s="192" t="n"/>
      <c r="DE189" s="192" t="n"/>
      <c r="DF189" s="192" t="n"/>
      <c r="DG189" s="192" t="n"/>
      <c r="DH189" s="192" t="n"/>
      <c r="DI189" s="192" t="n"/>
      <c r="DJ189" s="192" t="n"/>
      <c r="DK189" s="192" t="n"/>
      <c r="DL189" s="192" t="n"/>
      <c r="DM189" s="192" t="n"/>
      <c r="DN189" s="192" t="n"/>
      <c r="DO189" s="192" t="n"/>
      <c r="DP189" s="192" t="n"/>
      <c r="DQ189" s="192" t="n"/>
      <c r="DR189" s="192" t="n"/>
      <c r="DS189" s="192" t="n"/>
      <c r="DT189" s="192" t="n"/>
      <c r="DU189" s="192" t="n"/>
      <c r="DV189" s="192" t="n"/>
      <c r="DW189" s="192" t="n"/>
      <c r="DX189" s="192" t="n"/>
      <c r="DY189" s="192" t="n"/>
      <c r="DZ189" s="192" t="n"/>
      <c r="EA189" s="192" t="n"/>
      <c r="EB189" s="192" t="n"/>
      <c r="EC189" s="192" t="n"/>
      <c r="ED189" s="192" t="n"/>
      <c r="EE189" s="192" t="n"/>
      <c r="EF189" s="192" t="n"/>
      <c r="EG189" s="192" t="n"/>
      <c r="EH189" s="192" t="n"/>
      <c r="EI189" s="192" t="n"/>
      <c r="EJ189" s="192" t="n"/>
      <c r="EK189" s="192" t="n"/>
      <c r="EL189" s="182" t="n"/>
      <c r="EM189" s="176" t="n"/>
      <c r="EN189" s="176" t="n"/>
      <c r="EO189" s="176" t="n"/>
      <c r="EP189" s="176" t="n"/>
      <c r="EQ189" s="176" t="n"/>
      <c r="ER189" s="176" t="n"/>
      <c r="ES189" s="176" t="n"/>
      <c r="ET189" s="176" t="n"/>
      <c r="EU189" s="176" t="n"/>
      <c r="EV189" s="176" t="n"/>
      <c r="EW189" s="176" t="n"/>
      <c r="EX189" s="176" t="n"/>
      <c r="EY189" s="176" t="n"/>
      <c r="EZ189" s="176" t="n"/>
      <c r="FA189" s="176" t="n"/>
      <c r="FB189" s="176" t="n"/>
      <c r="FC189" s="176" t="n"/>
      <c r="FD189" s="176" t="n"/>
      <c r="FE189" s="176" t="n"/>
      <c r="FF189" s="176" t="n"/>
      <c r="FG189" s="176" t="n"/>
      <c r="FH189" s="176" t="n"/>
      <c r="FI189" s="176" t="n"/>
      <c r="FJ189" s="176" t="n"/>
    </row>
    <row r="190" ht="15" customHeight="1" s="392">
      <c r="A190" s="176" t="n"/>
      <c r="B190" s="180" t="n"/>
      <c r="C190" s="183" t="inlineStr">
        <is>
          <t xml:space="preserve">        Operating Lease due Beyond</t>
        </is>
      </c>
      <c r="D190" s="190">
        <f>IF(COUNT(M190:EK190)&gt;0,MEDIAN(M190:EK190),"")</f>
        <v/>
      </c>
      <c r="E190" s="190">
        <f>IF(COUNT(M190:EK190)&gt;0,AVERAGE(M190:EK190),"")</f>
        <v/>
      </c>
      <c r="F190" s="190">
        <f>IF(COUNT(M190:EK190)&gt;0,MIN(M190:EK190),"")</f>
        <v/>
      </c>
      <c r="G190" s="190">
        <f>IF(COUNT(M190:EK190)&gt;0,MAX(M190:EK190),"")</f>
        <v/>
      </c>
      <c r="H190" s="190">
        <f>IF(COUNT(M190:EK190)&gt;0,QUARTILE(M190:EK190,1),"")</f>
        <v/>
      </c>
      <c r="I190" s="190">
        <f>IF(COUNT(M190:EK190)&gt;0,QUARTILE(M190:EK190,3),"")</f>
        <v/>
      </c>
      <c r="J190" s="190">
        <f>IF(COUNT(M190:EK190)&gt;1,STDEV(M190:EK190),"")</f>
        <v/>
      </c>
      <c r="K190" s="191">
        <f>IF(COUNT(M190:EK190)&gt;1,STDEV(M190:EK190)/AVERAGE(M190:EK190),"")</f>
        <v/>
      </c>
      <c r="M190" s="192" t="n"/>
      <c r="N190" s="192" t="n"/>
      <c r="O190" s="192" t="n"/>
      <c r="P190" s="192" t="n"/>
      <c r="Q190" s="192" t="n">
        <v>39670</v>
      </c>
      <c r="R190" s="192" t="n"/>
      <c r="S190" s="192" t="n"/>
      <c r="T190" s="192" t="n"/>
      <c r="U190" s="192" t="n">
        <v>47809</v>
      </c>
      <c r="V190" s="192" t="n"/>
      <c r="W190" s="192" t="n"/>
      <c r="X190" s="192" t="n"/>
      <c r="Y190" s="192" t="n">
        <v>42305</v>
      </c>
      <c r="Z190" s="192" t="n"/>
      <c r="AA190" s="192" t="n"/>
      <c r="AB190" s="192" t="n"/>
      <c r="AC190" s="192" t="n">
        <v>48447</v>
      </c>
      <c r="AD190" s="192" t="n"/>
      <c r="AE190" s="192" t="n"/>
      <c r="AF190" s="192" t="n"/>
      <c r="AG190" s="192" t="n">
        <v>53632</v>
      </c>
      <c r="AH190" s="192" t="n"/>
      <c r="AI190" s="192" t="n"/>
      <c r="AJ190" s="192" t="n"/>
      <c r="AK190" s="192" t="n">
        <v>45807</v>
      </c>
      <c r="AL190" s="192" t="n">
        <v>46668</v>
      </c>
      <c r="AM190" s="192" t="n">
        <v>43919</v>
      </c>
      <c r="AN190" s="192" t="n"/>
      <c r="AO190" s="192" t="n">
        <v>35291</v>
      </c>
      <c r="AP190" s="192" t="n"/>
      <c r="AQ190" s="192" t="n"/>
      <c r="AR190" s="192" t="n"/>
      <c r="AS190" s="192" t="n">
        <v>54068</v>
      </c>
      <c r="AT190" s="192" t="n"/>
      <c r="AU190" s="192" t="n"/>
      <c r="AV190" s="192" t="n"/>
      <c r="AW190" s="192" t="n">
        <v>59436</v>
      </c>
      <c r="AX190" s="192" t="n"/>
      <c r="AY190" s="192" t="n"/>
      <c r="AZ190" s="192" t="n"/>
      <c r="BA190" s="192" t="n">
        <v>61904</v>
      </c>
      <c r="BB190" s="192" t="n"/>
      <c r="BC190" s="192" t="n"/>
      <c r="BD190" s="192" t="n"/>
      <c r="BE190" s="192" t="n">
        <v>71885</v>
      </c>
      <c r="BF190" s="192" t="n"/>
      <c r="BG190" s="192" t="n"/>
      <c r="BH190" s="192" t="n"/>
      <c r="BI190" s="192" t="n">
        <v>76190</v>
      </c>
      <c r="BJ190" s="192" t="n"/>
      <c r="BK190" s="192" t="n"/>
      <c r="BL190" s="192" t="n"/>
      <c r="BM190" s="192" t="n">
        <v>48060</v>
      </c>
      <c r="BN190" s="192" t="n"/>
      <c r="BO190" s="192" t="n"/>
      <c r="BP190" s="192" t="n"/>
      <c r="BQ190" s="192" t="n"/>
      <c r="BR190" s="192" t="n"/>
      <c r="BS190" s="192" t="n"/>
      <c r="BT190" s="192" t="n"/>
      <c r="BU190" s="192" t="n"/>
      <c r="BV190" s="192" t="n"/>
      <c r="BW190" s="192" t="n"/>
      <c r="BX190" s="192" t="n"/>
      <c r="BY190" s="192" t="n"/>
      <c r="BZ190" s="192" t="n"/>
      <c r="CA190" s="192" t="n"/>
      <c r="CB190" s="192" t="n"/>
      <c r="CC190" s="192" t="n"/>
      <c r="CD190" s="192" t="n"/>
      <c r="CE190" s="192" t="n"/>
      <c r="CF190" s="192" t="n"/>
      <c r="CG190" s="192" t="n"/>
      <c r="CH190" s="192" t="n"/>
      <c r="CI190" s="192" t="n"/>
      <c r="CJ190" s="192" t="n"/>
      <c r="CK190" s="192" t="n"/>
      <c r="CL190" s="192" t="n"/>
      <c r="CM190" s="192" t="n"/>
      <c r="CN190" s="192" t="n"/>
      <c r="CO190" s="192" t="n"/>
      <c r="CP190" s="192" t="n"/>
      <c r="CQ190" s="192" t="n"/>
      <c r="CR190" s="192" t="n"/>
      <c r="CS190" s="192" t="n"/>
      <c r="CT190" s="192" t="n"/>
      <c r="CU190" s="192" t="n"/>
      <c r="CV190" s="192" t="n"/>
      <c r="CW190" s="192" t="n"/>
      <c r="CX190" s="192" t="n"/>
      <c r="CY190" s="192" t="n"/>
      <c r="CZ190" s="192" t="n"/>
      <c r="DA190" s="192" t="n"/>
      <c r="DB190" s="192" t="n"/>
      <c r="DC190" s="192" t="n"/>
      <c r="DD190" s="192" t="n"/>
      <c r="DE190" s="192" t="n"/>
      <c r="DF190" s="192" t="n"/>
      <c r="DG190" s="192" t="n"/>
      <c r="DH190" s="192" t="n"/>
      <c r="DI190" s="192" t="n"/>
      <c r="DJ190" s="192" t="n"/>
      <c r="DK190" s="192" t="n"/>
      <c r="DL190" s="192" t="n"/>
      <c r="DM190" s="192" t="n"/>
      <c r="DN190" s="192" t="n"/>
      <c r="DO190" s="192" t="n"/>
      <c r="DP190" s="192" t="n"/>
      <c r="DQ190" s="192" t="n"/>
      <c r="DR190" s="192" t="n"/>
      <c r="DS190" s="192" t="n"/>
      <c r="DT190" s="192" t="n"/>
      <c r="DU190" s="192" t="n"/>
      <c r="DV190" s="192" t="n"/>
      <c r="DW190" s="192" t="n"/>
      <c r="DX190" s="192" t="n"/>
      <c r="DY190" s="192" t="n"/>
      <c r="DZ190" s="192" t="n"/>
      <c r="EA190" s="192" t="n"/>
      <c r="EB190" s="192" t="n"/>
      <c r="EC190" s="192" t="n"/>
      <c r="ED190" s="192" t="n"/>
      <c r="EE190" s="192" t="n"/>
      <c r="EF190" s="192" t="n"/>
      <c r="EG190" s="192" t="n"/>
      <c r="EH190" s="192" t="n"/>
      <c r="EI190" s="192" t="n"/>
      <c r="EJ190" s="192" t="n"/>
      <c r="EK190" s="192" t="n"/>
      <c r="EL190" s="182" t="n"/>
      <c r="EM190" s="176" t="n"/>
      <c r="EN190" s="176" t="n"/>
      <c r="EO190" s="176" t="n"/>
      <c r="EP190" s="176" t="n"/>
      <c r="EQ190" s="176" t="n"/>
      <c r="ER190" s="176" t="n"/>
      <c r="ES190" s="176" t="n"/>
      <c r="ET190" s="176" t="n"/>
      <c r="EU190" s="176" t="n"/>
      <c r="EV190" s="176" t="n"/>
      <c r="EW190" s="176" t="n"/>
      <c r="EX190" s="176" t="n"/>
      <c r="EY190" s="176" t="n"/>
      <c r="EZ190" s="176" t="n"/>
      <c r="FA190" s="176" t="n"/>
      <c r="FB190" s="176" t="n"/>
      <c r="FC190" s="176" t="n"/>
      <c r="FD190" s="176" t="n"/>
      <c r="FE190" s="176" t="n"/>
      <c r="FF190" s="176" t="n"/>
      <c r="FG190" s="176" t="n"/>
      <c r="FH190" s="176" t="n"/>
      <c r="FI190" s="176" t="n"/>
      <c r="FJ190" s="176" t="n"/>
    </row>
    <row r="191" ht="15" customHeight="1" s="392">
      <c r="A191" s="176" t="n"/>
      <c r="B191" s="180" t="n"/>
      <c r="C191" s="183" t="inlineStr">
        <is>
          <t xml:space="preserve">        Operating Lease - Interests Charges and Other Adjustments</t>
        </is>
      </c>
      <c r="D191" s="190">
        <f>IF(COUNT(M191:EK191)&gt;0,MEDIAN(M191:EK191),"")</f>
        <v/>
      </c>
      <c r="E191" s="190">
        <f>IF(COUNT(M191:EK191)&gt;0,AVERAGE(M191:EK191),"")</f>
        <v/>
      </c>
      <c r="F191" s="190">
        <f>IF(COUNT(M191:EK191)&gt;0,MIN(M191:EK191),"")</f>
        <v/>
      </c>
      <c r="G191" s="190">
        <f>IF(COUNT(M191:EK191)&gt;0,MAX(M191:EK191),"")</f>
        <v/>
      </c>
      <c r="H191" s="190">
        <f>IF(COUNT(M191:EK191)&gt;0,QUARTILE(M191:EK191,1),"")</f>
        <v/>
      </c>
      <c r="I191" s="190">
        <f>IF(COUNT(M191:EK191)&gt;0,QUARTILE(M191:EK191,3),"")</f>
        <v/>
      </c>
      <c r="J191" s="190">
        <f>IF(COUNT(M191:EK191)&gt;1,STDEV(M191:EK191),"")</f>
        <v/>
      </c>
      <c r="K191" s="191">
        <f>IF(COUNT(M191:EK191)&gt;1,STDEV(M191:EK191)/AVERAGE(M191:EK191),"")</f>
        <v/>
      </c>
      <c r="M191" s="192" t="n"/>
      <c r="N191" s="192" t="n"/>
      <c r="O191" s="192" t="n"/>
      <c r="P191" s="192" t="n"/>
      <c r="Q191" s="192" t="n">
        <v>-18262</v>
      </c>
      <c r="R191" s="192" t="n"/>
      <c r="S191" s="192" t="n"/>
      <c r="T191" s="192" t="n"/>
      <c r="U191" s="192" t="n">
        <v>-20974</v>
      </c>
      <c r="V191" s="192" t="n"/>
      <c r="W191" s="192" t="n"/>
      <c r="X191" s="192" t="n"/>
      <c r="Y191" s="192" t="n">
        <v>-17499</v>
      </c>
      <c r="Z191" s="192" t="n"/>
      <c r="AA191" s="192" t="n"/>
      <c r="AB191" s="192" t="n"/>
      <c r="AC191" s="192" t="n">
        <v>-18289</v>
      </c>
      <c r="AD191" s="192" t="n"/>
      <c r="AE191" s="192" t="n"/>
      <c r="AF191" s="192" t="n"/>
      <c r="AG191" s="192" t="n">
        <v>-19917</v>
      </c>
      <c r="AH191" s="192" t="n"/>
      <c r="AI191" s="192" t="n"/>
      <c r="AJ191" s="192" t="n"/>
      <c r="AK191" s="192" t="n">
        <v>-20230</v>
      </c>
      <c r="AL191" s="192" t="n">
        <v>-18751</v>
      </c>
      <c r="AM191" s="192" t="n">
        <v>-18473</v>
      </c>
      <c r="AN191" s="192" t="n"/>
      <c r="AO191" s="192" t="n"/>
      <c r="AP191" s="192" t="n"/>
      <c r="AQ191" s="192" t="n"/>
      <c r="AR191" s="192" t="n"/>
      <c r="AS191" s="192" t="n"/>
      <c r="AT191" s="192" t="n"/>
      <c r="AU191" s="192" t="n"/>
      <c r="AV191" s="192" t="n"/>
      <c r="AW191" s="192" t="n"/>
      <c r="AX191" s="192" t="n"/>
      <c r="AY191" s="192" t="n"/>
      <c r="AZ191" s="192" t="n"/>
      <c r="BA191" s="192" t="n"/>
      <c r="BB191" s="192" t="n"/>
      <c r="BC191" s="192" t="n"/>
      <c r="BD191" s="192" t="n"/>
      <c r="BE191" s="192" t="n"/>
      <c r="BF191" s="192" t="n"/>
      <c r="BG191" s="192" t="n"/>
      <c r="BH191" s="192" t="n"/>
      <c r="BI191" s="192" t="n"/>
      <c r="BJ191" s="192" t="n"/>
      <c r="BK191" s="192" t="n"/>
      <c r="BL191" s="192" t="n"/>
      <c r="BM191" s="192" t="n"/>
      <c r="BN191" s="192" t="n"/>
      <c r="BO191" s="192" t="n"/>
      <c r="BP191" s="192" t="n"/>
      <c r="BQ191" s="192" t="n"/>
      <c r="BR191" s="192" t="n"/>
      <c r="BS191" s="192" t="n"/>
      <c r="BT191" s="192" t="n"/>
      <c r="BU191" s="192" t="n"/>
      <c r="BV191" s="192" t="n"/>
      <c r="BW191" s="192" t="n"/>
      <c r="BX191" s="192" t="n"/>
      <c r="BY191" s="192" t="n"/>
      <c r="BZ191" s="192" t="n"/>
      <c r="CA191" s="192" t="n"/>
      <c r="CB191" s="192" t="n"/>
      <c r="CC191" s="192" t="n"/>
      <c r="CD191" s="192" t="n"/>
      <c r="CE191" s="192" t="n"/>
      <c r="CF191" s="192" t="n"/>
      <c r="CG191" s="192" t="n"/>
      <c r="CH191" s="192" t="n"/>
      <c r="CI191" s="192" t="n"/>
      <c r="CJ191" s="192" t="n"/>
      <c r="CK191" s="192" t="n"/>
      <c r="CL191" s="192" t="n"/>
      <c r="CM191" s="192" t="n"/>
      <c r="CN191" s="192" t="n"/>
      <c r="CO191" s="192" t="n"/>
      <c r="CP191" s="192" t="n"/>
      <c r="CQ191" s="192" t="n"/>
      <c r="CR191" s="192" t="n"/>
      <c r="CS191" s="192" t="n"/>
      <c r="CT191" s="192" t="n"/>
      <c r="CU191" s="192" t="n"/>
      <c r="CV191" s="192" t="n"/>
      <c r="CW191" s="192" t="n"/>
      <c r="CX191" s="192" t="n"/>
      <c r="CY191" s="192" t="n"/>
      <c r="CZ191" s="192" t="n"/>
      <c r="DA191" s="192" t="n"/>
      <c r="DB191" s="192" t="n"/>
      <c r="DC191" s="192" t="n"/>
      <c r="DD191" s="192" t="n"/>
      <c r="DE191" s="192" t="n"/>
      <c r="DF191" s="192" t="n"/>
      <c r="DG191" s="192" t="n"/>
      <c r="DH191" s="192" t="n"/>
      <c r="DI191" s="192" t="n"/>
      <c r="DJ191" s="192" t="n"/>
      <c r="DK191" s="192" t="n"/>
      <c r="DL191" s="192" t="n"/>
      <c r="DM191" s="192" t="n"/>
      <c r="DN191" s="192" t="n"/>
      <c r="DO191" s="192" t="n"/>
      <c r="DP191" s="192" t="n"/>
      <c r="DQ191" s="192" t="n"/>
      <c r="DR191" s="192" t="n"/>
      <c r="DS191" s="192" t="n"/>
      <c r="DT191" s="192" t="n"/>
      <c r="DU191" s="192" t="n"/>
      <c r="DV191" s="192" t="n"/>
      <c r="DW191" s="192" t="n"/>
      <c r="DX191" s="192" t="n"/>
      <c r="DY191" s="192" t="n"/>
      <c r="DZ191" s="192" t="n"/>
      <c r="EA191" s="192" t="n"/>
      <c r="EB191" s="192" t="n"/>
      <c r="EC191" s="192" t="n"/>
      <c r="ED191" s="192" t="n"/>
      <c r="EE191" s="192" t="n"/>
      <c r="EF191" s="192" t="n"/>
      <c r="EG191" s="192" t="n"/>
      <c r="EH191" s="192" t="n"/>
      <c r="EI191" s="192" t="n"/>
      <c r="EJ191" s="192" t="n"/>
      <c r="EK191" s="192" t="n"/>
      <c r="EL191" s="182" t="n"/>
      <c r="EM191" s="176" t="n"/>
      <c r="EN191" s="176" t="n"/>
      <c r="EO191" s="176" t="n"/>
      <c r="EP191" s="176" t="n"/>
      <c r="EQ191" s="176" t="n"/>
      <c r="ER191" s="176" t="n"/>
      <c r="ES191" s="176" t="n"/>
      <c r="ET191" s="176" t="n"/>
      <c r="EU191" s="176" t="n"/>
      <c r="EV191" s="176" t="n"/>
      <c r="EW191" s="176" t="n"/>
      <c r="EX191" s="176" t="n"/>
      <c r="EY191" s="176" t="n"/>
      <c r="EZ191" s="176" t="n"/>
      <c r="FA191" s="176" t="n"/>
      <c r="FB191" s="176" t="n"/>
      <c r="FC191" s="176" t="n"/>
      <c r="FD191" s="176" t="n"/>
      <c r="FE191" s="176" t="n"/>
      <c r="FF191" s="176" t="n"/>
      <c r="FG191" s="176" t="n"/>
      <c r="FH191" s="176" t="n"/>
      <c r="FI191" s="176" t="n"/>
      <c r="FJ191" s="176" t="n"/>
    </row>
    <row r="192" ht="15" customHeight="1" s="392">
      <c r="A192" s="176" t="n"/>
      <c r="B192" s="180" t="n"/>
      <c r="C192" s="187" t="inlineStr">
        <is>
          <t xml:space="preserve">    Operating Lease Obligation Maturity Schedule Total</t>
        </is>
      </c>
      <c r="D192" s="193">
        <f>IF(COUNT(M192:EK192)&gt;0,MEDIAN(M192:EK192),"")</f>
        <v/>
      </c>
      <c r="E192" s="193">
        <f>IF(COUNT(M192:EK192)&gt;0,AVERAGE(M192:EK192),"")</f>
        <v/>
      </c>
      <c r="F192" s="193">
        <f>IF(COUNT(M192:EK192)&gt;0,MIN(M192:EK192),"")</f>
        <v/>
      </c>
      <c r="G192" s="193">
        <f>IF(COUNT(M192:EK192)&gt;0,MAX(M192:EK192),"")</f>
        <v/>
      </c>
      <c r="H192" s="193">
        <f>IF(COUNT(M192:EK192)&gt;0,QUARTILE(M192:EK192,1),"")</f>
        <v/>
      </c>
      <c r="I192" s="193">
        <f>IF(COUNT(M192:EK192)&gt;0,QUARTILE(M192:EK192,3),"")</f>
        <v/>
      </c>
      <c r="J192" s="193">
        <f>IF(COUNT(M192:EK192)&gt;1,STDEV(M192:EK192),"")</f>
        <v/>
      </c>
      <c r="K192" s="194">
        <f>IF(COUNT(M192:EK192)&gt;1,STDEV(M192:EK192)/AVERAGE(M192:EK192),"")</f>
        <v/>
      </c>
      <c r="L192" s="195" t="n"/>
      <c r="M192" s="196" t="n"/>
      <c r="N192" s="196" t="n"/>
      <c r="O192" s="196" t="n"/>
      <c r="P192" s="196" t="n"/>
      <c r="Q192" s="196" t="n">
        <v>101034</v>
      </c>
      <c r="R192" s="196" t="n"/>
      <c r="S192" s="196" t="n"/>
      <c r="T192" s="196" t="n"/>
      <c r="U192" s="196" t="n">
        <v>118733</v>
      </c>
      <c r="V192" s="196" t="n"/>
      <c r="W192" s="196" t="n"/>
      <c r="X192" s="196" t="n"/>
      <c r="Y192" s="196" t="n">
        <v>109537</v>
      </c>
      <c r="Z192" s="196" t="n"/>
      <c r="AA192" s="196" t="n"/>
      <c r="AB192" s="196" t="n"/>
      <c r="AC192" s="196" t="n">
        <v>117441</v>
      </c>
      <c r="AD192" s="196" t="n"/>
      <c r="AE192" s="196" t="n"/>
      <c r="AF192" s="196" t="n"/>
      <c r="AG192" s="196" t="n">
        <v>119867</v>
      </c>
      <c r="AH192" s="196" t="n"/>
      <c r="AI192" s="196" t="n"/>
      <c r="AJ192" s="196" t="n"/>
      <c r="AK192" s="196" t="n">
        <v>120405</v>
      </c>
      <c r="AL192" s="196" t="n">
        <v>109093</v>
      </c>
      <c r="AM192" s="196" t="n">
        <v>105220</v>
      </c>
      <c r="AN192" s="196" t="n"/>
      <c r="AO192" s="196" t="n">
        <v>142147</v>
      </c>
      <c r="AP192" s="196" t="n"/>
      <c r="AQ192" s="196" t="n"/>
      <c r="AR192" s="196" t="n"/>
      <c r="AS192" s="196" t="n">
        <v>150289</v>
      </c>
      <c r="AT192" s="196" t="n"/>
      <c r="AU192" s="196" t="n"/>
      <c r="AV192" s="196" t="n"/>
      <c r="AW192" s="196" t="n">
        <v>152767</v>
      </c>
      <c r="AX192" s="196" t="n"/>
      <c r="AY192" s="196" t="n"/>
      <c r="AZ192" s="196" t="n"/>
      <c r="BA192" s="196" t="n">
        <v>144078</v>
      </c>
      <c r="BB192" s="196" t="n"/>
      <c r="BC192" s="196" t="n"/>
      <c r="BD192" s="196" t="n"/>
      <c r="BE192" s="196" t="n">
        <v>156369</v>
      </c>
      <c r="BF192" s="196" t="n"/>
      <c r="BG192" s="196" t="n"/>
      <c r="BH192" s="196" t="n"/>
      <c r="BI192" s="196" t="n">
        <v>167334</v>
      </c>
      <c r="BJ192" s="196" t="n"/>
      <c r="BK192" s="196" t="n"/>
      <c r="BL192" s="196" t="n"/>
      <c r="BM192" s="196" t="n">
        <v>131179</v>
      </c>
      <c r="BN192" s="196" t="n"/>
      <c r="BO192" s="196" t="n"/>
      <c r="BP192" s="196" t="n"/>
      <c r="BQ192" s="196" t="n"/>
      <c r="BR192" s="196" t="n"/>
      <c r="BS192" s="196" t="n"/>
      <c r="BT192" s="196" t="n"/>
      <c r="BU192" s="196" t="n"/>
      <c r="BV192" s="196" t="n"/>
      <c r="BW192" s="196" t="n"/>
      <c r="BX192" s="196" t="n"/>
      <c r="BY192" s="196" t="n"/>
      <c r="BZ192" s="196" t="n"/>
      <c r="CA192" s="196" t="n"/>
      <c r="CB192" s="196" t="n"/>
      <c r="CC192" s="196" t="n"/>
      <c r="CD192" s="196" t="n"/>
      <c r="CE192" s="196" t="n"/>
      <c r="CF192" s="196" t="n"/>
      <c r="CG192" s="196" t="n"/>
      <c r="CH192" s="196" t="n"/>
      <c r="CI192" s="196" t="n"/>
      <c r="CJ192" s="196" t="n"/>
      <c r="CK192" s="196" t="n"/>
      <c r="CL192" s="196" t="n"/>
      <c r="CM192" s="196" t="n"/>
      <c r="CN192" s="196" t="n"/>
      <c r="CO192" s="196" t="n"/>
      <c r="CP192" s="196" t="n"/>
      <c r="CQ192" s="196" t="n"/>
      <c r="CR192" s="196" t="n"/>
      <c r="CS192" s="196" t="n"/>
      <c r="CT192" s="196" t="n"/>
      <c r="CU192" s="196" t="n"/>
      <c r="CV192" s="196" t="n"/>
      <c r="CW192" s="196" t="n"/>
      <c r="CX192" s="196" t="n"/>
      <c r="CY192" s="196" t="n"/>
      <c r="CZ192" s="196" t="n"/>
      <c r="DA192" s="196" t="n"/>
      <c r="DB192" s="196" t="n"/>
      <c r="DC192" s="196" t="n"/>
      <c r="DD192" s="196" t="n"/>
      <c r="DE192" s="196" t="n"/>
      <c r="DF192" s="196" t="n"/>
      <c r="DG192" s="196" t="n"/>
      <c r="DH192" s="196" t="n"/>
      <c r="DI192" s="196" t="n"/>
      <c r="DJ192" s="196" t="n"/>
      <c r="DK192" s="196" t="n"/>
      <c r="DL192" s="196" t="n"/>
      <c r="DM192" s="196" t="n"/>
      <c r="DN192" s="196" t="n"/>
      <c r="DO192" s="196" t="n"/>
      <c r="DP192" s="196" t="n"/>
      <c r="DQ192" s="196" t="n"/>
      <c r="DR192" s="196" t="n"/>
      <c r="DS192" s="196" t="n"/>
      <c r="DT192" s="196" t="n"/>
      <c r="DU192" s="196" t="n"/>
      <c r="DV192" s="196" t="n"/>
      <c r="DW192" s="196" t="n"/>
      <c r="DX192" s="196" t="n"/>
      <c r="DY192" s="196" t="n"/>
      <c r="DZ192" s="196" t="n"/>
      <c r="EA192" s="196" t="n"/>
      <c r="EB192" s="196" t="n"/>
      <c r="EC192" s="196" t="n"/>
      <c r="ED192" s="196" t="n"/>
      <c r="EE192" s="196" t="n"/>
      <c r="EF192" s="196" t="n"/>
      <c r="EG192" s="196" t="n"/>
      <c r="EH192" s="196" t="n"/>
      <c r="EI192" s="196" t="n"/>
      <c r="EJ192" s="196" t="n"/>
      <c r="EK192" s="196" t="n"/>
      <c r="EL192" s="182" t="n"/>
      <c r="EM192" s="176" t="n"/>
      <c r="EN192" s="176" t="n"/>
      <c r="EO192" s="176" t="n"/>
      <c r="EP192" s="176" t="n"/>
      <c r="EQ192" s="176" t="n"/>
      <c r="ER192" s="176" t="n"/>
      <c r="ES192" s="176" t="n"/>
      <c r="ET192" s="176" t="n"/>
      <c r="EU192" s="176" t="n"/>
      <c r="EV192" s="176" t="n"/>
      <c r="EW192" s="176" t="n"/>
      <c r="EX192" s="176" t="n"/>
      <c r="EY192" s="176" t="n"/>
      <c r="EZ192" s="176" t="n"/>
      <c r="FA192" s="176" t="n"/>
      <c r="FB192" s="176" t="n"/>
      <c r="FC192" s="176" t="n"/>
      <c r="FD192" s="176" t="n"/>
      <c r="FE192" s="176" t="n"/>
      <c r="FF192" s="176" t="n"/>
      <c r="FG192" s="176" t="n"/>
      <c r="FH192" s="176" t="n"/>
      <c r="FI192" s="176" t="n"/>
      <c r="FJ192" s="176" t="n"/>
    </row>
    <row r="193" ht="15" customHeight="1" s="392">
      <c r="A193" s="176" t="n"/>
      <c r="B193" s="180" t="n"/>
      <c r="C193" s="183" t="inlineStr">
        <is>
          <t xml:space="preserve">    Other Contractual Obligations Maturity Schedule</t>
        </is>
      </c>
      <c r="D193" s="185" t="n"/>
      <c r="E193" s="185" t="n"/>
      <c r="F193" s="185" t="n"/>
      <c r="G193" s="185" t="n"/>
      <c r="H193" s="185" t="n"/>
      <c r="I193" s="185" t="n"/>
      <c r="J193" s="185" t="n"/>
      <c r="K193" s="185" t="n"/>
      <c r="EL193" s="182" t="n"/>
      <c r="EM193" s="176" t="n"/>
      <c r="EN193" s="176" t="n"/>
      <c r="EO193" s="176" t="n"/>
      <c r="EP193" s="176" t="n"/>
      <c r="EQ193" s="176" t="n"/>
      <c r="ER193" s="176" t="n"/>
      <c r="ES193" s="176" t="n"/>
      <c r="ET193" s="176" t="n"/>
      <c r="EU193" s="176" t="n"/>
      <c r="EV193" s="176" t="n"/>
      <c r="EW193" s="176" t="n"/>
      <c r="EX193" s="176" t="n"/>
      <c r="EY193" s="176" t="n"/>
      <c r="EZ193" s="176" t="n"/>
      <c r="FA193" s="176" t="n"/>
      <c r="FB193" s="176" t="n"/>
      <c r="FC193" s="176" t="n"/>
      <c r="FD193" s="176" t="n"/>
      <c r="FE193" s="176" t="n"/>
      <c r="FF193" s="176" t="n"/>
      <c r="FG193" s="176" t="n"/>
      <c r="FH193" s="176" t="n"/>
      <c r="FI193" s="176" t="n"/>
      <c r="FJ193" s="176" t="n"/>
    </row>
    <row r="194" ht="15" customHeight="1" s="392">
      <c r="A194" s="176" t="n"/>
      <c r="B194" s="180" t="n"/>
      <c r="C194" s="183" t="inlineStr">
        <is>
          <t xml:space="preserve">        Other Contractual Obligations due in year 1</t>
        </is>
      </c>
      <c r="D194" s="190">
        <f>IF(COUNT(M194:EK194)&gt;0,MEDIAN(M194:EK194),"")</f>
        <v/>
      </c>
      <c r="E194" s="190">
        <f>IF(COUNT(M194:EK194)&gt;0,AVERAGE(M194:EK194),"")</f>
        <v/>
      </c>
      <c r="F194" s="190">
        <f>IF(COUNT(M194:EK194)&gt;0,MIN(M194:EK194),"")</f>
        <v/>
      </c>
      <c r="G194" s="190">
        <f>IF(COUNT(M194:EK194)&gt;0,MAX(M194:EK194),"")</f>
        <v/>
      </c>
      <c r="H194" s="190">
        <f>IF(COUNT(M194:EK194)&gt;0,QUARTILE(M194:EK194,1),"")</f>
        <v/>
      </c>
      <c r="I194" s="190">
        <f>IF(COUNT(M194:EK194)&gt;0,QUARTILE(M194:EK194,3),"")</f>
        <v/>
      </c>
      <c r="J194" s="190">
        <f>IF(COUNT(M194:EK194)&gt;1,STDEV(M194:EK194),"")</f>
        <v/>
      </c>
      <c r="K194" s="191">
        <f>IF(COUNT(M194:EK194)&gt;1,STDEV(M194:EK194)/AVERAGE(M194:EK194),"")</f>
        <v/>
      </c>
      <c r="M194" s="192" t="n"/>
      <c r="N194" s="192" t="n"/>
      <c r="O194" s="192" t="n"/>
      <c r="P194" s="192" t="n"/>
      <c r="Q194" s="192" t="n"/>
      <c r="R194" s="192" t="n"/>
      <c r="S194" s="192" t="n"/>
      <c r="T194" s="192" t="n"/>
      <c r="U194" s="192" t="n"/>
      <c r="V194" s="192" t="n"/>
      <c r="W194" s="192" t="n"/>
      <c r="X194" s="192" t="n"/>
      <c r="Y194" s="192" t="n"/>
      <c r="Z194" s="192" t="n"/>
      <c r="AA194" s="192" t="n"/>
      <c r="AB194" s="192" t="n"/>
      <c r="AC194" s="192" t="n"/>
      <c r="AD194" s="192" t="n"/>
      <c r="AE194" s="192" t="n"/>
      <c r="AF194" s="192" t="n"/>
      <c r="AG194" s="192" t="n"/>
      <c r="AH194" s="192" t="n"/>
      <c r="AI194" s="192" t="n"/>
      <c r="AJ194" s="192" t="n"/>
      <c r="AK194" s="192" t="n">
        <v>19426</v>
      </c>
      <c r="AL194" s="192" t="n"/>
      <c r="AM194" s="192" t="n"/>
      <c r="AN194" s="192" t="n"/>
      <c r="AO194" s="192" t="n">
        <v>42976</v>
      </c>
      <c r="AP194" s="192" t="n"/>
      <c r="AQ194" s="192" t="n"/>
      <c r="AR194" s="192" t="n"/>
      <c r="AS194" s="192" t="n">
        <v>17901</v>
      </c>
      <c r="AT194" s="192" t="n"/>
      <c r="AU194" s="192" t="n"/>
      <c r="AV194" s="192" t="n"/>
      <c r="AW194" s="192" t="n">
        <v>36426</v>
      </c>
      <c r="AX194" s="192" t="n"/>
      <c r="AY194" s="192" t="n"/>
      <c r="AZ194" s="192" t="n"/>
      <c r="BA194" s="192" t="n">
        <v>35796</v>
      </c>
      <c r="BB194" s="192" t="n"/>
      <c r="BC194" s="192" t="n"/>
      <c r="BD194" s="192" t="n"/>
      <c r="BE194" s="192" t="n">
        <v>37908</v>
      </c>
      <c r="BF194" s="192" t="n"/>
      <c r="BG194" s="192" t="n"/>
      <c r="BH194" s="192" t="n"/>
      <c r="BI194" s="192" t="n">
        <v>23260</v>
      </c>
      <c r="BJ194" s="192" t="n"/>
      <c r="BK194" s="192" t="n"/>
      <c r="BL194" s="192" t="n"/>
      <c r="BM194" s="192" t="n">
        <v>26379</v>
      </c>
      <c r="BN194" s="192" t="n"/>
      <c r="BO194" s="192" t="n"/>
      <c r="BP194" s="192" t="n"/>
      <c r="BQ194" s="192" t="n"/>
      <c r="BR194" s="192" t="n"/>
      <c r="BS194" s="192" t="n"/>
      <c r="BT194" s="192" t="n"/>
      <c r="BU194" s="192" t="n"/>
      <c r="BV194" s="192" t="n"/>
      <c r="BW194" s="192" t="n"/>
      <c r="BX194" s="192" t="n"/>
      <c r="BY194" s="192" t="n"/>
      <c r="BZ194" s="192" t="n"/>
      <c r="CA194" s="192" t="n"/>
      <c r="CB194" s="192" t="n"/>
      <c r="CC194" s="192" t="n"/>
      <c r="CD194" s="192" t="n"/>
      <c r="CE194" s="192" t="n"/>
      <c r="CF194" s="192" t="n"/>
      <c r="CG194" s="192" t="n"/>
      <c r="CH194" s="192" t="n"/>
      <c r="CI194" s="192" t="n"/>
      <c r="CJ194" s="192" t="n"/>
      <c r="CK194" s="192" t="n"/>
      <c r="CL194" s="192" t="n"/>
      <c r="CM194" s="192" t="n"/>
      <c r="CN194" s="192" t="n"/>
      <c r="CO194" s="192" t="n"/>
      <c r="CP194" s="192" t="n"/>
      <c r="CQ194" s="192" t="n"/>
      <c r="CR194" s="192" t="n"/>
      <c r="CS194" s="192" t="n"/>
      <c r="CT194" s="192" t="n"/>
      <c r="CU194" s="192" t="n"/>
      <c r="CV194" s="192" t="n"/>
      <c r="CW194" s="192" t="n"/>
      <c r="CX194" s="192" t="n"/>
      <c r="CY194" s="192" t="n"/>
      <c r="CZ194" s="192" t="n"/>
      <c r="DA194" s="192" t="n"/>
      <c r="DB194" s="192" t="n"/>
      <c r="DC194" s="192" t="n"/>
      <c r="DD194" s="192" t="n"/>
      <c r="DE194" s="192" t="n"/>
      <c r="DF194" s="192" t="n"/>
      <c r="DG194" s="192" t="n"/>
      <c r="DH194" s="192" t="n"/>
      <c r="DI194" s="192" t="n"/>
      <c r="DJ194" s="192" t="n"/>
      <c r="DK194" s="192" t="n"/>
      <c r="DL194" s="192" t="n"/>
      <c r="DM194" s="192" t="n"/>
      <c r="DN194" s="192" t="n"/>
      <c r="DO194" s="192" t="n"/>
      <c r="DP194" s="192" t="n"/>
      <c r="DQ194" s="192" t="n"/>
      <c r="DR194" s="192" t="n"/>
      <c r="DS194" s="192" t="n"/>
      <c r="DT194" s="192" t="n"/>
      <c r="DU194" s="192" t="n"/>
      <c r="DV194" s="192" t="n"/>
      <c r="DW194" s="192" t="n"/>
      <c r="DX194" s="192" t="n"/>
      <c r="DY194" s="192" t="n"/>
      <c r="DZ194" s="192" t="n"/>
      <c r="EA194" s="192" t="n"/>
      <c r="EB194" s="192" t="n"/>
      <c r="EC194" s="192" t="n"/>
      <c r="ED194" s="192" t="n"/>
      <c r="EE194" s="192" t="n"/>
      <c r="EF194" s="192" t="n"/>
      <c r="EG194" s="192" t="n"/>
      <c r="EH194" s="192" t="n"/>
      <c r="EI194" s="192" t="n"/>
      <c r="EJ194" s="192" t="n"/>
      <c r="EK194" s="192" t="n"/>
      <c r="EL194" s="182" t="n"/>
      <c r="EM194" s="176" t="n"/>
      <c r="EN194" s="176" t="n"/>
      <c r="EO194" s="176" t="n"/>
      <c r="EP194" s="176" t="n"/>
      <c r="EQ194" s="176" t="n"/>
      <c r="ER194" s="176" t="n"/>
      <c r="ES194" s="176" t="n"/>
      <c r="ET194" s="176" t="n"/>
      <c r="EU194" s="176" t="n"/>
      <c r="EV194" s="176" t="n"/>
      <c r="EW194" s="176" t="n"/>
      <c r="EX194" s="176" t="n"/>
      <c r="EY194" s="176" t="n"/>
      <c r="EZ194" s="176" t="n"/>
      <c r="FA194" s="176" t="n"/>
      <c r="FB194" s="176" t="n"/>
      <c r="FC194" s="176" t="n"/>
      <c r="FD194" s="176" t="n"/>
      <c r="FE194" s="176" t="n"/>
      <c r="FF194" s="176" t="n"/>
      <c r="FG194" s="176" t="n"/>
      <c r="FH194" s="176" t="n"/>
      <c r="FI194" s="176" t="n"/>
      <c r="FJ194" s="176" t="n"/>
    </row>
    <row r="195" ht="15" customHeight="1" s="392">
      <c r="A195" s="176" t="n"/>
      <c r="B195" s="180" t="n"/>
      <c r="C195" s="183" t="inlineStr">
        <is>
          <t xml:space="preserve">        Other Contractual Obligations due in year 3</t>
        </is>
      </c>
      <c r="D195" s="190">
        <f>IF(COUNT(M195:EK195)&gt;0,MEDIAN(M195:EK195),"")</f>
        <v/>
      </c>
      <c r="E195" s="190">
        <f>IF(COUNT(M195:EK195)&gt;0,AVERAGE(M195:EK195),"")</f>
        <v/>
      </c>
      <c r="F195" s="190">
        <f>IF(COUNT(M195:EK195)&gt;0,MIN(M195:EK195),"")</f>
        <v/>
      </c>
      <c r="G195" s="190">
        <f>IF(COUNT(M195:EK195)&gt;0,MAX(M195:EK195),"")</f>
        <v/>
      </c>
      <c r="H195" s="190">
        <f>IF(COUNT(M195:EK195)&gt;0,QUARTILE(M195:EK195,1),"")</f>
        <v/>
      </c>
      <c r="I195" s="190">
        <f>IF(COUNT(M195:EK195)&gt;0,QUARTILE(M195:EK195,3),"")</f>
        <v/>
      </c>
      <c r="J195" s="190">
        <f>IF(COUNT(M195:EK195)&gt;1,STDEV(M195:EK195),"")</f>
        <v/>
      </c>
      <c r="K195" s="191">
        <f>IF(COUNT(M195:EK195)&gt;1,STDEV(M195:EK195)/AVERAGE(M195:EK195),"")</f>
        <v/>
      </c>
      <c r="M195" s="192" t="n"/>
      <c r="N195" s="192" t="n"/>
      <c r="O195" s="192" t="n"/>
      <c r="P195" s="192" t="n"/>
      <c r="Q195" s="192" t="n"/>
      <c r="R195" s="192" t="n"/>
      <c r="S195" s="192" t="n"/>
      <c r="T195" s="192" t="n"/>
      <c r="U195" s="192" t="n"/>
      <c r="V195" s="192" t="n"/>
      <c r="W195" s="192" t="n"/>
      <c r="X195" s="192" t="n"/>
      <c r="Y195" s="192" t="n"/>
      <c r="Z195" s="192" t="n"/>
      <c r="AA195" s="192" t="n"/>
      <c r="AB195" s="192" t="n"/>
      <c r="AC195" s="192" t="n"/>
      <c r="AD195" s="192" t="n"/>
      <c r="AE195" s="192" t="n"/>
      <c r="AF195" s="192" t="n"/>
      <c r="AG195" s="192" t="n"/>
      <c r="AH195" s="192" t="n"/>
      <c r="AI195" s="192" t="n"/>
      <c r="AJ195" s="192" t="n"/>
      <c r="AK195" s="192" t="n">
        <v>38788</v>
      </c>
      <c r="AL195" s="192" t="n"/>
      <c r="AM195" s="192" t="n"/>
      <c r="AN195" s="192" t="n"/>
      <c r="AO195" s="192" t="n">
        <v>34727</v>
      </c>
      <c r="AP195" s="192" t="n"/>
      <c r="AQ195" s="192" t="n"/>
      <c r="AR195" s="192" t="n"/>
      <c r="AS195" s="192" t="n">
        <v>35776</v>
      </c>
      <c r="AT195" s="192" t="n"/>
      <c r="AU195" s="192" t="n"/>
      <c r="AV195" s="192" t="n"/>
      <c r="AW195" s="192" t="n">
        <v>40410</v>
      </c>
      <c r="AX195" s="192" t="n"/>
      <c r="AY195" s="192" t="n"/>
      <c r="AZ195" s="192" t="n"/>
      <c r="BA195" s="192" t="n">
        <v>39386</v>
      </c>
      <c r="BB195" s="192" t="n"/>
      <c r="BC195" s="192" t="n"/>
      <c r="BD195" s="192" t="n"/>
      <c r="BE195" s="192" t="n">
        <v>38389</v>
      </c>
      <c r="BF195" s="192" t="n"/>
      <c r="BG195" s="192" t="n"/>
      <c r="BH195" s="192" t="n"/>
      <c r="BI195" s="192" t="n">
        <v>1589</v>
      </c>
      <c r="BJ195" s="192" t="n"/>
      <c r="BK195" s="192" t="n"/>
      <c r="BL195" s="192" t="n"/>
      <c r="BM195" s="192" t="n">
        <v>7470</v>
      </c>
      <c r="BN195" s="192" t="n"/>
      <c r="BO195" s="192" t="n"/>
      <c r="BP195" s="192" t="n"/>
      <c r="BQ195" s="192" t="n"/>
      <c r="BR195" s="192" t="n"/>
      <c r="BS195" s="192" t="n"/>
      <c r="BT195" s="192" t="n"/>
      <c r="BU195" s="192" t="n"/>
      <c r="BV195" s="192" t="n"/>
      <c r="BW195" s="192" t="n"/>
      <c r="BX195" s="192" t="n"/>
      <c r="BY195" s="192" t="n"/>
      <c r="BZ195" s="192" t="n"/>
      <c r="CA195" s="192" t="n"/>
      <c r="CB195" s="192" t="n"/>
      <c r="CC195" s="192" t="n"/>
      <c r="CD195" s="192" t="n"/>
      <c r="CE195" s="192" t="n"/>
      <c r="CF195" s="192" t="n"/>
      <c r="CG195" s="192" t="n"/>
      <c r="CH195" s="192" t="n"/>
      <c r="CI195" s="192" t="n"/>
      <c r="CJ195" s="192" t="n"/>
      <c r="CK195" s="192" t="n"/>
      <c r="CL195" s="192" t="n"/>
      <c r="CM195" s="192" t="n"/>
      <c r="CN195" s="192" t="n"/>
      <c r="CO195" s="192" t="n"/>
      <c r="CP195" s="192" t="n"/>
      <c r="CQ195" s="192" t="n"/>
      <c r="CR195" s="192" t="n"/>
      <c r="CS195" s="192" t="n"/>
      <c r="CT195" s="192" t="n"/>
      <c r="CU195" s="192" t="n"/>
      <c r="CV195" s="192" t="n"/>
      <c r="CW195" s="192" t="n"/>
      <c r="CX195" s="192" t="n"/>
      <c r="CY195" s="192" t="n"/>
      <c r="CZ195" s="192" t="n"/>
      <c r="DA195" s="192" t="n"/>
      <c r="DB195" s="192" t="n"/>
      <c r="DC195" s="192" t="n"/>
      <c r="DD195" s="192" t="n"/>
      <c r="DE195" s="192" t="n"/>
      <c r="DF195" s="192" t="n"/>
      <c r="DG195" s="192" t="n"/>
      <c r="DH195" s="192" t="n"/>
      <c r="DI195" s="192" t="n"/>
      <c r="DJ195" s="192" t="n"/>
      <c r="DK195" s="192" t="n"/>
      <c r="DL195" s="192" t="n"/>
      <c r="DM195" s="192" t="n"/>
      <c r="DN195" s="192" t="n"/>
      <c r="DO195" s="192" t="n"/>
      <c r="DP195" s="192" t="n"/>
      <c r="DQ195" s="192" t="n"/>
      <c r="DR195" s="192" t="n"/>
      <c r="DS195" s="192" t="n"/>
      <c r="DT195" s="192" t="n"/>
      <c r="DU195" s="192" t="n"/>
      <c r="DV195" s="192" t="n"/>
      <c r="DW195" s="192" t="n"/>
      <c r="DX195" s="192" t="n"/>
      <c r="DY195" s="192" t="n"/>
      <c r="DZ195" s="192" t="n"/>
      <c r="EA195" s="192" t="n"/>
      <c r="EB195" s="192" t="n"/>
      <c r="EC195" s="192" t="n"/>
      <c r="ED195" s="192" t="n"/>
      <c r="EE195" s="192" t="n"/>
      <c r="EF195" s="192" t="n"/>
      <c r="EG195" s="192" t="n"/>
      <c r="EH195" s="192" t="n"/>
      <c r="EI195" s="192" t="n"/>
      <c r="EJ195" s="192" t="n"/>
      <c r="EK195" s="192" t="n"/>
      <c r="EL195" s="182" t="n"/>
      <c r="EM195" s="176" t="n"/>
      <c r="EN195" s="176" t="n"/>
      <c r="EO195" s="176" t="n"/>
      <c r="EP195" s="176" t="n"/>
      <c r="EQ195" s="176" t="n"/>
      <c r="ER195" s="176" t="n"/>
      <c r="ES195" s="176" t="n"/>
      <c r="ET195" s="176" t="n"/>
      <c r="EU195" s="176" t="n"/>
      <c r="EV195" s="176" t="n"/>
      <c r="EW195" s="176" t="n"/>
      <c r="EX195" s="176" t="n"/>
      <c r="EY195" s="176" t="n"/>
      <c r="EZ195" s="176" t="n"/>
      <c r="FA195" s="176" t="n"/>
      <c r="FB195" s="176" t="n"/>
      <c r="FC195" s="176" t="n"/>
      <c r="FD195" s="176" t="n"/>
      <c r="FE195" s="176" t="n"/>
      <c r="FF195" s="176" t="n"/>
      <c r="FG195" s="176" t="n"/>
      <c r="FH195" s="176" t="n"/>
      <c r="FI195" s="176" t="n"/>
      <c r="FJ195" s="176" t="n"/>
    </row>
    <row r="196" ht="15" customHeight="1" s="392">
      <c r="A196" s="176" t="n"/>
      <c r="B196" s="180" t="n"/>
      <c r="C196" s="183" t="inlineStr">
        <is>
          <t xml:space="preserve">        Other Contractual Obligations due in year 5</t>
        </is>
      </c>
      <c r="D196" s="190">
        <f>IF(COUNT(M196:EK196)&gt;0,MEDIAN(M196:EK196),"")</f>
        <v/>
      </c>
      <c r="E196" s="190">
        <f>IF(COUNT(M196:EK196)&gt;0,AVERAGE(M196:EK196),"")</f>
        <v/>
      </c>
      <c r="F196" s="190">
        <f>IF(COUNT(M196:EK196)&gt;0,MIN(M196:EK196),"")</f>
        <v/>
      </c>
      <c r="G196" s="190">
        <f>IF(COUNT(M196:EK196)&gt;0,MAX(M196:EK196),"")</f>
        <v/>
      </c>
      <c r="H196" s="190">
        <f>IF(COUNT(M196:EK196)&gt;0,QUARTILE(M196:EK196,1),"")</f>
        <v/>
      </c>
      <c r="I196" s="190">
        <f>IF(COUNT(M196:EK196)&gt;0,QUARTILE(M196:EK196,3),"")</f>
        <v/>
      </c>
      <c r="J196" s="190">
        <f>IF(COUNT(M196:EK196)&gt;1,STDEV(M196:EK196),"")</f>
        <v/>
      </c>
      <c r="K196" s="191">
        <f>IF(COUNT(M196:EK196)&gt;1,STDEV(M196:EK196)/AVERAGE(M196:EK196),"")</f>
        <v/>
      </c>
      <c r="M196" s="192" t="n"/>
      <c r="N196" s="192" t="n"/>
      <c r="O196" s="192" t="n"/>
      <c r="P196" s="192" t="n"/>
      <c r="Q196" s="192" t="n"/>
      <c r="R196" s="192" t="n"/>
      <c r="S196" s="192" t="n"/>
      <c r="T196" s="192" t="n"/>
      <c r="U196" s="192" t="n"/>
      <c r="V196" s="192" t="n"/>
      <c r="W196" s="192" t="n"/>
      <c r="X196" s="192" t="n"/>
      <c r="Y196" s="192" t="n"/>
      <c r="Z196" s="192" t="n"/>
      <c r="AA196" s="192" t="n"/>
      <c r="AB196" s="192" t="n"/>
      <c r="AC196" s="192" t="n"/>
      <c r="AD196" s="192" t="n"/>
      <c r="AE196" s="192" t="n"/>
      <c r="AF196" s="192" t="n"/>
      <c r="AG196" s="192" t="n"/>
      <c r="AH196" s="192" t="n"/>
      <c r="AI196" s="192" t="n"/>
      <c r="AJ196" s="192" t="n"/>
      <c r="AK196" s="192" t="n">
        <v>31007</v>
      </c>
      <c r="AL196" s="192" t="n"/>
      <c r="AM196" s="192" t="n"/>
      <c r="AN196" s="192" t="n"/>
      <c r="AO196" s="192" t="n">
        <v>33720</v>
      </c>
      <c r="AP196" s="192" t="n"/>
      <c r="AQ196" s="192" t="n"/>
      <c r="AR196" s="192" t="n"/>
      <c r="AS196" s="192" t="n">
        <v>33720</v>
      </c>
      <c r="AT196" s="192" t="n"/>
      <c r="AU196" s="192" t="n"/>
      <c r="AV196" s="192" t="n"/>
      <c r="AW196" s="192" t="n">
        <v>37020</v>
      </c>
      <c r="AX196" s="192" t="n"/>
      <c r="AY196" s="192" t="n"/>
      <c r="AZ196" s="192" t="n"/>
      <c r="BA196" s="192" t="n">
        <v>39150</v>
      </c>
      <c r="BB196" s="192" t="n"/>
      <c r="BC196" s="192" t="n"/>
      <c r="BD196" s="192" t="n"/>
      <c r="BE196" s="192" t="n">
        <v>35875</v>
      </c>
      <c r="BF196" s="192" t="n"/>
      <c r="BG196" s="192" t="n"/>
      <c r="BH196" s="192" t="n"/>
      <c r="BI196" s="192" t="n"/>
      <c r="BJ196" s="192" t="n"/>
      <c r="BK196" s="192" t="n"/>
      <c r="BL196" s="192" t="n"/>
      <c r="BM196" s="192" t="n"/>
      <c r="BN196" s="192" t="n"/>
      <c r="BO196" s="192" t="n"/>
      <c r="BP196" s="192" t="n"/>
      <c r="BQ196" s="192" t="n"/>
      <c r="BR196" s="192" t="n"/>
      <c r="BS196" s="192" t="n"/>
      <c r="BT196" s="192" t="n"/>
      <c r="BU196" s="192" t="n"/>
      <c r="BV196" s="192" t="n"/>
      <c r="BW196" s="192" t="n"/>
      <c r="BX196" s="192" t="n"/>
      <c r="BY196" s="192" t="n"/>
      <c r="BZ196" s="192" t="n"/>
      <c r="CA196" s="192" t="n"/>
      <c r="CB196" s="192" t="n"/>
      <c r="CC196" s="192" t="n"/>
      <c r="CD196" s="192" t="n"/>
      <c r="CE196" s="192" t="n"/>
      <c r="CF196" s="192" t="n"/>
      <c r="CG196" s="192" t="n"/>
      <c r="CH196" s="192" t="n"/>
      <c r="CI196" s="192" t="n"/>
      <c r="CJ196" s="192" t="n"/>
      <c r="CK196" s="192" t="n"/>
      <c r="CL196" s="192" t="n"/>
      <c r="CM196" s="192" t="n"/>
      <c r="CN196" s="192" t="n"/>
      <c r="CO196" s="192" t="n"/>
      <c r="CP196" s="192" t="n"/>
      <c r="CQ196" s="192" t="n"/>
      <c r="CR196" s="192" t="n"/>
      <c r="CS196" s="192" t="n"/>
      <c r="CT196" s="192" t="n"/>
      <c r="CU196" s="192" t="n"/>
      <c r="CV196" s="192" t="n"/>
      <c r="CW196" s="192" t="n"/>
      <c r="CX196" s="192" t="n"/>
      <c r="CY196" s="192" t="n"/>
      <c r="CZ196" s="192" t="n"/>
      <c r="DA196" s="192" t="n"/>
      <c r="DB196" s="192" t="n"/>
      <c r="DC196" s="192" t="n"/>
      <c r="DD196" s="192" t="n"/>
      <c r="DE196" s="192" t="n"/>
      <c r="DF196" s="192" t="n"/>
      <c r="DG196" s="192" t="n"/>
      <c r="DH196" s="192" t="n"/>
      <c r="DI196" s="192" t="n"/>
      <c r="DJ196" s="192" t="n"/>
      <c r="DK196" s="192" t="n"/>
      <c r="DL196" s="192" t="n"/>
      <c r="DM196" s="192" t="n"/>
      <c r="DN196" s="192" t="n"/>
      <c r="DO196" s="192" t="n"/>
      <c r="DP196" s="192" t="n"/>
      <c r="DQ196" s="192" t="n"/>
      <c r="DR196" s="192" t="n"/>
      <c r="DS196" s="192" t="n"/>
      <c r="DT196" s="192" t="n"/>
      <c r="DU196" s="192" t="n"/>
      <c r="DV196" s="192" t="n"/>
      <c r="DW196" s="192" t="n"/>
      <c r="DX196" s="192" t="n"/>
      <c r="DY196" s="192" t="n"/>
      <c r="DZ196" s="192" t="n"/>
      <c r="EA196" s="192" t="n"/>
      <c r="EB196" s="192" t="n"/>
      <c r="EC196" s="192" t="n"/>
      <c r="ED196" s="192" t="n"/>
      <c r="EE196" s="192" t="n"/>
      <c r="EF196" s="192" t="n"/>
      <c r="EG196" s="192" t="n"/>
      <c r="EH196" s="192" t="n"/>
      <c r="EI196" s="192" t="n"/>
      <c r="EJ196" s="192" t="n"/>
      <c r="EK196" s="192" t="n"/>
      <c r="EL196" s="182" t="n"/>
      <c r="EM196" s="176" t="n"/>
      <c r="EN196" s="176" t="n"/>
      <c r="EO196" s="176" t="n"/>
      <c r="EP196" s="176" t="n"/>
      <c r="EQ196" s="176" t="n"/>
      <c r="ER196" s="176" t="n"/>
      <c r="ES196" s="176" t="n"/>
      <c r="ET196" s="176" t="n"/>
      <c r="EU196" s="176" t="n"/>
      <c r="EV196" s="176" t="n"/>
      <c r="EW196" s="176" t="n"/>
      <c r="EX196" s="176" t="n"/>
      <c r="EY196" s="176" t="n"/>
      <c r="EZ196" s="176" t="n"/>
      <c r="FA196" s="176" t="n"/>
      <c r="FB196" s="176" t="n"/>
      <c r="FC196" s="176" t="n"/>
      <c r="FD196" s="176" t="n"/>
      <c r="FE196" s="176" t="n"/>
      <c r="FF196" s="176" t="n"/>
      <c r="FG196" s="176" t="n"/>
      <c r="FH196" s="176" t="n"/>
      <c r="FI196" s="176" t="n"/>
      <c r="FJ196" s="176" t="n"/>
    </row>
    <row r="197" ht="15" customHeight="1" s="392">
      <c r="A197" s="176" t="n"/>
      <c r="B197" s="180" t="n"/>
      <c r="C197" s="183" t="inlineStr">
        <is>
          <t xml:space="preserve">        Other Contractual Obligations due Beyond</t>
        </is>
      </c>
      <c r="D197" s="190">
        <f>IF(COUNT(M197:EK197)&gt;0,MEDIAN(M197:EK197),"")</f>
        <v/>
      </c>
      <c r="E197" s="190">
        <f>IF(COUNT(M197:EK197)&gt;0,AVERAGE(M197:EK197),"")</f>
        <v/>
      </c>
      <c r="F197" s="190">
        <f>IF(COUNT(M197:EK197)&gt;0,MIN(M197:EK197),"")</f>
        <v/>
      </c>
      <c r="G197" s="190">
        <f>IF(COUNT(M197:EK197)&gt;0,MAX(M197:EK197),"")</f>
        <v/>
      </c>
      <c r="H197" s="190">
        <f>IF(COUNT(M197:EK197)&gt;0,QUARTILE(M197:EK197,1),"")</f>
        <v/>
      </c>
      <c r="I197" s="190">
        <f>IF(COUNT(M197:EK197)&gt;0,QUARTILE(M197:EK197,3),"")</f>
        <v/>
      </c>
      <c r="J197" s="190">
        <f>IF(COUNT(M197:EK197)&gt;1,STDEV(M197:EK197),"")</f>
        <v/>
      </c>
      <c r="K197" s="191">
        <f>IF(COUNT(M197:EK197)&gt;1,STDEV(M197:EK197)/AVERAGE(M197:EK197),"")</f>
        <v/>
      </c>
      <c r="M197" s="192" t="n"/>
      <c r="N197" s="192" t="n"/>
      <c r="O197" s="192" t="n"/>
      <c r="P197" s="192" t="n"/>
      <c r="Q197" s="192" t="n"/>
      <c r="R197" s="192" t="n"/>
      <c r="S197" s="192" t="n"/>
      <c r="T197" s="192" t="n"/>
      <c r="U197" s="192" t="n"/>
      <c r="V197" s="192" t="n"/>
      <c r="W197" s="192" t="n"/>
      <c r="X197" s="192" t="n"/>
      <c r="Y197" s="192" t="n"/>
      <c r="Z197" s="192" t="n"/>
      <c r="AA197" s="192" t="n"/>
      <c r="AB197" s="192" t="n"/>
      <c r="AC197" s="192" t="n"/>
      <c r="AD197" s="192" t="n"/>
      <c r="AE197" s="192" t="n"/>
      <c r="AF197" s="192" t="n"/>
      <c r="AG197" s="192" t="n"/>
      <c r="AH197" s="192" t="n"/>
      <c r="AI197" s="192" t="n"/>
      <c r="AJ197" s="192" t="n"/>
      <c r="AK197" s="192" t="n">
        <v>34354</v>
      </c>
      <c r="AL197" s="192" t="n"/>
      <c r="AM197" s="192" t="n"/>
      <c r="AN197" s="192" t="n"/>
      <c r="AO197" s="192" t="n">
        <v>48501</v>
      </c>
      <c r="AP197" s="192" t="n"/>
      <c r="AQ197" s="192" t="n"/>
      <c r="AR197" s="192" t="n"/>
      <c r="AS197" s="192" t="n">
        <v>65361</v>
      </c>
      <c r="AT197" s="192" t="n"/>
      <c r="AU197" s="192" t="n"/>
      <c r="AV197" s="192" t="n"/>
      <c r="AW197" s="192" t="n">
        <v>82221</v>
      </c>
      <c r="AX197" s="192" t="n"/>
      <c r="AY197" s="192" t="n"/>
      <c r="AZ197" s="192" t="n"/>
      <c r="BA197" s="192" t="n">
        <v>114491</v>
      </c>
      <c r="BB197" s="192" t="n"/>
      <c r="BC197" s="192" t="n"/>
      <c r="BD197" s="192" t="n"/>
      <c r="BE197" s="192" t="n">
        <v>114491</v>
      </c>
      <c r="BF197" s="192" t="n"/>
      <c r="BG197" s="192" t="n"/>
      <c r="BH197" s="192" t="n"/>
      <c r="BI197" s="192" t="n"/>
      <c r="BJ197" s="192" t="n"/>
      <c r="BK197" s="192" t="n"/>
      <c r="BL197" s="192" t="n"/>
      <c r="BM197" s="192" t="n"/>
      <c r="BN197" s="192" t="n"/>
      <c r="BO197" s="192" t="n"/>
      <c r="BP197" s="192" t="n"/>
      <c r="BQ197" s="192" t="n"/>
      <c r="BR197" s="192" t="n"/>
      <c r="BS197" s="192" t="n"/>
      <c r="BT197" s="192" t="n"/>
      <c r="BU197" s="192" t="n"/>
      <c r="BV197" s="192" t="n"/>
      <c r="BW197" s="192" t="n"/>
      <c r="BX197" s="192" t="n"/>
      <c r="BY197" s="192" t="n"/>
      <c r="BZ197" s="192" t="n"/>
      <c r="CA197" s="192" t="n"/>
      <c r="CB197" s="192" t="n"/>
      <c r="CC197" s="192" t="n"/>
      <c r="CD197" s="192" t="n"/>
      <c r="CE197" s="192" t="n"/>
      <c r="CF197" s="192" t="n"/>
      <c r="CG197" s="192" t="n"/>
      <c r="CH197" s="192" t="n"/>
      <c r="CI197" s="192" t="n"/>
      <c r="CJ197" s="192" t="n"/>
      <c r="CK197" s="192" t="n"/>
      <c r="CL197" s="192" t="n"/>
      <c r="CM197" s="192" t="n"/>
      <c r="CN197" s="192" t="n"/>
      <c r="CO197" s="192" t="n"/>
      <c r="CP197" s="192" t="n"/>
      <c r="CQ197" s="192" t="n"/>
      <c r="CR197" s="192" t="n"/>
      <c r="CS197" s="192" t="n"/>
      <c r="CT197" s="192" t="n"/>
      <c r="CU197" s="192" t="n"/>
      <c r="CV197" s="192" t="n"/>
      <c r="CW197" s="192" t="n"/>
      <c r="CX197" s="192" t="n"/>
      <c r="CY197" s="192" t="n"/>
      <c r="CZ197" s="192" t="n"/>
      <c r="DA197" s="192" t="n"/>
      <c r="DB197" s="192" t="n"/>
      <c r="DC197" s="192" t="n"/>
      <c r="DD197" s="192" t="n"/>
      <c r="DE197" s="192" t="n"/>
      <c r="DF197" s="192" t="n"/>
      <c r="DG197" s="192" t="n"/>
      <c r="DH197" s="192" t="n"/>
      <c r="DI197" s="192" t="n"/>
      <c r="DJ197" s="192" t="n"/>
      <c r="DK197" s="192" t="n"/>
      <c r="DL197" s="192" t="n"/>
      <c r="DM197" s="192" t="n"/>
      <c r="DN197" s="192" t="n"/>
      <c r="DO197" s="192" t="n"/>
      <c r="DP197" s="192" t="n"/>
      <c r="DQ197" s="192" t="n"/>
      <c r="DR197" s="192" t="n"/>
      <c r="DS197" s="192" t="n"/>
      <c r="DT197" s="192" t="n"/>
      <c r="DU197" s="192" t="n"/>
      <c r="DV197" s="192" t="n"/>
      <c r="DW197" s="192" t="n"/>
      <c r="DX197" s="192" t="n"/>
      <c r="DY197" s="192" t="n"/>
      <c r="DZ197" s="192" t="n"/>
      <c r="EA197" s="192" t="n"/>
      <c r="EB197" s="192" t="n"/>
      <c r="EC197" s="192" t="n"/>
      <c r="ED197" s="192" t="n"/>
      <c r="EE197" s="192" t="n"/>
      <c r="EF197" s="192" t="n"/>
      <c r="EG197" s="192" t="n"/>
      <c r="EH197" s="192" t="n"/>
      <c r="EI197" s="192" t="n"/>
      <c r="EJ197" s="192" t="n"/>
      <c r="EK197" s="192" t="n"/>
      <c r="EL197" s="182" t="n"/>
      <c r="EM197" s="176" t="n"/>
      <c r="EN197" s="176" t="n"/>
      <c r="EO197" s="176" t="n"/>
      <c r="EP197" s="176" t="n"/>
      <c r="EQ197" s="176" t="n"/>
      <c r="ER197" s="176" t="n"/>
      <c r="ES197" s="176" t="n"/>
      <c r="ET197" s="176" t="n"/>
      <c r="EU197" s="176" t="n"/>
      <c r="EV197" s="176" t="n"/>
      <c r="EW197" s="176" t="n"/>
      <c r="EX197" s="176" t="n"/>
      <c r="EY197" s="176" t="n"/>
      <c r="EZ197" s="176" t="n"/>
      <c r="FA197" s="176" t="n"/>
      <c r="FB197" s="176" t="n"/>
      <c r="FC197" s="176" t="n"/>
      <c r="FD197" s="176" t="n"/>
      <c r="FE197" s="176" t="n"/>
      <c r="FF197" s="176" t="n"/>
      <c r="FG197" s="176" t="n"/>
      <c r="FH197" s="176" t="n"/>
      <c r="FI197" s="176" t="n"/>
      <c r="FJ197" s="176" t="n"/>
    </row>
    <row r="198" ht="15" customHeight="1" s="392">
      <c r="A198" s="176" t="n"/>
      <c r="B198" s="180" t="n"/>
      <c r="C198" s="187" t="inlineStr">
        <is>
          <t xml:space="preserve">    Other Contractual Obligations Maturity Schedule Total</t>
        </is>
      </c>
      <c r="D198" s="193">
        <f>IF(COUNT(M198:EK198)&gt;0,MEDIAN(M198:EK198),"")</f>
        <v/>
      </c>
      <c r="E198" s="193">
        <f>IF(COUNT(M198:EK198)&gt;0,AVERAGE(M198:EK198),"")</f>
        <v/>
      </c>
      <c r="F198" s="193">
        <f>IF(COUNT(M198:EK198)&gt;0,MIN(M198:EK198),"")</f>
        <v/>
      </c>
      <c r="G198" s="193">
        <f>IF(COUNT(M198:EK198)&gt;0,MAX(M198:EK198),"")</f>
        <v/>
      </c>
      <c r="H198" s="193">
        <f>IF(COUNT(M198:EK198)&gt;0,QUARTILE(M198:EK198,1),"")</f>
        <v/>
      </c>
      <c r="I198" s="193">
        <f>IF(COUNT(M198:EK198)&gt;0,QUARTILE(M198:EK198,3),"")</f>
        <v/>
      </c>
      <c r="J198" s="193">
        <f>IF(COUNT(M198:EK198)&gt;1,STDEV(M198:EK198),"")</f>
        <v/>
      </c>
      <c r="K198" s="194">
        <f>IF(COUNT(M198:EK198)&gt;1,STDEV(M198:EK198)/AVERAGE(M198:EK198),"")</f>
        <v/>
      </c>
      <c r="L198" s="195" t="n"/>
      <c r="M198" s="196" t="n"/>
      <c r="N198" s="196" t="n"/>
      <c r="O198" s="196" t="n"/>
      <c r="P198" s="196" t="n"/>
      <c r="Q198" s="196" t="n"/>
      <c r="R198" s="196" t="n"/>
      <c r="S198" s="196" t="n"/>
      <c r="T198" s="196" t="n"/>
      <c r="U198" s="196" t="n"/>
      <c r="V198" s="196" t="n"/>
      <c r="W198" s="196" t="n"/>
      <c r="X198" s="196" t="n"/>
      <c r="Y198" s="196" t="n"/>
      <c r="Z198" s="196" t="n"/>
      <c r="AA198" s="196" t="n"/>
      <c r="AB198" s="196" t="n"/>
      <c r="AC198" s="196" t="n"/>
      <c r="AD198" s="196" t="n"/>
      <c r="AE198" s="196" t="n"/>
      <c r="AF198" s="196" t="n"/>
      <c r="AG198" s="196" t="n"/>
      <c r="AH198" s="196" t="n"/>
      <c r="AI198" s="196" t="n"/>
      <c r="AJ198" s="196" t="n"/>
      <c r="AK198" s="196" t="n">
        <v>123575</v>
      </c>
      <c r="AL198" s="196" t="n"/>
      <c r="AM198" s="196" t="n"/>
      <c r="AN198" s="196" t="n"/>
      <c r="AO198" s="196" t="n">
        <v>159924</v>
      </c>
      <c r="AP198" s="196" t="n"/>
      <c r="AQ198" s="196" t="n"/>
      <c r="AR198" s="196" t="n"/>
      <c r="AS198" s="196" t="n">
        <v>152758</v>
      </c>
      <c r="AT198" s="196" t="n"/>
      <c r="AU198" s="196" t="n"/>
      <c r="AV198" s="196" t="n"/>
      <c r="AW198" s="196" t="n">
        <v>196077</v>
      </c>
      <c r="AX198" s="196" t="n"/>
      <c r="AY198" s="196" t="n"/>
      <c r="AZ198" s="196" t="n"/>
      <c r="BA198" s="196" t="n">
        <v>228823</v>
      </c>
      <c r="BB198" s="196" t="n"/>
      <c r="BC198" s="196" t="n"/>
      <c r="BD198" s="196" t="n"/>
      <c r="BE198" s="196" t="n">
        <v>226663</v>
      </c>
      <c r="BF198" s="196" t="n"/>
      <c r="BG198" s="196" t="n"/>
      <c r="BH198" s="196" t="n"/>
      <c r="BI198" s="196" t="n">
        <v>24849</v>
      </c>
      <c r="BJ198" s="196" t="n"/>
      <c r="BK198" s="196" t="n"/>
      <c r="BL198" s="196" t="n"/>
      <c r="BM198" s="196" t="n">
        <v>33849</v>
      </c>
      <c r="BN198" s="196" t="n"/>
      <c r="BO198" s="196" t="n"/>
      <c r="BP198" s="196" t="n"/>
      <c r="BQ198" s="196" t="n"/>
      <c r="BR198" s="196" t="n"/>
      <c r="BS198" s="196" t="n"/>
      <c r="BT198" s="196" t="n"/>
      <c r="BU198" s="196" t="n"/>
      <c r="BV198" s="196" t="n"/>
      <c r="BW198" s="196" t="n"/>
      <c r="BX198" s="196" t="n"/>
      <c r="BY198" s="196" t="n"/>
      <c r="BZ198" s="196" t="n"/>
      <c r="CA198" s="196" t="n"/>
      <c r="CB198" s="196" t="n"/>
      <c r="CC198" s="196" t="n"/>
      <c r="CD198" s="196" t="n"/>
      <c r="CE198" s="196" t="n"/>
      <c r="CF198" s="196" t="n"/>
      <c r="CG198" s="196" t="n"/>
      <c r="CH198" s="196" t="n"/>
      <c r="CI198" s="196" t="n"/>
      <c r="CJ198" s="196" t="n"/>
      <c r="CK198" s="196" t="n"/>
      <c r="CL198" s="196" t="n"/>
      <c r="CM198" s="196" t="n"/>
      <c r="CN198" s="196" t="n"/>
      <c r="CO198" s="196" t="n"/>
      <c r="CP198" s="196" t="n"/>
      <c r="CQ198" s="196" t="n"/>
      <c r="CR198" s="196" t="n"/>
      <c r="CS198" s="196" t="n"/>
      <c r="CT198" s="196" t="n"/>
      <c r="CU198" s="196" t="n"/>
      <c r="CV198" s="196" t="n"/>
      <c r="CW198" s="196" t="n"/>
      <c r="CX198" s="196" t="n"/>
      <c r="CY198" s="196" t="n"/>
      <c r="CZ198" s="196" t="n"/>
      <c r="DA198" s="196" t="n"/>
      <c r="DB198" s="196" t="n"/>
      <c r="DC198" s="196" t="n"/>
      <c r="DD198" s="196" t="n"/>
      <c r="DE198" s="196" t="n"/>
      <c r="DF198" s="196" t="n"/>
      <c r="DG198" s="196" t="n"/>
      <c r="DH198" s="196" t="n"/>
      <c r="DI198" s="196" t="n"/>
      <c r="DJ198" s="196" t="n"/>
      <c r="DK198" s="196" t="n"/>
      <c r="DL198" s="196" t="n"/>
      <c r="DM198" s="196" t="n"/>
      <c r="DN198" s="196" t="n"/>
      <c r="DO198" s="196" t="n"/>
      <c r="DP198" s="196" t="n"/>
      <c r="DQ198" s="196" t="n"/>
      <c r="DR198" s="196" t="n"/>
      <c r="DS198" s="196" t="n"/>
      <c r="DT198" s="196" t="n"/>
      <c r="DU198" s="196" t="n"/>
      <c r="DV198" s="196" t="n"/>
      <c r="DW198" s="196" t="n"/>
      <c r="DX198" s="196" t="n"/>
      <c r="DY198" s="196" t="n"/>
      <c r="DZ198" s="196" t="n"/>
      <c r="EA198" s="196" t="n"/>
      <c r="EB198" s="196" t="n"/>
      <c r="EC198" s="196" t="n"/>
      <c r="ED198" s="196" t="n"/>
      <c r="EE198" s="196" t="n"/>
      <c r="EF198" s="196" t="n"/>
      <c r="EG198" s="196" t="n"/>
      <c r="EH198" s="196" t="n"/>
      <c r="EI198" s="196" t="n"/>
      <c r="EJ198" s="196" t="n"/>
      <c r="EK198" s="196" t="n"/>
      <c r="EL198" s="182" t="n"/>
      <c r="EM198" s="176" t="n"/>
      <c r="EN198" s="176" t="n"/>
      <c r="EO198" s="176" t="n"/>
      <c r="EP198" s="176" t="n"/>
      <c r="EQ198" s="176" t="n"/>
      <c r="ER198" s="176" t="n"/>
      <c r="ES198" s="176" t="n"/>
      <c r="ET198" s="176" t="n"/>
      <c r="EU198" s="176" t="n"/>
      <c r="EV198" s="176" t="n"/>
      <c r="EW198" s="176" t="n"/>
      <c r="EX198" s="176" t="n"/>
      <c r="EY198" s="176" t="n"/>
      <c r="EZ198" s="176" t="n"/>
      <c r="FA198" s="176" t="n"/>
      <c r="FB198" s="176" t="n"/>
      <c r="FC198" s="176" t="n"/>
      <c r="FD198" s="176" t="n"/>
      <c r="FE198" s="176" t="n"/>
      <c r="FF198" s="176" t="n"/>
      <c r="FG198" s="176" t="n"/>
      <c r="FH198" s="176" t="n"/>
      <c r="FI198" s="176" t="n"/>
      <c r="FJ198" s="176" t="n"/>
    </row>
    <row r="199" ht="15" customHeight="1" s="392">
      <c r="A199" s="176" t="n"/>
      <c r="B199" s="180" t="n"/>
      <c r="C199" s="183" t="inlineStr">
        <is>
          <t xml:space="preserve">    Lease Liability</t>
        </is>
      </c>
      <c r="D199" s="185" t="n"/>
      <c r="E199" s="185" t="n"/>
      <c r="F199" s="185" t="n"/>
      <c r="G199" s="185" t="n"/>
      <c r="H199" s="185" t="n"/>
      <c r="I199" s="185" t="n"/>
      <c r="J199" s="185" t="n"/>
      <c r="K199" s="185" t="n"/>
      <c r="EL199" s="182" t="n"/>
      <c r="EM199" s="176" t="n"/>
      <c r="EN199" s="176" t="n"/>
      <c r="EO199" s="176" t="n"/>
      <c r="EP199" s="176" t="n"/>
      <c r="EQ199" s="176" t="n"/>
      <c r="ER199" s="176" t="n"/>
      <c r="ES199" s="176" t="n"/>
      <c r="ET199" s="176" t="n"/>
      <c r="EU199" s="176" t="n"/>
      <c r="EV199" s="176" t="n"/>
      <c r="EW199" s="176" t="n"/>
      <c r="EX199" s="176" t="n"/>
      <c r="EY199" s="176" t="n"/>
      <c r="EZ199" s="176" t="n"/>
      <c r="FA199" s="176" t="n"/>
      <c r="FB199" s="176" t="n"/>
      <c r="FC199" s="176" t="n"/>
      <c r="FD199" s="176" t="n"/>
      <c r="FE199" s="176" t="n"/>
      <c r="FF199" s="176" t="n"/>
      <c r="FG199" s="176" t="n"/>
      <c r="FH199" s="176" t="n"/>
      <c r="FI199" s="176" t="n"/>
      <c r="FJ199" s="176" t="n"/>
    </row>
    <row r="200" ht="15" customHeight="1" s="392">
      <c r="A200" s="176" t="n"/>
      <c r="B200" s="180" t="n"/>
      <c r="C200" s="183" t="inlineStr">
        <is>
          <t xml:space="preserve">        Total Lease Liability - Due in year 1</t>
        </is>
      </c>
      <c r="D200" s="190">
        <f>IF(COUNT(M200:EK200)&gt;0,MEDIAN(M200:EK200),"")</f>
        <v/>
      </c>
      <c r="E200" s="190">
        <f>IF(COUNT(M200:EK200)&gt;0,AVERAGE(M200:EK200),"")</f>
        <v/>
      </c>
      <c r="F200" s="190">
        <f>IF(COUNT(M200:EK200)&gt;0,MIN(M200:EK200),"")</f>
        <v/>
      </c>
      <c r="G200" s="190">
        <f>IF(COUNT(M200:EK200)&gt;0,MAX(M200:EK200),"")</f>
        <v/>
      </c>
      <c r="H200" s="190">
        <f>IF(COUNT(M200:EK200)&gt;0,QUARTILE(M200:EK200,1),"")</f>
        <v/>
      </c>
      <c r="I200" s="190">
        <f>IF(COUNT(M200:EK200)&gt;0,QUARTILE(M200:EK200,3),"")</f>
        <v/>
      </c>
      <c r="J200" s="190">
        <f>IF(COUNT(M200:EK200)&gt;1,STDEV(M200:EK200),"")</f>
        <v/>
      </c>
      <c r="K200" s="191">
        <f>IF(COUNT(M200:EK200)&gt;1,STDEV(M200:EK200)/AVERAGE(M200:EK200),"")</f>
        <v/>
      </c>
      <c r="M200" s="192" t="n"/>
      <c r="N200" s="192" t="n"/>
      <c r="O200" s="192" t="n"/>
      <c r="P200" s="192" t="n"/>
      <c r="Q200" s="192" t="n">
        <v>22542</v>
      </c>
      <c r="R200" s="192" t="n"/>
      <c r="S200" s="192" t="n"/>
      <c r="T200" s="192" t="n"/>
      <c r="U200" s="192" t="n">
        <v>24745</v>
      </c>
      <c r="V200" s="192" t="n"/>
      <c r="W200" s="192" t="n"/>
      <c r="X200" s="192" t="n"/>
      <c r="Y200" s="192" t="n">
        <v>24034</v>
      </c>
      <c r="Z200" s="192" t="n"/>
      <c r="AA200" s="192" t="n"/>
      <c r="AB200" s="192" t="n"/>
      <c r="AC200" s="192" t="n">
        <v>24674</v>
      </c>
      <c r="AD200" s="192" t="n"/>
      <c r="AE200" s="192" t="n"/>
      <c r="AF200" s="192" t="n"/>
      <c r="AG200" s="192" t="n">
        <v>25161</v>
      </c>
      <c r="AH200" s="192" t="n"/>
      <c r="AI200" s="192" t="n"/>
      <c r="AJ200" s="192" t="n"/>
      <c r="AK200" s="192" t="n">
        <v>27718</v>
      </c>
      <c r="AL200" s="192" t="n">
        <v>7573</v>
      </c>
      <c r="AM200" s="192" t="n">
        <v>13954</v>
      </c>
      <c r="AN200" s="192" t="n">
        <v>478</v>
      </c>
      <c r="AO200" s="192" t="n">
        <v>30158</v>
      </c>
      <c r="AP200" s="192" t="n"/>
      <c r="AQ200" s="192" t="n"/>
      <c r="AR200" s="192" t="n"/>
      <c r="AS200" s="192" t="n">
        <v>30739</v>
      </c>
      <c r="AT200" s="192" t="n"/>
      <c r="AU200" s="192" t="n"/>
      <c r="AV200" s="192" t="n"/>
      <c r="AW200" s="192" t="n">
        <v>29279</v>
      </c>
      <c r="AX200" s="192" t="n"/>
      <c r="AY200" s="192" t="n"/>
      <c r="AZ200" s="192" t="n"/>
      <c r="BA200" s="192" t="n">
        <v>24341</v>
      </c>
      <c r="BB200" s="192" t="n"/>
      <c r="BC200" s="192" t="n"/>
      <c r="BD200" s="192" t="n"/>
      <c r="BE200" s="192" t="n">
        <v>23623</v>
      </c>
      <c r="BF200" s="192" t="n"/>
      <c r="BG200" s="192" t="n"/>
      <c r="BH200" s="192" t="n"/>
      <c r="BI200" s="192" t="n">
        <v>24764</v>
      </c>
      <c r="BJ200" s="192" t="n"/>
      <c r="BK200" s="192" t="n"/>
      <c r="BL200" s="192" t="n"/>
      <c r="BM200" s="192" t="n">
        <v>23391</v>
      </c>
      <c r="BN200" s="192" t="n"/>
      <c r="BO200" s="192" t="n"/>
      <c r="BP200" s="192" t="n"/>
      <c r="BQ200" s="192" t="n">
        <v>198</v>
      </c>
      <c r="BR200" s="192" t="n"/>
      <c r="BS200" s="192" t="n"/>
      <c r="BT200" s="192" t="n"/>
      <c r="BU200" s="192" t="n"/>
      <c r="BV200" s="192" t="n"/>
      <c r="BW200" s="192" t="n"/>
      <c r="BX200" s="192" t="n"/>
      <c r="BY200" s="192" t="n"/>
      <c r="BZ200" s="192" t="n"/>
      <c r="CA200" s="192" t="n"/>
      <c r="CB200" s="192" t="n"/>
      <c r="CC200" s="192" t="n"/>
      <c r="CD200" s="192" t="n"/>
      <c r="CE200" s="192" t="n"/>
      <c r="CF200" s="192" t="n"/>
      <c r="CG200" s="192" t="n"/>
      <c r="CH200" s="192" t="n"/>
      <c r="CI200" s="192" t="n"/>
      <c r="CJ200" s="192" t="n"/>
      <c r="CK200" s="192" t="n"/>
      <c r="CL200" s="192" t="n"/>
      <c r="CM200" s="192" t="n"/>
      <c r="CN200" s="192" t="n"/>
      <c r="CO200" s="192" t="n"/>
      <c r="CP200" s="192" t="n"/>
      <c r="CQ200" s="192" t="n"/>
      <c r="CR200" s="192" t="n"/>
      <c r="CS200" s="192" t="n"/>
      <c r="CT200" s="192" t="n"/>
      <c r="CU200" s="192" t="n"/>
      <c r="CV200" s="192" t="n"/>
      <c r="CW200" s="192" t="n"/>
      <c r="CX200" s="192" t="n"/>
      <c r="CY200" s="192" t="n"/>
      <c r="CZ200" s="192" t="n"/>
      <c r="DA200" s="192" t="n"/>
      <c r="DB200" s="192" t="n"/>
      <c r="DC200" s="192" t="n"/>
      <c r="DD200" s="192" t="n"/>
      <c r="DE200" s="192" t="n"/>
      <c r="DF200" s="192" t="n"/>
      <c r="DG200" s="192" t="n"/>
      <c r="DH200" s="192" t="n"/>
      <c r="DI200" s="192" t="n"/>
      <c r="DJ200" s="192" t="n"/>
      <c r="DK200" s="192" t="n"/>
      <c r="DL200" s="192" t="n"/>
      <c r="DM200" s="192" t="n"/>
      <c r="DN200" s="192" t="n"/>
      <c r="DO200" s="192" t="n"/>
      <c r="DP200" s="192" t="n"/>
      <c r="DQ200" s="192" t="n"/>
      <c r="DR200" s="192" t="n"/>
      <c r="DS200" s="192" t="n"/>
      <c r="DT200" s="192" t="n"/>
      <c r="DU200" s="192" t="n"/>
      <c r="DV200" s="192" t="n"/>
      <c r="DW200" s="192" t="n"/>
      <c r="DX200" s="192" t="n"/>
      <c r="DY200" s="192" t="n"/>
      <c r="DZ200" s="192" t="n"/>
      <c r="EA200" s="192" t="n"/>
      <c r="EB200" s="192" t="n"/>
      <c r="EC200" s="192" t="n"/>
      <c r="ED200" s="192" t="n"/>
      <c r="EE200" s="192" t="n"/>
      <c r="EF200" s="192" t="n"/>
      <c r="EG200" s="192" t="n"/>
      <c r="EH200" s="192" t="n"/>
      <c r="EI200" s="192" t="n"/>
      <c r="EJ200" s="192" t="n"/>
      <c r="EK200" s="192" t="n"/>
      <c r="EL200" s="182" t="n"/>
      <c r="EM200" s="176" t="n"/>
      <c r="EN200" s="176" t="n"/>
      <c r="EO200" s="176" t="n"/>
      <c r="EP200" s="176" t="n"/>
      <c r="EQ200" s="176" t="n"/>
      <c r="ER200" s="176" t="n"/>
      <c r="ES200" s="176" t="n"/>
      <c r="ET200" s="176" t="n"/>
      <c r="EU200" s="176" t="n"/>
      <c r="EV200" s="176" t="n"/>
      <c r="EW200" s="176" t="n"/>
      <c r="EX200" s="176" t="n"/>
      <c r="EY200" s="176" t="n"/>
      <c r="EZ200" s="176" t="n"/>
      <c r="FA200" s="176" t="n"/>
      <c r="FB200" s="176" t="n"/>
      <c r="FC200" s="176" t="n"/>
      <c r="FD200" s="176" t="n"/>
      <c r="FE200" s="176" t="n"/>
      <c r="FF200" s="176" t="n"/>
      <c r="FG200" s="176" t="n"/>
      <c r="FH200" s="176" t="n"/>
      <c r="FI200" s="176" t="n"/>
      <c r="FJ200" s="176" t="n"/>
    </row>
    <row r="201" ht="15" customHeight="1" s="392">
      <c r="A201" s="176" t="n"/>
      <c r="B201" s="180" t="n"/>
      <c r="C201" s="183" t="inlineStr">
        <is>
          <t xml:space="preserve">        Total Lease Liability - Due in year 2</t>
        </is>
      </c>
      <c r="D201" s="190">
        <f>IF(COUNT(M201:EK201)&gt;0,MEDIAN(M201:EK201),"")</f>
        <v/>
      </c>
      <c r="E201" s="190">
        <f>IF(COUNT(M201:EK201)&gt;0,AVERAGE(M201:EK201),"")</f>
        <v/>
      </c>
      <c r="F201" s="190">
        <f>IF(COUNT(M201:EK201)&gt;0,MIN(M201:EK201),"")</f>
        <v/>
      </c>
      <c r="G201" s="190">
        <f>IF(COUNT(M201:EK201)&gt;0,MAX(M201:EK201),"")</f>
        <v/>
      </c>
      <c r="H201" s="190">
        <f>IF(COUNT(M201:EK201)&gt;0,QUARTILE(M201:EK201,1),"")</f>
        <v/>
      </c>
      <c r="I201" s="190">
        <f>IF(COUNT(M201:EK201)&gt;0,QUARTILE(M201:EK201,3),"")</f>
        <v/>
      </c>
      <c r="J201" s="190">
        <f>IF(COUNT(M201:EK201)&gt;1,STDEV(M201:EK201),"")</f>
        <v/>
      </c>
      <c r="K201" s="191">
        <f>IF(COUNT(M201:EK201)&gt;1,STDEV(M201:EK201)/AVERAGE(M201:EK201),"")</f>
        <v/>
      </c>
      <c r="M201" s="192" t="n"/>
      <c r="N201" s="192" t="n"/>
      <c r="O201" s="192" t="n"/>
      <c r="P201" s="192" t="n"/>
      <c r="Q201" s="192" t="n">
        <v>18239</v>
      </c>
      <c r="R201" s="192" t="n"/>
      <c r="S201" s="192" t="n"/>
      <c r="T201" s="192" t="n"/>
      <c r="U201" s="192" t="n">
        <v>20978</v>
      </c>
      <c r="V201" s="192" t="n"/>
      <c r="W201" s="192" t="n"/>
      <c r="X201" s="192" t="n"/>
      <c r="Y201" s="192" t="n">
        <v>20746</v>
      </c>
      <c r="Z201" s="192" t="n"/>
      <c r="AA201" s="192" t="n"/>
      <c r="AB201" s="192" t="n"/>
      <c r="AC201" s="192" t="n">
        <v>20132</v>
      </c>
      <c r="AD201" s="192" t="n"/>
      <c r="AE201" s="192" t="n"/>
      <c r="AF201" s="192" t="n"/>
      <c r="AG201" s="192" t="n">
        <v>20842</v>
      </c>
      <c r="AH201" s="192" t="n"/>
      <c r="AI201" s="192" t="n"/>
      <c r="AJ201" s="192" t="n"/>
      <c r="AK201" s="192" t="n">
        <v>22619</v>
      </c>
      <c r="AL201" s="192" t="n">
        <v>28124</v>
      </c>
      <c r="AM201" s="192" t="n">
        <v>23425</v>
      </c>
      <c r="AN201" s="192" t="n">
        <v>619</v>
      </c>
      <c r="AO201" s="192" t="n">
        <v>25177</v>
      </c>
      <c r="AP201" s="192" t="n"/>
      <c r="AQ201" s="192" t="n"/>
      <c r="AR201" s="192" t="n"/>
      <c r="AS201" s="192" t="n">
        <v>22501</v>
      </c>
      <c r="AT201" s="192" t="n"/>
      <c r="AU201" s="192" t="n"/>
      <c r="AV201" s="192" t="n"/>
      <c r="AW201" s="192" t="n">
        <v>24330</v>
      </c>
      <c r="AX201" s="192" t="n"/>
      <c r="AY201" s="192" t="n"/>
      <c r="AZ201" s="192" t="n"/>
      <c r="BA201" s="192" t="n">
        <v>21247</v>
      </c>
      <c r="BB201" s="192" t="n"/>
      <c r="BC201" s="192" t="n"/>
      <c r="BD201" s="192" t="n"/>
      <c r="BE201" s="192" t="n">
        <v>19771</v>
      </c>
      <c r="BF201" s="192" t="n"/>
      <c r="BG201" s="192" t="n"/>
      <c r="BH201" s="192" t="n"/>
      <c r="BI201" s="192" t="n">
        <v>22030</v>
      </c>
      <c r="BJ201" s="192" t="n"/>
      <c r="BK201" s="192" t="n"/>
      <c r="BL201" s="192" t="n"/>
      <c r="BM201" s="192" t="n">
        <v>18555</v>
      </c>
      <c r="BN201" s="192" t="n"/>
      <c r="BO201" s="192" t="n"/>
      <c r="BP201" s="192" t="n"/>
      <c r="BQ201" s="192" t="n">
        <v>126</v>
      </c>
      <c r="BR201" s="192" t="n"/>
      <c r="BS201" s="192" t="n"/>
      <c r="BT201" s="192" t="n"/>
      <c r="BU201" s="192" t="n"/>
      <c r="BV201" s="192" t="n"/>
      <c r="BW201" s="192" t="n"/>
      <c r="BX201" s="192" t="n"/>
      <c r="BY201" s="192" t="n"/>
      <c r="BZ201" s="192" t="n"/>
      <c r="CA201" s="192" t="n"/>
      <c r="CB201" s="192" t="n"/>
      <c r="CC201" s="192" t="n"/>
      <c r="CD201" s="192" t="n"/>
      <c r="CE201" s="192" t="n"/>
      <c r="CF201" s="192" t="n"/>
      <c r="CG201" s="192" t="n"/>
      <c r="CH201" s="192" t="n"/>
      <c r="CI201" s="192" t="n"/>
      <c r="CJ201" s="192" t="n"/>
      <c r="CK201" s="192" t="n"/>
      <c r="CL201" s="192" t="n"/>
      <c r="CM201" s="192" t="n"/>
      <c r="CN201" s="192" t="n"/>
      <c r="CO201" s="192" t="n"/>
      <c r="CP201" s="192" t="n"/>
      <c r="CQ201" s="192" t="n"/>
      <c r="CR201" s="192" t="n"/>
      <c r="CS201" s="192" t="n"/>
      <c r="CT201" s="192" t="n"/>
      <c r="CU201" s="192" t="n"/>
      <c r="CV201" s="192" t="n"/>
      <c r="CW201" s="192" t="n"/>
      <c r="CX201" s="192" t="n"/>
      <c r="CY201" s="192" t="n"/>
      <c r="CZ201" s="192" t="n"/>
      <c r="DA201" s="192" t="n"/>
      <c r="DB201" s="192" t="n"/>
      <c r="DC201" s="192" t="n"/>
      <c r="DD201" s="192" t="n"/>
      <c r="DE201" s="192" t="n"/>
      <c r="DF201" s="192" t="n"/>
      <c r="DG201" s="192" t="n"/>
      <c r="DH201" s="192" t="n"/>
      <c r="DI201" s="192" t="n"/>
      <c r="DJ201" s="192" t="n"/>
      <c r="DK201" s="192" t="n"/>
      <c r="DL201" s="192" t="n"/>
      <c r="DM201" s="192" t="n"/>
      <c r="DN201" s="192" t="n"/>
      <c r="DO201" s="192" t="n"/>
      <c r="DP201" s="192" t="n"/>
      <c r="DQ201" s="192" t="n"/>
      <c r="DR201" s="192" t="n"/>
      <c r="DS201" s="192" t="n"/>
      <c r="DT201" s="192" t="n"/>
      <c r="DU201" s="192" t="n"/>
      <c r="DV201" s="192" t="n"/>
      <c r="DW201" s="192" t="n"/>
      <c r="DX201" s="192" t="n"/>
      <c r="DY201" s="192" t="n"/>
      <c r="DZ201" s="192" t="n"/>
      <c r="EA201" s="192" t="n"/>
      <c r="EB201" s="192" t="n"/>
      <c r="EC201" s="192" t="n"/>
      <c r="ED201" s="192" t="n"/>
      <c r="EE201" s="192" t="n"/>
      <c r="EF201" s="192" t="n"/>
      <c r="EG201" s="192" t="n"/>
      <c r="EH201" s="192" t="n"/>
      <c r="EI201" s="192" t="n"/>
      <c r="EJ201" s="192" t="n"/>
      <c r="EK201" s="192" t="n"/>
      <c r="EL201" s="182" t="n"/>
      <c r="EM201" s="176" t="n"/>
      <c r="EN201" s="176" t="n"/>
      <c r="EO201" s="176" t="n"/>
      <c r="EP201" s="176" t="n"/>
      <c r="EQ201" s="176" t="n"/>
      <c r="ER201" s="176" t="n"/>
      <c r="ES201" s="176" t="n"/>
      <c r="ET201" s="176" t="n"/>
      <c r="EU201" s="176" t="n"/>
      <c r="EV201" s="176" t="n"/>
      <c r="EW201" s="176" t="n"/>
      <c r="EX201" s="176" t="n"/>
      <c r="EY201" s="176" t="n"/>
      <c r="EZ201" s="176" t="n"/>
      <c r="FA201" s="176" t="n"/>
      <c r="FB201" s="176" t="n"/>
      <c r="FC201" s="176" t="n"/>
      <c r="FD201" s="176" t="n"/>
      <c r="FE201" s="176" t="n"/>
      <c r="FF201" s="176" t="n"/>
      <c r="FG201" s="176" t="n"/>
      <c r="FH201" s="176" t="n"/>
      <c r="FI201" s="176" t="n"/>
      <c r="FJ201" s="176" t="n"/>
    </row>
    <row r="202" ht="15" customHeight="1" s="392">
      <c r="A202" s="176" t="n"/>
      <c r="B202" s="180" t="n"/>
      <c r="C202" s="183" t="inlineStr">
        <is>
          <t xml:space="preserve">        Total Lease Liability - Due in year 3</t>
        </is>
      </c>
      <c r="D202" s="190">
        <f>IF(COUNT(M202:EK202)&gt;0,MEDIAN(M202:EK202),"")</f>
        <v/>
      </c>
      <c r="E202" s="190">
        <f>IF(COUNT(M202:EK202)&gt;0,AVERAGE(M202:EK202),"")</f>
        <v/>
      </c>
      <c r="F202" s="190">
        <f>IF(COUNT(M202:EK202)&gt;0,MIN(M202:EK202),"")</f>
        <v/>
      </c>
      <c r="G202" s="190">
        <f>IF(COUNT(M202:EK202)&gt;0,MAX(M202:EK202),"")</f>
        <v/>
      </c>
      <c r="H202" s="190">
        <f>IF(COUNT(M202:EK202)&gt;0,QUARTILE(M202:EK202,1),"")</f>
        <v/>
      </c>
      <c r="I202" s="190">
        <f>IF(COUNT(M202:EK202)&gt;0,QUARTILE(M202:EK202,3),"")</f>
        <v/>
      </c>
      <c r="J202" s="190">
        <f>IF(COUNT(M202:EK202)&gt;1,STDEV(M202:EK202),"")</f>
        <v/>
      </c>
      <c r="K202" s="191">
        <f>IF(COUNT(M202:EK202)&gt;1,STDEV(M202:EK202)/AVERAGE(M202:EK202),"")</f>
        <v/>
      </c>
      <c r="M202" s="192" t="n"/>
      <c r="N202" s="192" t="n"/>
      <c r="O202" s="192" t="n"/>
      <c r="P202" s="192" t="n"/>
      <c r="Q202" s="192" t="n">
        <v>16760</v>
      </c>
      <c r="R202" s="192" t="n"/>
      <c r="S202" s="192" t="n"/>
      <c r="T202" s="192" t="n"/>
      <c r="U202" s="192" t="n">
        <v>17028</v>
      </c>
      <c r="V202" s="192" t="n"/>
      <c r="W202" s="192" t="n"/>
      <c r="X202" s="192" t="n"/>
      <c r="Y202" s="192" t="n">
        <v>16795</v>
      </c>
      <c r="Z202" s="192" t="n"/>
      <c r="AA202" s="192" t="n"/>
      <c r="AB202" s="192" t="n"/>
      <c r="AC202" s="192" t="n">
        <v>17683</v>
      </c>
      <c r="AD202" s="192" t="n"/>
      <c r="AE202" s="192" t="n"/>
      <c r="AF202" s="192" t="n"/>
      <c r="AG202" s="192" t="n">
        <v>16018</v>
      </c>
      <c r="AH202" s="192" t="n"/>
      <c r="AI202" s="192" t="n"/>
      <c r="AJ202" s="192" t="n"/>
      <c r="AK202" s="192" t="n">
        <v>19355</v>
      </c>
      <c r="AL202" s="192" t="n">
        <v>21012</v>
      </c>
      <c r="AM202" s="192" t="n">
        <v>18396</v>
      </c>
      <c r="AN202" s="192" t="n">
        <v>505</v>
      </c>
      <c r="AO202" s="192" t="n">
        <v>20211</v>
      </c>
      <c r="AP202" s="192" t="n"/>
      <c r="AQ202" s="192" t="n"/>
      <c r="AR202" s="192" t="n"/>
      <c r="AS202" s="192" t="n">
        <v>18528</v>
      </c>
      <c r="AT202" s="192" t="n"/>
      <c r="AU202" s="192" t="n"/>
      <c r="AV202" s="192" t="n"/>
      <c r="AW202" s="192" t="n">
        <v>17315</v>
      </c>
      <c r="AX202" s="192" t="n"/>
      <c r="AY202" s="192" t="n"/>
      <c r="AZ202" s="192" t="n"/>
      <c r="BA202" s="192" t="n">
        <v>17088</v>
      </c>
      <c r="BB202" s="192" t="n"/>
      <c r="BC202" s="192" t="n"/>
      <c r="BD202" s="192" t="n"/>
      <c r="BE202" s="192" t="n">
        <v>17434</v>
      </c>
      <c r="BF202" s="192" t="n"/>
      <c r="BG202" s="192" t="n"/>
      <c r="BH202" s="192" t="n"/>
      <c r="BI202" s="192" t="n">
        <v>18371</v>
      </c>
      <c r="BJ202" s="192" t="n"/>
      <c r="BK202" s="192" t="n"/>
      <c r="BL202" s="192" t="n"/>
      <c r="BM202" s="192" t="n">
        <v>15349</v>
      </c>
      <c r="BN202" s="192" t="n"/>
      <c r="BO202" s="192" t="n"/>
      <c r="BP202" s="192" t="n"/>
      <c r="BQ202" s="192" t="n"/>
      <c r="BR202" s="192" t="n"/>
      <c r="BS202" s="192" t="n"/>
      <c r="BT202" s="192" t="n"/>
      <c r="BU202" s="192" t="n"/>
      <c r="BV202" s="192" t="n"/>
      <c r="BW202" s="192" t="n"/>
      <c r="BX202" s="192" t="n"/>
      <c r="BY202" s="192" t="n"/>
      <c r="BZ202" s="192" t="n"/>
      <c r="CA202" s="192" t="n"/>
      <c r="CB202" s="192" t="n"/>
      <c r="CC202" s="192" t="n"/>
      <c r="CD202" s="192" t="n"/>
      <c r="CE202" s="192" t="n"/>
      <c r="CF202" s="192" t="n"/>
      <c r="CG202" s="192" t="n"/>
      <c r="CH202" s="192" t="n"/>
      <c r="CI202" s="192" t="n"/>
      <c r="CJ202" s="192" t="n"/>
      <c r="CK202" s="192" t="n"/>
      <c r="CL202" s="192" t="n"/>
      <c r="CM202" s="192" t="n"/>
      <c r="CN202" s="192" t="n"/>
      <c r="CO202" s="192" t="n"/>
      <c r="CP202" s="192" t="n"/>
      <c r="CQ202" s="192" t="n"/>
      <c r="CR202" s="192" t="n"/>
      <c r="CS202" s="192" t="n"/>
      <c r="CT202" s="192" t="n"/>
      <c r="CU202" s="192" t="n"/>
      <c r="CV202" s="192" t="n"/>
      <c r="CW202" s="192" t="n"/>
      <c r="CX202" s="192" t="n"/>
      <c r="CY202" s="192" t="n"/>
      <c r="CZ202" s="192" t="n"/>
      <c r="DA202" s="192" t="n"/>
      <c r="DB202" s="192" t="n"/>
      <c r="DC202" s="192" t="n"/>
      <c r="DD202" s="192" t="n"/>
      <c r="DE202" s="192" t="n"/>
      <c r="DF202" s="192" t="n"/>
      <c r="DG202" s="192" t="n"/>
      <c r="DH202" s="192" t="n"/>
      <c r="DI202" s="192" t="n"/>
      <c r="DJ202" s="192" t="n"/>
      <c r="DK202" s="192" t="n"/>
      <c r="DL202" s="192" t="n"/>
      <c r="DM202" s="192" t="n"/>
      <c r="DN202" s="192" t="n"/>
      <c r="DO202" s="192" t="n"/>
      <c r="DP202" s="192" t="n"/>
      <c r="DQ202" s="192" t="n"/>
      <c r="DR202" s="192" t="n"/>
      <c r="DS202" s="192" t="n"/>
      <c r="DT202" s="192" t="n"/>
      <c r="DU202" s="192" t="n"/>
      <c r="DV202" s="192" t="n"/>
      <c r="DW202" s="192" t="n"/>
      <c r="DX202" s="192" t="n"/>
      <c r="DY202" s="192" t="n"/>
      <c r="DZ202" s="192" t="n"/>
      <c r="EA202" s="192" t="n"/>
      <c r="EB202" s="192" t="n"/>
      <c r="EC202" s="192" t="n"/>
      <c r="ED202" s="192" t="n"/>
      <c r="EE202" s="192" t="n"/>
      <c r="EF202" s="192" t="n"/>
      <c r="EG202" s="192" t="n"/>
      <c r="EH202" s="192" t="n"/>
      <c r="EI202" s="192" t="n"/>
      <c r="EJ202" s="192" t="n"/>
      <c r="EK202" s="192" t="n"/>
      <c r="EL202" s="182" t="n"/>
      <c r="EM202" s="176" t="n"/>
      <c r="EN202" s="176" t="n"/>
      <c r="EO202" s="176" t="n"/>
      <c r="EP202" s="176" t="n"/>
      <c r="EQ202" s="176" t="n"/>
      <c r="ER202" s="176" t="n"/>
      <c r="ES202" s="176" t="n"/>
      <c r="ET202" s="176" t="n"/>
      <c r="EU202" s="176" t="n"/>
      <c r="EV202" s="176" t="n"/>
      <c r="EW202" s="176" t="n"/>
      <c r="EX202" s="176" t="n"/>
      <c r="EY202" s="176" t="n"/>
      <c r="EZ202" s="176" t="n"/>
      <c r="FA202" s="176" t="n"/>
      <c r="FB202" s="176" t="n"/>
      <c r="FC202" s="176" t="n"/>
      <c r="FD202" s="176" t="n"/>
      <c r="FE202" s="176" t="n"/>
      <c r="FF202" s="176" t="n"/>
      <c r="FG202" s="176" t="n"/>
      <c r="FH202" s="176" t="n"/>
      <c r="FI202" s="176" t="n"/>
      <c r="FJ202" s="176" t="n"/>
    </row>
    <row r="203" ht="15" customHeight="1" s="392">
      <c r="A203" s="176" t="n"/>
      <c r="B203" s="180" t="n"/>
      <c r="C203" s="183" t="inlineStr">
        <is>
          <t xml:space="preserve">        Total Lease Liability - Due in year 4</t>
        </is>
      </c>
      <c r="D203" s="190">
        <f>IF(COUNT(M203:EK203)&gt;0,MEDIAN(M203:EK203),"")</f>
        <v/>
      </c>
      <c r="E203" s="190">
        <f>IF(COUNT(M203:EK203)&gt;0,AVERAGE(M203:EK203),"")</f>
        <v/>
      </c>
      <c r="F203" s="190">
        <f>IF(COUNT(M203:EK203)&gt;0,MIN(M203:EK203),"")</f>
        <v/>
      </c>
      <c r="G203" s="190">
        <f>IF(COUNT(M203:EK203)&gt;0,MAX(M203:EK203),"")</f>
        <v/>
      </c>
      <c r="H203" s="190">
        <f>IF(COUNT(M203:EK203)&gt;0,QUARTILE(M203:EK203,1),"")</f>
        <v/>
      </c>
      <c r="I203" s="190">
        <f>IF(COUNT(M203:EK203)&gt;0,QUARTILE(M203:EK203,3),"")</f>
        <v/>
      </c>
      <c r="J203" s="190">
        <f>IF(COUNT(M203:EK203)&gt;1,STDEV(M203:EK203),"")</f>
        <v/>
      </c>
      <c r="K203" s="191">
        <f>IF(COUNT(M203:EK203)&gt;1,STDEV(M203:EK203)/AVERAGE(M203:EK203),"")</f>
        <v/>
      </c>
      <c r="M203" s="192" t="n"/>
      <c r="N203" s="192" t="n"/>
      <c r="O203" s="192" t="n"/>
      <c r="P203" s="192" t="n"/>
      <c r="Q203" s="192" t="n">
        <v>14091</v>
      </c>
      <c r="R203" s="192" t="n"/>
      <c r="S203" s="192" t="n"/>
      <c r="T203" s="192" t="n"/>
      <c r="U203" s="192" t="n">
        <v>15513</v>
      </c>
      <c r="V203" s="192" t="n"/>
      <c r="W203" s="192" t="n"/>
      <c r="X203" s="192" t="n"/>
      <c r="Y203" s="192" t="n">
        <v>12488</v>
      </c>
      <c r="Z203" s="192" t="n"/>
      <c r="AA203" s="192" t="n"/>
      <c r="AB203" s="192" t="n"/>
      <c r="AC203" s="192" t="n">
        <v>14403</v>
      </c>
      <c r="AD203" s="192" t="n"/>
      <c r="AE203" s="192" t="n"/>
      <c r="AF203" s="192" t="n"/>
      <c r="AG203" s="192" t="n">
        <v>13833</v>
      </c>
      <c r="AH203" s="192" t="n"/>
      <c r="AI203" s="192" t="n"/>
      <c r="AJ203" s="192" t="n"/>
      <c r="AK203" s="192" t="n">
        <v>14980</v>
      </c>
      <c r="AL203" s="192" t="n">
        <v>17494</v>
      </c>
      <c r="AM203" s="192" t="n">
        <v>14892</v>
      </c>
      <c r="AN203" s="192" t="n"/>
      <c r="AO203" s="192" t="n">
        <v>17794</v>
      </c>
      <c r="AP203" s="192" t="n"/>
      <c r="AQ203" s="192" t="n"/>
      <c r="AR203" s="192" t="n"/>
      <c r="AS203" s="192" t="n">
        <v>13782</v>
      </c>
      <c r="AT203" s="192" t="n"/>
      <c r="AU203" s="192" t="n"/>
      <c r="AV203" s="192" t="n"/>
      <c r="AW203" s="192" t="n">
        <v>14422</v>
      </c>
      <c r="AX203" s="192" t="n"/>
      <c r="AY203" s="192" t="n"/>
      <c r="AZ203" s="192" t="n"/>
      <c r="BA203" s="192" t="n">
        <v>12777</v>
      </c>
      <c r="BB203" s="192" t="n"/>
      <c r="BC203" s="192" t="n"/>
      <c r="BD203" s="192" t="n"/>
      <c r="BE203" s="192" t="n">
        <v>14113</v>
      </c>
      <c r="BF203" s="192" t="n"/>
      <c r="BG203" s="192" t="n"/>
      <c r="BH203" s="192" t="n"/>
      <c r="BI203" s="192" t="n">
        <v>16053</v>
      </c>
      <c r="BJ203" s="192" t="n"/>
      <c r="BK203" s="192" t="n"/>
      <c r="BL203" s="192" t="n"/>
      <c r="BM203" s="192" t="n">
        <v>13953</v>
      </c>
      <c r="BN203" s="192" t="n"/>
      <c r="BO203" s="192" t="n"/>
      <c r="BP203" s="192" t="n"/>
      <c r="BQ203" s="192" t="n"/>
      <c r="BR203" s="192" t="n"/>
      <c r="BS203" s="192" t="n"/>
      <c r="BT203" s="192" t="n"/>
      <c r="BU203" s="192" t="n"/>
      <c r="BV203" s="192" t="n"/>
      <c r="BW203" s="192" t="n"/>
      <c r="BX203" s="192" t="n"/>
      <c r="BY203" s="192" t="n"/>
      <c r="BZ203" s="192" t="n"/>
      <c r="CA203" s="192" t="n"/>
      <c r="CB203" s="192" t="n"/>
      <c r="CC203" s="192" t="n"/>
      <c r="CD203" s="192" t="n"/>
      <c r="CE203" s="192" t="n"/>
      <c r="CF203" s="192" t="n"/>
      <c r="CG203" s="192" t="n"/>
      <c r="CH203" s="192" t="n"/>
      <c r="CI203" s="192" t="n"/>
      <c r="CJ203" s="192" t="n"/>
      <c r="CK203" s="192" t="n"/>
      <c r="CL203" s="192" t="n"/>
      <c r="CM203" s="192" t="n"/>
      <c r="CN203" s="192" t="n"/>
      <c r="CO203" s="192" t="n"/>
      <c r="CP203" s="192" t="n"/>
      <c r="CQ203" s="192" t="n"/>
      <c r="CR203" s="192" t="n"/>
      <c r="CS203" s="192" t="n"/>
      <c r="CT203" s="192" t="n"/>
      <c r="CU203" s="192" t="n"/>
      <c r="CV203" s="192" t="n"/>
      <c r="CW203" s="192" t="n"/>
      <c r="CX203" s="192" t="n"/>
      <c r="CY203" s="192" t="n"/>
      <c r="CZ203" s="192" t="n"/>
      <c r="DA203" s="192" t="n"/>
      <c r="DB203" s="192" t="n"/>
      <c r="DC203" s="192" t="n"/>
      <c r="DD203" s="192" t="n"/>
      <c r="DE203" s="192" t="n"/>
      <c r="DF203" s="192" t="n"/>
      <c r="DG203" s="192" t="n"/>
      <c r="DH203" s="192" t="n"/>
      <c r="DI203" s="192" t="n"/>
      <c r="DJ203" s="192" t="n"/>
      <c r="DK203" s="192" t="n"/>
      <c r="DL203" s="192" t="n"/>
      <c r="DM203" s="192" t="n"/>
      <c r="DN203" s="192" t="n"/>
      <c r="DO203" s="192" t="n"/>
      <c r="DP203" s="192" t="n"/>
      <c r="DQ203" s="192" t="n"/>
      <c r="DR203" s="192" t="n"/>
      <c r="DS203" s="192" t="n"/>
      <c r="DT203" s="192" t="n"/>
      <c r="DU203" s="192" t="n"/>
      <c r="DV203" s="192" t="n"/>
      <c r="DW203" s="192" t="n"/>
      <c r="DX203" s="192" t="n"/>
      <c r="DY203" s="192" t="n"/>
      <c r="DZ203" s="192" t="n"/>
      <c r="EA203" s="192" t="n"/>
      <c r="EB203" s="192" t="n"/>
      <c r="EC203" s="192" t="n"/>
      <c r="ED203" s="192" t="n"/>
      <c r="EE203" s="192" t="n"/>
      <c r="EF203" s="192" t="n"/>
      <c r="EG203" s="192" t="n"/>
      <c r="EH203" s="192" t="n"/>
      <c r="EI203" s="192" t="n"/>
      <c r="EJ203" s="192" t="n"/>
      <c r="EK203" s="192" t="n"/>
      <c r="EL203" s="182" t="n"/>
      <c r="EM203" s="176" t="n"/>
      <c r="EN203" s="176" t="n"/>
      <c r="EO203" s="176" t="n"/>
      <c r="EP203" s="176" t="n"/>
      <c r="EQ203" s="176" t="n"/>
      <c r="ER203" s="176" t="n"/>
      <c r="ES203" s="176" t="n"/>
      <c r="ET203" s="176" t="n"/>
      <c r="EU203" s="176" t="n"/>
      <c r="EV203" s="176" t="n"/>
      <c r="EW203" s="176" t="n"/>
      <c r="EX203" s="176" t="n"/>
      <c r="EY203" s="176" t="n"/>
      <c r="EZ203" s="176" t="n"/>
      <c r="FA203" s="176" t="n"/>
      <c r="FB203" s="176" t="n"/>
      <c r="FC203" s="176" t="n"/>
      <c r="FD203" s="176" t="n"/>
      <c r="FE203" s="176" t="n"/>
      <c r="FF203" s="176" t="n"/>
      <c r="FG203" s="176" t="n"/>
      <c r="FH203" s="176" t="n"/>
      <c r="FI203" s="176" t="n"/>
      <c r="FJ203" s="176" t="n"/>
    </row>
    <row r="204" ht="15" customHeight="1" s="392">
      <c r="A204" s="176" t="n"/>
      <c r="B204" s="180" t="n"/>
      <c r="C204" s="183" t="inlineStr">
        <is>
          <t xml:space="preserve">        Total Lease Liability - Due in year 5</t>
        </is>
      </c>
      <c r="D204" s="190">
        <f>IF(COUNT(M204:EK204)&gt;0,MEDIAN(M204:EK204),"")</f>
        <v/>
      </c>
      <c r="E204" s="190">
        <f>IF(COUNT(M204:EK204)&gt;0,AVERAGE(M204:EK204),"")</f>
        <v/>
      </c>
      <c r="F204" s="190">
        <f>IF(COUNT(M204:EK204)&gt;0,MIN(M204:EK204),"")</f>
        <v/>
      </c>
      <c r="G204" s="190">
        <f>IF(COUNT(M204:EK204)&gt;0,MAX(M204:EK204),"")</f>
        <v/>
      </c>
      <c r="H204" s="190">
        <f>IF(COUNT(M204:EK204)&gt;0,QUARTILE(M204:EK204,1),"")</f>
        <v/>
      </c>
      <c r="I204" s="190">
        <f>IF(COUNT(M204:EK204)&gt;0,QUARTILE(M204:EK204,3),"")</f>
        <v/>
      </c>
      <c r="J204" s="190">
        <f>IF(COUNT(M204:EK204)&gt;1,STDEV(M204:EK204),"")</f>
        <v/>
      </c>
      <c r="K204" s="191">
        <f>IF(COUNT(M204:EK204)&gt;1,STDEV(M204:EK204)/AVERAGE(M204:EK204),"")</f>
        <v/>
      </c>
      <c r="M204" s="192" t="n"/>
      <c r="N204" s="192" t="n"/>
      <c r="O204" s="192" t="n"/>
      <c r="P204" s="192" t="n"/>
      <c r="Q204" s="192" t="n">
        <v>8669</v>
      </c>
      <c r="R204" s="192" t="n"/>
      <c r="S204" s="192" t="n"/>
      <c r="T204" s="192" t="n"/>
      <c r="U204" s="192" t="n">
        <v>13634</v>
      </c>
      <c r="V204" s="192" t="n"/>
      <c r="W204" s="192" t="n"/>
      <c r="X204" s="192" t="n"/>
      <c r="Y204" s="192" t="n">
        <v>10668</v>
      </c>
      <c r="Z204" s="192" t="n"/>
      <c r="AA204" s="192" t="n"/>
      <c r="AB204" s="192" t="n"/>
      <c r="AC204" s="192" t="n">
        <v>10428</v>
      </c>
      <c r="AD204" s="192" t="n"/>
      <c r="AE204" s="192" t="n"/>
      <c r="AF204" s="192" t="n"/>
      <c r="AG204" s="192" t="n">
        <v>10870</v>
      </c>
      <c r="AH204" s="192" t="n"/>
      <c r="AI204" s="192" t="n"/>
      <c r="AJ204" s="192" t="n"/>
      <c r="AK204" s="192" t="n">
        <v>10156</v>
      </c>
      <c r="AL204" s="192" t="n">
        <v>13166</v>
      </c>
      <c r="AM204" s="192" t="n">
        <v>10549</v>
      </c>
      <c r="AN204" s="192" t="n"/>
      <c r="AO204" s="192" t="n">
        <v>13516</v>
      </c>
      <c r="AP204" s="192" t="n"/>
      <c r="AQ204" s="192" t="n"/>
      <c r="AR204" s="192" t="n"/>
      <c r="AS204" s="192" t="n">
        <v>11680</v>
      </c>
      <c r="AT204" s="192" t="n"/>
      <c r="AU204" s="192" t="n"/>
      <c r="AV204" s="192" t="n"/>
      <c r="AW204" s="192" t="n">
        <v>10147</v>
      </c>
      <c r="AX204" s="192" t="n"/>
      <c r="AY204" s="192" t="n"/>
      <c r="AZ204" s="192" t="n"/>
      <c r="BA204" s="192" t="n">
        <v>9847</v>
      </c>
      <c r="BB204" s="192" t="n"/>
      <c r="BC204" s="192" t="n"/>
      <c r="BD204" s="192" t="n"/>
      <c r="BE204" s="192" t="n">
        <v>10895</v>
      </c>
      <c r="BF204" s="192" t="n"/>
      <c r="BG204" s="192" t="n"/>
      <c r="BH204" s="192" t="n"/>
      <c r="BI204" s="192" t="n">
        <v>12685</v>
      </c>
      <c r="BJ204" s="192" t="n"/>
      <c r="BK204" s="192" t="n"/>
      <c r="BL204" s="192" t="n"/>
      <c r="BM204" s="192" t="n">
        <v>12168</v>
      </c>
      <c r="BN204" s="192" t="n"/>
      <c r="BO204" s="192" t="n"/>
      <c r="BP204" s="192" t="n"/>
      <c r="BQ204" s="192" t="n"/>
      <c r="BR204" s="192" t="n"/>
      <c r="BS204" s="192" t="n"/>
      <c r="BT204" s="192" t="n"/>
      <c r="BU204" s="192" t="n"/>
      <c r="BV204" s="192" t="n"/>
      <c r="BW204" s="192" t="n"/>
      <c r="BX204" s="192" t="n"/>
      <c r="BY204" s="192" t="n"/>
      <c r="BZ204" s="192" t="n"/>
      <c r="CA204" s="192" t="n"/>
      <c r="CB204" s="192" t="n"/>
      <c r="CC204" s="192" t="n"/>
      <c r="CD204" s="192" t="n"/>
      <c r="CE204" s="192" t="n"/>
      <c r="CF204" s="192" t="n"/>
      <c r="CG204" s="192" t="n"/>
      <c r="CH204" s="192" t="n"/>
      <c r="CI204" s="192" t="n"/>
      <c r="CJ204" s="192" t="n"/>
      <c r="CK204" s="192" t="n"/>
      <c r="CL204" s="192" t="n"/>
      <c r="CM204" s="192" t="n"/>
      <c r="CN204" s="192" t="n"/>
      <c r="CO204" s="192" t="n"/>
      <c r="CP204" s="192" t="n"/>
      <c r="CQ204" s="192" t="n"/>
      <c r="CR204" s="192" t="n"/>
      <c r="CS204" s="192" t="n"/>
      <c r="CT204" s="192" t="n"/>
      <c r="CU204" s="192" t="n"/>
      <c r="CV204" s="192" t="n"/>
      <c r="CW204" s="192" t="n"/>
      <c r="CX204" s="192" t="n"/>
      <c r="CY204" s="192" t="n"/>
      <c r="CZ204" s="192" t="n"/>
      <c r="DA204" s="192" t="n"/>
      <c r="DB204" s="192" t="n"/>
      <c r="DC204" s="192" t="n"/>
      <c r="DD204" s="192" t="n"/>
      <c r="DE204" s="192" t="n"/>
      <c r="DF204" s="192" t="n"/>
      <c r="DG204" s="192" t="n"/>
      <c r="DH204" s="192" t="n"/>
      <c r="DI204" s="192" t="n"/>
      <c r="DJ204" s="192" t="n"/>
      <c r="DK204" s="192" t="n"/>
      <c r="DL204" s="192" t="n"/>
      <c r="DM204" s="192" t="n"/>
      <c r="DN204" s="192" t="n"/>
      <c r="DO204" s="192" t="n"/>
      <c r="DP204" s="192" t="n"/>
      <c r="DQ204" s="192" t="n"/>
      <c r="DR204" s="192" t="n"/>
      <c r="DS204" s="192" t="n"/>
      <c r="DT204" s="192" t="n"/>
      <c r="DU204" s="192" t="n"/>
      <c r="DV204" s="192" t="n"/>
      <c r="DW204" s="192" t="n"/>
      <c r="DX204" s="192" t="n"/>
      <c r="DY204" s="192" t="n"/>
      <c r="DZ204" s="192" t="n"/>
      <c r="EA204" s="192" t="n"/>
      <c r="EB204" s="192" t="n"/>
      <c r="EC204" s="192" t="n"/>
      <c r="ED204" s="192" t="n"/>
      <c r="EE204" s="192" t="n"/>
      <c r="EF204" s="192" t="n"/>
      <c r="EG204" s="192" t="n"/>
      <c r="EH204" s="192" t="n"/>
      <c r="EI204" s="192" t="n"/>
      <c r="EJ204" s="192" t="n"/>
      <c r="EK204" s="192" t="n"/>
      <c r="EL204" s="182" t="n"/>
      <c r="EM204" s="176" t="n"/>
      <c r="EN204" s="176" t="n"/>
      <c r="EO204" s="176" t="n"/>
      <c r="EP204" s="176" t="n"/>
      <c r="EQ204" s="176" t="n"/>
      <c r="ER204" s="176" t="n"/>
      <c r="ES204" s="176" t="n"/>
      <c r="ET204" s="176" t="n"/>
      <c r="EU204" s="176" t="n"/>
      <c r="EV204" s="176" t="n"/>
      <c r="EW204" s="176" t="n"/>
      <c r="EX204" s="176" t="n"/>
      <c r="EY204" s="176" t="n"/>
      <c r="EZ204" s="176" t="n"/>
      <c r="FA204" s="176" t="n"/>
      <c r="FB204" s="176" t="n"/>
      <c r="FC204" s="176" t="n"/>
      <c r="FD204" s="176" t="n"/>
      <c r="FE204" s="176" t="n"/>
      <c r="FF204" s="176" t="n"/>
      <c r="FG204" s="176" t="n"/>
      <c r="FH204" s="176" t="n"/>
      <c r="FI204" s="176" t="n"/>
      <c r="FJ204" s="176" t="n"/>
    </row>
    <row r="205" ht="15" customHeight="1" s="392">
      <c r="A205" s="176" t="n"/>
      <c r="B205" s="180" t="n"/>
      <c r="C205" s="183" t="inlineStr">
        <is>
          <t xml:space="preserve">        Total Lease Liability - Beyond</t>
        </is>
      </c>
      <c r="D205" s="190">
        <f>IF(COUNT(M205:EK205)&gt;0,MEDIAN(M205:EK205),"")</f>
        <v/>
      </c>
      <c r="E205" s="190">
        <f>IF(COUNT(M205:EK205)&gt;0,AVERAGE(M205:EK205),"")</f>
        <v/>
      </c>
      <c r="F205" s="190">
        <f>IF(COUNT(M205:EK205)&gt;0,MIN(M205:EK205),"")</f>
        <v/>
      </c>
      <c r="G205" s="190">
        <f>IF(COUNT(M205:EK205)&gt;0,MAX(M205:EK205),"")</f>
        <v/>
      </c>
      <c r="H205" s="190">
        <f>IF(COUNT(M205:EK205)&gt;0,QUARTILE(M205:EK205,1),"")</f>
        <v/>
      </c>
      <c r="I205" s="190">
        <f>IF(COUNT(M205:EK205)&gt;0,QUARTILE(M205:EK205,3),"")</f>
        <v/>
      </c>
      <c r="J205" s="190">
        <f>IF(COUNT(M205:EK205)&gt;1,STDEV(M205:EK205),"")</f>
        <v/>
      </c>
      <c r="K205" s="191">
        <f>IF(COUNT(M205:EK205)&gt;1,STDEV(M205:EK205)/AVERAGE(M205:EK205),"")</f>
        <v/>
      </c>
      <c r="M205" s="192" t="n"/>
      <c r="N205" s="192" t="n"/>
      <c r="O205" s="192" t="n"/>
      <c r="P205" s="192" t="n"/>
      <c r="Q205" s="192" t="n">
        <v>44206</v>
      </c>
      <c r="R205" s="192" t="n"/>
      <c r="S205" s="192" t="n"/>
      <c r="T205" s="192" t="n"/>
      <c r="U205" s="192" t="n">
        <v>47809</v>
      </c>
      <c r="V205" s="192" t="n"/>
      <c r="W205" s="192" t="n"/>
      <c r="X205" s="192" t="n"/>
      <c r="Y205" s="192" t="n">
        <v>42305</v>
      </c>
      <c r="Z205" s="192" t="n"/>
      <c r="AA205" s="192" t="n"/>
      <c r="AB205" s="192" t="n"/>
      <c r="AC205" s="192" t="n">
        <v>48447</v>
      </c>
      <c r="AD205" s="192" t="n"/>
      <c r="AE205" s="192" t="n"/>
      <c r="AF205" s="192" t="n"/>
      <c r="AG205" s="192" t="n">
        <v>53632</v>
      </c>
      <c r="AH205" s="192" t="n"/>
      <c r="AI205" s="192" t="n"/>
      <c r="AJ205" s="192" t="n"/>
      <c r="AK205" s="192" t="n">
        <v>45807</v>
      </c>
      <c r="AL205" s="192" t="n">
        <v>49406</v>
      </c>
      <c r="AM205" s="192" t="n">
        <v>43919</v>
      </c>
      <c r="AN205" s="192" t="n"/>
      <c r="AO205" s="192" t="n">
        <v>35291</v>
      </c>
      <c r="AP205" s="192" t="n"/>
      <c r="AQ205" s="192" t="n"/>
      <c r="AR205" s="192" t="n"/>
      <c r="AS205" s="192" t="n">
        <v>54068</v>
      </c>
      <c r="AT205" s="192" t="n"/>
      <c r="AU205" s="192" t="n"/>
      <c r="AV205" s="192" t="n"/>
      <c r="AW205" s="192" t="n">
        <v>59436</v>
      </c>
      <c r="AX205" s="192" t="n"/>
      <c r="AY205" s="192" t="n"/>
      <c r="AZ205" s="192" t="n"/>
      <c r="BA205" s="192" t="n">
        <v>61904</v>
      </c>
      <c r="BB205" s="192" t="n"/>
      <c r="BC205" s="192" t="n"/>
      <c r="BD205" s="192" t="n"/>
      <c r="BE205" s="192" t="n">
        <v>71885</v>
      </c>
      <c r="BF205" s="192" t="n"/>
      <c r="BG205" s="192" t="n"/>
      <c r="BH205" s="192" t="n"/>
      <c r="BI205" s="192" t="n">
        <v>76190</v>
      </c>
      <c r="BJ205" s="192" t="n"/>
      <c r="BK205" s="192" t="n"/>
      <c r="BL205" s="192" t="n"/>
      <c r="BM205" s="192" t="n">
        <v>48060</v>
      </c>
      <c r="BN205" s="192" t="n"/>
      <c r="BO205" s="192" t="n"/>
      <c r="BP205" s="192" t="n"/>
      <c r="BQ205" s="192" t="n"/>
      <c r="BR205" s="192" t="n"/>
      <c r="BS205" s="192" t="n"/>
      <c r="BT205" s="192" t="n"/>
      <c r="BU205" s="192" t="n"/>
      <c r="BV205" s="192" t="n"/>
      <c r="BW205" s="192" t="n"/>
      <c r="BX205" s="192" t="n"/>
      <c r="BY205" s="192" t="n"/>
      <c r="BZ205" s="192" t="n"/>
      <c r="CA205" s="192" t="n"/>
      <c r="CB205" s="192" t="n"/>
      <c r="CC205" s="192" t="n"/>
      <c r="CD205" s="192" t="n"/>
      <c r="CE205" s="192" t="n"/>
      <c r="CF205" s="192" t="n"/>
      <c r="CG205" s="192" t="n"/>
      <c r="CH205" s="192" t="n"/>
      <c r="CI205" s="192" t="n"/>
      <c r="CJ205" s="192" t="n"/>
      <c r="CK205" s="192" t="n"/>
      <c r="CL205" s="192" t="n"/>
      <c r="CM205" s="192" t="n"/>
      <c r="CN205" s="192" t="n"/>
      <c r="CO205" s="192" t="n"/>
      <c r="CP205" s="192" t="n"/>
      <c r="CQ205" s="192" t="n"/>
      <c r="CR205" s="192" t="n"/>
      <c r="CS205" s="192" t="n"/>
      <c r="CT205" s="192" t="n"/>
      <c r="CU205" s="192" t="n"/>
      <c r="CV205" s="192" t="n"/>
      <c r="CW205" s="192" t="n"/>
      <c r="CX205" s="192" t="n"/>
      <c r="CY205" s="192" t="n"/>
      <c r="CZ205" s="192" t="n"/>
      <c r="DA205" s="192" t="n"/>
      <c r="DB205" s="192" t="n"/>
      <c r="DC205" s="192" t="n"/>
      <c r="DD205" s="192" t="n"/>
      <c r="DE205" s="192" t="n"/>
      <c r="DF205" s="192" t="n"/>
      <c r="DG205" s="192" t="n"/>
      <c r="DH205" s="192" t="n"/>
      <c r="DI205" s="192" t="n"/>
      <c r="DJ205" s="192" t="n"/>
      <c r="DK205" s="192" t="n"/>
      <c r="DL205" s="192" t="n"/>
      <c r="DM205" s="192" t="n"/>
      <c r="DN205" s="192" t="n"/>
      <c r="DO205" s="192" t="n"/>
      <c r="DP205" s="192" t="n"/>
      <c r="DQ205" s="192" t="n"/>
      <c r="DR205" s="192" t="n"/>
      <c r="DS205" s="192" t="n"/>
      <c r="DT205" s="192" t="n"/>
      <c r="DU205" s="192" t="n"/>
      <c r="DV205" s="192" t="n"/>
      <c r="DW205" s="192" t="n"/>
      <c r="DX205" s="192" t="n"/>
      <c r="DY205" s="192" t="n"/>
      <c r="DZ205" s="192" t="n"/>
      <c r="EA205" s="192" t="n"/>
      <c r="EB205" s="192" t="n"/>
      <c r="EC205" s="192" t="n"/>
      <c r="ED205" s="192" t="n"/>
      <c r="EE205" s="192" t="n"/>
      <c r="EF205" s="192" t="n"/>
      <c r="EG205" s="192" t="n"/>
      <c r="EH205" s="192" t="n"/>
      <c r="EI205" s="192" t="n"/>
      <c r="EJ205" s="192" t="n"/>
      <c r="EK205" s="192" t="n"/>
      <c r="EL205" s="182" t="n"/>
      <c r="EM205" s="176" t="n"/>
      <c r="EN205" s="176" t="n"/>
      <c r="EO205" s="176" t="n"/>
      <c r="EP205" s="176" t="n"/>
      <c r="EQ205" s="176" t="n"/>
      <c r="ER205" s="176" t="n"/>
      <c r="ES205" s="176" t="n"/>
      <c r="ET205" s="176" t="n"/>
      <c r="EU205" s="176" t="n"/>
      <c r="EV205" s="176" t="n"/>
      <c r="EW205" s="176" t="n"/>
      <c r="EX205" s="176" t="n"/>
      <c r="EY205" s="176" t="n"/>
      <c r="EZ205" s="176" t="n"/>
      <c r="FA205" s="176" t="n"/>
      <c r="FB205" s="176" t="n"/>
      <c r="FC205" s="176" t="n"/>
      <c r="FD205" s="176" t="n"/>
      <c r="FE205" s="176" t="n"/>
      <c r="FF205" s="176" t="n"/>
      <c r="FG205" s="176" t="n"/>
      <c r="FH205" s="176" t="n"/>
      <c r="FI205" s="176" t="n"/>
      <c r="FJ205" s="176" t="n"/>
    </row>
    <row r="206" ht="15" customHeight="1" s="392">
      <c r="A206" s="176" t="n"/>
      <c r="B206" s="180" t="n"/>
      <c r="C206" s="183" t="inlineStr">
        <is>
          <t xml:space="preserve">        Total Lease Liability - Interest Charges and Other Adjustments</t>
        </is>
      </c>
      <c r="D206" s="190">
        <f>IF(COUNT(M206:EK206)&gt;0,MEDIAN(M206:EK206),"")</f>
        <v/>
      </c>
      <c r="E206" s="190">
        <f>IF(COUNT(M206:EK206)&gt;0,AVERAGE(M206:EK206),"")</f>
        <v/>
      </c>
      <c r="F206" s="190">
        <f>IF(COUNT(M206:EK206)&gt;0,MIN(M206:EK206),"")</f>
        <v/>
      </c>
      <c r="G206" s="190">
        <f>IF(COUNT(M206:EK206)&gt;0,MAX(M206:EK206),"")</f>
        <v/>
      </c>
      <c r="H206" s="190">
        <f>IF(COUNT(M206:EK206)&gt;0,QUARTILE(M206:EK206,1),"")</f>
        <v/>
      </c>
      <c r="I206" s="190">
        <f>IF(COUNT(M206:EK206)&gt;0,QUARTILE(M206:EK206,3),"")</f>
        <v/>
      </c>
      <c r="J206" s="190">
        <f>IF(COUNT(M206:EK206)&gt;1,STDEV(M206:EK206),"")</f>
        <v/>
      </c>
      <c r="K206" s="191">
        <f>IF(COUNT(M206:EK206)&gt;1,STDEV(M206:EK206)/AVERAGE(M206:EK206),"")</f>
        <v/>
      </c>
      <c r="M206" s="192" t="n"/>
      <c r="N206" s="192" t="n"/>
      <c r="O206" s="192" t="n"/>
      <c r="P206" s="192" t="n"/>
      <c r="Q206" s="192" t="n">
        <v>-20768</v>
      </c>
      <c r="R206" s="192" t="n"/>
      <c r="S206" s="192" t="n"/>
      <c r="T206" s="192" t="n"/>
      <c r="U206" s="192" t="n">
        <v>-20974</v>
      </c>
      <c r="V206" s="192" t="n"/>
      <c r="W206" s="192" t="n"/>
      <c r="X206" s="192" t="n"/>
      <c r="Y206" s="192" t="n">
        <v>-17499</v>
      </c>
      <c r="Z206" s="192" t="n"/>
      <c r="AA206" s="192" t="n"/>
      <c r="AB206" s="192" t="n"/>
      <c r="AC206" s="192" t="n">
        <v>-18290</v>
      </c>
      <c r="AD206" s="192" t="n"/>
      <c r="AE206" s="192" t="n"/>
      <c r="AF206" s="192" t="n"/>
      <c r="AG206" s="192" t="n">
        <v>-19923</v>
      </c>
      <c r="AH206" s="192" t="n"/>
      <c r="AI206" s="192" t="n"/>
      <c r="AJ206" s="192" t="n"/>
      <c r="AK206" s="192" t="n">
        <v>-20230</v>
      </c>
      <c r="AL206" s="192" t="n">
        <v>-19643</v>
      </c>
      <c r="AM206" s="192" t="n">
        <v>-18500</v>
      </c>
      <c r="AN206" s="192" t="n">
        <v>-34</v>
      </c>
      <c r="AO206" s="192" t="n"/>
      <c r="AP206" s="192" t="n"/>
      <c r="AQ206" s="192" t="n"/>
      <c r="AR206" s="192" t="n"/>
      <c r="AS206" s="192" t="n">
        <v>-29</v>
      </c>
      <c r="AT206" s="192" t="n"/>
      <c r="AU206" s="192" t="n"/>
      <c r="AV206" s="192" t="n"/>
      <c r="AW206" s="192" t="n">
        <v>-97</v>
      </c>
      <c r="AX206" s="192" t="n"/>
      <c r="AY206" s="192" t="n"/>
      <c r="AZ206" s="192" t="n"/>
      <c r="BA206" s="192" t="n">
        <v>-194</v>
      </c>
      <c r="BB206" s="192" t="n"/>
      <c r="BC206" s="192" t="n"/>
      <c r="BD206" s="192" t="n"/>
      <c r="BE206" s="192" t="n">
        <v>-28</v>
      </c>
      <c r="BF206" s="192" t="n"/>
      <c r="BG206" s="192" t="n"/>
      <c r="BH206" s="192" t="n"/>
      <c r="BI206" s="192" t="n">
        <v>-92</v>
      </c>
      <c r="BJ206" s="192" t="n"/>
      <c r="BK206" s="192" t="n"/>
      <c r="BL206" s="192" t="n"/>
      <c r="BM206" s="192" t="n">
        <v>-8</v>
      </c>
      <c r="BN206" s="192" t="n"/>
      <c r="BO206" s="192" t="n"/>
      <c r="BP206" s="192" t="n"/>
      <c r="BQ206" s="192" t="n">
        <v>-17</v>
      </c>
      <c r="BR206" s="192" t="n"/>
      <c r="BS206" s="192" t="n"/>
      <c r="BT206" s="192" t="n"/>
      <c r="BU206" s="192" t="n"/>
      <c r="BV206" s="192" t="n"/>
      <c r="BW206" s="192" t="n"/>
      <c r="BX206" s="192" t="n"/>
      <c r="BY206" s="192" t="n"/>
      <c r="BZ206" s="192" t="n"/>
      <c r="CA206" s="192" t="n"/>
      <c r="CB206" s="192" t="n"/>
      <c r="CC206" s="192" t="n"/>
      <c r="CD206" s="192" t="n"/>
      <c r="CE206" s="192" t="n"/>
      <c r="CF206" s="192" t="n"/>
      <c r="CG206" s="192" t="n"/>
      <c r="CH206" s="192" t="n"/>
      <c r="CI206" s="192" t="n"/>
      <c r="CJ206" s="192" t="n"/>
      <c r="CK206" s="192" t="n"/>
      <c r="CL206" s="192" t="n"/>
      <c r="CM206" s="192" t="n"/>
      <c r="CN206" s="192" t="n"/>
      <c r="CO206" s="192" t="n"/>
      <c r="CP206" s="192" t="n"/>
      <c r="CQ206" s="192" t="n"/>
      <c r="CR206" s="192" t="n"/>
      <c r="CS206" s="192" t="n"/>
      <c r="CT206" s="192" t="n"/>
      <c r="CU206" s="192" t="n"/>
      <c r="CV206" s="192" t="n"/>
      <c r="CW206" s="192" t="n"/>
      <c r="CX206" s="192" t="n"/>
      <c r="CY206" s="192" t="n"/>
      <c r="CZ206" s="192" t="n"/>
      <c r="DA206" s="192" t="n"/>
      <c r="DB206" s="192" t="n"/>
      <c r="DC206" s="192" t="n"/>
      <c r="DD206" s="192" t="n"/>
      <c r="DE206" s="192" t="n"/>
      <c r="DF206" s="192" t="n"/>
      <c r="DG206" s="192" t="n"/>
      <c r="DH206" s="192" t="n"/>
      <c r="DI206" s="192" t="n"/>
      <c r="DJ206" s="192" t="n"/>
      <c r="DK206" s="192" t="n"/>
      <c r="DL206" s="192" t="n"/>
      <c r="DM206" s="192" t="n"/>
      <c r="DN206" s="192" t="n"/>
      <c r="DO206" s="192" t="n"/>
      <c r="DP206" s="192" t="n"/>
      <c r="DQ206" s="192" t="n"/>
      <c r="DR206" s="192" t="n"/>
      <c r="DS206" s="192" t="n"/>
      <c r="DT206" s="192" t="n"/>
      <c r="DU206" s="192" t="n"/>
      <c r="DV206" s="192" t="n"/>
      <c r="DW206" s="192" t="n"/>
      <c r="DX206" s="192" t="n"/>
      <c r="DY206" s="192" t="n"/>
      <c r="DZ206" s="192" t="n"/>
      <c r="EA206" s="192" t="n"/>
      <c r="EB206" s="192" t="n"/>
      <c r="EC206" s="192" t="n"/>
      <c r="ED206" s="192" t="n"/>
      <c r="EE206" s="192" t="n"/>
      <c r="EF206" s="192" t="n"/>
      <c r="EG206" s="192" t="n"/>
      <c r="EH206" s="192" t="n"/>
      <c r="EI206" s="192" t="n"/>
      <c r="EJ206" s="192" t="n"/>
      <c r="EK206" s="192" t="n"/>
      <c r="EL206" s="182" t="n"/>
      <c r="EM206" s="176" t="n"/>
      <c r="EN206" s="176" t="n"/>
      <c r="EO206" s="176" t="n"/>
      <c r="EP206" s="176" t="n"/>
      <c r="EQ206" s="176" t="n"/>
      <c r="ER206" s="176" t="n"/>
      <c r="ES206" s="176" t="n"/>
      <c r="ET206" s="176" t="n"/>
      <c r="EU206" s="176" t="n"/>
      <c r="EV206" s="176" t="n"/>
      <c r="EW206" s="176" t="n"/>
      <c r="EX206" s="176" t="n"/>
      <c r="EY206" s="176" t="n"/>
      <c r="EZ206" s="176" t="n"/>
      <c r="FA206" s="176" t="n"/>
      <c r="FB206" s="176" t="n"/>
      <c r="FC206" s="176" t="n"/>
      <c r="FD206" s="176" t="n"/>
      <c r="FE206" s="176" t="n"/>
      <c r="FF206" s="176" t="n"/>
      <c r="FG206" s="176" t="n"/>
      <c r="FH206" s="176" t="n"/>
      <c r="FI206" s="176" t="n"/>
      <c r="FJ206" s="176" t="n"/>
    </row>
    <row r="207" ht="15" customHeight="1" s="392">
      <c r="A207" s="176" t="n"/>
      <c r="B207" s="180" t="n"/>
      <c r="C207" s="187" t="inlineStr">
        <is>
          <t xml:space="preserve">    Total Lease Liability</t>
        </is>
      </c>
      <c r="D207" s="193">
        <f>IF(COUNT(M207:EK207)&gt;0,MEDIAN(M207:EK207),"")</f>
        <v/>
      </c>
      <c r="E207" s="193">
        <f>IF(COUNT(M207:EK207)&gt;0,AVERAGE(M207:EK207),"")</f>
        <v/>
      </c>
      <c r="F207" s="193">
        <f>IF(COUNT(M207:EK207)&gt;0,MIN(M207:EK207),"")</f>
        <v/>
      </c>
      <c r="G207" s="193">
        <f>IF(COUNT(M207:EK207)&gt;0,MAX(M207:EK207),"")</f>
        <v/>
      </c>
      <c r="H207" s="193">
        <f>IF(COUNT(M207:EK207)&gt;0,QUARTILE(M207:EK207,1),"")</f>
        <v/>
      </c>
      <c r="I207" s="193">
        <f>IF(COUNT(M207:EK207)&gt;0,QUARTILE(M207:EK207,3),"")</f>
        <v/>
      </c>
      <c r="J207" s="193">
        <f>IF(COUNT(M207:EK207)&gt;1,STDEV(M207:EK207),"")</f>
        <v/>
      </c>
      <c r="K207" s="194">
        <f>IF(COUNT(M207:EK207)&gt;1,STDEV(M207:EK207)/AVERAGE(M207:EK207),"")</f>
        <v/>
      </c>
      <c r="L207" s="195" t="n"/>
      <c r="M207" s="196" t="n"/>
      <c r="N207" s="196" t="n"/>
      <c r="O207" s="196" t="n"/>
      <c r="P207" s="196" t="n"/>
      <c r="Q207" s="196" t="n">
        <v>103739</v>
      </c>
      <c r="R207" s="196" t="n"/>
      <c r="S207" s="196" t="n"/>
      <c r="T207" s="196" t="n"/>
      <c r="U207" s="196" t="n">
        <v>118733</v>
      </c>
      <c r="V207" s="196" t="n"/>
      <c r="W207" s="196" t="n"/>
      <c r="X207" s="196" t="n"/>
      <c r="Y207" s="196" t="n">
        <v>109537</v>
      </c>
      <c r="Z207" s="196" t="n"/>
      <c r="AA207" s="196" t="n"/>
      <c r="AB207" s="196" t="n"/>
      <c r="AC207" s="196" t="n">
        <v>117477</v>
      </c>
      <c r="AD207" s="196" t="n"/>
      <c r="AE207" s="196" t="n"/>
      <c r="AF207" s="196" t="n"/>
      <c r="AG207" s="196" t="n">
        <v>120433</v>
      </c>
      <c r="AH207" s="196" t="n"/>
      <c r="AI207" s="196" t="n"/>
      <c r="AJ207" s="196" t="n"/>
      <c r="AK207" s="196" t="n">
        <v>120405</v>
      </c>
      <c r="AL207" s="196" t="n">
        <v>117132</v>
      </c>
      <c r="AM207" s="196" t="n">
        <v>106635</v>
      </c>
      <c r="AN207" s="196" t="n">
        <v>1568</v>
      </c>
      <c r="AO207" s="196" t="n">
        <v>142147</v>
      </c>
      <c r="AP207" s="196" t="n"/>
      <c r="AQ207" s="196" t="n"/>
      <c r="AR207" s="196" t="n"/>
      <c r="AS207" s="196" t="n">
        <v>151269</v>
      </c>
      <c r="AT207" s="196" t="n"/>
      <c r="AU207" s="196" t="n"/>
      <c r="AV207" s="196" t="n"/>
      <c r="AW207" s="196" t="n">
        <v>154832</v>
      </c>
      <c r="AX207" s="196" t="n"/>
      <c r="AY207" s="196" t="n"/>
      <c r="AZ207" s="196" t="n"/>
      <c r="BA207" s="196" t="n">
        <v>147010</v>
      </c>
      <c r="BB207" s="196" t="n"/>
      <c r="BC207" s="196" t="n"/>
      <c r="BD207" s="196" t="n"/>
      <c r="BE207" s="196" t="n">
        <v>157693</v>
      </c>
      <c r="BF207" s="196" t="n"/>
      <c r="BG207" s="196" t="n"/>
      <c r="BH207" s="196" t="n"/>
      <c r="BI207" s="196" t="n">
        <v>170001</v>
      </c>
      <c r="BJ207" s="196" t="n"/>
      <c r="BK207" s="196" t="n"/>
      <c r="BL207" s="196" t="n"/>
      <c r="BM207" s="196" t="n">
        <v>131468</v>
      </c>
      <c r="BN207" s="196" t="n"/>
      <c r="BO207" s="196" t="n"/>
      <c r="BP207" s="196" t="n"/>
      <c r="BQ207" s="196" t="n">
        <v>307</v>
      </c>
      <c r="BR207" s="196" t="n"/>
      <c r="BS207" s="196" t="n"/>
      <c r="BT207" s="196" t="n"/>
      <c r="BU207" s="196" t="n"/>
      <c r="BV207" s="196" t="n"/>
      <c r="BW207" s="196" t="n"/>
      <c r="BX207" s="196" t="n"/>
      <c r="BY207" s="196" t="n"/>
      <c r="BZ207" s="196" t="n"/>
      <c r="CA207" s="196" t="n"/>
      <c r="CB207" s="196" t="n"/>
      <c r="CC207" s="196" t="n"/>
      <c r="CD207" s="196" t="n"/>
      <c r="CE207" s="196" t="n"/>
      <c r="CF207" s="196" t="n"/>
      <c r="CG207" s="196" t="n"/>
      <c r="CH207" s="196" t="n"/>
      <c r="CI207" s="196" t="n"/>
      <c r="CJ207" s="196" t="n"/>
      <c r="CK207" s="196" t="n"/>
      <c r="CL207" s="196" t="n"/>
      <c r="CM207" s="196" t="n"/>
      <c r="CN207" s="196" t="n"/>
      <c r="CO207" s="196" t="n"/>
      <c r="CP207" s="196" t="n"/>
      <c r="CQ207" s="196" t="n"/>
      <c r="CR207" s="196" t="n"/>
      <c r="CS207" s="196" t="n"/>
      <c r="CT207" s="196" t="n"/>
      <c r="CU207" s="196" t="n"/>
      <c r="CV207" s="196" t="n"/>
      <c r="CW207" s="196" t="n"/>
      <c r="CX207" s="196" t="n"/>
      <c r="CY207" s="196" t="n"/>
      <c r="CZ207" s="196" t="n"/>
      <c r="DA207" s="196" t="n"/>
      <c r="DB207" s="196" t="n"/>
      <c r="DC207" s="196" t="n"/>
      <c r="DD207" s="196" t="n"/>
      <c r="DE207" s="196" t="n"/>
      <c r="DF207" s="196" t="n"/>
      <c r="DG207" s="196" t="n"/>
      <c r="DH207" s="196" t="n"/>
      <c r="DI207" s="196" t="n"/>
      <c r="DJ207" s="196" t="n"/>
      <c r="DK207" s="196" t="n"/>
      <c r="DL207" s="196" t="n"/>
      <c r="DM207" s="196" t="n"/>
      <c r="DN207" s="196" t="n"/>
      <c r="DO207" s="196" t="n"/>
      <c r="DP207" s="196" t="n"/>
      <c r="DQ207" s="196" t="n"/>
      <c r="DR207" s="196" t="n"/>
      <c r="DS207" s="196" t="n"/>
      <c r="DT207" s="196" t="n"/>
      <c r="DU207" s="196" t="n"/>
      <c r="DV207" s="196" t="n"/>
      <c r="DW207" s="196" t="n"/>
      <c r="DX207" s="196" t="n"/>
      <c r="DY207" s="196" t="n"/>
      <c r="DZ207" s="196" t="n"/>
      <c r="EA207" s="196" t="n"/>
      <c r="EB207" s="196" t="n"/>
      <c r="EC207" s="196" t="n"/>
      <c r="ED207" s="196" t="n"/>
      <c r="EE207" s="196" t="n"/>
      <c r="EF207" s="196" t="n"/>
      <c r="EG207" s="196" t="n"/>
      <c r="EH207" s="196" t="n"/>
      <c r="EI207" s="196" t="n"/>
      <c r="EJ207" s="196" t="n"/>
      <c r="EK207" s="196" t="n"/>
      <c r="EL207" s="182" t="n"/>
      <c r="EM207" s="176" t="n"/>
      <c r="EN207" s="176" t="n"/>
      <c r="EO207" s="176" t="n"/>
      <c r="EP207" s="176" t="n"/>
      <c r="EQ207" s="176" t="n"/>
      <c r="ER207" s="176" t="n"/>
      <c r="ES207" s="176" t="n"/>
      <c r="ET207" s="176" t="n"/>
      <c r="EU207" s="176" t="n"/>
      <c r="EV207" s="176" t="n"/>
      <c r="EW207" s="176" t="n"/>
      <c r="EX207" s="176" t="n"/>
      <c r="EY207" s="176" t="n"/>
      <c r="EZ207" s="176" t="n"/>
      <c r="FA207" s="176" t="n"/>
      <c r="FB207" s="176" t="n"/>
      <c r="FC207" s="176" t="n"/>
      <c r="FD207" s="176" t="n"/>
      <c r="FE207" s="176" t="n"/>
      <c r="FF207" s="176" t="n"/>
      <c r="FG207" s="176" t="n"/>
      <c r="FH207" s="176" t="n"/>
      <c r="FI207" s="176" t="n"/>
      <c r="FJ207" s="176" t="n"/>
    </row>
    <row r="208" ht="15" customHeight="1" s="392">
      <c r="A208" s="176" t="n"/>
      <c r="B208" s="180" t="n"/>
      <c r="C208" s="183" t="inlineStr">
        <is>
          <t xml:space="preserve">    Contractual Obligations</t>
        </is>
      </c>
      <c r="D208" s="185" t="n"/>
      <c r="E208" s="185" t="n"/>
      <c r="F208" s="185" t="n"/>
      <c r="G208" s="185" t="n"/>
      <c r="H208" s="185" t="n"/>
      <c r="I208" s="185" t="n"/>
      <c r="J208" s="185" t="n"/>
      <c r="K208" s="185" t="n"/>
      <c r="EL208" s="182" t="n"/>
      <c r="EM208" s="176" t="n"/>
      <c r="EN208" s="176" t="n"/>
      <c r="EO208" s="176" t="n"/>
      <c r="EP208" s="176" t="n"/>
      <c r="EQ208" s="176" t="n"/>
      <c r="ER208" s="176" t="n"/>
      <c r="ES208" s="176" t="n"/>
      <c r="ET208" s="176" t="n"/>
      <c r="EU208" s="176" t="n"/>
      <c r="EV208" s="176" t="n"/>
      <c r="EW208" s="176" t="n"/>
      <c r="EX208" s="176" t="n"/>
      <c r="EY208" s="176" t="n"/>
      <c r="EZ208" s="176" t="n"/>
      <c r="FA208" s="176" t="n"/>
      <c r="FB208" s="176" t="n"/>
      <c r="FC208" s="176" t="n"/>
      <c r="FD208" s="176" t="n"/>
      <c r="FE208" s="176" t="n"/>
      <c r="FF208" s="176" t="n"/>
      <c r="FG208" s="176" t="n"/>
      <c r="FH208" s="176" t="n"/>
      <c r="FI208" s="176" t="n"/>
      <c r="FJ208" s="176" t="n"/>
    </row>
    <row r="209" ht="15" customHeight="1" s="392">
      <c r="A209" s="176" t="n"/>
      <c r="B209" s="180" t="n"/>
      <c r="C209" s="183" t="inlineStr">
        <is>
          <t xml:space="preserve">        Total Contractual Obligations due in year 1</t>
        </is>
      </c>
      <c r="D209" s="190">
        <f>IF(COUNT(M209:EK209)&gt;0,MEDIAN(M209:EK209),"")</f>
        <v/>
      </c>
      <c r="E209" s="190">
        <f>IF(COUNT(M209:EK209)&gt;0,AVERAGE(M209:EK209),"")</f>
        <v/>
      </c>
      <c r="F209" s="190">
        <f>IF(COUNT(M209:EK209)&gt;0,MIN(M209:EK209),"")</f>
        <v/>
      </c>
      <c r="G209" s="190">
        <f>IF(COUNT(M209:EK209)&gt;0,MAX(M209:EK209),"")</f>
        <v/>
      </c>
      <c r="H209" s="190">
        <f>IF(COUNT(M209:EK209)&gt;0,QUARTILE(M209:EK209,1),"")</f>
        <v/>
      </c>
      <c r="I209" s="190">
        <f>IF(COUNT(M209:EK209)&gt;0,QUARTILE(M209:EK209,3),"")</f>
        <v/>
      </c>
      <c r="J209" s="190">
        <f>IF(COUNT(M209:EK209)&gt;1,STDEV(M209:EK209),"")</f>
        <v/>
      </c>
      <c r="K209" s="191">
        <f>IF(COUNT(M209:EK209)&gt;1,STDEV(M209:EK209)/AVERAGE(M209:EK209),"")</f>
        <v/>
      </c>
      <c r="M209" s="192" t="n"/>
      <c r="N209" s="192" t="n"/>
      <c r="O209" s="192" t="n"/>
      <c r="P209" s="192" t="n"/>
      <c r="Q209" s="192" t="n">
        <v>22542</v>
      </c>
      <c r="R209" s="192" t="n"/>
      <c r="S209" s="192" t="n"/>
      <c r="T209" s="192" t="n"/>
      <c r="U209" s="192" t="n">
        <v>24745</v>
      </c>
      <c r="V209" s="192" t="n"/>
      <c r="W209" s="192" t="n"/>
      <c r="X209" s="192" t="n"/>
      <c r="Y209" s="192" t="n">
        <v>24034</v>
      </c>
      <c r="Z209" s="192" t="n"/>
      <c r="AA209" s="192" t="n"/>
      <c r="AB209" s="192" t="n"/>
      <c r="AC209" s="192" t="n">
        <v>24674</v>
      </c>
      <c r="AD209" s="192" t="n"/>
      <c r="AE209" s="192" t="n"/>
      <c r="AF209" s="192" t="n"/>
      <c r="AG209" s="192" t="n">
        <v>25161</v>
      </c>
      <c r="AH209" s="192" t="n"/>
      <c r="AI209" s="192" t="n"/>
      <c r="AJ209" s="192" t="n"/>
      <c r="AK209" s="192" t="n">
        <v>47144</v>
      </c>
      <c r="AL209" s="192" t="n">
        <v>7573</v>
      </c>
      <c r="AM209" s="192" t="n">
        <v>13954</v>
      </c>
      <c r="AN209" s="192" t="n">
        <v>478</v>
      </c>
      <c r="AO209" s="192" t="n">
        <v>73134</v>
      </c>
      <c r="AP209" s="192" t="n"/>
      <c r="AQ209" s="192" t="n"/>
      <c r="AR209" s="192" t="n"/>
      <c r="AS209" s="192" t="n">
        <v>48640</v>
      </c>
      <c r="AT209" s="192" t="n"/>
      <c r="AU209" s="192" t="n"/>
      <c r="AV209" s="192" t="n"/>
      <c r="AW209" s="192" t="n">
        <v>146705</v>
      </c>
      <c r="AX209" s="192" t="n"/>
      <c r="AY209" s="192" t="n"/>
      <c r="AZ209" s="192" t="n"/>
      <c r="BA209" s="192" t="n">
        <v>135137</v>
      </c>
      <c r="BB209" s="192" t="n"/>
      <c r="BC209" s="192" t="n"/>
      <c r="BD209" s="192" t="n"/>
      <c r="BE209" s="192" t="n">
        <v>114031</v>
      </c>
      <c r="BF209" s="192" t="n"/>
      <c r="BG209" s="192" t="n"/>
      <c r="BH209" s="192" t="n"/>
      <c r="BI209" s="192" t="n">
        <v>48024</v>
      </c>
      <c r="BJ209" s="192" t="n"/>
      <c r="BK209" s="192" t="n"/>
      <c r="BL209" s="192" t="n"/>
      <c r="BM209" s="192" t="n">
        <v>124770</v>
      </c>
      <c r="BN209" s="192" t="n"/>
      <c r="BO209" s="192" t="n"/>
      <c r="BP209" s="192" t="n"/>
      <c r="BQ209" s="192" t="n">
        <v>198</v>
      </c>
      <c r="BR209" s="192" t="n"/>
      <c r="BS209" s="192" t="n">
        <v>150000</v>
      </c>
      <c r="BT209" s="192" t="n"/>
      <c r="BU209" s="192" t="n"/>
      <c r="BV209" s="192" t="n"/>
      <c r="BW209" s="192" t="n"/>
      <c r="BX209" s="192" t="n"/>
      <c r="BY209" s="192" t="n"/>
      <c r="BZ209" s="192" t="n"/>
      <c r="CA209" s="192" t="n"/>
      <c r="CB209" s="192" t="n"/>
      <c r="CC209" s="192" t="n"/>
      <c r="CD209" s="192" t="n"/>
      <c r="CE209" s="192" t="n"/>
      <c r="CF209" s="192" t="n"/>
      <c r="CG209" s="192" t="n"/>
      <c r="CH209" s="192" t="n"/>
      <c r="CI209" s="192" t="n"/>
      <c r="CJ209" s="192" t="n"/>
      <c r="CK209" s="192" t="n"/>
      <c r="CL209" s="192" t="n"/>
      <c r="CM209" s="192" t="n"/>
      <c r="CN209" s="192" t="n"/>
      <c r="CO209" s="192" t="n"/>
      <c r="CP209" s="192" t="n"/>
      <c r="CQ209" s="192" t="n"/>
      <c r="CR209" s="192" t="n"/>
      <c r="CS209" s="192" t="n"/>
      <c r="CT209" s="192" t="n"/>
      <c r="CU209" s="192" t="n"/>
      <c r="CV209" s="192" t="n"/>
      <c r="CW209" s="192" t="n"/>
      <c r="CX209" s="192" t="n"/>
      <c r="CY209" s="192" t="n"/>
      <c r="CZ209" s="192" t="n"/>
      <c r="DA209" s="192" t="n"/>
      <c r="DB209" s="192" t="n"/>
      <c r="DC209" s="192" t="n"/>
      <c r="DD209" s="192" t="n"/>
      <c r="DE209" s="192" t="n"/>
      <c r="DF209" s="192" t="n"/>
      <c r="DG209" s="192" t="n"/>
      <c r="DH209" s="192" t="n"/>
      <c r="DI209" s="192" t="n"/>
      <c r="DJ209" s="192" t="n"/>
      <c r="DK209" s="192" t="n"/>
      <c r="DL209" s="192" t="n"/>
      <c r="DM209" s="192" t="n"/>
      <c r="DN209" s="192" t="n"/>
      <c r="DO209" s="192" t="n"/>
      <c r="DP209" s="192" t="n"/>
      <c r="DQ209" s="192" t="n"/>
      <c r="DR209" s="192" t="n"/>
      <c r="DS209" s="192" t="n"/>
      <c r="DT209" s="192" t="n"/>
      <c r="DU209" s="192" t="n"/>
      <c r="DV209" s="192" t="n"/>
      <c r="DW209" s="192" t="n"/>
      <c r="DX209" s="192" t="n"/>
      <c r="DY209" s="192" t="n"/>
      <c r="DZ209" s="192" t="n"/>
      <c r="EA209" s="192" t="n"/>
      <c r="EB209" s="192" t="n"/>
      <c r="EC209" s="192" t="n"/>
      <c r="ED209" s="192" t="n"/>
      <c r="EE209" s="192" t="n"/>
      <c r="EF209" s="192" t="n"/>
      <c r="EG209" s="192" t="n"/>
      <c r="EH209" s="192" t="n"/>
      <c r="EI209" s="192" t="n"/>
      <c r="EJ209" s="192" t="n"/>
      <c r="EK209" s="192" t="n"/>
      <c r="EL209" s="182" t="n"/>
      <c r="EM209" s="176" t="n"/>
      <c r="EN209" s="176" t="n"/>
      <c r="EO209" s="176" t="n"/>
      <c r="EP209" s="176" t="n"/>
      <c r="EQ209" s="176" t="n"/>
      <c r="ER209" s="176" t="n"/>
      <c r="ES209" s="176" t="n"/>
      <c r="ET209" s="176" t="n"/>
      <c r="EU209" s="176" t="n"/>
      <c r="EV209" s="176" t="n"/>
      <c r="EW209" s="176" t="n"/>
      <c r="EX209" s="176" t="n"/>
      <c r="EY209" s="176" t="n"/>
      <c r="EZ209" s="176" t="n"/>
      <c r="FA209" s="176" t="n"/>
      <c r="FB209" s="176" t="n"/>
      <c r="FC209" s="176" t="n"/>
      <c r="FD209" s="176" t="n"/>
      <c r="FE209" s="176" t="n"/>
      <c r="FF209" s="176" t="n"/>
      <c r="FG209" s="176" t="n"/>
      <c r="FH209" s="176" t="n"/>
      <c r="FI209" s="176" t="n"/>
      <c r="FJ209" s="176" t="n"/>
    </row>
    <row r="210" ht="15" customHeight="1" s="392">
      <c r="A210" s="176" t="n"/>
      <c r="B210" s="180" t="n"/>
      <c r="C210" s="183" t="inlineStr">
        <is>
          <t xml:space="preserve">        Total Contractual Obligations due in year 2</t>
        </is>
      </c>
      <c r="D210" s="190">
        <f>IF(COUNT(M210:EK210)&gt;0,MEDIAN(M210:EK210),"")</f>
        <v/>
      </c>
      <c r="E210" s="190">
        <f>IF(COUNT(M210:EK210)&gt;0,AVERAGE(M210:EK210),"")</f>
        <v/>
      </c>
      <c r="F210" s="190">
        <f>IF(COUNT(M210:EK210)&gt;0,MIN(M210:EK210),"")</f>
        <v/>
      </c>
      <c r="G210" s="190">
        <f>IF(COUNT(M210:EK210)&gt;0,MAX(M210:EK210),"")</f>
        <v/>
      </c>
      <c r="H210" s="190">
        <f>IF(COUNT(M210:EK210)&gt;0,QUARTILE(M210:EK210,1),"")</f>
        <v/>
      </c>
      <c r="I210" s="190">
        <f>IF(COUNT(M210:EK210)&gt;0,QUARTILE(M210:EK210,3),"")</f>
        <v/>
      </c>
      <c r="J210" s="190">
        <f>IF(COUNT(M210:EK210)&gt;1,STDEV(M210:EK210),"")</f>
        <v/>
      </c>
      <c r="K210" s="191">
        <f>IF(COUNT(M210:EK210)&gt;1,STDEV(M210:EK210)/AVERAGE(M210:EK210),"")</f>
        <v/>
      </c>
      <c r="M210" s="192" t="n"/>
      <c r="N210" s="192" t="n"/>
      <c r="O210" s="192" t="n"/>
      <c r="P210" s="192" t="n"/>
      <c r="Q210" s="192" t="n">
        <v>18239</v>
      </c>
      <c r="R210" s="192" t="n"/>
      <c r="S210" s="192" t="n"/>
      <c r="T210" s="192" t="n"/>
      <c r="U210" s="192" t="n">
        <v>20978</v>
      </c>
      <c r="V210" s="192" t="n"/>
      <c r="W210" s="192" t="n"/>
      <c r="X210" s="192" t="n"/>
      <c r="Y210" s="192" t="n">
        <v>20746</v>
      </c>
      <c r="Z210" s="192" t="n"/>
      <c r="AA210" s="192" t="n"/>
      <c r="AB210" s="192" t="n"/>
      <c r="AC210" s="192" t="n">
        <v>20132</v>
      </c>
      <c r="AD210" s="192" t="n"/>
      <c r="AE210" s="192" t="n"/>
      <c r="AF210" s="192" t="n"/>
      <c r="AG210" s="192" t="n">
        <v>20842</v>
      </c>
      <c r="AH210" s="192" t="n"/>
      <c r="AI210" s="192" t="n"/>
      <c r="AJ210" s="192" t="n"/>
      <c r="AK210" s="192" t="n">
        <v>22619</v>
      </c>
      <c r="AL210" s="192" t="n">
        <v>28124</v>
      </c>
      <c r="AM210" s="192" t="n">
        <v>23425</v>
      </c>
      <c r="AN210" s="192" t="n">
        <v>619</v>
      </c>
      <c r="AO210" s="192" t="n">
        <v>25177</v>
      </c>
      <c r="AP210" s="192" t="n"/>
      <c r="AQ210" s="192" t="n"/>
      <c r="AR210" s="192" t="n"/>
      <c r="AS210" s="192" t="n">
        <v>22501</v>
      </c>
      <c r="AT210" s="192" t="n"/>
      <c r="AU210" s="192" t="n"/>
      <c r="AV210" s="192" t="n"/>
      <c r="AW210" s="192" t="n">
        <v>174330</v>
      </c>
      <c r="AX210" s="192" t="n"/>
      <c r="AY210" s="192" t="n"/>
      <c r="AZ210" s="192" t="n"/>
      <c r="BA210" s="192" t="n">
        <v>184247</v>
      </c>
      <c r="BB210" s="192" t="n"/>
      <c r="BC210" s="192" t="n"/>
      <c r="BD210" s="192" t="n"/>
      <c r="BE210" s="192" t="n">
        <v>49771</v>
      </c>
      <c r="BF210" s="192" t="n"/>
      <c r="BG210" s="192" t="n"/>
      <c r="BH210" s="192" t="n"/>
      <c r="BI210" s="192" t="n">
        <v>22030</v>
      </c>
      <c r="BJ210" s="192" t="n"/>
      <c r="BK210" s="192" t="n"/>
      <c r="BL210" s="192" t="n"/>
      <c r="BM210" s="192" t="n">
        <v>18555</v>
      </c>
      <c r="BN210" s="192" t="n"/>
      <c r="BO210" s="192" t="n"/>
      <c r="BP210" s="192" t="n"/>
      <c r="BQ210" s="192" t="n">
        <v>126</v>
      </c>
      <c r="BR210" s="192" t="n"/>
      <c r="BS210" s="192" t="n"/>
      <c r="BT210" s="192" t="n"/>
      <c r="BU210" s="192" t="n"/>
      <c r="BV210" s="192" t="n"/>
      <c r="BW210" s="192" t="n"/>
      <c r="BX210" s="192" t="n"/>
      <c r="BY210" s="192" t="n"/>
      <c r="BZ210" s="192" t="n"/>
      <c r="CA210" s="192" t="n"/>
      <c r="CB210" s="192" t="n"/>
      <c r="CC210" s="192" t="n"/>
      <c r="CD210" s="192" t="n"/>
      <c r="CE210" s="192" t="n"/>
      <c r="CF210" s="192" t="n"/>
      <c r="CG210" s="192" t="n"/>
      <c r="CH210" s="192" t="n"/>
      <c r="CI210" s="192" t="n"/>
      <c r="CJ210" s="192" t="n"/>
      <c r="CK210" s="192" t="n"/>
      <c r="CL210" s="192" t="n"/>
      <c r="CM210" s="192" t="n"/>
      <c r="CN210" s="192" t="n"/>
      <c r="CO210" s="192" t="n"/>
      <c r="CP210" s="192" t="n"/>
      <c r="CQ210" s="192" t="n"/>
      <c r="CR210" s="192" t="n"/>
      <c r="CS210" s="192" t="n"/>
      <c r="CT210" s="192" t="n"/>
      <c r="CU210" s="192" t="n"/>
      <c r="CV210" s="192" t="n"/>
      <c r="CW210" s="192" t="n"/>
      <c r="CX210" s="192" t="n"/>
      <c r="CY210" s="192" t="n"/>
      <c r="CZ210" s="192" t="n"/>
      <c r="DA210" s="192" t="n"/>
      <c r="DB210" s="192" t="n"/>
      <c r="DC210" s="192" t="n"/>
      <c r="DD210" s="192" t="n"/>
      <c r="DE210" s="192" t="n"/>
      <c r="DF210" s="192" t="n"/>
      <c r="DG210" s="192" t="n"/>
      <c r="DH210" s="192" t="n"/>
      <c r="DI210" s="192" t="n"/>
      <c r="DJ210" s="192" t="n"/>
      <c r="DK210" s="192" t="n"/>
      <c r="DL210" s="192" t="n"/>
      <c r="DM210" s="192" t="n"/>
      <c r="DN210" s="192" t="n"/>
      <c r="DO210" s="192" t="n"/>
      <c r="DP210" s="192" t="n"/>
      <c r="DQ210" s="192" t="n"/>
      <c r="DR210" s="192" t="n"/>
      <c r="DS210" s="192" t="n"/>
      <c r="DT210" s="192" t="n"/>
      <c r="DU210" s="192" t="n"/>
      <c r="DV210" s="192" t="n"/>
      <c r="DW210" s="192" t="n"/>
      <c r="DX210" s="192" t="n"/>
      <c r="DY210" s="192" t="n"/>
      <c r="DZ210" s="192" t="n"/>
      <c r="EA210" s="192" t="n"/>
      <c r="EB210" s="192" t="n"/>
      <c r="EC210" s="192" t="n"/>
      <c r="ED210" s="192" t="n"/>
      <c r="EE210" s="192" t="n"/>
      <c r="EF210" s="192" t="n"/>
      <c r="EG210" s="192" t="n"/>
      <c r="EH210" s="192" t="n"/>
      <c r="EI210" s="192" t="n"/>
      <c r="EJ210" s="192" t="n"/>
      <c r="EK210" s="192" t="n"/>
      <c r="EL210" s="182" t="n"/>
      <c r="EM210" s="176" t="n"/>
      <c r="EN210" s="176" t="n"/>
      <c r="EO210" s="176" t="n"/>
      <c r="EP210" s="176" t="n"/>
      <c r="EQ210" s="176" t="n"/>
      <c r="ER210" s="176" t="n"/>
      <c r="ES210" s="176" t="n"/>
      <c r="ET210" s="176" t="n"/>
      <c r="EU210" s="176" t="n"/>
      <c r="EV210" s="176" t="n"/>
      <c r="EW210" s="176" t="n"/>
      <c r="EX210" s="176" t="n"/>
      <c r="EY210" s="176" t="n"/>
      <c r="EZ210" s="176" t="n"/>
      <c r="FA210" s="176" t="n"/>
      <c r="FB210" s="176" t="n"/>
      <c r="FC210" s="176" t="n"/>
      <c r="FD210" s="176" t="n"/>
      <c r="FE210" s="176" t="n"/>
      <c r="FF210" s="176" t="n"/>
      <c r="FG210" s="176" t="n"/>
      <c r="FH210" s="176" t="n"/>
      <c r="FI210" s="176" t="n"/>
      <c r="FJ210" s="176" t="n"/>
    </row>
    <row r="211" ht="15" customHeight="1" s="392">
      <c r="A211" s="176" t="n"/>
      <c r="B211" s="180" t="n"/>
      <c r="C211" s="183" t="inlineStr">
        <is>
          <t xml:space="preserve">        Total Contractual Obligations due in year 3</t>
        </is>
      </c>
      <c r="D211" s="190">
        <f>IF(COUNT(M211:EK211)&gt;0,MEDIAN(M211:EK211),"")</f>
        <v/>
      </c>
      <c r="E211" s="190">
        <f>IF(COUNT(M211:EK211)&gt;0,AVERAGE(M211:EK211),"")</f>
        <v/>
      </c>
      <c r="F211" s="190">
        <f>IF(COUNT(M211:EK211)&gt;0,MIN(M211:EK211),"")</f>
        <v/>
      </c>
      <c r="G211" s="190">
        <f>IF(COUNT(M211:EK211)&gt;0,MAX(M211:EK211),"")</f>
        <v/>
      </c>
      <c r="H211" s="190">
        <f>IF(COUNT(M211:EK211)&gt;0,QUARTILE(M211:EK211,1),"")</f>
        <v/>
      </c>
      <c r="I211" s="190">
        <f>IF(COUNT(M211:EK211)&gt;0,QUARTILE(M211:EK211,3),"")</f>
        <v/>
      </c>
      <c r="J211" s="190">
        <f>IF(COUNT(M211:EK211)&gt;1,STDEV(M211:EK211),"")</f>
        <v/>
      </c>
      <c r="K211" s="191">
        <f>IF(COUNT(M211:EK211)&gt;1,STDEV(M211:EK211)/AVERAGE(M211:EK211),"")</f>
        <v/>
      </c>
      <c r="M211" s="192" t="n"/>
      <c r="N211" s="192" t="n"/>
      <c r="O211" s="192" t="n"/>
      <c r="P211" s="192" t="n"/>
      <c r="Q211" s="192" t="n">
        <v>16760</v>
      </c>
      <c r="R211" s="192" t="n"/>
      <c r="S211" s="192" t="n"/>
      <c r="T211" s="192" t="n"/>
      <c r="U211" s="192" t="n">
        <v>17028</v>
      </c>
      <c r="V211" s="192" t="n"/>
      <c r="W211" s="192" t="n"/>
      <c r="X211" s="192" t="n"/>
      <c r="Y211" s="192" t="n">
        <v>16795</v>
      </c>
      <c r="Z211" s="192" t="n"/>
      <c r="AA211" s="192" t="n"/>
      <c r="AB211" s="192" t="n"/>
      <c r="AC211" s="192" t="n">
        <v>17683</v>
      </c>
      <c r="AD211" s="192" t="n"/>
      <c r="AE211" s="192" t="n"/>
      <c r="AF211" s="192" t="n"/>
      <c r="AG211" s="192" t="n">
        <v>16018</v>
      </c>
      <c r="AH211" s="192" t="n"/>
      <c r="AI211" s="192" t="n"/>
      <c r="AJ211" s="192" t="n"/>
      <c r="AK211" s="192" t="n">
        <v>58143</v>
      </c>
      <c r="AL211" s="192" t="n">
        <v>21012</v>
      </c>
      <c r="AM211" s="192" t="n">
        <v>18396</v>
      </c>
      <c r="AN211" s="192" t="n">
        <v>505</v>
      </c>
      <c r="AO211" s="192" t="n">
        <v>54938</v>
      </c>
      <c r="AP211" s="192" t="n"/>
      <c r="AQ211" s="192" t="n"/>
      <c r="AR211" s="192" t="n"/>
      <c r="AS211" s="192" t="n">
        <v>54304</v>
      </c>
      <c r="AT211" s="192" t="n"/>
      <c r="AU211" s="192" t="n"/>
      <c r="AV211" s="192" t="n"/>
      <c r="AW211" s="192" t="n">
        <v>57725</v>
      </c>
      <c r="AX211" s="192" t="n"/>
      <c r="AY211" s="192" t="n"/>
      <c r="AZ211" s="192" t="n"/>
      <c r="BA211" s="192" t="n">
        <v>56474</v>
      </c>
      <c r="BB211" s="192" t="n"/>
      <c r="BC211" s="192" t="n"/>
      <c r="BD211" s="192" t="n"/>
      <c r="BE211" s="192" t="n">
        <v>85823</v>
      </c>
      <c r="BF211" s="192" t="n"/>
      <c r="BG211" s="192" t="n"/>
      <c r="BH211" s="192" t="n"/>
      <c r="BI211" s="192" t="n">
        <v>19960</v>
      </c>
      <c r="BJ211" s="192" t="n"/>
      <c r="BK211" s="192" t="n"/>
      <c r="BL211" s="192" t="n"/>
      <c r="BM211" s="192" t="n">
        <v>316569</v>
      </c>
      <c r="BN211" s="192" t="n"/>
      <c r="BO211" s="192" t="n"/>
      <c r="BP211" s="192" t="n"/>
      <c r="BQ211" s="192" t="n"/>
      <c r="BR211" s="192" t="n"/>
      <c r="BS211" s="192" t="n">
        <v>256250</v>
      </c>
      <c r="BT211" s="192" t="n"/>
      <c r="BU211" s="192" t="n"/>
      <c r="BV211" s="192" t="n"/>
      <c r="BW211" s="192" t="n"/>
      <c r="BX211" s="192" t="n"/>
      <c r="BY211" s="192" t="n"/>
      <c r="BZ211" s="192" t="n"/>
      <c r="CA211" s="192" t="n"/>
      <c r="CB211" s="192" t="n"/>
      <c r="CC211" s="192" t="n"/>
      <c r="CD211" s="192" t="n"/>
      <c r="CE211" s="192" t="n"/>
      <c r="CF211" s="192" t="n"/>
      <c r="CG211" s="192" t="n"/>
      <c r="CH211" s="192" t="n"/>
      <c r="CI211" s="192" t="n"/>
      <c r="CJ211" s="192" t="n"/>
      <c r="CK211" s="192" t="n"/>
      <c r="CL211" s="192" t="n"/>
      <c r="CM211" s="192" t="n"/>
      <c r="CN211" s="192" t="n"/>
      <c r="CO211" s="192" t="n"/>
      <c r="CP211" s="192" t="n"/>
      <c r="CQ211" s="192" t="n"/>
      <c r="CR211" s="192" t="n"/>
      <c r="CS211" s="192" t="n"/>
      <c r="CT211" s="192" t="n"/>
      <c r="CU211" s="192" t="n"/>
      <c r="CV211" s="192" t="n"/>
      <c r="CW211" s="192" t="n"/>
      <c r="CX211" s="192" t="n"/>
      <c r="CY211" s="192" t="n"/>
      <c r="CZ211" s="192" t="n"/>
      <c r="DA211" s="192" t="n"/>
      <c r="DB211" s="192" t="n"/>
      <c r="DC211" s="192" t="n"/>
      <c r="DD211" s="192" t="n"/>
      <c r="DE211" s="192" t="n"/>
      <c r="DF211" s="192" t="n"/>
      <c r="DG211" s="192" t="n"/>
      <c r="DH211" s="192" t="n"/>
      <c r="DI211" s="192" t="n"/>
      <c r="DJ211" s="192" t="n"/>
      <c r="DK211" s="192" t="n"/>
      <c r="DL211" s="192" t="n"/>
      <c r="DM211" s="192" t="n"/>
      <c r="DN211" s="192" t="n"/>
      <c r="DO211" s="192" t="n"/>
      <c r="DP211" s="192" t="n"/>
      <c r="DQ211" s="192" t="n"/>
      <c r="DR211" s="192" t="n"/>
      <c r="DS211" s="192" t="n"/>
      <c r="DT211" s="192" t="n"/>
      <c r="DU211" s="192" t="n"/>
      <c r="DV211" s="192" t="n"/>
      <c r="DW211" s="192" t="n"/>
      <c r="DX211" s="192" t="n"/>
      <c r="DY211" s="192" t="n"/>
      <c r="DZ211" s="192" t="n"/>
      <c r="EA211" s="192" t="n"/>
      <c r="EB211" s="192" t="n"/>
      <c r="EC211" s="192" t="n"/>
      <c r="ED211" s="192" t="n"/>
      <c r="EE211" s="192" t="n"/>
      <c r="EF211" s="192" t="n"/>
      <c r="EG211" s="192" t="n"/>
      <c r="EH211" s="192" t="n"/>
      <c r="EI211" s="192" t="n"/>
      <c r="EJ211" s="192" t="n"/>
      <c r="EK211" s="192" t="n"/>
      <c r="EL211" s="182" t="n"/>
      <c r="EM211" s="176" t="n"/>
      <c r="EN211" s="176" t="n"/>
      <c r="EO211" s="176" t="n"/>
      <c r="EP211" s="176" t="n"/>
      <c r="EQ211" s="176" t="n"/>
      <c r="ER211" s="176" t="n"/>
      <c r="ES211" s="176" t="n"/>
      <c r="ET211" s="176" t="n"/>
      <c r="EU211" s="176" t="n"/>
      <c r="EV211" s="176" t="n"/>
      <c r="EW211" s="176" t="n"/>
      <c r="EX211" s="176" t="n"/>
      <c r="EY211" s="176" t="n"/>
      <c r="EZ211" s="176" t="n"/>
      <c r="FA211" s="176" t="n"/>
      <c r="FB211" s="176" t="n"/>
      <c r="FC211" s="176" t="n"/>
      <c r="FD211" s="176" t="n"/>
      <c r="FE211" s="176" t="n"/>
      <c r="FF211" s="176" t="n"/>
      <c r="FG211" s="176" t="n"/>
      <c r="FH211" s="176" t="n"/>
      <c r="FI211" s="176" t="n"/>
      <c r="FJ211" s="176" t="n"/>
    </row>
    <row r="212" ht="15" customHeight="1" s="392">
      <c r="A212" s="176" t="n"/>
      <c r="B212" s="180" t="n"/>
      <c r="C212" s="183" t="inlineStr">
        <is>
          <t xml:space="preserve">        Total Contractual Obligations due in year 4</t>
        </is>
      </c>
      <c r="D212" s="190">
        <f>IF(COUNT(M212:EK212)&gt;0,MEDIAN(M212:EK212),"")</f>
        <v/>
      </c>
      <c r="E212" s="190">
        <f>IF(COUNT(M212:EK212)&gt;0,AVERAGE(M212:EK212),"")</f>
        <v/>
      </c>
      <c r="F212" s="190">
        <f>IF(COUNT(M212:EK212)&gt;0,MIN(M212:EK212),"")</f>
        <v/>
      </c>
      <c r="G212" s="190">
        <f>IF(COUNT(M212:EK212)&gt;0,MAX(M212:EK212),"")</f>
        <v/>
      </c>
      <c r="H212" s="190">
        <f>IF(COUNT(M212:EK212)&gt;0,QUARTILE(M212:EK212,1),"")</f>
        <v/>
      </c>
      <c r="I212" s="190">
        <f>IF(COUNT(M212:EK212)&gt;0,QUARTILE(M212:EK212,3),"")</f>
        <v/>
      </c>
      <c r="J212" s="190">
        <f>IF(COUNT(M212:EK212)&gt;1,STDEV(M212:EK212),"")</f>
        <v/>
      </c>
      <c r="K212" s="191">
        <f>IF(COUNT(M212:EK212)&gt;1,STDEV(M212:EK212)/AVERAGE(M212:EK212),"")</f>
        <v/>
      </c>
      <c r="M212" s="192" t="n"/>
      <c r="N212" s="192" t="n"/>
      <c r="O212" s="192" t="n"/>
      <c r="P212" s="192" t="n"/>
      <c r="Q212" s="192" t="n">
        <v>14091</v>
      </c>
      <c r="R212" s="192" t="n"/>
      <c r="S212" s="192" t="n"/>
      <c r="T212" s="192" t="n"/>
      <c r="U212" s="192" t="n">
        <v>15513</v>
      </c>
      <c r="V212" s="192" t="n"/>
      <c r="W212" s="192" t="n"/>
      <c r="X212" s="192" t="n"/>
      <c r="Y212" s="192" t="n">
        <v>12488</v>
      </c>
      <c r="Z212" s="192" t="n"/>
      <c r="AA212" s="192" t="n"/>
      <c r="AB212" s="192" t="n"/>
      <c r="AC212" s="192" t="n">
        <v>14403</v>
      </c>
      <c r="AD212" s="192" t="n"/>
      <c r="AE212" s="192" t="n"/>
      <c r="AF212" s="192" t="n"/>
      <c r="AG212" s="192" t="n">
        <v>113833</v>
      </c>
      <c r="AH212" s="192" t="n"/>
      <c r="AI212" s="192" t="n"/>
      <c r="AJ212" s="192" t="n"/>
      <c r="AK212" s="192" t="n">
        <v>14980</v>
      </c>
      <c r="AL212" s="192" t="n">
        <v>17494</v>
      </c>
      <c r="AM212" s="192" t="n">
        <v>14892</v>
      </c>
      <c r="AN212" s="192" t="n"/>
      <c r="AO212" s="192" t="n">
        <v>17794</v>
      </c>
      <c r="AP212" s="192" t="n"/>
      <c r="AQ212" s="192" t="n"/>
      <c r="AR212" s="192" t="n"/>
      <c r="AS212" s="192" t="n">
        <v>13782</v>
      </c>
      <c r="AT212" s="192" t="n"/>
      <c r="AU212" s="192" t="n"/>
      <c r="AV212" s="192" t="n"/>
      <c r="AW212" s="192" t="n">
        <v>14422</v>
      </c>
      <c r="AX212" s="192" t="n"/>
      <c r="AY212" s="192" t="n"/>
      <c r="AZ212" s="192" t="n"/>
      <c r="BA212" s="192" t="n">
        <v>12777</v>
      </c>
      <c r="BB212" s="192" t="n"/>
      <c r="BC212" s="192" t="n"/>
      <c r="BD212" s="192" t="n"/>
      <c r="BE212" s="192" t="n">
        <v>44113</v>
      </c>
      <c r="BF212" s="192" t="n"/>
      <c r="BG212" s="192" t="n"/>
      <c r="BH212" s="192" t="n"/>
      <c r="BI212" s="192" t="n">
        <v>16053</v>
      </c>
      <c r="BJ212" s="192" t="n"/>
      <c r="BK212" s="192" t="n"/>
      <c r="BL212" s="192" t="n"/>
      <c r="BM212" s="192" t="n">
        <v>13953</v>
      </c>
      <c r="BN212" s="192" t="n"/>
      <c r="BO212" s="192" t="n"/>
      <c r="BP212" s="192" t="n"/>
      <c r="BQ212" s="192" t="n"/>
      <c r="BR212" s="192" t="n"/>
      <c r="BS212" s="192" t="n"/>
      <c r="BT212" s="192" t="n"/>
      <c r="BU212" s="192" t="n"/>
      <c r="BV212" s="192" t="n"/>
      <c r="BW212" s="192" t="n"/>
      <c r="BX212" s="192" t="n"/>
      <c r="BY212" s="192" t="n"/>
      <c r="BZ212" s="192" t="n"/>
      <c r="CA212" s="192" t="n"/>
      <c r="CB212" s="192" t="n"/>
      <c r="CC212" s="192" t="n"/>
      <c r="CD212" s="192" t="n"/>
      <c r="CE212" s="192" t="n"/>
      <c r="CF212" s="192" t="n"/>
      <c r="CG212" s="192" t="n"/>
      <c r="CH212" s="192" t="n"/>
      <c r="CI212" s="192" t="n"/>
      <c r="CJ212" s="192" t="n"/>
      <c r="CK212" s="192" t="n"/>
      <c r="CL212" s="192" t="n"/>
      <c r="CM212" s="192" t="n"/>
      <c r="CN212" s="192" t="n"/>
      <c r="CO212" s="192" t="n"/>
      <c r="CP212" s="192" t="n"/>
      <c r="CQ212" s="192" t="n"/>
      <c r="CR212" s="192" t="n"/>
      <c r="CS212" s="192" t="n"/>
      <c r="CT212" s="192" t="n"/>
      <c r="CU212" s="192" t="n"/>
      <c r="CV212" s="192" t="n"/>
      <c r="CW212" s="192" t="n"/>
      <c r="CX212" s="192" t="n"/>
      <c r="CY212" s="192" t="n"/>
      <c r="CZ212" s="192" t="n"/>
      <c r="DA212" s="192" t="n"/>
      <c r="DB212" s="192" t="n"/>
      <c r="DC212" s="192" t="n"/>
      <c r="DD212" s="192" t="n"/>
      <c r="DE212" s="192" t="n"/>
      <c r="DF212" s="192" t="n"/>
      <c r="DG212" s="192" t="n"/>
      <c r="DH212" s="192" t="n"/>
      <c r="DI212" s="192" t="n"/>
      <c r="DJ212" s="192" t="n"/>
      <c r="DK212" s="192" t="n"/>
      <c r="DL212" s="192" t="n"/>
      <c r="DM212" s="192" t="n"/>
      <c r="DN212" s="192" t="n"/>
      <c r="DO212" s="192" t="n"/>
      <c r="DP212" s="192" t="n"/>
      <c r="DQ212" s="192" t="n"/>
      <c r="DR212" s="192" t="n"/>
      <c r="DS212" s="192" t="n"/>
      <c r="DT212" s="192" t="n"/>
      <c r="DU212" s="192" t="n"/>
      <c r="DV212" s="192" t="n"/>
      <c r="DW212" s="192" t="n"/>
      <c r="DX212" s="192" t="n"/>
      <c r="DY212" s="192" t="n"/>
      <c r="DZ212" s="192" t="n"/>
      <c r="EA212" s="192" t="n"/>
      <c r="EB212" s="192" t="n"/>
      <c r="EC212" s="192" t="n"/>
      <c r="ED212" s="192" t="n"/>
      <c r="EE212" s="192" t="n"/>
      <c r="EF212" s="192" t="n"/>
      <c r="EG212" s="192" t="n"/>
      <c r="EH212" s="192" t="n"/>
      <c r="EI212" s="192" t="n"/>
      <c r="EJ212" s="192" t="n"/>
      <c r="EK212" s="192" t="n"/>
      <c r="EL212" s="182" t="n"/>
      <c r="EM212" s="176" t="n"/>
      <c r="EN212" s="176" t="n"/>
      <c r="EO212" s="176" t="n"/>
      <c r="EP212" s="176" t="n"/>
      <c r="EQ212" s="176" t="n"/>
      <c r="ER212" s="176" t="n"/>
      <c r="ES212" s="176" t="n"/>
      <c r="ET212" s="176" t="n"/>
      <c r="EU212" s="176" t="n"/>
      <c r="EV212" s="176" t="n"/>
      <c r="EW212" s="176" t="n"/>
      <c r="EX212" s="176" t="n"/>
      <c r="EY212" s="176" t="n"/>
      <c r="EZ212" s="176" t="n"/>
      <c r="FA212" s="176" t="n"/>
      <c r="FB212" s="176" t="n"/>
      <c r="FC212" s="176" t="n"/>
      <c r="FD212" s="176" t="n"/>
      <c r="FE212" s="176" t="n"/>
      <c r="FF212" s="176" t="n"/>
      <c r="FG212" s="176" t="n"/>
      <c r="FH212" s="176" t="n"/>
      <c r="FI212" s="176" t="n"/>
      <c r="FJ212" s="176" t="n"/>
    </row>
    <row r="213" ht="15" customHeight="1" s="392">
      <c r="A213" s="176" t="n"/>
      <c r="B213" s="180" t="n"/>
      <c r="C213" s="183" t="inlineStr">
        <is>
          <t xml:space="preserve">        Total Contractual Obligations due in year 5</t>
        </is>
      </c>
      <c r="D213" s="190">
        <f>IF(COUNT(M213:EK213)&gt;0,MEDIAN(M213:EK213),"")</f>
        <v/>
      </c>
      <c r="E213" s="190">
        <f>IF(COUNT(M213:EK213)&gt;0,AVERAGE(M213:EK213),"")</f>
        <v/>
      </c>
      <c r="F213" s="190">
        <f>IF(COUNT(M213:EK213)&gt;0,MIN(M213:EK213),"")</f>
        <v/>
      </c>
      <c r="G213" s="190">
        <f>IF(COUNT(M213:EK213)&gt;0,MAX(M213:EK213),"")</f>
        <v/>
      </c>
      <c r="H213" s="190">
        <f>IF(COUNT(M213:EK213)&gt;0,QUARTILE(M213:EK213,1),"")</f>
        <v/>
      </c>
      <c r="I213" s="190">
        <f>IF(COUNT(M213:EK213)&gt;0,QUARTILE(M213:EK213,3),"")</f>
        <v/>
      </c>
      <c r="J213" s="190">
        <f>IF(COUNT(M213:EK213)&gt;1,STDEV(M213:EK213),"")</f>
        <v/>
      </c>
      <c r="K213" s="191">
        <f>IF(COUNT(M213:EK213)&gt;1,STDEV(M213:EK213)/AVERAGE(M213:EK213),"")</f>
        <v/>
      </c>
      <c r="M213" s="192" t="n"/>
      <c r="N213" s="192" t="n"/>
      <c r="O213" s="192" t="n"/>
      <c r="P213" s="192" t="n"/>
      <c r="Q213" s="192" t="n">
        <v>8669</v>
      </c>
      <c r="R213" s="192" t="n"/>
      <c r="S213" s="192" t="n"/>
      <c r="T213" s="192" t="n"/>
      <c r="U213" s="192" t="n">
        <v>13634</v>
      </c>
      <c r="V213" s="192" t="n"/>
      <c r="W213" s="192" t="n"/>
      <c r="X213" s="192" t="n"/>
      <c r="Y213" s="192" t="n">
        <v>10668</v>
      </c>
      <c r="Z213" s="192" t="n"/>
      <c r="AA213" s="192" t="n"/>
      <c r="AB213" s="192" t="n"/>
      <c r="AC213" s="192" t="n">
        <v>10428</v>
      </c>
      <c r="AD213" s="192" t="n"/>
      <c r="AE213" s="192" t="n"/>
      <c r="AF213" s="192" t="n"/>
      <c r="AG213" s="192" t="n">
        <v>10870</v>
      </c>
      <c r="AH213" s="192" t="n"/>
      <c r="AI213" s="192" t="n"/>
      <c r="AJ213" s="192" t="n"/>
      <c r="AK213" s="192" t="n">
        <v>41163</v>
      </c>
      <c r="AL213" s="192" t="n">
        <v>13166</v>
      </c>
      <c r="AM213" s="192" t="n">
        <v>10549</v>
      </c>
      <c r="AN213" s="192" t="n"/>
      <c r="AO213" s="192" t="n">
        <v>47236</v>
      </c>
      <c r="AP213" s="192" t="n"/>
      <c r="AQ213" s="192" t="n"/>
      <c r="AR213" s="192" t="n"/>
      <c r="AS213" s="192" t="n">
        <v>45400</v>
      </c>
      <c r="AT213" s="192" t="n"/>
      <c r="AU213" s="192" t="n"/>
      <c r="AV213" s="192" t="n"/>
      <c r="AW213" s="192" t="n">
        <v>47167</v>
      </c>
      <c r="AX213" s="192" t="n"/>
      <c r="AY213" s="192" t="n"/>
      <c r="AZ213" s="192" t="n"/>
      <c r="BA213" s="192" t="n">
        <v>48997</v>
      </c>
      <c r="BB213" s="192" t="n"/>
      <c r="BC213" s="192" t="n"/>
      <c r="BD213" s="192" t="n"/>
      <c r="BE213" s="192" t="n">
        <v>148020</v>
      </c>
      <c r="BF213" s="192" t="n"/>
      <c r="BG213" s="192" t="n"/>
      <c r="BH213" s="192" t="n"/>
      <c r="BI213" s="192" t="n">
        <v>12685</v>
      </c>
      <c r="BJ213" s="192" t="n"/>
      <c r="BK213" s="192" t="n"/>
      <c r="BL213" s="192" t="n"/>
      <c r="BM213" s="192" t="n">
        <v>12168</v>
      </c>
      <c r="BN213" s="192" t="n"/>
      <c r="BO213" s="192" t="n"/>
      <c r="BP213" s="192" t="n"/>
      <c r="BQ213" s="192" t="n"/>
      <c r="BR213" s="192" t="n"/>
      <c r="BS213" s="192" t="n"/>
      <c r="BT213" s="192" t="n"/>
      <c r="BU213" s="192" t="n"/>
      <c r="BV213" s="192" t="n"/>
      <c r="BW213" s="192" t="n"/>
      <c r="BX213" s="192" t="n"/>
      <c r="BY213" s="192" t="n"/>
      <c r="BZ213" s="192" t="n"/>
      <c r="CA213" s="192" t="n"/>
      <c r="CB213" s="192" t="n"/>
      <c r="CC213" s="192" t="n"/>
      <c r="CD213" s="192" t="n"/>
      <c r="CE213" s="192" t="n"/>
      <c r="CF213" s="192" t="n"/>
      <c r="CG213" s="192" t="n"/>
      <c r="CH213" s="192" t="n"/>
      <c r="CI213" s="192" t="n"/>
      <c r="CJ213" s="192" t="n"/>
      <c r="CK213" s="192" t="n"/>
      <c r="CL213" s="192" t="n"/>
      <c r="CM213" s="192" t="n"/>
      <c r="CN213" s="192" t="n"/>
      <c r="CO213" s="192" t="n"/>
      <c r="CP213" s="192" t="n"/>
      <c r="CQ213" s="192" t="n"/>
      <c r="CR213" s="192" t="n"/>
      <c r="CS213" s="192" t="n"/>
      <c r="CT213" s="192" t="n"/>
      <c r="CU213" s="192" t="n"/>
      <c r="CV213" s="192" t="n"/>
      <c r="CW213" s="192" t="n"/>
      <c r="CX213" s="192" t="n"/>
      <c r="CY213" s="192" t="n"/>
      <c r="CZ213" s="192" t="n"/>
      <c r="DA213" s="192" t="n"/>
      <c r="DB213" s="192" t="n"/>
      <c r="DC213" s="192" t="n"/>
      <c r="DD213" s="192" t="n"/>
      <c r="DE213" s="192" t="n"/>
      <c r="DF213" s="192" t="n"/>
      <c r="DG213" s="192" t="n"/>
      <c r="DH213" s="192" t="n"/>
      <c r="DI213" s="192" t="n"/>
      <c r="DJ213" s="192" t="n"/>
      <c r="DK213" s="192" t="n"/>
      <c r="DL213" s="192" t="n"/>
      <c r="DM213" s="192" t="n"/>
      <c r="DN213" s="192" t="n"/>
      <c r="DO213" s="192" t="n"/>
      <c r="DP213" s="192" t="n"/>
      <c r="DQ213" s="192" t="n"/>
      <c r="DR213" s="192" t="n"/>
      <c r="DS213" s="192" t="n"/>
      <c r="DT213" s="192" t="n"/>
      <c r="DU213" s="192" t="n"/>
      <c r="DV213" s="192" t="n"/>
      <c r="DW213" s="192" t="n"/>
      <c r="DX213" s="192" t="n"/>
      <c r="DY213" s="192" t="n"/>
      <c r="DZ213" s="192" t="n"/>
      <c r="EA213" s="192" t="n"/>
      <c r="EB213" s="192" t="n"/>
      <c r="EC213" s="192" t="n"/>
      <c r="ED213" s="192" t="n"/>
      <c r="EE213" s="192" t="n"/>
      <c r="EF213" s="192" t="n"/>
      <c r="EG213" s="192" t="n"/>
      <c r="EH213" s="192" t="n"/>
      <c r="EI213" s="192" t="n"/>
      <c r="EJ213" s="192" t="n"/>
      <c r="EK213" s="192" t="n"/>
      <c r="EL213" s="182" t="n"/>
      <c r="EM213" s="176" t="n"/>
      <c r="EN213" s="176" t="n"/>
      <c r="EO213" s="176" t="n"/>
      <c r="EP213" s="176" t="n"/>
      <c r="EQ213" s="176" t="n"/>
      <c r="ER213" s="176" t="n"/>
      <c r="ES213" s="176" t="n"/>
      <c r="ET213" s="176" t="n"/>
      <c r="EU213" s="176" t="n"/>
      <c r="EV213" s="176" t="n"/>
      <c r="EW213" s="176" t="n"/>
      <c r="EX213" s="176" t="n"/>
      <c r="EY213" s="176" t="n"/>
      <c r="EZ213" s="176" t="n"/>
      <c r="FA213" s="176" t="n"/>
      <c r="FB213" s="176" t="n"/>
      <c r="FC213" s="176" t="n"/>
      <c r="FD213" s="176" t="n"/>
      <c r="FE213" s="176" t="n"/>
      <c r="FF213" s="176" t="n"/>
      <c r="FG213" s="176" t="n"/>
      <c r="FH213" s="176" t="n"/>
      <c r="FI213" s="176" t="n"/>
      <c r="FJ213" s="176" t="n"/>
    </row>
    <row r="214" ht="15" customHeight="1" s="392">
      <c r="A214" s="176" t="n"/>
      <c r="B214" s="180" t="n"/>
      <c r="C214" s="183" t="inlineStr">
        <is>
          <t xml:space="preserve">        Total Contractual Obligations due Beyond</t>
        </is>
      </c>
      <c r="D214" s="190">
        <f>IF(COUNT(M214:EK214)&gt;0,MEDIAN(M214:EK214),"")</f>
        <v/>
      </c>
      <c r="E214" s="190">
        <f>IF(COUNT(M214:EK214)&gt;0,AVERAGE(M214:EK214),"")</f>
        <v/>
      </c>
      <c r="F214" s="190">
        <f>IF(COUNT(M214:EK214)&gt;0,MIN(M214:EK214),"")</f>
        <v/>
      </c>
      <c r="G214" s="190">
        <f>IF(COUNT(M214:EK214)&gt;0,MAX(M214:EK214),"")</f>
        <v/>
      </c>
      <c r="H214" s="190">
        <f>IF(COUNT(M214:EK214)&gt;0,QUARTILE(M214:EK214,1),"")</f>
        <v/>
      </c>
      <c r="I214" s="190">
        <f>IF(COUNT(M214:EK214)&gt;0,QUARTILE(M214:EK214,3),"")</f>
        <v/>
      </c>
      <c r="J214" s="190">
        <f>IF(COUNT(M214:EK214)&gt;1,STDEV(M214:EK214),"")</f>
        <v/>
      </c>
      <c r="K214" s="191">
        <f>IF(COUNT(M214:EK214)&gt;1,STDEV(M214:EK214)/AVERAGE(M214:EK214),"")</f>
        <v/>
      </c>
      <c r="M214" s="192" t="n"/>
      <c r="N214" s="192" t="n"/>
      <c r="O214" s="192" t="n"/>
      <c r="P214" s="192" t="n"/>
      <c r="Q214" s="192" t="n">
        <v>44206</v>
      </c>
      <c r="R214" s="192" t="n"/>
      <c r="S214" s="192" t="n"/>
      <c r="T214" s="192" t="n"/>
      <c r="U214" s="192" t="n">
        <v>47809</v>
      </c>
      <c r="V214" s="192" t="n"/>
      <c r="W214" s="192" t="n"/>
      <c r="X214" s="192" t="n"/>
      <c r="Y214" s="192" t="n">
        <v>42305</v>
      </c>
      <c r="Z214" s="192" t="n"/>
      <c r="AA214" s="192" t="n"/>
      <c r="AB214" s="192" t="n"/>
      <c r="AC214" s="192" t="n">
        <v>48447</v>
      </c>
      <c r="AD214" s="192" t="n"/>
      <c r="AE214" s="192" t="n"/>
      <c r="AF214" s="192" t="n"/>
      <c r="AG214" s="192" t="n">
        <v>353632</v>
      </c>
      <c r="AH214" s="192" t="n"/>
      <c r="AI214" s="192" t="n"/>
      <c r="AJ214" s="192" t="n"/>
      <c r="AK214" s="192" t="n">
        <v>80161</v>
      </c>
      <c r="AL214" s="192" t="n">
        <v>49406</v>
      </c>
      <c r="AM214" s="192" t="n">
        <v>43919</v>
      </c>
      <c r="AN214" s="192" t="n"/>
      <c r="AO214" s="192" t="n">
        <v>83792</v>
      </c>
      <c r="AP214" s="192" t="n"/>
      <c r="AQ214" s="192" t="n"/>
      <c r="AR214" s="192" t="n"/>
      <c r="AS214" s="192" t="n">
        <v>519429</v>
      </c>
      <c r="AT214" s="192" t="n"/>
      <c r="AU214" s="192" t="n"/>
      <c r="AV214" s="192" t="n"/>
      <c r="AW214" s="192" t="n">
        <v>541657</v>
      </c>
      <c r="AX214" s="192" t="n"/>
      <c r="AY214" s="192" t="n"/>
      <c r="AZ214" s="192" t="n"/>
      <c r="BA214" s="192" t="n">
        <v>576395</v>
      </c>
      <c r="BB214" s="192" t="n"/>
      <c r="BC214" s="192" t="n"/>
      <c r="BD214" s="192" t="n"/>
      <c r="BE214" s="192" t="n">
        <v>586376</v>
      </c>
      <c r="BF214" s="192" t="n"/>
      <c r="BG214" s="192" t="n"/>
      <c r="BH214" s="192" t="n"/>
      <c r="BI214" s="192" t="n">
        <v>76190</v>
      </c>
      <c r="BJ214" s="192" t="n"/>
      <c r="BK214" s="192" t="n"/>
      <c r="BL214" s="192" t="n"/>
      <c r="BM214" s="192" t="n">
        <v>48060</v>
      </c>
      <c r="BN214" s="192" t="n"/>
      <c r="BO214" s="192" t="n"/>
      <c r="BP214" s="192" t="n"/>
      <c r="BQ214" s="192" t="n"/>
      <c r="BR214" s="192" t="n"/>
      <c r="BS214" s="192" t="n"/>
      <c r="BT214" s="192" t="n"/>
      <c r="BU214" s="192" t="n"/>
      <c r="BV214" s="192" t="n"/>
      <c r="BW214" s="192" t="n"/>
      <c r="BX214" s="192" t="n"/>
      <c r="BY214" s="192" t="n"/>
      <c r="BZ214" s="192" t="n"/>
      <c r="CA214" s="192" t="n"/>
      <c r="CB214" s="192" t="n"/>
      <c r="CC214" s="192" t="n"/>
      <c r="CD214" s="192" t="n"/>
      <c r="CE214" s="192" t="n"/>
      <c r="CF214" s="192" t="n"/>
      <c r="CG214" s="192" t="n"/>
      <c r="CH214" s="192" t="n"/>
      <c r="CI214" s="192" t="n"/>
      <c r="CJ214" s="192" t="n"/>
      <c r="CK214" s="192" t="n"/>
      <c r="CL214" s="192" t="n"/>
      <c r="CM214" s="192" t="n"/>
      <c r="CN214" s="192" t="n"/>
      <c r="CO214" s="192" t="n"/>
      <c r="CP214" s="192" t="n"/>
      <c r="CQ214" s="192" t="n"/>
      <c r="CR214" s="192" t="n"/>
      <c r="CS214" s="192" t="n"/>
      <c r="CT214" s="192" t="n"/>
      <c r="CU214" s="192" t="n"/>
      <c r="CV214" s="192" t="n"/>
      <c r="CW214" s="192" t="n"/>
      <c r="CX214" s="192" t="n"/>
      <c r="CY214" s="192" t="n"/>
      <c r="CZ214" s="192" t="n"/>
      <c r="DA214" s="192" t="n"/>
      <c r="DB214" s="192" t="n"/>
      <c r="DC214" s="192" t="n"/>
      <c r="DD214" s="192" t="n"/>
      <c r="DE214" s="192" t="n"/>
      <c r="DF214" s="192" t="n"/>
      <c r="DG214" s="192" t="n"/>
      <c r="DH214" s="192" t="n"/>
      <c r="DI214" s="192" t="n"/>
      <c r="DJ214" s="192" t="n"/>
      <c r="DK214" s="192" t="n"/>
      <c r="DL214" s="192" t="n"/>
      <c r="DM214" s="192" t="n"/>
      <c r="DN214" s="192" t="n"/>
      <c r="DO214" s="192" t="n"/>
      <c r="DP214" s="192" t="n"/>
      <c r="DQ214" s="192" t="n"/>
      <c r="DR214" s="192" t="n"/>
      <c r="DS214" s="192" t="n"/>
      <c r="DT214" s="192" t="n"/>
      <c r="DU214" s="192" t="n"/>
      <c r="DV214" s="192" t="n"/>
      <c r="DW214" s="192" t="n"/>
      <c r="DX214" s="192" t="n"/>
      <c r="DY214" s="192" t="n"/>
      <c r="DZ214" s="192" t="n"/>
      <c r="EA214" s="192" t="n"/>
      <c r="EB214" s="192" t="n"/>
      <c r="EC214" s="192" t="n"/>
      <c r="ED214" s="192" t="n"/>
      <c r="EE214" s="192" t="n"/>
      <c r="EF214" s="192" t="n"/>
      <c r="EG214" s="192" t="n"/>
      <c r="EH214" s="192" t="n"/>
      <c r="EI214" s="192" t="n"/>
      <c r="EJ214" s="192" t="n"/>
      <c r="EK214" s="192" t="n"/>
      <c r="EL214" s="182" t="n"/>
      <c r="EM214" s="176" t="n"/>
      <c r="EN214" s="176" t="n"/>
      <c r="EO214" s="176" t="n"/>
      <c r="EP214" s="176" t="n"/>
      <c r="EQ214" s="176" t="n"/>
      <c r="ER214" s="176" t="n"/>
      <c r="ES214" s="176" t="n"/>
      <c r="ET214" s="176" t="n"/>
      <c r="EU214" s="176" t="n"/>
      <c r="EV214" s="176" t="n"/>
      <c r="EW214" s="176" t="n"/>
      <c r="EX214" s="176" t="n"/>
      <c r="EY214" s="176" t="n"/>
      <c r="EZ214" s="176" t="n"/>
      <c r="FA214" s="176" t="n"/>
      <c r="FB214" s="176" t="n"/>
      <c r="FC214" s="176" t="n"/>
      <c r="FD214" s="176" t="n"/>
      <c r="FE214" s="176" t="n"/>
      <c r="FF214" s="176" t="n"/>
      <c r="FG214" s="176" t="n"/>
      <c r="FH214" s="176" t="n"/>
      <c r="FI214" s="176" t="n"/>
      <c r="FJ214" s="176" t="n"/>
    </row>
    <row r="215" ht="15" customHeight="1" s="392">
      <c r="A215" s="176" t="n"/>
      <c r="B215" s="180" t="n"/>
      <c r="C215" s="183" t="inlineStr">
        <is>
          <t xml:space="preserve">        Total Contractual Obligations - Interests Charges and Other Adjustments</t>
        </is>
      </c>
      <c r="D215" s="190">
        <f>IF(COUNT(M215:EK215)&gt;0,MEDIAN(M215:EK215),"")</f>
        <v/>
      </c>
      <c r="E215" s="190">
        <f>IF(COUNT(M215:EK215)&gt;0,AVERAGE(M215:EK215),"")</f>
        <v/>
      </c>
      <c r="F215" s="190">
        <f>IF(COUNT(M215:EK215)&gt;0,MIN(M215:EK215),"")</f>
        <v/>
      </c>
      <c r="G215" s="190">
        <f>IF(COUNT(M215:EK215)&gt;0,MAX(M215:EK215),"")</f>
        <v/>
      </c>
      <c r="H215" s="190">
        <f>IF(COUNT(M215:EK215)&gt;0,QUARTILE(M215:EK215,1),"")</f>
        <v/>
      </c>
      <c r="I215" s="190">
        <f>IF(COUNT(M215:EK215)&gt;0,QUARTILE(M215:EK215,3),"")</f>
        <v/>
      </c>
      <c r="J215" s="190">
        <f>IF(COUNT(M215:EK215)&gt;1,STDEV(M215:EK215),"")</f>
        <v/>
      </c>
      <c r="K215" s="191">
        <f>IF(COUNT(M215:EK215)&gt;1,STDEV(M215:EK215)/AVERAGE(M215:EK215),"")</f>
        <v/>
      </c>
      <c r="M215" s="192" t="n"/>
      <c r="N215" s="192" t="n"/>
      <c r="O215" s="192" t="n"/>
      <c r="P215" s="192" t="n"/>
      <c r="Q215" s="192" t="n">
        <v>-20768</v>
      </c>
      <c r="R215" s="192" t="n"/>
      <c r="S215" s="192" t="n"/>
      <c r="T215" s="192" t="n"/>
      <c r="U215" s="192" t="n">
        <v>-20974</v>
      </c>
      <c r="V215" s="192" t="n"/>
      <c r="W215" s="192" t="n"/>
      <c r="X215" s="192" t="n"/>
      <c r="Y215" s="192" t="n">
        <v>-17499</v>
      </c>
      <c r="Z215" s="192" t="n"/>
      <c r="AA215" s="192" t="n"/>
      <c r="AB215" s="192" t="n"/>
      <c r="AC215" s="192" t="n">
        <v>-18290</v>
      </c>
      <c r="AD215" s="192" t="n"/>
      <c r="AE215" s="192" t="n"/>
      <c r="AF215" s="192" t="n"/>
      <c r="AG215" s="192" t="n">
        <v>-19923</v>
      </c>
      <c r="AH215" s="192" t="n"/>
      <c r="AI215" s="192" t="n"/>
      <c r="AJ215" s="192" t="n"/>
      <c r="AK215" s="192" t="n">
        <v>-20230</v>
      </c>
      <c r="AL215" s="192" t="n">
        <v>-19643</v>
      </c>
      <c r="AM215" s="192" t="n">
        <v>-18500</v>
      </c>
      <c r="AN215" s="192" t="n">
        <v>-34</v>
      </c>
      <c r="AO215" s="192" t="n"/>
      <c r="AP215" s="192" t="n"/>
      <c r="AQ215" s="192" t="n"/>
      <c r="AR215" s="192" t="n"/>
      <c r="AS215" s="192" t="n">
        <v>-1111</v>
      </c>
      <c r="AT215" s="192" t="n"/>
      <c r="AU215" s="192" t="n"/>
      <c r="AV215" s="192" t="n"/>
      <c r="AW215" s="192" t="n">
        <v>-97</v>
      </c>
      <c r="AX215" s="192" t="n"/>
      <c r="AY215" s="192" t="n"/>
      <c r="AZ215" s="192" t="n"/>
      <c r="BA215" s="192" t="n">
        <v>-194</v>
      </c>
      <c r="BB215" s="192" t="n"/>
      <c r="BC215" s="192" t="n"/>
      <c r="BD215" s="192" t="n"/>
      <c r="BE215" s="192" t="n">
        <v>-28</v>
      </c>
      <c r="BF215" s="192" t="n"/>
      <c r="BG215" s="192" t="n"/>
      <c r="BH215" s="192" t="n"/>
      <c r="BI215" s="192" t="n">
        <v>-92</v>
      </c>
      <c r="BJ215" s="192" t="n"/>
      <c r="BK215" s="192" t="n"/>
      <c r="BL215" s="192" t="n"/>
      <c r="BM215" s="192" t="n">
        <v>-8</v>
      </c>
      <c r="BN215" s="192" t="n"/>
      <c r="BO215" s="192" t="n"/>
      <c r="BP215" s="192" t="n"/>
      <c r="BQ215" s="192" t="n">
        <v>-17</v>
      </c>
      <c r="BR215" s="192" t="n"/>
      <c r="BS215" s="192" t="n"/>
      <c r="BT215" s="192" t="n"/>
      <c r="BU215" s="192" t="n"/>
      <c r="BV215" s="192" t="n"/>
      <c r="BW215" s="192" t="n"/>
      <c r="BX215" s="192" t="n"/>
      <c r="BY215" s="192" t="n"/>
      <c r="BZ215" s="192" t="n"/>
      <c r="CA215" s="192" t="n"/>
      <c r="CB215" s="192" t="n"/>
      <c r="CC215" s="192" t="n"/>
      <c r="CD215" s="192" t="n"/>
      <c r="CE215" s="192" t="n"/>
      <c r="CF215" s="192" t="n"/>
      <c r="CG215" s="192" t="n"/>
      <c r="CH215" s="192" t="n"/>
      <c r="CI215" s="192" t="n"/>
      <c r="CJ215" s="192" t="n"/>
      <c r="CK215" s="192" t="n"/>
      <c r="CL215" s="192" t="n"/>
      <c r="CM215" s="192" t="n"/>
      <c r="CN215" s="192" t="n"/>
      <c r="CO215" s="192" t="n"/>
      <c r="CP215" s="192" t="n"/>
      <c r="CQ215" s="192" t="n"/>
      <c r="CR215" s="192" t="n"/>
      <c r="CS215" s="192" t="n"/>
      <c r="CT215" s="192" t="n"/>
      <c r="CU215" s="192" t="n"/>
      <c r="CV215" s="192" t="n"/>
      <c r="CW215" s="192" t="n"/>
      <c r="CX215" s="192" t="n"/>
      <c r="CY215" s="192" t="n"/>
      <c r="CZ215" s="192" t="n"/>
      <c r="DA215" s="192" t="n"/>
      <c r="DB215" s="192" t="n"/>
      <c r="DC215" s="192" t="n"/>
      <c r="DD215" s="192" t="n"/>
      <c r="DE215" s="192" t="n"/>
      <c r="DF215" s="192" t="n"/>
      <c r="DG215" s="192" t="n"/>
      <c r="DH215" s="192" t="n"/>
      <c r="DI215" s="192" t="n"/>
      <c r="DJ215" s="192" t="n"/>
      <c r="DK215" s="192" t="n"/>
      <c r="DL215" s="192" t="n"/>
      <c r="DM215" s="192" t="n"/>
      <c r="DN215" s="192" t="n"/>
      <c r="DO215" s="192" t="n"/>
      <c r="DP215" s="192" t="n"/>
      <c r="DQ215" s="192" t="n"/>
      <c r="DR215" s="192" t="n"/>
      <c r="DS215" s="192" t="n"/>
      <c r="DT215" s="192" t="n"/>
      <c r="DU215" s="192" t="n"/>
      <c r="DV215" s="192" t="n"/>
      <c r="DW215" s="192" t="n"/>
      <c r="DX215" s="192" t="n"/>
      <c r="DY215" s="192" t="n"/>
      <c r="DZ215" s="192" t="n"/>
      <c r="EA215" s="192" t="n"/>
      <c r="EB215" s="192" t="n"/>
      <c r="EC215" s="192" t="n"/>
      <c r="ED215" s="192" t="n"/>
      <c r="EE215" s="192" t="n"/>
      <c r="EF215" s="192" t="n"/>
      <c r="EG215" s="192" t="n"/>
      <c r="EH215" s="192" t="n"/>
      <c r="EI215" s="192" t="n"/>
      <c r="EJ215" s="192" t="n"/>
      <c r="EK215" s="192" t="n"/>
      <c r="EL215" s="182" t="n"/>
      <c r="EM215" s="176" t="n"/>
      <c r="EN215" s="176" t="n"/>
      <c r="EO215" s="176" t="n"/>
      <c r="EP215" s="176" t="n"/>
      <c r="EQ215" s="176" t="n"/>
      <c r="ER215" s="176" t="n"/>
      <c r="ES215" s="176" t="n"/>
      <c r="ET215" s="176" t="n"/>
      <c r="EU215" s="176" t="n"/>
      <c r="EV215" s="176" t="n"/>
      <c r="EW215" s="176" t="n"/>
      <c r="EX215" s="176" t="n"/>
      <c r="EY215" s="176" t="n"/>
      <c r="EZ215" s="176" t="n"/>
      <c r="FA215" s="176" t="n"/>
      <c r="FB215" s="176" t="n"/>
      <c r="FC215" s="176" t="n"/>
      <c r="FD215" s="176" t="n"/>
      <c r="FE215" s="176" t="n"/>
      <c r="FF215" s="176" t="n"/>
      <c r="FG215" s="176" t="n"/>
      <c r="FH215" s="176" t="n"/>
      <c r="FI215" s="176" t="n"/>
      <c r="FJ215" s="176" t="n"/>
    </row>
    <row r="216" ht="15" customHeight="1" s="392">
      <c r="A216" s="176" t="n"/>
      <c r="B216" s="180" t="n"/>
      <c r="C216" s="187" t="inlineStr">
        <is>
          <t xml:space="preserve">    Total Contractual Obligations</t>
        </is>
      </c>
      <c r="D216" s="193">
        <f>IF(COUNT(M216:EK216)&gt;0,MEDIAN(M216:EK216),"")</f>
        <v/>
      </c>
      <c r="E216" s="193">
        <f>IF(COUNT(M216:EK216)&gt;0,AVERAGE(M216:EK216),"")</f>
        <v/>
      </c>
      <c r="F216" s="193">
        <f>IF(COUNT(M216:EK216)&gt;0,MIN(M216:EK216),"")</f>
        <v/>
      </c>
      <c r="G216" s="193">
        <f>IF(COUNT(M216:EK216)&gt;0,MAX(M216:EK216),"")</f>
        <v/>
      </c>
      <c r="H216" s="193">
        <f>IF(COUNT(M216:EK216)&gt;0,QUARTILE(M216:EK216,1),"")</f>
        <v/>
      </c>
      <c r="I216" s="193">
        <f>IF(COUNT(M216:EK216)&gt;0,QUARTILE(M216:EK216,3),"")</f>
        <v/>
      </c>
      <c r="J216" s="193">
        <f>IF(COUNT(M216:EK216)&gt;1,STDEV(M216:EK216),"")</f>
        <v/>
      </c>
      <c r="K216" s="194">
        <f>IF(COUNT(M216:EK216)&gt;1,STDEV(M216:EK216)/AVERAGE(M216:EK216),"")</f>
        <v/>
      </c>
      <c r="L216" s="195" t="n"/>
      <c r="M216" s="196" t="n"/>
      <c r="N216" s="196" t="n"/>
      <c r="O216" s="196" t="n"/>
      <c r="P216" s="196" t="n"/>
      <c r="Q216" s="196" t="n">
        <v>103739</v>
      </c>
      <c r="R216" s="196" t="n"/>
      <c r="S216" s="196" t="n"/>
      <c r="T216" s="196" t="n"/>
      <c r="U216" s="196" t="n">
        <v>118733</v>
      </c>
      <c r="V216" s="196" t="n"/>
      <c r="W216" s="196" t="n"/>
      <c r="X216" s="196" t="n"/>
      <c r="Y216" s="196" t="n">
        <v>109537</v>
      </c>
      <c r="Z216" s="196" t="n"/>
      <c r="AA216" s="196" t="n"/>
      <c r="AB216" s="196" t="n"/>
      <c r="AC216" s="196" t="n">
        <v>117477</v>
      </c>
      <c r="AD216" s="196" t="n"/>
      <c r="AE216" s="196" t="n"/>
      <c r="AF216" s="196" t="n"/>
      <c r="AG216" s="196" t="n">
        <v>520433</v>
      </c>
      <c r="AH216" s="196" t="n"/>
      <c r="AI216" s="196" t="n"/>
      <c r="AJ216" s="196" t="n"/>
      <c r="AK216" s="196" t="n">
        <v>243980</v>
      </c>
      <c r="AL216" s="196" t="n">
        <v>117132</v>
      </c>
      <c r="AM216" s="196" t="n">
        <v>106635</v>
      </c>
      <c r="AN216" s="196" t="n">
        <v>1568</v>
      </c>
      <c r="AO216" s="196" t="n">
        <v>302071</v>
      </c>
      <c r="AP216" s="196" t="n"/>
      <c r="AQ216" s="196" t="n"/>
      <c r="AR216" s="196" t="n"/>
      <c r="AS216" s="196" t="n">
        <v>702945</v>
      </c>
      <c r="AT216" s="196" t="n"/>
      <c r="AU216" s="196" t="n"/>
      <c r="AV216" s="196" t="n"/>
      <c r="AW216" s="196" t="n">
        <v>981909</v>
      </c>
      <c r="AX216" s="196" t="n"/>
      <c r="AY216" s="196" t="n"/>
      <c r="AZ216" s="196" t="n"/>
      <c r="BA216" s="196" t="n">
        <v>1013833</v>
      </c>
      <c r="BB216" s="196" t="n"/>
      <c r="BC216" s="196" t="n"/>
      <c r="BD216" s="196" t="n"/>
      <c r="BE216" s="196" t="n">
        <v>1028106</v>
      </c>
      <c r="BF216" s="196" t="n"/>
      <c r="BG216" s="196" t="n"/>
      <c r="BH216" s="196" t="n"/>
      <c r="BI216" s="196" t="n">
        <v>194850</v>
      </c>
      <c r="BJ216" s="196" t="n"/>
      <c r="BK216" s="196" t="n"/>
      <c r="BL216" s="196" t="n"/>
      <c r="BM216" s="196" t="n">
        <v>534067</v>
      </c>
      <c r="BN216" s="196" t="n"/>
      <c r="BO216" s="196" t="n"/>
      <c r="BP216" s="196" t="n"/>
      <c r="BQ216" s="196" t="n">
        <v>307</v>
      </c>
      <c r="BR216" s="196" t="n"/>
      <c r="BS216" s="196" t="n">
        <v>481250</v>
      </c>
      <c r="BT216" s="196" t="n"/>
      <c r="BU216" s="196" t="n"/>
      <c r="BV216" s="196" t="n"/>
      <c r="BW216" s="196" t="n"/>
      <c r="BX216" s="196" t="n"/>
      <c r="BY216" s="196" t="n"/>
      <c r="BZ216" s="196" t="n"/>
      <c r="CA216" s="196" t="n"/>
      <c r="CB216" s="196" t="n"/>
      <c r="CC216" s="196" t="n"/>
      <c r="CD216" s="196" t="n"/>
      <c r="CE216" s="196" t="n"/>
      <c r="CF216" s="196" t="n"/>
      <c r="CG216" s="196" t="n"/>
      <c r="CH216" s="196" t="n"/>
      <c r="CI216" s="196" t="n"/>
      <c r="CJ216" s="196" t="n"/>
      <c r="CK216" s="196" t="n"/>
      <c r="CL216" s="196" t="n"/>
      <c r="CM216" s="196" t="n"/>
      <c r="CN216" s="196" t="n"/>
      <c r="CO216" s="196" t="n"/>
      <c r="CP216" s="196" t="n"/>
      <c r="CQ216" s="196" t="n"/>
      <c r="CR216" s="196" t="n"/>
      <c r="CS216" s="196" t="n"/>
      <c r="CT216" s="196" t="n"/>
      <c r="CU216" s="196" t="n"/>
      <c r="CV216" s="196" t="n"/>
      <c r="CW216" s="196" t="n"/>
      <c r="CX216" s="196" t="n"/>
      <c r="CY216" s="196" t="n"/>
      <c r="CZ216" s="196" t="n"/>
      <c r="DA216" s="196" t="n"/>
      <c r="DB216" s="196" t="n"/>
      <c r="DC216" s="196" t="n"/>
      <c r="DD216" s="196" t="n"/>
      <c r="DE216" s="196" t="n"/>
      <c r="DF216" s="196" t="n"/>
      <c r="DG216" s="196" t="n"/>
      <c r="DH216" s="196" t="n"/>
      <c r="DI216" s="196" t="n"/>
      <c r="DJ216" s="196" t="n"/>
      <c r="DK216" s="196" t="n"/>
      <c r="DL216" s="196" t="n"/>
      <c r="DM216" s="196" t="n"/>
      <c r="DN216" s="196" t="n"/>
      <c r="DO216" s="196" t="n"/>
      <c r="DP216" s="196" t="n"/>
      <c r="DQ216" s="196" t="n"/>
      <c r="DR216" s="196" t="n"/>
      <c r="DS216" s="196" t="n"/>
      <c r="DT216" s="196" t="n"/>
      <c r="DU216" s="196" t="n"/>
      <c r="DV216" s="196" t="n"/>
      <c r="DW216" s="196" t="n"/>
      <c r="DX216" s="196" t="n"/>
      <c r="DY216" s="196" t="n"/>
      <c r="DZ216" s="196" t="n"/>
      <c r="EA216" s="196" t="n"/>
      <c r="EB216" s="196" t="n"/>
      <c r="EC216" s="196" t="n"/>
      <c r="ED216" s="196" t="n"/>
      <c r="EE216" s="196" t="n"/>
      <c r="EF216" s="196" t="n"/>
      <c r="EG216" s="196" t="n"/>
      <c r="EH216" s="196" t="n"/>
      <c r="EI216" s="196" t="n"/>
      <c r="EJ216" s="196" t="n"/>
      <c r="EK216" s="196" t="n"/>
      <c r="EL216" s="182" t="n"/>
      <c r="EM216" s="176" t="n"/>
      <c r="EN216" s="176" t="n"/>
      <c r="EO216" s="176" t="n"/>
      <c r="EP216" s="176" t="n"/>
      <c r="EQ216" s="176" t="n"/>
      <c r="ER216" s="176" t="n"/>
      <c r="ES216" s="176" t="n"/>
      <c r="ET216" s="176" t="n"/>
      <c r="EU216" s="176" t="n"/>
      <c r="EV216" s="176" t="n"/>
      <c r="EW216" s="176" t="n"/>
      <c r="EX216" s="176" t="n"/>
      <c r="EY216" s="176" t="n"/>
      <c r="EZ216" s="176" t="n"/>
      <c r="FA216" s="176" t="n"/>
      <c r="FB216" s="176" t="n"/>
      <c r="FC216" s="176" t="n"/>
      <c r="FD216" s="176" t="n"/>
      <c r="FE216" s="176" t="n"/>
      <c r="FF216" s="176" t="n"/>
      <c r="FG216" s="176" t="n"/>
      <c r="FH216" s="176" t="n"/>
      <c r="FI216" s="176" t="n"/>
      <c r="FJ216" s="176" t="n"/>
    </row>
    <row r="217" ht="15" customHeight="1" s="392">
      <c r="A217" s="176" t="n"/>
      <c r="B217" s="180" t="n"/>
      <c r="C217" s="189" t="inlineStr">
        <is>
          <t>Financial Health Metrics</t>
        </is>
      </c>
      <c r="D217" s="185" t="n"/>
      <c r="E217" s="185" t="n"/>
      <c r="F217" s="185" t="n"/>
      <c r="G217" s="185" t="n"/>
      <c r="H217" s="185" t="n"/>
      <c r="I217" s="185" t="n"/>
      <c r="J217" s="185" t="n"/>
      <c r="K217" s="185" t="n"/>
      <c r="L217" s="185" t="n"/>
      <c r="M217" s="185" t="n"/>
      <c r="N217" s="185" t="n"/>
      <c r="O217" s="185" t="n"/>
      <c r="P217" s="185" t="n"/>
      <c r="Q217" s="185" t="n"/>
      <c r="R217" s="185" t="n"/>
      <c r="S217" s="185" t="n"/>
      <c r="T217" s="185" t="n"/>
      <c r="U217" s="185" t="n"/>
      <c r="V217" s="185" t="n"/>
      <c r="W217" s="185" t="n"/>
      <c r="X217" s="185" t="n"/>
      <c r="Y217" s="185" t="n"/>
      <c r="Z217" s="185" t="n"/>
      <c r="AA217" s="185" t="n"/>
      <c r="AB217" s="185" t="n"/>
      <c r="AC217" s="185" t="n"/>
      <c r="AD217" s="185" t="n"/>
      <c r="AE217" s="185" t="n"/>
      <c r="AF217" s="185" t="n"/>
      <c r="AG217" s="185" t="n"/>
      <c r="AH217" s="185" t="n"/>
      <c r="AI217" s="185" t="n"/>
      <c r="AJ217" s="185" t="n"/>
      <c r="AK217" s="185" t="n"/>
      <c r="AL217" s="185" t="n"/>
      <c r="AM217" s="185" t="n"/>
      <c r="AN217" s="185" t="n"/>
      <c r="AO217" s="185" t="n"/>
      <c r="AP217" s="185" t="n"/>
      <c r="AQ217" s="185" t="n"/>
      <c r="AR217" s="185" t="n"/>
      <c r="AS217" s="185" t="n"/>
      <c r="AT217" s="185" t="n"/>
      <c r="AU217" s="185" t="n"/>
      <c r="AV217" s="185" t="n"/>
      <c r="AW217" s="185" t="n"/>
      <c r="AX217" s="185" t="n"/>
      <c r="AY217" s="185" t="n"/>
      <c r="AZ217" s="185" t="n"/>
      <c r="BA217" s="185" t="n"/>
      <c r="BB217" s="185" t="n"/>
      <c r="BC217" s="185" t="n"/>
      <c r="BD217" s="185" t="n"/>
      <c r="BE217" s="185" t="n"/>
      <c r="BF217" s="185" t="n"/>
      <c r="BG217" s="185" t="n"/>
      <c r="BH217" s="185" t="n"/>
      <c r="BI217" s="185" t="n"/>
      <c r="BJ217" s="185" t="n"/>
      <c r="BK217" s="185" t="n"/>
      <c r="BL217" s="185" t="n"/>
      <c r="BM217" s="185" t="n"/>
      <c r="BN217" s="185" t="n"/>
      <c r="BO217" s="185" t="n"/>
      <c r="BP217" s="185" t="n"/>
      <c r="BQ217" s="185" t="n"/>
      <c r="BR217" s="185" t="n"/>
      <c r="BS217" s="185" t="n"/>
      <c r="BT217" s="185" t="n"/>
      <c r="BU217" s="185" t="n"/>
      <c r="BV217" s="185" t="n"/>
      <c r="BW217" s="185" t="n"/>
      <c r="BX217" s="185" t="n"/>
      <c r="BY217" s="185" t="n"/>
      <c r="BZ217" s="185" t="n"/>
      <c r="CA217" s="185" t="n"/>
      <c r="CB217" s="185" t="n"/>
      <c r="CC217" s="185" t="n"/>
      <c r="CD217" s="185" t="n"/>
      <c r="CE217" s="185" t="n"/>
      <c r="CF217" s="185" t="n"/>
      <c r="CG217" s="185" t="n"/>
      <c r="CH217" s="185" t="n"/>
      <c r="CI217" s="185" t="n"/>
      <c r="CJ217" s="185" t="n"/>
      <c r="CK217" s="185" t="n"/>
      <c r="CL217" s="185" t="n"/>
      <c r="CM217" s="185" t="n"/>
      <c r="CN217" s="185" t="n"/>
      <c r="CO217" s="185" t="n"/>
      <c r="CP217" s="185" t="n"/>
      <c r="CQ217" s="185" t="n"/>
      <c r="CR217" s="185" t="n"/>
      <c r="CS217" s="185" t="n"/>
      <c r="CT217" s="185" t="n"/>
      <c r="CU217" s="185" t="n"/>
      <c r="CV217" s="185" t="n"/>
      <c r="CW217" s="185" t="n"/>
      <c r="CX217" s="185" t="n"/>
      <c r="CY217" s="185" t="n"/>
      <c r="CZ217" s="185" t="n"/>
      <c r="DA217" s="185" t="n"/>
      <c r="DB217" s="185" t="n"/>
      <c r="DC217" s="185" t="n"/>
      <c r="DD217" s="185" t="n"/>
      <c r="DE217" s="185" t="n"/>
      <c r="DF217" s="185" t="n"/>
      <c r="DG217" s="185" t="n"/>
      <c r="DH217" s="185" t="n"/>
      <c r="DI217" s="185" t="n"/>
      <c r="DJ217" s="185" t="n"/>
      <c r="DK217" s="185" t="n"/>
      <c r="DL217" s="185" t="n"/>
      <c r="DM217" s="185" t="n"/>
      <c r="DN217" s="185" t="n"/>
      <c r="DO217" s="185" t="n"/>
      <c r="DP217" s="185" t="n"/>
      <c r="DQ217" s="185" t="n"/>
      <c r="DR217" s="185" t="n"/>
      <c r="DS217" s="185" t="n"/>
      <c r="DT217" s="185" t="n"/>
      <c r="DU217" s="185" t="n"/>
      <c r="DV217" s="185" t="n"/>
      <c r="DW217" s="185" t="n"/>
      <c r="DX217" s="185" t="n"/>
      <c r="DY217" s="185" t="n"/>
      <c r="DZ217" s="185" t="n"/>
      <c r="EA217" s="185" t="n"/>
      <c r="EB217" s="185" t="n"/>
      <c r="EC217" s="185" t="n"/>
      <c r="ED217" s="185" t="n"/>
      <c r="EE217" s="185" t="n"/>
      <c r="EF217" s="185" t="n"/>
      <c r="EG217" s="185" t="n"/>
      <c r="EH217" s="185" t="n"/>
      <c r="EI217" s="185" t="n"/>
      <c r="EJ217" s="185" t="n"/>
      <c r="EK217" s="185" t="n"/>
      <c r="EL217" s="182" t="n"/>
      <c r="EM217" s="176" t="n"/>
      <c r="EN217" s="176" t="n"/>
      <c r="EO217" s="176" t="n"/>
      <c r="EP217" s="176" t="n"/>
      <c r="EQ217" s="176" t="n"/>
      <c r="ER217" s="176" t="n"/>
      <c r="ES217" s="176" t="n"/>
      <c r="ET217" s="176" t="n"/>
      <c r="EU217" s="176" t="n"/>
      <c r="EV217" s="176" t="n"/>
      <c r="EW217" s="176" t="n"/>
      <c r="EX217" s="176" t="n"/>
      <c r="EY217" s="176" t="n"/>
      <c r="EZ217" s="176" t="n"/>
      <c r="FA217" s="176" t="n"/>
      <c r="FB217" s="176" t="n"/>
      <c r="FC217" s="176" t="n"/>
      <c r="FD217" s="176" t="n"/>
      <c r="FE217" s="176" t="n"/>
      <c r="FF217" s="176" t="n"/>
      <c r="FG217" s="176" t="n"/>
      <c r="FH217" s="176" t="n"/>
      <c r="FI217" s="176" t="n"/>
      <c r="FJ217" s="176" t="n"/>
    </row>
    <row r="218" ht="15" customHeight="1" s="392">
      <c r="A218" s="176" t="n"/>
      <c r="B218" s="180" t="n"/>
      <c r="C218" s="183" t="inlineStr">
        <is>
          <t xml:space="preserve">    Total Debt</t>
        </is>
      </c>
      <c r="D218" s="190">
        <f>IF(COUNT(M218:EK218)&gt;0,MEDIAN(M218:EK218),"")</f>
        <v/>
      </c>
      <c r="E218" s="190">
        <f>IF(COUNT(M218:EK218)&gt;0,AVERAGE(M218:EK218),"")</f>
        <v/>
      </c>
      <c r="F218" s="190">
        <f>IF(COUNT(M218:EK218)&gt;0,MIN(M218:EK218),"")</f>
        <v/>
      </c>
      <c r="G218" s="190">
        <f>IF(COUNT(M218:EK218)&gt;0,MAX(M218:EK218),"")</f>
        <v/>
      </c>
      <c r="H218" s="190">
        <f>IF(COUNT(M218:EK218)&gt;0,QUARTILE(M218:EK218,1),"")</f>
        <v/>
      </c>
      <c r="I218" s="190">
        <f>IF(COUNT(M218:EK218)&gt;0,QUARTILE(M218:EK218,3),"")</f>
        <v/>
      </c>
      <c r="J218" s="190">
        <f>IF(COUNT(M218:EK218)&gt;1,STDEV(M218:EK218),"")</f>
        <v/>
      </c>
      <c r="K218" s="191">
        <f>IF(COUNT(M218:EK218)&gt;1,STDEV(M218:EK218)/AVERAGE(M218:EK218),"")</f>
        <v/>
      </c>
      <c r="M218" s="192" t="n">
        <v>88367</v>
      </c>
      <c r="N218" s="192" t="n">
        <v>93116</v>
      </c>
      <c r="O218" s="192" t="n">
        <v>96136</v>
      </c>
      <c r="P218" s="192" t="n">
        <v>99936</v>
      </c>
      <c r="Q218" s="192" t="n">
        <v>103739</v>
      </c>
      <c r="R218" s="192" t="n">
        <v>101060</v>
      </c>
      <c r="S218" s="192" t="n">
        <v>119397</v>
      </c>
      <c r="T218" s="192" t="n">
        <v>116871</v>
      </c>
      <c r="U218" s="192" t="n">
        <v>118733</v>
      </c>
      <c r="V218" s="192" t="n">
        <v>112033</v>
      </c>
      <c r="W218" s="192" t="n">
        <v>115552</v>
      </c>
      <c r="X218" s="192" t="n">
        <v>132863</v>
      </c>
      <c r="Y218" s="192" t="n">
        <v>120453</v>
      </c>
      <c r="Z218" s="192" t="n">
        <v>129284</v>
      </c>
      <c r="AA218" s="192" t="n">
        <v>110076</v>
      </c>
      <c r="AB218" s="192" t="n">
        <v>115722</v>
      </c>
      <c r="AC218" s="192" t="n">
        <v>119473</v>
      </c>
      <c r="AD218" s="192" t="n">
        <v>525030</v>
      </c>
      <c r="AE218" s="192" t="n">
        <v>525414</v>
      </c>
      <c r="AF218" s="192" t="n">
        <v>533396</v>
      </c>
      <c r="AG218" s="192" t="n">
        <v>518069</v>
      </c>
      <c r="AH218" s="192" t="n">
        <v>530126</v>
      </c>
      <c r="AI218" s="192" t="n">
        <v>511814</v>
      </c>
      <c r="AJ218" s="192" t="n">
        <v>525939</v>
      </c>
      <c r="AK218" s="192" t="n">
        <v>518622</v>
      </c>
      <c r="AL218" s="192" t="n">
        <v>516289</v>
      </c>
      <c r="AM218" s="192" t="n">
        <v>519281</v>
      </c>
      <c r="AN218" s="192" t="n">
        <v>540887</v>
      </c>
      <c r="AO218" s="192" t="n">
        <v>401229</v>
      </c>
      <c r="AP218" s="192" t="n">
        <v>406391</v>
      </c>
      <c r="AQ218" s="192" t="n">
        <v>492862</v>
      </c>
      <c r="AR218" s="192" t="n">
        <v>399641</v>
      </c>
      <c r="AS218" s="192" t="n">
        <v>399898</v>
      </c>
      <c r="AT218" s="192" t="n">
        <v>400065</v>
      </c>
      <c r="AU218" s="192" t="n">
        <v>512497</v>
      </c>
      <c r="AV218" s="192" t="n">
        <v>583854</v>
      </c>
      <c r="AW218" s="192" t="n">
        <v>633038</v>
      </c>
      <c r="AX218" s="192" t="n">
        <v>566906</v>
      </c>
      <c r="AY218" s="192" t="n">
        <v>712077</v>
      </c>
      <c r="AZ218" s="192" t="n">
        <v>744181</v>
      </c>
      <c r="BA218" s="192" t="n">
        <v>640492</v>
      </c>
      <c r="BB218" s="192" t="n">
        <v>700876</v>
      </c>
      <c r="BC218" s="192" t="n">
        <v>675672</v>
      </c>
      <c r="BD218" s="192" t="n">
        <v>626723</v>
      </c>
      <c r="BE218" s="192" t="n">
        <v>644514</v>
      </c>
      <c r="BF218" s="192" t="n">
        <v>664872</v>
      </c>
      <c r="BG218" s="192" t="n">
        <v>684407</v>
      </c>
      <c r="BH218" s="192" t="n">
        <v>280039</v>
      </c>
      <c r="BI218" s="192" t="n">
        <v>302901</v>
      </c>
      <c r="BJ218" s="192" t="n">
        <v>318277</v>
      </c>
      <c r="BK218" s="192" t="n">
        <v>355244</v>
      </c>
      <c r="BL218" s="192" t="n">
        <v>357426</v>
      </c>
      <c r="BM218" s="192" t="n">
        <v>388748</v>
      </c>
      <c r="BN218" s="192" t="n">
        <v>390167</v>
      </c>
      <c r="BO218" s="192" t="n">
        <v>408245</v>
      </c>
      <c r="BP218" s="192" t="n">
        <v>425336</v>
      </c>
      <c r="BQ218" s="192" t="n">
        <v>444120</v>
      </c>
      <c r="BR218" s="192" t="n">
        <v>462926</v>
      </c>
      <c r="BS218" s="192" t="n">
        <v>481716</v>
      </c>
      <c r="BT218" s="192" t="n">
        <v>500724</v>
      </c>
      <c r="BU218" s="192" t="n">
        <v>375756</v>
      </c>
      <c r="BV218" s="192" t="n">
        <v>388697</v>
      </c>
      <c r="BW218" s="192" t="n">
        <v>0</v>
      </c>
      <c r="BX218" s="192" t="n">
        <v>975</v>
      </c>
      <c r="BY218" s="192" t="n">
        <v>0</v>
      </c>
      <c r="BZ218" s="192" t="n">
        <v>0</v>
      </c>
      <c r="CA218" s="192" t="n">
        <v>0</v>
      </c>
      <c r="CB218" s="192" t="n">
        <v>0</v>
      </c>
      <c r="CC218" s="192" t="n">
        <v>0</v>
      </c>
      <c r="CD218" s="192" t="n">
        <v>9910</v>
      </c>
      <c r="CE218" s="192" t="n">
        <v>7579</v>
      </c>
      <c r="CF218" s="192" t="n">
        <v>17502</v>
      </c>
      <c r="CG218" s="192" t="n"/>
      <c r="CH218" s="192" t="n"/>
      <c r="CI218" s="192" t="n"/>
      <c r="CJ218" s="192" t="n">
        <v>9256</v>
      </c>
      <c r="CK218" s="192" t="n"/>
      <c r="CL218" s="192" t="n"/>
      <c r="CM218" s="192" t="n"/>
      <c r="CN218" s="192" t="n"/>
      <c r="CO218" s="192" t="n"/>
      <c r="CP218" s="192" t="n"/>
      <c r="CQ218" s="192" t="n"/>
      <c r="CR218" s="192" t="n"/>
      <c r="CS218" s="192" t="n"/>
      <c r="CT218" s="192" t="n">
        <v>154.2</v>
      </c>
      <c r="CU218" s="192" t="n">
        <v>14.6</v>
      </c>
      <c r="CV218" s="192" t="n"/>
      <c r="CW218" s="192" t="n">
        <v>17.9</v>
      </c>
      <c r="CX218" s="192" t="n">
        <v>20</v>
      </c>
      <c r="CY218" s="192" t="n">
        <v>21.2</v>
      </c>
      <c r="CZ218" s="192" t="n">
        <v>107</v>
      </c>
      <c r="DA218" s="192" t="n">
        <v>192.2</v>
      </c>
      <c r="DB218" s="192" t="n">
        <v>275.6</v>
      </c>
      <c r="DC218" s="192" t="n">
        <v>330.2</v>
      </c>
      <c r="DD218" s="192" t="n">
        <v>409.2</v>
      </c>
      <c r="DE218" s="192" t="n">
        <v>486.9</v>
      </c>
      <c r="DF218" s="192" t="n">
        <v>563.2</v>
      </c>
      <c r="DG218" s="192" t="n">
        <v>638.4</v>
      </c>
      <c r="DH218" s="192" t="n">
        <v>712.1</v>
      </c>
      <c r="DI218" s="192" t="n">
        <v>8284.700000000001</v>
      </c>
      <c r="DJ218" s="192" t="n">
        <v>8373.5</v>
      </c>
      <c r="DK218" s="192" t="n">
        <v>8533.4</v>
      </c>
      <c r="DL218" s="192" t="n">
        <v>8554.5</v>
      </c>
      <c r="DM218" s="192" t="n">
        <v>7580.7</v>
      </c>
      <c r="DN218" s="192" t="n">
        <v>7600</v>
      </c>
      <c r="DO218" s="192" t="n">
        <v>7600</v>
      </c>
      <c r="DP218" s="192" t="n">
        <v>7900</v>
      </c>
      <c r="DQ218" s="192" t="n">
        <v>8000</v>
      </c>
      <c r="DR218" s="192" t="n">
        <v>8100</v>
      </c>
      <c r="DS218" s="192" t="n">
        <v>8200</v>
      </c>
      <c r="DT218" s="192" t="n">
        <v>8400</v>
      </c>
      <c r="DU218" s="192" t="n">
        <v>8400</v>
      </c>
      <c r="DV218" s="192" t="n">
        <v>8400</v>
      </c>
      <c r="DW218" s="192" t="n">
        <v>8000</v>
      </c>
      <c r="DX218" s="192" t="n">
        <v>9700</v>
      </c>
      <c r="DY218" s="192" t="n">
        <v>10600</v>
      </c>
      <c r="DZ218" s="192" t="n">
        <v>10900</v>
      </c>
      <c r="EA218" s="192" t="n">
        <v>11100</v>
      </c>
      <c r="EB218" s="192" t="n">
        <v>11300</v>
      </c>
      <c r="EC218" s="192" t="n">
        <v>3300</v>
      </c>
      <c r="ED218" s="192" t="n">
        <v>3500</v>
      </c>
      <c r="EE218" s="192" t="n">
        <v>3600</v>
      </c>
      <c r="EF218" s="192" t="n">
        <v>3800</v>
      </c>
      <c r="EG218" s="192" t="n">
        <v>3500</v>
      </c>
      <c r="EH218" s="192" t="n">
        <v>3900</v>
      </c>
      <c r="EI218" s="192" t="n">
        <v>4000</v>
      </c>
      <c r="EJ218" s="192" t="n">
        <v>4000</v>
      </c>
      <c r="EK218" s="192" t="n">
        <v>3500</v>
      </c>
      <c r="EL218" s="182" t="n"/>
      <c r="EM218" s="176" t="n"/>
      <c r="EN218" s="176" t="n"/>
      <c r="EO218" s="176" t="n"/>
      <c r="EP218" s="176" t="n"/>
      <c r="EQ218" s="176" t="n"/>
      <c r="ER218" s="176" t="n"/>
      <c r="ES218" s="176" t="n"/>
      <c r="ET218" s="176" t="n"/>
      <c r="EU218" s="176" t="n"/>
      <c r="EV218" s="176" t="n"/>
      <c r="EW218" s="176" t="n"/>
      <c r="EX218" s="176" t="n"/>
      <c r="EY218" s="176" t="n"/>
      <c r="EZ218" s="176" t="n"/>
      <c r="FA218" s="176" t="n"/>
      <c r="FB218" s="176" t="n"/>
      <c r="FC218" s="176" t="n"/>
      <c r="FD218" s="176" t="n"/>
      <c r="FE218" s="176" t="n"/>
      <c r="FF218" s="176" t="n"/>
      <c r="FG218" s="176" t="n"/>
      <c r="FH218" s="176" t="n"/>
      <c r="FI218" s="176" t="n"/>
      <c r="FJ218" s="176" t="n"/>
    </row>
    <row r="219" ht="15" customHeight="1" s="392">
      <c r="A219" s="176" t="n"/>
      <c r="B219" s="180" t="n"/>
      <c r="C219" s="183" t="inlineStr">
        <is>
          <t xml:space="preserve">    Net Debt</t>
        </is>
      </c>
      <c r="D219" s="190">
        <f>IF(COUNT(M219:EK219)&gt;0,MEDIAN(M219:EK219),"")</f>
        <v/>
      </c>
      <c r="E219" s="190">
        <f>IF(COUNT(M219:EK219)&gt;0,AVERAGE(M219:EK219),"")</f>
        <v/>
      </c>
      <c r="F219" s="190">
        <f>IF(COUNT(M219:EK219)&gt;0,MIN(M219:EK219),"")</f>
        <v/>
      </c>
      <c r="G219" s="190">
        <f>IF(COUNT(M219:EK219)&gt;0,MAX(M219:EK219),"")</f>
        <v/>
      </c>
      <c r="H219" s="190">
        <f>IF(COUNT(M219:EK219)&gt;0,QUARTILE(M219:EK219,1),"")</f>
        <v/>
      </c>
      <c r="I219" s="190">
        <f>IF(COUNT(M219:EK219)&gt;0,QUARTILE(M219:EK219,3),"")</f>
        <v/>
      </c>
      <c r="J219" s="190">
        <f>IF(COUNT(M219:EK219)&gt;1,STDEV(M219:EK219),"")</f>
        <v/>
      </c>
      <c r="K219" s="191">
        <f>IF(COUNT(M219:EK219)&gt;1,STDEV(M219:EK219)/AVERAGE(M219:EK219),"")</f>
        <v/>
      </c>
      <c r="M219" s="192" t="n">
        <v>-4401435</v>
      </c>
      <c r="N219" s="192" t="n">
        <v>-4106596</v>
      </c>
      <c r="O219" s="192" t="n">
        <v>-5005685</v>
      </c>
      <c r="P219" s="192" t="n">
        <v>-5143515</v>
      </c>
      <c r="Q219" s="192" t="n">
        <v>-4685331</v>
      </c>
      <c r="R219" s="192" t="n">
        <v>-4283282</v>
      </c>
      <c r="S219" s="192" t="n">
        <v>-3678054</v>
      </c>
      <c r="T219" s="192" t="n">
        <v>-3581247</v>
      </c>
      <c r="U219" s="192" t="n">
        <v>-3303425</v>
      </c>
      <c r="V219" s="192" t="n">
        <v>-2978296</v>
      </c>
      <c r="W219" s="192" t="n">
        <v>-2552518</v>
      </c>
      <c r="X219" s="192" t="n">
        <v>-2497686</v>
      </c>
      <c r="Y219" s="192" t="n">
        <v>-2243531</v>
      </c>
      <c r="Z219" s="192" t="n">
        <v>-1984899</v>
      </c>
      <c r="AA219" s="192" t="n">
        <v>-1550876</v>
      </c>
      <c r="AB219" s="192" t="n">
        <v>-1423669</v>
      </c>
      <c r="AC219" s="192" t="n">
        <v>-1264763</v>
      </c>
      <c r="AD219" s="192" t="n">
        <v>-1154677</v>
      </c>
      <c r="AE219" s="192" t="n">
        <v>-821103</v>
      </c>
      <c r="AF219" s="192" t="n">
        <v>-764977</v>
      </c>
      <c r="AG219" s="192" t="n">
        <v>-530191</v>
      </c>
      <c r="AH219" s="192" t="n">
        <v>-381764</v>
      </c>
      <c r="AI219" s="192" t="n">
        <v>-104589</v>
      </c>
      <c r="AJ219" s="192" t="n">
        <v>-79793</v>
      </c>
      <c r="AK219" s="192" t="n">
        <v>40904</v>
      </c>
      <c r="AL219" s="192" t="n">
        <v>209902</v>
      </c>
      <c r="AM219" s="192" t="n">
        <v>425770</v>
      </c>
      <c r="AN219" s="192" t="n">
        <v>359785</v>
      </c>
      <c r="AO219" s="192" t="n">
        <v>214910</v>
      </c>
      <c r="AP219" s="192" t="n">
        <v>303565</v>
      </c>
      <c r="AQ219" s="192" t="n">
        <v>384688</v>
      </c>
      <c r="AR219" s="192" t="n">
        <v>79332</v>
      </c>
      <c r="AS219" s="192" t="n">
        <v>125378</v>
      </c>
      <c r="AT219" s="192" t="n">
        <v>195790</v>
      </c>
      <c r="AU219" s="192" t="n">
        <v>317197</v>
      </c>
      <c r="AV219" s="192" t="n">
        <v>359608</v>
      </c>
      <c r="AW219" s="192" t="n">
        <v>422938</v>
      </c>
      <c r="AX219" s="192" t="n">
        <v>377285</v>
      </c>
      <c r="AY219" s="192" t="n">
        <v>537125</v>
      </c>
      <c r="AZ219" s="192" t="n">
        <v>575760</v>
      </c>
      <c r="BA219" s="192" t="n">
        <v>484643</v>
      </c>
      <c r="BB219" s="192" t="n">
        <v>563223</v>
      </c>
      <c r="BC219" s="192" t="n">
        <v>516791</v>
      </c>
      <c r="BD219" s="192" t="n">
        <v>131914</v>
      </c>
      <c r="BE219" s="192" t="n">
        <v>188502</v>
      </c>
      <c r="BF219" s="192" t="n">
        <v>-13870</v>
      </c>
      <c r="BG219" s="192" t="n">
        <v>94041</v>
      </c>
      <c r="BH219" s="192" t="n">
        <v>81555</v>
      </c>
      <c r="BI219" s="192" t="n">
        <v>144233</v>
      </c>
      <c r="BJ219" s="192" t="n">
        <v>185445</v>
      </c>
      <c r="BK219" s="192" t="n">
        <v>309045</v>
      </c>
      <c r="BL219" s="192" t="n">
        <v>280374</v>
      </c>
      <c r="BM219" s="192" t="n">
        <v>325117</v>
      </c>
      <c r="BN219" s="192" t="n">
        <v>250836</v>
      </c>
      <c r="BO219" s="192" t="n">
        <v>358735</v>
      </c>
      <c r="BP219" s="192" t="n">
        <v>293906</v>
      </c>
      <c r="BQ219" s="192" t="n">
        <v>304008</v>
      </c>
      <c r="BR219" s="192" t="n">
        <v>255792</v>
      </c>
      <c r="BS219" s="192" t="n">
        <v>354076</v>
      </c>
      <c r="BT219" s="192" t="n">
        <v>288047</v>
      </c>
      <c r="BU219" s="192" t="n">
        <v>301747</v>
      </c>
      <c r="BV219" s="192" t="n">
        <v>196549</v>
      </c>
      <c r="BW219" s="192" t="n">
        <v>-260470</v>
      </c>
      <c r="BX219" s="192" t="n">
        <v>-267213</v>
      </c>
      <c r="BY219" s="192" t="n">
        <v>-264252</v>
      </c>
      <c r="BZ219" s="192" t="n">
        <v>-189290</v>
      </c>
      <c r="CA219" s="192" t="n">
        <v>-218279</v>
      </c>
      <c r="CB219" s="192" t="n">
        <v>-162691</v>
      </c>
      <c r="CC219" s="192" t="n">
        <v>-118963</v>
      </c>
      <c r="CD219" s="192" t="n">
        <v>-12539</v>
      </c>
      <c r="CE219" s="192" t="n">
        <v>-43191</v>
      </c>
      <c r="CF219" s="192" t="n">
        <v>-21452</v>
      </c>
      <c r="CG219" s="192" t="n">
        <v>-96345</v>
      </c>
      <c r="CH219" s="192" t="n">
        <v>-173225</v>
      </c>
      <c r="CI219" s="192" t="n">
        <v>-249854</v>
      </c>
      <c r="CJ219" s="192" t="n">
        <v>-200990</v>
      </c>
      <c r="CK219" s="192" t="n">
        <v>-249114</v>
      </c>
      <c r="CL219" s="192" t="n">
        <v>-319938</v>
      </c>
      <c r="CM219" s="192" t="n">
        <v>-313700</v>
      </c>
      <c r="CN219" s="192" t="n">
        <v>-275315</v>
      </c>
      <c r="CO219" s="192" t="n">
        <v>-251912</v>
      </c>
      <c r="CP219" s="192" t="n">
        <v>-202328</v>
      </c>
      <c r="CQ219" s="192" t="n">
        <v>-255488</v>
      </c>
      <c r="CR219" s="192" t="n">
        <v>-252548</v>
      </c>
      <c r="CS219" s="192" t="n">
        <v>-243903</v>
      </c>
      <c r="CT219" s="192" t="n">
        <v>-207020.8</v>
      </c>
      <c r="CU219" s="192" t="n">
        <v>-200026.7</v>
      </c>
      <c r="CV219" s="192" t="n">
        <v>-178320</v>
      </c>
      <c r="CW219" s="192" t="n">
        <v>-165621.2</v>
      </c>
      <c r="CX219" s="192" t="n">
        <v>-105559</v>
      </c>
      <c r="CY219" s="192" t="n">
        <v>-119442.3</v>
      </c>
      <c r="CZ219" s="192" t="n">
        <v>-116639</v>
      </c>
      <c r="DA219" s="192" t="n">
        <v>-110705.2</v>
      </c>
      <c r="DB219" s="192" t="n">
        <v>-93728.2</v>
      </c>
      <c r="DC219" s="192" t="n">
        <v>-125348.9</v>
      </c>
      <c r="DD219" s="192" t="n">
        <v>-132280.8</v>
      </c>
      <c r="DE219" s="192" t="n">
        <v>-143533.9</v>
      </c>
      <c r="DF219" s="192" t="n">
        <v>-122877.6</v>
      </c>
      <c r="DG219" s="192" t="n">
        <v>-12710.4</v>
      </c>
      <c r="DH219" s="192" t="n">
        <v>-14533.1</v>
      </c>
      <c r="DI219" s="192" t="n">
        <v>-9818.4</v>
      </c>
      <c r="DJ219" s="192" t="n">
        <v>5851.9</v>
      </c>
      <c r="DK219" s="192" t="n">
        <v>-7143.4</v>
      </c>
      <c r="DL219" s="192" t="n">
        <v>-3610.4</v>
      </c>
      <c r="DM219" s="192" t="n">
        <v>-13014.3</v>
      </c>
      <c r="DN219" s="192" t="n">
        <v>-7700</v>
      </c>
      <c r="DO219" s="192" t="n">
        <v>-25400</v>
      </c>
      <c r="DP219" s="192" t="n">
        <v>-29100</v>
      </c>
      <c r="DQ219" s="192" t="n">
        <v>-30100</v>
      </c>
      <c r="DR219" s="192" t="n">
        <v>-14700</v>
      </c>
      <c r="DS219" s="192" t="n">
        <v>-14600</v>
      </c>
      <c r="DT219" s="192" t="n">
        <v>-7300</v>
      </c>
      <c r="DU219" s="192" t="n">
        <v>-28300</v>
      </c>
      <c r="DV219" s="192" t="n">
        <v>-19300</v>
      </c>
      <c r="DW219" s="192" t="n">
        <v>-22900</v>
      </c>
      <c r="DX219" s="192" t="n">
        <v>-18000</v>
      </c>
      <c r="DY219" s="192" t="n">
        <v>-9000</v>
      </c>
      <c r="DZ219" s="192" t="n">
        <v>-1400</v>
      </c>
      <c r="EA219" s="192" t="n">
        <v>-4300</v>
      </c>
      <c r="EB219" s="192" t="n">
        <v>-1700</v>
      </c>
      <c r="EC219" s="192" t="n">
        <v>-14400</v>
      </c>
      <c r="ED219" s="192" t="n">
        <v>-8500</v>
      </c>
      <c r="EE219" s="192" t="n">
        <v>-11500</v>
      </c>
      <c r="EF219" s="192" t="n">
        <v>-10000</v>
      </c>
      <c r="EG219" s="192" t="n">
        <v>-9400</v>
      </c>
      <c r="EH219" s="192" t="n">
        <v>-9200</v>
      </c>
      <c r="EI219" s="192" t="n">
        <v>-10900</v>
      </c>
      <c r="EJ219" s="192" t="n">
        <v>-13900</v>
      </c>
      <c r="EK219" s="192" t="n">
        <v>-17700</v>
      </c>
      <c r="EL219" s="182" t="n"/>
      <c r="EM219" s="176" t="n"/>
      <c r="EN219" s="176" t="n"/>
      <c r="EO219" s="176" t="n"/>
      <c r="EP219" s="176" t="n"/>
      <c r="EQ219" s="176" t="n"/>
      <c r="ER219" s="176" t="n"/>
      <c r="ES219" s="176" t="n"/>
      <c r="ET219" s="176" t="n"/>
      <c r="EU219" s="176" t="n"/>
      <c r="EV219" s="176" t="n"/>
      <c r="EW219" s="176" t="n"/>
      <c r="EX219" s="176" t="n"/>
      <c r="EY219" s="176" t="n"/>
      <c r="EZ219" s="176" t="n"/>
      <c r="FA219" s="176" t="n"/>
      <c r="FB219" s="176" t="n"/>
      <c r="FC219" s="176" t="n"/>
      <c r="FD219" s="176" t="n"/>
      <c r="FE219" s="176" t="n"/>
      <c r="FF219" s="176" t="n"/>
      <c r="FG219" s="176" t="n"/>
      <c r="FH219" s="176" t="n"/>
      <c r="FI219" s="176" t="n"/>
      <c r="FJ219" s="176" t="n"/>
    </row>
    <row r="220" ht="15" customHeight="1" s="392">
      <c r="A220" s="176" t="n"/>
      <c r="B220" s="180" t="n"/>
      <c r="C220" s="183" t="inlineStr">
        <is>
          <t xml:space="preserve">    Total Capital Lease Obligations</t>
        </is>
      </c>
      <c r="D220" s="190">
        <f>IF(COUNT(M220:EK220)&gt;0,MEDIAN(M220:EK220),"")</f>
        <v/>
      </c>
      <c r="E220" s="190">
        <f>IF(COUNT(M220:EK220)&gt;0,AVERAGE(M220:EK220),"")</f>
        <v/>
      </c>
      <c r="F220" s="190">
        <f>IF(COUNT(M220:EK220)&gt;0,MIN(M220:EK220),"")</f>
        <v/>
      </c>
      <c r="G220" s="190">
        <f>IF(COUNT(M220:EK220)&gt;0,MAX(M220:EK220),"")</f>
        <v/>
      </c>
      <c r="H220" s="190">
        <f>IF(COUNT(M220:EK220)&gt;0,QUARTILE(M220:EK220,1),"")</f>
        <v/>
      </c>
      <c r="I220" s="190">
        <f>IF(COUNT(M220:EK220)&gt;0,QUARTILE(M220:EK220,3),"")</f>
        <v/>
      </c>
      <c r="J220" s="190">
        <f>IF(COUNT(M220:EK220)&gt;1,STDEV(M220:EK220),"")</f>
        <v/>
      </c>
      <c r="K220" s="191">
        <f>IF(COUNT(M220:EK220)&gt;1,STDEV(M220:EK220)/AVERAGE(M220:EK220),"")</f>
        <v/>
      </c>
      <c r="M220" s="192" t="n">
        <v>88367</v>
      </c>
      <c r="N220" s="192" t="n">
        <v>93116</v>
      </c>
      <c r="O220" s="192" t="n">
        <v>96136</v>
      </c>
      <c r="P220" s="192" t="n">
        <v>99936</v>
      </c>
      <c r="Q220" s="192" t="n">
        <v>103739</v>
      </c>
      <c r="R220" s="192" t="n">
        <v>101060</v>
      </c>
      <c r="S220" s="192" t="n">
        <v>119397</v>
      </c>
      <c r="T220" s="192" t="n">
        <v>116871</v>
      </c>
      <c r="U220" s="192" t="n">
        <v>118733</v>
      </c>
      <c r="V220" s="192" t="n">
        <v>111606</v>
      </c>
      <c r="W220" s="192" t="n">
        <v>115099</v>
      </c>
      <c r="X220" s="192" t="n">
        <v>123401</v>
      </c>
      <c r="Y220" s="192" t="n">
        <v>109550</v>
      </c>
      <c r="Z220" s="192" t="n">
        <v>106916</v>
      </c>
      <c r="AA220" s="192" t="n">
        <v>108130</v>
      </c>
      <c r="AB220" s="192" t="n">
        <v>113753</v>
      </c>
      <c r="AC220" s="192" t="n">
        <v>117477</v>
      </c>
      <c r="AD220" s="192" t="n">
        <v>122297</v>
      </c>
      <c r="AE220" s="192" t="n">
        <v>121585</v>
      </c>
      <c r="AF220" s="192" t="n">
        <v>124456</v>
      </c>
      <c r="AG220" s="192" t="n">
        <v>120433</v>
      </c>
      <c r="AH220" s="192" t="n">
        <v>132493</v>
      </c>
      <c r="AI220" s="192" t="n">
        <v>109111</v>
      </c>
      <c r="AJ220" s="192" t="n">
        <v>114094</v>
      </c>
      <c r="AK220" s="192" t="n">
        <v>121722</v>
      </c>
      <c r="AL220" s="192" t="n">
        <v>112636</v>
      </c>
      <c r="AM220" s="192" t="n">
        <v>105220</v>
      </c>
      <c r="AN220" s="192" t="n">
        <v>140318</v>
      </c>
      <c r="AO220" s="192" t="n">
        <v>1138</v>
      </c>
      <c r="AP220" s="192" t="n"/>
      <c r="AQ220" s="192" t="n"/>
      <c r="AR220" s="192" t="n"/>
      <c r="AS220" s="192" t="n"/>
      <c r="AT220" s="192" t="n"/>
      <c r="AU220" s="192" t="n"/>
      <c r="AV220" s="192" t="n"/>
      <c r="AW220" s="192" t="n"/>
      <c r="AX220" s="192" t="n"/>
      <c r="AY220" s="192" t="n"/>
      <c r="AZ220" s="192" t="n"/>
      <c r="BA220" s="192" t="n"/>
      <c r="BB220" s="192" t="n"/>
      <c r="BC220" s="192" t="n"/>
      <c r="BD220" s="192" t="n"/>
      <c r="BE220" s="192" t="n"/>
      <c r="BF220" s="192" t="n"/>
      <c r="BG220" s="192" t="n"/>
      <c r="BH220" s="192" t="n"/>
      <c r="BI220" s="192" t="n"/>
      <c r="BJ220" s="192" t="n"/>
      <c r="BK220" s="192" t="n"/>
      <c r="BL220" s="192" t="n"/>
      <c r="BM220" s="192" t="n"/>
      <c r="BN220" s="192" t="n"/>
      <c r="BO220" s="192" t="n"/>
      <c r="BP220" s="192" t="n"/>
      <c r="BQ220" s="192" t="n"/>
      <c r="BR220" s="192" t="n"/>
      <c r="BS220" s="192" t="n"/>
      <c r="BT220" s="192" t="n"/>
      <c r="BU220" s="192" t="n"/>
      <c r="BV220" s="192" t="n"/>
      <c r="BW220" s="192" t="n"/>
      <c r="BX220" s="192" t="n"/>
      <c r="BY220" s="192" t="n"/>
      <c r="BZ220" s="192" t="n"/>
      <c r="CA220" s="192" t="n"/>
      <c r="CB220" s="192" t="n"/>
      <c r="CC220" s="192" t="n"/>
      <c r="CD220" s="192" t="n"/>
      <c r="CE220" s="192" t="n"/>
      <c r="CF220" s="192" t="n"/>
      <c r="CG220" s="192" t="n"/>
      <c r="CH220" s="192" t="n"/>
      <c r="CI220" s="192" t="n"/>
      <c r="CJ220" s="192" t="n"/>
      <c r="CK220" s="192" t="n"/>
      <c r="CL220" s="192" t="n"/>
      <c r="CM220" s="192" t="n"/>
      <c r="CN220" s="192" t="n"/>
      <c r="CO220" s="192" t="n"/>
      <c r="CP220" s="192" t="n"/>
      <c r="CQ220" s="192" t="n"/>
      <c r="CR220" s="192" t="n"/>
      <c r="CS220" s="192" t="n"/>
      <c r="CT220" s="192" t="n"/>
      <c r="CU220" s="192" t="n"/>
      <c r="CV220" s="192" t="n"/>
      <c r="CW220" s="192" t="n"/>
      <c r="CX220" s="192" t="n"/>
      <c r="CY220" s="192" t="n"/>
      <c r="CZ220" s="192" t="n"/>
      <c r="DA220" s="192" t="n"/>
      <c r="DB220" s="192" t="n"/>
      <c r="DC220" s="192" t="n"/>
      <c r="DD220" s="192" t="n"/>
      <c r="DE220" s="192" t="n"/>
      <c r="DF220" s="192" t="n"/>
      <c r="DG220" s="192" t="n"/>
      <c r="DH220" s="192" t="n"/>
      <c r="DI220" s="192" t="n"/>
      <c r="DJ220" s="192" t="n"/>
      <c r="DK220" s="192" t="n"/>
      <c r="DL220" s="192" t="n"/>
      <c r="DM220" s="192" t="n"/>
      <c r="DN220" s="192" t="n"/>
      <c r="DO220" s="192" t="n"/>
      <c r="DP220" s="192" t="n"/>
      <c r="DQ220" s="192" t="n"/>
      <c r="DR220" s="192" t="n"/>
      <c r="DS220" s="192" t="n"/>
      <c r="DT220" s="192" t="n"/>
      <c r="DU220" s="192" t="n"/>
      <c r="DV220" s="192" t="n"/>
      <c r="DW220" s="192" t="n"/>
      <c r="DX220" s="192" t="n"/>
      <c r="DY220" s="192" t="n"/>
      <c r="DZ220" s="192" t="n"/>
      <c r="EA220" s="192" t="n"/>
      <c r="EB220" s="192" t="n"/>
      <c r="EC220" s="192" t="n"/>
      <c r="ED220" s="192" t="n"/>
      <c r="EE220" s="192" t="n"/>
      <c r="EF220" s="192" t="n"/>
      <c r="EG220" s="192" t="n"/>
      <c r="EH220" s="192" t="n"/>
      <c r="EI220" s="192" t="n"/>
      <c r="EJ220" s="192" t="n"/>
      <c r="EK220" s="192" t="n"/>
      <c r="EL220" s="182" t="n"/>
      <c r="EM220" s="176" t="n"/>
      <c r="EN220" s="176" t="n"/>
      <c r="EO220" s="176" t="n"/>
      <c r="EP220" s="176" t="n"/>
      <c r="EQ220" s="176" t="n"/>
      <c r="ER220" s="176" t="n"/>
      <c r="ES220" s="176" t="n"/>
      <c r="ET220" s="176" t="n"/>
      <c r="EU220" s="176" t="n"/>
      <c r="EV220" s="176" t="n"/>
      <c r="EW220" s="176" t="n"/>
      <c r="EX220" s="176" t="n"/>
      <c r="EY220" s="176" t="n"/>
      <c r="EZ220" s="176" t="n"/>
      <c r="FA220" s="176" t="n"/>
      <c r="FB220" s="176" t="n"/>
      <c r="FC220" s="176" t="n"/>
      <c r="FD220" s="176" t="n"/>
      <c r="FE220" s="176" t="n"/>
      <c r="FF220" s="176" t="n"/>
      <c r="FG220" s="176" t="n"/>
      <c r="FH220" s="176" t="n"/>
      <c r="FI220" s="176" t="n"/>
      <c r="FJ220" s="176" t="n"/>
    </row>
    <row r="221" ht="15" customHeight="1" s="392">
      <c r="A221" s="176" t="n"/>
      <c r="B221" s="180" t="n"/>
      <c r="C221" s="183" t="inlineStr">
        <is>
          <t xml:space="preserve">    Common Equity Book Value</t>
        </is>
      </c>
      <c r="D221" s="190">
        <f>IF(COUNT(M221:EK221)&gt;0,MEDIAN(M221:EK221),"")</f>
        <v/>
      </c>
      <c r="E221" s="190">
        <f>IF(COUNT(M221:EK221)&gt;0,AVERAGE(M221:EK221),"")</f>
        <v/>
      </c>
      <c r="F221" s="190">
        <f>IF(COUNT(M221:EK221)&gt;0,MIN(M221:EK221),"")</f>
        <v/>
      </c>
      <c r="G221" s="190">
        <f>IF(COUNT(M221:EK221)&gt;0,MAX(M221:EK221),"")</f>
        <v/>
      </c>
      <c r="H221" s="190">
        <f>IF(COUNT(M221:EK221)&gt;0,QUARTILE(M221:EK221,1),"")</f>
        <v/>
      </c>
      <c r="I221" s="190">
        <f>IF(COUNT(M221:EK221)&gt;0,QUARTILE(M221:EK221,3),"")</f>
        <v/>
      </c>
      <c r="J221" s="190">
        <f>IF(COUNT(M221:EK221)&gt;1,STDEV(M221:EK221),"")</f>
        <v/>
      </c>
      <c r="K221" s="191">
        <f>IF(COUNT(M221:EK221)&gt;1,STDEV(M221:EK221)/AVERAGE(M221:EK221),"")</f>
        <v/>
      </c>
      <c r="M221" s="192" t="n">
        <v>9097295</v>
      </c>
      <c r="N221" s="192" t="n">
        <v>8774264</v>
      </c>
      <c r="O221" s="192" t="n">
        <v>9789045</v>
      </c>
      <c r="P221" s="192" t="n">
        <v>9600157</v>
      </c>
      <c r="Q221" s="192" t="n">
        <v>9187033</v>
      </c>
      <c r="R221" s="192" t="n">
        <v>8781193</v>
      </c>
      <c r="S221" s="192" t="n">
        <v>8301257</v>
      </c>
      <c r="T221" s="192" t="n">
        <v>7896312</v>
      </c>
      <c r="U221" s="192" t="n">
        <v>7524011</v>
      </c>
      <c r="V221" s="192" t="n">
        <v>7171253</v>
      </c>
      <c r="W221" s="192" t="n">
        <v>6787600</v>
      </c>
      <c r="X221" s="192" t="n">
        <v>6411417</v>
      </c>
      <c r="Y221" s="192" t="n">
        <v>5987440</v>
      </c>
      <c r="Z221" s="192" t="n">
        <v>5592422</v>
      </c>
      <c r="AA221" s="192" t="n">
        <v>5213652</v>
      </c>
      <c r="AB221" s="192" t="n">
        <v>4852834</v>
      </c>
      <c r="AC221" s="192" t="n">
        <v>4625599</v>
      </c>
      <c r="AD221" s="192" t="n">
        <v>4353054</v>
      </c>
      <c r="AE221" s="192" t="n">
        <v>4089856</v>
      </c>
      <c r="AF221" s="192" t="n">
        <v>3793821</v>
      </c>
      <c r="AG221" s="192" t="n">
        <v>3529201</v>
      </c>
      <c r="AH221" s="192" t="n">
        <v>3249377</v>
      </c>
      <c r="AI221" s="192" t="n">
        <v>2942592</v>
      </c>
      <c r="AJ221" s="192" t="n">
        <v>2710833</v>
      </c>
      <c r="AK221" s="192" t="n">
        <v>2489516</v>
      </c>
      <c r="AL221" s="192" t="n">
        <v>2281011</v>
      </c>
      <c r="AM221" s="192" t="n">
        <v>2124729</v>
      </c>
      <c r="AN221" s="192" t="n">
        <v>1926599</v>
      </c>
      <c r="AO221" s="192" t="n">
        <v>1778381</v>
      </c>
      <c r="AP221" s="192" t="n">
        <v>1618852</v>
      </c>
      <c r="AQ221" s="192" t="n">
        <v>1459953</v>
      </c>
      <c r="AR221" s="192" t="n">
        <v>1671760</v>
      </c>
      <c r="AS221" s="192" t="n">
        <v>1581099</v>
      </c>
      <c r="AT221" s="192" t="n">
        <v>1460131</v>
      </c>
      <c r="AU221" s="192" t="n">
        <v>1331168</v>
      </c>
      <c r="AV221" s="192" t="n">
        <v>1188331</v>
      </c>
      <c r="AW221" s="192" t="n">
        <v>1098066</v>
      </c>
      <c r="AX221" s="192" t="n">
        <v>1006329</v>
      </c>
      <c r="AY221" s="192" t="n">
        <v>895703</v>
      </c>
      <c r="AZ221" s="192" t="n">
        <v>807407</v>
      </c>
      <c r="BA221" s="192" t="n">
        <v>774456</v>
      </c>
      <c r="BB221" s="192" t="n">
        <v>716527</v>
      </c>
      <c r="BC221" s="192" t="n">
        <v>731400</v>
      </c>
      <c r="BD221" s="192" t="n">
        <v>1016545</v>
      </c>
      <c r="BE221" s="192" t="n">
        <v>964464</v>
      </c>
      <c r="BF221" s="192" t="n">
        <v>1135968</v>
      </c>
      <c r="BG221" s="192" t="n">
        <v>1073237</v>
      </c>
      <c r="BH221" s="192" t="n">
        <v>1037431</v>
      </c>
      <c r="BI221" s="192" t="n">
        <v>1003499</v>
      </c>
      <c r="BJ221" s="192" t="n">
        <v>939761</v>
      </c>
      <c r="BK221" s="192" t="n">
        <v>880724</v>
      </c>
      <c r="BL221" s="192" t="n">
        <v>822647</v>
      </c>
      <c r="BM221" s="192" t="n">
        <v>762401</v>
      </c>
      <c r="BN221" s="192" t="n">
        <v>724394</v>
      </c>
      <c r="BO221" s="192" t="n">
        <v>667503</v>
      </c>
      <c r="BP221" s="192" t="n">
        <v>608871</v>
      </c>
      <c r="BQ221" s="192" t="n">
        <v>561117</v>
      </c>
      <c r="BR221" s="192" t="n">
        <v>578732</v>
      </c>
      <c r="BS221" s="192" t="n">
        <v>507372</v>
      </c>
      <c r="BT221" s="192" t="n">
        <v>554845</v>
      </c>
      <c r="BU221" s="192" t="n">
        <v>555172</v>
      </c>
      <c r="BV221" s="192" t="n">
        <v>646342</v>
      </c>
      <c r="BW221" s="192" t="n">
        <v>1059029</v>
      </c>
      <c r="BX221" s="192" t="n">
        <v>1087234</v>
      </c>
      <c r="BY221" s="192" t="n">
        <v>1046462</v>
      </c>
      <c r="BZ221" s="192" t="n">
        <v>1001423</v>
      </c>
      <c r="CA221" s="192" t="n">
        <v>962936</v>
      </c>
      <c r="CB221" s="192" t="n">
        <v>921459</v>
      </c>
      <c r="CC221" s="192" t="n">
        <v>865691</v>
      </c>
      <c r="CD221" s="192" t="n">
        <v>821751</v>
      </c>
      <c r="CE221" s="192" t="n">
        <v>807128</v>
      </c>
      <c r="CF221" s="192" t="n">
        <v>798996</v>
      </c>
      <c r="CG221" s="192" t="n">
        <v>862650</v>
      </c>
      <c r="CH221" s="192" t="n">
        <v>921843</v>
      </c>
      <c r="CI221" s="192" t="n">
        <v>934098</v>
      </c>
      <c r="CJ221" s="192" t="n">
        <v>880866</v>
      </c>
      <c r="CK221" s="192" t="n">
        <v>929178</v>
      </c>
      <c r="CL221" s="192" t="n">
        <v>886785</v>
      </c>
      <c r="CM221" s="192" t="n">
        <v>843675</v>
      </c>
      <c r="CN221" s="192" t="n">
        <v>809970</v>
      </c>
      <c r="CO221" s="192" t="n">
        <v>775006</v>
      </c>
      <c r="CP221" s="192" t="n">
        <v>737616</v>
      </c>
      <c r="CQ221" s="192" t="n">
        <v>735157</v>
      </c>
      <c r="CR221" s="192" t="n">
        <v>709379</v>
      </c>
      <c r="CS221" s="192" t="n">
        <v>682008</v>
      </c>
      <c r="CT221" s="192" t="n">
        <v>650126.5</v>
      </c>
      <c r="CU221" s="192" t="n">
        <v>625371</v>
      </c>
      <c r="CV221" s="192" t="n">
        <v>602263</v>
      </c>
      <c r="CW221" s="192" t="n">
        <v>576155.2</v>
      </c>
      <c r="CX221" s="192" t="n">
        <v>549560</v>
      </c>
      <c r="CY221" s="192" t="n">
        <v>530618.4</v>
      </c>
      <c r="CZ221" s="192" t="n">
        <v>525640</v>
      </c>
      <c r="DA221" s="192" t="n">
        <v>511392.8</v>
      </c>
      <c r="DB221" s="192" t="n">
        <v>516337.6</v>
      </c>
      <c r="DC221" s="192" t="n">
        <v>500987.4</v>
      </c>
      <c r="DD221" s="192" t="n">
        <v>486217</v>
      </c>
      <c r="DE221" s="192" t="n">
        <v>452666.7</v>
      </c>
      <c r="DF221" s="192" t="n">
        <v>433598.7</v>
      </c>
      <c r="DG221" s="192" t="n">
        <v>290896</v>
      </c>
      <c r="DH221" s="192" t="n">
        <v>269152.4</v>
      </c>
      <c r="DI221" s="192" t="n">
        <v>252789.1</v>
      </c>
      <c r="DJ221" s="192" t="n">
        <v>240867.1</v>
      </c>
      <c r="DK221" s="192" t="n">
        <v>228853.5</v>
      </c>
      <c r="DL221" s="192" t="n">
        <v>219890.4</v>
      </c>
      <c r="DM221" s="192" t="n">
        <v>206233.1</v>
      </c>
      <c r="DN221" s="192" t="n">
        <v>197700</v>
      </c>
      <c r="DO221" s="192" t="n">
        <v>190300</v>
      </c>
      <c r="DP221" s="192" t="n">
        <v>184000</v>
      </c>
      <c r="DQ221" s="192" t="n">
        <v>176500</v>
      </c>
      <c r="DR221" s="192" t="n">
        <v>169900</v>
      </c>
      <c r="DS221" s="192" t="n">
        <v>164700</v>
      </c>
      <c r="DT221" s="192" t="n">
        <v>160200</v>
      </c>
      <c r="DU221" s="192" t="n">
        <v>154400</v>
      </c>
      <c r="DV221" s="192" t="n">
        <v>150100</v>
      </c>
      <c r="DW221" s="192" t="n">
        <v>146100</v>
      </c>
      <c r="DX221" s="192" t="n">
        <v>142800</v>
      </c>
      <c r="DY221" s="192" t="n">
        <v>138900</v>
      </c>
      <c r="DZ221" s="192" t="n">
        <v>134600</v>
      </c>
      <c r="EA221" s="192" t="n">
        <v>128700</v>
      </c>
      <c r="EB221" s="192" t="n">
        <v>126200</v>
      </c>
      <c r="EC221" s="192" t="n">
        <v>123100</v>
      </c>
      <c r="ED221" s="192" t="n">
        <v>120000</v>
      </c>
      <c r="EE221" s="192" t="n">
        <v>115800</v>
      </c>
      <c r="EF221" s="192" t="n">
        <v>113100</v>
      </c>
      <c r="EG221" s="192" t="n">
        <v>59300</v>
      </c>
      <c r="EH221" s="192" t="n">
        <v>55200</v>
      </c>
      <c r="EI221" s="192" t="n">
        <v>52300</v>
      </c>
      <c r="EJ221" s="192" t="n">
        <v>49300</v>
      </c>
      <c r="EK221" s="192" t="n">
        <v>47400</v>
      </c>
      <c r="EL221" s="182" t="n"/>
      <c r="EM221" s="176" t="n"/>
      <c r="EN221" s="176" t="n"/>
      <c r="EO221" s="176" t="n"/>
      <c r="EP221" s="176" t="n"/>
      <c r="EQ221" s="176" t="n"/>
      <c r="ER221" s="176" t="n"/>
      <c r="ES221" s="176" t="n"/>
      <c r="ET221" s="176" t="n"/>
      <c r="EU221" s="176" t="n"/>
      <c r="EV221" s="176" t="n"/>
      <c r="EW221" s="176" t="n"/>
      <c r="EX221" s="176" t="n"/>
      <c r="EY221" s="176" t="n"/>
      <c r="EZ221" s="176" t="n"/>
      <c r="FA221" s="176" t="n"/>
      <c r="FB221" s="176" t="n"/>
      <c r="FC221" s="176" t="n"/>
      <c r="FD221" s="176" t="n"/>
      <c r="FE221" s="176" t="n"/>
      <c r="FF221" s="176" t="n"/>
      <c r="FG221" s="176" t="n"/>
      <c r="FH221" s="176" t="n"/>
      <c r="FI221" s="176" t="n"/>
      <c r="FJ221" s="176" t="n"/>
    </row>
    <row r="222" ht="15" customHeight="1" s="392">
      <c r="A222" s="176" t="n"/>
      <c r="B222" s="180" t="n"/>
      <c r="C222" s="183" t="inlineStr">
        <is>
          <t xml:space="preserve">    Total Liabilities &amp; Equity</t>
        </is>
      </c>
      <c r="D222" s="190">
        <f>IF(COUNT(M222:EK222)&gt;0,MEDIAN(M222:EK222),"")</f>
        <v/>
      </c>
      <c r="E222" s="190">
        <f>IF(COUNT(M222:EK222)&gt;0,AVERAGE(M222:EK222),"")</f>
        <v/>
      </c>
      <c r="F222" s="190">
        <f>IF(COUNT(M222:EK222)&gt;0,MIN(M222:EK222),"")</f>
        <v/>
      </c>
      <c r="G222" s="190">
        <f>IF(COUNT(M222:EK222)&gt;0,MAX(M222:EK222),"")</f>
        <v/>
      </c>
      <c r="H222" s="190">
        <f>IF(COUNT(M222:EK222)&gt;0,QUARTILE(M222:EK222,1),"")</f>
        <v/>
      </c>
      <c r="I222" s="190">
        <f>IF(COUNT(M222:EK222)&gt;0,QUARTILE(M222:EK222,3),"")</f>
        <v/>
      </c>
      <c r="J222" s="190">
        <f>IF(COUNT(M222:EK222)&gt;1,STDEV(M222:EK222),"")</f>
        <v/>
      </c>
      <c r="K222" s="191">
        <f>IF(COUNT(M222:EK222)&gt;1,STDEV(M222:EK222)/AVERAGE(M222:EK222),"")</f>
        <v/>
      </c>
      <c r="M222" s="192" t="n">
        <v>10027810</v>
      </c>
      <c r="N222" s="192" t="n">
        <v>9649036</v>
      </c>
      <c r="O222" s="192" t="n">
        <v>10594962</v>
      </c>
      <c r="P222" s="192" t="n">
        <v>10581014</v>
      </c>
      <c r="Q222" s="192" t="n">
        <v>10090902</v>
      </c>
      <c r="R222" s="192" t="n">
        <v>9672222</v>
      </c>
      <c r="S222" s="192" t="n">
        <v>9187347</v>
      </c>
      <c r="T222" s="192" t="n">
        <v>8869487</v>
      </c>
      <c r="U222" s="192" t="n">
        <v>8427764</v>
      </c>
      <c r="V222" s="192" t="n">
        <v>8010632</v>
      </c>
      <c r="W222" s="192" t="n">
        <v>7598520</v>
      </c>
      <c r="X222" s="192" t="n">
        <v>7333786</v>
      </c>
      <c r="Y222" s="192" t="n">
        <v>6737879</v>
      </c>
      <c r="Z222" s="192" t="n">
        <v>6349805</v>
      </c>
      <c r="AA222" s="192" t="n">
        <v>5932408</v>
      </c>
      <c r="AB222" s="192" t="n">
        <v>5593677</v>
      </c>
      <c r="AC222" s="192" t="n">
        <v>5308864</v>
      </c>
      <c r="AD222" s="192" t="n">
        <v>5443874</v>
      </c>
      <c r="AE222" s="192" t="n">
        <v>5136956</v>
      </c>
      <c r="AF222" s="192" t="n">
        <v>4918852</v>
      </c>
      <c r="AG222" s="192" t="n">
        <v>4562143</v>
      </c>
      <c r="AH222" s="192" t="n">
        <v>4281946</v>
      </c>
      <c r="AI222" s="192" t="n">
        <v>3934438</v>
      </c>
      <c r="AJ222" s="192" t="n">
        <v>3741188</v>
      </c>
      <c r="AK222" s="192" t="n">
        <v>3455261</v>
      </c>
      <c r="AL222" s="192" t="n">
        <v>3161583</v>
      </c>
      <c r="AM222" s="192" t="n">
        <v>3048605</v>
      </c>
      <c r="AN222" s="192" t="n">
        <v>2855939</v>
      </c>
      <c r="AO222" s="192" t="n">
        <v>2547617</v>
      </c>
      <c r="AP222" s="192" t="n">
        <v>2391763</v>
      </c>
      <c r="AQ222" s="192" t="n">
        <v>2296905</v>
      </c>
      <c r="AR222" s="192" t="n">
        <v>2381788</v>
      </c>
      <c r="AS222" s="192" t="n">
        <v>2307698</v>
      </c>
      <c r="AT222" s="192" t="n">
        <v>2165193</v>
      </c>
      <c r="AU222" s="192" t="n">
        <v>2143541</v>
      </c>
      <c r="AV222" s="192" t="n">
        <v>2062670</v>
      </c>
      <c r="AW222" s="192" t="n">
        <v>1982501</v>
      </c>
      <c r="AX222" s="192" t="n">
        <v>1811686</v>
      </c>
      <c r="AY222" s="192" t="n">
        <v>1841241</v>
      </c>
      <c r="AZ222" s="192" t="n">
        <v>1770396</v>
      </c>
      <c r="BA222" s="192" t="n">
        <v>1649820</v>
      </c>
      <c r="BB222" s="192" t="n">
        <v>1624135</v>
      </c>
      <c r="BC222" s="192" t="n">
        <v>1604364</v>
      </c>
      <c r="BD222" s="192" t="n">
        <v>1855764</v>
      </c>
      <c r="BE222" s="192" t="n">
        <v>1798660</v>
      </c>
      <c r="BF222" s="192" t="n">
        <v>2002977</v>
      </c>
      <c r="BG222" s="192" t="n">
        <v>1952071</v>
      </c>
      <c r="BH222" s="192" t="n">
        <v>1536586</v>
      </c>
      <c r="BI222" s="192" t="n">
        <v>1506804</v>
      </c>
      <c r="BJ222" s="192" t="n">
        <v>1476672</v>
      </c>
      <c r="BK222" s="192" t="n">
        <v>1438493</v>
      </c>
      <c r="BL222" s="192" t="n">
        <v>1397388</v>
      </c>
      <c r="BM222" s="192" t="n">
        <v>1334481</v>
      </c>
      <c r="BN222" s="192" t="n">
        <v>1298682</v>
      </c>
      <c r="BO222" s="192" t="n">
        <v>1253946</v>
      </c>
      <c r="BP222" s="192" t="n">
        <v>1214526</v>
      </c>
      <c r="BQ222" s="192" t="n">
        <v>1154000</v>
      </c>
      <c r="BR222" s="192" t="n">
        <v>1204763</v>
      </c>
      <c r="BS222" s="192" t="n">
        <v>1139658</v>
      </c>
      <c r="BT222" s="192" t="n">
        <v>1225884</v>
      </c>
      <c r="BU222" s="192" t="n">
        <v>1084436</v>
      </c>
      <c r="BV222" s="192" t="n">
        <v>1191312</v>
      </c>
      <c r="BW222" s="192" t="n">
        <v>1210147</v>
      </c>
      <c r="BX222" s="192" t="n">
        <v>1228812</v>
      </c>
      <c r="BY222" s="192" t="n">
        <v>1202006</v>
      </c>
      <c r="BZ222" s="192" t="n">
        <v>1147889</v>
      </c>
      <c r="CA222" s="192" t="n">
        <v>1123340</v>
      </c>
      <c r="CB222" s="192" t="n">
        <v>1058032</v>
      </c>
      <c r="CC222" s="192" t="n">
        <v>1005986</v>
      </c>
      <c r="CD222" s="192" t="n">
        <v>955666</v>
      </c>
      <c r="CE222" s="192" t="n">
        <v>949562</v>
      </c>
      <c r="CF222" s="192" t="n">
        <v>956247</v>
      </c>
      <c r="CG222" s="192" t="n">
        <v>1008261</v>
      </c>
      <c r="CH222" s="192" t="n">
        <v>1052903</v>
      </c>
      <c r="CI222" s="192" t="n">
        <v>1077687</v>
      </c>
      <c r="CJ222" s="192" t="n">
        <v>1014600</v>
      </c>
      <c r="CK222" s="192" t="n">
        <v>1015033</v>
      </c>
      <c r="CL222" s="192" t="n">
        <v>969027</v>
      </c>
      <c r="CM222" s="192" t="n">
        <v>939027</v>
      </c>
      <c r="CN222" s="192" t="n">
        <v>894705</v>
      </c>
      <c r="CO222" s="192" t="n">
        <v>869863</v>
      </c>
      <c r="CP222" s="192" t="n">
        <v>828368</v>
      </c>
      <c r="CQ222" s="192" t="n">
        <v>834562</v>
      </c>
      <c r="CR222" s="192" t="n">
        <v>793528</v>
      </c>
      <c r="CS222" s="192" t="n">
        <v>770215</v>
      </c>
      <c r="CT222" s="192" t="n">
        <v>732089.9</v>
      </c>
      <c r="CU222" s="192" t="n">
        <v>707510.4</v>
      </c>
      <c r="CV222" s="192" t="n">
        <v>673023</v>
      </c>
      <c r="CW222" s="192" t="n">
        <v>658789.5</v>
      </c>
      <c r="CX222" s="192" t="n">
        <v>619414</v>
      </c>
      <c r="CY222" s="192" t="n">
        <v>598570.1</v>
      </c>
      <c r="CZ222" s="192" t="n">
        <v>587100</v>
      </c>
      <c r="DA222" s="192" t="n">
        <v>571578.6</v>
      </c>
      <c r="DB222" s="192" t="n">
        <v>571622.5</v>
      </c>
      <c r="DC222" s="192" t="n">
        <v>557309.7</v>
      </c>
      <c r="DD222" s="192" t="n">
        <v>535847.6</v>
      </c>
      <c r="DE222" s="192" t="n">
        <v>509842.3</v>
      </c>
      <c r="DF222" s="192" t="n">
        <v>484755.9</v>
      </c>
      <c r="DG222" s="192" t="n">
        <v>346000.4</v>
      </c>
      <c r="DH222" s="192" t="n">
        <v>315064.2</v>
      </c>
      <c r="DI222" s="192" t="n">
        <v>310010.2</v>
      </c>
      <c r="DJ222" s="192" t="n">
        <v>292697.1</v>
      </c>
      <c r="DK222" s="192" t="n">
        <v>277039.5</v>
      </c>
      <c r="DL222" s="192" t="n">
        <v>262324.3</v>
      </c>
      <c r="DM222" s="192" t="n">
        <v>248690.1</v>
      </c>
      <c r="DN222" s="192" t="n">
        <v>237500</v>
      </c>
      <c r="DO222" s="192" t="n">
        <v>229500</v>
      </c>
      <c r="DP222" s="192" t="n">
        <v>218700</v>
      </c>
      <c r="DQ222" s="192" t="n">
        <v>212300</v>
      </c>
      <c r="DR222" s="192" t="n">
        <v>201900</v>
      </c>
      <c r="DS222" s="192" t="n">
        <v>198000</v>
      </c>
      <c r="DT222" s="192" t="n">
        <v>190900</v>
      </c>
      <c r="DU222" s="192" t="n">
        <v>188800</v>
      </c>
      <c r="DV222" s="192" t="n">
        <v>182800</v>
      </c>
      <c r="DW222" s="192" t="n">
        <v>180300</v>
      </c>
      <c r="DX222" s="192" t="n">
        <v>175300</v>
      </c>
      <c r="DY222" s="192" t="n">
        <v>173100</v>
      </c>
      <c r="DZ222" s="192" t="n">
        <v>168300</v>
      </c>
      <c r="EA222" s="192" t="n">
        <v>162200</v>
      </c>
      <c r="EB222" s="192" t="n">
        <v>158100</v>
      </c>
      <c r="EC222" s="192" t="n">
        <v>149100</v>
      </c>
      <c r="ED222" s="192" t="n">
        <v>144400</v>
      </c>
      <c r="EE222" s="192" t="n">
        <v>139500</v>
      </c>
      <c r="EF222" s="192" t="n">
        <v>135200</v>
      </c>
      <c r="EG222" s="192" t="n">
        <v>76200</v>
      </c>
      <c r="EH222" s="192" t="n">
        <v>71000</v>
      </c>
      <c r="EI222" s="192" t="n">
        <v>66900</v>
      </c>
      <c r="EJ222" s="192" t="n">
        <v>62600</v>
      </c>
      <c r="EK222" s="192" t="n">
        <v>59100</v>
      </c>
      <c r="EL222" s="182" t="n"/>
      <c r="EM222" s="176" t="n"/>
      <c r="EN222" s="176" t="n"/>
      <c r="EO222" s="176" t="n"/>
      <c r="EP222" s="176" t="n"/>
      <c r="EQ222" s="176" t="n"/>
      <c r="ER222" s="176" t="n"/>
      <c r="ES222" s="176" t="n"/>
      <c r="ET222" s="176" t="n"/>
      <c r="EU222" s="176" t="n"/>
      <c r="EV222" s="176" t="n"/>
      <c r="EW222" s="176" t="n"/>
      <c r="EX222" s="176" t="n"/>
      <c r="EY222" s="176" t="n"/>
      <c r="EZ222" s="176" t="n"/>
      <c r="FA222" s="176" t="n"/>
      <c r="FB222" s="176" t="n"/>
      <c r="FC222" s="176" t="n"/>
      <c r="FD222" s="176" t="n"/>
      <c r="FE222" s="176" t="n"/>
      <c r="FF222" s="176" t="n"/>
      <c r="FG222" s="176" t="n"/>
      <c r="FH222" s="176" t="n"/>
      <c r="FI222" s="176" t="n"/>
      <c r="FJ222" s="176" t="n"/>
    </row>
    <row r="223" ht="15" customHeight="1" s="392">
      <c r="A223" s="176" t="n"/>
      <c r="B223" s="180" t="n"/>
      <c r="C223" s="183" t="inlineStr">
        <is>
          <t xml:space="preserve">    Net Tangible Assets</t>
        </is>
      </c>
      <c r="D223" s="190">
        <f>IF(COUNT(M223:EK223)&gt;0,MEDIAN(M223:EK223),"")</f>
        <v/>
      </c>
      <c r="E223" s="190">
        <f>IF(COUNT(M223:EK223)&gt;0,AVERAGE(M223:EK223),"")</f>
        <v/>
      </c>
      <c r="F223" s="190">
        <f>IF(COUNT(M223:EK223)&gt;0,MIN(M223:EK223),"")</f>
        <v/>
      </c>
      <c r="G223" s="190">
        <f>IF(COUNT(M223:EK223)&gt;0,MAX(M223:EK223),"")</f>
        <v/>
      </c>
      <c r="H223" s="190">
        <f>IF(COUNT(M223:EK223)&gt;0,QUARTILE(M223:EK223,1),"")</f>
        <v/>
      </c>
      <c r="I223" s="190">
        <f>IF(COUNT(M223:EK223)&gt;0,QUARTILE(M223:EK223,3),"")</f>
        <v/>
      </c>
      <c r="J223" s="190">
        <f>IF(COUNT(M223:EK223)&gt;1,STDEV(M223:EK223),"")</f>
        <v/>
      </c>
      <c r="K223" s="191">
        <f>IF(COUNT(M223:EK223)&gt;1,STDEV(M223:EK223)/AVERAGE(M223:EK223),"")</f>
        <v/>
      </c>
      <c r="M223" s="192" t="n">
        <v>9466036</v>
      </c>
      <c r="N223" s="192" t="n">
        <v>9072390</v>
      </c>
      <c r="O223" s="192" t="n">
        <v>10014197</v>
      </c>
      <c r="P223" s="192" t="n">
        <v>10002643</v>
      </c>
      <c r="Q223" s="192" t="n">
        <v>9510291</v>
      </c>
      <c r="R223" s="192" t="n">
        <v>9087205</v>
      </c>
      <c r="S223" s="192" t="n">
        <v>8609594</v>
      </c>
      <c r="T223" s="192" t="n">
        <v>8282492</v>
      </c>
      <c r="U223" s="192" t="n">
        <v>7839767</v>
      </c>
      <c r="V223" s="192" t="n">
        <v>7422474</v>
      </c>
      <c r="W223" s="192" t="n">
        <v>7003908</v>
      </c>
      <c r="X223" s="192" t="n">
        <v>6751028</v>
      </c>
      <c r="Y223" s="192" t="n">
        <v>6280888</v>
      </c>
      <c r="Z223" s="192" t="n">
        <v>5893489</v>
      </c>
      <c r="AA223" s="192" t="n">
        <v>5477176</v>
      </c>
      <c r="AB223" s="192" t="n">
        <v>5146986</v>
      </c>
      <c r="AC223" s="192" t="n">
        <v>4852230</v>
      </c>
      <c r="AD223" s="192" t="n">
        <v>5055020</v>
      </c>
      <c r="AE223" s="192" t="n">
        <v>4741317</v>
      </c>
      <c r="AF223" s="192" t="n">
        <v>4520876</v>
      </c>
      <c r="AG223" s="192" t="n">
        <v>4160553</v>
      </c>
      <c r="AH223" s="192" t="n">
        <v>3891896</v>
      </c>
      <c r="AI223" s="192" t="n">
        <v>3543202</v>
      </c>
      <c r="AJ223" s="192" t="n">
        <v>3352748</v>
      </c>
      <c r="AK223" s="192" t="n">
        <v>3063867</v>
      </c>
      <c r="AL223" s="192" t="n">
        <v>2774873</v>
      </c>
      <c r="AM223" s="192" t="n">
        <v>2660052</v>
      </c>
      <c r="AN223" s="192" t="n">
        <v>2466143</v>
      </c>
      <c r="AO223" s="192" t="n">
        <v>2159140</v>
      </c>
      <c r="AP223" s="192" t="n">
        <v>1996411</v>
      </c>
      <c r="AQ223" s="192" t="n">
        <v>1898595</v>
      </c>
      <c r="AR223" s="192" t="n">
        <v>1983771</v>
      </c>
      <c r="AS223" s="192" t="n">
        <v>1905571</v>
      </c>
      <c r="AT223" s="192" t="n">
        <v>1753352</v>
      </c>
      <c r="AU223" s="192" t="n">
        <v>1729108</v>
      </c>
      <c r="AV223" s="192" t="n">
        <v>1650361</v>
      </c>
      <c r="AW223" s="192" t="n">
        <v>1566320</v>
      </c>
      <c r="AX223" s="192" t="n">
        <v>1545428</v>
      </c>
      <c r="AY223" s="192" t="n">
        <v>1575436</v>
      </c>
      <c r="AZ223" s="192" t="n">
        <v>1505062</v>
      </c>
      <c r="BA223" s="192" t="n">
        <v>1377861</v>
      </c>
      <c r="BB223" s="192" t="n">
        <v>1343378</v>
      </c>
      <c r="BC223" s="192" t="n">
        <v>1325828</v>
      </c>
      <c r="BD223" s="192" t="n">
        <v>1568915</v>
      </c>
      <c r="BE223" s="192" t="n">
        <v>1508953</v>
      </c>
      <c r="BF223" s="192" t="n">
        <v>1711778</v>
      </c>
      <c r="BG223" s="192" t="n">
        <v>1660154</v>
      </c>
      <c r="BH223" s="192" t="n">
        <v>1235438</v>
      </c>
      <c r="BI223" s="192" t="n">
        <v>1197782</v>
      </c>
      <c r="BJ223" s="192" t="n">
        <v>1162886</v>
      </c>
      <c r="BK223" s="192" t="n">
        <v>1127557</v>
      </c>
      <c r="BL223" s="192" t="n">
        <v>1100034</v>
      </c>
      <c r="BM223" s="192" t="n">
        <v>1049312</v>
      </c>
      <c r="BN223" s="192" t="n">
        <v>1077002</v>
      </c>
      <c r="BO223" s="192" t="n">
        <v>1028833</v>
      </c>
      <c r="BP223" s="192" t="n">
        <v>1008927</v>
      </c>
      <c r="BQ223" s="192" t="n">
        <v>949577</v>
      </c>
      <c r="BR223" s="192" t="n">
        <v>997580</v>
      </c>
      <c r="BS223" s="192" t="n">
        <v>934520</v>
      </c>
      <c r="BT223" s="192" t="n">
        <v>1017356</v>
      </c>
      <c r="BU223" s="192" t="n">
        <v>873068</v>
      </c>
      <c r="BV223" s="192" t="n">
        <v>980287</v>
      </c>
      <c r="BW223" s="192" t="n">
        <v>1019733</v>
      </c>
      <c r="BX223" s="192" t="n">
        <v>1039926</v>
      </c>
      <c r="BY223" s="192" t="n">
        <v>1014540</v>
      </c>
      <c r="BZ223" s="192" t="n">
        <v>955898</v>
      </c>
      <c r="CA223" s="192" t="n">
        <v>942553</v>
      </c>
      <c r="CB223" s="192" t="n">
        <v>876493</v>
      </c>
      <c r="CC223" s="192" t="n">
        <v>830520</v>
      </c>
      <c r="CD223" s="192" t="n">
        <v>781900</v>
      </c>
      <c r="CE223" s="192" t="n">
        <v>767172</v>
      </c>
      <c r="CF223" s="192" t="n">
        <v>757182</v>
      </c>
      <c r="CG223" s="192" t="n">
        <v>810884</v>
      </c>
      <c r="CH223" s="192" t="n">
        <v>860574</v>
      </c>
      <c r="CI223" s="192" t="n">
        <v>880032</v>
      </c>
      <c r="CJ223" s="192" t="n">
        <v>825513</v>
      </c>
      <c r="CK223" s="192" t="n">
        <v>901412</v>
      </c>
      <c r="CL223" s="192" t="n">
        <v>855229</v>
      </c>
      <c r="CM223" s="192" t="n">
        <v>825046</v>
      </c>
      <c r="CN223" s="192" t="n">
        <v>780540</v>
      </c>
      <c r="CO223" s="192" t="n">
        <v>755570</v>
      </c>
      <c r="CP223" s="192" t="n">
        <v>714067</v>
      </c>
      <c r="CQ223" s="192" t="n">
        <v>713343</v>
      </c>
      <c r="CR223" s="192" t="n">
        <v>675215</v>
      </c>
      <c r="CS223" s="192" t="n">
        <v>652535</v>
      </c>
      <c r="CT223" s="192" t="n">
        <v>617184.9</v>
      </c>
      <c r="CU223" s="192" t="n">
        <v>592286.6</v>
      </c>
      <c r="CV223" s="192" t="n">
        <v>557391</v>
      </c>
      <c r="CW223" s="192" t="n">
        <v>543551.6</v>
      </c>
      <c r="CX223" s="192" t="n">
        <v>503737</v>
      </c>
      <c r="CY223" s="192" t="n">
        <v>482477</v>
      </c>
      <c r="CZ223" s="192" t="n">
        <v>470127</v>
      </c>
      <c r="DA223" s="192" t="n">
        <v>454599.6</v>
      </c>
      <c r="DB223" s="192" t="n">
        <v>454250.2</v>
      </c>
      <c r="DC223" s="192" t="n">
        <v>439498.8</v>
      </c>
      <c r="DD223" s="192" t="n">
        <v>423761.1</v>
      </c>
      <c r="DE223" s="192" t="n">
        <v>409953.5</v>
      </c>
      <c r="DF223" s="192" t="n">
        <v>384469.6</v>
      </c>
      <c r="DG223" s="192" t="n">
        <v>245598</v>
      </c>
      <c r="DH223" s="192" t="n">
        <v>223946.1</v>
      </c>
      <c r="DI223" s="192" t="n">
        <v>218101</v>
      </c>
      <c r="DJ223" s="192" t="n">
        <v>202390.3</v>
      </c>
      <c r="DK223" s="192" t="n">
        <v>187607.6</v>
      </c>
      <c r="DL223" s="192" t="n">
        <v>171928.7</v>
      </c>
      <c r="DM223" s="192" t="n">
        <v>162662.9</v>
      </c>
      <c r="DN223" s="192" t="n">
        <v>152500</v>
      </c>
      <c r="DO223" s="192" t="n">
        <v>152500</v>
      </c>
      <c r="DP223" s="192" t="n">
        <v>140900</v>
      </c>
      <c r="DQ223" s="192" t="n">
        <v>136200</v>
      </c>
      <c r="DR223" s="192" t="n">
        <v>125100</v>
      </c>
      <c r="DS223" s="192" t="n">
        <v>120400</v>
      </c>
      <c r="DT223" s="192" t="n">
        <v>112500</v>
      </c>
      <c r="DU223" s="192" t="n">
        <v>116500</v>
      </c>
      <c r="DV223" s="192" t="n">
        <v>110300</v>
      </c>
      <c r="DW223" s="192" t="n">
        <v>105100</v>
      </c>
      <c r="DX223" s="192" t="n">
        <v>100000</v>
      </c>
      <c r="DY223" s="192" t="n">
        <v>97400</v>
      </c>
      <c r="DZ223" s="192" t="n">
        <v>93300</v>
      </c>
      <c r="EA223" s="192" t="n">
        <v>87800</v>
      </c>
      <c r="EB223" s="192" t="n">
        <v>83500</v>
      </c>
      <c r="EC223" s="192" t="n">
        <v>73600</v>
      </c>
      <c r="ED223" s="192" t="n">
        <v>68700</v>
      </c>
      <c r="EE223" s="192" t="n">
        <v>64000</v>
      </c>
      <c r="EF223" s="192" t="n">
        <v>61500</v>
      </c>
      <c r="EG223" s="192" t="n">
        <v>36600</v>
      </c>
      <c r="EH223" s="192" t="n">
        <v>35200</v>
      </c>
      <c r="EI223" s="192" t="n">
        <v>33100</v>
      </c>
      <c r="EJ223" s="192" t="n">
        <v>33300</v>
      </c>
      <c r="EK223" s="192" t="n">
        <v>33000</v>
      </c>
      <c r="EL223" s="182" t="n"/>
      <c r="EM223" s="176" t="n"/>
      <c r="EN223" s="176" t="n"/>
      <c r="EO223" s="176" t="n"/>
      <c r="EP223" s="176" t="n"/>
      <c r="EQ223" s="176" t="n"/>
      <c r="ER223" s="176" t="n"/>
      <c r="ES223" s="176" t="n"/>
      <c r="ET223" s="176" t="n"/>
      <c r="EU223" s="176" t="n"/>
      <c r="EV223" s="176" t="n"/>
      <c r="EW223" s="176" t="n"/>
      <c r="EX223" s="176" t="n"/>
      <c r="EY223" s="176" t="n"/>
      <c r="EZ223" s="176" t="n"/>
      <c r="FA223" s="176" t="n"/>
      <c r="FB223" s="176" t="n"/>
      <c r="FC223" s="176" t="n"/>
      <c r="FD223" s="176" t="n"/>
      <c r="FE223" s="176" t="n"/>
      <c r="FF223" s="176" t="n"/>
      <c r="FG223" s="176" t="n"/>
      <c r="FH223" s="176" t="n"/>
      <c r="FI223" s="176" t="n"/>
      <c r="FJ223" s="176" t="n"/>
    </row>
    <row r="224" ht="15" customHeight="1" s="392">
      <c r="A224" s="176" t="n"/>
      <c r="B224" s="180" t="n"/>
      <c r="C224" s="183" t="inlineStr">
        <is>
          <t xml:space="preserve">    Tangible Book Value</t>
        </is>
      </c>
      <c r="D224" s="190">
        <f>IF(COUNT(M224:EK224)&gt;0,MEDIAN(M224:EK224),"")</f>
        <v/>
      </c>
      <c r="E224" s="190">
        <f>IF(COUNT(M224:EK224)&gt;0,AVERAGE(M224:EK224),"")</f>
        <v/>
      </c>
      <c r="F224" s="190">
        <f>IF(COUNT(M224:EK224)&gt;0,MIN(M224:EK224),"")</f>
        <v/>
      </c>
      <c r="G224" s="190">
        <f>IF(COUNT(M224:EK224)&gt;0,MAX(M224:EK224),"")</f>
        <v/>
      </c>
      <c r="H224" s="190">
        <f>IF(COUNT(M224:EK224)&gt;0,QUARTILE(M224:EK224,1),"")</f>
        <v/>
      </c>
      <c r="I224" s="190">
        <f>IF(COUNT(M224:EK224)&gt;0,QUARTILE(M224:EK224,3),"")</f>
        <v/>
      </c>
      <c r="J224" s="190">
        <f>IF(COUNT(M224:EK224)&gt;1,STDEV(M224:EK224),"")</f>
        <v/>
      </c>
      <c r="K224" s="191">
        <f>IF(COUNT(M224:EK224)&gt;1,STDEV(M224:EK224)/AVERAGE(M224:EK224),"")</f>
        <v/>
      </c>
      <c r="M224" s="192" t="n">
        <v>8552106</v>
      </c>
      <c r="N224" s="192" t="n">
        <v>8214799</v>
      </c>
      <c r="O224" s="192" t="n">
        <v>9226469</v>
      </c>
      <c r="P224" s="192" t="n">
        <v>9040740</v>
      </c>
      <c r="Q224" s="192" t="n">
        <v>8626880</v>
      </c>
      <c r="R224" s="192" t="n">
        <v>8217680</v>
      </c>
      <c r="S224" s="192" t="n">
        <v>7746279</v>
      </c>
      <c r="T224" s="192" t="n">
        <v>7332951</v>
      </c>
      <c r="U224" s="192" t="n">
        <v>6960558</v>
      </c>
      <c r="V224" s="192" t="n">
        <v>6608028</v>
      </c>
      <c r="W224" s="192" t="n">
        <v>6218102</v>
      </c>
      <c r="X224" s="192" t="n">
        <v>5853881</v>
      </c>
      <c r="Y224" s="192" t="n">
        <v>5530449</v>
      </c>
      <c r="Z224" s="192" t="n">
        <v>5136106</v>
      </c>
      <c r="AA224" s="192" t="n">
        <v>4758420</v>
      </c>
      <c r="AB224" s="192" t="n">
        <v>4406143</v>
      </c>
      <c r="AC224" s="192" t="n">
        <v>4168965</v>
      </c>
      <c r="AD224" s="192" t="n">
        <v>3964200</v>
      </c>
      <c r="AE224" s="192" t="n">
        <v>3694217</v>
      </c>
      <c r="AF224" s="192" t="n">
        <v>3395845</v>
      </c>
      <c r="AG224" s="192" t="n">
        <v>3127611</v>
      </c>
      <c r="AH224" s="192" t="n">
        <v>2859327</v>
      </c>
      <c r="AI224" s="192" t="n">
        <v>2551356</v>
      </c>
      <c r="AJ224" s="192" t="n">
        <v>2322393</v>
      </c>
      <c r="AK224" s="192" t="n">
        <v>2098122</v>
      </c>
      <c r="AL224" s="192" t="n">
        <v>1894301</v>
      </c>
      <c r="AM224" s="192" t="n">
        <v>1736176</v>
      </c>
      <c r="AN224" s="192" t="n">
        <v>1536803</v>
      </c>
      <c r="AO224" s="192" t="n">
        <v>1389904</v>
      </c>
      <c r="AP224" s="192" t="n">
        <v>1223500</v>
      </c>
      <c r="AQ224" s="192" t="n">
        <v>1061643</v>
      </c>
      <c r="AR224" s="192" t="n">
        <v>1273743</v>
      </c>
      <c r="AS224" s="192" t="n">
        <v>1178972</v>
      </c>
      <c r="AT224" s="192" t="n">
        <v>1048971</v>
      </c>
      <c r="AU224" s="192" t="n">
        <v>917358</v>
      </c>
      <c r="AV224" s="192" t="n">
        <v>776600</v>
      </c>
      <c r="AW224" s="192" t="n">
        <v>682419</v>
      </c>
      <c r="AX224" s="192" t="n">
        <v>740071</v>
      </c>
      <c r="AY224" s="192" t="n">
        <v>629898</v>
      </c>
      <c r="AZ224" s="192" t="n">
        <v>542073</v>
      </c>
      <c r="BA224" s="192" t="n">
        <v>502497</v>
      </c>
      <c r="BB224" s="192" t="n">
        <v>435770</v>
      </c>
      <c r="BC224" s="192" t="n">
        <v>452864</v>
      </c>
      <c r="BD224" s="192" t="n">
        <v>729696</v>
      </c>
      <c r="BE224" s="192" t="n">
        <v>674757</v>
      </c>
      <c r="BF224" s="192" t="n">
        <v>844769</v>
      </c>
      <c r="BG224" s="192" t="n">
        <v>781320</v>
      </c>
      <c r="BH224" s="192" t="n">
        <v>736283</v>
      </c>
      <c r="BI224" s="192" t="n">
        <v>694477</v>
      </c>
      <c r="BJ224" s="192" t="n">
        <v>625975</v>
      </c>
      <c r="BK224" s="192" t="n">
        <v>569788</v>
      </c>
      <c r="BL224" s="192" t="n">
        <v>525293</v>
      </c>
      <c r="BM224" s="192" t="n">
        <v>477232</v>
      </c>
      <c r="BN224" s="192" t="n">
        <v>502714</v>
      </c>
      <c r="BO224" s="192" t="n">
        <v>442390</v>
      </c>
      <c r="BP224" s="192" t="n">
        <v>403272</v>
      </c>
      <c r="BQ224" s="192" t="n">
        <v>356694</v>
      </c>
      <c r="BR224" s="192" t="n">
        <v>371549</v>
      </c>
      <c r="BS224" s="192" t="n">
        <v>302234</v>
      </c>
      <c r="BT224" s="192" t="n">
        <v>346317</v>
      </c>
      <c r="BU224" s="192" t="n">
        <v>343804</v>
      </c>
      <c r="BV224" s="192" t="n">
        <v>435317</v>
      </c>
      <c r="BW224" s="192" t="n">
        <v>868615</v>
      </c>
      <c r="BX224" s="192" t="n">
        <v>898348</v>
      </c>
      <c r="BY224" s="192" t="n">
        <v>858996</v>
      </c>
      <c r="BZ224" s="192" t="n">
        <v>809432</v>
      </c>
      <c r="CA224" s="192" t="n">
        <v>782149</v>
      </c>
      <c r="CB224" s="192" t="n">
        <v>739920</v>
      </c>
      <c r="CC224" s="192" t="n">
        <v>690225</v>
      </c>
      <c r="CD224" s="192" t="n">
        <v>647985</v>
      </c>
      <c r="CE224" s="192" t="n">
        <v>624738</v>
      </c>
      <c r="CF224" s="192" t="n">
        <v>599931</v>
      </c>
      <c r="CG224" s="192" t="n">
        <v>665273</v>
      </c>
      <c r="CH224" s="192" t="n">
        <v>729514</v>
      </c>
      <c r="CI224" s="192" t="n">
        <v>736443</v>
      </c>
      <c r="CJ224" s="192" t="n">
        <v>691779</v>
      </c>
      <c r="CK224" s="192" t="n">
        <v>815557</v>
      </c>
      <c r="CL224" s="192" t="n">
        <v>772987</v>
      </c>
      <c r="CM224" s="192" t="n">
        <v>729694</v>
      </c>
      <c r="CN224" s="192" t="n">
        <v>695805</v>
      </c>
      <c r="CO224" s="192" t="n">
        <v>660713</v>
      </c>
      <c r="CP224" s="192" t="n">
        <v>623315</v>
      </c>
      <c r="CQ224" s="192" t="n">
        <v>613938</v>
      </c>
      <c r="CR224" s="192" t="n">
        <v>591066</v>
      </c>
      <c r="CS224" s="192" t="n">
        <v>564328</v>
      </c>
      <c r="CT224" s="192" t="n">
        <v>535221.5</v>
      </c>
      <c r="CU224" s="192" t="n">
        <v>510147.2</v>
      </c>
      <c r="CV224" s="192" t="n">
        <v>486631</v>
      </c>
      <c r="CW224" s="192" t="n">
        <v>460917.3</v>
      </c>
      <c r="CX224" s="192" t="n">
        <v>433883</v>
      </c>
      <c r="CY224" s="192" t="n">
        <v>414525.3</v>
      </c>
      <c r="CZ224" s="192" t="n">
        <v>408667</v>
      </c>
      <c r="DA224" s="192" t="n">
        <v>394413.8</v>
      </c>
      <c r="DB224" s="192" t="n">
        <v>398965.3</v>
      </c>
      <c r="DC224" s="192" t="n">
        <v>383176.5</v>
      </c>
      <c r="DD224" s="192" t="n">
        <v>374130.5</v>
      </c>
      <c r="DE224" s="192" t="n">
        <v>352777.9</v>
      </c>
      <c r="DF224" s="192" t="n">
        <v>333312.4</v>
      </c>
      <c r="DG224" s="192" t="n">
        <v>190493.6</v>
      </c>
      <c r="DH224" s="192" t="n">
        <v>178034.3</v>
      </c>
      <c r="DI224" s="192" t="n">
        <v>160879.9</v>
      </c>
      <c r="DJ224" s="192" t="n">
        <v>150560.3</v>
      </c>
      <c r="DK224" s="192" t="n">
        <v>139421.6</v>
      </c>
      <c r="DL224" s="192" t="n">
        <v>129494.8</v>
      </c>
      <c r="DM224" s="192" t="n">
        <v>120205.9</v>
      </c>
      <c r="DN224" s="192" t="n">
        <v>112700</v>
      </c>
      <c r="DO224" s="192" t="n">
        <v>113300</v>
      </c>
      <c r="DP224" s="192" t="n">
        <v>106200</v>
      </c>
      <c r="DQ224" s="192" t="n">
        <v>100400</v>
      </c>
      <c r="DR224" s="192" t="n">
        <v>93100</v>
      </c>
      <c r="DS224" s="192" t="n">
        <v>87100</v>
      </c>
      <c r="DT224" s="192" t="n">
        <v>81800</v>
      </c>
      <c r="DU224" s="192" t="n">
        <v>82100</v>
      </c>
      <c r="DV224" s="192" t="n">
        <v>77600</v>
      </c>
      <c r="DW224" s="192" t="n">
        <v>70900</v>
      </c>
      <c r="DX224" s="192" t="n">
        <v>67500</v>
      </c>
      <c r="DY224" s="192" t="n">
        <v>63200</v>
      </c>
      <c r="DZ224" s="192" t="n">
        <v>59600</v>
      </c>
      <c r="EA224" s="192" t="n">
        <v>54300</v>
      </c>
      <c r="EB224" s="192" t="n">
        <v>51600</v>
      </c>
      <c r="EC224" s="192" t="n">
        <v>47600</v>
      </c>
      <c r="ED224" s="192" t="n">
        <v>44300</v>
      </c>
      <c r="EE224" s="192" t="n">
        <v>40300</v>
      </c>
      <c r="EF224" s="192" t="n">
        <v>39400</v>
      </c>
      <c r="EG224" s="192" t="n">
        <v>19700</v>
      </c>
      <c r="EH224" s="192" t="n">
        <v>19400</v>
      </c>
      <c r="EI224" s="192" t="n">
        <v>18500</v>
      </c>
      <c r="EJ224" s="192" t="n">
        <v>20000</v>
      </c>
      <c r="EK224" s="192" t="n">
        <v>21300</v>
      </c>
      <c r="EL224" s="182" t="n"/>
      <c r="EM224" s="176" t="n"/>
      <c r="EN224" s="176" t="n"/>
      <c r="EO224" s="176" t="n"/>
      <c r="EP224" s="176" t="n"/>
      <c r="EQ224" s="176" t="n"/>
      <c r="ER224" s="176" t="n"/>
      <c r="ES224" s="176" t="n"/>
      <c r="ET224" s="176" t="n"/>
      <c r="EU224" s="176" t="n"/>
      <c r="EV224" s="176" t="n"/>
      <c r="EW224" s="176" t="n"/>
      <c r="EX224" s="176" t="n"/>
      <c r="EY224" s="176" t="n"/>
      <c r="EZ224" s="176" t="n"/>
      <c r="FA224" s="176" t="n"/>
      <c r="FB224" s="176" t="n"/>
      <c r="FC224" s="176" t="n"/>
      <c r="FD224" s="176" t="n"/>
      <c r="FE224" s="176" t="n"/>
      <c r="FF224" s="176" t="n"/>
      <c r="FG224" s="176" t="n"/>
      <c r="FH224" s="176" t="n"/>
      <c r="FI224" s="176" t="n"/>
      <c r="FJ224" s="176" t="n"/>
    </row>
    <row r="225" ht="15" customHeight="1" s="392">
      <c r="A225" s="176" t="n"/>
      <c r="B225" s="180" t="n"/>
      <c r="C225" s="183" t="inlineStr">
        <is>
          <t xml:space="preserve">    Working Capital</t>
        </is>
      </c>
      <c r="D225" s="190">
        <f>IF(COUNT(M225:EK225)&gt;0,MEDIAN(M225:EK225),"")</f>
        <v/>
      </c>
      <c r="E225" s="190">
        <f>IF(COUNT(M225:EK225)&gt;0,AVERAGE(M225:EK225),"")</f>
        <v/>
      </c>
      <c r="F225" s="190">
        <f>IF(COUNT(M225:EK225)&gt;0,MIN(M225:EK225),"")</f>
        <v/>
      </c>
      <c r="G225" s="190">
        <f>IF(COUNT(M225:EK225)&gt;0,MAX(M225:EK225),"")</f>
        <v/>
      </c>
      <c r="H225" s="190">
        <f>IF(COUNT(M225:EK225)&gt;0,QUARTILE(M225:EK225,1),"")</f>
        <v/>
      </c>
      <c r="I225" s="190">
        <f>IF(COUNT(M225:EK225)&gt;0,QUARTILE(M225:EK225,3),"")</f>
        <v/>
      </c>
      <c r="J225" s="190">
        <f>IF(COUNT(M225:EK225)&gt;1,STDEV(M225:EK225),"")</f>
        <v/>
      </c>
      <c r="K225" s="191">
        <f>IF(COUNT(M225:EK225)&gt;1,STDEV(M225:EK225)/AVERAGE(M225:EK225),"")</f>
        <v/>
      </c>
      <c r="M225" s="192" t="n">
        <v>4864453</v>
      </c>
      <c r="N225" s="192" t="n">
        <v>4531414</v>
      </c>
      <c r="O225" s="192" t="n">
        <v>5562307</v>
      </c>
      <c r="P225" s="192" t="n">
        <v>5420938</v>
      </c>
      <c r="Q225" s="192" t="n">
        <v>5071347</v>
      </c>
      <c r="R225" s="192" t="n">
        <v>4702022</v>
      </c>
      <c r="S225" s="192" t="n">
        <v>4337146</v>
      </c>
      <c r="T225" s="192" t="n">
        <v>4018262</v>
      </c>
      <c r="U225" s="192" t="n">
        <v>3789617</v>
      </c>
      <c r="V225" s="192" t="n">
        <v>3585710</v>
      </c>
      <c r="W225" s="192" t="n">
        <v>3222463</v>
      </c>
      <c r="X225" s="192" t="n">
        <v>2960473</v>
      </c>
      <c r="Y225" s="192" t="n">
        <v>2769835</v>
      </c>
      <c r="Z225" s="192" t="n">
        <v>2494466</v>
      </c>
      <c r="AA225" s="192" t="n">
        <v>2151158</v>
      </c>
      <c r="AB225" s="192" t="n">
        <v>1860128</v>
      </c>
      <c r="AC225" s="192" t="n">
        <v>1761566</v>
      </c>
      <c r="AD225" s="192" t="n">
        <v>2008331</v>
      </c>
      <c r="AE225" s="192" t="n">
        <v>1771513</v>
      </c>
      <c r="AF225" s="192" t="n">
        <v>1547869</v>
      </c>
      <c r="AG225" s="192" t="n">
        <v>1281580</v>
      </c>
      <c r="AH225" s="192" t="n">
        <v>1086326</v>
      </c>
      <c r="AI225" s="192" t="n">
        <v>854452</v>
      </c>
      <c r="AJ225" s="192" t="n">
        <v>730640</v>
      </c>
      <c r="AK225" s="192" t="n">
        <v>607715</v>
      </c>
      <c r="AL225" s="192" t="n">
        <v>507584</v>
      </c>
      <c r="AM225" s="192" t="n">
        <v>389126</v>
      </c>
      <c r="AN225" s="192" t="n">
        <v>420758</v>
      </c>
      <c r="AO225" s="192" t="n">
        <v>405163</v>
      </c>
      <c r="AP225" s="192" t="n">
        <v>316679</v>
      </c>
      <c r="AQ225" s="192" t="n">
        <v>256433</v>
      </c>
      <c r="AR225" s="192" t="n">
        <v>508414</v>
      </c>
      <c r="AS225" s="192" t="n">
        <v>431860</v>
      </c>
      <c r="AT225" s="192" t="n">
        <v>360324</v>
      </c>
      <c r="AU225" s="192" t="n">
        <v>291428</v>
      </c>
      <c r="AV225" s="192" t="n">
        <v>365202</v>
      </c>
      <c r="AW225" s="192" t="n">
        <v>285108</v>
      </c>
      <c r="AX225" s="192" t="n">
        <v>372121</v>
      </c>
      <c r="AY225" s="192" t="n">
        <v>313305</v>
      </c>
      <c r="AZ225" s="192" t="n">
        <v>273033</v>
      </c>
      <c r="BA225" s="192" t="n">
        <v>220523</v>
      </c>
      <c r="BB225" s="192" t="n">
        <v>260924</v>
      </c>
      <c r="BC225" s="192" t="n">
        <v>241741</v>
      </c>
      <c r="BD225" s="192" t="n">
        <v>561730</v>
      </c>
      <c r="BE225" s="192" t="n">
        <v>521456</v>
      </c>
      <c r="BF225" s="192" t="n">
        <v>725011</v>
      </c>
      <c r="BG225" s="192" t="n">
        <v>653701</v>
      </c>
      <c r="BH225" s="192" t="n">
        <v>198075</v>
      </c>
      <c r="BI225" s="192" t="n">
        <v>168007</v>
      </c>
      <c r="BJ225" s="192" t="n">
        <v>129012</v>
      </c>
      <c r="BK225" s="192" t="n">
        <v>73278</v>
      </c>
      <c r="BL225" s="192" t="n">
        <v>63048</v>
      </c>
      <c r="BM225" s="192" t="n">
        <v>67893</v>
      </c>
      <c r="BN225" s="192" t="n">
        <v>134785</v>
      </c>
      <c r="BO225" s="192" t="n">
        <v>99094</v>
      </c>
      <c r="BP225" s="192" t="n">
        <v>109854</v>
      </c>
      <c r="BQ225" s="192" t="n">
        <v>134908</v>
      </c>
      <c r="BR225" s="192" t="n">
        <v>184604</v>
      </c>
      <c r="BS225" s="192" t="n">
        <v>142030</v>
      </c>
      <c r="BT225" s="192" t="n">
        <v>175636</v>
      </c>
      <c r="BU225" s="192" t="n">
        <v>75242</v>
      </c>
      <c r="BV225" s="192" t="n">
        <v>181960</v>
      </c>
      <c r="BW225" s="192" t="n">
        <v>300486</v>
      </c>
      <c r="BX225" s="192" t="n">
        <v>330191</v>
      </c>
      <c r="BY225" s="192" t="n">
        <v>299007</v>
      </c>
      <c r="BZ225" s="192" t="n">
        <v>253462</v>
      </c>
      <c r="CA225" s="192" t="n">
        <v>240108</v>
      </c>
      <c r="CB225" s="192" t="n">
        <v>212349</v>
      </c>
      <c r="CC225" s="192" t="n">
        <v>166826</v>
      </c>
      <c r="CD225" s="192" t="n">
        <v>119163</v>
      </c>
      <c r="CE225" s="192" t="n">
        <v>106021</v>
      </c>
      <c r="CF225" s="192" t="n">
        <v>84501</v>
      </c>
      <c r="CG225" s="192" t="n">
        <v>142611</v>
      </c>
      <c r="CH225" s="192" t="n">
        <v>248604</v>
      </c>
      <c r="CI225" s="192" t="n">
        <v>282407</v>
      </c>
      <c r="CJ225" s="192" t="n">
        <v>247850</v>
      </c>
      <c r="CK225" s="192" t="n">
        <v>302774</v>
      </c>
      <c r="CL225" s="192" t="n">
        <v>391882</v>
      </c>
      <c r="CM225" s="192" t="n">
        <v>353288</v>
      </c>
      <c r="CN225" s="192" t="n">
        <v>328017</v>
      </c>
      <c r="CO225" s="192" t="n">
        <v>314012</v>
      </c>
      <c r="CP225" s="192" t="n">
        <v>292353</v>
      </c>
      <c r="CQ225" s="192" t="n">
        <v>290200</v>
      </c>
      <c r="CR225" s="192" t="n">
        <v>293695</v>
      </c>
      <c r="CS225" s="192" t="n">
        <v>291359</v>
      </c>
      <c r="CT225" s="192" t="n">
        <v>268250.6</v>
      </c>
      <c r="CU225" s="192" t="n">
        <v>251179.3</v>
      </c>
      <c r="CV225" s="192" t="n">
        <v>229888</v>
      </c>
      <c r="CW225" s="192" t="n">
        <v>218536.2</v>
      </c>
      <c r="CX225" s="192" t="n">
        <v>189281</v>
      </c>
      <c r="CY225" s="192" t="n">
        <v>175297.3</v>
      </c>
      <c r="CZ225" s="192" t="n">
        <v>171582</v>
      </c>
      <c r="DA225" s="192" t="n">
        <v>158226.2</v>
      </c>
      <c r="DB225" s="192" t="n">
        <v>160729.4</v>
      </c>
      <c r="DC225" s="192" t="n">
        <v>172352.7</v>
      </c>
      <c r="DD225" s="192" t="n">
        <v>178946</v>
      </c>
      <c r="DE225" s="192" t="n">
        <v>183186</v>
      </c>
      <c r="DF225" s="192" t="n">
        <v>185236.3</v>
      </c>
      <c r="DG225" s="192" t="n">
        <v>67244.10000000001</v>
      </c>
      <c r="DH225" s="192" t="n">
        <v>63773.8</v>
      </c>
      <c r="DI225" s="192" t="n">
        <v>56852.3</v>
      </c>
      <c r="DJ225" s="192" t="n">
        <v>56990.4</v>
      </c>
      <c r="DK225" s="192" t="n">
        <v>55950.2</v>
      </c>
      <c r="DL225" s="192" t="n">
        <v>54042.3</v>
      </c>
      <c r="DM225" s="192" t="n">
        <v>56154.2</v>
      </c>
      <c r="DN225" s="192" t="n">
        <v>56500</v>
      </c>
      <c r="DO225" s="192" t="n">
        <v>62200</v>
      </c>
      <c r="DP225" s="192" t="n">
        <v>64700</v>
      </c>
      <c r="DQ225" s="192" t="n">
        <v>63400</v>
      </c>
      <c r="DR225" s="192" t="n">
        <v>58200</v>
      </c>
      <c r="DS225" s="192" t="n">
        <v>57100</v>
      </c>
      <c r="DT225" s="192" t="n">
        <v>54800</v>
      </c>
      <c r="DU225" s="192" t="n">
        <v>57000</v>
      </c>
      <c r="DV225" s="192" t="n">
        <v>54600</v>
      </c>
      <c r="DW225" s="192" t="n">
        <v>50600</v>
      </c>
      <c r="DX225" s="192" t="n">
        <v>48900</v>
      </c>
      <c r="DY225" s="192" t="n">
        <v>48900</v>
      </c>
      <c r="DZ225" s="192" t="n">
        <v>46000</v>
      </c>
      <c r="EA225" s="192" t="n">
        <v>40900</v>
      </c>
      <c r="EB225" s="192" t="n">
        <v>40600</v>
      </c>
      <c r="EC225" s="192" t="n">
        <v>40000</v>
      </c>
      <c r="ED225" s="192" t="n">
        <v>37300</v>
      </c>
      <c r="EE225" s="192" t="n">
        <v>33900</v>
      </c>
      <c r="EF225" s="192" t="n">
        <v>32800</v>
      </c>
      <c r="EG225" s="192" t="n">
        <v>19300</v>
      </c>
      <c r="EH225" s="192" t="n">
        <v>20200</v>
      </c>
      <c r="EI225" s="192" t="n">
        <v>19600</v>
      </c>
      <c r="EJ225" s="192" t="n">
        <v>21900</v>
      </c>
      <c r="EK225" s="192" t="n">
        <v>23800</v>
      </c>
      <c r="EL225" s="182" t="n"/>
      <c r="EM225" s="176" t="n"/>
      <c r="EN225" s="176" t="n"/>
      <c r="EO225" s="176" t="n"/>
      <c r="EP225" s="176" t="n"/>
      <c r="EQ225" s="176" t="n"/>
      <c r="ER225" s="176" t="n"/>
      <c r="ES225" s="176" t="n"/>
      <c r="ET225" s="176" t="n"/>
      <c r="EU225" s="176" t="n"/>
      <c r="EV225" s="176" t="n"/>
      <c r="EW225" s="176" t="n"/>
      <c r="EX225" s="176" t="n"/>
      <c r="EY225" s="176" t="n"/>
      <c r="EZ225" s="176" t="n"/>
      <c r="FA225" s="176" t="n"/>
      <c r="FB225" s="176" t="n"/>
      <c r="FC225" s="176" t="n"/>
      <c r="FD225" s="176" t="n"/>
      <c r="FE225" s="176" t="n"/>
      <c r="FF225" s="176" t="n"/>
      <c r="FG225" s="176" t="n"/>
      <c r="FH225" s="176" t="n"/>
      <c r="FI225" s="176" t="n"/>
      <c r="FJ225" s="176" t="n"/>
    </row>
    <row r="226" ht="15" customHeight="1" s="392">
      <c r="A226" s="176" t="n"/>
      <c r="B226" s="180" t="n"/>
      <c r="C226" s="183" t="inlineStr">
        <is>
          <t xml:space="preserve">    Invested Capital</t>
        </is>
      </c>
      <c r="D226" s="190">
        <f>IF(COUNT(M226:EK226)&gt;0,MEDIAN(M226:EK226),"")</f>
        <v/>
      </c>
      <c r="E226" s="190">
        <f>IF(COUNT(M226:EK226)&gt;0,AVERAGE(M226:EK226),"")</f>
        <v/>
      </c>
      <c r="F226" s="190">
        <f>IF(COUNT(M226:EK226)&gt;0,MIN(M226:EK226),"")</f>
        <v/>
      </c>
      <c r="G226" s="190">
        <f>IF(COUNT(M226:EK226)&gt;0,MAX(M226:EK226),"")</f>
        <v/>
      </c>
      <c r="H226" s="190">
        <f>IF(COUNT(M226:EK226)&gt;0,QUARTILE(M226:EK226,1),"")</f>
        <v/>
      </c>
      <c r="I226" s="190">
        <f>IF(COUNT(M226:EK226)&gt;0,QUARTILE(M226:EK226,3),"")</f>
        <v/>
      </c>
      <c r="J226" s="190">
        <f>IF(COUNT(M226:EK226)&gt;1,STDEV(M226:EK226),"")</f>
        <v/>
      </c>
      <c r="K226" s="191">
        <f>IF(COUNT(M226:EK226)&gt;1,STDEV(M226:EK226)/AVERAGE(M226:EK226),"")</f>
        <v/>
      </c>
      <c r="M226" s="192" t="n">
        <v>9202247</v>
      </c>
      <c r="N226" s="192" t="n">
        <v>8884561</v>
      </c>
      <c r="O226" s="192" t="n">
        <v>9903370</v>
      </c>
      <c r="P226" s="192" t="n">
        <v>9719047</v>
      </c>
      <c r="Q226" s="192" t="n">
        <v>9311230</v>
      </c>
      <c r="R226" s="192" t="n">
        <v>8903757</v>
      </c>
      <c r="S226" s="192" t="n">
        <v>8443429</v>
      </c>
      <c r="T226" s="192" t="n">
        <v>8036817</v>
      </c>
      <c r="U226" s="192" t="n">
        <v>7667288</v>
      </c>
      <c r="V226" s="192" t="n">
        <v>7308219</v>
      </c>
      <c r="W226" s="192" t="n">
        <v>6928266</v>
      </c>
      <c r="X226" s="192" t="n">
        <v>6569502</v>
      </c>
      <c r="Y226" s="192" t="n">
        <v>6107893</v>
      </c>
      <c r="Z226" s="192" t="n">
        <v>5721706</v>
      </c>
      <c r="AA226" s="192" t="n">
        <v>5323728</v>
      </c>
      <c r="AB226" s="192" t="n">
        <v>4968556</v>
      </c>
      <c r="AC226" s="192" t="n">
        <v>4745072</v>
      </c>
      <c r="AD226" s="192" t="n">
        <v>4878084</v>
      </c>
      <c r="AE226" s="192" t="n">
        <v>4615270</v>
      </c>
      <c r="AF226" s="192" t="n">
        <v>4327217</v>
      </c>
      <c r="AG226" s="192" t="n">
        <v>4047270</v>
      </c>
      <c r="AH226" s="192" t="n">
        <v>3779503</v>
      </c>
      <c r="AI226" s="192" t="n">
        <v>3454406</v>
      </c>
      <c r="AJ226" s="192" t="n">
        <v>3236772</v>
      </c>
      <c r="AK226" s="192" t="n">
        <v>3008138</v>
      </c>
      <c r="AL226" s="192" t="n">
        <v>2797300</v>
      </c>
      <c r="AM226" s="192" t="n">
        <v>2644010</v>
      </c>
      <c r="AN226" s="192" t="n">
        <v>2467486</v>
      </c>
      <c r="AO226" s="192" t="n">
        <v>2179610</v>
      </c>
      <c r="AP226" s="192" t="n">
        <v>2025243</v>
      </c>
      <c r="AQ226" s="192" t="n">
        <v>1952815</v>
      </c>
      <c r="AR226" s="192" t="n">
        <v>2071401</v>
      </c>
      <c r="AS226" s="192" t="n">
        <v>1980997</v>
      </c>
      <c r="AT226" s="192" t="n">
        <v>1860877</v>
      </c>
      <c r="AU226" s="192" t="n">
        <v>1844288</v>
      </c>
      <c r="AV226" s="192" t="n">
        <v>1772763</v>
      </c>
      <c r="AW226" s="192" t="n">
        <v>1731638</v>
      </c>
      <c r="AX226" s="192" t="n">
        <v>1573235</v>
      </c>
      <c r="AY226" s="192" t="n">
        <v>1607780</v>
      </c>
      <c r="AZ226" s="192" t="n">
        <v>1551588</v>
      </c>
      <c r="BA226" s="192" t="n">
        <v>1414948</v>
      </c>
      <c r="BB226" s="192" t="n">
        <v>1417403</v>
      </c>
      <c r="BC226" s="192" t="n">
        <v>1407072</v>
      </c>
      <c r="BD226" s="192" t="n">
        <v>1643268</v>
      </c>
      <c r="BE226" s="192" t="n">
        <v>1608978</v>
      </c>
      <c r="BF226" s="192" t="n">
        <v>1800840</v>
      </c>
      <c r="BG226" s="192" t="n">
        <v>1757644</v>
      </c>
      <c r="BH226" s="192" t="n">
        <v>1317470</v>
      </c>
      <c r="BI226" s="192" t="n">
        <v>1306400</v>
      </c>
      <c r="BJ226" s="192" t="n">
        <v>1258038</v>
      </c>
      <c r="BK226" s="192" t="n">
        <v>1235968</v>
      </c>
      <c r="BL226" s="192" t="n">
        <v>1180073</v>
      </c>
      <c r="BM226" s="192" t="n">
        <v>1151149</v>
      </c>
      <c r="BN226" s="192" t="n">
        <v>1114561</v>
      </c>
      <c r="BO226" s="192" t="n">
        <v>1075748</v>
      </c>
      <c r="BP226" s="192" t="n">
        <v>1034207</v>
      </c>
      <c r="BQ226" s="192" t="n">
        <v>1005237</v>
      </c>
      <c r="BR226" s="192" t="n">
        <v>1041658</v>
      </c>
      <c r="BS226" s="192" t="n">
        <v>989088</v>
      </c>
      <c r="BT226" s="192" t="n">
        <v>1055569</v>
      </c>
      <c r="BU226" s="192" t="n">
        <v>930928</v>
      </c>
      <c r="BV226" s="192" t="n">
        <v>1035039</v>
      </c>
      <c r="BW226" s="192" t="n">
        <v>1059029</v>
      </c>
      <c r="BX226" s="192" t="n">
        <v>1088209</v>
      </c>
      <c r="BY226" s="192" t="n">
        <v>1046462</v>
      </c>
      <c r="BZ226" s="192" t="n">
        <v>1001423</v>
      </c>
      <c r="CA226" s="192" t="n">
        <v>962936</v>
      </c>
      <c r="CB226" s="192" t="n">
        <v>921459</v>
      </c>
      <c r="CC226" s="192" t="n">
        <v>865691</v>
      </c>
      <c r="CD226" s="192" t="n">
        <v>831661</v>
      </c>
      <c r="CE226" s="192" t="n">
        <v>814707</v>
      </c>
      <c r="CF226" s="192" t="n">
        <v>816498</v>
      </c>
      <c r="CG226" s="192" t="n">
        <v>862650</v>
      </c>
      <c r="CH226" s="192" t="n">
        <v>921843</v>
      </c>
      <c r="CI226" s="192" t="n">
        <v>934098</v>
      </c>
      <c r="CJ226" s="192" t="n">
        <v>890122</v>
      </c>
      <c r="CK226" s="192" t="n">
        <v>929178</v>
      </c>
      <c r="CL226" s="192" t="n">
        <v>886785</v>
      </c>
      <c r="CM226" s="192" t="n">
        <v>843675</v>
      </c>
      <c r="CN226" s="192" t="n">
        <v>809970</v>
      </c>
      <c r="CO226" s="192" t="n">
        <v>775006</v>
      </c>
      <c r="CP226" s="192" t="n">
        <v>737616</v>
      </c>
      <c r="CQ226" s="192" t="n">
        <v>735157</v>
      </c>
      <c r="CR226" s="192" t="n">
        <v>709379</v>
      </c>
      <c r="CS226" s="192" t="n">
        <v>682008</v>
      </c>
      <c r="CT226" s="192" t="n">
        <v>650280.7</v>
      </c>
      <c r="CU226" s="192" t="n">
        <v>625385.6</v>
      </c>
      <c r="CV226" s="192" t="n">
        <v>602263</v>
      </c>
      <c r="CW226" s="192" t="n">
        <v>576173.1</v>
      </c>
      <c r="CX226" s="192" t="n">
        <v>549580</v>
      </c>
      <c r="CY226" s="192" t="n">
        <v>530639.6</v>
      </c>
      <c r="CZ226" s="192" t="n">
        <v>525747</v>
      </c>
      <c r="DA226" s="192" t="n">
        <v>511585</v>
      </c>
      <c r="DB226" s="192" t="n">
        <v>516613.2</v>
      </c>
      <c r="DC226" s="192" t="n">
        <v>501317.6</v>
      </c>
      <c r="DD226" s="192" t="n">
        <v>486626.2</v>
      </c>
      <c r="DE226" s="192" t="n">
        <v>453153.6</v>
      </c>
      <c r="DF226" s="192" t="n">
        <v>434161.9</v>
      </c>
      <c r="DG226" s="192" t="n">
        <v>291534.4</v>
      </c>
      <c r="DH226" s="192" t="n">
        <v>269864.5</v>
      </c>
      <c r="DI226" s="192" t="n">
        <v>261073.8</v>
      </c>
      <c r="DJ226" s="192" t="n">
        <v>249240.6</v>
      </c>
      <c r="DK226" s="192" t="n">
        <v>237386.9</v>
      </c>
      <c r="DL226" s="192" t="n">
        <v>228444.9</v>
      </c>
      <c r="DM226" s="192" t="n">
        <v>213813.8</v>
      </c>
      <c r="DN226" s="192" t="n">
        <v>205300</v>
      </c>
      <c r="DO226" s="192" t="n">
        <v>197900</v>
      </c>
      <c r="DP226" s="192" t="n">
        <v>191900</v>
      </c>
      <c r="DQ226" s="192" t="n">
        <v>184500</v>
      </c>
      <c r="DR226" s="192" t="n">
        <v>178000</v>
      </c>
      <c r="DS226" s="192" t="n">
        <v>172900</v>
      </c>
      <c r="DT226" s="192" t="n">
        <v>168600</v>
      </c>
      <c r="DU226" s="192" t="n">
        <v>162800</v>
      </c>
      <c r="DV226" s="192" t="n">
        <v>158500</v>
      </c>
      <c r="DW226" s="192" t="n">
        <v>154100</v>
      </c>
      <c r="DX226" s="192" t="n">
        <v>152500</v>
      </c>
      <c r="DY226" s="192" t="n">
        <v>149500</v>
      </c>
      <c r="DZ226" s="192" t="n">
        <v>145500</v>
      </c>
      <c r="EA226" s="192" t="n">
        <v>139800</v>
      </c>
      <c r="EB226" s="192" t="n">
        <v>137500</v>
      </c>
      <c r="EC226" s="192" t="n">
        <v>126400</v>
      </c>
      <c r="ED226" s="192" t="n">
        <v>123500</v>
      </c>
      <c r="EE226" s="192" t="n">
        <v>119400</v>
      </c>
      <c r="EF226" s="192" t="n">
        <v>116900</v>
      </c>
      <c r="EG226" s="192" t="n">
        <v>62800</v>
      </c>
      <c r="EH226" s="192" t="n">
        <v>59100</v>
      </c>
      <c r="EI226" s="192" t="n">
        <v>56300</v>
      </c>
      <c r="EJ226" s="192" t="n">
        <v>53300</v>
      </c>
      <c r="EK226" s="192" t="n">
        <v>50900</v>
      </c>
      <c r="EL226" s="182" t="n"/>
      <c r="EM226" s="176" t="n"/>
      <c r="EN226" s="176" t="n"/>
      <c r="EO226" s="176" t="n"/>
      <c r="EP226" s="176" t="n"/>
      <c r="EQ226" s="176" t="n"/>
      <c r="ER226" s="176" t="n"/>
      <c r="ES226" s="176" t="n"/>
      <c r="ET226" s="176" t="n"/>
      <c r="EU226" s="176" t="n"/>
      <c r="EV226" s="176" t="n"/>
      <c r="EW226" s="176" t="n"/>
      <c r="EX226" s="176" t="n"/>
      <c r="EY226" s="176" t="n"/>
      <c r="EZ226" s="176" t="n"/>
      <c r="FA226" s="176" t="n"/>
      <c r="FB226" s="176" t="n"/>
      <c r="FC226" s="176" t="n"/>
      <c r="FD226" s="176" t="n"/>
      <c r="FE226" s="176" t="n"/>
      <c r="FF226" s="176" t="n"/>
      <c r="FG226" s="176" t="n"/>
      <c r="FH226" s="176" t="n"/>
      <c r="FI226" s="176" t="n"/>
      <c r="FJ226" s="176" t="n"/>
    </row>
    <row r="227" ht="15" customHeight="1" s="392">
      <c r="A227" s="176" t="n"/>
      <c r="B227" s="180" t="n"/>
      <c r="C227" s="183" t="inlineStr">
        <is>
          <t xml:space="preserve">    Total Shares Outstanding (TSO)</t>
        </is>
      </c>
      <c r="D227" s="190">
        <f>IF(COUNT(M227:EK227)&gt;0,MEDIAN(M227:EK227),"")</f>
        <v/>
      </c>
      <c r="E227" s="190">
        <f>IF(COUNT(M227:EK227)&gt;0,AVERAGE(M227:EK227),"")</f>
        <v/>
      </c>
      <c r="F227" s="190">
        <f>IF(COUNT(M227:EK227)&gt;0,MIN(M227:EK227),"")</f>
        <v/>
      </c>
      <c r="G227" s="190">
        <f>IF(COUNT(M227:EK227)&gt;0,MAX(M227:EK227),"")</f>
        <v/>
      </c>
      <c r="H227" s="190">
        <f>IF(COUNT(M227:EK227)&gt;0,QUARTILE(M227:EK227,1),"")</f>
        <v/>
      </c>
      <c r="I227" s="190">
        <f>IF(COUNT(M227:EK227)&gt;0,QUARTILE(M227:EK227,3),"")</f>
        <v/>
      </c>
      <c r="J227" s="190">
        <f>IF(COUNT(M227:EK227)&gt;1,STDEV(M227:EK227),"")</f>
        <v/>
      </c>
      <c r="K227" s="191">
        <f>IF(COUNT(M227:EK227)&gt;1,STDEV(M227:EK227)/AVERAGE(M227:EK227),"")</f>
        <v/>
      </c>
      <c r="M227" s="192" t="n">
        <v>925811482</v>
      </c>
      <c r="N227" s="192" t="n">
        <v>925811482</v>
      </c>
      <c r="O227" s="192" t="n">
        <v>968017684</v>
      </c>
      <c r="P227" s="192" t="n">
        <v>967904634</v>
      </c>
      <c r="Q227" s="192" t="n">
        <v>967478690</v>
      </c>
      <c r="R227" s="192" t="n">
        <v>966812661</v>
      </c>
      <c r="S227" s="192" t="n">
        <v>966053166</v>
      </c>
      <c r="T227" s="192" t="n">
        <v>963524402</v>
      </c>
      <c r="U227" s="192" t="n">
        <v>962967011</v>
      </c>
      <c r="V227" s="192" t="n">
        <v>962268657</v>
      </c>
      <c r="W227" s="192" t="n">
        <v>961311496</v>
      </c>
      <c r="X227" s="192" t="n">
        <v>960208274</v>
      </c>
      <c r="Y227" s="192" t="n">
        <v>957344162</v>
      </c>
      <c r="Z227" s="192" t="n">
        <v>953185032</v>
      </c>
      <c r="AA227" s="192" t="n">
        <v>953128296</v>
      </c>
      <c r="AB227" s="192" t="n">
        <v>952391628</v>
      </c>
      <c r="AC227" s="192" t="n">
        <v>950690304</v>
      </c>
      <c r="AD227" s="192" t="n">
        <v>949989212</v>
      </c>
      <c r="AE227" s="192" t="n">
        <v>949897968</v>
      </c>
      <c r="AF227" s="192" t="n">
        <v>948536800</v>
      </c>
      <c r="AG227" s="192" t="n">
        <v>946313992</v>
      </c>
      <c r="AH227" s="192" t="n">
        <v>946273576</v>
      </c>
      <c r="AI227" s="192" t="n">
        <v>944531512</v>
      </c>
      <c r="AJ227" s="192" t="n">
        <v>944332968</v>
      </c>
      <c r="AK227" s="192" t="n">
        <v>941261348</v>
      </c>
      <c r="AL227" s="192" t="n">
        <v>938804056</v>
      </c>
      <c r="AM227" s="192" t="n">
        <v>934546740</v>
      </c>
      <c r="AN227" s="192" t="n">
        <v>929734312</v>
      </c>
      <c r="AO227" s="192" t="n">
        <v>919161072</v>
      </c>
      <c r="AP227" s="192" t="n">
        <v>915254588</v>
      </c>
      <c r="AQ227" s="192" t="n">
        <v>906802680</v>
      </c>
      <c r="AR227" s="192" t="n">
        <v>936032648</v>
      </c>
      <c r="AS227" s="192" t="n">
        <v>935595364</v>
      </c>
      <c r="AT227" s="192" t="n">
        <v>929021520</v>
      </c>
      <c r="AU227" s="192" t="n">
        <v>927310448</v>
      </c>
      <c r="AV227" s="192" t="n">
        <v>924874476</v>
      </c>
      <c r="AW227" s="192" t="n">
        <v>921953184</v>
      </c>
      <c r="AX227" s="192" t="n">
        <v>918780632</v>
      </c>
      <c r="AY227" s="192" t="n">
        <v>918085912</v>
      </c>
      <c r="AZ227" s="192" t="n">
        <v>916095984</v>
      </c>
      <c r="BA227" s="192" t="n">
        <v>875059072</v>
      </c>
      <c r="BB227" s="192" t="n">
        <v>896007664</v>
      </c>
      <c r="BC227" s="192" t="n">
        <v>961892080</v>
      </c>
      <c r="BD227" s="192" t="n">
        <v>961495872</v>
      </c>
      <c r="BE227" s="192" t="n">
        <v>961250720</v>
      </c>
      <c r="BF227" s="192" t="n">
        <v>1012172784</v>
      </c>
      <c r="BG227" s="192" t="n">
        <v>1010682024</v>
      </c>
      <c r="BH227" s="192" t="n">
        <v>1010682024</v>
      </c>
      <c r="BI227" s="192" t="n">
        <v>1009146928</v>
      </c>
      <c r="BJ227" s="192" t="n">
        <v>1007232024</v>
      </c>
      <c r="BK227" s="192" t="n">
        <v>1006880080</v>
      </c>
      <c r="BL227" s="192" t="n">
        <v>1004378144</v>
      </c>
      <c r="BM227" s="192" t="n">
        <v>1003959960</v>
      </c>
      <c r="BN227" s="192" t="n">
        <v>1003495936</v>
      </c>
      <c r="BO227" s="192" t="n">
        <v>1002272976</v>
      </c>
      <c r="BP227" s="192" t="n">
        <v>994381464</v>
      </c>
      <c r="BQ227" s="192" t="n">
        <v>995149600</v>
      </c>
      <c r="BR227" s="192" t="n">
        <v>1014988640</v>
      </c>
      <c r="BS227" s="192" t="n">
        <v>1012203632</v>
      </c>
      <c r="BT227" s="192" t="n">
        <v>1040876976</v>
      </c>
      <c r="BU227" s="192" t="n">
        <v>1100754256</v>
      </c>
      <c r="BV227" s="192" t="n">
        <v>1124632944</v>
      </c>
      <c r="BW227" s="192" t="n">
        <v>1349878880</v>
      </c>
      <c r="BX227" s="192" t="n">
        <v>1349381632</v>
      </c>
      <c r="BY227" s="192" t="n">
        <v>1349328000</v>
      </c>
      <c r="BZ227" s="192" t="n">
        <v>1346402496</v>
      </c>
      <c r="CA227" s="192" t="n">
        <v>1345313808</v>
      </c>
      <c r="CB227" s="192" t="n">
        <v>1343021024</v>
      </c>
      <c r="CC227" s="192" t="n">
        <v>1338678688</v>
      </c>
      <c r="CD227" s="192" t="n">
        <v>1333462000</v>
      </c>
      <c r="CE227" s="192" t="n">
        <v>1332542368</v>
      </c>
      <c r="CF227" s="192" t="n">
        <v>1332399920</v>
      </c>
      <c r="CG227" s="192" t="n">
        <v>1367088000</v>
      </c>
      <c r="CH227" s="192" t="n">
        <v>1410704000</v>
      </c>
      <c r="CI227" s="192" t="n">
        <v>1424672000</v>
      </c>
      <c r="CJ227" s="192" t="n">
        <v>1413717744</v>
      </c>
      <c r="CK227" s="192" t="n">
        <v>1460706048</v>
      </c>
      <c r="CL227" s="192" t="n">
        <v>1459712000</v>
      </c>
      <c r="CM227" s="192" t="n">
        <v>1448864000</v>
      </c>
      <c r="CN227" s="192" t="n">
        <v>1447123328</v>
      </c>
      <c r="CO227" s="192" t="n">
        <v>1444461776</v>
      </c>
      <c r="CP227" s="192" t="n">
        <v>1443760000</v>
      </c>
      <c r="CQ227" s="192" t="n">
        <v>1447136000</v>
      </c>
      <c r="CR227" s="192" t="n">
        <v>1443857456</v>
      </c>
      <c r="CS227" s="192" t="n">
        <v>1442866640</v>
      </c>
      <c r="CT227" s="192" t="n">
        <v>1442497856</v>
      </c>
      <c r="CU227" s="192" t="n">
        <v>1441349376</v>
      </c>
      <c r="CV227" s="192" t="n">
        <v>1439722912</v>
      </c>
      <c r="CW227" s="192" t="n">
        <v>1436242224</v>
      </c>
      <c r="CX227" s="192" t="n">
        <v>1423508992</v>
      </c>
      <c r="CY227" s="192" t="n">
        <v>1423460992</v>
      </c>
      <c r="CZ227" s="192" t="n">
        <v>1438134592</v>
      </c>
      <c r="DA227" s="192" t="n">
        <v>1436365136</v>
      </c>
      <c r="DB227" s="192" t="n">
        <v>1479136336</v>
      </c>
      <c r="DC227" s="192" t="n">
        <v>1476237744</v>
      </c>
      <c r="DD227" s="192" t="n">
        <v>1475837744</v>
      </c>
      <c r="DE227" s="192" t="n">
        <v>1455903136</v>
      </c>
      <c r="DF227" s="192" t="n">
        <v>1451043936</v>
      </c>
      <c r="DG227" s="192" t="n">
        <v>1336697448</v>
      </c>
      <c r="DH227" s="192" t="n">
        <v>1328007120</v>
      </c>
      <c r="DI227" s="192" t="n">
        <v>1323337320</v>
      </c>
      <c r="DJ227" s="192" t="n">
        <v>1320586536</v>
      </c>
      <c r="DK227" s="192" t="n">
        <v>1309490256</v>
      </c>
      <c r="DL227" s="192" t="n">
        <v>1309274256</v>
      </c>
      <c r="DM227" s="192" t="n">
        <v>1291019280</v>
      </c>
      <c r="DN227" s="192" t="n">
        <v>1290984000</v>
      </c>
      <c r="DO227" s="192" t="n">
        <v>1288726512</v>
      </c>
      <c r="DP227" s="192" t="n">
        <v>1282752000</v>
      </c>
      <c r="DQ227" s="192" t="n">
        <v>1282752000</v>
      </c>
      <c r="DR227" s="192" t="n">
        <v>1278336000</v>
      </c>
      <c r="DS227" s="192" t="n">
        <v>1277103360</v>
      </c>
      <c r="DT227" s="192" t="n">
        <v>1274400000</v>
      </c>
      <c r="DU227" s="192" t="n">
        <v>1269408000</v>
      </c>
      <c r="DV227" s="192" t="n">
        <v>1259520000</v>
      </c>
      <c r="DW227" s="192" t="n">
        <v>1259520000</v>
      </c>
      <c r="DX227" s="192" t="n">
        <v>1254816000</v>
      </c>
      <c r="DY227" s="192" t="n">
        <v>1247232000</v>
      </c>
      <c r="DZ227" s="192" t="n">
        <v>1245408000</v>
      </c>
      <c r="EA227" s="192" t="n">
        <v>1214976000</v>
      </c>
      <c r="EB227" s="192" t="n">
        <v>1212929536</v>
      </c>
      <c r="EC227" s="192" t="n">
        <v>1203238384</v>
      </c>
      <c r="ED227" s="192" t="n">
        <v>1199592208</v>
      </c>
      <c r="EE227" s="192" t="n">
        <v>1188845584</v>
      </c>
      <c r="EF227" s="192" t="n">
        <v>1187118448</v>
      </c>
      <c r="EG227" s="192" t="n">
        <v>869229392</v>
      </c>
      <c r="EH227" s="192" t="n">
        <v>869229392</v>
      </c>
      <c r="EI227" s="192" t="n">
        <v>859730128</v>
      </c>
      <c r="EJ227" s="192" t="n">
        <v>835838080</v>
      </c>
      <c r="EK227" s="192" t="n"/>
      <c r="EL227" s="182" t="n"/>
      <c r="EM227" s="176" t="n"/>
      <c r="EN227" s="176" t="n"/>
      <c r="EO227" s="176" t="n"/>
      <c r="EP227" s="176" t="n"/>
      <c r="EQ227" s="176" t="n"/>
      <c r="ER227" s="176" t="n"/>
      <c r="ES227" s="176" t="n"/>
      <c r="ET227" s="176" t="n"/>
      <c r="EU227" s="176" t="n"/>
      <c r="EV227" s="176" t="n"/>
      <c r="EW227" s="176" t="n"/>
      <c r="EX227" s="176" t="n"/>
      <c r="EY227" s="176" t="n"/>
      <c r="EZ227" s="176" t="n"/>
      <c r="FA227" s="176" t="n"/>
      <c r="FB227" s="176" t="n"/>
      <c r="FC227" s="176" t="n"/>
      <c r="FD227" s="176" t="n"/>
      <c r="FE227" s="176" t="n"/>
      <c r="FF227" s="176" t="n"/>
      <c r="FG227" s="176" t="n"/>
      <c r="FH227" s="176" t="n"/>
      <c r="FI227" s="176" t="n"/>
      <c r="FJ227" s="176" t="n"/>
    </row>
    <row r="228" ht="15" customHeight="1" s="392">
      <c r="A228" s="176" t="n"/>
      <c r="B228" s="180" t="n"/>
      <c r="C228" s="183" t="inlineStr">
        <is>
          <t xml:space="preserve">    Number of Employees</t>
        </is>
      </c>
      <c r="D228" s="190">
        <f>IF(COUNT(M228:EK228)&gt;0,MEDIAN(M228:EK228),"")</f>
        <v/>
      </c>
      <c r="E228" s="190">
        <f>IF(COUNT(M228:EK228)&gt;0,AVERAGE(M228:EK228),"")</f>
        <v/>
      </c>
      <c r="F228" s="190">
        <f>IF(COUNT(M228:EK228)&gt;0,MIN(M228:EK228),"")</f>
        <v/>
      </c>
      <c r="G228" s="190">
        <f>IF(COUNT(M228:EK228)&gt;0,MAX(M228:EK228),"")</f>
        <v/>
      </c>
      <c r="H228" s="190">
        <f>IF(COUNT(M228:EK228)&gt;0,QUARTILE(M228:EK228,1),"")</f>
        <v/>
      </c>
      <c r="I228" s="190">
        <f>IF(COUNT(M228:EK228)&gt;0,QUARTILE(M228:EK228,3),"")</f>
        <v/>
      </c>
      <c r="J228" s="190">
        <f>IF(COUNT(M228:EK228)&gt;1,STDEV(M228:EK228),"")</f>
        <v/>
      </c>
      <c r="K228" s="191">
        <f>IF(COUNT(M228:EK228)&gt;1,STDEV(M228:EK228)/AVERAGE(M228:EK228),"")</f>
        <v/>
      </c>
      <c r="M228" s="192" t="n">
        <v>11600</v>
      </c>
      <c r="N228" s="192" t="n">
        <v>11600</v>
      </c>
      <c r="O228" s="192" t="n">
        <v>11600</v>
      </c>
      <c r="P228" s="192" t="n">
        <v>11600</v>
      </c>
      <c r="Q228" s="192" t="n">
        <v>11600</v>
      </c>
      <c r="R228" s="192" t="n">
        <v>11700</v>
      </c>
      <c r="S228" s="192" t="n">
        <v>11700</v>
      </c>
      <c r="T228" s="192" t="n">
        <v>11700</v>
      </c>
      <c r="U228" s="192" t="n">
        <v>11700</v>
      </c>
      <c r="V228" s="192" t="n">
        <v>10200</v>
      </c>
      <c r="W228" s="192" t="n">
        <v>10200</v>
      </c>
      <c r="X228" s="192" t="n">
        <v>10200</v>
      </c>
      <c r="Y228" s="192" t="n">
        <v>10200</v>
      </c>
      <c r="Z228" s="192" t="n">
        <v>9500</v>
      </c>
      <c r="AA228" s="192" t="n">
        <v>9500</v>
      </c>
      <c r="AB228" s="192" t="n">
        <v>9500</v>
      </c>
      <c r="AC228" s="192" t="n">
        <v>8600</v>
      </c>
      <c r="AD228" s="192" t="n">
        <v>8600</v>
      </c>
      <c r="AE228" s="192" t="n">
        <v>8600</v>
      </c>
      <c r="AF228" s="192" t="n">
        <v>8600</v>
      </c>
      <c r="AG228" s="192" t="n">
        <v>7600</v>
      </c>
      <c r="AH228" s="192" t="n">
        <v>7600</v>
      </c>
      <c r="AI228" s="192" t="n">
        <v>7600</v>
      </c>
      <c r="AJ228" s="192" t="n">
        <v>7600</v>
      </c>
      <c r="AK228" s="192" t="n">
        <v>7600</v>
      </c>
      <c r="AL228" s="192" t="n">
        <v>7327</v>
      </c>
      <c r="AM228" s="192" t="n">
        <v>7327</v>
      </c>
      <c r="AN228" s="192" t="n">
        <v>7327</v>
      </c>
      <c r="AO228" s="192" t="n">
        <v>7327</v>
      </c>
      <c r="AP228" s="192" t="n">
        <v>6026</v>
      </c>
      <c r="AQ228" s="192" t="n">
        <v>6026</v>
      </c>
      <c r="AR228" s="192" t="n">
        <v>6026</v>
      </c>
      <c r="AS228" s="192" t="n">
        <v>6026</v>
      </c>
      <c r="AT228" s="192" t="n">
        <v>5323</v>
      </c>
      <c r="AU228" s="192" t="n">
        <v>5323</v>
      </c>
      <c r="AV228" s="192" t="n">
        <v>5323</v>
      </c>
      <c r="AW228" s="192" t="n">
        <v>5323</v>
      </c>
      <c r="AX228" s="192" t="n">
        <v>4844</v>
      </c>
      <c r="AY228" s="192" t="n">
        <v>4844</v>
      </c>
      <c r="AZ228" s="192" t="n">
        <v>4844</v>
      </c>
      <c r="BA228" s="192" t="n">
        <v>4267</v>
      </c>
      <c r="BB228" s="192" t="n">
        <v>4267</v>
      </c>
      <c r="BC228" s="192" t="n">
        <v>4267</v>
      </c>
      <c r="BD228" s="192" t="n">
        <v>4267</v>
      </c>
      <c r="BE228" s="192" t="n">
        <v>4267</v>
      </c>
      <c r="BF228" s="192" t="n">
        <v>4179</v>
      </c>
      <c r="BG228" s="192" t="n">
        <v>4179</v>
      </c>
      <c r="BH228" s="192" t="n">
        <v>4179</v>
      </c>
      <c r="BI228" s="192" t="n">
        <v>4179</v>
      </c>
      <c r="BJ228" s="192" t="n">
        <v>3875</v>
      </c>
      <c r="BK228" s="192" t="n">
        <v>3875</v>
      </c>
      <c r="BL228" s="192" t="n">
        <v>3875</v>
      </c>
      <c r="BM228" s="192" t="n">
        <v>3875</v>
      </c>
      <c r="BN228" s="192" t="n">
        <v>2981</v>
      </c>
      <c r="BO228" s="192" t="n">
        <v>2981</v>
      </c>
      <c r="BP228" s="192" t="n">
        <v>2981</v>
      </c>
      <c r="BQ228" s="192" t="n">
        <v>2981</v>
      </c>
      <c r="BR228" s="192" t="n">
        <v>2825</v>
      </c>
      <c r="BS228" s="192" t="n">
        <v>2825</v>
      </c>
      <c r="BT228" s="192" t="n">
        <v>2825</v>
      </c>
      <c r="BU228" s="192" t="n">
        <v>2834</v>
      </c>
      <c r="BV228" s="192" t="n">
        <v>2834</v>
      </c>
      <c r="BW228" s="192" t="n">
        <v>2834</v>
      </c>
      <c r="BX228" s="192" t="n">
        <v>2713</v>
      </c>
      <c r="BY228" s="192" t="n">
        <v>2713</v>
      </c>
      <c r="BZ228" s="192" t="n">
        <v>2713</v>
      </c>
      <c r="CA228" s="192" t="n">
        <v>2713</v>
      </c>
      <c r="CB228" s="192" t="n">
        <v>2713</v>
      </c>
      <c r="CC228" s="192" t="n">
        <v>2975</v>
      </c>
      <c r="CD228" s="192" t="n">
        <v>2975</v>
      </c>
      <c r="CE228" s="192" t="n">
        <v>2975</v>
      </c>
      <c r="CF228" s="192" t="n">
        <v>2975</v>
      </c>
      <c r="CG228" s="192" t="n">
        <v>2536</v>
      </c>
      <c r="CH228" s="192" t="n">
        <v>2536</v>
      </c>
      <c r="CI228" s="192" t="n">
        <v>2536</v>
      </c>
      <c r="CJ228" s="192" t="n">
        <v>2536</v>
      </c>
      <c r="CK228" s="192" t="n">
        <v>2133</v>
      </c>
      <c r="CL228" s="192" t="n">
        <v>2133</v>
      </c>
      <c r="CM228" s="192" t="n">
        <v>2133</v>
      </c>
      <c r="CN228" s="192" t="n">
        <v>2133</v>
      </c>
      <c r="CO228" s="192" t="n">
        <v>2421</v>
      </c>
      <c r="CP228" s="192" t="n">
        <v>2421</v>
      </c>
      <c r="CQ228" s="192" t="n">
        <v>2421</v>
      </c>
      <c r="CR228" s="192" t="n">
        <v>2235</v>
      </c>
      <c r="CS228" s="192" t="n">
        <v>2235</v>
      </c>
      <c r="CT228" s="192" t="n">
        <v>2235</v>
      </c>
      <c r="CU228" s="192" t="n">
        <v>2235</v>
      </c>
      <c r="CV228" s="192" t="n">
        <v>2776</v>
      </c>
      <c r="CW228" s="192" t="n">
        <v>2776</v>
      </c>
      <c r="CX228" s="192" t="n">
        <v>2776</v>
      </c>
      <c r="CY228" s="192" t="n">
        <v>2776</v>
      </c>
      <c r="CZ228" s="192" t="n">
        <v>2776</v>
      </c>
      <c r="DA228" s="192" t="n">
        <v>2532</v>
      </c>
      <c r="DB228" s="192" t="n">
        <v>2532</v>
      </c>
      <c r="DC228" s="192" t="n">
        <v>2532</v>
      </c>
      <c r="DD228" s="192" t="n">
        <v>2532</v>
      </c>
      <c r="DE228" s="192" t="n">
        <v>2078</v>
      </c>
      <c r="DF228" s="192" t="n">
        <v>2078</v>
      </c>
      <c r="DG228" s="192" t="n">
        <v>2078</v>
      </c>
      <c r="DH228" s="192" t="n">
        <v>2078</v>
      </c>
      <c r="DI228" s="192" t="n">
        <v>1803</v>
      </c>
      <c r="DJ228" s="192" t="n">
        <v>1803</v>
      </c>
      <c r="DK228" s="192" t="n">
        <v>1803</v>
      </c>
      <c r="DL228" s="192" t="n">
        <v>1803</v>
      </c>
      <c r="DM228" s="192" t="n">
        <v>1363</v>
      </c>
      <c r="DN228" s="192" t="n">
        <v>1363</v>
      </c>
      <c r="DO228" s="192" t="n">
        <v>1363</v>
      </c>
      <c r="DP228" s="192" t="n">
        <v>1181</v>
      </c>
      <c r="DQ228" s="192" t="n">
        <v>1181</v>
      </c>
      <c r="DR228" s="192" t="n">
        <v>1181</v>
      </c>
      <c r="DS228" s="192" t="n">
        <v>1181</v>
      </c>
      <c r="DT228" s="192" t="n">
        <v>1181</v>
      </c>
      <c r="DU228" s="192" t="n">
        <v>1050</v>
      </c>
      <c r="DV228" s="192" t="n">
        <v>1050</v>
      </c>
      <c r="DW228" s="192" t="n">
        <v>1050</v>
      </c>
      <c r="DX228" s="192" t="n">
        <v>1050</v>
      </c>
      <c r="DY228" s="192" t="n">
        <v>1030</v>
      </c>
      <c r="DZ228" s="192" t="n">
        <v>1030</v>
      </c>
      <c r="EA228" s="192" t="n">
        <v>1030</v>
      </c>
      <c r="EB228" s="192" t="n">
        <v>1030</v>
      </c>
      <c r="EC228" s="192" t="n">
        <v>191</v>
      </c>
      <c r="ED228" s="192" t="n">
        <v>191</v>
      </c>
      <c r="EE228" s="192" t="n">
        <v>191</v>
      </c>
      <c r="EF228" s="192" t="n">
        <v>191</v>
      </c>
      <c r="EG228" s="192" t="n">
        <v>191</v>
      </c>
      <c r="EH228" s="192" t="n">
        <v>191</v>
      </c>
      <c r="EI228" s="192" t="n">
        <v>191</v>
      </c>
      <c r="EJ228" s="192" t="n"/>
      <c r="EK228" s="192" t="n"/>
      <c r="EL228" s="182" t="n"/>
      <c r="EM228" s="176" t="n"/>
      <c r="EN228" s="176" t="n"/>
      <c r="EO228" s="176" t="n"/>
      <c r="EP228" s="176" t="n"/>
      <c r="EQ228" s="176" t="n"/>
      <c r="ER228" s="176" t="n"/>
      <c r="ES228" s="176" t="n"/>
      <c r="ET228" s="176" t="n"/>
      <c r="EU228" s="176" t="n"/>
      <c r="EV228" s="176" t="n"/>
      <c r="EW228" s="176" t="n"/>
      <c r="EX228" s="176" t="n"/>
      <c r="EY228" s="176" t="n"/>
      <c r="EZ228" s="176" t="n"/>
      <c r="FA228" s="176" t="n"/>
      <c r="FB228" s="176" t="n"/>
      <c r="FC228" s="176" t="n"/>
      <c r="FD228" s="176" t="n"/>
      <c r="FE228" s="176" t="n"/>
      <c r="FF228" s="176" t="n"/>
      <c r="FG228" s="176" t="n"/>
      <c r="FH228" s="176" t="n"/>
      <c r="FI228" s="176" t="n"/>
      <c r="FJ228" s="176" t="n"/>
    </row>
    <row r="229" ht="15" customHeight="1" s="392">
      <c r="A229" s="176" t="n"/>
      <c r="B229" s="180" t="n"/>
      <c r="C229" s="189" t="inlineStr">
        <is>
          <t>Per Share Calculations</t>
        </is>
      </c>
      <c r="D229" s="185" t="n"/>
      <c r="E229" s="185" t="n"/>
      <c r="F229" s="185" t="n"/>
      <c r="G229" s="185" t="n"/>
      <c r="H229" s="185" t="n"/>
      <c r="I229" s="185" t="n"/>
      <c r="J229" s="185" t="n"/>
      <c r="K229" s="185" t="n"/>
      <c r="L229" s="185" t="n"/>
      <c r="M229" s="185" t="n"/>
      <c r="N229" s="185" t="n"/>
      <c r="O229" s="185" t="n"/>
      <c r="P229" s="185" t="n"/>
      <c r="Q229" s="185" t="n"/>
      <c r="R229" s="185" t="n"/>
      <c r="S229" s="185" t="n"/>
      <c r="T229" s="185" t="n"/>
      <c r="U229" s="185" t="n"/>
      <c r="V229" s="185" t="n"/>
      <c r="W229" s="185" t="n"/>
      <c r="X229" s="185" t="n"/>
      <c r="Y229" s="185" t="n"/>
      <c r="Z229" s="185" t="n"/>
      <c r="AA229" s="185" t="n"/>
      <c r="AB229" s="185" t="n"/>
      <c r="AC229" s="185" t="n"/>
      <c r="AD229" s="185" t="n"/>
      <c r="AE229" s="185" t="n"/>
      <c r="AF229" s="185" t="n"/>
      <c r="AG229" s="185" t="n"/>
      <c r="AH229" s="185" t="n"/>
      <c r="AI229" s="185" t="n"/>
      <c r="AJ229" s="185" t="n"/>
      <c r="AK229" s="185" t="n"/>
      <c r="AL229" s="185" t="n"/>
      <c r="AM229" s="185" t="n"/>
      <c r="AN229" s="185" t="n"/>
      <c r="AO229" s="185" t="n"/>
      <c r="AP229" s="185" t="n"/>
      <c r="AQ229" s="185" t="n"/>
      <c r="AR229" s="185" t="n"/>
      <c r="AS229" s="185" t="n"/>
      <c r="AT229" s="185" t="n"/>
      <c r="AU229" s="185" t="n"/>
      <c r="AV229" s="185" t="n"/>
      <c r="AW229" s="185" t="n"/>
      <c r="AX229" s="185" t="n"/>
      <c r="AY229" s="185" t="n"/>
      <c r="AZ229" s="185" t="n"/>
      <c r="BA229" s="185" t="n"/>
      <c r="BB229" s="185" t="n"/>
      <c r="BC229" s="185" t="n"/>
      <c r="BD229" s="185" t="n"/>
      <c r="BE229" s="185" t="n"/>
      <c r="BF229" s="185" t="n"/>
      <c r="BG229" s="185" t="n"/>
      <c r="BH229" s="185" t="n"/>
      <c r="BI229" s="185" t="n"/>
      <c r="BJ229" s="185" t="n"/>
      <c r="BK229" s="185" t="n"/>
      <c r="BL229" s="185" t="n"/>
      <c r="BM229" s="185" t="n"/>
      <c r="BN229" s="185" t="n"/>
      <c r="BO229" s="185" t="n"/>
      <c r="BP229" s="185" t="n"/>
      <c r="BQ229" s="185" t="n"/>
      <c r="BR229" s="185" t="n"/>
      <c r="BS229" s="185" t="n"/>
      <c r="BT229" s="185" t="n"/>
      <c r="BU229" s="185" t="n"/>
      <c r="BV229" s="185" t="n"/>
      <c r="BW229" s="185" t="n"/>
      <c r="BX229" s="185" t="n"/>
      <c r="BY229" s="185" t="n"/>
      <c r="BZ229" s="185" t="n"/>
      <c r="CA229" s="185" t="n"/>
      <c r="CB229" s="185" t="n"/>
      <c r="CC229" s="185" t="n"/>
      <c r="CD229" s="185" t="n"/>
      <c r="CE229" s="185" t="n"/>
      <c r="CF229" s="185" t="n"/>
      <c r="CG229" s="185" t="n"/>
      <c r="CH229" s="185" t="n"/>
      <c r="CI229" s="185" t="n"/>
      <c r="CJ229" s="185" t="n"/>
      <c r="CK229" s="185" t="n"/>
      <c r="CL229" s="185" t="n"/>
      <c r="CM229" s="185" t="n"/>
      <c r="CN229" s="185" t="n"/>
      <c r="CO229" s="185" t="n"/>
      <c r="CP229" s="185" t="n"/>
      <c r="CQ229" s="185" t="n"/>
      <c r="CR229" s="185" t="n"/>
      <c r="CS229" s="185" t="n"/>
      <c r="CT229" s="185" t="n"/>
      <c r="CU229" s="185" t="n"/>
      <c r="CV229" s="185" t="n"/>
      <c r="CW229" s="185" t="n"/>
      <c r="CX229" s="185" t="n"/>
      <c r="CY229" s="185" t="n"/>
      <c r="CZ229" s="185" t="n"/>
      <c r="DA229" s="185" t="n"/>
      <c r="DB229" s="185" t="n"/>
      <c r="DC229" s="185" t="n"/>
      <c r="DD229" s="185" t="n"/>
      <c r="DE229" s="185" t="n"/>
      <c r="DF229" s="185" t="n"/>
      <c r="DG229" s="185" t="n"/>
      <c r="DH229" s="185" t="n"/>
      <c r="DI229" s="185" t="n"/>
      <c r="DJ229" s="185" t="n"/>
      <c r="DK229" s="185" t="n"/>
      <c r="DL229" s="185" t="n"/>
      <c r="DM229" s="185" t="n"/>
      <c r="DN229" s="185" t="n"/>
      <c r="DO229" s="185" t="n"/>
      <c r="DP229" s="185" t="n"/>
      <c r="DQ229" s="185" t="n"/>
      <c r="DR229" s="185" t="n"/>
      <c r="DS229" s="185" t="n"/>
      <c r="DT229" s="185" t="n"/>
      <c r="DU229" s="185" t="n"/>
      <c r="DV229" s="185" t="n"/>
      <c r="DW229" s="185" t="n"/>
      <c r="DX229" s="185" t="n"/>
      <c r="DY229" s="185" t="n"/>
      <c r="DZ229" s="185" t="n"/>
      <c r="EA229" s="185" t="n"/>
      <c r="EB229" s="185" t="n"/>
      <c r="EC229" s="185" t="n"/>
      <c r="ED229" s="185" t="n"/>
      <c r="EE229" s="185" t="n"/>
      <c r="EF229" s="185" t="n"/>
      <c r="EG229" s="185" t="n"/>
      <c r="EH229" s="185" t="n"/>
      <c r="EI229" s="185" t="n"/>
      <c r="EJ229" s="185" t="n"/>
      <c r="EK229" s="185" t="n"/>
      <c r="EL229" s="182" t="n"/>
      <c r="EM229" s="176" t="n"/>
      <c r="EN229" s="176" t="n"/>
      <c r="EO229" s="176" t="n"/>
      <c r="EP229" s="176" t="n"/>
      <c r="EQ229" s="176" t="n"/>
      <c r="ER229" s="176" t="n"/>
      <c r="ES229" s="176" t="n"/>
      <c r="ET229" s="176" t="n"/>
      <c r="EU229" s="176" t="n"/>
      <c r="EV229" s="176" t="n"/>
      <c r="EW229" s="176" t="n"/>
      <c r="EX229" s="176" t="n"/>
      <c r="EY229" s="176" t="n"/>
      <c r="EZ229" s="176" t="n"/>
      <c r="FA229" s="176" t="n"/>
      <c r="FB229" s="176" t="n"/>
      <c r="FC229" s="176" t="n"/>
      <c r="FD229" s="176" t="n"/>
      <c r="FE229" s="176" t="n"/>
      <c r="FF229" s="176" t="n"/>
      <c r="FG229" s="176" t="n"/>
      <c r="FH229" s="176" t="n"/>
      <c r="FI229" s="176" t="n"/>
      <c r="FJ229" s="176" t="n"/>
    </row>
    <row r="230" ht="15" customHeight="1" s="392">
      <c r="A230" s="176" t="n"/>
      <c r="B230" s="180" t="n"/>
      <c r="C230" s="183" t="inlineStr">
        <is>
          <t xml:space="preserve">    Book Value per Share</t>
        </is>
      </c>
      <c r="D230" s="191">
        <f>IF(COUNT(M230:EK230)&gt;0,MEDIAN(M230:EK230),"")</f>
        <v/>
      </c>
      <c r="E230" s="191">
        <f>IF(COUNT(M230:EK230)&gt;0,AVERAGE(M230:EK230),"")</f>
        <v/>
      </c>
      <c r="F230" s="191">
        <f>IF(COUNT(M230:EK230)&gt;0,MIN(M230:EK230),"")</f>
        <v/>
      </c>
      <c r="G230" s="191">
        <f>IF(COUNT(M230:EK230)&gt;0,MAX(M230:EK230),"")</f>
        <v/>
      </c>
      <c r="H230" s="191">
        <f>IF(COUNT(M230:EK230)&gt;0,QUARTILE(M230:EK230,1),"")</f>
        <v/>
      </c>
      <c r="I230" s="191">
        <f>IF(COUNT(M230:EK230)&gt;0,QUARTILE(M230:EK230,3),"")</f>
        <v/>
      </c>
      <c r="J230" s="191">
        <f>IF(COUNT(M230:EK230)&gt;1,STDEV(M230:EK230),"")</f>
        <v/>
      </c>
      <c r="K230" s="191">
        <f>IF(COUNT(M230:EK230)&gt;1,STDEV(M230:EK230)/AVERAGE(M230:EK230),"")</f>
        <v/>
      </c>
      <c r="M230" s="197" t="n">
        <v>9.826293124327441</v>
      </c>
      <c r="N230" s="197" t="n">
        <v>9.477376518430351</v>
      </c>
      <c r="O230" s="197" t="n">
        <v>10.1620856947919</v>
      </c>
      <c r="P230" s="197" t="n">
        <v>9.918494718148031</v>
      </c>
      <c r="Q230" s="197" t="n">
        <v>9.49585049775102</v>
      </c>
      <c r="R230" s="197" t="n">
        <v>9.08262102289536</v>
      </c>
      <c r="S230" s="197" t="n">
        <v>8.59296081433266</v>
      </c>
      <c r="T230" s="197" t="n">
        <v>8.19523821463112</v>
      </c>
      <c r="U230" s="197" t="n">
        <v>7.81336319318627</v>
      </c>
      <c r="V230" s="197" t="n">
        <v>7.45244370980276</v>
      </c>
      <c r="W230" s="197" t="n">
        <v>7.0607706536779</v>
      </c>
      <c r="X230" s="197" t="n">
        <v>6.67711076190956</v>
      </c>
      <c r="Y230" s="197" t="n">
        <v>6.25421895036322</v>
      </c>
      <c r="Z230" s="197" t="n">
        <v>5.86048006515624</v>
      </c>
      <c r="AA230" s="197" t="n">
        <v>5.47004219881014</v>
      </c>
      <c r="AB230" s="197" t="n">
        <v>5.09541858341493</v>
      </c>
      <c r="AC230" s="197" t="n">
        <v>4.85798612973244</v>
      </c>
      <c r="AD230" s="197" t="n">
        <v>4.57997112421369</v>
      </c>
      <c r="AE230" s="197" t="n">
        <v>4.30557400666005</v>
      </c>
      <c r="AF230" s="197" t="n">
        <v>3.99886099813497</v>
      </c>
      <c r="AG230" s="197" t="n">
        <v>3.72256167880658</v>
      </c>
      <c r="AH230" s="197" t="n">
        <v>3.43386636001765</v>
      </c>
      <c r="AI230" s="197" t="n">
        <v>3.11310231711165</v>
      </c>
      <c r="AJ230" s="197" t="n">
        <v>2.87020993701679</v>
      </c>
      <c r="AK230" s="197" t="n">
        <v>2.64487222947138</v>
      </c>
      <c r="AL230" s="197" t="n">
        <v>2.42969870594594</v>
      </c>
      <c r="AM230" s="197" t="n">
        <v>2.27353957705743</v>
      </c>
      <c r="AN230" s="197" t="n">
        <v>2.07220382762425</v>
      </c>
      <c r="AO230" s="197" t="n">
        <v>1.93478711639781</v>
      </c>
      <c r="AP230" s="197" t="n">
        <v>1.76874502594681</v>
      </c>
      <c r="AQ230" s="197" t="n">
        <v>1.61000075562194</v>
      </c>
      <c r="AR230" s="197" t="n">
        <v>1.78600607956572</v>
      </c>
      <c r="AS230" s="197" t="n">
        <v>1.68993889969724</v>
      </c>
      <c r="AT230" s="197" t="n">
        <v>1.5716869508039</v>
      </c>
      <c r="AU230" s="197" t="n">
        <v>1.43551493771156</v>
      </c>
      <c r="AV230" s="197" t="n">
        <v>1.28485651927538</v>
      </c>
      <c r="AW230" s="197" t="n">
        <v>1.19102143043307</v>
      </c>
      <c r="AX230" s="197" t="n">
        <v>1.09226275001193</v>
      </c>
      <c r="AY230" s="197" t="n">
        <v>0.975620024545154</v>
      </c>
      <c r="AZ230" s="197" t="n">
        <v>0.881356336128202</v>
      </c>
      <c r="BA230" s="197" t="n">
        <v>0.879088168165398</v>
      </c>
      <c r="BB230" s="197" t="n">
        <v>0.820037859898708</v>
      </c>
      <c r="BC230" s="197" t="n">
        <v>0.816298593159263</v>
      </c>
      <c r="BD230" s="197" t="n">
        <v>1.05687088077727</v>
      </c>
      <c r="BE230" s="197" t="n">
        <v>1.00334281154037</v>
      </c>
      <c r="BF230" s="197" t="n">
        <v>1.12230640653148</v>
      </c>
      <c r="BG230" s="197" t="n">
        <v>1.06112543315205</v>
      </c>
      <c r="BH230" s="197" t="n">
        <v>1.02646626274616</v>
      </c>
      <c r="BI230" s="197" t="n">
        <v>0.994403264932696</v>
      </c>
      <c r="BJ230" s="197" t="n">
        <v>0.933013424521538</v>
      </c>
      <c r="BK230" s="197" t="n">
        <v>0.874705953066427</v>
      </c>
      <c r="BL230" s="197" t="n">
        <v>0.8190610328533789</v>
      </c>
      <c r="BM230" s="197" t="n">
        <v>0.7593938308057619</v>
      </c>
      <c r="BN230" s="197" t="n">
        <v>0.721870387325615</v>
      </c>
      <c r="BO230" s="197" t="n">
        <v>0.665989222481042</v>
      </c>
      <c r="BP230" s="197" t="n">
        <v>0.61231129304317</v>
      </c>
      <c r="BQ230" s="197" t="n">
        <v>0.563851907291125</v>
      </c>
      <c r="BR230" s="197" t="n">
        <v>0.5701856919305029</v>
      </c>
      <c r="BS230" s="197" t="n">
        <v>0.501254870027971</v>
      </c>
      <c r="BT230" s="197" t="n">
        <v>0.533055310851645</v>
      </c>
      <c r="BU230" s="197" t="n">
        <v>0.525687117941974</v>
      </c>
      <c r="BV230" s="197" t="n">
        <v>0.585930247737294</v>
      </c>
      <c r="BW230" s="197" t="n">
        <v>0.80535994573285</v>
      </c>
      <c r="BX230" s="197" t="n">
        <v>0.8054724731841471</v>
      </c>
      <c r="BY230" s="197" t="n">
        <v>0.7755430851505341</v>
      </c>
      <c r="BZ230" s="197" t="n">
        <v>0.743010049028337</v>
      </c>
      <c r="CA230" s="197" t="n">
        <v>0.715227105269413</v>
      </c>
      <c r="CB230" s="197" t="n">
        <v>0.686109140164882</v>
      </c>
      <c r="CC230" s="197" t="n">
        <v>0.646675716704919</v>
      </c>
      <c r="CD230" s="197" t="n">
        <v>0.616253781510084</v>
      </c>
      <c r="CE230" s="197" t="n">
        <v>0.605705318932118</v>
      </c>
      <c r="CF230" s="197" t="n">
        <v>0.599666802741928</v>
      </c>
      <c r="CG230" s="197" t="n">
        <v>0.631012780450125</v>
      </c>
      <c r="CH230" s="197" t="n">
        <v>0.653463093604328</v>
      </c>
      <c r="CI230" s="197" t="n">
        <v>0.655658284854338</v>
      </c>
      <c r="CJ230" s="197" t="n">
        <v>0.623084773278477</v>
      </c>
      <c r="CK230" s="197" t="n">
        <v>0.636115665620904</v>
      </c>
      <c r="CL230" s="197" t="n">
        <v>0.607506823263767</v>
      </c>
      <c r="CM230" s="197" t="n">
        <v>0.582301030324447</v>
      </c>
      <c r="CN230" s="197" t="n">
        <v>0.559710416056537</v>
      </c>
      <c r="CO230" s="197" t="n">
        <v>0.536113724405091</v>
      </c>
      <c r="CP230" s="197" t="n">
        <v>0.510899318446279</v>
      </c>
      <c r="CQ230" s="197" t="n">
        <v>0.508008231430909</v>
      </c>
      <c r="CR230" s="197" t="n">
        <v>0.490783089171366</v>
      </c>
      <c r="CS230" s="197" t="n">
        <v>0.472461718247686</v>
      </c>
      <c r="CT230" s="197" t="n">
        <v>0.450694950634298</v>
      </c>
      <c r="CU230" s="197" t="n">
        <v>0.433837628747945</v>
      </c>
      <c r="CV230" s="197" t="n">
        <v>0.417886041876955</v>
      </c>
      <c r="CW230" s="197" t="n">
        <v>0.401154617495774</v>
      </c>
      <c r="CX230" s="197" t="n">
        <v>0.385406840274322</v>
      </c>
      <c r="CY230" s="197" t="n">
        <v>0.372766379256004</v>
      </c>
      <c r="CZ230" s="197" t="n">
        <v>0.365501256227345</v>
      </c>
      <c r="DA230" s="197" t="n">
        <v>0.356032590309265</v>
      </c>
      <c r="DB230" s="197" t="n">
        <v>0.349080465020771</v>
      </c>
      <c r="DC230" s="197" t="n">
        <v>0.339367694692949</v>
      </c>
      <c r="DD230" s="197" t="n">
        <v>0.329451528107822</v>
      </c>
      <c r="DE230" s="197" t="n">
        <v>0.310918143389452</v>
      </c>
      <c r="DF230" s="197" t="n">
        <v>0.298818450112044</v>
      </c>
      <c r="DG230" s="197" t="n">
        <v>0.217622918660648</v>
      </c>
      <c r="DH230" s="197" t="n">
        <v>0.202673913374802</v>
      </c>
      <c r="DI230" s="197" t="n">
        <v>0.191023933338478</v>
      </c>
      <c r="DJ230" s="197" t="n">
        <v>0.182394029799498</v>
      </c>
      <c r="DK230" s="197" t="n">
        <v>0.174765332503551</v>
      </c>
      <c r="DL230" s="197" t="n">
        <v>0.167948311052715</v>
      </c>
      <c r="DM230" s="197" t="n">
        <v>0.1591526713509</v>
      </c>
      <c r="DN230" s="197" t="n">
        <v>0.153139000948114</v>
      </c>
      <c r="DO230" s="197" t="n">
        <v>0.147667734406039</v>
      </c>
      <c r="DP230" s="197" t="n">
        <v>0.142795058049295</v>
      </c>
      <c r="DQ230" s="197" t="n">
        <v>0.137594796188195</v>
      </c>
      <c r="DR230" s="197" t="n">
        <v>0.132633242152858</v>
      </c>
      <c r="DS230" s="197" t="n">
        <v>0.128839366176029</v>
      </c>
      <c r="DT230" s="197" t="n">
        <v>0.125706214689266</v>
      </c>
      <c r="DU230" s="197" t="n">
        <v>0.121631500668028</v>
      </c>
      <c r="DV230" s="197" t="n">
        <v>0.118315676630092</v>
      </c>
      <c r="DW230" s="197" t="n">
        <v>0.115996570121951</v>
      </c>
      <c r="DX230" s="197" t="n">
        <v>0.11380154540586</v>
      </c>
      <c r="DY230" s="197" t="n">
        <v>0.111366610221675</v>
      </c>
      <c r="DZ230" s="197" t="n">
        <v>0.108077031783962</v>
      </c>
      <c r="EA230" s="197" t="n">
        <v>0.105928018331226</v>
      </c>
      <c r="EB230" s="197" t="n">
        <v>0.104045615391791</v>
      </c>
      <c r="EC230" s="197" t="n">
        <v>0.102307241554887</v>
      </c>
      <c r="ED230" s="197" t="n">
        <v>0.100033994218809</v>
      </c>
      <c r="EE230" s="197" t="n">
        <v>0.09740541711933549</v>
      </c>
      <c r="EF230" s="197" t="n">
        <v>0.0952727170490404</v>
      </c>
      <c r="EG230" s="197" t="n">
        <v>0.0664606072536842</v>
      </c>
      <c r="EH230" s="197" t="n">
        <v>0.0635045253969047</v>
      </c>
      <c r="EI230" s="197" t="n">
        <v>0.0608330431802665</v>
      </c>
      <c r="EJ230" s="197" t="n">
        <v>0.0586996959560544</v>
      </c>
      <c r="EK230" s="197" t="n">
        <v>0.0567095483374005</v>
      </c>
      <c r="EL230" s="182" t="n"/>
      <c r="EM230" s="176" t="n"/>
      <c r="EN230" s="176" t="n"/>
      <c r="EO230" s="176" t="n"/>
      <c r="EP230" s="176" t="n"/>
      <c r="EQ230" s="176" t="n"/>
      <c r="ER230" s="176" t="n"/>
      <c r="ES230" s="176" t="n"/>
      <c r="ET230" s="176" t="n"/>
      <c r="EU230" s="176" t="n"/>
      <c r="EV230" s="176" t="n"/>
      <c r="EW230" s="176" t="n"/>
      <c r="EX230" s="176" t="n"/>
      <c r="EY230" s="176" t="n"/>
      <c r="EZ230" s="176" t="n"/>
      <c r="FA230" s="176" t="n"/>
      <c r="FB230" s="176" t="n"/>
      <c r="FC230" s="176" t="n"/>
      <c r="FD230" s="176" t="n"/>
      <c r="FE230" s="176" t="n"/>
      <c r="FF230" s="176" t="n"/>
      <c r="FG230" s="176" t="n"/>
      <c r="FH230" s="176" t="n"/>
      <c r="FI230" s="176" t="n"/>
      <c r="FJ230" s="176" t="n"/>
    </row>
    <row r="231" ht="15" customHeight="1" s="392">
      <c r="A231" s="176" t="n"/>
      <c r="B231" s="180" t="n"/>
      <c r="C231" s="183" t="inlineStr">
        <is>
          <t xml:space="preserve">    Cash And Cash Equivalents per Share</t>
        </is>
      </c>
      <c r="D231" s="191">
        <f>IF(COUNT(M231:EK231)&gt;0,MEDIAN(M231:EK231),"")</f>
        <v/>
      </c>
      <c r="E231" s="191">
        <f>IF(COUNT(M231:EK231)&gt;0,AVERAGE(M231:EK231),"")</f>
        <v/>
      </c>
      <c r="F231" s="191">
        <f>IF(COUNT(M231:EK231)&gt;0,MIN(M231:EK231),"")</f>
        <v/>
      </c>
      <c r="G231" s="191">
        <f>IF(COUNT(M231:EK231)&gt;0,MAX(M231:EK231),"")</f>
        <v/>
      </c>
      <c r="H231" s="191">
        <f>IF(COUNT(M231:EK231)&gt;0,QUARTILE(M231:EK231,1),"")</f>
        <v/>
      </c>
      <c r="I231" s="191">
        <f>IF(COUNT(M231:EK231)&gt;0,QUARTILE(M231:EK231,3),"")</f>
        <v/>
      </c>
      <c r="J231" s="191">
        <f>IF(COUNT(M231:EK231)&gt;1,STDEV(M231:EK231),"")</f>
        <v/>
      </c>
      <c r="K231" s="191">
        <f>IF(COUNT(M231:EK231)&gt;1,STDEV(M231:EK231)/AVERAGE(M231:EK231),"")</f>
        <v/>
      </c>
      <c r="M231" s="197" t="n">
        <v>2.06078779221708</v>
      </c>
      <c r="N231" s="197" t="n">
        <v>3.62292115102543</v>
      </c>
      <c r="O231" s="197" t="n">
        <v>5.29624107371957</v>
      </c>
      <c r="P231" s="197" t="n">
        <v>5.40713394290868</v>
      </c>
      <c r="Q231" s="197" t="n">
        <v>2.87399715233004</v>
      </c>
      <c r="R231" s="197" t="n">
        <v>2.44773273609415</v>
      </c>
      <c r="S231" s="197" t="n">
        <v>3.45623731437572</v>
      </c>
      <c r="T231" s="197" t="n">
        <v>3.83811556025335</v>
      </c>
      <c r="U231" s="197" t="n">
        <v>1.5723394287699</v>
      </c>
      <c r="V231" s="197" t="n">
        <v>1.13273459763119</v>
      </c>
      <c r="W231" s="197" t="n">
        <v>1.30753455589592</v>
      </c>
      <c r="X231" s="197" t="n">
        <v>2.68854900535881</v>
      </c>
      <c r="Y231" s="197" t="n">
        <v>1.00005310315978</v>
      </c>
      <c r="Z231" s="197" t="n">
        <v>2.21552081112481</v>
      </c>
      <c r="AA231" s="197" t="n">
        <v>1.74263213774109</v>
      </c>
      <c r="AB231" s="197" t="n">
        <v>1.61634243177115</v>
      </c>
      <c r="AC231" s="197" t="n">
        <v>1.45377912963841</v>
      </c>
      <c r="AD231" s="197" t="n">
        <v>1.5306551287869</v>
      </c>
      <c r="AE231" s="197" t="n">
        <v>1.02290038797093</v>
      </c>
      <c r="AF231" s="197" t="n">
        <v>1.36854457570125</v>
      </c>
      <c r="AG231" s="197" t="n">
        <v>1.10569290483194</v>
      </c>
      <c r="AH231" s="197" t="n">
        <v>0.963664233185774</v>
      </c>
      <c r="AI231" s="197" t="n">
        <v>0.652120853850813</v>
      </c>
      <c r="AJ231" s="197" t="n">
        <v>0.64134456293289</v>
      </c>
      <c r="AK231" s="197" t="n">
        <v>0.507529604838294</v>
      </c>
      <c r="AL231" s="197" t="n">
        <v>0.32635883712032</v>
      </c>
      <c r="AM231" s="197" t="n">
        <v>0.100060270928771</v>
      </c>
      <c r="AN231" s="197" t="n">
        <v>0.194788981822583</v>
      </c>
      <c r="AO231" s="197" t="n">
        <v>0.202705494908079</v>
      </c>
      <c r="AP231" s="197" t="n">
        <v>0.112346882876265</v>
      </c>
      <c r="AQ231" s="197" t="n">
        <v>0.119291663319742</v>
      </c>
      <c r="AR231" s="197" t="n">
        <v>0.34219853408361</v>
      </c>
      <c r="AS231" s="197" t="n">
        <v>0.293417443654627</v>
      </c>
      <c r="AT231" s="197" t="n">
        <v>0.219881881745861</v>
      </c>
      <c r="AU231" s="197" t="n">
        <v>0.210609079646647</v>
      </c>
      <c r="AV231" s="197" t="n">
        <v>0.242461010460408</v>
      </c>
      <c r="AW231" s="197" t="n">
        <v>0.227885757808718</v>
      </c>
      <c r="AX231" s="197" t="n">
        <v>0.20581336215096</v>
      </c>
      <c r="AY231" s="197" t="n">
        <v>0.190561686780354</v>
      </c>
      <c r="AZ231" s="197" t="n">
        <v>0.183846455984464</v>
      </c>
      <c r="BA231" s="197" t="n">
        <v>0.176904836324348</v>
      </c>
      <c r="BB231" s="197" t="n">
        <v>0.157538615472462</v>
      </c>
      <c r="BC231" s="197" t="n">
        <v>0.157831120932746</v>
      </c>
      <c r="BD231" s="197" t="n">
        <v>0.491676364011098</v>
      </c>
      <c r="BE231" s="197" t="n">
        <v>0.474394443106373</v>
      </c>
      <c r="BF231" s="197" t="n">
        <v>0.670579184433001</v>
      </c>
      <c r="BG231" s="197" t="n">
        <v>0.583703671666411</v>
      </c>
      <c r="BH231" s="197" t="n">
        <v>0.196386197920544</v>
      </c>
      <c r="BI231" s="197" t="n">
        <v>0.157229830064944</v>
      </c>
      <c r="BJ231" s="197" t="n">
        <v>0.131878253307006</v>
      </c>
      <c r="BK231" s="197" t="n">
        <v>0.045883319093968</v>
      </c>
      <c r="BL231" s="197" t="n">
        <v>0.0767161257543255</v>
      </c>
      <c r="BM231" s="197" t="n">
        <v>0.0633800176652463</v>
      </c>
      <c r="BN231" s="197" t="n">
        <v>0.138845604652254</v>
      </c>
      <c r="BO231" s="197" t="n">
        <v>0.0493977201676043</v>
      </c>
      <c r="BP231" s="197" t="n">
        <v>0.132172616604607</v>
      </c>
      <c r="BQ231" s="197" t="n">
        <v>0.140794911639416</v>
      </c>
      <c r="BR231" s="197" t="n">
        <v>0.204075190437599</v>
      </c>
      <c r="BS231" s="197" t="n">
        <v>0.12610110847735</v>
      </c>
      <c r="BT231" s="197" t="n">
        <v>0.204324819266634</v>
      </c>
      <c r="BU231" s="197" t="n">
        <v>0.0700784223839956</v>
      </c>
      <c r="BV231" s="197" t="n">
        <v>0.174188471803203</v>
      </c>
      <c r="BW231" s="197" t="n">
        <v>0.198079660769474</v>
      </c>
      <c r="BX231" s="197" t="n">
        <v>0.198685886974019</v>
      </c>
      <c r="BY231" s="197" t="n">
        <v>0.195839706876312</v>
      </c>
      <c r="BZ231" s="197" t="n">
        <v>0.140444519629142</v>
      </c>
      <c r="CA231" s="197" t="n">
        <v>0.162128176027381</v>
      </c>
      <c r="CB231" s="197" t="n">
        <v>0.121138088751171</v>
      </c>
      <c r="CC231" s="197" t="n">
        <v>0.08886598484490101</v>
      </c>
      <c r="CD231" s="197" t="n">
        <v>0.0168351254103979</v>
      </c>
      <c r="CE231" s="197" t="n">
        <v>0.0381001018948465</v>
      </c>
      <c r="CF231" s="197" t="n">
        <v>0.0292359669310097</v>
      </c>
      <c r="CG231" s="197" t="n">
        <v>0.07047461465538429</v>
      </c>
      <c r="CH231" s="197" t="n">
        <v>0.122793300366342</v>
      </c>
      <c r="CI231" s="197" t="n">
        <v>0.17537650771546</v>
      </c>
      <c r="CJ231" s="197" t="n">
        <v>0.0761262284899213</v>
      </c>
      <c r="CK231" s="197" t="n">
        <v>0.0826853562805266</v>
      </c>
      <c r="CL231" s="197" t="n">
        <v>0.0849845722991933</v>
      </c>
      <c r="CM231" s="197" t="n">
        <v>0.08740986041478011</v>
      </c>
      <c r="CN231" s="197" t="n">
        <v>0.08747699491165969</v>
      </c>
      <c r="CO231" s="197" t="n">
        <v>0.08578583287216381</v>
      </c>
      <c r="CP231" s="197" t="n">
        <v>0.06706654845680721</v>
      </c>
      <c r="CQ231" s="197" t="n">
        <v>0.07308780930057709</v>
      </c>
      <c r="CR231" s="197" t="n">
        <v>0.174725058965729</v>
      </c>
      <c r="CS231" s="197" t="n">
        <v>0.168964045092969</v>
      </c>
      <c r="CT231" s="197" t="n">
        <v>0</v>
      </c>
      <c r="CU231" s="197" t="n">
        <v>0.138774332745932</v>
      </c>
      <c r="CV231" s="197" t="n">
        <v>0.1237290668487</v>
      </c>
      <c r="CW231" s="197" t="n">
        <v>0.11532810916719</v>
      </c>
      <c r="CX231" s="197" t="n">
        <v>0.0740426319042919</v>
      </c>
      <c r="CY231" s="197" t="n">
        <v>0.083924674207019</v>
      </c>
      <c r="CZ231" s="197" t="n">
        <v>0.0811787718961982</v>
      </c>
      <c r="DA231" s="197" t="n">
        <v>0.07720697002492551</v>
      </c>
      <c r="DB231" s="197" t="n">
        <v>0.0635531679616584</v>
      </c>
      <c r="DC231" s="197" t="n">
        <v>0.0851347288137079</v>
      </c>
      <c r="DD231" s="197" t="n">
        <v>0.08990825755707189</v>
      </c>
      <c r="DE231" s="197" t="n">
        <v>0.0989219656437363</v>
      </c>
      <c r="DF231" s="197" t="n">
        <v>0.0850703393174168</v>
      </c>
      <c r="DG231" s="197" t="n">
        <v>0.009986403445276871</v>
      </c>
      <c r="DH231" s="197" t="n">
        <v>0.0114797577290098</v>
      </c>
      <c r="DI231" s="197" t="n">
        <v>0.013679883221309</v>
      </c>
      <c r="DJ231" s="197" t="n">
        <v>0.00190945457284293</v>
      </c>
      <c r="DK231" s="197" t="n">
        <v>0.011971681292144</v>
      </c>
      <c r="DL231" s="197" t="n">
        <v>0.00929133063164728</v>
      </c>
      <c r="DM231" s="197" t="n">
        <v>0.0158934199528194</v>
      </c>
      <c r="DN231" s="197" t="n">
        <v>0.0118514249595657</v>
      </c>
      <c r="DO231" s="197" t="n">
        <v>0.0256071215733016</v>
      </c>
      <c r="DP231" s="197" t="n">
        <v>0.0287142236294779</v>
      </c>
      <c r="DQ231" s="197" t="n">
        <v>0.0297017662026643</v>
      </c>
      <c r="DR231" s="197" t="n">
        <v>0.0177989283171582</v>
      </c>
      <c r="DS231" s="197" t="n">
        <v>0.01783568639231</v>
      </c>
      <c r="DT231" s="197" t="n">
        <v>0.0123195229127433</v>
      </c>
      <c r="DU231" s="197" t="n">
        <v>0.0289111144722579</v>
      </c>
      <c r="DV231" s="197" t="n">
        <v>0.0218344053474587</v>
      </c>
      <c r="DW231" s="197" t="n">
        <v>0.0245331554878049</v>
      </c>
      <c r="DX231" s="197" t="n">
        <v>0.0220749496340499</v>
      </c>
      <c r="DY231" s="197" t="n">
        <v>0.0157147988505747</v>
      </c>
      <c r="DZ231" s="197" t="n">
        <v>0.009876281507746861</v>
      </c>
      <c r="EA231" s="197" t="n">
        <v>0.0126751474926254</v>
      </c>
      <c r="EB231" s="197" t="n">
        <v>0.0107178526156362</v>
      </c>
      <c r="EC231" s="197" t="n">
        <v>0.0147103019944882</v>
      </c>
      <c r="ED231" s="197" t="n">
        <v>0.0100033994218809</v>
      </c>
      <c r="EE231" s="197" t="n">
        <v>0.0127013972236785</v>
      </c>
      <c r="EF231" s="197" t="n">
        <v>0.0116247877566468</v>
      </c>
      <c r="EG231" s="197" t="n">
        <v>0.0144577037701944</v>
      </c>
      <c r="EH231" s="197" t="n">
        <v>0.0150708203387582</v>
      </c>
      <c r="EI231" s="197" t="n">
        <v>0.0173310199500186</v>
      </c>
      <c r="EJ231" s="197" t="n">
        <v>0.021312871351184</v>
      </c>
      <c r="EK231" s="197" t="n">
        <v>0.025363764235293</v>
      </c>
      <c r="EL231" s="182" t="n"/>
      <c r="EM231" s="176" t="n"/>
      <c r="EN231" s="176" t="n"/>
      <c r="EO231" s="176" t="n"/>
      <c r="EP231" s="176" t="n"/>
      <c r="EQ231" s="176" t="n"/>
      <c r="ER231" s="176" t="n"/>
      <c r="ES231" s="176" t="n"/>
      <c r="ET231" s="176" t="n"/>
      <c r="EU231" s="176" t="n"/>
      <c r="EV231" s="176" t="n"/>
      <c r="EW231" s="176" t="n"/>
      <c r="EX231" s="176" t="n"/>
      <c r="EY231" s="176" t="n"/>
      <c r="EZ231" s="176" t="n"/>
      <c r="FA231" s="176" t="n"/>
      <c r="FB231" s="176" t="n"/>
      <c r="FC231" s="176" t="n"/>
      <c r="FD231" s="176" t="n"/>
      <c r="FE231" s="176" t="n"/>
      <c r="FF231" s="176" t="n"/>
      <c r="FG231" s="176" t="n"/>
      <c r="FH231" s="176" t="n"/>
      <c r="FI231" s="176" t="n"/>
      <c r="FJ231" s="176" t="n"/>
    </row>
    <row r="232" ht="15" customHeight="1" s="392">
      <c r="A232" s="176" t="n"/>
      <c r="B232" s="180" t="n"/>
      <c r="C232" s="183" t="inlineStr">
        <is>
          <t xml:space="preserve">    Cash, Cash Equivalents And Short Term Investments per Share</t>
        </is>
      </c>
      <c r="D232" s="191">
        <f>IF(COUNT(M232:EK232)&gt;0,MEDIAN(M232:EK232),"")</f>
        <v/>
      </c>
      <c r="E232" s="191">
        <f>IF(COUNT(M232:EK232)&gt;0,AVERAGE(M232:EK232),"")</f>
        <v/>
      </c>
      <c r="F232" s="191">
        <f>IF(COUNT(M232:EK232)&gt;0,MIN(M232:EK232),"")</f>
        <v/>
      </c>
      <c r="G232" s="191">
        <f>IF(COUNT(M232:EK232)&gt;0,MAX(M232:EK232),"")</f>
        <v/>
      </c>
      <c r="H232" s="191">
        <f>IF(COUNT(M232:EK232)&gt;0,QUARTILE(M232:EK232,1),"")</f>
        <v/>
      </c>
      <c r="I232" s="191">
        <f>IF(COUNT(M232:EK232)&gt;0,QUARTILE(M232:EK232,3),"")</f>
        <v/>
      </c>
      <c r="J232" s="191">
        <f>IF(COUNT(M232:EK232)&gt;1,STDEV(M232:EK232),"")</f>
        <v/>
      </c>
      <c r="K232" s="191">
        <f>IF(COUNT(M232:EK232)&gt;1,STDEV(M232:EK232)/AVERAGE(M232:EK232),"")</f>
        <v/>
      </c>
      <c r="M232" s="197" t="n">
        <v>4.8495855660602</v>
      </c>
      <c r="N232" s="197" t="n">
        <v>4.53624963791495</v>
      </c>
      <c r="O232" s="197" t="n">
        <v>5.29624107371957</v>
      </c>
      <c r="P232" s="197" t="n">
        <v>5.41732193008594</v>
      </c>
      <c r="Q232" s="197" t="n">
        <v>4.9500521815111</v>
      </c>
      <c r="R232" s="197" t="n">
        <v>4.53484131606754</v>
      </c>
      <c r="S232" s="197" t="n">
        <v>3.93089235008004</v>
      </c>
      <c r="T232" s="197" t="n">
        <v>3.83811556025335</v>
      </c>
      <c r="U232" s="197" t="n">
        <v>3.55376452246919</v>
      </c>
      <c r="V232" s="197" t="n">
        <v>3.21150333383456</v>
      </c>
      <c r="W232" s="197" t="n">
        <v>2.77544792827485</v>
      </c>
      <c r="X232" s="197" t="n">
        <v>2.73956085489844</v>
      </c>
      <c r="Y232" s="197" t="n">
        <v>2.46931468727126</v>
      </c>
      <c r="Z232" s="197" t="n">
        <v>2.21552081112481</v>
      </c>
      <c r="AA232" s="197" t="n">
        <v>1.74263213774109</v>
      </c>
      <c r="AB232" s="197" t="n">
        <v>1.61634243177115</v>
      </c>
      <c r="AC232" s="197" t="n">
        <v>1.45377912963841</v>
      </c>
      <c r="AD232" s="197" t="n">
        <v>1.76726720071463</v>
      </c>
      <c r="AE232" s="197" t="n">
        <v>1.41753856241537</v>
      </c>
      <c r="AF232" s="197" t="n">
        <v>1.36854457570125</v>
      </c>
      <c r="AG232" s="197" t="n">
        <v>1.10569290483194</v>
      </c>
      <c r="AH232" s="197" t="n">
        <v>0.963664233185774</v>
      </c>
      <c r="AI232" s="197" t="n">
        <v>0.652120853850813</v>
      </c>
      <c r="AJ232" s="197" t="n">
        <v>0.64134456293289</v>
      </c>
      <c r="AK232" s="197" t="n">
        <v>0.507529604838294</v>
      </c>
      <c r="AL232" s="197" t="n">
        <v>0.32635883712032</v>
      </c>
      <c r="AM232" s="197" t="n">
        <v>0.100060270928771</v>
      </c>
      <c r="AN232" s="197" t="n">
        <v>0.194788981822583</v>
      </c>
      <c r="AO232" s="197" t="n">
        <v>0.202705494908079</v>
      </c>
      <c r="AP232" s="197" t="n">
        <v>0.112346882876265</v>
      </c>
      <c r="AQ232" s="197" t="n">
        <v>0.119291663319742</v>
      </c>
      <c r="AR232" s="197" t="n">
        <v>0.34219853408361</v>
      </c>
      <c r="AS232" s="197" t="n">
        <v>0.293417443654627</v>
      </c>
      <c r="AT232" s="197" t="n">
        <v>0.219881881745861</v>
      </c>
      <c r="AU232" s="197" t="n">
        <v>0.210609079646647</v>
      </c>
      <c r="AV232" s="197" t="n">
        <v>0.242461010460408</v>
      </c>
      <c r="AW232" s="197" t="n">
        <v>0.227885757808718</v>
      </c>
      <c r="AX232" s="197" t="n">
        <v>0.20581336215096</v>
      </c>
      <c r="AY232" s="197" t="n">
        <v>0.190561686780354</v>
      </c>
      <c r="AZ232" s="197" t="n">
        <v>0.183846455984464</v>
      </c>
      <c r="BA232" s="197" t="n">
        <v>0.176904836324348</v>
      </c>
      <c r="BB232" s="197" t="n">
        <v>0.157538615472462</v>
      </c>
      <c r="BC232" s="197" t="n">
        <v>0.177323402761467</v>
      </c>
      <c r="BD232" s="197" t="n">
        <v>0.514437849427737</v>
      </c>
      <c r="BE232" s="197" t="n">
        <v>0.474394443106373</v>
      </c>
      <c r="BF232" s="197" t="n">
        <v>0.670579184433001</v>
      </c>
      <c r="BG232" s="197" t="n">
        <v>0.583703671666411</v>
      </c>
      <c r="BH232" s="197" t="n">
        <v>0.196386197920544</v>
      </c>
      <c r="BI232" s="197" t="n">
        <v>0.157229830064944</v>
      </c>
      <c r="BJ232" s="197" t="n">
        <v>0.131878253307006</v>
      </c>
      <c r="BK232" s="197" t="n">
        <v>0.045883319093968</v>
      </c>
      <c r="BL232" s="197" t="n">
        <v>0.0767161257543255</v>
      </c>
      <c r="BM232" s="197" t="n">
        <v>0.0633800176652463</v>
      </c>
      <c r="BN232" s="197" t="n">
        <v>0.138845604652254</v>
      </c>
      <c r="BO232" s="197" t="n">
        <v>0.0493977201676043</v>
      </c>
      <c r="BP232" s="197" t="n">
        <v>0.132172616604607</v>
      </c>
      <c r="BQ232" s="197" t="n">
        <v>0.140794911639416</v>
      </c>
      <c r="BR232" s="197" t="n">
        <v>0.204075190437599</v>
      </c>
      <c r="BS232" s="197" t="n">
        <v>0.12610110847735</v>
      </c>
      <c r="BT232" s="197" t="n">
        <v>0.204324819266634</v>
      </c>
      <c r="BU232" s="197" t="n">
        <v>0.0700784223839956</v>
      </c>
      <c r="BV232" s="197" t="n">
        <v>0.174188471803203</v>
      </c>
      <c r="BW232" s="197" t="n">
        <v>0.198079660769474</v>
      </c>
      <c r="BX232" s="197" t="n">
        <v>0.198685886974019</v>
      </c>
      <c r="BY232" s="197" t="n">
        <v>0.195839706876312</v>
      </c>
      <c r="BZ232" s="197" t="n">
        <v>0.140444519629142</v>
      </c>
      <c r="CA232" s="197" t="n">
        <v>0.162128176027381</v>
      </c>
      <c r="CB232" s="197" t="n">
        <v>0.121138088751171</v>
      </c>
      <c r="CC232" s="197" t="n">
        <v>0.08886598484490101</v>
      </c>
      <c r="CD232" s="197" t="n">
        <v>0.0168351254103979</v>
      </c>
      <c r="CE232" s="197" t="n">
        <v>0.0381001018948465</v>
      </c>
      <c r="CF232" s="197" t="n">
        <v>0.0292359669310097</v>
      </c>
      <c r="CG232" s="197" t="n">
        <v>0.07047461465538429</v>
      </c>
      <c r="CH232" s="197" t="n">
        <v>0.122793300366342</v>
      </c>
      <c r="CI232" s="197" t="n">
        <v>0.17537650771546</v>
      </c>
      <c r="CJ232" s="197" t="n">
        <v>0.148718512512353</v>
      </c>
      <c r="CK232" s="197" t="n">
        <v>0.170543553469288</v>
      </c>
      <c r="CL232" s="197" t="n">
        <v>0.219178851718695</v>
      </c>
      <c r="CM232" s="197" t="n">
        <v>0.216514455463039</v>
      </c>
      <c r="CN232" s="197" t="n">
        <v>0.190249852706403</v>
      </c>
      <c r="CO232" s="197" t="n">
        <v>0.17426120641948</v>
      </c>
      <c r="CP232" s="197" t="n">
        <v>0.140139635396465</v>
      </c>
      <c r="CQ232" s="197" t="n">
        <v>0.176547332109767</v>
      </c>
      <c r="CR232" s="197" t="n">
        <v>0.174725058965729</v>
      </c>
      <c r="CS232" s="197" t="n">
        <v>0.168964045092969</v>
      </c>
      <c r="CT232" s="197" t="n">
        <v>0.143622397176027</v>
      </c>
      <c r="CU232" s="197" t="n">
        <v>0.138774332745932</v>
      </c>
      <c r="CV232" s="197" t="n">
        <v>0.1237290668487</v>
      </c>
      <c r="CW232" s="197" t="n">
        <v>0.11532810916719</v>
      </c>
      <c r="CX232" s="197" t="n">
        <v>0.0740426319042919</v>
      </c>
      <c r="CY232" s="197" t="n">
        <v>0.083924674207019</v>
      </c>
      <c r="CZ232" s="197" t="n">
        <v>0.0811787718961982</v>
      </c>
      <c r="DA232" s="197" t="n">
        <v>0.07720697002492551</v>
      </c>
      <c r="DB232" s="197" t="n">
        <v>0.0635531679616584</v>
      </c>
      <c r="DC232" s="197" t="n">
        <v>0.0851347288137079</v>
      </c>
      <c r="DD232" s="197" t="n">
        <v>0.08990825755707189</v>
      </c>
      <c r="DE232" s="197" t="n">
        <v>0.0989219656437363</v>
      </c>
      <c r="DF232" s="197" t="n">
        <v>0.0850703393174168</v>
      </c>
      <c r="DG232" s="197" t="n">
        <v>0.009986403445276871</v>
      </c>
      <c r="DH232" s="197" t="n">
        <v>0.0114797577290098</v>
      </c>
      <c r="DI232" s="197" t="n">
        <v>0.013679883221309</v>
      </c>
      <c r="DJ232" s="197" t="n">
        <v>0.00190945457284293</v>
      </c>
      <c r="DK232" s="197" t="n">
        <v>0.011971681292144</v>
      </c>
      <c r="DL232" s="197" t="n">
        <v>0.00929133063164728</v>
      </c>
      <c r="DM232" s="197" t="n">
        <v>0.0158934199528194</v>
      </c>
      <c r="DN232" s="197" t="n">
        <v>0.0118514249595657</v>
      </c>
      <c r="DO232" s="197" t="n">
        <v>0.0256071215733016</v>
      </c>
      <c r="DP232" s="197" t="n">
        <v>0.0287142236294779</v>
      </c>
      <c r="DQ232" s="197" t="n">
        <v>0.0297017662026643</v>
      </c>
      <c r="DR232" s="197" t="n">
        <v>0.0177989283171582</v>
      </c>
      <c r="DS232" s="197" t="n">
        <v>0.01783568639231</v>
      </c>
      <c r="DT232" s="197" t="n">
        <v>0.0123195229127433</v>
      </c>
      <c r="DU232" s="197" t="n">
        <v>0.0289111144722579</v>
      </c>
      <c r="DV232" s="197" t="n">
        <v>0.0218344053474587</v>
      </c>
      <c r="DW232" s="197" t="n">
        <v>0.0245331554878049</v>
      </c>
      <c r="DX232" s="197" t="n">
        <v>0.0220749496340499</v>
      </c>
      <c r="DY232" s="197" t="n">
        <v>0.0157147988505747</v>
      </c>
      <c r="DZ232" s="197" t="n">
        <v>0.009876281507746861</v>
      </c>
      <c r="EA232" s="197" t="n">
        <v>0.0126751474926254</v>
      </c>
      <c r="EB232" s="197" t="n">
        <v>0.0107178526156362</v>
      </c>
      <c r="EC232" s="197" t="n">
        <v>0.0147103019944882</v>
      </c>
      <c r="ED232" s="197" t="n">
        <v>0.0100033994218809</v>
      </c>
      <c r="EE232" s="197" t="n">
        <v>0.0127013972236785</v>
      </c>
      <c r="EF232" s="197" t="n">
        <v>0.0116247877566468</v>
      </c>
      <c r="EG232" s="197" t="n">
        <v>0.0144577037701944</v>
      </c>
      <c r="EH232" s="197" t="n">
        <v>0.0150708203387582</v>
      </c>
      <c r="EI232" s="197" t="n">
        <v>0.0173310199500186</v>
      </c>
      <c r="EJ232" s="197" t="n">
        <v>0.021312871351184</v>
      </c>
      <c r="EK232" s="197" t="n">
        <v>0.025363764235293</v>
      </c>
      <c r="EL232" s="182" t="n"/>
      <c r="EM232" s="176" t="n"/>
      <c r="EN232" s="176" t="n"/>
      <c r="EO232" s="176" t="n"/>
      <c r="EP232" s="176" t="n"/>
      <c r="EQ232" s="176" t="n"/>
      <c r="ER232" s="176" t="n"/>
      <c r="ES232" s="176" t="n"/>
      <c r="ET232" s="176" t="n"/>
      <c r="EU232" s="176" t="n"/>
      <c r="EV232" s="176" t="n"/>
      <c r="EW232" s="176" t="n"/>
      <c r="EX232" s="176" t="n"/>
      <c r="EY232" s="176" t="n"/>
      <c r="EZ232" s="176" t="n"/>
      <c r="FA232" s="176" t="n"/>
      <c r="FB232" s="176" t="n"/>
      <c r="FC232" s="176" t="n"/>
      <c r="FD232" s="176" t="n"/>
      <c r="FE232" s="176" t="n"/>
      <c r="FF232" s="176" t="n"/>
      <c r="FG232" s="176" t="n"/>
      <c r="FH232" s="176" t="n"/>
      <c r="FI232" s="176" t="n"/>
      <c r="FJ232" s="176" t="n"/>
    </row>
    <row r="233" ht="15" customHeight="1" s="392">
      <c r="A233" s="176" t="n"/>
      <c r="B233" s="180" t="n"/>
      <c r="C233" s="183" t="inlineStr">
        <is>
          <t xml:space="preserve">    Net Intangible Assets per Share</t>
        </is>
      </c>
      <c r="D233" s="191">
        <f>IF(COUNT(M233:EK233)&gt;0,MEDIAN(M233:EK233),"")</f>
        <v/>
      </c>
      <c r="E233" s="191">
        <f>IF(COUNT(M233:EK233)&gt;0,AVERAGE(M233:EK233),"")</f>
        <v/>
      </c>
      <c r="F233" s="191">
        <f>IF(COUNT(M233:EK233)&gt;0,MIN(M233:EK233),"")</f>
        <v/>
      </c>
      <c r="G233" s="191">
        <f>IF(COUNT(M233:EK233)&gt;0,MAX(M233:EK233),"")</f>
        <v/>
      </c>
      <c r="H233" s="191">
        <f>IF(COUNT(M233:EK233)&gt;0,QUARTILE(M233:EK233,1),"")</f>
        <v/>
      </c>
      <c r="I233" s="191">
        <f>IF(COUNT(M233:EK233)&gt;0,QUARTILE(M233:EK233,3),"")</f>
        <v/>
      </c>
      <c r="J233" s="191">
        <f>IF(COUNT(M233:EK233)&gt;1,STDEV(M233:EK233),"")</f>
        <v/>
      </c>
      <c r="K233" s="191">
        <f>IF(COUNT(M233:EK233)&gt;1,STDEV(M233:EK233)/AVERAGE(M233:EK233),"")</f>
        <v/>
      </c>
      <c r="M233" s="197" t="n">
        <v>0.606790919017788</v>
      </c>
      <c r="N233" s="197" t="n">
        <v>0.622854664487732</v>
      </c>
      <c r="O233" s="197" t="n">
        <v>0.602896778851854</v>
      </c>
      <c r="P233" s="197" t="n">
        <v>0.597549572223662</v>
      </c>
      <c r="Q233" s="197" t="n">
        <v>0.600127947004187</v>
      </c>
      <c r="R233" s="197" t="n">
        <v>0.605098612791129</v>
      </c>
      <c r="S233" s="197" t="n">
        <v>0.5980550764014581</v>
      </c>
      <c r="T233" s="197" t="n">
        <v>0.609216537517438</v>
      </c>
      <c r="U233" s="197" t="n">
        <v>0.610609702391975</v>
      </c>
      <c r="V233" s="197" t="n">
        <v>0.611220157407663</v>
      </c>
      <c r="W233" s="197" t="n">
        <v>0.618542483340905</v>
      </c>
      <c r="X233" s="197" t="n">
        <v>0.60690791339713</v>
      </c>
      <c r="Y233" s="197" t="n">
        <v>0.477352887435271</v>
      </c>
      <c r="Z233" s="197" t="n">
        <v>0.478188309360745</v>
      </c>
      <c r="AA233" s="197" t="n">
        <v>0.477618807363579</v>
      </c>
      <c r="AB233" s="197" t="n">
        <v>0.469020292563933</v>
      </c>
      <c r="AC233" s="197" t="n">
        <v>0.479574999554489</v>
      </c>
      <c r="AD233" s="197" t="n">
        <v>0.409124281834085</v>
      </c>
      <c r="AE233" s="197" t="n">
        <v>0.41650683897452</v>
      </c>
      <c r="AF233" s="197" t="n">
        <v>0.419484921558967</v>
      </c>
      <c r="AG233" s="197" t="n">
        <v>0.423592633174459</v>
      </c>
      <c r="AH233" s="197" t="n">
        <v>0.412195806680752</v>
      </c>
      <c r="AI233" s="197" t="n">
        <v>0.413906412488545</v>
      </c>
      <c r="AJ233" s="197" t="n">
        <v>0.411277399948577</v>
      </c>
      <c r="AK233" s="197" t="n">
        <v>0.415818625540757</v>
      </c>
      <c r="AL233" s="197" t="n">
        <v>0.411917692013039</v>
      </c>
      <c r="AM233" s="197" t="n">
        <v>0.41576625691295</v>
      </c>
      <c r="AN233" s="197" t="n">
        <v>0.419255259237975</v>
      </c>
      <c r="AO233" s="197" t="n">
        <v>0.422643007666452</v>
      </c>
      <c r="AP233" s="197" t="n">
        <v>0.431958501146568</v>
      </c>
      <c r="AQ233" s="197" t="n">
        <v>0.439246606549509</v>
      </c>
      <c r="AR233" s="197" t="n">
        <v>0.425217005892299</v>
      </c>
      <c r="AS233" s="197" t="n">
        <v>0.42980867100577</v>
      </c>
      <c r="AT233" s="197" t="n">
        <v>0.44330620026972</v>
      </c>
      <c r="AU233" s="197" t="n">
        <v>0.446919368690215</v>
      </c>
      <c r="AV233" s="197" t="n">
        <v>0.445799955236304</v>
      </c>
      <c r="AW233" s="197" t="n">
        <v>0.451412292101808</v>
      </c>
      <c r="AX233" s="197" t="n">
        <v>0.288994648164445</v>
      </c>
      <c r="AY233" s="197" t="n">
        <v>0.289520835169944</v>
      </c>
      <c r="AZ233" s="197" t="n">
        <v>0.2896355891022</v>
      </c>
      <c r="BA233" s="197" t="n">
        <v>0.308701771470675</v>
      </c>
      <c r="BB233" s="197" t="n">
        <v>0.321315692823273</v>
      </c>
      <c r="BC233" s="197" t="n">
        <v>0.31086757580559</v>
      </c>
      <c r="BD233" s="197" t="n">
        <v>0.298228170204052</v>
      </c>
      <c r="BE233" s="197" t="n">
        <v>0.301385469963549</v>
      </c>
      <c r="BF233" s="197" t="n">
        <v>0.287696927444751</v>
      </c>
      <c r="BG233" s="197" t="n">
        <v>0.28862269290888</v>
      </c>
      <c r="BH233" s="197" t="n">
        <v>0.297965129337256</v>
      </c>
      <c r="BI233" s="197" t="n">
        <v>0.306221018392676</v>
      </c>
      <c r="BJ233" s="197" t="n">
        <v>0.311532985968683</v>
      </c>
      <c r="BK233" s="197" t="n">
        <v>0.308811353185178</v>
      </c>
      <c r="BL233" s="197" t="n">
        <v>0.29605781624814</v>
      </c>
      <c r="BM233" s="197" t="n">
        <v>0.284044196344245</v>
      </c>
      <c r="BN233" s="197" t="n">
        <v>0.220907720746365</v>
      </c>
      <c r="BO233" s="197" t="n">
        <v>0.224602483944454</v>
      </c>
      <c r="BP233" s="197" t="n">
        <v>0.206760692393598</v>
      </c>
      <c r="BQ233" s="197" t="n">
        <v>0.205419366093299</v>
      </c>
      <c r="BR233" s="197" t="n">
        <v>0.204123466839984</v>
      </c>
      <c r="BS233" s="197" t="n">
        <v>0.202664753923744</v>
      </c>
      <c r="BT233" s="197" t="n">
        <v>0.200338757421031</v>
      </c>
      <c r="BU233" s="197" t="n">
        <v>0.200142360827202</v>
      </c>
      <c r="BV233" s="197" t="n">
        <v>0.191301092190764</v>
      </c>
      <c r="BW233" s="197" t="n">
        <v>0.144804163726182</v>
      </c>
      <c r="BX233" s="197" t="n">
        <v>0.139935352987361</v>
      </c>
      <c r="BY233" s="197" t="n">
        <v>0.138932861394709</v>
      </c>
      <c r="BZ233" s="197" t="n">
        <v>0.14244853805335</v>
      </c>
      <c r="CA233" s="197" t="n">
        <v>0.13428074418273</v>
      </c>
      <c r="CB233" s="197" t="n">
        <v>0.135172120730703</v>
      </c>
      <c r="CC233" s="197" t="n">
        <v>0.131074022148024</v>
      </c>
      <c r="CD233" s="197" t="n">
        <v>0.130311924899247</v>
      </c>
      <c r="CE233" s="197" t="n">
        <v>0.136873696761888</v>
      </c>
      <c r="CF233" s="197" t="n">
        <v>0.149403341303113</v>
      </c>
      <c r="CG233" s="197" t="n">
        <v>0.14437768453823</v>
      </c>
      <c r="CH233" s="197" t="n">
        <v>0.13633547505359</v>
      </c>
      <c r="CI233" s="197" t="n">
        <v>0.138737197053076</v>
      </c>
      <c r="CJ233" s="197" t="n">
        <v>0.133751592779046</v>
      </c>
      <c r="CK233" s="197" t="n">
        <v>0.0777849863465479</v>
      </c>
      <c r="CL233" s="197" t="n">
        <v>0.0779592138723255</v>
      </c>
      <c r="CM233" s="197" t="n">
        <v>0.0786692194712547</v>
      </c>
      <c r="CN233" s="197" t="n">
        <v>0.0788909955295807</v>
      </c>
      <c r="CO233" s="197" t="n">
        <v>0.07906267293857221</v>
      </c>
      <c r="CP233" s="197" t="n">
        <v>0.0791689754529839</v>
      </c>
      <c r="CQ233" s="197" t="n">
        <v>0.08376476018839971</v>
      </c>
      <c r="CR233" s="197" t="n">
        <v>0.0818547202963885</v>
      </c>
      <c r="CS233" s="197" t="n">
        <v>0.08152293668606191</v>
      </c>
      <c r="CT233" s="197" t="n">
        <v>0.0796569641487218</v>
      </c>
      <c r="CU233" s="197" t="n">
        <v>0.0799340234314151</v>
      </c>
      <c r="CV233" s="197" t="n">
        <v>0.0802323881664921</v>
      </c>
      <c r="CW233" s="197" t="n">
        <v>0.08023569985225559</v>
      </c>
      <c r="CX233" s="197" t="n">
        <v>0.0811243668797087</v>
      </c>
      <c r="CY233" s="197" t="n">
        <v>0.08155692404109099</v>
      </c>
      <c r="CZ233" s="197" t="n">
        <v>0.0813366152588867</v>
      </c>
      <c r="DA233" s="197" t="n">
        <v>0.081440990920849</v>
      </c>
      <c r="DB233" s="197" t="n">
        <v>0.0793519144539493</v>
      </c>
      <c r="DC233" s="197" t="n">
        <v>0.0798048285100615</v>
      </c>
      <c r="DD233" s="197" t="n">
        <v>0.0759477120406266</v>
      </c>
      <c r="DE233" s="197" t="n">
        <v>0.0686095094722016</v>
      </c>
      <c r="DF233" s="197" t="n">
        <v>0.0691132070586731</v>
      </c>
      <c r="DG233" s="197" t="n">
        <v>0.0751122852446712</v>
      </c>
      <c r="DH233" s="197" t="n">
        <v>0.06861265924538119</v>
      </c>
      <c r="DI233" s="197" t="n">
        <v>0.0694525867372954</v>
      </c>
      <c r="DJ233" s="197" t="n">
        <v>0.06838385636850081</v>
      </c>
      <c r="DK233" s="197" t="n">
        <v>0.068295200815912</v>
      </c>
      <c r="DL233" s="197" t="n">
        <v>0.06904252457859369</v>
      </c>
      <c r="DM233" s="197" t="n">
        <v>0.0663882698210818</v>
      </c>
      <c r="DN233" s="197" t="n">
        <v>0.06584124977536519</v>
      </c>
      <c r="DO233" s="197" t="n">
        <v>0.0597499503377036</v>
      </c>
      <c r="DP233" s="197" t="n">
        <v>0.0603774756317129</v>
      </c>
      <c r="DQ233" s="197" t="n">
        <v>0.0593255750137205</v>
      </c>
      <c r="DR233" s="197" t="n">
        <v>0.0599542848577959</v>
      </c>
      <c r="DS233" s="197" t="n">
        <v>0.0607039150896165</v>
      </c>
      <c r="DT233" s="197" t="n">
        <v>0.061519146264909</v>
      </c>
      <c r="DU233" s="197" t="n">
        <v>0.0569556832791348</v>
      </c>
      <c r="DV233" s="197" t="n">
        <v>0.0571478118299912</v>
      </c>
      <c r="DW233" s="197" t="n">
        <v>0.0597052845528455</v>
      </c>
      <c r="DX233" s="197" t="n">
        <v>0.06000879810267</v>
      </c>
      <c r="DY233" s="197" t="n">
        <v>0.060694401683087</v>
      </c>
      <c r="DZ233" s="197" t="n">
        <v>0.0602212287057735</v>
      </c>
      <c r="EA233" s="197" t="n">
        <v>0.0612357774968394</v>
      </c>
      <c r="EB233" s="197" t="n">
        <v>0.0615039850097277</v>
      </c>
      <c r="EC233" s="197" t="n">
        <v>0.06274733336631989</v>
      </c>
      <c r="ED233" s="197" t="n">
        <v>0.06310477801969849</v>
      </c>
      <c r="EE233" s="197" t="n">
        <v>0.0635069861183923</v>
      </c>
      <c r="EF233" s="197" t="n">
        <v>0.0620831056278893</v>
      </c>
      <c r="EG233" s="197" t="n">
        <v>0.044381788317806</v>
      </c>
      <c r="EH233" s="197" t="n">
        <v>0.0411859059639346</v>
      </c>
      <c r="EI233" s="197" t="n">
        <v>0.0393146627054112</v>
      </c>
      <c r="EJ233" s="197" t="n">
        <v>0.0348864318765191</v>
      </c>
      <c r="EK233" s="197" t="n">
        <v>0.0312261437047712</v>
      </c>
      <c r="EL233" s="182" t="n"/>
      <c r="EM233" s="176" t="n"/>
      <c r="EN233" s="176" t="n"/>
      <c r="EO233" s="176" t="n"/>
      <c r="EP233" s="176" t="n"/>
      <c r="EQ233" s="176" t="n"/>
      <c r="ER233" s="176" t="n"/>
      <c r="ES233" s="176" t="n"/>
      <c r="ET233" s="176" t="n"/>
      <c r="EU233" s="176" t="n"/>
      <c r="EV233" s="176" t="n"/>
      <c r="EW233" s="176" t="n"/>
      <c r="EX233" s="176" t="n"/>
      <c r="EY233" s="176" t="n"/>
      <c r="EZ233" s="176" t="n"/>
      <c r="FA233" s="176" t="n"/>
      <c r="FB233" s="176" t="n"/>
      <c r="FC233" s="176" t="n"/>
      <c r="FD233" s="176" t="n"/>
      <c r="FE233" s="176" t="n"/>
      <c r="FF233" s="176" t="n"/>
      <c r="FG233" s="176" t="n"/>
      <c r="FH233" s="176" t="n"/>
      <c r="FI233" s="176" t="n"/>
      <c r="FJ233" s="176" t="n"/>
    </row>
    <row r="234" ht="15" customHeight="1" s="392">
      <c r="A234" s="176" t="n"/>
      <c r="B234" s="180" t="n"/>
      <c r="C234" s="183" t="inlineStr">
        <is>
          <t xml:space="preserve">    Total Asset per Share</t>
        </is>
      </c>
      <c r="D234" s="191">
        <f>IF(COUNT(M234:EK234)&gt;0,MEDIAN(M234:EK234),"")</f>
        <v/>
      </c>
      <c r="E234" s="191">
        <f>IF(COUNT(M234:EK234)&gt;0,AVERAGE(M234:EK234),"")</f>
        <v/>
      </c>
      <c r="F234" s="191">
        <f>IF(COUNT(M234:EK234)&gt;0,MIN(M234:EK234),"")</f>
        <v/>
      </c>
      <c r="G234" s="191">
        <f>IF(COUNT(M234:EK234)&gt;0,MAX(M234:EK234),"")</f>
        <v/>
      </c>
      <c r="H234" s="191">
        <f>IF(COUNT(M234:EK234)&gt;0,QUARTILE(M234:EK234,1),"")</f>
        <v/>
      </c>
      <c r="I234" s="191">
        <f>IF(COUNT(M234:EK234)&gt;0,QUARTILE(M234:EK234,3),"")</f>
        <v/>
      </c>
      <c r="J234" s="191">
        <f>IF(COUNT(M234:EK234)&gt;1,STDEV(M234:EK234),"")</f>
        <v/>
      </c>
      <c r="K234" s="191">
        <f>IF(COUNT(M234:EK234)&gt;1,STDEV(M234:EK234)/AVERAGE(M234:EK234),"")</f>
        <v/>
      </c>
      <c r="M234" s="197" t="n">
        <v>10.8313735517054</v>
      </c>
      <c r="N234" s="197" t="n">
        <v>10.4222470639006</v>
      </c>
      <c r="O234" s="197" t="n">
        <v>10.9987145607221</v>
      </c>
      <c r="P234" s="197" t="n">
        <v>10.9318765798987</v>
      </c>
      <c r="Q234" s="197" t="n">
        <v>10.430102599986</v>
      </c>
      <c r="R234" s="197" t="n">
        <v>10.004235970592</v>
      </c>
      <c r="S234" s="197" t="n">
        <v>9.51018776538019</v>
      </c>
      <c r="T234" s="197" t="n">
        <v>9.20525414985806</v>
      </c>
      <c r="U234" s="197" t="n">
        <v>8.75187197871724</v>
      </c>
      <c r="V234" s="197" t="n">
        <v>8.324735448595201</v>
      </c>
      <c r="W234" s="197" t="n">
        <v>7.90432657012561</v>
      </c>
      <c r="X234" s="197" t="n">
        <v>7.63770340100194</v>
      </c>
      <c r="Y234" s="197" t="n">
        <v>7.0380948330262</v>
      </c>
      <c r="Z234" s="197" t="n">
        <v>6.65416623068314</v>
      </c>
      <c r="AA234" s="197" t="n">
        <v>6.22414424678879</v>
      </c>
      <c r="AB234" s="197" t="n">
        <v>5.87329501388687</v>
      </c>
      <c r="AC234" s="197" t="n">
        <v>5.57557792550454</v>
      </c>
      <c r="AD234" s="197" t="n">
        <v>5.72765367115999</v>
      </c>
      <c r="AE234" s="197" t="n">
        <v>5.40790292542241</v>
      </c>
      <c r="AF234" s="197" t="n">
        <v>5.18469517101577</v>
      </c>
      <c r="AG234" s="197" t="n">
        <v>4.81209732883893</v>
      </c>
      <c r="AH234" s="197" t="n">
        <v>4.52506136555165</v>
      </c>
      <c r="AI234" s="197" t="n">
        <v>4.1624214482783</v>
      </c>
      <c r="AJ234" s="197" t="n">
        <v>3.96114219276804</v>
      </c>
      <c r="AK234" s="197" t="n">
        <v>3.67088376394268</v>
      </c>
      <c r="AL234" s="197" t="n">
        <v>3.36767079327574</v>
      </c>
      <c r="AM234" s="197" t="n">
        <v>3.26212148575897</v>
      </c>
      <c r="AN234" s="197" t="n">
        <v>3.07177971506337</v>
      </c>
      <c r="AO234" s="197" t="n">
        <v>2.77167634444815</v>
      </c>
      <c r="AP234" s="197" t="n">
        <v>2.61322153568926</v>
      </c>
      <c r="AQ234" s="197" t="n">
        <v>2.5329711200236</v>
      </c>
      <c r="AR234" s="197" t="n">
        <v>2.54455654414311</v>
      </c>
      <c r="AS234" s="197" t="n">
        <v>2.46655561666507</v>
      </c>
      <c r="AT234" s="197" t="n">
        <v>2.33061662554383</v>
      </c>
      <c r="AU234" s="197" t="n">
        <v>2.31156782997877</v>
      </c>
      <c r="AV234" s="197" t="n">
        <v>2.23021615746265</v>
      </c>
      <c r="AW234" s="197" t="n">
        <v>2.15032719058325</v>
      </c>
      <c r="AX234" s="197" t="n">
        <v>1.9663918385718</v>
      </c>
      <c r="AY234" s="197" t="n">
        <v>2.0055214614817</v>
      </c>
      <c r="AZ234" s="197" t="n">
        <v>1.93254422126143</v>
      </c>
      <c r="BA234" s="197" t="n">
        <v>1.8727174191983</v>
      </c>
      <c r="BB234" s="197" t="n">
        <v>1.85876064626537</v>
      </c>
      <c r="BC234" s="197" t="n">
        <v>1.79059348662205</v>
      </c>
      <c r="BD234" s="197" t="n">
        <v>1.92938131926746</v>
      </c>
      <c r="BE234" s="197" t="n">
        <v>1.87116634877527</v>
      </c>
      <c r="BF234" s="197" t="n">
        <v>1.97888841871883</v>
      </c>
      <c r="BG234" s="197" t="n">
        <v>1.9300417199729</v>
      </c>
      <c r="BH234" s="197" t="n">
        <v>1.52034563147628</v>
      </c>
      <c r="BI234" s="197" t="n">
        <v>1.49314629831584</v>
      </c>
      <c r="BJ234" s="197" t="n">
        <v>1.46606935126598</v>
      </c>
      <c r="BK234" s="197" t="n">
        <v>1.42866367959132</v>
      </c>
      <c r="BL234" s="197" t="n">
        <v>1.3912967026889</v>
      </c>
      <c r="BM234" s="197" t="n">
        <v>1.32921735245298</v>
      </c>
      <c r="BN234" s="197" t="n">
        <v>1.29415770748074</v>
      </c>
      <c r="BO234" s="197" t="n">
        <v>1.25110227455639</v>
      </c>
      <c r="BP234" s="197" t="n">
        <v>1.22138841477842</v>
      </c>
      <c r="BQ234" s="197" t="n">
        <v>1.1596246433702</v>
      </c>
      <c r="BR234" s="197" t="n">
        <v>1.18697190541955</v>
      </c>
      <c r="BS234" s="197" t="n">
        <v>1.12591771454936</v>
      </c>
      <c r="BT234" s="197" t="n">
        <v>1.17774148940345</v>
      </c>
      <c r="BU234" s="197" t="n">
        <v>1.02684219563041</v>
      </c>
      <c r="BV234" s="197" t="n">
        <v>1.07996344859596</v>
      </c>
      <c r="BW234" s="197" t="n">
        <v>0.920280674324094</v>
      </c>
      <c r="BX234" s="197" t="n">
        <v>0.910359904784396</v>
      </c>
      <c r="BY234" s="197" t="n">
        <v>0.890818244340887</v>
      </c>
      <c r="BZ234" s="197" t="n">
        <v>0.85168111993542</v>
      </c>
      <c r="CA234" s="197" t="n">
        <v>0.834368240914601</v>
      </c>
      <c r="CB234" s="197" t="n">
        <v>0.787800027767845</v>
      </c>
      <c r="CC234" s="197" t="n">
        <v>0.751476817415353</v>
      </c>
      <c r="CD234" s="197" t="n">
        <v>0.716680340347157</v>
      </c>
      <c r="CE234" s="197" t="n">
        <v>0.71259422799831</v>
      </c>
      <c r="CF234" s="197" t="n">
        <v>0.717687674433364</v>
      </c>
      <c r="CG234" s="197" t="n">
        <v>0.737524577788701</v>
      </c>
      <c r="CH234" s="197" t="n">
        <v>0.746367062119339</v>
      </c>
      <c r="CI234" s="197" t="n">
        <v>0.756445694166798</v>
      </c>
      <c r="CJ234" s="197" t="n">
        <v>0.717682157068547</v>
      </c>
      <c r="CK234" s="197" t="n">
        <v>0.694892036210697</v>
      </c>
      <c r="CL234" s="197" t="n">
        <v>0.6638480741406519</v>
      </c>
      <c r="CM234" s="197" t="n">
        <v>0.648112590277624</v>
      </c>
      <c r="CN234" s="197" t="n">
        <v>0.61826451325094</v>
      </c>
      <c r="CO234" s="197" t="n">
        <v>0.601731460985058</v>
      </c>
      <c r="CP234" s="197" t="n">
        <v>0.573757411204078</v>
      </c>
      <c r="CQ234" s="197" t="n">
        <v>0.576699080114101</v>
      </c>
      <c r="CR234" s="197" t="n">
        <v>0.54900148324658</v>
      </c>
      <c r="CS234" s="197" t="n">
        <v>0.53356720495968</v>
      </c>
      <c r="CT234" s="197" t="n">
        <v>0.507515416369534</v>
      </c>
      <c r="CU234" s="197" t="n">
        <v>0.49082006401082</v>
      </c>
      <c r="CV234" s="197" t="n">
        <v>0.466983556290447</v>
      </c>
      <c r="CW234" s="197" t="n">
        <v>0.458689689657808</v>
      </c>
      <c r="CX234" s="197" t="n">
        <v>0.434395502878082</v>
      </c>
      <c r="CY234" s="197" t="n">
        <v>0.420503338949242</v>
      </c>
      <c r="CZ234" s="197" t="n">
        <v>0.408237172838966</v>
      </c>
      <c r="DA234" s="197" t="n">
        <v>0.397934052891131</v>
      </c>
      <c r="DB234" s="197" t="n">
        <v>0.386456938476562</v>
      </c>
      <c r="DC234" s="197" t="n">
        <v>0.377520289170983</v>
      </c>
      <c r="DD234" s="197" t="n">
        <v>0.363080292653093</v>
      </c>
      <c r="DE234" s="197" t="n">
        <v>0.350189712071614</v>
      </c>
      <c r="DF234" s="197" t="n">
        <v>0.334073895333794</v>
      </c>
      <c r="DG234" s="197" t="n">
        <v>0.258847206237802</v>
      </c>
      <c r="DH234" s="197" t="n">
        <v>0.237245866573366</v>
      </c>
      <c r="DI234" s="197" t="n">
        <v>0.234263929018491</v>
      </c>
      <c r="DJ234" s="197" t="n">
        <v>0.221641741772233</v>
      </c>
      <c r="DK234" s="197" t="n">
        <v>0.211562857173334</v>
      </c>
      <c r="DL234" s="197" t="n">
        <v>0.200358556503994</v>
      </c>
      <c r="DM234" s="197" t="n">
        <v>0.191917271056501</v>
      </c>
      <c r="DN234" s="197" t="n">
        <v>0.183968197901756</v>
      </c>
      <c r="DO234" s="197" t="n">
        <v>0.178085890941597</v>
      </c>
      <c r="DP234" s="197" t="n">
        <v>0.169724343453157</v>
      </c>
      <c r="DQ234" s="197" t="n">
        <v>0.165503542383875</v>
      </c>
      <c r="DR234" s="197" t="n">
        <v>0.15761419417694</v>
      </c>
      <c r="DS234" s="197" t="n">
        <v>0.154888855512166</v>
      </c>
      <c r="DT234" s="197" t="n">
        <v>0.149795982423101</v>
      </c>
      <c r="DU234" s="197" t="n">
        <v>0.148730746930853</v>
      </c>
      <c r="DV234" s="197" t="n">
        <v>0.144091310379619</v>
      </c>
      <c r="DW234" s="197" t="n">
        <v>0.143149771341463</v>
      </c>
      <c r="DX234" s="197" t="n">
        <v>0.139701757070359</v>
      </c>
      <c r="DY234" s="197" t="n">
        <v>0.138787330665025</v>
      </c>
      <c r="DZ234" s="197" t="n">
        <v>0.135136437215756</v>
      </c>
      <c r="EA234" s="197" t="n">
        <v>0.133500579435314</v>
      </c>
      <c r="EB234" s="197" t="n">
        <v>0.13034557681016</v>
      </c>
      <c r="EC234" s="197" t="n">
        <v>0.12391559476713</v>
      </c>
      <c r="ED234" s="197" t="n">
        <v>0.120374239709967</v>
      </c>
      <c r="EE234" s="197" t="n">
        <v>0.117340722695573</v>
      </c>
      <c r="EF234" s="197" t="n">
        <v>0.113889224978163</v>
      </c>
      <c r="EG234" s="197" t="n">
        <v>0.08540131994486901</v>
      </c>
      <c r="EH234" s="197" t="n">
        <v>0.08168154534746799</v>
      </c>
      <c r="EI234" s="197" t="n">
        <v>0.0778151164198819</v>
      </c>
      <c r="EJ234" s="197" t="n">
        <v>0.0745355165689453</v>
      </c>
      <c r="EK234" s="197" t="n">
        <v>0.0707074748257462</v>
      </c>
      <c r="EL234" s="182" t="n"/>
      <c r="EM234" s="176" t="n"/>
      <c r="EN234" s="176" t="n"/>
      <c r="EO234" s="176" t="n"/>
      <c r="EP234" s="176" t="n"/>
      <c r="EQ234" s="176" t="n"/>
      <c r="ER234" s="176" t="n"/>
      <c r="ES234" s="176" t="n"/>
      <c r="ET234" s="176" t="n"/>
      <c r="EU234" s="176" t="n"/>
      <c r="EV234" s="176" t="n"/>
      <c r="EW234" s="176" t="n"/>
      <c r="EX234" s="176" t="n"/>
      <c r="EY234" s="176" t="n"/>
      <c r="EZ234" s="176" t="n"/>
      <c r="FA234" s="176" t="n"/>
      <c r="FB234" s="176" t="n"/>
      <c r="FC234" s="176" t="n"/>
      <c r="FD234" s="176" t="n"/>
      <c r="FE234" s="176" t="n"/>
      <c r="FF234" s="176" t="n"/>
      <c r="FG234" s="176" t="n"/>
      <c r="FH234" s="176" t="n"/>
      <c r="FI234" s="176" t="n"/>
      <c r="FJ234" s="176" t="n"/>
    </row>
    <row r="235" ht="15" customHeight="1" s="392">
      <c r="A235" s="176" t="n"/>
      <c r="B235" s="180" t="n"/>
      <c r="C235" s="189" t="inlineStr">
        <is>
          <t>Data Origination</t>
        </is>
      </c>
      <c r="D235" s="185" t="n"/>
      <c r="E235" s="185" t="n"/>
      <c r="F235" s="185" t="n"/>
      <c r="G235" s="185" t="n"/>
      <c r="H235" s="185" t="n"/>
      <c r="I235" s="185" t="n"/>
      <c r="J235" s="185" t="n"/>
      <c r="K235" s="185" t="n"/>
      <c r="L235" s="185" t="n"/>
      <c r="M235" s="185" t="n"/>
      <c r="N235" s="185" t="n"/>
      <c r="O235" s="185" t="n"/>
      <c r="P235" s="185" t="n"/>
      <c r="Q235" s="185" t="n"/>
      <c r="R235" s="185" t="n"/>
      <c r="S235" s="185" t="n"/>
      <c r="T235" s="185" t="n"/>
      <c r="U235" s="185" t="n"/>
      <c r="V235" s="185" t="n"/>
      <c r="W235" s="185" t="n"/>
      <c r="X235" s="185" t="n"/>
      <c r="Y235" s="185" t="n"/>
      <c r="Z235" s="185" t="n"/>
      <c r="AA235" s="185" t="n"/>
      <c r="AB235" s="185" t="n"/>
      <c r="AC235" s="185" t="n"/>
      <c r="AD235" s="185" t="n"/>
      <c r="AE235" s="185" t="n"/>
      <c r="AF235" s="185" t="n"/>
      <c r="AG235" s="185" t="n"/>
      <c r="AH235" s="185" t="n"/>
      <c r="AI235" s="185" t="n"/>
      <c r="AJ235" s="185" t="n"/>
      <c r="AK235" s="185" t="n"/>
      <c r="AL235" s="185" t="n"/>
      <c r="AM235" s="185" t="n"/>
      <c r="AN235" s="185" t="n"/>
      <c r="AO235" s="185" t="n"/>
      <c r="AP235" s="185" t="n"/>
      <c r="AQ235" s="185" t="n"/>
      <c r="AR235" s="185" t="n"/>
      <c r="AS235" s="185" t="n"/>
      <c r="AT235" s="185" t="n"/>
      <c r="AU235" s="185" t="n"/>
      <c r="AV235" s="185" t="n"/>
      <c r="AW235" s="185" t="n"/>
      <c r="AX235" s="185" t="n"/>
      <c r="AY235" s="185" t="n"/>
      <c r="AZ235" s="185" t="n"/>
      <c r="BA235" s="185" t="n"/>
      <c r="BB235" s="185" t="n"/>
      <c r="BC235" s="185" t="n"/>
      <c r="BD235" s="185" t="n"/>
      <c r="BE235" s="185" t="n"/>
      <c r="BF235" s="185" t="n"/>
      <c r="BG235" s="185" t="n"/>
      <c r="BH235" s="185" t="n"/>
      <c r="BI235" s="185" t="n"/>
      <c r="BJ235" s="185" t="n"/>
      <c r="BK235" s="185" t="n"/>
      <c r="BL235" s="185" t="n"/>
      <c r="BM235" s="185" t="n"/>
      <c r="BN235" s="185" t="n"/>
      <c r="BO235" s="185" t="n"/>
      <c r="BP235" s="185" t="n"/>
      <c r="BQ235" s="185" t="n"/>
      <c r="BR235" s="185" t="n"/>
      <c r="BS235" s="185" t="n"/>
      <c r="BT235" s="185" t="n"/>
      <c r="BU235" s="185" t="n"/>
      <c r="BV235" s="185" t="n"/>
      <c r="BW235" s="185" t="n"/>
      <c r="BX235" s="185" t="n"/>
      <c r="BY235" s="185" t="n"/>
      <c r="BZ235" s="185" t="n"/>
      <c r="CA235" s="185" t="n"/>
      <c r="CB235" s="185" t="n"/>
      <c r="CC235" s="185" t="n"/>
      <c r="CD235" s="185" t="n"/>
      <c r="CE235" s="185" t="n"/>
      <c r="CF235" s="185" t="n"/>
      <c r="CG235" s="185" t="n"/>
      <c r="CH235" s="185" t="n"/>
      <c r="CI235" s="185" t="n"/>
      <c r="CJ235" s="185" t="n"/>
      <c r="CK235" s="185" t="n"/>
      <c r="CL235" s="185" t="n"/>
      <c r="CM235" s="185" t="n"/>
      <c r="CN235" s="185" t="n"/>
      <c r="CO235" s="185" t="n"/>
      <c r="CP235" s="185" t="n"/>
      <c r="CQ235" s="185" t="n"/>
      <c r="CR235" s="185" t="n"/>
      <c r="CS235" s="185" t="n"/>
      <c r="CT235" s="185" t="n"/>
      <c r="CU235" s="185" t="n"/>
      <c r="CV235" s="185" t="n"/>
      <c r="CW235" s="185" t="n"/>
      <c r="CX235" s="185" t="n"/>
      <c r="CY235" s="185" t="n"/>
      <c r="CZ235" s="185" t="n"/>
      <c r="DA235" s="185" t="n"/>
      <c r="DB235" s="185" t="n"/>
      <c r="DC235" s="185" t="n"/>
      <c r="DD235" s="185" t="n"/>
      <c r="DE235" s="185" t="n"/>
      <c r="DF235" s="185" t="n"/>
      <c r="DG235" s="185" t="n"/>
      <c r="DH235" s="185" t="n"/>
      <c r="DI235" s="185" t="n"/>
      <c r="DJ235" s="185" t="n"/>
      <c r="DK235" s="185" t="n"/>
      <c r="DL235" s="185" t="n"/>
      <c r="DM235" s="185" t="n"/>
      <c r="DN235" s="185" t="n"/>
      <c r="DO235" s="185" t="n"/>
      <c r="DP235" s="185" t="n"/>
      <c r="DQ235" s="185" t="n"/>
      <c r="DR235" s="185" t="n"/>
      <c r="DS235" s="185" t="n"/>
      <c r="DT235" s="185" t="n"/>
      <c r="DU235" s="185" t="n"/>
      <c r="DV235" s="185" t="n"/>
      <c r="DW235" s="185" t="n"/>
      <c r="DX235" s="185" t="n"/>
      <c r="DY235" s="185" t="n"/>
      <c r="DZ235" s="185" t="n"/>
      <c r="EA235" s="185" t="n"/>
      <c r="EB235" s="185" t="n"/>
      <c r="EC235" s="185" t="n"/>
      <c r="ED235" s="185" t="n"/>
      <c r="EE235" s="185" t="n"/>
      <c r="EF235" s="185" t="n"/>
      <c r="EG235" s="185" t="n"/>
      <c r="EH235" s="185" t="n"/>
      <c r="EI235" s="185" t="n"/>
      <c r="EJ235" s="185" t="n"/>
      <c r="EK235" s="185" t="n"/>
      <c r="EL235" s="182" t="n"/>
      <c r="EM235" s="176" t="n"/>
      <c r="EN235" s="176" t="n"/>
      <c r="EO235" s="176" t="n"/>
      <c r="EP235" s="176" t="n"/>
      <c r="EQ235" s="176" t="n"/>
      <c r="ER235" s="176" t="n"/>
      <c r="ES235" s="176" t="n"/>
      <c r="ET235" s="176" t="n"/>
      <c r="EU235" s="176" t="n"/>
      <c r="EV235" s="176" t="n"/>
      <c r="EW235" s="176" t="n"/>
      <c r="EX235" s="176" t="n"/>
      <c r="EY235" s="176" t="n"/>
      <c r="EZ235" s="176" t="n"/>
      <c r="FA235" s="176" t="n"/>
      <c r="FB235" s="176" t="n"/>
      <c r="FC235" s="176" t="n"/>
      <c r="FD235" s="176" t="n"/>
      <c r="FE235" s="176" t="n"/>
      <c r="FF235" s="176" t="n"/>
      <c r="FG235" s="176" t="n"/>
      <c r="FH235" s="176" t="n"/>
      <c r="FI235" s="176" t="n"/>
      <c r="FJ235" s="176" t="n"/>
    </row>
    <row r="236" ht="15" customHeight="1" s="392">
      <c r="A236" s="176" t="n"/>
      <c r="B236" s="180" t="n"/>
      <c r="C236" s="183" t="inlineStr">
        <is>
          <t xml:space="preserve">    Preliminary</t>
        </is>
      </c>
      <c r="D236" s="201">
        <f>IF(COUNT(M236:EK236)&gt;0,MEDIAN(M236:EK236),"")</f>
        <v/>
      </c>
      <c r="E236" s="201">
        <f>IF(COUNT(M236:EK236)&gt;0,AVERAGE(M236:EK236),"")</f>
        <v/>
      </c>
      <c r="F236" s="201">
        <f>IF(COUNT(M236:EK236)&gt;0,MIN(M236:EK236),"")</f>
        <v/>
      </c>
      <c r="G236" s="201">
        <f>IF(COUNT(M236:EK236)&gt;0,MAX(M236:EK236),"")</f>
        <v/>
      </c>
      <c r="H236" s="201">
        <f>IF(COUNT(M236:EK236)&gt;0,QUARTILE(M236:EK236,1),"")</f>
        <v/>
      </c>
      <c r="I236" s="201">
        <f>IF(COUNT(M236:EK236)&gt;0,QUARTILE(M236:EK236,3),"")</f>
        <v/>
      </c>
      <c r="J236" s="201">
        <f>IF(COUNT(M236:EK236)&gt;1,STDEV(M236:EK236),"")</f>
        <v/>
      </c>
      <c r="K236" s="191">
        <f>IF(COUNT(M236:EK236)&gt;1,STDEV(M236:EK236)/AVERAGE(M236:EK236),"")</f>
        <v/>
      </c>
      <c r="M236" s="202" t="inlineStr">
        <is>
          <t>Yes</t>
        </is>
      </c>
      <c r="N236" s="202" t="inlineStr">
        <is>
          <t>No</t>
        </is>
      </c>
      <c r="O236" s="202" t="inlineStr">
        <is>
          <t>No</t>
        </is>
      </c>
      <c r="P236" s="202" t="inlineStr">
        <is>
          <t>No</t>
        </is>
      </c>
      <c r="Q236" s="202" t="inlineStr">
        <is>
          <t>No</t>
        </is>
      </c>
      <c r="R236" s="202" t="inlineStr">
        <is>
          <t>No</t>
        </is>
      </c>
      <c r="S236" s="202" t="inlineStr">
        <is>
          <t>No</t>
        </is>
      </c>
      <c r="T236" s="202" t="inlineStr">
        <is>
          <t>No</t>
        </is>
      </c>
      <c r="U236" s="202" t="inlineStr">
        <is>
          <t>No</t>
        </is>
      </c>
      <c r="V236" s="202" t="inlineStr">
        <is>
          <t>No</t>
        </is>
      </c>
      <c r="W236" s="202" t="inlineStr">
        <is>
          <t>No</t>
        </is>
      </c>
      <c r="X236" s="202" t="inlineStr">
        <is>
          <t>No</t>
        </is>
      </c>
      <c r="Y236" s="202" t="inlineStr">
        <is>
          <t>No</t>
        </is>
      </c>
      <c r="Z236" s="202" t="inlineStr">
        <is>
          <t>No</t>
        </is>
      </c>
      <c r="AA236" s="202" t="inlineStr">
        <is>
          <t>No</t>
        </is>
      </c>
      <c r="AB236" s="202" t="inlineStr">
        <is>
          <t>No</t>
        </is>
      </c>
      <c r="AC236" s="202" t="inlineStr">
        <is>
          <t>No</t>
        </is>
      </c>
      <c r="AD236" s="202" t="inlineStr">
        <is>
          <t>No</t>
        </is>
      </c>
      <c r="AE236" s="202" t="inlineStr">
        <is>
          <t>No</t>
        </is>
      </c>
      <c r="AF236" s="202" t="inlineStr">
        <is>
          <t>No</t>
        </is>
      </c>
      <c r="AG236" s="202" t="inlineStr">
        <is>
          <t>No</t>
        </is>
      </c>
      <c r="AH236" s="202" t="inlineStr">
        <is>
          <t>No</t>
        </is>
      </c>
      <c r="AI236" s="202" t="inlineStr">
        <is>
          <t>No</t>
        </is>
      </c>
      <c r="AJ236" s="202" t="inlineStr">
        <is>
          <t>No</t>
        </is>
      </c>
      <c r="AK236" s="202" t="inlineStr">
        <is>
          <t>No</t>
        </is>
      </c>
      <c r="AL236" s="202" t="inlineStr">
        <is>
          <t>No</t>
        </is>
      </c>
      <c r="AM236" s="202" t="inlineStr">
        <is>
          <t>No</t>
        </is>
      </c>
      <c r="AN236" s="202" t="inlineStr">
        <is>
          <t>No</t>
        </is>
      </c>
      <c r="AO236" s="202" t="inlineStr">
        <is>
          <t>No</t>
        </is>
      </c>
      <c r="AP236" s="202" t="inlineStr">
        <is>
          <t>No</t>
        </is>
      </c>
      <c r="AQ236" s="202" t="inlineStr">
        <is>
          <t>No</t>
        </is>
      </c>
      <c r="AR236" s="202" t="inlineStr">
        <is>
          <t>No</t>
        </is>
      </c>
      <c r="AS236" s="202" t="inlineStr">
        <is>
          <t>No</t>
        </is>
      </c>
      <c r="AT236" s="202" t="inlineStr">
        <is>
          <t>No</t>
        </is>
      </c>
      <c r="AU236" s="202" t="inlineStr">
        <is>
          <t>No</t>
        </is>
      </c>
      <c r="AV236" s="202" t="inlineStr">
        <is>
          <t>No</t>
        </is>
      </c>
      <c r="AW236" s="202" t="inlineStr">
        <is>
          <t>No</t>
        </is>
      </c>
      <c r="AX236" s="202" t="inlineStr">
        <is>
          <t>No</t>
        </is>
      </c>
      <c r="AY236" s="202" t="inlineStr">
        <is>
          <t>No</t>
        </is>
      </c>
      <c r="AZ236" s="202" t="inlineStr">
        <is>
          <t>No</t>
        </is>
      </c>
      <c r="BA236" s="202" t="inlineStr">
        <is>
          <t>No</t>
        </is>
      </c>
      <c r="BB236" s="202" t="inlineStr">
        <is>
          <t>No</t>
        </is>
      </c>
      <c r="BC236" s="202" t="inlineStr">
        <is>
          <t>No</t>
        </is>
      </c>
      <c r="BD236" s="202" t="inlineStr">
        <is>
          <t>No</t>
        </is>
      </c>
      <c r="BE236" s="202" t="inlineStr">
        <is>
          <t>No</t>
        </is>
      </c>
      <c r="BF236" s="202" t="inlineStr">
        <is>
          <t>No</t>
        </is>
      </c>
      <c r="BG236" s="202" t="inlineStr">
        <is>
          <t>No</t>
        </is>
      </c>
      <c r="BH236" s="202" t="inlineStr">
        <is>
          <t>No</t>
        </is>
      </c>
      <c r="BI236" s="202" t="inlineStr">
        <is>
          <t>No</t>
        </is>
      </c>
      <c r="BJ236" s="202" t="inlineStr">
        <is>
          <t>No</t>
        </is>
      </c>
      <c r="BK236" s="202" t="inlineStr">
        <is>
          <t>No</t>
        </is>
      </c>
      <c r="BL236" s="202" t="inlineStr">
        <is>
          <t>No</t>
        </is>
      </c>
      <c r="BM236" s="202" t="inlineStr">
        <is>
          <t>No</t>
        </is>
      </c>
      <c r="BN236" s="202" t="inlineStr">
        <is>
          <t>No</t>
        </is>
      </c>
      <c r="BO236" s="202" t="inlineStr">
        <is>
          <t>No</t>
        </is>
      </c>
      <c r="BP236" s="202" t="inlineStr">
        <is>
          <t>No</t>
        </is>
      </c>
      <c r="BQ236" s="202" t="inlineStr">
        <is>
          <t>No</t>
        </is>
      </c>
      <c r="BR236" s="202" t="inlineStr">
        <is>
          <t>No</t>
        </is>
      </c>
      <c r="BS236" s="202" t="inlineStr">
        <is>
          <t>No</t>
        </is>
      </c>
      <c r="BT236" s="202" t="inlineStr">
        <is>
          <t>No</t>
        </is>
      </c>
      <c r="BU236" s="202" t="inlineStr">
        <is>
          <t>No</t>
        </is>
      </c>
      <c r="BV236" s="202" t="inlineStr">
        <is>
          <t>No</t>
        </is>
      </c>
      <c r="BW236" s="202" t="inlineStr">
        <is>
          <t>No</t>
        </is>
      </c>
      <c r="BX236" s="202" t="inlineStr">
        <is>
          <t>No</t>
        </is>
      </c>
      <c r="BY236" s="202" t="inlineStr">
        <is>
          <t>No</t>
        </is>
      </c>
      <c r="BZ236" s="202" t="inlineStr">
        <is>
          <t>No</t>
        </is>
      </c>
      <c r="CA236" s="202" t="inlineStr">
        <is>
          <t>No</t>
        </is>
      </c>
      <c r="CB236" s="202" t="inlineStr">
        <is>
          <t>No</t>
        </is>
      </c>
      <c r="CC236" s="202" t="inlineStr">
        <is>
          <t>No</t>
        </is>
      </c>
      <c r="CD236" s="202" t="inlineStr">
        <is>
          <t>No</t>
        </is>
      </c>
      <c r="CE236" s="202" t="inlineStr">
        <is>
          <t>No</t>
        </is>
      </c>
      <c r="CF236" s="202" t="inlineStr">
        <is>
          <t>No</t>
        </is>
      </c>
      <c r="CG236" s="202" t="inlineStr">
        <is>
          <t>No</t>
        </is>
      </c>
      <c r="CH236" s="202" t="inlineStr">
        <is>
          <t>No</t>
        </is>
      </c>
      <c r="CI236" s="202" t="inlineStr">
        <is>
          <t>No</t>
        </is>
      </c>
      <c r="CJ236" s="202" t="inlineStr">
        <is>
          <t>No</t>
        </is>
      </c>
      <c r="CK236" s="202" t="inlineStr">
        <is>
          <t>No</t>
        </is>
      </c>
      <c r="CL236" s="202" t="inlineStr">
        <is>
          <t>No</t>
        </is>
      </c>
      <c r="CM236" s="202" t="inlineStr">
        <is>
          <t>No</t>
        </is>
      </c>
      <c r="CN236" s="202" t="inlineStr">
        <is>
          <t>No</t>
        </is>
      </c>
      <c r="CO236" s="202" t="inlineStr">
        <is>
          <t>No</t>
        </is>
      </c>
      <c r="CP236" s="202" t="inlineStr">
        <is>
          <t>No</t>
        </is>
      </c>
      <c r="CQ236" s="202" t="inlineStr">
        <is>
          <t>No</t>
        </is>
      </c>
      <c r="CR236" s="202" t="inlineStr">
        <is>
          <t>No</t>
        </is>
      </c>
      <c r="CS236" s="202" t="inlineStr">
        <is>
          <t>No</t>
        </is>
      </c>
      <c r="CT236" s="202" t="inlineStr">
        <is>
          <t>No</t>
        </is>
      </c>
      <c r="CU236" s="202" t="inlineStr">
        <is>
          <t>No</t>
        </is>
      </c>
      <c r="CV236" s="202" t="inlineStr">
        <is>
          <t>No</t>
        </is>
      </c>
      <c r="CW236" s="202" t="inlineStr">
        <is>
          <t>No</t>
        </is>
      </c>
      <c r="CX236" s="202" t="inlineStr">
        <is>
          <t>No</t>
        </is>
      </c>
      <c r="CY236" s="202" t="inlineStr">
        <is>
          <t>No</t>
        </is>
      </c>
      <c r="CZ236" s="202" t="inlineStr">
        <is>
          <t>No</t>
        </is>
      </c>
      <c r="DA236" s="202" t="inlineStr">
        <is>
          <t>No</t>
        </is>
      </c>
      <c r="DB236" s="202" t="inlineStr">
        <is>
          <t>No</t>
        </is>
      </c>
      <c r="DC236" s="202" t="inlineStr">
        <is>
          <t>No</t>
        </is>
      </c>
      <c r="DD236" s="202" t="inlineStr">
        <is>
          <t>No</t>
        </is>
      </c>
      <c r="DE236" s="202" t="inlineStr">
        <is>
          <t>No</t>
        </is>
      </c>
      <c r="DF236" s="202" t="inlineStr">
        <is>
          <t>No</t>
        </is>
      </c>
      <c r="DG236" s="202" t="inlineStr">
        <is>
          <t>No</t>
        </is>
      </c>
      <c r="DH236" s="202" t="inlineStr">
        <is>
          <t>No</t>
        </is>
      </c>
      <c r="DI236" s="202" t="inlineStr">
        <is>
          <t>No</t>
        </is>
      </c>
      <c r="DJ236" s="202" t="inlineStr">
        <is>
          <t>No</t>
        </is>
      </c>
      <c r="DK236" s="202" t="inlineStr">
        <is>
          <t>No</t>
        </is>
      </c>
      <c r="DL236" s="202" t="inlineStr">
        <is>
          <t>No</t>
        </is>
      </c>
      <c r="DM236" s="202" t="inlineStr">
        <is>
          <t>No</t>
        </is>
      </c>
      <c r="DN236" s="202" t="inlineStr">
        <is>
          <t>No</t>
        </is>
      </c>
      <c r="DO236" s="202" t="inlineStr">
        <is>
          <t>No</t>
        </is>
      </c>
      <c r="DP236" s="202" t="inlineStr">
        <is>
          <t>No</t>
        </is>
      </c>
      <c r="DQ236" s="202" t="inlineStr">
        <is>
          <t>No</t>
        </is>
      </c>
      <c r="DR236" s="202" t="inlineStr">
        <is>
          <t>No</t>
        </is>
      </c>
      <c r="DS236" s="202" t="inlineStr">
        <is>
          <t>No</t>
        </is>
      </c>
      <c r="DT236" s="202" t="inlineStr">
        <is>
          <t>No</t>
        </is>
      </c>
      <c r="DU236" s="202" t="inlineStr">
        <is>
          <t>No</t>
        </is>
      </c>
      <c r="DV236" s="202" t="inlineStr">
        <is>
          <t>No</t>
        </is>
      </c>
      <c r="DW236" s="202" t="inlineStr">
        <is>
          <t>No</t>
        </is>
      </c>
      <c r="DX236" s="202" t="inlineStr">
        <is>
          <t>No</t>
        </is>
      </c>
      <c r="DY236" s="202" t="inlineStr">
        <is>
          <t>No</t>
        </is>
      </c>
      <c r="DZ236" s="202" t="inlineStr">
        <is>
          <t>No</t>
        </is>
      </c>
      <c r="EA236" s="202" t="inlineStr">
        <is>
          <t>No</t>
        </is>
      </c>
      <c r="EB236" s="202" t="inlineStr">
        <is>
          <t>No</t>
        </is>
      </c>
      <c r="EC236" s="202" t="inlineStr">
        <is>
          <t>No</t>
        </is>
      </c>
      <c r="ED236" s="202" t="inlineStr">
        <is>
          <t>No</t>
        </is>
      </c>
      <c r="EE236" s="202" t="inlineStr">
        <is>
          <t>No</t>
        </is>
      </c>
      <c r="EF236" s="202" t="inlineStr">
        <is>
          <t>No</t>
        </is>
      </c>
      <c r="EG236" s="202" t="inlineStr">
        <is>
          <t>No</t>
        </is>
      </c>
      <c r="EH236" s="202" t="inlineStr">
        <is>
          <t>No</t>
        </is>
      </c>
      <c r="EI236" s="202" t="inlineStr">
        <is>
          <t>No</t>
        </is>
      </c>
      <c r="EJ236" s="202" t="inlineStr">
        <is>
          <t>No</t>
        </is>
      </c>
      <c r="EK236" s="202" t="inlineStr">
        <is>
          <t>No</t>
        </is>
      </c>
      <c r="EL236" s="182" t="n"/>
      <c r="EM236" s="176" t="n"/>
      <c r="EN236" s="176" t="n"/>
      <c r="EO236" s="176" t="n"/>
      <c r="EP236" s="176" t="n"/>
      <c r="EQ236" s="176" t="n"/>
      <c r="ER236" s="176" t="n"/>
      <c r="ES236" s="176" t="n"/>
      <c r="ET236" s="176" t="n"/>
      <c r="EU236" s="176" t="n"/>
      <c r="EV236" s="176" t="n"/>
      <c r="EW236" s="176" t="n"/>
      <c r="EX236" s="176" t="n"/>
      <c r="EY236" s="176" t="n"/>
      <c r="EZ236" s="176" t="n"/>
      <c r="FA236" s="176" t="n"/>
      <c r="FB236" s="176" t="n"/>
      <c r="FC236" s="176" t="n"/>
      <c r="FD236" s="176" t="n"/>
      <c r="FE236" s="176" t="n"/>
      <c r="FF236" s="176" t="n"/>
      <c r="FG236" s="176" t="n"/>
      <c r="FH236" s="176" t="n"/>
      <c r="FI236" s="176" t="n"/>
      <c r="FJ236" s="176" t="n"/>
    </row>
    <row r="237" ht="15" customHeight="1" s="392">
      <c r="A237" s="176" t="n"/>
      <c r="B237" s="180" t="n"/>
      <c r="C237" s="183" t="inlineStr">
        <is>
          <t xml:space="preserve">    Original</t>
        </is>
      </c>
      <c r="D237" s="201">
        <f>IF(COUNT(M237:EK237)&gt;0,MEDIAN(M237:EK237),"")</f>
        <v/>
      </c>
      <c r="E237" s="201">
        <f>IF(COUNT(M237:EK237)&gt;0,AVERAGE(M237:EK237),"")</f>
        <v/>
      </c>
      <c r="F237" s="201">
        <f>IF(COUNT(M237:EK237)&gt;0,MIN(M237:EK237),"")</f>
        <v/>
      </c>
      <c r="G237" s="201">
        <f>IF(COUNT(M237:EK237)&gt;0,MAX(M237:EK237),"")</f>
        <v/>
      </c>
      <c r="H237" s="201">
        <f>IF(COUNT(M237:EK237)&gt;0,QUARTILE(M237:EK237,1),"")</f>
        <v/>
      </c>
      <c r="I237" s="201">
        <f>IF(COUNT(M237:EK237)&gt;0,QUARTILE(M237:EK237,3),"")</f>
        <v/>
      </c>
      <c r="J237" s="201">
        <f>IF(COUNT(M237:EK237)&gt;1,STDEV(M237:EK237),"")</f>
        <v/>
      </c>
      <c r="K237" s="191">
        <f>IF(COUNT(M237:EK237)&gt;1,STDEV(M237:EK237)/AVERAGE(M237:EK237),"")</f>
        <v/>
      </c>
      <c r="M237" s="202" t="inlineStr">
        <is>
          <t>No</t>
        </is>
      </c>
      <c r="N237" s="202" t="inlineStr">
        <is>
          <t>No</t>
        </is>
      </c>
      <c r="O237" s="202" t="inlineStr">
        <is>
          <t>No</t>
        </is>
      </c>
      <c r="P237" s="202" t="inlineStr">
        <is>
          <t>No</t>
        </is>
      </c>
      <c r="Q237" s="202" t="inlineStr">
        <is>
          <t>No</t>
        </is>
      </c>
      <c r="R237" s="202" t="inlineStr">
        <is>
          <t>No</t>
        </is>
      </c>
      <c r="S237" s="202" t="inlineStr">
        <is>
          <t>No</t>
        </is>
      </c>
      <c r="T237" s="202" t="inlineStr">
        <is>
          <t>No</t>
        </is>
      </c>
      <c r="U237" s="202" t="inlineStr">
        <is>
          <t>No</t>
        </is>
      </c>
      <c r="V237" s="202" t="inlineStr">
        <is>
          <t>No</t>
        </is>
      </c>
      <c r="W237" s="202" t="inlineStr">
        <is>
          <t>No</t>
        </is>
      </c>
      <c r="X237" s="202" t="inlineStr">
        <is>
          <t>No</t>
        </is>
      </c>
      <c r="Y237" s="202" t="inlineStr">
        <is>
          <t>No</t>
        </is>
      </c>
      <c r="Z237" s="202" t="inlineStr">
        <is>
          <t>No</t>
        </is>
      </c>
      <c r="AA237" s="202" t="inlineStr">
        <is>
          <t>No</t>
        </is>
      </c>
      <c r="AB237" s="202" t="inlineStr">
        <is>
          <t>No</t>
        </is>
      </c>
      <c r="AC237" s="202" t="inlineStr">
        <is>
          <t>No</t>
        </is>
      </c>
      <c r="AD237" s="202" t="inlineStr">
        <is>
          <t>No</t>
        </is>
      </c>
      <c r="AE237" s="202" t="inlineStr">
        <is>
          <t>No</t>
        </is>
      </c>
      <c r="AF237" s="202" t="inlineStr">
        <is>
          <t>No</t>
        </is>
      </c>
      <c r="AG237" s="202" t="inlineStr">
        <is>
          <t>No</t>
        </is>
      </c>
      <c r="AH237" s="202" t="inlineStr">
        <is>
          <t>No</t>
        </is>
      </c>
      <c r="AI237" s="202" t="inlineStr">
        <is>
          <t>No</t>
        </is>
      </c>
      <c r="AJ237" s="202" t="inlineStr">
        <is>
          <t>No</t>
        </is>
      </c>
      <c r="AK237" s="202" t="inlineStr">
        <is>
          <t>No</t>
        </is>
      </c>
      <c r="AL237" s="202" t="inlineStr">
        <is>
          <t>No</t>
        </is>
      </c>
      <c r="AM237" s="202" t="inlineStr">
        <is>
          <t>No</t>
        </is>
      </c>
      <c r="AN237" s="202" t="inlineStr">
        <is>
          <t>No</t>
        </is>
      </c>
      <c r="AO237" s="202" t="inlineStr">
        <is>
          <t>No</t>
        </is>
      </c>
      <c r="AP237" s="202" t="inlineStr">
        <is>
          <t>No</t>
        </is>
      </c>
      <c r="AQ237" s="202" t="inlineStr">
        <is>
          <t>No</t>
        </is>
      </c>
      <c r="AR237" s="202" t="inlineStr">
        <is>
          <t>No</t>
        </is>
      </c>
      <c r="AS237" s="202" t="inlineStr">
        <is>
          <t>No</t>
        </is>
      </c>
      <c r="AT237" s="202" t="inlineStr">
        <is>
          <t>No</t>
        </is>
      </c>
      <c r="AU237" s="202" t="inlineStr">
        <is>
          <t>No</t>
        </is>
      </c>
      <c r="AV237" s="202" t="inlineStr">
        <is>
          <t>No</t>
        </is>
      </c>
      <c r="AW237" s="202" t="inlineStr">
        <is>
          <t>No</t>
        </is>
      </c>
      <c r="AX237" s="202" t="inlineStr">
        <is>
          <t>No</t>
        </is>
      </c>
      <c r="AY237" s="202" t="inlineStr">
        <is>
          <t>No</t>
        </is>
      </c>
      <c r="AZ237" s="202" t="inlineStr">
        <is>
          <t>No</t>
        </is>
      </c>
      <c r="BA237" s="202" t="inlineStr">
        <is>
          <t>No</t>
        </is>
      </c>
      <c r="BB237" s="202" t="inlineStr">
        <is>
          <t>No</t>
        </is>
      </c>
      <c r="BC237" s="202" t="inlineStr">
        <is>
          <t>No</t>
        </is>
      </c>
      <c r="BD237" s="202" t="inlineStr">
        <is>
          <t>No</t>
        </is>
      </c>
      <c r="BE237" s="202" t="inlineStr">
        <is>
          <t>No</t>
        </is>
      </c>
      <c r="BF237" s="202" t="inlineStr">
        <is>
          <t>No</t>
        </is>
      </c>
      <c r="BG237" s="202" t="inlineStr">
        <is>
          <t>No</t>
        </is>
      </c>
      <c r="BH237" s="202" t="inlineStr">
        <is>
          <t>No</t>
        </is>
      </c>
      <c r="BI237" s="202" t="inlineStr">
        <is>
          <t>No</t>
        </is>
      </c>
      <c r="BJ237" s="202" t="inlineStr">
        <is>
          <t>No</t>
        </is>
      </c>
      <c r="BK237" s="202" t="inlineStr">
        <is>
          <t>No</t>
        </is>
      </c>
      <c r="BL237" s="202" t="inlineStr">
        <is>
          <t>No</t>
        </is>
      </c>
      <c r="BM237" s="202" t="inlineStr">
        <is>
          <t>No</t>
        </is>
      </c>
      <c r="BN237" s="202" t="inlineStr">
        <is>
          <t>No</t>
        </is>
      </c>
      <c r="BO237" s="202" t="inlineStr">
        <is>
          <t>No</t>
        </is>
      </c>
      <c r="BP237" s="202" t="inlineStr">
        <is>
          <t>No</t>
        </is>
      </c>
      <c r="BQ237" s="202" t="inlineStr">
        <is>
          <t>No</t>
        </is>
      </c>
      <c r="BR237" s="202" t="inlineStr">
        <is>
          <t>No</t>
        </is>
      </c>
      <c r="BS237" s="202" t="inlineStr">
        <is>
          <t>No</t>
        </is>
      </c>
      <c r="BT237" s="202" t="inlineStr">
        <is>
          <t>No</t>
        </is>
      </c>
      <c r="BU237" s="202" t="inlineStr">
        <is>
          <t>No</t>
        </is>
      </c>
      <c r="BV237" s="202" t="inlineStr">
        <is>
          <t>No</t>
        </is>
      </c>
      <c r="BW237" s="202" t="inlineStr">
        <is>
          <t>No</t>
        </is>
      </c>
      <c r="BX237" s="202" t="inlineStr">
        <is>
          <t>No</t>
        </is>
      </c>
      <c r="BY237" s="202" t="inlineStr">
        <is>
          <t>No</t>
        </is>
      </c>
      <c r="BZ237" s="202" t="inlineStr">
        <is>
          <t>No</t>
        </is>
      </c>
      <c r="CA237" s="202" t="inlineStr">
        <is>
          <t>No</t>
        </is>
      </c>
      <c r="CB237" s="202" t="inlineStr">
        <is>
          <t>No</t>
        </is>
      </c>
      <c r="CC237" s="202" t="inlineStr">
        <is>
          <t>No</t>
        </is>
      </c>
      <c r="CD237" s="202" t="inlineStr">
        <is>
          <t>No</t>
        </is>
      </c>
      <c r="CE237" s="202" t="inlineStr">
        <is>
          <t>No</t>
        </is>
      </c>
      <c r="CF237" s="202" t="inlineStr">
        <is>
          <t>No</t>
        </is>
      </c>
      <c r="CG237" s="202" t="inlineStr">
        <is>
          <t>No</t>
        </is>
      </c>
      <c r="CH237" s="202" t="inlineStr">
        <is>
          <t>No</t>
        </is>
      </c>
      <c r="CI237" s="202" t="inlineStr">
        <is>
          <t>No</t>
        </is>
      </c>
      <c r="CJ237" s="202" t="inlineStr">
        <is>
          <t>No</t>
        </is>
      </c>
      <c r="CK237" s="202" t="inlineStr">
        <is>
          <t>No</t>
        </is>
      </c>
      <c r="CL237" s="202" t="inlineStr">
        <is>
          <t>No</t>
        </is>
      </c>
      <c r="CM237" s="202" t="inlineStr">
        <is>
          <t>No</t>
        </is>
      </c>
      <c r="CN237" s="202" t="inlineStr">
        <is>
          <t>No</t>
        </is>
      </c>
      <c r="CO237" s="202" t="inlineStr">
        <is>
          <t>No</t>
        </is>
      </c>
      <c r="CP237" s="202" t="inlineStr">
        <is>
          <t>No</t>
        </is>
      </c>
      <c r="CQ237" s="202" t="inlineStr">
        <is>
          <t>No</t>
        </is>
      </c>
      <c r="CR237" s="202" t="inlineStr">
        <is>
          <t>No</t>
        </is>
      </c>
      <c r="CS237" s="202" t="inlineStr">
        <is>
          <t>No</t>
        </is>
      </c>
      <c r="CT237" s="202" t="inlineStr">
        <is>
          <t>No</t>
        </is>
      </c>
      <c r="CU237" s="202" t="inlineStr">
        <is>
          <t>No</t>
        </is>
      </c>
      <c r="CV237" s="202" t="inlineStr">
        <is>
          <t>No</t>
        </is>
      </c>
      <c r="CW237" s="202" t="inlineStr">
        <is>
          <t>No</t>
        </is>
      </c>
      <c r="CX237" s="202" t="inlineStr">
        <is>
          <t>No</t>
        </is>
      </c>
      <c r="CY237" s="202" t="inlineStr">
        <is>
          <t>No</t>
        </is>
      </c>
      <c r="CZ237" s="202" t="inlineStr">
        <is>
          <t>No</t>
        </is>
      </c>
      <c r="DA237" s="202" t="inlineStr">
        <is>
          <t>No</t>
        </is>
      </c>
      <c r="DB237" s="202" t="inlineStr">
        <is>
          <t>No</t>
        </is>
      </c>
      <c r="DC237" s="202" t="inlineStr">
        <is>
          <t>No</t>
        </is>
      </c>
      <c r="DD237" s="202" t="inlineStr">
        <is>
          <t>No</t>
        </is>
      </c>
      <c r="DE237" s="202" t="inlineStr">
        <is>
          <t>No</t>
        </is>
      </c>
      <c r="DF237" s="202" t="inlineStr">
        <is>
          <t>No</t>
        </is>
      </c>
      <c r="DG237" s="202" t="inlineStr">
        <is>
          <t>No</t>
        </is>
      </c>
      <c r="DH237" s="202" t="inlineStr">
        <is>
          <t>No</t>
        </is>
      </c>
      <c r="DI237" s="202" t="inlineStr">
        <is>
          <t>No</t>
        </is>
      </c>
      <c r="DJ237" s="202" t="inlineStr">
        <is>
          <t>No</t>
        </is>
      </c>
      <c r="DK237" s="202" t="inlineStr">
        <is>
          <t>No</t>
        </is>
      </c>
      <c r="DL237" s="202" t="inlineStr">
        <is>
          <t>No</t>
        </is>
      </c>
      <c r="DM237" s="202" t="inlineStr">
        <is>
          <t>No</t>
        </is>
      </c>
      <c r="DN237" s="202" t="inlineStr">
        <is>
          <t>No</t>
        </is>
      </c>
      <c r="DO237" s="202" t="inlineStr">
        <is>
          <t>No</t>
        </is>
      </c>
      <c r="DP237" s="202" t="inlineStr">
        <is>
          <t>No</t>
        </is>
      </c>
      <c r="DQ237" s="202" t="inlineStr">
        <is>
          <t>No</t>
        </is>
      </c>
      <c r="DR237" s="202" t="inlineStr">
        <is>
          <t>No</t>
        </is>
      </c>
      <c r="DS237" s="202" t="inlineStr">
        <is>
          <t>No</t>
        </is>
      </c>
      <c r="DT237" s="202" t="inlineStr">
        <is>
          <t>No</t>
        </is>
      </c>
      <c r="DU237" s="202" t="inlineStr">
        <is>
          <t>No</t>
        </is>
      </c>
      <c r="DV237" s="202" t="inlineStr">
        <is>
          <t>No</t>
        </is>
      </c>
      <c r="DW237" s="202" t="inlineStr">
        <is>
          <t>No</t>
        </is>
      </c>
      <c r="DX237" s="202" t="inlineStr">
        <is>
          <t>No</t>
        </is>
      </c>
      <c r="DY237" s="202" t="inlineStr">
        <is>
          <t>No</t>
        </is>
      </c>
      <c r="DZ237" s="202" t="inlineStr">
        <is>
          <t>No</t>
        </is>
      </c>
      <c r="EA237" s="202" t="inlineStr">
        <is>
          <t>No</t>
        </is>
      </c>
      <c r="EB237" s="202" t="inlineStr">
        <is>
          <t>No</t>
        </is>
      </c>
      <c r="EC237" s="202" t="inlineStr">
        <is>
          <t>No</t>
        </is>
      </c>
      <c r="ED237" s="202" t="inlineStr">
        <is>
          <t>No</t>
        </is>
      </c>
      <c r="EE237" s="202" t="inlineStr">
        <is>
          <t>No</t>
        </is>
      </c>
      <c r="EF237" s="202" t="inlineStr">
        <is>
          <t>No</t>
        </is>
      </c>
      <c r="EG237" s="202" t="inlineStr">
        <is>
          <t>No</t>
        </is>
      </c>
      <c r="EH237" s="202" t="inlineStr">
        <is>
          <t>No</t>
        </is>
      </c>
      <c r="EI237" s="202" t="inlineStr">
        <is>
          <t>No</t>
        </is>
      </c>
      <c r="EJ237" s="202" t="inlineStr">
        <is>
          <t>No</t>
        </is>
      </c>
      <c r="EK237" s="202" t="inlineStr">
        <is>
          <t>No</t>
        </is>
      </c>
      <c r="EL237" s="182" t="n"/>
      <c r="EM237" s="176" t="n"/>
      <c r="EN237" s="176" t="n"/>
      <c r="EO237" s="176" t="n"/>
      <c r="EP237" s="176" t="n"/>
      <c r="EQ237" s="176" t="n"/>
      <c r="ER237" s="176" t="n"/>
      <c r="ES237" s="176" t="n"/>
      <c r="ET237" s="176" t="n"/>
      <c r="EU237" s="176" t="n"/>
      <c r="EV237" s="176" t="n"/>
      <c r="EW237" s="176" t="n"/>
      <c r="EX237" s="176" t="n"/>
      <c r="EY237" s="176" t="n"/>
      <c r="EZ237" s="176" t="n"/>
      <c r="FA237" s="176" t="n"/>
      <c r="FB237" s="176" t="n"/>
      <c r="FC237" s="176" t="n"/>
      <c r="FD237" s="176" t="n"/>
      <c r="FE237" s="176" t="n"/>
      <c r="FF237" s="176" t="n"/>
      <c r="FG237" s="176" t="n"/>
      <c r="FH237" s="176" t="n"/>
      <c r="FI237" s="176" t="n"/>
      <c r="FJ237" s="176" t="n"/>
    </row>
    <row r="238" ht="15" customHeight="1" s="392">
      <c r="A238" s="176" t="n"/>
      <c r="B238" s="180" t="n"/>
      <c r="C238" s="183" t="inlineStr">
        <is>
          <t xml:space="preserve">    Restated</t>
        </is>
      </c>
      <c r="D238" s="201">
        <f>IF(COUNT(M238:EK238)&gt;0,MEDIAN(M238:EK238),"")</f>
        <v/>
      </c>
      <c r="E238" s="201">
        <f>IF(COUNT(M238:EK238)&gt;0,AVERAGE(M238:EK238),"")</f>
        <v/>
      </c>
      <c r="F238" s="201">
        <f>IF(COUNT(M238:EK238)&gt;0,MIN(M238:EK238),"")</f>
        <v/>
      </c>
      <c r="G238" s="201">
        <f>IF(COUNT(M238:EK238)&gt;0,MAX(M238:EK238),"")</f>
        <v/>
      </c>
      <c r="H238" s="201">
        <f>IF(COUNT(M238:EK238)&gt;0,QUARTILE(M238:EK238,1),"")</f>
        <v/>
      </c>
      <c r="I238" s="201">
        <f>IF(COUNT(M238:EK238)&gt;0,QUARTILE(M238:EK238,3),"")</f>
        <v/>
      </c>
      <c r="J238" s="201">
        <f>IF(COUNT(M238:EK238)&gt;1,STDEV(M238:EK238),"")</f>
        <v/>
      </c>
      <c r="K238" s="191">
        <f>IF(COUNT(M238:EK238)&gt;1,STDEV(M238:EK238)/AVERAGE(M238:EK238),"")</f>
        <v/>
      </c>
      <c r="M238" s="202" t="inlineStr">
        <is>
          <t>Yes</t>
        </is>
      </c>
      <c r="N238" s="202" t="inlineStr">
        <is>
          <t>Yes</t>
        </is>
      </c>
      <c r="O238" s="202" t="inlineStr">
        <is>
          <t>Yes</t>
        </is>
      </c>
      <c r="P238" s="202" t="inlineStr">
        <is>
          <t>Yes</t>
        </is>
      </c>
      <c r="Q238" s="202" t="inlineStr">
        <is>
          <t>Yes</t>
        </is>
      </c>
      <c r="R238" s="202" t="inlineStr">
        <is>
          <t>Yes</t>
        </is>
      </c>
      <c r="S238" s="202" t="inlineStr">
        <is>
          <t>Yes</t>
        </is>
      </c>
      <c r="T238" s="202" t="inlineStr">
        <is>
          <t>Yes</t>
        </is>
      </c>
      <c r="U238" s="202" t="inlineStr">
        <is>
          <t>Yes</t>
        </is>
      </c>
      <c r="V238" s="202" t="inlineStr">
        <is>
          <t>Yes</t>
        </is>
      </c>
      <c r="W238" s="202" t="inlineStr">
        <is>
          <t>Yes</t>
        </is>
      </c>
      <c r="X238" s="202" t="inlineStr">
        <is>
          <t>Yes</t>
        </is>
      </c>
      <c r="Y238" s="202" t="inlineStr">
        <is>
          <t>Yes</t>
        </is>
      </c>
      <c r="Z238" s="202" t="inlineStr">
        <is>
          <t>Yes</t>
        </is>
      </c>
      <c r="AA238" s="202" t="inlineStr">
        <is>
          <t>Yes</t>
        </is>
      </c>
      <c r="AB238" s="202" t="inlineStr">
        <is>
          <t>Yes</t>
        </is>
      </c>
      <c r="AC238" s="202" t="inlineStr">
        <is>
          <t>Yes</t>
        </is>
      </c>
      <c r="AD238" s="202" t="inlineStr">
        <is>
          <t>Yes</t>
        </is>
      </c>
      <c r="AE238" s="202" t="inlineStr">
        <is>
          <t>Yes</t>
        </is>
      </c>
      <c r="AF238" s="202" t="inlineStr">
        <is>
          <t>Yes</t>
        </is>
      </c>
      <c r="AG238" s="202" t="inlineStr">
        <is>
          <t>Yes</t>
        </is>
      </c>
      <c r="AH238" s="202" t="inlineStr">
        <is>
          <t>Yes</t>
        </is>
      </c>
      <c r="AI238" s="202" t="inlineStr">
        <is>
          <t>Yes</t>
        </is>
      </c>
      <c r="AJ238" s="202" t="inlineStr">
        <is>
          <t>Yes</t>
        </is>
      </c>
      <c r="AK238" s="202" t="inlineStr">
        <is>
          <t>Yes</t>
        </is>
      </c>
      <c r="AL238" s="202" t="inlineStr">
        <is>
          <t>Yes</t>
        </is>
      </c>
      <c r="AM238" s="202" t="inlineStr">
        <is>
          <t>Yes</t>
        </is>
      </c>
      <c r="AN238" s="202" t="inlineStr">
        <is>
          <t>Yes</t>
        </is>
      </c>
      <c r="AO238" s="202" t="inlineStr">
        <is>
          <t>Yes</t>
        </is>
      </c>
      <c r="AP238" s="202" t="inlineStr">
        <is>
          <t>Yes</t>
        </is>
      </c>
      <c r="AQ238" s="202" t="inlineStr">
        <is>
          <t>Yes</t>
        </is>
      </c>
      <c r="AR238" s="202" t="inlineStr">
        <is>
          <t>Yes</t>
        </is>
      </c>
      <c r="AS238" s="202" t="inlineStr">
        <is>
          <t>Yes</t>
        </is>
      </c>
      <c r="AT238" s="202" t="inlineStr">
        <is>
          <t>Yes</t>
        </is>
      </c>
      <c r="AU238" s="202" t="inlineStr">
        <is>
          <t>Yes</t>
        </is>
      </c>
      <c r="AV238" s="202" t="inlineStr">
        <is>
          <t>Yes</t>
        </is>
      </c>
      <c r="AW238" s="202" t="inlineStr">
        <is>
          <t>Yes</t>
        </is>
      </c>
      <c r="AX238" s="202" t="inlineStr">
        <is>
          <t>Yes</t>
        </is>
      </c>
      <c r="AY238" s="202" t="inlineStr">
        <is>
          <t>Yes</t>
        </is>
      </c>
      <c r="AZ238" s="202" t="inlineStr">
        <is>
          <t>Yes</t>
        </is>
      </c>
      <c r="BA238" s="202" t="inlineStr">
        <is>
          <t>Yes</t>
        </is>
      </c>
      <c r="BB238" s="202" t="inlineStr">
        <is>
          <t>Yes</t>
        </is>
      </c>
      <c r="BC238" s="202" t="inlineStr">
        <is>
          <t>Yes</t>
        </is>
      </c>
      <c r="BD238" s="202" t="inlineStr">
        <is>
          <t>Yes</t>
        </is>
      </c>
      <c r="BE238" s="202" t="inlineStr">
        <is>
          <t>Yes</t>
        </is>
      </c>
      <c r="BF238" s="202" t="inlineStr">
        <is>
          <t>Yes</t>
        </is>
      </c>
      <c r="BG238" s="202" t="inlineStr">
        <is>
          <t>Yes</t>
        </is>
      </c>
      <c r="BH238" s="202" t="inlineStr">
        <is>
          <t>Yes</t>
        </is>
      </c>
      <c r="BI238" s="202" t="inlineStr">
        <is>
          <t>Yes</t>
        </is>
      </c>
      <c r="BJ238" s="202" t="inlineStr">
        <is>
          <t>Yes</t>
        </is>
      </c>
      <c r="BK238" s="202" t="inlineStr">
        <is>
          <t>Yes</t>
        </is>
      </c>
      <c r="BL238" s="202" t="inlineStr">
        <is>
          <t>Yes</t>
        </is>
      </c>
      <c r="BM238" s="202" t="inlineStr">
        <is>
          <t>Yes</t>
        </is>
      </c>
      <c r="BN238" s="202" t="inlineStr">
        <is>
          <t>Yes</t>
        </is>
      </c>
      <c r="BO238" s="202" t="inlineStr">
        <is>
          <t>Yes</t>
        </is>
      </c>
      <c r="BP238" s="202" t="inlineStr">
        <is>
          <t>Yes</t>
        </is>
      </c>
      <c r="BQ238" s="202" t="inlineStr">
        <is>
          <t>Yes</t>
        </is>
      </c>
      <c r="BR238" s="202" t="inlineStr">
        <is>
          <t>Yes</t>
        </is>
      </c>
      <c r="BS238" s="202" t="inlineStr">
        <is>
          <t>Yes</t>
        </is>
      </c>
      <c r="BT238" s="202" t="inlineStr">
        <is>
          <t>Yes</t>
        </is>
      </c>
      <c r="BU238" s="202" t="inlineStr">
        <is>
          <t>Yes</t>
        </is>
      </c>
      <c r="BV238" s="202" t="inlineStr">
        <is>
          <t>Yes</t>
        </is>
      </c>
      <c r="BW238" s="202" t="inlineStr">
        <is>
          <t>Yes</t>
        </is>
      </c>
      <c r="BX238" s="202" t="inlineStr">
        <is>
          <t>Yes</t>
        </is>
      </c>
      <c r="BY238" s="202" t="inlineStr">
        <is>
          <t>Yes</t>
        </is>
      </c>
      <c r="BZ238" s="202" t="inlineStr">
        <is>
          <t>Yes</t>
        </is>
      </c>
      <c r="CA238" s="202" t="inlineStr">
        <is>
          <t>Yes</t>
        </is>
      </c>
      <c r="CB238" s="202" t="inlineStr">
        <is>
          <t>Yes</t>
        </is>
      </c>
      <c r="CC238" s="202" t="inlineStr">
        <is>
          <t>Yes</t>
        </is>
      </c>
      <c r="CD238" s="202" t="inlineStr">
        <is>
          <t>Yes</t>
        </is>
      </c>
      <c r="CE238" s="202" t="inlineStr">
        <is>
          <t>Yes</t>
        </is>
      </c>
      <c r="CF238" s="202" t="inlineStr">
        <is>
          <t>Yes</t>
        </is>
      </c>
      <c r="CG238" s="202" t="inlineStr">
        <is>
          <t>Yes</t>
        </is>
      </c>
      <c r="CH238" s="202" t="inlineStr">
        <is>
          <t>Yes</t>
        </is>
      </c>
      <c r="CI238" s="202" t="inlineStr">
        <is>
          <t>Yes</t>
        </is>
      </c>
      <c r="CJ238" s="202" t="inlineStr">
        <is>
          <t>Yes</t>
        </is>
      </c>
      <c r="CK238" s="202" t="inlineStr">
        <is>
          <t>Yes</t>
        </is>
      </c>
      <c r="CL238" s="202" t="inlineStr">
        <is>
          <t>Yes</t>
        </is>
      </c>
      <c r="CM238" s="202" t="inlineStr">
        <is>
          <t>Yes</t>
        </is>
      </c>
      <c r="CN238" s="202" t="inlineStr">
        <is>
          <t>Yes</t>
        </is>
      </c>
      <c r="CO238" s="202" t="inlineStr">
        <is>
          <t>Yes</t>
        </is>
      </c>
      <c r="CP238" s="202" t="inlineStr">
        <is>
          <t>Yes</t>
        </is>
      </c>
      <c r="CQ238" s="202" t="inlineStr">
        <is>
          <t>Yes</t>
        </is>
      </c>
      <c r="CR238" s="202" t="inlineStr">
        <is>
          <t>Yes</t>
        </is>
      </c>
      <c r="CS238" s="202" t="inlineStr">
        <is>
          <t>Yes</t>
        </is>
      </c>
      <c r="CT238" s="202" t="inlineStr">
        <is>
          <t>Yes</t>
        </is>
      </c>
      <c r="CU238" s="202" t="inlineStr">
        <is>
          <t>Yes</t>
        </is>
      </c>
      <c r="CV238" s="202" t="inlineStr">
        <is>
          <t>Yes</t>
        </is>
      </c>
      <c r="CW238" s="202" t="inlineStr">
        <is>
          <t>Yes</t>
        </is>
      </c>
      <c r="CX238" s="202" t="inlineStr">
        <is>
          <t>Yes</t>
        </is>
      </c>
      <c r="CY238" s="202" t="inlineStr">
        <is>
          <t>Yes</t>
        </is>
      </c>
      <c r="CZ238" s="202" t="inlineStr">
        <is>
          <t>Yes</t>
        </is>
      </c>
      <c r="DA238" s="202" t="inlineStr">
        <is>
          <t>Yes</t>
        </is>
      </c>
      <c r="DB238" s="202" t="inlineStr">
        <is>
          <t>Yes</t>
        </is>
      </c>
      <c r="DC238" s="202" t="inlineStr">
        <is>
          <t>Yes</t>
        </is>
      </c>
      <c r="DD238" s="202" t="inlineStr">
        <is>
          <t>Yes</t>
        </is>
      </c>
      <c r="DE238" s="202" t="inlineStr">
        <is>
          <t>Yes</t>
        </is>
      </c>
      <c r="DF238" s="202" t="inlineStr">
        <is>
          <t>Yes</t>
        </is>
      </c>
      <c r="DG238" s="202" t="inlineStr">
        <is>
          <t>Yes</t>
        </is>
      </c>
      <c r="DH238" s="202" t="inlineStr">
        <is>
          <t>Yes</t>
        </is>
      </c>
      <c r="DI238" s="202" t="inlineStr">
        <is>
          <t>Yes</t>
        </is>
      </c>
      <c r="DJ238" s="202" t="inlineStr">
        <is>
          <t>Yes</t>
        </is>
      </c>
      <c r="DK238" s="202" t="inlineStr">
        <is>
          <t>Yes</t>
        </is>
      </c>
      <c r="DL238" s="202" t="inlineStr">
        <is>
          <t>Yes</t>
        </is>
      </c>
      <c r="DM238" s="202" t="inlineStr">
        <is>
          <t>Yes</t>
        </is>
      </c>
      <c r="DN238" s="202" t="inlineStr">
        <is>
          <t>Yes</t>
        </is>
      </c>
      <c r="DO238" s="202" t="inlineStr">
        <is>
          <t>Yes</t>
        </is>
      </c>
      <c r="DP238" s="202" t="inlineStr">
        <is>
          <t>Yes</t>
        </is>
      </c>
      <c r="DQ238" s="202" t="inlineStr">
        <is>
          <t>Yes</t>
        </is>
      </c>
      <c r="DR238" s="202" t="inlineStr">
        <is>
          <t>Yes</t>
        </is>
      </c>
      <c r="DS238" s="202" t="inlineStr">
        <is>
          <t>Yes</t>
        </is>
      </c>
      <c r="DT238" s="202" t="inlineStr">
        <is>
          <t>Yes</t>
        </is>
      </c>
      <c r="DU238" s="202" t="inlineStr">
        <is>
          <t>Yes</t>
        </is>
      </c>
      <c r="DV238" s="202" t="inlineStr">
        <is>
          <t>Yes</t>
        </is>
      </c>
      <c r="DW238" s="202" t="inlineStr">
        <is>
          <t>Yes</t>
        </is>
      </c>
      <c r="DX238" s="202" t="inlineStr">
        <is>
          <t>Yes</t>
        </is>
      </c>
      <c r="DY238" s="202" t="inlineStr">
        <is>
          <t>Yes</t>
        </is>
      </c>
      <c r="DZ238" s="202" t="inlineStr">
        <is>
          <t>Yes</t>
        </is>
      </c>
      <c r="EA238" s="202" t="inlineStr">
        <is>
          <t>Yes</t>
        </is>
      </c>
      <c r="EB238" s="202" t="inlineStr">
        <is>
          <t>Yes</t>
        </is>
      </c>
      <c r="EC238" s="202" t="inlineStr">
        <is>
          <t>Yes</t>
        </is>
      </c>
      <c r="ED238" s="202" t="inlineStr">
        <is>
          <t>Yes</t>
        </is>
      </c>
      <c r="EE238" s="202" t="inlineStr">
        <is>
          <t>Yes</t>
        </is>
      </c>
      <c r="EF238" s="202" t="inlineStr">
        <is>
          <t>Yes</t>
        </is>
      </c>
      <c r="EG238" s="202" t="inlineStr">
        <is>
          <t>Yes</t>
        </is>
      </c>
      <c r="EH238" s="202" t="inlineStr">
        <is>
          <t>Yes</t>
        </is>
      </c>
      <c r="EI238" s="202" t="inlineStr">
        <is>
          <t>Yes</t>
        </is>
      </c>
      <c r="EJ238" s="202" t="inlineStr">
        <is>
          <t>Yes</t>
        </is>
      </c>
      <c r="EK238" s="202" t="inlineStr">
        <is>
          <t>Yes</t>
        </is>
      </c>
      <c r="EL238" s="182" t="n"/>
      <c r="EM238" s="176" t="n"/>
      <c r="EN238" s="176" t="n"/>
      <c r="EO238" s="176" t="n"/>
      <c r="EP238" s="176" t="n"/>
      <c r="EQ238" s="176" t="n"/>
      <c r="ER238" s="176" t="n"/>
      <c r="ES238" s="176" t="n"/>
      <c r="ET238" s="176" t="n"/>
      <c r="EU238" s="176" t="n"/>
      <c r="EV238" s="176" t="n"/>
      <c r="EW238" s="176" t="n"/>
      <c r="EX238" s="176" t="n"/>
      <c r="EY238" s="176" t="n"/>
      <c r="EZ238" s="176" t="n"/>
      <c r="FA238" s="176" t="n"/>
      <c r="FB238" s="176" t="n"/>
      <c r="FC238" s="176" t="n"/>
      <c r="FD238" s="176" t="n"/>
      <c r="FE238" s="176" t="n"/>
      <c r="FF238" s="176" t="n"/>
      <c r="FG238" s="176" t="n"/>
      <c r="FH238" s="176" t="n"/>
      <c r="FI238" s="176" t="n"/>
      <c r="FJ238" s="176" t="n"/>
    </row>
    <row r="239" ht="15" customHeight="1" s="392">
      <c r="A239" s="176" t="n"/>
      <c r="B239" s="180" t="n"/>
      <c r="C239" s="183" t="inlineStr">
        <is>
          <t xml:space="preserve">    Calculated</t>
        </is>
      </c>
      <c r="D239" s="201">
        <f>IF(COUNT(M239:EK239)&gt;0,MEDIAN(M239:EK239),"")</f>
        <v/>
      </c>
      <c r="E239" s="201">
        <f>IF(COUNT(M239:EK239)&gt;0,AVERAGE(M239:EK239),"")</f>
        <v/>
      </c>
      <c r="F239" s="201">
        <f>IF(COUNT(M239:EK239)&gt;0,MIN(M239:EK239),"")</f>
        <v/>
      </c>
      <c r="G239" s="201">
        <f>IF(COUNT(M239:EK239)&gt;0,MAX(M239:EK239),"")</f>
        <v/>
      </c>
      <c r="H239" s="201">
        <f>IF(COUNT(M239:EK239)&gt;0,QUARTILE(M239:EK239,1),"")</f>
        <v/>
      </c>
      <c r="I239" s="201">
        <f>IF(COUNT(M239:EK239)&gt;0,QUARTILE(M239:EK239,3),"")</f>
        <v/>
      </c>
      <c r="J239" s="201">
        <f>IF(COUNT(M239:EK239)&gt;1,STDEV(M239:EK239),"")</f>
        <v/>
      </c>
      <c r="K239" s="191">
        <f>IF(COUNT(M239:EK239)&gt;1,STDEV(M239:EK239)/AVERAGE(M239:EK239),"")</f>
        <v/>
      </c>
      <c r="M239" s="202" t="inlineStr">
        <is>
          <t>No</t>
        </is>
      </c>
      <c r="N239" s="202" t="inlineStr">
        <is>
          <t>No</t>
        </is>
      </c>
      <c r="O239" s="202" t="inlineStr">
        <is>
          <t>No</t>
        </is>
      </c>
      <c r="P239" s="202" t="inlineStr">
        <is>
          <t>No</t>
        </is>
      </c>
      <c r="Q239" s="202" t="inlineStr">
        <is>
          <t>No</t>
        </is>
      </c>
      <c r="R239" s="202" t="inlineStr">
        <is>
          <t>No</t>
        </is>
      </c>
      <c r="S239" s="202" t="inlineStr">
        <is>
          <t>No</t>
        </is>
      </c>
      <c r="T239" s="202" t="inlineStr">
        <is>
          <t>No</t>
        </is>
      </c>
      <c r="U239" s="202" t="inlineStr">
        <is>
          <t>No</t>
        </is>
      </c>
      <c r="V239" s="202" t="inlineStr">
        <is>
          <t>No</t>
        </is>
      </c>
      <c r="W239" s="202" t="inlineStr">
        <is>
          <t>No</t>
        </is>
      </c>
      <c r="X239" s="202" t="inlineStr">
        <is>
          <t>No</t>
        </is>
      </c>
      <c r="Y239" s="202" t="inlineStr">
        <is>
          <t>No</t>
        </is>
      </c>
      <c r="Z239" s="202" t="inlineStr">
        <is>
          <t>No</t>
        </is>
      </c>
      <c r="AA239" s="202" t="inlineStr">
        <is>
          <t>No</t>
        </is>
      </c>
      <c r="AB239" s="202" t="inlineStr">
        <is>
          <t>No</t>
        </is>
      </c>
      <c r="AC239" s="202" t="inlineStr">
        <is>
          <t>No</t>
        </is>
      </c>
      <c r="AD239" s="202" t="inlineStr">
        <is>
          <t>No</t>
        </is>
      </c>
      <c r="AE239" s="202" t="inlineStr">
        <is>
          <t>No</t>
        </is>
      </c>
      <c r="AF239" s="202" t="inlineStr">
        <is>
          <t>No</t>
        </is>
      </c>
      <c r="AG239" s="202" t="inlineStr">
        <is>
          <t>No</t>
        </is>
      </c>
      <c r="AH239" s="202" t="inlineStr">
        <is>
          <t>No</t>
        </is>
      </c>
      <c r="AI239" s="202" t="inlineStr">
        <is>
          <t>No</t>
        </is>
      </c>
      <c r="AJ239" s="202" t="inlineStr">
        <is>
          <t>No</t>
        </is>
      </c>
      <c r="AK239" s="202" t="inlineStr">
        <is>
          <t>No</t>
        </is>
      </c>
      <c r="AL239" s="202" t="inlineStr">
        <is>
          <t>No</t>
        </is>
      </c>
      <c r="AM239" s="202" t="inlineStr">
        <is>
          <t>No</t>
        </is>
      </c>
      <c r="AN239" s="202" t="inlineStr">
        <is>
          <t>No</t>
        </is>
      </c>
      <c r="AO239" s="202" t="inlineStr">
        <is>
          <t>No</t>
        </is>
      </c>
      <c r="AP239" s="202" t="inlineStr">
        <is>
          <t>No</t>
        </is>
      </c>
      <c r="AQ239" s="202" t="inlineStr">
        <is>
          <t>No</t>
        </is>
      </c>
      <c r="AR239" s="202" t="inlineStr">
        <is>
          <t>No</t>
        </is>
      </c>
      <c r="AS239" s="202" t="inlineStr">
        <is>
          <t>No</t>
        </is>
      </c>
      <c r="AT239" s="202" t="inlineStr">
        <is>
          <t>No</t>
        </is>
      </c>
      <c r="AU239" s="202" t="inlineStr">
        <is>
          <t>No</t>
        </is>
      </c>
      <c r="AV239" s="202" t="inlineStr">
        <is>
          <t>No</t>
        </is>
      </c>
      <c r="AW239" s="202" t="inlineStr">
        <is>
          <t>No</t>
        </is>
      </c>
      <c r="AX239" s="202" t="inlineStr">
        <is>
          <t>No</t>
        </is>
      </c>
      <c r="AY239" s="202" t="inlineStr">
        <is>
          <t>No</t>
        </is>
      </c>
      <c r="AZ239" s="202" t="inlineStr">
        <is>
          <t>No</t>
        </is>
      </c>
      <c r="BA239" s="202" t="inlineStr">
        <is>
          <t>No</t>
        </is>
      </c>
      <c r="BB239" s="202" t="inlineStr">
        <is>
          <t>No</t>
        </is>
      </c>
      <c r="BC239" s="202" t="inlineStr">
        <is>
          <t>No</t>
        </is>
      </c>
      <c r="BD239" s="202" t="inlineStr">
        <is>
          <t>No</t>
        </is>
      </c>
      <c r="BE239" s="202" t="inlineStr">
        <is>
          <t>No</t>
        </is>
      </c>
      <c r="BF239" s="202" t="inlineStr">
        <is>
          <t>No</t>
        </is>
      </c>
      <c r="BG239" s="202" t="inlineStr">
        <is>
          <t>No</t>
        </is>
      </c>
      <c r="BH239" s="202" t="inlineStr">
        <is>
          <t>No</t>
        </is>
      </c>
      <c r="BI239" s="202" t="inlineStr">
        <is>
          <t>No</t>
        </is>
      </c>
      <c r="BJ239" s="202" t="inlineStr">
        <is>
          <t>No</t>
        </is>
      </c>
      <c r="BK239" s="202" t="inlineStr">
        <is>
          <t>No</t>
        </is>
      </c>
      <c r="BL239" s="202" t="inlineStr">
        <is>
          <t>No</t>
        </is>
      </c>
      <c r="BM239" s="202" t="inlineStr">
        <is>
          <t>No</t>
        </is>
      </c>
      <c r="BN239" s="202" t="inlineStr">
        <is>
          <t>No</t>
        </is>
      </c>
      <c r="BO239" s="202" t="inlineStr">
        <is>
          <t>No</t>
        </is>
      </c>
      <c r="BP239" s="202" t="inlineStr">
        <is>
          <t>No</t>
        </is>
      </c>
      <c r="BQ239" s="202" t="inlineStr">
        <is>
          <t>No</t>
        </is>
      </c>
      <c r="BR239" s="202" t="inlineStr">
        <is>
          <t>No</t>
        </is>
      </c>
      <c r="BS239" s="202" t="inlineStr">
        <is>
          <t>No</t>
        </is>
      </c>
      <c r="BT239" s="202" t="inlineStr">
        <is>
          <t>No</t>
        </is>
      </c>
      <c r="BU239" s="202" t="inlineStr">
        <is>
          <t>No</t>
        </is>
      </c>
      <c r="BV239" s="202" t="inlineStr">
        <is>
          <t>No</t>
        </is>
      </c>
      <c r="BW239" s="202" t="inlineStr">
        <is>
          <t>No</t>
        </is>
      </c>
      <c r="BX239" s="202" t="inlineStr">
        <is>
          <t>No</t>
        </is>
      </c>
      <c r="BY239" s="202" t="inlineStr">
        <is>
          <t>No</t>
        </is>
      </c>
      <c r="BZ239" s="202" t="inlineStr">
        <is>
          <t>No</t>
        </is>
      </c>
      <c r="CA239" s="202" t="inlineStr">
        <is>
          <t>No</t>
        </is>
      </c>
      <c r="CB239" s="202" t="inlineStr">
        <is>
          <t>No</t>
        </is>
      </c>
      <c r="CC239" s="202" t="inlineStr">
        <is>
          <t>No</t>
        </is>
      </c>
      <c r="CD239" s="202" t="inlineStr">
        <is>
          <t>No</t>
        </is>
      </c>
      <c r="CE239" s="202" t="inlineStr">
        <is>
          <t>No</t>
        </is>
      </c>
      <c r="CF239" s="202" t="inlineStr">
        <is>
          <t>No</t>
        </is>
      </c>
      <c r="CG239" s="202" t="inlineStr">
        <is>
          <t>No</t>
        </is>
      </c>
      <c r="CH239" s="202" t="inlineStr">
        <is>
          <t>No</t>
        </is>
      </c>
      <c r="CI239" s="202" t="inlineStr">
        <is>
          <t>No</t>
        </is>
      </c>
      <c r="CJ239" s="202" t="inlineStr">
        <is>
          <t>No</t>
        </is>
      </c>
      <c r="CK239" s="202" t="inlineStr">
        <is>
          <t>No</t>
        </is>
      </c>
      <c r="CL239" s="202" t="inlineStr">
        <is>
          <t>No</t>
        </is>
      </c>
      <c r="CM239" s="202" t="inlineStr">
        <is>
          <t>No</t>
        </is>
      </c>
      <c r="CN239" s="202" t="inlineStr">
        <is>
          <t>No</t>
        </is>
      </c>
      <c r="CO239" s="202" t="inlineStr">
        <is>
          <t>No</t>
        </is>
      </c>
      <c r="CP239" s="202" t="inlineStr">
        <is>
          <t>No</t>
        </is>
      </c>
      <c r="CQ239" s="202" t="inlineStr">
        <is>
          <t>No</t>
        </is>
      </c>
      <c r="CR239" s="202" t="inlineStr">
        <is>
          <t>No</t>
        </is>
      </c>
      <c r="CS239" s="202" t="inlineStr">
        <is>
          <t>No</t>
        </is>
      </c>
      <c r="CT239" s="202" t="inlineStr">
        <is>
          <t>No</t>
        </is>
      </c>
      <c r="CU239" s="202" t="inlineStr">
        <is>
          <t>No</t>
        </is>
      </c>
      <c r="CV239" s="202" t="inlineStr">
        <is>
          <t>No</t>
        </is>
      </c>
      <c r="CW239" s="202" t="inlineStr">
        <is>
          <t>No</t>
        </is>
      </c>
      <c r="CX239" s="202" t="inlineStr">
        <is>
          <t>No</t>
        </is>
      </c>
      <c r="CY239" s="202" t="inlineStr">
        <is>
          <t>No</t>
        </is>
      </c>
      <c r="CZ239" s="202" t="inlineStr">
        <is>
          <t>No</t>
        </is>
      </c>
      <c r="DA239" s="202" t="inlineStr">
        <is>
          <t>No</t>
        </is>
      </c>
      <c r="DB239" s="202" t="inlineStr">
        <is>
          <t>No</t>
        </is>
      </c>
      <c r="DC239" s="202" t="inlineStr">
        <is>
          <t>No</t>
        </is>
      </c>
      <c r="DD239" s="202" t="inlineStr">
        <is>
          <t>No</t>
        </is>
      </c>
      <c r="DE239" s="202" t="inlineStr">
        <is>
          <t>No</t>
        </is>
      </c>
      <c r="DF239" s="202" t="inlineStr">
        <is>
          <t>No</t>
        </is>
      </c>
      <c r="DG239" s="202" t="inlineStr">
        <is>
          <t>No</t>
        </is>
      </c>
      <c r="DH239" s="202" t="inlineStr">
        <is>
          <t>No</t>
        </is>
      </c>
      <c r="DI239" s="202" t="inlineStr">
        <is>
          <t>No</t>
        </is>
      </c>
      <c r="DJ239" s="202" t="inlineStr">
        <is>
          <t>No</t>
        </is>
      </c>
      <c r="DK239" s="202" t="inlineStr">
        <is>
          <t>No</t>
        </is>
      </c>
      <c r="DL239" s="202" t="inlineStr">
        <is>
          <t>No</t>
        </is>
      </c>
      <c r="DM239" s="202" t="inlineStr">
        <is>
          <t>No</t>
        </is>
      </c>
      <c r="DN239" s="202" t="inlineStr">
        <is>
          <t>No</t>
        </is>
      </c>
      <c r="DO239" s="202" t="inlineStr">
        <is>
          <t>No</t>
        </is>
      </c>
      <c r="DP239" s="202" t="inlineStr">
        <is>
          <t>No</t>
        </is>
      </c>
      <c r="DQ239" s="202" t="inlineStr">
        <is>
          <t>No</t>
        </is>
      </c>
      <c r="DR239" s="202" t="inlineStr">
        <is>
          <t>No</t>
        </is>
      </c>
      <c r="DS239" s="202" t="inlineStr">
        <is>
          <t>No</t>
        </is>
      </c>
      <c r="DT239" s="202" t="inlineStr">
        <is>
          <t>No</t>
        </is>
      </c>
      <c r="DU239" s="202" t="inlineStr">
        <is>
          <t>No</t>
        </is>
      </c>
      <c r="DV239" s="202" t="inlineStr">
        <is>
          <t>No</t>
        </is>
      </c>
      <c r="DW239" s="202" t="inlineStr">
        <is>
          <t>No</t>
        </is>
      </c>
      <c r="DX239" s="202" t="inlineStr">
        <is>
          <t>No</t>
        </is>
      </c>
      <c r="DY239" s="202" t="inlineStr">
        <is>
          <t>No</t>
        </is>
      </c>
      <c r="DZ239" s="202" t="inlineStr">
        <is>
          <t>No</t>
        </is>
      </c>
      <c r="EA239" s="202" t="inlineStr">
        <is>
          <t>No</t>
        </is>
      </c>
      <c r="EB239" s="202" t="inlineStr">
        <is>
          <t>No</t>
        </is>
      </c>
      <c r="EC239" s="202" t="inlineStr">
        <is>
          <t>No</t>
        </is>
      </c>
      <c r="ED239" s="202" t="inlineStr">
        <is>
          <t>No</t>
        </is>
      </c>
      <c r="EE239" s="202" t="inlineStr">
        <is>
          <t>No</t>
        </is>
      </c>
      <c r="EF239" s="202" t="inlineStr">
        <is>
          <t>No</t>
        </is>
      </c>
      <c r="EG239" s="202" t="inlineStr">
        <is>
          <t>No</t>
        </is>
      </c>
      <c r="EH239" s="202" t="inlineStr">
        <is>
          <t>No</t>
        </is>
      </c>
      <c r="EI239" s="202" t="inlineStr">
        <is>
          <t>No</t>
        </is>
      </c>
      <c r="EJ239" s="202" t="inlineStr">
        <is>
          <t>No</t>
        </is>
      </c>
      <c r="EK239" s="202" t="inlineStr">
        <is>
          <t>No</t>
        </is>
      </c>
      <c r="EL239" s="182" t="n"/>
      <c r="EM239" s="176" t="n"/>
      <c r="EN239" s="176" t="n"/>
      <c r="EO239" s="176" t="n"/>
      <c r="EP239" s="176" t="n"/>
      <c r="EQ239" s="176" t="n"/>
      <c r="ER239" s="176" t="n"/>
      <c r="ES239" s="176" t="n"/>
      <c r="ET239" s="176" t="n"/>
      <c r="EU239" s="176" t="n"/>
      <c r="EV239" s="176" t="n"/>
      <c r="EW239" s="176" t="n"/>
      <c r="EX239" s="176" t="n"/>
      <c r="EY239" s="176" t="n"/>
      <c r="EZ239" s="176" t="n"/>
      <c r="FA239" s="176" t="n"/>
      <c r="FB239" s="176" t="n"/>
      <c r="FC239" s="176" t="n"/>
      <c r="FD239" s="176" t="n"/>
      <c r="FE239" s="176" t="n"/>
      <c r="FF239" s="176" t="n"/>
      <c r="FG239" s="176" t="n"/>
      <c r="FH239" s="176" t="n"/>
      <c r="FI239" s="176" t="n"/>
      <c r="FJ239" s="176" t="n"/>
    </row>
    <row r="240" ht="15" customHeight="1" s="392">
      <c r="A240" s="176" t="n"/>
      <c r="B240" s="180" t="n"/>
      <c r="EL240" s="182" t="n"/>
      <c r="EM240" s="176" t="n"/>
      <c r="EN240" s="176" t="n"/>
      <c r="EO240" s="176" t="n"/>
      <c r="EP240" s="176" t="n"/>
      <c r="EQ240" s="176" t="n"/>
      <c r="ER240" s="176" t="n"/>
      <c r="ES240" s="176" t="n"/>
      <c r="ET240" s="176" t="n"/>
      <c r="EU240" s="176" t="n"/>
      <c r="EV240" s="176" t="n"/>
      <c r="EW240" s="176" t="n"/>
      <c r="EX240" s="176" t="n"/>
      <c r="EY240" s="176" t="n"/>
      <c r="EZ240" s="176" t="n"/>
      <c r="FA240" s="176" t="n"/>
      <c r="FB240" s="176" t="n"/>
      <c r="FC240" s="176" t="n"/>
      <c r="FD240" s="176" t="n"/>
      <c r="FE240" s="176" t="n"/>
      <c r="FF240" s="176" t="n"/>
      <c r="FG240" s="176" t="n"/>
      <c r="FH240" s="176" t="n"/>
      <c r="FI240" s="176" t="n"/>
      <c r="FJ240" s="176" t="n"/>
    </row>
    <row r="241" ht="15" customHeight="1" s="392">
      <c r="A241" s="176" t="n"/>
      <c r="B241" s="180" t="n"/>
      <c r="EL241" s="182" t="n"/>
      <c r="EM241" s="176" t="n"/>
      <c r="EN241" s="176" t="n"/>
      <c r="EO241" s="176" t="n"/>
      <c r="EP241" s="176" t="n"/>
      <c r="EQ241" s="176" t="n"/>
      <c r="ER241" s="176" t="n"/>
      <c r="ES241" s="176" t="n"/>
      <c r="ET241" s="176" t="n"/>
      <c r="EU241" s="176" t="n"/>
      <c r="EV241" s="176" t="n"/>
      <c r="EW241" s="176" t="n"/>
      <c r="EX241" s="176" t="n"/>
      <c r="EY241" s="176" t="n"/>
      <c r="EZ241" s="176" t="n"/>
      <c r="FA241" s="176" t="n"/>
      <c r="FB241" s="176" t="n"/>
      <c r="FC241" s="176" t="n"/>
      <c r="FD241" s="176" t="n"/>
      <c r="FE241" s="176" t="n"/>
      <c r="FF241" s="176" t="n"/>
      <c r="FG241" s="176" t="n"/>
      <c r="FH241" s="176" t="n"/>
      <c r="FI241" s="176" t="n"/>
      <c r="FJ241" s="176" t="n"/>
    </row>
    <row r="242" ht="15" customHeight="1" s="392">
      <c r="A242" s="176" t="n"/>
      <c r="B242" s="180" t="n"/>
      <c r="C242" s="183" t="inlineStr">
        <is>
          <t>© PitchBook Data, Inc.  2026</t>
        </is>
      </c>
      <c r="EL242" s="182" t="n"/>
      <c r="EM242" s="176" t="n"/>
      <c r="EN242" s="176" t="n"/>
      <c r="EO242" s="176" t="n"/>
      <c r="EP242" s="176" t="n"/>
      <c r="EQ242" s="176" t="n"/>
      <c r="ER242" s="176" t="n"/>
      <c r="ES242" s="176" t="n"/>
      <c r="ET242" s="176" t="n"/>
      <c r="EU242" s="176" t="n"/>
      <c r="EV242" s="176" t="n"/>
      <c r="EW242" s="176" t="n"/>
      <c r="EX242" s="176" t="n"/>
      <c r="EY242" s="176" t="n"/>
      <c r="EZ242" s="176" t="n"/>
      <c r="FA242" s="176" t="n"/>
      <c r="FB242" s="176" t="n"/>
      <c r="FC242" s="176" t="n"/>
      <c r="FD242" s="176" t="n"/>
      <c r="FE242" s="176" t="n"/>
      <c r="FF242" s="176" t="n"/>
      <c r="FG242" s="176" t="n"/>
      <c r="FH242" s="176" t="n"/>
      <c r="FI242" s="176" t="n"/>
      <c r="FJ242" s="176" t="n"/>
    </row>
    <row r="243" ht="15" customHeight="1" s="392">
      <c r="A243" s="176" t="n"/>
      <c r="B243" s="180" t="n"/>
      <c r="EL243" s="182" t="n"/>
      <c r="EM243" s="176" t="n"/>
      <c r="EN243" s="176" t="n"/>
      <c r="EO243" s="176" t="n"/>
      <c r="EP243" s="176" t="n"/>
      <c r="EQ243" s="176" t="n"/>
      <c r="ER243" s="176" t="n"/>
      <c r="ES243" s="176" t="n"/>
      <c r="ET243" s="176" t="n"/>
      <c r="EU243" s="176" t="n"/>
      <c r="EV243" s="176" t="n"/>
      <c r="EW243" s="176" t="n"/>
      <c r="EX243" s="176" t="n"/>
      <c r="EY243" s="176" t="n"/>
      <c r="EZ243" s="176" t="n"/>
      <c r="FA243" s="176" t="n"/>
      <c r="FB243" s="176" t="n"/>
      <c r="FC243" s="176" t="n"/>
      <c r="FD243" s="176" t="n"/>
      <c r="FE243" s="176" t="n"/>
      <c r="FF243" s="176" t="n"/>
      <c r="FG243" s="176" t="n"/>
      <c r="FH243" s="176" t="n"/>
      <c r="FI243" s="176" t="n"/>
      <c r="FJ243" s="176" t="n"/>
    </row>
    <row r="244" ht="15" customHeight="1" s="392">
      <c r="A244" s="176" t="n"/>
      <c r="B244" s="203" t="n"/>
      <c r="C244" s="204" t="n"/>
      <c r="D244" s="204" t="n"/>
      <c r="E244" s="204" t="n"/>
      <c r="F244" s="204" t="n"/>
      <c r="G244" s="204" t="n"/>
      <c r="H244" s="204" t="n"/>
      <c r="I244" s="204" t="n"/>
      <c r="J244" s="204" t="n"/>
      <c r="K244" s="204" t="n"/>
      <c r="L244" s="204" t="n"/>
      <c r="M244" s="204" t="n"/>
      <c r="N244" s="204" t="n"/>
      <c r="O244" s="204" t="n"/>
      <c r="P244" s="204" t="n"/>
      <c r="Q244" s="204" t="n"/>
      <c r="R244" s="204" t="n"/>
      <c r="S244" s="204" t="n"/>
      <c r="T244" s="204" t="n"/>
      <c r="U244" s="204" t="n"/>
      <c r="V244" s="204" t="n"/>
      <c r="W244" s="204" t="n"/>
      <c r="X244" s="204" t="n"/>
      <c r="Y244" s="204" t="n"/>
      <c r="Z244" s="204" t="n"/>
      <c r="AA244" s="204" t="n"/>
      <c r="AB244" s="204" t="n"/>
      <c r="AC244" s="204" t="n"/>
      <c r="AD244" s="204" t="n"/>
      <c r="AE244" s="204" t="n"/>
      <c r="AF244" s="204" t="n"/>
      <c r="AG244" s="204" t="n"/>
      <c r="AH244" s="204" t="n"/>
      <c r="AI244" s="204" t="n"/>
      <c r="AJ244" s="204" t="n"/>
      <c r="AK244" s="204" t="n"/>
      <c r="AL244" s="204" t="n"/>
      <c r="AM244" s="204" t="n"/>
      <c r="AN244" s="204" t="n"/>
      <c r="AO244" s="204" t="n"/>
      <c r="AP244" s="204" t="n"/>
      <c r="AQ244" s="204" t="n"/>
      <c r="AR244" s="204" t="n"/>
      <c r="AS244" s="204" t="n"/>
      <c r="AT244" s="204" t="n"/>
      <c r="AU244" s="204" t="n"/>
      <c r="AV244" s="204" t="n"/>
      <c r="AW244" s="204" t="n"/>
      <c r="AX244" s="204" t="n"/>
      <c r="AY244" s="204" t="n"/>
      <c r="AZ244" s="204" t="n"/>
      <c r="BA244" s="204" t="n"/>
      <c r="BB244" s="204" t="n"/>
      <c r="BC244" s="204" t="n"/>
      <c r="BD244" s="204" t="n"/>
      <c r="BE244" s="204" t="n"/>
      <c r="BF244" s="204" t="n"/>
      <c r="BG244" s="204" t="n"/>
      <c r="BH244" s="204" t="n"/>
      <c r="BI244" s="204" t="n"/>
      <c r="BJ244" s="204" t="n"/>
      <c r="BK244" s="204" t="n"/>
      <c r="BL244" s="204" t="n"/>
      <c r="BM244" s="204" t="n"/>
      <c r="BN244" s="204" t="n"/>
      <c r="BO244" s="204" t="n"/>
      <c r="BP244" s="204" t="n"/>
      <c r="BQ244" s="204" t="n"/>
      <c r="BR244" s="204" t="n"/>
      <c r="BS244" s="204" t="n"/>
      <c r="BT244" s="204" t="n"/>
      <c r="BU244" s="204" t="n"/>
      <c r="BV244" s="204" t="n"/>
      <c r="BW244" s="204" t="n"/>
      <c r="BX244" s="204" t="n"/>
      <c r="BY244" s="204" t="n"/>
      <c r="BZ244" s="204" t="n"/>
      <c r="CA244" s="204" t="n"/>
      <c r="CB244" s="204" t="n"/>
      <c r="CC244" s="204" t="n"/>
      <c r="CD244" s="204" t="n"/>
      <c r="CE244" s="204" t="n"/>
      <c r="CF244" s="204" t="n"/>
      <c r="CG244" s="204" t="n"/>
      <c r="CH244" s="204" t="n"/>
      <c r="CI244" s="204" t="n"/>
      <c r="CJ244" s="204" t="n"/>
      <c r="CK244" s="204" t="n"/>
      <c r="CL244" s="204" t="n"/>
      <c r="CM244" s="204" t="n"/>
      <c r="CN244" s="204" t="n"/>
      <c r="CO244" s="204" t="n"/>
      <c r="CP244" s="204" t="n"/>
      <c r="CQ244" s="204" t="n"/>
      <c r="CR244" s="204" t="n"/>
      <c r="CS244" s="204" t="n"/>
      <c r="CT244" s="204" t="n"/>
      <c r="CU244" s="204" t="n"/>
      <c r="CV244" s="204" t="n"/>
      <c r="CW244" s="204" t="n"/>
      <c r="CX244" s="204" t="n"/>
      <c r="CY244" s="204" t="n"/>
      <c r="CZ244" s="204" t="n"/>
      <c r="DA244" s="204" t="n"/>
      <c r="DB244" s="204" t="n"/>
      <c r="DC244" s="204" t="n"/>
      <c r="DD244" s="204" t="n"/>
      <c r="DE244" s="204" t="n"/>
      <c r="DF244" s="204" t="n"/>
      <c r="DG244" s="204" t="n"/>
      <c r="DH244" s="204" t="n"/>
      <c r="DI244" s="204" t="n"/>
      <c r="DJ244" s="204" t="n"/>
      <c r="DK244" s="204" t="n"/>
      <c r="DL244" s="204" t="n"/>
      <c r="DM244" s="204" t="n"/>
      <c r="DN244" s="204" t="n"/>
      <c r="DO244" s="204" t="n"/>
      <c r="DP244" s="204" t="n"/>
      <c r="DQ244" s="204" t="n"/>
      <c r="DR244" s="204" t="n"/>
      <c r="DS244" s="204" t="n"/>
      <c r="DT244" s="204" t="n"/>
      <c r="DU244" s="204" t="n"/>
      <c r="DV244" s="204" t="n"/>
      <c r="DW244" s="204" t="n"/>
      <c r="DX244" s="204" t="n"/>
      <c r="DY244" s="204" t="n"/>
      <c r="DZ244" s="204" t="n"/>
      <c r="EA244" s="204" t="n"/>
      <c r="EB244" s="204" t="n"/>
      <c r="EC244" s="204" t="n"/>
      <c r="ED244" s="204" t="n"/>
      <c r="EE244" s="204" t="n"/>
      <c r="EF244" s="204" t="n"/>
      <c r="EG244" s="204" t="n"/>
      <c r="EH244" s="204" t="n"/>
      <c r="EI244" s="204" t="n"/>
      <c r="EJ244" s="204" t="n"/>
      <c r="EK244" s="204" t="n"/>
      <c r="EL244" s="205" t="n"/>
      <c r="EM244" s="176" t="n"/>
      <c r="EN244" s="176" t="n"/>
      <c r="EO244" s="176" t="n"/>
      <c r="EP244" s="176" t="n"/>
      <c r="EQ244" s="176" t="n"/>
      <c r="ER244" s="176" t="n"/>
      <c r="ES244" s="176" t="n"/>
      <c r="ET244" s="176" t="n"/>
      <c r="EU244" s="176" t="n"/>
      <c r="EV244" s="176" t="n"/>
      <c r="EW244" s="176" t="n"/>
      <c r="EX244" s="176" t="n"/>
      <c r="EY244" s="176" t="n"/>
      <c r="EZ244" s="176" t="n"/>
      <c r="FA244" s="176" t="n"/>
      <c r="FB244" s="176" t="n"/>
      <c r="FC244" s="176" t="n"/>
      <c r="FD244" s="176" t="n"/>
      <c r="FE244" s="176" t="n"/>
      <c r="FF244" s="176" t="n"/>
      <c r="FG244" s="176" t="n"/>
      <c r="FH244" s="176" t="n"/>
      <c r="FI244" s="176" t="n"/>
      <c r="FJ244" s="176" t="n"/>
    </row>
    <row r="245" ht="15" customHeight="1" s="392">
      <c r="A245" s="176" t="n"/>
      <c r="B245" s="176" t="n"/>
      <c r="C245" s="176" t="n"/>
      <c r="D245" s="176" t="n"/>
      <c r="E245" s="176" t="n"/>
      <c r="F245" s="176" t="n"/>
      <c r="G245" s="176" t="n"/>
      <c r="H245" s="176" t="n"/>
      <c r="I245" s="176" t="n"/>
      <c r="J245" s="176" t="n"/>
      <c r="K245" s="176" t="n"/>
      <c r="L245" s="176" t="n"/>
      <c r="M245" s="176" t="n"/>
      <c r="N245" s="176" t="n"/>
      <c r="O245" s="176" t="n"/>
      <c r="P245" s="176" t="n"/>
      <c r="Q245" s="176" t="n"/>
      <c r="R245" s="176" t="n"/>
      <c r="S245" s="176" t="n"/>
      <c r="T245" s="176" t="n"/>
      <c r="U245" s="176" t="n"/>
      <c r="V245" s="176" t="n"/>
      <c r="W245" s="176" t="n"/>
      <c r="X245" s="176" t="n"/>
      <c r="Y245" s="176" t="n"/>
      <c r="Z245" s="176" t="n"/>
      <c r="AA245" s="176" t="n"/>
      <c r="AB245" s="176" t="n"/>
      <c r="AC245" s="176" t="n"/>
      <c r="AD245" s="176" t="n"/>
      <c r="AE245" s="176" t="n"/>
      <c r="AF245" s="176" t="n"/>
      <c r="AG245" s="176" t="n"/>
      <c r="AH245" s="176" t="n"/>
      <c r="AI245" s="176" t="n"/>
      <c r="AJ245" s="176" t="n"/>
      <c r="AK245" s="176" t="n"/>
      <c r="AL245" s="176" t="n"/>
      <c r="AM245" s="176" t="n"/>
      <c r="AN245" s="176" t="n"/>
      <c r="AO245" s="176" t="n"/>
      <c r="AP245" s="176" t="n"/>
      <c r="AQ245" s="176" t="n"/>
      <c r="AR245" s="176" t="n"/>
      <c r="AS245" s="176" t="n"/>
      <c r="AT245" s="176" t="n"/>
      <c r="AU245" s="176" t="n"/>
      <c r="AV245" s="176" t="n"/>
      <c r="AW245" s="176" t="n"/>
      <c r="AX245" s="176" t="n"/>
      <c r="AY245" s="176" t="n"/>
      <c r="AZ245" s="176" t="n"/>
      <c r="BA245" s="176" t="n"/>
      <c r="BB245" s="176" t="n"/>
      <c r="BC245" s="176" t="n"/>
      <c r="BD245" s="176" t="n"/>
      <c r="BE245" s="176" t="n"/>
      <c r="BF245" s="176" t="n"/>
      <c r="BG245" s="176" t="n"/>
      <c r="BH245" s="176" t="n"/>
      <c r="BI245" s="176" t="n"/>
      <c r="BJ245" s="176" t="n"/>
      <c r="BK245" s="176" t="n"/>
      <c r="BL245" s="176" t="n"/>
      <c r="BM245" s="176" t="n"/>
      <c r="BN245" s="176" t="n"/>
      <c r="BO245" s="176" t="n"/>
      <c r="BP245" s="176" t="n"/>
      <c r="BQ245" s="176" t="n"/>
      <c r="BR245" s="176" t="n"/>
      <c r="BS245" s="176" t="n"/>
      <c r="BT245" s="176" t="n"/>
      <c r="BU245" s="176" t="n"/>
      <c r="BV245" s="176" t="n"/>
      <c r="BW245" s="176" t="n"/>
      <c r="BX245" s="176" t="n"/>
      <c r="BY245" s="176" t="n"/>
      <c r="BZ245" s="176" t="n"/>
      <c r="CA245" s="176" t="n"/>
      <c r="CB245" s="176" t="n"/>
      <c r="CC245" s="176" t="n"/>
      <c r="CD245" s="176" t="n"/>
      <c r="CE245" s="176" t="n"/>
      <c r="CF245" s="176" t="n"/>
      <c r="CG245" s="176" t="n"/>
      <c r="CH245" s="176" t="n"/>
      <c r="CI245" s="176" t="n"/>
      <c r="CJ245" s="176" t="n"/>
      <c r="CK245" s="176" t="n"/>
      <c r="CL245" s="176" t="n"/>
      <c r="CM245" s="176" t="n"/>
      <c r="CN245" s="176" t="n"/>
      <c r="CO245" s="176" t="n"/>
      <c r="CP245" s="176" t="n"/>
      <c r="CQ245" s="176" t="n"/>
      <c r="CR245" s="176" t="n"/>
      <c r="CS245" s="176" t="n"/>
      <c r="CT245" s="176" t="n"/>
      <c r="CU245" s="176" t="n"/>
      <c r="CV245" s="176" t="n"/>
      <c r="CW245" s="176" t="n"/>
      <c r="CX245" s="176" t="n"/>
      <c r="CY245" s="176" t="n"/>
      <c r="CZ245" s="176" t="n"/>
      <c r="DA245" s="176" t="n"/>
      <c r="DB245" s="176" t="n"/>
      <c r="DC245" s="176" t="n"/>
      <c r="DD245" s="176" t="n"/>
      <c r="DE245" s="176" t="n"/>
      <c r="DF245" s="176" t="n"/>
      <c r="DG245" s="176" t="n"/>
      <c r="DH245" s="176" t="n"/>
      <c r="DI245" s="176" t="n"/>
      <c r="DJ245" s="176" t="n"/>
      <c r="DK245" s="176" t="n"/>
      <c r="DL245" s="176" t="n"/>
      <c r="DM245" s="176" t="n"/>
      <c r="DN245" s="176" t="n"/>
      <c r="DO245" s="176" t="n"/>
      <c r="DP245" s="176" t="n"/>
      <c r="DQ245" s="176" t="n"/>
      <c r="DR245" s="176" t="n"/>
      <c r="DS245" s="176" t="n"/>
      <c r="DT245" s="176" t="n"/>
      <c r="DU245" s="176" t="n"/>
      <c r="DV245" s="176" t="n"/>
      <c r="DW245" s="176" t="n"/>
      <c r="DX245" s="176" t="n"/>
      <c r="DY245" s="176" t="n"/>
      <c r="DZ245" s="176" t="n"/>
      <c r="EA245" s="176" t="n"/>
      <c r="EB245" s="176" t="n"/>
      <c r="EC245" s="176" t="n"/>
      <c r="ED245" s="176" t="n"/>
      <c r="EE245" s="176" t="n"/>
      <c r="EF245" s="176" t="n"/>
      <c r="EG245" s="176" t="n"/>
      <c r="EH245" s="176" t="n"/>
      <c r="EI245" s="176" t="n"/>
      <c r="EJ245" s="176" t="n"/>
      <c r="EK245" s="176" t="n"/>
      <c r="EL245" s="176" t="n"/>
      <c r="EM245" s="176" t="n"/>
      <c r="EN245" s="176" t="n"/>
      <c r="EO245" s="176" t="n"/>
      <c r="EP245" s="176" t="n"/>
      <c r="EQ245" s="176" t="n"/>
      <c r="ER245" s="176" t="n"/>
      <c r="ES245" s="176" t="n"/>
      <c r="ET245" s="176" t="n"/>
      <c r="EU245" s="176" t="n"/>
      <c r="EV245" s="176" t="n"/>
      <c r="EW245" s="176" t="n"/>
      <c r="EX245" s="176" t="n"/>
      <c r="EY245" s="176" t="n"/>
      <c r="EZ245" s="176" t="n"/>
      <c r="FA245" s="176" t="n"/>
      <c r="FB245" s="176" t="n"/>
      <c r="FC245" s="176" t="n"/>
      <c r="FD245" s="176" t="n"/>
      <c r="FE245" s="176" t="n"/>
      <c r="FF245" s="176" t="n"/>
      <c r="FG245" s="176" t="n"/>
      <c r="FH245" s="176" t="n"/>
      <c r="FI245" s="176" t="n"/>
      <c r="FJ245" s="176" t="n"/>
    </row>
  </sheetData>
  <pageMargins left="0.75" right="0.75" top="1" bottom="1" header="0.511811023622047" footer="0.511811023622047"/>
  <pageSetup orientation="portrait" paperSize="9" horizontalDpi="300" verticalDpi="300"/>
</worksheet>
</file>

<file path=xl/worksheets/sheet40.xml><?xml version="1.0" encoding="utf-8"?>
<worksheet xmlns="http://schemas.openxmlformats.org/spreadsheetml/2006/main">
  <sheetPr>
    <tabColor rgb="FFBFBFBF"/>
    <outlinePr summaryBelow="1" summaryRight="1"/>
    <pageSetUpPr/>
  </sheetPr>
  <dimension ref="A1:FJ145"/>
  <sheetViews>
    <sheetView showGridLines="0" zoomScaleNormal="100" workbookViewId="0">
      <pane xSplit="3" ySplit="10" topLeftCell="D11" activePane="bottomRight" state="frozen"/>
      <selection pane="topRight" activeCell="D1" sqref="D1"/>
      <selection pane="bottomLeft" activeCell="A11" sqref="A11"/>
      <selection pane="bottomRight" activeCell="A1" sqref="A1"/>
    </sheetView>
  </sheetViews>
  <sheetFormatPr baseColWidth="10" defaultColWidth="8.6640625" defaultRowHeight="15"/>
  <cols>
    <col width="1.1640625" customWidth="1" style="392" min="1" max="1"/>
    <col width="1.83203125" customWidth="1" style="392" min="2" max="2"/>
    <col width="50.6640625" customWidth="1" style="392" min="3" max="3"/>
    <col width="14.6640625" customWidth="1" style="392" min="4" max="4"/>
    <col width="1.83203125" customWidth="1" style="392" min="12" max="12"/>
    <col width="14.6640625" customWidth="1" style="392" min="13" max="13"/>
    <col width="1.83203125" customWidth="1" style="392" min="142" max="142"/>
  </cols>
  <sheetData>
    <row r="1" ht="6" customHeight="1" s="392">
      <c r="A1" s="176" t="n"/>
      <c r="B1" s="176" t="n"/>
      <c r="C1" s="176" t="n"/>
      <c r="D1" s="176" t="n"/>
      <c r="E1" s="176" t="n"/>
      <c r="F1" s="176" t="n"/>
      <c r="G1" s="176" t="n"/>
      <c r="H1" s="176" t="n"/>
      <c r="I1" s="176" t="n"/>
      <c r="J1" s="176" t="n"/>
      <c r="K1" s="176" t="n"/>
      <c r="L1" s="176" t="n"/>
      <c r="M1" s="176" t="n"/>
      <c r="N1" s="176" t="n"/>
      <c r="O1" s="176" t="n"/>
      <c r="P1" s="176" t="n"/>
      <c r="Q1" s="176" t="n"/>
      <c r="R1" s="176" t="n"/>
      <c r="S1" s="176" t="n"/>
      <c r="T1" s="176" t="n"/>
      <c r="U1" s="176" t="n"/>
      <c r="V1" s="176" t="n"/>
      <c r="W1" s="176" t="n"/>
      <c r="X1" s="176" t="n"/>
      <c r="Y1" s="176" t="n"/>
      <c r="Z1" s="176" t="n"/>
      <c r="AA1" s="176" t="n"/>
      <c r="AB1" s="176" t="n"/>
      <c r="AC1" s="176" t="n"/>
      <c r="AD1" s="176" t="n"/>
      <c r="AE1" s="176" t="n"/>
      <c r="AF1" s="176" t="n"/>
      <c r="AG1" s="176" t="n"/>
      <c r="AH1" s="176" t="n"/>
      <c r="AI1" s="176" t="n"/>
      <c r="AJ1" s="176" t="n"/>
      <c r="AK1" s="176" t="n"/>
      <c r="AL1" s="176" t="n"/>
      <c r="AM1" s="176" t="n"/>
      <c r="AN1" s="176" t="n"/>
      <c r="AO1" s="176" t="n"/>
      <c r="AP1" s="176" t="n"/>
      <c r="AQ1" s="176" t="n"/>
      <c r="AR1" s="176" t="n"/>
      <c r="AS1" s="176" t="n"/>
      <c r="AT1" s="176" t="n"/>
      <c r="AU1" s="176" t="n"/>
      <c r="AV1" s="176" t="n"/>
      <c r="AW1" s="176" t="n"/>
      <c r="AX1" s="176" t="n"/>
      <c r="AY1" s="176" t="n"/>
      <c r="AZ1" s="176" t="n"/>
      <c r="BA1" s="176" t="n"/>
      <c r="BB1" s="176" t="n"/>
      <c r="BC1" s="176" t="n"/>
      <c r="BD1" s="176" t="n"/>
      <c r="BE1" s="176" t="n"/>
      <c r="BF1" s="176" t="n"/>
      <c r="BG1" s="176" t="n"/>
      <c r="BH1" s="176" t="n"/>
      <c r="BI1" s="176" t="n"/>
      <c r="BJ1" s="176" t="n"/>
      <c r="BK1" s="176" t="n"/>
      <c r="BL1" s="176" t="n"/>
      <c r="BM1" s="176" t="n"/>
      <c r="BN1" s="176" t="n"/>
      <c r="BO1" s="176" t="n"/>
      <c r="BP1" s="176" t="n"/>
      <c r="BQ1" s="176" t="n"/>
      <c r="BR1" s="176" t="n"/>
      <c r="BS1" s="176" t="n"/>
      <c r="BT1" s="176" t="n"/>
      <c r="BU1" s="176" t="n"/>
      <c r="BV1" s="176" t="n"/>
      <c r="BW1" s="176" t="n"/>
      <c r="BX1" s="176" t="n"/>
      <c r="BY1" s="176" t="n"/>
      <c r="BZ1" s="176" t="n"/>
      <c r="CA1" s="176" t="n"/>
      <c r="CB1" s="176" t="n"/>
      <c r="CC1" s="176" t="n"/>
      <c r="CD1" s="176" t="n"/>
      <c r="CE1" s="176" t="n"/>
      <c r="CF1" s="176" t="n"/>
      <c r="CG1" s="176" t="n"/>
      <c r="CH1" s="176" t="n"/>
      <c r="CI1" s="176" t="n"/>
      <c r="CJ1" s="176" t="n"/>
      <c r="CK1" s="176" t="n"/>
      <c r="CL1" s="176" t="n"/>
      <c r="CM1" s="176" t="n"/>
      <c r="CN1" s="176" t="n"/>
      <c r="CO1" s="176" t="n"/>
      <c r="CP1" s="176" t="n"/>
      <c r="CQ1" s="176" t="n"/>
      <c r="CR1" s="176" t="n"/>
      <c r="CS1" s="176" t="n"/>
      <c r="CT1" s="176" t="n"/>
      <c r="CU1" s="176" t="n"/>
      <c r="CV1" s="176" t="n"/>
      <c r="CW1" s="176" t="n"/>
      <c r="CX1" s="176" t="n"/>
      <c r="CY1" s="176" t="n"/>
      <c r="CZ1" s="176" t="n"/>
      <c r="DA1" s="176" t="n"/>
      <c r="DB1" s="176" t="n"/>
      <c r="DC1" s="176" t="n"/>
      <c r="DD1" s="176" t="n"/>
      <c r="DE1" s="176" t="n"/>
      <c r="DF1" s="176" t="n"/>
      <c r="DG1" s="176" t="n"/>
      <c r="DH1" s="176" t="n"/>
      <c r="DI1" s="176" t="n"/>
      <c r="DJ1" s="176" t="n"/>
      <c r="DK1" s="176" t="n"/>
      <c r="DL1" s="176" t="n"/>
      <c r="DM1" s="176" t="n"/>
      <c r="DN1" s="176" t="n"/>
      <c r="DO1" s="176" t="n"/>
      <c r="DP1" s="176" t="n"/>
      <c r="DQ1" s="176" t="n"/>
      <c r="DR1" s="176" t="n"/>
      <c r="DS1" s="176" t="n"/>
      <c r="DT1" s="176" t="n"/>
      <c r="DU1" s="176" t="n"/>
      <c r="DV1" s="176" t="n"/>
      <c r="DW1" s="176" t="n"/>
      <c r="DX1" s="176" t="n"/>
      <c r="DY1" s="176" t="n"/>
      <c r="DZ1" s="176" t="n"/>
      <c r="EA1" s="176" t="n"/>
      <c r="EB1" s="176" t="n"/>
      <c r="EC1" s="176" t="n"/>
      <c r="ED1" s="176" t="n"/>
      <c r="EE1" s="176" t="n"/>
      <c r="EF1" s="176" t="n"/>
      <c r="EG1" s="176" t="n"/>
      <c r="EH1" s="176" t="n"/>
      <c r="EI1" s="176" t="n"/>
      <c r="EJ1" s="176" t="n"/>
      <c r="EK1" s="176" t="n"/>
      <c r="EL1" s="176" t="n"/>
      <c r="EM1" s="176" t="n"/>
      <c r="EN1" s="176" t="n"/>
      <c r="EO1" s="176" t="n"/>
      <c r="EP1" s="176" t="n"/>
      <c r="EQ1" s="176" t="n"/>
      <c r="ER1" s="176" t="n"/>
      <c r="ES1" s="176" t="n"/>
      <c r="ET1" s="176" t="n"/>
      <c r="EU1" s="176" t="n"/>
      <c r="EV1" s="176" t="n"/>
      <c r="EW1" s="176" t="n"/>
      <c r="EX1" s="176" t="n"/>
      <c r="EY1" s="176" t="n"/>
      <c r="EZ1" s="176" t="n"/>
      <c r="FA1" s="176" t="n"/>
      <c r="FB1" s="176" t="n"/>
      <c r="FC1" s="176" t="n"/>
      <c r="FD1" s="176" t="n"/>
      <c r="FE1" s="176" t="n"/>
      <c r="FF1" s="176" t="n"/>
      <c r="FG1" s="176" t="n"/>
      <c r="FH1" s="176" t="n"/>
      <c r="FI1" s="176" t="n"/>
      <c r="FJ1" s="176" t="n"/>
    </row>
    <row r="2" ht="39.75" customHeight="1" s="392">
      <c r="A2" s="176" t="n"/>
      <c r="B2" s="177" t="n"/>
      <c r="C2" s="178" t="n"/>
      <c r="D2" s="178" t="n"/>
      <c r="E2" s="178" t="n"/>
      <c r="F2" s="178" t="n"/>
      <c r="G2" s="178" t="n"/>
      <c r="H2" s="178" t="n"/>
      <c r="I2" s="178" t="n"/>
      <c r="J2" s="178" t="n"/>
      <c r="K2" s="178" t="n"/>
      <c r="L2" s="178" t="n"/>
      <c r="M2" s="178" t="n"/>
      <c r="N2" s="178" t="n"/>
      <c r="O2" s="178" t="n"/>
      <c r="P2" s="178" t="n"/>
      <c r="Q2" s="178" t="n"/>
      <c r="R2" s="178" t="n"/>
      <c r="S2" s="178" t="n"/>
      <c r="T2" s="178" t="n"/>
      <c r="U2" s="178" t="n"/>
      <c r="V2" s="178" t="n"/>
      <c r="W2" s="178" t="n"/>
      <c r="X2" s="178" t="n"/>
      <c r="Y2" s="178" t="n"/>
      <c r="Z2" s="178" t="n"/>
      <c r="AA2" s="178" t="n"/>
      <c r="AB2" s="178" t="n"/>
      <c r="AC2" s="178" t="n"/>
      <c r="AD2" s="178" t="n"/>
      <c r="AE2" s="178" t="n"/>
      <c r="AF2" s="178" t="n"/>
      <c r="AG2" s="178" t="n"/>
      <c r="AH2" s="178" t="n"/>
      <c r="AI2" s="178" t="n"/>
      <c r="AJ2" s="178" t="n"/>
      <c r="AK2" s="178" t="n"/>
      <c r="AL2" s="178" t="n"/>
      <c r="AM2" s="178" t="n"/>
      <c r="AN2" s="178" t="n"/>
      <c r="AO2" s="178" t="n"/>
      <c r="AP2" s="178" t="n"/>
      <c r="AQ2" s="178" t="n"/>
      <c r="AR2" s="178" t="n"/>
      <c r="AS2" s="178" t="n"/>
      <c r="AT2" s="178" t="n"/>
      <c r="AU2" s="178" t="n"/>
      <c r="AV2" s="178" t="n"/>
      <c r="AW2" s="178" t="n"/>
      <c r="AX2" s="178" t="n"/>
      <c r="AY2" s="178" t="n"/>
      <c r="AZ2" s="178" t="n"/>
      <c r="BA2" s="178" t="n"/>
      <c r="BB2" s="178" t="n"/>
      <c r="BC2" s="178" t="n"/>
      <c r="BD2" s="178" t="n"/>
      <c r="BE2" s="178" t="n"/>
      <c r="BF2" s="178" t="n"/>
      <c r="BG2" s="178" t="n"/>
      <c r="BH2" s="178" t="n"/>
      <c r="BI2" s="178" t="n"/>
      <c r="BJ2" s="178" t="n"/>
      <c r="BK2" s="178" t="n"/>
      <c r="BL2" s="178" t="n"/>
      <c r="BM2" s="178" t="n"/>
      <c r="BN2" s="178" t="n"/>
      <c r="BO2" s="178" t="n"/>
      <c r="BP2" s="178" t="n"/>
      <c r="BQ2" s="178" t="n"/>
      <c r="BR2" s="178" t="n"/>
      <c r="BS2" s="178" t="n"/>
      <c r="BT2" s="178" t="n"/>
      <c r="BU2" s="178" t="n"/>
      <c r="BV2" s="178" t="n"/>
      <c r="BW2" s="178" t="n"/>
      <c r="BX2" s="178" t="n"/>
      <c r="BY2" s="178" t="n"/>
      <c r="BZ2" s="178" t="n"/>
      <c r="CA2" s="178" t="n"/>
      <c r="CB2" s="178" t="n"/>
      <c r="CC2" s="178" t="n"/>
      <c r="CD2" s="178" t="n"/>
      <c r="CE2" s="178" t="n"/>
      <c r="CF2" s="178" t="n"/>
      <c r="CG2" s="178" t="n"/>
      <c r="CH2" s="178" t="n"/>
      <c r="CI2" s="178" t="n"/>
      <c r="CJ2" s="178" t="n"/>
      <c r="CK2" s="178" t="n"/>
      <c r="CL2" s="178" t="n"/>
      <c r="CM2" s="178" t="n"/>
      <c r="CN2" s="178" t="n"/>
      <c r="CO2" s="178" t="n"/>
      <c r="CP2" s="178" t="n"/>
      <c r="CQ2" s="178" t="n"/>
      <c r="CR2" s="178" t="n"/>
      <c r="CS2" s="178" t="n"/>
      <c r="CT2" s="178" t="n"/>
      <c r="CU2" s="178" t="n"/>
      <c r="CV2" s="178" t="n"/>
      <c r="CW2" s="178" t="n"/>
      <c r="CX2" s="178" t="n"/>
      <c r="CY2" s="178" t="n"/>
      <c r="CZ2" s="178" t="n"/>
      <c r="DA2" s="178" t="n"/>
      <c r="DB2" s="178" t="n"/>
      <c r="DC2" s="178" t="n"/>
      <c r="DD2" s="178" t="n"/>
      <c r="DE2" s="178" t="n"/>
      <c r="DF2" s="178" t="n"/>
      <c r="DG2" s="178" t="n"/>
      <c r="DH2" s="178" t="n"/>
      <c r="DI2" s="178" t="n"/>
      <c r="DJ2" s="178" t="n"/>
      <c r="DK2" s="178" t="n"/>
      <c r="DL2" s="178" t="n"/>
      <c r="DM2" s="178" t="n"/>
      <c r="DN2" s="178" t="n"/>
      <c r="DO2" s="178" t="n"/>
      <c r="DP2" s="178" t="n"/>
      <c r="DQ2" s="178" t="n"/>
      <c r="DR2" s="178" t="n"/>
      <c r="DS2" s="178" t="n"/>
      <c r="DT2" s="178" t="n"/>
      <c r="DU2" s="178" t="n"/>
      <c r="DV2" s="178" t="n"/>
      <c r="DW2" s="178" t="n"/>
      <c r="DX2" s="178" t="n"/>
      <c r="DY2" s="178" t="n"/>
      <c r="DZ2" s="178" t="n"/>
      <c r="EA2" s="178" t="n"/>
      <c r="EB2" s="178" t="n"/>
      <c r="EC2" s="178" t="n"/>
      <c r="ED2" s="178" t="n"/>
      <c r="EE2" s="178" t="n"/>
      <c r="EF2" s="178" t="n"/>
      <c r="EG2" s="178" t="n"/>
      <c r="EH2" s="178" t="n"/>
      <c r="EI2" s="178" t="n"/>
      <c r="EJ2" s="178" t="n"/>
      <c r="EK2" s="178" t="n"/>
      <c r="EL2" s="179" t="n"/>
      <c r="EM2" s="176" t="n"/>
      <c r="EN2" s="176" t="n"/>
      <c r="EO2" s="176" t="n"/>
      <c r="EP2" s="176" t="n"/>
      <c r="EQ2" s="176" t="n"/>
      <c r="ER2" s="176" t="n"/>
      <c r="ES2" s="176" t="n"/>
      <c r="ET2" s="176" t="n"/>
      <c r="EU2" s="176" t="n"/>
      <c r="EV2" s="176" t="n"/>
      <c r="EW2" s="176" t="n"/>
      <c r="EX2" s="176" t="n"/>
      <c r="EY2" s="176" t="n"/>
      <c r="EZ2" s="176" t="n"/>
      <c r="FA2" s="176" t="n"/>
      <c r="FB2" s="176" t="n"/>
      <c r="FC2" s="176" t="n"/>
      <c r="FD2" s="176" t="n"/>
      <c r="FE2" s="176" t="n"/>
      <c r="FF2" s="176" t="n"/>
      <c r="FG2" s="176" t="n"/>
      <c r="FH2" s="176" t="n"/>
      <c r="FI2" s="176" t="n"/>
      <c r="FJ2" s="176" t="n"/>
    </row>
    <row r="3" ht="19.5" customHeight="1" s="392">
      <c r="A3" s="176" t="n"/>
      <c r="B3" s="180" t="n"/>
      <c r="C3" s="181" t="inlineStr">
        <is>
          <t>Cash Flow (Fiscal Quarter)</t>
        </is>
      </c>
      <c r="EL3" s="182" t="n"/>
      <c r="EM3" s="176" t="n"/>
      <c r="EN3" s="176" t="n"/>
      <c r="EO3" s="176" t="n"/>
      <c r="EP3" s="176" t="n"/>
      <c r="EQ3" s="176" t="n"/>
      <c r="ER3" s="176" t="n"/>
      <c r="ES3" s="176" t="n"/>
      <c r="ET3" s="176" t="n"/>
      <c r="EU3" s="176" t="n"/>
      <c r="EV3" s="176" t="n"/>
      <c r="EW3" s="176" t="n"/>
      <c r="EX3" s="176" t="n"/>
      <c r="EY3" s="176" t="n"/>
      <c r="EZ3" s="176" t="n"/>
      <c r="FA3" s="176" t="n"/>
      <c r="FB3" s="176" t="n"/>
      <c r="FC3" s="176" t="n"/>
      <c r="FD3" s="176" t="n"/>
      <c r="FE3" s="176" t="n"/>
      <c r="FF3" s="176" t="n"/>
      <c r="FG3" s="176" t="n"/>
      <c r="FH3" s="176" t="n"/>
      <c r="FI3" s="176" t="n"/>
      <c r="FJ3" s="176" t="n"/>
    </row>
    <row r="4" ht="22.5" customHeight="1" s="392">
      <c r="A4" s="176" t="n"/>
      <c r="B4" s="180" t="n"/>
      <c r="C4" s="183" t="inlineStr">
        <is>
          <t>Downloaded on: 27-Sep-2026</t>
        </is>
      </c>
      <c r="D4" s="184" t="inlineStr">
        <is>
          <t>Summary Stats</t>
        </is>
      </c>
      <c r="E4" s="185" t="n"/>
      <c r="F4" s="185" t="n"/>
      <c r="G4" s="185" t="n"/>
      <c r="H4" s="185" t="n"/>
      <c r="I4" s="185" t="n"/>
      <c r="J4" s="185" t="n"/>
      <c r="K4" s="185" t="n"/>
      <c r="EL4" s="182" t="n"/>
      <c r="EM4" s="176" t="n"/>
      <c r="EN4" s="176" t="n"/>
      <c r="EO4" s="176" t="n"/>
      <c r="EP4" s="176" t="n"/>
      <c r="EQ4" s="176" t="n"/>
      <c r="ER4" s="176" t="n"/>
      <c r="ES4" s="176" t="n"/>
      <c r="ET4" s="176" t="n"/>
      <c r="EU4" s="176" t="n"/>
      <c r="EV4" s="176" t="n"/>
      <c r="EW4" s="176" t="n"/>
      <c r="EX4" s="176" t="n"/>
      <c r="EY4" s="176" t="n"/>
      <c r="EZ4" s="176" t="n"/>
      <c r="FA4" s="176" t="n"/>
      <c r="FB4" s="176" t="n"/>
      <c r="FC4" s="176" t="n"/>
      <c r="FD4" s="176" t="n"/>
      <c r="FE4" s="176" t="n"/>
      <c r="FF4" s="176" t="n"/>
      <c r="FG4" s="176" t="n"/>
      <c r="FH4" s="176" t="n"/>
      <c r="FI4" s="176" t="n"/>
      <c r="FJ4" s="176" t="n"/>
    </row>
    <row r="5" ht="60" customHeight="1" s="392">
      <c r="A5" s="176" t="n"/>
      <c r="B5" s="180" t="n"/>
      <c r="C5" s="183" t="inlineStr">
        <is>
          <t>Company: Copart (NAS: CPRT)</t>
        </is>
      </c>
      <c r="D5" s="186" t="inlineStr">
        <is>
          <t>Median</t>
        </is>
      </c>
      <c r="E5" s="186" t="inlineStr">
        <is>
          <t>Mean</t>
        </is>
      </c>
      <c r="F5" s="186" t="inlineStr">
        <is>
          <t>Min</t>
        </is>
      </c>
      <c r="G5" s="186" t="inlineStr">
        <is>
          <t>Max</t>
        </is>
      </c>
      <c r="H5" s="186" t="inlineStr">
        <is>
          <t>25th pctile</t>
        </is>
      </c>
      <c r="I5" s="186" t="inlineStr">
        <is>
          <t>75th pctile</t>
        </is>
      </c>
      <c r="J5" s="186" t="inlineStr">
        <is>
          <t>Std. Dev</t>
        </is>
      </c>
      <c r="K5" s="186" t="inlineStr">
        <is>
          <t>Coefficient of Variation</t>
        </is>
      </c>
      <c r="M5" s="187" t="inlineStr">
        <is>
          <t>FQ 4Q26</t>
        </is>
      </c>
      <c r="N5" s="187" t="inlineStr">
        <is>
          <t>FQ 3Q26</t>
        </is>
      </c>
      <c r="O5" s="187" t="inlineStr">
        <is>
          <t>FQ 2Q26</t>
        </is>
      </c>
      <c r="P5" s="187" t="inlineStr">
        <is>
          <t>FQ 1Q26</t>
        </is>
      </c>
      <c r="Q5" s="187" t="inlineStr">
        <is>
          <t>FQ 4Q25</t>
        </is>
      </c>
      <c r="R5" s="187" t="inlineStr">
        <is>
          <t>FQ 3Q25</t>
        </is>
      </c>
      <c r="S5" s="187" t="inlineStr">
        <is>
          <t>FQ 2Q25</t>
        </is>
      </c>
      <c r="T5" s="187" t="inlineStr">
        <is>
          <t>FQ 1Q25</t>
        </is>
      </c>
      <c r="U5" s="187" t="inlineStr">
        <is>
          <t>FQ 4Q24</t>
        </is>
      </c>
      <c r="V5" s="187" t="inlineStr">
        <is>
          <t>FQ 3Q24</t>
        </is>
      </c>
      <c r="W5" s="187" t="inlineStr">
        <is>
          <t>FQ 2Q24</t>
        </is>
      </c>
      <c r="X5" s="187" t="inlineStr">
        <is>
          <t>FQ 1Q24</t>
        </is>
      </c>
      <c r="Y5" s="187" t="inlineStr">
        <is>
          <t>FQ 4Q23</t>
        </is>
      </c>
      <c r="Z5" s="187" t="inlineStr">
        <is>
          <t>FQ 3Q23</t>
        </is>
      </c>
      <c r="AA5" s="187" t="inlineStr">
        <is>
          <t>FQ 2Q23</t>
        </is>
      </c>
      <c r="AB5" s="187" t="inlineStr">
        <is>
          <t>FQ 1Q23</t>
        </is>
      </c>
      <c r="AC5" s="187" t="inlineStr">
        <is>
          <t>FQ 4Q22</t>
        </is>
      </c>
      <c r="AD5" s="187" t="inlineStr">
        <is>
          <t>FQ 3Q22</t>
        </is>
      </c>
      <c r="AE5" s="187" t="inlineStr">
        <is>
          <t>FQ 2Q22</t>
        </is>
      </c>
      <c r="AF5" s="187" t="inlineStr">
        <is>
          <t>FQ 1Q22</t>
        </is>
      </c>
      <c r="AG5" s="187" t="inlineStr">
        <is>
          <t>FQ 4Q21</t>
        </is>
      </c>
      <c r="AH5" s="187" t="inlineStr">
        <is>
          <t>FQ 3Q21</t>
        </is>
      </c>
      <c r="AI5" s="187" t="inlineStr">
        <is>
          <t>FQ 2Q21</t>
        </is>
      </c>
      <c r="AJ5" s="187" t="inlineStr">
        <is>
          <t>FQ 1Q21</t>
        </is>
      </c>
      <c r="AK5" s="187" t="inlineStr">
        <is>
          <t>FQ 4Q20</t>
        </is>
      </c>
      <c r="AL5" s="187" t="inlineStr">
        <is>
          <t>FQ 3Q20</t>
        </is>
      </c>
      <c r="AM5" s="187" t="inlineStr">
        <is>
          <t>FQ 2Q20</t>
        </is>
      </c>
      <c r="AN5" s="187" t="inlineStr">
        <is>
          <t>FQ 1Q20</t>
        </is>
      </c>
      <c r="AO5" s="187" t="inlineStr">
        <is>
          <t>FQ 4Q19</t>
        </is>
      </c>
      <c r="AP5" s="187" t="inlineStr">
        <is>
          <t>FQ 3Q19</t>
        </is>
      </c>
      <c r="AQ5" s="187" t="inlineStr">
        <is>
          <t>FQ 2Q19</t>
        </is>
      </c>
      <c r="AR5" s="187" t="inlineStr">
        <is>
          <t>FQ 1Q19</t>
        </is>
      </c>
      <c r="AS5" s="187" t="inlineStr">
        <is>
          <t>FQ 4Q18</t>
        </is>
      </c>
      <c r="AT5" s="187" t="inlineStr">
        <is>
          <t>FQ 3Q18</t>
        </is>
      </c>
      <c r="AU5" s="187" t="inlineStr">
        <is>
          <t>FQ 2Q18</t>
        </is>
      </c>
      <c r="AV5" s="187" t="inlineStr">
        <is>
          <t>FQ 1Q18</t>
        </is>
      </c>
      <c r="AW5" s="187" t="inlineStr">
        <is>
          <t>FQ 4Q17</t>
        </is>
      </c>
      <c r="AX5" s="187" t="inlineStr">
        <is>
          <t>FQ 3Q17</t>
        </is>
      </c>
      <c r="AY5" s="187" t="inlineStr">
        <is>
          <t>FQ 2Q17</t>
        </is>
      </c>
      <c r="AZ5" s="187" t="inlineStr">
        <is>
          <t>FQ 1Q17</t>
        </is>
      </c>
      <c r="BA5" s="187" t="inlineStr">
        <is>
          <t>FQ 4Q16</t>
        </is>
      </c>
      <c r="BB5" s="187" t="inlineStr">
        <is>
          <t>FQ 3Q16</t>
        </is>
      </c>
      <c r="BC5" s="187" t="inlineStr">
        <is>
          <t>FQ 2Q16</t>
        </is>
      </c>
      <c r="BD5" s="187" t="inlineStr">
        <is>
          <t>FQ 1Q16</t>
        </is>
      </c>
      <c r="BE5" s="187" t="inlineStr">
        <is>
          <t>FQ 4Q15</t>
        </is>
      </c>
      <c r="BF5" s="187" t="inlineStr">
        <is>
          <t>FQ 3Q15</t>
        </is>
      </c>
      <c r="BG5" s="187" t="inlineStr">
        <is>
          <t>FQ 2Q15</t>
        </is>
      </c>
      <c r="BH5" s="187" t="inlineStr">
        <is>
          <t>FQ 1Q15</t>
        </is>
      </c>
      <c r="BI5" s="187" t="inlineStr">
        <is>
          <t>FQ 4Q14</t>
        </is>
      </c>
      <c r="BJ5" s="187" t="inlineStr">
        <is>
          <t>FQ 3Q14</t>
        </is>
      </c>
      <c r="BK5" s="187" t="inlineStr">
        <is>
          <t>FQ 2Q14</t>
        </is>
      </c>
      <c r="BL5" s="187" t="inlineStr">
        <is>
          <t>FQ 1Q14</t>
        </is>
      </c>
      <c r="BM5" s="187" t="inlineStr">
        <is>
          <t>FQ 4Q13</t>
        </is>
      </c>
      <c r="BN5" s="187" t="inlineStr">
        <is>
          <t>FQ 3Q13</t>
        </is>
      </c>
      <c r="BO5" s="187" t="inlineStr">
        <is>
          <t>FQ 2Q13</t>
        </is>
      </c>
      <c r="BP5" s="187" t="inlineStr">
        <is>
          <t>FQ 1Q13</t>
        </is>
      </c>
      <c r="BQ5" s="187" t="inlineStr">
        <is>
          <t>FQ 4Q12</t>
        </is>
      </c>
      <c r="BR5" s="187" t="inlineStr">
        <is>
          <t>FQ 3Q12</t>
        </is>
      </c>
      <c r="BS5" s="187" t="inlineStr">
        <is>
          <t>FQ 2Q12</t>
        </is>
      </c>
      <c r="BT5" s="187" t="inlineStr">
        <is>
          <t>FQ 1Q12</t>
        </is>
      </c>
      <c r="BU5" s="187" t="inlineStr">
        <is>
          <t>FQ 4Q11</t>
        </is>
      </c>
      <c r="BV5" s="187" t="inlineStr">
        <is>
          <t>FQ 3Q11</t>
        </is>
      </c>
      <c r="BW5" s="187" t="inlineStr">
        <is>
          <t>FQ 2Q11</t>
        </is>
      </c>
      <c r="BX5" s="187" t="inlineStr">
        <is>
          <t>FQ 1Q11</t>
        </is>
      </c>
      <c r="BY5" s="187" t="inlineStr">
        <is>
          <t>FQ 4Q10</t>
        </is>
      </c>
      <c r="BZ5" s="187" t="inlineStr">
        <is>
          <t>FQ 3Q10</t>
        </is>
      </c>
      <c r="CA5" s="187" t="inlineStr">
        <is>
          <t>FQ 2Q10</t>
        </is>
      </c>
      <c r="CB5" s="187" t="inlineStr">
        <is>
          <t>FQ 1Q10</t>
        </is>
      </c>
      <c r="CC5" s="187" t="inlineStr">
        <is>
          <t>FQ 4Q9</t>
        </is>
      </c>
      <c r="CD5" s="187" t="inlineStr">
        <is>
          <t>FQ 3Q9</t>
        </is>
      </c>
      <c r="CE5" s="187" t="inlineStr">
        <is>
          <t>FQ 2Q9</t>
        </is>
      </c>
      <c r="CF5" s="187" t="inlineStr">
        <is>
          <t>FQ 1Q9</t>
        </is>
      </c>
      <c r="CG5" s="187" t="inlineStr">
        <is>
          <t>FQ 4Q8</t>
        </is>
      </c>
      <c r="CH5" s="187" t="inlineStr">
        <is>
          <t>FQ 3Q8</t>
        </is>
      </c>
      <c r="CI5" s="187" t="inlineStr">
        <is>
          <t>FQ 2Q8</t>
        </is>
      </c>
      <c r="CJ5" s="187" t="inlineStr">
        <is>
          <t>FQ 1Q8</t>
        </is>
      </c>
      <c r="CK5" s="187" t="inlineStr">
        <is>
          <t>FQ 4Q7</t>
        </is>
      </c>
      <c r="CL5" s="187" t="inlineStr">
        <is>
          <t>FQ 3Q7</t>
        </is>
      </c>
      <c r="CM5" s="187" t="inlineStr">
        <is>
          <t>FQ 2Q7</t>
        </is>
      </c>
      <c r="CN5" s="187" t="inlineStr">
        <is>
          <t>FQ 1Q7</t>
        </is>
      </c>
      <c r="CO5" s="187" t="inlineStr">
        <is>
          <t>FQ 4Q6</t>
        </is>
      </c>
      <c r="CP5" s="187" t="inlineStr">
        <is>
          <t>FQ 3Q6</t>
        </is>
      </c>
      <c r="CQ5" s="187" t="inlineStr">
        <is>
          <t>FQ 2Q6</t>
        </is>
      </c>
      <c r="CR5" s="187" t="inlineStr">
        <is>
          <t>FQ 1Q6</t>
        </is>
      </c>
      <c r="CS5" s="187" t="inlineStr">
        <is>
          <t>FQ 4Q5</t>
        </is>
      </c>
      <c r="CT5" s="187" t="inlineStr">
        <is>
          <t>FQ 3Q5</t>
        </is>
      </c>
      <c r="CU5" s="187" t="inlineStr">
        <is>
          <t>FQ 2Q5</t>
        </is>
      </c>
      <c r="CV5" s="187" t="inlineStr">
        <is>
          <t>FQ 1Q5</t>
        </is>
      </c>
      <c r="CW5" s="187" t="inlineStr">
        <is>
          <t>FQ 4Q4</t>
        </is>
      </c>
      <c r="CX5" s="187" t="inlineStr">
        <is>
          <t>FQ 3Q4</t>
        </is>
      </c>
      <c r="CY5" s="187" t="inlineStr">
        <is>
          <t>FQ 2Q4</t>
        </is>
      </c>
      <c r="CZ5" s="187" t="inlineStr">
        <is>
          <t>FQ 1Q4</t>
        </is>
      </c>
      <c r="DA5" s="187" t="inlineStr">
        <is>
          <t>FQ 4Q3</t>
        </is>
      </c>
      <c r="DB5" s="187" t="inlineStr">
        <is>
          <t>FQ 3Q3</t>
        </is>
      </c>
      <c r="DC5" s="187" t="inlineStr">
        <is>
          <t>FQ 2Q3</t>
        </is>
      </c>
      <c r="DD5" s="187" t="inlineStr">
        <is>
          <t>FQ 1Q3</t>
        </is>
      </c>
      <c r="DE5" s="187" t="inlineStr">
        <is>
          <t>FQ 4Q2</t>
        </is>
      </c>
      <c r="DF5" s="187" t="inlineStr">
        <is>
          <t>FQ 3Q2</t>
        </is>
      </c>
      <c r="DG5" s="187" t="inlineStr">
        <is>
          <t>FQ 2Q2</t>
        </is>
      </c>
      <c r="DH5" s="187" t="inlineStr">
        <is>
          <t>FQ 1Q2</t>
        </is>
      </c>
      <c r="DI5" s="187" t="inlineStr">
        <is>
          <t>FQ 4Q1</t>
        </is>
      </c>
      <c r="DJ5" s="187" t="inlineStr">
        <is>
          <t>FQ 3Q1</t>
        </is>
      </c>
      <c r="DK5" s="187" t="inlineStr">
        <is>
          <t>FQ 2Q1</t>
        </is>
      </c>
      <c r="DL5" s="187" t="inlineStr">
        <is>
          <t>FQ 1Q1</t>
        </is>
      </c>
      <c r="DM5" s="187" t="inlineStr">
        <is>
          <t>FQ 4Q0</t>
        </is>
      </c>
      <c r="DN5" s="187" t="inlineStr">
        <is>
          <t>FQ 3Q0</t>
        </is>
      </c>
      <c r="DO5" s="187" t="inlineStr">
        <is>
          <t>FQ 2Q0</t>
        </is>
      </c>
      <c r="DP5" s="187" t="inlineStr">
        <is>
          <t>FQ 1Q0</t>
        </is>
      </c>
      <c r="DQ5" s="187" t="inlineStr">
        <is>
          <t>FQ 4Q99</t>
        </is>
      </c>
      <c r="DR5" s="187" t="inlineStr">
        <is>
          <t>FQ 3Q99</t>
        </is>
      </c>
      <c r="DS5" s="187" t="inlineStr">
        <is>
          <t>FQ 2Q99</t>
        </is>
      </c>
      <c r="DT5" s="187" t="inlineStr">
        <is>
          <t>FQ 1Q99</t>
        </is>
      </c>
      <c r="DU5" s="187" t="inlineStr">
        <is>
          <t>FQ 4Q98</t>
        </is>
      </c>
      <c r="DV5" s="187" t="inlineStr">
        <is>
          <t>FQ 3Q98</t>
        </is>
      </c>
      <c r="DW5" s="187" t="inlineStr">
        <is>
          <t>FQ 2Q98</t>
        </is>
      </c>
      <c r="DX5" s="187" t="inlineStr">
        <is>
          <t>FQ 1Q98</t>
        </is>
      </c>
      <c r="DY5" s="187" t="inlineStr">
        <is>
          <t>FQ 4Q97</t>
        </is>
      </c>
      <c r="DZ5" s="187" t="inlineStr">
        <is>
          <t>FQ 3Q97</t>
        </is>
      </c>
      <c r="EA5" s="187" t="inlineStr">
        <is>
          <t>FQ 2Q97</t>
        </is>
      </c>
      <c r="EB5" s="187" t="inlineStr">
        <is>
          <t>FQ 1Q97</t>
        </is>
      </c>
      <c r="EC5" s="187" t="inlineStr">
        <is>
          <t>FQ 4Q96</t>
        </is>
      </c>
      <c r="ED5" s="187" t="inlineStr">
        <is>
          <t>FQ 3Q96</t>
        </is>
      </c>
      <c r="EE5" s="187" t="inlineStr">
        <is>
          <t>FQ 2Q96</t>
        </is>
      </c>
      <c r="EF5" s="187" t="inlineStr">
        <is>
          <t>FQ 1Q96</t>
        </is>
      </c>
      <c r="EG5" s="187" t="inlineStr">
        <is>
          <t>FQ 4Q95</t>
        </is>
      </c>
      <c r="EH5" s="187" t="inlineStr">
        <is>
          <t>FQ 3Q95</t>
        </is>
      </c>
      <c r="EI5" s="187" t="inlineStr">
        <is>
          <t>FQ 2Q95</t>
        </is>
      </c>
      <c r="EJ5" s="187" t="inlineStr">
        <is>
          <t>FQ 1Q95</t>
        </is>
      </c>
      <c r="EK5" s="187" t="inlineStr">
        <is>
          <t>FQ 4Q94</t>
        </is>
      </c>
      <c r="EL5" s="182" t="n"/>
      <c r="EM5" s="176" t="n"/>
      <c r="EN5" s="176" t="n"/>
      <c r="EO5" s="176" t="n"/>
      <c r="EP5" s="176" t="n"/>
      <c r="EQ5" s="176" t="n"/>
      <c r="ER5" s="176" t="n"/>
      <c r="ES5" s="176" t="n"/>
      <c r="ET5" s="176" t="n"/>
      <c r="EU5" s="176" t="n"/>
      <c r="EV5" s="176" t="n"/>
      <c r="EW5" s="176" t="n"/>
      <c r="EX5" s="176" t="n"/>
      <c r="EY5" s="176" t="n"/>
      <c r="EZ5" s="176" t="n"/>
      <c r="FA5" s="176" t="n"/>
      <c r="FB5" s="176" t="n"/>
      <c r="FC5" s="176" t="n"/>
      <c r="FD5" s="176" t="n"/>
      <c r="FE5" s="176" t="n"/>
      <c r="FF5" s="176" t="n"/>
      <c r="FG5" s="176" t="n"/>
      <c r="FH5" s="176" t="n"/>
      <c r="FI5" s="176" t="n"/>
      <c r="FJ5" s="176" t="n"/>
    </row>
    <row r="6" ht="15" customHeight="1" s="392">
      <c r="A6" s="176" t="n"/>
      <c r="B6" s="180" t="n"/>
      <c r="D6" s="185" t="n"/>
      <c r="E6" s="185" t="n"/>
      <c r="F6" s="185" t="n"/>
      <c r="G6" s="185" t="n"/>
      <c r="H6" s="185" t="n"/>
      <c r="I6" s="185" t="n"/>
      <c r="J6" s="185" t="n"/>
      <c r="K6" s="185" t="n"/>
      <c r="M6" s="183" t="inlineStr">
        <is>
          <t>End: 31-Jul-2026</t>
        </is>
      </c>
      <c r="N6" s="183" t="inlineStr">
        <is>
          <t>End: 30-Apr-2026</t>
        </is>
      </c>
      <c r="O6" s="183" t="inlineStr">
        <is>
          <t>End: 31-Jan-2026</t>
        </is>
      </c>
      <c r="P6" s="183" t="inlineStr">
        <is>
          <t>End: 31-Oct-2025</t>
        </is>
      </c>
      <c r="Q6" s="183" t="inlineStr">
        <is>
          <t>End: 31-Jul-2025</t>
        </is>
      </c>
      <c r="R6" s="183" t="inlineStr">
        <is>
          <t>End: 30-Apr-2025</t>
        </is>
      </c>
      <c r="S6" s="183" t="inlineStr">
        <is>
          <t>End: 31-Jan-2025</t>
        </is>
      </c>
      <c r="T6" s="183" t="inlineStr">
        <is>
          <t>End: 31-Oct-2024</t>
        </is>
      </c>
      <c r="U6" s="183" t="inlineStr">
        <is>
          <t>End: 31-Jul-2024</t>
        </is>
      </c>
      <c r="V6" s="183" t="inlineStr">
        <is>
          <t>End: 30-Apr-2024</t>
        </is>
      </c>
      <c r="W6" s="183" t="inlineStr">
        <is>
          <t>End: 31-Jan-2024</t>
        </is>
      </c>
      <c r="X6" s="183" t="inlineStr">
        <is>
          <t>End: 31-Oct-2023</t>
        </is>
      </c>
      <c r="Y6" s="183" t="inlineStr">
        <is>
          <t>End: 31-Jul-2023</t>
        </is>
      </c>
      <c r="Z6" s="183" t="inlineStr">
        <is>
          <t>End: 30-Apr-2023</t>
        </is>
      </c>
      <c r="AA6" s="183" t="inlineStr">
        <is>
          <t>End: 31-Jan-2023</t>
        </is>
      </c>
      <c r="AB6" s="183" t="inlineStr">
        <is>
          <t>End: 31-Oct-2022</t>
        </is>
      </c>
      <c r="AC6" s="183" t="inlineStr">
        <is>
          <t>End: 31-Jul-2022</t>
        </is>
      </c>
      <c r="AD6" s="183" t="inlineStr">
        <is>
          <t>End: 30-Apr-2022</t>
        </is>
      </c>
      <c r="AE6" s="183" t="inlineStr">
        <is>
          <t>End: 31-Jan-2022</t>
        </is>
      </c>
      <c r="AF6" s="183" t="inlineStr">
        <is>
          <t>End: 31-Oct-2021</t>
        </is>
      </c>
      <c r="AG6" s="183" t="inlineStr">
        <is>
          <t>End: 31-Jul-2021</t>
        </is>
      </c>
      <c r="AH6" s="183" t="inlineStr">
        <is>
          <t>End: 30-Apr-2021</t>
        </is>
      </c>
      <c r="AI6" s="183" t="inlineStr">
        <is>
          <t>End: 31-Jan-2021</t>
        </is>
      </c>
      <c r="AJ6" s="183" t="inlineStr">
        <is>
          <t>End: 31-Oct-2020</t>
        </is>
      </c>
      <c r="AK6" s="183" t="inlineStr">
        <is>
          <t>End: 31-Jul-2020</t>
        </is>
      </c>
      <c r="AL6" s="183" t="inlineStr">
        <is>
          <t>End: 30-Apr-2020</t>
        </is>
      </c>
      <c r="AM6" s="183" t="inlineStr">
        <is>
          <t>End: 31-Jan-2020</t>
        </is>
      </c>
      <c r="AN6" s="183" t="inlineStr">
        <is>
          <t>End: 31-Oct-2019</t>
        </is>
      </c>
      <c r="AO6" s="183" t="inlineStr">
        <is>
          <t>End: 31-Jul-2019</t>
        </is>
      </c>
      <c r="AP6" s="183" t="inlineStr">
        <is>
          <t>End: 30-Apr-2019</t>
        </is>
      </c>
      <c r="AQ6" s="183" t="inlineStr">
        <is>
          <t>End: 31-Jan-2019</t>
        </is>
      </c>
      <c r="AR6" s="183" t="inlineStr">
        <is>
          <t>End: 31-Oct-2018</t>
        </is>
      </c>
      <c r="AS6" s="183" t="inlineStr">
        <is>
          <t>End: 31-Jul-2018</t>
        </is>
      </c>
      <c r="AT6" s="183" t="inlineStr">
        <is>
          <t>End: 30-Apr-2018</t>
        </is>
      </c>
      <c r="AU6" s="183" t="inlineStr">
        <is>
          <t>End: 31-Jan-2018</t>
        </is>
      </c>
      <c r="AV6" s="183" t="inlineStr">
        <is>
          <t>End: 31-Oct-2017</t>
        </is>
      </c>
      <c r="AW6" s="183" t="inlineStr">
        <is>
          <t>End: 31-Jul-2017</t>
        </is>
      </c>
      <c r="AX6" s="183" t="inlineStr">
        <is>
          <t>End: 30-Apr-2017</t>
        </is>
      </c>
      <c r="AY6" s="183" t="inlineStr">
        <is>
          <t>End: 31-Jan-2017</t>
        </is>
      </c>
      <c r="AZ6" s="183" t="inlineStr">
        <is>
          <t>End: 31-Oct-2016</t>
        </is>
      </c>
      <c r="BA6" s="183" t="inlineStr">
        <is>
          <t>End: 31-Jul-2016</t>
        </is>
      </c>
      <c r="BB6" s="183" t="inlineStr">
        <is>
          <t>End: 30-Apr-2016</t>
        </is>
      </c>
      <c r="BC6" s="183" t="inlineStr">
        <is>
          <t>End: 31-Jan-2016</t>
        </is>
      </c>
      <c r="BD6" s="183" t="inlineStr">
        <is>
          <t>End: 31-Oct-2015</t>
        </is>
      </c>
      <c r="BE6" s="183" t="inlineStr">
        <is>
          <t>End: 31-Jul-2015</t>
        </is>
      </c>
      <c r="BF6" s="183" t="inlineStr">
        <is>
          <t>End: 30-Apr-2015</t>
        </is>
      </c>
      <c r="BG6" s="183" t="inlineStr">
        <is>
          <t>End: 31-Jan-2015</t>
        </is>
      </c>
      <c r="BH6" s="183" t="inlineStr">
        <is>
          <t>End: 31-Oct-2014</t>
        </is>
      </c>
      <c r="BI6" s="183" t="inlineStr">
        <is>
          <t>End: 31-Jul-2014</t>
        </is>
      </c>
      <c r="BJ6" s="183" t="inlineStr">
        <is>
          <t>End: 30-Apr-2014</t>
        </is>
      </c>
      <c r="BK6" s="183" t="inlineStr">
        <is>
          <t>End: 31-Jan-2014</t>
        </is>
      </c>
      <c r="BL6" s="183" t="inlineStr">
        <is>
          <t>End: 31-Oct-2013</t>
        </is>
      </c>
      <c r="BM6" s="183" t="inlineStr">
        <is>
          <t>End: 31-Jul-2013</t>
        </is>
      </c>
      <c r="BN6" s="183" t="inlineStr">
        <is>
          <t>End: 30-Apr-2013</t>
        </is>
      </c>
      <c r="BO6" s="183" t="inlineStr">
        <is>
          <t>End: 31-Jan-2013</t>
        </is>
      </c>
      <c r="BP6" s="183" t="inlineStr">
        <is>
          <t>End: 31-Oct-2012</t>
        </is>
      </c>
      <c r="BQ6" s="183" t="inlineStr">
        <is>
          <t>End: 31-Jul-2012</t>
        </is>
      </c>
      <c r="BR6" s="183" t="inlineStr">
        <is>
          <t>End: 30-Apr-2012</t>
        </is>
      </c>
      <c r="BS6" s="183" t="inlineStr">
        <is>
          <t>End: 31-Jan-2012</t>
        </is>
      </c>
      <c r="BT6" s="183" t="inlineStr">
        <is>
          <t>End: 31-Oct-2011</t>
        </is>
      </c>
      <c r="BU6" s="183" t="inlineStr">
        <is>
          <t>End: 31-Jul-2011</t>
        </is>
      </c>
      <c r="BV6" s="183" t="inlineStr">
        <is>
          <t>End: 30-Apr-2011</t>
        </is>
      </c>
      <c r="BW6" s="183" t="inlineStr">
        <is>
          <t>End: 31-Jan-2011</t>
        </is>
      </c>
      <c r="BX6" s="183" t="inlineStr">
        <is>
          <t>End: 31-Oct-2010</t>
        </is>
      </c>
      <c r="BY6" s="183" t="inlineStr">
        <is>
          <t>End: 31-Jul-2010</t>
        </is>
      </c>
      <c r="BZ6" s="183" t="inlineStr">
        <is>
          <t>End: 30-Apr-2010</t>
        </is>
      </c>
      <c r="CA6" s="183" t="inlineStr">
        <is>
          <t>End: 31-Jan-2010</t>
        </is>
      </c>
      <c r="CB6" s="183" t="inlineStr">
        <is>
          <t>End: 31-Oct-2009</t>
        </is>
      </c>
      <c r="CC6" s="183" t="inlineStr">
        <is>
          <t>End: 31-Jul-2009</t>
        </is>
      </c>
      <c r="CD6" s="183" t="inlineStr">
        <is>
          <t>End: 30-Apr-2009</t>
        </is>
      </c>
      <c r="CE6" s="183" t="inlineStr">
        <is>
          <t>End: 31-Jan-2009</t>
        </is>
      </c>
      <c r="CF6" s="183" t="inlineStr">
        <is>
          <t>End: 31-Oct-2008</t>
        </is>
      </c>
      <c r="CG6" s="183" t="inlineStr">
        <is>
          <t>End: 31-Jul-2008</t>
        </is>
      </c>
      <c r="CH6" s="183" t="inlineStr">
        <is>
          <t>End: 30-Apr-2008</t>
        </is>
      </c>
      <c r="CI6" s="183" t="inlineStr">
        <is>
          <t>End: 31-Jan-2008</t>
        </is>
      </c>
      <c r="CJ6" s="183" t="inlineStr">
        <is>
          <t>End: 31-Oct-2007</t>
        </is>
      </c>
      <c r="CK6" s="183" t="inlineStr">
        <is>
          <t>End: 31-Jul-2007</t>
        </is>
      </c>
      <c r="CL6" s="183" t="inlineStr">
        <is>
          <t>End: 30-Apr-2007</t>
        </is>
      </c>
      <c r="CM6" s="183" t="inlineStr">
        <is>
          <t>End: 31-Jan-2007</t>
        </is>
      </c>
      <c r="CN6" s="183" t="inlineStr">
        <is>
          <t>End: 31-Oct-2006</t>
        </is>
      </c>
      <c r="CO6" s="183" t="inlineStr">
        <is>
          <t>End: 31-Jul-2006</t>
        </is>
      </c>
      <c r="CP6" s="183" t="inlineStr">
        <is>
          <t>End: 30-Apr-2006</t>
        </is>
      </c>
      <c r="CQ6" s="183" t="inlineStr">
        <is>
          <t>End: 31-Jan-2006</t>
        </is>
      </c>
      <c r="CR6" s="183" t="inlineStr">
        <is>
          <t>End: 31-Oct-2005</t>
        </is>
      </c>
      <c r="CS6" s="183" t="inlineStr">
        <is>
          <t>End: 31-Jul-2005</t>
        </is>
      </c>
      <c r="CT6" s="183" t="inlineStr">
        <is>
          <t>End: 30-Apr-2005</t>
        </is>
      </c>
      <c r="CU6" s="183" t="inlineStr">
        <is>
          <t>End: 31-Jan-2005</t>
        </is>
      </c>
      <c r="CV6" s="183" t="inlineStr">
        <is>
          <t>End: 31-Oct-2004</t>
        </is>
      </c>
      <c r="CW6" s="183" t="inlineStr">
        <is>
          <t>End: 31-Jul-2004</t>
        </is>
      </c>
      <c r="CX6" s="183" t="inlineStr">
        <is>
          <t>End: 30-Apr-2004</t>
        </is>
      </c>
      <c r="CY6" s="183" t="inlineStr">
        <is>
          <t>End: 31-Jan-2004</t>
        </is>
      </c>
      <c r="CZ6" s="183" t="inlineStr">
        <is>
          <t>End: 31-Oct-2003</t>
        </is>
      </c>
      <c r="DA6" s="183" t="inlineStr">
        <is>
          <t>End: 31-Jul-2003</t>
        </is>
      </c>
      <c r="DB6" s="183" t="inlineStr">
        <is>
          <t>End: 30-Apr-2003</t>
        </is>
      </c>
      <c r="DC6" s="183" t="inlineStr">
        <is>
          <t>End: 31-Jan-2003</t>
        </is>
      </c>
      <c r="DD6" s="183" t="inlineStr">
        <is>
          <t>End: 31-Oct-2002</t>
        </is>
      </c>
      <c r="DE6" s="183" t="inlineStr">
        <is>
          <t>End: 31-Jul-2002</t>
        </is>
      </c>
      <c r="DF6" s="183" t="inlineStr">
        <is>
          <t>End: 30-Apr-2002</t>
        </is>
      </c>
      <c r="DG6" s="183" t="inlineStr">
        <is>
          <t>End: 31-Jan-2002</t>
        </is>
      </c>
      <c r="DH6" s="183" t="inlineStr">
        <is>
          <t>End: 31-Oct-2001</t>
        </is>
      </c>
      <c r="DI6" s="183" t="inlineStr">
        <is>
          <t>End: 31-Jul-2001</t>
        </is>
      </c>
      <c r="DJ6" s="183" t="inlineStr">
        <is>
          <t>End: 30-Apr-2001</t>
        </is>
      </c>
      <c r="DK6" s="183" t="inlineStr">
        <is>
          <t>End: 31-Jan-2001</t>
        </is>
      </c>
      <c r="DL6" s="183" t="inlineStr">
        <is>
          <t>End: 31-Oct-2000</t>
        </is>
      </c>
      <c r="DM6" s="183" t="inlineStr">
        <is>
          <t>End: 31-Jul-2000</t>
        </is>
      </c>
      <c r="DN6" s="183" t="inlineStr">
        <is>
          <t>End: 30-Apr-2000</t>
        </is>
      </c>
      <c r="DO6" s="183" t="inlineStr">
        <is>
          <t>End: 31-Jan-2000</t>
        </is>
      </c>
      <c r="DP6" s="183" t="inlineStr">
        <is>
          <t>End: 31-Oct-1999</t>
        </is>
      </c>
      <c r="DQ6" s="183" t="inlineStr">
        <is>
          <t>End: 31-Jul-1999</t>
        </is>
      </c>
      <c r="DR6" s="183" t="inlineStr">
        <is>
          <t>End: 30-Apr-1999</t>
        </is>
      </c>
      <c r="DS6" s="183" t="inlineStr">
        <is>
          <t>End: 31-Jan-1999</t>
        </is>
      </c>
      <c r="DT6" s="183" t="inlineStr">
        <is>
          <t>End: 31-Oct-1998</t>
        </is>
      </c>
      <c r="DU6" s="183" t="inlineStr">
        <is>
          <t>End: 31-Jul-1998</t>
        </is>
      </c>
      <c r="DV6" s="183" t="inlineStr">
        <is>
          <t>End: 30-Apr-1998</t>
        </is>
      </c>
      <c r="DW6" s="183" t="inlineStr">
        <is>
          <t>End: 31-Jan-1998</t>
        </is>
      </c>
      <c r="DX6" s="183" t="inlineStr">
        <is>
          <t>End: 31-Oct-1997</t>
        </is>
      </c>
      <c r="DY6" s="183" t="inlineStr">
        <is>
          <t>End: 31-Jul-1997</t>
        </is>
      </c>
      <c r="DZ6" s="183" t="inlineStr">
        <is>
          <t>End: 30-Apr-1997</t>
        </is>
      </c>
      <c r="EA6" s="183" t="inlineStr">
        <is>
          <t>End: 31-Jan-1997</t>
        </is>
      </c>
      <c r="EB6" s="183" t="inlineStr">
        <is>
          <t>End: 31-Oct-1996</t>
        </is>
      </c>
      <c r="EC6" s="183" t="inlineStr">
        <is>
          <t>End: 31-Jul-1996</t>
        </is>
      </c>
      <c r="ED6" s="183" t="inlineStr">
        <is>
          <t>End: 30-Apr-1996</t>
        </is>
      </c>
      <c r="EE6" s="183" t="inlineStr">
        <is>
          <t>End: 31-Jan-1996</t>
        </is>
      </c>
      <c r="EF6" s="183" t="inlineStr">
        <is>
          <t>End: 31-Oct-1995</t>
        </is>
      </c>
      <c r="EG6" s="183" t="inlineStr">
        <is>
          <t>End: 31-Jul-1995</t>
        </is>
      </c>
      <c r="EH6" s="183" t="inlineStr">
        <is>
          <t>End: 30-Apr-1995</t>
        </is>
      </c>
      <c r="EI6" s="183" t="inlineStr">
        <is>
          <t>End: 31-Jan-1995</t>
        </is>
      </c>
      <c r="EJ6" s="183" t="inlineStr">
        <is>
          <t>End: 31-Oct-1994</t>
        </is>
      </c>
      <c r="EK6" s="183" t="inlineStr">
        <is>
          <t>End: 31-Jul-1994</t>
        </is>
      </c>
      <c r="EL6" s="182" t="n"/>
      <c r="EM6" s="176" t="n"/>
      <c r="EN6" s="176" t="n"/>
      <c r="EO6" s="176" t="n"/>
      <c r="EP6" s="176" t="n"/>
      <c r="EQ6" s="176" t="n"/>
      <c r="ER6" s="176" t="n"/>
      <c r="ES6" s="176" t="n"/>
      <c r="ET6" s="176" t="n"/>
      <c r="EU6" s="176" t="n"/>
      <c r="EV6" s="176" t="n"/>
      <c r="EW6" s="176" t="n"/>
      <c r="EX6" s="176" t="n"/>
      <c r="EY6" s="176" t="n"/>
      <c r="EZ6" s="176" t="n"/>
      <c r="FA6" s="176" t="n"/>
      <c r="FB6" s="176" t="n"/>
      <c r="FC6" s="176" t="n"/>
      <c r="FD6" s="176" t="n"/>
      <c r="FE6" s="176" t="n"/>
      <c r="FF6" s="176" t="n"/>
      <c r="FG6" s="176" t="n"/>
      <c r="FH6" s="176" t="n"/>
      <c r="FI6" s="176" t="n"/>
      <c r="FJ6" s="176" t="n"/>
    </row>
    <row r="7" ht="15" customHeight="1" s="392">
      <c r="A7" s="176" t="n"/>
      <c r="B7" s="180" t="n"/>
      <c r="C7" s="183" t="inlineStr">
        <is>
          <t>Amount in thousands  (USD) (except Ratios, Multiples &amp; per share items)</t>
        </is>
      </c>
      <c r="D7" s="185" t="n"/>
      <c r="E7" s="185" t="n"/>
      <c r="F7" s="185" t="n"/>
      <c r="G7" s="185" t="n"/>
      <c r="H7" s="185" t="n"/>
      <c r="I7" s="185" t="n"/>
      <c r="J7" s="185" t="n"/>
      <c r="K7" s="185" t="n"/>
      <c r="M7" s="183" t="inlineStr">
        <is>
          <t>Filed: 10-Sep-2026</t>
        </is>
      </c>
      <c r="N7" s="183" t="inlineStr">
        <is>
          <t>Filed: 29-May-2026</t>
        </is>
      </c>
      <c r="O7" s="183" t="inlineStr">
        <is>
          <t>Filed: 03-Mar-2026</t>
        </is>
      </c>
      <c r="P7" s="183" t="inlineStr">
        <is>
          <t>Filed: 24-Nov-2025</t>
        </is>
      </c>
      <c r="Q7" s="183" t="inlineStr">
        <is>
          <t>Filed: 26-Sep-2025</t>
        </is>
      </c>
      <c r="R7" s="183" t="inlineStr">
        <is>
          <t>Filed: 29-May-2026</t>
        </is>
      </c>
      <c r="S7" s="183" t="inlineStr">
        <is>
          <t>Filed: 03-Mar-2026</t>
        </is>
      </c>
      <c r="T7" s="183" t="inlineStr">
        <is>
          <t>Filed: 24-Nov-2025</t>
        </is>
      </c>
      <c r="U7" s="183" t="inlineStr">
        <is>
          <t>Filed: 26-Sep-2025</t>
        </is>
      </c>
      <c r="V7" s="183" t="inlineStr">
        <is>
          <t>Filed: 03-Jun-2025</t>
        </is>
      </c>
      <c r="W7" s="183" t="inlineStr">
        <is>
          <t>Filed: 26-Feb-2025</t>
        </is>
      </c>
      <c r="X7" s="183" t="inlineStr">
        <is>
          <t>Filed: 26-Nov-2024</t>
        </is>
      </c>
      <c r="Y7" s="183" t="inlineStr">
        <is>
          <t>Filed: 26-Sep-2025</t>
        </is>
      </c>
      <c r="Z7" s="183" t="inlineStr">
        <is>
          <t>Filed: 23-May-2024</t>
        </is>
      </c>
      <c r="AA7" s="183" t="inlineStr">
        <is>
          <t>Filed: 27-Feb-2024</t>
        </is>
      </c>
      <c r="AB7" s="183" t="inlineStr">
        <is>
          <t>Filed: 18-Nov-2022</t>
        </is>
      </c>
      <c r="AC7" s="183" t="inlineStr">
        <is>
          <t>Filed: 27-Sep-2022</t>
        </is>
      </c>
      <c r="AD7" s="183" t="inlineStr">
        <is>
          <t>Filed: 25-May-2022</t>
        </is>
      </c>
      <c r="AE7" s="183" t="inlineStr">
        <is>
          <t>Filed: 24-Feb-2023</t>
        </is>
      </c>
      <c r="AF7" s="183" t="inlineStr">
        <is>
          <t>Filed: 18-Nov-2022</t>
        </is>
      </c>
      <c r="AG7" s="183" t="inlineStr">
        <is>
          <t>Filed: 27-Sep-2022</t>
        </is>
      </c>
      <c r="AH7" s="183" t="inlineStr">
        <is>
          <t>Filed: 25-May-2022</t>
        </is>
      </c>
      <c r="AI7" s="183" t="inlineStr">
        <is>
          <t>Filed: 03-Mar-2022</t>
        </is>
      </c>
      <c r="AJ7" s="183" t="inlineStr">
        <is>
          <t>Filed: 19-Nov-2021</t>
        </is>
      </c>
      <c r="AK7" s="183" t="inlineStr">
        <is>
          <t>Filed: 27-Sep-2022</t>
        </is>
      </c>
      <c r="AL7" s="183" t="inlineStr">
        <is>
          <t>Filed: 24-May-2021</t>
        </is>
      </c>
      <c r="AM7" s="183" t="inlineStr">
        <is>
          <t>Filed: 24-Feb-2021</t>
        </is>
      </c>
      <c r="AN7" s="183" t="inlineStr">
        <is>
          <t>Filed: 20-Nov-2020</t>
        </is>
      </c>
      <c r="AO7" s="183" t="inlineStr">
        <is>
          <t>Filed: 27-Sep-2021</t>
        </is>
      </c>
      <c r="AP7" s="183" t="inlineStr">
        <is>
          <t>Filed: 28-May-2020</t>
        </is>
      </c>
      <c r="AQ7" s="183" t="inlineStr">
        <is>
          <t>Filed: 27-Feb-2020</t>
        </is>
      </c>
      <c r="AR7" s="183" t="inlineStr">
        <is>
          <t>Filed: 25-Nov-2019</t>
        </is>
      </c>
      <c r="AS7" s="183" t="inlineStr">
        <is>
          <t>Filed: 28-Sep-2020</t>
        </is>
      </c>
      <c r="AT7" s="183" t="inlineStr">
        <is>
          <t>Filed: 29-May-2019</t>
        </is>
      </c>
      <c r="AU7" s="183" t="inlineStr">
        <is>
          <t>Filed: 28-Feb-2019</t>
        </is>
      </c>
      <c r="AV7" s="183" t="inlineStr">
        <is>
          <t>Filed: 29-Nov-2018</t>
        </is>
      </c>
      <c r="AW7" s="183" t="inlineStr">
        <is>
          <t>Filed: 30-Sep-2019</t>
        </is>
      </c>
      <c r="AX7" s="183" t="inlineStr">
        <is>
          <t>Filed: 25-May-2018</t>
        </is>
      </c>
      <c r="AY7" s="183" t="inlineStr">
        <is>
          <t>Filed: 27-Feb-2018</t>
        </is>
      </c>
      <c r="AZ7" s="183" t="inlineStr">
        <is>
          <t>Filed: 28-Nov-2017</t>
        </is>
      </c>
      <c r="BA7" s="183" t="inlineStr">
        <is>
          <t>Filed: 01-Oct-2018</t>
        </is>
      </c>
      <c r="BB7" s="183" t="inlineStr">
        <is>
          <t>Filed: 25-May-2017</t>
        </is>
      </c>
      <c r="BC7" s="183" t="inlineStr">
        <is>
          <t>Filed: 28-Feb-2017</t>
        </is>
      </c>
      <c r="BD7" s="183" t="inlineStr">
        <is>
          <t>Filed: 30-Nov-2016</t>
        </is>
      </c>
      <c r="BE7" s="183" t="inlineStr">
        <is>
          <t>Filed: 28-Sep-2017</t>
        </is>
      </c>
      <c r="BF7" s="183" t="inlineStr">
        <is>
          <t>Filed: 26-May-2016</t>
        </is>
      </c>
      <c r="BG7" s="183" t="inlineStr">
        <is>
          <t>Filed: 25-Feb-2016</t>
        </is>
      </c>
      <c r="BH7" s="183" t="inlineStr">
        <is>
          <t>Filed: 24-Nov-2015</t>
        </is>
      </c>
      <c r="BI7" s="183" t="inlineStr">
        <is>
          <t>Filed: 28-Sep-2016</t>
        </is>
      </c>
      <c r="BJ7" s="183" t="inlineStr">
        <is>
          <t>Filed: 28-May-2015</t>
        </is>
      </c>
      <c r="BK7" s="183" t="inlineStr">
        <is>
          <t>Filed: 04-Mar-2015</t>
        </is>
      </c>
      <c r="BL7" s="183" t="inlineStr">
        <is>
          <t>Filed: 26-Nov-2014</t>
        </is>
      </c>
      <c r="BM7" s="183" t="inlineStr">
        <is>
          <t>Filed: 25-Sep-2015</t>
        </is>
      </c>
      <c r="BN7" s="183" t="inlineStr">
        <is>
          <t>Filed: 09-Jun-2014</t>
        </is>
      </c>
      <c r="BO7" s="183" t="inlineStr">
        <is>
          <t>Filed: 05-Mar-2014</t>
        </is>
      </c>
      <c r="BP7" s="183" t="inlineStr">
        <is>
          <t>Filed: 31-Oct-2012</t>
        </is>
      </c>
      <c r="BQ7" s="183" t="inlineStr">
        <is>
          <t>Filed: 31-Jul-2012</t>
        </is>
      </c>
      <c r="BR7" s="183" t="inlineStr">
        <is>
          <t>Filed: 30-Apr-2012</t>
        </is>
      </c>
      <c r="BS7" s="183" t="inlineStr">
        <is>
          <t>Filed: 31-Jan-2012</t>
        </is>
      </c>
      <c r="BT7" s="183" t="inlineStr">
        <is>
          <t>Filed: 31-Oct-2011</t>
        </is>
      </c>
      <c r="BU7" s="183" t="inlineStr">
        <is>
          <t>Filed: 31-Jul-2011</t>
        </is>
      </c>
      <c r="BV7" s="183" t="inlineStr">
        <is>
          <t>Filed: 30-Apr-2011</t>
        </is>
      </c>
      <c r="BW7" s="183" t="inlineStr">
        <is>
          <t>Filed: 31-Jan-2011</t>
        </is>
      </c>
      <c r="BX7" s="183" t="inlineStr">
        <is>
          <t>Filed: 31-Oct-2010</t>
        </is>
      </c>
      <c r="BY7" s="183" t="inlineStr">
        <is>
          <t>Filed: 31-Jul-2010</t>
        </is>
      </c>
      <c r="BZ7" s="183" t="inlineStr">
        <is>
          <t>Filed: 30-Apr-2010</t>
        </is>
      </c>
      <c r="CA7" s="183" t="inlineStr">
        <is>
          <t>Filed: 31-Jan-2010</t>
        </is>
      </c>
      <c r="CB7" s="183" t="inlineStr">
        <is>
          <t>Filed: 31-Oct-2009</t>
        </is>
      </c>
      <c r="CC7" s="183" t="inlineStr">
        <is>
          <t>Filed: 31-Jul-2009</t>
        </is>
      </c>
      <c r="CD7" s="183" t="inlineStr">
        <is>
          <t>Filed: 30-Apr-2009</t>
        </is>
      </c>
      <c r="CE7" s="183" t="inlineStr">
        <is>
          <t>Filed: 31-Jan-2009</t>
        </is>
      </c>
      <c r="CF7" s="183" t="inlineStr">
        <is>
          <t>Filed: 31-Oct-2008</t>
        </is>
      </c>
      <c r="CG7" s="183" t="inlineStr">
        <is>
          <t>Filed: 31-Jul-2008</t>
        </is>
      </c>
      <c r="CH7" s="183" t="inlineStr">
        <is>
          <t>Filed: 30-Apr-2008</t>
        </is>
      </c>
      <c r="CI7" s="183" t="inlineStr">
        <is>
          <t>Filed: 31-Jan-2008</t>
        </is>
      </c>
      <c r="CJ7" s="183" t="inlineStr">
        <is>
          <t>Filed: 31-Oct-2007</t>
        </is>
      </c>
      <c r="CK7" s="183" t="inlineStr">
        <is>
          <t>Filed: 31-Jul-2007</t>
        </is>
      </c>
      <c r="CL7" s="183" t="inlineStr">
        <is>
          <t>Filed: 30-Apr-2007</t>
        </is>
      </c>
      <c r="CM7" s="183" t="inlineStr">
        <is>
          <t>Filed: 31-Jan-2007</t>
        </is>
      </c>
      <c r="CN7" s="183" t="inlineStr">
        <is>
          <t>Filed: 31-Oct-2006</t>
        </is>
      </c>
      <c r="CO7" s="183" t="inlineStr">
        <is>
          <t>Filed: 31-Jul-2006</t>
        </is>
      </c>
      <c r="CP7" s="183" t="inlineStr">
        <is>
          <t>Filed: 30-Apr-2006</t>
        </is>
      </c>
      <c r="CQ7" s="183" t="inlineStr">
        <is>
          <t>Filed: 31-Jan-2006</t>
        </is>
      </c>
      <c r="CR7" s="183" t="inlineStr">
        <is>
          <t>Filed: 31-Oct-2005</t>
        </is>
      </c>
      <c r="CS7" s="183" t="inlineStr">
        <is>
          <t>Filed: 31-Jul-2005</t>
        </is>
      </c>
      <c r="CT7" s="183" t="inlineStr">
        <is>
          <t>Filed: 30-Apr-2005</t>
        </is>
      </c>
      <c r="CU7" s="183" t="inlineStr">
        <is>
          <t>Filed: 31-Jan-2005</t>
        </is>
      </c>
      <c r="CV7" s="183" t="inlineStr">
        <is>
          <t>Filed: 31-Oct-2004</t>
        </is>
      </c>
      <c r="CW7" s="183" t="inlineStr">
        <is>
          <t>Filed: 31-Jul-2004</t>
        </is>
      </c>
      <c r="CX7" s="183" t="inlineStr">
        <is>
          <t>Filed: 30-Apr-2004</t>
        </is>
      </c>
      <c r="CY7" s="183" t="inlineStr">
        <is>
          <t>Filed: 31-Jan-2004</t>
        </is>
      </c>
      <c r="CZ7" s="183" t="inlineStr">
        <is>
          <t>Filed: 31-Oct-2003</t>
        </is>
      </c>
      <c r="DA7" s="183" t="inlineStr">
        <is>
          <t>Filed: 31-Jul-2003</t>
        </is>
      </c>
      <c r="DB7" s="183" t="inlineStr">
        <is>
          <t>Filed: 30-Apr-2003</t>
        </is>
      </c>
      <c r="DC7" s="183" t="inlineStr">
        <is>
          <t>Filed: 31-Jan-2003</t>
        </is>
      </c>
      <c r="DD7" s="183" t="inlineStr">
        <is>
          <t>Filed: 31-Oct-2002</t>
        </is>
      </c>
      <c r="DE7" s="183" t="inlineStr">
        <is>
          <t>Filed: 31-Jul-2002</t>
        </is>
      </c>
      <c r="DF7" s="183" t="inlineStr">
        <is>
          <t>Filed: 30-Apr-2002</t>
        </is>
      </c>
      <c r="DG7" s="183" t="inlineStr">
        <is>
          <t>Filed: 31-Jan-2002</t>
        </is>
      </c>
      <c r="DH7" s="183" t="inlineStr">
        <is>
          <t>Filed: 31-Oct-2001</t>
        </is>
      </c>
      <c r="DI7" s="183" t="inlineStr">
        <is>
          <t>Filed: 31-Jul-2001</t>
        </is>
      </c>
      <c r="DJ7" s="183" t="inlineStr">
        <is>
          <t>Filed: 30-Apr-2001</t>
        </is>
      </c>
      <c r="DK7" s="183" t="inlineStr">
        <is>
          <t>Filed: 31-Jan-2001</t>
        </is>
      </c>
      <c r="DL7" s="183" t="inlineStr">
        <is>
          <t>Filed: 31-Oct-2000</t>
        </is>
      </c>
      <c r="DM7" s="183" t="inlineStr">
        <is>
          <t>Filed: 31-Jul-2000</t>
        </is>
      </c>
      <c r="DN7" s="183" t="inlineStr">
        <is>
          <t>Filed: 30-Apr-2000</t>
        </is>
      </c>
      <c r="DO7" s="183" t="inlineStr">
        <is>
          <t>Filed: 31-Jan-2000</t>
        </is>
      </c>
      <c r="DP7" s="183" t="inlineStr">
        <is>
          <t>Filed: 31-Oct-1999</t>
        </is>
      </c>
      <c r="DQ7" s="183" t="inlineStr">
        <is>
          <t>Filed: 31-Jul-1999</t>
        </is>
      </c>
      <c r="DR7" s="183" t="inlineStr">
        <is>
          <t>Filed: 30-Apr-1999</t>
        </is>
      </c>
      <c r="DS7" s="183" t="inlineStr">
        <is>
          <t>Filed: 31-Jan-1999</t>
        </is>
      </c>
      <c r="DT7" s="183" t="inlineStr">
        <is>
          <t>Filed: 31-Oct-1998</t>
        </is>
      </c>
      <c r="DU7" s="183" t="inlineStr">
        <is>
          <t>Filed: 31-Jul-1998</t>
        </is>
      </c>
      <c r="DV7" s="183" t="inlineStr">
        <is>
          <t>Filed: 30-Apr-1998</t>
        </is>
      </c>
      <c r="DW7" s="183" t="inlineStr">
        <is>
          <t>Filed: 31-Jan-1998</t>
        </is>
      </c>
      <c r="DX7" s="183" t="inlineStr">
        <is>
          <t>Filed: 31-Oct-1997</t>
        </is>
      </c>
      <c r="DY7" s="183" t="inlineStr">
        <is>
          <t>Filed: 31-Jul-1997</t>
        </is>
      </c>
      <c r="DZ7" s="183" t="inlineStr">
        <is>
          <t>Filed: 30-Apr-1997</t>
        </is>
      </c>
      <c r="EA7" s="183" t="inlineStr">
        <is>
          <t>Filed: 31-Jan-1997</t>
        </is>
      </c>
      <c r="EB7" s="183" t="inlineStr">
        <is>
          <t>Filed: 31-Oct-1996</t>
        </is>
      </c>
      <c r="EC7" s="183" t="inlineStr">
        <is>
          <t>Filed: 31-Jul-1996</t>
        </is>
      </c>
      <c r="ED7" s="183" t="inlineStr">
        <is>
          <t>Filed: 30-Apr-1996</t>
        </is>
      </c>
      <c r="EE7" s="183" t="inlineStr">
        <is>
          <t>Filed: 31-Jan-1996</t>
        </is>
      </c>
      <c r="EF7" s="183" t="inlineStr">
        <is>
          <t>Filed: 31-Oct-1995</t>
        </is>
      </c>
      <c r="EG7" s="183" t="inlineStr">
        <is>
          <t>Filed: 31-Jul-1995</t>
        </is>
      </c>
      <c r="EH7" s="183" t="inlineStr">
        <is>
          <t>Filed: 30-Apr-1995</t>
        </is>
      </c>
      <c r="EI7" s="183" t="inlineStr">
        <is>
          <t>Filed: 31-Jan-1995</t>
        </is>
      </c>
      <c r="EJ7" s="183" t="inlineStr">
        <is>
          <t>Filed: 31-Oct-1994</t>
        </is>
      </c>
      <c r="EK7" s="183" t="inlineStr">
        <is>
          <t>Filed: 31-Jul-1994</t>
        </is>
      </c>
      <c r="EL7" s="182" t="n"/>
      <c r="EM7" s="176" t="n"/>
      <c r="EN7" s="176" t="n"/>
      <c r="EO7" s="176" t="n"/>
      <c r="EP7" s="176" t="n"/>
      <c r="EQ7" s="176" t="n"/>
      <c r="ER7" s="176" t="n"/>
      <c r="ES7" s="176" t="n"/>
      <c r="ET7" s="176" t="n"/>
      <c r="EU7" s="176" t="n"/>
      <c r="EV7" s="176" t="n"/>
      <c r="EW7" s="176" t="n"/>
      <c r="EX7" s="176" t="n"/>
      <c r="EY7" s="176" t="n"/>
      <c r="EZ7" s="176" t="n"/>
      <c r="FA7" s="176" t="n"/>
      <c r="FB7" s="176" t="n"/>
      <c r="FC7" s="176" t="n"/>
      <c r="FD7" s="176" t="n"/>
      <c r="FE7" s="176" t="n"/>
      <c r="FF7" s="176" t="n"/>
      <c r="FG7" s="176" t="n"/>
      <c r="FH7" s="176" t="n"/>
      <c r="FI7" s="176" t="n"/>
      <c r="FJ7" s="176" t="n"/>
    </row>
    <row r="8" ht="15" customHeight="1" s="392">
      <c r="A8" s="176" t="n"/>
      <c r="B8" s="180" t="n"/>
      <c r="D8" s="185" t="n"/>
      <c r="E8" s="185" t="n"/>
      <c r="F8" s="185" t="n"/>
      <c r="G8" s="185" t="n"/>
      <c r="H8" s="185" t="n"/>
      <c r="I8" s="185" t="n"/>
      <c r="J8" s="185" t="n"/>
      <c r="K8" s="185" t="n"/>
      <c r="P8" s="206" t="inlineStr">
        <is>
          <t>View 10-Q</t>
        </is>
      </c>
      <c r="T8" s="206" t="inlineStr">
        <is>
          <t>View 10-Q</t>
        </is>
      </c>
      <c r="X8" s="206" t="inlineStr">
        <is>
          <t>View 10-Q</t>
        </is>
      </c>
      <c r="AB8" s="206" t="inlineStr">
        <is>
          <t>View 10-Q</t>
        </is>
      </c>
      <c r="AF8" s="206" t="inlineStr">
        <is>
          <t>View 10-Q</t>
        </is>
      </c>
      <c r="AJ8" s="206" t="inlineStr">
        <is>
          <t>View 10-Q</t>
        </is>
      </c>
      <c r="AN8" s="206" t="inlineStr">
        <is>
          <t>View 10-Q</t>
        </is>
      </c>
      <c r="AR8" s="206" t="inlineStr">
        <is>
          <t>View 10-Q</t>
        </is>
      </c>
      <c r="AV8" s="206" t="inlineStr">
        <is>
          <t>View 10-Q</t>
        </is>
      </c>
      <c r="AZ8" s="206" t="inlineStr">
        <is>
          <t>View 10-Q</t>
        </is>
      </c>
      <c r="BD8" s="206" t="inlineStr">
        <is>
          <t>View 10-Q</t>
        </is>
      </c>
      <c r="BH8" s="206" t="inlineStr">
        <is>
          <t>View 10-Q</t>
        </is>
      </c>
      <c r="BL8" s="206" t="inlineStr">
        <is>
          <t>View 10-Q</t>
        </is>
      </c>
      <c r="BP8" s="206" t="inlineStr">
        <is>
          <t>View 10-Q</t>
        </is>
      </c>
      <c r="BT8" s="206" t="inlineStr">
        <is>
          <t>View 10-Q</t>
        </is>
      </c>
      <c r="BX8" s="206" t="inlineStr">
        <is>
          <t>View 10-Q</t>
        </is>
      </c>
      <c r="CB8" s="206" t="inlineStr">
        <is>
          <t>View 10-Q</t>
        </is>
      </c>
      <c r="EL8" s="182" t="n"/>
      <c r="EM8" s="176" t="n"/>
      <c r="EN8" s="176" t="n"/>
      <c r="EO8" s="176" t="n"/>
      <c r="EP8" s="176" t="n"/>
      <c r="EQ8" s="176" t="n"/>
      <c r="ER8" s="176" t="n"/>
      <c r="ES8" s="176" t="n"/>
      <c r="ET8" s="176" t="n"/>
      <c r="EU8" s="176" t="n"/>
      <c r="EV8" s="176" t="n"/>
      <c r="EW8" s="176" t="n"/>
      <c r="EX8" s="176" t="n"/>
      <c r="EY8" s="176" t="n"/>
      <c r="EZ8" s="176" t="n"/>
      <c r="FA8" s="176" t="n"/>
      <c r="FB8" s="176" t="n"/>
      <c r="FC8" s="176" t="n"/>
      <c r="FD8" s="176" t="n"/>
      <c r="FE8" s="176" t="n"/>
      <c r="FF8" s="176" t="n"/>
      <c r="FG8" s="176" t="n"/>
      <c r="FH8" s="176" t="n"/>
      <c r="FI8" s="176" t="n"/>
      <c r="FJ8" s="176" t="n"/>
    </row>
    <row r="9" ht="15" customHeight="1" s="392">
      <c r="A9" s="176" t="n"/>
      <c r="B9" s="180" t="n"/>
      <c r="D9" s="185" t="n"/>
      <c r="E9" s="185" t="n"/>
      <c r="F9" s="185" t="n"/>
      <c r="G9" s="185" t="n"/>
      <c r="H9" s="185" t="n"/>
      <c r="I9" s="185" t="n"/>
      <c r="J9" s="185" t="n"/>
      <c r="K9" s="185" t="n"/>
      <c r="EL9" s="182" t="n"/>
      <c r="EM9" s="176" t="n"/>
      <c r="EN9" s="176" t="n"/>
      <c r="EO9" s="176" t="n"/>
      <c r="EP9" s="176" t="n"/>
      <c r="EQ9" s="176" t="n"/>
      <c r="ER9" s="176" t="n"/>
      <c r="ES9" s="176" t="n"/>
      <c r="ET9" s="176" t="n"/>
      <c r="EU9" s="176" t="n"/>
      <c r="EV9" s="176" t="n"/>
      <c r="EW9" s="176" t="n"/>
      <c r="EX9" s="176" t="n"/>
      <c r="EY9" s="176" t="n"/>
      <c r="EZ9" s="176" t="n"/>
      <c r="FA9" s="176" t="n"/>
      <c r="FB9" s="176" t="n"/>
      <c r="FC9" s="176" t="n"/>
      <c r="FD9" s="176" t="n"/>
      <c r="FE9" s="176" t="n"/>
      <c r="FF9" s="176" t="n"/>
      <c r="FG9" s="176" t="n"/>
      <c r="FH9" s="176" t="n"/>
      <c r="FI9" s="176" t="n"/>
      <c r="FJ9" s="176" t="n"/>
    </row>
    <row r="10" ht="15" customHeight="1" s="392">
      <c r="A10" s="176" t="n"/>
      <c r="B10" s="180" t="n"/>
      <c r="D10" s="185" t="n"/>
      <c r="E10" s="185" t="n"/>
      <c r="F10" s="185" t="n"/>
      <c r="G10" s="185" t="n"/>
      <c r="H10" s="185" t="n"/>
      <c r="I10" s="185" t="n"/>
      <c r="J10" s="185" t="n"/>
      <c r="K10" s="185" t="n"/>
      <c r="EL10" s="182" t="n"/>
      <c r="EM10" s="176" t="n"/>
      <c r="EN10" s="176" t="n"/>
      <c r="EO10" s="176" t="n"/>
      <c r="EP10" s="176" t="n"/>
      <c r="EQ10" s="176" t="n"/>
      <c r="ER10" s="176" t="n"/>
      <c r="ES10" s="176" t="n"/>
      <c r="ET10" s="176" t="n"/>
      <c r="EU10" s="176" t="n"/>
      <c r="EV10" s="176" t="n"/>
      <c r="EW10" s="176" t="n"/>
      <c r="EX10" s="176" t="n"/>
      <c r="EY10" s="176" t="n"/>
      <c r="EZ10" s="176" t="n"/>
      <c r="FA10" s="176" t="n"/>
      <c r="FB10" s="176" t="n"/>
      <c r="FC10" s="176" t="n"/>
      <c r="FD10" s="176" t="n"/>
      <c r="FE10" s="176" t="n"/>
      <c r="FF10" s="176" t="n"/>
      <c r="FG10" s="176" t="n"/>
      <c r="FH10" s="176" t="n"/>
      <c r="FI10" s="176" t="n"/>
      <c r="FJ10" s="176" t="n"/>
    </row>
    <row r="11" ht="15" customHeight="1" s="392">
      <c r="A11" s="176" t="n"/>
      <c r="B11" s="180" t="n"/>
      <c r="C11" s="189" t="inlineStr">
        <is>
          <t>Cash Flow from Operating Activities, Indirect</t>
        </is>
      </c>
      <c r="D11" s="185" t="n"/>
      <c r="E11" s="185" t="n"/>
      <c r="F11" s="185" t="n"/>
      <c r="G11" s="185" t="n"/>
      <c r="H11" s="185" t="n"/>
      <c r="I11" s="185" t="n"/>
      <c r="J11" s="185" t="n"/>
      <c r="K11" s="185" t="n"/>
      <c r="L11" s="185" t="n"/>
      <c r="M11" s="185" t="n"/>
      <c r="N11" s="185" t="n"/>
      <c r="O11" s="185" t="n"/>
      <c r="P11" s="185" t="n"/>
      <c r="Q11" s="185" t="n"/>
      <c r="R11" s="185" t="n"/>
      <c r="S11" s="185" t="n"/>
      <c r="T11" s="185" t="n"/>
      <c r="U11" s="185" t="n"/>
      <c r="V11" s="185" t="n"/>
      <c r="W11" s="185" t="n"/>
      <c r="X11" s="185" t="n"/>
      <c r="Y11" s="185" t="n"/>
      <c r="Z11" s="185" t="n"/>
      <c r="AA11" s="185" t="n"/>
      <c r="AB11" s="185" t="n"/>
      <c r="AC11" s="185" t="n"/>
      <c r="AD11" s="185" t="n"/>
      <c r="AE11" s="185" t="n"/>
      <c r="AF11" s="185" t="n"/>
      <c r="AG11" s="185" t="n"/>
      <c r="AH11" s="185" t="n"/>
      <c r="AI11" s="185" t="n"/>
      <c r="AJ11" s="185" t="n"/>
      <c r="AK11" s="185" t="n"/>
      <c r="AL11" s="185" t="n"/>
      <c r="AM11" s="185" t="n"/>
      <c r="AN11" s="185" t="n"/>
      <c r="AO11" s="185" t="n"/>
      <c r="AP11" s="185" t="n"/>
      <c r="AQ11" s="185" t="n"/>
      <c r="AR11" s="185" t="n"/>
      <c r="AS11" s="185" t="n"/>
      <c r="AT11" s="185" t="n"/>
      <c r="AU11" s="185" t="n"/>
      <c r="AV11" s="185" t="n"/>
      <c r="AW11" s="185" t="n"/>
      <c r="AX11" s="185" t="n"/>
      <c r="AY11" s="185" t="n"/>
      <c r="AZ11" s="185" t="n"/>
      <c r="BA11" s="185" t="n"/>
      <c r="BB11" s="185" t="n"/>
      <c r="BC11" s="185" t="n"/>
      <c r="BD11" s="185" t="n"/>
      <c r="BE11" s="185" t="n"/>
      <c r="BF11" s="185" t="n"/>
      <c r="BG11" s="185" t="n"/>
      <c r="BH11" s="185" t="n"/>
      <c r="BI11" s="185" t="n"/>
      <c r="BJ11" s="185" t="n"/>
      <c r="BK11" s="185" t="n"/>
      <c r="BL11" s="185" t="n"/>
      <c r="BM11" s="185" t="n"/>
      <c r="BN11" s="185" t="n"/>
      <c r="BO11" s="185" t="n"/>
      <c r="BP11" s="185" t="n"/>
      <c r="BQ11" s="185" t="n"/>
      <c r="BR11" s="185" t="n"/>
      <c r="BS11" s="185" t="n"/>
      <c r="BT11" s="185" t="n"/>
      <c r="BU11" s="185" t="n"/>
      <c r="BV11" s="185" t="n"/>
      <c r="BW11" s="185" t="n"/>
      <c r="BX11" s="185" t="n"/>
      <c r="BY11" s="185" t="n"/>
      <c r="BZ11" s="185" t="n"/>
      <c r="CA11" s="185" t="n"/>
      <c r="CB11" s="185" t="n"/>
      <c r="CC11" s="185" t="n"/>
      <c r="CD11" s="185" t="n"/>
      <c r="CE11" s="185" t="n"/>
      <c r="CF11" s="185" t="n"/>
      <c r="CG11" s="185" t="n"/>
      <c r="CH11" s="185" t="n"/>
      <c r="CI11" s="185" t="n"/>
      <c r="CJ11" s="185" t="n"/>
      <c r="CK11" s="185" t="n"/>
      <c r="CL11" s="185" t="n"/>
      <c r="CM11" s="185" t="n"/>
      <c r="CN11" s="185" t="n"/>
      <c r="CO11" s="185" t="n"/>
      <c r="CP11" s="185" t="n"/>
      <c r="CQ11" s="185" t="n"/>
      <c r="CR11" s="185" t="n"/>
      <c r="CS11" s="185" t="n"/>
      <c r="CT11" s="185" t="n"/>
      <c r="CU11" s="185" t="n"/>
      <c r="CV11" s="185" t="n"/>
      <c r="CW11" s="185" t="n"/>
      <c r="CX11" s="185" t="n"/>
      <c r="CY11" s="185" t="n"/>
      <c r="CZ11" s="185" t="n"/>
      <c r="DA11" s="185" t="n"/>
      <c r="DB11" s="185" t="n"/>
      <c r="DC11" s="185" t="n"/>
      <c r="DD11" s="185" t="n"/>
      <c r="DE11" s="185" t="n"/>
      <c r="DF11" s="185" t="n"/>
      <c r="DG11" s="185" t="n"/>
      <c r="DH11" s="185" t="n"/>
      <c r="DI11" s="185" t="n"/>
      <c r="DJ11" s="185" t="n"/>
      <c r="DK11" s="185" t="n"/>
      <c r="DL11" s="185" t="n"/>
      <c r="DM11" s="185" t="n"/>
      <c r="DN11" s="185" t="n"/>
      <c r="DO11" s="185" t="n"/>
      <c r="DP11" s="185" t="n"/>
      <c r="DQ11" s="185" t="n"/>
      <c r="DR11" s="185" t="n"/>
      <c r="DS11" s="185" t="n"/>
      <c r="DT11" s="185" t="n"/>
      <c r="DU11" s="185" t="n"/>
      <c r="DV11" s="185" t="n"/>
      <c r="DW11" s="185" t="n"/>
      <c r="DX11" s="185" t="n"/>
      <c r="DY11" s="185" t="n"/>
      <c r="DZ11" s="185" t="n"/>
      <c r="EA11" s="185" t="n"/>
      <c r="EB11" s="185" t="n"/>
      <c r="EC11" s="185" t="n"/>
      <c r="ED11" s="185" t="n"/>
      <c r="EE11" s="185" t="n"/>
      <c r="EF11" s="185" t="n"/>
      <c r="EG11" s="185" t="n"/>
      <c r="EH11" s="185" t="n"/>
      <c r="EI11" s="185" t="n"/>
      <c r="EJ11" s="185" t="n"/>
      <c r="EK11" s="185" t="n"/>
      <c r="EL11" s="182" t="n"/>
      <c r="EM11" s="176" t="n"/>
      <c r="EN11" s="176" t="n"/>
      <c r="EO11" s="176" t="n"/>
      <c r="EP11" s="176" t="n"/>
      <c r="EQ11" s="176" t="n"/>
      <c r="ER11" s="176" t="n"/>
      <c r="ES11" s="176" t="n"/>
      <c r="ET11" s="176" t="n"/>
      <c r="EU11" s="176" t="n"/>
      <c r="EV11" s="176" t="n"/>
      <c r="EW11" s="176" t="n"/>
      <c r="EX11" s="176" t="n"/>
      <c r="EY11" s="176" t="n"/>
      <c r="EZ11" s="176" t="n"/>
      <c r="FA11" s="176" t="n"/>
      <c r="FB11" s="176" t="n"/>
      <c r="FC11" s="176" t="n"/>
      <c r="FD11" s="176" t="n"/>
      <c r="FE11" s="176" t="n"/>
      <c r="FF11" s="176" t="n"/>
      <c r="FG11" s="176" t="n"/>
      <c r="FH11" s="176" t="n"/>
      <c r="FI11" s="176" t="n"/>
      <c r="FJ11" s="176" t="n"/>
    </row>
    <row r="12" ht="15" customHeight="1" s="392">
      <c r="A12" s="176" t="n"/>
      <c r="B12" s="180" t="n"/>
      <c r="C12" s="183" t="inlineStr">
        <is>
          <t xml:space="preserve">    Net Cash Flow from Continuing Operating Activities, Indirect</t>
        </is>
      </c>
      <c r="D12" s="185" t="n"/>
      <c r="E12" s="185" t="n"/>
      <c r="F12" s="185" t="n"/>
      <c r="G12" s="185" t="n"/>
      <c r="H12" s="185" t="n"/>
      <c r="I12" s="185" t="n"/>
      <c r="J12" s="185" t="n"/>
      <c r="K12" s="185" t="n"/>
      <c r="EL12" s="182" t="n"/>
      <c r="EM12" s="176" t="n"/>
      <c r="EN12" s="176" t="n"/>
      <c r="EO12" s="176" t="n"/>
      <c r="EP12" s="176" t="n"/>
      <c r="EQ12" s="176" t="n"/>
      <c r="ER12" s="176" t="n"/>
      <c r="ES12" s="176" t="n"/>
      <c r="ET12" s="176" t="n"/>
      <c r="EU12" s="176" t="n"/>
      <c r="EV12" s="176" t="n"/>
      <c r="EW12" s="176" t="n"/>
      <c r="EX12" s="176" t="n"/>
      <c r="EY12" s="176" t="n"/>
      <c r="EZ12" s="176" t="n"/>
      <c r="FA12" s="176" t="n"/>
      <c r="FB12" s="176" t="n"/>
      <c r="FC12" s="176" t="n"/>
      <c r="FD12" s="176" t="n"/>
      <c r="FE12" s="176" t="n"/>
      <c r="FF12" s="176" t="n"/>
      <c r="FG12" s="176" t="n"/>
      <c r="FH12" s="176" t="n"/>
      <c r="FI12" s="176" t="n"/>
      <c r="FJ12" s="176" t="n"/>
    </row>
    <row r="13" ht="15" customHeight="1" s="392">
      <c r="A13" s="176" t="n"/>
      <c r="B13" s="180" t="n"/>
      <c r="C13" s="183" t="inlineStr">
        <is>
          <t xml:space="preserve">        Cash Generated from Operating Activities</t>
        </is>
      </c>
      <c r="D13" s="185" t="n"/>
      <c r="E13" s="185" t="n"/>
      <c r="F13" s="185" t="n"/>
      <c r="G13" s="185" t="n"/>
      <c r="H13" s="185" t="n"/>
      <c r="I13" s="185" t="n"/>
      <c r="J13" s="185" t="n"/>
      <c r="K13" s="185" t="n"/>
      <c r="EL13" s="182" t="n"/>
      <c r="EM13" s="176" t="n"/>
      <c r="EN13" s="176" t="n"/>
      <c r="EO13" s="176" t="n"/>
      <c r="EP13" s="176" t="n"/>
      <c r="EQ13" s="176" t="n"/>
      <c r="ER13" s="176" t="n"/>
      <c r="ES13" s="176" t="n"/>
      <c r="ET13" s="176" t="n"/>
      <c r="EU13" s="176" t="n"/>
      <c r="EV13" s="176" t="n"/>
      <c r="EW13" s="176" t="n"/>
      <c r="EX13" s="176" t="n"/>
      <c r="EY13" s="176" t="n"/>
      <c r="EZ13" s="176" t="n"/>
      <c r="FA13" s="176" t="n"/>
      <c r="FB13" s="176" t="n"/>
      <c r="FC13" s="176" t="n"/>
      <c r="FD13" s="176" t="n"/>
      <c r="FE13" s="176" t="n"/>
      <c r="FF13" s="176" t="n"/>
      <c r="FG13" s="176" t="n"/>
      <c r="FH13" s="176" t="n"/>
      <c r="FI13" s="176" t="n"/>
      <c r="FJ13" s="176" t="n"/>
    </row>
    <row r="14" ht="15" customHeight="1" s="392">
      <c r="A14" s="176" t="n"/>
      <c r="B14" s="180" t="n"/>
      <c r="C14" s="183" t="inlineStr">
        <is>
          <t xml:space="preserve">            Income/(Loss) before Non-Cash Adjustment</t>
        </is>
      </c>
      <c r="D14" s="190">
        <f>IF(COUNT(M14:EK14)&gt;0,MEDIAN(M14:EK14),"")</f>
        <v/>
      </c>
      <c r="E14" s="190">
        <f>IF(COUNT(M14:EK14)&gt;0,AVERAGE(M14:EK14),"")</f>
        <v/>
      </c>
      <c r="F14" s="190">
        <f>IF(COUNT(M14:EK14)&gt;0,MIN(M14:EK14),"")</f>
        <v/>
      </c>
      <c r="G14" s="190">
        <f>IF(COUNT(M14:EK14)&gt;0,MAX(M14:EK14),"")</f>
        <v/>
      </c>
      <c r="H14" s="190">
        <f>IF(COUNT(M14:EK14)&gt;0,QUARTILE(M14:EK14,1),"")</f>
        <v/>
      </c>
      <c r="I14" s="190">
        <f>IF(COUNT(M14:EK14)&gt;0,QUARTILE(M14:EK14,3),"")</f>
        <v/>
      </c>
      <c r="J14" s="190">
        <f>IF(COUNT(M14:EK14)&gt;1,STDEV(M14:EK14),"")</f>
        <v/>
      </c>
      <c r="K14" s="191">
        <f>IF(COUNT(M14:EK14)&gt;1,STDEV(M14:EK14)/AVERAGE(M14:EK14),"")</f>
        <v/>
      </c>
      <c r="M14" s="192" t="n">
        <v>326827</v>
      </c>
      <c r="N14" s="192" t="n">
        <v>401393</v>
      </c>
      <c r="O14" s="192" t="n">
        <v>349967</v>
      </c>
      <c r="P14" s="192" t="n">
        <v>402210</v>
      </c>
      <c r="Q14" s="192" t="n">
        <v>395308</v>
      </c>
      <c r="R14" s="192" t="n">
        <v>405338</v>
      </c>
      <c r="S14" s="192" t="n">
        <v>386541</v>
      </c>
      <c r="T14" s="192" t="n">
        <v>361176</v>
      </c>
      <c r="U14" s="192" t="n">
        <v>322178</v>
      </c>
      <c r="V14" s="192" t="n">
        <v>382110</v>
      </c>
      <c r="W14" s="192" t="n">
        <v>325527</v>
      </c>
      <c r="X14" s="192" t="n">
        <v>332532</v>
      </c>
      <c r="Y14" s="192" t="n">
        <v>347785</v>
      </c>
      <c r="Z14" s="192" t="n">
        <v>350431</v>
      </c>
      <c r="AA14" s="192" t="n">
        <v>293677</v>
      </c>
      <c r="AB14" s="192" t="n">
        <v>245848</v>
      </c>
      <c r="AC14" s="192" t="n">
        <v>263735</v>
      </c>
      <c r="AD14" s="192" t="n">
        <v>278620</v>
      </c>
      <c r="AE14" s="192" t="n">
        <v>287412</v>
      </c>
      <c r="AF14" s="192" t="n">
        <v>260363</v>
      </c>
      <c r="AG14" s="192" t="n">
        <v>255974</v>
      </c>
      <c r="AH14" s="192" t="n">
        <v>286796</v>
      </c>
      <c r="AI14" s="192" t="n">
        <v>193440</v>
      </c>
      <c r="AJ14" s="192" t="n">
        <v>200285</v>
      </c>
      <c r="AK14" s="192" t="n">
        <v>165533</v>
      </c>
      <c r="AL14" s="192" t="n">
        <v>147487</v>
      </c>
      <c r="AM14" s="192" t="n">
        <v>168707</v>
      </c>
      <c r="AN14" s="192" t="n">
        <v>218180</v>
      </c>
      <c r="AO14" s="192" t="n">
        <v>153496</v>
      </c>
      <c r="AP14" s="192" t="n">
        <v>192741</v>
      </c>
      <c r="AQ14" s="192" t="n">
        <v>131373</v>
      </c>
      <c r="AR14" s="192" t="n">
        <v>114083</v>
      </c>
      <c r="AS14" s="192" t="n">
        <v>109741</v>
      </c>
      <c r="AT14" s="192" t="n">
        <v>127405</v>
      </c>
      <c r="AU14" s="192" t="n">
        <v>103301</v>
      </c>
      <c r="AV14" s="192" t="n">
        <v>77560</v>
      </c>
      <c r="AW14" s="192" t="n">
        <v>70369</v>
      </c>
      <c r="AX14" s="192" t="n">
        <v>90546</v>
      </c>
      <c r="AY14" s="192" t="n">
        <v>66066</v>
      </c>
      <c r="AZ14" s="192" t="n">
        <v>167280</v>
      </c>
      <c r="BA14" s="192" t="n">
        <v>84122</v>
      </c>
      <c r="BB14" s="192" t="n">
        <v>74624</v>
      </c>
      <c r="BC14" s="192" t="n">
        <v>59004</v>
      </c>
      <c r="BD14" s="192" t="n">
        <v>52610</v>
      </c>
      <c r="BE14" s="192" t="n">
        <v>57412</v>
      </c>
      <c r="BF14" s="192" t="n">
        <v>57563</v>
      </c>
      <c r="BG14" s="192" t="n">
        <v>52193</v>
      </c>
      <c r="BH14" s="192" t="n">
        <v>52615</v>
      </c>
      <c r="BI14" s="192" t="n">
        <v>51043</v>
      </c>
      <c r="BJ14" s="192" t="n">
        <v>40877</v>
      </c>
      <c r="BK14" s="192" t="n">
        <v>45345</v>
      </c>
      <c r="BL14" s="192" t="n">
        <v>41422</v>
      </c>
      <c r="BM14" s="192" t="n">
        <v>41304</v>
      </c>
      <c r="BN14" s="192" t="n">
        <v>53236</v>
      </c>
      <c r="BO14" s="192" t="n">
        <v>39640</v>
      </c>
      <c r="BP14" s="192" t="n">
        <v>45845</v>
      </c>
      <c r="BQ14" s="192" t="n">
        <v>44896</v>
      </c>
      <c r="BR14" s="192" t="n">
        <v>55471</v>
      </c>
      <c r="BS14" s="192" t="n">
        <v>40603</v>
      </c>
      <c r="BT14" s="192" t="n">
        <v>41149</v>
      </c>
      <c r="BU14" s="192" t="n"/>
      <c r="BV14" s="192" t="n"/>
      <c r="BW14" s="192" t="n"/>
      <c r="BX14" s="192" t="n"/>
      <c r="BY14" s="192" t="n"/>
      <c r="BZ14" s="192" t="n"/>
      <c r="CA14" s="192" t="n">
        <v>35735</v>
      </c>
      <c r="CB14" s="192" t="n">
        <v>35270</v>
      </c>
      <c r="CC14" s="192" t="n">
        <v>34627</v>
      </c>
      <c r="CD14" s="192" t="n">
        <v>39629</v>
      </c>
      <c r="CE14" s="192" t="n">
        <v>27153</v>
      </c>
      <c r="CF14" s="192" t="n">
        <v>37254</v>
      </c>
      <c r="CG14" s="192" t="n">
        <v>40821</v>
      </c>
      <c r="CH14" s="192" t="n">
        <v>46475</v>
      </c>
      <c r="CI14" s="192" t="n">
        <v>32026</v>
      </c>
      <c r="CJ14" s="192" t="n">
        <v>37610</v>
      </c>
      <c r="CK14" s="192" t="n">
        <v>36735</v>
      </c>
      <c r="CL14" s="192" t="n">
        <v>38868</v>
      </c>
      <c r="CM14" s="192" t="n">
        <v>30390</v>
      </c>
      <c r="CN14" s="192" t="n">
        <v>30345</v>
      </c>
      <c r="CO14" s="192" t="n">
        <v>31573</v>
      </c>
      <c r="CP14" s="192" t="n">
        <v>34707</v>
      </c>
      <c r="CQ14" s="192" t="n">
        <v>7854</v>
      </c>
      <c r="CR14" s="192" t="n">
        <v>22813</v>
      </c>
      <c r="CS14" s="192" t="n">
        <v>24989</v>
      </c>
      <c r="CT14" s="192" t="n">
        <v>30904</v>
      </c>
      <c r="CU14" s="192" t="n">
        <v>23553</v>
      </c>
      <c r="CV14" s="192" t="n">
        <v>22670</v>
      </c>
      <c r="CW14" s="192" t="n">
        <v>21449</v>
      </c>
      <c r="CX14" s="192" t="n">
        <v>25162</v>
      </c>
      <c r="CY14" s="192" t="n">
        <v>17367.9</v>
      </c>
      <c r="CZ14" s="192" t="n">
        <v>15241.1</v>
      </c>
      <c r="DA14" s="192" t="n">
        <v>13336.2</v>
      </c>
      <c r="DB14" s="192" t="n">
        <v>15422.8</v>
      </c>
      <c r="DC14" s="192" t="n">
        <v>13756.5</v>
      </c>
      <c r="DD14" s="192" t="n">
        <v>14706.5</v>
      </c>
      <c r="DE14" s="192" t="n">
        <v>15535.2</v>
      </c>
      <c r="DF14" s="192" t="n">
        <v>16600.3</v>
      </c>
      <c r="DG14" s="192" t="n">
        <v>12495.5</v>
      </c>
      <c r="DH14" s="192" t="n">
        <v>12758.2</v>
      </c>
      <c r="DI14" s="192" t="n">
        <v>12931.4</v>
      </c>
      <c r="DJ14" s="192" t="n">
        <v>11485.2</v>
      </c>
      <c r="DK14" s="192" t="n">
        <v>9349.200000000001</v>
      </c>
      <c r="DL14" s="192" t="n">
        <v>8919.200000000001</v>
      </c>
      <c r="DM14" s="192" t="n">
        <v>8162.2</v>
      </c>
      <c r="DN14" s="192" t="n">
        <v>8366.9</v>
      </c>
      <c r="DO14" s="192" t="n">
        <v>6600</v>
      </c>
      <c r="DP14" s="192" t="n">
        <v>6300</v>
      </c>
      <c r="DQ14" s="192" t="n">
        <v>6700</v>
      </c>
      <c r="DR14" s="192" t="n">
        <v>6300</v>
      </c>
      <c r="DS14" s="192" t="n">
        <v>4800</v>
      </c>
      <c r="DT14" s="192" t="n">
        <v>4200</v>
      </c>
      <c r="DU14" s="192" t="n">
        <v>4300</v>
      </c>
      <c r="DV14" s="192" t="n">
        <v>4300</v>
      </c>
      <c r="DW14" s="192" t="n">
        <v>3500</v>
      </c>
      <c r="DX14" s="192" t="n">
        <v>3100</v>
      </c>
      <c r="DY14" s="192" t="n">
        <v>3400</v>
      </c>
      <c r="DZ14" s="192" t="n">
        <v>3300</v>
      </c>
      <c r="EA14" s="192" t="n">
        <v>3000</v>
      </c>
      <c r="EB14" s="192" t="n">
        <v>2300</v>
      </c>
      <c r="EC14" s="192" t="n">
        <v>2800</v>
      </c>
      <c r="ED14" s="192" t="n">
        <v>2800</v>
      </c>
      <c r="EE14" s="192" t="n">
        <v>3000</v>
      </c>
      <c r="EF14" s="192" t="n">
        <v>2600</v>
      </c>
      <c r="EG14" s="192" t="n">
        <v>2200</v>
      </c>
      <c r="EH14" s="192" t="n">
        <v>1900</v>
      </c>
      <c r="EI14" s="192" t="n">
        <v>1500</v>
      </c>
      <c r="EJ14" s="192" t="n">
        <v>1300</v>
      </c>
      <c r="EK14" s="192" t="n">
        <v>2800</v>
      </c>
      <c r="EL14" s="182" t="n"/>
      <c r="EM14" s="176" t="n"/>
      <c r="EN14" s="176" t="n"/>
      <c r="EO14" s="176" t="n"/>
      <c r="EP14" s="176" t="n"/>
      <c r="EQ14" s="176" t="n"/>
      <c r="ER14" s="176" t="n"/>
      <c r="ES14" s="176" t="n"/>
      <c r="ET14" s="176" t="n"/>
      <c r="EU14" s="176" t="n"/>
      <c r="EV14" s="176" t="n"/>
      <c r="EW14" s="176" t="n"/>
      <c r="EX14" s="176" t="n"/>
      <c r="EY14" s="176" t="n"/>
      <c r="EZ14" s="176" t="n"/>
      <c r="FA14" s="176" t="n"/>
      <c r="FB14" s="176" t="n"/>
      <c r="FC14" s="176" t="n"/>
      <c r="FD14" s="176" t="n"/>
      <c r="FE14" s="176" t="n"/>
      <c r="FF14" s="176" t="n"/>
      <c r="FG14" s="176" t="n"/>
      <c r="FH14" s="176" t="n"/>
      <c r="FI14" s="176" t="n"/>
      <c r="FJ14" s="176" t="n"/>
    </row>
    <row r="15" ht="15" customHeight="1" s="392">
      <c r="A15" s="176" t="n"/>
      <c r="B15" s="180" t="n"/>
      <c r="C15" s="183" t="inlineStr">
        <is>
          <t xml:space="preserve">            Adjustments for Non-Cash Items</t>
        </is>
      </c>
      <c r="D15" s="185" t="n"/>
      <c r="E15" s="185" t="n"/>
      <c r="F15" s="185" t="n"/>
      <c r="G15" s="185" t="n"/>
      <c r="H15" s="185" t="n"/>
      <c r="I15" s="185" t="n"/>
      <c r="J15" s="185" t="n"/>
      <c r="K15" s="185" t="n"/>
      <c r="EL15" s="182" t="n"/>
      <c r="EM15" s="176" t="n"/>
      <c r="EN15" s="176" t="n"/>
      <c r="EO15" s="176" t="n"/>
      <c r="EP15" s="176" t="n"/>
      <c r="EQ15" s="176" t="n"/>
      <c r="ER15" s="176" t="n"/>
      <c r="ES15" s="176" t="n"/>
      <c r="ET15" s="176" t="n"/>
      <c r="EU15" s="176" t="n"/>
      <c r="EV15" s="176" t="n"/>
      <c r="EW15" s="176" t="n"/>
      <c r="EX15" s="176" t="n"/>
      <c r="EY15" s="176" t="n"/>
      <c r="EZ15" s="176" t="n"/>
      <c r="FA15" s="176" t="n"/>
      <c r="FB15" s="176" t="n"/>
      <c r="FC15" s="176" t="n"/>
      <c r="FD15" s="176" t="n"/>
      <c r="FE15" s="176" t="n"/>
      <c r="FF15" s="176" t="n"/>
      <c r="FG15" s="176" t="n"/>
      <c r="FH15" s="176" t="n"/>
      <c r="FI15" s="176" t="n"/>
      <c r="FJ15" s="176" t="n"/>
    </row>
    <row r="16" ht="15" customHeight="1" s="392">
      <c r="A16" s="176" t="n"/>
      <c r="B16" s="180" t="n"/>
      <c r="C16" s="183" t="inlineStr">
        <is>
          <t xml:space="preserve">                Depreciation, Amortization and Depletion, Non-Cash Adjustment</t>
        </is>
      </c>
      <c r="D16" s="185" t="n"/>
      <c r="E16" s="185" t="n"/>
      <c r="F16" s="185" t="n"/>
      <c r="G16" s="185" t="n"/>
      <c r="H16" s="185" t="n"/>
      <c r="I16" s="185" t="n"/>
      <c r="J16" s="185" t="n"/>
      <c r="K16" s="185" t="n"/>
      <c r="EL16" s="182" t="n"/>
      <c r="EM16" s="176" t="n"/>
      <c r="EN16" s="176" t="n"/>
      <c r="EO16" s="176" t="n"/>
      <c r="EP16" s="176" t="n"/>
      <c r="EQ16" s="176" t="n"/>
      <c r="ER16" s="176" t="n"/>
      <c r="ES16" s="176" t="n"/>
      <c r="ET16" s="176" t="n"/>
      <c r="EU16" s="176" t="n"/>
      <c r="EV16" s="176" t="n"/>
      <c r="EW16" s="176" t="n"/>
      <c r="EX16" s="176" t="n"/>
      <c r="EY16" s="176" t="n"/>
      <c r="EZ16" s="176" t="n"/>
      <c r="FA16" s="176" t="n"/>
      <c r="FB16" s="176" t="n"/>
      <c r="FC16" s="176" t="n"/>
      <c r="FD16" s="176" t="n"/>
      <c r="FE16" s="176" t="n"/>
      <c r="FF16" s="176" t="n"/>
      <c r="FG16" s="176" t="n"/>
      <c r="FH16" s="176" t="n"/>
      <c r="FI16" s="176" t="n"/>
      <c r="FJ16" s="176" t="n"/>
    </row>
    <row r="17" ht="15" customHeight="1" s="392">
      <c r="A17" s="176" t="n"/>
      <c r="B17" s="180" t="n"/>
      <c r="C17" s="183" t="inlineStr">
        <is>
          <t xml:space="preserve">                    Depreciation and Amortization, Non-Cash Adjustment</t>
        </is>
      </c>
      <c r="D17" s="190">
        <f>IF(COUNT(M17:EK17)&gt;0,MEDIAN(M17:EK17),"")</f>
        <v/>
      </c>
      <c r="E17" s="190">
        <f>IF(COUNT(M17:EK17)&gt;0,AVERAGE(M17:EK17),"")</f>
        <v/>
      </c>
      <c r="F17" s="190">
        <f>IF(COUNT(M17:EK17)&gt;0,MIN(M17:EK17),"")</f>
        <v/>
      </c>
      <c r="G17" s="190">
        <f>IF(COUNT(M17:EK17)&gt;0,MAX(M17:EK17),"")</f>
        <v/>
      </c>
      <c r="H17" s="190">
        <f>IF(COUNT(M17:EK17)&gt;0,QUARTILE(M17:EK17,1),"")</f>
        <v/>
      </c>
      <c r="I17" s="190">
        <f>IF(COUNT(M17:EK17)&gt;0,QUARTILE(M17:EK17,3),"")</f>
        <v/>
      </c>
      <c r="J17" s="190">
        <f>IF(COUNT(M17:EK17)&gt;1,STDEV(M17:EK17),"")</f>
        <v/>
      </c>
      <c r="K17" s="191">
        <f>IF(COUNT(M17:EK17)&gt;1,STDEV(M17:EK17)/AVERAGE(M17:EK17),"")</f>
        <v/>
      </c>
      <c r="M17" s="192" t="n">
        <v>69667</v>
      </c>
      <c r="N17" s="192" t="n">
        <v>59086</v>
      </c>
      <c r="O17" s="192" t="n">
        <v>55514</v>
      </c>
      <c r="P17" s="192" t="n">
        <v>54199</v>
      </c>
      <c r="Q17" s="192" t="n">
        <v>54142</v>
      </c>
      <c r="R17" s="192" t="n">
        <v>54520</v>
      </c>
      <c r="S17" s="192" t="n">
        <v>54260</v>
      </c>
      <c r="T17" s="192" t="n">
        <v>54862</v>
      </c>
      <c r="U17" s="192" t="n">
        <v>51078</v>
      </c>
      <c r="V17" s="192" t="n">
        <v>50693</v>
      </c>
      <c r="W17" s="192" t="n">
        <v>45135</v>
      </c>
      <c r="X17" s="192" t="n">
        <v>43350</v>
      </c>
      <c r="Y17" s="192" t="n">
        <v>44364</v>
      </c>
      <c r="Z17" s="192" t="n">
        <v>37226</v>
      </c>
      <c r="AA17" s="192" t="n">
        <v>38767</v>
      </c>
      <c r="AB17" s="192" t="n">
        <v>39327</v>
      </c>
      <c r="AC17" s="192" t="n">
        <v>36272</v>
      </c>
      <c r="AD17" s="192" t="n">
        <v>36706</v>
      </c>
      <c r="AE17" s="192" t="n">
        <v>33578</v>
      </c>
      <c r="AF17" s="192" t="n">
        <v>32049</v>
      </c>
      <c r="AG17" s="192" t="n">
        <v>29943</v>
      </c>
      <c r="AH17" s="192" t="n">
        <v>32243</v>
      </c>
      <c r="AI17" s="192" t="n">
        <v>31671</v>
      </c>
      <c r="AJ17" s="192" t="n">
        <v>29227</v>
      </c>
      <c r="AK17" s="192" t="n">
        <v>27501</v>
      </c>
      <c r="AL17" s="192" t="n">
        <v>28659</v>
      </c>
      <c r="AM17" s="192" t="n">
        <v>24393</v>
      </c>
      <c r="AN17" s="192" t="n">
        <v>23704</v>
      </c>
      <c r="AO17" s="192" t="n">
        <v>21625</v>
      </c>
      <c r="AP17" s="192" t="n">
        <v>21222</v>
      </c>
      <c r="AQ17" s="192" t="n">
        <v>20509</v>
      </c>
      <c r="AR17" s="192" t="n">
        <v>21978</v>
      </c>
      <c r="AS17" s="192" t="n">
        <v>28362</v>
      </c>
      <c r="AT17" s="192" t="n">
        <v>16684</v>
      </c>
      <c r="AU17" s="192" t="n">
        <v>17982</v>
      </c>
      <c r="AV17" s="192" t="n">
        <v>16012</v>
      </c>
      <c r="AW17" s="192" t="n">
        <v>13490</v>
      </c>
      <c r="AX17" s="192" t="n">
        <v>13805</v>
      </c>
      <c r="AY17" s="192" t="n">
        <v>15326</v>
      </c>
      <c r="AZ17" s="192" t="n">
        <v>14820</v>
      </c>
      <c r="BA17" s="192" t="n">
        <v>13743</v>
      </c>
      <c r="BB17" s="192" t="n">
        <v>12606</v>
      </c>
      <c r="BC17" s="192" t="n">
        <v>11732</v>
      </c>
      <c r="BD17" s="192" t="n">
        <v>11562</v>
      </c>
      <c r="BE17" s="192" t="n">
        <v>11314</v>
      </c>
      <c r="BF17" s="192" t="n">
        <v>12212</v>
      </c>
      <c r="BG17" s="192" t="n">
        <v>11400</v>
      </c>
      <c r="BH17" s="192" t="n">
        <v>13967</v>
      </c>
      <c r="BI17" s="192" t="n">
        <v>13377</v>
      </c>
      <c r="BJ17" s="192" t="n">
        <v>12769</v>
      </c>
      <c r="BK17" s="192" t="n">
        <v>13076</v>
      </c>
      <c r="BL17" s="192" t="n">
        <v>14504</v>
      </c>
      <c r="BM17" s="192" t="n">
        <v>14480</v>
      </c>
      <c r="BN17" s="192" t="n">
        <v>14797</v>
      </c>
      <c r="BO17" s="192" t="n">
        <v>14612</v>
      </c>
      <c r="BP17" s="192" t="n">
        <v>12839</v>
      </c>
      <c r="BQ17" s="192" t="n">
        <v>11851</v>
      </c>
      <c r="BR17" s="192" t="n">
        <v>12069</v>
      </c>
      <c r="BS17" s="192" t="n">
        <v>12220</v>
      </c>
      <c r="BT17" s="192" t="n">
        <v>12027</v>
      </c>
      <c r="BU17" s="192" t="n">
        <v>11331</v>
      </c>
      <c r="BV17" s="192" t="n">
        <v>11274</v>
      </c>
      <c r="BW17" s="192" t="n">
        <v>11367</v>
      </c>
      <c r="BX17" s="192" t="n">
        <v>11722</v>
      </c>
      <c r="BY17" s="192" t="n">
        <v>11151</v>
      </c>
      <c r="BZ17" s="192" t="n">
        <v>11013</v>
      </c>
      <c r="CA17" s="192" t="n">
        <v>10464</v>
      </c>
      <c r="CB17" s="192" t="n">
        <v>10614</v>
      </c>
      <c r="CC17" s="192" t="n">
        <v>10058</v>
      </c>
      <c r="CD17" s="192" t="n">
        <v>10462</v>
      </c>
      <c r="CE17" s="192" t="n">
        <v>10125</v>
      </c>
      <c r="CF17" s="192" t="n">
        <v>10709</v>
      </c>
      <c r="CG17" s="192" t="n">
        <v>11048</v>
      </c>
      <c r="CH17" s="192" t="n">
        <v>9670</v>
      </c>
      <c r="CI17" s="192" t="n">
        <v>11082</v>
      </c>
      <c r="CJ17" s="192" t="n">
        <v>11004</v>
      </c>
      <c r="CK17" s="192" t="n">
        <v>10329</v>
      </c>
      <c r="CL17" s="192" t="n">
        <v>9221</v>
      </c>
      <c r="CM17" s="192" t="n">
        <v>8799</v>
      </c>
      <c r="CN17" s="192" t="n">
        <v>8740</v>
      </c>
      <c r="CO17" s="192" t="n">
        <v>8536</v>
      </c>
      <c r="CP17" s="192" t="n">
        <v>8103</v>
      </c>
      <c r="CQ17" s="192" t="n">
        <v>7708</v>
      </c>
      <c r="CR17" s="192" t="n">
        <v>7109</v>
      </c>
      <c r="CS17" s="192" t="n">
        <v>6212</v>
      </c>
      <c r="CT17" s="192" t="n">
        <v>9220</v>
      </c>
      <c r="CU17" s="192" t="n">
        <v>7429</v>
      </c>
      <c r="CV17" s="192" t="n">
        <v>7605</v>
      </c>
      <c r="CW17" s="192" t="n">
        <v>6516</v>
      </c>
      <c r="CX17" s="192" t="n">
        <v>7652</v>
      </c>
      <c r="CY17" s="192" t="n">
        <v>8081.4</v>
      </c>
      <c r="CZ17" s="192" t="n">
        <v>7399.6</v>
      </c>
      <c r="DA17" s="192" t="n">
        <v>7152.7</v>
      </c>
      <c r="DB17" s="192" t="n">
        <v>6398.3</v>
      </c>
      <c r="DC17" s="192" t="n">
        <v>6363.2</v>
      </c>
      <c r="DD17" s="192" t="n">
        <v>5630.8</v>
      </c>
      <c r="DE17" s="192" t="n">
        <v>4906.8</v>
      </c>
      <c r="DF17" s="192" t="n">
        <v>4241</v>
      </c>
      <c r="DG17" s="192" t="n">
        <v>3686.6</v>
      </c>
      <c r="DH17" s="192" t="n">
        <v>3473.8</v>
      </c>
      <c r="DI17" s="192" t="n">
        <v>3916.7</v>
      </c>
      <c r="DJ17" s="192" t="n">
        <v>3603.3</v>
      </c>
      <c r="DK17" s="192" t="n">
        <v>3459.9</v>
      </c>
      <c r="DL17" s="192" t="n">
        <v>3370.1</v>
      </c>
      <c r="DM17" s="192" t="n">
        <v>3072.9</v>
      </c>
      <c r="DN17" s="192" t="n">
        <v>2906.1</v>
      </c>
      <c r="DO17" s="192" t="n">
        <v>2700</v>
      </c>
      <c r="DP17" s="192" t="n">
        <v>2800</v>
      </c>
      <c r="DQ17" s="192" t="n">
        <v>2600</v>
      </c>
      <c r="DR17" s="192" t="n">
        <v>2500</v>
      </c>
      <c r="DS17" s="192" t="n">
        <v>2400</v>
      </c>
      <c r="DT17" s="192" t="n">
        <v>2300</v>
      </c>
      <c r="DU17" s="192" t="n">
        <v>2000</v>
      </c>
      <c r="DV17" s="192" t="n">
        <v>1900</v>
      </c>
      <c r="DW17" s="192" t="n">
        <v>2000</v>
      </c>
      <c r="DX17" s="192" t="n">
        <v>1900</v>
      </c>
      <c r="DY17" s="192" t="n">
        <v>2000</v>
      </c>
      <c r="DZ17" s="192" t="n">
        <v>1900</v>
      </c>
      <c r="EA17" s="192" t="n">
        <v>1800</v>
      </c>
      <c r="EB17" s="192" t="n">
        <v>1800</v>
      </c>
      <c r="EC17" s="192" t="n">
        <v>1600</v>
      </c>
      <c r="ED17" s="192" t="n">
        <v>1600</v>
      </c>
      <c r="EE17" s="192" t="n">
        <v>1400</v>
      </c>
      <c r="EF17" s="192" t="n">
        <v>1400</v>
      </c>
      <c r="EG17" s="192" t="n">
        <v>1400</v>
      </c>
      <c r="EH17" s="192" t="n">
        <v>700</v>
      </c>
      <c r="EI17" s="192" t="n">
        <v>700</v>
      </c>
      <c r="EJ17" s="192" t="n">
        <v>600</v>
      </c>
      <c r="EK17" s="192" t="n">
        <v>-2300</v>
      </c>
      <c r="EL17" s="182" t="n"/>
      <c r="EM17" s="176" t="n"/>
      <c r="EN17" s="176" t="n"/>
      <c r="EO17" s="176" t="n"/>
      <c r="EP17" s="176" t="n"/>
      <c r="EQ17" s="176" t="n"/>
      <c r="ER17" s="176" t="n"/>
      <c r="ES17" s="176" t="n"/>
      <c r="ET17" s="176" t="n"/>
      <c r="EU17" s="176" t="n"/>
      <c r="EV17" s="176" t="n"/>
      <c r="EW17" s="176" t="n"/>
      <c r="EX17" s="176" t="n"/>
      <c r="EY17" s="176" t="n"/>
      <c r="EZ17" s="176" t="n"/>
      <c r="FA17" s="176" t="n"/>
      <c r="FB17" s="176" t="n"/>
      <c r="FC17" s="176" t="n"/>
      <c r="FD17" s="176" t="n"/>
      <c r="FE17" s="176" t="n"/>
      <c r="FF17" s="176" t="n"/>
      <c r="FG17" s="176" t="n"/>
      <c r="FH17" s="176" t="n"/>
      <c r="FI17" s="176" t="n"/>
      <c r="FJ17" s="176" t="n"/>
    </row>
    <row r="18" ht="15" customHeight="1" s="392">
      <c r="A18" s="176" t="n"/>
      <c r="B18" s="180" t="n"/>
      <c r="C18" s="187" t="inlineStr">
        <is>
          <t xml:space="preserve">                Total Depreciation, Amortization and Depletion, Non-Cash Adjustment</t>
        </is>
      </c>
      <c r="D18" s="193">
        <f>IF(COUNT(M18:EK18)&gt;0,MEDIAN(M18:EK18),"")</f>
        <v/>
      </c>
      <c r="E18" s="193">
        <f>IF(COUNT(M18:EK18)&gt;0,AVERAGE(M18:EK18),"")</f>
        <v/>
      </c>
      <c r="F18" s="193">
        <f>IF(COUNT(M18:EK18)&gt;0,MIN(M18:EK18),"")</f>
        <v/>
      </c>
      <c r="G18" s="193">
        <f>IF(COUNT(M18:EK18)&gt;0,MAX(M18:EK18),"")</f>
        <v/>
      </c>
      <c r="H18" s="193">
        <f>IF(COUNT(M18:EK18)&gt;0,QUARTILE(M18:EK18,1),"")</f>
        <v/>
      </c>
      <c r="I18" s="193">
        <f>IF(COUNT(M18:EK18)&gt;0,QUARTILE(M18:EK18,3),"")</f>
        <v/>
      </c>
      <c r="J18" s="193">
        <f>IF(COUNT(M18:EK18)&gt;1,STDEV(M18:EK18),"")</f>
        <v/>
      </c>
      <c r="K18" s="194">
        <f>IF(COUNT(M18:EK18)&gt;1,STDEV(M18:EK18)/AVERAGE(M18:EK18),"")</f>
        <v/>
      </c>
      <c r="L18" s="195" t="n"/>
      <c r="M18" s="196" t="n">
        <v>69667</v>
      </c>
      <c r="N18" s="196" t="n">
        <v>59086</v>
      </c>
      <c r="O18" s="196" t="n">
        <v>55514</v>
      </c>
      <c r="P18" s="196" t="n">
        <v>54199</v>
      </c>
      <c r="Q18" s="196" t="n">
        <v>54142</v>
      </c>
      <c r="R18" s="196" t="n">
        <v>54520</v>
      </c>
      <c r="S18" s="196" t="n">
        <v>54260</v>
      </c>
      <c r="T18" s="196" t="n">
        <v>54862</v>
      </c>
      <c r="U18" s="196" t="n">
        <v>51078</v>
      </c>
      <c r="V18" s="196" t="n">
        <v>50693</v>
      </c>
      <c r="W18" s="196" t="n">
        <v>45135</v>
      </c>
      <c r="X18" s="196" t="n">
        <v>43350</v>
      </c>
      <c r="Y18" s="196" t="n">
        <v>44364</v>
      </c>
      <c r="Z18" s="196" t="n">
        <v>37226</v>
      </c>
      <c r="AA18" s="196" t="n">
        <v>38767</v>
      </c>
      <c r="AB18" s="196" t="n">
        <v>39327</v>
      </c>
      <c r="AC18" s="196" t="n">
        <v>36272</v>
      </c>
      <c r="AD18" s="196" t="n">
        <v>36706</v>
      </c>
      <c r="AE18" s="196" t="n">
        <v>33578</v>
      </c>
      <c r="AF18" s="196" t="n">
        <v>32049</v>
      </c>
      <c r="AG18" s="196" t="n">
        <v>29943</v>
      </c>
      <c r="AH18" s="196" t="n">
        <v>32243</v>
      </c>
      <c r="AI18" s="196" t="n">
        <v>31671</v>
      </c>
      <c r="AJ18" s="196" t="n">
        <v>29227</v>
      </c>
      <c r="AK18" s="196" t="n">
        <v>27501</v>
      </c>
      <c r="AL18" s="196" t="n">
        <v>28659</v>
      </c>
      <c r="AM18" s="196" t="n">
        <v>24393</v>
      </c>
      <c r="AN18" s="196" t="n">
        <v>23704</v>
      </c>
      <c r="AO18" s="196" t="n">
        <v>21625</v>
      </c>
      <c r="AP18" s="196" t="n">
        <v>21222</v>
      </c>
      <c r="AQ18" s="196" t="n">
        <v>20509</v>
      </c>
      <c r="AR18" s="196" t="n">
        <v>21978</v>
      </c>
      <c r="AS18" s="196" t="n">
        <v>28362</v>
      </c>
      <c r="AT18" s="196" t="n">
        <v>16684</v>
      </c>
      <c r="AU18" s="196" t="n">
        <v>17982</v>
      </c>
      <c r="AV18" s="196" t="n">
        <v>16012</v>
      </c>
      <c r="AW18" s="196" t="n">
        <v>13490</v>
      </c>
      <c r="AX18" s="196" t="n">
        <v>13805</v>
      </c>
      <c r="AY18" s="196" t="n">
        <v>15326</v>
      </c>
      <c r="AZ18" s="196" t="n">
        <v>14820</v>
      </c>
      <c r="BA18" s="196" t="n">
        <v>13743</v>
      </c>
      <c r="BB18" s="196" t="n">
        <v>12606</v>
      </c>
      <c r="BC18" s="196" t="n">
        <v>11732</v>
      </c>
      <c r="BD18" s="196" t="n">
        <v>11562</v>
      </c>
      <c r="BE18" s="196" t="n">
        <v>11314</v>
      </c>
      <c r="BF18" s="196" t="n">
        <v>12212</v>
      </c>
      <c r="BG18" s="196" t="n">
        <v>11400</v>
      </c>
      <c r="BH18" s="196" t="n">
        <v>13967</v>
      </c>
      <c r="BI18" s="196" t="n">
        <v>13377</v>
      </c>
      <c r="BJ18" s="196" t="n">
        <v>12769</v>
      </c>
      <c r="BK18" s="196" t="n">
        <v>13076</v>
      </c>
      <c r="BL18" s="196" t="n">
        <v>14504</v>
      </c>
      <c r="BM18" s="196" t="n">
        <v>14480</v>
      </c>
      <c r="BN18" s="196" t="n">
        <v>14797</v>
      </c>
      <c r="BO18" s="196" t="n">
        <v>14612</v>
      </c>
      <c r="BP18" s="196" t="n">
        <v>12839</v>
      </c>
      <c r="BQ18" s="196" t="n">
        <v>11851</v>
      </c>
      <c r="BR18" s="196" t="n">
        <v>12069</v>
      </c>
      <c r="BS18" s="196" t="n">
        <v>12220</v>
      </c>
      <c r="BT18" s="196" t="n">
        <v>12027</v>
      </c>
      <c r="BU18" s="196" t="n">
        <v>11331</v>
      </c>
      <c r="BV18" s="196" t="n">
        <v>11274</v>
      </c>
      <c r="BW18" s="196" t="n">
        <v>11367</v>
      </c>
      <c r="BX18" s="196" t="n">
        <v>11722</v>
      </c>
      <c r="BY18" s="196" t="n">
        <v>11151</v>
      </c>
      <c r="BZ18" s="196" t="n">
        <v>11013</v>
      </c>
      <c r="CA18" s="196" t="n">
        <v>10464</v>
      </c>
      <c r="CB18" s="196" t="n">
        <v>10614</v>
      </c>
      <c r="CC18" s="196" t="n">
        <v>10058</v>
      </c>
      <c r="CD18" s="196" t="n">
        <v>10462</v>
      </c>
      <c r="CE18" s="196" t="n">
        <v>10125</v>
      </c>
      <c r="CF18" s="196" t="n">
        <v>10709</v>
      </c>
      <c r="CG18" s="196" t="n">
        <v>11048</v>
      </c>
      <c r="CH18" s="196" t="n">
        <v>9670</v>
      </c>
      <c r="CI18" s="196" t="n">
        <v>11082</v>
      </c>
      <c r="CJ18" s="196" t="n">
        <v>11004</v>
      </c>
      <c r="CK18" s="196" t="n">
        <v>10329</v>
      </c>
      <c r="CL18" s="196" t="n">
        <v>9221</v>
      </c>
      <c r="CM18" s="196" t="n">
        <v>8799</v>
      </c>
      <c r="CN18" s="196" t="n">
        <v>8740</v>
      </c>
      <c r="CO18" s="196" t="n">
        <v>8536</v>
      </c>
      <c r="CP18" s="196" t="n">
        <v>8103</v>
      </c>
      <c r="CQ18" s="196" t="n">
        <v>7708</v>
      </c>
      <c r="CR18" s="196" t="n">
        <v>7109</v>
      </c>
      <c r="CS18" s="196" t="n">
        <v>6212</v>
      </c>
      <c r="CT18" s="196" t="n">
        <v>9220</v>
      </c>
      <c r="CU18" s="196" t="n">
        <v>7429</v>
      </c>
      <c r="CV18" s="196" t="n">
        <v>7605</v>
      </c>
      <c r="CW18" s="196" t="n">
        <v>6516</v>
      </c>
      <c r="CX18" s="196" t="n">
        <v>7652</v>
      </c>
      <c r="CY18" s="196" t="n">
        <v>8081.4</v>
      </c>
      <c r="CZ18" s="196" t="n">
        <v>7399.6</v>
      </c>
      <c r="DA18" s="196" t="n">
        <v>7152.7</v>
      </c>
      <c r="DB18" s="196" t="n">
        <v>6398.3</v>
      </c>
      <c r="DC18" s="196" t="n">
        <v>6363.2</v>
      </c>
      <c r="DD18" s="196" t="n">
        <v>5630.8</v>
      </c>
      <c r="DE18" s="196" t="n">
        <v>4906.8</v>
      </c>
      <c r="DF18" s="196" t="n">
        <v>4241</v>
      </c>
      <c r="DG18" s="196" t="n">
        <v>3686.6</v>
      </c>
      <c r="DH18" s="196" t="n">
        <v>3473.8</v>
      </c>
      <c r="DI18" s="196" t="n">
        <v>3916.7</v>
      </c>
      <c r="DJ18" s="196" t="n">
        <v>3603.3</v>
      </c>
      <c r="DK18" s="196" t="n">
        <v>3459.9</v>
      </c>
      <c r="DL18" s="196" t="n">
        <v>3370.1</v>
      </c>
      <c r="DM18" s="196" t="n">
        <v>3072.9</v>
      </c>
      <c r="DN18" s="196" t="n">
        <v>2906.1</v>
      </c>
      <c r="DO18" s="196" t="n">
        <v>2700</v>
      </c>
      <c r="DP18" s="196" t="n">
        <v>2800</v>
      </c>
      <c r="DQ18" s="196" t="n">
        <v>2600</v>
      </c>
      <c r="DR18" s="196" t="n">
        <v>2500</v>
      </c>
      <c r="DS18" s="196" t="n">
        <v>2400</v>
      </c>
      <c r="DT18" s="196" t="n">
        <v>2300</v>
      </c>
      <c r="DU18" s="196" t="n">
        <v>2000</v>
      </c>
      <c r="DV18" s="196" t="n">
        <v>1900</v>
      </c>
      <c r="DW18" s="196" t="n">
        <v>2000</v>
      </c>
      <c r="DX18" s="196" t="n">
        <v>1900</v>
      </c>
      <c r="DY18" s="196" t="n">
        <v>2000</v>
      </c>
      <c r="DZ18" s="196" t="n">
        <v>1900</v>
      </c>
      <c r="EA18" s="196" t="n">
        <v>1800</v>
      </c>
      <c r="EB18" s="196" t="n">
        <v>1800</v>
      </c>
      <c r="EC18" s="196" t="n">
        <v>1600</v>
      </c>
      <c r="ED18" s="196" t="n">
        <v>1600</v>
      </c>
      <c r="EE18" s="196" t="n">
        <v>1400</v>
      </c>
      <c r="EF18" s="196" t="n">
        <v>1400</v>
      </c>
      <c r="EG18" s="196" t="n">
        <v>1400</v>
      </c>
      <c r="EH18" s="196" t="n">
        <v>700</v>
      </c>
      <c r="EI18" s="196" t="n">
        <v>700</v>
      </c>
      <c r="EJ18" s="196" t="n">
        <v>600</v>
      </c>
      <c r="EK18" s="196" t="n">
        <v>-2300</v>
      </c>
      <c r="EL18" s="182" t="n"/>
      <c r="EM18" s="176" t="n"/>
      <c r="EN18" s="176" t="n"/>
      <c r="EO18" s="176" t="n"/>
      <c r="EP18" s="176" t="n"/>
      <c r="EQ18" s="176" t="n"/>
      <c r="ER18" s="176" t="n"/>
      <c r="ES18" s="176" t="n"/>
      <c r="ET18" s="176" t="n"/>
      <c r="EU18" s="176" t="n"/>
      <c r="EV18" s="176" t="n"/>
      <c r="EW18" s="176" t="n"/>
      <c r="EX18" s="176" t="n"/>
      <c r="EY18" s="176" t="n"/>
      <c r="EZ18" s="176" t="n"/>
      <c r="FA18" s="176" t="n"/>
      <c r="FB18" s="176" t="n"/>
      <c r="FC18" s="176" t="n"/>
      <c r="FD18" s="176" t="n"/>
      <c r="FE18" s="176" t="n"/>
      <c r="FF18" s="176" t="n"/>
      <c r="FG18" s="176" t="n"/>
      <c r="FH18" s="176" t="n"/>
      <c r="FI18" s="176" t="n"/>
      <c r="FJ18" s="176" t="n"/>
    </row>
    <row r="19" ht="15" customHeight="1" s="392">
      <c r="A19" s="176" t="n"/>
      <c r="B19" s="180" t="n"/>
      <c r="C19" s="183" t="inlineStr">
        <is>
          <t xml:space="preserve">                Excess Tax Benefit from Stock-Based Compensation, Non-Cash Adjustment</t>
        </is>
      </c>
      <c r="D19" s="190">
        <f>IF(COUNT(M19:EK19)&gt;0,MEDIAN(M19:EK19),"")</f>
        <v/>
      </c>
      <c r="E19" s="190">
        <f>IF(COUNT(M19:EK19)&gt;0,AVERAGE(M19:EK19),"")</f>
        <v/>
      </c>
      <c r="F19" s="190">
        <f>IF(COUNT(M19:EK19)&gt;0,MIN(M19:EK19),"")</f>
        <v/>
      </c>
      <c r="G19" s="190">
        <f>IF(COUNT(M19:EK19)&gt;0,MAX(M19:EK19),"")</f>
        <v/>
      </c>
      <c r="H19" s="190">
        <f>IF(COUNT(M19:EK19)&gt;0,QUARTILE(M19:EK19,1),"")</f>
        <v/>
      </c>
      <c r="I19" s="190">
        <f>IF(COUNT(M19:EK19)&gt;0,QUARTILE(M19:EK19,3),"")</f>
        <v/>
      </c>
      <c r="J19" s="190">
        <f>IF(COUNT(M19:EK19)&gt;1,STDEV(M19:EK19),"")</f>
        <v/>
      </c>
      <c r="K19" s="191">
        <f>IF(COUNT(M19:EK19)&gt;1,STDEV(M19:EK19)/AVERAGE(M19:EK19),"")</f>
        <v/>
      </c>
      <c r="M19" s="192" t="n"/>
      <c r="N19" s="192" t="n"/>
      <c r="O19" s="192" t="n"/>
      <c r="P19" s="192" t="n"/>
      <c r="Q19" s="192" t="n"/>
      <c r="R19" s="192" t="n"/>
      <c r="S19" s="192" t="n"/>
      <c r="T19" s="192" t="n"/>
      <c r="U19" s="192" t="n"/>
      <c r="V19" s="192" t="n"/>
      <c r="W19" s="192" t="n"/>
      <c r="X19" s="192" t="n"/>
      <c r="Y19" s="192" t="n"/>
      <c r="Z19" s="192" t="n"/>
      <c r="AA19" s="192" t="n"/>
      <c r="AB19" s="192" t="n"/>
      <c r="AC19" s="192" t="n"/>
      <c r="AD19" s="192" t="n"/>
      <c r="AE19" s="192" t="n"/>
      <c r="AF19" s="192" t="n"/>
      <c r="AG19" s="192" t="n"/>
      <c r="AH19" s="192" t="n"/>
      <c r="AI19" s="192" t="n"/>
      <c r="AJ19" s="192" t="n"/>
      <c r="AK19" s="192" t="n"/>
      <c r="AL19" s="192" t="n"/>
      <c r="AM19" s="192" t="n"/>
      <c r="AN19" s="192" t="n"/>
      <c r="AO19" s="192" t="n"/>
      <c r="AP19" s="192" t="n"/>
      <c r="AQ19" s="192" t="n"/>
      <c r="AR19" s="192" t="n"/>
      <c r="AS19" s="192" t="n"/>
      <c r="AT19" s="192" t="n"/>
      <c r="AU19" s="192" t="n"/>
      <c r="AV19" s="192" t="n"/>
      <c r="AW19" s="192" t="n"/>
      <c r="AX19" s="192" t="n"/>
      <c r="AY19" s="192" t="n"/>
      <c r="AZ19" s="192" t="n"/>
      <c r="BA19" s="192" t="n"/>
      <c r="BB19" s="192" t="n"/>
      <c r="BC19" s="192" t="n"/>
      <c r="BD19" s="192" t="n"/>
      <c r="BE19" s="192" t="n">
        <v>-1692</v>
      </c>
      <c r="BF19" s="192" t="n">
        <v>-745</v>
      </c>
      <c r="BG19" s="192" t="n">
        <v>-173</v>
      </c>
      <c r="BH19" s="192" t="n">
        <v>-361</v>
      </c>
      <c r="BI19" s="192" t="n">
        <v>-1070</v>
      </c>
      <c r="BJ19" s="192" t="n">
        <v>-48</v>
      </c>
      <c r="BK19" s="192" t="n">
        <v>-1113</v>
      </c>
      <c r="BL19" s="192" t="n">
        <v>-58</v>
      </c>
      <c r="BM19" s="192" t="n">
        <v>67</v>
      </c>
      <c r="BN19" s="192" t="n">
        <v>-871</v>
      </c>
      <c r="BO19" s="192" t="n">
        <v>-3371</v>
      </c>
      <c r="BP19" s="192" t="n">
        <v>-1922</v>
      </c>
      <c r="BQ19" s="192" t="n">
        <v>-1671</v>
      </c>
      <c r="BR19" s="192" t="n">
        <v>-1592</v>
      </c>
      <c r="BS19" s="192" t="n">
        <v>-902</v>
      </c>
      <c r="BT19" s="192" t="n">
        <v>-202</v>
      </c>
      <c r="BU19" s="192" t="n">
        <v>-622</v>
      </c>
      <c r="BV19" s="192" t="n">
        <v>-1882</v>
      </c>
      <c r="BW19" s="192" t="n">
        <v>-933</v>
      </c>
      <c r="BX19" s="192" t="n">
        <v>-110</v>
      </c>
      <c r="BY19" s="192" t="n">
        <v>-2677</v>
      </c>
      <c r="BZ19" s="192" t="n">
        <v>-517</v>
      </c>
      <c r="CA19" s="192" t="n">
        <v>-20</v>
      </c>
      <c r="CB19" s="192" t="n">
        <v>-2429</v>
      </c>
      <c r="CC19" s="192" t="n">
        <v>-3460</v>
      </c>
      <c r="CD19" s="192" t="n">
        <v>3901</v>
      </c>
      <c r="CE19" s="192" t="n"/>
      <c r="CF19" s="192" t="n"/>
      <c r="CG19" s="192" t="n"/>
      <c r="CH19" s="192" t="n"/>
      <c r="CI19" s="192" t="n"/>
      <c r="CJ19" s="192" t="n"/>
      <c r="CK19" s="192" t="n"/>
      <c r="CL19" s="192" t="n"/>
      <c r="CM19" s="192" t="n"/>
      <c r="CN19" s="192" t="n"/>
      <c r="CO19" s="192" t="n"/>
      <c r="CP19" s="192" t="n"/>
      <c r="CQ19" s="192" t="n"/>
      <c r="CR19" s="192" t="n"/>
      <c r="CS19" s="192" t="n"/>
      <c r="CT19" s="192" t="n"/>
      <c r="CU19" s="192" t="n"/>
      <c r="CV19" s="192" t="n"/>
      <c r="CW19" s="192" t="n"/>
      <c r="CX19" s="192" t="n"/>
      <c r="CY19" s="192" t="n"/>
      <c r="CZ19" s="192" t="n"/>
      <c r="DA19" s="192" t="n"/>
      <c r="DB19" s="192" t="n"/>
      <c r="DC19" s="192" t="n"/>
      <c r="DD19" s="192" t="n"/>
      <c r="DE19" s="192" t="n"/>
      <c r="DF19" s="192" t="n"/>
      <c r="DG19" s="192" t="n"/>
      <c r="DH19" s="192" t="n"/>
      <c r="DI19" s="192" t="n"/>
      <c r="DJ19" s="192" t="n"/>
      <c r="DK19" s="192" t="n"/>
      <c r="DL19" s="192" t="n"/>
      <c r="DM19" s="192" t="n"/>
      <c r="DN19" s="192" t="n"/>
      <c r="DO19" s="192" t="n"/>
      <c r="DP19" s="192" t="n"/>
      <c r="DQ19" s="192" t="n"/>
      <c r="DR19" s="192" t="n"/>
      <c r="DS19" s="192" t="n"/>
      <c r="DT19" s="192" t="n"/>
      <c r="DU19" s="192" t="n"/>
      <c r="DV19" s="192" t="n"/>
      <c r="DW19" s="192" t="n"/>
      <c r="DX19" s="192" t="n"/>
      <c r="DY19" s="192" t="n"/>
      <c r="DZ19" s="192" t="n"/>
      <c r="EA19" s="192" t="n"/>
      <c r="EB19" s="192" t="n"/>
      <c r="EC19" s="192" t="n"/>
      <c r="ED19" s="192" t="n"/>
      <c r="EE19" s="192" t="n"/>
      <c r="EF19" s="192" t="n"/>
      <c r="EG19" s="192" t="n"/>
      <c r="EH19" s="192" t="n"/>
      <c r="EI19" s="192" t="n"/>
      <c r="EJ19" s="192" t="n"/>
      <c r="EK19" s="192" t="n"/>
      <c r="EL19" s="182" t="n"/>
      <c r="EM19" s="176" t="n"/>
      <c r="EN19" s="176" t="n"/>
      <c r="EO19" s="176" t="n"/>
      <c r="EP19" s="176" t="n"/>
      <c r="EQ19" s="176" t="n"/>
      <c r="ER19" s="176" t="n"/>
      <c r="ES19" s="176" t="n"/>
      <c r="ET19" s="176" t="n"/>
      <c r="EU19" s="176" t="n"/>
      <c r="EV19" s="176" t="n"/>
      <c r="EW19" s="176" t="n"/>
      <c r="EX19" s="176" t="n"/>
      <c r="EY19" s="176" t="n"/>
      <c r="EZ19" s="176" t="n"/>
      <c r="FA19" s="176" t="n"/>
      <c r="FB19" s="176" t="n"/>
      <c r="FC19" s="176" t="n"/>
      <c r="FD19" s="176" t="n"/>
      <c r="FE19" s="176" t="n"/>
      <c r="FF19" s="176" t="n"/>
      <c r="FG19" s="176" t="n"/>
      <c r="FH19" s="176" t="n"/>
      <c r="FI19" s="176" t="n"/>
      <c r="FJ19" s="176" t="n"/>
    </row>
    <row r="20" ht="15" customHeight="1" s="392">
      <c r="A20" s="176" t="n"/>
      <c r="B20" s="180" t="n"/>
      <c r="C20" s="183" t="inlineStr">
        <is>
          <t xml:space="preserve">                Stock-Based Compensation, Non-Cash Adjustment</t>
        </is>
      </c>
      <c r="D20" s="190">
        <f>IF(COUNT(M20:EK20)&gt;0,MEDIAN(M20:EK20),"")</f>
        <v/>
      </c>
      <c r="E20" s="190">
        <f>IF(COUNT(M20:EK20)&gt;0,AVERAGE(M20:EK20),"")</f>
        <v/>
      </c>
      <c r="F20" s="190">
        <f>IF(COUNT(M20:EK20)&gt;0,MIN(M20:EK20),"")</f>
        <v/>
      </c>
      <c r="G20" s="190">
        <f>IF(COUNT(M20:EK20)&gt;0,MAX(M20:EK20),"")</f>
        <v/>
      </c>
      <c r="H20" s="190">
        <f>IF(COUNT(M20:EK20)&gt;0,QUARTILE(M20:EK20,1),"")</f>
        <v/>
      </c>
      <c r="I20" s="190">
        <f>IF(COUNT(M20:EK20)&gt;0,QUARTILE(M20:EK20,3),"")</f>
        <v/>
      </c>
      <c r="J20" s="190">
        <f>IF(COUNT(M20:EK20)&gt;1,STDEV(M20:EK20),"")</f>
        <v/>
      </c>
      <c r="K20" s="191">
        <f>IF(COUNT(M20:EK20)&gt;1,STDEV(M20:EK20)/AVERAGE(M20:EK20),"")</f>
        <v/>
      </c>
      <c r="M20" s="192" t="n">
        <v>9805</v>
      </c>
      <c r="N20" s="192" t="n">
        <v>9463</v>
      </c>
      <c r="O20" s="192" t="n">
        <v>10231</v>
      </c>
      <c r="P20" s="192" t="n">
        <v>9319</v>
      </c>
      <c r="Q20" s="192" t="n">
        <v>9099</v>
      </c>
      <c r="R20" s="192" t="n">
        <v>9173</v>
      </c>
      <c r="S20" s="192" t="n">
        <v>9317</v>
      </c>
      <c r="T20" s="192" t="n">
        <v>10415</v>
      </c>
      <c r="U20" s="192" t="n">
        <v>8540</v>
      </c>
      <c r="V20" s="192" t="n">
        <v>9018</v>
      </c>
      <c r="W20" s="192" t="n">
        <v>9359</v>
      </c>
      <c r="X20" s="192" t="n">
        <v>8317</v>
      </c>
      <c r="Y20" s="192" t="n">
        <v>9269</v>
      </c>
      <c r="Z20" s="192" t="n">
        <v>10081</v>
      </c>
      <c r="AA20" s="192" t="n">
        <v>10131</v>
      </c>
      <c r="AB20" s="192" t="n">
        <v>10192</v>
      </c>
      <c r="AC20" s="192" t="n">
        <v>10033</v>
      </c>
      <c r="AD20" s="192" t="n">
        <v>9818</v>
      </c>
      <c r="AE20" s="192" t="n">
        <v>9662</v>
      </c>
      <c r="AF20" s="192" t="n">
        <v>9452</v>
      </c>
      <c r="AG20" s="192" t="n">
        <v>13777</v>
      </c>
      <c r="AH20" s="192" t="n">
        <v>9367</v>
      </c>
      <c r="AI20" s="192" t="n">
        <v>8865</v>
      </c>
      <c r="AJ20" s="192" t="n">
        <v>8913</v>
      </c>
      <c r="AK20" s="192" t="n">
        <v>6093</v>
      </c>
      <c r="AL20" s="192" t="n">
        <v>5555</v>
      </c>
      <c r="AM20" s="192" t="n">
        <v>6141</v>
      </c>
      <c r="AN20" s="192" t="n">
        <v>5533</v>
      </c>
      <c r="AO20" s="192" t="n">
        <v>5845</v>
      </c>
      <c r="AP20" s="192" t="n">
        <v>5650</v>
      </c>
      <c r="AQ20" s="192" t="n">
        <v>5929</v>
      </c>
      <c r="AR20" s="192" t="n">
        <v>6021</v>
      </c>
      <c r="AS20" s="192" t="n">
        <v>5982</v>
      </c>
      <c r="AT20" s="192" t="n">
        <v>5941</v>
      </c>
      <c r="AU20" s="192" t="n">
        <v>5992</v>
      </c>
      <c r="AV20" s="192" t="n">
        <v>5306</v>
      </c>
      <c r="AW20" s="192" t="n">
        <v>5227</v>
      </c>
      <c r="AX20" s="192" t="n">
        <v>5008</v>
      </c>
      <c r="AY20" s="192" t="n">
        <v>5520</v>
      </c>
      <c r="AZ20" s="192" t="n">
        <v>5085</v>
      </c>
      <c r="BA20" s="192" t="n">
        <v>5030</v>
      </c>
      <c r="BB20" s="192" t="n">
        <v>5034</v>
      </c>
      <c r="BC20" s="192" t="n">
        <v>5386</v>
      </c>
      <c r="BD20" s="192" t="n">
        <v>5414</v>
      </c>
      <c r="BE20" s="192" t="n">
        <v>4864</v>
      </c>
      <c r="BF20" s="192" t="n">
        <v>4420</v>
      </c>
      <c r="BG20" s="192" t="n">
        <v>4504</v>
      </c>
      <c r="BH20" s="192" t="n">
        <v>4366</v>
      </c>
      <c r="BI20" s="192" t="n">
        <v>4837</v>
      </c>
      <c r="BJ20" s="192" t="n">
        <v>6623</v>
      </c>
      <c r="BK20" s="192" t="n">
        <v>5772</v>
      </c>
      <c r="BL20" s="192" t="n">
        <v>4867</v>
      </c>
      <c r="BM20" s="192" t="n">
        <v>4886</v>
      </c>
      <c r="BN20" s="192" t="n">
        <v>4751</v>
      </c>
      <c r="BO20" s="192" t="n">
        <v>4746</v>
      </c>
      <c r="BP20" s="192" t="n">
        <v>5174</v>
      </c>
      <c r="BQ20" s="192" t="n">
        <v>5449</v>
      </c>
      <c r="BR20" s="192" t="n">
        <v>5314</v>
      </c>
      <c r="BS20" s="192" t="n">
        <v>5983</v>
      </c>
      <c r="BT20" s="192" t="n">
        <v>5045</v>
      </c>
      <c r="BU20" s="192" t="n">
        <v>4814</v>
      </c>
      <c r="BV20" s="192" t="n">
        <v>5077</v>
      </c>
      <c r="BW20" s="192" t="n">
        <v>4480</v>
      </c>
      <c r="BX20" s="192" t="n">
        <v>4636</v>
      </c>
      <c r="BY20" s="192" t="n">
        <v>4655</v>
      </c>
      <c r="BZ20" s="192" t="n">
        <v>4417</v>
      </c>
      <c r="CA20" s="192" t="n">
        <v>4598</v>
      </c>
      <c r="CB20" s="192" t="n">
        <v>4285</v>
      </c>
      <c r="CC20" s="192" t="n">
        <v>8211</v>
      </c>
      <c r="CD20" s="192" t="n">
        <v>-1991</v>
      </c>
      <c r="CE20" s="192" t="n"/>
      <c r="CF20" s="192" t="n"/>
      <c r="CG20" s="192" t="n"/>
      <c r="CH20" s="192" t="n"/>
      <c r="CI20" s="192" t="n"/>
      <c r="CJ20" s="192" t="n"/>
      <c r="CK20" s="192" t="n"/>
      <c r="CL20" s="192" t="n"/>
      <c r="CM20" s="192" t="n"/>
      <c r="CN20" s="192" t="n"/>
      <c r="CO20" s="192" t="n"/>
      <c r="CP20" s="192" t="n"/>
      <c r="CQ20" s="192" t="n"/>
      <c r="CR20" s="192" t="n"/>
      <c r="CS20" s="192" t="n"/>
      <c r="CT20" s="192" t="n"/>
      <c r="CU20" s="192" t="n"/>
      <c r="CV20" s="192" t="n"/>
      <c r="CW20" s="192" t="n"/>
      <c r="CX20" s="192" t="n"/>
      <c r="CY20" s="192" t="n"/>
      <c r="CZ20" s="192" t="n"/>
      <c r="DA20" s="192" t="n"/>
      <c r="DB20" s="192" t="n"/>
      <c r="DC20" s="192" t="n"/>
      <c r="DD20" s="192" t="n"/>
      <c r="DE20" s="192" t="n"/>
      <c r="DF20" s="192" t="n"/>
      <c r="DG20" s="192" t="n"/>
      <c r="DH20" s="192" t="n"/>
      <c r="DI20" s="192" t="n"/>
      <c r="DJ20" s="192" t="n"/>
      <c r="DK20" s="192" t="n"/>
      <c r="DL20" s="192" t="n"/>
      <c r="DM20" s="192" t="n"/>
      <c r="DN20" s="192" t="n"/>
      <c r="DO20" s="192" t="n"/>
      <c r="DP20" s="192" t="n"/>
      <c r="DQ20" s="192" t="n"/>
      <c r="DR20" s="192" t="n"/>
      <c r="DS20" s="192" t="n"/>
      <c r="DT20" s="192" t="n"/>
      <c r="DU20" s="192" t="n"/>
      <c r="DV20" s="192" t="n"/>
      <c r="DW20" s="192" t="n"/>
      <c r="DX20" s="192" t="n"/>
      <c r="DY20" s="192" t="n"/>
      <c r="DZ20" s="192" t="n"/>
      <c r="EA20" s="192" t="n"/>
      <c r="EB20" s="192" t="n"/>
      <c r="EC20" s="192" t="n"/>
      <c r="ED20" s="192" t="n"/>
      <c r="EE20" s="192" t="n"/>
      <c r="EF20" s="192" t="n"/>
      <c r="EG20" s="192" t="n"/>
      <c r="EH20" s="192" t="n"/>
      <c r="EI20" s="192" t="n"/>
      <c r="EJ20" s="192" t="n"/>
      <c r="EK20" s="192" t="n"/>
      <c r="EL20" s="182" t="n"/>
      <c r="EM20" s="176" t="n"/>
      <c r="EN20" s="176" t="n"/>
      <c r="EO20" s="176" t="n"/>
      <c r="EP20" s="176" t="n"/>
      <c r="EQ20" s="176" t="n"/>
      <c r="ER20" s="176" t="n"/>
      <c r="ES20" s="176" t="n"/>
      <c r="ET20" s="176" t="n"/>
      <c r="EU20" s="176" t="n"/>
      <c r="EV20" s="176" t="n"/>
      <c r="EW20" s="176" t="n"/>
      <c r="EX20" s="176" t="n"/>
      <c r="EY20" s="176" t="n"/>
      <c r="EZ20" s="176" t="n"/>
      <c r="FA20" s="176" t="n"/>
      <c r="FB20" s="176" t="n"/>
      <c r="FC20" s="176" t="n"/>
      <c r="FD20" s="176" t="n"/>
      <c r="FE20" s="176" t="n"/>
      <c r="FF20" s="176" t="n"/>
      <c r="FG20" s="176" t="n"/>
      <c r="FH20" s="176" t="n"/>
      <c r="FI20" s="176" t="n"/>
      <c r="FJ20" s="176" t="n"/>
    </row>
    <row r="21" ht="15" customHeight="1" s="392">
      <c r="A21" s="176" t="n"/>
      <c r="B21" s="180" t="n"/>
      <c r="C21" s="183" t="inlineStr">
        <is>
          <t xml:space="preserve">                Taxes, Non-Cash Adjustment</t>
        </is>
      </c>
      <c r="D21" s="190">
        <f>IF(COUNT(M21:EK21)&gt;0,MEDIAN(M21:EK21),"")</f>
        <v/>
      </c>
      <c r="E21" s="190">
        <f>IF(COUNT(M21:EK21)&gt;0,AVERAGE(M21:EK21),"")</f>
        <v/>
      </c>
      <c r="F21" s="190">
        <f>IF(COUNT(M21:EK21)&gt;0,MIN(M21:EK21),"")</f>
        <v/>
      </c>
      <c r="G21" s="190">
        <f>IF(COUNT(M21:EK21)&gt;0,MAX(M21:EK21),"")</f>
        <v/>
      </c>
      <c r="H21" s="190">
        <f>IF(COUNT(M21:EK21)&gt;0,QUARTILE(M21:EK21,1),"")</f>
        <v/>
      </c>
      <c r="I21" s="190">
        <f>IF(COUNT(M21:EK21)&gt;0,QUARTILE(M21:EK21,3),"")</f>
        <v/>
      </c>
      <c r="J21" s="190">
        <f>IF(COUNT(M21:EK21)&gt;1,STDEV(M21:EK21),"")</f>
        <v/>
      </c>
      <c r="K21" s="191">
        <f>IF(COUNT(M21:EK21)&gt;1,STDEV(M21:EK21)/AVERAGE(M21:EK21),"")</f>
        <v/>
      </c>
      <c r="M21" s="192" t="n">
        <v>39085</v>
      </c>
      <c r="N21" s="192" t="n">
        <v>2272</v>
      </c>
      <c r="O21" s="192" t="n">
        <v>712</v>
      </c>
      <c r="P21" s="192" t="n">
        <v>5290</v>
      </c>
      <c r="Q21" s="192" t="n">
        <v>-13507</v>
      </c>
      <c r="R21" s="192" t="n">
        <v>20</v>
      </c>
      <c r="S21" s="192" t="n">
        <v>-1693</v>
      </c>
      <c r="T21" s="192" t="n">
        <v>1740</v>
      </c>
      <c r="U21" s="192" t="n">
        <v>2246</v>
      </c>
      <c r="V21" s="192" t="n">
        <v>-990</v>
      </c>
      <c r="W21" s="192" t="n">
        <v>-1115</v>
      </c>
      <c r="X21" s="192" t="n">
        <v>-988</v>
      </c>
      <c r="Y21" s="192" t="n">
        <v>13182</v>
      </c>
      <c r="Z21" s="192" t="n">
        <v>73</v>
      </c>
      <c r="AA21" s="192" t="n">
        <v>-1529</v>
      </c>
      <c r="AB21" s="192" t="n">
        <v>-1780</v>
      </c>
      <c r="AC21" s="192" t="n">
        <v>2435</v>
      </c>
      <c r="AD21" s="192" t="n">
        <v>8579</v>
      </c>
      <c r="AE21" s="192" t="n">
        <v>-2316</v>
      </c>
      <c r="AF21" s="192" t="n">
        <v>8319</v>
      </c>
      <c r="AG21" s="192" t="n">
        <v>6179</v>
      </c>
      <c r="AH21" s="192" t="n">
        <v>-23572</v>
      </c>
      <c r="AI21" s="192" t="n">
        <v>3203</v>
      </c>
      <c r="AJ21" s="192" t="n">
        <v>6239</v>
      </c>
      <c r="AK21" s="192" t="n">
        <v>13817</v>
      </c>
      <c r="AL21" s="192" t="n">
        <v>2546</v>
      </c>
      <c r="AM21" s="192" t="n">
        <v>1880</v>
      </c>
      <c r="AN21" s="192" t="n">
        <v>4839</v>
      </c>
      <c r="AO21" s="192" t="n">
        <v>8584</v>
      </c>
      <c r="AP21" s="192" t="n">
        <v>7951</v>
      </c>
      <c r="AQ21" s="192" t="n">
        <v>7520</v>
      </c>
      <c r="AR21" s="192" t="n">
        <v>-888</v>
      </c>
      <c r="AS21" s="192" t="n">
        <v>16734</v>
      </c>
      <c r="AT21" s="192" t="n">
        <v>-2683</v>
      </c>
      <c r="AU21" s="192" t="n">
        <v>-93</v>
      </c>
      <c r="AV21" s="192" t="n">
        <v>2759</v>
      </c>
      <c r="AW21" s="192" t="n">
        <v>-1890</v>
      </c>
      <c r="AX21" s="192" t="n">
        <v>-1675</v>
      </c>
      <c r="AY21" s="192" t="n">
        <v>1378</v>
      </c>
      <c r="AZ21" s="192" t="n">
        <v>22088</v>
      </c>
      <c r="BA21" s="192" t="n">
        <v>6065</v>
      </c>
      <c r="BB21" s="192" t="n">
        <v>-219</v>
      </c>
      <c r="BC21" s="192" t="n">
        <v>764</v>
      </c>
      <c r="BD21" s="192" t="n">
        <v>-870</v>
      </c>
      <c r="BE21" s="192" t="n">
        <v>724</v>
      </c>
      <c r="BF21" s="192" t="n">
        <v>5958</v>
      </c>
      <c r="BG21" s="192" t="n">
        <v>-1022</v>
      </c>
      <c r="BH21" s="192" t="n">
        <v>-1295</v>
      </c>
      <c r="BI21" s="192" t="n">
        <v>1771</v>
      </c>
      <c r="BJ21" s="192" t="n">
        <v>-6627</v>
      </c>
      <c r="BK21" s="192" t="n">
        <v>-2972</v>
      </c>
      <c r="BL21" s="192" t="n">
        <v>-3010</v>
      </c>
      <c r="BM21" s="192" t="n">
        <v>-233</v>
      </c>
      <c r="BN21" s="192" t="n">
        <v>3614</v>
      </c>
      <c r="BO21" s="192" t="n">
        <v>-3208</v>
      </c>
      <c r="BP21" s="192" t="n">
        <v>-3778</v>
      </c>
      <c r="BQ21" s="192" t="n">
        <v>-5874</v>
      </c>
      <c r="BR21" s="192" t="n">
        <v>-2637</v>
      </c>
      <c r="BS21" s="192" t="n">
        <v>-5496</v>
      </c>
      <c r="BT21" s="192" t="n">
        <v>-3572</v>
      </c>
      <c r="BU21" s="192" t="n">
        <v>1056</v>
      </c>
      <c r="BV21" s="192" t="n">
        <v>279</v>
      </c>
      <c r="BW21" s="192" t="n"/>
      <c r="BX21" s="192" t="n"/>
      <c r="BY21" s="192" t="n">
        <v>2786</v>
      </c>
      <c r="BZ21" s="192" t="n">
        <v>-2292</v>
      </c>
      <c r="CA21" s="192" t="n">
        <v>-2953</v>
      </c>
      <c r="CB21" s="192" t="n">
        <v>-2053</v>
      </c>
      <c r="CC21" s="192" t="n">
        <v>-778</v>
      </c>
      <c r="CD21" s="192" t="n">
        <v>1946</v>
      </c>
      <c r="CE21" s="192" t="n">
        <v>-5282</v>
      </c>
      <c r="CF21" s="192" t="n">
        <v>1721</v>
      </c>
      <c r="CG21" s="192" t="n">
        <v>12064</v>
      </c>
      <c r="CH21" s="192" t="n">
        <v>-2583</v>
      </c>
      <c r="CI21" s="192" t="n">
        <v>-1843</v>
      </c>
      <c r="CJ21" s="192" t="n">
        <v>-1948</v>
      </c>
      <c r="CK21" s="192" t="n">
        <v>-2004</v>
      </c>
      <c r="CL21" s="192" t="n">
        <v>-4930</v>
      </c>
      <c r="CM21" s="192" t="n">
        <v>-672</v>
      </c>
      <c r="CN21" s="192" t="n">
        <v>-1342</v>
      </c>
      <c r="CO21" s="192" t="n">
        <v>-866</v>
      </c>
      <c r="CP21" s="192" t="n">
        <v>1698</v>
      </c>
      <c r="CQ21" s="192" t="n">
        <v>-3547</v>
      </c>
      <c r="CR21" s="192" t="n">
        <v>-1405</v>
      </c>
      <c r="CS21" s="192" t="n">
        <v>-7351</v>
      </c>
      <c r="CT21" s="192" t="n">
        <v>651</v>
      </c>
      <c r="CU21" s="192" t="n">
        <v>-1993</v>
      </c>
      <c r="CV21" s="192" t="n">
        <v>3073</v>
      </c>
      <c r="CW21" s="192" t="n">
        <v>-2552</v>
      </c>
      <c r="CX21" s="192" t="n">
        <v>-1620</v>
      </c>
      <c r="CY21" s="192" t="n">
        <v>4727</v>
      </c>
      <c r="CZ21" s="192" t="n">
        <v>-677</v>
      </c>
      <c r="DA21" s="192" t="n">
        <v>1321.8</v>
      </c>
      <c r="DB21" s="192" t="n">
        <v>3366</v>
      </c>
      <c r="DC21" s="192" t="n">
        <v>1190.4</v>
      </c>
      <c r="DD21" s="192" t="n">
        <v>1327.8</v>
      </c>
      <c r="DE21" s="192" t="n">
        <v>1817.6</v>
      </c>
      <c r="DF21" s="192" t="n">
        <v>-1501.3</v>
      </c>
      <c r="DG21" s="192" t="n"/>
      <c r="DH21" s="192" t="n"/>
      <c r="DI21" s="192" t="n"/>
      <c r="DJ21" s="192" t="n"/>
      <c r="DK21" s="192" t="n"/>
      <c r="DL21" s="192" t="n"/>
      <c r="DM21" s="192" t="n"/>
      <c r="DN21" s="192" t="n"/>
      <c r="DO21" s="192" t="n"/>
      <c r="DP21" s="192" t="n"/>
      <c r="DQ21" s="192" t="n"/>
      <c r="DR21" s="192" t="n"/>
      <c r="DS21" s="192" t="n"/>
      <c r="DT21" s="192" t="n"/>
      <c r="DU21" s="192" t="n"/>
      <c r="DV21" s="192" t="n"/>
      <c r="DW21" s="192" t="n"/>
      <c r="DX21" s="192" t="n"/>
      <c r="DY21" s="192" t="n">
        <v>100</v>
      </c>
      <c r="DZ21" s="192" t="n"/>
      <c r="EA21" s="192" t="n"/>
      <c r="EB21" s="192" t="n"/>
      <c r="EC21" s="192" t="n"/>
      <c r="ED21" s="192" t="n"/>
      <c r="EE21" s="192" t="n"/>
      <c r="EF21" s="192" t="n"/>
      <c r="EG21" s="192" t="n"/>
      <c r="EH21" s="192" t="n"/>
      <c r="EI21" s="192" t="n"/>
      <c r="EJ21" s="192" t="n"/>
      <c r="EK21" s="192" t="n">
        <v>300</v>
      </c>
      <c r="EL21" s="182" t="n"/>
      <c r="EM21" s="176" t="n"/>
      <c r="EN21" s="176" t="n"/>
      <c r="EO21" s="176" t="n"/>
      <c r="EP21" s="176" t="n"/>
      <c r="EQ21" s="176" t="n"/>
      <c r="ER21" s="176" t="n"/>
      <c r="ES21" s="176" t="n"/>
      <c r="ET21" s="176" t="n"/>
      <c r="EU21" s="176" t="n"/>
      <c r="EV21" s="176" t="n"/>
      <c r="EW21" s="176" t="n"/>
      <c r="EX21" s="176" t="n"/>
      <c r="EY21" s="176" t="n"/>
      <c r="EZ21" s="176" t="n"/>
      <c r="FA21" s="176" t="n"/>
      <c r="FB21" s="176" t="n"/>
      <c r="FC21" s="176" t="n"/>
      <c r="FD21" s="176" t="n"/>
      <c r="FE21" s="176" t="n"/>
      <c r="FF21" s="176" t="n"/>
      <c r="FG21" s="176" t="n"/>
      <c r="FH21" s="176" t="n"/>
      <c r="FI21" s="176" t="n"/>
      <c r="FJ21" s="176" t="n"/>
    </row>
    <row r="22" ht="15" customHeight="1" s="392">
      <c r="A22" s="176" t="n"/>
      <c r="B22" s="180" t="n"/>
      <c r="C22" s="183" t="inlineStr">
        <is>
          <t xml:space="preserve">                Other Provisions, Non-Cash Adjustment</t>
        </is>
      </c>
      <c r="D22" s="190">
        <f>IF(COUNT(M22:EK22)&gt;0,MEDIAN(M22:EK22),"")</f>
        <v/>
      </c>
      <c r="E22" s="190">
        <f>IF(COUNT(M22:EK22)&gt;0,AVERAGE(M22:EK22),"")</f>
        <v/>
      </c>
      <c r="F22" s="190">
        <f>IF(COUNT(M22:EK22)&gt;0,MIN(M22:EK22),"")</f>
        <v/>
      </c>
      <c r="G22" s="190">
        <f>IF(COUNT(M22:EK22)&gt;0,MAX(M22:EK22),"")</f>
        <v/>
      </c>
      <c r="H22" s="190">
        <f>IF(COUNT(M22:EK22)&gt;0,QUARTILE(M22:EK22,1),"")</f>
        <v/>
      </c>
      <c r="I22" s="190">
        <f>IF(COUNT(M22:EK22)&gt;0,QUARTILE(M22:EK22,3),"")</f>
        <v/>
      </c>
      <c r="J22" s="190">
        <f>IF(COUNT(M22:EK22)&gt;1,STDEV(M22:EK22),"")</f>
        <v/>
      </c>
      <c r="K22" s="191">
        <f>IF(COUNT(M22:EK22)&gt;1,STDEV(M22:EK22)/AVERAGE(M22:EK22),"")</f>
        <v/>
      </c>
      <c r="M22" s="192" t="n">
        <v>3965</v>
      </c>
      <c r="N22" s="192" t="n">
        <v>-469</v>
      </c>
      <c r="O22" s="192" t="n">
        <v>126</v>
      </c>
      <c r="P22" s="192" t="n">
        <v>1977</v>
      </c>
      <c r="Q22" s="192" t="n">
        <v>201</v>
      </c>
      <c r="R22" s="192" t="n">
        <v>-903</v>
      </c>
      <c r="S22" s="192" t="n">
        <v>-38</v>
      </c>
      <c r="T22" s="192" t="n">
        <v>1094</v>
      </c>
      <c r="U22" s="192" t="n">
        <v>1401</v>
      </c>
      <c r="V22" s="192" t="n">
        <v>-1189</v>
      </c>
      <c r="W22" s="192" t="n">
        <v>2653</v>
      </c>
      <c r="X22" s="192" t="n">
        <v>1049</v>
      </c>
      <c r="Y22" s="192" t="n">
        <v>466</v>
      </c>
      <c r="Z22" s="192" t="n">
        <v>-653</v>
      </c>
      <c r="AA22" s="192" t="n">
        <v>737</v>
      </c>
      <c r="AB22" s="192" t="n">
        <v>1396</v>
      </c>
      <c r="AC22" s="192" t="n">
        <v>-107</v>
      </c>
      <c r="AD22" s="192" t="n">
        <v>-239</v>
      </c>
      <c r="AE22" s="192" t="n">
        <v>1400</v>
      </c>
      <c r="AF22" s="192" t="n">
        <v>295</v>
      </c>
      <c r="AG22" s="192" t="n">
        <v>308</v>
      </c>
      <c r="AH22" s="192" t="n">
        <v>-1642</v>
      </c>
      <c r="AI22" s="192" t="n">
        <v>370</v>
      </c>
      <c r="AJ22" s="192" t="n">
        <v>-157</v>
      </c>
      <c r="AK22" s="192" t="n">
        <v>338</v>
      </c>
      <c r="AL22" s="192" t="n">
        <v>31</v>
      </c>
      <c r="AM22" s="192" t="n">
        <v>919</v>
      </c>
      <c r="AN22" s="192" t="n">
        <v>382</v>
      </c>
      <c r="AO22" s="192" t="n">
        <v>-770</v>
      </c>
      <c r="AP22" s="192" t="n">
        <v>245</v>
      </c>
      <c r="AQ22" s="192" t="n">
        <v>-32</v>
      </c>
      <c r="AR22" s="192" t="n">
        <v>128</v>
      </c>
      <c r="AS22" s="192" t="n">
        <v>46</v>
      </c>
      <c r="AT22" s="192" t="n">
        <v>83</v>
      </c>
      <c r="AU22" s="192" t="n">
        <v>466</v>
      </c>
      <c r="AV22" s="192" t="n">
        <v>547</v>
      </c>
      <c r="AW22" s="192" t="n">
        <v>729</v>
      </c>
      <c r="AX22" s="192" t="n">
        <v>-568</v>
      </c>
      <c r="AY22" s="192" t="n">
        <v>4</v>
      </c>
      <c r="AZ22" s="192" t="n">
        <v>22</v>
      </c>
      <c r="BA22" s="192" t="n">
        <v>-52</v>
      </c>
      <c r="BB22" s="192" t="n">
        <v>-43</v>
      </c>
      <c r="BC22" s="192" t="n">
        <v>238</v>
      </c>
      <c r="BD22" s="192" t="n">
        <v>1032</v>
      </c>
      <c r="BE22" s="192" t="n">
        <v>-125</v>
      </c>
      <c r="BF22" s="192" t="n">
        <v>-211</v>
      </c>
      <c r="BG22" s="192" t="n">
        <v>-355</v>
      </c>
      <c r="BH22" s="192" t="n">
        <v>113</v>
      </c>
      <c r="BI22" s="192" t="n">
        <v>151</v>
      </c>
      <c r="BJ22" s="192" t="n">
        <v>52</v>
      </c>
      <c r="BK22" s="192" t="n">
        <v>534</v>
      </c>
      <c r="BL22" s="192" t="n">
        <v>350</v>
      </c>
      <c r="BM22" s="192" t="n">
        <v>-590</v>
      </c>
      <c r="BN22" s="192" t="n">
        <v>50</v>
      </c>
      <c r="BO22" s="192" t="n">
        <v>184</v>
      </c>
      <c r="BP22" s="192" t="n">
        <v>0</v>
      </c>
      <c r="BQ22" s="192" t="n">
        <v>62</v>
      </c>
      <c r="BR22" s="192" t="n">
        <v>-155</v>
      </c>
      <c r="BS22" s="192" t="n">
        <v>458</v>
      </c>
      <c r="BT22" s="192" t="n">
        <v>-557</v>
      </c>
      <c r="BU22" s="192" t="n">
        <v>280</v>
      </c>
      <c r="BV22" s="192" t="n">
        <v>-290</v>
      </c>
      <c r="BW22" s="192" t="n">
        <v>321</v>
      </c>
      <c r="BX22" s="192" t="n">
        <v>-41</v>
      </c>
      <c r="BY22" s="192" t="n">
        <v>10</v>
      </c>
      <c r="BZ22" s="192" t="n"/>
      <c r="CA22" s="192" t="n"/>
      <c r="CB22" s="192" t="n"/>
      <c r="CC22" s="192" t="n"/>
      <c r="CD22" s="192" t="n"/>
      <c r="CE22" s="192" t="n"/>
      <c r="CF22" s="192" t="n"/>
      <c r="CG22" s="192" t="n"/>
      <c r="CH22" s="192" t="n"/>
      <c r="CI22" s="192" t="n"/>
      <c r="CJ22" s="192" t="n"/>
      <c r="CK22" s="192" t="n"/>
      <c r="CL22" s="192" t="n"/>
      <c r="CM22" s="192" t="n"/>
      <c r="CN22" s="192" t="n"/>
      <c r="CO22" s="192" t="n"/>
      <c r="CP22" s="192" t="n"/>
      <c r="CQ22" s="192" t="n"/>
      <c r="CR22" s="192" t="n"/>
      <c r="CS22" s="192" t="n"/>
      <c r="CT22" s="192" t="n"/>
      <c r="CU22" s="192" t="n"/>
      <c r="CV22" s="192" t="n"/>
      <c r="CW22" s="192" t="n"/>
      <c r="CX22" s="192" t="n"/>
      <c r="CY22" s="192" t="n"/>
      <c r="CZ22" s="192" t="n"/>
      <c r="DA22" s="192" t="n"/>
      <c r="DB22" s="192" t="n"/>
      <c r="DC22" s="192" t="n"/>
      <c r="DD22" s="192" t="n"/>
      <c r="DE22" s="192" t="n"/>
      <c r="DF22" s="192" t="n"/>
      <c r="DG22" s="192" t="n"/>
      <c r="DH22" s="192" t="n"/>
      <c r="DI22" s="192" t="n"/>
      <c r="DJ22" s="192" t="n"/>
      <c r="DK22" s="192" t="n"/>
      <c r="DL22" s="192" t="n"/>
      <c r="DM22" s="192" t="n"/>
      <c r="DN22" s="192" t="n"/>
      <c r="DO22" s="192" t="n"/>
      <c r="DP22" s="192" t="n"/>
      <c r="DQ22" s="192" t="n"/>
      <c r="DR22" s="192" t="n"/>
      <c r="DS22" s="192" t="n"/>
      <c r="DT22" s="192" t="n"/>
      <c r="DU22" s="192" t="n"/>
      <c r="DV22" s="192" t="n"/>
      <c r="DW22" s="192" t="n"/>
      <c r="DX22" s="192" t="n"/>
      <c r="DY22" s="192" t="n"/>
      <c r="DZ22" s="192" t="n"/>
      <c r="EA22" s="192" t="n"/>
      <c r="EB22" s="192" t="n"/>
      <c r="EC22" s="192" t="n"/>
      <c r="ED22" s="192" t="n"/>
      <c r="EE22" s="192" t="n"/>
      <c r="EF22" s="192" t="n"/>
      <c r="EG22" s="192" t="n"/>
      <c r="EH22" s="192" t="n"/>
      <c r="EI22" s="192" t="n"/>
      <c r="EJ22" s="192" t="n"/>
      <c r="EK22" s="192" t="n"/>
      <c r="EL22" s="182" t="n"/>
      <c r="EM22" s="176" t="n"/>
      <c r="EN22" s="176" t="n"/>
      <c r="EO22" s="176" t="n"/>
      <c r="EP22" s="176" t="n"/>
      <c r="EQ22" s="176" t="n"/>
      <c r="ER22" s="176" t="n"/>
      <c r="ES22" s="176" t="n"/>
      <c r="ET22" s="176" t="n"/>
      <c r="EU22" s="176" t="n"/>
      <c r="EV22" s="176" t="n"/>
      <c r="EW22" s="176" t="n"/>
      <c r="EX22" s="176" t="n"/>
      <c r="EY22" s="176" t="n"/>
      <c r="EZ22" s="176" t="n"/>
      <c r="FA22" s="176" t="n"/>
      <c r="FB22" s="176" t="n"/>
      <c r="FC22" s="176" t="n"/>
      <c r="FD22" s="176" t="n"/>
      <c r="FE22" s="176" t="n"/>
      <c r="FF22" s="176" t="n"/>
      <c r="FG22" s="176" t="n"/>
      <c r="FH22" s="176" t="n"/>
      <c r="FI22" s="176" t="n"/>
      <c r="FJ22" s="176" t="n"/>
    </row>
    <row r="23" ht="15" customHeight="1" s="392">
      <c r="A23" s="176" t="n"/>
      <c r="B23" s="180" t="n"/>
      <c r="C23" s="183" t="inlineStr">
        <is>
          <t xml:space="preserve">                Net Investment (Income)/Loss, Non-Cash Adjustment</t>
        </is>
      </c>
      <c r="D23" s="185" t="n"/>
      <c r="E23" s="185" t="n"/>
      <c r="F23" s="185" t="n"/>
      <c r="G23" s="185" t="n"/>
      <c r="H23" s="185" t="n"/>
      <c r="I23" s="185" t="n"/>
      <c r="J23" s="185" t="n"/>
      <c r="K23" s="185" t="n"/>
      <c r="EL23" s="182" t="n"/>
      <c r="EM23" s="176" t="n"/>
      <c r="EN23" s="176" t="n"/>
      <c r="EO23" s="176" t="n"/>
      <c r="EP23" s="176" t="n"/>
      <c r="EQ23" s="176" t="n"/>
      <c r="ER23" s="176" t="n"/>
      <c r="ES23" s="176" t="n"/>
      <c r="ET23" s="176" t="n"/>
      <c r="EU23" s="176" t="n"/>
      <c r="EV23" s="176" t="n"/>
      <c r="EW23" s="176" t="n"/>
      <c r="EX23" s="176" t="n"/>
      <c r="EY23" s="176" t="n"/>
      <c r="EZ23" s="176" t="n"/>
      <c r="FA23" s="176" t="n"/>
      <c r="FB23" s="176" t="n"/>
      <c r="FC23" s="176" t="n"/>
      <c r="FD23" s="176" t="n"/>
      <c r="FE23" s="176" t="n"/>
      <c r="FF23" s="176" t="n"/>
      <c r="FG23" s="176" t="n"/>
      <c r="FH23" s="176" t="n"/>
      <c r="FI23" s="176" t="n"/>
      <c r="FJ23" s="176" t="n"/>
    </row>
    <row r="24" ht="15" customHeight="1" s="392">
      <c r="A24" s="176" t="n"/>
      <c r="B24" s="180" t="n"/>
      <c r="C24" s="183" t="inlineStr">
        <is>
          <t xml:space="preserve">                    Share of (Profit)/Loss from Associates, Joint Ventures and other Equity Investments, Non-Cash Adjustment</t>
        </is>
      </c>
      <c r="D24" s="190">
        <f>IF(COUNT(M24:EK24)&gt;0,MEDIAN(M24:EK24),"")</f>
        <v/>
      </c>
      <c r="E24" s="190">
        <f>IF(COUNT(M24:EK24)&gt;0,AVERAGE(M24:EK24),"")</f>
        <v/>
      </c>
      <c r="F24" s="190">
        <f>IF(COUNT(M24:EK24)&gt;0,MIN(M24:EK24),"")</f>
        <v/>
      </c>
      <c r="G24" s="190">
        <f>IF(COUNT(M24:EK24)&gt;0,MAX(M24:EK24),"")</f>
        <v/>
      </c>
      <c r="H24" s="190">
        <f>IF(COUNT(M24:EK24)&gt;0,QUARTILE(M24:EK24,1),"")</f>
        <v/>
      </c>
      <c r="I24" s="190">
        <f>IF(COUNT(M24:EK24)&gt;0,QUARTILE(M24:EK24,3),"")</f>
        <v/>
      </c>
      <c r="J24" s="190">
        <f>IF(COUNT(M24:EK24)&gt;1,STDEV(M24:EK24),"")</f>
        <v/>
      </c>
      <c r="K24" s="191">
        <f>IF(COUNT(M24:EK24)&gt;1,STDEV(M24:EK24)/AVERAGE(M24:EK24),"")</f>
        <v/>
      </c>
      <c r="M24" s="192" t="n">
        <v>716</v>
      </c>
      <c r="N24" s="192" t="n">
        <v>-22</v>
      </c>
      <c r="O24" s="192" t="n">
        <v>-321</v>
      </c>
      <c r="P24" s="192" t="n">
        <v>-47</v>
      </c>
      <c r="Q24" s="192" t="n">
        <v>-14</v>
      </c>
      <c r="R24" s="192" t="n">
        <v>-74</v>
      </c>
      <c r="S24" s="192" t="n">
        <v>-41</v>
      </c>
      <c r="T24" s="192" t="n">
        <v>-20</v>
      </c>
      <c r="U24" s="192" t="n">
        <v>-339</v>
      </c>
      <c r="V24" s="192" t="n">
        <v>7982</v>
      </c>
      <c r="W24" s="192" t="n">
        <v>-638</v>
      </c>
      <c r="X24" s="192" t="n">
        <v>-4764</v>
      </c>
      <c r="Y24" s="192" t="n">
        <v>-99</v>
      </c>
      <c r="Z24" s="192" t="n">
        <v>1416</v>
      </c>
      <c r="AA24" s="192" t="n">
        <v>1908</v>
      </c>
      <c r="AB24" s="192" t="n">
        <v>2122</v>
      </c>
      <c r="AC24" s="192" t="n">
        <v>-510</v>
      </c>
      <c r="AD24" s="192" t="n">
        <v>109</v>
      </c>
      <c r="AE24" s="192" t="n">
        <v>517</v>
      </c>
      <c r="AF24" s="192" t="n">
        <v>168</v>
      </c>
      <c r="AG24" s="192" t="n">
        <v>-1119</v>
      </c>
      <c r="AH24" s="192" t="n">
        <v>-778</v>
      </c>
      <c r="AI24" s="192" t="n">
        <v>398</v>
      </c>
      <c r="AJ24" s="192" t="n">
        <v>-1741</v>
      </c>
      <c r="AK24" s="192" t="n">
        <v>-517</v>
      </c>
      <c r="AL24" s="192" t="n">
        <v>-1206</v>
      </c>
      <c r="AM24" s="192" t="n">
        <v>2269</v>
      </c>
      <c r="AN24" s="192" t="n">
        <v>855</v>
      </c>
      <c r="AO24" s="192" t="n">
        <v>2271</v>
      </c>
      <c r="AP24" s="192" t="n">
        <v>-1338</v>
      </c>
      <c r="AQ24" s="192" t="n">
        <v>-330</v>
      </c>
      <c r="AR24" s="192" t="n">
        <v>-184</v>
      </c>
      <c r="AS24" s="192" t="n">
        <v>71</v>
      </c>
      <c r="AT24" s="192" t="n">
        <v>428</v>
      </c>
      <c r="AU24" s="192" t="n">
        <v>360</v>
      </c>
      <c r="AV24" s="192" t="n">
        <v>-109</v>
      </c>
      <c r="AW24" s="192" t="n">
        <v>87</v>
      </c>
      <c r="AX24" s="192" t="n">
        <v>176</v>
      </c>
      <c r="AY24" s="192" t="n">
        <v>59</v>
      </c>
      <c r="AZ24" s="192" t="n">
        <v>349</v>
      </c>
      <c r="BA24" s="192" t="n">
        <v>127</v>
      </c>
      <c r="BB24" s="192" t="n">
        <v>285</v>
      </c>
      <c r="BC24" s="192" t="n">
        <v>325</v>
      </c>
      <c r="BD24" s="192" t="n">
        <v>158</v>
      </c>
      <c r="BE24" s="192" t="n">
        <v>0</v>
      </c>
      <c r="BF24" s="192" t="n"/>
      <c r="BG24" s="192" t="n"/>
      <c r="BH24" s="192" t="n">
        <v>0</v>
      </c>
      <c r="BI24" s="192" t="n"/>
      <c r="BJ24" s="192" t="n"/>
      <c r="BK24" s="192" t="n"/>
      <c r="BL24" s="192" t="n"/>
      <c r="BM24" s="192" t="n"/>
      <c r="BN24" s="192" t="n"/>
      <c r="BO24" s="192" t="n"/>
      <c r="BP24" s="192" t="n"/>
      <c r="BQ24" s="192" t="n"/>
      <c r="BR24" s="192" t="n"/>
      <c r="BS24" s="192" t="n"/>
      <c r="BT24" s="192" t="n"/>
      <c r="BU24" s="192" t="n"/>
      <c r="BV24" s="192" t="n"/>
      <c r="BW24" s="192" t="n"/>
      <c r="BX24" s="192" t="n"/>
      <c r="BY24" s="192" t="n"/>
      <c r="BZ24" s="192" t="n"/>
      <c r="CA24" s="192" t="n"/>
      <c r="CB24" s="192" t="n"/>
      <c r="CC24" s="192" t="n"/>
      <c r="CD24" s="192" t="n"/>
      <c r="CE24" s="192" t="n"/>
      <c r="CF24" s="192" t="n"/>
      <c r="CG24" s="192" t="n"/>
      <c r="CH24" s="192" t="n"/>
      <c r="CI24" s="192" t="n"/>
      <c r="CJ24" s="192" t="n"/>
      <c r="CK24" s="192" t="n"/>
      <c r="CL24" s="192" t="n"/>
      <c r="CM24" s="192" t="n"/>
      <c r="CN24" s="192" t="n"/>
      <c r="CO24" s="192" t="n"/>
      <c r="CP24" s="192" t="n"/>
      <c r="CQ24" s="192" t="n"/>
      <c r="CR24" s="192" t="n"/>
      <c r="CS24" s="192" t="n"/>
      <c r="CT24" s="192" t="n"/>
      <c r="CU24" s="192" t="n"/>
      <c r="CV24" s="192" t="n"/>
      <c r="CW24" s="192" t="n"/>
      <c r="CX24" s="192" t="n"/>
      <c r="CY24" s="192" t="n"/>
      <c r="CZ24" s="192" t="n"/>
      <c r="DA24" s="192" t="n"/>
      <c r="DB24" s="192" t="n"/>
      <c r="DC24" s="192" t="n"/>
      <c r="DD24" s="192" t="n"/>
      <c r="DE24" s="192" t="n"/>
      <c r="DF24" s="192" t="n"/>
      <c r="DG24" s="192" t="n"/>
      <c r="DH24" s="192" t="n"/>
      <c r="DI24" s="192" t="n"/>
      <c r="DJ24" s="192" t="n"/>
      <c r="DK24" s="192" t="n"/>
      <c r="DL24" s="192" t="n"/>
      <c r="DM24" s="192" t="n"/>
      <c r="DN24" s="192" t="n"/>
      <c r="DO24" s="192" t="n"/>
      <c r="DP24" s="192" t="n"/>
      <c r="DQ24" s="192" t="n"/>
      <c r="DR24" s="192" t="n"/>
      <c r="DS24" s="192" t="n"/>
      <c r="DT24" s="192" t="n"/>
      <c r="DU24" s="192" t="n"/>
      <c r="DV24" s="192" t="n"/>
      <c r="DW24" s="192" t="n"/>
      <c r="DX24" s="192" t="n"/>
      <c r="DY24" s="192" t="n"/>
      <c r="DZ24" s="192" t="n"/>
      <c r="EA24" s="192" t="n"/>
      <c r="EB24" s="192" t="n"/>
      <c r="EC24" s="192" t="n"/>
      <c r="ED24" s="192" t="n"/>
      <c r="EE24" s="192" t="n"/>
      <c r="EF24" s="192" t="n"/>
      <c r="EG24" s="192" t="n"/>
      <c r="EH24" s="192" t="n"/>
      <c r="EI24" s="192" t="n"/>
      <c r="EJ24" s="192" t="n"/>
      <c r="EK24" s="192" t="n"/>
      <c r="EL24" s="182" t="n"/>
      <c r="EM24" s="176" t="n"/>
      <c r="EN24" s="176" t="n"/>
      <c r="EO24" s="176" t="n"/>
      <c r="EP24" s="176" t="n"/>
      <c r="EQ24" s="176" t="n"/>
      <c r="ER24" s="176" t="n"/>
      <c r="ES24" s="176" t="n"/>
      <c r="ET24" s="176" t="n"/>
      <c r="EU24" s="176" t="n"/>
      <c r="EV24" s="176" t="n"/>
      <c r="EW24" s="176" t="n"/>
      <c r="EX24" s="176" t="n"/>
      <c r="EY24" s="176" t="n"/>
      <c r="EZ24" s="176" t="n"/>
      <c r="FA24" s="176" t="n"/>
      <c r="FB24" s="176" t="n"/>
      <c r="FC24" s="176" t="n"/>
      <c r="FD24" s="176" t="n"/>
      <c r="FE24" s="176" t="n"/>
      <c r="FF24" s="176" t="n"/>
      <c r="FG24" s="176" t="n"/>
      <c r="FH24" s="176" t="n"/>
      <c r="FI24" s="176" t="n"/>
      <c r="FJ24" s="176" t="n"/>
    </row>
    <row r="25" ht="15" customHeight="1" s="392">
      <c r="A25" s="176" t="n"/>
      <c r="B25" s="180" t="n"/>
      <c r="C25" s="187" t="inlineStr">
        <is>
          <t xml:space="preserve">                Total Net Investment (Income)/Loss, Non-Cash Adjustment</t>
        </is>
      </c>
      <c r="D25" s="193">
        <f>IF(COUNT(M25:EK25)&gt;0,MEDIAN(M25:EK25),"")</f>
        <v/>
      </c>
      <c r="E25" s="193">
        <f>IF(COUNT(M25:EK25)&gt;0,AVERAGE(M25:EK25),"")</f>
        <v/>
      </c>
      <c r="F25" s="193">
        <f>IF(COUNT(M25:EK25)&gt;0,MIN(M25:EK25),"")</f>
        <v/>
      </c>
      <c r="G25" s="193">
        <f>IF(COUNT(M25:EK25)&gt;0,MAX(M25:EK25),"")</f>
        <v/>
      </c>
      <c r="H25" s="193">
        <f>IF(COUNT(M25:EK25)&gt;0,QUARTILE(M25:EK25,1),"")</f>
        <v/>
      </c>
      <c r="I25" s="193">
        <f>IF(COUNT(M25:EK25)&gt;0,QUARTILE(M25:EK25,3),"")</f>
        <v/>
      </c>
      <c r="J25" s="193">
        <f>IF(COUNT(M25:EK25)&gt;1,STDEV(M25:EK25),"")</f>
        <v/>
      </c>
      <c r="K25" s="194">
        <f>IF(COUNT(M25:EK25)&gt;1,STDEV(M25:EK25)/AVERAGE(M25:EK25),"")</f>
        <v/>
      </c>
      <c r="L25" s="195" t="n"/>
      <c r="M25" s="196" t="n">
        <v>716</v>
      </c>
      <c r="N25" s="196" t="n">
        <v>-22</v>
      </c>
      <c r="O25" s="196" t="n">
        <v>-321</v>
      </c>
      <c r="P25" s="196" t="n">
        <v>-47</v>
      </c>
      <c r="Q25" s="196" t="n">
        <v>-14</v>
      </c>
      <c r="R25" s="196" t="n">
        <v>-74</v>
      </c>
      <c r="S25" s="196" t="n">
        <v>-41</v>
      </c>
      <c r="T25" s="196" t="n">
        <v>-20</v>
      </c>
      <c r="U25" s="196" t="n">
        <v>-339</v>
      </c>
      <c r="V25" s="196" t="n">
        <v>7982</v>
      </c>
      <c r="W25" s="196" t="n">
        <v>-638</v>
      </c>
      <c r="X25" s="196" t="n">
        <v>-4764</v>
      </c>
      <c r="Y25" s="196" t="n">
        <v>-99</v>
      </c>
      <c r="Z25" s="196" t="n">
        <v>1416</v>
      </c>
      <c r="AA25" s="196" t="n">
        <v>1908</v>
      </c>
      <c r="AB25" s="196" t="n">
        <v>2122</v>
      </c>
      <c r="AC25" s="196" t="n">
        <v>-510</v>
      </c>
      <c r="AD25" s="196" t="n">
        <v>109</v>
      </c>
      <c r="AE25" s="196" t="n">
        <v>517</v>
      </c>
      <c r="AF25" s="196" t="n">
        <v>168</v>
      </c>
      <c r="AG25" s="196" t="n">
        <v>-1119</v>
      </c>
      <c r="AH25" s="196" t="n">
        <v>-778</v>
      </c>
      <c r="AI25" s="196" t="n">
        <v>398</v>
      </c>
      <c r="AJ25" s="196" t="n">
        <v>-1741</v>
      </c>
      <c r="AK25" s="196" t="n">
        <v>-517</v>
      </c>
      <c r="AL25" s="196" t="n">
        <v>-1206</v>
      </c>
      <c r="AM25" s="196" t="n">
        <v>2269</v>
      </c>
      <c r="AN25" s="196" t="n">
        <v>855</v>
      </c>
      <c r="AO25" s="196" t="n">
        <v>2271</v>
      </c>
      <c r="AP25" s="196" t="n">
        <v>-1338</v>
      </c>
      <c r="AQ25" s="196" t="n">
        <v>-330</v>
      </c>
      <c r="AR25" s="196" t="n">
        <v>-184</v>
      </c>
      <c r="AS25" s="196" t="n">
        <v>71</v>
      </c>
      <c r="AT25" s="196" t="n">
        <v>428</v>
      </c>
      <c r="AU25" s="196" t="n">
        <v>360</v>
      </c>
      <c r="AV25" s="196" t="n">
        <v>-109</v>
      </c>
      <c r="AW25" s="196" t="n">
        <v>87</v>
      </c>
      <c r="AX25" s="196" t="n">
        <v>176</v>
      </c>
      <c r="AY25" s="196" t="n">
        <v>59</v>
      </c>
      <c r="AZ25" s="196" t="n">
        <v>349</v>
      </c>
      <c r="BA25" s="196" t="n">
        <v>127</v>
      </c>
      <c r="BB25" s="196" t="n">
        <v>285</v>
      </c>
      <c r="BC25" s="196" t="n">
        <v>325</v>
      </c>
      <c r="BD25" s="196" t="n">
        <v>158</v>
      </c>
      <c r="BE25" s="196" t="n">
        <v>0</v>
      </c>
      <c r="BF25" s="196" t="n"/>
      <c r="BG25" s="196" t="n"/>
      <c r="BH25" s="196" t="n">
        <v>0</v>
      </c>
      <c r="BI25" s="196" t="n"/>
      <c r="BJ25" s="196" t="n"/>
      <c r="BK25" s="196" t="n"/>
      <c r="BL25" s="196" t="n"/>
      <c r="BM25" s="196" t="n"/>
      <c r="BN25" s="196" t="n"/>
      <c r="BO25" s="196" t="n"/>
      <c r="BP25" s="196" t="n"/>
      <c r="BQ25" s="196" t="n"/>
      <c r="BR25" s="196" t="n"/>
      <c r="BS25" s="196" t="n"/>
      <c r="BT25" s="196" t="n"/>
      <c r="BU25" s="196" t="n"/>
      <c r="BV25" s="196" t="n"/>
      <c r="BW25" s="196" t="n"/>
      <c r="BX25" s="196" t="n"/>
      <c r="BY25" s="196" t="n"/>
      <c r="BZ25" s="196" t="n"/>
      <c r="CA25" s="196" t="n"/>
      <c r="CB25" s="196" t="n"/>
      <c r="CC25" s="196" t="n"/>
      <c r="CD25" s="196" t="n"/>
      <c r="CE25" s="196" t="n"/>
      <c r="CF25" s="196" t="n"/>
      <c r="CG25" s="196" t="n"/>
      <c r="CH25" s="196" t="n"/>
      <c r="CI25" s="196" t="n"/>
      <c r="CJ25" s="196" t="n"/>
      <c r="CK25" s="196" t="n"/>
      <c r="CL25" s="196" t="n"/>
      <c r="CM25" s="196" t="n"/>
      <c r="CN25" s="196" t="n"/>
      <c r="CO25" s="196" t="n"/>
      <c r="CP25" s="196" t="n"/>
      <c r="CQ25" s="196" t="n"/>
      <c r="CR25" s="196" t="n"/>
      <c r="CS25" s="196" t="n"/>
      <c r="CT25" s="196" t="n"/>
      <c r="CU25" s="196" t="n"/>
      <c r="CV25" s="196" t="n"/>
      <c r="CW25" s="196" t="n"/>
      <c r="CX25" s="196" t="n"/>
      <c r="CY25" s="196" t="n"/>
      <c r="CZ25" s="196" t="n"/>
      <c r="DA25" s="196" t="n"/>
      <c r="DB25" s="196" t="n"/>
      <c r="DC25" s="196" t="n"/>
      <c r="DD25" s="196" t="n"/>
      <c r="DE25" s="196" t="n"/>
      <c r="DF25" s="196" t="n"/>
      <c r="DG25" s="196" t="n"/>
      <c r="DH25" s="196" t="n"/>
      <c r="DI25" s="196" t="n"/>
      <c r="DJ25" s="196" t="n"/>
      <c r="DK25" s="196" t="n"/>
      <c r="DL25" s="196" t="n"/>
      <c r="DM25" s="196" t="n"/>
      <c r="DN25" s="196" t="n"/>
      <c r="DO25" s="196" t="n"/>
      <c r="DP25" s="196" t="n"/>
      <c r="DQ25" s="196" t="n"/>
      <c r="DR25" s="196" t="n"/>
      <c r="DS25" s="196" t="n"/>
      <c r="DT25" s="196" t="n"/>
      <c r="DU25" s="196" t="n"/>
      <c r="DV25" s="196" t="n"/>
      <c r="DW25" s="196" t="n"/>
      <c r="DX25" s="196" t="n"/>
      <c r="DY25" s="196" t="n"/>
      <c r="DZ25" s="196" t="n"/>
      <c r="EA25" s="196" t="n"/>
      <c r="EB25" s="196" t="n"/>
      <c r="EC25" s="196" t="n"/>
      <c r="ED25" s="196" t="n"/>
      <c r="EE25" s="196" t="n"/>
      <c r="EF25" s="196" t="n"/>
      <c r="EG25" s="196" t="n"/>
      <c r="EH25" s="196" t="n"/>
      <c r="EI25" s="196" t="n"/>
      <c r="EJ25" s="196" t="n"/>
      <c r="EK25" s="196" t="n"/>
      <c r="EL25" s="182" t="n"/>
      <c r="EM25" s="176" t="n"/>
      <c r="EN25" s="176" t="n"/>
      <c r="EO25" s="176" t="n"/>
      <c r="EP25" s="176" t="n"/>
      <c r="EQ25" s="176" t="n"/>
      <c r="ER25" s="176" t="n"/>
      <c r="ES25" s="176" t="n"/>
      <c r="ET25" s="176" t="n"/>
      <c r="EU25" s="176" t="n"/>
      <c r="EV25" s="176" t="n"/>
      <c r="EW25" s="176" t="n"/>
      <c r="EX25" s="176" t="n"/>
      <c r="EY25" s="176" t="n"/>
      <c r="EZ25" s="176" t="n"/>
      <c r="FA25" s="176" t="n"/>
      <c r="FB25" s="176" t="n"/>
      <c r="FC25" s="176" t="n"/>
      <c r="FD25" s="176" t="n"/>
      <c r="FE25" s="176" t="n"/>
      <c r="FF25" s="176" t="n"/>
      <c r="FG25" s="176" t="n"/>
      <c r="FH25" s="176" t="n"/>
      <c r="FI25" s="176" t="n"/>
      <c r="FJ25" s="176" t="n"/>
    </row>
    <row r="26" ht="15" customHeight="1" s="392">
      <c r="A26" s="176" t="n"/>
      <c r="B26" s="180" t="n"/>
      <c r="C26" s="183" t="inlineStr">
        <is>
          <t xml:space="preserve">                Irregular (Income)/Loss, Non-Cash Adjustment</t>
        </is>
      </c>
      <c r="D26" s="185" t="n"/>
      <c r="E26" s="185" t="n"/>
      <c r="F26" s="185" t="n"/>
      <c r="G26" s="185" t="n"/>
      <c r="H26" s="185" t="n"/>
      <c r="I26" s="185" t="n"/>
      <c r="J26" s="185" t="n"/>
      <c r="K26" s="185" t="n"/>
      <c r="EL26" s="182" t="n"/>
      <c r="EM26" s="176" t="n"/>
      <c r="EN26" s="176" t="n"/>
      <c r="EO26" s="176" t="n"/>
      <c r="EP26" s="176" t="n"/>
      <c r="EQ26" s="176" t="n"/>
      <c r="ER26" s="176" t="n"/>
      <c r="ES26" s="176" t="n"/>
      <c r="ET26" s="176" t="n"/>
      <c r="EU26" s="176" t="n"/>
      <c r="EV26" s="176" t="n"/>
      <c r="EW26" s="176" t="n"/>
      <c r="EX26" s="176" t="n"/>
      <c r="EY26" s="176" t="n"/>
      <c r="EZ26" s="176" t="n"/>
      <c r="FA26" s="176" t="n"/>
      <c r="FB26" s="176" t="n"/>
      <c r="FC26" s="176" t="n"/>
      <c r="FD26" s="176" t="n"/>
      <c r="FE26" s="176" t="n"/>
      <c r="FF26" s="176" t="n"/>
      <c r="FG26" s="176" t="n"/>
      <c r="FH26" s="176" t="n"/>
      <c r="FI26" s="176" t="n"/>
      <c r="FJ26" s="176" t="n"/>
    </row>
    <row r="27" ht="15" customHeight="1" s="392">
      <c r="A27" s="176" t="n"/>
      <c r="B27" s="180" t="n"/>
      <c r="C27" s="183" t="inlineStr">
        <is>
          <t xml:space="preserve">                    (Gain)/Loss on Disposals, Non-Cash Adjustment</t>
        </is>
      </c>
      <c r="D27" s="185" t="n"/>
      <c r="E27" s="185" t="n"/>
      <c r="F27" s="185" t="n"/>
      <c r="G27" s="185" t="n"/>
      <c r="H27" s="185" t="n"/>
      <c r="I27" s="185" t="n"/>
      <c r="J27" s="185" t="n"/>
      <c r="K27" s="185" t="n"/>
      <c r="EL27" s="182" t="n"/>
      <c r="EM27" s="176" t="n"/>
      <c r="EN27" s="176" t="n"/>
      <c r="EO27" s="176" t="n"/>
      <c r="EP27" s="176" t="n"/>
      <c r="EQ27" s="176" t="n"/>
      <c r="ER27" s="176" t="n"/>
      <c r="ES27" s="176" t="n"/>
      <c r="ET27" s="176" t="n"/>
      <c r="EU27" s="176" t="n"/>
      <c r="EV27" s="176" t="n"/>
      <c r="EW27" s="176" t="n"/>
      <c r="EX27" s="176" t="n"/>
      <c r="EY27" s="176" t="n"/>
      <c r="EZ27" s="176" t="n"/>
      <c r="FA27" s="176" t="n"/>
      <c r="FB27" s="176" t="n"/>
      <c r="FC27" s="176" t="n"/>
      <c r="FD27" s="176" t="n"/>
      <c r="FE27" s="176" t="n"/>
      <c r="FF27" s="176" t="n"/>
      <c r="FG27" s="176" t="n"/>
      <c r="FH27" s="176" t="n"/>
      <c r="FI27" s="176" t="n"/>
      <c r="FJ27" s="176" t="n"/>
    </row>
    <row r="28" ht="15" customHeight="1" s="392">
      <c r="A28" s="176" t="n"/>
      <c r="B28" s="180" t="n"/>
      <c r="C28" s="183" t="inlineStr">
        <is>
          <t xml:space="preserve">                        (Gain)/Loss on Disposal/Sale of Fixed Assets, Non-Cash Adjustment</t>
        </is>
      </c>
      <c r="D28" s="190">
        <f>IF(COUNT(M28:EK28)&gt;0,MEDIAN(M28:EK28),"")</f>
        <v/>
      </c>
      <c r="E28" s="190">
        <f>IF(COUNT(M28:EK28)&gt;0,AVERAGE(M28:EK28),"")</f>
        <v/>
      </c>
      <c r="F28" s="190">
        <f>IF(COUNT(M28:EK28)&gt;0,MIN(M28:EK28),"")</f>
        <v/>
      </c>
      <c r="G28" s="190">
        <f>IF(COUNT(M28:EK28)&gt;0,MAX(M28:EK28),"")</f>
        <v/>
      </c>
      <c r="H28" s="190">
        <f>IF(COUNT(M28:EK28)&gt;0,QUARTILE(M28:EK28,1),"")</f>
        <v/>
      </c>
      <c r="I28" s="190">
        <f>IF(COUNT(M28:EK28)&gt;0,QUARTILE(M28:EK28,3),"")</f>
        <v/>
      </c>
      <c r="J28" s="190">
        <f>IF(COUNT(M28:EK28)&gt;1,STDEV(M28:EK28),"")</f>
        <v/>
      </c>
      <c r="K28" s="191">
        <f>IF(COUNT(M28:EK28)&gt;1,STDEV(M28:EK28)/AVERAGE(M28:EK28),"")</f>
        <v/>
      </c>
      <c r="M28" s="192" t="n">
        <v>-535</v>
      </c>
      <c r="N28" s="192" t="n">
        <v>1879</v>
      </c>
      <c r="O28" s="192" t="n">
        <v>914</v>
      </c>
      <c r="P28" s="192" t="n">
        <v>-1128</v>
      </c>
      <c r="Q28" s="192" t="n">
        <v>-12685</v>
      </c>
      <c r="R28" s="192" t="n">
        <v>-847</v>
      </c>
      <c r="S28" s="192" t="n">
        <v>-61</v>
      </c>
      <c r="T28" s="192" t="n">
        <v>-133</v>
      </c>
      <c r="U28" s="192" t="n">
        <v>-217</v>
      </c>
      <c r="V28" s="192" t="n">
        <v>-1198</v>
      </c>
      <c r="W28" s="192" t="n">
        <v>79</v>
      </c>
      <c r="X28" s="192" t="n">
        <v>-1050</v>
      </c>
      <c r="Y28" s="192" t="n">
        <v>-881</v>
      </c>
      <c r="Z28" s="192" t="n">
        <v>-217</v>
      </c>
      <c r="AA28" s="192" t="n">
        <v>-635</v>
      </c>
      <c r="AB28" s="192" t="n">
        <v>-113</v>
      </c>
      <c r="AC28" s="192" t="n">
        <v>341</v>
      </c>
      <c r="AD28" s="192" t="n">
        <v>-525</v>
      </c>
      <c r="AE28" s="192" t="n">
        <v>-315</v>
      </c>
      <c r="AF28" s="192" t="n">
        <v>-440</v>
      </c>
      <c r="AG28" s="192" t="n">
        <v>-223</v>
      </c>
      <c r="AH28" s="192" t="n">
        <v>-112</v>
      </c>
      <c r="AI28" s="192" t="n">
        <v>85</v>
      </c>
      <c r="AJ28" s="192" t="n">
        <v>-1230</v>
      </c>
      <c r="AK28" s="192" t="n">
        <v>-168</v>
      </c>
      <c r="AL28" s="192" t="n">
        <v>-430</v>
      </c>
      <c r="AM28" s="192" t="n">
        <v>-1043</v>
      </c>
      <c r="AN28" s="192" t="n">
        <v>-272</v>
      </c>
      <c r="AO28" s="192" t="n">
        <v>680</v>
      </c>
      <c r="AP28" s="192" t="n">
        <v>137</v>
      </c>
      <c r="AQ28" s="192" t="n">
        <v>-3788</v>
      </c>
      <c r="AR28" s="192" t="n">
        <v>-102</v>
      </c>
      <c r="AS28" s="192" t="n">
        <v>-804</v>
      </c>
      <c r="AT28" s="192" t="n">
        <v>-595</v>
      </c>
      <c r="AU28" s="192" t="n">
        <v>179</v>
      </c>
      <c r="AV28" s="192" t="n">
        <v>4460</v>
      </c>
      <c r="AW28" s="192" t="n">
        <v>309</v>
      </c>
      <c r="AX28" s="192" t="n">
        <v>-46</v>
      </c>
      <c r="AY28" s="192" t="n">
        <v>-117</v>
      </c>
      <c r="AZ28" s="192" t="n">
        <v>38</v>
      </c>
      <c r="BA28" s="192" t="n">
        <v>134</v>
      </c>
      <c r="BB28" s="192" t="n">
        <v>-82</v>
      </c>
      <c r="BC28" s="192" t="n">
        <v>-46</v>
      </c>
      <c r="BD28" s="192" t="n">
        <v>-60</v>
      </c>
      <c r="BE28" s="192" t="n">
        <v>-183</v>
      </c>
      <c r="BF28" s="192" t="n">
        <v>-278</v>
      </c>
      <c r="BG28" s="192" t="n">
        <v>-196</v>
      </c>
      <c r="BH28" s="192" t="n">
        <v>-261</v>
      </c>
      <c r="BI28" s="192" t="n">
        <v>235</v>
      </c>
      <c r="BJ28" s="192" t="n">
        <v>47</v>
      </c>
      <c r="BK28" s="192" t="n">
        <v>-1069</v>
      </c>
      <c r="BL28" s="192" t="n">
        <v>-674</v>
      </c>
      <c r="BM28" s="192" t="n">
        <v>-40</v>
      </c>
      <c r="BN28" s="192" t="n">
        <v>-739</v>
      </c>
      <c r="BO28" s="192" t="n">
        <v>21</v>
      </c>
      <c r="BP28" s="192" t="n">
        <v>-204</v>
      </c>
      <c r="BQ28" s="192" t="n">
        <v>1155</v>
      </c>
      <c r="BR28" s="192" t="n">
        <v>-335</v>
      </c>
      <c r="BS28" s="192" t="n">
        <v>-675</v>
      </c>
      <c r="BT28" s="192" t="n">
        <v>-288</v>
      </c>
      <c r="BU28" s="192" t="n">
        <v>-194</v>
      </c>
      <c r="BV28" s="192" t="n">
        <v>-180</v>
      </c>
      <c r="BW28" s="192" t="n">
        <v>983</v>
      </c>
      <c r="BX28" s="192" t="n">
        <v>1273</v>
      </c>
      <c r="BY28" s="192" t="n">
        <v>-1743</v>
      </c>
      <c r="BZ28" s="192" t="n">
        <v>2479</v>
      </c>
      <c r="CA28" s="192" t="n">
        <v>-59</v>
      </c>
      <c r="CB28" s="192" t="n">
        <v>-18</v>
      </c>
      <c r="CC28" s="192" t="n">
        <v>-73</v>
      </c>
      <c r="CD28" s="192" t="n">
        <v>-10</v>
      </c>
      <c r="CE28" s="192" t="n"/>
      <c r="CF28" s="192" t="n"/>
      <c r="CG28" s="192" t="n"/>
      <c r="CH28" s="192" t="n"/>
      <c r="CI28" s="192" t="n"/>
      <c r="CJ28" s="192" t="n"/>
      <c r="CK28" s="192" t="n"/>
      <c r="CL28" s="192" t="n"/>
      <c r="CM28" s="192" t="n"/>
      <c r="CN28" s="192" t="n"/>
      <c r="CO28" s="192" t="n"/>
      <c r="CP28" s="192" t="n"/>
      <c r="CQ28" s="192" t="n"/>
      <c r="CR28" s="192" t="n"/>
      <c r="CS28" s="192" t="n"/>
      <c r="CT28" s="192" t="n"/>
      <c r="CU28" s="192" t="n"/>
      <c r="CV28" s="192" t="n"/>
      <c r="CW28" s="192" t="n"/>
      <c r="CX28" s="192" t="n"/>
      <c r="CY28" s="192" t="n"/>
      <c r="CZ28" s="192" t="n"/>
      <c r="DA28" s="192" t="n"/>
      <c r="DB28" s="192" t="n"/>
      <c r="DC28" s="192" t="n"/>
      <c r="DD28" s="192" t="n"/>
      <c r="DE28" s="192" t="n"/>
      <c r="DF28" s="192" t="n"/>
      <c r="DG28" s="192" t="n"/>
      <c r="DH28" s="192" t="n"/>
      <c r="DI28" s="192" t="n"/>
      <c r="DJ28" s="192" t="n"/>
      <c r="DK28" s="192" t="n"/>
      <c r="DL28" s="192" t="n"/>
      <c r="DM28" s="192" t="n"/>
      <c r="DN28" s="192" t="n"/>
      <c r="DO28" s="192" t="n"/>
      <c r="DP28" s="192" t="n"/>
      <c r="DQ28" s="192" t="n"/>
      <c r="DR28" s="192" t="n"/>
      <c r="DS28" s="192" t="n"/>
      <c r="DT28" s="192" t="n"/>
      <c r="DU28" s="192" t="n"/>
      <c r="DV28" s="192" t="n"/>
      <c r="DW28" s="192" t="n"/>
      <c r="DX28" s="192" t="n"/>
      <c r="DY28" s="192" t="n"/>
      <c r="DZ28" s="192" t="n"/>
      <c r="EA28" s="192" t="n"/>
      <c r="EB28" s="192" t="n"/>
      <c r="EC28" s="192" t="n"/>
      <c r="ED28" s="192" t="n"/>
      <c r="EE28" s="192" t="n"/>
      <c r="EF28" s="192" t="n"/>
      <c r="EG28" s="192" t="n"/>
      <c r="EH28" s="192" t="n"/>
      <c r="EI28" s="192" t="n"/>
      <c r="EJ28" s="192" t="n"/>
      <c r="EK28" s="192" t="n"/>
      <c r="EL28" s="182" t="n"/>
      <c r="EM28" s="176" t="n"/>
      <c r="EN28" s="176" t="n"/>
      <c r="EO28" s="176" t="n"/>
      <c r="EP28" s="176" t="n"/>
      <c r="EQ28" s="176" t="n"/>
      <c r="ER28" s="176" t="n"/>
      <c r="ES28" s="176" t="n"/>
      <c r="ET28" s="176" t="n"/>
      <c r="EU28" s="176" t="n"/>
      <c r="EV28" s="176" t="n"/>
      <c r="EW28" s="176" t="n"/>
      <c r="EX28" s="176" t="n"/>
      <c r="EY28" s="176" t="n"/>
      <c r="EZ28" s="176" t="n"/>
      <c r="FA28" s="176" t="n"/>
      <c r="FB28" s="176" t="n"/>
      <c r="FC28" s="176" t="n"/>
      <c r="FD28" s="176" t="n"/>
      <c r="FE28" s="176" t="n"/>
      <c r="FF28" s="176" t="n"/>
      <c r="FG28" s="176" t="n"/>
      <c r="FH28" s="176" t="n"/>
      <c r="FI28" s="176" t="n"/>
      <c r="FJ28" s="176" t="n"/>
    </row>
    <row r="29" ht="15" customHeight="1" s="392">
      <c r="A29" s="176" t="n"/>
      <c r="B29" s="180" t="n"/>
      <c r="C29" s="187" t="inlineStr">
        <is>
          <t xml:space="preserve">                    Total (Gain)/Loss on Disposals, Non-Cash Adjustment</t>
        </is>
      </c>
      <c r="D29" s="193">
        <f>IF(COUNT(M29:EK29)&gt;0,MEDIAN(M29:EK29),"")</f>
        <v/>
      </c>
      <c r="E29" s="193">
        <f>IF(COUNT(M29:EK29)&gt;0,AVERAGE(M29:EK29),"")</f>
        <v/>
      </c>
      <c r="F29" s="193">
        <f>IF(COUNT(M29:EK29)&gt;0,MIN(M29:EK29),"")</f>
        <v/>
      </c>
      <c r="G29" s="193">
        <f>IF(COUNT(M29:EK29)&gt;0,MAX(M29:EK29),"")</f>
        <v/>
      </c>
      <c r="H29" s="193">
        <f>IF(COUNT(M29:EK29)&gt;0,QUARTILE(M29:EK29,1),"")</f>
        <v/>
      </c>
      <c r="I29" s="193">
        <f>IF(COUNT(M29:EK29)&gt;0,QUARTILE(M29:EK29,3),"")</f>
        <v/>
      </c>
      <c r="J29" s="193">
        <f>IF(COUNT(M29:EK29)&gt;1,STDEV(M29:EK29),"")</f>
        <v/>
      </c>
      <c r="K29" s="194">
        <f>IF(COUNT(M29:EK29)&gt;1,STDEV(M29:EK29)/AVERAGE(M29:EK29),"")</f>
        <v/>
      </c>
      <c r="L29" s="195" t="n"/>
      <c r="M29" s="196" t="n">
        <v>-535</v>
      </c>
      <c r="N29" s="196" t="n">
        <v>1879</v>
      </c>
      <c r="O29" s="196" t="n">
        <v>914</v>
      </c>
      <c r="P29" s="196" t="n">
        <v>-1128</v>
      </c>
      <c r="Q29" s="196" t="n">
        <v>-12685</v>
      </c>
      <c r="R29" s="196" t="n">
        <v>-847</v>
      </c>
      <c r="S29" s="196" t="n">
        <v>-61</v>
      </c>
      <c r="T29" s="196" t="n">
        <v>-133</v>
      </c>
      <c r="U29" s="196" t="n">
        <v>-217</v>
      </c>
      <c r="V29" s="196" t="n">
        <v>-1198</v>
      </c>
      <c r="W29" s="196" t="n">
        <v>79</v>
      </c>
      <c r="X29" s="196" t="n">
        <v>-1050</v>
      </c>
      <c r="Y29" s="196" t="n">
        <v>-881</v>
      </c>
      <c r="Z29" s="196" t="n">
        <v>-217</v>
      </c>
      <c r="AA29" s="196" t="n">
        <v>-635</v>
      </c>
      <c r="AB29" s="196" t="n">
        <v>-113</v>
      </c>
      <c r="AC29" s="196" t="n">
        <v>341</v>
      </c>
      <c r="AD29" s="196" t="n">
        <v>-525</v>
      </c>
      <c r="AE29" s="196" t="n">
        <v>-315</v>
      </c>
      <c r="AF29" s="196" t="n">
        <v>-440</v>
      </c>
      <c r="AG29" s="196" t="n">
        <v>-223</v>
      </c>
      <c r="AH29" s="196" t="n">
        <v>-112</v>
      </c>
      <c r="AI29" s="196" t="n">
        <v>85</v>
      </c>
      <c r="AJ29" s="196" t="n">
        <v>-1230</v>
      </c>
      <c r="AK29" s="196" t="n">
        <v>-168</v>
      </c>
      <c r="AL29" s="196" t="n">
        <v>-430</v>
      </c>
      <c r="AM29" s="196" t="n">
        <v>-1043</v>
      </c>
      <c r="AN29" s="196" t="n">
        <v>-272</v>
      </c>
      <c r="AO29" s="196" t="n">
        <v>680</v>
      </c>
      <c r="AP29" s="196" t="n">
        <v>137</v>
      </c>
      <c r="AQ29" s="196" t="n">
        <v>-3788</v>
      </c>
      <c r="AR29" s="196" t="n">
        <v>-102</v>
      </c>
      <c r="AS29" s="196" t="n">
        <v>-804</v>
      </c>
      <c r="AT29" s="196" t="n">
        <v>-595</v>
      </c>
      <c r="AU29" s="196" t="n">
        <v>179</v>
      </c>
      <c r="AV29" s="196" t="n">
        <v>4460</v>
      </c>
      <c r="AW29" s="196" t="n">
        <v>309</v>
      </c>
      <c r="AX29" s="196" t="n">
        <v>-46</v>
      </c>
      <c r="AY29" s="196" t="n">
        <v>-117</v>
      </c>
      <c r="AZ29" s="196" t="n">
        <v>38</v>
      </c>
      <c r="BA29" s="196" t="n">
        <v>134</v>
      </c>
      <c r="BB29" s="196" t="n">
        <v>-82</v>
      </c>
      <c r="BC29" s="196" t="n">
        <v>-46</v>
      </c>
      <c r="BD29" s="196" t="n">
        <v>-60</v>
      </c>
      <c r="BE29" s="196" t="n">
        <v>-183</v>
      </c>
      <c r="BF29" s="196" t="n">
        <v>-278</v>
      </c>
      <c r="BG29" s="196" t="n">
        <v>-196</v>
      </c>
      <c r="BH29" s="196" t="n">
        <v>-261</v>
      </c>
      <c r="BI29" s="196" t="n">
        <v>235</v>
      </c>
      <c r="BJ29" s="196" t="n">
        <v>47</v>
      </c>
      <c r="BK29" s="196" t="n">
        <v>-1069</v>
      </c>
      <c r="BL29" s="196" t="n">
        <v>-674</v>
      </c>
      <c r="BM29" s="196" t="n">
        <v>-40</v>
      </c>
      <c r="BN29" s="196" t="n">
        <v>-739</v>
      </c>
      <c r="BO29" s="196" t="n">
        <v>21</v>
      </c>
      <c r="BP29" s="196" t="n">
        <v>-204</v>
      </c>
      <c r="BQ29" s="196" t="n">
        <v>1155</v>
      </c>
      <c r="BR29" s="196" t="n">
        <v>-335</v>
      </c>
      <c r="BS29" s="196" t="n">
        <v>-675</v>
      </c>
      <c r="BT29" s="196" t="n">
        <v>-288</v>
      </c>
      <c r="BU29" s="196" t="n">
        <v>-194</v>
      </c>
      <c r="BV29" s="196" t="n">
        <v>-180</v>
      </c>
      <c r="BW29" s="196" t="n">
        <v>983</v>
      </c>
      <c r="BX29" s="196" t="n">
        <v>1273</v>
      </c>
      <c r="BY29" s="196" t="n">
        <v>-1743</v>
      </c>
      <c r="BZ29" s="196" t="n">
        <v>2479</v>
      </c>
      <c r="CA29" s="196" t="n">
        <v>-59</v>
      </c>
      <c r="CB29" s="196" t="n">
        <v>-18</v>
      </c>
      <c r="CC29" s="196" t="n">
        <v>-73</v>
      </c>
      <c r="CD29" s="196" t="n">
        <v>-10</v>
      </c>
      <c r="CE29" s="196" t="n"/>
      <c r="CF29" s="196" t="n"/>
      <c r="CG29" s="196" t="n"/>
      <c r="CH29" s="196" t="n"/>
      <c r="CI29" s="196" t="n"/>
      <c r="CJ29" s="196" t="n"/>
      <c r="CK29" s="196" t="n"/>
      <c r="CL29" s="196" t="n"/>
      <c r="CM29" s="196" t="n"/>
      <c r="CN29" s="196" t="n"/>
      <c r="CO29" s="196" t="n"/>
      <c r="CP29" s="196" t="n"/>
      <c r="CQ29" s="196" t="n"/>
      <c r="CR29" s="196" t="n"/>
      <c r="CS29" s="196" t="n"/>
      <c r="CT29" s="196" t="n"/>
      <c r="CU29" s="196" t="n"/>
      <c r="CV29" s="196" t="n"/>
      <c r="CW29" s="196" t="n"/>
      <c r="CX29" s="196" t="n"/>
      <c r="CY29" s="196" t="n"/>
      <c r="CZ29" s="196" t="n"/>
      <c r="DA29" s="196" t="n"/>
      <c r="DB29" s="196" t="n"/>
      <c r="DC29" s="196" t="n"/>
      <c r="DD29" s="196" t="n"/>
      <c r="DE29" s="196" t="n"/>
      <c r="DF29" s="196" t="n"/>
      <c r="DG29" s="196" t="n"/>
      <c r="DH29" s="196" t="n"/>
      <c r="DI29" s="196" t="n"/>
      <c r="DJ29" s="196" t="n"/>
      <c r="DK29" s="196" t="n"/>
      <c r="DL29" s="196" t="n"/>
      <c r="DM29" s="196" t="n"/>
      <c r="DN29" s="196" t="n"/>
      <c r="DO29" s="196" t="n"/>
      <c r="DP29" s="196" t="n"/>
      <c r="DQ29" s="196" t="n"/>
      <c r="DR29" s="196" t="n"/>
      <c r="DS29" s="196" t="n"/>
      <c r="DT29" s="196" t="n"/>
      <c r="DU29" s="196" t="n"/>
      <c r="DV29" s="196" t="n"/>
      <c r="DW29" s="196" t="n"/>
      <c r="DX29" s="196" t="n"/>
      <c r="DY29" s="196" t="n"/>
      <c r="DZ29" s="196" t="n"/>
      <c r="EA29" s="196" t="n"/>
      <c r="EB29" s="196" t="n"/>
      <c r="EC29" s="196" t="n"/>
      <c r="ED29" s="196" t="n"/>
      <c r="EE29" s="196" t="n"/>
      <c r="EF29" s="196" t="n"/>
      <c r="EG29" s="196" t="n"/>
      <c r="EH29" s="196" t="n"/>
      <c r="EI29" s="196" t="n"/>
      <c r="EJ29" s="196" t="n"/>
      <c r="EK29" s="196" t="n"/>
      <c r="EL29" s="182" t="n"/>
      <c r="EM29" s="176" t="n"/>
      <c r="EN29" s="176" t="n"/>
      <c r="EO29" s="176" t="n"/>
      <c r="EP29" s="176" t="n"/>
      <c r="EQ29" s="176" t="n"/>
      <c r="ER29" s="176" t="n"/>
      <c r="ES29" s="176" t="n"/>
      <c r="ET29" s="176" t="n"/>
      <c r="EU29" s="176" t="n"/>
      <c r="EV29" s="176" t="n"/>
      <c r="EW29" s="176" t="n"/>
      <c r="EX29" s="176" t="n"/>
      <c r="EY29" s="176" t="n"/>
      <c r="EZ29" s="176" t="n"/>
      <c r="FA29" s="176" t="n"/>
      <c r="FB29" s="176" t="n"/>
      <c r="FC29" s="176" t="n"/>
      <c r="FD29" s="176" t="n"/>
      <c r="FE29" s="176" t="n"/>
      <c r="FF29" s="176" t="n"/>
      <c r="FG29" s="176" t="n"/>
      <c r="FH29" s="176" t="n"/>
      <c r="FI29" s="176" t="n"/>
      <c r="FJ29" s="176" t="n"/>
    </row>
    <row r="30" ht="15" customHeight="1" s="392">
      <c r="A30" s="176" t="n"/>
      <c r="B30" s="180" t="n"/>
      <c r="C30" s="183" t="inlineStr">
        <is>
          <t xml:space="preserve">                    Impairment/Write Off/Write Down of Capital Assets Loss/Reversal, Non-Cash Adjustment</t>
        </is>
      </c>
      <c r="D30" s="190">
        <f>IF(COUNT(M30:EK30)&gt;0,MEDIAN(M30:EK30),"")</f>
        <v/>
      </c>
      <c r="E30" s="190">
        <f>IF(COUNT(M30:EK30)&gt;0,AVERAGE(M30:EK30),"")</f>
        <v/>
      </c>
      <c r="F30" s="190">
        <f>IF(COUNT(M30:EK30)&gt;0,MIN(M30:EK30),"")</f>
        <v/>
      </c>
      <c r="G30" s="190">
        <f>IF(COUNT(M30:EK30)&gt;0,MAX(M30:EK30),"")</f>
        <v/>
      </c>
      <c r="H30" s="190">
        <f>IF(COUNT(M30:EK30)&gt;0,QUARTILE(M30:EK30,1),"")</f>
        <v/>
      </c>
      <c r="I30" s="190">
        <f>IF(COUNT(M30:EK30)&gt;0,QUARTILE(M30:EK30,3),"")</f>
        <v/>
      </c>
      <c r="J30" s="190">
        <f>IF(COUNT(M30:EK30)&gt;1,STDEV(M30:EK30),"")</f>
        <v/>
      </c>
      <c r="K30" s="191">
        <f>IFERROR(IF(COUNT(M30:EK30)&gt;1,STDEV(M30:EK30)/AVERAGE(M30:EK30),""),"")</f>
        <v/>
      </c>
      <c r="M30" s="192" t="n"/>
      <c r="N30" s="192" t="n"/>
      <c r="O30" s="192" t="n"/>
      <c r="P30" s="192" t="n"/>
      <c r="Q30" s="192" t="n"/>
      <c r="R30" s="192" t="n"/>
      <c r="S30" s="192" t="n"/>
      <c r="T30" s="192" t="n"/>
      <c r="U30" s="192" t="n"/>
      <c r="V30" s="192" t="n"/>
      <c r="W30" s="192" t="n"/>
      <c r="X30" s="192" t="n"/>
      <c r="Y30" s="192" t="n"/>
      <c r="Z30" s="192" t="n"/>
      <c r="AA30" s="192" t="n"/>
      <c r="AB30" s="192" t="n"/>
      <c r="AC30" s="192" t="n"/>
      <c r="AD30" s="192" t="n"/>
      <c r="AE30" s="192" t="n"/>
      <c r="AF30" s="192" t="n"/>
      <c r="AG30" s="192" t="n"/>
      <c r="AH30" s="192" t="n"/>
      <c r="AI30" s="192" t="n"/>
      <c r="AJ30" s="192" t="n"/>
      <c r="AK30" s="192" t="n"/>
      <c r="AL30" s="192" t="n"/>
      <c r="AM30" s="192" t="n"/>
      <c r="AN30" s="192" t="n"/>
      <c r="AO30" s="192" t="n"/>
      <c r="AP30" s="192" t="n"/>
      <c r="AQ30" s="192" t="n"/>
      <c r="AR30" s="192" t="n"/>
      <c r="AS30" s="192" t="n"/>
      <c r="AT30" s="192" t="n"/>
      <c r="AU30" s="192" t="n"/>
      <c r="AV30" s="192" t="n"/>
      <c r="AW30" s="192" t="n"/>
      <c r="AX30" s="192" t="n"/>
      <c r="AY30" s="192" t="n"/>
      <c r="AZ30" s="192" t="n"/>
      <c r="BA30" s="192" t="n"/>
      <c r="BB30" s="192" t="n"/>
      <c r="BC30" s="192" t="n"/>
      <c r="BD30" s="192" t="n"/>
      <c r="BE30" s="192" t="n"/>
      <c r="BF30" s="192" t="n"/>
      <c r="BG30" s="192" t="n"/>
      <c r="BH30" s="192" t="n"/>
      <c r="BI30" s="192" t="n">
        <v>0</v>
      </c>
      <c r="BJ30" s="192" t="n"/>
      <c r="BK30" s="192" t="n"/>
      <c r="BL30" s="192" t="n"/>
      <c r="BM30" s="192" t="n">
        <v>0</v>
      </c>
      <c r="BN30" s="192" t="n"/>
      <c r="BO30" s="192" t="n"/>
      <c r="BP30" s="192" t="n"/>
      <c r="BQ30" s="192" t="n">
        <v>0</v>
      </c>
      <c r="BR30" s="192" t="n">
        <v>0</v>
      </c>
      <c r="BS30" s="192" t="n"/>
      <c r="BT30" s="192" t="n"/>
      <c r="BU30" s="192" t="n">
        <v>0</v>
      </c>
      <c r="BV30" s="192" t="n">
        <v>0</v>
      </c>
      <c r="BW30" s="192" t="n"/>
      <c r="BX30" s="192" t="n"/>
      <c r="BY30" s="192" t="n"/>
      <c r="BZ30" s="192" t="n"/>
      <c r="CA30" s="192" t="n"/>
      <c r="CB30" s="192" t="n"/>
      <c r="CC30" s="192" t="n"/>
      <c r="CD30" s="192" t="n"/>
      <c r="CE30" s="192" t="n"/>
      <c r="CF30" s="192" t="n"/>
      <c r="CG30" s="192" t="n"/>
      <c r="CH30" s="192" t="n"/>
      <c r="CI30" s="192" t="n"/>
      <c r="CJ30" s="192" t="n"/>
      <c r="CK30" s="192" t="n"/>
      <c r="CL30" s="192" t="n"/>
      <c r="CM30" s="192" t="n"/>
      <c r="CN30" s="192" t="n"/>
      <c r="CO30" s="192" t="n"/>
      <c r="CP30" s="192" t="n"/>
      <c r="CQ30" s="192" t="n"/>
      <c r="CR30" s="192" t="n"/>
      <c r="CS30" s="192" t="n"/>
      <c r="CT30" s="192" t="n"/>
      <c r="CU30" s="192" t="n"/>
      <c r="CV30" s="192" t="n"/>
      <c r="CW30" s="192" t="n"/>
      <c r="CX30" s="192" t="n"/>
      <c r="CY30" s="192" t="n"/>
      <c r="CZ30" s="192" t="n"/>
      <c r="DA30" s="192" t="n"/>
      <c r="DB30" s="192" t="n"/>
      <c r="DC30" s="192" t="n"/>
      <c r="DD30" s="192" t="n"/>
      <c r="DE30" s="192" t="n"/>
      <c r="DF30" s="192" t="n"/>
      <c r="DG30" s="192" t="n"/>
      <c r="DH30" s="192" t="n"/>
      <c r="DI30" s="192" t="n"/>
      <c r="DJ30" s="192" t="n"/>
      <c r="DK30" s="192" t="n"/>
      <c r="DL30" s="192" t="n"/>
      <c r="DM30" s="192" t="n"/>
      <c r="DN30" s="192" t="n"/>
      <c r="DO30" s="192" t="n"/>
      <c r="DP30" s="192" t="n"/>
      <c r="DQ30" s="192" t="n"/>
      <c r="DR30" s="192" t="n"/>
      <c r="DS30" s="192" t="n"/>
      <c r="DT30" s="192" t="n"/>
      <c r="DU30" s="192" t="n"/>
      <c r="DV30" s="192" t="n"/>
      <c r="DW30" s="192" t="n"/>
      <c r="DX30" s="192" t="n"/>
      <c r="DY30" s="192" t="n"/>
      <c r="DZ30" s="192" t="n"/>
      <c r="EA30" s="192" t="n"/>
      <c r="EB30" s="192" t="n"/>
      <c r="EC30" s="192" t="n"/>
      <c r="ED30" s="192" t="n"/>
      <c r="EE30" s="192" t="n"/>
      <c r="EF30" s="192" t="n"/>
      <c r="EG30" s="192" t="n"/>
      <c r="EH30" s="192" t="n"/>
      <c r="EI30" s="192" t="n"/>
      <c r="EJ30" s="192" t="n"/>
      <c r="EK30" s="192" t="n"/>
      <c r="EL30" s="182" t="n"/>
      <c r="EM30" s="176" t="n"/>
      <c r="EN30" s="176" t="n"/>
      <c r="EO30" s="176" t="n"/>
      <c r="EP30" s="176" t="n"/>
      <c r="EQ30" s="176" t="n"/>
      <c r="ER30" s="176" t="n"/>
      <c r="ES30" s="176" t="n"/>
      <c r="ET30" s="176" t="n"/>
      <c r="EU30" s="176" t="n"/>
      <c r="EV30" s="176" t="n"/>
      <c r="EW30" s="176" t="n"/>
      <c r="EX30" s="176" t="n"/>
      <c r="EY30" s="176" t="n"/>
      <c r="EZ30" s="176" t="n"/>
      <c r="FA30" s="176" t="n"/>
      <c r="FB30" s="176" t="n"/>
      <c r="FC30" s="176" t="n"/>
      <c r="FD30" s="176" t="n"/>
      <c r="FE30" s="176" t="n"/>
      <c r="FF30" s="176" t="n"/>
      <c r="FG30" s="176" t="n"/>
      <c r="FH30" s="176" t="n"/>
      <c r="FI30" s="176" t="n"/>
      <c r="FJ30" s="176" t="n"/>
    </row>
    <row r="31" ht="15" customHeight="1" s="392">
      <c r="A31" s="176" t="n"/>
      <c r="B31" s="180" t="n"/>
      <c r="C31" s="187" t="inlineStr">
        <is>
          <t xml:space="preserve">                Total Irregular (Income)/Loss, Non-Cash Adjustment</t>
        </is>
      </c>
      <c r="D31" s="193">
        <f>IF(COUNT(M31:EK31)&gt;0,MEDIAN(M31:EK31),"")</f>
        <v/>
      </c>
      <c r="E31" s="193">
        <f>IF(COUNT(M31:EK31)&gt;0,AVERAGE(M31:EK31),"")</f>
        <v/>
      </c>
      <c r="F31" s="193">
        <f>IF(COUNT(M31:EK31)&gt;0,MIN(M31:EK31),"")</f>
        <v/>
      </c>
      <c r="G31" s="193">
        <f>IF(COUNT(M31:EK31)&gt;0,MAX(M31:EK31),"")</f>
        <v/>
      </c>
      <c r="H31" s="193">
        <f>IF(COUNT(M31:EK31)&gt;0,QUARTILE(M31:EK31,1),"")</f>
        <v/>
      </c>
      <c r="I31" s="193">
        <f>IF(COUNT(M31:EK31)&gt;0,QUARTILE(M31:EK31,3),"")</f>
        <v/>
      </c>
      <c r="J31" s="193">
        <f>IF(COUNT(M31:EK31)&gt;1,STDEV(M31:EK31),"")</f>
        <v/>
      </c>
      <c r="K31" s="194">
        <f>IF(COUNT(M31:EK31)&gt;1,STDEV(M31:EK31)/AVERAGE(M31:EK31),"")</f>
        <v/>
      </c>
      <c r="L31" s="195" t="n"/>
      <c r="M31" s="196" t="n">
        <v>-535</v>
      </c>
      <c r="N31" s="196" t="n">
        <v>1879</v>
      </c>
      <c r="O31" s="196" t="n">
        <v>914</v>
      </c>
      <c r="P31" s="196" t="n">
        <v>-1128</v>
      </c>
      <c r="Q31" s="196" t="n">
        <v>-12685</v>
      </c>
      <c r="R31" s="196" t="n">
        <v>-847</v>
      </c>
      <c r="S31" s="196" t="n">
        <v>-61</v>
      </c>
      <c r="T31" s="196" t="n">
        <v>-133</v>
      </c>
      <c r="U31" s="196" t="n">
        <v>-4275</v>
      </c>
      <c r="V31" s="196" t="n">
        <v>-1198</v>
      </c>
      <c r="W31" s="196" t="n">
        <v>79</v>
      </c>
      <c r="X31" s="196" t="n">
        <v>-1050</v>
      </c>
      <c r="Y31" s="196" t="n">
        <v>-881</v>
      </c>
      <c r="Z31" s="196" t="n">
        <v>-217</v>
      </c>
      <c r="AA31" s="196" t="n">
        <v>-635</v>
      </c>
      <c r="AB31" s="196" t="n">
        <v>-113</v>
      </c>
      <c r="AC31" s="196" t="n">
        <v>17100</v>
      </c>
      <c r="AD31" s="196" t="n">
        <v>-525</v>
      </c>
      <c r="AE31" s="196" t="n">
        <v>-315</v>
      </c>
      <c r="AF31" s="196" t="n">
        <v>-440</v>
      </c>
      <c r="AG31" s="196" t="n">
        <v>-223</v>
      </c>
      <c r="AH31" s="196" t="n">
        <v>-112</v>
      </c>
      <c r="AI31" s="196" t="n">
        <v>85</v>
      </c>
      <c r="AJ31" s="196" t="n">
        <v>-1230</v>
      </c>
      <c r="AK31" s="196" t="n">
        <v>-168</v>
      </c>
      <c r="AL31" s="196" t="n">
        <v>-430</v>
      </c>
      <c r="AM31" s="196" t="n">
        <v>-1043</v>
      </c>
      <c r="AN31" s="196" t="n">
        <v>-272</v>
      </c>
      <c r="AO31" s="196" t="n">
        <v>680</v>
      </c>
      <c r="AP31" s="196" t="n">
        <v>137</v>
      </c>
      <c r="AQ31" s="196" t="n">
        <v>-3788</v>
      </c>
      <c r="AR31" s="196" t="n">
        <v>-102</v>
      </c>
      <c r="AS31" s="196" t="n">
        <v>353</v>
      </c>
      <c r="AT31" s="196" t="n">
        <v>-595</v>
      </c>
      <c r="AU31" s="196" t="n">
        <v>179</v>
      </c>
      <c r="AV31" s="196" t="n">
        <v>4460</v>
      </c>
      <c r="AW31" s="196" t="n">
        <v>19674</v>
      </c>
      <c r="AX31" s="196" t="n">
        <v>-46</v>
      </c>
      <c r="AY31" s="196" t="n">
        <v>-117</v>
      </c>
      <c r="AZ31" s="196" t="n">
        <v>38</v>
      </c>
      <c r="BA31" s="196" t="n">
        <v>134</v>
      </c>
      <c r="BB31" s="196" t="n">
        <v>-82</v>
      </c>
      <c r="BC31" s="196" t="n">
        <v>-46</v>
      </c>
      <c r="BD31" s="196" t="n">
        <v>-60</v>
      </c>
      <c r="BE31" s="196" t="n">
        <v>-183</v>
      </c>
      <c r="BF31" s="196" t="n">
        <v>-278</v>
      </c>
      <c r="BG31" s="196" t="n">
        <v>-196</v>
      </c>
      <c r="BH31" s="196" t="n">
        <v>-261</v>
      </c>
      <c r="BI31" s="196" t="n">
        <v>235</v>
      </c>
      <c r="BJ31" s="196" t="n">
        <v>29151</v>
      </c>
      <c r="BK31" s="196" t="n">
        <v>-1069</v>
      </c>
      <c r="BL31" s="196" t="n">
        <v>-674</v>
      </c>
      <c r="BM31" s="196" t="n">
        <v>-40</v>
      </c>
      <c r="BN31" s="196" t="n">
        <v>-739</v>
      </c>
      <c r="BO31" s="196" t="n">
        <v>21</v>
      </c>
      <c r="BP31" s="196" t="n">
        <v>-204</v>
      </c>
      <c r="BQ31" s="196" t="n">
        <v>1155</v>
      </c>
      <c r="BR31" s="196" t="n">
        <v>-335</v>
      </c>
      <c r="BS31" s="196" t="n">
        <v>8096</v>
      </c>
      <c r="BT31" s="196" t="n">
        <v>-288</v>
      </c>
      <c r="BU31" s="196" t="n">
        <v>-194</v>
      </c>
      <c r="BV31" s="196" t="n">
        <v>-180</v>
      </c>
      <c r="BW31" s="196" t="n">
        <v>983</v>
      </c>
      <c r="BX31" s="196" t="n">
        <v>1273</v>
      </c>
      <c r="BY31" s="196" t="n">
        <v>-1743</v>
      </c>
      <c r="BZ31" s="196" t="n">
        <v>2479</v>
      </c>
      <c r="CA31" s="196" t="n">
        <v>-59</v>
      </c>
      <c r="CB31" s="196" t="n">
        <v>-18</v>
      </c>
      <c r="CC31" s="196" t="n">
        <v>-73</v>
      </c>
      <c r="CD31" s="196" t="n">
        <v>-10</v>
      </c>
      <c r="CE31" s="196" t="n"/>
      <c r="CF31" s="196" t="n"/>
      <c r="CG31" s="196" t="n"/>
      <c r="CH31" s="196" t="n"/>
      <c r="CI31" s="196" t="n"/>
      <c r="CJ31" s="196" t="n"/>
      <c r="CK31" s="196" t="n"/>
      <c r="CL31" s="196" t="n"/>
      <c r="CM31" s="196" t="n"/>
      <c r="CN31" s="196" t="n"/>
      <c r="CO31" s="196" t="n"/>
      <c r="CP31" s="196" t="n"/>
      <c r="CQ31" s="196" t="n"/>
      <c r="CR31" s="196" t="n"/>
      <c r="CS31" s="196" t="n"/>
      <c r="CT31" s="196" t="n"/>
      <c r="CU31" s="196" t="n"/>
      <c r="CV31" s="196" t="n"/>
      <c r="CW31" s="196" t="n"/>
      <c r="CX31" s="196" t="n"/>
      <c r="CY31" s="196" t="n"/>
      <c r="CZ31" s="196" t="n"/>
      <c r="DA31" s="196" t="n"/>
      <c r="DB31" s="196" t="n"/>
      <c r="DC31" s="196" t="n"/>
      <c r="DD31" s="196" t="n"/>
      <c r="DE31" s="196" t="n"/>
      <c r="DF31" s="196" t="n"/>
      <c r="DG31" s="196" t="n"/>
      <c r="DH31" s="196" t="n"/>
      <c r="DI31" s="196" t="n"/>
      <c r="DJ31" s="196" t="n"/>
      <c r="DK31" s="196" t="n"/>
      <c r="DL31" s="196" t="n"/>
      <c r="DM31" s="196" t="n"/>
      <c r="DN31" s="196" t="n"/>
      <c r="DO31" s="196" t="n"/>
      <c r="DP31" s="196" t="n"/>
      <c r="DQ31" s="196" t="n"/>
      <c r="DR31" s="196" t="n"/>
      <c r="DS31" s="196" t="n"/>
      <c r="DT31" s="196" t="n"/>
      <c r="DU31" s="196" t="n"/>
      <c r="DV31" s="196" t="n"/>
      <c r="DW31" s="196" t="n"/>
      <c r="DX31" s="196" t="n"/>
      <c r="DY31" s="196" t="n"/>
      <c r="DZ31" s="196" t="n"/>
      <c r="EA31" s="196" t="n"/>
      <c r="EB31" s="196" t="n"/>
      <c r="EC31" s="196" t="n"/>
      <c r="ED31" s="196" t="n"/>
      <c r="EE31" s="196" t="n"/>
      <c r="EF31" s="196" t="n"/>
      <c r="EG31" s="196" t="n"/>
      <c r="EH31" s="196" t="n"/>
      <c r="EI31" s="196" t="n"/>
      <c r="EJ31" s="196" t="n"/>
      <c r="EK31" s="196" t="n"/>
      <c r="EL31" s="182" t="n"/>
      <c r="EM31" s="176" t="n"/>
      <c r="EN31" s="176" t="n"/>
      <c r="EO31" s="176" t="n"/>
      <c r="EP31" s="176" t="n"/>
      <c r="EQ31" s="176" t="n"/>
      <c r="ER31" s="176" t="n"/>
      <c r="ES31" s="176" t="n"/>
      <c r="ET31" s="176" t="n"/>
      <c r="EU31" s="176" t="n"/>
      <c r="EV31" s="176" t="n"/>
      <c r="EW31" s="176" t="n"/>
      <c r="EX31" s="176" t="n"/>
      <c r="EY31" s="176" t="n"/>
      <c r="EZ31" s="176" t="n"/>
      <c r="FA31" s="176" t="n"/>
      <c r="FB31" s="176" t="n"/>
      <c r="FC31" s="176" t="n"/>
      <c r="FD31" s="176" t="n"/>
      <c r="FE31" s="176" t="n"/>
      <c r="FF31" s="176" t="n"/>
      <c r="FG31" s="176" t="n"/>
      <c r="FH31" s="176" t="n"/>
      <c r="FI31" s="176" t="n"/>
      <c r="FJ31" s="176" t="n"/>
    </row>
    <row r="32" ht="15" customHeight="1" s="392">
      <c r="A32" s="176" t="n"/>
      <c r="B32" s="180" t="n"/>
      <c r="C32" s="183" t="inlineStr">
        <is>
          <t xml:space="preserve">                Other Operating (Gain)/Loss, Non-Cash Adjustment</t>
        </is>
      </c>
      <c r="D32" s="190">
        <f>IF(COUNT(M32:EK32)&gt;0,MEDIAN(M32:EK32),"")</f>
        <v/>
      </c>
      <c r="E32" s="190">
        <f>IF(COUNT(M32:EK32)&gt;0,AVERAGE(M32:EK32),"")</f>
        <v/>
      </c>
      <c r="F32" s="190">
        <f>IF(COUNT(M32:EK32)&gt;0,MIN(M32:EK32),"")</f>
        <v/>
      </c>
      <c r="G32" s="190">
        <f>IF(COUNT(M32:EK32)&gt;0,MAX(M32:EK32),"")</f>
        <v/>
      </c>
      <c r="H32" s="190">
        <f>IF(COUNT(M32:EK32)&gt;0,QUARTILE(M32:EK32,1),"")</f>
        <v/>
      </c>
      <c r="I32" s="190">
        <f>IF(COUNT(M32:EK32)&gt;0,QUARTILE(M32:EK32,3),"")</f>
        <v/>
      </c>
      <c r="J32" s="190">
        <f>IF(COUNT(M32:EK32)&gt;1,STDEV(M32:EK32),"")</f>
        <v/>
      </c>
      <c r="K32" s="191">
        <f>IF(COUNT(M32:EK32)&gt;1,STDEV(M32:EK32)/AVERAGE(M32:EK32),"")</f>
        <v/>
      </c>
      <c r="M32" s="192" t="n"/>
      <c r="N32" s="192" t="n"/>
      <c r="O32" s="192" t="n"/>
      <c r="P32" s="192" t="n"/>
      <c r="Q32" s="192" t="n"/>
      <c r="R32" s="192" t="n"/>
      <c r="S32" s="192" t="n"/>
      <c r="T32" s="192" t="n"/>
      <c r="U32" s="192" t="n"/>
      <c r="V32" s="192" t="n"/>
      <c r="W32" s="192" t="n"/>
      <c r="X32" s="192" t="n"/>
      <c r="Y32" s="192" t="n"/>
      <c r="Z32" s="192" t="n"/>
      <c r="AA32" s="192" t="n"/>
      <c r="AB32" s="192" t="n"/>
      <c r="AC32" s="192" t="n"/>
      <c r="AD32" s="192" t="n"/>
      <c r="AE32" s="192" t="n"/>
      <c r="AF32" s="192" t="n"/>
      <c r="AG32" s="192" t="n"/>
      <c r="AH32" s="192" t="n"/>
      <c r="AI32" s="192" t="n"/>
      <c r="AJ32" s="192" t="n"/>
      <c r="AK32" s="192" t="n"/>
      <c r="AL32" s="192" t="n"/>
      <c r="AM32" s="192" t="n"/>
      <c r="AN32" s="192" t="n"/>
      <c r="AO32" s="192" t="n"/>
      <c r="AP32" s="192" t="n"/>
      <c r="AQ32" s="192" t="n"/>
      <c r="AR32" s="192" t="n"/>
      <c r="AS32" s="192" t="n"/>
      <c r="AT32" s="192" t="n"/>
      <c r="AU32" s="192" t="n"/>
      <c r="AV32" s="192" t="n"/>
      <c r="AW32" s="192" t="n"/>
      <c r="AX32" s="192" t="n"/>
      <c r="AY32" s="192" t="n"/>
      <c r="AZ32" s="192" t="n"/>
      <c r="BA32" s="192" t="n"/>
      <c r="BB32" s="192" t="n"/>
      <c r="BC32" s="192" t="n"/>
      <c r="BD32" s="192" t="n"/>
      <c r="BE32" s="192" t="n"/>
      <c r="BF32" s="192" t="n"/>
      <c r="BG32" s="192" t="n"/>
      <c r="BH32" s="192" t="n"/>
      <c r="BI32" s="192" t="n"/>
      <c r="BJ32" s="192" t="n"/>
      <c r="BK32" s="192" t="n"/>
      <c r="BL32" s="192" t="n"/>
      <c r="BM32" s="192" t="n"/>
      <c r="BN32" s="192" t="n"/>
      <c r="BO32" s="192" t="n"/>
      <c r="BP32" s="192" t="n"/>
      <c r="BQ32" s="192" t="n"/>
      <c r="BR32" s="192" t="n"/>
      <c r="BS32" s="192" t="n"/>
      <c r="BT32" s="192" t="n"/>
      <c r="BU32" s="192" t="n"/>
      <c r="BV32" s="192" t="n"/>
      <c r="BW32" s="192" t="n"/>
      <c r="BX32" s="192" t="n"/>
      <c r="BY32" s="192" t="n"/>
      <c r="BZ32" s="192" t="n"/>
      <c r="CA32" s="192" t="n"/>
      <c r="CB32" s="192" t="n"/>
      <c r="CC32" s="192" t="n"/>
      <c r="CD32" s="192" t="n"/>
      <c r="CE32" s="192" t="n"/>
      <c r="CF32" s="192" t="n">
        <v>527</v>
      </c>
      <c r="CG32" s="192" t="n">
        <v>-548</v>
      </c>
      <c r="CH32" s="192" t="n">
        <v>912</v>
      </c>
      <c r="CI32" s="192" t="n">
        <v>-214</v>
      </c>
      <c r="CJ32" s="192" t="n">
        <v>-27</v>
      </c>
      <c r="CK32" s="192" t="n">
        <v>159</v>
      </c>
      <c r="CL32" s="192" t="n">
        <v>-356</v>
      </c>
      <c r="CM32" s="192" t="n">
        <v>378</v>
      </c>
      <c r="CN32" s="192" t="n">
        <v>2254</v>
      </c>
      <c r="CO32" s="192" t="n">
        <v>4656</v>
      </c>
      <c r="CP32" s="192" t="n">
        <v>-22019</v>
      </c>
      <c r="CQ32" s="192" t="n">
        <v>24762</v>
      </c>
      <c r="CR32" s="192" t="n">
        <v>40</v>
      </c>
      <c r="CS32" s="192" t="n">
        <v>-739</v>
      </c>
      <c r="CT32" s="192" t="n">
        <v>321</v>
      </c>
      <c r="CU32" s="192" t="n">
        <v>-391</v>
      </c>
      <c r="CV32" s="192" t="n">
        <v>-540</v>
      </c>
      <c r="CW32" s="192" t="n">
        <v>-1022</v>
      </c>
      <c r="CX32" s="192" t="n">
        <v>1953</v>
      </c>
      <c r="CY32" s="192" t="n">
        <v>-1901</v>
      </c>
      <c r="CZ32" s="192" t="n">
        <v>33</v>
      </c>
      <c r="DA32" s="192" t="n">
        <v>-330.2</v>
      </c>
      <c r="DB32" s="192" t="n">
        <v>-61.4</v>
      </c>
      <c r="DC32" s="192" t="n">
        <v>-3.7</v>
      </c>
      <c r="DD32" s="192" t="n">
        <v>-158.7</v>
      </c>
      <c r="DE32" s="192" t="n">
        <v>180.8</v>
      </c>
      <c r="DF32" s="192" t="n">
        <v>-243.4</v>
      </c>
      <c r="DG32" s="192" t="n">
        <v>-82</v>
      </c>
      <c r="DH32" s="192" t="n">
        <v>-125.9</v>
      </c>
      <c r="DI32" s="192" t="n">
        <v>-131.2</v>
      </c>
      <c r="DJ32" s="192" t="n">
        <v>193.8</v>
      </c>
      <c r="DK32" s="192" t="n">
        <v>-105.7</v>
      </c>
      <c r="DL32" s="192" t="n">
        <v>-212.2</v>
      </c>
      <c r="DM32" s="192" t="n">
        <v>117.8</v>
      </c>
      <c r="DN32" s="192" t="n">
        <v>-74.8</v>
      </c>
      <c r="DO32" s="192" t="n"/>
      <c r="DP32" s="192" t="n"/>
      <c r="DQ32" s="192" t="n"/>
      <c r="DR32" s="192" t="n"/>
      <c r="DS32" s="192" t="n">
        <v>-100</v>
      </c>
      <c r="DT32" s="192" t="n">
        <v>-100</v>
      </c>
      <c r="DU32" s="192" t="n">
        <v>200</v>
      </c>
      <c r="DV32" s="192" t="n">
        <v>100</v>
      </c>
      <c r="DW32" s="192" t="n">
        <v>100</v>
      </c>
      <c r="DX32" s="192" t="n">
        <v>100</v>
      </c>
      <c r="DY32" s="192" t="n">
        <v>0</v>
      </c>
      <c r="DZ32" s="192" t="n">
        <v>0</v>
      </c>
      <c r="EA32" s="192" t="n">
        <v>200</v>
      </c>
      <c r="EB32" s="192" t="n">
        <v>100</v>
      </c>
      <c r="EC32" s="192" t="n">
        <v>100</v>
      </c>
      <c r="ED32" s="192" t="n"/>
      <c r="EE32" s="192" t="n"/>
      <c r="EF32" s="192" t="n"/>
      <c r="EG32" s="192" t="n"/>
      <c r="EH32" s="192" t="n"/>
      <c r="EI32" s="192" t="n"/>
      <c r="EJ32" s="192" t="n"/>
      <c r="EK32" s="192" t="n"/>
      <c r="EL32" s="182" t="n"/>
      <c r="EM32" s="176" t="n"/>
      <c r="EN32" s="176" t="n"/>
      <c r="EO32" s="176" t="n"/>
      <c r="EP32" s="176" t="n"/>
      <c r="EQ32" s="176" t="n"/>
      <c r="ER32" s="176" t="n"/>
      <c r="ES32" s="176" t="n"/>
      <c r="ET32" s="176" t="n"/>
      <c r="EU32" s="176" t="n"/>
      <c r="EV32" s="176" t="n"/>
      <c r="EW32" s="176" t="n"/>
      <c r="EX32" s="176" t="n"/>
      <c r="EY32" s="176" t="n"/>
      <c r="EZ32" s="176" t="n"/>
      <c r="FA32" s="176" t="n"/>
      <c r="FB32" s="176" t="n"/>
      <c r="FC32" s="176" t="n"/>
      <c r="FD32" s="176" t="n"/>
      <c r="FE32" s="176" t="n"/>
      <c r="FF32" s="176" t="n"/>
      <c r="FG32" s="176" t="n"/>
      <c r="FH32" s="176" t="n"/>
      <c r="FI32" s="176" t="n"/>
      <c r="FJ32" s="176" t="n"/>
    </row>
    <row r="33" ht="15" customHeight="1" s="392">
      <c r="A33" s="176" t="n"/>
      <c r="B33" s="180" t="n"/>
      <c r="C33" s="183" t="inlineStr">
        <is>
          <t xml:space="preserve">                Other Non-Cash Items</t>
        </is>
      </c>
      <c r="D33" s="190">
        <f>IF(COUNT(M33:EK33)&gt;0,MEDIAN(M33:EK33),"")</f>
        <v/>
      </c>
      <c r="E33" s="190">
        <f>IF(COUNT(M33:EK33)&gt;0,AVERAGE(M33:EK33),"")</f>
        <v/>
      </c>
      <c r="F33" s="190">
        <f>IF(COUNT(M33:EK33)&gt;0,MIN(M33:EK33),"")</f>
        <v/>
      </c>
      <c r="G33" s="190">
        <f>IF(COUNT(M33:EK33)&gt;0,MAX(M33:EK33),"")</f>
        <v/>
      </c>
      <c r="H33" s="190">
        <f>IF(COUNT(M33:EK33)&gt;0,QUARTILE(M33:EK33,1),"")</f>
        <v/>
      </c>
      <c r="I33" s="190">
        <f>IF(COUNT(M33:EK33)&gt;0,QUARTILE(M33:EK33,3),"")</f>
        <v/>
      </c>
      <c r="J33" s="190">
        <f>IF(COUNT(M33:EK33)&gt;1,STDEV(M33:EK33),"")</f>
        <v/>
      </c>
      <c r="K33" s="191">
        <f>IF(COUNT(M33:EK33)&gt;1,STDEV(M33:EK33)/AVERAGE(M33:EK33),"")</f>
        <v/>
      </c>
      <c r="M33" s="192" t="n"/>
      <c r="N33" s="192" t="n"/>
      <c r="O33" s="192" t="n"/>
      <c r="P33" s="192" t="n"/>
      <c r="Q33" s="192" t="n"/>
      <c r="R33" s="192" t="n"/>
      <c r="S33" s="192" t="n"/>
      <c r="T33" s="192" t="n"/>
      <c r="U33" s="192" t="n"/>
      <c r="V33" s="192" t="n"/>
      <c r="W33" s="192" t="n"/>
      <c r="X33" s="192" t="n"/>
      <c r="Y33" s="192" t="n"/>
      <c r="Z33" s="192" t="n"/>
      <c r="AA33" s="192" t="n"/>
      <c r="AB33" s="192" t="n"/>
      <c r="AC33" s="192" t="n"/>
      <c r="AD33" s="192" t="n"/>
      <c r="AE33" s="192" t="n"/>
      <c r="AF33" s="192" t="n"/>
      <c r="AG33" s="192" t="n"/>
      <c r="AH33" s="192" t="n"/>
      <c r="AI33" s="192" t="n"/>
      <c r="AJ33" s="192" t="n"/>
      <c r="AK33" s="192" t="n"/>
      <c r="AL33" s="192" t="n"/>
      <c r="AM33" s="192" t="n"/>
      <c r="AN33" s="192" t="n"/>
      <c r="AO33" s="192" t="n"/>
      <c r="AP33" s="192" t="n"/>
      <c r="AQ33" s="192" t="n"/>
      <c r="AR33" s="192" t="n"/>
      <c r="AS33" s="192" t="n"/>
      <c r="AT33" s="192" t="n"/>
      <c r="AU33" s="192" t="n"/>
      <c r="AV33" s="192" t="n"/>
      <c r="AW33" s="192" t="n"/>
      <c r="AX33" s="192" t="n"/>
      <c r="AY33" s="192" t="n"/>
      <c r="AZ33" s="192" t="n"/>
      <c r="BA33" s="192" t="n"/>
      <c r="BB33" s="192" t="n"/>
      <c r="BC33" s="192" t="n"/>
      <c r="BD33" s="192" t="n"/>
      <c r="BE33" s="192" t="n"/>
      <c r="BF33" s="192" t="n"/>
      <c r="BG33" s="192" t="n"/>
      <c r="BH33" s="192" t="n"/>
      <c r="BI33" s="192" t="n"/>
      <c r="BJ33" s="192" t="n"/>
      <c r="BK33" s="192" t="n"/>
      <c r="BL33" s="192" t="n"/>
      <c r="BM33" s="192" t="n"/>
      <c r="BN33" s="192" t="n"/>
      <c r="BO33" s="192" t="n"/>
      <c r="BP33" s="192" t="n"/>
      <c r="BQ33" s="192" t="n"/>
      <c r="BR33" s="192" t="n"/>
      <c r="BS33" s="192" t="n"/>
      <c r="BT33" s="192" t="n"/>
      <c r="BU33" s="192" t="n"/>
      <c r="BV33" s="192" t="n"/>
      <c r="BW33" s="192" t="n"/>
      <c r="BX33" s="192" t="n"/>
      <c r="BY33" s="192" t="n">
        <v>-104</v>
      </c>
      <c r="BZ33" s="192" t="n">
        <v>-396</v>
      </c>
      <c r="CA33" s="192" t="n">
        <v>9</v>
      </c>
      <c r="CB33" s="192" t="n">
        <v>51</v>
      </c>
      <c r="CC33" s="192" t="n">
        <v>22</v>
      </c>
      <c r="CD33" s="192" t="n">
        <v>-530</v>
      </c>
      <c r="CE33" s="192" t="n">
        <v>-2208</v>
      </c>
      <c r="CF33" s="192" t="n">
        <v>1371</v>
      </c>
      <c r="CG33" s="192" t="n">
        <v>1415</v>
      </c>
      <c r="CH33" s="192" t="n">
        <v>1035</v>
      </c>
      <c r="CI33" s="192" t="n">
        <v>1642</v>
      </c>
      <c r="CJ33" s="192" t="n">
        <v>2108</v>
      </c>
      <c r="CK33" s="192" t="n">
        <v>872</v>
      </c>
      <c r="CL33" s="192" t="n">
        <v>1592</v>
      </c>
      <c r="CM33" s="192" t="n">
        <v>694</v>
      </c>
      <c r="CN33" s="192" t="n">
        <v>843</v>
      </c>
      <c r="CO33" s="192" t="n">
        <v>729</v>
      </c>
      <c r="CP33" s="192" t="n"/>
      <c r="CQ33" s="192" t="n"/>
      <c r="CR33" s="192" t="n">
        <v>1037</v>
      </c>
      <c r="CS33" s="192" t="n"/>
      <c r="CT33" s="192" t="n"/>
      <c r="CU33" s="192" t="n"/>
      <c r="CV33" s="192" t="n"/>
      <c r="CW33" s="192" t="n"/>
      <c r="CX33" s="192" t="n"/>
      <c r="CY33" s="192" t="n"/>
      <c r="CZ33" s="192" t="n"/>
      <c r="DA33" s="192" t="n"/>
      <c r="DB33" s="192" t="n"/>
      <c r="DC33" s="192" t="n"/>
      <c r="DD33" s="192" t="n"/>
      <c r="DE33" s="192" t="n"/>
      <c r="DF33" s="192" t="n"/>
      <c r="DG33" s="192" t="n"/>
      <c r="DH33" s="192" t="n"/>
      <c r="DI33" s="192" t="n"/>
      <c r="DJ33" s="192" t="n"/>
      <c r="DK33" s="192" t="n"/>
      <c r="DL33" s="192" t="n"/>
      <c r="DM33" s="192" t="n"/>
      <c r="DN33" s="192" t="n"/>
      <c r="DO33" s="192" t="n"/>
      <c r="DP33" s="192" t="n"/>
      <c r="DQ33" s="192" t="n"/>
      <c r="DR33" s="192" t="n"/>
      <c r="DS33" s="192" t="n"/>
      <c r="DT33" s="192" t="n"/>
      <c r="DU33" s="192" t="n"/>
      <c r="DV33" s="192" t="n"/>
      <c r="DW33" s="192" t="n"/>
      <c r="DX33" s="192" t="n"/>
      <c r="DY33" s="192" t="n"/>
      <c r="DZ33" s="192" t="n"/>
      <c r="EA33" s="192" t="n"/>
      <c r="EB33" s="192" t="n"/>
      <c r="EC33" s="192" t="n"/>
      <c r="ED33" s="192" t="n"/>
      <c r="EE33" s="192" t="n"/>
      <c r="EF33" s="192" t="n"/>
      <c r="EG33" s="192" t="n"/>
      <c r="EH33" s="192" t="n"/>
      <c r="EI33" s="192" t="n"/>
      <c r="EJ33" s="192" t="n"/>
      <c r="EK33" s="192" t="n"/>
      <c r="EL33" s="182" t="n"/>
      <c r="EM33" s="176" t="n"/>
      <c r="EN33" s="176" t="n"/>
      <c r="EO33" s="176" t="n"/>
      <c r="EP33" s="176" t="n"/>
      <c r="EQ33" s="176" t="n"/>
      <c r="ER33" s="176" t="n"/>
      <c r="ES33" s="176" t="n"/>
      <c r="ET33" s="176" t="n"/>
      <c r="EU33" s="176" t="n"/>
      <c r="EV33" s="176" t="n"/>
      <c r="EW33" s="176" t="n"/>
      <c r="EX33" s="176" t="n"/>
      <c r="EY33" s="176" t="n"/>
      <c r="EZ33" s="176" t="n"/>
      <c r="FA33" s="176" t="n"/>
      <c r="FB33" s="176" t="n"/>
      <c r="FC33" s="176" t="n"/>
      <c r="FD33" s="176" t="n"/>
      <c r="FE33" s="176" t="n"/>
      <c r="FF33" s="176" t="n"/>
      <c r="FG33" s="176" t="n"/>
      <c r="FH33" s="176" t="n"/>
      <c r="FI33" s="176" t="n"/>
      <c r="FJ33" s="176" t="n"/>
    </row>
    <row r="34" ht="15" customHeight="1" s="392">
      <c r="A34" s="176" t="n"/>
      <c r="B34" s="180" t="n"/>
      <c r="C34" s="187" t="inlineStr">
        <is>
          <t xml:space="preserve">            Total Adjustments for Non-Cash Items</t>
        </is>
      </c>
      <c r="D34" s="193">
        <f>IF(COUNT(M34:EK34)&gt;0,MEDIAN(M34:EK34),"")</f>
        <v/>
      </c>
      <c r="E34" s="193">
        <f>IF(COUNT(M34:EK34)&gt;0,AVERAGE(M34:EK34),"")</f>
        <v/>
      </c>
      <c r="F34" s="193">
        <f>IF(COUNT(M34:EK34)&gt;0,MIN(M34:EK34),"")</f>
        <v/>
      </c>
      <c r="G34" s="193">
        <f>IF(COUNT(M34:EK34)&gt;0,MAX(M34:EK34),"")</f>
        <v/>
      </c>
      <c r="H34" s="193">
        <f>IF(COUNT(M34:EK34)&gt;0,QUARTILE(M34:EK34,1),"")</f>
        <v/>
      </c>
      <c r="I34" s="193">
        <f>IF(COUNT(M34:EK34)&gt;0,QUARTILE(M34:EK34,3),"")</f>
        <v/>
      </c>
      <c r="J34" s="193">
        <f>IF(COUNT(M34:EK34)&gt;1,STDEV(M34:EK34),"")</f>
        <v/>
      </c>
      <c r="K34" s="194">
        <f>IF(COUNT(M34:EK34)&gt;1,STDEV(M34:EK34)/AVERAGE(M34:EK34),"")</f>
        <v/>
      </c>
      <c r="L34" s="195" t="n"/>
      <c r="M34" s="196" t="n">
        <v>122703</v>
      </c>
      <c r="N34" s="196" t="n">
        <v>72209</v>
      </c>
      <c r="O34" s="196" t="n">
        <v>67176</v>
      </c>
      <c r="P34" s="196" t="n">
        <v>69610</v>
      </c>
      <c r="Q34" s="196" t="n">
        <v>37236</v>
      </c>
      <c r="R34" s="196" t="n">
        <v>61889</v>
      </c>
      <c r="S34" s="196" t="n">
        <v>61744</v>
      </c>
      <c r="T34" s="196" t="n">
        <v>67958</v>
      </c>
      <c r="U34" s="196" t="n">
        <v>58651</v>
      </c>
      <c r="V34" s="196" t="n">
        <v>64316</v>
      </c>
      <c r="W34" s="196" t="n">
        <v>55473</v>
      </c>
      <c r="X34" s="196" t="n">
        <v>45914</v>
      </c>
      <c r="Y34" s="196" t="n">
        <v>66301</v>
      </c>
      <c r="Z34" s="196" t="n">
        <v>47926</v>
      </c>
      <c r="AA34" s="196" t="n">
        <v>49379</v>
      </c>
      <c r="AB34" s="196" t="n">
        <v>51144</v>
      </c>
      <c r="AC34" s="196" t="n">
        <v>65223</v>
      </c>
      <c r="AD34" s="196" t="n">
        <v>54448</v>
      </c>
      <c r="AE34" s="196" t="n">
        <v>42526</v>
      </c>
      <c r="AF34" s="196" t="n">
        <v>49843</v>
      </c>
      <c r="AG34" s="196" t="n">
        <v>48865</v>
      </c>
      <c r="AH34" s="196" t="n">
        <v>15506</v>
      </c>
      <c r="AI34" s="196" t="n">
        <v>44592</v>
      </c>
      <c r="AJ34" s="196" t="n">
        <v>41251</v>
      </c>
      <c r="AK34" s="196" t="n">
        <v>47064</v>
      </c>
      <c r="AL34" s="196" t="n">
        <v>35155</v>
      </c>
      <c r="AM34" s="196" t="n">
        <v>34559</v>
      </c>
      <c r="AN34" s="196" t="n">
        <v>35041</v>
      </c>
      <c r="AO34" s="196" t="n">
        <v>38235</v>
      </c>
      <c r="AP34" s="196" t="n">
        <v>33867</v>
      </c>
      <c r="AQ34" s="196" t="n">
        <v>29808</v>
      </c>
      <c r="AR34" s="196" t="n">
        <v>26953</v>
      </c>
      <c r="AS34" s="196" t="n">
        <v>51548</v>
      </c>
      <c r="AT34" s="196" t="n">
        <v>19858</v>
      </c>
      <c r="AU34" s="196" t="n">
        <v>24886</v>
      </c>
      <c r="AV34" s="196" t="n">
        <v>28975</v>
      </c>
      <c r="AW34" s="196" t="n">
        <v>37317</v>
      </c>
      <c r="AX34" s="196" t="n">
        <v>16700</v>
      </c>
      <c r="AY34" s="196" t="n">
        <v>22170</v>
      </c>
      <c r="AZ34" s="196" t="n">
        <v>42402</v>
      </c>
      <c r="BA34" s="196" t="n">
        <v>25047</v>
      </c>
      <c r="BB34" s="196" t="n">
        <v>17581</v>
      </c>
      <c r="BC34" s="196" t="n">
        <v>18399</v>
      </c>
      <c r="BD34" s="196" t="n">
        <v>17236</v>
      </c>
      <c r="BE34" s="196" t="n">
        <v>14902</v>
      </c>
      <c r="BF34" s="196" t="n">
        <v>21356</v>
      </c>
      <c r="BG34" s="196" t="n">
        <v>14158</v>
      </c>
      <c r="BH34" s="196" t="n">
        <v>16529</v>
      </c>
      <c r="BI34" s="196" t="n">
        <v>19301</v>
      </c>
      <c r="BJ34" s="196" t="n">
        <v>41920</v>
      </c>
      <c r="BK34" s="196" t="n">
        <v>14228</v>
      </c>
      <c r="BL34" s="196" t="n">
        <v>15979</v>
      </c>
      <c r="BM34" s="196" t="n">
        <v>18570</v>
      </c>
      <c r="BN34" s="196" t="n">
        <v>21602</v>
      </c>
      <c r="BO34" s="196" t="n">
        <v>12984</v>
      </c>
      <c r="BP34" s="196" t="n">
        <v>12109</v>
      </c>
      <c r="BQ34" s="196" t="n">
        <v>10972</v>
      </c>
      <c r="BR34" s="196" t="n">
        <v>12664</v>
      </c>
      <c r="BS34" s="196" t="n">
        <v>20359</v>
      </c>
      <c r="BT34" s="196" t="n">
        <v>12453</v>
      </c>
      <c r="BU34" s="196" t="n">
        <v>16665</v>
      </c>
      <c r="BV34" s="196" t="n">
        <v>14278</v>
      </c>
      <c r="BW34" s="196" t="n">
        <v>12784</v>
      </c>
      <c r="BX34" s="196" t="n">
        <v>17480</v>
      </c>
      <c r="BY34" s="196" t="n">
        <v>14078</v>
      </c>
      <c r="BZ34" s="196" t="n">
        <v>15136</v>
      </c>
      <c r="CA34" s="196" t="n">
        <v>12039</v>
      </c>
      <c r="CB34" s="196" t="n">
        <v>10450</v>
      </c>
      <c r="CC34" s="196" t="n">
        <v>13980</v>
      </c>
      <c r="CD34" s="196" t="n">
        <v>13778</v>
      </c>
      <c r="CE34" s="196" t="n">
        <v>1020</v>
      </c>
      <c r="CF34" s="196" t="n">
        <v>14328</v>
      </c>
      <c r="CG34" s="196" t="n">
        <v>23979</v>
      </c>
      <c r="CH34" s="196" t="n">
        <v>9034</v>
      </c>
      <c r="CI34" s="196" t="n">
        <v>10667</v>
      </c>
      <c r="CJ34" s="196" t="n">
        <v>11137</v>
      </c>
      <c r="CK34" s="196" t="n">
        <v>9356</v>
      </c>
      <c r="CL34" s="196" t="n">
        <v>5527</v>
      </c>
      <c r="CM34" s="196" t="n">
        <v>9199</v>
      </c>
      <c r="CN34" s="196" t="n">
        <v>10495</v>
      </c>
      <c r="CO34" s="196" t="n">
        <v>13055</v>
      </c>
      <c r="CP34" s="196" t="n">
        <v>-8627</v>
      </c>
      <c r="CQ34" s="196" t="n">
        <v>27886</v>
      </c>
      <c r="CR34" s="196" t="n">
        <v>6781</v>
      </c>
      <c r="CS34" s="196" t="n">
        <v>-1878</v>
      </c>
      <c r="CT34" s="196" t="n">
        <v>10192</v>
      </c>
      <c r="CU34" s="196" t="n">
        <v>5045</v>
      </c>
      <c r="CV34" s="196" t="n">
        <v>10138</v>
      </c>
      <c r="CW34" s="196" t="n">
        <v>2942</v>
      </c>
      <c r="CX34" s="196" t="n">
        <v>7985</v>
      </c>
      <c r="CY34" s="196" t="n">
        <v>10907.4</v>
      </c>
      <c r="CZ34" s="196" t="n">
        <v>6755.6</v>
      </c>
      <c r="DA34" s="196" t="n">
        <v>8144.3</v>
      </c>
      <c r="DB34" s="196" t="n">
        <v>9702.9</v>
      </c>
      <c r="DC34" s="196" t="n">
        <v>7549.9</v>
      </c>
      <c r="DD34" s="196" t="n">
        <v>6799.9</v>
      </c>
      <c r="DE34" s="196" t="n">
        <v>6905.2</v>
      </c>
      <c r="DF34" s="196" t="n">
        <v>2496.3</v>
      </c>
      <c r="DG34" s="196" t="n">
        <v>6099.8</v>
      </c>
      <c r="DH34" s="196" t="n">
        <v>3347.9</v>
      </c>
      <c r="DI34" s="196" t="n">
        <v>4557.5</v>
      </c>
      <c r="DJ34" s="196" t="n">
        <v>3797.1</v>
      </c>
      <c r="DK34" s="196" t="n">
        <v>3354.2</v>
      </c>
      <c r="DL34" s="196" t="n">
        <v>3157.9</v>
      </c>
      <c r="DM34" s="196" t="n">
        <v>4503.5</v>
      </c>
      <c r="DN34" s="196" t="n">
        <v>2831.3</v>
      </c>
      <c r="DO34" s="196" t="n">
        <v>2500</v>
      </c>
      <c r="DP34" s="196" t="n">
        <v>2800</v>
      </c>
      <c r="DQ34" s="196" t="n">
        <v>1700</v>
      </c>
      <c r="DR34" s="196" t="n">
        <v>2700</v>
      </c>
      <c r="DS34" s="196" t="n">
        <v>2300</v>
      </c>
      <c r="DT34" s="196" t="n">
        <v>2200</v>
      </c>
      <c r="DU34" s="196" t="n">
        <v>2100</v>
      </c>
      <c r="DV34" s="196" t="n">
        <v>2000</v>
      </c>
      <c r="DW34" s="196" t="n">
        <v>2100</v>
      </c>
      <c r="DX34" s="196" t="n">
        <v>2000</v>
      </c>
      <c r="DY34" s="196" t="n">
        <v>2100</v>
      </c>
      <c r="DZ34" s="196" t="n">
        <v>2200</v>
      </c>
      <c r="EA34" s="196" t="n">
        <v>2000</v>
      </c>
      <c r="EB34" s="196" t="n">
        <v>1900</v>
      </c>
      <c r="EC34" s="196" t="n">
        <v>1400</v>
      </c>
      <c r="ED34" s="196" t="n">
        <v>2500</v>
      </c>
      <c r="EE34" s="196" t="n">
        <v>1400</v>
      </c>
      <c r="EF34" s="196" t="n">
        <v>1400</v>
      </c>
      <c r="EG34" s="196" t="n">
        <v>1500</v>
      </c>
      <c r="EH34" s="196" t="n">
        <v>700</v>
      </c>
      <c r="EI34" s="196" t="n">
        <v>700</v>
      </c>
      <c r="EJ34" s="196" t="n">
        <v>600</v>
      </c>
      <c r="EK34" s="196" t="n">
        <v>-700</v>
      </c>
      <c r="EL34" s="182" t="n"/>
      <c r="EM34" s="176" t="n"/>
      <c r="EN34" s="176" t="n"/>
      <c r="EO34" s="176" t="n"/>
      <c r="EP34" s="176" t="n"/>
      <c r="EQ34" s="176" t="n"/>
      <c r="ER34" s="176" t="n"/>
      <c r="ES34" s="176" t="n"/>
      <c r="ET34" s="176" t="n"/>
      <c r="EU34" s="176" t="n"/>
      <c r="EV34" s="176" t="n"/>
      <c r="EW34" s="176" t="n"/>
      <c r="EX34" s="176" t="n"/>
      <c r="EY34" s="176" t="n"/>
      <c r="EZ34" s="176" t="n"/>
      <c r="FA34" s="176" t="n"/>
      <c r="FB34" s="176" t="n"/>
      <c r="FC34" s="176" t="n"/>
      <c r="FD34" s="176" t="n"/>
      <c r="FE34" s="176" t="n"/>
      <c r="FF34" s="176" t="n"/>
      <c r="FG34" s="176" t="n"/>
      <c r="FH34" s="176" t="n"/>
      <c r="FI34" s="176" t="n"/>
      <c r="FJ34" s="176" t="n"/>
    </row>
    <row r="35" ht="15" customHeight="1" s="392">
      <c r="A35" s="176" t="n"/>
      <c r="B35" s="180" t="n"/>
      <c r="C35" s="183" t="inlineStr">
        <is>
          <t xml:space="preserve">            Changes in Operating Capital</t>
        </is>
      </c>
      <c r="D35" s="185" t="n"/>
      <c r="E35" s="185" t="n"/>
      <c r="F35" s="185" t="n"/>
      <c r="G35" s="185" t="n"/>
      <c r="H35" s="185" t="n"/>
      <c r="I35" s="185" t="n"/>
      <c r="J35" s="185" t="n"/>
      <c r="K35" s="185" t="n"/>
      <c r="EL35" s="182" t="n"/>
      <c r="EM35" s="176" t="n"/>
      <c r="EN35" s="176" t="n"/>
      <c r="EO35" s="176" t="n"/>
      <c r="EP35" s="176" t="n"/>
      <c r="EQ35" s="176" t="n"/>
      <c r="ER35" s="176" t="n"/>
      <c r="ES35" s="176" t="n"/>
      <c r="ET35" s="176" t="n"/>
      <c r="EU35" s="176" t="n"/>
      <c r="EV35" s="176" t="n"/>
      <c r="EW35" s="176" t="n"/>
      <c r="EX35" s="176" t="n"/>
      <c r="EY35" s="176" t="n"/>
      <c r="EZ35" s="176" t="n"/>
      <c r="FA35" s="176" t="n"/>
      <c r="FB35" s="176" t="n"/>
      <c r="FC35" s="176" t="n"/>
      <c r="FD35" s="176" t="n"/>
      <c r="FE35" s="176" t="n"/>
      <c r="FF35" s="176" t="n"/>
      <c r="FG35" s="176" t="n"/>
      <c r="FH35" s="176" t="n"/>
      <c r="FI35" s="176" t="n"/>
      <c r="FJ35" s="176" t="n"/>
    </row>
    <row r="36" ht="15" customHeight="1" s="392">
      <c r="A36" s="176" t="n"/>
      <c r="B36" s="180" t="n"/>
      <c r="C36" s="183" t="inlineStr">
        <is>
          <t xml:space="preserve">                Change in Inventories</t>
        </is>
      </c>
      <c r="D36" s="190">
        <f>IF(COUNT(M36:EK36)&gt;0,MEDIAN(M36:EK36),"")</f>
        <v/>
      </c>
      <c r="E36" s="190">
        <f>IF(COUNT(M36:EK36)&gt;0,AVERAGE(M36:EK36),"")</f>
        <v/>
      </c>
      <c r="F36" s="190">
        <f>IF(COUNT(M36:EK36)&gt;0,MIN(M36:EK36),"")</f>
        <v/>
      </c>
      <c r="G36" s="190">
        <f>IF(COUNT(M36:EK36)&gt;0,MAX(M36:EK36),"")</f>
        <v/>
      </c>
      <c r="H36" s="190">
        <f>IF(COUNT(M36:EK36)&gt;0,QUARTILE(M36:EK36,1),"")</f>
        <v/>
      </c>
      <c r="I36" s="190">
        <f>IF(COUNT(M36:EK36)&gt;0,QUARTILE(M36:EK36,3),"")</f>
        <v/>
      </c>
      <c r="J36" s="190">
        <f>IF(COUNT(M36:EK36)&gt;1,STDEV(M36:EK36),"")</f>
        <v/>
      </c>
      <c r="K36" s="191">
        <f>IF(COUNT(M36:EK36)&gt;1,STDEV(M36:EK36)/AVERAGE(M36:EK36),"")</f>
        <v/>
      </c>
      <c r="M36" s="192" t="n">
        <v>-2001</v>
      </c>
      <c r="N36" s="192" t="n">
        <v>-7859</v>
      </c>
      <c r="O36" s="192" t="n">
        <v>-928</v>
      </c>
      <c r="P36" s="192" t="n">
        <v>-655</v>
      </c>
      <c r="Q36" s="192" t="n">
        <v>4835</v>
      </c>
      <c r="R36" s="192" t="n">
        <v>15995</v>
      </c>
      <c r="S36" s="192" t="n">
        <v>-7523</v>
      </c>
      <c r="T36" s="192" t="n">
        <v>-8652</v>
      </c>
      <c r="U36" s="192" t="n">
        <v>3618</v>
      </c>
      <c r="V36" s="192" t="n">
        <v>-4322</v>
      </c>
      <c r="W36" s="192" t="n">
        <v>675</v>
      </c>
      <c r="X36" s="192" t="n">
        <v>-3669</v>
      </c>
      <c r="Y36" s="192" t="n">
        <v>11679</v>
      </c>
      <c r="Z36" s="192" t="n">
        <v>6869</v>
      </c>
      <c r="AA36" s="192" t="n">
        <v>3981</v>
      </c>
      <c r="AB36" s="192" t="n">
        <v>4020</v>
      </c>
      <c r="AC36" s="192" t="n">
        <v>2516</v>
      </c>
      <c r="AD36" s="192" t="n">
        <v>-4778</v>
      </c>
      <c r="AE36" s="192" t="n">
        <v>-5126</v>
      </c>
      <c r="AF36" s="192" t="n">
        <v>-3463</v>
      </c>
      <c r="AG36" s="192" t="n">
        <v>-5814</v>
      </c>
      <c r="AH36" s="192" t="n">
        <v>-9016</v>
      </c>
      <c r="AI36" s="192" t="n">
        <v>-1513</v>
      </c>
      <c r="AJ36" s="192" t="n">
        <v>-8259</v>
      </c>
      <c r="AK36" s="192" t="n">
        <v>139</v>
      </c>
      <c r="AL36" s="192" t="n">
        <v>-1556</v>
      </c>
      <c r="AM36" s="192" t="n">
        <v>1055</v>
      </c>
      <c r="AN36" s="192" t="n">
        <v>1710</v>
      </c>
      <c r="AO36" s="192" t="n">
        <v>1002</v>
      </c>
      <c r="AP36" s="192" t="n">
        <v>5919</v>
      </c>
      <c r="AQ36" s="192" t="n">
        <v>-8372</v>
      </c>
      <c r="AR36" s="192" t="n">
        <v>-3268</v>
      </c>
      <c r="AS36" s="192" t="n">
        <v>2741</v>
      </c>
      <c r="AT36" s="192" t="n">
        <v>-4175</v>
      </c>
      <c r="AU36" s="192" t="n">
        <v>-2561</v>
      </c>
      <c r="AV36" s="192" t="n">
        <v>36</v>
      </c>
      <c r="AW36" s="192" t="n">
        <v>267</v>
      </c>
      <c r="AX36" s="192" t="n">
        <v>-6</v>
      </c>
      <c r="AY36" s="192" t="n">
        <v>-119</v>
      </c>
      <c r="AZ36" s="192" t="n">
        <v>1152</v>
      </c>
      <c r="BA36" s="192" t="n">
        <v>611</v>
      </c>
      <c r="BB36" s="192" t="n">
        <v>-1810</v>
      </c>
      <c r="BC36" s="192" t="n">
        <v>-799</v>
      </c>
      <c r="BD36" s="192" t="n">
        <v>-511</v>
      </c>
      <c r="BE36" s="192" t="n">
        <v>-482</v>
      </c>
      <c r="BF36" s="192" t="n">
        <v>-23</v>
      </c>
      <c r="BG36" s="192" t="n">
        <v>-673</v>
      </c>
      <c r="BH36" s="192" t="n">
        <v>-553</v>
      </c>
      <c r="BI36" s="192" t="n">
        <v>2573</v>
      </c>
      <c r="BJ36" s="192" t="n">
        <v>123</v>
      </c>
      <c r="BK36" s="192" t="n">
        <v>-443</v>
      </c>
      <c r="BL36" s="192" t="n">
        <v>1759</v>
      </c>
      <c r="BM36" s="192" t="n">
        <v>330</v>
      </c>
      <c r="BN36" s="192" t="n">
        <v>428</v>
      </c>
      <c r="BO36" s="192" t="n">
        <v>-3546</v>
      </c>
      <c r="BP36" s="192" t="n">
        <v>1011</v>
      </c>
      <c r="BQ36" s="192" t="n">
        <v>-668</v>
      </c>
      <c r="BR36" s="192" t="n">
        <v>-48</v>
      </c>
      <c r="BS36" s="192" t="n">
        <v>-949</v>
      </c>
      <c r="BT36" s="192" t="n">
        <v>1447</v>
      </c>
      <c r="BU36" s="192" t="n">
        <v>-1747</v>
      </c>
      <c r="BV36" s="192" t="n">
        <v>-102</v>
      </c>
      <c r="BW36" s="192" t="n">
        <v>-1556</v>
      </c>
      <c r="BX36" s="192" t="n">
        <v>739</v>
      </c>
      <c r="BY36" s="192" t="n">
        <v>-420</v>
      </c>
      <c r="BZ36" s="192" t="n">
        <v>-419</v>
      </c>
      <c r="CA36" s="192" t="n">
        <v>312</v>
      </c>
      <c r="CB36" s="192" t="n">
        <v>271</v>
      </c>
      <c r="CC36" s="192" t="n">
        <v>-492</v>
      </c>
      <c r="CD36" s="192" t="n">
        <v>570</v>
      </c>
      <c r="CE36" s="192" t="n">
        <v>-357</v>
      </c>
      <c r="CF36" s="192" t="n">
        <v>225</v>
      </c>
      <c r="CG36" s="192" t="n">
        <v>1161</v>
      </c>
      <c r="CH36" s="192" t="n">
        <v>1585</v>
      </c>
      <c r="CI36" s="192" t="n">
        <v>366</v>
      </c>
      <c r="CJ36" s="192" t="n">
        <v>-1623</v>
      </c>
      <c r="CK36" s="192" t="n"/>
      <c r="CL36" s="192" t="n"/>
      <c r="CM36" s="192" t="n"/>
      <c r="CN36" s="192" t="n"/>
      <c r="CO36" s="192" t="n"/>
      <c r="CP36" s="192" t="n"/>
      <c r="CQ36" s="192" t="n"/>
      <c r="CR36" s="192" t="n"/>
      <c r="CS36" s="192" t="n"/>
      <c r="CT36" s="192" t="n"/>
      <c r="CU36" s="192" t="n"/>
      <c r="CV36" s="192" t="n"/>
      <c r="CW36" s="192" t="n"/>
      <c r="CX36" s="192" t="n"/>
      <c r="CY36" s="192" t="n"/>
      <c r="CZ36" s="192" t="n"/>
      <c r="DA36" s="192" t="n"/>
      <c r="DB36" s="192" t="n"/>
      <c r="DC36" s="192" t="n"/>
      <c r="DD36" s="192" t="n"/>
      <c r="DE36" s="192" t="n"/>
      <c r="DF36" s="192" t="n"/>
      <c r="DG36" s="192" t="n"/>
      <c r="DH36" s="192" t="n"/>
      <c r="DI36" s="192" t="n"/>
      <c r="DJ36" s="192" t="n"/>
      <c r="DK36" s="192" t="n"/>
      <c r="DL36" s="192" t="n"/>
      <c r="DM36" s="192" t="n"/>
      <c r="DN36" s="192" t="n"/>
      <c r="DO36" s="192" t="n"/>
      <c r="DP36" s="192" t="n"/>
      <c r="DQ36" s="192" t="n"/>
      <c r="DR36" s="192" t="n"/>
      <c r="DS36" s="192" t="n"/>
      <c r="DT36" s="192" t="n"/>
      <c r="DU36" s="192" t="n"/>
      <c r="DV36" s="192" t="n">
        <v>0</v>
      </c>
      <c r="DW36" s="192" t="n">
        <v>100</v>
      </c>
      <c r="DX36" s="192" t="n">
        <v>100</v>
      </c>
      <c r="DY36" s="192" t="n">
        <v>600</v>
      </c>
      <c r="DZ36" s="192" t="n">
        <v>700</v>
      </c>
      <c r="EA36" s="192" t="n">
        <v>-200</v>
      </c>
      <c r="EB36" s="192" t="n">
        <v>100</v>
      </c>
      <c r="EC36" s="192" t="n">
        <v>200</v>
      </c>
      <c r="ED36" s="192" t="n">
        <v>-200</v>
      </c>
      <c r="EE36" s="192" t="n">
        <v>-400</v>
      </c>
      <c r="EF36" s="192" t="n">
        <v>2200</v>
      </c>
      <c r="EG36" s="192" t="n"/>
      <c r="EH36" s="192" t="n"/>
      <c r="EI36" s="192" t="n"/>
      <c r="EJ36" s="192" t="n"/>
      <c r="EK36" s="192" t="n"/>
      <c r="EL36" s="182" t="n"/>
      <c r="EM36" s="176" t="n"/>
      <c r="EN36" s="176" t="n"/>
      <c r="EO36" s="176" t="n"/>
      <c r="EP36" s="176" t="n"/>
      <c r="EQ36" s="176" t="n"/>
      <c r="ER36" s="176" t="n"/>
      <c r="ES36" s="176" t="n"/>
      <c r="ET36" s="176" t="n"/>
      <c r="EU36" s="176" t="n"/>
      <c r="EV36" s="176" t="n"/>
      <c r="EW36" s="176" t="n"/>
      <c r="EX36" s="176" t="n"/>
      <c r="EY36" s="176" t="n"/>
      <c r="EZ36" s="176" t="n"/>
      <c r="FA36" s="176" t="n"/>
      <c r="FB36" s="176" t="n"/>
      <c r="FC36" s="176" t="n"/>
      <c r="FD36" s="176" t="n"/>
      <c r="FE36" s="176" t="n"/>
      <c r="FF36" s="176" t="n"/>
      <c r="FG36" s="176" t="n"/>
      <c r="FH36" s="176" t="n"/>
      <c r="FI36" s="176" t="n"/>
      <c r="FJ36" s="176" t="n"/>
    </row>
    <row r="37" ht="15" customHeight="1" s="392">
      <c r="A37" s="176" t="n"/>
      <c r="B37" s="180" t="n"/>
      <c r="C37" s="183" t="inlineStr">
        <is>
          <t xml:space="preserve">                Change in Trade and Other Receivables</t>
        </is>
      </c>
      <c r="D37" s="185" t="n"/>
      <c r="E37" s="185" t="n"/>
      <c r="F37" s="185" t="n"/>
      <c r="G37" s="185" t="n"/>
      <c r="H37" s="185" t="n"/>
      <c r="I37" s="185" t="n"/>
      <c r="J37" s="185" t="n"/>
      <c r="K37" s="185" t="n"/>
      <c r="EL37" s="182" t="n"/>
      <c r="EM37" s="176" t="n"/>
      <c r="EN37" s="176" t="n"/>
      <c r="EO37" s="176" t="n"/>
      <c r="EP37" s="176" t="n"/>
      <c r="EQ37" s="176" t="n"/>
      <c r="ER37" s="176" t="n"/>
      <c r="ES37" s="176" t="n"/>
      <c r="ET37" s="176" t="n"/>
      <c r="EU37" s="176" t="n"/>
      <c r="EV37" s="176" t="n"/>
      <c r="EW37" s="176" t="n"/>
      <c r="EX37" s="176" t="n"/>
      <c r="EY37" s="176" t="n"/>
      <c r="EZ37" s="176" t="n"/>
      <c r="FA37" s="176" t="n"/>
      <c r="FB37" s="176" t="n"/>
      <c r="FC37" s="176" t="n"/>
      <c r="FD37" s="176" t="n"/>
      <c r="FE37" s="176" t="n"/>
      <c r="FF37" s="176" t="n"/>
      <c r="FG37" s="176" t="n"/>
      <c r="FH37" s="176" t="n"/>
      <c r="FI37" s="176" t="n"/>
      <c r="FJ37" s="176" t="n"/>
    </row>
    <row r="38" ht="15" customHeight="1" s="392">
      <c r="A38" s="176" t="n"/>
      <c r="B38" s="180" t="n"/>
      <c r="C38" s="183" t="inlineStr">
        <is>
          <t xml:space="preserve">                    Change in Trade/Accounts Receivable</t>
        </is>
      </c>
      <c r="D38" s="190">
        <f>IF(COUNT(M38:EK38)&gt;0,MEDIAN(M38:EK38),"")</f>
        <v/>
      </c>
      <c r="E38" s="190">
        <f>IF(COUNT(M38:EK38)&gt;0,AVERAGE(M38:EK38),"")</f>
        <v/>
      </c>
      <c r="F38" s="190">
        <f>IF(COUNT(M38:EK38)&gt;0,MIN(M38:EK38),"")</f>
        <v/>
      </c>
      <c r="G38" s="190">
        <f>IF(COUNT(M38:EK38)&gt;0,MAX(M38:EK38),"")</f>
        <v/>
      </c>
      <c r="H38" s="190">
        <f>IF(COUNT(M38:EK38)&gt;0,QUARTILE(M38:EK38,1),"")</f>
        <v/>
      </c>
      <c r="I38" s="190">
        <f>IF(COUNT(M38:EK38)&gt;0,QUARTILE(M38:EK38,3),"")</f>
        <v/>
      </c>
      <c r="J38" s="190">
        <f>IF(COUNT(M38:EK38)&gt;1,STDEV(M38:EK38),"")</f>
        <v/>
      </c>
      <c r="K38" s="191">
        <f>IF(COUNT(M38:EK38)&gt;1,STDEV(M38:EK38)/AVERAGE(M38:EK38),"")</f>
        <v/>
      </c>
      <c r="M38" s="192" t="n">
        <v>-23336</v>
      </c>
      <c r="N38" s="192" t="n">
        <v>67522</v>
      </c>
      <c r="O38" s="192" t="n">
        <v>-99647</v>
      </c>
      <c r="P38" s="192" t="n">
        <v>-25168</v>
      </c>
      <c r="Q38" s="192" t="n">
        <v>-32034</v>
      </c>
      <c r="R38" s="192" t="n">
        <v>131108</v>
      </c>
      <c r="S38" s="192" t="n">
        <v>-83931</v>
      </c>
      <c r="T38" s="192" t="n">
        <v>-49093</v>
      </c>
      <c r="U38" s="192" t="n">
        <v>7179</v>
      </c>
      <c r="V38" s="192" t="n">
        <v>16944</v>
      </c>
      <c r="W38" s="192" t="n">
        <v>-92422</v>
      </c>
      <c r="X38" s="192" t="n">
        <v>-77086</v>
      </c>
      <c r="Y38" s="192" t="n">
        <v>-8109</v>
      </c>
      <c r="Z38" s="192" t="n">
        <v>71461</v>
      </c>
      <c r="AA38" s="192" t="n">
        <v>-132722</v>
      </c>
      <c r="AB38" s="192" t="n">
        <v>-53837</v>
      </c>
      <c r="AC38" s="192" t="n">
        <v>11886</v>
      </c>
      <c r="AD38" s="192" t="n">
        <v>43127</v>
      </c>
      <c r="AE38" s="192" t="n">
        <v>-70087</v>
      </c>
      <c r="AF38" s="192" t="n">
        <v>-82676</v>
      </c>
      <c r="AG38" s="192" t="n">
        <v>-45920</v>
      </c>
      <c r="AH38" s="192" t="n">
        <v>29555</v>
      </c>
      <c r="AI38" s="192" t="n">
        <v>-53288</v>
      </c>
      <c r="AJ38" s="192" t="n">
        <v>-57860</v>
      </c>
      <c r="AK38" s="192" t="n">
        <v>-3109</v>
      </c>
      <c r="AL38" s="192" t="n">
        <v>97612</v>
      </c>
      <c r="AM38" s="192" t="n">
        <v>-53102</v>
      </c>
      <c r="AN38" s="192" t="n">
        <v>-25408</v>
      </c>
      <c r="AO38" s="192" t="n">
        <v>9112</v>
      </c>
      <c r="AP38" s="192" t="n">
        <v>16205</v>
      </c>
      <c r="AQ38" s="192" t="n">
        <v>-56855</v>
      </c>
      <c r="AR38" s="192" t="n">
        <v>-29270</v>
      </c>
      <c r="AS38" s="192" t="n">
        <v>3026</v>
      </c>
      <c r="AT38" s="192" t="n">
        <v>42786</v>
      </c>
      <c r="AU38" s="192" t="n">
        <v>-30243</v>
      </c>
      <c r="AV38" s="192" t="n">
        <v>-55904</v>
      </c>
      <c r="AW38" s="192" t="n">
        <v>-2874</v>
      </c>
      <c r="AX38" s="192" t="n">
        <v>39121</v>
      </c>
      <c r="AY38" s="192" t="n">
        <v>-45317</v>
      </c>
      <c r="AZ38" s="192" t="n">
        <v>-29472</v>
      </c>
      <c r="BA38" s="192" t="n">
        <v>-4619</v>
      </c>
      <c r="BB38" s="192" t="n">
        <v>19089</v>
      </c>
      <c r="BC38" s="192" t="n">
        <v>-51773</v>
      </c>
      <c r="BD38" s="192" t="n">
        <v>-16910</v>
      </c>
      <c r="BE38" s="192" t="n">
        <v>1346</v>
      </c>
      <c r="BF38" s="192" t="n">
        <v>19145</v>
      </c>
      <c r="BG38" s="192" t="n">
        <v>-31904</v>
      </c>
      <c r="BH38" s="192" t="n">
        <v>-9004</v>
      </c>
      <c r="BI38" s="192" t="n">
        <v>-3709</v>
      </c>
      <c r="BJ38" s="192" t="n">
        <v>29767</v>
      </c>
      <c r="BK38" s="192" t="n">
        <v>-34222</v>
      </c>
      <c r="BL38" s="192" t="n">
        <v>-4706</v>
      </c>
      <c r="BM38" s="192" t="n">
        <v>-6757</v>
      </c>
      <c r="BN38" s="192" t="n">
        <v>33901</v>
      </c>
      <c r="BO38" s="192" t="n">
        <v>-48719</v>
      </c>
      <c r="BP38" s="192" t="n">
        <v>-9596</v>
      </c>
      <c r="BQ38" s="192" t="n">
        <v>-9602</v>
      </c>
      <c r="BR38" s="192" t="n">
        <v>23147</v>
      </c>
      <c r="BS38" s="192" t="n">
        <v>-16405</v>
      </c>
      <c r="BT38" s="192" t="n">
        <v>-13144</v>
      </c>
      <c r="BU38" s="192" t="n">
        <v>-5420</v>
      </c>
      <c r="BV38" s="192" t="n">
        <v>21139</v>
      </c>
      <c r="BW38" s="192" t="n">
        <v>-20240</v>
      </c>
      <c r="BX38" s="192" t="n">
        <v>-7985</v>
      </c>
      <c r="BY38" s="192" t="n">
        <v>-6760</v>
      </c>
      <c r="BZ38" s="192" t="n">
        <v>19206</v>
      </c>
      <c r="CA38" s="192" t="n">
        <v>-9430</v>
      </c>
      <c r="CB38" s="192" t="n">
        <v>-580</v>
      </c>
      <c r="CC38" s="192" t="n">
        <v>-884</v>
      </c>
      <c r="CD38" s="192" t="n">
        <v>30767</v>
      </c>
      <c r="CE38" s="192" t="n"/>
      <c r="CF38" s="192" t="n"/>
      <c r="CG38" s="192" t="n"/>
      <c r="CH38" s="192" t="n"/>
      <c r="CI38" s="192" t="n"/>
      <c r="CJ38" s="192" t="n"/>
      <c r="CK38" s="192" t="n"/>
      <c r="CL38" s="192" t="n"/>
      <c r="CM38" s="192" t="n"/>
      <c r="CN38" s="192" t="n"/>
      <c r="CO38" s="192" t="n"/>
      <c r="CP38" s="192" t="n"/>
      <c r="CQ38" s="192" t="n"/>
      <c r="CR38" s="192" t="n"/>
      <c r="CS38" s="192" t="n"/>
      <c r="CT38" s="192" t="n"/>
      <c r="CU38" s="192" t="n"/>
      <c r="CV38" s="192" t="n"/>
      <c r="CW38" s="192" t="n"/>
      <c r="CX38" s="192" t="n"/>
      <c r="CY38" s="192" t="n"/>
      <c r="CZ38" s="192" t="n"/>
      <c r="DA38" s="192" t="n"/>
      <c r="DB38" s="192" t="n"/>
      <c r="DC38" s="192" t="n"/>
      <c r="DD38" s="192" t="n"/>
      <c r="DE38" s="192" t="n"/>
      <c r="DF38" s="192" t="n"/>
      <c r="DG38" s="192" t="n"/>
      <c r="DH38" s="192" t="n"/>
      <c r="DI38" s="192" t="n"/>
      <c r="DJ38" s="192" t="n"/>
      <c r="DK38" s="192" t="n"/>
      <c r="DL38" s="192" t="n"/>
      <c r="DM38" s="192" t="n"/>
      <c r="DN38" s="192" t="n"/>
      <c r="DO38" s="192" t="n"/>
      <c r="DP38" s="192" t="n"/>
      <c r="DQ38" s="192" t="n"/>
      <c r="DR38" s="192" t="n"/>
      <c r="DS38" s="192" t="n"/>
      <c r="DT38" s="192" t="n"/>
      <c r="DU38" s="192" t="n"/>
      <c r="DV38" s="192" t="n"/>
      <c r="DW38" s="192" t="n"/>
      <c r="DX38" s="192" t="n"/>
      <c r="DY38" s="192" t="n"/>
      <c r="DZ38" s="192" t="n"/>
      <c r="EA38" s="192" t="n"/>
      <c r="EB38" s="192" t="n"/>
      <c r="EC38" s="192" t="n"/>
      <c r="ED38" s="192" t="n"/>
      <c r="EE38" s="192" t="n"/>
      <c r="EF38" s="192" t="n"/>
      <c r="EG38" s="192" t="n"/>
      <c r="EH38" s="192" t="n"/>
      <c r="EI38" s="192" t="n"/>
      <c r="EJ38" s="192" t="n"/>
      <c r="EK38" s="192" t="n"/>
      <c r="EL38" s="182" t="n"/>
      <c r="EM38" s="176" t="n"/>
      <c r="EN38" s="176" t="n"/>
      <c r="EO38" s="176" t="n"/>
      <c r="EP38" s="176" t="n"/>
      <c r="EQ38" s="176" t="n"/>
      <c r="ER38" s="176" t="n"/>
      <c r="ES38" s="176" t="n"/>
      <c r="ET38" s="176" t="n"/>
      <c r="EU38" s="176" t="n"/>
      <c r="EV38" s="176" t="n"/>
      <c r="EW38" s="176" t="n"/>
      <c r="EX38" s="176" t="n"/>
      <c r="EY38" s="176" t="n"/>
      <c r="EZ38" s="176" t="n"/>
      <c r="FA38" s="176" t="n"/>
      <c r="FB38" s="176" t="n"/>
      <c r="FC38" s="176" t="n"/>
      <c r="FD38" s="176" t="n"/>
      <c r="FE38" s="176" t="n"/>
      <c r="FF38" s="176" t="n"/>
      <c r="FG38" s="176" t="n"/>
      <c r="FH38" s="176" t="n"/>
      <c r="FI38" s="176" t="n"/>
      <c r="FJ38" s="176" t="n"/>
    </row>
    <row r="39" ht="15" customHeight="1" s="392">
      <c r="A39" s="176" t="n"/>
      <c r="B39" s="180" t="n"/>
      <c r="C39" s="183" t="inlineStr">
        <is>
          <t xml:space="preserve">                    Change in Tax Receivables</t>
        </is>
      </c>
      <c r="D39" s="190">
        <f>IF(COUNT(M39:EK39)&gt;0,MEDIAN(M39:EK39),"")</f>
        <v/>
      </c>
      <c r="E39" s="190">
        <f>IF(COUNT(M39:EK39)&gt;0,AVERAGE(M39:EK39),"")</f>
        <v/>
      </c>
      <c r="F39" s="190">
        <f>IF(COUNT(M39:EK39)&gt;0,MIN(M39:EK39),"")</f>
        <v/>
      </c>
      <c r="G39" s="190">
        <f>IF(COUNT(M39:EK39)&gt;0,MAX(M39:EK39),"")</f>
        <v/>
      </c>
      <c r="H39" s="190">
        <f>IF(COUNT(M39:EK39)&gt;0,QUARTILE(M39:EK39,1),"")</f>
        <v/>
      </c>
      <c r="I39" s="190">
        <f>IF(COUNT(M39:EK39)&gt;0,QUARTILE(M39:EK39,3),"")</f>
        <v/>
      </c>
      <c r="J39" s="190">
        <f>IF(COUNT(M39:EK39)&gt;1,STDEV(M39:EK39),"")</f>
        <v/>
      </c>
      <c r="K39" s="191">
        <f>IF(COUNT(M39:EK39)&gt;1,STDEV(M39:EK39)/AVERAGE(M39:EK39),"")</f>
        <v/>
      </c>
      <c r="M39" s="192" t="n">
        <v>-49149</v>
      </c>
      <c r="N39" s="192" t="n">
        <v>99</v>
      </c>
      <c r="O39" s="192" t="n">
        <v>-227</v>
      </c>
      <c r="P39" s="192" t="n">
        <v>0</v>
      </c>
      <c r="Q39" s="192" t="n">
        <v>-576</v>
      </c>
      <c r="R39" s="192" t="n">
        <v>48240</v>
      </c>
      <c r="S39" s="192" t="n">
        <v>-48240</v>
      </c>
      <c r="T39" s="192" t="n">
        <v>1</v>
      </c>
      <c r="U39" s="192" t="n">
        <v>23407</v>
      </c>
      <c r="V39" s="192" t="n">
        <v>-6383</v>
      </c>
      <c r="W39" s="192" t="n">
        <v>-16598</v>
      </c>
      <c r="X39" s="192" t="n">
        <v>6135</v>
      </c>
      <c r="Y39" s="192" t="n">
        <v>-16237</v>
      </c>
      <c r="Z39" s="192" t="n">
        <v>0</v>
      </c>
      <c r="AA39" s="192" t="n">
        <v>4835</v>
      </c>
      <c r="AB39" s="192" t="n">
        <v>44595</v>
      </c>
      <c r="AC39" s="192" t="n">
        <v>-48300</v>
      </c>
      <c r="AD39" s="192" t="n">
        <v>13839</v>
      </c>
      <c r="AE39" s="192" t="n">
        <v>-14902</v>
      </c>
      <c r="AF39" s="192" t="n">
        <v>19479</v>
      </c>
      <c r="AG39" s="192" t="n">
        <v>-9413</v>
      </c>
      <c r="AH39" s="192" t="n">
        <v>-4091</v>
      </c>
      <c r="AI39" s="192" t="n">
        <v>-5582</v>
      </c>
      <c r="AJ39" s="192" t="n">
        <v>25825</v>
      </c>
      <c r="AK39" s="192" t="n">
        <v>4860</v>
      </c>
      <c r="AL39" s="192" t="n">
        <v>36646</v>
      </c>
      <c r="AM39" s="192" t="n">
        <v>-19982</v>
      </c>
      <c r="AN39" s="192" t="n">
        <v>-28740</v>
      </c>
      <c r="AO39" s="192" t="n">
        <v>-637</v>
      </c>
      <c r="AP39" s="192" t="n">
        <v>-18864</v>
      </c>
      <c r="AQ39" s="192" t="n">
        <v>0</v>
      </c>
      <c r="AR39" s="192" t="n">
        <v>15286</v>
      </c>
      <c r="AS39" s="192" t="n">
        <v>-13959</v>
      </c>
      <c r="AT39" s="192" t="n">
        <v>2468</v>
      </c>
      <c r="AU39" s="192" t="n">
        <v>-3697</v>
      </c>
      <c r="AV39" s="192" t="n">
        <v>6272</v>
      </c>
      <c r="AW39" s="192" t="n">
        <v>36252</v>
      </c>
      <c r="AX39" s="192" t="n">
        <v>40848</v>
      </c>
      <c r="AY39" s="192" t="n">
        <v>27415</v>
      </c>
      <c r="AZ39" s="192" t="n">
        <v>-92172</v>
      </c>
      <c r="BA39" s="192" t="n">
        <v>-15975</v>
      </c>
      <c r="BB39" s="192" t="n">
        <v>4974</v>
      </c>
      <c r="BC39" s="192" t="n">
        <v>-6784</v>
      </c>
      <c r="BD39" s="192" t="n">
        <v>5136</v>
      </c>
      <c r="BE39" s="192" t="n">
        <v>-1791</v>
      </c>
      <c r="BF39" s="192" t="n">
        <v>5923</v>
      </c>
      <c r="BG39" s="192" t="n">
        <v>-7174</v>
      </c>
      <c r="BH39" s="192" t="n">
        <v>2236</v>
      </c>
      <c r="BI39" s="192" t="n">
        <v>1962</v>
      </c>
      <c r="BJ39" s="192" t="n">
        <v>2506</v>
      </c>
      <c r="BK39" s="192" t="n">
        <v>-2834</v>
      </c>
      <c r="BL39" s="192" t="n">
        <v>7633</v>
      </c>
      <c r="BM39" s="192" t="n">
        <v>-4965</v>
      </c>
      <c r="BN39" s="192" t="n">
        <v>8989</v>
      </c>
      <c r="BO39" s="192" t="n">
        <v>-7843</v>
      </c>
      <c r="BP39" s="192" t="n">
        <v>3067</v>
      </c>
      <c r="BQ39" s="192" t="n">
        <v>3257</v>
      </c>
      <c r="BR39" s="192" t="n">
        <v>544</v>
      </c>
      <c r="BS39" s="192" t="n"/>
      <c r="BT39" s="192" t="n"/>
      <c r="BU39" s="192" t="n"/>
      <c r="BV39" s="192" t="n"/>
      <c r="BW39" s="192" t="n"/>
      <c r="BX39" s="192" t="n"/>
      <c r="BY39" s="192" t="n"/>
      <c r="BZ39" s="192" t="n"/>
      <c r="CA39" s="192" t="n"/>
      <c r="CB39" s="192" t="n"/>
      <c r="CC39" s="192" t="n"/>
      <c r="CD39" s="192" t="n"/>
      <c r="CE39" s="192" t="n"/>
      <c r="CF39" s="192" t="n"/>
      <c r="CG39" s="192" t="n"/>
      <c r="CH39" s="192" t="n"/>
      <c r="CI39" s="192" t="n"/>
      <c r="CJ39" s="192" t="n"/>
      <c r="CK39" s="192" t="n"/>
      <c r="CL39" s="192" t="n"/>
      <c r="CM39" s="192" t="n"/>
      <c r="CN39" s="192" t="n"/>
      <c r="CO39" s="192" t="n"/>
      <c r="CP39" s="192" t="n"/>
      <c r="CQ39" s="192" t="n"/>
      <c r="CR39" s="192" t="n"/>
      <c r="CS39" s="192" t="n"/>
      <c r="CT39" s="192" t="n"/>
      <c r="CU39" s="192" t="n"/>
      <c r="CV39" s="192" t="n"/>
      <c r="CW39" s="192" t="n"/>
      <c r="CX39" s="192" t="n"/>
      <c r="CY39" s="192" t="n"/>
      <c r="CZ39" s="192" t="n"/>
      <c r="DA39" s="192" t="n"/>
      <c r="DB39" s="192" t="n"/>
      <c r="DC39" s="192" t="n"/>
      <c r="DD39" s="192" t="n"/>
      <c r="DE39" s="192" t="n"/>
      <c r="DF39" s="192" t="n"/>
      <c r="DG39" s="192" t="n"/>
      <c r="DH39" s="192" t="n"/>
      <c r="DI39" s="192" t="n"/>
      <c r="DJ39" s="192" t="n"/>
      <c r="DK39" s="192" t="n"/>
      <c r="DL39" s="192" t="n"/>
      <c r="DM39" s="192" t="n"/>
      <c r="DN39" s="192" t="n"/>
      <c r="DO39" s="192" t="n"/>
      <c r="DP39" s="192" t="n"/>
      <c r="DQ39" s="192" t="n"/>
      <c r="DR39" s="192" t="n"/>
      <c r="DS39" s="192" t="n"/>
      <c r="DT39" s="192" t="n"/>
      <c r="DU39" s="192" t="n"/>
      <c r="DV39" s="192" t="n"/>
      <c r="DW39" s="192" t="n"/>
      <c r="DX39" s="192" t="n"/>
      <c r="DY39" s="192" t="n"/>
      <c r="DZ39" s="192" t="n"/>
      <c r="EA39" s="192" t="n"/>
      <c r="EB39" s="192" t="n"/>
      <c r="EC39" s="192" t="n"/>
      <c r="ED39" s="192" t="n"/>
      <c r="EE39" s="192" t="n"/>
      <c r="EF39" s="192" t="n"/>
      <c r="EG39" s="192" t="n"/>
      <c r="EH39" s="192" t="n"/>
      <c r="EI39" s="192" t="n"/>
      <c r="EJ39" s="192" t="n"/>
      <c r="EK39" s="192" t="n"/>
      <c r="EL39" s="182" t="n"/>
      <c r="EM39" s="176" t="n"/>
      <c r="EN39" s="176" t="n"/>
      <c r="EO39" s="176" t="n"/>
      <c r="EP39" s="176" t="n"/>
      <c r="EQ39" s="176" t="n"/>
      <c r="ER39" s="176" t="n"/>
      <c r="ES39" s="176" t="n"/>
      <c r="ET39" s="176" t="n"/>
      <c r="EU39" s="176" t="n"/>
      <c r="EV39" s="176" t="n"/>
      <c r="EW39" s="176" t="n"/>
      <c r="EX39" s="176" t="n"/>
      <c r="EY39" s="176" t="n"/>
      <c r="EZ39" s="176" t="n"/>
      <c r="FA39" s="176" t="n"/>
      <c r="FB39" s="176" t="n"/>
      <c r="FC39" s="176" t="n"/>
      <c r="FD39" s="176" t="n"/>
      <c r="FE39" s="176" t="n"/>
      <c r="FF39" s="176" t="n"/>
      <c r="FG39" s="176" t="n"/>
      <c r="FH39" s="176" t="n"/>
      <c r="FI39" s="176" t="n"/>
      <c r="FJ39" s="176" t="n"/>
    </row>
    <row r="40" ht="15" customHeight="1" s="392">
      <c r="A40" s="176" t="n"/>
      <c r="B40" s="180" t="n"/>
      <c r="C40" s="183" t="inlineStr">
        <is>
          <t xml:space="preserve">                    Change in Other Receivables</t>
        </is>
      </c>
      <c r="D40" s="190">
        <f>IF(COUNT(M40:EK40)&gt;0,MEDIAN(M40:EK40),"")</f>
        <v/>
      </c>
      <c r="E40" s="190">
        <f>IF(COUNT(M40:EK40)&gt;0,AVERAGE(M40:EK40),"")</f>
        <v/>
      </c>
      <c r="F40" s="190">
        <f>IF(COUNT(M40:EK40)&gt;0,MIN(M40:EK40),"")</f>
        <v/>
      </c>
      <c r="G40" s="190">
        <f>IF(COUNT(M40:EK40)&gt;0,MAX(M40:EK40),"")</f>
        <v/>
      </c>
      <c r="H40" s="190">
        <f>IF(COUNT(M40:EK40)&gt;0,QUARTILE(M40:EK40,1),"")</f>
        <v/>
      </c>
      <c r="I40" s="190">
        <f>IF(COUNT(M40:EK40)&gt;0,QUARTILE(M40:EK40,3),"")</f>
        <v/>
      </c>
      <c r="J40" s="190">
        <f>IF(COUNT(M40:EK40)&gt;1,STDEV(M40:EK40),"")</f>
        <v/>
      </c>
      <c r="K40" s="191">
        <f>IF(COUNT(M40:EK40)&gt;1,STDEV(M40:EK40)/AVERAGE(M40:EK40),"")</f>
        <v/>
      </c>
      <c r="M40" s="192" t="n"/>
      <c r="N40" s="192" t="n"/>
      <c r="O40" s="192" t="n"/>
      <c r="P40" s="192" t="n"/>
      <c r="Q40" s="192" t="n"/>
      <c r="R40" s="192" t="n"/>
      <c r="S40" s="192" t="n"/>
      <c r="T40" s="192" t="n"/>
      <c r="U40" s="192" t="n"/>
      <c r="V40" s="192" t="n"/>
      <c r="W40" s="192" t="n"/>
      <c r="X40" s="192" t="n"/>
      <c r="Y40" s="192" t="n"/>
      <c r="Z40" s="192" t="n"/>
      <c r="AA40" s="192" t="n"/>
      <c r="AB40" s="192" t="n"/>
      <c r="AC40" s="192" t="n"/>
      <c r="AD40" s="192" t="n"/>
      <c r="AE40" s="192" t="n"/>
      <c r="AF40" s="192" t="n"/>
      <c r="AG40" s="192" t="n"/>
      <c r="AH40" s="192" t="n"/>
      <c r="AI40" s="192" t="n"/>
      <c r="AJ40" s="192" t="n"/>
      <c r="AK40" s="192" t="n"/>
      <c r="AL40" s="192" t="n"/>
      <c r="AM40" s="192" t="n"/>
      <c r="AN40" s="192" t="n"/>
      <c r="AO40" s="192" t="n"/>
      <c r="AP40" s="192" t="n"/>
      <c r="AQ40" s="192" t="n"/>
      <c r="AR40" s="192" t="n"/>
      <c r="AS40" s="192" t="n"/>
      <c r="AT40" s="192" t="n"/>
      <c r="AU40" s="192" t="n"/>
      <c r="AV40" s="192" t="n"/>
      <c r="AW40" s="192" t="n"/>
      <c r="AX40" s="192" t="n"/>
      <c r="AY40" s="192" t="n"/>
      <c r="AZ40" s="192" t="n"/>
      <c r="BA40" s="192" t="n"/>
      <c r="BB40" s="192" t="n"/>
      <c r="BC40" s="192" t="n"/>
      <c r="BD40" s="192" t="n"/>
      <c r="BE40" s="192" t="n"/>
      <c r="BF40" s="192" t="n"/>
      <c r="BG40" s="192" t="n"/>
      <c r="BH40" s="192" t="n"/>
      <c r="BI40" s="192" t="n"/>
      <c r="BJ40" s="192" t="n"/>
      <c r="BK40" s="192" t="n"/>
      <c r="BL40" s="192" t="n"/>
      <c r="BM40" s="192" t="n"/>
      <c r="BN40" s="192" t="n"/>
      <c r="BO40" s="192" t="n"/>
      <c r="BP40" s="192" t="n"/>
      <c r="BQ40" s="192" t="n"/>
      <c r="BR40" s="192" t="n"/>
      <c r="BS40" s="192" t="n"/>
      <c r="BT40" s="192" t="n">
        <v>4572</v>
      </c>
      <c r="BU40" s="192" t="n"/>
      <c r="BV40" s="192" t="n">
        <v>1571</v>
      </c>
      <c r="BW40" s="192" t="n">
        <v>-1156</v>
      </c>
      <c r="BX40" s="192" t="n">
        <v>8690</v>
      </c>
      <c r="BY40" s="192" t="n">
        <v>-2886</v>
      </c>
      <c r="BZ40" s="192" t="n">
        <v>5070</v>
      </c>
      <c r="CA40" s="192" t="n">
        <v>-6913</v>
      </c>
      <c r="CB40" s="192" t="n">
        <v>5590</v>
      </c>
      <c r="CC40" s="192" t="n">
        <v>2411</v>
      </c>
      <c r="CD40" s="192" t="n">
        <v>12093</v>
      </c>
      <c r="CE40" s="192" t="n"/>
      <c r="CF40" s="192" t="n"/>
      <c r="CG40" s="192" t="n"/>
      <c r="CH40" s="192" t="n"/>
      <c r="CI40" s="192" t="n"/>
      <c r="CJ40" s="192" t="n"/>
      <c r="CK40" s="192" t="n"/>
      <c r="CL40" s="192" t="n"/>
      <c r="CM40" s="192" t="n"/>
      <c r="CN40" s="192" t="n"/>
      <c r="CO40" s="192" t="n"/>
      <c r="CP40" s="192" t="n"/>
      <c r="CQ40" s="192" t="n"/>
      <c r="CR40" s="192" t="n"/>
      <c r="CS40" s="192" t="n"/>
      <c r="CT40" s="192" t="n"/>
      <c r="CU40" s="192" t="n"/>
      <c r="CV40" s="192" t="n"/>
      <c r="CW40" s="192" t="n"/>
      <c r="CX40" s="192" t="n"/>
      <c r="CY40" s="192" t="n"/>
      <c r="CZ40" s="192" t="n"/>
      <c r="DA40" s="192" t="n"/>
      <c r="DB40" s="192" t="n"/>
      <c r="DC40" s="192" t="n"/>
      <c r="DD40" s="192" t="n"/>
      <c r="DE40" s="192" t="n"/>
      <c r="DF40" s="192" t="n"/>
      <c r="DG40" s="192" t="n"/>
      <c r="DH40" s="192" t="n"/>
      <c r="DI40" s="192" t="n"/>
      <c r="DJ40" s="192" t="n"/>
      <c r="DK40" s="192" t="n"/>
      <c r="DL40" s="192" t="n"/>
      <c r="DM40" s="192" t="n"/>
      <c r="DN40" s="192" t="n"/>
      <c r="DO40" s="192" t="n"/>
      <c r="DP40" s="192" t="n"/>
      <c r="DQ40" s="192" t="n"/>
      <c r="DR40" s="192" t="n"/>
      <c r="DS40" s="192" t="n"/>
      <c r="DT40" s="192" t="n"/>
      <c r="DU40" s="192" t="n"/>
      <c r="DV40" s="192" t="n"/>
      <c r="DW40" s="192" t="n"/>
      <c r="DX40" s="192" t="n"/>
      <c r="DY40" s="192" t="n"/>
      <c r="DZ40" s="192" t="n"/>
      <c r="EA40" s="192" t="n"/>
      <c r="EB40" s="192" t="n"/>
      <c r="EC40" s="192" t="n"/>
      <c r="ED40" s="192" t="n"/>
      <c r="EE40" s="192" t="n"/>
      <c r="EF40" s="192" t="n"/>
      <c r="EG40" s="192" t="n"/>
      <c r="EH40" s="192" t="n"/>
      <c r="EI40" s="192" t="n"/>
      <c r="EJ40" s="192" t="n"/>
      <c r="EK40" s="192" t="n"/>
      <c r="EL40" s="182" t="n"/>
      <c r="EM40" s="176" t="n"/>
      <c r="EN40" s="176" t="n"/>
      <c r="EO40" s="176" t="n"/>
      <c r="EP40" s="176" t="n"/>
      <c r="EQ40" s="176" t="n"/>
      <c r="ER40" s="176" t="n"/>
      <c r="ES40" s="176" t="n"/>
      <c r="ET40" s="176" t="n"/>
      <c r="EU40" s="176" t="n"/>
      <c r="EV40" s="176" t="n"/>
      <c r="EW40" s="176" t="n"/>
      <c r="EX40" s="176" t="n"/>
      <c r="EY40" s="176" t="n"/>
      <c r="EZ40" s="176" t="n"/>
      <c r="FA40" s="176" t="n"/>
      <c r="FB40" s="176" t="n"/>
      <c r="FC40" s="176" t="n"/>
      <c r="FD40" s="176" t="n"/>
      <c r="FE40" s="176" t="n"/>
      <c r="FF40" s="176" t="n"/>
      <c r="FG40" s="176" t="n"/>
      <c r="FH40" s="176" t="n"/>
      <c r="FI40" s="176" t="n"/>
      <c r="FJ40" s="176" t="n"/>
    </row>
    <row r="41" ht="15" customHeight="1" s="392">
      <c r="A41" s="176" t="n"/>
      <c r="B41" s="180" t="n"/>
      <c r="C41" s="187" t="inlineStr">
        <is>
          <t xml:space="preserve">                Total Change in Trade and Other Receivables</t>
        </is>
      </c>
      <c r="D41" s="193">
        <f>IF(COUNT(M41:EK41)&gt;0,MEDIAN(M41:EK41),"")</f>
        <v/>
      </c>
      <c r="E41" s="193">
        <f>IF(COUNT(M41:EK41)&gt;0,AVERAGE(M41:EK41),"")</f>
        <v/>
      </c>
      <c r="F41" s="193">
        <f>IF(COUNT(M41:EK41)&gt;0,MIN(M41:EK41),"")</f>
        <v/>
      </c>
      <c r="G41" s="193">
        <f>IF(COUNT(M41:EK41)&gt;0,MAX(M41:EK41),"")</f>
        <v/>
      </c>
      <c r="H41" s="193">
        <f>IF(COUNT(M41:EK41)&gt;0,QUARTILE(M41:EK41,1),"")</f>
        <v/>
      </c>
      <c r="I41" s="193">
        <f>IF(COUNT(M41:EK41)&gt;0,QUARTILE(M41:EK41,3),"")</f>
        <v/>
      </c>
      <c r="J41" s="193">
        <f>IF(COUNT(M41:EK41)&gt;1,STDEV(M41:EK41),"")</f>
        <v/>
      </c>
      <c r="K41" s="194">
        <f>IF(COUNT(M41:EK41)&gt;1,STDEV(M41:EK41)/AVERAGE(M41:EK41),"")</f>
        <v/>
      </c>
      <c r="L41" s="195" t="n"/>
      <c r="M41" s="196" t="n">
        <v>-72485</v>
      </c>
      <c r="N41" s="196" t="n">
        <v>67621</v>
      </c>
      <c r="O41" s="196" t="n">
        <v>-99874</v>
      </c>
      <c r="P41" s="196" t="n">
        <v>-25168</v>
      </c>
      <c r="Q41" s="196" t="n">
        <v>-32610</v>
      </c>
      <c r="R41" s="196" t="n">
        <v>179348</v>
      </c>
      <c r="S41" s="196" t="n">
        <v>-132171</v>
      </c>
      <c r="T41" s="196" t="n">
        <v>-49092</v>
      </c>
      <c r="U41" s="196" t="n">
        <v>30586</v>
      </c>
      <c r="V41" s="196" t="n">
        <v>10561</v>
      </c>
      <c r="W41" s="196" t="n">
        <v>-109020</v>
      </c>
      <c r="X41" s="196" t="n">
        <v>-70951</v>
      </c>
      <c r="Y41" s="196" t="n">
        <v>-24346</v>
      </c>
      <c r="Z41" s="196" t="n">
        <v>71461</v>
      </c>
      <c r="AA41" s="196" t="n">
        <v>-127887</v>
      </c>
      <c r="AB41" s="196" t="n">
        <v>-9242</v>
      </c>
      <c r="AC41" s="196" t="n">
        <v>-36414</v>
      </c>
      <c r="AD41" s="196" t="n">
        <v>56966</v>
      </c>
      <c r="AE41" s="196" t="n">
        <v>-84989</v>
      </c>
      <c r="AF41" s="196" t="n">
        <v>-63197</v>
      </c>
      <c r="AG41" s="196" t="n">
        <v>-55333</v>
      </c>
      <c r="AH41" s="196" t="n">
        <v>25464</v>
      </c>
      <c r="AI41" s="196" t="n">
        <v>-58870</v>
      </c>
      <c r="AJ41" s="196" t="n">
        <v>-32035</v>
      </c>
      <c r="AK41" s="196" t="n">
        <v>1751</v>
      </c>
      <c r="AL41" s="196" t="n">
        <v>134258</v>
      </c>
      <c r="AM41" s="196" t="n">
        <v>-73084</v>
      </c>
      <c r="AN41" s="196" t="n">
        <v>-54148</v>
      </c>
      <c r="AO41" s="196" t="n">
        <v>8475</v>
      </c>
      <c r="AP41" s="196" t="n">
        <v>-2659</v>
      </c>
      <c r="AQ41" s="196" t="n">
        <v>-56855</v>
      </c>
      <c r="AR41" s="196" t="n">
        <v>-13984</v>
      </c>
      <c r="AS41" s="196" t="n">
        <v>-10933</v>
      </c>
      <c r="AT41" s="196" t="n">
        <v>45254</v>
      </c>
      <c r="AU41" s="196" t="n">
        <v>-33940</v>
      </c>
      <c r="AV41" s="196" t="n">
        <v>-49632</v>
      </c>
      <c r="AW41" s="196" t="n">
        <v>33378</v>
      </c>
      <c r="AX41" s="196" t="n">
        <v>79969</v>
      </c>
      <c r="AY41" s="196" t="n">
        <v>-17902</v>
      </c>
      <c r="AZ41" s="196" t="n">
        <v>-121644</v>
      </c>
      <c r="BA41" s="196" t="n">
        <v>-20594</v>
      </c>
      <c r="BB41" s="196" t="n">
        <v>24063</v>
      </c>
      <c r="BC41" s="196" t="n">
        <v>-58557</v>
      </c>
      <c r="BD41" s="196" t="n">
        <v>-11774</v>
      </c>
      <c r="BE41" s="196" t="n">
        <v>-445</v>
      </c>
      <c r="BF41" s="196" t="n">
        <v>25068</v>
      </c>
      <c r="BG41" s="196" t="n">
        <v>-39078</v>
      </c>
      <c r="BH41" s="196" t="n">
        <v>-6768</v>
      </c>
      <c r="BI41" s="196" t="n">
        <v>-1747</v>
      </c>
      <c r="BJ41" s="196" t="n">
        <v>32273</v>
      </c>
      <c r="BK41" s="196" t="n">
        <v>-37056</v>
      </c>
      <c r="BL41" s="196" t="n">
        <v>2927</v>
      </c>
      <c r="BM41" s="196" t="n">
        <v>-11722</v>
      </c>
      <c r="BN41" s="196" t="n">
        <v>42890</v>
      </c>
      <c r="BO41" s="196" t="n">
        <v>-56562</v>
      </c>
      <c r="BP41" s="196" t="n">
        <v>-6529</v>
      </c>
      <c r="BQ41" s="196" t="n">
        <v>-6345</v>
      </c>
      <c r="BR41" s="196" t="n">
        <v>23691</v>
      </c>
      <c r="BS41" s="196" t="n">
        <v>-17696</v>
      </c>
      <c r="BT41" s="196" t="n">
        <v>-8572</v>
      </c>
      <c r="BU41" s="196" t="n">
        <v>-5069</v>
      </c>
      <c r="BV41" s="196" t="n">
        <v>22710</v>
      </c>
      <c r="BW41" s="196" t="n">
        <v>-21396</v>
      </c>
      <c r="BX41" s="196" t="n">
        <v>705</v>
      </c>
      <c r="BY41" s="196" t="n">
        <v>-9646</v>
      </c>
      <c r="BZ41" s="196" t="n">
        <v>24276</v>
      </c>
      <c r="CA41" s="196" t="n">
        <v>-16343</v>
      </c>
      <c r="CB41" s="196" t="n">
        <v>5010</v>
      </c>
      <c r="CC41" s="196" t="n">
        <v>1527</v>
      </c>
      <c r="CD41" s="196" t="n">
        <v>42860</v>
      </c>
      <c r="CE41" s="196" t="n">
        <v>-25812</v>
      </c>
      <c r="CF41" s="196" t="n">
        <v>428</v>
      </c>
      <c r="CG41" s="196" t="n">
        <v>13735</v>
      </c>
      <c r="CH41" s="196" t="n">
        <v>11476</v>
      </c>
      <c r="CI41" s="196" t="n">
        <v>-22556</v>
      </c>
      <c r="CJ41" s="196" t="n">
        <v>-2385</v>
      </c>
      <c r="CK41" s="196" t="n">
        <v>3720</v>
      </c>
      <c r="CL41" s="196" t="n">
        <v>5829</v>
      </c>
      <c r="CM41" s="196" t="n">
        <v>-13650</v>
      </c>
      <c r="CN41" s="196" t="n">
        <v>1685</v>
      </c>
      <c r="CO41" s="196" t="n">
        <v>10818</v>
      </c>
      <c r="CP41" s="196" t="n">
        <v>9966</v>
      </c>
      <c r="CQ41" s="196" t="n">
        <v>-30407</v>
      </c>
      <c r="CR41" s="196" t="n">
        <v>-3306</v>
      </c>
      <c r="CS41" s="196" t="n">
        <v>3763</v>
      </c>
      <c r="CT41" s="196" t="n">
        <v>6554</v>
      </c>
      <c r="CU41" s="196" t="n">
        <v>-10785</v>
      </c>
      <c r="CV41" s="196" t="n">
        <v>-8296</v>
      </c>
      <c r="CW41" s="196" t="n">
        <v>2191</v>
      </c>
      <c r="CX41" s="196" t="n">
        <v>10525</v>
      </c>
      <c r="CY41" s="196" t="n">
        <v>-16027.4</v>
      </c>
      <c r="CZ41" s="196" t="n">
        <v>-7230.6</v>
      </c>
      <c r="DA41" s="196" t="n">
        <v>-3716.6</v>
      </c>
      <c r="DB41" s="196" t="n">
        <v>15262.6</v>
      </c>
      <c r="DC41" s="196" t="n">
        <v>-16840.4</v>
      </c>
      <c r="DD41" s="196" t="n">
        <v>-2152.6</v>
      </c>
      <c r="DE41" s="196" t="n">
        <v>-83.90000000000001</v>
      </c>
      <c r="DF41" s="196" t="n">
        <v>12947.1</v>
      </c>
      <c r="DG41" s="196" t="n">
        <v>-9575.1</v>
      </c>
      <c r="DH41" s="196" t="n">
        <v>-2112.2</v>
      </c>
      <c r="DI41" s="196" t="n">
        <v>-2284.3</v>
      </c>
      <c r="DJ41" s="196" t="n">
        <v>6295.5</v>
      </c>
      <c r="DK41" s="196" t="n">
        <v>-12614.9</v>
      </c>
      <c r="DL41" s="196" t="n">
        <v>-3111.8</v>
      </c>
      <c r="DM41" s="196" t="n">
        <v>-3468.8</v>
      </c>
      <c r="DN41" s="196" t="n">
        <v>2441.9</v>
      </c>
      <c r="DO41" s="196" t="n">
        <v>-8600</v>
      </c>
      <c r="DP41" s="196" t="n">
        <v>-4300</v>
      </c>
      <c r="DQ41" s="196" t="n">
        <v>-1200</v>
      </c>
      <c r="DR41" s="196" t="n">
        <v>4500</v>
      </c>
      <c r="DS41" s="196" t="n">
        <v>-6400</v>
      </c>
      <c r="DT41" s="196" t="n">
        <v>-1500</v>
      </c>
      <c r="DU41" s="196" t="n">
        <v>-800</v>
      </c>
      <c r="DV41" s="196" t="n">
        <v>4700</v>
      </c>
      <c r="DW41" s="196" t="n">
        <v>-3500</v>
      </c>
      <c r="DX41" s="196" t="n">
        <v>-700</v>
      </c>
      <c r="DY41" s="196" t="n">
        <v>4500</v>
      </c>
      <c r="DZ41" s="196" t="n">
        <v>1600</v>
      </c>
      <c r="EA41" s="196" t="n">
        <v>-6100</v>
      </c>
      <c r="EB41" s="196" t="n">
        <v>-800</v>
      </c>
      <c r="EC41" s="196" t="n">
        <v>-900</v>
      </c>
      <c r="ED41" s="196" t="n">
        <v>1700</v>
      </c>
      <c r="EE41" s="196" t="n">
        <v>-4200</v>
      </c>
      <c r="EF41" s="196" t="n">
        <v>-2100</v>
      </c>
      <c r="EG41" s="196" t="n">
        <v>-1200</v>
      </c>
      <c r="EH41" s="196" t="n">
        <v>200</v>
      </c>
      <c r="EI41" s="196" t="n">
        <v>-2500</v>
      </c>
      <c r="EJ41" s="196" t="n">
        <v>-1400</v>
      </c>
      <c r="EK41" s="196" t="n">
        <v>-700</v>
      </c>
      <c r="EL41" s="182" t="n"/>
      <c r="EM41" s="176" t="n"/>
      <c r="EN41" s="176" t="n"/>
      <c r="EO41" s="176" t="n"/>
      <c r="EP41" s="176" t="n"/>
      <c r="EQ41" s="176" t="n"/>
      <c r="ER41" s="176" t="n"/>
      <c r="ES41" s="176" t="n"/>
      <c r="ET41" s="176" t="n"/>
      <c r="EU41" s="176" t="n"/>
      <c r="EV41" s="176" t="n"/>
      <c r="EW41" s="176" t="n"/>
      <c r="EX41" s="176" t="n"/>
      <c r="EY41" s="176" t="n"/>
      <c r="EZ41" s="176" t="n"/>
      <c r="FA41" s="176" t="n"/>
      <c r="FB41" s="176" t="n"/>
      <c r="FC41" s="176" t="n"/>
      <c r="FD41" s="176" t="n"/>
      <c r="FE41" s="176" t="n"/>
      <c r="FF41" s="176" t="n"/>
      <c r="FG41" s="176" t="n"/>
      <c r="FH41" s="176" t="n"/>
      <c r="FI41" s="176" t="n"/>
      <c r="FJ41" s="176" t="n"/>
    </row>
    <row r="42" ht="15" customHeight="1" s="392">
      <c r="A42" s="176" t="n"/>
      <c r="B42" s="180" t="n"/>
      <c r="C42" s="183" t="inlineStr">
        <is>
          <t xml:space="preserve">                Change in Prepayments and Deposits</t>
        </is>
      </c>
      <c r="D42" s="190">
        <f>IF(COUNT(M42:EK42)&gt;0,MEDIAN(M42:EK42),"")</f>
        <v/>
      </c>
      <c r="E42" s="190">
        <f>IF(COUNT(M42:EK42)&gt;0,AVERAGE(M42:EK42),"")</f>
        <v/>
      </c>
      <c r="F42" s="190">
        <f>IF(COUNT(M42:EK42)&gt;0,MIN(M42:EK42),"")</f>
        <v/>
      </c>
      <c r="G42" s="190">
        <f>IF(COUNT(M42:EK42)&gt;0,MAX(M42:EK42),"")</f>
        <v/>
      </c>
      <c r="H42" s="190">
        <f>IF(COUNT(M42:EK42)&gt;0,QUARTILE(M42:EK42,1),"")</f>
        <v/>
      </c>
      <c r="I42" s="190">
        <f>IF(COUNT(M42:EK42)&gt;0,QUARTILE(M42:EK42,3),"")</f>
        <v/>
      </c>
      <c r="J42" s="190">
        <f>IF(COUNT(M42:EK42)&gt;1,STDEV(M42:EK42),"")</f>
        <v/>
      </c>
      <c r="K42" s="191">
        <f>IF(COUNT(M42:EK42)&gt;1,STDEV(M42:EK42)/AVERAGE(M42:EK42),"")</f>
        <v/>
      </c>
      <c r="M42" s="192" t="n">
        <v>-36094</v>
      </c>
      <c r="N42" s="192" t="n">
        <v>-16381</v>
      </c>
      <c r="O42" s="192" t="n">
        <v>-3029</v>
      </c>
      <c r="P42" s="192" t="n">
        <v>7891</v>
      </c>
      <c r="Q42" s="192" t="n">
        <v>8683</v>
      </c>
      <c r="R42" s="192" t="n">
        <v>-5911</v>
      </c>
      <c r="S42" s="192" t="n">
        <v>-54050</v>
      </c>
      <c r="T42" s="192" t="n">
        <v>59026</v>
      </c>
      <c r="U42" s="192" t="n">
        <v>-31252</v>
      </c>
      <c r="V42" s="192" t="n">
        <v>-4775</v>
      </c>
      <c r="W42" s="192" t="n">
        <v>5503</v>
      </c>
      <c r="X42" s="192" t="n">
        <v>-40543</v>
      </c>
      <c r="Y42" s="192" t="n">
        <v>-26119</v>
      </c>
      <c r="Z42" s="192" t="n">
        <v>-4654</v>
      </c>
      <c r="AA42" s="192" t="n">
        <v>6127</v>
      </c>
      <c r="AB42" s="192" t="n">
        <v>-35303</v>
      </c>
      <c r="AC42" s="192" t="n">
        <v>32686</v>
      </c>
      <c r="AD42" s="192" t="n">
        <v>-17953</v>
      </c>
      <c r="AE42" s="192" t="n">
        <v>-22960</v>
      </c>
      <c r="AF42" s="192" t="n">
        <v>3071</v>
      </c>
      <c r="AG42" s="192" t="n">
        <v>146</v>
      </c>
      <c r="AH42" s="192" t="n">
        <v>1077</v>
      </c>
      <c r="AI42" s="192" t="n">
        <v>-9434</v>
      </c>
      <c r="AJ42" s="192" t="n">
        <v>15236</v>
      </c>
      <c r="AK42" s="192" t="n">
        <v>-6127</v>
      </c>
      <c r="AL42" s="192" t="n">
        <v>-916</v>
      </c>
      <c r="AM42" s="192" t="n">
        <v>3105</v>
      </c>
      <c r="AN42" s="192" t="n">
        <v>4079</v>
      </c>
      <c r="AO42" s="192" t="n">
        <v>-3660</v>
      </c>
      <c r="AP42" s="192" t="n">
        <v>-7880</v>
      </c>
      <c r="AQ42" s="192" t="n">
        <v>-1339</v>
      </c>
      <c r="AR42" s="192" t="n">
        <v>614</v>
      </c>
      <c r="AS42" s="192" t="n">
        <v>-335</v>
      </c>
      <c r="AT42" s="192" t="n">
        <v>1066</v>
      </c>
      <c r="AU42" s="192" t="n">
        <v>-1375</v>
      </c>
      <c r="AV42" s="192" t="n">
        <v>-62</v>
      </c>
      <c r="AW42" s="192" t="n">
        <v>320</v>
      </c>
      <c r="AX42" s="192" t="n">
        <v>546</v>
      </c>
      <c r="AY42" s="192" t="n">
        <v>-498</v>
      </c>
      <c r="AZ42" s="192" t="n">
        <v>1392</v>
      </c>
      <c r="BA42" s="192" t="n">
        <v>-1031</v>
      </c>
      <c r="BB42" s="192" t="n">
        <v>509</v>
      </c>
      <c r="BC42" s="192" t="n">
        <v>899</v>
      </c>
      <c r="BD42" s="192" t="n">
        <v>-1115</v>
      </c>
      <c r="BE42" s="192" t="n">
        <v>-1411</v>
      </c>
      <c r="BF42" s="192" t="n">
        <v>-267</v>
      </c>
      <c r="BG42" s="192" t="n">
        <v>1114</v>
      </c>
      <c r="BH42" s="192" t="n">
        <v>633</v>
      </c>
      <c r="BI42" s="192" t="n">
        <v>-961</v>
      </c>
      <c r="BJ42" s="192" t="n">
        <v>727</v>
      </c>
      <c r="BK42" s="192" t="n">
        <v>-567</v>
      </c>
      <c r="BL42" s="192" t="n">
        <v>-3699</v>
      </c>
      <c r="BM42" s="192" t="n">
        <v>-3094</v>
      </c>
      <c r="BN42" s="192" t="n">
        <v>652</v>
      </c>
      <c r="BO42" s="192" t="n">
        <v>-2894</v>
      </c>
      <c r="BP42" s="192" t="n">
        <v>-635</v>
      </c>
      <c r="BQ42" s="192" t="n">
        <v>-1408</v>
      </c>
      <c r="BR42" s="192" t="n">
        <v>1501</v>
      </c>
      <c r="BS42" s="192" t="n">
        <v>2434</v>
      </c>
      <c r="BT42" s="192" t="n">
        <v>3499</v>
      </c>
      <c r="BU42" s="192" t="n">
        <v>4621</v>
      </c>
      <c r="BV42" s="192" t="n">
        <v>5321</v>
      </c>
      <c r="BW42" s="192" t="n">
        <v>-7976</v>
      </c>
      <c r="BX42" s="192" t="n">
        <v>2819</v>
      </c>
      <c r="BY42" s="192" t="n">
        <v>2655</v>
      </c>
      <c r="BZ42" s="192" t="n">
        <v>-7697</v>
      </c>
      <c r="CA42" s="192" t="n">
        <v>-2841</v>
      </c>
      <c r="CB42" s="192" t="n">
        <v>-1013</v>
      </c>
      <c r="CC42" s="192" t="n">
        <v>376</v>
      </c>
      <c r="CD42" s="192" t="n">
        <v>264</v>
      </c>
      <c r="CE42" s="192" t="n">
        <v>1756</v>
      </c>
      <c r="CF42" s="192" t="n">
        <v>-1020</v>
      </c>
      <c r="CG42" s="192" t="n">
        <v>44</v>
      </c>
      <c r="CH42" s="192" t="n">
        <v>290</v>
      </c>
      <c r="CI42" s="192" t="n">
        <v>-1764</v>
      </c>
      <c r="CJ42" s="192" t="n">
        <v>439</v>
      </c>
      <c r="CK42" s="192" t="n">
        <v>862</v>
      </c>
      <c r="CL42" s="192" t="n">
        <v>-405</v>
      </c>
      <c r="CM42" s="192" t="n">
        <v>741</v>
      </c>
      <c r="CN42" s="192" t="n">
        <v>190</v>
      </c>
      <c r="CO42" s="192" t="n">
        <v>-610</v>
      </c>
      <c r="CP42" s="192" t="n">
        <v>779</v>
      </c>
      <c r="CQ42" s="192" t="n">
        <v>1329</v>
      </c>
      <c r="CR42" s="192" t="n">
        <v>-35</v>
      </c>
      <c r="CS42" s="192" t="n">
        <v>404</v>
      </c>
      <c r="CT42" s="192" t="n">
        <v>-1964</v>
      </c>
      <c r="CU42" s="192" t="n">
        <v>585</v>
      </c>
      <c r="CV42" s="192" t="n">
        <v>-408</v>
      </c>
      <c r="CW42" s="192" t="n">
        <v>1437</v>
      </c>
      <c r="CX42" s="192" t="n">
        <v>-446</v>
      </c>
      <c r="CY42" s="192" t="n">
        <v>-172.3</v>
      </c>
      <c r="CZ42" s="192" t="n">
        <v>-424.7</v>
      </c>
      <c r="DA42" s="192" t="n">
        <v>1912.6</v>
      </c>
      <c r="DB42" s="192" t="n">
        <v>867.9</v>
      </c>
      <c r="DC42" s="192" t="n">
        <v>1010.4</v>
      </c>
      <c r="DD42" s="192" t="n">
        <v>-4016.9</v>
      </c>
      <c r="DE42" s="192" t="n">
        <v>1671.5</v>
      </c>
      <c r="DF42" s="192" t="n">
        <v>-299.2</v>
      </c>
      <c r="DG42" s="192" t="n">
        <v>1480.9</v>
      </c>
      <c r="DH42" s="192" t="n">
        <v>-4193</v>
      </c>
      <c r="DI42" s="192" t="n">
        <v>1611</v>
      </c>
      <c r="DJ42" s="192" t="n">
        <v>2007.3</v>
      </c>
      <c r="DK42" s="192" t="n">
        <v>-1358.7</v>
      </c>
      <c r="DL42" s="192" t="n">
        <v>-3682.5</v>
      </c>
      <c r="DM42" s="192" t="n"/>
      <c r="DN42" s="192" t="n"/>
      <c r="DO42" s="192" t="n"/>
      <c r="DP42" s="192" t="n"/>
      <c r="DQ42" s="192" t="n"/>
      <c r="DR42" s="192" t="n"/>
      <c r="DS42" s="192" t="n"/>
      <c r="DT42" s="192" t="n"/>
      <c r="DU42" s="192" t="n"/>
      <c r="DV42" s="192" t="n"/>
      <c r="DW42" s="192" t="n"/>
      <c r="DX42" s="192" t="n"/>
      <c r="DY42" s="192" t="n"/>
      <c r="DZ42" s="192" t="n"/>
      <c r="EA42" s="192" t="n"/>
      <c r="EB42" s="192" t="n"/>
      <c r="EC42" s="192" t="n"/>
      <c r="ED42" s="192" t="n"/>
      <c r="EE42" s="192" t="n"/>
      <c r="EF42" s="192" t="n"/>
      <c r="EG42" s="192" t="n"/>
      <c r="EH42" s="192" t="n"/>
      <c r="EI42" s="192" t="n"/>
      <c r="EJ42" s="192" t="n"/>
      <c r="EK42" s="192" t="n"/>
      <c r="EL42" s="182" t="n"/>
      <c r="EM42" s="176" t="n"/>
      <c r="EN42" s="176" t="n"/>
      <c r="EO42" s="176" t="n"/>
      <c r="EP42" s="176" t="n"/>
      <c r="EQ42" s="176" t="n"/>
      <c r="ER42" s="176" t="n"/>
      <c r="ES42" s="176" t="n"/>
      <c r="ET42" s="176" t="n"/>
      <c r="EU42" s="176" t="n"/>
      <c r="EV42" s="176" t="n"/>
      <c r="EW42" s="176" t="n"/>
      <c r="EX42" s="176" t="n"/>
      <c r="EY42" s="176" t="n"/>
      <c r="EZ42" s="176" t="n"/>
      <c r="FA42" s="176" t="n"/>
      <c r="FB42" s="176" t="n"/>
      <c r="FC42" s="176" t="n"/>
      <c r="FD42" s="176" t="n"/>
      <c r="FE42" s="176" t="n"/>
      <c r="FF42" s="176" t="n"/>
      <c r="FG42" s="176" t="n"/>
      <c r="FH42" s="176" t="n"/>
      <c r="FI42" s="176" t="n"/>
      <c r="FJ42" s="176" t="n"/>
    </row>
    <row r="43" ht="15" customHeight="1" s="392">
      <c r="A43" s="176" t="n"/>
      <c r="B43" s="180" t="n"/>
      <c r="C43" s="183" t="inlineStr">
        <is>
          <t xml:space="preserve">                Change in Other Current Assets</t>
        </is>
      </c>
      <c r="D43" s="190">
        <f>IF(COUNT(M43:EK43)&gt;0,MEDIAN(M43:EK43),"")</f>
        <v/>
      </c>
      <c r="E43" s="190">
        <f>IF(COUNT(M43:EK43)&gt;0,AVERAGE(M43:EK43),"")</f>
        <v/>
      </c>
      <c r="F43" s="190">
        <f>IF(COUNT(M43:EK43)&gt;0,MIN(M43:EK43),"")</f>
        <v/>
      </c>
      <c r="G43" s="190">
        <f>IF(COUNT(M43:EK43)&gt;0,MAX(M43:EK43),"")</f>
        <v/>
      </c>
      <c r="H43" s="190">
        <f>IF(COUNT(M43:EK43)&gt;0,QUARTILE(M43:EK43,1),"")</f>
        <v/>
      </c>
      <c r="I43" s="190">
        <f>IF(COUNT(M43:EK43)&gt;0,QUARTILE(M43:EK43,3),"")</f>
        <v/>
      </c>
      <c r="J43" s="190">
        <f>IF(COUNT(M43:EK43)&gt;1,STDEV(M43:EK43),"")</f>
        <v/>
      </c>
      <c r="K43" s="191">
        <f>IF(COUNT(M43:EK43)&gt;1,STDEV(M43:EK43)/AVERAGE(M43:EK43),"")</f>
        <v/>
      </c>
      <c r="M43" s="192" t="n">
        <v>-5176</v>
      </c>
      <c r="N43" s="192" t="n">
        <v>11904</v>
      </c>
      <c r="O43" s="192" t="n">
        <v>-11131</v>
      </c>
      <c r="P43" s="192" t="n">
        <v>-1955</v>
      </c>
      <c r="Q43" s="192" t="n">
        <v>1761</v>
      </c>
      <c r="R43" s="192" t="n">
        <v>25619</v>
      </c>
      <c r="S43" s="192" t="n">
        <v>4543</v>
      </c>
      <c r="T43" s="192" t="n">
        <v>-15218</v>
      </c>
      <c r="U43" s="192" t="n">
        <v>-7758</v>
      </c>
      <c r="V43" s="192" t="n">
        <v>12603</v>
      </c>
      <c r="W43" s="192" t="n">
        <v>-10010</v>
      </c>
      <c r="X43" s="192" t="n">
        <v>-4377</v>
      </c>
      <c r="Y43" s="192" t="n">
        <v>-3689</v>
      </c>
      <c r="Z43" s="192" t="n">
        <v>13968</v>
      </c>
      <c r="AA43" s="192" t="n">
        <v>-16625</v>
      </c>
      <c r="AB43" s="192" t="n">
        <v>-4643</v>
      </c>
      <c r="AC43" s="192" t="n">
        <v>1687</v>
      </c>
      <c r="AD43" s="192" t="n">
        <v>9594</v>
      </c>
      <c r="AE43" s="192" t="n">
        <v>-7926</v>
      </c>
      <c r="AF43" s="192" t="n">
        <v>-21697</v>
      </c>
      <c r="AG43" s="192" t="n">
        <v>-7699</v>
      </c>
      <c r="AH43" s="192" t="n">
        <v>6322</v>
      </c>
      <c r="AI43" s="192" t="n">
        <v>-8499</v>
      </c>
      <c r="AJ43" s="192" t="n">
        <v>-10600</v>
      </c>
      <c r="AK43" s="192" t="n">
        <v>1929</v>
      </c>
      <c r="AL43" s="192" t="n">
        <v>14582</v>
      </c>
      <c r="AM43" s="192" t="n">
        <v>-4563</v>
      </c>
      <c r="AN43" s="192" t="n">
        <v>-9358</v>
      </c>
      <c r="AO43" s="192" t="n">
        <v>-1392</v>
      </c>
      <c r="AP43" s="192" t="n">
        <v>5192</v>
      </c>
      <c r="AQ43" s="192" t="n">
        <v>-9905</v>
      </c>
      <c r="AR43" s="192" t="n">
        <v>-10313</v>
      </c>
      <c r="AS43" s="192" t="n">
        <v>-1763</v>
      </c>
      <c r="AT43" s="192" t="n">
        <v>4958</v>
      </c>
      <c r="AU43" s="192" t="n">
        <v>20</v>
      </c>
      <c r="AV43" s="192" t="n">
        <v>-6568</v>
      </c>
      <c r="AW43" s="192" t="n">
        <v>1374</v>
      </c>
      <c r="AX43" s="192" t="n">
        <v>2688</v>
      </c>
      <c r="AY43" s="192" t="n">
        <v>-3042</v>
      </c>
      <c r="AZ43" s="192" t="n">
        <v>-2935</v>
      </c>
      <c r="BA43" s="192" t="n">
        <v>864</v>
      </c>
      <c r="BB43" s="192" t="n">
        <v>138</v>
      </c>
      <c r="BC43" s="192" t="n">
        <v>-3398</v>
      </c>
      <c r="BD43" s="192" t="n">
        <v>-1741</v>
      </c>
      <c r="BE43" s="192" t="n">
        <v>-266</v>
      </c>
      <c r="BF43" s="192" t="n">
        <v>1500</v>
      </c>
      <c r="BG43" s="192" t="n">
        <v>-2950</v>
      </c>
      <c r="BH43" s="192" t="n">
        <v>825</v>
      </c>
      <c r="BI43" s="192" t="n">
        <v>-2004</v>
      </c>
      <c r="BJ43" s="192" t="n">
        <v>1425</v>
      </c>
      <c r="BK43" s="192" t="n">
        <v>-2341</v>
      </c>
      <c r="BL43" s="192" t="n">
        <v>-693</v>
      </c>
      <c r="BM43" s="192" t="n">
        <v>-1429</v>
      </c>
      <c r="BN43" s="192" t="n">
        <v>2128</v>
      </c>
      <c r="BO43" s="192" t="n">
        <v>-4296</v>
      </c>
      <c r="BP43" s="192" t="n">
        <v>-29</v>
      </c>
      <c r="BQ43" s="192" t="n">
        <v>-148</v>
      </c>
      <c r="BR43" s="192" t="n">
        <v>1022</v>
      </c>
      <c r="BS43" s="192" t="n">
        <v>192</v>
      </c>
      <c r="BT43" s="192" t="n">
        <v>76</v>
      </c>
      <c r="BU43" s="192" t="n">
        <v>-733</v>
      </c>
      <c r="BV43" s="192" t="n"/>
      <c r="BW43" s="192" t="n"/>
      <c r="BX43" s="192" t="n">
        <v>9277</v>
      </c>
      <c r="BY43" s="192" t="n">
        <v>-3012</v>
      </c>
      <c r="BZ43" s="192" t="n">
        <v>3867</v>
      </c>
      <c r="CA43" s="192" t="n">
        <v>-2926</v>
      </c>
      <c r="CB43" s="192" t="n">
        <v>861</v>
      </c>
      <c r="CC43" s="192" t="n"/>
      <c r="CD43" s="192" t="n"/>
      <c r="CE43" s="192" t="n"/>
      <c r="CF43" s="192" t="n"/>
      <c r="CG43" s="192" t="n"/>
      <c r="CH43" s="192" t="n">
        <v>4120</v>
      </c>
      <c r="CI43" s="192" t="n">
        <v>-5331</v>
      </c>
      <c r="CJ43" s="192" t="n">
        <v>-889</v>
      </c>
      <c r="CK43" s="192" t="n">
        <v>-1042</v>
      </c>
      <c r="CL43" s="192" t="n">
        <v>3294</v>
      </c>
      <c r="CM43" s="192" t="n">
        <v>-2775</v>
      </c>
      <c r="CN43" s="192" t="n">
        <v>752</v>
      </c>
      <c r="CO43" s="192" t="n">
        <v>3523</v>
      </c>
      <c r="CP43" s="192" t="n">
        <v>6899</v>
      </c>
      <c r="CQ43" s="192" t="n">
        <v>-8842</v>
      </c>
      <c r="CR43" s="192" t="n">
        <v>-3839</v>
      </c>
      <c r="CS43" s="192" t="n">
        <v>-477</v>
      </c>
      <c r="CT43" s="192" t="n">
        <v>4343</v>
      </c>
      <c r="CU43" s="192" t="n">
        <v>-2167</v>
      </c>
      <c r="CV43" s="192" t="n">
        <v>-2944</v>
      </c>
      <c r="CW43" s="192" t="n">
        <v>669</v>
      </c>
      <c r="CX43" s="192" t="n">
        <v>3060</v>
      </c>
      <c r="CY43" s="192" t="n">
        <v>-2417.8</v>
      </c>
      <c r="CZ43" s="192" t="n">
        <v>-1709.2</v>
      </c>
      <c r="DA43" s="192" t="n">
        <v>-2451.8</v>
      </c>
      <c r="DB43" s="192" t="n">
        <v>2109.7</v>
      </c>
      <c r="DC43" s="192" t="n">
        <v>-3179.5</v>
      </c>
      <c r="DD43" s="192" t="n">
        <v>-725.4</v>
      </c>
      <c r="DE43" s="192" t="n">
        <v>391.2</v>
      </c>
      <c r="DF43" s="192" t="n">
        <v>3899.5</v>
      </c>
      <c r="DG43" s="192" t="n">
        <v>-3121</v>
      </c>
      <c r="DH43" s="192" t="n">
        <v>-340.8</v>
      </c>
      <c r="DI43" s="192" t="n">
        <v>-2453.6</v>
      </c>
      <c r="DJ43" s="192" t="n">
        <v>2602</v>
      </c>
      <c r="DK43" s="192" t="n">
        <v>-3511.1</v>
      </c>
      <c r="DL43" s="192" t="n">
        <v>-770.8</v>
      </c>
      <c r="DM43" s="192" t="n">
        <v>-2733.4</v>
      </c>
      <c r="DN43" s="192" t="n">
        <v>805.6</v>
      </c>
      <c r="DO43" s="192" t="n">
        <v>-3400</v>
      </c>
      <c r="DP43" s="192" t="n">
        <v>-2000</v>
      </c>
      <c r="DQ43" s="192" t="n">
        <v>300</v>
      </c>
      <c r="DR43" s="192" t="n">
        <v>1100</v>
      </c>
      <c r="DS43" s="192" t="n">
        <v>-1800</v>
      </c>
      <c r="DT43" s="192" t="n">
        <v>-500</v>
      </c>
      <c r="DU43" s="192" t="n">
        <v>1700</v>
      </c>
      <c r="DV43" s="192" t="n">
        <v>200</v>
      </c>
      <c r="DW43" s="192" t="n">
        <v>-1900</v>
      </c>
      <c r="DX43" s="192" t="n">
        <v>300</v>
      </c>
      <c r="DY43" s="192" t="n">
        <v>-100</v>
      </c>
      <c r="DZ43" s="192" t="n">
        <v>1400</v>
      </c>
      <c r="EA43" s="192" t="n">
        <v>-600</v>
      </c>
      <c r="EB43" s="192" t="n">
        <v>-1300</v>
      </c>
      <c r="EC43" s="192" t="n">
        <v>1300</v>
      </c>
      <c r="ED43" s="192" t="n">
        <v>-200</v>
      </c>
      <c r="EE43" s="192" t="n">
        <v>-2100</v>
      </c>
      <c r="EF43" s="192" t="n">
        <v>-700</v>
      </c>
      <c r="EG43" s="192" t="n">
        <v>200</v>
      </c>
      <c r="EH43" s="192" t="n">
        <v>-400</v>
      </c>
      <c r="EI43" s="192" t="n">
        <v>-600</v>
      </c>
      <c r="EJ43" s="192" t="n">
        <v>-200</v>
      </c>
      <c r="EK43" s="192" t="n">
        <v>-400</v>
      </c>
      <c r="EL43" s="182" t="n"/>
      <c r="EM43" s="176" t="n"/>
      <c r="EN43" s="176" t="n"/>
      <c r="EO43" s="176" t="n"/>
      <c r="EP43" s="176" t="n"/>
      <c r="EQ43" s="176" t="n"/>
      <c r="ER43" s="176" t="n"/>
      <c r="ES43" s="176" t="n"/>
      <c r="ET43" s="176" t="n"/>
      <c r="EU43" s="176" t="n"/>
      <c r="EV43" s="176" t="n"/>
      <c r="EW43" s="176" t="n"/>
      <c r="EX43" s="176" t="n"/>
      <c r="EY43" s="176" t="n"/>
      <c r="EZ43" s="176" t="n"/>
      <c r="FA43" s="176" t="n"/>
      <c r="FB43" s="176" t="n"/>
      <c r="FC43" s="176" t="n"/>
      <c r="FD43" s="176" t="n"/>
      <c r="FE43" s="176" t="n"/>
      <c r="FF43" s="176" t="n"/>
      <c r="FG43" s="176" t="n"/>
      <c r="FH43" s="176" t="n"/>
      <c r="FI43" s="176" t="n"/>
      <c r="FJ43" s="176" t="n"/>
    </row>
    <row r="44" ht="15" customHeight="1" s="392">
      <c r="A44" s="176" t="n"/>
      <c r="B44" s="180" t="n"/>
      <c r="C44" s="183" t="inlineStr">
        <is>
          <t xml:space="preserve">                Change in Payables and Accrued Expenses</t>
        </is>
      </c>
      <c r="D44" s="185" t="n"/>
      <c r="E44" s="185" t="n"/>
      <c r="F44" s="185" t="n"/>
      <c r="G44" s="185" t="n"/>
      <c r="H44" s="185" t="n"/>
      <c r="I44" s="185" t="n"/>
      <c r="J44" s="185" t="n"/>
      <c r="K44" s="185" t="n"/>
      <c r="EL44" s="182" t="n"/>
      <c r="EM44" s="176" t="n"/>
      <c r="EN44" s="176" t="n"/>
      <c r="EO44" s="176" t="n"/>
      <c r="EP44" s="176" t="n"/>
      <c r="EQ44" s="176" t="n"/>
      <c r="ER44" s="176" t="n"/>
      <c r="ES44" s="176" t="n"/>
      <c r="ET44" s="176" t="n"/>
      <c r="EU44" s="176" t="n"/>
      <c r="EV44" s="176" t="n"/>
      <c r="EW44" s="176" t="n"/>
      <c r="EX44" s="176" t="n"/>
      <c r="EY44" s="176" t="n"/>
      <c r="EZ44" s="176" t="n"/>
      <c r="FA44" s="176" t="n"/>
      <c r="FB44" s="176" t="n"/>
      <c r="FC44" s="176" t="n"/>
      <c r="FD44" s="176" t="n"/>
      <c r="FE44" s="176" t="n"/>
      <c r="FF44" s="176" t="n"/>
      <c r="FG44" s="176" t="n"/>
      <c r="FH44" s="176" t="n"/>
      <c r="FI44" s="176" t="n"/>
      <c r="FJ44" s="176" t="n"/>
    </row>
    <row r="45" ht="15" customHeight="1" s="392">
      <c r="A45" s="176" t="n"/>
      <c r="B45" s="180" t="n"/>
      <c r="C45" s="183" t="inlineStr">
        <is>
          <t xml:space="preserve">                    Change in Trade and Other Payables</t>
        </is>
      </c>
      <c r="D45" s="185" t="n"/>
      <c r="E45" s="185" t="n"/>
      <c r="F45" s="185" t="n"/>
      <c r="G45" s="185" t="n"/>
      <c r="H45" s="185" t="n"/>
      <c r="I45" s="185" t="n"/>
      <c r="J45" s="185" t="n"/>
      <c r="K45" s="185" t="n"/>
      <c r="EL45" s="182" t="n"/>
      <c r="EM45" s="176" t="n"/>
      <c r="EN45" s="176" t="n"/>
      <c r="EO45" s="176" t="n"/>
      <c r="EP45" s="176" t="n"/>
      <c r="EQ45" s="176" t="n"/>
      <c r="ER45" s="176" t="n"/>
      <c r="ES45" s="176" t="n"/>
      <c r="ET45" s="176" t="n"/>
      <c r="EU45" s="176" t="n"/>
      <c r="EV45" s="176" t="n"/>
      <c r="EW45" s="176" t="n"/>
      <c r="EX45" s="176" t="n"/>
      <c r="EY45" s="176" t="n"/>
      <c r="EZ45" s="176" t="n"/>
      <c r="FA45" s="176" t="n"/>
      <c r="FB45" s="176" t="n"/>
      <c r="FC45" s="176" t="n"/>
      <c r="FD45" s="176" t="n"/>
      <c r="FE45" s="176" t="n"/>
      <c r="FF45" s="176" t="n"/>
      <c r="FG45" s="176" t="n"/>
      <c r="FH45" s="176" t="n"/>
      <c r="FI45" s="176" t="n"/>
      <c r="FJ45" s="176" t="n"/>
    </row>
    <row r="46" ht="15" customHeight="1" s="392">
      <c r="A46" s="176" t="n"/>
      <c r="B46" s="180" t="n"/>
      <c r="C46" s="183" t="inlineStr">
        <is>
          <t xml:space="preserve">                        Change in Trade/Accounts Payable</t>
        </is>
      </c>
      <c r="D46" s="190">
        <f>IF(COUNT(M46:EK46)&gt;0,MEDIAN(M46:EK46),"")</f>
        <v/>
      </c>
      <c r="E46" s="190">
        <f>IF(COUNT(M46:EK46)&gt;0,AVERAGE(M46:EK46),"")</f>
        <v/>
      </c>
      <c r="F46" s="190">
        <f>IF(COUNT(M46:EK46)&gt;0,MIN(M46:EK46),"")</f>
        <v/>
      </c>
      <c r="G46" s="190">
        <f>IF(COUNT(M46:EK46)&gt;0,MAX(M46:EK46),"")</f>
        <v/>
      </c>
      <c r="H46" s="190">
        <f>IF(COUNT(M46:EK46)&gt;0,QUARTILE(M46:EK46,1),"")</f>
        <v/>
      </c>
      <c r="I46" s="190">
        <f>IF(COUNT(M46:EK46)&gt;0,QUARTILE(M46:EK46,3),"")</f>
        <v/>
      </c>
      <c r="J46" s="190">
        <f>IF(COUNT(M46:EK46)&gt;1,STDEV(M46:EK46),"")</f>
        <v/>
      </c>
      <c r="K46" s="191">
        <f>IF(COUNT(M46:EK46)&gt;1,STDEV(M46:EK46)/AVERAGE(M46:EK46),"")</f>
        <v/>
      </c>
      <c r="M46" s="192" t="n">
        <v>37986</v>
      </c>
      <c r="N46" s="192" t="n">
        <v>33193</v>
      </c>
      <c r="O46" s="192" t="n">
        <v>-60146</v>
      </c>
      <c r="P46" s="192" t="n">
        <v>21474</v>
      </c>
      <c r="Q46" s="192" t="n">
        <v>13539</v>
      </c>
      <c r="R46" s="192" t="n">
        <v>11295</v>
      </c>
      <c r="S46" s="192" t="n">
        <v>-15061</v>
      </c>
      <c r="T46" s="192" t="n">
        <v>59826</v>
      </c>
      <c r="U46" s="192" t="n">
        <v>19223</v>
      </c>
      <c r="V46" s="192" t="n">
        <v>33749</v>
      </c>
      <c r="W46" s="192" t="n">
        <v>-31597</v>
      </c>
      <c r="X46" s="192" t="n">
        <v>38153</v>
      </c>
      <c r="Y46" s="192" t="n">
        <v>-12304</v>
      </c>
      <c r="Z46" s="192" t="n">
        <v>2695</v>
      </c>
      <c r="AA46" s="192" t="n">
        <v>-12753</v>
      </c>
      <c r="AB46" s="192" t="n">
        <v>40372</v>
      </c>
      <c r="AC46" s="192" t="n">
        <v>-9439</v>
      </c>
      <c r="AD46" s="192" t="n">
        <v>35004</v>
      </c>
      <c r="AE46" s="192" t="n">
        <v>-51272</v>
      </c>
      <c r="AF46" s="192" t="n">
        <v>62013</v>
      </c>
      <c r="AG46" s="192" t="n">
        <v>-3301</v>
      </c>
      <c r="AH46" s="192" t="n">
        <v>37873</v>
      </c>
      <c r="AI46" s="192" t="n">
        <v>-32839</v>
      </c>
      <c r="AJ46" s="192" t="n">
        <v>42880</v>
      </c>
      <c r="AK46" s="192" t="n">
        <v>57284</v>
      </c>
      <c r="AL46" s="192" t="n">
        <v>-40498</v>
      </c>
      <c r="AM46" s="192" t="n">
        <v>8275</v>
      </c>
      <c r="AN46" s="192" t="n">
        <v>16587</v>
      </c>
      <c r="AO46" s="192" t="n">
        <v>-6621</v>
      </c>
      <c r="AP46" s="192" t="n">
        <v>10409</v>
      </c>
      <c r="AQ46" s="192" t="n">
        <v>27949</v>
      </c>
      <c r="AR46" s="192" t="n">
        <v>-20611</v>
      </c>
      <c r="AS46" s="192" t="n">
        <v>25339</v>
      </c>
      <c r="AT46" s="192" t="n">
        <v>-10938</v>
      </c>
      <c r="AU46" s="192" t="n">
        <v>16706</v>
      </c>
      <c r="AV46" s="192" t="n">
        <v>22213</v>
      </c>
      <c r="AW46" s="192" t="n">
        <v>3129</v>
      </c>
      <c r="AX46" s="192" t="n">
        <v>5739</v>
      </c>
      <c r="AY46" s="192" t="n">
        <v>10229</v>
      </c>
      <c r="AZ46" s="192" t="n">
        <v>-14828</v>
      </c>
      <c r="BA46" s="192" t="n">
        <v>43323</v>
      </c>
      <c r="BB46" s="192" t="n">
        <v>1322</v>
      </c>
      <c r="BC46" s="192" t="n">
        <v>3625</v>
      </c>
      <c r="BD46" s="192" t="n">
        <v>77</v>
      </c>
      <c r="BE46" s="192" t="n">
        <v>-5968</v>
      </c>
      <c r="BF46" s="192" t="n">
        <v>6215</v>
      </c>
      <c r="BG46" s="192" t="n">
        <v>-4094</v>
      </c>
      <c r="BH46" s="192" t="n">
        <v>-79</v>
      </c>
      <c r="BI46" s="192" t="n">
        <v>-9844</v>
      </c>
      <c r="BJ46" s="192" t="n">
        <v>7545</v>
      </c>
      <c r="BK46" s="192" t="n">
        <v>1241</v>
      </c>
      <c r="BL46" s="192" t="n">
        <v>6483</v>
      </c>
      <c r="BM46" s="192" t="n">
        <v>-7217</v>
      </c>
      <c r="BN46" s="192" t="n">
        <v>4121</v>
      </c>
      <c r="BO46" s="192" t="n">
        <v>9737</v>
      </c>
      <c r="BP46" s="192" t="n">
        <v>8108</v>
      </c>
      <c r="BQ46" s="192" t="n">
        <v>-4620</v>
      </c>
      <c r="BR46" s="192" t="n">
        <v>6246</v>
      </c>
      <c r="BS46" s="192" t="n"/>
      <c r="BT46" s="192" t="n"/>
      <c r="BU46" s="192" t="n"/>
      <c r="BV46" s="192" t="n"/>
      <c r="BW46" s="192" t="n"/>
      <c r="BX46" s="192" t="n"/>
      <c r="BY46" s="192" t="n"/>
      <c r="BZ46" s="192" t="n"/>
      <c r="CA46" s="192" t="n"/>
      <c r="CB46" s="192" t="n"/>
      <c r="CC46" s="192" t="n"/>
      <c r="CD46" s="192" t="n"/>
      <c r="CE46" s="192" t="n"/>
      <c r="CF46" s="192" t="n"/>
      <c r="CG46" s="192" t="n"/>
      <c r="CH46" s="192" t="n"/>
      <c r="CI46" s="192" t="n"/>
      <c r="CJ46" s="192" t="n"/>
      <c r="CK46" s="192" t="n"/>
      <c r="CL46" s="192" t="n"/>
      <c r="CM46" s="192" t="n"/>
      <c r="CN46" s="192" t="n"/>
      <c r="CO46" s="192" t="n"/>
      <c r="CP46" s="192" t="n"/>
      <c r="CQ46" s="192" t="n"/>
      <c r="CR46" s="192" t="n"/>
      <c r="CS46" s="192" t="n"/>
      <c r="CT46" s="192" t="n"/>
      <c r="CU46" s="192" t="n"/>
      <c r="CV46" s="192" t="n"/>
      <c r="CW46" s="192" t="n"/>
      <c r="CX46" s="192" t="n"/>
      <c r="CY46" s="192" t="n"/>
      <c r="CZ46" s="192" t="n"/>
      <c r="DA46" s="192" t="n"/>
      <c r="DB46" s="192" t="n"/>
      <c r="DC46" s="192" t="n"/>
      <c r="DD46" s="192" t="n"/>
      <c r="DE46" s="192" t="n"/>
      <c r="DF46" s="192" t="n"/>
      <c r="DG46" s="192" t="n"/>
      <c r="DH46" s="192" t="n"/>
      <c r="DI46" s="192" t="n"/>
      <c r="DJ46" s="192" t="n"/>
      <c r="DK46" s="192" t="n"/>
      <c r="DL46" s="192" t="n"/>
      <c r="DM46" s="192" t="n"/>
      <c r="DN46" s="192" t="n"/>
      <c r="DO46" s="192" t="n"/>
      <c r="DP46" s="192" t="n"/>
      <c r="DQ46" s="192" t="n"/>
      <c r="DR46" s="192" t="n"/>
      <c r="DS46" s="192" t="n"/>
      <c r="DT46" s="192" t="n"/>
      <c r="DU46" s="192" t="n"/>
      <c r="DV46" s="192" t="n"/>
      <c r="DW46" s="192" t="n"/>
      <c r="DX46" s="192" t="n"/>
      <c r="DY46" s="192" t="n"/>
      <c r="DZ46" s="192" t="n"/>
      <c r="EA46" s="192" t="n"/>
      <c r="EB46" s="192" t="n"/>
      <c r="EC46" s="192" t="n"/>
      <c r="ED46" s="192" t="n"/>
      <c r="EE46" s="192" t="n"/>
      <c r="EF46" s="192" t="n"/>
      <c r="EG46" s="192" t="n"/>
      <c r="EH46" s="192" t="n"/>
      <c r="EI46" s="192" t="n"/>
      <c r="EJ46" s="192" t="n"/>
      <c r="EK46" s="192" t="n"/>
      <c r="EL46" s="182" t="n"/>
      <c r="EM46" s="176" t="n"/>
      <c r="EN46" s="176" t="n"/>
      <c r="EO46" s="176" t="n"/>
      <c r="EP46" s="176" t="n"/>
      <c r="EQ46" s="176" t="n"/>
      <c r="ER46" s="176" t="n"/>
      <c r="ES46" s="176" t="n"/>
      <c r="ET46" s="176" t="n"/>
      <c r="EU46" s="176" t="n"/>
      <c r="EV46" s="176" t="n"/>
      <c r="EW46" s="176" t="n"/>
      <c r="EX46" s="176" t="n"/>
      <c r="EY46" s="176" t="n"/>
      <c r="EZ46" s="176" t="n"/>
      <c r="FA46" s="176" t="n"/>
      <c r="FB46" s="176" t="n"/>
      <c r="FC46" s="176" t="n"/>
      <c r="FD46" s="176" t="n"/>
      <c r="FE46" s="176" t="n"/>
      <c r="FF46" s="176" t="n"/>
      <c r="FG46" s="176" t="n"/>
      <c r="FH46" s="176" t="n"/>
      <c r="FI46" s="176" t="n"/>
      <c r="FJ46" s="176" t="n"/>
    </row>
    <row r="47" ht="15" customHeight="1" s="392">
      <c r="A47" s="176" t="n"/>
      <c r="B47" s="180" t="n"/>
      <c r="C47" s="183" t="inlineStr">
        <is>
          <t xml:space="preserve">                        Change in Taxes Payable</t>
        </is>
      </c>
      <c r="D47" s="190">
        <f>IF(COUNT(M47:EK47)&gt;0,MEDIAN(M47:EK47),"")</f>
        <v/>
      </c>
      <c r="E47" s="190">
        <f>IF(COUNT(M47:EK47)&gt;0,AVERAGE(M47:EK47),"")</f>
        <v/>
      </c>
      <c r="F47" s="190">
        <f>IF(COUNT(M47:EK47)&gt;0,MIN(M47:EK47),"")</f>
        <v/>
      </c>
      <c r="G47" s="190">
        <f>IF(COUNT(M47:EK47)&gt;0,MAX(M47:EK47),"")</f>
        <v/>
      </c>
      <c r="H47" s="190">
        <f>IF(COUNT(M47:EK47)&gt;0,QUARTILE(M47:EK47,1),"")</f>
        <v/>
      </c>
      <c r="I47" s="190">
        <f>IF(COUNT(M47:EK47)&gt;0,QUARTILE(M47:EK47,3),"")</f>
        <v/>
      </c>
      <c r="J47" s="190">
        <f>IF(COUNT(M47:EK47)&gt;1,STDEV(M47:EK47),"")</f>
        <v/>
      </c>
      <c r="K47" s="191">
        <f>IF(COUNT(M47:EK47)&gt;1,STDEV(M47:EK47)/AVERAGE(M47:EK47),"")</f>
        <v/>
      </c>
      <c r="M47" s="192" t="n">
        <v>-13125</v>
      </c>
      <c r="N47" s="192" t="n">
        <v>19659</v>
      </c>
      <c r="O47" s="192" t="n">
        <v>-115422</v>
      </c>
      <c r="P47" s="192" t="n">
        <v>61500</v>
      </c>
      <c r="Q47" s="192" t="n">
        <v>9963</v>
      </c>
      <c r="R47" s="192" t="n">
        <v>3972</v>
      </c>
      <c r="S47" s="192" t="n">
        <v>-67125</v>
      </c>
      <c r="T47" s="192" t="n">
        <v>8931</v>
      </c>
      <c r="U47" s="192" t="n">
        <v>45081</v>
      </c>
      <c r="V47" s="192" t="n">
        <v>-1123</v>
      </c>
      <c r="W47" s="192" t="n">
        <v>-74143</v>
      </c>
      <c r="X47" s="192" t="n">
        <v>76720</v>
      </c>
      <c r="Y47" s="192" t="n">
        <v>-865</v>
      </c>
      <c r="Z47" s="192" t="n">
        <v>15116</v>
      </c>
      <c r="AA47" s="192" t="n">
        <v>-12284</v>
      </c>
      <c r="AB47" s="192" t="n">
        <v>19899</v>
      </c>
      <c r="AC47" s="192" t="n">
        <v>-6482</v>
      </c>
      <c r="AD47" s="192" t="n">
        <v>4876</v>
      </c>
      <c r="AE47" s="192" t="n">
        <v>-24549</v>
      </c>
      <c r="AF47" s="192" t="n">
        <v>26204</v>
      </c>
      <c r="AG47" s="192" t="n">
        <v>-4647</v>
      </c>
      <c r="AH47" s="192" t="n">
        <v>2854</v>
      </c>
      <c r="AI47" s="192" t="n">
        <v>2467</v>
      </c>
      <c r="AJ47" s="192" t="n">
        <v>8371</v>
      </c>
      <c r="AK47" s="192" t="n">
        <v>946</v>
      </c>
      <c r="AL47" s="192" t="n">
        <v>3374</v>
      </c>
      <c r="AM47" s="192" t="n">
        <v>4094</v>
      </c>
      <c r="AN47" s="192" t="n">
        <v>1700</v>
      </c>
      <c r="AO47" s="192" t="n">
        <v>3365</v>
      </c>
      <c r="AP47" s="192" t="n">
        <v>414</v>
      </c>
      <c r="AQ47" s="192" t="n">
        <v>-7287</v>
      </c>
      <c r="AR47" s="192" t="n">
        <v>14177</v>
      </c>
      <c r="AS47" s="192" t="n">
        <v>-17174</v>
      </c>
      <c r="AT47" s="192" t="n">
        <v>4660</v>
      </c>
      <c r="AU47" s="192" t="n">
        <v>-14095</v>
      </c>
      <c r="AV47" s="192" t="n">
        <v>23460</v>
      </c>
      <c r="AW47" s="192" t="n">
        <v>-2952</v>
      </c>
      <c r="AX47" s="192" t="n">
        <v>-3315</v>
      </c>
      <c r="AY47" s="192" t="n">
        <v>3319</v>
      </c>
      <c r="AZ47" s="192" t="n">
        <v>2615</v>
      </c>
      <c r="BA47" s="192" t="n">
        <v>-11070</v>
      </c>
      <c r="BB47" s="192" t="n">
        <v>5961</v>
      </c>
      <c r="BC47" s="192" t="n">
        <v>-15586</v>
      </c>
      <c r="BD47" s="192" t="n">
        <v>23483</v>
      </c>
      <c r="BE47" s="192" t="n">
        <v>-3284</v>
      </c>
      <c r="BF47" s="192" t="n">
        <v>1210</v>
      </c>
      <c r="BG47" s="192" t="n">
        <v>-18331</v>
      </c>
      <c r="BH47" s="192" t="n">
        <v>18434</v>
      </c>
      <c r="BI47" s="192" t="n">
        <v>-5413</v>
      </c>
      <c r="BJ47" s="192" t="n">
        <v>6735</v>
      </c>
      <c r="BK47" s="192" t="n">
        <v>-15415</v>
      </c>
      <c r="BL47" s="192" t="n">
        <v>16909</v>
      </c>
      <c r="BM47" s="192" t="n">
        <v>-7086</v>
      </c>
      <c r="BN47" s="192" t="n">
        <v>3777</v>
      </c>
      <c r="BO47" s="192" t="n">
        <v>-16599</v>
      </c>
      <c r="BP47" s="192" t="n">
        <v>21517</v>
      </c>
      <c r="BQ47" s="192" t="n">
        <v>-8403</v>
      </c>
      <c r="BR47" s="192" t="n">
        <v>5870</v>
      </c>
      <c r="BS47" s="192" t="n">
        <v>-18739</v>
      </c>
      <c r="BT47" s="192" t="n">
        <v>18727</v>
      </c>
      <c r="BU47" s="192" t="n">
        <v>-6916</v>
      </c>
      <c r="BV47" s="192" t="n">
        <v>7211</v>
      </c>
      <c r="BW47" s="192" t="n">
        <v>-11689</v>
      </c>
      <c r="BX47" s="192" t="n">
        <v>13923</v>
      </c>
      <c r="BY47" s="192" t="n">
        <v>-4913</v>
      </c>
      <c r="BZ47" s="192" t="n">
        <v>2405</v>
      </c>
      <c r="CA47" s="192" t="n">
        <v>-16866</v>
      </c>
      <c r="CB47" s="192" t="n">
        <v>16634</v>
      </c>
      <c r="CC47" s="192" t="n">
        <v>-7023</v>
      </c>
      <c r="CD47" s="192" t="n">
        <v>14843</v>
      </c>
      <c r="CE47" s="192" t="n"/>
      <c r="CF47" s="192" t="n"/>
      <c r="CG47" s="192" t="n"/>
      <c r="CH47" s="192" t="n"/>
      <c r="CI47" s="192" t="n"/>
      <c r="CJ47" s="192" t="n"/>
      <c r="CK47" s="192" t="n"/>
      <c r="CL47" s="192" t="n"/>
      <c r="CM47" s="192" t="n"/>
      <c r="CN47" s="192" t="n"/>
      <c r="CO47" s="192" t="n"/>
      <c r="CP47" s="192" t="n"/>
      <c r="CQ47" s="192" t="n"/>
      <c r="CR47" s="192" t="n"/>
      <c r="CS47" s="192" t="n"/>
      <c r="CT47" s="192" t="n"/>
      <c r="CU47" s="192" t="n"/>
      <c r="CV47" s="192" t="n"/>
      <c r="CW47" s="192" t="n"/>
      <c r="CX47" s="192" t="n"/>
      <c r="CY47" s="192" t="n"/>
      <c r="CZ47" s="192" t="n"/>
      <c r="DA47" s="192" t="n"/>
      <c r="DB47" s="192" t="n"/>
      <c r="DC47" s="192" t="n"/>
      <c r="DD47" s="192" t="n"/>
      <c r="DE47" s="192" t="n"/>
      <c r="DF47" s="192" t="n"/>
      <c r="DG47" s="192" t="n"/>
      <c r="DH47" s="192" t="n"/>
      <c r="DI47" s="192" t="n"/>
      <c r="DJ47" s="192" t="n"/>
      <c r="DK47" s="192" t="n"/>
      <c r="DL47" s="192" t="n"/>
      <c r="DM47" s="192" t="n"/>
      <c r="DN47" s="192" t="n"/>
      <c r="DO47" s="192" t="n"/>
      <c r="DP47" s="192" t="n"/>
      <c r="DQ47" s="192" t="n"/>
      <c r="DR47" s="192" t="n"/>
      <c r="DS47" s="192" t="n"/>
      <c r="DT47" s="192" t="n"/>
      <c r="DU47" s="192" t="n"/>
      <c r="DV47" s="192" t="n"/>
      <c r="DW47" s="192" t="n"/>
      <c r="DX47" s="192" t="n"/>
      <c r="DY47" s="192" t="n"/>
      <c r="DZ47" s="192" t="n"/>
      <c r="EA47" s="192" t="n"/>
      <c r="EB47" s="192" t="n"/>
      <c r="EC47" s="192" t="n"/>
      <c r="ED47" s="192" t="n"/>
      <c r="EE47" s="192" t="n"/>
      <c r="EF47" s="192" t="n"/>
      <c r="EG47" s="192" t="n"/>
      <c r="EH47" s="192" t="n"/>
      <c r="EI47" s="192" t="n"/>
      <c r="EJ47" s="192" t="n"/>
      <c r="EK47" s="192" t="n"/>
      <c r="EL47" s="182" t="n"/>
      <c r="EM47" s="176" t="n"/>
      <c r="EN47" s="176" t="n"/>
      <c r="EO47" s="176" t="n"/>
      <c r="EP47" s="176" t="n"/>
      <c r="EQ47" s="176" t="n"/>
      <c r="ER47" s="176" t="n"/>
      <c r="ES47" s="176" t="n"/>
      <c r="ET47" s="176" t="n"/>
      <c r="EU47" s="176" t="n"/>
      <c r="EV47" s="176" t="n"/>
      <c r="EW47" s="176" t="n"/>
      <c r="EX47" s="176" t="n"/>
      <c r="EY47" s="176" t="n"/>
      <c r="EZ47" s="176" t="n"/>
      <c r="FA47" s="176" t="n"/>
      <c r="FB47" s="176" t="n"/>
      <c r="FC47" s="176" t="n"/>
      <c r="FD47" s="176" t="n"/>
      <c r="FE47" s="176" t="n"/>
      <c r="FF47" s="176" t="n"/>
      <c r="FG47" s="176" t="n"/>
      <c r="FH47" s="176" t="n"/>
      <c r="FI47" s="176" t="n"/>
      <c r="FJ47" s="176" t="n"/>
    </row>
    <row r="48" ht="15" customHeight="1" s="392">
      <c r="A48" s="176" t="n"/>
      <c r="B48" s="180" t="n"/>
      <c r="C48" s="183" t="inlineStr">
        <is>
          <t xml:space="preserve">                        Change in Other Payables</t>
        </is>
      </c>
      <c r="D48" s="190">
        <f>IF(COUNT(M48:EK48)&gt;0,MEDIAN(M48:EK48),"")</f>
        <v/>
      </c>
      <c r="E48" s="190">
        <f>IF(COUNT(M48:EK48)&gt;0,AVERAGE(M48:EK48),"")</f>
        <v/>
      </c>
      <c r="F48" s="190">
        <f>IF(COUNT(M48:EK48)&gt;0,MIN(M48:EK48),"")</f>
        <v/>
      </c>
      <c r="G48" s="190">
        <f>IF(COUNT(M48:EK48)&gt;0,MAX(M48:EK48),"")</f>
        <v/>
      </c>
      <c r="H48" s="190">
        <f>IF(COUNT(M48:EK48)&gt;0,QUARTILE(M48:EK48,1),"")</f>
        <v/>
      </c>
      <c r="I48" s="190">
        <f>IF(COUNT(M48:EK48)&gt;0,QUARTILE(M48:EK48,3),"")</f>
        <v/>
      </c>
      <c r="J48" s="190">
        <f>IF(COUNT(M48:EK48)&gt;1,STDEV(M48:EK48),"")</f>
        <v/>
      </c>
      <c r="K48" s="191">
        <f>IF(COUNT(M48:EK48)&gt;1,STDEV(M48:EK48)/AVERAGE(M48:EK48),"")</f>
        <v/>
      </c>
      <c r="M48" s="192" t="n"/>
      <c r="N48" s="192" t="n"/>
      <c r="O48" s="192" t="n"/>
      <c r="P48" s="192" t="n"/>
      <c r="Q48" s="192" t="n"/>
      <c r="R48" s="192" t="n"/>
      <c r="S48" s="192" t="n"/>
      <c r="T48" s="192" t="n"/>
      <c r="U48" s="192" t="n"/>
      <c r="V48" s="192" t="n"/>
      <c r="W48" s="192" t="n"/>
      <c r="X48" s="192" t="n"/>
      <c r="Y48" s="192" t="n"/>
      <c r="Z48" s="192" t="n"/>
      <c r="AA48" s="192" t="n"/>
      <c r="AB48" s="192" t="n"/>
      <c r="AC48" s="192" t="n"/>
      <c r="AD48" s="192" t="n"/>
      <c r="AE48" s="192" t="n"/>
      <c r="AF48" s="192" t="n"/>
      <c r="AG48" s="192" t="n"/>
      <c r="AH48" s="192" t="n"/>
      <c r="AI48" s="192" t="n"/>
      <c r="AJ48" s="192" t="n"/>
      <c r="AK48" s="192" t="n"/>
      <c r="AL48" s="192" t="n"/>
      <c r="AM48" s="192" t="n"/>
      <c r="AN48" s="192" t="n"/>
      <c r="AO48" s="192" t="n"/>
      <c r="AP48" s="192" t="n"/>
      <c r="AQ48" s="192" t="n"/>
      <c r="AR48" s="192" t="n"/>
      <c r="AS48" s="192" t="n"/>
      <c r="AT48" s="192" t="n"/>
      <c r="AU48" s="192" t="n"/>
      <c r="AV48" s="192" t="n"/>
      <c r="AW48" s="192" t="n"/>
      <c r="AX48" s="192" t="n"/>
      <c r="AY48" s="192" t="n"/>
      <c r="AZ48" s="192" t="n"/>
      <c r="BA48" s="192" t="n"/>
      <c r="BB48" s="192" t="n"/>
      <c r="BC48" s="192" t="n"/>
      <c r="BD48" s="192" t="n"/>
      <c r="BE48" s="192" t="n"/>
      <c r="BF48" s="192" t="n"/>
      <c r="BG48" s="192" t="n"/>
      <c r="BH48" s="192" t="n"/>
      <c r="BI48" s="192" t="n"/>
      <c r="BJ48" s="192" t="n"/>
      <c r="BK48" s="192" t="n"/>
      <c r="BL48" s="192" t="n"/>
      <c r="BM48" s="192" t="n"/>
      <c r="BN48" s="192" t="n"/>
      <c r="BO48" s="192" t="n"/>
      <c r="BP48" s="192" t="n"/>
      <c r="BQ48" s="192" t="n"/>
      <c r="BR48" s="192" t="n"/>
      <c r="BS48" s="192" t="n"/>
      <c r="BT48" s="192" t="n">
        <v>207</v>
      </c>
      <c r="BU48" s="192" t="n"/>
      <c r="BV48" s="192" t="n">
        <v>2337</v>
      </c>
      <c r="BW48" s="192" t="n">
        <v>5677</v>
      </c>
      <c r="BX48" s="192" t="n">
        <v>353</v>
      </c>
      <c r="BY48" s="192" t="n">
        <v>-9512</v>
      </c>
      <c r="BZ48" s="192" t="n">
        <v>11504</v>
      </c>
      <c r="CA48" s="192" t="n">
        <v>-4719</v>
      </c>
      <c r="CB48" s="192" t="n">
        <v>10825</v>
      </c>
      <c r="CC48" s="192" t="n">
        <v>3673</v>
      </c>
      <c r="CD48" s="192" t="n">
        <v>2187</v>
      </c>
      <c r="CE48" s="192" t="n"/>
      <c r="CF48" s="192" t="n"/>
      <c r="CG48" s="192" t="n"/>
      <c r="CH48" s="192" t="n"/>
      <c r="CI48" s="192" t="n"/>
      <c r="CJ48" s="192" t="n"/>
      <c r="CK48" s="192" t="n"/>
      <c r="CL48" s="192" t="n"/>
      <c r="CM48" s="192" t="n"/>
      <c r="CN48" s="192" t="n"/>
      <c r="CO48" s="192" t="n"/>
      <c r="CP48" s="192" t="n"/>
      <c r="CQ48" s="192" t="n"/>
      <c r="CR48" s="192" t="n"/>
      <c r="CS48" s="192" t="n"/>
      <c r="CT48" s="192" t="n"/>
      <c r="CU48" s="192" t="n"/>
      <c r="CV48" s="192" t="n"/>
      <c r="CW48" s="192" t="n"/>
      <c r="CX48" s="192" t="n"/>
      <c r="CY48" s="192" t="n"/>
      <c r="CZ48" s="192" t="n"/>
      <c r="DA48" s="192" t="n"/>
      <c r="DB48" s="192" t="n"/>
      <c r="DC48" s="192" t="n"/>
      <c r="DD48" s="192" t="n"/>
      <c r="DE48" s="192" t="n"/>
      <c r="DF48" s="192" t="n"/>
      <c r="DG48" s="192" t="n"/>
      <c r="DH48" s="192" t="n"/>
      <c r="DI48" s="192" t="n"/>
      <c r="DJ48" s="192" t="n"/>
      <c r="DK48" s="192" t="n"/>
      <c r="DL48" s="192" t="n"/>
      <c r="DM48" s="192" t="n"/>
      <c r="DN48" s="192" t="n"/>
      <c r="DO48" s="192" t="n"/>
      <c r="DP48" s="192" t="n"/>
      <c r="DQ48" s="192" t="n"/>
      <c r="DR48" s="192" t="n"/>
      <c r="DS48" s="192" t="n"/>
      <c r="DT48" s="192" t="n"/>
      <c r="DU48" s="192" t="n"/>
      <c r="DV48" s="192" t="n"/>
      <c r="DW48" s="192" t="n"/>
      <c r="DX48" s="192" t="n"/>
      <c r="DY48" s="192" t="n"/>
      <c r="DZ48" s="192" t="n"/>
      <c r="EA48" s="192" t="n"/>
      <c r="EB48" s="192" t="n"/>
      <c r="EC48" s="192" t="n"/>
      <c r="ED48" s="192" t="n"/>
      <c r="EE48" s="192" t="n"/>
      <c r="EF48" s="192" t="n"/>
      <c r="EG48" s="192" t="n"/>
      <c r="EH48" s="192" t="n"/>
      <c r="EI48" s="192" t="n"/>
      <c r="EJ48" s="192" t="n"/>
      <c r="EK48" s="192" t="n"/>
      <c r="EL48" s="182" t="n"/>
      <c r="EM48" s="176" t="n"/>
      <c r="EN48" s="176" t="n"/>
      <c r="EO48" s="176" t="n"/>
      <c r="EP48" s="176" t="n"/>
      <c r="EQ48" s="176" t="n"/>
      <c r="ER48" s="176" t="n"/>
      <c r="ES48" s="176" t="n"/>
      <c r="ET48" s="176" t="n"/>
      <c r="EU48" s="176" t="n"/>
      <c r="EV48" s="176" t="n"/>
      <c r="EW48" s="176" t="n"/>
      <c r="EX48" s="176" t="n"/>
      <c r="EY48" s="176" t="n"/>
      <c r="EZ48" s="176" t="n"/>
      <c r="FA48" s="176" t="n"/>
      <c r="FB48" s="176" t="n"/>
      <c r="FC48" s="176" t="n"/>
      <c r="FD48" s="176" t="n"/>
      <c r="FE48" s="176" t="n"/>
      <c r="FF48" s="176" t="n"/>
      <c r="FG48" s="176" t="n"/>
      <c r="FH48" s="176" t="n"/>
      <c r="FI48" s="176" t="n"/>
      <c r="FJ48" s="176" t="n"/>
    </row>
    <row r="49" ht="15" customHeight="1" s="392">
      <c r="A49" s="176" t="n"/>
      <c r="B49" s="180" t="n"/>
      <c r="C49" s="187" t="inlineStr">
        <is>
          <t xml:space="preserve">                    Total Change in Trade and Other Payables</t>
        </is>
      </c>
      <c r="D49" s="193">
        <f>IF(COUNT(M49:EK49)&gt;0,MEDIAN(M49:EK49),"")</f>
        <v/>
      </c>
      <c r="E49" s="193">
        <f>IF(COUNT(M49:EK49)&gt;0,AVERAGE(M49:EK49),"")</f>
        <v/>
      </c>
      <c r="F49" s="193">
        <f>IF(COUNT(M49:EK49)&gt;0,MIN(M49:EK49),"")</f>
        <v/>
      </c>
      <c r="G49" s="193">
        <f>IF(COUNT(M49:EK49)&gt;0,MAX(M49:EK49),"")</f>
        <v/>
      </c>
      <c r="H49" s="193">
        <f>IF(COUNT(M49:EK49)&gt;0,QUARTILE(M49:EK49,1),"")</f>
        <v/>
      </c>
      <c r="I49" s="193">
        <f>IF(COUNT(M49:EK49)&gt;0,QUARTILE(M49:EK49,3),"")</f>
        <v/>
      </c>
      <c r="J49" s="193">
        <f>IF(COUNT(M49:EK49)&gt;1,STDEV(M49:EK49),"")</f>
        <v/>
      </c>
      <c r="K49" s="194">
        <f>IF(COUNT(M49:EK49)&gt;1,STDEV(M49:EK49)/AVERAGE(M49:EK49),"")</f>
        <v/>
      </c>
      <c r="L49" s="195" t="n"/>
      <c r="M49" s="196" t="n">
        <v>24861</v>
      </c>
      <c r="N49" s="196" t="n">
        <v>52852</v>
      </c>
      <c r="O49" s="196" t="n">
        <v>-175568</v>
      </c>
      <c r="P49" s="196" t="n">
        <v>82974</v>
      </c>
      <c r="Q49" s="196" t="n">
        <v>23502</v>
      </c>
      <c r="R49" s="196" t="n">
        <v>15267</v>
      </c>
      <c r="S49" s="196" t="n">
        <v>-82186</v>
      </c>
      <c r="T49" s="196" t="n">
        <v>68757</v>
      </c>
      <c r="U49" s="196" t="n">
        <v>64304</v>
      </c>
      <c r="V49" s="196" t="n">
        <v>32626</v>
      </c>
      <c r="W49" s="196" t="n">
        <v>-105740</v>
      </c>
      <c r="X49" s="196" t="n">
        <v>114873</v>
      </c>
      <c r="Y49" s="196" t="n">
        <v>-13169</v>
      </c>
      <c r="Z49" s="196" t="n">
        <v>17811</v>
      </c>
      <c r="AA49" s="196" t="n">
        <v>-25037</v>
      </c>
      <c r="AB49" s="196" t="n">
        <v>60271</v>
      </c>
      <c r="AC49" s="196" t="n">
        <v>-15921</v>
      </c>
      <c r="AD49" s="196" t="n">
        <v>39880</v>
      </c>
      <c r="AE49" s="196" t="n">
        <v>-75821</v>
      </c>
      <c r="AF49" s="196" t="n">
        <v>88217</v>
      </c>
      <c r="AG49" s="196" t="n">
        <v>-7948</v>
      </c>
      <c r="AH49" s="196" t="n">
        <v>40727</v>
      </c>
      <c r="AI49" s="196" t="n">
        <v>-30372</v>
      </c>
      <c r="AJ49" s="196" t="n">
        <v>51251</v>
      </c>
      <c r="AK49" s="196" t="n">
        <v>58230</v>
      </c>
      <c r="AL49" s="196" t="n">
        <v>-37124</v>
      </c>
      <c r="AM49" s="196" t="n">
        <v>12369</v>
      </c>
      <c r="AN49" s="196" t="n">
        <v>18287</v>
      </c>
      <c r="AO49" s="196" t="n">
        <v>-3256</v>
      </c>
      <c r="AP49" s="196" t="n">
        <v>10823</v>
      </c>
      <c r="AQ49" s="196" t="n">
        <v>20662</v>
      </c>
      <c r="AR49" s="196" t="n">
        <v>-6434</v>
      </c>
      <c r="AS49" s="196" t="n">
        <v>8165</v>
      </c>
      <c r="AT49" s="196" t="n">
        <v>-6278</v>
      </c>
      <c r="AU49" s="196" t="n">
        <v>2611</v>
      </c>
      <c r="AV49" s="196" t="n">
        <v>45673</v>
      </c>
      <c r="AW49" s="196" t="n">
        <v>177</v>
      </c>
      <c r="AX49" s="196" t="n">
        <v>2424</v>
      </c>
      <c r="AY49" s="196" t="n">
        <v>13548</v>
      </c>
      <c r="AZ49" s="196" t="n">
        <v>-12213</v>
      </c>
      <c r="BA49" s="196" t="n">
        <v>32253</v>
      </c>
      <c r="BB49" s="196" t="n">
        <v>7283</v>
      </c>
      <c r="BC49" s="196" t="n">
        <v>-11961</v>
      </c>
      <c r="BD49" s="196" t="n">
        <v>23560</v>
      </c>
      <c r="BE49" s="196" t="n">
        <v>-9252</v>
      </c>
      <c r="BF49" s="196" t="n">
        <v>7425</v>
      </c>
      <c r="BG49" s="196" t="n">
        <v>-22425</v>
      </c>
      <c r="BH49" s="196" t="n">
        <v>18355</v>
      </c>
      <c r="BI49" s="196" t="n">
        <v>-15257</v>
      </c>
      <c r="BJ49" s="196" t="n">
        <v>14280</v>
      </c>
      <c r="BK49" s="196" t="n">
        <v>-14174</v>
      </c>
      <c r="BL49" s="196" t="n">
        <v>23392</v>
      </c>
      <c r="BM49" s="196" t="n">
        <v>-14303</v>
      </c>
      <c r="BN49" s="196" t="n">
        <v>7898</v>
      </c>
      <c r="BO49" s="196" t="n">
        <v>-6862</v>
      </c>
      <c r="BP49" s="196" t="n">
        <v>29625</v>
      </c>
      <c r="BQ49" s="196" t="n">
        <v>-13023</v>
      </c>
      <c r="BR49" s="196" t="n">
        <v>12116</v>
      </c>
      <c r="BS49" s="196" t="n">
        <v>-24377</v>
      </c>
      <c r="BT49" s="196" t="n">
        <v>18934</v>
      </c>
      <c r="BU49" s="196" t="n">
        <v>-10028</v>
      </c>
      <c r="BV49" s="196" t="n">
        <v>9548</v>
      </c>
      <c r="BW49" s="196" t="n">
        <v>-6012</v>
      </c>
      <c r="BX49" s="196" t="n">
        <v>14276</v>
      </c>
      <c r="BY49" s="196" t="n">
        <v>-14425</v>
      </c>
      <c r="BZ49" s="196" t="n">
        <v>13909</v>
      </c>
      <c r="CA49" s="196" t="n">
        <v>-21585</v>
      </c>
      <c r="CB49" s="196" t="n">
        <v>27459</v>
      </c>
      <c r="CC49" s="196" t="n">
        <v>-3350</v>
      </c>
      <c r="CD49" s="196" t="n">
        <v>17030</v>
      </c>
      <c r="CE49" s="196" t="n"/>
      <c r="CF49" s="196" t="n"/>
      <c r="CG49" s="196" t="n"/>
      <c r="CH49" s="196" t="n"/>
      <c r="CI49" s="196" t="n"/>
      <c r="CJ49" s="196" t="n"/>
      <c r="CK49" s="196" t="n"/>
      <c r="CL49" s="196" t="n"/>
      <c r="CM49" s="196" t="n"/>
      <c r="CN49" s="196" t="n"/>
      <c r="CO49" s="196" t="n"/>
      <c r="CP49" s="196" t="n"/>
      <c r="CQ49" s="196" t="n"/>
      <c r="CR49" s="196" t="n"/>
      <c r="CS49" s="196" t="n"/>
      <c r="CT49" s="196" t="n"/>
      <c r="CU49" s="196" t="n"/>
      <c r="CV49" s="196" t="n"/>
      <c r="CW49" s="196" t="n"/>
      <c r="CX49" s="196" t="n"/>
      <c r="CY49" s="196" t="n"/>
      <c r="CZ49" s="196" t="n"/>
      <c r="DA49" s="196" t="n"/>
      <c r="DB49" s="196" t="n"/>
      <c r="DC49" s="196" t="n"/>
      <c r="DD49" s="196" t="n"/>
      <c r="DE49" s="196" t="n"/>
      <c r="DF49" s="196" t="n"/>
      <c r="DG49" s="196" t="n"/>
      <c r="DH49" s="196" t="n"/>
      <c r="DI49" s="196" t="n"/>
      <c r="DJ49" s="196" t="n"/>
      <c r="DK49" s="196" t="n"/>
      <c r="DL49" s="196" t="n"/>
      <c r="DM49" s="196" t="n"/>
      <c r="DN49" s="196" t="n"/>
      <c r="DO49" s="196" t="n"/>
      <c r="DP49" s="196" t="n"/>
      <c r="DQ49" s="196" t="n"/>
      <c r="DR49" s="196" t="n"/>
      <c r="DS49" s="196" t="n"/>
      <c r="DT49" s="196" t="n"/>
      <c r="DU49" s="196" t="n"/>
      <c r="DV49" s="196" t="n"/>
      <c r="DW49" s="196" t="n"/>
      <c r="DX49" s="196" t="n"/>
      <c r="DY49" s="196" t="n"/>
      <c r="DZ49" s="196" t="n"/>
      <c r="EA49" s="196" t="n"/>
      <c r="EB49" s="196" t="n"/>
      <c r="EC49" s="196" t="n"/>
      <c r="ED49" s="196" t="n"/>
      <c r="EE49" s="196" t="n"/>
      <c r="EF49" s="196" t="n"/>
      <c r="EG49" s="196" t="n"/>
      <c r="EH49" s="196" t="n"/>
      <c r="EI49" s="196" t="n"/>
      <c r="EJ49" s="196" t="n"/>
      <c r="EK49" s="196" t="n"/>
      <c r="EL49" s="182" t="n"/>
      <c r="EM49" s="176" t="n"/>
      <c r="EN49" s="176" t="n"/>
      <c r="EO49" s="176" t="n"/>
      <c r="EP49" s="176" t="n"/>
      <c r="EQ49" s="176" t="n"/>
      <c r="ER49" s="176" t="n"/>
      <c r="ES49" s="176" t="n"/>
      <c r="ET49" s="176" t="n"/>
      <c r="EU49" s="176" t="n"/>
      <c r="EV49" s="176" t="n"/>
      <c r="EW49" s="176" t="n"/>
      <c r="EX49" s="176" t="n"/>
      <c r="EY49" s="176" t="n"/>
      <c r="EZ49" s="176" t="n"/>
      <c r="FA49" s="176" t="n"/>
      <c r="FB49" s="176" t="n"/>
      <c r="FC49" s="176" t="n"/>
      <c r="FD49" s="176" t="n"/>
      <c r="FE49" s="176" t="n"/>
      <c r="FF49" s="176" t="n"/>
      <c r="FG49" s="176" t="n"/>
      <c r="FH49" s="176" t="n"/>
      <c r="FI49" s="176" t="n"/>
      <c r="FJ49" s="176" t="n"/>
    </row>
    <row r="50" ht="15" customHeight="1" s="392">
      <c r="A50" s="176" t="n"/>
      <c r="B50" s="180" t="n"/>
      <c r="C50" s="187" t="inlineStr">
        <is>
          <t xml:space="preserve">                Total Change in Payables and Accrued Expenses</t>
        </is>
      </c>
      <c r="D50" s="193">
        <f>IF(COUNT(M50:EK50)&gt;0,MEDIAN(M50:EK50),"")</f>
        <v/>
      </c>
      <c r="E50" s="193">
        <f>IF(COUNT(M50:EK50)&gt;0,AVERAGE(M50:EK50),"")</f>
        <v/>
      </c>
      <c r="F50" s="193">
        <f>IF(COUNT(M50:EK50)&gt;0,MIN(M50:EK50),"")</f>
        <v/>
      </c>
      <c r="G50" s="193">
        <f>IF(COUNT(M50:EK50)&gt;0,MAX(M50:EK50),"")</f>
        <v/>
      </c>
      <c r="H50" s="193">
        <f>IF(COUNT(M50:EK50)&gt;0,QUARTILE(M50:EK50,1),"")</f>
        <v/>
      </c>
      <c r="I50" s="193">
        <f>IF(COUNT(M50:EK50)&gt;0,QUARTILE(M50:EK50,3),"")</f>
        <v/>
      </c>
      <c r="J50" s="193">
        <f>IF(COUNT(M50:EK50)&gt;1,STDEV(M50:EK50),"")</f>
        <v/>
      </c>
      <c r="K50" s="194">
        <f>IF(COUNT(M50:EK50)&gt;1,STDEV(M50:EK50)/AVERAGE(M50:EK50),"")</f>
        <v/>
      </c>
      <c r="L50" s="195" t="n"/>
      <c r="M50" s="196" t="n">
        <v>24861</v>
      </c>
      <c r="N50" s="196" t="n">
        <v>52852</v>
      </c>
      <c r="O50" s="196" t="n">
        <v>-175568</v>
      </c>
      <c r="P50" s="196" t="n">
        <v>82974</v>
      </c>
      <c r="Q50" s="196" t="n">
        <v>23502</v>
      </c>
      <c r="R50" s="196" t="n">
        <v>15267</v>
      </c>
      <c r="S50" s="196" t="n">
        <v>-82186</v>
      </c>
      <c r="T50" s="196" t="n">
        <v>68757</v>
      </c>
      <c r="U50" s="196" t="n">
        <v>64304</v>
      </c>
      <c r="V50" s="196" t="n">
        <v>32626</v>
      </c>
      <c r="W50" s="196" t="n">
        <v>-105740</v>
      </c>
      <c r="X50" s="196" t="n">
        <v>114873</v>
      </c>
      <c r="Y50" s="196" t="n">
        <v>-13169</v>
      </c>
      <c r="Z50" s="196" t="n">
        <v>17811</v>
      </c>
      <c r="AA50" s="196" t="n">
        <v>-25037</v>
      </c>
      <c r="AB50" s="196" t="n">
        <v>60271</v>
      </c>
      <c r="AC50" s="196" t="n">
        <v>-15921</v>
      </c>
      <c r="AD50" s="196" t="n">
        <v>39880</v>
      </c>
      <c r="AE50" s="196" t="n">
        <v>-75821</v>
      </c>
      <c r="AF50" s="196" t="n">
        <v>88217</v>
      </c>
      <c r="AG50" s="196" t="n">
        <v>-7948</v>
      </c>
      <c r="AH50" s="196" t="n">
        <v>40727</v>
      </c>
      <c r="AI50" s="196" t="n">
        <v>-30372</v>
      </c>
      <c r="AJ50" s="196" t="n">
        <v>51251</v>
      </c>
      <c r="AK50" s="196" t="n">
        <v>58230</v>
      </c>
      <c r="AL50" s="196" t="n">
        <v>-37124</v>
      </c>
      <c r="AM50" s="196" t="n">
        <v>12369</v>
      </c>
      <c r="AN50" s="196" t="n">
        <v>18287</v>
      </c>
      <c r="AO50" s="196" t="n">
        <v>-3256</v>
      </c>
      <c r="AP50" s="196" t="n">
        <v>10823</v>
      </c>
      <c r="AQ50" s="196" t="n">
        <v>20662</v>
      </c>
      <c r="AR50" s="196" t="n">
        <v>-6434</v>
      </c>
      <c r="AS50" s="196" t="n">
        <v>8165</v>
      </c>
      <c r="AT50" s="196" t="n">
        <v>-6278</v>
      </c>
      <c r="AU50" s="196" t="n">
        <v>2611</v>
      </c>
      <c r="AV50" s="196" t="n">
        <v>45673</v>
      </c>
      <c r="AW50" s="196" t="n">
        <v>177</v>
      </c>
      <c r="AX50" s="196" t="n">
        <v>2424</v>
      </c>
      <c r="AY50" s="196" t="n">
        <v>13548</v>
      </c>
      <c r="AZ50" s="196" t="n">
        <v>-12213</v>
      </c>
      <c r="BA50" s="196" t="n">
        <v>32253</v>
      </c>
      <c r="BB50" s="196" t="n">
        <v>7283</v>
      </c>
      <c r="BC50" s="196" t="n">
        <v>-11961</v>
      </c>
      <c r="BD50" s="196" t="n">
        <v>23560</v>
      </c>
      <c r="BE50" s="196" t="n">
        <v>-9252</v>
      </c>
      <c r="BF50" s="196" t="n">
        <v>7425</v>
      </c>
      <c r="BG50" s="196" t="n">
        <v>-22425</v>
      </c>
      <c r="BH50" s="196" t="n">
        <v>18355</v>
      </c>
      <c r="BI50" s="196" t="n">
        <v>-15257</v>
      </c>
      <c r="BJ50" s="196" t="n">
        <v>14280</v>
      </c>
      <c r="BK50" s="196" t="n">
        <v>-14174</v>
      </c>
      <c r="BL50" s="196" t="n">
        <v>23392</v>
      </c>
      <c r="BM50" s="196" t="n">
        <v>-14303</v>
      </c>
      <c r="BN50" s="196" t="n">
        <v>7898</v>
      </c>
      <c r="BO50" s="196" t="n">
        <v>-6862</v>
      </c>
      <c r="BP50" s="196" t="n">
        <v>29625</v>
      </c>
      <c r="BQ50" s="196" t="n">
        <v>-13023</v>
      </c>
      <c r="BR50" s="196" t="n">
        <v>12116</v>
      </c>
      <c r="BS50" s="196" t="n">
        <v>-24377</v>
      </c>
      <c r="BT50" s="196" t="n">
        <v>18934</v>
      </c>
      <c r="BU50" s="196" t="n">
        <v>-10028</v>
      </c>
      <c r="BV50" s="196" t="n">
        <v>9548</v>
      </c>
      <c r="BW50" s="196" t="n">
        <v>-6012</v>
      </c>
      <c r="BX50" s="196" t="n">
        <v>14276</v>
      </c>
      <c r="BY50" s="196" t="n">
        <v>-14425</v>
      </c>
      <c r="BZ50" s="196" t="n">
        <v>13909</v>
      </c>
      <c r="CA50" s="196" t="n">
        <v>-21585</v>
      </c>
      <c r="CB50" s="196" t="n">
        <v>27459</v>
      </c>
      <c r="CC50" s="196" t="n">
        <v>-3350</v>
      </c>
      <c r="CD50" s="196" t="n">
        <v>17030</v>
      </c>
      <c r="CE50" s="196" t="n">
        <v>2222</v>
      </c>
      <c r="CF50" s="196" t="n">
        <v>-8308</v>
      </c>
      <c r="CG50" s="196" t="n">
        <v>-9738</v>
      </c>
      <c r="CH50" s="196" t="n">
        <v>6004</v>
      </c>
      <c r="CI50" s="196" t="n">
        <v>10592</v>
      </c>
      <c r="CJ50" s="196" t="n">
        <v>-5650</v>
      </c>
      <c r="CK50" s="196" t="n">
        <v>6451</v>
      </c>
      <c r="CL50" s="196" t="n">
        <v>4181</v>
      </c>
      <c r="CM50" s="196" t="n">
        <v>1681</v>
      </c>
      <c r="CN50" s="196" t="n">
        <v>-3665</v>
      </c>
      <c r="CO50" s="196" t="n">
        <v>-1550</v>
      </c>
      <c r="CP50" s="196" t="n">
        <v>4301</v>
      </c>
      <c r="CQ50" s="196" t="n">
        <v>2095</v>
      </c>
      <c r="CR50" s="196" t="n">
        <v>-475</v>
      </c>
      <c r="CS50" s="196" t="n">
        <v>6525</v>
      </c>
      <c r="CT50" s="196" t="n">
        <v>2101</v>
      </c>
      <c r="CU50" s="196" t="n">
        <v>6380</v>
      </c>
      <c r="CV50" s="196" t="n">
        <v>-2169</v>
      </c>
      <c r="CW50" s="196" t="n">
        <v>-3474</v>
      </c>
      <c r="CX50" s="196" t="n">
        <v>7308</v>
      </c>
      <c r="CY50" s="196" t="n">
        <v>1115</v>
      </c>
      <c r="CZ50" s="196" t="n">
        <v>506</v>
      </c>
      <c r="DA50" s="196" t="n">
        <v>2978.1</v>
      </c>
      <c r="DB50" s="196" t="n">
        <v>1593.3</v>
      </c>
      <c r="DC50" s="196" t="n">
        <v>1270.2</v>
      </c>
      <c r="DD50" s="196" t="n">
        <v>325.4</v>
      </c>
      <c r="DE50" s="196" t="n">
        <v>-2093.9</v>
      </c>
      <c r="DF50" s="196" t="n">
        <v>5283</v>
      </c>
      <c r="DG50" s="196" t="n">
        <v>-677.7</v>
      </c>
      <c r="DH50" s="196" t="n">
        <v>2613.7</v>
      </c>
      <c r="DI50" s="196" t="n">
        <v>-1020.9</v>
      </c>
      <c r="DJ50" s="196" t="n">
        <v>3159.3</v>
      </c>
      <c r="DK50" s="196" t="n">
        <v>385.4</v>
      </c>
      <c r="DL50" s="196" t="n">
        <v>2600.7</v>
      </c>
      <c r="DM50" s="196" t="n">
        <v>-2487.1</v>
      </c>
      <c r="DN50" s="196" t="n">
        <v>2598.3</v>
      </c>
      <c r="DO50" s="196" t="n">
        <v>2000</v>
      </c>
      <c r="DP50" s="196" t="n">
        <v>1700</v>
      </c>
      <c r="DQ50" s="196" t="n">
        <v>100</v>
      </c>
      <c r="DR50" s="196" t="n">
        <v>4600</v>
      </c>
      <c r="DS50" s="196" t="n">
        <v>-1000</v>
      </c>
      <c r="DT50" s="196" t="n">
        <v>400</v>
      </c>
      <c r="DU50" s="196" t="n">
        <v>-3600</v>
      </c>
      <c r="DV50" s="196" t="n">
        <v>2300</v>
      </c>
      <c r="DW50" s="196" t="n">
        <v>-1600</v>
      </c>
      <c r="DX50" s="196" t="n">
        <v>2000</v>
      </c>
      <c r="DY50" s="196" t="n">
        <v>-300</v>
      </c>
      <c r="DZ50" s="196" t="n">
        <v>600</v>
      </c>
      <c r="EA50" s="196" t="n">
        <v>-1100</v>
      </c>
      <c r="EB50" s="196" t="n">
        <v>2200</v>
      </c>
      <c r="EC50" s="196" t="n">
        <v>-2100</v>
      </c>
      <c r="ED50" s="196" t="n">
        <v>1600</v>
      </c>
      <c r="EE50" s="196" t="n">
        <v>1900</v>
      </c>
      <c r="EF50" s="196" t="n">
        <v>-600</v>
      </c>
      <c r="EG50" s="196" t="n">
        <v>100</v>
      </c>
      <c r="EH50" s="196" t="n">
        <v>1600</v>
      </c>
      <c r="EI50" s="196" t="n">
        <v>-100</v>
      </c>
      <c r="EJ50" s="196" t="n">
        <v>300</v>
      </c>
      <c r="EK50" s="196" t="n">
        <v>100</v>
      </c>
      <c r="EL50" s="182" t="n"/>
      <c r="EM50" s="176" t="n"/>
      <c r="EN50" s="176" t="n"/>
      <c r="EO50" s="176" t="n"/>
      <c r="EP50" s="176" t="n"/>
      <c r="EQ50" s="176" t="n"/>
      <c r="ER50" s="176" t="n"/>
      <c r="ES50" s="176" t="n"/>
      <c r="ET50" s="176" t="n"/>
      <c r="EU50" s="176" t="n"/>
      <c r="EV50" s="176" t="n"/>
      <c r="EW50" s="176" t="n"/>
      <c r="EX50" s="176" t="n"/>
      <c r="EY50" s="176" t="n"/>
      <c r="EZ50" s="176" t="n"/>
      <c r="FA50" s="176" t="n"/>
      <c r="FB50" s="176" t="n"/>
      <c r="FC50" s="176" t="n"/>
      <c r="FD50" s="176" t="n"/>
      <c r="FE50" s="176" t="n"/>
      <c r="FF50" s="176" t="n"/>
      <c r="FG50" s="176" t="n"/>
      <c r="FH50" s="176" t="n"/>
      <c r="FI50" s="176" t="n"/>
      <c r="FJ50" s="176" t="n"/>
    </row>
    <row r="51" ht="15" customHeight="1" s="392">
      <c r="A51" s="176" t="n"/>
      <c r="B51" s="180" t="n"/>
      <c r="C51" s="183" t="inlineStr">
        <is>
          <t xml:space="preserve">                Change in Deferred Assets/Liabilities</t>
        </is>
      </c>
      <c r="D51" s="190">
        <f>IF(COUNT(M51:EK51)&gt;0,MEDIAN(M51:EK51),"")</f>
        <v/>
      </c>
      <c r="E51" s="190">
        <f>IF(COUNT(M51:EK51)&gt;0,AVERAGE(M51:EK51),"")</f>
        <v/>
      </c>
      <c r="F51" s="190">
        <f>IF(COUNT(M51:EK51)&gt;0,MIN(M51:EK51),"")</f>
        <v/>
      </c>
      <c r="G51" s="190">
        <f>IF(COUNT(M51:EK51)&gt;0,MAX(M51:EK51),"")</f>
        <v/>
      </c>
      <c r="H51" s="190">
        <f>IF(COUNT(M51:EK51)&gt;0,QUARTILE(M51:EK51,1),"")</f>
        <v/>
      </c>
      <c r="I51" s="190">
        <f>IF(COUNT(M51:EK51)&gt;0,QUARTILE(M51:EK51,3),"")</f>
        <v/>
      </c>
      <c r="J51" s="190">
        <f>IF(COUNT(M51:EK51)&gt;1,STDEV(M51:EK51),"")</f>
        <v/>
      </c>
      <c r="K51" s="191">
        <f>IF(COUNT(M51:EK51)&gt;1,STDEV(M51:EK51)/AVERAGE(M51:EK51),"")</f>
        <v/>
      </c>
      <c r="M51" s="192" t="n">
        <v>-931</v>
      </c>
      <c r="N51" s="192" t="n">
        <v>2139</v>
      </c>
      <c r="O51" s="192" t="n">
        <v>644</v>
      </c>
      <c r="P51" s="192" t="n">
        <v>56</v>
      </c>
      <c r="Q51" s="192" t="n">
        <v>198</v>
      </c>
      <c r="R51" s="192" t="n">
        <v>3027</v>
      </c>
      <c r="S51" s="192" t="n">
        <v>1498</v>
      </c>
      <c r="T51" s="192" t="n">
        <v>-2564</v>
      </c>
      <c r="U51" s="192" t="n">
        <v>-793</v>
      </c>
      <c r="V51" s="192" t="n">
        <v>2673</v>
      </c>
      <c r="W51" s="192" t="n">
        <v>-1114</v>
      </c>
      <c r="X51" s="192" t="n">
        <v>1101</v>
      </c>
      <c r="Y51" s="192" t="n">
        <v>380</v>
      </c>
      <c r="Z51" s="192" t="n">
        <v>1807</v>
      </c>
      <c r="AA51" s="192" t="n">
        <v>4297</v>
      </c>
      <c r="AB51" s="192" t="n">
        <v>-588</v>
      </c>
      <c r="AC51" s="192" t="n">
        <v>-962</v>
      </c>
      <c r="AD51" s="192" t="n">
        <v>697</v>
      </c>
      <c r="AE51" s="192" t="n">
        <v>670</v>
      </c>
      <c r="AF51" s="192" t="n">
        <v>-979</v>
      </c>
      <c r="AG51" s="192" t="n">
        <v>314</v>
      </c>
      <c r="AH51" s="192" t="n">
        <v>2369</v>
      </c>
      <c r="AI51" s="192" t="n">
        <v>4847</v>
      </c>
      <c r="AJ51" s="192" t="n">
        <v>1251</v>
      </c>
      <c r="AK51" s="192" t="n">
        <v>250</v>
      </c>
      <c r="AL51" s="192" t="n">
        <v>344</v>
      </c>
      <c r="AM51" s="192" t="n">
        <v>2458</v>
      </c>
      <c r="AN51" s="192" t="n">
        <v>-1437</v>
      </c>
      <c r="AO51" s="192" t="n">
        <v>-1456</v>
      </c>
      <c r="AP51" s="192" t="n">
        <v>669</v>
      </c>
      <c r="AQ51" s="192" t="n">
        <v>2376</v>
      </c>
      <c r="AR51" s="192" t="n">
        <v>467</v>
      </c>
      <c r="AS51" s="192" t="n">
        <v>-1369</v>
      </c>
      <c r="AT51" s="192" t="n">
        <v>-856</v>
      </c>
      <c r="AU51" s="192" t="n">
        <v>1539</v>
      </c>
      <c r="AV51" s="192" t="n">
        <v>166</v>
      </c>
      <c r="AW51" s="192" t="n">
        <v>-1140</v>
      </c>
      <c r="AX51" s="192" t="n">
        <v>182</v>
      </c>
      <c r="AY51" s="192" t="n">
        <v>1952</v>
      </c>
      <c r="AZ51" s="192" t="n">
        <v>-602</v>
      </c>
      <c r="BA51" s="192" t="n">
        <v>-1055</v>
      </c>
      <c r="BB51" s="192" t="n">
        <v>228</v>
      </c>
      <c r="BC51" s="192" t="n">
        <v>1815</v>
      </c>
      <c r="BD51" s="192" t="n">
        <v>-5</v>
      </c>
      <c r="BE51" s="192" t="n">
        <v>-883</v>
      </c>
      <c r="BF51" s="192" t="n">
        <v>94</v>
      </c>
      <c r="BG51" s="192" t="n">
        <v>704</v>
      </c>
      <c r="BH51" s="192" t="n">
        <v>-353</v>
      </c>
      <c r="BI51" s="192" t="n">
        <v>-977</v>
      </c>
      <c r="BJ51" s="192" t="n">
        <v>-31</v>
      </c>
      <c r="BK51" s="192" t="n">
        <v>1001</v>
      </c>
      <c r="BL51" s="192" t="n">
        <v>-654</v>
      </c>
      <c r="BM51" s="192" t="n">
        <v>-886</v>
      </c>
      <c r="BN51" s="192" t="n">
        <v>43</v>
      </c>
      <c r="BO51" s="192" t="n">
        <v>146</v>
      </c>
      <c r="BP51" s="192" t="n">
        <v>-174</v>
      </c>
      <c r="BQ51" s="192" t="n">
        <v>-976</v>
      </c>
      <c r="BR51" s="192" t="n">
        <v>36</v>
      </c>
      <c r="BS51" s="192" t="n">
        <v>1805</v>
      </c>
      <c r="BT51" s="192" t="n">
        <v>-1108</v>
      </c>
      <c r="BU51" s="192" t="n">
        <v>-556</v>
      </c>
      <c r="BV51" s="192" t="n">
        <v>-777</v>
      </c>
      <c r="BW51" s="192" t="n">
        <v>1356</v>
      </c>
      <c r="BX51" s="192" t="n">
        <v>-5038</v>
      </c>
      <c r="BY51" s="192" t="n"/>
      <c r="BZ51" s="192" t="n"/>
      <c r="CA51" s="192" t="n"/>
      <c r="CB51" s="192" t="n"/>
      <c r="CC51" s="192" t="n"/>
      <c r="CD51" s="192" t="n"/>
      <c r="CE51" s="192" t="n"/>
      <c r="CF51" s="192" t="n"/>
      <c r="CG51" s="192" t="n"/>
      <c r="CH51" s="192" t="n"/>
      <c r="CI51" s="192" t="n"/>
      <c r="CJ51" s="192" t="n"/>
      <c r="CK51" s="192" t="n"/>
      <c r="CL51" s="192" t="n"/>
      <c r="CM51" s="192" t="n"/>
      <c r="CN51" s="192" t="n"/>
      <c r="CO51" s="192" t="n"/>
      <c r="CP51" s="192" t="n"/>
      <c r="CQ51" s="192" t="n"/>
      <c r="CR51" s="192" t="n"/>
      <c r="CS51" s="192" t="n"/>
      <c r="CT51" s="192" t="n"/>
      <c r="CU51" s="192" t="n"/>
      <c r="CV51" s="192" t="n"/>
      <c r="CW51" s="192" t="n"/>
      <c r="CX51" s="192" t="n"/>
      <c r="CY51" s="192" t="n"/>
      <c r="CZ51" s="192" t="n"/>
      <c r="DA51" s="192" t="n"/>
      <c r="DB51" s="192" t="n"/>
      <c r="DC51" s="192" t="n"/>
      <c r="DD51" s="192" t="n"/>
      <c r="DE51" s="192" t="n"/>
      <c r="DF51" s="192" t="n"/>
      <c r="DG51" s="192" t="n"/>
      <c r="DH51" s="192" t="n"/>
      <c r="DI51" s="192" t="n"/>
      <c r="DJ51" s="192" t="n"/>
      <c r="DK51" s="192" t="n"/>
      <c r="DL51" s="192" t="n"/>
      <c r="DM51" s="192" t="n"/>
      <c r="DN51" s="192" t="n"/>
      <c r="DO51" s="192" t="n"/>
      <c r="DP51" s="192" t="n"/>
      <c r="DQ51" s="192" t="n"/>
      <c r="DR51" s="192" t="n"/>
      <c r="DS51" s="192" t="n"/>
      <c r="DT51" s="192" t="n"/>
      <c r="DU51" s="192" t="n"/>
      <c r="DV51" s="192" t="n"/>
      <c r="DW51" s="192" t="n"/>
      <c r="DX51" s="192" t="n"/>
      <c r="DY51" s="192" t="n"/>
      <c r="DZ51" s="192" t="n"/>
      <c r="EA51" s="192" t="n"/>
      <c r="EB51" s="192" t="n"/>
      <c r="EC51" s="192" t="n"/>
      <c r="ED51" s="192" t="n"/>
      <c r="EE51" s="192" t="n"/>
      <c r="EF51" s="192" t="n"/>
      <c r="EG51" s="192" t="n"/>
      <c r="EH51" s="192" t="n"/>
      <c r="EI51" s="192" t="n"/>
      <c r="EJ51" s="192" t="n"/>
      <c r="EK51" s="192" t="n"/>
      <c r="EL51" s="182" t="n"/>
      <c r="EM51" s="176" t="n"/>
      <c r="EN51" s="176" t="n"/>
      <c r="EO51" s="176" t="n"/>
      <c r="EP51" s="176" t="n"/>
      <c r="EQ51" s="176" t="n"/>
      <c r="ER51" s="176" t="n"/>
      <c r="ES51" s="176" t="n"/>
      <c r="ET51" s="176" t="n"/>
      <c r="EU51" s="176" t="n"/>
      <c r="EV51" s="176" t="n"/>
      <c r="EW51" s="176" t="n"/>
      <c r="EX51" s="176" t="n"/>
      <c r="EY51" s="176" t="n"/>
      <c r="EZ51" s="176" t="n"/>
      <c r="FA51" s="176" t="n"/>
      <c r="FB51" s="176" t="n"/>
      <c r="FC51" s="176" t="n"/>
      <c r="FD51" s="176" t="n"/>
      <c r="FE51" s="176" t="n"/>
      <c r="FF51" s="176" t="n"/>
      <c r="FG51" s="176" t="n"/>
      <c r="FH51" s="176" t="n"/>
      <c r="FI51" s="176" t="n"/>
      <c r="FJ51" s="176" t="n"/>
    </row>
    <row r="52" ht="15" customHeight="1" s="392">
      <c r="A52" s="176" t="n"/>
      <c r="B52" s="180" t="n"/>
      <c r="C52" s="183" t="inlineStr">
        <is>
          <t xml:space="preserve">                Change in Other Current Liabilities</t>
        </is>
      </c>
      <c r="D52" s="190">
        <f>IF(COUNT(M52:EK52)&gt;0,MEDIAN(M52:EK52),"")</f>
        <v/>
      </c>
      <c r="E52" s="190">
        <f>IF(COUNT(M52:EK52)&gt;0,AVERAGE(M52:EK52),"")</f>
        <v/>
      </c>
      <c r="F52" s="190">
        <f>IF(COUNT(M52:EK52)&gt;0,MIN(M52:EK52),"")</f>
        <v/>
      </c>
      <c r="G52" s="190">
        <f>IF(COUNT(M52:EK52)&gt;0,MAX(M52:EK52),"")</f>
        <v/>
      </c>
      <c r="H52" s="190">
        <f>IF(COUNT(M52:EK52)&gt;0,QUARTILE(M52:EK52,1),"")</f>
        <v/>
      </c>
      <c r="I52" s="190">
        <f>IF(COUNT(M52:EK52)&gt;0,QUARTILE(M52:EK52,3),"")</f>
        <v/>
      </c>
      <c r="J52" s="190">
        <f>IF(COUNT(M52:EK52)&gt;1,STDEV(M52:EK52),"")</f>
        <v/>
      </c>
      <c r="K52" s="191">
        <f>IF(COUNT(M52:EK52)&gt;1,STDEV(M52:EK52)/AVERAGE(M52:EK52),"")</f>
        <v/>
      </c>
      <c r="M52" s="192" t="n"/>
      <c r="N52" s="192" t="n"/>
      <c r="O52" s="192" t="n"/>
      <c r="P52" s="192" t="n"/>
      <c r="Q52" s="192" t="n"/>
      <c r="R52" s="192" t="n"/>
      <c r="S52" s="192" t="n"/>
      <c r="T52" s="192" t="n"/>
      <c r="U52" s="192" t="n"/>
      <c r="V52" s="192" t="n"/>
      <c r="W52" s="192" t="n"/>
      <c r="X52" s="192" t="n"/>
      <c r="Y52" s="192" t="n"/>
      <c r="Z52" s="192" t="n"/>
      <c r="AA52" s="192" t="n"/>
      <c r="AB52" s="192" t="n"/>
      <c r="AC52" s="192" t="n"/>
      <c r="AD52" s="192" t="n"/>
      <c r="AE52" s="192" t="n"/>
      <c r="AF52" s="192" t="n"/>
      <c r="AG52" s="192" t="n"/>
      <c r="AH52" s="192" t="n"/>
      <c r="AI52" s="192" t="n"/>
      <c r="AJ52" s="192" t="n"/>
      <c r="AK52" s="192" t="n">
        <v>-1501</v>
      </c>
      <c r="AL52" s="192" t="n">
        <v>2370</v>
      </c>
      <c r="AM52" s="192" t="n">
        <v>-219</v>
      </c>
      <c r="AN52" s="192" t="n">
        <v>-152</v>
      </c>
      <c r="AO52" s="192" t="n">
        <v>1706</v>
      </c>
      <c r="AP52" s="192" t="n">
        <v>-380</v>
      </c>
      <c r="AQ52" s="192" t="n">
        <v>-227</v>
      </c>
      <c r="AR52" s="192" t="n">
        <v>-435</v>
      </c>
      <c r="AS52" s="192" t="n">
        <v>-336</v>
      </c>
      <c r="AT52" s="192" t="n">
        <v>-335</v>
      </c>
      <c r="AU52" s="192" t="n">
        <v>452</v>
      </c>
      <c r="AV52" s="192" t="n">
        <v>-368</v>
      </c>
      <c r="AW52" s="192" t="n">
        <v>-101</v>
      </c>
      <c r="AX52" s="192" t="n">
        <v>-366</v>
      </c>
      <c r="AY52" s="192" t="n">
        <v>-341</v>
      </c>
      <c r="AZ52" s="192" t="n">
        <v>-337</v>
      </c>
      <c r="BA52" s="192" t="n">
        <v>2977</v>
      </c>
      <c r="BB52" s="192" t="n">
        <v>-349</v>
      </c>
      <c r="BC52" s="192" t="n">
        <v>-356</v>
      </c>
      <c r="BD52" s="192" t="n">
        <v>-433</v>
      </c>
      <c r="BE52" s="192" t="n">
        <v>-409</v>
      </c>
      <c r="BF52" s="192" t="n">
        <v>-446</v>
      </c>
      <c r="BG52" s="192" t="n">
        <v>-308</v>
      </c>
      <c r="BH52" s="192" t="n">
        <v>-503</v>
      </c>
      <c r="BI52" s="192" t="n">
        <v>-244</v>
      </c>
      <c r="BJ52" s="192" t="n">
        <v>-220</v>
      </c>
      <c r="BK52" s="192" t="n">
        <v>-342</v>
      </c>
      <c r="BL52" s="192" t="n">
        <v>2309</v>
      </c>
      <c r="BM52" s="192" t="n">
        <v>122</v>
      </c>
      <c r="BN52" s="192" t="n">
        <v>167</v>
      </c>
      <c r="BO52" s="192" t="n">
        <v>140</v>
      </c>
      <c r="BP52" s="192" t="n">
        <v>131</v>
      </c>
      <c r="BQ52" s="192" t="n">
        <v>1949</v>
      </c>
      <c r="BR52" s="192" t="n">
        <v>-179</v>
      </c>
      <c r="BS52" s="192" t="n"/>
      <c r="BT52" s="192" t="n"/>
      <c r="BU52" s="192" t="n"/>
      <c r="BV52" s="192" t="n"/>
      <c r="BW52" s="192" t="n"/>
      <c r="BX52" s="192" t="n"/>
      <c r="BY52" s="192" t="n"/>
      <c r="BZ52" s="192" t="n"/>
      <c r="CA52" s="192" t="n">
        <v>620</v>
      </c>
      <c r="CB52" s="192" t="n">
        <v>-868</v>
      </c>
      <c r="CC52" s="192" t="n"/>
      <c r="CD52" s="192" t="n"/>
      <c r="CE52" s="192" t="n">
        <v>-7898</v>
      </c>
      <c r="CF52" s="192" t="n">
        <v>9733</v>
      </c>
      <c r="CG52" s="192" t="n">
        <v>-1055</v>
      </c>
      <c r="CH52" s="192" t="n">
        <v>6472</v>
      </c>
      <c r="CI52" s="192" t="n">
        <v>-22309</v>
      </c>
      <c r="CJ52" s="192" t="n">
        <v>17511</v>
      </c>
      <c r="CK52" s="192" t="n">
        <v>-3613</v>
      </c>
      <c r="CL52" s="192" t="n">
        <v>8767</v>
      </c>
      <c r="CM52" s="192" t="n">
        <v>-18403</v>
      </c>
      <c r="CN52" s="192" t="n">
        <v>14482</v>
      </c>
      <c r="CO52" s="192" t="n">
        <v>-6639</v>
      </c>
      <c r="CP52" s="192" t="n">
        <v>-1737</v>
      </c>
      <c r="CQ52" s="192" t="n">
        <v>-6718</v>
      </c>
      <c r="CR52" s="192" t="n">
        <v>10764</v>
      </c>
      <c r="CS52" s="192" t="n">
        <v>-2207</v>
      </c>
      <c r="CT52" s="192" t="n">
        <v>4680</v>
      </c>
      <c r="CU52" s="192" t="n">
        <v>-5267</v>
      </c>
      <c r="CV52" s="192" t="n">
        <v>10567</v>
      </c>
      <c r="CW52" s="192" t="n">
        <v>-3375</v>
      </c>
      <c r="CX52" s="192" t="n">
        <v>6421</v>
      </c>
      <c r="CY52" s="192" t="n">
        <v>-3337</v>
      </c>
      <c r="CZ52" s="192" t="n">
        <v>10990</v>
      </c>
      <c r="DA52" s="192" t="n">
        <v>-6650.9</v>
      </c>
      <c r="DB52" s="192" t="n">
        <v>34.1</v>
      </c>
      <c r="DC52" s="192" t="n">
        <v>-3428.9</v>
      </c>
      <c r="DD52" s="192" t="n">
        <v>5129.7</v>
      </c>
      <c r="DE52" s="192" t="n">
        <v>-3287.7</v>
      </c>
      <c r="DF52" s="192" t="n">
        <v>2295.5</v>
      </c>
      <c r="DG52" s="192" t="n">
        <v>-4146.2</v>
      </c>
      <c r="DH52" s="192" t="n">
        <v>5101.1</v>
      </c>
      <c r="DI52" s="192" t="n">
        <v>-801</v>
      </c>
      <c r="DJ52" s="192" t="n">
        <v>1654.5</v>
      </c>
      <c r="DK52" s="192" t="n">
        <v>4124.9</v>
      </c>
      <c r="DL52" s="192" t="n">
        <v>6515.7</v>
      </c>
      <c r="DM52" s="192" t="n">
        <v>-260.4</v>
      </c>
      <c r="DN52" s="192" t="n">
        <v>-164.8</v>
      </c>
      <c r="DO52" s="192" t="n">
        <v>-900</v>
      </c>
      <c r="DP52" s="192" t="n">
        <v>2900</v>
      </c>
      <c r="DQ52" s="192" t="n">
        <v>-300</v>
      </c>
      <c r="DR52" s="192" t="n">
        <v>-600</v>
      </c>
      <c r="DS52" s="192" t="n">
        <v>-200</v>
      </c>
      <c r="DT52" s="192" t="n">
        <v>2300</v>
      </c>
      <c r="DU52" s="192" t="n">
        <v>-800</v>
      </c>
      <c r="DV52" s="192" t="n">
        <v>-700</v>
      </c>
      <c r="DW52" s="192" t="n">
        <v>-400</v>
      </c>
      <c r="DX52" s="192" t="n">
        <v>1300</v>
      </c>
      <c r="DY52" s="192" t="n">
        <v>400</v>
      </c>
      <c r="DZ52" s="192" t="n">
        <v>2000</v>
      </c>
      <c r="EA52" s="192" t="n">
        <v>700</v>
      </c>
      <c r="EB52" s="192" t="n">
        <v>200</v>
      </c>
      <c r="EC52" s="192" t="n">
        <v>-1900</v>
      </c>
      <c r="ED52" s="192" t="n"/>
      <c r="EE52" s="192" t="n"/>
      <c r="EF52" s="192" t="n">
        <v>1700</v>
      </c>
      <c r="EG52" s="192" t="n">
        <v>-1400</v>
      </c>
      <c r="EH52" s="192" t="n">
        <v>1100</v>
      </c>
      <c r="EI52" s="192" t="n">
        <v>1300</v>
      </c>
      <c r="EJ52" s="192" t="n">
        <v>900</v>
      </c>
      <c r="EK52" s="192" t="n"/>
      <c r="EL52" s="182" t="n"/>
      <c r="EM52" s="176" t="n"/>
      <c r="EN52" s="176" t="n"/>
      <c r="EO52" s="176" t="n"/>
      <c r="EP52" s="176" t="n"/>
      <c r="EQ52" s="176" t="n"/>
      <c r="ER52" s="176" t="n"/>
      <c r="ES52" s="176" t="n"/>
      <c r="ET52" s="176" t="n"/>
      <c r="EU52" s="176" t="n"/>
      <c r="EV52" s="176" t="n"/>
      <c r="EW52" s="176" t="n"/>
      <c r="EX52" s="176" t="n"/>
      <c r="EY52" s="176" t="n"/>
      <c r="EZ52" s="176" t="n"/>
      <c r="FA52" s="176" t="n"/>
      <c r="FB52" s="176" t="n"/>
      <c r="FC52" s="176" t="n"/>
      <c r="FD52" s="176" t="n"/>
      <c r="FE52" s="176" t="n"/>
      <c r="FF52" s="176" t="n"/>
      <c r="FG52" s="176" t="n"/>
      <c r="FH52" s="176" t="n"/>
      <c r="FI52" s="176" t="n"/>
      <c r="FJ52" s="176" t="n"/>
    </row>
    <row r="53" ht="15" customHeight="1" s="392">
      <c r="A53" s="176" t="n"/>
      <c r="B53" s="180" t="n"/>
      <c r="C53" s="183" t="inlineStr">
        <is>
          <t xml:space="preserve">                Change in Other Operating Capital</t>
        </is>
      </c>
      <c r="D53" s="190">
        <f>IF(COUNT(M53:EK53)&gt;0,MEDIAN(M53:EK53),"")</f>
        <v/>
      </c>
      <c r="E53" s="190">
        <f>IF(COUNT(M53:EK53)&gt;0,AVERAGE(M53:EK53),"")</f>
        <v/>
      </c>
      <c r="F53" s="190">
        <f>IF(COUNT(M53:EK53)&gt;0,MIN(M53:EK53),"")</f>
        <v/>
      </c>
      <c r="G53" s="190">
        <f>IF(COUNT(M53:EK53)&gt;0,MAX(M53:EK53),"")</f>
        <v/>
      </c>
      <c r="H53" s="190">
        <f>IF(COUNT(M53:EK53)&gt;0,QUARTILE(M53:EK53,1),"")</f>
        <v/>
      </c>
      <c r="I53" s="190">
        <f>IF(COUNT(M53:EK53)&gt;0,QUARTILE(M53:EK53,3),"")</f>
        <v/>
      </c>
      <c r="J53" s="190">
        <f>IF(COUNT(M53:EK53)&gt;1,STDEV(M53:EK53),"")</f>
        <v/>
      </c>
      <c r="K53" s="191">
        <f>IF(COUNT(M53:EK53)&gt;1,STDEV(M53:EK53)/AVERAGE(M53:EK53),"")</f>
        <v/>
      </c>
      <c r="M53" s="192" t="n">
        <v>-163</v>
      </c>
      <c r="N53" s="192" t="n">
        <v>320</v>
      </c>
      <c r="O53" s="192" t="n">
        <v>243</v>
      </c>
      <c r="P53" s="192" t="n">
        <v>290</v>
      </c>
      <c r="Q53" s="192" t="n">
        <v>-437</v>
      </c>
      <c r="R53" s="192" t="n">
        <v>301</v>
      </c>
      <c r="S53" s="192" t="n">
        <v>-269</v>
      </c>
      <c r="T53" s="192" t="n">
        <v>883</v>
      </c>
      <c r="U53" s="192" t="n">
        <v>-313</v>
      </c>
      <c r="V53" s="192" t="n">
        <v>512</v>
      </c>
      <c r="W53" s="192" t="n">
        <v>499</v>
      </c>
      <c r="X53" s="192" t="n">
        <v>366</v>
      </c>
      <c r="Y53" s="192" t="n">
        <v>-245</v>
      </c>
      <c r="Z53" s="192" t="n">
        <v>181</v>
      </c>
      <c r="AA53" s="192" t="n">
        <v>362</v>
      </c>
      <c r="AB53" s="192" t="n">
        <v>52</v>
      </c>
      <c r="AC53" s="192" t="n">
        <v>279</v>
      </c>
      <c r="AD53" s="192" t="n">
        <v>-221</v>
      </c>
      <c r="AE53" s="192" t="n">
        <v>275</v>
      </c>
      <c r="AF53" s="192" t="n">
        <v>382</v>
      </c>
      <c r="AG53" s="192" t="n">
        <v>181</v>
      </c>
      <c r="AH53" s="192" t="n">
        <v>-81</v>
      </c>
      <c r="AI53" s="192" t="n">
        <v>317</v>
      </c>
      <c r="AJ53" s="192" t="n">
        <v>153</v>
      </c>
      <c r="AK53" s="192" t="n">
        <v>-351</v>
      </c>
      <c r="AL53" s="192" t="n">
        <v>-552</v>
      </c>
      <c r="AM53" s="192" t="n">
        <v>75</v>
      </c>
      <c r="AN53" s="192" t="n">
        <v>256</v>
      </c>
      <c r="AO53" s="192" t="n">
        <v>0</v>
      </c>
      <c r="AP53" s="192" t="n">
        <v>0</v>
      </c>
      <c r="AQ53" s="192" t="n">
        <v>0</v>
      </c>
      <c r="AR53" s="192" t="n">
        <v>0</v>
      </c>
      <c r="AS53" s="192" t="n">
        <v>413</v>
      </c>
      <c r="AT53" s="192" t="n">
        <v>3907</v>
      </c>
      <c r="AU53" s="192" t="n">
        <v>-1900</v>
      </c>
      <c r="AV53" s="192" t="n">
        <v>-2420</v>
      </c>
      <c r="AW53" s="192" t="n">
        <v>2270</v>
      </c>
      <c r="AX53" s="192" t="n">
        <v>-384</v>
      </c>
      <c r="AY53" s="192" t="n">
        <v>-599</v>
      </c>
      <c r="AZ53" s="192" t="n">
        <v>-202</v>
      </c>
      <c r="BA53" s="192" t="n">
        <v>958</v>
      </c>
      <c r="BB53" s="192" t="n">
        <v>2758</v>
      </c>
      <c r="BC53" s="192" t="n">
        <v>1484</v>
      </c>
      <c r="BD53" s="192" t="n">
        <v>-1036</v>
      </c>
      <c r="BE53" s="192" t="n">
        <v>2541</v>
      </c>
      <c r="BF53" s="192" t="n">
        <v>2216</v>
      </c>
      <c r="BG53" s="192" t="n">
        <v>2782</v>
      </c>
      <c r="BH53" s="192" t="n">
        <v>2586</v>
      </c>
      <c r="BI53" s="192" t="n">
        <v>3233</v>
      </c>
      <c r="BJ53" s="192" t="n">
        <v>469</v>
      </c>
      <c r="BK53" s="192" t="n">
        <v>2425</v>
      </c>
      <c r="BL53" s="192" t="n">
        <v>-15027</v>
      </c>
      <c r="BM53" s="192" t="n">
        <v>-12569</v>
      </c>
      <c r="BN53" s="192" t="n">
        <v>869</v>
      </c>
      <c r="BO53" s="192" t="n">
        <v>-975</v>
      </c>
      <c r="BP53" s="192" t="n">
        <v>-6039</v>
      </c>
      <c r="BQ53" s="192" t="n">
        <v>-2527</v>
      </c>
      <c r="BR53" s="192" t="n">
        <v>329</v>
      </c>
      <c r="BS53" s="192" t="n">
        <v>3938</v>
      </c>
      <c r="BT53" s="192" t="n">
        <v>-3691</v>
      </c>
      <c r="BU53" s="192" t="n">
        <v>-964</v>
      </c>
      <c r="BV53" s="192" t="n">
        <v>-7720</v>
      </c>
      <c r="BW53" s="192" t="n">
        <v>9966</v>
      </c>
      <c r="BX53" s="192" t="n">
        <v>-543</v>
      </c>
      <c r="BY53" s="192" t="n">
        <v>140</v>
      </c>
      <c r="BZ53" s="192" t="n">
        <v>-182</v>
      </c>
      <c r="CA53" s="192" t="n">
        <v>102</v>
      </c>
      <c r="CB53" s="192" t="n">
        <v>251</v>
      </c>
      <c r="CC53" s="192" t="n">
        <v>2114</v>
      </c>
      <c r="CD53" s="192" t="n">
        <v>-10204</v>
      </c>
      <c r="CE53" s="192" t="n">
        <v>2017</v>
      </c>
      <c r="CF53" s="192" t="n">
        <v>-276</v>
      </c>
      <c r="CG53" s="192" t="n">
        <v>-17431</v>
      </c>
      <c r="CH53" s="192" t="n">
        <v>496</v>
      </c>
      <c r="CI53" s="192" t="n">
        <v>-2888</v>
      </c>
      <c r="CJ53" s="192" t="n">
        <v>-458</v>
      </c>
      <c r="CK53" s="192" t="n">
        <v>958</v>
      </c>
      <c r="CL53" s="192" t="n">
        <v>-410</v>
      </c>
      <c r="CM53" s="192" t="n">
        <v>443</v>
      </c>
      <c r="CN53" s="192" t="n">
        <v>-296</v>
      </c>
      <c r="CO53" s="192" t="n">
        <v>343</v>
      </c>
      <c r="CP53" s="192" t="n"/>
      <c r="CQ53" s="192" t="n"/>
      <c r="CR53" s="192" t="n">
        <v>-2101</v>
      </c>
      <c r="CS53" s="192" t="n"/>
      <c r="CT53" s="192" t="n"/>
      <c r="CU53" s="192" t="n"/>
      <c r="CV53" s="192" t="n"/>
      <c r="CW53" s="192" t="n"/>
      <c r="CX53" s="192" t="n"/>
      <c r="CY53" s="192" t="n"/>
      <c r="CZ53" s="192" t="n"/>
      <c r="DA53" s="192" t="n"/>
      <c r="DB53" s="192" t="n"/>
      <c r="DC53" s="192" t="n"/>
      <c r="DD53" s="192" t="n"/>
      <c r="DE53" s="192" t="n"/>
      <c r="DF53" s="192" t="n"/>
      <c r="DG53" s="192" t="n"/>
      <c r="DH53" s="192" t="n"/>
      <c r="DI53" s="192" t="n"/>
      <c r="DJ53" s="192" t="n"/>
      <c r="DK53" s="192" t="n"/>
      <c r="DL53" s="192" t="n"/>
      <c r="DM53" s="192" t="n"/>
      <c r="DN53" s="192" t="n"/>
      <c r="DO53" s="192" t="n"/>
      <c r="DP53" s="192" t="n"/>
      <c r="DQ53" s="192" t="n"/>
      <c r="DR53" s="192" t="n"/>
      <c r="DS53" s="192" t="n"/>
      <c r="DT53" s="192" t="n"/>
      <c r="DU53" s="192" t="n"/>
      <c r="DV53" s="192" t="n"/>
      <c r="DW53" s="192" t="n"/>
      <c r="DX53" s="192" t="n"/>
      <c r="DY53" s="192" t="n"/>
      <c r="DZ53" s="192" t="n"/>
      <c r="EA53" s="192" t="n"/>
      <c r="EB53" s="192" t="n"/>
      <c r="EC53" s="192" t="n"/>
      <c r="ED53" s="192" t="n"/>
      <c r="EE53" s="192" t="n"/>
      <c r="EF53" s="192" t="n"/>
      <c r="EG53" s="192" t="n"/>
      <c r="EH53" s="192" t="n"/>
      <c r="EI53" s="192" t="n"/>
      <c r="EJ53" s="192" t="n"/>
      <c r="EK53" s="192" t="n"/>
      <c r="EL53" s="182" t="n"/>
      <c r="EM53" s="176" t="n"/>
      <c r="EN53" s="176" t="n"/>
      <c r="EO53" s="176" t="n"/>
      <c r="EP53" s="176" t="n"/>
      <c r="EQ53" s="176" t="n"/>
      <c r="ER53" s="176" t="n"/>
      <c r="ES53" s="176" t="n"/>
      <c r="ET53" s="176" t="n"/>
      <c r="EU53" s="176" t="n"/>
      <c r="EV53" s="176" t="n"/>
      <c r="EW53" s="176" t="n"/>
      <c r="EX53" s="176" t="n"/>
      <c r="EY53" s="176" t="n"/>
      <c r="EZ53" s="176" t="n"/>
      <c r="FA53" s="176" t="n"/>
      <c r="FB53" s="176" t="n"/>
      <c r="FC53" s="176" t="n"/>
      <c r="FD53" s="176" t="n"/>
      <c r="FE53" s="176" t="n"/>
      <c r="FF53" s="176" t="n"/>
      <c r="FG53" s="176" t="n"/>
      <c r="FH53" s="176" t="n"/>
      <c r="FI53" s="176" t="n"/>
      <c r="FJ53" s="176" t="n"/>
    </row>
    <row r="54" ht="15" customHeight="1" s="392">
      <c r="A54" s="176" t="n"/>
      <c r="B54" s="180" t="n"/>
      <c r="C54" s="187" t="inlineStr">
        <is>
          <t xml:space="preserve">            Total Changes in Operating Capital</t>
        </is>
      </c>
      <c r="D54" s="193">
        <f>IF(COUNT(M54:EK54)&gt;0,MEDIAN(M54:EK54),"")</f>
        <v/>
      </c>
      <c r="E54" s="193">
        <f>IF(COUNT(M54:EK54)&gt;0,AVERAGE(M54:EK54),"")</f>
        <v/>
      </c>
      <c r="F54" s="193">
        <f>IF(COUNT(M54:EK54)&gt;0,MIN(M54:EK54),"")</f>
        <v/>
      </c>
      <c r="G54" s="193">
        <f>IF(COUNT(M54:EK54)&gt;0,MAX(M54:EK54),"")</f>
        <v/>
      </c>
      <c r="H54" s="193">
        <f>IF(COUNT(M54:EK54)&gt;0,QUARTILE(M54:EK54,1),"")</f>
        <v/>
      </c>
      <c r="I54" s="193">
        <f>IF(COUNT(M54:EK54)&gt;0,QUARTILE(M54:EK54,3),"")</f>
        <v/>
      </c>
      <c r="J54" s="193">
        <f>IF(COUNT(M54:EK54)&gt;1,STDEV(M54:EK54),"")</f>
        <v/>
      </c>
      <c r="K54" s="194">
        <f>IF(COUNT(M54:EK54)&gt;1,STDEV(M54:EK54)/AVERAGE(M54:EK54),"")</f>
        <v/>
      </c>
      <c r="L54" s="195" t="n"/>
      <c r="M54" s="196" t="n">
        <v>-91989</v>
      </c>
      <c r="N54" s="196" t="n">
        <v>110596</v>
      </c>
      <c r="O54" s="196" t="n">
        <v>-289643</v>
      </c>
      <c r="P54" s="196" t="n">
        <v>63433</v>
      </c>
      <c r="Q54" s="196" t="n">
        <v>5932</v>
      </c>
      <c r="R54" s="196" t="n">
        <v>233646</v>
      </c>
      <c r="S54" s="196" t="n">
        <v>-270158</v>
      </c>
      <c r="T54" s="196" t="n">
        <v>53140</v>
      </c>
      <c r="U54" s="196" t="n">
        <v>58392</v>
      </c>
      <c r="V54" s="196" t="n">
        <v>49878</v>
      </c>
      <c r="W54" s="196" t="n">
        <v>-219207</v>
      </c>
      <c r="X54" s="196" t="n">
        <v>-3200</v>
      </c>
      <c r="Y54" s="196" t="n">
        <v>-55509</v>
      </c>
      <c r="Z54" s="196" t="n">
        <v>107443</v>
      </c>
      <c r="AA54" s="196" t="n">
        <v>-154782</v>
      </c>
      <c r="AB54" s="196" t="n">
        <v>14567</v>
      </c>
      <c r="AC54" s="196" t="n">
        <v>-16129</v>
      </c>
      <c r="AD54" s="196" t="n">
        <v>84238</v>
      </c>
      <c r="AE54" s="196" t="n">
        <v>-195930</v>
      </c>
      <c r="AF54" s="196" t="n">
        <v>2334</v>
      </c>
      <c r="AG54" s="196" t="n">
        <v>-76153</v>
      </c>
      <c r="AH54" s="196" t="n">
        <v>66862</v>
      </c>
      <c r="AI54" s="196" t="n">
        <v>-103524</v>
      </c>
      <c r="AJ54" s="196" t="n">
        <v>16997</v>
      </c>
      <c r="AK54" s="196" t="n">
        <v>54320</v>
      </c>
      <c r="AL54" s="196" t="n">
        <v>111406</v>
      </c>
      <c r="AM54" s="196" t="n">
        <v>-58804</v>
      </c>
      <c r="AN54" s="196" t="n">
        <v>-40763</v>
      </c>
      <c r="AO54" s="196" t="n">
        <v>1419</v>
      </c>
      <c r="AP54" s="196" t="n">
        <v>11684</v>
      </c>
      <c r="AQ54" s="196" t="n">
        <v>-53660</v>
      </c>
      <c r="AR54" s="196" t="n">
        <v>-33353</v>
      </c>
      <c r="AS54" s="196" t="n">
        <v>-3417</v>
      </c>
      <c r="AT54" s="196" t="n">
        <v>43541</v>
      </c>
      <c r="AU54" s="196" t="n">
        <v>-35154</v>
      </c>
      <c r="AV54" s="196" t="n">
        <v>-13175</v>
      </c>
      <c r="AW54" s="196" t="n">
        <v>36545</v>
      </c>
      <c r="AX54" s="196" t="n">
        <v>85053</v>
      </c>
      <c r="AY54" s="196" t="n">
        <v>-7001</v>
      </c>
      <c r="AZ54" s="196" t="n">
        <v>-135389</v>
      </c>
      <c r="BA54" s="196" t="n">
        <v>14983</v>
      </c>
      <c r="BB54" s="196" t="n">
        <v>32820</v>
      </c>
      <c r="BC54" s="196" t="n">
        <v>-70873</v>
      </c>
      <c r="BD54" s="196" t="n">
        <v>6945</v>
      </c>
      <c r="BE54" s="196" t="n">
        <v>-10607</v>
      </c>
      <c r="BF54" s="196" t="n">
        <v>35567</v>
      </c>
      <c r="BG54" s="196" t="n">
        <v>-60834</v>
      </c>
      <c r="BH54" s="196" t="n">
        <v>14222</v>
      </c>
      <c r="BI54" s="196" t="n">
        <v>-15384</v>
      </c>
      <c r="BJ54" s="196" t="n">
        <v>49046</v>
      </c>
      <c r="BK54" s="196" t="n">
        <v>-51497</v>
      </c>
      <c r="BL54" s="196" t="n">
        <v>10314</v>
      </c>
      <c r="BM54" s="196" t="n">
        <v>-43551</v>
      </c>
      <c r="BN54" s="196" t="n">
        <v>55075</v>
      </c>
      <c r="BO54" s="196" t="n">
        <v>-74849</v>
      </c>
      <c r="BP54" s="196" t="n">
        <v>17361</v>
      </c>
      <c r="BQ54" s="196" t="n">
        <v>-23146</v>
      </c>
      <c r="BR54" s="196" t="n">
        <v>38468</v>
      </c>
      <c r="BS54" s="196" t="n">
        <v>-34801</v>
      </c>
      <c r="BT54" s="196" t="n">
        <v>10585</v>
      </c>
      <c r="BU54" s="196" t="n">
        <v>-14904</v>
      </c>
      <c r="BV54" s="196" t="n">
        <v>42914</v>
      </c>
      <c r="BW54" s="196" t="n">
        <v>-34895</v>
      </c>
      <c r="BX54" s="196" t="n">
        <v>22235</v>
      </c>
      <c r="BY54" s="196" t="n">
        <v>-24887</v>
      </c>
      <c r="BZ54" s="196" t="n">
        <v>31654</v>
      </c>
      <c r="CA54" s="196" t="n">
        <v>-42661</v>
      </c>
      <c r="CB54" s="196" t="n">
        <v>31971</v>
      </c>
      <c r="CC54" s="196" t="n">
        <v>175</v>
      </c>
      <c r="CD54" s="196" t="n">
        <v>56350</v>
      </c>
      <c r="CE54" s="196" t="n">
        <v>-35737</v>
      </c>
      <c r="CF54" s="196" t="n">
        <v>782</v>
      </c>
      <c r="CG54" s="196" t="n">
        <v>-11184</v>
      </c>
      <c r="CH54" s="196" t="n">
        <v>30443</v>
      </c>
      <c r="CI54" s="196" t="n">
        <v>-43890</v>
      </c>
      <c r="CJ54" s="196" t="n">
        <v>6945</v>
      </c>
      <c r="CK54" s="196" t="n">
        <v>8697</v>
      </c>
      <c r="CL54" s="196" t="n">
        <v>21256</v>
      </c>
      <c r="CM54" s="196" t="n">
        <v>-31963</v>
      </c>
      <c r="CN54" s="196" t="n">
        <v>13148</v>
      </c>
      <c r="CO54" s="196" t="n">
        <v>5885</v>
      </c>
      <c r="CP54" s="196" t="n">
        <v>20813</v>
      </c>
      <c r="CQ54" s="196" t="n">
        <v>-40442</v>
      </c>
      <c r="CR54" s="196" t="n">
        <v>1008</v>
      </c>
      <c r="CS54" s="196" t="n">
        <v>8008</v>
      </c>
      <c r="CT54" s="196" t="n">
        <v>15714</v>
      </c>
      <c r="CU54" s="196" t="n">
        <v>-11254</v>
      </c>
      <c r="CV54" s="196" t="n">
        <v>-3250</v>
      </c>
      <c r="CW54" s="196" t="n">
        <v>-2552</v>
      </c>
      <c r="CX54" s="196" t="n">
        <v>26868</v>
      </c>
      <c r="CY54" s="196" t="n">
        <v>-20839.5</v>
      </c>
      <c r="CZ54" s="196" t="n">
        <v>2131.5</v>
      </c>
      <c r="DA54" s="196" t="n">
        <v>-7928.6</v>
      </c>
      <c r="DB54" s="196" t="n">
        <v>19867.6</v>
      </c>
      <c r="DC54" s="196" t="n">
        <v>-21168.2</v>
      </c>
      <c r="DD54" s="196" t="n">
        <v>-1439.8</v>
      </c>
      <c r="DE54" s="196" t="n">
        <v>-3402.8</v>
      </c>
      <c r="DF54" s="196" t="n">
        <v>24125.9</v>
      </c>
      <c r="DG54" s="196" t="n">
        <v>-16039.1</v>
      </c>
      <c r="DH54" s="196" t="n">
        <v>1068.8</v>
      </c>
      <c r="DI54" s="196" t="n">
        <v>-4948.8</v>
      </c>
      <c r="DJ54" s="196" t="n">
        <v>15718.6</v>
      </c>
      <c r="DK54" s="196" t="n">
        <v>-12974.4</v>
      </c>
      <c r="DL54" s="196" t="n">
        <v>1551.3</v>
      </c>
      <c r="DM54" s="196" t="n">
        <v>-8949.700000000001</v>
      </c>
      <c r="DN54" s="196" t="n">
        <v>5681</v>
      </c>
      <c r="DO54" s="196" t="n">
        <v>-10900</v>
      </c>
      <c r="DP54" s="196" t="n">
        <v>-1700</v>
      </c>
      <c r="DQ54" s="196" t="n">
        <v>-1100</v>
      </c>
      <c r="DR54" s="196" t="n">
        <v>9600</v>
      </c>
      <c r="DS54" s="196" t="n">
        <v>-9400</v>
      </c>
      <c r="DT54" s="196" t="n">
        <v>700</v>
      </c>
      <c r="DU54" s="196" t="n">
        <v>-3700</v>
      </c>
      <c r="DV54" s="196" t="n">
        <v>6500</v>
      </c>
      <c r="DW54" s="196" t="n">
        <v>-7300</v>
      </c>
      <c r="DX54" s="196" t="n">
        <v>3000</v>
      </c>
      <c r="DY54" s="196" t="n">
        <v>5100</v>
      </c>
      <c r="DZ54" s="196" t="n">
        <v>6300</v>
      </c>
      <c r="EA54" s="196" t="n">
        <v>-7300</v>
      </c>
      <c r="EB54" s="196" t="n">
        <v>400</v>
      </c>
      <c r="EC54" s="196" t="n">
        <v>-3400</v>
      </c>
      <c r="ED54" s="196" t="n">
        <v>2800</v>
      </c>
      <c r="EE54" s="196" t="n">
        <v>-6500</v>
      </c>
      <c r="EF54" s="196" t="n">
        <v>500</v>
      </c>
      <c r="EG54" s="196" t="n">
        <v>-5500</v>
      </c>
      <c r="EH54" s="196" t="n">
        <v>2500</v>
      </c>
      <c r="EI54" s="196" t="n">
        <v>-1900</v>
      </c>
      <c r="EJ54" s="196" t="n">
        <v>-400</v>
      </c>
      <c r="EK54" s="196" t="n">
        <v>-700</v>
      </c>
      <c r="EL54" s="182" t="n"/>
      <c r="EM54" s="176" t="n"/>
      <c r="EN54" s="176" t="n"/>
      <c r="EO54" s="176" t="n"/>
      <c r="EP54" s="176" t="n"/>
      <c r="EQ54" s="176" t="n"/>
      <c r="ER54" s="176" t="n"/>
      <c r="ES54" s="176" t="n"/>
      <c r="ET54" s="176" t="n"/>
      <c r="EU54" s="176" t="n"/>
      <c r="EV54" s="176" t="n"/>
      <c r="EW54" s="176" t="n"/>
      <c r="EX54" s="176" t="n"/>
      <c r="EY54" s="176" t="n"/>
      <c r="EZ54" s="176" t="n"/>
      <c r="FA54" s="176" t="n"/>
      <c r="FB54" s="176" t="n"/>
      <c r="FC54" s="176" t="n"/>
      <c r="FD54" s="176" t="n"/>
      <c r="FE54" s="176" t="n"/>
      <c r="FF54" s="176" t="n"/>
      <c r="FG54" s="176" t="n"/>
      <c r="FH54" s="176" t="n"/>
      <c r="FI54" s="176" t="n"/>
      <c r="FJ54" s="176" t="n"/>
    </row>
    <row r="55" ht="15" customHeight="1" s="392">
      <c r="A55" s="176" t="n"/>
      <c r="B55" s="180" t="n"/>
      <c r="C55" s="187" t="inlineStr">
        <is>
          <t xml:space="preserve">        Total Cash Generated from Operating Activities</t>
        </is>
      </c>
      <c r="D55" s="193">
        <f>IF(COUNT(M55:EK55)&gt;0,MEDIAN(M55:EK55),"")</f>
        <v/>
      </c>
      <c r="E55" s="193">
        <f>IF(COUNT(M55:EK55)&gt;0,AVERAGE(M55:EK55),"")</f>
        <v/>
      </c>
      <c r="F55" s="193">
        <f>IF(COUNT(M55:EK55)&gt;0,MIN(M55:EK55),"")</f>
        <v/>
      </c>
      <c r="G55" s="193">
        <f>IF(COUNT(M55:EK55)&gt;0,MAX(M55:EK55),"")</f>
        <v/>
      </c>
      <c r="H55" s="193">
        <f>IF(COUNT(M55:EK55)&gt;0,QUARTILE(M55:EK55,1),"")</f>
        <v/>
      </c>
      <c r="I55" s="193">
        <f>IF(COUNT(M55:EK55)&gt;0,QUARTILE(M55:EK55,3),"")</f>
        <v/>
      </c>
      <c r="J55" s="193">
        <f>IF(COUNT(M55:EK55)&gt;1,STDEV(M55:EK55),"")</f>
        <v/>
      </c>
      <c r="K55" s="194">
        <f>IF(COUNT(M55:EK55)&gt;1,STDEV(M55:EK55)/AVERAGE(M55:EK55),"")</f>
        <v/>
      </c>
      <c r="L55" s="195" t="n"/>
      <c r="M55" s="196" t="n">
        <v>357541</v>
      </c>
      <c r="N55" s="196" t="n">
        <v>584198</v>
      </c>
      <c r="O55" s="196" t="n">
        <v>127500</v>
      </c>
      <c r="P55" s="196" t="n">
        <v>535253</v>
      </c>
      <c r="Q55" s="196" t="n">
        <v>438476</v>
      </c>
      <c r="R55" s="196" t="n">
        <v>700873</v>
      </c>
      <c r="S55" s="196" t="n">
        <v>178127</v>
      </c>
      <c r="T55" s="196" t="n">
        <v>482274</v>
      </c>
      <c r="U55" s="196" t="n">
        <v>439221</v>
      </c>
      <c r="V55" s="196" t="n">
        <v>496304</v>
      </c>
      <c r="W55" s="196" t="n">
        <v>161793</v>
      </c>
      <c r="X55" s="196" t="n">
        <v>375246</v>
      </c>
      <c r="Y55" s="196" t="n">
        <v>358577</v>
      </c>
      <c r="Z55" s="196" t="n">
        <v>505800</v>
      </c>
      <c r="AA55" s="196" t="n">
        <v>188274</v>
      </c>
      <c r="AB55" s="196" t="n">
        <v>311559</v>
      </c>
      <c r="AC55" s="196" t="n">
        <v>312829</v>
      </c>
      <c r="AD55" s="196" t="n">
        <v>417306</v>
      </c>
      <c r="AE55" s="196" t="n">
        <v>134008</v>
      </c>
      <c r="AF55" s="196" t="n">
        <v>312540</v>
      </c>
      <c r="AG55" s="196" t="n">
        <v>228686</v>
      </c>
      <c r="AH55" s="196" t="n">
        <v>369164</v>
      </c>
      <c r="AI55" s="196" t="n">
        <v>134508</v>
      </c>
      <c r="AJ55" s="196" t="n">
        <v>258533</v>
      </c>
      <c r="AK55" s="196" t="n">
        <v>266917</v>
      </c>
      <c r="AL55" s="196" t="n">
        <v>294048</v>
      </c>
      <c r="AM55" s="196" t="n">
        <v>144462</v>
      </c>
      <c r="AN55" s="196" t="n">
        <v>212458</v>
      </c>
      <c r="AO55" s="196" t="n">
        <v>193150</v>
      </c>
      <c r="AP55" s="196" t="n">
        <v>238292</v>
      </c>
      <c r="AQ55" s="196" t="n">
        <v>107521</v>
      </c>
      <c r="AR55" s="196" t="n">
        <v>107683</v>
      </c>
      <c r="AS55" s="196" t="n">
        <v>157872</v>
      </c>
      <c r="AT55" s="196" t="n">
        <v>190804</v>
      </c>
      <c r="AU55" s="196" t="n">
        <v>93033</v>
      </c>
      <c r="AV55" s="196" t="n">
        <v>93360</v>
      </c>
      <c r="AW55" s="196" t="n">
        <v>144231</v>
      </c>
      <c r="AX55" s="196" t="n">
        <v>192299</v>
      </c>
      <c r="AY55" s="196" t="n">
        <v>81235</v>
      </c>
      <c r="AZ55" s="196" t="n">
        <v>74293</v>
      </c>
      <c r="BA55" s="196" t="n">
        <v>124152</v>
      </c>
      <c r="BB55" s="196" t="n">
        <v>125025</v>
      </c>
      <c r="BC55" s="196" t="n">
        <v>6530</v>
      </c>
      <c r="BD55" s="196" t="n">
        <v>76791</v>
      </c>
      <c r="BE55" s="196" t="n">
        <v>61707</v>
      </c>
      <c r="BF55" s="196" t="n">
        <v>114486</v>
      </c>
      <c r="BG55" s="196" t="n">
        <v>5517</v>
      </c>
      <c r="BH55" s="196" t="n">
        <v>83366</v>
      </c>
      <c r="BI55" s="196" t="n">
        <v>54960</v>
      </c>
      <c r="BJ55" s="196" t="n">
        <v>131843</v>
      </c>
      <c r="BK55" s="196" t="n">
        <v>8076</v>
      </c>
      <c r="BL55" s="196" t="n">
        <v>67715</v>
      </c>
      <c r="BM55" s="196" t="n">
        <v>16323</v>
      </c>
      <c r="BN55" s="196" t="n">
        <v>129913</v>
      </c>
      <c r="BO55" s="196" t="n">
        <v>-22225</v>
      </c>
      <c r="BP55" s="196" t="n">
        <v>75315</v>
      </c>
      <c r="BQ55" s="196" t="n">
        <v>32722</v>
      </c>
      <c r="BR55" s="196" t="n">
        <v>106603</v>
      </c>
      <c r="BS55" s="196" t="n">
        <v>26161</v>
      </c>
      <c r="BT55" s="196" t="n">
        <v>64187</v>
      </c>
      <c r="BU55" s="196" t="n">
        <v>168136</v>
      </c>
      <c r="BV55" s="196" t="n">
        <v>57192</v>
      </c>
      <c r="BW55" s="196" t="n">
        <v>-22111</v>
      </c>
      <c r="BX55" s="196" t="n">
        <v>39715</v>
      </c>
      <c r="BY55" s="196" t="n">
        <v>-10809</v>
      </c>
      <c r="BZ55" s="196" t="n">
        <v>-24215</v>
      </c>
      <c r="CA55" s="196" t="n">
        <v>5113</v>
      </c>
      <c r="CB55" s="196" t="n">
        <v>77691</v>
      </c>
      <c r="CC55" s="196" t="n">
        <v>48782</v>
      </c>
      <c r="CD55" s="196" t="n">
        <v>109757</v>
      </c>
      <c r="CE55" s="196" t="n">
        <v>-7564</v>
      </c>
      <c r="CF55" s="196" t="n">
        <v>52364</v>
      </c>
      <c r="CG55" s="196" t="n">
        <v>53616</v>
      </c>
      <c r="CH55" s="196" t="n">
        <v>85952</v>
      </c>
      <c r="CI55" s="196" t="n">
        <v>-1197</v>
      </c>
      <c r="CJ55" s="196" t="n">
        <v>55692</v>
      </c>
      <c r="CK55" s="196" t="n">
        <v>54788</v>
      </c>
      <c r="CL55" s="196" t="n">
        <v>65651</v>
      </c>
      <c r="CM55" s="196" t="n">
        <v>7626</v>
      </c>
      <c r="CN55" s="196" t="n">
        <v>53988</v>
      </c>
      <c r="CO55" s="196" t="n">
        <v>50513</v>
      </c>
      <c r="CP55" s="196" t="n">
        <v>46893</v>
      </c>
      <c r="CQ55" s="196" t="n">
        <v>-4702</v>
      </c>
      <c r="CR55" s="196" t="n">
        <v>30602</v>
      </c>
      <c r="CS55" s="196" t="n">
        <v>31119</v>
      </c>
      <c r="CT55" s="196" t="n">
        <v>56810</v>
      </c>
      <c r="CU55" s="196" t="n">
        <v>17344</v>
      </c>
      <c r="CV55" s="196" t="n">
        <v>29558</v>
      </c>
      <c r="CW55" s="196" t="n">
        <v>21839</v>
      </c>
      <c r="CX55" s="196" t="n">
        <v>60015</v>
      </c>
      <c r="CY55" s="196" t="n">
        <v>7435.8</v>
      </c>
      <c r="CZ55" s="196" t="n">
        <v>24128.2</v>
      </c>
      <c r="DA55" s="196" t="n">
        <v>13551.9</v>
      </c>
      <c r="DB55" s="196" t="n">
        <v>44993.3</v>
      </c>
      <c r="DC55" s="196" t="n">
        <v>138.2</v>
      </c>
      <c r="DD55" s="196" t="n">
        <v>20066.6</v>
      </c>
      <c r="DE55" s="196" t="n">
        <v>19037.6</v>
      </c>
      <c r="DF55" s="196" t="n">
        <v>43222.5</v>
      </c>
      <c r="DG55" s="196" t="n">
        <v>2556.2</v>
      </c>
      <c r="DH55" s="196" t="n">
        <v>17174.9</v>
      </c>
      <c r="DI55" s="196" t="n">
        <v>12540.1</v>
      </c>
      <c r="DJ55" s="196" t="n">
        <v>31000.9</v>
      </c>
      <c r="DK55" s="196" t="n">
        <v>-271</v>
      </c>
      <c r="DL55" s="196" t="n">
        <v>13628.4</v>
      </c>
      <c r="DM55" s="196" t="n">
        <v>3716</v>
      </c>
      <c r="DN55" s="196" t="n">
        <v>16879.2</v>
      </c>
      <c r="DO55" s="196" t="n">
        <v>-1800</v>
      </c>
      <c r="DP55" s="196" t="n">
        <v>7400</v>
      </c>
      <c r="DQ55" s="196" t="n">
        <v>7300</v>
      </c>
      <c r="DR55" s="196" t="n">
        <v>18600</v>
      </c>
      <c r="DS55" s="196" t="n">
        <v>-2300</v>
      </c>
      <c r="DT55" s="196" t="n">
        <v>7100</v>
      </c>
      <c r="DU55" s="196" t="n">
        <v>2700</v>
      </c>
      <c r="DV55" s="196" t="n">
        <v>12800</v>
      </c>
      <c r="DW55" s="196" t="n">
        <v>-1700</v>
      </c>
      <c r="DX55" s="196" t="n">
        <v>8100</v>
      </c>
      <c r="DY55" s="196" t="n">
        <v>10600</v>
      </c>
      <c r="DZ55" s="196" t="n">
        <v>11800</v>
      </c>
      <c r="EA55" s="196" t="n">
        <v>-2300</v>
      </c>
      <c r="EB55" s="196" t="n">
        <v>4600</v>
      </c>
      <c r="EC55" s="196" t="n">
        <v>800</v>
      </c>
      <c r="ED55" s="196" t="n">
        <v>8100</v>
      </c>
      <c r="EE55" s="196" t="n">
        <v>-2100</v>
      </c>
      <c r="EF55" s="196" t="n">
        <v>4500</v>
      </c>
      <c r="EG55" s="196" t="n">
        <v>-1800</v>
      </c>
      <c r="EH55" s="196" t="n">
        <v>5100</v>
      </c>
      <c r="EI55" s="196" t="n">
        <v>300</v>
      </c>
      <c r="EJ55" s="196" t="n">
        <v>1500</v>
      </c>
      <c r="EK55" s="196" t="n">
        <v>1400</v>
      </c>
      <c r="EL55" s="182" t="n"/>
      <c r="EM55" s="176" t="n"/>
      <c r="EN55" s="176" t="n"/>
      <c r="EO55" s="176" t="n"/>
      <c r="EP55" s="176" t="n"/>
      <c r="EQ55" s="176" t="n"/>
      <c r="ER55" s="176" t="n"/>
      <c r="ES55" s="176" t="n"/>
      <c r="ET55" s="176" t="n"/>
      <c r="EU55" s="176" t="n"/>
      <c r="EV55" s="176" t="n"/>
      <c r="EW55" s="176" t="n"/>
      <c r="EX55" s="176" t="n"/>
      <c r="EY55" s="176" t="n"/>
      <c r="EZ55" s="176" t="n"/>
      <c r="FA55" s="176" t="n"/>
      <c r="FB55" s="176" t="n"/>
      <c r="FC55" s="176" t="n"/>
      <c r="FD55" s="176" t="n"/>
      <c r="FE55" s="176" t="n"/>
      <c r="FF55" s="176" t="n"/>
      <c r="FG55" s="176" t="n"/>
      <c r="FH55" s="176" t="n"/>
      <c r="FI55" s="176" t="n"/>
      <c r="FJ55" s="176" t="n"/>
    </row>
    <row r="56" ht="15" customHeight="1" s="392">
      <c r="A56" s="176" t="n"/>
      <c r="B56" s="180" t="n"/>
      <c r="C56" s="183" t="inlineStr">
        <is>
          <t xml:space="preserve">        Other Operating Cash Flow</t>
        </is>
      </c>
      <c r="D56" s="190">
        <f>IF(COUNT(M56:EK56)&gt;0,MEDIAN(M56:EK56),"")</f>
        <v/>
      </c>
      <c r="E56" s="190">
        <f>IF(COUNT(M56:EK56)&gt;0,AVERAGE(M56:EK56),"")</f>
        <v/>
      </c>
      <c r="F56" s="190">
        <f>IF(COUNT(M56:EK56)&gt;0,MIN(M56:EK56),"")</f>
        <v/>
      </c>
      <c r="G56" s="190">
        <f>IF(COUNT(M56:EK56)&gt;0,MAX(M56:EK56),"")</f>
        <v/>
      </c>
      <c r="H56" s="190">
        <f>IF(COUNT(M56:EK56)&gt;0,QUARTILE(M56:EK56,1),"")</f>
        <v/>
      </c>
      <c r="I56" s="190">
        <f>IF(COUNT(M56:EK56)&gt;0,QUARTILE(M56:EK56,3),"")</f>
        <v/>
      </c>
      <c r="J56" s="190">
        <f>IF(COUNT(M56:EK56)&gt;1,STDEV(M56:EK56),"")</f>
        <v/>
      </c>
      <c r="K56" s="191">
        <f>IF(COUNT(M56:EK56)&gt;1,STDEV(M56:EK56)/AVERAGE(M56:EK56),"")</f>
        <v/>
      </c>
      <c r="M56" s="192" t="n"/>
      <c r="N56" s="192" t="n"/>
      <c r="O56" s="192" t="n"/>
      <c r="P56" s="192" t="n"/>
      <c r="Q56" s="192" t="n"/>
      <c r="R56" s="192" t="n"/>
      <c r="S56" s="192" t="n"/>
      <c r="T56" s="192" t="n"/>
      <c r="U56" s="192" t="n"/>
      <c r="V56" s="192" t="n"/>
      <c r="W56" s="192" t="n"/>
      <c r="X56" s="192" t="n"/>
      <c r="Y56" s="192" t="n"/>
      <c r="Z56" s="192" t="n"/>
      <c r="AA56" s="192" t="n"/>
      <c r="AB56" s="192" t="n"/>
      <c r="AC56" s="192" t="n"/>
      <c r="AD56" s="192" t="n"/>
      <c r="AE56" s="192" t="n"/>
      <c r="AF56" s="192" t="n"/>
      <c r="AG56" s="192" t="n"/>
      <c r="AH56" s="192" t="n"/>
      <c r="AI56" s="192" t="n"/>
      <c r="AJ56" s="192" t="n"/>
      <c r="AK56" s="192" t="n"/>
      <c r="AL56" s="192" t="n"/>
      <c r="AM56" s="192" t="n"/>
      <c r="AN56" s="192" t="n"/>
      <c r="AO56" s="192" t="n"/>
      <c r="AP56" s="192" t="n"/>
      <c r="AQ56" s="192" t="n"/>
      <c r="AR56" s="192" t="n"/>
      <c r="AS56" s="192" t="n"/>
      <c r="AT56" s="192" t="n"/>
      <c r="AU56" s="192" t="n"/>
      <c r="AV56" s="192" t="n"/>
      <c r="AW56" s="192" t="n"/>
      <c r="AX56" s="192" t="n"/>
      <c r="AY56" s="192" t="n"/>
      <c r="AZ56" s="192" t="n"/>
      <c r="BA56" s="192" t="n"/>
      <c r="BB56" s="192" t="n"/>
      <c r="BC56" s="192" t="n"/>
      <c r="BD56" s="192" t="n"/>
      <c r="BE56" s="192" t="n"/>
      <c r="BF56" s="192" t="n"/>
      <c r="BG56" s="192" t="n"/>
      <c r="BH56" s="192" t="n"/>
      <c r="BI56" s="192" t="n"/>
      <c r="BJ56" s="192" t="n"/>
      <c r="BK56" s="192" t="n"/>
      <c r="BL56" s="192" t="n"/>
      <c r="BM56" s="192" t="n"/>
      <c r="BN56" s="192" t="n"/>
      <c r="BO56" s="192" t="n"/>
      <c r="BP56" s="192" t="n"/>
      <c r="BQ56" s="192" t="n"/>
      <c r="BR56" s="192" t="n"/>
      <c r="BS56" s="192" t="n"/>
      <c r="BT56" s="192" t="n"/>
      <c r="BU56" s="192" t="n"/>
      <c r="BV56" s="192" t="n">
        <v>50135</v>
      </c>
      <c r="BW56" s="192" t="n">
        <v>37896</v>
      </c>
      <c r="BX56" s="192" t="n">
        <v>37823</v>
      </c>
      <c r="BY56" s="192" t="n">
        <v>36233</v>
      </c>
      <c r="BZ56" s="192" t="n"/>
      <c r="CA56" s="192" t="n"/>
      <c r="CB56" s="192" t="n"/>
      <c r="CC56" s="192" t="n"/>
      <c r="CD56" s="192" t="n"/>
      <c r="CE56" s="192" t="n"/>
      <c r="CF56" s="192" t="n"/>
      <c r="CG56" s="192" t="n"/>
      <c r="CH56" s="192" t="n"/>
      <c r="CI56" s="192" t="n"/>
      <c r="CJ56" s="192" t="n"/>
      <c r="CK56" s="192" t="n"/>
      <c r="CL56" s="192" t="n"/>
      <c r="CM56" s="192" t="n"/>
      <c r="CN56" s="192" t="n"/>
      <c r="CO56" s="192" t="n"/>
      <c r="CP56" s="192" t="n"/>
      <c r="CQ56" s="192" t="n"/>
      <c r="CR56" s="192" t="n"/>
      <c r="CS56" s="192" t="n"/>
      <c r="CT56" s="192" t="n"/>
      <c r="CU56" s="192" t="n"/>
      <c r="CV56" s="192" t="n"/>
      <c r="CW56" s="192" t="n"/>
      <c r="CX56" s="192" t="n"/>
      <c r="CY56" s="192" t="n"/>
      <c r="CZ56" s="192" t="n"/>
      <c r="DA56" s="192" t="n"/>
      <c r="DB56" s="192" t="n"/>
      <c r="DC56" s="192" t="n"/>
      <c r="DD56" s="192" t="n"/>
      <c r="DE56" s="192" t="n"/>
      <c r="DF56" s="192" t="n"/>
      <c r="DG56" s="192" t="n"/>
      <c r="DH56" s="192" t="n"/>
      <c r="DI56" s="192" t="n"/>
      <c r="DJ56" s="192" t="n"/>
      <c r="DK56" s="192" t="n"/>
      <c r="DL56" s="192" t="n"/>
      <c r="DM56" s="192" t="n"/>
      <c r="DN56" s="192" t="n"/>
      <c r="DO56" s="192" t="n">
        <v>0</v>
      </c>
      <c r="DP56" s="192" t="n">
        <v>-100</v>
      </c>
      <c r="DQ56" s="192" t="n"/>
      <c r="DR56" s="192" t="n">
        <v>-200</v>
      </c>
      <c r="DS56" s="192" t="n"/>
      <c r="DT56" s="192" t="n"/>
      <c r="DU56" s="192" t="n"/>
      <c r="DV56" s="192" t="n"/>
      <c r="DW56" s="192" t="n">
        <v>-200</v>
      </c>
      <c r="DX56" s="192" t="n">
        <v>100</v>
      </c>
      <c r="DY56" s="192" t="n"/>
      <c r="DZ56" s="192" t="n"/>
      <c r="EA56" s="192" t="n"/>
      <c r="EB56" s="192" t="n"/>
      <c r="EC56" s="192" t="n"/>
      <c r="ED56" s="192" t="n">
        <v>-100</v>
      </c>
      <c r="EE56" s="192" t="n">
        <v>100</v>
      </c>
      <c r="EF56" s="192" t="n">
        <v>100</v>
      </c>
      <c r="EG56" s="192" t="n">
        <v>0</v>
      </c>
      <c r="EH56" s="192" t="n"/>
      <c r="EI56" s="192" t="n"/>
      <c r="EJ56" s="192" t="n">
        <v>-100</v>
      </c>
      <c r="EK56" s="192" t="n"/>
      <c r="EL56" s="182" t="n"/>
      <c r="EM56" s="176" t="n"/>
      <c r="EN56" s="176" t="n"/>
      <c r="EO56" s="176" t="n"/>
      <c r="EP56" s="176" t="n"/>
      <c r="EQ56" s="176" t="n"/>
      <c r="ER56" s="176" t="n"/>
      <c r="ES56" s="176" t="n"/>
      <c r="ET56" s="176" t="n"/>
      <c r="EU56" s="176" t="n"/>
      <c r="EV56" s="176" t="n"/>
      <c r="EW56" s="176" t="n"/>
      <c r="EX56" s="176" t="n"/>
      <c r="EY56" s="176" t="n"/>
      <c r="EZ56" s="176" t="n"/>
      <c r="FA56" s="176" t="n"/>
      <c r="FB56" s="176" t="n"/>
      <c r="FC56" s="176" t="n"/>
      <c r="FD56" s="176" t="n"/>
      <c r="FE56" s="176" t="n"/>
      <c r="FF56" s="176" t="n"/>
      <c r="FG56" s="176" t="n"/>
      <c r="FH56" s="176" t="n"/>
      <c r="FI56" s="176" t="n"/>
      <c r="FJ56" s="176" t="n"/>
    </row>
    <row r="57" ht="15" customHeight="1" s="392">
      <c r="A57" s="176" t="n"/>
      <c r="B57" s="180" t="n"/>
      <c r="C57" s="187" t="inlineStr">
        <is>
          <t xml:space="preserve">    Total Net Cash Flow from Continuing Operating Activities, Indirect</t>
        </is>
      </c>
      <c r="D57" s="193">
        <f>IF(COUNT(M57:EK57)&gt;0,MEDIAN(M57:EK57),"")</f>
        <v/>
      </c>
      <c r="E57" s="193">
        <f>IF(COUNT(M57:EK57)&gt;0,AVERAGE(M57:EK57),"")</f>
        <v/>
      </c>
      <c r="F57" s="193">
        <f>IF(COUNT(M57:EK57)&gt;0,MIN(M57:EK57),"")</f>
        <v/>
      </c>
      <c r="G57" s="193">
        <f>IF(COUNT(M57:EK57)&gt;0,MAX(M57:EK57),"")</f>
        <v/>
      </c>
      <c r="H57" s="193">
        <f>IF(COUNT(M57:EK57)&gt;0,QUARTILE(M57:EK57,1),"")</f>
        <v/>
      </c>
      <c r="I57" s="193">
        <f>IF(COUNT(M57:EK57)&gt;0,QUARTILE(M57:EK57,3),"")</f>
        <v/>
      </c>
      <c r="J57" s="193">
        <f>IF(COUNT(M57:EK57)&gt;1,STDEV(M57:EK57),"")</f>
        <v/>
      </c>
      <c r="K57" s="194">
        <f>IF(COUNT(M57:EK57)&gt;1,STDEV(M57:EK57)/AVERAGE(M57:EK57),"")</f>
        <v/>
      </c>
      <c r="L57" s="195" t="n"/>
      <c r="M57" s="196" t="n">
        <v>357541</v>
      </c>
      <c r="N57" s="196" t="n">
        <v>584198</v>
      </c>
      <c r="O57" s="196" t="n">
        <v>127500</v>
      </c>
      <c r="P57" s="196" t="n">
        <v>535253</v>
      </c>
      <c r="Q57" s="196" t="n">
        <v>438476</v>
      </c>
      <c r="R57" s="196" t="n">
        <v>700873</v>
      </c>
      <c r="S57" s="196" t="n">
        <v>178127</v>
      </c>
      <c r="T57" s="196" t="n">
        <v>482274</v>
      </c>
      <c r="U57" s="196" t="n">
        <v>439221</v>
      </c>
      <c r="V57" s="196" t="n">
        <v>496304</v>
      </c>
      <c r="W57" s="196" t="n">
        <v>161793</v>
      </c>
      <c r="X57" s="196" t="n">
        <v>375246</v>
      </c>
      <c r="Y57" s="196" t="n">
        <v>358577</v>
      </c>
      <c r="Z57" s="196" t="n">
        <v>505800</v>
      </c>
      <c r="AA57" s="196" t="n">
        <v>188274</v>
      </c>
      <c r="AB57" s="196" t="n">
        <v>311559</v>
      </c>
      <c r="AC57" s="196" t="n">
        <v>312829</v>
      </c>
      <c r="AD57" s="196" t="n">
        <v>417306</v>
      </c>
      <c r="AE57" s="196" t="n">
        <v>134008</v>
      </c>
      <c r="AF57" s="196" t="n">
        <v>312540</v>
      </c>
      <c r="AG57" s="196" t="n">
        <v>228686</v>
      </c>
      <c r="AH57" s="196" t="n">
        <v>369164</v>
      </c>
      <c r="AI57" s="196" t="n">
        <v>134508</v>
      </c>
      <c r="AJ57" s="196" t="n">
        <v>258533</v>
      </c>
      <c r="AK57" s="196" t="n">
        <v>266917</v>
      </c>
      <c r="AL57" s="196" t="n">
        <v>294048</v>
      </c>
      <c r="AM57" s="196" t="n">
        <v>144462</v>
      </c>
      <c r="AN57" s="196" t="n">
        <v>212458</v>
      </c>
      <c r="AO57" s="196" t="n">
        <v>193150</v>
      </c>
      <c r="AP57" s="196" t="n">
        <v>238292</v>
      </c>
      <c r="AQ57" s="196" t="n">
        <v>107521</v>
      </c>
      <c r="AR57" s="196" t="n">
        <v>107683</v>
      </c>
      <c r="AS57" s="196" t="n">
        <v>157872</v>
      </c>
      <c r="AT57" s="196" t="n">
        <v>190804</v>
      </c>
      <c r="AU57" s="196" t="n">
        <v>93033</v>
      </c>
      <c r="AV57" s="196" t="n">
        <v>93360</v>
      </c>
      <c r="AW57" s="196" t="n">
        <v>144231</v>
      </c>
      <c r="AX57" s="196" t="n">
        <v>192299</v>
      </c>
      <c r="AY57" s="196" t="n">
        <v>81235</v>
      </c>
      <c r="AZ57" s="196" t="n">
        <v>74293</v>
      </c>
      <c r="BA57" s="196" t="n">
        <v>124152</v>
      </c>
      <c r="BB57" s="196" t="n">
        <v>125025</v>
      </c>
      <c r="BC57" s="196" t="n">
        <v>6530</v>
      </c>
      <c r="BD57" s="196" t="n">
        <v>76791</v>
      </c>
      <c r="BE57" s="196" t="n">
        <v>61707</v>
      </c>
      <c r="BF57" s="196" t="n">
        <v>114486</v>
      </c>
      <c r="BG57" s="196" t="n">
        <v>5517</v>
      </c>
      <c r="BH57" s="196" t="n">
        <v>83366</v>
      </c>
      <c r="BI57" s="196" t="n">
        <v>54960</v>
      </c>
      <c r="BJ57" s="196" t="n">
        <v>131843</v>
      </c>
      <c r="BK57" s="196" t="n">
        <v>8076</v>
      </c>
      <c r="BL57" s="196" t="n">
        <v>67715</v>
      </c>
      <c r="BM57" s="196" t="n">
        <v>16323</v>
      </c>
      <c r="BN57" s="196" t="n">
        <v>129913</v>
      </c>
      <c r="BO57" s="196" t="n">
        <v>-22225</v>
      </c>
      <c r="BP57" s="196" t="n">
        <v>75315</v>
      </c>
      <c r="BQ57" s="196" t="n">
        <v>32722</v>
      </c>
      <c r="BR57" s="196" t="n">
        <v>106603</v>
      </c>
      <c r="BS57" s="196" t="n">
        <v>26161</v>
      </c>
      <c r="BT57" s="196" t="n">
        <v>64187</v>
      </c>
      <c r="BU57" s="196" t="n">
        <v>42282</v>
      </c>
      <c r="BV57" s="196" t="n">
        <v>107327</v>
      </c>
      <c r="BW57" s="196" t="n">
        <v>15785</v>
      </c>
      <c r="BX57" s="196" t="n">
        <v>77538</v>
      </c>
      <c r="BY57" s="196" t="n">
        <v>25424</v>
      </c>
      <c r="BZ57" s="196" t="n">
        <v>91179</v>
      </c>
      <c r="CA57" s="196" t="n">
        <v>5113</v>
      </c>
      <c r="CB57" s="196" t="n">
        <v>77691</v>
      </c>
      <c r="CC57" s="196" t="n">
        <v>48782</v>
      </c>
      <c r="CD57" s="196" t="n">
        <v>109757</v>
      </c>
      <c r="CE57" s="196" t="n">
        <v>-7564</v>
      </c>
      <c r="CF57" s="196" t="n">
        <v>52364</v>
      </c>
      <c r="CG57" s="196" t="n">
        <v>53616</v>
      </c>
      <c r="CH57" s="196" t="n">
        <v>85952</v>
      </c>
      <c r="CI57" s="196" t="n">
        <v>-1197</v>
      </c>
      <c r="CJ57" s="196" t="n">
        <v>55692</v>
      </c>
      <c r="CK57" s="196" t="n">
        <v>54788</v>
      </c>
      <c r="CL57" s="196" t="n">
        <v>65651</v>
      </c>
      <c r="CM57" s="196" t="n">
        <v>7626</v>
      </c>
      <c r="CN57" s="196" t="n">
        <v>53988</v>
      </c>
      <c r="CO57" s="196" t="n">
        <v>50513</v>
      </c>
      <c r="CP57" s="196" t="n">
        <v>46893</v>
      </c>
      <c r="CQ57" s="196" t="n">
        <v>-4702</v>
      </c>
      <c r="CR57" s="196" t="n">
        <v>30602</v>
      </c>
      <c r="CS57" s="196" t="n">
        <v>31119</v>
      </c>
      <c r="CT57" s="196" t="n">
        <v>56810</v>
      </c>
      <c r="CU57" s="196" t="n">
        <v>17344</v>
      </c>
      <c r="CV57" s="196" t="n">
        <v>29558</v>
      </c>
      <c r="CW57" s="196" t="n">
        <v>21839</v>
      </c>
      <c r="CX57" s="196" t="n">
        <v>60015</v>
      </c>
      <c r="CY57" s="196" t="n">
        <v>7435.8</v>
      </c>
      <c r="CZ57" s="196" t="n">
        <v>24128.2</v>
      </c>
      <c r="DA57" s="196" t="n">
        <v>13551.9</v>
      </c>
      <c r="DB57" s="196" t="n">
        <v>44993.3</v>
      </c>
      <c r="DC57" s="196" t="n">
        <v>138.2</v>
      </c>
      <c r="DD57" s="196" t="n">
        <v>20066.6</v>
      </c>
      <c r="DE57" s="196" t="n">
        <v>19037.6</v>
      </c>
      <c r="DF57" s="196" t="n">
        <v>43222.5</v>
      </c>
      <c r="DG57" s="196" t="n">
        <v>2556.2</v>
      </c>
      <c r="DH57" s="196" t="n">
        <v>17174.9</v>
      </c>
      <c r="DI57" s="196" t="n">
        <v>12540.1</v>
      </c>
      <c r="DJ57" s="196" t="n">
        <v>31000.9</v>
      </c>
      <c r="DK57" s="196" t="n">
        <v>-271</v>
      </c>
      <c r="DL57" s="196" t="n">
        <v>13628.4</v>
      </c>
      <c r="DM57" s="196" t="n">
        <v>3716</v>
      </c>
      <c r="DN57" s="196" t="n">
        <v>16979.2</v>
      </c>
      <c r="DO57" s="196" t="n">
        <v>-1800</v>
      </c>
      <c r="DP57" s="196" t="n">
        <v>7300</v>
      </c>
      <c r="DQ57" s="196" t="n">
        <v>7400</v>
      </c>
      <c r="DR57" s="196" t="n">
        <v>18400</v>
      </c>
      <c r="DS57" s="196" t="n">
        <v>-2200</v>
      </c>
      <c r="DT57" s="196" t="n">
        <v>7100</v>
      </c>
      <c r="DU57" s="196" t="n">
        <v>2700</v>
      </c>
      <c r="DV57" s="196" t="n">
        <v>12900</v>
      </c>
      <c r="DW57" s="196" t="n">
        <v>-1900</v>
      </c>
      <c r="DX57" s="196" t="n">
        <v>8200</v>
      </c>
      <c r="DY57" s="196" t="n">
        <v>10500</v>
      </c>
      <c r="DZ57" s="196" t="n">
        <v>11900</v>
      </c>
      <c r="EA57" s="196" t="n">
        <v>-2400</v>
      </c>
      <c r="EB57" s="196" t="n">
        <v>4600</v>
      </c>
      <c r="EC57" s="196" t="n">
        <v>700</v>
      </c>
      <c r="ED57" s="196" t="n">
        <v>8000</v>
      </c>
      <c r="EE57" s="196" t="n">
        <v>-2000</v>
      </c>
      <c r="EF57" s="196" t="n">
        <v>4600</v>
      </c>
      <c r="EG57" s="196" t="n">
        <v>-1800</v>
      </c>
      <c r="EH57" s="196" t="n">
        <v>5200</v>
      </c>
      <c r="EI57" s="196" t="n">
        <v>400</v>
      </c>
      <c r="EJ57" s="196" t="n">
        <v>1400</v>
      </c>
      <c r="EK57" s="196" t="n">
        <v>1400</v>
      </c>
      <c r="EL57" s="182" t="n"/>
      <c r="EM57" s="176" t="n"/>
      <c r="EN57" s="176" t="n"/>
      <c r="EO57" s="176" t="n"/>
      <c r="EP57" s="176" t="n"/>
      <c r="EQ57" s="176" t="n"/>
      <c r="ER57" s="176" t="n"/>
      <c r="ES57" s="176" t="n"/>
      <c r="ET57" s="176" t="n"/>
      <c r="EU57" s="176" t="n"/>
      <c r="EV57" s="176" t="n"/>
      <c r="EW57" s="176" t="n"/>
      <c r="EX57" s="176" t="n"/>
      <c r="EY57" s="176" t="n"/>
      <c r="EZ57" s="176" t="n"/>
      <c r="FA57" s="176" t="n"/>
      <c r="FB57" s="176" t="n"/>
      <c r="FC57" s="176" t="n"/>
      <c r="FD57" s="176" t="n"/>
      <c r="FE57" s="176" t="n"/>
      <c r="FF57" s="176" t="n"/>
      <c r="FG57" s="176" t="n"/>
      <c r="FH57" s="176" t="n"/>
      <c r="FI57" s="176" t="n"/>
      <c r="FJ57" s="176" t="n"/>
    </row>
    <row r="58" ht="15" customHeight="1" s="392">
      <c r="A58" s="176" t="n"/>
      <c r="B58" s="180" t="n"/>
      <c r="C58" s="183" t="inlineStr">
        <is>
          <t xml:space="preserve">    Net Cash Flow from Discontinued Operating Activities</t>
        </is>
      </c>
      <c r="D58" s="190">
        <f>IF(COUNT(M58:EK58)&gt;0,MEDIAN(M58:EK58),"")</f>
        <v/>
      </c>
      <c r="E58" s="190">
        <f>IF(COUNT(M58:EK58)&gt;0,AVERAGE(M58:EK58),"")</f>
        <v/>
      </c>
      <c r="F58" s="190">
        <f>IF(COUNT(M58:EK58)&gt;0,MIN(M58:EK58),"")</f>
        <v/>
      </c>
      <c r="G58" s="190">
        <f>IF(COUNT(M58:EK58)&gt;0,MAX(M58:EK58),"")</f>
        <v/>
      </c>
      <c r="H58" s="190">
        <f>IF(COUNT(M58:EK58)&gt;0,QUARTILE(M58:EK58,1),"")</f>
        <v/>
      </c>
      <c r="I58" s="190">
        <f>IF(COUNT(M58:EK58)&gt;0,QUARTILE(M58:EK58,3),"")</f>
        <v/>
      </c>
      <c r="J58" s="190">
        <f>IF(COUNT(M58:EK58)&gt;1,STDEV(M58:EK58),"")</f>
        <v/>
      </c>
      <c r="K58" s="191">
        <f>IF(COUNT(M58:EK58)&gt;1,STDEV(M58:EK58)/AVERAGE(M58:EK58),"")</f>
        <v/>
      </c>
      <c r="M58" s="192" t="n"/>
      <c r="N58" s="192" t="n"/>
      <c r="O58" s="192" t="n"/>
      <c r="P58" s="192" t="n"/>
      <c r="Q58" s="192" t="n"/>
      <c r="R58" s="192" t="n"/>
      <c r="S58" s="192" t="n"/>
      <c r="T58" s="192" t="n"/>
      <c r="U58" s="192" t="n"/>
      <c r="V58" s="192" t="n"/>
      <c r="W58" s="192" t="n"/>
      <c r="X58" s="192" t="n"/>
      <c r="Y58" s="192" t="n"/>
      <c r="Z58" s="192" t="n"/>
      <c r="AA58" s="192" t="n"/>
      <c r="AB58" s="192" t="n"/>
      <c r="AC58" s="192" t="n"/>
      <c r="AD58" s="192" t="n"/>
      <c r="AE58" s="192" t="n"/>
      <c r="AF58" s="192" t="n"/>
      <c r="AG58" s="192" t="n"/>
      <c r="AH58" s="192" t="n"/>
      <c r="AI58" s="192" t="n"/>
      <c r="AJ58" s="192" t="n"/>
      <c r="AK58" s="192" t="n"/>
      <c r="AL58" s="192" t="n"/>
      <c r="AM58" s="192" t="n"/>
      <c r="AN58" s="192" t="n"/>
      <c r="AO58" s="192" t="n"/>
      <c r="AP58" s="192" t="n"/>
      <c r="AQ58" s="192" t="n"/>
      <c r="AR58" s="192" t="n"/>
      <c r="AS58" s="192" t="n"/>
      <c r="AT58" s="192" t="n"/>
      <c r="AU58" s="192" t="n"/>
      <c r="AV58" s="192" t="n"/>
      <c r="AW58" s="192" t="n"/>
      <c r="AX58" s="192" t="n"/>
      <c r="AY58" s="192" t="n"/>
      <c r="AZ58" s="192" t="n"/>
      <c r="BA58" s="192" t="n"/>
      <c r="BB58" s="192" t="n"/>
      <c r="BC58" s="192" t="n"/>
      <c r="BD58" s="192" t="n"/>
      <c r="BE58" s="192" t="n"/>
      <c r="BF58" s="192" t="n"/>
      <c r="BG58" s="192" t="n"/>
      <c r="BH58" s="192" t="n"/>
      <c r="BI58" s="192" t="n"/>
      <c r="BJ58" s="192" t="n"/>
      <c r="BK58" s="192" t="n"/>
      <c r="BL58" s="192" t="n"/>
      <c r="BM58" s="192" t="n"/>
      <c r="BN58" s="192" t="n"/>
      <c r="BO58" s="192" t="n"/>
      <c r="BP58" s="192" t="n"/>
      <c r="BQ58" s="192" t="n"/>
      <c r="BR58" s="192" t="n"/>
      <c r="BS58" s="192" t="n"/>
      <c r="BT58" s="192" t="n"/>
      <c r="BU58" s="192" t="n"/>
      <c r="BV58" s="192" t="n"/>
      <c r="BW58" s="192" t="n"/>
      <c r="BX58" s="192" t="n"/>
      <c r="BY58" s="192" t="n"/>
      <c r="BZ58" s="192" t="n"/>
      <c r="CA58" s="192" t="n"/>
      <c r="CB58" s="192" t="n"/>
      <c r="CC58" s="192" t="n"/>
      <c r="CD58" s="192" t="n"/>
      <c r="CE58" s="192" t="n"/>
      <c r="CF58" s="192" t="n"/>
      <c r="CG58" s="192" t="n"/>
      <c r="CH58" s="192" t="n"/>
      <c r="CI58" s="192" t="n"/>
      <c r="CJ58" s="192" t="n"/>
      <c r="CK58" s="192" t="n"/>
      <c r="CL58" s="192" t="n"/>
      <c r="CM58" s="192" t="n"/>
      <c r="CN58" s="192" t="n"/>
      <c r="CO58" s="192" t="n">
        <v>-983</v>
      </c>
      <c r="CP58" s="192" t="n">
        <v>19497</v>
      </c>
      <c r="CQ58" s="192" t="n">
        <v>361</v>
      </c>
      <c r="CR58" s="192" t="n">
        <v>-237</v>
      </c>
      <c r="CS58" s="192" t="n"/>
      <c r="CT58" s="192" t="n"/>
      <c r="CU58" s="192" t="n"/>
      <c r="CV58" s="192" t="n"/>
      <c r="CW58" s="192" t="n"/>
      <c r="CX58" s="192" t="n"/>
      <c r="CY58" s="192" t="n"/>
      <c r="CZ58" s="192" t="n"/>
      <c r="DA58" s="192" t="n"/>
      <c r="DB58" s="192" t="n"/>
      <c r="DC58" s="192" t="n"/>
      <c r="DD58" s="192" t="n"/>
      <c r="DE58" s="192" t="n"/>
      <c r="DF58" s="192" t="n"/>
      <c r="DG58" s="192" t="n"/>
      <c r="DH58" s="192" t="n"/>
      <c r="DI58" s="192" t="n"/>
      <c r="DJ58" s="192" t="n"/>
      <c r="DK58" s="192" t="n"/>
      <c r="DL58" s="192" t="n"/>
      <c r="DM58" s="192" t="n"/>
      <c r="DN58" s="192" t="n"/>
      <c r="DO58" s="192" t="n"/>
      <c r="DP58" s="192" t="n"/>
      <c r="DQ58" s="192" t="n"/>
      <c r="DR58" s="192" t="n"/>
      <c r="DS58" s="192" t="n"/>
      <c r="DT58" s="192" t="n"/>
      <c r="DU58" s="192" t="n"/>
      <c r="DV58" s="192" t="n"/>
      <c r="DW58" s="192" t="n"/>
      <c r="DX58" s="192" t="n"/>
      <c r="DY58" s="192" t="n"/>
      <c r="DZ58" s="192" t="n"/>
      <c r="EA58" s="192" t="n"/>
      <c r="EB58" s="192" t="n"/>
      <c r="EC58" s="192" t="n"/>
      <c r="ED58" s="192" t="n"/>
      <c r="EE58" s="192" t="n"/>
      <c r="EF58" s="192" t="n"/>
      <c r="EG58" s="192" t="n"/>
      <c r="EH58" s="192" t="n"/>
      <c r="EI58" s="192" t="n"/>
      <c r="EJ58" s="192" t="n"/>
      <c r="EK58" s="192" t="n"/>
      <c r="EL58" s="182" t="n"/>
      <c r="EM58" s="176" t="n"/>
      <c r="EN58" s="176" t="n"/>
      <c r="EO58" s="176" t="n"/>
      <c r="EP58" s="176" t="n"/>
      <c r="EQ58" s="176" t="n"/>
      <c r="ER58" s="176" t="n"/>
      <c r="ES58" s="176" t="n"/>
      <c r="ET58" s="176" t="n"/>
      <c r="EU58" s="176" t="n"/>
      <c r="EV58" s="176" t="n"/>
      <c r="EW58" s="176" t="n"/>
      <c r="EX58" s="176" t="n"/>
      <c r="EY58" s="176" t="n"/>
      <c r="EZ58" s="176" t="n"/>
      <c r="FA58" s="176" t="n"/>
      <c r="FB58" s="176" t="n"/>
      <c r="FC58" s="176" t="n"/>
      <c r="FD58" s="176" t="n"/>
      <c r="FE58" s="176" t="n"/>
      <c r="FF58" s="176" t="n"/>
      <c r="FG58" s="176" t="n"/>
      <c r="FH58" s="176" t="n"/>
      <c r="FI58" s="176" t="n"/>
      <c r="FJ58" s="176" t="n"/>
    </row>
    <row r="59" ht="15" customHeight="1" s="392">
      <c r="A59" s="176" t="n"/>
      <c r="B59" s="180" t="n"/>
      <c r="C59" s="187" t="inlineStr">
        <is>
          <t>Total Cash Flow from Operating Activities, Indirect</t>
        </is>
      </c>
      <c r="D59" s="193">
        <f>IF(COUNT(M59:EK59)&gt;0,MEDIAN(M59:EK59),"")</f>
        <v/>
      </c>
      <c r="E59" s="193">
        <f>IF(COUNT(M59:EK59)&gt;0,AVERAGE(M59:EK59),"")</f>
        <v/>
      </c>
      <c r="F59" s="193">
        <f>IF(COUNT(M59:EK59)&gt;0,MIN(M59:EK59),"")</f>
        <v/>
      </c>
      <c r="G59" s="193">
        <f>IF(COUNT(M59:EK59)&gt;0,MAX(M59:EK59),"")</f>
        <v/>
      </c>
      <c r="H59" s="193">
        <f>IF(COUNT(M59:EK59)&gt;0,QUARTILE(M59:EK59,1),"")</f>
        <v/>
      </c>
      <c r="I59" s="193">
        <f>IF(COUNT(M59:EK59)&gt;0,QUARTILE(M59:EK59,3),"")</f>
        <v/>
      </c>
      <c r="J59" s="193">
        <f>IF(COUNT(M59:EK59)&gt;1,STDEV(M59:EK59),"")</f>
        <v/>
      </c>
      <c r="K59" s="194">
        <f>IF(COUNT(M59:EK59)&gt;1,STDEV(M59:EK59)/AVERAGE(M59:EK59),"")</f>
        <v/>
      </c>
      <c r="L59" s="195" t="n"/>
      <c r="M59" s="196" t="n">
        <v>357541</v>
      </c>
      <c r="N59" s="196" t="n">
        <v>584198</v>
      </c>
      <c r="O59" s="196" t="n">
        <v>127500</v>
      </c>
      <c r="P59" s="196" t="n">
        <v>535253</v>
      </c>
      <c r="Q59" s="196" t="n">
        <v>438476</v>
      </c>
      <c r="R59" s="196" t="n">
        <v>700873</v>
      </c>
      <c r="S59" s="196" t="n">
        <v>178127</v>
      </c>
      <c r="T59" s="196" t="n">
        <v>482274</v>
      </c>
      <c r="U59" s="196" t="n">
        <v>439221</v>
      </c>
      <c r="V59" s="196" t="n">
        <v>496304</v>
      </c>
      <c r="W59" s="196" t="n">
        <v>161793</v>
      </c>
      <c r="X59" s="196" t="n">
        <v>375246</v>
      </c>
      <c r="Y59" s="196" t="n">
        <v>358577</v>
      </c>
      <c r="Z59" s="196" t="n">
        <v>505800</v>
      </c>
      <c r="AA59" s="196" t="n">
        <v>188274</v>
      </c>
      <c r="AB59" s="196" t="n">
        <v>311559</v>
      </c>
      <c r="AC59" s="196" t="n">
        <v>312829</v>
      </c>
      <c r="AD59" s="196" t="n">
        <v>417306</v>
      </c>
      <c r="AE59" s="196" t="n">
        <v>134008</v>
      </c>
      <c r="AF59" s="196" t="n">
        <v>312540</v>
      </c>
      <c r="AG59" s="196" t="n">
        <v>228686</v>
      </c>
      <c r="AH59" s="196" t="n">
        <v>369164</v>
      </c>
      <c r="AI59" s="196" t="n">
        <v>134508</v>
      </c>
      <c r="AJ59" s="196" t="n">
        <v>258533</v>
      </c>
      <c r="AK59" s="196" t="n">
        <v>266917</v>
      </c>
      <c r="AL59" s="196" t="n">
        <v>294048</v>
      </c>
      <c r="AM59" s="196" t="n">
        <v>144462</v>
      </c>
      <c r="AN59" s="196" t="n">
        <v>212458</v>
      </c>
      <c r="AO59" s="196" t="n">
        <v>193150</v>
      </c>
      <c r="AP59" s="196" t="n">
        <v>238292</v>
      </c>
      <c r="AQ59" s="196" t="n">
        <v>107521</v>
      </c>
      <c r="AR59" s="196" t="n">
        <v>107683</v>
      </c>
      <c r="AS59" s="196" t="n">
        <v>157872</v>
      </c>
      <c r="AT59" s="196" t="n">
        <v>190804</v>
      </c>
      <c r="AU59" s="196" t="n">
        <v>93033</v>
      </c>
      <c r="AV59" s="196" t="n">
        <v>93360</v>
      </c>
      <c r="AW59" s="196" t="n">
        <v>144231</v>
      </c>
      <c r="AX59" s="196" t="n">
        <v>192299</v>
      </c>
      <c r="AY59" s="196" t="n">
        <v>81235</v>
      </c>
      <c r="AZ59" s="196" t="n">
        <v>74293</v>
      </c>
      <c r="BA59" s="196" t="n">
        <v>124152</v>
      </c>
      <c r="BB59" s="196" t="n">
        <v>125025</v>
      </c>
      <c r="BC59" s="196" t="n">
        <v>6530</v>
      </c>
      <c r="BD59" s="196" t="n">
        <v>76791</v>
      </c>
      <c r="BE59" s="196" t="n">
        <v>61707</v>
      </c>
      <c r="BF59" s="196" t="n">
        <v>114486</v>
      </c>
      <c r="BG59" s="196" t="n">
        <v>5517</v>
      </c>
      <c r="BH59" s="196" t="n">
        <v>83366</v>
      </c>
      <c r="BI59" s="196" t="n">
        <v>54960</v>
      </c>
      <c r="BJ59" s="196" t="n">
        <v>131843</v>
      </c>
      <c r="BK59" s="196" t="n">
        <v>8076</v>
      </c>
      <c r="BL59" s="196" t="n">
        <v>67715</v>
      </c>
      <c r="BM59" s="196" t="n">
        <v>16323</v>
      </c>
      <c r="BN59" s="196" t="n">
        <v>129913</v>
      </c>
      <c r="BO59" s="196" t="n">
        <v>-22225</v>
      </c>
      <c r="BP59" s="196" t="n">
        <v>75315</v>
      </c>
      <c r="BQ59" s="196" t="n">
        <v>32722</v>
      </c>
      <c r="BR59" s="196" t="n">
        <v>106603</v>
      </c>
      <c r="BS59" s="196" t="n">
        <v>26161</v>
      </c>
      <c r="BT59" s="196" t="n">
        <v>64187</v>
      </c>
      <c r="BU59" s="196" t="n">
        <v>42282</v>
      </c>
      <c r="BV59" s="196" t="n">
        <v>107327</v>
      </c>
      <c r="BW59" s="196" t="n">
        <v>15785</v>
      </c>
      <c r="BX59" s="196" t="n">
        <v>77538</v>
      </c>
      <c r="BY59" s="196" t="n">
        <v>25424</v>
      </c>
      <c r="BZ59" s="196" t="n">
        <v>91179</v>
      </c>
      <c r="CA59" s="196" t="n">
        <v>5113</v>
      </c>
      <c r="CB59" s="196" t="n">
        <v>77691</v>
      </c>
      <c r="CC59" s="196" t="n">
        <v>48782</v>
      </c>
      <c r="CD59" s="196" t="n">
        <v>109757</v>
      </c>
      <c r="CE59" s="196" t="n">
        <v>-7564</v>
      </c>
      <c r="CF59" s="196" t="n">
        <v>52364</v>
      </c>
      <c r="CG59" s="196" t="n">
        <v>53616</v>
      </c>
      <c r="CH59" s="196" t="n">
        <v>85952</v>
      </c>
      <c r="CI59" s="196" t="n">
        <v>-1197</v>
      </c>
      <c r="CJ59" s="196" t="n">
        <v>55692</v>
      </c>
      <c r="CK59" s="196" t="n">
        <v>54788</v>
      </c>
      <c r="CL59" s="196" t="n">
        <v>65651</v>
      </c>
      <c r="CM59" s="196" t="n">
        <v>7626</v>
      </c>
      <c r="CN59" s="196" t="n">
        <v>53988</v>
      </c>
      <c r="CO59" s="196" t="n">
        <v>49530</v>
      </c>
      <c r="CP59" s="196" t="n">
        <v>66390</v>
      </c>
      <c r="CQ59" s="196" t="n">
        <v>-4341</v>
      </c>
      <c r="CR59" s="196" t="n">
        <v>30365</v>
      </c>
      <c r="CS59" s="196" t="n">
        <v>32279</v>
      </c>
      <c r="CT59" s="196" t="n">
        <v>56855</v>
      </c>
      <c r="CU59" s="196" t="n">
        <v>17299</v>
      </c>
      <c r="CV59" s="196" t="n">
        <v>29558</v>
      </c>
      <c r="CW59" s="196" t="n">
        <v>23531</v>
      </c>
      <c r="CX59" s="196" t="n">
        <v>60015</v>
      </c>
      <c r="CY59" s="196" t="n">
        <v>7435.8</v>
      </c>
      <c r="CZ59" s="196" t="n">
        <v>24128.2</v>
      </c>
      <c r="DA59" s="196" t="n">
        <v>13551.9</v>
      </c>
      <c r="DB59" s="196" t="n">
        <v>44993.3</v>
      </c>
      <c r="DC59" s="196" t="n">
        <v>138.2</v>
      </c>
      <c r="DD59" s="196" t="n">
        <v>20066.6</v>
      </c>
      <c r="DE59" s="196" t="n">
        <v>19037.6</v>
      </c>
      <c r="DF59" s="196" t="n">
        <v>43222.5</v>
      </c>
      <c r="DG59" s="196" t="n">
        <v>2556.2</v>
      </c>
      <c r="DH59" s="196" t="n">
        <v>17174.9</v>
      </c>
      <c r="DI59" s="196" t="n">
        <v>12540.1</v>
      </c>
      <c r="DJ59" s="196" t="n">
        <v>31000.9</v>
      </c>
      <c r="DK59" s="196" t="n">
        <v>-271</v>
      </c>
      <c r="DL59" s="196" t="n">
        <v>13628.4</v>
      </c>
      <c r="DM59" s="196" t="n">
        <v>3716</v>
      </c>
      <c r="DN59" s="196" t="n">
        <v>16979.2</v>
      </c>
      <c r="DO59" s="196" t="n">
        <v>-1800</v>
      </c>
      <c r="DP59" s="196" t="n">
        <v>7300</v>
      </c>
      <c r="DQ59" s="196" t="n">
        <v>7400</v>
      </c>
      <c r="DR59" s="196" t="n">
        <v>18400</v>
      </c>
      <c r="DS59" s="196" t="n">
        <v>-2200</v>
      </c>
      <c r="DT59" s="196" t="n">
        <v>7100</v>
      </c>
      <c r="DU59" s="196" t="n">
        <v>2700</v>
      </c>
      <c r="DV59" s="196" t="n">
        <v>12900</v>
      </c>
      <c r="DW59" s="196" t="n">
        <v>-1900</v>
      </c>
      <c r="DX59" s="196" t="n">
        <v>8200</v>
      </c>
      <c r="DY59" s="196" t="n">
        <v>10500</v>
      </c>
      <c r="DZ59" s="196" t="n">
        <v>11900</v>
      </c>
      <c r="EA59" s="196" t="n">
        <v>-2400</v>
      </c>
      <c r="EB59" s="196" t="n">
        <v>4600</v>
      </c>
      <c r="EC59" s="196" t="n">
        <v>700</v>
      </c>
      <c r="ED59" s="196" t="n">
        <v>8000</v>
      </c>
      <c r="EE59" s="196" t="n">
        <v>-2000</v>
      </c>
      <c r="EF59" s="196" t="n">
        <v>4600</v>
      </c>
      <c r="EG59" s="196" t="n">
        <v>-1800</v>
      </c>
      <c r="EH59" s="196" t="n">
        <v>5200</v>
      </c>
      <c r="EI59" s="196" t="n">
        <v>400</v>
      </c>
      <c r="EJ59" s="196" t="n">
        <v>1400</v>
      </c>
      <c r="EK59" s="196" t="n">
        <v>1400</v>
      </c>
      <c r="EL59" s="182" t="n"/>
      <c r="EM59" s="176" t="n"/>
      <c r="EN59" s="176" t="n"/>
      <c r="EO59" s="176" t="n"/>
      <c r="EP59" s="176" t="n"/>
      <c r="EQ59" s="176" t="n"/>
      <c r="ER59" s="176" t="n"/>
      <c r="ES59" s="176" t="n"/>
      <c r="ET59" s="176" t="n"/>
      <c r="EU59" s="176" t="n"/>
      <c r="EV59" s="176" t="n"/>
      <c r="EW59" s="176" t="n"/>
      <c r="EX59" s="176" t="n"/>
      <c r="EY59" s="176" t="n"/>
      <c r="EZ59" s="176" t="n"/>
      <c r="FA59" s="176" t="n"/>
      <c r="FB59" s="176" t="n"/>
      <c r="FC59" s="176" t="n"/>
      <c r="FD59" s="176" t="n"/>
      <c r="FE59" s="176" t="n"/>
      <c r="FF59" s="176" t="n"/>
      <c r="FG59" s="176" t="n"/>
      <c r="FH59" s="176" t="n"/>
      <c r="FI59" s="176" t="n"/>
      <c r="FJ59" s="176" t="n"/>
    </row>
    <row r="60" ht="15" customHeight="1" s="392">
      <c r="A60" s="176" t="n"/>
      <c r="B60" s="180" t="n"/>
      <c r="C60" s="189" t="inlineStr">
        <is>
          <t>Cash Flow from Investing Activities</t>
        </is>
      </c>
      <c r="D60" s="185" t="n"/>
      <c r="E60" s="185" t="n"/>
      <c r="F60" s="185" t="n"/>
      <c r="G60" s="185" t="n"/>
      <c r="H60" s="185" t="n"/>
      <c r="I60" s="185" t="n"/>
      <c r="J60" s="185" t="n"/>
      <c r="K60" s="185" t="n"/>
      <c r="L60" s="185" t="n"/>
      <c r="M60" s="185" t="n"/>
      <c r="N60" s="185" t="n"/>
      <c r="O60" s="185" t="n"/>
      <c r="P60" s="185" t="n"/>
      <c r="Q60" s="185" t="n"/>
      <c r="R60" s="185" t="n"/>
      <c r="S60" s="185" t="n"/>
      <c r="T60" s="185" t="n"/>
      <c r="U60" s="185" t="n"/>
      <c r="V60" s="185" t="n"/>
      <c r="W60" s="185" t="n"/>
      <c r="X60" s="185" t="n"/>
      <c r="Y60" s="185" t="n"/>
      <c r="Z60" s="185" t="n"/>
      <c r="AA60" s="185" t="n"/>
      <c r="AB60" s="185" t="n"/>
      <c r="AC60" s="185" t="n"/>
      <c r="AD60" s="185" t="n"/>
      <c r="AE60" s="185" t="n"/>
      <c r="AF60" s="185" t="n"/>
      <c r="AG60" s="185" t="n"/>
      <c r="AH60" s="185" t="n"/>
      <c r="AI60" s="185" t="n"/>
      <c r="AJ60" s="185" t="n"/>
      <c r="AK60" s="185" t="n"/>
      <c r="AL60" s="185" t="n"/>
      <c r="AM60" s="185" t="n"/>
      <c r="AN60" s="185" t="n"/>
      <c r="AO60" s="185" t="n"/>
      <c r="AP60" s="185" t="n"/>
      <c r="AQ60" s="185" t="n"/>
      <c r="AR60" s="185" t="n"/>
      <c r="AS60" s="185" t="n"/>
      <c r="AT60" s="185" t="n"/>
      <c r="AU60" s="185" t="n"/>
      <c r="AV60" s="185" t="n"/>
      <c r="AW60" s="185" t="n"/>
      <c r="AX60" s="185" t="n"/>
      <c r="AY60" s="185" t="n"/>
      <c r="AZ60" s="185" t="n"/>
      <c r="BA60" s="185" t="n"/>
      <c r="BB60" s="185" t="n"/>
      <c r="BC60" s="185" t="n"/>
      <c r="BD60" s="185" t="n"/>
      <c r="BE60" s="185" t="n"/>
      <c r="BF60" s="185" t="n"/>
      <c r="BG60" s="185" t="n"/>
      <c r="BH60" s="185" t="n"/>
      <c r="BI60" s="185" t="n"/>
      <c r="BJ60" s="185" t="n"/>
      <c r="BK60" s="185" t="n"/>
      <c r="BL60" s="185" t="n"/>
      <c r="BM60" s="185" t="n"/>
      <c r="BN60" s="185" t="n"/>
      <c r="BO60" s="185" t="n"/>
      <c r="BP60" s="185" t="n"/>
      <c r="BQ60" s="185" t="n"/>
      <c r="BR60" s="185" t="n"/>
      <c r="BS60" s="185" t="n"/>
      <c r="BT60" s="185" t="n"/>
      <c r="BU60" s="185" t="n"/>
      <c r="BV60" s="185" t="n"/>
      <c r="BW60" s="185" t="n"/>
      <c r="BX60" s="185" t="n"/>
      <c r="BY60" s="185" t="n"/>
      <c r="BZ60" s="185" t="n"/>
      <c r="CA60" s="185" t="n"/>
      <c r="CB60" s="185" t="n"/>
      <c r="CC60" s="185" t="n"/>
      <c r="CD60" s="185" t="n"/>
      <c r="CE60" s="185" t="n"/>
      <c r="CF60" s="185" t="n"/>
      <c r="CG60" s="185" t="n"/>
      <c r="CH60" s="185" t="n"/>
      <c r="CI60" s="185" t="n"/>
      <c r="CJ60" s="185" t="n"/>
      <c r="CK60" s="185" t="n"/>
      <c r="CL60" s="185" t="n"/>
      <c r="CM60" s="185" t="n"/>
      <c r="CN60" s="185" t="n"/>
      <c r="CO60" s="185" t="n"/>
      <c r="CP60" s="185" t="n"/>
      <c r="CQ60" s="185" t="n"/>
      <c r="CR60" s="185" t="n"/>
      <c r="CS60" s="185" t="n"/>
      <c r="CT60" s="185" t="n"/>
      <c r="CU60" s="185" t="n"/>
      <c r="CV60" s="185" t="n"/>
      <c r="CW60" s="185" t="n"/>
      <c r="CX60" s="185" t="n"/>
      <c r="CY60" s="185" t="n"/>
      <c r="CZ60" s="185" t="n"/>
      <c r="DA60" s="185" t="n"/>
      <c r="DB60" s="185" t="n"/>
      <c r="DC60" s="185" t="n"/>
      <c r="DD60" s="185" t="n"/>
      <c r="DE60" s="185" t="n"/>
      <c r="DF60" s="185" t="n"/>
      <c r="DG60" s="185" t="n"/>
      <c r="DH60" s="185" t="n"/>
      <c r="DI60" s="185" t="n"/>
      <c r="DJ60" s="185" t="n"/>
      <c r="DK60" s="185" t="n"/>
      <c r="DL60" s="185" t="n"/>
      <c r="DM60" s="185" t="n"/>
      <c r="DN60" s="185" t="n"/>
      <c r="DO60" s="185" t="n"/>
      <c r="DP60" s="185" t="n"/>
      <c r="DQ60" s="185" t="n"/>
      <c r="DR60" s="185" t="n"/>
      <c r="DS60" s="185" t="n"/>
      <c r="DT60" s="185" t="n"/>
      <c r="DU60" s="185" t="n"/>
      <c r="DV60" s="185" t="n"/>
      <c r="DW60" s="185" t="n"/>
      <c r="DX60" s="185" t="n"/>
      <c r="DY60" s="185" t="n"/>
      <c r="DZ60" s="185" t="n"/>
      <c r="EA60" s="185" t="n"/>
      <c r="EB60" s="185" t="n"/>
      <c r="EC60" s="185" t="n"/>
      <c r="ED60" s="185" t="n"/>
      <c r="EE60" s="185" t="n"/>
      <c r="EF60" s="185" t="n"/>
      <c r="EG60" s="185" t="n"/>
      <c r="EH60" s="185" t="n"/>
      <c r="EI60" s="185" t="n"/>
      <c r="EJ60" s="185" t="n"/>
      <c r="EK60" s="185" t="n"/>
      <c r="EL60" s="182" t="n"/>
      <c r="EM60" s="176" t="n"/>
      <c r="EN60" s="176" t="n"/>
      <c r="EO60" s="176" t="n"/>
      <c r="EP60" s="176" t="n"/>
      <c r="EQ60" s="176" t="n"/>
      <c r="ER60" s="176" t="n"/>
      <c r="ES60" s="176" t="n"/>
      <c r="ET60" s="176" t="n"/>
      <c r="EU60" s="176" t="n"/>
      <c r="EV60" s="176" t="n"/>
      <c r="EW60" s="176" t="n"/>
      <c r="EX60" s="176" t="n"/>
      <c r="EY60" s="176" t="n"/>
      <c r="EZ60" s="176" t="n"/>
      <c r="FA60" s="176" t="n"/>
      <c r="FB60" s="176" t="n"/>
      <c r="FC60" s="176" t="n"/>
      <c r="FD60" s="176" t="n"/>
      <c r="FE60" s="176" t="n"/>
      <c r="FF60" s="176" t="n"/>
      <c r="FG60" s="176" t="n"/>
      <c r="FH60" s="176" t="n"/>
      <c r="FI60" s="176" t="n"/>
      <c r="FJ60" s="176" t="n"/>
    </row>
    <row r="61" ht="15" customHeight="1" s="392">
      <c r="A61" s="176" t="n"/>
      <c r="B61" s="180" t="n"/>
      <c r="C61" s="183" t="inlineStr">
        <is>
          <t xml:space="preserve">    Cash Flow from Continuing Investing Activities</t>
        </is>
      </c>
      <c r="D61" s="185" t="n"/>
      <c r="E61" s="185" t="n"/>
      <c r="F61" s="185" t="n"/>
      <c r="G61" s="185" t="n"/>
      <c r="H61" s="185" t="n"/>
      <c r="I61" s="185" t="n"/>
      <c r="J61" s="185" t="n"/>
      <c r="K61" s="185" t="n"/>
      <c r="EL61" s="182" t="n"/>
      <c r="EM61" s="176" t="n"/>
      <c r="EN61" s="176" t="n"/>
      <c r="EO61" s="176" t="n"/>
      <c r="EP61" s="176" t="n"/>
      <c r="EQ61" s="176" t="n"/>
      <c r="ER61" s="176" t="n"/>
      <c r="ES61" s="176" t="n"/>
      <c r="ET61" s="176" t="n"/>
      <c r="EU61" s="176" t="n"/>
      <c r="EV61" s="176" t="n"/>
      <c r="EW61" s="176" t="n"/>
      <c r="EX61" s="176" t="n"/>
      <c r="EY61" s="176" t="n"/>
      <c r="EZ61" s="176" t="n"/>
      <c r="FA61" s="176" t="n"/>
      <c r="FB61" s="176" t="n"/>
      <c r="FC61" s="176" t="n"/>
      <c r="FD61" s="176" t="n"/>
      <c r="FE61" s="176" t="n"/>
      <c r="FF61" s="176" t="n"/>
      <c r="FG61" s="176" t="n"/>
      <c r="FH61" s="176" t="n"/>
      <c r="FI61" s="176" t="n"/>
      <c r="FJ61" s="176" t="n"/>
    </row>
    <row r="62" ht="15" customHeight="1" s="392">
      <c r="A62" s="176" t="n"/>
      <c r="B62" s="180" t="n"/>
      <c r="C62" s="183" t="inlineStr">
        <is>
          <t xml:space="preserve">        Capital Expenditure, Reported</t>
        </is>
      </c>
      <c r="D62" s="190">
        <f>IF(COUNT(M62:EK62)&gt;0,MEDIAN(M62:EK62),"")</f>
        <v/>
      </c>
      <c r="E62" s="190">
        <f>IF(COUNT(M62:EK62)&gt;0,AVERAGE(M62:EK62),"")</f>
        <v/>
      </c>
      <c r="F62" s="190">
        <f>IF(COUNT(M62:EK62)&gt;0,MIN(M62:EK62),"")</f>
        <v/>
      </c>
      <c r="G62" s="190">
        <f>IF(COUNT(M62:EK62)&gt;0,MAX(M62:EK62),"")</f>
        <v/>
      </c>
      <c r="H62" s="190">
        <f>IF(COUNT(M62:EK62)&gt;0,QUARTILE(M62:EK62,1),"")</f>
        <v/>
      </c>
      <c r="I62" s="190">
        <f>IF(COUNT(M62:EK62)&gt;0,QUARTILE(M62:EK62,3),"")</f>
        <v/>
      </c>
      <c r="J62" s="190">
        <f>IF(COUNT(M62:EK62)&gt;1,STDEV(M62:EK62),"")</f>
        <v/>
      </c>
      <c r="K62" s="191">
        <f>IF(COUNT(M62:EK62)&gt;1,STDEV(M62:EK62)/AVERAGE(M62:EK62),"")</f>
        <v/>
      </c>
      <c r="M62" s="192" t="n"/>
      <c r="N62" s="192" t="n"/>
      <c r="O62" s="192" t="n"/>
      <c r="P62" s="192" t="n"/>
      <c r="Q62" s="192" t="n"/>
      <c r="R62" s="192" t="n"/>
      <c r="S62" s="192" t="n"/>
      <c r="T62" s="192" t="n"/>
      <c r="U62" s="192" t="n"/>
      <c r="V62" s="192" t="n"/>
      <c r="W62" s="192" t="n"/>
      <c r="X62" s="192" t="n"/>
      <c r="Y62" s="192" t="n"/>
      <c r="Z62" s="192" t="n"/>
      <c r="AA62" s="192" t="n"/>
      <c r="AB62" s="192" t="n"/>
      <c r="AC62" s="192" t="n"/>
      <c r="AD62" s="192" t="n"/>
      <c r="AE62" s="192" t="n"/>
      <c r="AF62" s="192" t="n"/>
      <c r="AG62" s="192" t="n"/>
      <c r="AH62" s="192" t="n"/>
      <c r="AI62" s="192" t="n"/>
      <c r="AJ62" s="192" t="n"/>
      <c r="AK62" s="192" t="n"/>
      <c r="AL62" s="192" t="n"/>
      <c r="AM62" s="192" t="n"/>
      <c r="AN62" s="192" t="n"/>
      <c r="AO62" s="192" t="n"/>
      <c r="AP62" s="192" t="n"/>
      <c r="AQ62" s="192" t="n"/>
      <c r="AR62" s="192" t="n"/>
      <c r="AS62" s="192" t="n"/>
      <c r="AT62" s="192" t="n"/>
      <c r="AU62" s="192" t="n"/>
      <c r="AV62" s="192" t="n"/>
      <c r="AW62" s="192" t="n"/>
      <c r="AX62" s="192" t="n"/>
      <c r="AY62" s="192" t="n"/>
      <c r="AZ62" s="192" t="n"/>
      <c r="BA62" s="192" t="n"/>
      <c r="BB62" s="192" t="n"/>
      <c r="BC62" s="192" t="n"/>
      <c r="BD62" s="192" t="n"/>
      <c r="BE62" s="192" t="n"/>
      <c r="BF62" s="192" t="n"/>
      <c r="BG62" s="192" t="n"/>
      <c r="BH62" s="192" t="n"/>
      <c r="BI62" s="192" t="n"/>
      <c r="BJ62" s="192" t="n"/>
      <c r="BK62" s="192" t="n"/>
      <c r="BL62" s="192" t="n"/>
      <c r="BM62" s="192" t="n"/>
      <c r="BN62" s="192" t="n"/>
      <c r="BO62" s="192" t="n"/>
      <c r="BP62" s="192" t="n"/>
      <c r="BQ62" s="192" t="n"/>
      <c r="BR62" s="192" t="n"/>
      <c r="BS62" s="192" t="n"/>
      <c r="BT62" s="192" t="n">
        <v>-7274</v>
      </c>
      <c r="BU62" s="192" t="n"/>
      <c r="BV62" s="192" t="n"/>
      <c r="BW62" s="192" t="n"/>
      <c r="BX62" s="192" t="n"/>
      <c r="BY62" s="192" t="n"/>
      <c r="BZ62" s="192" t="n"/>
      <c r="CA62" s="192" t="n"/>
      <c r="CB62" s="192" t="n"/>
      <c r="CC62" s="192" t="n"/>
      <c r="CD62" s="192" t="n"/>
      <c r="CE62" s="192" t="n"/>
      <c r="CF62" s="192" t="n"/>
      <c r="CG62" s="192" t="n"/>
      <c r="CH62" s="192" t="n"/>
      <c r="CI62" s="192" t="n"/>
      <c r="CJ62" s="192" t="n"/>
      <c r="CK62" s="192" t="n"/>
      <c r="CL62" s="192" t="n"/>
      <c r="CM62" s="192" t="n"/>
      <c r="CN62" s="192" t="n"/>
      <c r="CO62" s="192" t="n"/>
      <c r="CP62" s="192" t="n"/>
      <c r="CQ62" s="192" t="n"/>
      <c r="CR62" s="192" t="n"/>
      <c r="CS62" s="192" t="n"/>
      <c r="CT62" s="192" t="n"/>
      <c r="CU62" s="192" t="n"/>
      <c r="CV62" s="192" t="n"/>
      <c r="CW62" s="192" t="n"/>
      <c r="CX62" s="192" t="n"/>
      <c r="CY62" s="192" t="n"/>
      <c r="CZ62" s="192" t="n"/>
      <c r="DA62" s="192" t="n"/>
      <c r="DB62" s="192" t="n"/>
      <c r="DC62" s="192" t="n"/>
      <c r="DD62" s="192" t="n"/>
      <c r="DE62" s="192" t="n"/>
      <c r="DF62" s="192" t="n"/>
      <c r="DG62" s="192" t="n"/>
      <c r="DH62" s="192" t="n"/>
      <c r="DI62" s="192" t="n"/>
      <c r="DJ62" s="192" t="n"/>
      <c r="DK62" s="192" t="n"/>
      <c r="DL62" s="192" t="n"/>
      <c r="DM62" s="192" t="n"/>
      <c r="DN62" s="192" t="n"/>
      <c r="DO62" s="192" t="n"/>
      <c r="DP62" s="192" t="n"/>
      <c r="DQ62" s="192" t="n"/>
      <c r="DR62" s="192" t="n"/>
      <c r="DS62" s="192" t="n"/>
      <c r="DT62" s="192" t="n"/>
      <c r="DU62" s="192" t="n"/>
      <c r="DV62" s="192" t="n"/>
      <c r="DW62" s="192" t="n"/>
      <c r="DX62" s="192" t="n"/>
      <c r="DY62" s="192" t="n"/>
      <c r="DZ62" s="192" t="n"/>
      <c r="EA62" s="192" t="n"/>
      <c r="EB62" s="192" t="n"/>
      <c r="EC62" s="192" t="n"/>
      <c r="ED62" s="192" t="n"/>
      <c r="EE62" s="192" t="n"/>
      <c r="EF62" s="192" t="n"/>
      <c r="EG62" s="192" t="n"/>
      <c r="EH62" s="192" t="n"/>
      <c r="EI62" s="192" t="n"/>
      <c r="EJ62" s="192" t="n"/>
      <c r="EK62" s="192" t="n"/>
      <c r="EL62" s="182" t="n"/>
      <c r="EM62" s="176" t="n"/>
      <c r="EN62" s="176" t="n"/>
      <c r="EO62" s="176" t="n"/>
      <c r="EP62" s="176" t="n"/>
      <c r="EQ62" s="176" t="n"/>
      <c r="ER62" s="176" t="n"/>
      <c r="ES62" s="176" t="n"/>
      <c r="ET62" s="176" t="n"/>
      <c r="EU62" s="176" t="n"/>
      <c r="EV62" s="176" t="n"/>
      <c r="EW62" s="176" t="n"/>
      <c r="EX62" s="176" t="n"/>
      <c r="EY62" s="176" t="n"/>
      <c r="EZ62" s="176" t="n"/>
      <c r="FA62" s="176" t="n"/>
      <c r="FB62" s="176" t="n"/>
      <c r="FC62" s="176" t="n"/>
      <c r="FD62" s="176" t="n"/>
      <c r="FE62" s="176" t="n"/>
      <c r="FF62" s="176" t="n"/>
      <c r="FG62" s="176" t="n"/>
      <c r="FH62" s="176" t="n"/>
      <c r="FI62" s="176" t="n"/>
      <c r="FJ62" s="176" t="n"/>
    </row>
    <row r="63" ht="15" customHeight="1" s="392">
      <c r="A63" s="176" t="n"/>
      <c r="B63" s="180" t="n"/>
      <c r="C63" s="183" t="inlineStr">
        <is>
          <t xml:space="preserve">        (Purchase)/Sale and Disposal of Property, Plant and Equipment, Net</t>
        </is>
      </c>
      <c r="D63" s="185" t="n"/>
      <c r="E63" s="185" t="n"/>
      <c r="F63" s="185" t="n"/>
      <c r="G63" s="185" t="n"/>
      <c r="H63" s="185" t="n"/>
      <c r="I63" s="185" t="n"/>
      <c r="J63" s="185" t="n"/>
      <c r="K63" s="185" t="n"/>
      <c r="EL63" s="182" t="n"/>
      <c r="EM63" s="176" t="n"/>
      <c r="EN63" s="176" t="n"/>
      <c r="EO63" s="176" t="n"/>
      <c r="EP63" s="176" t="n"/>
      <c r="EQ63" s="176" t="n"/>
      <c r="ER63" s="176" t="n"/>
      <c r="ES63" s="176" t="n"/>
      <c r="ET63" s="176" t="n"/>
      <c r="EU63" s="176" t="n"/>
      <c r="EV63" s="176" t="n"/>
      <c r="EW63" s="176" t="n"/>
      <c r="EX63" s="176" t="n"/>
      <c r="EY63" s="176" t="n"/>
      <c r="EZ63" s="176" t="n"/>
      <c r="FA63" s="176" t="n"/>
      <c r="FB63" s="176" t="n"/>
      <c r="FC63" s="176" t="n"/>
      <c r="FD63" s="176" t="n"/>
      <c r="FE63" s="176" t="n"/>
      <c r="FF63" s="176" t="n"/>
      <c r="FG63" s="176" t="n"/>
      <c r="FH63" s="176" t="n"/>
      <c r="FI63" s="176" t="n"/>
      <c r="FJ63" s="176" t="n"/>
    </row>
    <row r="64" ht="15" customHeight="1" s="392">
      <c r="A64" s="176" t="n"/>
      <c r="B64" s="180" t="n"/>
      <c r="C64" s="183" t="inlineStr">
        <is>
          <t xml:space="preserve">            Purchase of Property, Plant and Equipment</t>
        </is>
      </c>
      <c r="D64" s="190">
        <f>IF(COUNT(M64:EK64)&gt;0,MEDIAN(M64:EK64),"")</f>
        <v/>
      </c>
      <c r="E64" s="190">
        <f>IF(COUNT(M64:EK64)&gt;0,AVERAGE(M64:EK64),"")</f>
        <v/>
      </c>
      <c r="F64" s="190">
        <f>IF(COUNT(M64:EK64)&gt;0,MIN(M64:EK64),"")</f>
        <v/>
      </c>
      <c r="G64" s="190">
        <f>IF(COUNT(M64:EK64)&gt;0,MAX(M64:EK64),"")</f>
        <v/>
      </c>
      <c r="H64" s="190">
        <f>IF(COUNT(M64:EK64)&gt;0,QUARTILE(M64:EK64,1),"")</f>
        <v/>
      </c>
      <c r="I64" s="190">
        <f>IF(COUNT(M64:EK64)&gt;0,QUARTILE(M64:EK64,3),"")</f>
        <v/>
      </c>
      <c r="J64" s="190">
        <f>IF(COUNT(M64:EK64)&gt;1,STDEV(M64:EK64),"")</f>
        <v/>
      </c>
      <c r="K64" s="191">
        <f>IF(COUNT(M64:EK64)&gt;1,STDEV(M64:EK64)/AVERAGE(M64:EK64),"")</f>
        <v/>
      </c>
      <c r="M64" s="192" t="n">
        <v>-78810</v>
      </c>
      <c r="N64" s="192" t="n">
        <v>-80893</v>
      </c>
      <c r="O64" s="192" t="n">
        <v>-69618</v>
      </c>
      <c r="P64" s="192" t="n">
        <v>-108042</v>
      </c>
      <c r="Q64" s="192" t="n">
        <v>-87641</v>
      </c>
      <c r="R64" s="192" t="n">
        <v>-127950</v>
      </c>
      <c r="S64" s="192" t="n">
        <v>-116641</v>
      </c>
      <c r="T64" s="192" t="n">
        <v>-236758</v>
      </c>
      <c r="U64" s="192" t="n">
        <v>-137886</v>
      </c>
      <c r="V64" s="192" t="n">
        <v>-87815</v>
      </c>
      <c r="W64" s="192" t="n">
        <v>-123029</v>
      </c>
      <c r="X64" s="192" t="n">
        <v>-162260</v>
      </c>
      <c r="Y64" s="192" t="n">
        <v>-170112</v>
      </c>
      <c r="Z64" s="192" t="n">
        <v>-89805</v>
      </c>
      <c r="AA64" s="192" t="n">
        <v>-104064</v>
      </c>
      <c r="AB64" s="192" t="n">
        <v>-152655</v>
      </c>
      <c r="AC64" s="192" t="n">
        <v>-102638</v>
      </c>
      <c r="AD64" s="192" t="n">
        <v>-78610</v>
      </c>
      <c r="AE64" s="192" t="n">
        <v>-91504</v>
      </c>
      <c r="AF64" s="192" t="n">
        <v>-64696</v>
      </c>
      <c r="AG64" s="192" t="n">
        <v>-98601</v>
      </c>
      <c r="AH64" s="192" t="n">
        <v>-81181</v>
      </c>
      <c r="AI64" s="192" t="n">
        <v>-136121</v>
      </c>
      <c r="AJ64" s="192" t="n">
        <v>-147093</v>
      </c>
      <c r="AK64" s="192" t="n">
        <v>-104242</v>
      </c>
      <c r="AL64" s="192" t="n">
        <v>-87378</v>
      </c>
      <c r="AM64" s="192" t="n">
        <v>-268559</v>
      </c>
      <c r="AN64" s="192" t="n">
        <v>-131793</v>
      </c>
      <c r="AO64" s="192" t="n">
        <v>-114547</v>
      </c>
      <c r="AP64" s="192" t="n">
        <v>-122609</v>
      </c>
      <c r="AQ64" s="192" t="n">
        <v>-74391</v>
      </c>
      <c r="AR64" s="192" t="n">
        <v>-62336</v>
      </c>
      <c r="AS64" s="192" t="n">
        <v>-108215</v>
      </c>
      <c r="AT64" s="192" t="n">
        <v>-68790</v>
      </c>
      <c r="AU64" s="192" t="n">
        <v>-69421</v>
      </c>
      <c r="AV64" s="192" t="n">
        <v>-41484</v>
      </c>
      <c r="AW64" s="192" t="n">
        <v>-47468</v>
      </c>
      <c r="AX64" s="192" t="n">
        <v>-32298</v>
      </c>
      <c r="AY64" s="192" t="n">
        <v>-54203</v>
      </c>
      <c r="AZ64" s="192" t="n">
        <v>-38209</v>
      </c>
      <c r="BA64" s="192" t="n">
        <v>-30084</v>
      </c>
      <c r="BB64" s="192" t="n">
        <v>-66070</v>
      </c>
      <c r="BC64" s="192" t="n">
        <v>-57596</v>
      </c>
      <c r="BD64" s="192" t="n">
        <v>-20167</v>
      </c>
      <c r="BE64" s="192" t="n">
        <v>-30074</v>
      </c>
      <c r="BF64" s="192" t="n">
        <v>-9620</v>
      </c>
      <c r="BG64" s="192" t="n">
        <v>-16071</v>
      </c>
      <c r="BH64" s="192" t="n">
        <v>-23388</v>
      </c>
      <c r="BI64" s="192" t="n">
        <v>-18193</v>
      </c>
      <c r="BJ64" s="192" t="n">
        <v>-11549</v>
      </c>
      <c r="BK64" s="192" t="n">
        <v>-30466</v>
      </c>
      <c r="BL64" s="192" t="n">
        <v>-21302</v>
      </c>
      <c r="BM64" s="192" t="n">
        <v>-16000</v>
      </c>
      <c r="BN64" s="192" t="n">
        <v>-28583</v>
      </c>
      <c r="BO64" s="192" t="n">
        <v>-38062</v>
      </c>
      <c r="BP64" s="192" t="n">
        <v>-47620</v>
      </c>
      <c r="BQ64" s="192" t="n">
        <v>-26306</v>
      </c>
      <c r="BR64" s="192" t="n">
        <v>-13651</v>
      </c>
      <c r="BS64" s="192" t="n"/>
      <c r="BT64" s="192" t="n"/>
      <c r="BU64" s="192" t="n"/>
      <c r="BV64" s="192" t="n"/>
      <c r="BW64" s="192" t="n">
        <v>-27558</v>
      </c>
      <c r="BX64" s="192" t="n">
        <v>-14777</v>
      </c>
      <c r="BY64" s="192" t="n"/>
      <c r="BZ64" s="192" t="n"/>
      <c r="CA64" s="192" t="n">
        <v>-16335</v>
      </c>
      <c r="CB64" s="192" t="n">
        <v>-23512</v>
      </c>
      <c r="CC64" s="192" t="n">
        <v>-9726</v>
      </c>
      <c r="CD64" s="192" t="n">
        <v>-12072</v>
      </c>
      <c r="CE64" s="192" t="n">
        <v>-27914</v>
      </c>
      <c r="CF64" s="192" t="n">
        <v>-29200</v>
      </c>
      <c r="CG64" s="192" t="n">
        <v>-26435</v>
      </c>
      <c r="CH64" s="192" t="n">
        <v>-28668</v>
      </c>
      <c r="CI64" s="192" t="n">
        <v>-38350</v>
      </c>
      <c r="CJ64" s="192" t="n">
        <v>-19911</v>
      </c>
      <c r="CK64" s="192" t="n">
        <v>-137702</v>
      </c>
      <c r="CL64" s="192" t="n">
        <v>-21804</v>
      </c>
      <c r="CM64" s="192" t="n">
        <v>-16253</v>
      </c>
      <c r="CN64" s="192" t="n">
        <v>-21102</v>
      </c>
      <c r="CO64" s="192" t="n">
        <v>-35306</v>
      </c>
      <c r="CP64" s="192" t="n">
        <v>-41313</v>
      </c>
      <c r="CQ64" s="192" t="n">
        <v>-14197</v>
      </c>
      <c r="CR64" s="192" t="n">
        <v>-26871</v>
      </c>
      <c r="CS64" s="192" t="n">
        <v>-28070</v>
      </c>
      <c r="CT64" s="192" t="n">
        <v>-16895</v>
      </c>
      <c r="CU64" s="192" t="n">
        <v>-13367</v>
      </c>
      <c r="CV64" s="192" t="n">
        <v>-11909</v>
      </c>
      <c r="CW64" s="192" t="n">
        <v>-14633</v>
      </c>
      <c r="CX64" s="192" t="n">
        <v>-9497</v>
      </c>
      <c r="CY64" s="192" t="n">
        <v>-30273.1</v>
      </c>
      <c r="CZ64" s="192" t="n">
        <v>-11259.9</v>
      </c>
      <c r="DA64" s="192" t="n">
        <v>-8806.200000000001</v>
      </c>
      <c r="DB64" s="192" t="n">
        <v>-7773.6</v>
      </c>
      <c r="DC64" s="192" t="n">
        <v>-33170.8</v>
      </c>
      <c r="DD64" s="192" t="n">
        <v>-20970.4</v>
      </c>
      <c r="DE64" s="192" t="n">
        <v>-22132.4</v>
      </c>
      <c r="DF64" s="192" t="n">
        <v>-26110.7</v>
      </c>
      <c r="DG64" s="192" t="n">
        <v>-20287.6</v>
      </c>
      <c r="DH64" s="192" t="n">
        <v>-17406.3</v>
      </c>
      <c r="DI64" s="192" t="n">
        <v>-8186</v>
      </c>
      <c r="DJ64" s="192" t="n">
        <v>-14479.6</v>
      </c>
      <c r="DK64" s="192" t="n">
        <v>-12647.2</v>
      </c>
      <c r="DL64" s="192" t="n">
        <v>-10619.6</v>
      </c>
      <c r="DM64" s="192" t="n">
        <v>-9136</v>
      </c>
      <c r="DN64" s="192" t="n">
        <v>-9786.4</v>
      </c>
      <c r="DO64" s="192" t="n">
        <v>-6900</v>
      </c>
      <c r="DP64" s="192" t="n">
        <v>-11200</v>
      </c>
      <c r="DQ64" s="192" t="n">
        <v>-6200</v>
      </c>
      <c r="DR64" s="192" t="n">
        <v>-3800</v>
      </c>
      <c r="DS64" s="192" t="n">
        <v>-6300</v>
      </c>
      <c r="DT64" s="192" t="n">
        <v>-4400</v>
      </c>
      <c r="DU64" s="192" t="n">
        <v>-3300</v>
      </c>
      <c r="DV64" s="192" t="n">
        <v>-3900</v>
      </c>
      <c r="DW64" s="192" t="n">
        <v>-2400</v>
      </c>
      <c r="DX64" s="192" t="n">
        <v>-2600</v>
      </c>
      <c r="DY64" s="192" t="n">
        <v>-2100</v>
      </c>
      <c r="DZ64" s="192" t="n">
        <v>-1800</v>
      </c>
      <c r="EA64" s="192" t="n">
        <v>-1600</v>
      </c>
      <c r="EB64" s="192" t="n">
        <v>-2300</v>
      </c>
      <c r="EC64" s="192" t="n">
        <v>-4600</v>
      </c>
      <c r="ED64" s="192" t="n">
        <v>-1700</v>
      </c>
      <c r="EE64" s="192" t="n">
        <v>-800</v>
      </c>
      <c r="EF64" s="192" t="n">
        <v>-1500</v>
      </c>
      <c r="EG64" s="192" t="n">
        <v>-7600</v>
      </c>
      <c r="EH64" s="192" t="n">
        <v>-1000</v>
      </c>
      <c r="EI64" s="192" t="n">
        <v>-200</v>
      </c>
      <c r="EJ64" s="192" t="n">
        <v>-1100</v>
      </c>
      <c r="EK64" s="192" t="n">
        <v>-1400</v>
      </c>
      <c r="EL64" s="182" t="n"/>
      <c r="EM64" s="176" t="n"/>
      <c r="EN64" s="176" t="n"/>
      <c r="EO64" s="176" t="n"/>
      <c r="EP64" s="176" t="n"/>
      <c r="EQ64" s="176" t="n"/>
      <c r="ER64" s="176" t="n"/>
      <c r="ES64" s="176" t="n"/>
      <c r="ET64" s="176" t="n"/>
      <c r="EU64" s="176" t="n"/>
      <c r="EV64" s="176" t="n"/>
      <c r="EW64" s="176" t="n"/>
      <c r="EX64" s="176" t="n"/>
      <c r="EY64" s="176" t="n"/>
      <c r="EZ64" s="176" t="n"/>
      <c r="FA64" s="176" t="n"/>
      <c r="FB64" s="176" t="n"/>
      <c r="FC64" s="176" t="n"/>
      <c r="FD64" s="176" t="n"/>
      <c r="FE64" s="176" t="n"/>
      <c r="FF64" s="176" t="n"/>
      <c r="FG64" s="176" t="n"/>
      <c r="FH64" s="176" t="n"/>
      <c r="FI64" s="176" t="n"/>
      <c r="FJ64" s="176" t="n"/>
    </row>
    <row r="65" ht="15" customHeight="1" s="392">
      <c r="A65" s="176" t="n"/>
      <c r="B65" s="180" t="n"/>
      <c r="C65" s="183" t="inlineStr">
        <is>
          <t xml:space="preserve">            Sale and Disposal of Property, Plant and Equipment</t>
        </is>
      </c>
      <c r="D65" s="190">
        <f>IF(COUNT(M65:EK65)&gt;0,MEDIAN(M65:EK65),"")</f>
        <v/>
      </c>
      <c r="E65" s="190">
        <f>IF(COUNT(M65:EK65)&gt;0,AVERAGE(M65:EK65),"")</f>
        <v/>
      </c>
      <c r="F65" s="190">
        <f>IF(COUNT(M65:EK65)&gt;0,MIN(M65:EK65),"")</f>
        <v/>
      </c>
      <c r="G65" s="190">
        <f>IF(COUNT(M65:EK65)&gt;0,MAX(M65:EK65),"")</f>
        <v/>
      </c>
      <c r="H65" s="190">
        <f>IF(COUNT(M65:EK65)&gt;0,QUARTILE(M65:EK65,1),"")</f>
        <v/>
      </c>
      <c r="I65" s="190">
        <f>IF(COUNT(M65:EK65)&gt;0,QUARTILE(M65:EK65,3),"")</f>
        <v/>
      </c>
      <c r="J65" s="190">
        <f>IF(COUNT(M65:EK65)&gt;1,STDEV(M65:EK65),"")</f>
        <v/>
      </c>
      <c r="K65" s="191">
        <f>IF(COUNT(M65:EK65)&gt;1,STDEV(M65:EK65)/AVERAGE(M65:EK65),"")</f>
        <v/>
      </c>
      <c r="M65" s="192" t="n">
        <v>1498</v>
      </c>
      <c r="N65" s="192" t="n">
        <v>1365</v>
      </c>
      <c r="O65" s="192" t="n">
        <v>1780</v>
      </c>
      <c r="P65" s="192" t="n">
        <v>7932</v>
      </c>
      <c r="Q65" s="192" t="n">
        <v>27298</v>
      </c>
      <c r="R65" s="192" t="n">
        <v>3871</v>
      </c>
      <c r="S65" s="192" t="n">
        <v>419</v>
      </c>
      <c r="T65" s="192" t="n">
        <v>243</v>
      </c>
      <c r="U65" s="192" t="n">
        <v>713</v>
      </c>
      <c r="V65" s="192" t="n">
        <v>1384</v>
      </c>
      <c r="W65" s="192" t="n">
        <v>1145</v>
      </c>
      <c r="X65" s="192" t="n">
        <v>924</v>
      </c>
      <c r="Y65" s="192" t="n">
        <v>13410</v>
      </c>
      <c r="Z65" s="192" t="n">
        <v>4166</v>
      </c>
      <c r="AA65" s="192" t="n">
        <v>16158</v>
      </c>
      <c r="AB65" s="192" t="n">
        <v>185</v>
      </c>
      <c r="AC65" s="192" t="n">
        <v>1711</v>
      </c>
      <c r="AD65" s="192" t="n">
        <v>1370</v>
      </c>
      <c r="AE65" s="192" t="n">
        <v>439</v>
      </c>
      <c r="AF65" s="192" t="n">
        <v>813</v>
      </c>
      <c r="AG65" s="192" t="n">
        <v>1931</v>
      </c>
      <c r="AH65" s="192" t="n">
        <v>470</v>
      </c>
      <c r="AI65" s="192" t="n">
        <v>-142</v>
      </c>
      <c r="AJ65" s="192" t="n">
        <v>271</v>
      </c>
      <c r="AK65" s="192" t="n">
        <v>313</v>
      </c>
      <c r="AL65" s="192" t="n">
        <v>514</v>
      </c>
      <c r="AM65" s="192" t="n">
        <v>1356</v>
      </c>
      <c r="AN65" s="192" t="n">
        <v>283</v>
      </c>
      <c r="AO65" s="192" t="n">
        <v>433</v>
      </c>
      <c r="AP65" s="192" t="n">
        <v>440</v>
      </c>
      <c r="AQ65" s="192" t="n">
        <v>16678</v>
      </c>
      <c r="AR65" s="192" t="n">
        <v>810</v>
      </c>
      <c r="AS65" s="192" t="n">
        <v>3057</v>
      </c>
      <c r="AT65" s="192" t="n">
        <v>556</v>
      </c>
      <c r="AU65" s="192" t="n">
        <v>793</v>
      </c>
      <c r="AV65" s="192" t="n">
        <v>2019</v>
      </c>
      <c r="AW65" s="192" t="n">
        <v>211</v>
      </c>
      <c r="AX65" s="192" t="n">
        <v>168</v>
      </c>
      <c r="AY65" s="192" t="n">
        <v>196</v>
      </c>
      <c r="AZ65" s="192" t="n">
        <v>190</v>
      </c>
      <c r="BA65" s="192" t="n">
        <v>177</v>
      </c>
      <c r="BB65" s="192" t="n">
        <v>189</v>
      </c>
      <c r="BC65" s="192" t="n">
        <v>-47</v>
      </c>
      <c r="BD65" s="192" t="n">
        <v>343</v>
      </c>
      <c r="BE65" s="192" t="n">
        <v>651</v>
      </c>
      <c r="BF65" s="192" t="n">
        <v>345</v>
      </c>
      <c r="BG65" s="192" t="n">
        <v>53</v>
      </c>
      <c r="BH65" s="192" t="n">
        <v>472</v>
      </c>
      <c r="BI65" s="192" t="n">
        <v>436</v>
      </c>
      <c r="BJ65" s="192" t="n">
        <v>331</v>
      </c>
      <c r="BK65" s="192" t="n">
        <v>1229</v>
      </c>
      <c r="BL65" s="192" t="n">
        <v>853</v>
      </c>
      <c r="BM65" s="192" t="n">
        <v>796</v>
      </c>
      <c r="BN65" s="192" t="n">
        <v>1291</v>
      </c>
      <c r="BO65" s="192" t="n">
        <v>957</v>
      </c>
      <c r="BP65" s="192" t="n">
        <v>33</v>
      </c>
      <c r="BQ65" s="192" t="n">
        <v>-304</v>
      </c>
      <c r="BR65" s="192" t="n">
        <v>811</v>
      </c>
      <c r="BS65" s="192" t="n">
        <v>579</v>
      </c>
      <c r="BT65" s="192" t="n">
        <v>182</v>
      </c>
      <c r="BU65" s="192" t="n">
        <v>217</v>
      </c>
      <c r="BV65" s="192" t="n">
        <v>169</v>
      </c>
      <c r="BW65" s="192" t="n">
        <v>16512</v>
      </c>
      <c r="BX65" s="192" t="n">
        <v>3704</v>
      </c>
      <c r="BY65" s="192" t="n">
        <v>-544</v>
      </c>
      <c r="BZ65" s="192" t="n">
        <v>1310</v>
      </c>
      <c r="CA65" s="192" t="n">
        <v>1106</v>
      </c>
      <c r="CB65" s="192" t="n">
        <v>605</v>
      </c>
      <c r="CC65" s="192" t="n">
        <v>1795</v>
      </c>
      <c r="CD65" s="192" t="n">
        <v>287</v>
      </c>
      <c r="CE65" s="192" t="n">
        <v>4761</v>
      </c>
      <c r="CF65" s="192" t="n">
        <v>165</v>
      </c>
      <c r="CG65" s="192" t="n">
        <v>3883</v>
      </c>
      <c r="CH65" s="192" t="n">
        <v>492</v>
      </c>
      <c r="CI65" s="192" t="n">
        <v>2748</v>
      </c>
      <c r="CJ65" s="192" t="n">
        <v>97</v>
      </c>
      <c r="CK65" s="192" t="n">
        <v>9939</v>
      </c>
      <c r="CL65" s="192" t="n">
        <v>10833</v>
      </c>
      <c r="CM65" s="192" t="n">
        <v>2813</v>
      </c>
      <c r="CN65" s="192" t="n">
        <v>3013</v>
      </c>
      <c r="CO65" s="192" t="n">
        <v>8957</v>
      </c>
      <c r="CP65" s="192" t="n">
        <v>220</v>
      </c>
      <c r="CQ65" s="192" t="n">
        <v>127</v>
      </c>
      <c r="CR65" s="192" t="n">
        <v>252</v>
      </c>
      <c r="CS65" s="192" t="n">
        <v>129</v>
      </c>
      <c r="CT65" s="192" t="n">
        <v>637</v>
      </c>
      <c r="CU65" s="192" t="n">
        <v>1092</v>
      </c>
      <c r="CV65" s="192" t="n">
        <v>3791</v>
      </c>
      <c r="CW65" s="192" t="n">
        <v>3139</v>
      </c>
      <c r="CX65" s="192" t="n">
        <v>7431</v>
      </c>
      <c r="CY65" s="192" t="n">
        <v>9096.6</v>
      </c>
      <c r="CZ65" s="192" t="n">
        <v>100.4</v>
      </c>
      <c r="DA65" s="192" t="n">
        <v>134.6</v>
      </c>
      <c r="DB65" s="192" t="n">
        <v>166.9</v>
      </c>
      <c r="DC65" s="192" t="n">
        <v>119.1</v>
      </c>
      <c r="DD65" s="192" t="n">
        <v>388.4</v>
      </c>
      <c r="DE65" s="192" t="n">
        <v>602.6</v>
      </c>
      <c r="DF65" s="192" t="n">
        <v>596.9</v>
      </c>
      <c r="DG65" s="192" t="n">
        <v>284.3</v>
      </c>
      <c r="DH65" s="192" t="n">
        <v>204.6</v>
      </c>
      <c r="DI65" s="192" t="n">
        <v>274.9</v>
      </c>
      <c r="DJ65" s="192" t="n">
        <v>314.5</v>
      </c>
      <c r="DK65" s="192" t="n">
        <v>448.1</v>
      </c>
      <c r="DL65" s="192" t="n">
        <v>480.3</v>
      </c>
      <c r="DM65" s="192" t="n">
        <v>257.1</v>
      </c>
      <c r="DN65" s="192" t="n">
        <v>26.2</v>
      </c>
      <c r="DO65" s="192" t="n"/>
      <c r="DP65" s="192" t="n"/>
      <c r="DQ65" s="192" t="n">
        <v>0</v>
      </c>
      <c r="DR65" s="192" t="n">
        <v>0</v>
      </c>
      <c r="DS65" s="192" t="n">
        <v>100</v>
      </c>
      <c r="DT65" s="192" t="n">
        <v>200</v>
      </c>
      <c r="DU65" s="192" t="n">
        <v>100</v>
      </c>
      <c r="DV65" s="192" t="n">
        <v>200</v>
      </c>
      <c r="DW65" s="192" t="n"/>
      <c r="DX65" s="192" t="n"/>
      <c r="DY65" s="192" t="n">
        <v>500</v>
      </c>
      <c r="DZ65" s="192" t="n">
        <v>300</v>
      </c>
      <c r="EA65" s="192" t="n">
        <v>500</v>
      </c>
      <c r="EB65" s="192" t="n">
        <v>600</v>
      </c>
      <c r="EC65" s="192" t="n"/>
      <c r="ED65" s="192" t="n"/>
      <c r="EE65" s="192" t="n"/>
      <c r="EF65" s="192" t="n"/>
      <c r="EG65" s="192" t="n"/>
      <c r="EH65" s="192" t="n"/>
      <c r="EI65" s="192" t="n"/>
      <c r="EJ65" s="192" t="n"/>
      <c r="EK65" s="192" t="n"/>
      <c r="EL65" s="182" t="n"/>
      <c r="EM65" s="176" t="n"/>
      <c r="EN65" s="176" t="n"/>
      <c r="EO65" s="176" t="n"/>
      <c r="EP65" s="176" t="n"/>
      <c r="EQ65" s="176" t="n"/>
      <c r="ER65" s="176" t="n"/>
      <c r="ES65" s="176" t="n"/>
      <c r="ET65" s="176" t="n"/>
      <c r="EU65" s="176" t="n"/>
      <c r="EV65" s="176" t="n"/>
      <c r="EW65" s="176" t="n"/>
      <c r="EX65" s="176" t="n"/>
      <c r="EY65" s="176" t="n"/>
      <c r="EZ65" s="176" t="n"/>
      <c r="FA65" s="176" t="n"/>
      <c r="FB65" s="176" t="n"/>
      <c r="FC65" s="176" t="n"/>
      <c r="FD65" s="176" t="n"/>
      <c r="FE65" s="176" t="n"/>
      <c r="FF65" s="176" t="n"/>
      <c r="FG65" s="176" t="n"/>
      <c r="FH65" s="176" t="n"/>
      <c r="FI65" s="176" t="n"/>
      <c r="FJ65" s="176" t="n"/>
    </row>
    <row r="66" ht="15" customHeight="1" s="392">
      <c r="A66" s="176" t="n"/>
      <c r="B66" s="180" t="n"/>
      <c r="C66" s="187" t="inlineStr">
        <is>
          <t xml:space="preserve">        Total (Purchase)/Sale and Disposal of Property, Plant and Equipment, Net</t>
        </is>
      </c>
      <c r="D66" s="193">
        <f>IF(COUNT(M66:EK66)&gt;0,MEDIAN(M66:EK66),"")</f>
        <v/>
      </c>
      <c r="E66" s="193">
        <f>IF(COUNT(M66:EK66)&gt;0,AVERAGE(M66:EK66),"")</f>
        <v/>
      </c>
      <c r="F66" s="193">
        <f>IF(COUNT(M66:EK66)&gt;0,MIN(M66:EK66),"")</f>
        <v/>
      </c>
      <c r="G66" s="193">
        <f>IF(COUNT(M66:EK66)&gt;0,MAX(M66:EK66),"")</f>
        <v/>
      </c>
      <c r="H66" s="193">
        <f>IF(COUNT(M66:EK66)&gt;0,QUARTILE(M66:EK66,1),"")</f>
        <v/>
      </c>
      <c r="I66" s="193">
        <f>IF(COUNT(M66:EK66)&gt;0,QUARTILE(M66:EK66,3),"")</f>
        <v/>
      </c>
      <c r="J66" s="193">
        <f>IF(COUNT(M66:EK66)&gt;1,STDEV(M66:EK66),"")</f>
        <v/>
      </c>
      <c r="K66" s="194">
        <f>IF(COUNT(M66:EK66)&gt;1,STDEV(M66:EK66)/AVERAGE(M66:EK66),"")</f>
        <v/>
      </c>
      <c r="L66" s="195" t="n"/>
      <c r="M66" s="196" t="n">
        <v>-77312</v>
      </c>
      <c r="N66" s="196" t="n">
        <v>-79528</v>
      </c>
      <c r="O66" s="196" t="n">
        <v>-67838</v>
      </c>
      <c r="P66" s="196" t="n">
        <v>-100110</v>
      </c>
      <c r="Q66" s="196" t="n">
        <v>-60343</v>
      </c>
      <c r="R66" s="196" t="n">
        <v>-124079</v>
      </c>
      <c r="S66" s="196" t="n">
        <v>-116222</v>
      </c>
      <c r="T66" s="196" t="n">
        <v>-236515</v>
      </c>
      <c r="U66" s="196" t="n">
        <v>-137173</v>
      </c>
      <c r="V66" s="196" t="n">
        <v>-86431</v>
      </c>
      <c r="W66" s="196" t="n">
        <v>-121884</v>
      </c>
      <c r="X66" s="196" t="n">
        <v>-161336</v>
      </c>
      <c r="Y66" s="196" t="n">
        <v>-156702</v>
      </c>
      <c r="Z66" s="196" t="n">
        <v>-85639</v>
      </c>
      <c r="AA66" s="196" t="n">
        <v>-87906</v>
      </c>
      <c r="AB66" s="196" t="n">
        <v>-152470</v>
      </c>
      <c r="AC66" s="196" t="n">
        <v>-100927</v>
      </c>
      <c r="AD66" s="196" t="n">
        <v>-77240</v>
      </c>
      <c r="AE66" s="196" t="n">
        <v>-91065</v>
      </c>
      <c r="AF66" s="196" t="n">
        <v>-63883</v>
      </c>
      <c r="AG66" s="196" t="n">
        <v>-96670</v>
      </c>
      <c r="AH66" s="196" t="n">
        <v>-80711</v>
      </c>
      <c r="AI66" s="196" t="n">
        <v>-136263</v>
      </c>
      <c r="AJ66" s="196" t="n">
        <v>-146822</v>
      </c>
      <c r="AK66" s="196" t="n">
        <v>-103929</v>
      </c>
      <c r="AL66" s="196" t="n">
        <v>-86864</v>
      </c>
      <c r="AM66" s="196" t="n">
        <v>-267203</v>
      </c>
      <c r="AN66" s="196" t="n">
        <v>-131510</v>
      </c>
      <c r="AO66" s="196" t="n">
        <v>-114114</v>
      </c>
      <c r="AP66" s="196" t="n">
        <v>-122169</v>
      </c>
      <c r="AQ66" s="196" t="n">
        <v>-57713</v>
      </c>
      <c r="AR66" s="196" t="n">
        <v>-61526</v>
      </c>
      <c r="AS66" s="196" t="n">
        <v>-105158</v>
      </c>
      <c r="AT66" s="196" t="n">
        <v>-68234</v>
      </c>
      <c r="AU66" s="196" t="n">
        <v>-68628</v>
      </c>
      <c r="AV66" s="196" t="n">
        <v>-39465</v>
      </c>
      <c r="AW66" s="196" t="n">
        <v>-47257</v>
      </c>
      <c r="AX66" s="196" t="n">
        <v>-32130</v>
      </c>
      <c r="AY66" s="196" t="n">
        <v>-54007</v>
      </c>
      <c r="AZ66" s="196" t="n">
        <v>-38019</v>
      </c>
      <c r="BA66" s="196" t="n">
        <v>-29907</v>
      </c>
      <c r="BB66" s="196" t="n">
        <v>-65881</v>
      </c>
      <c r="BC66" s="196" t="n">
        <v>-57643</v>
      </c>
      <c r="BD66" s="196" t="n">
        <v>-19824</v>
      </c>
      <c r="BE66" s="196" t="n">
        <v>-29423</v>
      </c>
      <c r="BF66" s="196" t="n">
        <v>-9275</v>
      </c>
      <c r="BG66" s="196" t="n">
        <v>-16018</v>
      </c>
      <c r="BH66" s="196" t="n">
        <v>-22916</v>
      </c>
      <c r="BI66" s="196" t="n">
        <v>-17757</v>
      </c>
      <c r="BJ66" s="196" t="n">
        <v>-11218</v>
      </c>
      <c r="BK66" s="196" t="n">
        <v>-29237</v>
      </c>
      <c r="BL66" s="196" t="n">
        <v>-20449</v>
      </c>
      <c r="BM66" s="196" t="n">
        <v>-15204</v>
      </c>
      <c r="BN66" s="196" t="n">
        <v>-27292</v>
      </c>
      <c r="BO66" s="196" t="n">
        <v>-37105</v>
      </c>
      <c r="BP66" s="196" t="n">
        <v>-47587</v>
      </c>
      <c r="BQ66" s="196" t="n">
        <v>-26610</v>
      </c>
      <c r="BR66" s="196" t="n">
        <v>-12840</v>
      </c>
      <c r="BS66" s="196" t="n">
        <v>-14296</v>
      </c>
      <c r="BT66" s="196" t="n">
        <v>182</v>
      </c>
      <c r="BU66" s="196" t="n">
        <v>-69953</v>
      </c>
      <c r="BV66" s="196" t="n">
        <v>42504</v>
      </c>
      <c r="BW66" s="196" t="n">
        <v>-11046</v>
      </c>
      <c r="BX66" s="196" t="n">
        <v>-11073</v>
      </c>
      <c r="BY66" s="196" t="n">
        <v>-76384</v>
      </c>
      <c r="BZ66" s="196" t="n">
        <v>41157</v>
      </c>
      <c r="CA66" s="196" t="n">
        <v>-15229</v>
      </c>
      <c r="CB66" s="196" t="n">
        <v>-22907</v>
      </c>
      <c r="CC66" s="196" t="n">
        <v>-7931</v>
      </c>
      <c r="CD66" s="196" t="n">
        <v>-11785</v>
      </c>
      <c r="CE66" s="196" t="n">
        <v>-23153</v>
      </c>
      <c r="CF66" s="196" t="n">
        <v>-29035</v>
      </c>
      <c r="CG66" s="196" t="n">
        <v>-22552</v>
      </c>
      <c r="CH66" s="196" t="n">
        <v>-28176</v>
      </c>
      <c r="CI66" s="196" t="n">
        <v>-35602</v>
      </c>
      <c r="CJ66" s="196" t="n">
        <v>-19814</v>
      </c>
      <c r="CK66" s="196" t="n">
        <v>-127763</v>
      </c>
      <c r="CL66" s="196" t="n">
        <v>-10971</v>
      </c>
      <c r="CM66" s="196" t="n">
        <v>-13440</v>
      </c>
      <c r="CN66" s="196" t="n">
        <v>-18089</v>
      </c>
      <c r="CO66" s="196" t="n">
        <v>-26349</v>
      </c>
      <c r="CP66" s="196" t="n">
        <v>-41093</v>
      </c>
      <c r="CQ66" s="196" t="n">
        <v>-14070</v>
      </c>
      <c r="CR66" s="196" t="n">
        <v>-26619</v>
      </c>
      <c r="CS66" s="196" t="n">
        <v>-27941</v>
      </c>
      <c r="CT66" s="196" t="n">
        <v>-16258</v>
      </c>
      <c r="CU66" s="196" t="n">
        <v>-12275</v>
      </c>
      <c r="CV66" s="196" t="n">
        <v>-8118</v>
      </c>
      <c r="CW66" s="196" t="n">
        <v>-11494</v>
      </c>
      <c r="CX66" s="196" t="n">
        <v>-2066</v>
      </c>
      <c r="CY66" s="196" t="n">
        <v>-21176.5</v>
      </c>
      <c r="CZ66" s="196" t="n">
        <v>-11159.5</v>
      </c>
      <c r="DA66" s="196" t="n">
        <v>-8671.6</v>
      </c>
      <c r="DB66" s="196" t="n">
        <v>-7606.7</v>
      </c>
      <c r="DC66" s="196" t="n">
        <v>-33051.7</v>
      </c>
      <c r="DD66" s="196" t="n">
        <v>-20582</v>
      </c>
      <c r="DE66" s="196" t="n">
        <v>-21529.8</v>
      </c>
      <c r="DF66" s="196" t="n">
        <v>-25513.8</v>
      </c>
      <c r="DG66" s="196" t="n">
        <v>-20003.3</v>
      </c>
      <c r="DH66" s="196" t="n">
        <v>-17201.7</v>
      </c>
      <c r="DI66" s="196" t="n">
        <v>-7911.1</v>
      </c>
      <c r="DJ66" s="196" t="n">
        <v>-14165.1</v>
      </c>
      <c r="DK66" s="196" t="n">
        <v>-12199.1</v>
      </c>
      <c r="DL66" s="196" t="n">
        <v>-10139.3</v>
      </c>
      <c r="DM66" s="196" t="n">
        <v>-8878.9</v>
      </c>
      <c r="DN66" s="196" t="n">
        <v>-9760.200000000001</v>
      </c>
      <c r="DO66" s="196" t="n">
        <v>-6700</v>
      </c>
      <c r="DP66" s="196" t="n">
        <v>-11200</v>
      </c>
      <c r="DQ66" s="196" t="n">
        <v>-6200</v>
      </c>
      <c r="DR66" s="196" t="n">
        <v>-3800</v>
      </c>
      <c r="DS66" s="196" t="n">
        <v>-6200</v>
      </c>
      <c r="DT66" s="196" t="n">
        <v>-4200</v>
      </c>
      <c r="DU66" s="196" t="n">
        <v>-3200</v>
      </c>
      <c r="DV66" s="196" t="n">
        <v>-3700</v>
      </c>
      <c r="DW66" s="196" t="n">
        <v>-2300</v>
      </c>
      <c r="DX66" s="196" t="n">
        <v>-2600</v>
      </c>
      <c r="DY66" s="196" t="n">
        <v>-1600</v>
      </c>
      <c r="DZ66" s="196" t="n">
        <v>-1500</v>
      </c>
      <c r="EA66" s="196" t="n">
        <v>-1100</v>
      </c>
      <c r="EB66" s="196" t="n">
        <v>-1700</v>
      </c>
      <c r="EC66" s="196" t="n">
        <v>-4100</v>
      </c>
      <c r="ED66" s="196" t="n">
        <v>-1700</v>
      </c>
      <c r="EE66" s="196" t="n">
        <v>-800</v>
      </c>
      <c r="EF66" s="196" t="n">
        <v>-1500</v>
      </c>
      <c r="EG66" s="196" t="n">
        <v>-7600</v>
      </c>
      <c r="EH66" s="196" t="n">
        <v>-1000</v>
      </c>
      <c r="EI66" s="196" t="n">
        <v>-200</v>
      </c>
      <c r="EJ66" s="196" t="n">
        <v>-1100</v>
      </c>
      <c r="EK66" s="196" t="n">
        <v>-1300</v>
      </c>
      <c r="EL66" s="182" t="n"/>
      <c r="EM66" s="176" t="n"/>
      <c r="EN66" s="176" t="n"/>
      <c r="EO66" s="176" t="n"/>
      <c r="EP66" s="176" t="n"/>
      <c r="EQ66" s="176" t="n"/>
      <c r="ER66" s="176" t="n"/>
      <c r="ES66" s="176" t="n"/>
      <c r="ET66" s="176" t="n"/>
      <c r="EU66" s="176" t="n"/>
      <c r="EV66" s="176" t="n"/>
      <c r="EW66" s="176" t="n"/>
      <c r="EX66" s="176" t="n"/>
      <c r="EY66" s="176" t="n"/>
      <c r="EZ66" s="176" t="n"/>
      <c r="FA66" s="176" t="n"/>
      <c r="FB66" s="176" t="n"/>
      <c r="FC66" s="176" t="n"/>
      <c r="FD66" s="176" t="n"/>
      <c r="FE66" s="176" t="n"/>
      <c r="FF66" s="176" t="n"/>
      <c r="FG66" s="176" t="n"/>
      <c r="FH66" s="176" t="n"/>
      <c r="FI66" s="176" t="n"/>
      <c r="FJ66" s="176" t="n"/>
    </row>
    <row r="67" ht="15" customHeight="1" s="392">
      <c r="A67" s="176" t="n"/>
      <c r="B67" s="180" t="n"/>
      <c r="C67" s="183" t="inlineStr">
        <is>
          <t xml:space="preserve">        (Purchase)/Sale of Business, Net</t>
        </is>
      </c>
      <c r="D67" s="185" t="n"/>
      <c r="E67" s="185" t="n"/>
      <c r="F67" s="185" t="n"/>
      <c r="G67" s="185" t="n"/>
      <c r="H67" s="185" t="n"/>
      <c r="I67" s="185" t="n"/>
      <c r="J67" s="185" t="n"/>
      <c r="K67" s="185" t="n"/>
      <c r="EL67" s="182" t="n"/>
      <c r="EM67" s="176" t="n"/>
      <c r="EN67" s="176" t="n"/>
      <c r="EO67" s="176" t="n"/>
      <c r="EP67" s="176" t="n"/>
      <c r="EQ67" s="176" t="n"/>
      <c r="ER67" s="176" t="n"/>
      <c r="ES67" s="176" t="n"/>
      <c r="ET67" s="176" t="n"/>
      <c r="EU67" s="176" t="n"/>
      <c r="EV67" s="176" t="n"/>
      <c r="EW67" s="176" t="n"/>
      <c r="EX67" s="176" t="n"/>
      <c r="EY67" s="176" t="n"/>
      <c r="EZ67" s="176" t="n"/>
      <c r="FA67" s="176" t="n"/>
      <c r="FB67" s="176" t="n"/>
      <c r="FC67" s="176" t="n"/>
      <c r="FD67" s="176" t="n"/>
      <c r="FE67" s="176" t="n"/>
      <c r="FF67" s="176" t="n"/>
      <c r="FG67" s="176" t="n"/>
      <c r="FH67" s="176" t="n"/>
      <c r="FI67" s="176" t="n"/>
      <c r="FJ67" s="176" t="n"/>
    </row>
    <row r="68" ht="15" customHeight="1" s="392">
      <c r="A68" s="176" t="n"/>
      <c r="B68" s="180" t="n"/>
      <c r="C68" s="183" t="inlineStr">
        <is>
          <t xml:space="preserve">            Purchase/Acquisition of Business</t>
        </is>
      </c>
      <c r="D68" s="190">
        <f>IF(COUNT(M68:EK68)&gt;0,MEDIAN(M68:EK68),"")</f>
        <v/>
      </c>
      <c r="E68" s="190">
        <f>IF(COUNT(M68:EK68)&gt;0,AVERAGE(M68:EK68),"")</f>
        <v/>
      </c>
      <c r="F68" s="190">
        <f>IF(COUNT(M68:EK68)&gt;0,MIN(M68:EK68),"")</f>
        <v/>
      </c>
      <c r="G68" s="190">
        <f>IF(COUNT(M68:EK68)&gt;0,MAX(M68:EK68),"")</f>
        <v/>
      </c>
      <c r="H68" s="190">
        <f>IF(COUNT(M68:EK68)&gt;0,QUARTILE(M68:EK68,1),"")</f>
        <v/>
      </c>
      <c r="I68" s="190">
        <f>IF(COUNT(M68:EK68)&gt;0,QUARTILE(M68:EK68,3),"")</f>
        <v/>
      </c>
      <c r="J68" s="190">
        <f>IF(COUNT(M68:EK68)&gt;1,STDEV(M68:EK68),"")</f>
        <v/>
      </c>
      <c r="K68" s="191">
        <f>IF(COUNT(M68:EK68)&gt;1,STDEV(M68:EK68)/AVERAGE(M68:EK68),"")</f>
        <v/>
      </c>
      <c r="M68" s="192" t="n"/>
      <c r="N68" s="192" t="n">
        <v>-53</v>
      </c>
      <c r="O68" s="192" t="n">
        <v>5</v>
      </c>
      <c r="P68" s="192" t="n">
        <v>-4699</v>
      </c>
      <c r="Q68" s="192" t="n">
        <v>-10</v>
      </c>
      <c r="R68" s="192" t="n">
        <v>0</v>
      </c>
      <c r="S68" s="192" t="n">
        <v>44</v>
      </c>
      <c r="T68" s="192" t="n">
        <v>-1257</v>
      </c>
      <c r="U68" s="192" t="n"/>
      <c r="V68" s="192" t="n"/>
      <c r="W68" s="192" t="n"/>
      <c r="X68" s="192" t="n"/>
      <c r="Y68" s="192" t="n"/>
      <c r="Z68" s="192" t="n"/>
      <c r="AA68" s="192" t="n"/>
      <c r="AB68" s="192" t="n"/>
      <c r="AC68" s="192" t="n"/>
      <c r="AD68" s="192" t="n"/>
      <c r="AE68" s="192" t="n"/>
      <c r="AF68" s="192" t="n"/>
      <c r="AG68" s="192" t="n"/>
      <c r="AH68" s="192" t="n"/>
      <c r="AI68" s="192" t="n"/>
      <c r="AJ68" s="192" t="n"/>
      <c r="AK68" s="192" t="n">
        <v>-8434</v>
      </c>
      <c r="AL68" s="192" t="n"/>
      <c r="AM68" s="192" t="n"/>
      <c r="AN68" s="192" t="n"/>
      <c r="AO68" s="192" t="n">
        <v>0</v>
      </c>
      <c r="AP68" s="192" t="n"/>
      <c r="AQ68" s="192" t="n"/>
      <c r="AR68" s="192" t="n"/>
      <c r="AS68" s="192" t="n">
        <v>0</v>
      </c>
      <c r="AT68" s="192" t="n"/>
      <c r="AU68" s="192" t="n"/>
      <c r="AV68" s="192" t="n"/>
      <c r="AW68" s="192" t="n"/>
      <c r="AX68" s="192" t="n"/>
      <c r="AY68" s="192" t="n"/>
      <c r="AZ68" s="192" t="n"/>
      <c r="BA68" s="192" t="n"/>
      <c r="BB68" s="192" t="n"/>
      <c r="BC68" s="192" t="n"/>
      <c r="BD68" s="192" t="n"/>
      <c r="BE68" s="192" t="n"/>
      <c r="BF68" s="192" t="n"/>
      <c r="BG68" s="192" t="n"/>
      <c r="BH68" s="192" t="n"/>
      <c r="BI68" s="192" t="n"/>
      <c r="BJ68" s="192" t="n"/>
      <c r="BK68" s="192" t="n"/>
      <c r="BL68" s="192" t="n"/>
      <c r="BM68" s="192" t="n"/>
      <c r="BN68" s="192" t="n"/>
      <c r="BO68" s="192" t="n"/>
      <c r="BP68" s="192" t="n"/>
      <c r="BQ68" s="192" t="n"/>
      <c r="BR68" s="192" t="n"/>
      <c r="BS68" s="192" t="n"/>
      <c r="BT68" s="192" t="n">
        <v>0</v>
      </c>
      <c r="BU68" s="192" t="n"/>
      <c r="BV68" s="192" t="n">
        <v>-34566</v>
      </c>
      <c r="BW68" s="192" t="n"/>
      <c r="BX68" s="192" t="n"/>
      <c r="BY68" s="192" t="n">
        <v>4</v>
      </c>
      <c r="BZ68" s="192" t="n">
        <v>1</v>
      </c>
      <c r="CA68" s="192" t="n"/>
      <c r="CB68" s="192" t="n"/>
      <c r="CC68" s="192" t="n"/>
      <c r="CD68" s="192" t="n"/>
      <c r="CE68" s="192" t="n"/>
      <c r="CF68" s="192" t="n"/>
      <c r="CG68" s="192" t="n"/>
      <c r="CH68" s="192" t="n"/>
      <c r="CI68" s="192" t="n"/>
      <c r="CJ68" s="192" t="n"/>
      <c r="CK68" s="192" t="n"/>
      <c r="CL68" s="192" t="n"/>
      <c r="CM68" s="192" t="n"/>
      <c r="CN68" s="192" t="n"/>
      <c r="CO68" s="192" t="n"/>
      <c r="CP68" s="192" t="n"/>
      <c r="CQ68" s="192" t="n"/>
      <c r="CR68" s="192" t="n"/>
      <c r="CS68" s="192" t="n"/>
      <c r="CT68" s="192" t="n"/>
      <c r="CU68" s="192" t="n"/>
      <c r="CV68" s="192" t="n"/>
      <c r="CW68" s="192" t="n"/>
      <c r="CX68" s="192" t="n"/>
      <c r="CY68" s="192" t="n"/>
      <c r="CZ68" s="192" t="n"/>
      <c r="DA68" s="192" t="n"/>
      <c r="DB68" s="192" t="n"/>
      <c r="DC68" s="192" t="n"/>
      <c r="DD68" s="192" t="n"/>
      <c r="DE68" s="192" t="n"/>
      <c r="DF68" s="192" t="n"/>
      <c r="DG68" s="192" t="n"/>
      <c r="DH68" s="192" t="n"/>
      <c r="DI68" s="192" t="n"/>
      <c r="DJ68" s="192" t="n"/>
      <c r="DK68" s="192" t="n"/>
      <c r="DL68" s="192" t="n"/>
      <c r="DM68" s="192" t="n"/>
      <c r="DN68" s="192" t="n"/>
      <c r="DO68" s="192" t="n"/>
      <c r="DP68" s="192" t="n"/>
      <c r="DQ68" s="192" t="n"/>
      <c r="DR68" s="192" t="n"/>
      <c r="DS68" s="192" t="n"/>
      <c r="DT68" s="192" t="n"/>
      <c r="DU68" s="192" t="n"/>
      <c r="DV68" s="192" t="n"/>
      <c r="DW68" s="192" t="n"/>
      <c r="DX68" s="192" t="n"/>
      <c r="DY68" s="192" t="n"/>
      <c r="DZ68" s="192" t="n"/>
      <c r="EA68" s="192" t="n"/>
      <c r="EB68" s="192" t="n"/>
      <c r="EC68" s="192" t="n"/>
      <c r="ED68" s="192" t="n"/>
      <c r="EE68" s="192" t="n"/>
      <c r="EF68" s="192" t="n"/>
      <c r="EG68" s="192" t="n"/>
      <c r="EH68" s="192" t="n"/>
      <c r="EI68" s="192" t="n"/>
      <c r="EJ68" s="192" t="n"/>
      <c r="EK68" s="192" t="n"/>
      <c r="EL68" s="182" t="n"/>
      <c r="EM68" s="176" t="n"/>
      <c r="EN68" s="176" t="n"/>
      <c r="EO68" s="176" t="n"/>
      <c r="EP68" s="176" t="n"/>
      <c r="EQ68" s="176" t="n"/>
      <c r="ER68" s="176" t="n"/>
      <c r="ES68" s="176" t="n"/>
      <c r="ET68" s="176" t="n"/>
      <c r="EU68" s="176" t="n"/>
      <c r="EV68" s="176" t="n"/>
      <c r="EW68" s="176" t="n"/>
      <c r="EX68" s="176" t="n"/>
      <c r="EY68" s="176" t="n"/>
      <c r="EZ68" s="176" t="n"/>
      <c r="FA68" s="176" t="n"/>
      <c r="FB68" s="176" t="n"/>
      <c r="FC68" s="176" t="n"/>
      <c r="FD68" s="176" t="n"/>
      <c r="FE68" s="176" t="n"/>
      <c r="FF68" s="176" t="n"/>
      <c r="FG68" s="176" t="n"/>
      <c r="FH68" s="176" t="n"/>
      <c r="FI68" s="176" t="n"/>
      <c r="FJ68" s="176" t="n"/>
    </row>
    <row r="69" ht="15" customHeight="1" s="392">
      <c r="A69" s="176" t="n"/>
      <c r="B69" s="180" t="n"/>
      <c r="C69" s="183" t="inlineStr">
        <is>
          <t xml:space="preserve">            Sale of Business</t>
        </is>
      </c>
      <c r="D69" s="190">
        <f>IF(COUNT(M69:EK69)&gt;0,MEDIAN(M69:EK69),"")</f>
        <v/>
      </c>
      <c r="E69" s="190">
        <f>IF(COUNT(M69:EK69)&gt;0,AVERAGE(M69:EK69),"")</f>
        <v/>
      </c>
      <c r="F69" s="190">
        <f>IF(COUNT(M69:EK69)&gt;0,MIN(M69:EK69),"")</f>
        <v/>
      </c>
      <c r="G69" s="190">
        <f>IF(COUNT(M69:EK69)&gt;0,MAX(M69:EK69),"")</f>
        <v/>
      </c>
      <c r="H69" s="190">
        <f>IF(COUNT(M69:EK69)&gt;0,QUARTILE(M69:EK69,1),"")</f>
        <v/>
      </c>
      <c r="I69" s="190">
        <f>IF(COUNT(M69:EK69)&gt;0,QUARTILE(M69:EK69,3),"")</f>
        <v/>
      </c>
      <c r="J69" s="190">
        <f>IF(COUNT(M69:EK69)&gt;1,STDEV(M69:EK69),"")</f>
        <v/>
      </c>
      <c r="K69" s="191">
        <f>IF(COUNT(M69:EK69)&gt;1,STDEV(M69:EK69)/AVERAGE(M69:EK69),"")</f>
        <v/>
      </c>
      <c r="M69" s="192" t="n"/>
      <c r="N69" s="192" t="n"/>
      <c r="O69" s="192" t="n"/>
      <c r="P69" s="192" t="n"/>
      <c r="Q69" s="192" t="n"/>
      <c r="R69" s="192" t="n"/>
      <c r="S69" s="192" t="n"/>
      <c r="T69" s="192" t="n"/>
      <c r="U69" s="192" t="n">
        <v>0</v>
      </c>
      <c r="V69" s="192" t="n"/>
      <c r="W69" s="192" t="n"/>
      <c r="X69" s="192" t="n">
        <v>17662</v>
      </c>
      <c r="Y69" s="192" t="n">
        <v>0</v>
      </c>
      <c r="Z69" s="192" t="n">
        <v>0</v>
      </c>
      <c r="AA69" s="192" t="n">
        <v>0</v>
      </c>
      <c r="AB69" s="192" t="n">
        <v>0</v>
      </c>
      <c r="AC69" s="192" t="n"/>
      <c r="AD69" s="192" t="n"/>
      <c r="AE69" s="192" t="n"/>
      <c r="AF69" s="192" t="n"/>
      <c r="AG69" s="192" t="n"/>
      <c r="AH69" s="192" t="n"/>
      <c r="AI69" s="192" t="n"/>
      <c r="AJ69" s="192" t="n"/>
      <c r="AK69" s="192" t="n"/>
      <c r="AL69" s="192" t="n"/>
      <c r="AM69" s="192" t="n"/>
      <c r="AN69" s="192" t="n"/>
      <c r="AO69" s="192" t="n"/>
      <c r="AP69" s="192" t="n"/>
      <c r="AQ69" s="192" t="n"/>
      <c r="AR69" s="192" t="n"/>
      <c r="AS69" s="192" t="n"/>
      <c r="AT69" s="192" t="n"/>
      <c r="AU69" s="192" t="n"/>
      <c r="AV69" s="192" t="n"/>
      <c r="AW69" s="192" t="n"/>
      <c r="AX69" s="192" t="n"/>
      <c r="AY69" s="192" t="n"/>
      <c r="AZ69" s="192" t="n"/>
      <c r="BA69" s="192" t="n"/>
      <c r="BB69" s="192" t="n"/>
      <c r="BC69" s="192" t="n"/>
      <c r="BD69" s="192" t="n"/>
      <c r="BE69" s="192" t="n"/>
      <c r="BF69" s="192" t="n"/>
      <c r="BG69" s="192" t="n"/>
      <c r="BH69" s="192" t="n"/>
      <c r="BI69" s="192" t="n"/>
      <c r="BJ69" s="192" t="n"/>
      <c r="BK69" s="192" t="n"/>
      <c r="BL69" s="192" t="n"/>
      <c r="BM69" s="192" t="n"/>
      <c r="BN69" s="192" t="n"/>
      <c r="BO69" s="192" t="n"/>
      <c r="BP69" s="192" t="n"/>
      <c r="BQ69" s="192" t="n"/>
      <c r="BR69" s="192" t="n"/>
      <c r="BS69" s="192" t="n"/>
      <c r="BT69" s="192" t="n"/>
      <c r="BU69" s="192" t="n"/>
      <c r="BV69" s="192" t="n"/>
      <c r="BW69" s="192" t="n"/>
      <c r="BX69" s="192" t="n"/>
      <c r="BY69" s="192" t="n"/>
      <c r="BZ69" s="192" t="n"/>
      <c r="CA69" s="192" t="n"/>
      <c r="CB69" s="192" t="n"/>
      <c r="CC69" s="192" t="n"/>
      <c r="CD69" s="192" t="n"/>
      <c r="CE69" s="192" t="n"/>
      <c r="CF69" s="192" t="n"/>
      <c r="CG69" s="192" t="n"/>
      <c r="CH69" s="192" t="n"/>
      <c r="CI69" s="192" t="n"/>
      <c r="CJ69" s="192" t="n"/>
      <c r="CK69" s="192" t="n"/>
      <c r="CL69" s="192" t="n"/>
      <c r="CM69" s="192" t="n"/>
      <c r="CN69" s="192" t="n"/>
      <c r="CO69" s="192" t="n"/>
      <c r="CP69" s="192" t="n"/>
      <c r="CQ69" s="192" t="n"/>
      <c r="CR69" s="192" t="n"/>
      <c r="CS69" s="192" t="n"/>
      <c r="CT69" s="192" t="n"/>
      <c r="CU69" s="192" t="n"/>
      <c r="CV69" s="192" t="n"/>
      <c r="CW69" s="192" t="n"/>
      <c r="CX69" s="192" t="n"/>
      <c r="CY69" s="192" t="n"/>
      <c r="CZ69" s="192" t="n"/>
      <c r="DA69" s="192" t="n"/>
      <c r="DB69" s="192" t="n"/>
      <c r="DC69" s="192" t="n"/>
      <c r="DD69" s="192" t="n"/>
      <c r="DE69" s="192" t="n"/>
      <c r="DF69" s="192" t="n"/>
      <c r="DG69" s="192" t="n"/>
      <c r="DH69" s="192" t="n"/>
      <c r="DI69" s="192" t="n"/>
      <c r="DJ69" s="192" t="n"/>
      <c r="DK69" s="192" t="n"/>
      <c r="DL69" s="192" t="n"/>
      <c r="DM69" s="192" t="n"/>
      <c r="DN69" s="192" t="n"/>
      <c r="DO69" s="192" t="n"/>
      <c r="DP69" s="192" t="n"/>
      <c r="DQ69" s="192" t="n"/>
      <c r="DR69" s="192" t="n"/>
      <c r="DS69" s="192" t="n"/>
      <c r="DT69" s="192" t="n"/>
      <c r="DU69" s="192" t="n"/>
      <c r="DV69" s="192" t="n"/>
      <c r="DW69" s="192" t="n"/>
      <c r="DX69" s="192" t="n"/>
      <c r="DY69" s="192" t="n"/>
      <c r="DZ69" s="192" t="n"/>
      <c r="EA69" s="192" t="n"/>
      <c r="EB69" s="192" t="n"/>
      <c r="EC69" s="192" t="n"/>
      <c r="ED69" s="192" t="n"/>
      <c r="EE69" s="192" t="n"/>
      <c r="EF69" s="192" t="n"/>
      <c r="EG69" s="192" t="n"/>
      <c r="EH69" s="192" t="n"/>
      <c r="EI69" s="192" t="n"/>
      <c r="EJ69" s="192" t="n"/>
      <c r="EK69" s="192" t="n"/>
      <c r="EL69" s="182" t="n"/>
      <c r="EM69" s="176" t="n"/>
      <c r="EN69" s="176" t="n"/>
      <c r="EO69" s="176" t="n"/>
      <c r="EP69" s="176" t="n"/>
      <c r="EQ69" s="176" t="n"/>
      <c r="ER69" s="176" t="n"/>
      <c r="ES69" s="176" t="n"/>
      <c r="ET69" s="176" t="n"/>
      <c r="EU69" s="176" t="n"/>
      <c r="EV69" s="176" t="n"/>
      <c r="EW69" s="176" t="n"/>
      <c r="EX69" s="176" t="n"/>
      <c r="EY69" s="176" t="n"/>
      <c r="EZ69" s="176" t="n"/>
      <c r="FA69" s="176" t="n"/>
      <c r="FB69" s="176" t="n"/>
      <c r="FC69" s="176" t="n"/>
      <c r="FD69" s="176" t="n"/>
      <c r="FE69" s="176" t="n"/>
      <c r="FF69" s="176" t="n"/>
      <c r="FG69" s="176" t="n"/>
      <c r="FH69" s="176" t="n"/>
      <c r="FI69" s="176" t="n"/>
      <c r="FJ69" s="176" t="n"/>
    </row>
    <row r="70" ht="15" customHeight="1" s="392">
      <c r="A70" s="176" t="n"/>
      <c r="B70" s="180" t="n"/>
      <c r="C70" s="187" t="inlineStr">
        <is>
          <t xml:space="preserve">        Total (Purchase)/Sale of Business, Net</t>
        </is>
      </c>
      <c r="D70" s="193">
        <f>IF(COUNT(M70:EK70)&gt;0,MEDIAN(M70:EK70),"")</f>
        <v/>
      </c>
      <c r="E70" s="193">
        <f>IF(COUNT(M70:EK70)&gt;0,AVERAGE(M70:EK70),"")</f>
        <v/>
      </c>
      <c r="F70" s="193">
        <f>IF(COUNT(M70:EK70)&gt;0,MIN(M70:EK70),"")</f>
        <v/>
      </c>
      <c r="G70" s="193">
        <f>IF(COUNT(M70:EK70)&gt;0,MAX(M70:EK70),"")</f>
        <v/>
      </c>
      <c r="H70" s="193">
        <f>IF(COUNT(M70:EK70)&gt;0,QUARTILE(M70:EK70,1),"")</f>
        <v/>
      </c>
      <c r="I70" s="193">
        <f>IF(COUNT(M70:EK70)&gt;0,QUARTILE(M70:EK70,3),"")</f>
        <v/>
      </c>
      <c r="J70" s="193">
        <f>IF(COUNT(M70:EK70)&gt;1,STDEV(M70:EK70),"")</f>
        <v/>
      </c>
      <c r="K70" s="194">
        <f>IF(COUNT(M70:EK70)&gt;1,STDEV(M70:EK70)/AVERAGE(M70:EK70),"")</f>
        <v/>
      </c>
      <c r="L70" s="195" t="n"/>
      <c r="M70" s="196" t="n">
        <v>-257</v>
      </c>
      <c r="N70" s="196" t="n">
        <v>-53</v>
      </c>
      <c r="O70" s="196" t="n">
        <v>5</v>
      </c>
      <c r="P70" s="196" t="n">
        <v>-4699</v>
      </c>
      <c r="Q70" s="196" t="n">
        <v>-10</v>
      </c>
      <c r="R70" s="196" t="n">
        <v>0</v>
      </c>
      <c r="S70" s="196" t="n">
        <v>44</v>
      </c>
      <c r="T70" s="196" t="n">
        <v>-1257</v>
      </c>
      <c r="U70" s="196" t="n">
        <v>0</v>
      </c>
      <c r="V70" s="196" t="n">
        <v>0</v>
      </c>
      <c r="W70" s="196" t="n">
        <v>0</v>
      </c>
      <c r="X70" s="196" t="n">
        <v>17662</v>
      </c>
      <c r="Y70" s="196" t="n">
        <v>0</v>
      </c>
      <c r="Z70" s="196" t="n">
        <v>0</v>
      </c>
      <c r="AA70" s="196" t="n">
        <v>0</v>
      </c>
      <c r="AB70" s="196" t="n">
        <v>0</v>
      </c>
      <c r="AC70" s="196" t="n"/>
      <c r="AD70" s="196" t="n"/>
      <c r="AE70" s="196" t="n"/>
      <c r="AF70" s="196" t="n"/>
      <c r="AG70" s="196" t="n"/>
      <c r="AH70" s="196" t="n"/>
      <c r="AI70" s="196" t="n"/>
      <c r="AJ70" s="196" t="n"/>
      <c r="AK70" s="196" t="n">
        <v>-8434</v>
      </c>
      <c r="AL70" s="196" t="n"/>
      <c r="AM70" s="196" t="n"/>
      <c r="AN70" s="196" t="n"/>
      <c r="AO70" s="196" t="n">
        <v>0</v>
      </c>
      <c r="AP70" s="196" t="n"/>
      <c r="AQ70" s="196" t="n"/>
      <c r="AR70" s="196" t="n"/>
      <c r="AS70" s="196" t="n">
        <v>1796</v>
      </c>
      <c r="AT70" s="196" t="n"/>
      <c r="AU70" s="196" t="n"/>
      <c r="AV70" s="196" t="n">
        <v>123</v>
      </c>
      <c r="AW70" s="196" t="n">
        <v>-150812</v>
      </c>
      <c r="AX70" s="196" t="n"/>
      <c r="AY70" s="196" t="n"/>
      <c r="AZ70" s="196" t="n">
        <v>0</v>
      </c>
      <c r="BA70" s="196" t="n">
        <v>0</v>
      </c>
      <c r="BB70" s="196" t="n"/>
      <c r="BC70" s="196" t="n"/>
      <c r="BD70" s="196" t="n"/>
      <c r="BE70" s="196" t="n"/>
      <c r="BF70" s="196" t="n"/>
      <c r="BG70" s="196" t="n"/>
      <c r="BH70" s="196" t="n"/>
      <c r="BI70" s="196" t="n">
        <v>461</v>
      </c>
      <c r="BJ70" s="196" t="n">
        <v>-533</v>
      </c>
      <c r="BK70" s="196" t="n">
        <v>-13935</v>
      </c>
      <c r="BL70" s="196" t="n">
        <v>-293</v>
      </c>
      <c r="BM70" s="196" t="n">
        <v>-52779</v>
      </c>
      <c r="BN70" s="196" t="n">
        <v>0</v>
      </c>
      <c r="BO70" s="196" t="n">
        <v>-30794</v>
      </c>
      <c r="BP70" s="196" t="n">
        <v>-449</v>
      </c>
      <c r="BQ70" s="196" t="n">
        <v>-2384</v>
      </c>
      <c r="BR70" s="196" t="n">
        <v>0</v>
      </c>
      <c r="BS70" s="196" t="n">
        <v>-180</v>
      </c>
      <c r="BT70" s="196" t="n">
        <v>0</v>
      </c>
      <c r="BU70" s="196" t="n">
        <v>-330</v>
      </c>
      <c r="BV70" s="196" t="n">
        <v>-34566</v>
      </c>
      <c r="BW70" s="196" t="n"/>
      <c r="BX70" s="196" t="n"/>
      <c r="BY70" s="196" t="n">
        <v>4</v>
      </c>
      <c r="BZ70" s="196" t="n">
        <v>1</v>
      </c>
      <c r="CA70" s="196" t="n"/>
      <c r="CB70" s="196" t="n"/>
      <c r="CC70" s="196" t="n">
        <v>-73</v>
      </c>
      <c r="CD70" s="196" t="n">
        <v>73</v>
      </c>
      <c r="CE70" s="196" t="n"/>
      <c r="CF70" s="196" t="n"/>
      <c r="CG70" s="196" t="n">
        <v>-332</v>
      </c>
      <c r="CH70" s="196" t="n">
        <v>-28012</v>
      </c>
      <c r="CI70" s="196" t="n"/>
      <c r="CJ70" s="196" t="n"/>
      <c r="CK70" s="196" t="n"/>
      <c r="CL70" s="196" t="n"/>
      <c r="CM70" s="196" t="n"/>
      <c r="CN70" s="196" t="n"/>
      <c r="CO70" s="196" t="n"/>
      <c r="CP70" s="196" t="n"/>
      <c r="CQ70" s="196" t="n"/>
      <c r="CR70" s="196" t="n"/>
      <c r="CS70" s="196" t="n">
        <v>2858</v>
      </c>
      <c r="CT70" s="196" t="n"/>
      <c r="CU70" s="196" t="n"/>
      <c r="CV70" s="196" t="n"/>
      <c r="CW70" s="196" t="n">
        <v>-27</v>
      </c>
      <c r="CX70" s="196" t="n"/>
      <c r="CY70" s="196" t="n"/>
      <c r="CZ70" s="196" t="n">
        <v>-154</v>
      </c>
      <c r="DA70" s="196" t="n">
        <v>-6019.3</v>
      </c>
      <c r="DB70" s="196" t="n">
        <v>6170.8</v>
      </c>
      <c r="DC70" s="196" t="n">
        <v>-6444.2</v>
      </c>
      <c r="DD70" s="196" t="n">
        <v>-311.3</v>
      </c>
      <c r="DE70" s="196" t="n">
        <v>-8426.1</v>
      </c>
      <c r="DF70" s="196" t="n">
        <v>2002.4</v>
      </c>
      <c r="DG70" s="196" t="n">
        <v>-1522.5</v>
      </c>
      <c r="DH70" s="196" t="n">
        <v>-614.9</v>
      </c>
      <c r="DI70" s="196" t="n">
        <v>-4690.4</v>
      </c>
      <c r="DJ70" s="196" t="n">
        <v>1944.5</v>
      </c>
      <c r="DK70" s="196" t="n"/>
      <c r="DL70" s="196" t="n"/>
      <c r="DM70" s="196" t="n"/>
      <c r="DN70" s="196" t="n"/>
      <c r="DO70" s="196" t="n"/>
      <c r="DP70" s="196" t="n"/>
      <c r="DQ70" s="196" t="n"/>
      <c r="DR70" s="196" t="n"/>
      <c r="DS70" s="196" t="n"/>
      <c r="DT70" s="196" t="n"/>
      <c r="DU70" s="196" t="n"/>
      <c r="DV70" s="196" t="n"/>
      <c r="DW70" s="196" t="n"/>
      <c r="DX70" s="196" t="n"/>
      <c r="DY70" s="196" t="n"/>
      <c r="DZ70" s="196" t="n"/>
      <c r="EA70" s="196" t="n"/>
      <c r="EB70" s="196" t="n"/>
      <c r="EC70" s="196" t="n"/>
      <c r="ED70" s="196" t="n"/>
      <c r="EE70" s="196" t="n"/>
      <c r="EF70" s="196" t="n"/>
      <c r="EG70" s="196" t="n"/>
      <c r="EH70" s="196" t="n"/>
      <c r="EI70" s="196" t="n"/>
      <c r="EJ70" s="196" t="n"/>
      <c r="EK70" s="196" t="n"/>
      <c r="EL70" s="182" t="n"/>
      <c r="EM70" s="176" t="n"/>
      <c r="EN70" s="176" t="n"/>
      <c r="EO70" s="176" t="n"/>
      <c r="EP70" s="176" t="n"/>
      <c r="EQ70" s="176" t="n"/>
      <c r="ER70" s="176" t="n"/>
      <c r="ES70" s="176" t="n"/>
      <c r="ET70" s="176" t="n"/>
      <c r="EU70" s="176" t="n"/>
      <c r="EV70" s="176" t="n"/>
      <c r="EW70" s="176" t="n"/>
      <c r="EX70" s="176" t="n"/>
      <c r="EY70" s="176" t="n"/>
      <c r="EZ70" s="176" t="n"/>
      <c r="FA70" s="176" t="n"/>
      <c r="FB70" s="176" t="n"/>
      <c r="FC70" s="176" t="n"/>
      <c r="FD70" s="176" t="n"/>
      <c r="FE70" s="176" t="n"/>
      <c r="FF70" s="176" t="n"/>
      <c r="FG70" s="176" t="n"/>
      <c r="FH70" s="176" t="n"/>
      <c r="FI70" s="176" t="n"/>
      <c r="FJ70" s="176" t="n"/>
    </row>
    <row r="71" ht="15" customHeight="1" s="392">
      <c r="A71" s="176" t="n"/>
      <c r="B71" s="180" t="n"/>
      <c r="C71" s="183" t="inlineStr">
        <is>
          <t xml:space="preserve">        (Purchase)/Sale of Equity Investments</t>
        </is>
      </c>
      <c r="D71" s="185" t="n"/>
      <c r="E71" s="185" t="n"/>
      <c r="F71" s="185" t="n"/>
      <c r="G71" s="185" t="n"/>
      <c r="H71" s="185" t="n"/>
      <c r="I71" s="185" t="n"/>
      <c r="J71" s="185" t="n"/>
      <c r="K71" s="185" t="n"/>
      <c r="EL71" s="182" t="n"/>
      <c r="EM71" s="176" t="n"/>
      <c r="EN71" s="176" t="n"/>
      <c r="EO71" s="176" t="n"/>
      <c r="EP71" s="176" t="n"/>
      <c r="EQ71" s="176" t="n"/>
      <c r="ER71" s="176" t="n"/>
      <c r="ES71" s="176" t="n"/>
      <c r="ET71" s="176" t="n"/>
      <c r="EU71" s="176" t="n"/>
      <c r="EV71" s="176" t="n"/>
      <c r="EW71" s="176" t="n"/>
      <c r="EX71" s="176" t="n"/>
      <c r="EY71" s="176" t="n"/>
      <c r="EZ71" s="176" t="n"/>
      <c r="FA71" s="176" t="n"/>
      <c r="FB71" s="176" t="n"/>
      <c r="FC71" s="176" t="n"/>
      <c r="FD71" s="176" t="n"/>
      <c r="FE71" s="176" t="n"/>
      <c r="FF71" s="176" t="n"/>
      <c r="FG71" s="176" t="n"/>
      <c r="FH71" s="176" t="n"/>
      <c r="FI71" s="176" t="n"/>
      <c r="FJ71" s="176" t="n"/>
    </row>
    <row r="72" ht="15" customHeight="1" s="392">
      <c r="A72" s="176" t="n"/>
      <c r="B72" s="180" t="n"/>
      <c r="C72" s="183" t="inlineStr">
        <is>
          <t xml:space="preserve">            Purchase of Joint Venture/Associate</t>
        </is>
      </c>
      <c r="D72" s="190">
        <f>IF(COUNT(M72:EK72)&gt;0,MEDIAN(M72:EK72),"")</f>
        <v/>
      </c>
      <c r="E72" s="190">
        <f>IF(COUNT(M72:EK72)&gt;0,AVERAGE(M72:EK72),"")</f>
        <v/>
      </c>
      <c r="F72" s="190">
        <f>IF(COUNT(M72:EK72)&gt;0,MIN(M72:EK72),"")</f>
        <v/>
      </c>
      <c r="G72" s="190">
        <f>IF(COUNT(M72:EK72)&gt;0,MAX(M72:EK72),"")</f>
        <v/>
      </c>
      <c r="H72" s="190">
        <f>IF(COUNT(M72:EK72)&gt;0,QUARTILE(M72:EK72,1),"")</f>
        <v/>
      </c>
      <c r="I72" s="190">
        <f>IF(COUNT(M72:EK72)&gt;0,QUARTILE(M72:EK72,3),"")</f>
        <v/>
      </c>
      <c r="J72" s="190">
        <f>IF(COUNT(M72:EK72)&gt;1,STDEV(M72:EK72),"")</f>
        <v/>
      </c>
      <c r="K72" s="191">
        <f>IF(COUNT(M72:EK72)&gt;1,STDEV(M72:EK72)/AVERAGE(M72:EK72),"")</f>
        <v/>
      </c>
      <c r="M72" s="192" t="n">
        <v>0</v>
      </c>
      <c r="N72" s="192" t="n">
        <v>0</v>
      </c>
      <c r="O72" s="192" t="n">
        <v>148</v>
      </c>
      <c r="P72" s="192" t="n">
        <v>-3885</v>
      </c>
      <c r="Q72" s="192" t="n">
        <v>-3971</v>
      </c>
      <c r="R72" s="192" t="n">
        <v>-3177</v>
      </c>
      <c r="S72" s="192" t="n">
        <v>0</v>
      </c>
      <c r="T72" s="192" t="n">
        <v>0</v>
      </c>
      <c r="U72" s="192" t="n">
        <v>-7755</v>
      </c>
      <c r="V72" s="192" t="n">
        <v>0</v>
      </c>
      <c r="W72" s="192" t="n">
        <v>1</v>
      </c>
      <c r="X72" s="192" t="n">
        <v>-1001</v>
      </c>
      <c r="Y72" s="192" t="n">
        <v>0</v>
      </c>
      <c r="Z72" s="192" t="n">
        <v>-751</v>
      </c>
      <c r="AA72" s="192" t="n">
        <v>-1993</v>
      </c>
      <c r="AB72" s="192" t="n">
        <v>0</v>
      </c>
      <c r="AC72" s="192" t="n">
        <v>-2591</v>
      </c>
      <c r="AD72" s="192" t="n">
        <v>0</v>
      </c>
      <c r="AE72" s="192" t="n"/>
      <c r="AF72" s="192" t="n"/>
      <c r="AG72" s="192" t="n"/>
      <c r="AH72" s="192" t="n"/>
      <c r="AI72" s="192" t="n"/>
      <c r="AJ72" s="192" t="n"/>
      <c r="AK72" s="192" t="n"/>
      <c r="AL72" s="192" t="n"/>
      <c r="AM72" s="192" t="n"/>
      <c r="AN72" s="192" t="n"/>
      <c r="AO72" s="192" t="n"/>
      <c r="AP72" s="192" t="n"/>
      <c r="AQ72" s="192" t="n"/>
      <c r="AR72" s="192" t="n"/>
      <c r="AS72" s="192" t="n"/>
      <c r="AT72" s="192" t="n"/>
      <c r="AU72" s="192" t="n"/>
      <c r="AV72" s="192" t="n"/>
      <c r="AW72" s="192" t="n">
        <v>0</v>
      </c>
      <c r="AX72" s="192" t="n">
        <v>-2516</v>
      </c>
      <c r="AY72" s="192" t="n">
        <v>0</v>
      </c>
      <c r="AZ72" s="192" t="n">
        <v>-1050</v>
      </c>
      <c r="BA72" s="192" t="n">
        <v>0</v>
      </c>
      <c r="BB72" s="192" t="n">
        <v>0</v>
      </c>
      <c r="BC72" s="192" t="n"/>
      <c r="BD72" s="192" t="n"/>
      <c r="BE72" s="192" t="n"/>
      <c r="BF72" s="192" t="n"/>
      <c r="BG72" s="192" t="n"/>
      <c r="BH72" s="192" t="n"/>
      <c r="BI72" s="192" t="n"/>
      <c r="BJ72" s="192" t="n"/>
      <c r="BK72" s="192" t="n"/>
      <c r="BL72" s="192" t="n"/>
      <c r="BM72" s="192" t="n"/>
      <c r="BN72" s="192" t="n"/>
      <c r="BO72" s="192" t="n"/>
      <c r="BP72" s="192" t="n"/>
      <c r="BQ72" s="192" t="n"/>
      <c r="BR72" s="192" t="n"/>
      <c r="BS72" s="192" t="n"/>
      <c r="BT72" s="192" t="n"/>
      <c r="BU72" s="192" t="n"/>
      <c r="BV72" s="192" t="n"/>
      <c r="BW72" s="192" t="n"/>
      <c r="BX72" s="192" t="n"/>
      <c r="BY72" s="192" t="n"/>
      <c r="BZ72" s="192" t="n"/>
      <c r="CA72" s="192" t="n"/>
      <c r="CB72" s="192" t="n"/>
      <c r="CC72" s="192" t="n"/>
      <c r="CD72" s="192" t="n"/>
      <c r="CE72" s="192" t="n"/>
      <c r="CF72" s="192" t="n"/>
      <c r="CG72" s="192" t="n"/>
      <c r="CH72" s="192" t="n"/>
      <c r="CI72" s="192" t="n"/>
      <c r="CJ72" s="192" t="n"/>
      <c r="CK72" s="192" t="n"/>
      <c r="CL72" s="192" t="n"/>
      <c r="CM72" s="192" t="n"/>
      <c r="CN72" s="192" t="n"/>
      <c r="CO72" s="192" t="n"/>
      <c r="CP72" s="192" t="n"/>
      <c r="CQ72" s="192" t="n"/>
      <c r="CR72" s="192" t="n"/>
      <c r="CS72" s="192" t="n"/>
      <c r="CT72" s="192" t="n"/>
      <c r="CU72" s="192" t="n"/>
      <c r="CV72" s="192" t="n"/>
      <c r="CW72" s="192" t="n"/>
      <c r="CX72" s="192" t="n"/>
      <c r="CY72" s="192" t="n"/>
      <c r="CZ72" s="192" t="n"/>
      <c r="DA72" s="192" t="n"/>
      <c r="DB72" s="192" t="n"/>
      <c r="DC72" s="192" t="n"/>
      <c r="DD72" s="192" t="n"/>
      <c r="DE72" s="192" t="n"/>
      <c r="DF72" s="192" t="n"/>
      <c r="DG72" s="192" t="n"/>
      <c r="DH72" s="192" t="n"/>
      <c r="DI72" s="192" t="n"/>
      <c r="DJ72" s="192" t="n"/>
      <c r="DK72" s="192" t="n"/>
      <c r="DL72" s="192" t="n"/>
      <c r="DM72" s="192" t="n"/>
      <c r="DN72" s="192" t="n"/>
      <c r="DO72" s="192" t="n"/>
      <c r="DP72" s="192" t="n"/>
      <c r="DQ72" s="192" t="n"/>
      <c r="DR72" s="192" t="n"/>
      <c r="DS72" s="192" t="n"/>
      <c r="DT72" s="192" t="n"/>
      <c r="DU72" s="192" t="n"/>
      <c r="DV72" s="192" t="n"/>
      <c r="DW72" s="192" t="n"/>
      <c r="DX72" s="192" t="n"/>
      <c r="DY72" s="192" t="n"/>
      <c r="DZ72" s="192" t="n"/>
      <c r="EA72" s="192" t="n"/>
      <c r="EB72" s="192" t="n"/>
      <c r="EC72" s="192" t="n"/>
      <c r="ED72" s="192" t="n"/>
      <c r="EE72" s="192" t="n"/>
      <c r="EF72" s="192" t="n"/>
      <c r="EG72" s="192" t="n"/>
      <c r="EH72" s="192" t="n"/>
      <c r="EI72" s="192" t="n"/>
      <c r="EJ72" s="192" t="n"/>
      <c r="EK72" s="192" t="n"/>
      <c r="EL72" s="182" t="n"/>
      <c r="EM72" s="176" t="n"/>
      <c r="EN72" s="176" t="n"/>
      <c r="EO72" s="176" t="n"/>
      <c r="EP72" s="176" t="n"/>
      <c r="EQ72" s="176" t="n"/>
      <c r="ER72" s="176" t="n"/>
      <c r="ES72" s="176" t="n"/>
      <c r="ET72" s="176" t="n"/>
      <c r="EU72" s="176" t="n"/>
      <c r="EV72" s="176" t="n"/>
      <c r="EW72" s="176" t="n"/>
      <c r="EX72" s="176" t="n"/>
      <c r="EY72" s="176" t="n"/>
      <c r="EZ72" s="176" t="n"/>
      <c r="FA72" s="176" t="n"/>
      <c r="FB72" s="176" t="n"/>
      <c r="FC72" s="176" t="n"/>
      <c r="FD72" s="176" t="n"/>
      <c r="FE72" s="176" t="n"/>
      <c r="FF72" s="176" t="n"/>
      <c r="FG72" s="176" t="n"/>
      <c r="FH72" s="176" t="n"/>
      <c r="FI72" s="176" t="n"/>
      <c r="FJ72" s="176" t="n"/>
    </row>
    <row r="73" ht="15" customHeight="1" s="392">
      <c r="A73" s="176" t="n"/>
      <c r="B73" s="180" t="n"/>
      <c r="C73" s="187" t="inlineStr">
        <is>
          <t xml:space="preserve">        Total (Purchase)/Sale of Equity Investments</t>
        </is>
      </c>
      <c r="D73" s="193">
        <f>IF(COUNT(M73:EK73)&gt;0,MEDIAN(M73:EK73),"")</f>
        <v/>
      </c>
      <c r="E73" s="193">
        <f>IF(COUNT(M73:EK73)&gt;0,AVERAGE(M73:EK73),"")</f>
        <v/>
      </c>
      <c r="F73" s="193">
        <f>IF(COUNT(M73:EK73)&gt;0,MIN(M73:EK73),"")</f>
        <v/>
      </c>
      <c r="G73" s="193">
        <f>IF(COUNT(M73:EK73)&gt;0,MAX(M73:EK73),"")</f>
        <v/>
      </c>
      <c r="H73" s="193">
        <f>IF(COUNT(M73:EK73)&gt;0,QUARTILE(M73:EK73,1),"")</f>
        <v/>
      </c>
      <c r="I73" s="193">
        <f>IF(COUNT(M73:EK73)&gt;0,QUARTILE(M73:EK73,3),"")</f>
        <v/>
      </c>
      <c r="J73" s="193">
        <f>IF(COUNT(M73:EK73)&gt;1,STDEV(M73:EK73),"")</f>
        <v/>
      </c>
      <c r="K73" s="194">
        <f>IF(COUNT(M73:EK73)&gt;1,STDEV(M73:EK73)/AVERAGE(M73:EK73),"")</f>
        <v/>
      </c>
      <c r="L73" s="195" t="n"/>
      <c r="M73" s="196" t="n">
        <v>0</v>
      </c>
      <c r="N73" s="196" t="n">
        <v>0</v>
      </c>
      <c r="O73" s="196" t="n">
        <v>148</v>
      </c>
      <c r="P73" s="196" t="n">
        <v>-3885</v>
      </c>
      <c r="Q73" s="196" t="n">
        <v>-3971</v>
      </c>
      <c r="R73" s="196" t="n">
        <v>-3177</v>
      </c>
      <c r="S73" s="196" t="n">
        <v>0</v>
      </c>
      <c r="T73" s="196" t="n">
        <v>0</v>
      </c>
      <c r="U73" s="196" t="n">
        <v>-7755</v>
      </c>
      <c r="V73" s="196" t="n">
        <v>0</v>
      </c>
      <c r="W73" s="196" t="n">
        <v>1</v>
      </c>
      <c r="X73" s="196" t="n">
        <v>-1001</v>
      </c>
      <c r="Y73" s="196" t="n">
        <v>0</v>
      </c>
      <c r="Z73" s="196" t="n">
        <v>-751</v>
      </c>
      <c r="AA73" s="196" t="n">
        <v>-1993</v>
      </c>
      <c r="AB73" s="196" t="n">
        <v>0</v>
      </c>
      <c r="AC73" s="196" t="n">
        <v>-2591</v>
      </c>
      <c r="AD73" s="196" t="n">
        <v>0</v>
      </c>
      <c r="AE73" s="196" t="n"/>
      <c r="AF73" s="196" t="n"/>
      <c r="AG73" s="196" t="n"/>
      <c r="AH73" s="196" t="n"/>
      <c r="AI73" s="196" t="n"/>
      <c r="AJ73" s="196" t="n"/>
      <c r="AK73" s="196" t="n"/>
      <c r="AL73" s="196" t="n"/>
      <c r="AM73" s="196" t="n"/>
      <c r="AN73" s="196" t="n"/>
      <c r="AO73" s="196" t="n"/>
      <c r="AP73" s="196" t="n"/>
      <c r="AQ73" s="196" t="n"/>
      <c r="AR73" s="196" t="n"/>
      <c r="AS73" s="196" t="n"/>
      <c r="AT73" s="196" t="n"/>
      <c r="AU73" s="196" t="n"/>
      <c r="AV73" s="196" t="n"/>
      <c r="AW73" s="196" t="n">
        <v>0</v>
      </c>
      <c r="AX73" s="196" t="n">
        <v>-2516</v>
      </c>
      <c r="AY73" s="196" t="n">
        <v>0</v>
      </c>
      <c r="AZ73" s="196" t="n">
        <v>-1050</v>
      </c>
      <c r="BA73" s="196" t="n">
        <v>0</v>
      </c>
      <c r="BB73" s="196" t="n">
        <v>0</v>
      </c>
      <c r="BC73" s="196" t="n"/>
      <c r="BD73" s="196" t="n"/>
      <c r="BE73" s="196" t="n"/>
      <c r="BF73" s="196" t="n"/>
      <c r="BG73" s="196" t="n"/>
      <c r="BH73" s="196" t="n"/>
      <c r="BI73" s="196" t="n"/>
      <c r="BJ73" s="196" t="n"/>
      <c r="BK73" s="196" t="n"/>
      <c r="BL73" s="196" t="n"/>
      <c r="BM73" s="196" t="n"/>
      <c r="BN73" s="196" t="n"/>
      <c r="BO73" s="196" t="n"/>
      <c r="BP73" s="196" t="n"/>
      <c r="BQ73" s="196" t="n"/>
      <c r="BR73" s="196" t="n"/>
      <c r="BS73" s="196" t="n"/>
      <c r="BT73" s="196" t="n"/>
      <c r="BU73" s="196" t="n"/>
      <c r="BV73" s="196" t="n"/>
      <c r="BW73" s="196" t="n"/>
      <c r="BX73" s="196" t="n"/>
      <c r="BY73" s="196" t="n"/>
      <c r="BZ73" s="196" t="n"/>
      <c r="CA73" s="196" t="n"/>
      <c r="CB73" s="196" t="n"/>
      <c r="CC73" s="196" t="n"/>
      <c r="CD73" s="196" t="n"/>
      <c r="CE73" s="196" t="n"/>
      <c r="CF73" s="196" t="n"/>
      <c r="CG73" s="196" t="n"/>
      <c r="CH73" s="196" t="n"/>
      <c r="CI73" s="196" t="n"/>
      <c r="CJ73" s="196" t="n"/>
      <c r="CK73" s="196" t="n"/>
      <c r="CL73" s="196" t="n"/>
      <c r="CM73" s="196" t="n"/>
      <c r="CN73" s="196" t="n"/>
      <c r="CO73" s="196" t="n"/>
      <c r="CP73" s="196" t="n"/>
      <c r="CQ73" s="196" t="n"/>
      <c r="CR73" s="196" t="n"/>
      <c r="CS73" s="196" t="n"/>
      <c r="CT73" s="196" t="n"/>
      <c r="CU73" s="196" t="n"/>
      <c r="CV73" s="196" t="n"/>
      <c r="CW73" s="196" t="n"/>
      <c r="CX73" s="196" t="n"/>
      <c r="CY73" s="196" t="n"/>
      <c r="CZ73" s="196" t="n"/>
      <c r="DA73" s="196" t="n"/>
      <c r="DB73" s="196" t="n"/>
      <c r="DC73" s="196" t="n"/>
      <c r="DD73" s="196" t="n"/>
      <c r="DE73" s="196" t="n"/>
      <c r="DF73" s="196" t="n"/>
      <c r="DG73" s="196" t="n"/>
      <c r="DH73" s="196" t="n"/>
      <c r="DI73" s="196" t="n"/>
      <c r="DJ73" s="196" t="n"/>
      <c r="DK73" s="196" t="n"/>
      <c r="DL73" s="196" t="n"/>
      <c r="DM73" s="196" t="n"/>
      <c r="DN73" s="196" t="n"/>
      <c r="DO73" s="196" t="n"/>
      <c r="DP73" s="196" t="n"/>
      <c r="DQ73" s="196" t="n"/>
      <c r="DR73" s="196" t="n"/>
      <c r="DS73" s="196" t="n"/>
      <c r="DT73" s="196" t="n"/>
      <c r="DU73" s="196" t="n"/>
      <c r="DV73" s="196" t="n"/>
      <c r="DW73" s="196" t="n"/>
      <c r="DX73" s="196" t="n"/>
      <c r="DY73" s="196" t="n"/>
      <c r="DZ73" s="196" t="n"/>
      <c r="EA73" s="196" t="n"/>
      <c r="EB73" s="196" t="n"/>
      <c r="EC73" s="196" t="n"/>
      <c r="ED73" s="196" t="n"/>
      <c r="EE73" s="196" t="n"/>
      <c r="EF73" s="196" t="n"/>
      <c r="EG73" s="196" t="n"/>
      <c r="EH73" s="196" t="n"/>
      <c r="EI73" s="196" t="n"/>
      <c r="EJ73" s="196" t="n"/>
      <c r="EK73" s="196" t="n"/>
      <c r="EL73" s="182" t="n"/>
      <c r="EM73" s="176" t="n"/>
      <c r="EN73" s="176" t="n"/>
      <c r="EO73" s="176" t="n"/>
      <c r="EP73" s="176" t="n"/>
      <c r="EQ73" s="176" t="n"/>
      <c r="ER73" s="176" t="n"/>
      <c r="ES73" s="176" t="n"/>
      <c r="ET73" s="176" t="n"/>
      <c r="EU73" s="176" t="n"/>
      <c r="EV73" s="176" t="n"/>
      <c r="EW73" s="176" t="n"/>
      <c r="EX73" s="176" t="n"/>
      <c r="EY73" s="176" t="n"/>
      <c r="EZ73" s="176" t="n"/>
      <c r="FA73" s="176" t="n"/>
      <c r="FB73" s="176" t="n"/>
      <c r="FC73" s="176" t="n"/>
      <c r="FD73" s="176" t="n"/>
      <c r="FE73" s="176" t="n"/>
      <c r="FF73" s="176" t="n"/>
      <c r="FG73" s="176" t="n"/>
      <c r="FH73" s="176" t="n"/>
      <c r="FI73" s="176" t="n"/>
      <c r="FJ73" s="176" t="n"/>
    </row>
    <row r="74" ht="15" customHeight="1" s="392">
      <c r="A74" s="176" t="n"/>
      <c r="B74" s="180" t="n"/>
      <c r="C74" s="183" t="inlineStr">
        <is>
          <t xml:space="preserve">        (Purchase)/Sale of Investments, Net</t>
        </is>
      </c>
      <c r="D74" s="185" t="n"/>
      <c r="E74" s="185" t="n"/>
      <c r="F74" s="185" t="n"/>
      <c r="G74" s="185" t="n"/>
      <c r="H74" s="185" t="n"/>
      <c r="I74" s="185" t="n"/>
      <c r="J74" s="185" t="n"/>
      <c r="K74" s="185" t="n"/>
      <c r="EL74" s="182" t="n"/>
      <c r="EM74" s="176" t="n"/>
      <c r="EN74" s="176" t="n"/>
      <c r="EO74" s="176" t="n"/>
      <c r="EP74" s="176" t="n"/>
      <c r="EQ74" s="176" t="n"/>
      <c r="ER74" s="176" t="n"/>
      <c r="ES74" s="176" t="n"/>
      <c r="ET74" s="176" t="n"/>
      <c r="EU74" s="176" t="n"/>
      <c r="EV74" s="176" t="n"/>
      <c r="EW74" s="176" t="n"/>
      <c r="EX74" s="176" t="n"/>
      <c r="EY74" s="176" t="n"/>
      <c r="EZ74" s="176" t="n"/>
      <c r="FA74" s="176" t="n"/>
      <c r="FB74" s="176" t="n"/>
      <c r="FC74" s="176" t="n"/>
      <c r="FD74" s="176" t="n"/>
      <c r="FE74" s="176" t="n"/>
      <c r="FF74" s="176" t="n"/>
      <c r="FG74" s="176" t="n"/>
      <c r="FH74" s="176" t="n"/>
      <c r="FI74" s="176" t="n"/>
      <c r="FJ74" s="176" t="n"/>
    </row>
    <row r="75" ht="15" customHeight="1" s="392">
      <c r="A75" s="176" t="n"/>
      <c r="B75" s="180" t="n"/>
      <c r="C75" s="183" t="inlineStr">
        <is>
          <t xml:space="preserve">            Purchase of Investments</t>
        </is>
      </c>
      <c r="D75" s="190">
        <f>IF(COUNT(M75:EK75)&gt;0,MEDIAN(M75:EK75),"")</f>
        <v/>
      </c>
      <c r="E75" s="190">
        <f>IF(COUNT(M75:EK75)&gt;0,AVERAGE(M75:EK75),"")</f>
        <v/>
      </c>
      <c r="F75" s="190">
        <f>IF(COUNT(M75:EK75)&gt;0,MIN(M75:EK75),"")</f>
        <v/>
      </c>
      <c r="G75" s="190">
        <f>IF(COUNT(M75:EK75)&gt;0,MAX(M75:EK75),"")</f>
        <v/>
      </c>
      <c r="H75" s="190">
        <f>IF(COUNT(M75:EK75)&gt;0,QUARTILE(M75:EK75,1),"")</f>
        <v/>
      </c>
      <c r="I75" s="190">
        <f>IF(COUNT(M75:EK75)&gt;0,QUARTILE(M75:EK75,3),"")</f>
        <v/>
      </c>
      <c r="J75" s="190">
        <f>IF(COUNT(M75:EK75)&gt;1,STDEV(M75:EK75),"")</f>
        <v/>
      </c>
      <c r="K75" s="191">
        <f>IF(COUNT(M75:EK75)&gt;1,STDEV(M75:EK75)/AVERAGE(M75:EK75),"")</f>
        <v/>
      </c>
      <c r="M75" s="192" t="n">
        <v>-2043502</v>
      </c>
      <c r="N75" s="192" t="n">
        <v>-845570</v>
      </c>
      <c r="O75" s="192" t="n"/>
      <c r="P75" s="192" t="n"/>
      <c r="Q75" s="192" t="n">
        <v>-1984075</v>
      </c>
      <c r="R75" s="192" t="n">
        <v>-1559301</v>
      </c>
      <c r="S75" s="192" t="n"/>
      <c r="T75" s="192" t="n"/>
      <c r="U75" s="192" t="n">
        <v>-1608657</v>
      </c>
      <c r="V75" s="192" t="n">
        <v>-1067383</v>
      </c>
      <c r="W75" s="192" t="n"/>
      <c r="X75" s="192" t="n"/>
      <c r="Y75" s="192" t="n">
        <v>-1406588</v>
      </c>
      <c r="Z75" s="192" t="n">
        <v>0</v>
      </c>
      <c r="AA75" s="192" t="n"/>
      <c r="AB75" s="192" t="n"/>
      <c r="AC75" s="192" t="n">
        <v>0</v>
      </c>
      <c r="AD75" s="192" t="n">
        <v>0</v>
      </c>
      <c r="AE75" s="192" t="n"/>
      <c r="AF75" s="192" t="n"/>
      <c r="AG75" s="192" t="n">
        <v>0</v>
      </c>
      <c r="AH75" s="192" t="n">
        <v>0</v>
      </c>
      <c r="AI75" s="192" t="n"/>
      <c r="AJ75" s="192" t="n"/>
      <c r="AK75" s="192" t="n"/>
      <c r="AL75" s="192" t="n"/>
      <c r="AM75" s="192" t="n"/>
      <c r="AN75" s="192" t="n"/>
      <c r="AO75" s="192" t="n"/>
      <c r="AP75" s="192" t="n"/>
      <c r="AQ75" s="192" t="n"/>
      <c r="AR75" s="192" t="n"/>
      <c r="AS75" s="192" t="n"/>
      <c r="AT75" s="192" t="n"/>
      <c r="AU75" s="192" t="n"/>
      <c r="AV75" s="192" t="n"/>
      <c r="AW75" s="192" t="n"/>
      <c r="AX75" s="192" t="n"/>
      <c r="AY75" s="192" t="n"/>
      <c r="AZ75" s="192" t="n"/>
      <c r="BA75" s="192" t="n">
        <v>0</v>
      </c>
      <c r="BB75" s="192" t="n">
        <v>0</v>
      </c>
      <c r="BC75" s="192" t="n">
        <v>0</v>
      </c>
      <c r="BD75" s="192" t="n">
        <v>-21119</v>
      </c>
      <c r="BE75" s="192" t="n">
        <v>0</v>
      </c>
      <c r="BF75" s="192" t="n"/>
      <c r="BG75" s="192" t="n"/>
      <c r="BH75" s="192" t="n">
        <v>0</v>
      </c>
      <c r="BI75" s="192" t="n"/>
      <c r="BJ75" s="192" t="n"/>
      <c r="BK75" s="192" t="n"/>
      <c r="BL75" s="192" t="n"/>
      <c r="BM75" s="192" t="n"/>
      <c r="BN75" s="192" t="n"/>
      <c r="BO75" s="192" t="n"/>
      <c r="BP75" s="192" t="n">
        <v>-11167</v>
      </c>
      <c r="BQ75" s="192" t="n"/>
      <c r="BR75" s="192" t="n"/>
      <c r="BS75" s="192" t="n"/>
      <c r="BT75" s="192" t="n">
        <v>0</v>
      </c>
      <c r="BU75" s="192" t="n"/>
      <c r="BV75" s="192" t="n"/>
      <c r="BW75" s="192" t="n"/>
      <c r="BX75" s="192" t="n"/>
      <c r="BY75" s="192" t="n"/>
      <c r="BZ75" s="192" t="n"/>
      <c r="CA75" s="192" t="n"/>
      <c r="CB75" s="192" t="n"/>
      <c r="CC75" s="192" t="n"/>
      <c r="CD75" s="192" t="n"/>
      <c r="CE75" s="192" t="n"/>
      <c r="CF75" s="192" t="n"/>
      <c r="CG75" s="192" t="n">
        <v>0</v>
      </c>
      <c r="CH75" s="192" t="n">
        <v>0</v>
      </c>
      <c r="CI75" s="192" t="n">
        <v>0</v>
      </c>
      <c r="CJ75" s="192" t="n">
        <v>-154360</v>
      </c>
      <c r="CK75" s="192" t="n">
        <v>-227430</v>
      </c>
      <c r="CL75" s="192" t="n">
        <v>-266265</v>
      </c>
      <c r="CM75" s="192" t="n">
        <v>-214255</v>
      </c>
      <c r="CN75" s="192" t="n">
        <v>-213800</v>
      </c>
      <c r="CO75" s="192" t="n">
        <v>-206108</v>
      </c>
      <c r="CP75" s="192" t="n">
        <v>-147804</v>
      </c>
      <c r="CQ75" s="192" t="n">
        <v>-105720</v>
      </c>
      <c r="CR75" s="192" t="n">
        <v>-266380</v>
      </c>
      <c r="CS75" s="192" t="n">
        <v>-414400</v>
      </c>
      <c r="CT75" s="192" t="n">
        <v>-200205</v>
      </c>
      <c r="CU75" s="192" t="n">
        <v>-53395</v>
      </c>
      <c r="CV75" s="192" t="n">
        <v>-87420</v>
      </c>
      <c r="CW75" s="192" t="n">
        <v>-28825</v>
      </c>
      <c r="CX75" s="192" t="n">
        <v>-74605</v>
      </c>
      <c r="CY75" s="192" t="n"/>
      <c r="CZ75" s="192" t="n"/>
      <c r="DA75" s="192" t="n"/>
      <c r="DB75" s="192" t="n"/>
      <c r="DC75" s="192" t="n"/>
      <c r="DD75" s="192" t="n"/>
      <c r="DE75" s="192" t="n"/>
      <c r="DF75" s="192" t="n"/>
      <c r="DG75" s="192" t="n"/>
      <c r="DH75" s="192" t="n"/>
      <c r="DI75" s="192" t="n"/>
      <c r="DJ75" s="192" t="n"/>
      <c r="DK75" s="192" t="n"/>
      <c r="DL75" s="192" t="n"/>
      <c r="DM75" s="192" t="n"/>
      <c r="DN75" s="192" t="n"/>
      <c r="DO75" s="192" t="n"/>
      <c r="DP75" s="192" t="n"/>
      <c r="DQ75" s="192" t="n"/>
      <c r="DR75" s="192" t="n"/>
      <c r="DS75" s="192" t="n"/>
      <c r="DT75" s="192" t="n"/>
      <c r="DU75" s="192" t="n"/>
      <c r="DV75" s="192" t="n"/>
      <c r="DW75" s="192" t="n"/>
      <c r="DX75" s="192" t="n"/>
      <c r="DY75" s="192" t="n"/>
      <c r="DZ75" s="192" t="n"/>
      <c r="EA75" s="192" t="n"/>
      <c r="EB75" s="192" t="n"/>
      <c r="EC75" s="192" t="n"/>
      <c r="ED75" s="192" t="n"/>
      <c r="EE75" s="192" t="n"/>
      <c r="EF75" s="192" t="n"/>
      <c r="EG75" s="192" t="n"/>
      <c r="EH75" s="192" t="n"/>
      <c r="EI75" s="192" t="n"/>
      <c r="EJ75" s="192" t="n"/>
      <c r="EK75" s="192" t="n"/>
      <c r="EL75" s="182" t="n"/>
      <c r="EM75" s="176" t="n"/>
      <c r="EN75" s="176" t="n"/>
      <c r="EO75" s="176" t="n"/>
      <c r="EP75" s="176" t="n"/>
      <c r="EQ75" s="176" t="n"/>
      <c r="ER75" s="176" t="n"/>
      <c r="ES75" s="176" t="n"/>
      <c r="ET75" s="176" t="n"/>
      <c r="EU75" s="176" t="n"/>
      <c r="EV75" s="176" t="n"/>
      <c r="EW75" s="176" t="n"/>
      <c r="EX75" s="176" t="n"/>
      <c r="EY75" s="176" t="n"/>
      <c r="EZ75" s="176" t="n"/>
      <c r="FA75" s="176" t="n"/>
      <c r="FB75" s="176" t="n"/>
      <c r="FC75" s="176" t="n"/>
      <c r="FD75" s="176" t="n"/>
      <c r="FE75" s="176" t="n"/>
      <c r="FF75" s="176" t="n"/>
      <c r="FG75" s="176" t="n"/>
      <c r="FH75" s="176" t="n"/>
      <c r="FI75" s="176" t="n"/>
      <c r="FJ75" s="176" t="n"/>
    </row>
    <row r="76" ht="15" customHeight="1" s="392">
      <c r="A76" s="176" t="n"/>
      <c r="B76" s="180" t="n"/>
      <c r="C76" s="183" t="inlineStr">
        <is>
          <t xml:space="preserve">            Sale of Investments</t>
        </is>
      </c>
      <c r="D76" s="190">
        <f>IF(COUNT(M76:EK76)&gt;0,MEDIAN(M76:EK76),"")</f>
        <v/>
      </c>
      <c r="E76" s="190">
        <f>IF(COUNT(M76:EK76)&gt;0,AVERAGE(M76:EK76),"")</f>
        <v/>
      </c>
      <c r="F76" s="190">
        <f>IF(COUNT(M76:EK76)&gt;0,MIN(M76:EK76),"")</f>
        <v/>
      </c>
      <c r="G76" s="190">
        <f>IF(COUNT(M76:EK76)&gt;0,MAX(M76:EK76),"")</f>
        <v/>
      </c>
      <c r="H76" s="190">
        <f>IF(COUNT(M76:EK76)&gt;0,QUARTILE(M76:EK76,1),"")</f>
        <v/>
      </c>
      <c r="I76" s="190">
        <f>IF(COUNT(M76:EK76)&gt;0,QUARTILE(M76:EK76,3),"")</f>
        <v/>
      </c>
      <c r="J76" s="190">
        <f>IF(COUNT(M76:EK76)&gt;1,STDEV(M76:EK76),"")</f>
        <v/>
      </c>
      <c r="K76" s="191">
        <f>IF(COUNT(M76:EK76)&gt;1,STDEV(M76:EK76)/AVERAGE(M76:EK76),"")</f>
        <v/>
      </c>
      <c r="M76" s="192" t="n">
        <v>310000</v>
      </c>
      <c r="N76" s="192" t="n">
        <v>0</v>
      </c>
      <c r="O76" s="192" t="n">
        <v>10000</v>
      </c>
      <c r="P76" s="192" t="n">
        <v>2025000</v>
      </c>
      <c r="Q76" s="192" t="n">
        <v>2020000</v>
      </c>
      <c r="R76" s="192" t="n">
        <v>0</v>
      </c>
      <c r="S76" s="192" t="n">
        <v>0</v>
      </c>
      <c r="T76" s="192" t="n">
        <v>1940000</v>
      </c>
      <c r="U76" s="192" t="n">
        <v>1730000</v>
      </c>
      <c r="V76" s="192" t="n">
        <v>485000</v>
      </c>
      <c r="W76" s="192" t="n">
        <v>50000</v>
      </c>
      <c r="X76" s="192" t="n">
        <v>1380000</v>
      </c>
      <c r="Y76" s="192" t="n">
        <v>0</v>
      </c>
      <c r="Z76" s="192" t="n">
        <v>0</v>
      </c>
      <c r="AA76" s="192" t="n">
        <v>0</v>
      </c>
      <c r="AB76" s="192" t="n">
        <v>0</v>
      </c>
      <c r="AC76" s="192" t="n">
        <v>224889</v>
      </c>
      <c r="AD76" s="192" t="n"/>
      <c r="AE76" s="192" t="n"/>
      <c r="AF76" s="192" t="n"/>
      <c r="AG76" s="192" t="n">
        <v>0</v>
      </c>
      <c r="AH76" s="192" t="n"/>
      <c r="AI76" s="192" t="n"/>
      <c r="AJ76" s="192" t="n"/>
      <c r="AK76" s="192" t="n"/>
      <c r="AL76" s="192" t="n"/>
      <c r="AM76" s="192" t="n"/>
      <c r="AN76" s="192" t="n"/>
      <c r="AO76" s="192" t="n"/>
      <c r="AP76" s="192" t="n"/>
      <c r="AQ76" s="192" t="n"/>
      <c r="AR76" s="192" t="n"/>
      <c r="AS76" s="192" t="n"/>
      <c r="AT76" s="192" t="n"/>
      <c r="AU76" s="192" t="n"/>
      <c r="AV76" s="192" t="n"/>
      <c r="AW76" s="192" t="n"/>
      <c r="AX76" s="192" t="n"/>
      <c r="AY76" s="192" t="n"/>
      <c r="AZ76" s="192" t="n"/>
      <c r="BA76" s="192" t="n">
        <v>0</v>
      </c>
      <c r="BB76" s="192" t="n"/>
      <c r="BC76" s="192" t="n"/>
      <c r="BD76" s="192" t="n"/>
      <c r="BE76" s="192" t="n">
        <v>0</v>
      </c>
      <c r="BF76" s="192" t="n"/>
      <c r="BG76" s="192" t="n"/>
      <c r="BH76" s="192" t="n"/>
      <c r="BI76" s="192" t="n"/>
      <c r="BJ76" s="192" t="n"/>
      <c r="BK76" s="192" t="n"/>
      <c r="BL76" s="192" t="n"/>
      <c r="BM76" s="192" t="n"/>
      <c r="BN76" s="192" t="n"/>
      <c r="BO76" s="192" t="n"/>
      <c r="BP76" s="192" t="n"/>
      <c r="BQ76" s="192" t="n"/>
      <c r="BR76" s="192" t="n"/>
      <c r="BS76" s="192" t="n"/>
      <c r="BT76" s="192" t="n"/>
      <c r="BU76" s="192" t="n"/>
      <c r="BV76" s="192" t="n"/>
      <c r="BW76" s="192" t="n"/>
      <c r="BX76" s="192" t="n"/>
      <c r="BY76" s="192" t="n"/>
      <c r="BZ76" s="192" t="n"/>
      <c r="CA76" s="192" t="n"/>
      <c r="CB76" s="192" t="n"/>
      <c r="CC76" s="192" t="n"/>
      <c r="CD76" s="192" t="n"/>
      <c r="CE76" s="192" t="n"/>
      <c r="CF76" s="192" t="n"/>
      <c r="CG76" s="192" t="n">
        <v>9146</v>
      </c>
      <c r="CH76" s="192" t="n">
        <v>0</v>
      </c>
      <c r="CI76" s="192" t="n">
        <v>0</v>
      </c>
      <c r="CJ76" s="192" t="n">
        <v>256985</v>
      </c>
      <c r="CK76" s="192" t="n">
        <v>253140</v>
      </c>
      <c r="CL76" s="192" t="n">
        <v>333815</v>
      </c>
      <c r="CM76" s="192" t="n">
        <v>205425</v>
      </c>
      <c r="CN76" s="192" t="n">
        <v>175470</v>
      </c>
      <c r="CO76" s="192" t="n">
        <v>185325</v>
      </c>
      <c r="CP76" s="192" t="n">
        <v>116470</v>
      </c>
      <c r="CQ76" s="192" t="n">
        <v>152940</v>
      </c>
      <c r="CR76" s="192" t="n">
        <v>113660</v>
      </c>
      <c r="CS76" s="192" t="n">
        <v>414400</v>
      </c>
      <c r="CT76" s="192" t="n">
        <v>407380</v>
      </c>
      <c r="CU76" s="192" t="n">
        <v>42445</v>
      </c>
      <c r="CV76" s="192" t="n">
        <v>63795</v>
      </c>
      <c r="CW76" s="192" t="n">
        <v>16575</v>
      </c>
      <c r="CX76" s="192" t="n">
        <v>11980</v>
      </c>
      <c r="CY76" s="192" t="n"/>
      <c r="CZ76" s="192" t="n"/>
      <c r="DA76" s="192" t="n"/>
      <c r="DB76" s="192" t="n"/>
      <c r="DC76" s="192" t="n"/>
      <c r="DD76" s="192" t="n"/>
      <c r="DE76" s="192" t="n"/>
      <c r="DF76" s="192" t="n"/>
      <c r="DG76" s="192" t="n"/>
      <c r="DH76" s="192" t="n"/>
      <c r="DI76" s="192" t="n"/>
      <c r="DJ76" s="192" t="n"/>
      <c r="DK76" s="192" t="n"/>
      <c r="DL76" s="192" t="n"/>
      <c r="DM76" s="192" t="n"/>
      <c r="DN76" s="192" t="n"/>
      <c r="DO76" s="192" t="n"/>
      <c r="DP76" s="192" t="n"/>
      <c r="DQ76" s="192" t="n">
        <v>0</v>
      </c>
      <c r="DR76" s="192" t="n">
        <v>800</v>
      </c>
      <c r="DS76" s="192" t="n">
        <v>8100</v>
      </c>
      <c r="DT76" s="192" t="n">
        <v>4200</v>
      </c>
      <c r="DU76" s="192" t="n"/>
      <c r="DV76" s="192" t="n"/>
      <c r="DW76" s="192" t="n"/>
      <c r="DX76" s="192" t="n"/>
      <c r="DY76" s="192" t="n"/>
      <c r="DZ76" s="192" t="n"/>
      <c r="EA76" s="192" t="n"/>
      <c r="EB76" s="192" t="n"/>
      <c r="EC76" s="192" t="n"/>
      <c r="ED76" s="192" t="n"/>
      <c r="EE76" s="192" t="n"/>
      <c r="EF76" s="192" t="n"/>
      <c r="EG76" s="192" t="n"/>
      <c r="EH76" s="192" t="n"/>
      <c r="EI76" s="192" t="n"/>
      <c r="EJ76" s="192" t="n"/>
      <c r="EK76" s="192" t="n"/>
      <c r="EL76" s="182" t="n"/>
      <c r="EM76" s="176" t="n"/>
      <c r="EN76" s="176" t="n"/>
      <c r="EO76" s="176" t="n"/>
      <c r="EP76" s="176" t="n"/>
      <c r="EQ76" s="176" t="n"/>
      <c r="ER76" s="176" t="n"/>
      <c r="ES76" s="176" t="n"/>
      <c r="ET76" s="176" t="n"/>
      <c r="EU76" s="176" t="n"/>
      <c r="EV76" s="176" t="n"/>
      <c r="EW76" s="176" t="n"/>
      <c r="EX76" s="176" t="n"/>
      <c r="EY76" s="176" t="n"/>
      <c r="EZ76" s="176" t="n"/>
      <c r="FA76" s="176" t="n"/>
      <c r="FB76" s="176" t="n"/>
      <c r="FC76" s="176" t="n"/>
      <c r="FD76" s="176" t="n"/>
      <c r="FE76" s="176" t="n"/>
      <c r="FF76" s="176" t="n"/>
      <c r="FG76" s="176" t="n"/>
      <c r="FH76" s="176" t="n"/>
      <c r="FI76" s="176" t="n"/>
      <c r="FJ76" s="176" t="n"/>
    </row>
    <row r="77" ht="15" customHeight="1" s="392">
      <c r="A77" s="176" t="n"/>
      <c r="B77" s="180" t="n"/>
      <c r="C77" s="187" t="inlineStr">
        <is>
          <t xml:space="preserve">        Total (Purchase)/Sale of Investments, Net</t>
        </is>
      </c>
      <c r="D77" s="193">
        <f>IF(COUNT(M77:EK77)&gt;0,MEDIAN(M77:EK77),"")</f>
        <v/>
      </c>
      <c r="E77" s="193">
        <f>IF(COUNT(M77:EK77)&gt;0,AVERAGE(M77:EK77),"")</f>
        <v/>
      </c>
      <c r="F77" s="193">
        <f>IF(COUNT(M77:EK77)&gt;0,MIN(M77:EK77),"")</f>
        <v/>
      </c>
      <c r="G77" s="193">
        <f>IF(COUNT(M77:EK77)&gt;0,MAX(M77:EK77),"")</f>
        <v/>
      </c>
      <c r="H77" s="193">
        <f>IF(COUNT(M77:EK77)&gt;0,QUARTILE(M77:EK77,1),"")</f>
        <v/>
      </c>
      <c r="I77" s="193">
        <f>IF(COUNT(M77:EK77)&gt;0,QUARTILE(M77:EK77,3),"")</f>
        <v/>
      </c>
      <c r="J77" s="193">
        <f>IF(COUNT(M77:EK77)&gt;1,STDEV(M77:EK77),"")</f>
        <v/>
      </c>
      <c r="K77" s="194">
        <f>IF(COUNT(M77:EK77)&gt;1,STDEV(M77:EK77)/AVERAGE(M77:EK77),"")</f>
        <v/>
      </c>
      <c r="L77" s="195" t="n"/>
      <c r="M77" s="196" t="n">
        <v>-1733502</v>
      </c>
      <c r="N77" s="196" t="n">
        <v>-845570</v>
      </c>
      <c r="O77" s="196" t="n">
        <v>10000</v>
      </c>
      <c r="P77" s="196" t="n">
        <v>2025000</v>
      </c>
      <c r="Q77" s="196" t="n">
        <v>35925</v>
      </c>
      <c r="R77" s="196" t="n">
        <v>-1559301</v>
      </c>
      <c r="S77" s="196" t="n">
        <v>-458542</v>
      </c>
      <c r="T77" s="196" t="n">
        <v>1940000</v>
      </c>
      <c r="U77" s="196" t="n">
        <v>121343</v>
      </c>
      <c r="V77" s="196" t="n">
        <v>-582383</v>
      </c>
      <c r="W77" s="196" t="n">
        <v>-1361122</v>
      </c>
      <c r="X77" s="196" t="n">
        <v>1380000</v>
      </c>
      <c r="Y77" s="196" t="n">
        <v>-1406588</v>
      </c>
      <c r="Z77" s="196" t="n">
        <v>0</v>
      </c>
      <c r="AA77" s="196" t="n">
        <v>0</v>
      </c>
      <c r="AB77" s="196" t="n">
        <v>0</v>
      </c>
      <c r="AC77" s="196" t="n">
        <v>224889</v>
      </c>
      <c r="AD77" s="196" t="n">
        <v>149977</v>
      </c>
      <c r="AE77" s="196" t="n"/>
      <c r="AF77" s="196" t="n"/>
      <c r="AG77" s="196" t="n">
        <v>0</v>
      </c>
      <c r="AH77" s="196" t="n">
        <v>0</v>
      </c>
      <c r="AI77" s="196" t="n"/>
      <c r="AJ77" s="196" t="n"/>
      <c r="AK77" s="196" t="n"/>
      <c r="AL77" s="196" t="n"/>
      <c r="AM77" s="196" t="n"/>
      <c r="AN77" s="196" t="n"/>
      <c r="AO77" s="196" t="n"/>
      <c r="AP77" s="196" t="n"/>
      <c r="AQ77" s="196" t="n"/>
      <c r="AR77" s="196" t="n"/>
      <c r="AS77" s="196" t="n"/>
      <c r="AT77" s="196" t="n"/>
      <c r="AU77" s="196" t="n"/>
      <c r="AV77" s="196" t="n"/>
      <c r="AW77" s="196" t="n"/>
      <c r="AX77" s="196" t="n"/>
      <c r="AY77" s="196" t="n"/>
      <c r="AZ77" s="196" t="n"/>
      <c r="BA77" s="196" t="n">
        <v>0</v>
      </c>
      <c r="BB77" s="196" t="n">
        <v>21498</v>
      </c>
      <c r="BC77" s="196" t="n">
        <v>0</v>
      </c>
      <c r="BD77" s="196" t="n">
        <v>-21119</v>
      </c>
      <c r="BE77" s="196" t="n">
        <v>0</v>
      </c>
      <c r="BF77" s="196" t="n"/>
      <c r="BG77" s="196" t="n"/>
      <c r="BH77" s="196" t="n">
        <v>0</v>
      </c>
      <c r="BI77" s="196" t="n"/>
      <c r="BJ77" s="196" t="n"/>
      <c r="BK77" s="196" t="n"/>
      <c r="BL77" s="196" t="n"/>
      <c r="BM77" s="196" t="n"/>
      <c r="BN77" s="196" t="n"/>
      <c r="BO77" s="196" t="n"/>
      <c r="BP77" s="196" t="n">
        <v>-11167</v>
      </c>
      <c r="BQ77" s="196" t="n"/>
      <c r="BR77" s="196" t="n"/>
      <c r="BS77" s="196" t="n"/>
      <c r="BT77" s="196" t="n">
        <v>0</v>
      </c>
      <c r="BU77" s="196" t="n"/>
      <c r="BV77" s="196" t="n"/>
      <c r="BW77" s="196" t="n"/>
      <c r="BX77" s="196" t="n"/>
      <c r="BY77" s="196" t="n"/>
      <c r="BZ77" s="196" t="n"/>
      <c r="CA77" s="196" t="n"/>
      <c r="CB77" s="196" t="n"/>
      <c r="CC77" s="196" t="n"/>
      <c r="CD77" s="196" t="n"/>
      <c r="CE77" s="196" t="n"/>
      <c r="CF77" s="196" t="n"/>
      <c r="CG77" s="196" t="n">
        <v>9146</v>
      </c>
      <c r="CH77" s="196" t="n">
        <v>0</v>
      </c>
      <c r="CI77" s="196" t="n">
        <v>0</v>
      </c>
      <c r="CJ77" s="196" t="n">
        <v>102625</v>
      </c>
      <c r="CK77" s="196" t="n">
        <v>25710</v>
      </c>
      <c r="CL77" s="196" t="n">
        <v>67550</v>
      </c>
      <c r="CM77" s="196" t="n">
        <v>-8830</v>
      </c>
      <c r="CN77" s="196" t="n">
        <v>-38330</v>
      </c>
      <c r="CO77" s="196" t="n">
        <v>-20783</v>
      </c>
      <c r="CP77" s="196" t="n">
        <v>-31334</v>
      </c>
      <c r="CQ77" s="196" t="n">
        <v>47220</v>
      </c>
      <c r="CR77" s="196" t="n">
        <v>-152720</v>
      </c>
      <c r="CS77" s="196" t="n">
        <v>0</v>
      </c>
      <c r="CT77" s="196" t="n">
        <v>207175</v>
      </c>
      <c r="CU77" s="196" t="n">
        <v>-10950</v>
      </c>
      <c r="CV77" s="196" t="n">
        <v>-23625</v>
      </c>
      <c r="CW77" s="196" t="n">
        <v>-12250</v>
      </c>
      <c r="CX77" s="196" t="n">
        <v>-62625</v>
      </c>
      <c r="CY77" s="196" t="n"/>
      <c r="CZ77" s="196" t="n"/>
      <c r="DA77" s="196" t="n"/>
      <c r="DB77" s="196" t="n"/>
      <c r="DC77" s="196" t="n"/>
      <c r="DD77" s="196" t="n"/>
      <c r="DE77" s="196" t="n"/>
      <c r="DF77" s="196" t="n"/>
      <c r="DG77" s="196" t="n"/>
      <c r="DH77" s="196" t="n"/>
      <c r="DI77" s="196" t="n"/>
      <c r="DJ77" s="196" t="n"/>
      <c r="DK77" s="196" t="n"/>
      <c r="DL77" s="196" t="n"/>
      <c r="DM77" s="196" t="n"/>
      <c r="DN77" s="196" t="n"/>
      <c r="DO77" s="196" t="n"/>
      <c r="DP77" s="196" t="n"/>
      <c r="DQ77" s="196" t="n">
        <v>0</v>
      </c>
      <c r="DR77" s="196" t="n">
        <v>800</v>
      </c>
      <c r="DS77" s="196" t="n">
        <v>8100</v>
      </c>
      <c r="DT77" s="196" t="n">
        <v>4200</v>
      </c>
      <c r="DU77" s="196" t="n"/>
      <c r="DV77" s="196" t="n"/>
      <c r="DW77" s="196" t="n"/>
      <c r="DX77" s="196" t="n"/>
      <c r="DY77" s="196" t="n"/>
      <c r="DZ77" s="196" t="n"/>
      <c r="EA77" s="196" t="n"/>
      <c r="EB77" s="196" t="n"/>
      <c r="EC77" s="196" t="n"/>
      <c r="ED77" s="196" t="n"/>
      <c r="EE77" s="196" t="n"/>
      <c r="EF77" s="196" t="n"/>
      <c r="EG77" s="196" t="n"/>
      <c r="EH77" s="196" t="n"/>
      <c r="EI77" s="196" t="n"/>
      <c r="EJ77" s="196" t="n"/>
      <c r="EK77" s="196" t="n"/>
      <c r="EL77" s="182" t="n"/>
      <c r="EM77" s="176" t="n"/>
      <c r="EN77" s="176" t="n"/>
      <c r="EO77" s="176" t="n"/>
      <c r="EP77" s="176" t="n"/>
      <c r="EQ77" s="176" t="n"/>
      <c r="ER77" s="176" t="n"/>
      <c r="ES77" s="176" t="n"/>
      <c r="ET77" s="176" t="n"/>
      <c r="EU77" s="176" t="n"/>
      <c r="EV77" s="176" t="n"/>
      <c r="EW77" s="176" t="n"/>
      <c r="EX77" s="176" t="n"/>
      <c r="EY77" s="176" t="n"/>
      <c r="EZ77" s="176" t="n"/>
      <c r="FA77" s="176" t="n"/>
      <c r="FB77" s="176" t="n"/>
      <c r="FC77" s="176" t="n"/>
      <c r="FD77" s="176" t="n"/>
      <c r="FE77" s="176" t="n"/>
      <c r="FF77" s="176" t="n"/>
      <c r="FG77" s="176" t="n"/>
      <c r="FH77" s="176" t="n"/>
      <c r="FI77" s="176" t="n"/>
      <c r="FJ77" s="176" t="n"/>
    </row>
    <row r="78" ht="15" customHeight="1" s="392">
      <c r="A78" s="176" t="n"/>
      <c r="B78" s="180" t="n"/>
      <c r="C78" s="183" t="inlineStr">
        <is>
          <t xml:space="preserve">        (Purchase)/Sale of Other Non-Current Assets, Net</t>
        </is>
      </c>
      <c r="D78" s="185" t="n"/>
      <c r="E78" s="185" t="n"/>
      <c r="F78" s="185" t="n"/>
      <c r="G78" s="185" t="n"/>
      <c r="H78" s="185" t="n"/>
      <c r="I78" s="185" t="n"/>
      <c r="J78" s="185" t="n"/>
      <c r="K78" s="185" t="n"/>
      <c r="EL78" s="182" t="n"/>
      <c r="EM78" s="176" t="n"/>
      <c r="EN78" s="176" t="n"/>
      <c r="EO78" s="176" t="n"/>
      <c r="EP78" s="176" t="n"/>
      <c r="EQ78" s="176" t="n"/>
      <c r="ER78" s="176" t="n"/>
      <c r="ES78" s="176" t="n"/>
      <c r="ET78" s="176" t="n"/>
      <c r="EU78" s="176" t="n"/>
      <c r="EV78" s="176" t="n"/>
      <c r="EW78" s="176" t="n"/>
      <c r="EX78" s="176" t="n"/>
      <c r="EY78" s="176" t="n"/>
      <c r="EZ78" s="176" t="n"/>
      <c r="FA78" s="176" t="n"/>
      <c r="FB78" s="176" t="n"/>
      <c r="FC78" s="176" t="n"/>
      <c r="FD78" s="176" t="n"/>
      <c r="FE78" s="176" t="n"/>
      <c r="FF78" s="176" t="n"/>
      <c r="FG78" s="176" t="n"/>
      <c r="FH78" s="176" t="n"/>
      <c r="FI78" s="176" t="n"/>
      <c r="FJ78" s="176" t="n"/>
    </row>
    <row r="79" ht="15" customHeight="1" s="392">
      <c r="A79" s="176" t="n"/>
      <c r="B79" s="180" t="n"/>
      <c r="C79" s="183" t="inlineStr">
        <is>
          <t xml:space="preserve">            Purchase of Other Non-Current Assets</t>
        </is>
      </c>
      <c r="D79" s="190">
        <f>IF(COUNT(M79:EK79)&gt;0,MEDIAN(M79:EK79),"")</f>
        <v/>
      </c>
      <c r="E79" s="190">
        <f>IF(COUNT(M79:EK79)&gt;0,AVERAGE(M79:EK79),"")</f>
        <v/>
      </c>
      <c r="F79" s="190">
        <f>IF(COUNT(M79:EK79)&gt;0,MIN(M79:EK79),"")</f>
        <v/>
      </c>
      <c r="G79" s="190">
        <f>IF(COUNT(M79:EK79)&gt;0,MAX(M79:EK79),"")</f>
        <v/>
      </c>
      <c r="H79" s="190">
        <f>IF(COUNT(M79:EK79)&gt;0,QUARTILE(M79:EK79,1),"")</f>
        <v/>
      </c>
      <c r="I79" s="190">
        <f>IF(COUNT(M79:EK79)&gt;0,QUARTILE(M79:EK79,3),"")</f>
        <v/>
      </c>
      <c r="J79" s="190">
        <f>IF(COUNT(M79:EK79)&gt;1,STDEV(M79:EK79),"")</f>
        <v/>
      </c>
      <c r="K79" s="191">
        <f>IF(COUNT(M79:EK79)&gt;1,STDEV(M79:EK79)/AVERAGE(M79:EK79),"")</f>
        <v/>
      </c>
      <c r="M79" s="192" t="n"/>
      <c r="N79" s="192" t="n"/>
      <c r="O79" s="192" t="n"/>
      <c r="P79" s="192" t="n"/>
      <c r="Q79" s="192" t="n"/>
      <c r="R79" s="192" t="n"/>
      <c r="S79" s="192" t="n"/>
      <c r="T79" s="192" t="n"/>
      <c r="U79" s="192" t="n"/>
      <c r="V79" s="192" t="n"/>
      <c r="W79" s="192" t="n"/>
      <c r="X79" s="192" t="n"/>
      <c r="Y79" s="192" t="n"/>
      <c r="Z79" s="192" t="n"/>
      <c r="AA79" s="192" t="n"/>
      <c r="AB79" s="192" t="n"/>
      <c r="AC79" s="192" t="n"/>
      <c r="AD79" s="192" t="n">
        <v>-24</v>
      </c>
      <c r="AE79" s="192" t="n"/>
      <c r="AF79" s="192" t="n"/>
      <c r="AG79" s="192" t="n"/>
      <c r="AH79" s="192" t="n"/>
      <c r="AI79" s="192" t="n"/>
      <c r="AJ79" s="192" t="n"/>
      <c r="AK79" s="192" t="n"/>
      <c r="AL79" s="192" t="n"/>
      <c r="AM79" s="192" t="n"/>
      <c r="AN79" s="192" t="n"/>
      <c r="AO79" s="192" t="n"/>
      <c r="AP79" s="192" t="n"/>
      <c r="AQ79" s="192" t="n"/>
      <c r="AR79" s="192" t="n"/>
      <c r="AS79" s="192" t="n"/>
      <c r="AT79" s="192" t="n"/>
      <c r="AU79" s="192" t="n"/>
      <c r="AV79" s="192" t="n"/>
      <c r="AW79" s="192" t="n"/>
      <c r="AX79" s="192" t="n"/>
      <c r="AY79" s="192" t="n"/>
      <c r="AZ79" s="192" t="n"/>
      <c r="BA79" s="192" t="n"/>
      <c r="BB79" s="192" t="n"/>
      <c r="BC79" s="192" t="n"/>
      <c r="BD79" s="192" t="n"/>
      <c r="BE79" s="192" t="n"/>
      <c r="BF79" s="192" t="n"/>
      <c r="BG79" s="192" t="n"/>
      <c r="BH79" s="192" t="n"/>
      <c r="BI79" s="192" t="n"/>
      <c r="BJ79" s="192" t="n"/>
      <c r="BK79" s="192" t="n"/>
      <c r="BL79" s="192" t="n"/>
      <c r="BM79" s="192" t="n"/>
      <c r="BN79" s="192" t="n"/>
      <c r="BO79" s="192" t="n"/>
      <c r="BP79" s="192" t="n"/>
      <c r="BQ79" s="192" t="n"/>
      <c r="BR79" s="192" t="n"/>
      <c r="BS79" s="192" t="n"/>
      <c r="BT79" s="192" t="n"/>
      <c r="BU79" s="192" t="n"/>
      <c r="BV79" s="192" t="n"/>
      <c r="BW79" s="192" t="n"/>
      <c r="BX79" s="192" t="n"/>
      <c r="BY79" s="192" t="n"/>
      <c r="BZ79" s="192" t="n"/>
      <c r="CA79" s="192" t="n"/>
      <c r="CB79" s="192" t="n"/>
      <c r="CC79" s="192" t="n"/>
      <c r="CD79" s="192" t="n"/>
      <c r="CE79" s="192" t="n"/>
      <c r="CF79" s="192" t="n"/>
      <c r="CG79" s="192" t="n"/>
      <c r="CH79" s="192" t="n"/>
      <c r="CI79" s="192" t="n"/>
      <c r="CJ79" s="192" t="n"/>
      <c r="CK79" s="192" t="n"/>
      <c r="CL79" s="192" t="n"/>
      <c r="CM79" s="192" t="n"/>
      <c r="CN79" s="192" t="n"/>
      <c r="CO79" s="192" t="n"/>
      <c r="CP79" s="192" t="n"/>
      <c r="CQ79" s="192" t="n"/>
      <c r="CR79" s="192" t="n"/>
      <c r="CS79" s="192" t="n"/>
      <c r="CT79" s="192" t="n"/>
      <c r="CU79" s="192" t="n"/>
      <c r="CV79" s="192" t="n"/>
      <c r="CW79" s="192" t="n"/>
      <c r="CX79" s="192" t="n"/>
      <c r="CY79" s="192" t="n"/>
      <c r="CZ79" s="192" t="n"/>
      <c r="DA79" s="192" t="n"/>
      <c r="DB79" s="192" t="n"/>
      <c r="DC79" s="192" t="n"/>
      <c r="DD79" s="192" t="n"/>
      <c r="DE79" s="192" t="n"/>
      <c r="DF79" s="192" t="n"/>
      <c r="DG79" s="192" t="n"/>
      <c r="DH79" s="192" t="n"/>
      <c r="DI79" s="192" t="n"/>
      <c r="DJ79" s="192" t="n"/>
      <c r="DK79" s="192" t="n"/>
      <c r="DL79" s="192" t="n"/>
      <c r="DM79" s="192" t="n"/>
      <c r="DN79" s="192" t="n"/>
      <c r="DO79" s="192" t="n"/>
      <c r="DP79" s="192" t="n"/>
      <c r="DQ79" s="192" t="n"/>
      <c r="DR79" s="192" t="n"/>
      <c r="DS79" s="192" t="n"/>
      <c r="DT79" s="192" t="n"/>
      <c r="DU79" s="192" t="n"/>
      <c r="DV79" s="192" t="n"/>
      <c r="DW79" s="192" t="n"/>
      <c r="DX79" s="192" t="n"/>
      <c r="DY79" s="192" t="n"/>
      <c r="DZ79" s="192" t="n"/>
      <c r="EA79" s="192" t="n"/>
      <c r="EB79" s="192" t="n"/>
      <c r="EC79" s="192" t="n"/>
      <c r="ED79" s="192" t="n"/>
      <c r="EE79" s="192" t="n"/>
      <c r="EF79" s="192" t="n"/>
      <c r="EG79" s="192" t="n"/>
      <c r="EH79" s="192" t="n"/>
      <c r="EI79" s="192" t="n"/>
      <c r="EJ79" s="192" t="n"/>
      <c r="EK79" s="192" t="n"/>
      <c r="EL79" s="182" t="n"/>
      <c r="EM79" s="176" t="n"/>
      <c r="EN79" s="176" t="n"/>
      <c r="EO79" s="176" t="n"/>
      <c r="EP79" s="176" t="n"/>
      <c r="EQ79" s="176" t="n"/>
      <c r="ER79" s="176" t="n"/>
      <c r="ES79" s="176" t="n"/>
      <c r="ET79" s="176" t="n"/>
      <c r="EU79" s="176" t="n"/>
      <c r="EV79" s="176" t="n"/>
      <c r="EW79" s="176" t="n"/>
      <c r="EX79" s="176" t="n"/>
      <c r="EY79" s="176" t="n"/>
      <c r="EZ79" s="176" t="n"/>
      <c r="FA79" s="176" t="n"/>
      <c r="FB79" s="176" t="n"/>
      <c r="FC79" s="176" t="n"/>
      <c r="FD79" s="176" t="n"/>
      <c r="FE79" s="176" t="n"/>
      <c r="FF79" s="176" t="n"/>
      <c r="FG79" s="176" t="n"/>
      <c r="FH79" s="176" t="n"/>
      <c r="FI79" s="176" t="n"/>
      <c r="FJ79" s="176" t="n"/>
    </row>
    <row r="80" ht="15" customHeight="1" s="392">
      <c r="A80" s="176" t="n"/>
      <c r="B80" s="180" t="n"/>
      <c r="C80" s="183" t="inlineStr">
        <is>
          <t xml:space="preserve">            Sales of Other Non-Current Assets</t>
        </is>
      </c>
      <c r="D80" s="190">
        <f>IF(COUNT(M80:EK80)&gt;0,MEDIAN(M80:EK80),"")</f>
        <v/>
      </c>
      <c r="E80" s="190">
        <f>IF(COUNT(M80:EK80)&gt;0,AVERAGE(M80:EK80),"")</f>
        <v/>
      </c>
      <c r="F80" s="190">
        <f>IF(COUNT(M80:EK80)&gt;0,MIN(M80:EK80),"")</f>
        <v/>
      </c>
      <c r="G80" s="190">
        <f>IF(COUNT(M80:EK80)&gt;0,MAX(M80:EK80),"")</f>
        <v/>
      </c>
      <c r="H80" s="190">
        <f>IF(COUNT(M80:EK80)&gt;0,QUARTILE(M80:EK80,1),"")</f>
        <v/>
      </c>
      <c r="I80" s="190">
        <f>IF(COUNT(M80:EK80)&gt;0,QUARTILE(M80:EK80,3),"")</f>
        <v/>
      </c>
      <c r="J80" s="190">
        <f>IF(COUNT(M80:EK80)&gt;1,STDEV(M80:EK80),"")</f>
        <v/>
      </c>
      <c r="K80" s="191">
        <f>IF(COUNT(M80:EK80)&gt;1,STDEV(M80:EK80)/AVERAGE(M80:EK80),"")</f>
        <v/>
      </c>
      <c r="M80" s="192" t="n"/>
      <c r="N80" s="192" t="n"/>
      <c r="O80" s="192" t="n"/>
      <c r="P80" s="192" t="n"/>
      <c r="Q80" s="192" t="n"/>
      <c r="R80" s="192" t="n"/>
      <c r="S80" s="192" t="n"/>
      <c r="T80" s="192" t="n"/>
      <c r="U80" s="192" t="n"/>
      <c r="V80" s="192" t="n"/>
      <c r="W80" s="192" t="n"/>
      <c r="X80" s="192" t="n"/>
      <c r="Y80" s="192" t="n"/>
      <c r="Z80" s="192" t="n"/>
      <c r="AA80" s="192" t="n"/>
      <c r="AB80" s="192" t="n"/>
      <c r="AC80" s="192" t="n"/>
      <c r="AD80" s="192" t="n"/>
      <c r="AE80" s="192" t="n"/>
      <c r="AF80" s="192" t="n"/>
      <c r="AG80" s="192" t="n"/>
      <c r="AH80" s="192" t="n"/>
      <c r="AI80" s="192" t="n"/>
      <c r="AJ80" s="192" t="n"/>
      <c r="AK80" s="192" t="n"/>
      <c r="AL80" s="192" t="n"/>
      <c r="AM80" s="192" t="n"/>
      <c r="AN80" s="192" t="n"/>
      <c r="AO80" s="192" t="n"/>
      <c r="AP80" s="192" t="n"/>
      <c r="AQ80" s="192" t="n"/>
      <c r="AR80" s="192" t="n"/>
      <c r="AS80" s="192" t="n"/>
      <c r="AT80" s="192" t="n"/>
      <c r="AU80" s="192" t="n"/>
      <c r="AV80" s="192" t="n"/>
      <c r="AW80" s="192" t="n"/>
      <c r="AX80" s="192" t="n"/>
      <c r="AY80" s="192" t="n"/>
      <c r="AZ80" s="192" t="n"/>
      <c r="BA80" s="192" t="n"/>
      <c r="BB80" s="192" t="n"/>
      <c r="BC80" s="192" t="n">
        <v>0</v>
      </c>
      <c r="BD80" s="192" t="n">
        <v>100</v>
      </c>
      <c r="BE80" s="192" t="n">
        <v>0</v>
      </c>
      <c r="BF80" s="192" t="n">
        <v>0</v>
      </c>
      <c r="BG80" s="192" t="n">
        <v>0</v>
      </c>
      <c r="BH80" s="192" t="n">
        <v>217</v>
      </c>
      <c r="BI80" s="192" t="n">
        <v>0</v>
      </c>
      <c r="BJ80" s="192" t="n">
        <v>364</v>
      </c>
      <c r="BK80" s="192" t="n">
        <v>494</v>
      </c>
      <c r="BL80" s="192" t="n">
        <v>0</v>
      </c>
      <c r="BM80" s="192" t="n">
        <v>0</v>
      </c>
      <c r="BN80" s="192" t="n">
        <v>2328</v>
      </c>
      <c r="BO80" s="192" t="n">
        <v>0</v>
      </c>
      <c r="BP80" s="192" t="n">
        <v>861</v>
      </c>
      <c r="BQ80" s="192" t="n">
        <v>8041</v>
      </c>
      <c r="BR80" s="192" t="n">
        <v>0</v>
      </c>
      <c r="BS80" s="192" t="n"/>
      <c r="BT80" s="192" t="n"/>
      <c r="BU80" s="192" t="n"/>
      <c r="BV80" s="192" t="n"/>
      <c r="BW80" s="192" t="n"/>
      <c r="BX80" s="192" t="n"/>
      <c r="BY80" s="192" t="n"/>
      <c r="BZ80" s="192" t="n"/>
      <c r="CA80" s="192" t="n"/>
      <c r="CB80" s="192" t="n"/>
      <c r="CC80" s="192" t="n"/>
      <c r="CD80" s="192" t="n"/>
      <c r="CE80" s="192" t="n"/>
      <c r="CF80" s="192" t="n"/>
      <c r="CG80" s="192" t="n"/>
      <c r="CH80" s="192" t="n"/>
      <c r="CI80" s="192" t="n"/>
      <c r="CJ80" s="192" t="n"/>
      <c r="CK80" s="192" t="n"/>
      <c r="CL80" s="192" t="n"/>
      <c r="CM80" s="192" t="n"/>
      <c r="CN80" s="192" t="n"/>
      <c r="CO80" s="192" t="n"/>
      <c r="CP80" s="192" t="n"/>
      <c r="CQ80" s="192" t="n"/>
      <c r="CR80" s="192" t="n"/>
      <c r="CS80" s="192" t="n"/>
      <c r="CT80" s="192" t="n"/>
      <c r="CU80" s="192" t="n"/>
      <c r="CV80" s="192" t="n"/>
      <c r="CW80" s="192" t="n"/>
      <c r="CX80" s="192" t="n"/>
      <c r="CY80" s="192" t="n"/>
      <c r="CZ80" s="192" t="n"/>
      <c r="DA80" s="192" t="n"/>
      <c r="DB80" s="192" t="n"/>
      <c r="DC80" s="192" t="n"/>
      <c r="DD80" s="192" t="n"/>
      <c r="DE80" s="192" t="n"/>
      <c r="DF80" s="192" t="n"/>
      <c r="DG80" s="192" t="n"/>
      <c r="DH80" s="192" t="n"/>
      <c r="DI80" s="192" t="n"/>
      <c r="DJ80" s="192" t="n"/>
      <c r="DK80" s="192" t="n"/>
      <c r="DL80" s="192" t="n"/>
      <c r="DM80" s="192" t="n"/>
      <c r="DN80" s="192" t="n"/>
      <c r="DO80" s="192" t="n"/>
      <c r="DP80" s="192" t="n"/>
      <c r="DQ80" s="192" t="n"/>
      <c r="DR80" s="192" t="n"/>
      <c r="DS80" s="192" t="n"/>
      <c r="DT80" s="192" t="n"/>
      <c r="DU80" s="192" t="n"/>
      <c r="DV80" s="192" t="n"/>
      <c r="DW80" s="192" t="n"/>
      <c r="DX80" s="192" t="n"/>
      <c r="DY80" s="192" t="n"/>
      <c r="DZ80" s="192" t="n"/>
      <c r="EA80" s="192" t="n"/>
      <c r="EB80" s="192" t="n"/>
      <c r="EC80" s="192" t="n"/>
      <c r="ED80" s="192" t="n"/>
      <c r="EE80" s="192" t="n"/>
      <c r="EF80" s="192" t="n"/>
      <c r="EG80" s="192" t="n"/>
      <c r="EH80" s="192" t="n"/>
      <c r="EI80" s="192" t="n"/>
      <c r="EJ80" s="192" t="n"/>
      <c r="EK80" s="192" t="n"/>
      <c r="EL80" s="182" t="n"/>
      <c r="EM80" s="176" t="n"/>
      <c r="EN80" s="176" t="n"/>
      <c r="EO80" s="176" t="n"/>
      <c r="EP80" s="176" t="n"/>
      <c r="EQ80" s="176" t="n"/>
      <c r="ER80" s="176" t="n"/>
      <c r="ES80" s="176" t="n"/>
      <c r="ET80" s="176" t="n"/>
      <c r="EU80" s="176" t="n"/>
      <c r="EV80" s="176" t="n"/>
      <c r="EW80" s="176" t="n"/>
      <c r="EX80" s="176" t="n"/>
      <c r="EY80" s="176" t="n"/>
      <c r="EZ80" s="176" t="n"/>
      <c r="FA80" s="176" t="n"/>
      <c r="FB80" s="176" t="n"/>
      <c r="FC80" s="176" t="n"/>
      <c r="FD80" s="176" t="n"/>
      <c r="FE80" s="176" t="n"/>
      <c r="FF80" s="176" t="n"/>
      <c r="FG80" s="176" t="n"/>
      <c r="FH80" s="176" t="n"/>
      <c r="FI80" s="176" t="n"/>
      <c r="FJ80" s="176" t="n"/>
    </row>
    <row r="81" ht="15" customHeight="1" s="392">
      <c r="A81" s="176" t="n"/>
      <c r="B81" s="180" t="n"/>
      <c r="C81" s="187" t="inlineStr">
        <is>
          <t xml:space="preserve">        Total (Purchase)/Sale of Other Non-Current Assets, Net</t>
        </is>
      </c>
      <c r="D81" s="193">
        <f>IF(COUNT(M81:EK81)&gt;0,MEDIAN(M81:EK81),"")</f>
        <v/>
      </c>
      <c r="E81" s="193">
        <f>IF(COUNT(M81:EK81)&gt;0,AVERAGE(M81:EK81),"")</f>
        <v/>
      </c>
      <c r="F81" s="193">
        <f>IF(COUNT(M81:EK81)&gt;0,MIN(M81:EK81),"")</f>
        <v/>
      </c>
      <c r="G81" s="193">
        <f>IF(COUNT(M81:EK81)&gt;0,MAX(M81:EK81),"")</f>
        <v/>
      </c>
      <c r="H81" s="193">
        <f>IF(COUNT(M81:EK81)&gt;0,QUARTILE(M81:EK81,1),"")</f>
        <v/>
      </c>
      <c r="I81" s="193">
        <f>IF(COUNT(M81:EK81)&gt;0,QUARTILE(M81:EK81,3),"")</f>
        <v/>
      </c>
      <c r="J81" s="193">
        <f>IF(COUNT(M81:EK81)&gt;1,STDEV(M81:EK81),"")</f>
        <v/>
      </c>
      <c r="K81" s="194">
        <f>IF(COUNT(M81:EK81)&gt;1,STDEV(M81:EK81)/AVERAGE(M81:EK81),"")</f>
        <v/>
      </c>
      <c r="L81" s="195" t="n"/>
      <c r="M81" s="196" t="n"/>
      <c r="N81" s="196" t="n"/>
      <c r="O81" s="196" t="n"/>
      <c r="P81" s="196" t="n"/>
      <c r="Q81" s="196" t="n"/>
      <c r="R81" s="196" t="n"/>
      <c r="S81" s="196" t="n"/>
      <c r="T81" s="196" t="n"/>
      <c r="U81" s="196" t="n"/>
      <c r="V81" s="196" t="n"/>
      <c r="W81" s="196" t="n"/>
      <c r="X81" s="196" t="n"/>
      <c r="Y81" s="196" t="n"/>
      <c r="Z81" s="196" t="n"/>
      <c r="AA81" s="196" t="n"/>
      <c r="AB81" s="196" t="n"/>
      <c r="AC81" s="196" t="n"/>
      <c r="AD81" s="196" t="n">
        <v>-24</v>
      </c>
      <c r="AE81" s="196" t="n"/>
      <c r="AF81" s="196" t="n"/>
      <c r="AG81" s="196" t="n"/>
      <c r="AH81" s="196" t="n"/>
      <c r="AI81" s="196" t="n"/>
      <c r="AJ81" s="196" t="n"/>
      <c r="AK81" s="196" t="n"/>
      <c r="AL81" s="196" t="n"/>
      <c r="AM81" s="196" t="n"/>
      <c r="AN81" s="196" t="n"/>
      <c r="AO81" s="196" t="n"/>
      <c r="AP81" s="196" t="n"/>
      <c r="AQ81" s="196" t="n"/>
      <c r="AR81" s="196" t="n"/>
      <c r="AS81" s="196" t="n"/>
      <c r="AT81" s="196" t="n"/>
      <c r="AU81" s="196" t="n"/>
      <c r="AV81" s="196" t="n"/>
      <c r="AW81" s="196" t="n"/>
      <c r="AX81" s="196" t="n"/>
      <c r="AY81" s="196" t="n"/>
      <c r="AZ81" s="196" t="n"/>
      <c r="BA81" s="196" t="n"/>
      <c r="BB81" s="196" t="n"/>
      <c r="BC81" s="196" t="n">
        <v>0</v>
      </c>
      <c r="BD81" s="196" t="n">
        <v>100</v>
      </c>
      <c r="BE81" s="196" t="n">
        <v>0</v>
      </c>
      <c r="BF81" s="196" t="n">
        <v>0</v>
      </c>
      <c r="BG81" s="196" t="n">
        <v>0</v>
      </c>
      <c r="BH81" s="196" t="n">
        <v>217</v>
      </c>
      <c r="BI81" s="196" t="n">
        <v>0</v>
      </c>
      <c r="BJ81" s="196" t="n">
        <v>364</v>
      </c>
      <c r="BK81" s="196" t="n">
        <v>494</v>
      </c>
      <c r="BL81" s="196" t="n">
        <v>0</v>
      </c>
      <c r="BM81" s="196" t="n">
        <v>0</v>
      </c>
      <c r="BN81" s="196" t="n">
        <v>2328</v>
      </c>
      <c r="BO81" s="196" t="n">
        <v>0</v>
      </c>
      <c r="BP81" s="196" t="n">
        <v>861</v>
      </c>
      <c r="BQ81" s="196" t="n">
        <v>8041</v>
      </c>
      <c r="BR81" s="196" t="n">
        <v>0</v>
      </c>
      <c r="BS81" s="196" t="n"/>
      <c r="BT81" s="196" t="n"/>
      <c r="BU81" s="196" t="n"/>
      <c r="BV81" s="196" t="n"/>
      <c r="BW81" s="196" t="n"/>
      <c r="BX81" s="196" t="n"/>
      <c r="BY81" s="196" t="n"/>
      <c r="BZ81" s="196" t="n"/>
      <c r="CA81" s="196" t="n"/>
      <c r="CB81" s="196" t="n"/>
      <c r="CC81" s="196" t="n"/>
      <c r="CD81" s="196" t="n"/>
      <c r="CE81" s="196" t="n"/>
      <c r="CF81" s="196" t="n"/>
      <c r="CG81" s="196" t="n"/>
      <c r="CH81" s="196" t="n"/>
      <c r="CI81" s="196" t="n"/>
      <c r="CJ81" s="196" t="n"/>
      <c r="CK81" s="196" t="n"/>
      <c r="CL81" s="196" t="n"/>
      <c r="CM81" s="196" t="n"/>
      <c r="CN81" s="196" t="n"/>
      <c r="CO81" s="196" t="n"/>
      <c r="CP81" s="196" t="n"/>
      <c r="CQ81" s="196" t="n"/>
      <c r="CR81" s="196" t="n"/>
      <c r="CS81" s="196" t="n"/>
      <c r="CT81" s="196" t="n"/>
      <c r="CU81" s="196" t="n"/>
      <c r="CV81" s="196" t="n"/>
      <c r="CW81" s="196" t="n"/>
      <c r="CX81" s="196" t="n"/>
      <c r="CY81" s="196" t="n"/>
      <c r="CZ81" s="196" t="n"/>
      <c r="DA81" s="196" t="n"/>
      <c r="DB81" s="196" t="n"/>
      <c r="DC81" s="196" t="n"/>
      <c r="DD81" s="196" t="n"/>
      <c r="DE81" s="196" t="n"/>
      <c r="DF81" s="196" t="n"/>
      <c r="DG81" s="196" t="n"/>
      <c r="DH81" s="196" t="n"/>
      <c r="DI81" s="196" t="n"/>
      <c r="DJ81" s="196" t="n"/>
      <c r="DK81" s="196" t="n"/>
      <c r="DL81" s="196" t="n"/>
      <c r="DM81" s="196" t="n"/>
      <c r="DN81" s="196" t="n"/>
      <c r="DO81" s="196" t="n"/>
      <c r="DP81" s="196" t="n"/>
      <c r="DQ81" s="196" t="n"/>
      <c r="DR81" s="196" t="n"/>
      <c r="DS81" s="196" t="n"/>
      <c r="DT81" s="196" t="n"/>
      <c r="DU81" s="196" t="n"/>
      <c r="DV81" s="196" t="n"/>
      <c r="DW81" s="196" t="n"/>
      <c r="DX81" s="196" t="n"/>
      <c r="DY81" s="196" t="n"/>
      <c r="DZ81" s="196" t="n"/>
      <c r="EA81" s="196" t="n"/>
      <c r="EB81" s="196" t="n"/>
      <c r="EC81" s="196" t="n"/>
      <c r="ED81" s="196" t="n"/>
      <c r="EE81" s="196" t="n"/>
      <c r="EF81" s="196" t="n"/>
      <c r="EG81" s="196" t="n"/>
      <c r="EH81" s="196" t="n"/>
      <c r="EI81" s="196" t="n"/>
      <c r="EJ81" s="196" t="n"/>
      <c r="EK81" s="196" t="n"/>
      <c r="EL81" s="182" t="n"/>
      <c r="EM81" s="176" t="n"/>
      <c r="EN81" s="176" t="n"/>
      <c r="EO81" s="176" t="n"/>
      <c r="EP81" s="176" t="n"/>
      <c r="EQ81" s="176" t="n"/>
      <c r="ER81" s="176" t="n"/>
      <c r="ES81" s="176" t="n"/>
      <c r="ET81" s="176" t="n"/>
      <c r="EU81" s="176" t="n"/>
      <c r="EV81" s="176" t="n"/>
      <c r="EW81" s="176" t="n"/>
      <c r="EX81" s="176" t="n"/>
      <c r="EY81" s="176" t="n"/>
      <c r="EZ81" s="176" t="n"/>
      <c r="FA81" s="176" t="n"/>
      <c r="FB81" s="176" t="n"/>
      <c r="FC81" s="176" t="n"/>
      <c r="FD81" s="176" t="n"/>
      <c r="FE81" s="176" t="n"/>
      <c r="FF81" s="176" t="n"/>
      <c r="FG81" s="176" t="n"/>
      <c r="FH81" s="176" t="n"/>
      <c r="FI81" s="176" t="n"/>
      <c r="FJ81" s="176" t="n"/>
    </row>
    <row r="82" ht="15" customHeight="1" s="392">
      <c r="A82" s="176" t="n"/>
      <c r="B82" s="180" t="n"/>
      <c r="C82" s="183" t="inlineStr">
        <is>
          <t xml:space="preserve">        Other Investing Cash Flow</t>
        </is>
      </c>
      <c r="D82" s="190">
        <f>IF(COUNT(M82:EK82)&gt;0,MEDIAN(M82:EK82),"")</f>
        <v/>
      </c>
      <c r="E82" s="190">
        <f>IF(COUNT(M82:EK82)&gt;0,AVERAGE(M82:EK82),"")</f>
        <v/>
      </c>
      <c r="F82" s="190">
        <f>IF(COUNT(M82:EK82)&gt;0,MIN(M82:EK82),"")</f>
        <v/>
      </c>
      <c r="G82" s="190">
        <f>IF(COUNT(M82:EK82)&gt;0,MAX(M82:EK82),"")</f>
        <v/>
      </c>
      <c r="H82" s="190">
        <f>IF(COUNT(M82:EK82)&gt;0,QUARTILE(M82:EK82,1),"")</f>
        <v/>
      </c>
      <c r="I82" s="190">
        <f>IF(COUNT(M82:EK82)&gt;0,QUARTILE(M82:EK82,3),"")</f>
        <v/>
      </c>
      <c r="J82" s="190">
        <f>IF(COUNT(M82:EK82)&gt;1,STDEV(M82:EK82),"")</f>
        <v/>
      </c>
      <c r="K82" s="191">
        <f>IF(COUNT(M82:EK82)&gt;1,STDEV(M82:EK82)/AVERAGE(M82:EK82),"")</f>
        <v/>
      </c>
      <c r="M82" s="192" t="n"/>
      <c r="N82" s="192" t="n"/>
      <c r="O82" s="192" t="n"/>
      <c r="P82" s="192" t="n"/>
      <c r="Q82" s="192" t="n"/>
      <c r="R82" s="192" t="n"/>
      <c r="S82" s="192" t="n"/>
      <c r="T82" s="192" t="n"/>
      <c r="U82" s="192" t="n"/>
      <c r="V82" s="192" t="n"/>
      <c r="W82" s="192" t="n"/>
      <c r="X82" s="192" t="n"/>
      <c r="Y82" s="192" t="n"/>
      <c r="Z82" s="192" t="n"/>
      <c r="AA82" s="192" t="n"/>
      <c r="AB82" s="192" t="n"/>
      <c r="AC82" s="192" t="n"/>
      <c r="AD82" s="192" t="n"/>
      <c r="AE82" s="192" t="n"/>
      <c r="AF82" s="192" t="n"/>
      <c r="AG82" s="192" t="n"/>
      <c r="AH82" s="192" t="n"/>
      <c r="AI82" s="192" t="n"/>
      <c r="AJ82" s="192" t="n"/>
      <c r="AK82" s="192" t="n"/>
      <c r="AL82" s="192" t="n"/>
      <c r="AM82" s="192" t="n"/>
      <c r="AN82" s="192" t="n"/>
      <c r="AO82" s="192" t="n"/>
      <c r="AP82" s="192" t="n"/>
      <c r="AQ82" s="192" t="n"/>
      <c r="AR82" s="192" t="n"/>
      <c r="AS82" s="192" t="n"/>
      <c r="AT82" s="192" t="n"/>
      <c r="AU82" s="192" t="n"/>
      <c r="AV82" s="192" t="n"/>
      <c r="AW82" s="192" t="n"/>
      <c r="AX82" s="192" t="n"/>
      <c r="AY82" s="192" t="n"/>
      <c r="AZ82" s="192" t="n"/>
      <c r="BA82" s="192" t="n"/>
      <c r="BB82" s="192" t="n"/>
      <c r="BC82" s="192" t="n"/>
      <c r="BD82" s="192" t="n"/>
      <c r="BE82" s="192" t="n"/>
      <c r="BF82" s="192" t="n"/>
      <c r="BG82" s="192" t="n"/>
      <c r="BH82" s="192" t="n"/>
      <c r="BI82" s="192" t="n"/>
      <c r="BJ82" s="192" t="n"/>
      <c r="BK82" s="192" t="n"/>
      <c r="BL82" s="192" t="n"/>
      <c r="BM82" s="192" t="n"/>
      <c r="BN82" s="192" t="n"/>
      <c r="BO82" s="192" t="n"/>
      <c r="BP82" s="192" t="n"/>
      <c r="BQ82" s="192" t="n"/>
      <c r="BR82" s="192" t="n"/>
      <c r="BS82" s="192" t="n"/>
      <c r="BT82" s="192" t="n"/>
      <c r="BU82" s="192" t="n"/>
      <c r="BV82" s="192" t="n"/>
      <c r="BW82" s="192" t="n"/>
      <c r="BX82" s="192" t="n"/>
      <c r="BY82" s="192" t="n"/>
      <c r="BZ82" s="192" t="n"/>
      <c r="CA82" s="192" t="n"/>
      <c r="CB82" s="192" t="n"/>
      <c r="CC82" s="192" t="n">
        <v>0</v>
      </c>
      <c r="CD82" s="192" t="n"/>
      <c r="CE82" s="192" t="n"/>
      <c r="CF82" s="192" t="n"/>
      <c r="CG82" s="192" t="n">
        <v>-9146</v>
      </c>
      <c r="CH82" s="192" t="n">
        <v>0</v>
      </c>
      <c r="CI82" s="192" t="n">
        <v>10086</v>
      </c>
      <c r="CJ82" s="192" t="n">
        <v>-938</v>
      </c>
      <c r="CK82" s="192" t="n">
        <v>116502</v>
      </c>
      <c r="CL82" s="192" t="n"/>
      <c r="CM82" s="192" t="n"/>
      <c r="CN82" s="192" t="n"/>
      <c r="CO82" s="192" t="n"/>
      <c r="CP82" s="192" t="n"/>
      <c r="CQ82" s="192" t="n"/>
      <c r="CR82" s="192" t="n"/>
      <c r="CS82" s="192" t="n"/>
      <c r="CT82" s="192" t="n"/>
      <c r="CU82" s="192" t="n"/>
      <c r="CV82" s="192" t="n"/>
      <c r="CW82" s="192" t="n"/>
      <c r="CX82" s="192" t="n"/>
      <c r="CY82" s="192" t="n">
        <v>-1304.5</v>
      </c>
      <c r="CZ82" s="192" t="n">
        <v>464.5</v>
      </c>
      <c r="DA82" s="192" t="n"/>
      <c r="DB82" s="192" t="n"/>
      <c r="DC82" s="192" t="n"/>
      <c r="DD82" s="192" t="n">
        <v>-6169.1</v>
      </c>
      <c r="DE82" s="192" t="n">
        <v>1522.5</v>
      </c>
      <c r="DF82" s="192" t="n">
        <v>-1522.5</v>
      </c>
      <c r="DG82" s="192" t="n">
        <v>1229.6</v>
      </c>
      <c r="DH82" s="192" t="n">
        <v>-1529.6</v>
      </c>
      <c r="DI82" s="192" t="n">
        <v>4233.3</v>
      </c>
      <c r="DJ82" s="192" t="n">
        <v>-4233.3</v>
      </c>
      <c r="DK82" s="192" t="n"/>
      <c r="DL82" s="192" t="n"/>
      <c r="DM82" s="192" t="n">
        <v>-6174.2</v>
      </c>
      <c r="DN82" s="192" t="n">
        <v>-2316.2</v>
      </c>
      <c r="DO82" s="192" t="n"/>
      <c r="DP82" s="192" t="n"/>
      <c r="DQ82" s="192" t="n">
        <v>-2600</v>
      </c>
      <c r="DR82" s="192" t="n">
        <v>-200</v>
      </c>
      <c r="DS82" s="192" t="n">
        <v>0</v>
      </c>
      <c r="DT82" s="192" t="n">
        <v>-100</v>
      </c>
      <c r="DU82" s="192" t="n">
        <v>-8700</v>
      </c>
      <c r="DV82" s="192" t="n">
        <v>-500</v>
      </c>
      <c r="DW82" s="192" t="n">
        <v>300</v>
      </c>
      <c r="DX82" s="192" t="n">
        <v>-800</v>
      </c>
      <c r="DY82" s="192" t="n">
        <v>-200</v>
      </c>
      <c r="DZ82" s="192" t="n">
        <v>-2900</v>
      </c>
      <c r="EA82" s="192" t="n">
        <v>-1600</v>
      </c>
      <c r="EB82" s="192" t="n">
        <v>-500</v>
      </c>
      <c r="EC82" s="192" t="n">
        <v>-1500</v>
      </c>
      <c r="ED82" s="192" t="n">
        <v>-600</v>
      </c>
      <c r="EE82" s="192" t="n">
        <v>-600</v>
      </c>
      <c r="EF82" s="192" t="n">
        <v>-1600</v>
      </c>
      <c r="EG82" s="192" t="n">
        <v>-24400</v>
      </c>
      <c r="EH82" s="192" t="n">
        <v>-3700</v>
      </c>
      <c r="EI82" s="192" t="n">
        <v>-1700</v>
      </c>
      <c r="EJ82" s="192" t="n">
        <v>-3500</v>
      </c>
      <c r="EK82" s="192" t="n">
        <v>-3400</v>
      </c>
      <c r="EL82" s="182" t="n"/>
      <c r="EM82" s="176" t="n"/>
      <c r="EN82" s="176" t="n"/>
      <c r="EO82" s="176" t="n"/>
      <c r="EP82" s="176" t="n"/>
      <c r="EQ82" s="176" t="n"/>
      <c r="ER82" s="176" t="n"/>
      <c r="ES82" s="176" t="n"/>
      <c r="ET82" s="176" t="n"/>
      <c r="EU82" s="176" t="n"/>
      <c r="EV82" s="176" t="n"/>
      <c r="EW82" s="176" t="n"/>
      <c r="EX82" s="176" t="n"/>
      <c r="EY82" s="176" t="n"/>
      <c r="EZ82" s="176" t="n"/>
      <c r="FA82" s="176" t="n"/>
      <c r="FB82" s="176" t="n"/>
      <c r="FC82" s="176" t="n"/>
      <c r="FD82" s="176" t="n"/>
      <c r="FE82" s="176" t="n"/>
      <c r="FF82" s="176" t="n"/>
      <c r="FG82" s="176" t="n"/>
      <c r="FH82" s="176" t="n"/>
      <c r="FI82" s="176" t="n"/>
      <c r="FJ82" s="176" t="n"/>
    </row>
    <row r="83" ht="15" customHeight="1" s="392">
      <c r="A83" s="176" t="n"/>
      <c r="B83" s="180" t="n"/>
      <c r="C83" s="187" t="inlineStr">
        <is>
          <t xml:space="preserve">    Total Cash Flow from Continuing Investing Activities</t>
        </is>
      </c>
      <c r="D83" s="193">
        <f>IF(COUNT(M83:EK83)&gt;0,MEDIAN(M83:EK83),"")</f>
        <v/>
      </c>
      <c r="E83" s="193">
        <f>IF(COUNT(M83:EK83)&gt;0,AVERAGE(M83:EK83),"")</f>
        <v/>
      </c>
      <c r="F83" s="193">
        <f>IF(COUNT(M83:EK83)&gt;0,MIN(M83:EK83),"")</f>
        <v/>
      </c>
      <c r="G83" s="193">
        <f>IF(COUNT(M83:EK83)&gt;0,MAX(M83:EK83),"")</f>
        <v/>
      </c>
      <c r="H83" s="193">
        <f>IF(COUNT(M83:EK83)&gt;0,QUARTILE(M83:EK83,1),"")</f>
        <v/>
      </c>
      <c r="I83" s="193">
        <f>IF(COUNT(M83:EK83)&gt;0,QUARTILE(M83:EK83,3),"")</f>
        <v/>
      </c>
      <c r="J83" s="193">
        <f>IF(COUNT(M83:EK83)&gt;1,STDEV(M83:EK83),"")</f>
        <v/>
      </c>
      <c r="K83" s="194">
        <f>IF(COUNT(M83:EK83)&gt;1,STDEV(M83:EK83)/AVERAGE(M83:EK83),"")</f>
        <v/>
      </c>
      <c r="L83" s="195" t="n"/>
      <c r="M83" s="196" t="n">
        <v>-1811071</v>
      </c>
      <c r="N83" s="196" t="n">
        <v>-925151</v>
      </c>
      <c r="O83" s="196" t="n">
        <v>-57685</v>
      </c>
      <c r="P83" s="196" t="n">
        <v>1916306</v>
      </c>
      <c r="Q83" s="196" t="n">
        <v>-28399</v>
      </c>
      <c r="R83" s="196" t="n">
        <v>-1686557</v>
      </c>
      <c r="S83" s="196" t="n">
        <v>-574720</v>
      </c>
      <c r="T83" s="196" t="n">
        <v>1702228</v>
      </c>
      <c r="U83" s="196" t="n">
        <v>-23585</v>
      </c>
      <c r="V83" s="196" t="n">
        <v>-668814</v>
      </c>
      <c r="W83" s="196" t="n">
        <v>-1483005</v>
      </c>
      <c r="X83" s="196" t="n">
        <v>1235325</v>
      </c>
      <c r="Y83" s="196" t="n">
        <v>-1563290</v>
      </c>
      <c r="Z83" s="196" t="n">
        <v>-86390</v>
      </c>
      <c r="AA83" s="196" t="n">
        <v>-89899</v>
      </c>
      <c r="AB83" s="196" t="n">
        <v>-152470</v>
      </c>
      <c r="AC83" s="196" t="n">
        <v>15260</v>
      </c>
      <c r="AD83" s="196" t="n">
        <v>72713</v>
      </c>
      <c r="AE83" s="196" t="n">
        <v>-466400</v>
      </c>
      <c r="AF83" s="196" t="n">
        <v>-63883</v>
      </c>
      <c r="AG83" s="196" t="n">
        <v>-101670</v>
      </c>
      <c r="AH83" s="196" t="n">
        <v>-80711</v>
      </c>
      <c r="AI83" s="196" t="n">
        <v>-136263</v>
      </c>
      <c r="AJ83" s="196" t="n">
        <v>-146822</v>
      </c>
      <c r="AK83" s="196" t="n">
        <v>-112363</v>
      </c>
      <c r="AL83" s="196" t="n">
        <v>-90132</v>
      </c>
      <c r="AM83" s="196" t="n">
        <v>-267203</v>
      </c>
      <c r="AN83" s="196" t="n">
        <v>-131510</v>
      </c>
      <c r="AO83" s="196" t="n">
        <v>-114114</v>
      </c>
      <c r="AP83" s="196" t="n">
        <v>-122914</v>
      </c>
      <c r="AQ83" s="196" t="n">
        <v>-57713</v>
      </c>
      <c r="AR83" s="196" t="n">
        <v>-61526</v>
      </c>
      <c r="AS83" s="196" t="n">
        <v>-103362</v>
      </c>
      <c r="AT83" s="196" t="n">
        <v>-77144</v>
      </c>
      <c r="AU83" s="196" t="n">
        <v>-68628</v>
      </c>
      <c r="AV83" s="196" t="n">
        <v>-39342</v>
      </c>
      <c r="AW83" s="196" t="n">
        <v>-198069</v>
      </c>
      <c r="AX83" s="196" t="n">
        <v>-44646</v>
      </c>
      <c r="AY83" s="196" t="n">
        <v>-54007</v>
      </c>
      <c r="AZ83" s="196" t="n">
        <v>-39069</v>
      </c>
      <c r="BA83" s="196" t="n">
        <v>-29907</v>
      </c>
      <c r="BB83" s="196" t="n">
        <v>-44483</v>
      </c>
      <c r="BC83" s="196" t="n">
        <v>-57643</v>
      </c>
      <c r="BD83" s="196" t="n">
        <v>-40843</v>
      </c>
      <c r="BE83" s="196" t="n">
        <v>-33923</v>
      </c>
      <c r="BF83" s="196" t="n">
        <v>-9275</v>
      </c>
      <c r="BG83" s="196" t="n">
        <v>-16018</v>
      </c>
      <c r="BH83" s="196" t="n">
        <v>-22699</v>
      </c>
      <c r="BI83" s="196" t="n">
        <v>-17296</v>
      </c>
      <c r="BJ83" s="196" t="n">
        <v>-11387</v>
      </c>
      <c r="BK83" s="196" t="n">
        <v>-42678</v>
      </c>
      <c r="BL83" s="196" t="n">
        <v>-20742</v>
      </c>
      <c r="BM83" s="196" t="n">
        <v>-67983</v>
      </c>
      <c r="BN83" s="196" t="n">
        <v>-24964</v>
      </c>
      <c r="BO83" s="196" t="n">
        <v>-56732</v>
      </c>
      <c r="BP83" s="196" t="n">
        <v>-58342</v>
      </c>
      <c r="BQ83" s="196" t="n">
        <v>-20953</v>
      </c>
      <c r="BR83" s="196" t="n">
        <v>-12840</v>
      </c>
      <c r="BS83" s="196" t="n">
        <v>-7202</v>
      </c>
      <c r="BT83" s="196" t="n">
        <v>-7092</v>
      </c>
      <c r="BU83" s="196" t="n">
        <v>-13779</v>
      </c>
      <c r="BV83" s="196" t="n">
        <v>-48566</v>
      </c>
      <c r="BW83" s="196" t="n">
        <v>-11062</v>
      </c>
      <c r="BX83" s="196" t="n">
        <v>-11073</v>
      </c>
      <c r="BY83" s="196" t="n">
        <v>-18171</v>
      </c>
      <c r="BZ83" s="196" t="n">
        <v>-18351</v>
      </c>
      <c r="CA83" s="196" t="n">
        <v>-36596</v>
      </c>
      <c r="CB83" s="196" t="n">
        <v>-22907</v>
      </c>
      <c r="CC83" s="196" t="n">
        <v>-8004</v>
      </c>
      <c r="CD83" s="196" t="n">
        <v>288</v>
      </c>
      <c r="CE83" s="196" t="n">
        <v>-23153</v>
      </c>
      <c r="CF83" s="196" t="n">
        <v>-29035</v>
      </c>
      <c r="CG83" s="196" t="n">
        <v>-22884</v>
      </c>
      <c r="CH83" s="196" t="n">
        <v>-56188</v>
      </c>
      <c r="CI83" s="196" t="n">
        <v>-35401</v>
      </c>
      <c r="CJ83" s="196" t="n">
        <v>81873</v>
      </c>
      <c r="CK83" s="196" t="n">
        <v>14449</v>
      </c>
      <c r="CL83" s="196" t="n">
        <v>-71321</v>
      </c>
      <c r="CM83" s="196" t="n">
        <v>-22270</v>
      </c>
      <c r="CN83" s="196" t="n">
        <v>-56419</v>
      </c>
      <c r="CO83" s="196" t="n">
        <v>-49457</v>
      </c>
      <c r="CP83" s="196" t="n">
        <v>-41022</v>
      </c>
      <c r="CQ83" s="196" t="n">
        <v>1745</v>
      </c>
      <c r="CR83" s="196" t="n">
        <v>-179339</v>
      </c>
      <c r="CS83" s="196" t="n">
        <v>-25083</v>
      </c>
      <c r="CT83" s="196" t="n">
        <v>187555</v>
      </c>
      <c r="CU83" s="196" t="n">
        <v>-23225</v>
      </c>
      <c r="CV83" s="196" t="n">
        <v>-31743</v>
      </c>
      <c r="CW83" s="196" t="n">
        <v>-23713</v>
      </c>
      <c r="CX83" s="196" t="n">
        <v>-64691</v>
      </c>
      <c r="CY83" s="196" t="n">
        <v>-8697</v>
      </c>
      <c r="CZ83" s="196" t="n">
        <v>-10849</v>
      </c>
      <c r="DA83" s="196" t="n">
        <v>16339</v>
      </c>
      <c r="DB83" s="196" t="n">
        <v>-7646.8</v>
      </c>
      <c r="DC83" s="196" t="n">
        <v>-33326.8</v>
      </c>
      <c r="DD83" s="196" t="n">
        <v>-27062.4</v>
      </c>
      <c r="DE83" s="196" t="n">
        <v>-28433.4</v>
      </c>
      <c r="DF83" s="196" t="n">
        <v>-25033.9</v>
      </c>
      <c r="DG83" s="196" t="n">
        <v>-20296.2</v>
      </c>
      <c r="DH83" s="196" t="n">
        <v>-19346.2</v>
      </c>
      <c r="DI83" s="196" t="n">
        <v>-8368.200000000001</v>
      </c>
      <c r="DJ83" s="196" t="n">
        <v>-16453.9</v>
      </c>
      <c r="DK83" s="196" t="n">
        <v>-14702.2</v>
      </c>
      <c r="DL83" s="196" t="n">
        <v>-10139.3</v>
      </c>
      <c r="DM83" s="196" t="n">
        <v>-15053.1</v>
      </c>
      <c r="DN83" s="196" t="n">
        <v>-12076.4</v>
      </c>
      <c r="DO83" s="196" t="n">
        <v>-16400</v>
      </c>
      <c r="DP83" s="196" t="n">
        <v>-11200</v>
      </c>
      <c r="DQ83" s="196" t="n">
        <v>-8800</v>
      </c>
      <c r="DR83" s="196" t="n">
        <v>-3200</v>
      </c>
      <c r="DS83" s="196" t="n">
        <v>1900</v>
      </c>
      <c r="DT83" s="196" t="n">
        <v>-100</v>
      </c>
      <c r="DU83" s="196" t="n">
        <v>-25000</v>
      </c>
      <c r="DV83" s="196" t="n">
        <v>-4200</v>
      </c>
      <c r="DW83" s="196" t="n">
        <v>-2000</v>
      </c>
      <c r="DX83" s="196" t="n">
        <v>-3400</v>
      </c>
      <c r="DY83" s="196" t="n">
        <v>-1800</v>
      </c>
      <c r="DZ83" s="196" t="n">
        <v>-4400</v>
      </c>
      <c r="EA83" s="196" t="n">
        <v>-2700</v>
      </c>
      <c r="EB83" s="196" t="n">
        <v>-2200</v>
      </c>
      <c r="EC83" s="196" t="n">
        <v>-5600</v>
      </c>
      <c r="ED83" s="196" t="n">
        <v>-2300</v>
      </c>
      <c r="EE83" s="196" t="n">
        <v>-1400</v>
      </c>
      <c r="EF83" s="196" t="n">
        <v>-3100</v>
      </c>
      <c r="EG83" s="196" t="n">
        <v>-32000</v>
      </c>
      <c r="EH83" s="196" t="n">
        <v>-4700</v>
      </c>
      <c r="EI83" s="196" t="n">
        <v>-1900</v>
      </c>
      <c r="EJ83" s="196" t="n">
        <v>-4600</v>
      </c>
      <c r="EK83" s="196" t="n">
        <v>-4700</v>
      </c>
      <c r="EL83" s="182" t="n"/>
      <c r="EM83" s="176" t="n"/>
      <c r="EN83" s="176" t="n"/>
      <c r="EO83" s="176" t="n"/>
      <c r="EP83" s="176" t="n"/>
      <c r="EQ83" s="176" t="n"/>
      <c r="ER83" s="176" t="n"/>
      <c r="ES83" s="176" t="n"/>
      <c r="ET83" s="176" t="n"/>
      <c r="EU83" s="176" t="n"/>
      <c r="EV83" s="176" t="n"/>
      <c r="EW83" s="176" t="n"/>
      <c r="EX83" s="176" t="n"/>
      <c r="EY83" s="176" t="n"/>
      <c r="EZ83" s="176" t="n"/>
      <c r="FA83" s="176" t="n"/>
      <c r="FB83" s="176" t="n"/>
      <c r="FC83" s="176" t="n"/>
      <c r="FD83" s="176" t="n"/>
      <c r="FE83" s="176" t="n"/>
      <c r="FF83" s="176" t="n"/>
      <c r="FG83" s="176" t="n"/>
      <c r="FH83" s="176" t="n"/>
      <c r="FI83" s="176" t="n"/>
      <c r="FJ83" s="176" t="n"/>
    </row>
    <row r="84" ht="15" customHeight="1" s="392">
      <c r="A84" s="176" t="n"/>
      <c r="B84" s="180" t="n"/>
      <c r="C84" s="183" t="inlineStr">
        <is>
          <t xml:space="preserve">    Net Cash Flow from Discontinued Investing Activities</t>
        </is>
      </c>
      <c r="D84" s="190">
        <f>IF(COUNT(M84:EK84)&gt;0,MEDIAN(M84:EK84),"")</f>
        <v/>
      </c>
      <c r="E84" s="190">
        <f>IF(COUNT(M84:EK84)&gt;0,AVERAGE(M84:EK84),"")</f>
        <v/>
      </c>
      <c r="F84" s="190">
        <f>IF(COUNT(M84:EK84)&gt;0,MIN(M84:EK84),"")</f>
        <v/>
      </c>
      <c r="G84" s="190">
        <f>IF(COUNT(M84:EK84)&gt;0,MAX(M84:EK84),"")</f>
        <v/>
      </c>
      <c r="H84" s="190">
        <f>IF(COUNT(M84:EK84)&gt;0,QUARTILE(M84:EK84,1),"")</f>
        <v/>
      </c>
      <c r="I84" s="190">
        <f>IF(COUNT(M84:EK84)&gt;0,QUARTILE(M84:EK84,3),"")</f>
        <v/>
      </c>
      <c r="J84" s="190">
        <f>IF(COUNT(M84:EK84)&gt;1,STDEV(M84:EK84),"")</f>
        <v/>
      </c>
      <c r="K84" s="191">
        <f>IF(COUNT(M84:EK84)&gt;1,STDEV(M84:EK84)/AVERAGE(M84:EK84),"")</f>
        <v/>
      </c>
      <c r="M84" s="192" t="n"/>
      <c r="N84" s="192" t="n"/>
      <c r="O84" s="192" t="n"/>
      <c r="P84" s="192" t="n"/>
      <c r="Q84" s="192" t="n"/>
      <c r="R84" s="192" t="n"/>
      <c r="S84" s="192" t="n"/>
      <c r="T84" s="192" t="n"/>
      <c r="U84" s="192" t="n"/>
      <c r="V84" s="192" t="n"/>
      <c r="W84" s="192" t="n"/>
      <c r="X84" s="192" t="n"/>
      <c r="Y84" s="192" t="n"/>
      <c r="Z84" s="192" t="n"/>
      <c r="AA84" s="192" t="n"/>
      <c r="AB84" s="192" t="n"/>
      <c r="AC84" s="192" t="n"/>
      <c r="AD84" s="192" t="n"/>
      <c r="AE84" s="192" t="n"/>
      <c r="AF84" s="192" t="n"/>
      <c r="AG84" s="192" t="n"/>
      <c r="AH84" s="192" t="n"/>
      <c r="AI84" s="192" t="n"/>
      <c r="AJ84" s="192" t="n"/>
      <c r="AK84" s="192" t="n"/>
      <c r="AL84" s="192" t="n"/>
      <c r="AM84" s="192" t="n"/>
      <c r="AN84" s="192" t="n"/>
      <c r="AO84" s="192" t="n"/>
      <c r="AP84" s="192" t="n"/>
      <c r="AQ84" s="192" t="n"/>
      <c r="AR84" s="192" t="n"/>
      <c r="AS84" s="192" t="n"/>
      <c r="AT84" s="192" t="n"/>
      <c r="AU84" s="192" t="n"/>
      <c r="AV84" s="192" t="n"/>
      <c r="AW84" s="192" t="n"/>
      <c r="AX84" s="192" t="n"/>
      <c r="AY84" s="192" t="n"/>
      <c r="AZ84" s="192" t="n"/>
      <c r="BA84" s="192" t="n"/>
      <c r="BB84" s="192" t="n"/>
      <c r="BC84" s="192" t="n"/>
      <c r="BD84" s="192" t="n"/>
      <c r="BE84" s="192" t="n"/>
      <c r="BF84" s="192" t="n"/>
      <c r="BG84" s="192" t="n"/>
      <c r="BH84" s="192" t="n"/>
      <c r="BI84" s="192" t="n"/>
      <c r="BJ84" s="192" t="n"/>
      <c r="BK84" s="192" t="n"/>
      <c r="BL84" s="192" t="n"/>
      <c r="BM84" s="192" t="n"/>
      <c r="BN84" s="192" t="n"/>
      <c r="BO84" s="192" t="n"/>
      <c r="BP84" s="192" t="n"/>
      <c r="BQ84" s="192" t="n"/>
      <c r="BR84" s="192" t="n"/>
      <c r="BS84" s="192" t="n"/>
      <c r="BT84" s="192" t="n"/>
      <c r="BU84" s="192" t="n"/>
      <c r="BV84" s="192" t="n"/>
      <c r="BW84" s="192" t="n"/>
      <c r="BX84" s="192" t="n"/>
      <c r="BY84" s="192" t="n"/>
      <c r="BZ84" s="192" t="n"/>
      <c r="CA84" s="192" t="n"/>
      <c r="CB84" s="192" t="n"/>
      <c r="CC84" s="192" t="n"/>
      <c r="CD84" s="192" t="n"/>
      <c r="CE84" s="192" t="n"/>
      <c r="CF84" s="192" t="n"/>
      <c r="CG84" s="192" t="n"/>
      <c r="CH84" s="192" t="n"/>
      <c r="CI84" s="192" t="n"/>
      <c r="CJ84" s="192" t="n"/>
      <c r="CK84" s="192" t="n"/>
      <c r="CL84" s="192" t="n"/>
      <c r="CM84" s="192" t="n"/>
      <c r="CN84" s="192" t="n"/>
      <c r="CO84" s="192" t="n">
        <v>150</v>
      </c>
      <c r="CP84" s="192" t="n">
        <v>22</v>
      </c>
      <c r="CQ84" s="192" t="n">
        <v>-12</v>
      </c>
      <c r="CR84" s="192" t="n">
        <v>-2</v>
      </c>
      <c r="CS84" s="192" t="n"/>
      <c r="CT84" s="192" t="n"/>
      <c r="CU84" s="192" t="n"/>
      <c r="CV84" s="192" t="n"/>
      <c r="CW84" s="192" t="n"/>
      <c r="CX84" s="192" t="n"/>
      <c r="CY84" s="192" t="n"/>
      <c r="CZ84" s="192" t="n"/>
      <c r="DA84" s="192" t="n"/>
      <c r="DB84" s="192" t="n"/>
      <c r="DC84" s="192" t="n"/>
      <c r="DD84" s="192" t="n"/>
      <c r="DE84" s="192" t="n"/>
      <c r="DF84" s="192" t="n"/>
      <c r="DG84" s="192" t="n"/>
      <c r="DH84" s="192" t="n"/>
      <c r="DI84" s="192" t="n"/>
      <c r="DJ84" s="192" t="n"/>
      <c r="DK84" s="192" t="n"/>
      <c r="DL84" s="192" t="n"/>
      <c r="DM84" s="192" t="n"/>
      <c r="DN84" s="192" t="n"/>
      <c r="DO84" s="192" t="n"/>
      <c r="DP84" s="192" t="n"/>
      <c r="DQ84" s="192" t="n"/>
      <c r="DR84" s="192" t="n"/>
      <c r="DS84" s="192" t="n"/>
      <c r="DT84" s="192" t="n"/>
      <c r="DU84" s="192" t="n"/>
      <c r="DV84" s="192" t="n"/>
      <c r="DW84" s="192" t="n"/>
      <c r="DX84" s="192" t="n"/>
      <c r="DY84" s="192" t="n"/>
      <c r="DZ84" s="192" t="n"/>
      <c r="EA84" s="192" t="n"/>
      <c r="EB84" s="192" t="n"/>
      <c r="EC84" s="192" t="n"/>
      <c r="ED84" s="192" t="n"/>
      <c r="EE84" s="192" t="n"/>
      <c r="EF84" s="192" t="n"/>
      <c r="EG84" s="192" t="n"/>
      <c r="EH84" s="192" t="n"/>
      <c r="EI84" s="192" t="n"/>
      <c r="EJ84" s="192" t="n"/>
      <c r="EK84" s="192" t="n"/>
      <c r="EL84" s="182" t="n"/>
      <c r="EM84" s="176" t="n"/>
      <c r="EN84" s="176" t="n"/>
      <c r="EO84" s="176" t="n"/>
      <c r="EP84" s="176" t="n"/>
      <c r="EQ84" s="176" t="n"/>
      <c r="ER84" s="176" t="n"/>
      <c r="ES84" s="176" t="n"/>
      <c r="ET84" s="176" t="n"/>
      <c r="EU84" s="176" t="n"/>
      <c r="EV84" s="176" t="n"/>
      <c r="EW84" s="176" t="n"/>
      <c r="EX84" s="176" t="n"/>
      <c r="EY84" s="176" t="n"/>
      <c r="EZ84" s="176" t="n"/>
      <c r="FA84" s="176" t="n"/>
      <c r="FB84" s="176" t="n"/>
      <c r="FC84" s="176" t="n"/>
      <c r="FD84" s="176" t="n"/>
      <c r="FE84" s="176" t="n"/>
      <c r="FF84" s="176" t="n"/>
      <c r="FG84" s="176" t="n"/>
      <c r="FH84" s="176" t="n"/>
      <c r="FI84" s="176" t="n"/>
      <c r="FJ84" s="176" t="n"/>
    </row>
    <row r="85" ht="15" customHeight="1" s="392">
      <c r="A85" s="176" t="n"/>
      <c r="B85" s="180" t="n"/>
      <c r="C85" s="187" t="inlineStr">
        <is>
          <t>Total Cash Flow from Investing Activities</t>
        </is>
      </c>
      <c r="D85" s="193">
        <f>IF(COUNT(M85:EK85)&gt;0,MEDIAN(M85:EK85),"")</f>
        <v/>
      </c>
      <c r="E85" s="193">
        <f>IF(COUNT(M85:EK85)&gt;0,AVERAGE(M85:EK85),"")</f>
        <v/>
      </c>
      <c r="F85" s="193">
        <f>IF(COUNT(M85:EK85)&gt;0,MIN(M85:EK85),"")</f>
        <v/>
      </c>
      <c r="G85" s="193">
        <f>IF(COUNT(M85:EK85)&gt;0,MAX(M85:EK85),"")</f>
        <v/>
      </c>
      <c r="H85" s="193">
        <f>IF(COUNT(M85:EK85)&gt;0,QUARTILE(M85:EK85,1),"")</f>
        <v/>
      </c>
      <c r="I85" s="193">
        <f>IF(COUNT(M85:EK85)&gt;0,QUARTILE(M85:EK85,3),"")</f>
        <v/>
      </c>
      <c r="J85" s="193">
        <f>IF(COUNT(M85:EK85)&gt;1,STDEV(M85:EK85),"")</f>
        <v/>
      </c>
      <c r="K85" s="194">
        <f>IF(COUNT(M85:EK85)&gt;1,STDEV(M85:EK85)/AVERAGE(M85:EK85),"")</f>
        <v/>
      </c>
      <c r="L85" s="195" t="n"/>
      <c r="M85" s="196" t="n">
        <v>-1811071</v>
      </c>
      <c r="N85" s="196" t="n">
        <v>-925151</v>
      </c>
      <c r="O85" s="196" t="n">
        <v>-57685</v>
      </c>
      <c r="P85" s="196" t="n">
        <v>1916306</v>
      </c>
      <c r="Q85" s="196" t="n">
        <v>-28399</v>
      </c>
      <c r="R85" s="196" t="n">
        <v>-1686557</v>
      </c>
      <c r="S85" s="196" t="n">
        <v>-574720</v>
      </c>
      <c r="T85" s="196" t="n">
        <v>1702228</v>
      </c>
      <c r="U85" s="196" t="n">
        <v>-23585</v>
      </c>
      <c r="V85" s="196" t="n">
        <v>-668814</v>
      </c>
      <c r="W85" s="196" t="n">
        <v>-1483005</v>
      </c>
      <c r="X85" s="196" t="n">
        <v>1235325</v>
      </c>
      <c r="Y85" s="196" t="n">
        <v>-1563290</v>
      </c>
      <c r="Z85" s="196" t="n">
        <v>-86390</v>
      </c>
      <c r="AA85" s="196" t="n">
        <v>-89899</v>
      </c>
      <c r="AB85" s="196" t="n">
        <v>-152470</v>
      </c>
      <c r="AC85" s="196" t="n">
        <v>15260</v>
      </c>
      <c r="AD85" s="196" t="n">
        <v>72713</v>
      </c>
      <c r="AE85" s="196" t="n">
        <v>-466400</v>
      </c>
      <c r="AF85" s="196" t="n">
        <v>-63883</v>
      </c>
      <c r="AG85" s="196" t="n">
        <v>-101670</v>
      </c>
      <c r="AH85" s="196" t="n">
        <v>-80711</v>
      </c>
      <c r="AI85" s="196" t="n">
        <v>-136263</v>
      </c>
      <c r="AJ85" s="196" t="n">
        <v>-146822</v>
      </c>
      <c r="AK85" s="196" t="n">
        <v>-112363</v>
      </c>
      <c r="AL85" s="196" t="n">
        <v>-90132</v>
      </c>
      <c r="AM85" s="196" t="n">
        <v>-267203</v>
      </c>
      <c r="AN85" s="196" t="n">
        <v>-131510</v>
      </c>
      <c r="AO85" s="196" t="n">
        <v>-114114</v>
      </c>
      <c r="AP85" s="196" t="n">
        <v>-122914</v>
      </c>
      <c r="AQ85" s="196" t="n">
        <v>-57713</v>
      </c>
      <c r="AR85" s="196" t="n">
        <v>-61526</v>
      </c>
      <c r="AS85" s="196" t="n">
        <v>-103362</v>
      </c>
      <c r="AT85" s="196" t="n">
        <v>-77144</v>
      </c>
      <c r="AU85" s="196" t="n">
        <v>-68628</v>
      </c>
      <c r="AV85" s="196" t="n">
        <v>-39342</v>
      </c>
      <c r="AW85" s="196" t="n">
        <v>-198069</v>
      </c>
      <c r="AX85" s="196" t="n">
        <v>-44646</v>
      </c>
      <c r="AY85" s="196" t="n">
        <v>-54007</v>
      </c>
      <c r="AZ85" s="196" t="n">
        <v>-39069</v>
      </c>
      <c r="BA85" s="196" t="n">
        <v>-29907</v>
      </c>
      <c r="BB85" s="196" t="n">
        <v>-44483</v>
      </c>
      <c r="BC85" s="196" t="n">
        <v>-57643</v>
      </c>
      <c r="BD85" s="196" t="n">
        <v>-40843</v>
      </c>
      <c r="BE85" s="196" t="n">
        <v>-33923</v>
      </c>
      <c r="BF85" s="196" t="n">
        <v>-9275</v>
      </c>
      <c r="BG85" s="196" t="n">
        <v>-16018</v>
      </c>
      <c r="BH85" s="196" t="n">
        <v>-22699</v>
      </c>
      <c r="BI85" s="196" t="n">
        <v>-17296</v>
      </c>
      <c r="BJ85" s="196" t="n">
        <v>-11387</v>
      </c>
      <c r="BK85" s="196" t="n">
        <v>-42678</v>
      </c>
      <c r="BL85" s="196" t="n">
        <v>-20742</v>
      </c>
      <c r="BM85" s="196" t="n">
        <v>-67983</v>
      </c>
      <c r="BN85" s="196" t="n">
        <v>-24964</v>
      </c>
      <c r="BO85" s="196" t="n">
        <v>-56732</v>
      </c>
      <c r="BP85" s="196" t="n">
        <v>-58342</v>
      </c>
      <c r="BQ85" s="196" t="n">
        <v>-20953</v>
      </c>
      <c r="BR85" s="196" t="n">
        <v>-12840</v>
      </c>
      <c r="BS85" s="196" t="n">
        <v>-7202</v>
      </c>
      <c r="BT85" s="196" t="n">
        <v>-7092</v>
      </c>
      <c r="BU85" s="196" t="n">
        <v>-13779</v>
      </c>
      <c r="BV85" s="196" t="n">
        <v>-48566</v>
      </c>
      <c r="BW85" s="196" t="n">
        <v>-11062</v>
      </c>
      <c r="BX85" s="196" t="n">
        <v>-11073</v>
      </c>
      <c r="BY85" s="196" t="n">
        <v>-18171</v>
      </c>
      <c r="BZ85" s="196" t="n">
        <v>-18351</v>
      </c>
      <c r="CA85" s="196" t="n">
        <v>-36596</v>
      </c>
      <c r="CB85" s="196" t="n">
        <v>-22907</v>
      </c>
      <c r="CC85" s="196" t="n">
        <v>-8004</v>
      </c>
      <c r="CD85" s="196" t="n">
        <v>288</v>
      </c>
      <c r="CE85" s="196" t="n">
        <v>-23153</v>
      </c>
      <c r="CF85" s="196" t="n">
        <v>-29035</v>
      </c>
      <c r="CG85" s="196" t="n">
        <v>-22884</v>
      </c>
      <c r="CH85" s="196" t="n">
        <v>-56188</v>
      </c>
      <c r="CI85" s="196" t="n">
        <v>-35401</v>
      </c>
      <c r="CJ85" s="196" t="n">
        <v>81873</v>
      </c>
      <c r="CK85" s="196" t="n">
        <v>14449</v>
      </c>
      <c r="CL85" s="196" t="n">
        <v>-71321</v>
      </c>
      <c r="CM85" s="196" t="n">
        <v>-22270</v>
      </c>
      <c r="CN85" s="196" t="n">
        <v>-56419</v>
      </c>
      <c r="CO85" s="196" t="n">
        <v>-49307</v>
      </c>
      <c r="CP85" s="196" t="n">
        <v>-41000</v>
      </c>
      <c r="CQ85" s="196" t="n">
        <v>1733</v>
      </c>
      <c r="CR85" s="196" t="n">
        <v>-179341</v>
      </c>
      <c r="CS85" s="196" t="n">
        <v>-25139</v>
      </c>
      <c r="CT85" s="196" t="n">
        <v>187583</v>
      </c>
      <c r="CU85" s="196" t="n">
        <v>-23253</v>
      </c>
      <c r="CV85" s="196" t="n">
        <v>-31743</v>
      </c>
      <c r="CW85" s="196" t="n">
        <v>-26343</v>
      </c>
      <c r="CX85" s="196" t="n">
        <v>-64691</v>
      </c>
      <c r="CY85" s="196" t="n">
        <v>-8697</v>
      </c>
      <c r="CZ85" s="196" t="n">
        <v>-10849</v>
      </c>
      <c r="DA85" s="196" t="n">
        <v>16339</v>
      </c>
      <c r="DB85" s="196" t="n">
        <v>-7646.8</v>
      </c>
      <c r="DC85" s="196" t="n">
        <v>-33326.8</v>
      </c>
      <c r="DD85" s="196" t="n">
        <v>-27062.4</v>
      </c>
      <c r="DE85" s="196" t="n">
        <v>-28433.4</v>
      </c>
      <c r="DF85" s="196" t="n">
        <v>-25033.9</v>
      </c>
      <c r="DG85" s="196" t="n">
        <v>-20296.2</v>
      </c>
      <c r="DH85" s="196" t="n">
        <v>-19346.2</v>
      </c>
      <c r="DI85" s="196" t="n">
        <v>-8368.200000000001</v>
      </c>
      <c r="DJ85" s="196" t="n">
        <v>-16453.9</v>
      </c>
      <c r="DK85" s="196" t="n">
        <v>-14702.2</v>
      </c>
      <c r="DL85" s="196" t="n">
        <v>-10139.3</v>
      </c>
      <c r="DM85" s="196" t="n">
        <v>-15053.1</v>
      </c>
      <c r="DN85" s="196" t="n">
        <v>-12076.4</v>
      </c>
      <c r="DO85" s="196" t="n">
        <v>-16400</v>
      </c>
      <c r="DP85" s="196" t="n">
        <v>-11200</v>
      </c>
      <c r="DQ85" s="196" t="n">
        <v>-8800</v>
      </c>
      <c r="DR85" s="196" t="n">
        <v>-3200</v>
      </c>
      <c r="DS85" s="196" t="n">
        <v>1900</v>
      </c>
      <c r="DT85" s="196" t="n">
        <v>-100</v>
      </c>
      <c r="DU85" s="196" t="n">
        <v>-25000</v>
      </c>
      <c r="DV85" s="196" t="n">
        <v>-4200</v>
      </c>
      <c r="DW85" s="196" t="n">
        <v>-2000</v>
      </c>
      <c r="DX85" s="196" t="n">
        <v>-3400</v>
      </c>
      <c r="DY85" s="196" t="n">
        <v>-1800</v>
      </c>
      <c r="DZ85" s="196" t="n">
        <v>-4400</v>
      </c>
      <c r="EA85" s="196" t="n">
        <v>-2700</v>
      </c>
      <c r="EB85" s="196" t="n">
        <v>-2200</v>
      </c>
      <c r="EC85" s="196" t="n">
        <v>-5600</v>
      </c>
      <c r="ED85" s="196" t="n">
        <v>-2300</v>
      </c>
      <c r="EE85" s="196" t="n">
        <v>-1400</v>
      </c>
      <c r="EF85" s="196" t="n">
        <v>-3100</v>
      </c>
      <c r="EG85" s="196" t="n">
        <v>-32000</v>
      </c>
      <c r="EH85" s="196" t="n">
        <v>-4700</v>
      </c>
      <c r="EI85" s="196" t="n">
        <v>-1900</v>
      </c>
      <c r="EJ85" s="196" t="n">
        <v>-4600</v>
      </c>
      <c r="EK85" s="196" t="n">
        <v>-4700</v>
      </c>
      <c r="EL85" s="182" t="n"/>
      <c r="EM85" s="176" t="n"/>
      <c r="EN85" s="176" t="n"/>
      <c r="EO85" s="176" t="n"/>
      <c r="EP85" s="176" t="n"/>
      <c r="EQ85" s="176" t="n"/>
      <c r="ER85" s="176" t="n"/>
      <c r="ES85" s="176" t="n"/>
      <c r="ET85" s="176" t="n"/>
      <c r="EU85" s="176" t="n"/>
      <c r="EV85" s="176" t="n"/>
      <c r="EW85" s="176" t="n"/>
      <c r="EX85" s="176" t="n"/>
      <c r="EY85" s="176" t="n"/>
      <c r="EZ85" s="176" t="n"/>
      <c r="FA85" s="176" t="n"/>
      <c r="FB85" s="176" t="n"/>
      <c r="FC85" s="176" t="n"/>
      <c r="FD85" s="176" t="n"/>
      <c r="FE85" s="176" t="n"/>
      <c r="FF85" s="176" t="n"/>
      <c r="FG85" s="176" t="n"/>
      <c r="FH85" s="176" t="n"/>
      <c r="FI85" s="176" t="n"/>
      <c r="FJ85" s="176" t="n"/>
    </row>
    <row r="86" ht="15" customHeight="1" s="392">
      <c r="A86" s="176" t="n"/>
      <c r="B86" s="180" t="n"/>
      <c r="C86" s="189" t="inlineStr">
        <is>
          <t>Cash Flow from Financing Activities</t>
        </is>
      </c>
      <c r="D86" s="185" t="n"/>
      <c r="E86" s="185" t="n"/>
      <c r="F86" s="185" t="n"/>
      <c r="G86" s="185" t="n"/>
      <c r="H86" s="185" t="n"/>
      <c r="I86" s="185" t="n"/>
      <c r="J86" s="185" t="n"/>
      <c r="K86" s="185" t="n"/>
      <c r="L86" s="185" t="n"/>
      <c r="M86" s="185" t="n"/>
      <c r="N86" s="185" t="n"/>
      <c r="O86" s="185" t="n"/>
      <c r="P86" s="185" t="n"/>
      <c r="Q86" s="185" t="n"/>
      <c r="R86" s="185" t="n"/>
      <c r="S86" s="185" t="n"/>
      <c r="T86" s="185" t="n"/>
      <c r="U86" s="185" t="n"/>
      <c r="V86" s="185" t="n"/>
      <c r="W86" s="185" t="n"/>
      <c r="X86" s="185" t="n"/>
      <c r="Y86" s="185" t="n"/>
      <c r="Z86" s="185" t="n"/>
      <c r="AA86" s="185" t="n"/>
      <c r="AB86" s="185" t="n"/>
      <c r="AC86" s="185" t="n"/>
      <c r="AD86" s="185" t="n"/>
      <c r="AE86" s="185" t="n"/>
      <c r="AF86" s="185" t="n"/>
      <c r="AG86" s="185" t="n"/>
      <c r="AH86" s="185" t="n"/>
      <c r="AI86" s="185" t="n"/>
      <c r="AJ86" s="185" t="n"/>
      <c r="AK86" s="185" t="n"/>
      <c r="AL86" s="185" t="n"/>
      <c r="AM86" s="185" t="n"/>
      <c r="AN86" s="185" t="n"/>
      <c r="AO86" s="185" t="n"/>
      <c r="AP86" s="185" t="n"/>
      <c r="AQ86" s="185" t="n"/>
      <c r="AR86" s="185" t="n"/>
      <c r="AS86" s="185" t="n"/>
      <c r="AT86" s="185" t="n"/>
      <c r="AU86" s="185" t="n"/>
      <c r="AV86" s="185" t="n"/>
      <c r="AW86" s="185" t="n"/>
      <c r="AX86" s="185" t="n"/>
      <c r="AY86" s="185" t="n"/>
      <c r="AZ86" s="185" t="n"/>
      <c r="BA86" s="185" t="n"/>
      <c r="BB86" s="185" t="n"/>
      <c r="BC86" s="185" t="n"/>
      <c r="BD86" s="185" t="n"/>
      <c r="BE86" s="185" t="n"/>
      <c r="BF86" s="185" t="n"/>
      <c r="BG86" s="185" t="n"/>
      <c r="BH86" s="185" t="n"/>
      <c r="BI86" s="185" t="n"/>
      <c r="BJ86" s="185" t="n"/>
      <c r="BK86" s="185" t="n"/>
      <c r="BL86" s="185" t="n"/>
      <c r="BM86" s="185" t="n"/>
      <c r="BN86" s="185" t="n"/>
      <c r="BO86" s="185" t="n"/>
      <c r="BP86" s="185" t="n"/>
      <c r="BQ86" s="185" t="n"/>
      <c r="BR86" s="185" t="n"/>
      <c r="BS86" s="185" t="n"/>
      <c r="BT86" s="185" t="n"/>
      <c r="BU86" s="185" t="n"/>
      <c r="BV86" s="185" t="n"/>
      <c r="BW86" s="185" t="n"/>
      <c r="BX86" s="185" t="n"/>
      <c r="BY86" s="185" t="n"/>
      <c r="BZ86" s="185" t="n"/>
      <c r="CA86" s="185" t="n"/>
      <c r="CB86" s="185" t="n"/>
      <c r="CC86" s="185" t="n"/>
      <c r="CD86" s="185" t="n"/>
      <c r="CE86" s="185" t="n"/>
      <c r="CF86" s="185" t="n"/>
      <c r="CG86" s="185" t="n"/>
      <c r="CH86" s="185" t="n"/>
      <c r="CI86" s="185" t="n"/>
      <c r="CJ86" s="185" t="n"/>
      <c r="CK86" s="185" t="n"/>
      <c r="CL86" s="185" t="n"/>
      <c r="CM86" s="185" t="n"/>
      <c r="CN86" s="185" t="n"/>
      <c r="CO86" s="185" t="n"/>
      <c r="CP86" s="185" t="n"/>
      <c r="CQ86" s="185" t="n"/>
      <c r="CR86" s="185" t="n"/>
      <c r="CS86" s="185" t="n"/>
      <c r="CT86" s="185" t="n"/>
      <c r="CU86" s="185" t="n"/>
      <c r="CV86" s="185" t="n"/>
      <c r="CW86" s="185" t="n"/>
      <c r="CX86" s="185" t="n"/>
      <c r="CY86" s="185" t="n"/>
      <c r="CZ86" s="185" t="n"/>
      <c r="DA86" s="185" t="n"/>
      <c r="DB86" s="185" t="n"/>
      <c r="DC86" s="185" t="n"/>
      <c r="DD86" s="185" t="n"/>
      <c r="DE86" s="185" t="n"/>
      <c r="DF86" s="185" t="n"/>
      <c r="DG86" s="185" t="n"/>
      <c r="DH86" s="185" t="n"/>
      <c r="DI86" s="185" t="n"/>
      <c r="DJ86" s="185" t="n"/>
      <c r="DK86" s="185" t="n"/>
      <c r="DL86" s="185" t="n"/>
      <c r="DM86" s="185" t="n"/>
      <c r="DN86" s="185" t="n"/>
      <c r="DO86" s="185" t="n"/>
      <c r="DP86" s="185" t="n"/>
      <c r="DQ86" s="185" t="n"/>
      <c r="DR86" s="185" t="n"/>
      <c r="DS86" s="185" t="n"/>
      <c r="DT86" s="185" t="n"/>
      <c r="DU86" s="185" t="n"/>
      <c r="DV86" s="185" t="n"/>
      <c r="DW86" s="185" t="n"/>
      <c r="DX86" s="185" t="n"/>
      <c r="DY86" s="185" t="n"/>
      <c r="DZ86" s="185" t="n"/>
      <c r="EA86" s="185" t="n"/>
      <c r="EB86" s="185" t="n"/>
      <c r="EC86" s="185" t="n"/>
      <c r="ED86" s="185" t="n"/>
      <c r="EE86" s="185" t="n"/>
      <c r="EF86" s="185" t="n"/>
      <c r="EG86" s="185" t="n"/>
      <c r="EH86" s="185" t="n"/>
      <c r="EI86" s="185" t="n"/>
      <c r="EJ86" s="185" t="n"/>
      <c r="EK86" s="185" t="n"/>
      <c r="EL86" s="182" t="n"/>
      <c r="EM86" s="176" t="n"/>
      <c r="EN86" s="176" t="n"/>
      <c r="EO86" s="176" t="n"/>
      <c r="EP86" s="176" t="n"/>
      <c r="EQ86" s="176" t="n"/>
      <c r="ER86" s="176" t="n"/>
      <c r="ES86" s="176" t="n"/>
      <c r="ET86" s="176" t="n"/>
      <c r="EU86" s="176" t="n"/>
      <c r="EV86" s="176" t="n"/>
      <c r="EW86" s="176" t="n"/>
      <c r="EX86" s="176" t="n"/>
      <c r="EY86" s="176" t="n"/>
      <c r="EZ86" s="176" t="n"/>
      <c r="FA86" s="176" t="n"/>
      <c r="FB86" s="176" t="n"/>
      <c r="FC86" s="176" t="n"/>
      <c r="FD86" s="176" t="n"/>
      <c r="FE86" s="176" t="n"/>
      <c r="FF86" s="176" t="n"/>
      <c r="FG86" s="176" t="n"/>
      <c r="FH86" s="176" t="n"/>
      <c r="FI86" s="176" t="n"/>
      <c r="FJ86" s="176" t="n"/>
    </row>
    <row r="87" ht="15" customHeight="1" s="392">
      <c r="A87" s="176" t="n"/>
      <c r="B87" s="180" t="n"/>
      <c r="C87" s="183" t="inlineStr">
        <is>
          <t xml:space="preserve">    Cash Flow from Continuing Financing Activities</t>
        </is>
      </c>
      <c r="D87" s="185" t="n"/>
      <c r="E87" s="185" t="n"/>
      <c r="F87" s="185" t="n"/>
      <c r="G87" s="185" t="n"/>
      <c r="H87" s="185" t="n"/>
      <c r="I87" s="185" t="n"/>
      <c r="J87" s="185" t="n"/>
      <c r="K87" s="185" t="n"/>
      <c r="EL87" s="182" t="n"/>
      <c r="EM87" s="176" t="n"/>
      <c r="EN87" s="176" t="n"/>
      <c r="EO87" s="176" t="n"/>
      <c r="EP87" s="176" t="n"/>
      <c r="EQ87" s="176" t="n"/>
      <c r="ER87" s="176" t="n"/>
      <c r="ES87" s="176" t="n"/>
      <c r="ET87" s="176" t="n"/>
      <c r="EU87" s="176" t="n"/>
      <c r="EV87" s="176" t="n"/>
      <c r="EW87" s="176" t="n"/>
      <c r="EX87" s="176" t="n"/>
      <c r="EY87" s="176" t="n"/>
      <c r="EZ87" s="176" t="n"/>
      <c r="FA87" s="176" t="n"/>
      <c r="FB87" s="176" t="n"/>
      <c r="FC87" s="176" t="n"/>
      <c r="FD87" s="176" t="n"/>
      <c r="FE87" s="176" t="n"/>
      <c r="FF87" s="176" t="n"/>
      <c r="FG87" s="176" t="n"/>
      <c r="FH87" s="176" t="n"/>
      <c r="FI87" s="176" t="n"/>
      <c r="FJ87" s="176" t="n"/>
    </row>
    <row r="88" ht="15" customHeight="1" s="392">
      <c r="A88" s="176" t="n"/>
      <c r="B88" s="180" t="n"/>
      <c r="C88" s="183" t="inlineStr">
        <is>
          <t xml:space="preserve">        Issuance of/(Payments for) Common Stock, Net</t>
        </is>
      </c>
      <c r="D88" s="185" t="n"/>
      <c r="E88" s="185" t="n"/>
      <c r="F88" s="185" t="n"/>
      <c r="G88" s="185" t="n"/>
      <c r="H88" s="185" t="n"/>
      <c r="I88" s="185" t="n"/>
      <c r="J88" s="185" t="n"/>
      <c r="K88" s="185" t="n"/>
      <c r="EL88" s="182" t="n"/>
      <c r="EM88" s="176" t="n"/>
      <c r="EN88" s="176" t="n"/>
      <c r="EO88" s="176" t="n"/>
      <c r="EP88" s="176" t="n"/>
      <c r="EQ88" s="176" t="n"/>
      <c r="ER88" s="176" t="n"/>
      <c r="ES88" s="176" t="n"/>
      <c r="ET88" s="176" t="n"/>
      <c r="EU88" s="176" t="n"/>
      <c r="EV88" s="176" t="n"/>
      <c r="EW88" s="176" t="n"/>
      <c r="EX88" s="176" t="n"/>
      <c r="EY88" s="176" t="n"/>
      <c r="EZ88" s="176" t="n"/>
      <c r="FA88" s="176" t="n"/>
      <c r="FB88" s="176" t="n"/>
      <c r="FC88" s="176" t="n"/>
      <c r="FD88" s="176" t="n"/>
      <c r="FE88" s="176" t="n"/>
      <c r="FF88" s="176" t="n"/>
      <c r="FG88" s="176" t="n"/>
      <c r="FH88" s="176" t="n"/>
      <c r="FI88" s="176" t="n"/>
      <c r="FJ88" s="176" t="n"/>
    </row>
    <row r="89" ht="15" customHeight="1" s="392">
      <c r="A89" s="176" t="n"/>
      <c r="B89" s="180" t="n"/>
      <c r="C89" s="183" t="inlineStr">
        <is>
          <t xml:space="preserve">            Proceeds from Issuance of Common Stock</t>
        </is>
      </c>
      <c r="D89" s="190">
        <f>IF(COUNT(M89:EK89)&gt;0,MEDIAN(M89:EK89),"")</f>
        <v/>
      </c>
      <c r="E89" s="190">
        <f>IF(COUNT(M89:EK89)&gt;0,AVERAGE(M89:EK89),"")</f>
        <v/>
      </c>
      <c r="F89" s="190">
        <f>IF(COUNT(M89:EK89)&gt;0,MIN(M89:EK89),"")</f>
        <v/>
      </c>
      <c r="G89" s="190">
        <f>IF(COUNT(M89:EK89)&gt;0,MAX(M89:EK89),"")</f>
        <v/>
      </c>
      <c r="H89" s="190">
        <f>IF(COUNT(M89:EK89)&gt;0,QUARTILE(M89:EK89,1),"")</f>
        <v/>
      </c>
      <c r="I89" s="190">
        <f>IF(COUNT(M89:EK89)&gt;0,QUARTILE(M89:EK89,3),"")</f>
        <v/>
      </c>
      <c r="J89" s="190">
        <f>IF(COUNT(M89:EK89)&gt;1,STDEV(M89:EK89),"")</f>
        <v/>
      </c>
      <c r="K89" s="191">
        <f>IF(COUNT(M89:EK89)&gt;1,STDEV(M89:EK89)/AVERAGE(M89:EK89),"")</f>
        <v/>
      </c>
      <c r="M89" s="192" t="n"/>
      <c r="N89" s="192" t="n"/>
      <c r="O89" s="192" t="n"/>
      <c r="P89" s="192" t="n"/>
      <c r="Q89" s="192" t="n"/>
      <c r="R89" s="192" t="n"/>
      <c r="S89" s="192" t="n"/>
      <c r="T89" s="192" t="n"/>
      <c r="U89" s="192" t="n"/>
      <c r="V89" s="192" t="n"/>
      <c r="W89" s="192" t="n"/>
      <c r="X89" s="192" t="n"/>
      <c r="Y89" s="192" t="n"/>
      <c r="Z89" s="192" t="n"/>
      <c r="AA89" s="192" t="n"/>
      <c r="AB89" s="192" t="n"/>
      <c r="AC89" s="192" t="n"/>
      <c r="AD89" s="192" t="n"/>
      <c r="AE89" s="192" t="n"/>
      <c r="AF89" s="192" t="n"/>
      <c r="AG89" s="192" t="n"/>
      <c r="AH89" s="192" t="n"/>
      <c r="AI89" s="192" t="n"/>
      <c r="AJ89" s="192" t="n"/>
      <c r="AK89" s="192" t="n"/>
      <c r="AL89" s="192" t="n"/>
      <c r="AM89" s="192" t="n"/>
      <c r="AN89" s="192" t="n"/>
      <c r="AO89" s="192" t="n"/>
      <c r="AP89" s="192" t="n"/>
      <c r="AQ89" s="192" t="n"/>
      <c r="AR89" s="192" t="n"/>
      <c r="AS89" s="192" t="n"/>
      <c r="AT89" s="192" t="n"/>
      <c r="AU89" s="192" t="n"/>
      <c r="AV89" s="192" t="n"/>
      <c r="AW89" s="192" t="n"/>
      <c r="AX89" s="192" t="n"/>
      <c r="AY89" s="192" t="n"/>
      <c r="AZ89" s="192" t="n"/>
      <c r="BA89" s="192" t="n"/>
      <c r="BB89" s="192" t="n"/>
      <c r="BC89" s="192" t="n"/>
      <c r="BD89" s="192" t="n"/>
      <c r="BE89" s="192" t="n"/>
      <c r="BF89" s="192" t="n"/>
      <c r="BG89" s="192" t="n"/>
      <c r="BH89" s="192" t="n"/>
      <c r="BI89" s="192" t="n"/>
      <c r="BJ89" s="192" t="n"/>
      <c r="BK89" s="192" t="n"/>
      <c r="BL89" s="192" t="n"/>
      <c r="BM89" s="192" t="n"/>
      <c r="BN89" s="192" t="n"/>
      <c r="BO89" s="192" t="n"/>
      <c r="BP89" s="192" t="n"/>
      <c r="BQ89" s="192" t="n"/>
      <c r="BR89" s="192" t="n"/>
      <c r="BS89" s="192" t="n"/>
      <c r="BT89" s="192" t="n"/>
      <c r="BU89" s="192" t="n"/>
      <c r="BV89" s="192" t="n">
        <v>0</v>
      </c>
      <c r="BW89" s="192" t="n"/>
      <c r="BX89" s="192" t="n"/>
      <c r="BY89" s="192" t="n">
        <v>957</v>
      </c>
      <c r="BZ89" s="192" t="n">
        <v>0</v>
      </c>
      <c r="CA89" s="192" t="n"/>
      <c r="CB89" s="192" t="n"/>
      <c r="CC89" s="192" t="n">
        <v>1000</v>
      </c>
      <c r="CD89" s="192" t="n">
        <v>0</v>
      </c>
      <c r="CE89" s="192" t="n">
        <v>322</v>
      </c>
      <c r="CF89" s="192" t="n">
        <v>620</v>
      </c>
      <c r="CG89" s="192" t="n">
        <v>4142</v>
      </c>
      <c r="CH89" s="192" t="n">
        <v>960</v>
      </c>
      <c r="CI89" s="192" t="n">
        <v>1777</v>
      </c>
      <c r="CJ89" s="192" t="n">
        <v>7507</v>
      </c>
      <c r="CK89" s="192" t="n">
        <v>934</v>
      </c>
      <c r="CL89" s="192" t="n">
        <v>1419</v>
      </c>
      <c r="CM89" s="192" t="n">
        <v>8477</v>
      </c>
      <c r="CN89" s="192" t="n">
        <v>1577</v>
      </c>
      <c r="CO89" s="192" t="n">
        <v>1564</v>
      </c>
      <c r="CP89" s="192" t="n">
        <v>1558</v>
      </c>
      <c r="CQ89" s="192" t="n">
        <v>2229</v>
      </c>
      <c r="CR89" s="192" t="n">
        <v>1710</v>
      </c>
      <c r="CS89" s="192" t="n">
        <v>1492</v>
      </c>
      <c r="CT89" s="192" t="n">
        <v>527</v>
      </c>
      <c r="CU89" s="192" t="n">
        <v>1005</v>
      </c>
      <c r="CV89" s="192" t="n">
        <v>211</v>
      </c>
      <c r="CW89" s="192" t="n">
        <v>3120</v>
      </c>
      <c r="CX89" s="192" t="n">
        <v>2737</v>
      </c>
      <c r="CY89" s="192" t="n">
        <v>387.4</v>
      </c>
      <c r="CZ89" s="192" t="n">
        <v>182.6</v>
      </c>
      <c r="DA89" s="192" t="n">
        <v>532.7</v>
      </c>
      <c r="DB89" s="192" t="n">
        <v>79.7</v>
      </c>
      <c r="DC89" s="192" t="n">
        <v>1593.7</v>
      </c>
      <c r="DD89" s="192" t="n">
        <v>63.9</v>
      </c>
      <c r="DE89" s="192" t="n">
        <v>-1857.3</v>
      </c>
      <c r="DF89" s="192" t="n">
        <v>2467.7</v>
      </c>
      <c r="DG89" s="192" t="n">
        <v>127907.2</v>
      </c>
      <c r="DH89" s="192" t="n">
        <v>348.6</v>
      </c>
      <c r="DI89" s="192" t="n">
        <v>542.8</v>
      </c>
      <c r="DJ89" s="192" t="n">
        <v>1123.3</v>
      </c>
      <c r="DK89" s="192" t="n">
        <v>1977.9</v>
      </c>
      <c r="DL89" s="192" t="n">
        <v>43.9</v>
      </c>
      <c r="DM89" s="192" t="n">
        <v>1933.2</v>
      </c>
      <c r="DN89" s="192" t="n">
        <v>483.8</v>
      </c>
      <c r="DO89" s="192" t="n"/>
      <c r="DP89" s="192" t="n"/>
      <c r="DQ89" s="192" t="n">
        <v>500</v>
      </c>
      <c r="DR89" s="192" t="n">
        <v>200</v>
      </c>
      <c r="DS89" s="192" t="n">
        <v>400</v>
      </c>
      <c r="DT89" s="192" t="n">
        <v>300</v>
      </c>
      <c r="DU89" s="192" t="n">
        <v>1400</v>
      </c>
      <c r="DV89" s="192" t="n">
        <v>0</v>
      </c>
      <c r="DW89" s="192" t="n">
        <v>600</v>
      </c>
      <c r="DX89" s="192" t="n">
        <v>100</v>
      </c>
      <c r="DY89" s="192" t="n">
        <v>-100</v>
      </c>
      <c r="DZ89" s="192" t="n">
        <v>100</v>
      </c>
      <c r="EA89" s="192" t="n">
        <v>2300</v>
      </c>
      <c r="EB89" s="192" t="n">
        <v>100</v>
      </c>
      <c r="EC89" s="192" t="n">
        <v>300</v>
      </c>
      <c r="ED89" s="192" t="n">
        <v>200</v>
      </c>
      <c r="EE89" s="192" t="n"/>
      <c r="EF89" s="192" t="n"/>
      <c r="EG89" s="192" t="n">
        <v>34000</v>
      </c>
      <c r="EH89" s="192" t="n">
        <v>0</v>
      </c>
      <c r="EI89" s="192" t="n">
        <v>100</v>
      </c>
      <c r="EJ89" s="192" t="n">
        <v>200</v>
      </c>
      <c r="EK89" s="192" t="n">
        <v>100</v>
      </c>
      <c r="EL89" s="182" t="n"/>
      <c r="EM89" s="176" t="n"/>
      <c r="EN89" s="176" t="n"/>
      <c r="EO89" s="176" t="n"/>
      <c r="EP89" s="176" t="n"/>
      <c r="EQ89" s="176" t="n"/>
      <c r="ER89" s="176" t="n"/>
      <c r="ES89" s="176" t="n"/>
      <c r="ET89" s="176" t="n"/>
      <c r="EU89" s="176" t="n"/>
      <c r="EV89" s="176" t="n"/>
      <c r="EW89" s="176" t="n"/>
      <c r="EX89" s="176" t="n"/>
      <c r="EY89" s="176" t="n"/>
      <c r="EZ89" s="176" t="n"/>
      <c r="FA89" s="176" t="n"/>
      <c r="FB89" s="176" t="n"/>
      <c r="FC89" s="176" t="n"/>
      <c r="FD89" s="176" t="n"/>
      <c r="FE89" s="176" t="n"/>
      <c r="FF89" s="176" t="n"/>
      <c r="FG89" s="176" t="n"/>
      <c r="FH89" s="176" t="n"/>
      <c r="FI89" s="176" t="n"/>
      <c r="FJ89" s="176" t="n"/>
    </row>
    <row r="90" ht="15" customHeight="1" s="392">
      <c r="A90" s="176" t="n"/>
      <c r="B90" s="180" t="n"/>
      <c r="C90" s="183" t="inlineStr">
        <is>
          <t xml:space="preserve">            Payments for Common Stock</t>
        </is>
      </c>
      <c r="D90" s="190">
        <f>IF(COUNT(M90:EK90)&gt;0,MEDIAN(M90:EK90),"")</f>
        <v/>
      </c>
      <c r="E90" s="190">
        <f>IF(COUNT(M90:EK90)&gt;0,AVERAGE(M90:EK90),"")</f>
        <v/>
      </c>
      <c r="F90" s="190">
        <f>IF(COUNT(M90:EK90)&gt;0,MIN(M90:EK90),"")</f>
        <v/>
      </c>
      <c r="G90" s="190">
        <f>IF(COUNT(M90:EK90)&gt;0,MAX(M90:EK90),"")</f>
        <v/>
      </c>
      <c r="H90" s="190">
        <f>IF(COUNT(M90:EK90)&gt;0,QUARTILE(M90:EK90,1),"")</f>
        <v/>
      </c>
      <c r="I90" s="190">
        <f>IF(COUNT(M90:EK90)&gt;0,QUARTILE(M90:EK90,3),"")</f>
        <v/>
      </c>
      <c r="J90" s="190">
        <f>IF(COUNT(M90:EK90)&gt;1,STDEV(M90:EK90),"")</f>
        <v/>
      </c>
      <c r="K90" s="191">
        <f>IF(COUNT(M90:EK90)&gt;1,STDEV(M90:EK90)/AVERAGE(M90:EK90),"")</f>
        <v/>
      </c>
      <c r="M90" s="192" t="n">
        <v>-1</v>
      </c>
      <c r="N90" s="192" t="n">
        <v>-1414353</v>
      </c>
      <c r="O90" s="192" t="n"/>
      <c r="P90" s="192" t="n"/>
      <c r="Q90" s="192" t="n"/>
      <c r="R90" s="192" t="n">
        <v>0</v>
      </c>
      <c r="S90" s="192" t="n"/>
      <c r="T90" s="192" t="n"/>
      <c r="U90" s="192" t="n"/>
      <c r="V90" s="192" t="n"/>
      <c r="W90" s="192" t="n"/>
      <c r="X90" s="192" t="n"/>
      <c r="Y90" s="192" t="n"/>
      <c r="Z90" s="192" t="n"/>
      <c r="AA90" s="192" t="n"/>
      <c r="AB90" s="192" t="n"/>
      <c r="AC90" s="192" t="n"/>
      <c r="AD90" s="192" t="n"/>
      <c r="AE90" s="192" t="n"/>
      <c r="AF90" s="192" t="n"/>
      <c r="AG90" s="192" t="n"/>
      <c r="AH90" s="192" t="n"/>
      <c r="AI90" s="192" t="n"/>
      <c r="AJ90" s="192" t="n"/>
      <c r="AK90" s="192" t="n"/>
      <c r="AL90" s="192" t="n"/>
      <c r="AM90" s="192" t="n"/>
      <c r="AN90" s="192" t="n"/>
      <c r="AO90" s="192" t="n">
        <v>0</v>
      </c>
      <c r="AP90" s="192" t="n">
        <v>0</v>
      </c>
      <c r="AQ90" s="192" t="n"/>
      <c r="AR90" s="192" t="n"/>
      <c r="AS90" s="192" t="n">
        <v>0</v>
      </c>
      <c r="AT90" s="192" t="n">
        <v>0</v>
      </c>
      <c r="AU90" s="192" t="n"/>
      <c r="AV90" s="192" t="n"/>
      <c r="AW90" s="192" t="n"/>
      <c r="AX90" s="192" t="n"/>
      <c r="AY90" s="192" t="n"/>
      <c r="AZ90" s="192" t="n"/>
      <c r="BA90" s="192" t="n">
        <v>0</v>
      </c>
      <c r="BB90" s="192" t="n">
        <v>-117855</v>
      </c>
      <c r="BC90" s="192" t="n"/>
      <c r="BD90" s="192" t="n"/>
      <c r="BE90" s="192" t="n">
        <v>-231747</v>
      </c>
      <c r="BF90" s="192" t="n">
        <v>-616</v>
      </c>
      <c r="BG90" s="192" t="n">
        <v>0</v>
      </c>
      <c r="BH90" s="192" t="n">
        <v>-1121</v>
      </c>
      <c r="BI90" s="192" t="n">
        <v>-492</v>
      </c>
      <c r="BJ90" s="192" t="n">
        <v>0</v>
      </c>
      <c r="BK90" s="192" t="n">
        <v>0</v>
      </c>
      <c r="BL90" s="192" t="n">
        <v>-80</v>
      </c>
      <c r="BM90" s="192" t="n">
        <v>-497</v>
      </c>
      <c r="BN90" s="192" t="n">
        <v>0</v>
      </c>
      <c r="BO90" s="192" t="n">
        <v>-627</v>
      </c>
      <c r="BP90" s="192" t="n">
        <v>-13885</v>
      </c>
      <c r="BQ90" s="192" t="n">
        <v>-65630</v>
      </c>
      <c r="BR90" s="192" t="n">
        <v>-2260</v>
      </c>
      <c r="BS90" s="192" t="n">
        <v>-91412</v>
      </c>
      <c r="BT90" s="192" t="n">
        <v>-43983</v>
      </c>
      <c r="BU90" s="192" t="n">
        <v>-136196</v>
      </c>
      <c r="BV90" s="192" t="n">
        <v>-64445</v>
      </c>
      <c r="BW90" s="192" t="n">
        <v>-463287</v>
      </c>
      <c r="BX90" s="192" t="n">
        <v>-75710</v>
      </c>
      <c r="BY90" s="192" t="n">
        <v>-9162</v>
      </c>
      <c r="BZ90" s="192" t="n">
        <v>0</v>
      </c>
      <c r="CA90" s="192" t="n">
        <v>-12</v>
      </c>
      <c r="CB90" s="192" t="n">
        <v>-3532</v>
      </c>
      <c r="CC90" s="192" t="n">
        <v>-3769</v>
      </c>
      <c r="CD90" s="192" t="n">
        <v>0</v>
      </c>
      <c r="CE90" s="192" t="n"/>
      <c r="CF90" s="192" t="n"/>
      <c r="CG90" s="192" t="n">
        <v>-120549</v>
      </c>
      <c r="CH90" s="192" t="n">
        <v>-107754</v>
      </c>
      <c r="CI90" s="192" t="n"/>
      <c r="CJ90" s="192" t="n"/>
      <c r="CK90" s="192" t="n"/>
      <c r="CL90" s="192" t="n"/>
      <c r="CM90" s="192" t="n"/>
      <c r="CN90" s="192" t="n"/>
      <c r="CO90" s="192" t="n">
        <v>0</v>
      </c>
      <c r="CP90" s="192" t="n">
        <v>0</v>
      </c>
      <c r="CQ90" s="192" t="n"/>
      <c r="CR90" s="192" t="n"/>
      <c r="CS90" s="192" t="n"/>
      <c r="CT90" s="192" t="n"/>
      <c r="CU90" s="192" t="n"/>
      <c r="CV90" s="192" t="n"/>
      <c r="CW90" s="192" t="n">
        <v>0</v>
      </c>
      <c r="CX90" s="192" t="n">
        <v>0</v>
      </c>
      <c r="CY90" s="192" t="n">
        <v>0.1</v>
      </c>
      <c r="CZ90" s="192" t="n">
        <v>-10723.1</v>
      </c>
      <c r="DA90" s="192" t="n">
        <v>0.3</v>
      </c>
      <c r="DB90" s="192" t="n"/>
      <c r="DC90" s="192" t="n"/>
      <c r="DD90" s="192" t="n"/>
      <c r="DE90" s="192" t="n"/>
      <c r="DF90" s="192" t="n"/>
      <c r="DG90" s="192" t="n"/>
      <c r="DH90" s="192" t="n"/>
      <c r="DI90" s="192" t="n"/>
      <c r="DJ90" s="192" t="n"/>
      <c r="DK90" s="192" t="n"/>
      <c r="DL90" s="192" t="n"/>
      <c r="DM90" s="192" t="n"/>
      <c r="DN90" s="192" t="n"/>
      <c r="DO90" s="192" t="n"/>
      <c r="DP90" s="192" t="n"/>
      <c r="DQ90" s="192" t="n"/>
      <c r="DR90" s="192" t="n"/>
      <c r="DS90" s="192" t="n"/>
      <c r="DT90" s="192" t="n"/>
      <c r="DU90" s="192" t="n"/>
      <c r="DV90" s="192" t="n"/>
      <c r="DW90" s="192" t="n"/>
      <c r="DX90" s="192" t="n"/>
      <c r="DY90" s="192" t="n"/>
      <c r="DZ90" s="192" t="n"/>
      <c r="EA90" s="192" t="n"/>
      <c r="EB90" s="192" t="n"/>
      <c r="EC90" s="192" t="n"/>
      <c r="ED90" s="192" t="n"/>
      <c r="EE90" s="192" t="n"/>
      <c r="EF90" s="192" t="n"/>
      <c r="EG90" s="192" t="n"/>
      <c r="EH90" s="192" t="n"/>
      <c r="EI90" s="192" t="n"/>
      <c r="EJ90" s="192" t="n"/>
      <c r="EK90" s="192" t="n"/>
      <c r="EL90" s="182" t="n"/>
      <c r="EM90" s="176" t="n"/>
      <c r="EN90" s="176" t="n"/>
      <c r="EO90" s="176" t="n"/>
      <c r="EP90" s="176" t="n"/>
      <c r="EQ90" s="176" t="n"/>
      <c r="ER90" s="176" t="n"/>
      <c r="ES90" s="176" t="n"/>
      <c r="ET90" s="176" t="n"/>
      <c r="EU90" s="176" t="n"/>
      <c r="EV90" s="176" t="n"/>
      <c r="EW90" s="176" t="n"/>
      <c r="EX90" s="176" t="n"/>
      <c r="EY90" s="176" t="n"/>
      <c r="EZ90" s="176" t="n"/>
      <c r="FA90" s="176" t="n"/>
      <c r="FB90" s="176" t="n"/>
      <c r="FC90" s="176" t="n"/>
      <c r="FD90" s="176" t="n"/>
      <c r="FE90" s="176" t="n"/>
      <c r="FF90" s="176" t="n"/>
      <c r="FG90" s="176" t="n"/>
      <c r="FH90" s="176" t="n"/>
      <c r="FI90" s="176" t="n"/>
      <c r="FJ90" s="176" t="n"/>
    </row>
    <row r="91" ht="15" customHeight="1" s="392">
      <c r="A91" s="176" t="n"/>
      <c r="B91" s="180" t="n"/>
      <c r="C91" s="187" t="inlineStr">
        <is>
          <t xml:space="preserve">        Total Issuance of/(Payments for) Common Stock, Net</t>
        </is>
      </c>
      <c r="D91" s="193">
        <f>IF(COUNT(M91:EK91)&gt;0,MEDIAN(M91:EK91),"")</f>
        <v/>
      </c>
      <c r="E91" s="193">
        <f>IF(COUNT(M91:EK91)&gt;0,AVERAGE(M91:EK91),"")</f>
        <v/>
      </c>
      <c r="F91" s="193">
        <f>IF(COUNT(M91:EK91)&gt;0,MIN(M91:EK91),"")</f>
        <v/>
      </c>
      <c r="G91" s="193">
        <f>IF(COUNT(M91:EK91)&gt;0,MAX(M91:EK91),"")</f>
        <v/>
      </c>
      <c r="H91" s="193">
        <f>IF(COUNT(M91:EK91)&gt;0,QUARTILE(M91:EK91,1),"")</f>
        <v/>
      </c>
      <c r="I91" s="193">
        <f>IF(COUNT(M91:EK91)&gt;0,QUARTILE(M91:EK91,3),"")</f>
        <v/>
      </c>
      <c r="J91" s="193">
        <f>IF(COUNT(M91:EK91)&gt;1,STDEV(M91:EK91),"")</f>
        <v/>
      </c>
      <c r="K91" s="194">
        <f>IF(COUNT(M91:EK91)&gt;1,STDEV(M91:EK91)/AVERAGE(M91:EK91),"")</f>
        <v/>
      </c>
      <c r="L91" s="195" t="n"/>
      <c r="M91" s="196" t="n">
        <v>-1</v>
      </c>
      <c r="N91" s="196" t="n">
        <v>-1414353</v>
      </c>
      <c r="O91" s="196" t="n"/>
      <c r="P91" s="196" t="n"/>
      <c r="Q91" s="196" t="n"/>
      <c r="R91" s="196" t="n">
        <v>0</v>
      </c>
      <c r="S91" s="196" t="n"/>
      <c r="T91" s="196" t="n"/>
      <c r="U91" s="196" t="n"/>
      <c r="V91" s="196" t="n"/>
      <c r="W91" s="196" t="n"/>
      <c r="X91" s="196" t="n"/>
      <c r="Y91" s="196" t="n"/>
      <c r="Z91" s="196" t="n"/>
      <c r="AA91" s="196" t="n"/>
      <c r="AB91" s="196" t="n"/>
      <c r="AC91" s="196" t="n"/>
      <c r="AD91" s="196" t="n"/>
      <c r="AE91" s="196" t="n"/>
      <c r="AF91" s="196" t="n"/>
      <c r="AG91" s="196" t="n"/>
      <c r="AH91" s="196" t="n"/>
      <c r="AI91" s="196" t="n"/>
      <c r="AJ91" s="196" t="n"/>
      <c r="AK91" s="196" t="n"/>
      <c r="AL91" s="196" t="n"/>
      <c r="AM91" s="196" t="n"/>
      <c r="AN91" s="196" t="n"/>
      <c r="AO91" s="196" t="n">
        <v>0</v>
      </c>
      <c r="AP91" s="196" t="n">
        <v>0</v>
      </c>
      <c r="AQ91" s="196" t="n"/>
      <c r="AR91" s="196" t="n"/>
      <c r="AS91" s="196" t="n">
        <v>0</v>
      </c>
      <c r="AT91" s="196" t="n">
        <v>0</v>
      </c>
      <c r="AU91" s="196" t="n"/>
      <c r="AV91" s="196" t="n"/>
      <c r="AW91" s="196" t="n"/>
      <c r="AX91" s="196" t="n"/>
      <c r="AY91" s="196" t="n"/>
      <c r="AZ91" s="196" t="n"/>
      <c r="BA91" s="196" t="n">
        <v>0</v>
      </c>
      <c r="BB91" s="196" t="n">
        <v>-117855</v>
      </c>
      <c r="BC91" s="196" t="n"/>
      <c r="BD91" s="196" t="n"/>
      <c r="BE91" s="196" t="n">
        <v>-231747</v>
      </c>
      <c r="BF91" s="196" t="n">
        <v>-616</v>
      </c>
      <c r="BG91" s="196" t="n">
        <v>0</v>
      </c>
      <c r="BH91" s="196" t="n">
        <v>-1121</v>
      </c>
      <c r="BI91" s="196" t="n">
        <v>-492</v>
      </c>
      <c r="BJ91" s="196" t="n">
        <v>0</v>
      </c>
      <c r="BK91" s="196" t="n">
        <v>0</v>
      </c>
      <c r="BL91" s="196" t="n">
        <v>-80</v>
      </c>
      <c r="BM91" s="196" t="n">
        <v>-497</v>
      </c>
      <c r="BN91" s="196" t="n">
        <v>0</v>
      </c>
      <c r="BO91" s="196" t="n">
        <v>-627</v>
      </c>
      <c r="BP91" s="196" t="n">
        <v>-13885</v>
      </c>
      <c r="BQ91" s="196" t="n">
        <v>-65630</v>
      </c>
      <c r="BR91" s="196" t="n">
        <v>-2260</v>
      </c>
      <c r="BS91" s="196" t="n">
        <v>-91412</v>
      </c>
      <c r="BT91" s="196" t="n">
        <v>-43983</v>
      </c>
      <c r="BU91" s="196" t="n">
        <v>-137273</v>
      </c>
      <c r="BV91" s="196" t="n">
        <v>-64445</v>
      </c>
      <c r="BW91" s="196" t="n">
        <v>-462210</v>
      </c>
      <c r="BX91" s="196" t="n">
        <v>-75710</v>
      </c>
      <c r="BY91" s="196" t="n">
        <v>-8205</v>
      </c>
      <c r="BZ91" s="196" t="n">
        <v>0</v>
      </c>
      <c r="CA91" s="196" t="n">
        <v>1075</v>
      </c>
      <c r="CB91" s="196" t="n">
        <v>-3532</v>
      </c>
      <c r="CC91" s="196" t="n">
        <v>-2769</v>
      </c>
      <c r="CD91" s="196" t="n">
        <v>0</v>
      </c>
      <c r="CE91" s="196" t="n">
        <v>-5678</v>
      </c>
      <c r="CF91" s="196" t="n">
        <v>620</v>
      </c>
      <c r="CG91" s="196" t="n">
        <v>-116407</v>
      </c>
      <c r="CH91" s="196" t="n">
        <v>-106794</v>
      </c>
      <c r="CI91" s="196" t="n">
        <v>-39171</v>
      </c>
      <c r="CJ91" s="196" t="n">
        <v>7507</v>
      </c>
      <c r="CK91" s="196" t="n">
        <v>-88645</v>
      </c>
      <c r="CL91" s="196" t="n">
        <v>1419</v>
      </c>
      <c r="CM91" s="196" t="n">
        <v>8477</v>
      </c>
      <c r="CN91" s="196" t="n">
        <v>1577</v>
      </c>
      <c r="CO91" s="196" t="n">
        <v>1564</v>
      </c>
      <c r="CP91" s="196" t="n">
        <v>1558</v>
      </c>
      <c r="CQ91" s="196" t="n">
        <v>-6644</v>
      </c>
      <c r="CR91" s="196" t="n">
        <v>1710</v>
      </c>
      <c r="CS91" s="196" t="n">
        <v>1492</v>
      </c>
      <c r="CT91" s="196" t="n">
        <v>527</v>
      </c>
      <c r="CU91" s="196" t="n">
        <v>1005</v>
      </c>
      <c r="CV91" s="196" t="n">
        <v>211</v>
      </c>
      <c r="CW91" s="196" t="n">
        <v>3120</v>
      </c>
      <c r="CX91" s="196" t="n">
        <v>2737</v>
      </c>
      <c r="CY91" s="196" t="n">
        <v>387.5</v>
      </c>
      <c r="CZ91" s="196" t="n">
        <v>-10540.5</v>
      </c>
      <c r="DA91" s="196" t="n">
        <v>533</v>
      </c>
      <c r="DB91" s="196" t="n">
        <v>-20367.6</v>
      </c>
      <c r="DC91" s="196" t="n">
        <v>1593.7</v>
      </c>
      <c r="DD91" s="196" t="n">
        <v>63.9</v>
      </c>
      <c r="DE91" s="196" t="n">
        <v>-1857.3</v>
      </c>
      <c r="DF91" s="196" t="n">
        <v>2467.7</v>
      </c>
      <c r="DG91" s="196" t="n">
        <v>127907.2</v>
      </c>
      <c r="DH91" s="196" t="n">
        <v>348.6</v>
      </c>
      <c r="DI91" s="196" t="n">
        <v>542.8</v>
      </c>
      <c r="DJ91" s="196" t="n">
        <v>1123.3</v>
      </c>
      <c r="DK91" s="196" t="n">
        <v>1977.9</v>
      </c>
      <c r="DL91" s="196" t="n">
        <v>43.9</v>
      </c>
      <c r="DM91" s="196" t="n">
        <v>1933.2</v>
      </c>
      <c r="DN91" s="196" t="n">
        <v>483.8</v>
      </c>
      <c r="DO91" s="196" t="n"/>
      <c r="DP91" s="196" t="n"/>
      <c r="DQ91" s="196" t="n">
        <v>500</v>
      </c>
      <c r="DR91" s="196" t="n">
        <v>200</v>
      </c>
      <c r="DS91" s="196" t="n">
        <v>400</v>
      </c>
      <c r="DT91" s="196" t="n">
        <v>300</v>
      </c>
      <c r="DU91" s="196" t="n">
        <v>1400</v>
      </c>
      <c r="DV91" s="196" t="n">
        <v>0</v>
      </c>
      <c r="DW91" s="196" t="n">
        <v>600</v>
      </c>
      <c r="DX91" s="196" t="n">
        <v>100</v>
      </c>
      <c r="DY91" s="196" t="n">
        <v>-100</v>
      </c>
      <c r="DZ91" s="196" t="n">
        <v>100</v>
      </c>
      <c r="EA91" s="196" t="n">
        <v>2300</v>
      </c>
      <c r="EB91" s="196" t="n">
        <v>100</v>
      </c>
      <c r="EC91" s="196" t="n">
        <v>300</v>
      </c>
      <c r="ED91" s="196" t="n">
        <v>200</v>
      </c>
      <c r="EE91" s="196" t="n"/>
      <c r="EF91" s="196" t="n"/>
      <c r="EG91" s="196" t="n">
        <v>34000</v>
      </c>
      <c r="EH91" s="196" t="n">
        <v>0</v>
      </c>
      <c r="EI91" s="196" t="n">
        <v>100</v>
      </c>
      <c r="EJ91" s="196" t="n">
        <v>200</v>
      </c>
      <c r="EK91" s="196" t="n">
        <v>100</v>
      </c>
      <c r="EL91" s="182" t="n"/>
      <c r="EM91" s="176" t="n"/>
      <c r="EN91" s="176" t="n"/>
      <c r="EO91" s="176" t="n"/>
      <c r="EP91" s="176" t="n"/>
      <c r="EQ91" s="176" t="n"/>
      <c r="ER91" s="176" t="n"/>
      <c r="ES91" s="176" t="n"/>
      <c r="ET91" s="176" t="n"/>
      <c r="EU91" s="176" t="n"/>
      <c r="EV91" s="176" t="n"/>
      <c r="EW91" s="176" t="n"/>
      <c r="EX91" s="176" t="n"/>
      <c r="EY91" s="176" t="n"/>
      <c r="EZ91" s="176" t="n"/>
      <c r="FA91" s="176" t="n"/>
      <c r="FB91" s="176" t="n"/>
      <c r="FC91" s="176" t="n"/>
      <c r="FD91" s="176" t="n"/>
      <c r="FE91" s="176" t="n"/>
      <c r="FF91" s="176" t="n"/>
      <c r="FG91" s="176" t="n"/>
      <c r="FH91" s="176" t="n"/>
      <c r="FI91" s="176" t="n"/>
      <c r="FJ91" s="176" t="n"/>
    </row>
    <row r="92" ht="15" customHeight="1" s="392">
      <c r="A92" s="176" t="n"/>
      <c r="B92" s="180" t="n"/>
      <c r="C92" s="183" t="inlineStr">
        <is>
          <t xml:space="preserve">        Issuance of/(Repayments for) Debt, Net</t>
        </is>
      </c>
      <c r="D92" s="185" t="n"/>
      <c r="E92" s="185" t="n"/>
      <c r="F92" s="185" t="n"/>
      <c r="G92" s="185" t="n"/>
      <c r="H92" s="185" t="n"/>
      <c r="I92" s="185" t="n"/>
      <c r="J92" s="185" t="n"/>
      <c r="K92" s="185" t="n"/>
      <c r="EL92" s="182" t="n"/>
      <c r="EM92" s="176" t="n"/>
      <c r="EN92" s="176" t="n"/>
      <c r="EO92" s="176" t="n"/>
      <c r="EP92" s="176" t="n"/>
      <c r="EQ92" s="176" t="n"/>
      <c r="ER92" s="176" t="n"/>
      <c r="ES92" s="176" t="n"/>
      <c r="ET92" s="176" t="n"/>
      <c r="EU92" s="176" t="n"/>
      <c r="EV92" s="176" t="n"/>
      <c r="EW92" s="176" t="n"/>
      <c r="EX92" s="176" t="n"/>
      <c r="EY92" s="176" t="n"/>
      <c r="EZ92" s="176" t="n"/>
      <c r="FA92" s="176" t="n"/>
      <c r="FB92" s="176" t="n"/>
      <c r="FC92" s="176" t="n"/>
      <c r="FD92" s="176" t="n"/>
      <c r="FE92" s="176" t="n"/>
      <c r="FF92" s="176" t="n"/>
      <c r="FG92" s="176" t="n"/>
      <c r="FH92" s="176" t="n"/>
      <c r="FI92" s="176" t="n"/>
      <c r="FJ92" s="176" t="n"/>
    </row>
    <row r="93" ht="15" customHeight="1" s="392">
      <c r="A93" s="176" t="n"/>
      <c r="B93" s="180" t="n"/>
      <c r="C93" s="183" t="inlineStr">
        <is>
          <t xml:space="preserve">            Issuance of/(Repayments for) Short Term Debt, Net</t>
        </is>
      </c>
      <c r="D93" s="185" t="n"/>
      <c r="E93" s="185" t="n"/>
      <c r="F93" s="185" t="n"/>
      <c r="G93" s="185" t="n"/>
      <c r="H93" s="185" t="n"/>
      <c r="I93" s="185" t="n"/>
      <c r="J93" s="185" t="n"/>
      <c r="K93" s="185" t="n"/>
      <c r="EL93" s="182" t="n"/>
      <c r="EM93" s="176" t="n"/>
      <c r="EN93" s="176" t="n"/>
      <c r="EO93" s="176" t="n"/>
      <c r="EP93" s="176" t="n"/>
      <c r="EQ93" s="176" t="n"/>
      <c r="ER93" s="176" t="n"/>
      <c r="ES93" s="176" t="n"/>
      <c r="ET93" s="176" t="n"/>
      <c r="EU93" s="176" t="n"/>
      <c r="EV93" s="176" t="n"/>
      <c r="EW93" s="176" t="n"/>
      <c r="EX93" s="176" t="n"/>
      <c r="EY93" s="176" t="n"/>
      <c r="EZ93" s="176" t="n"/>
      <c r="FA93" s="176" t="n"/>
      <c r="FB93" s="176" t="n"/>
      <c r="FC93" s="176" t="n"/>
      <c r="FD93" s="176" t="n"/>
      <c r="FE93" s="176" t="n"/>
      <c r="FF93" s="176" t="n"/>
      <c r="FG93" s="176" t="n"/>
      <c r="FH93" s="176" t="n"/>
      <c r="FI93" s="176" t="n"/>
      <c r="FJ93" s="176" t="n"/>
    </row>
    <row r="94" ht="15" customHeight="1" s="392">
      <c r="A94" s="176" t="n"/>
      <c r="B94" s="180" t="n"/>
      <c r="C94" s="183" t="inlineStr">
        <is>
          <t xml:space="preserve">                Proceeds from Issuance of Short Term Debt</t>
        </is>
      </c>
      <c r="D94" s="190">
        <f>IF(COUNT(M94:EK94)&gt;0,MEDIAN(M94:EK94),"")</f>
        <v/>
      </c>
      <c r="E94" s="190">
        <f>IF(COUNT(M94:EK94)&gt;0,AVERAGE(M94:EK94),"")</f>
        <v/>
      </c>
      <c r="F94" s="190">
        <f>IF(COUNT(M94:EK94)&gt;0,MIN(M94:EK94),"")</f>
        <v/>
      </c>
      <c r="G94" s="190">
        <f>IF(COUNT(M94:EK94)&gt;0,MAX(M94:EK94),"")</f>
        <v/>
      </c>
      <c r="H94" s="190">
        <f>IF(COUNT(M94:EK94)&gt;0,QUARTILE(M94:EK94,1),"")</f>
        <v/>
      </c>
      <c r="I94" s="190">
        <f>IF(COUNT(M94:EK94)&gt;0,QUARTILE(M94:EK94,3),"")</f>
        <v/>
      </c>
      <c r="J94" s="190">
        <f>IF(COUNT(M94:EK94)&gt;1,STDEV(M94:EK94),"")</f>
        <v/>
      </c>
      <c r="K94" s="191">
        <f>IF(COUNT(M94:EK94)&gt;1,STDEV(M94:EK94)/AVERAGE(M94:EK94),"")</f>
        <v/>
      </c>
      <c r="M94" s="192" t="n"/>
      <c r="N94" s="192" t="n"/>
      <c r="O94" s="192" t="n"/>
      <c r="P94" s="192" t="n"/>
      <c r="Q94" s="192" t="n"/>
      <c r="R94" s="192" t="n"/>
      <c r="S94" s="192" t="n"/>
      <c r="T94" s="192" t="n"/>
      <c r="U94" s="192" t="n"/>
      <c r="V94" s="192" t="n"/>
      <c r="W94" s="192" t="n"/>
      <c r="X94" s="192" t="n"/>
      <c r="Y94" s="192" t="n">
        <v>23013</v>
      </c>
      <c r="Z94" s="192" t="n"/>
      <c r="AA94" s="192" t="n"/>
      <c r="AB94" s="192" t="n"/>
      <c r="AC94" s="192" t="n">
        <v>0</v>
      </c>
      <c r="AD94" s="192" t="n"/>
      <c r="AE94" s="192" t="n"/>
      <c r="AF94" s="192" t="n"/>
      <c r="AG94" s="192" t="n"/>
      <c r="AH94" s="192" t="n"/>
      <c r="AI94" s="192" t="n"/>
      <c r="AJ94" s="192" t="n"/>
      <c r="AK94" s="192" t="n"/>
      <c r="AL94" s="192" t="n"/>
      <c r="AM94" s="192" t="n"/>
      <c r="AN94" s="192" t="n"/>
      <c r="AO94" s="192" t="n"/>
      <c r="AP94" s="192" t="n"/>
      <c r="AQ94" s="192" t="n"/>
      <c r="AR94" s="192" t="n"/>
      <c r="AS94" s="192" t="n"/>
      <c r="AT94" s="192" t="n"/>
      <c r="AU94" s="192" t="n"/>
      <c r="AV94" s="192" t="n"/>
      <c r="AW94" s="192" t="n"/>
      <c r="AX94" s="192" t="n"/>
      <c r="AY94" s="192" t="n"/>
      <c r="AZ94" s="192" t="n"/>
      <c r="BA94" s="192" t="n"/>
      <c r="BB94" s="192" t="n"/>
      <c r="BC94" s="192" t="n"/>
      <c r="BD94" s="192" t="n"/>
      <c r="BE94" s="192" t="n"/>
      <c r="BF94" s="192" t="n"/>
      <c r="BG94" s="192" t="n"/>
      <c r="BH94" s="192" t="n"/>
      <c r="BI94" s="192" t="n"/>
      <c r="BJ94" s="192" t="n"/>
      <c r="BK94" s="192" t="n"/>
      <c r="BL94" s="192" t="n"/>
      <c r="BM94" s="192" t="n"/>
      <c r="BN94" s="192" t="n"/>
      <c r="BO94" s="192" t="n"/>
      <c r="BP94" s="192" t="n"/>
      <c r="BQ94" s="192" t="n"/>
      <c r="BR94" s="192" t="n"/>
      <c r="BS94" s="192" t="n"/>
      <c r="BT94" s="192" t="n"/>
      <c r="BU94" s="192" t="n"/>
      <c r="BV94" s="192" t="n"/>
      <c r="BW94" s="192" t="n"/>
      <c r="BX94" s="192" t="n"/>
      <c r="BY94" s="192" t="n"/>
      <c r="BZ94" s="192" t="n"/>
      <c r="CA94" s="192" t="n"/>
      <c r="CB94" s="192" t="n"/>
      <c r="CC94" s="192" t="n"/>
      <c r="CD94" s="192" t="n"/>
      <c r="CE94" s="192" t="n"/>
      <c r="CF94" s="192" t="n"/>
      <c r="CG94" s="192" t="n"/>
      <c r="CH94" s="192" t="n"/>
      <c r="CI94" s="192" t="n"/>
      <c r="CJ94" s="192" t="n"/>
      <c r="CK94" s="192" t="n"/>
      <c r="CL94" s="192" t="n"/>
      <c r="CM94" s="192" t="n"/>
      <c r="CN94" s="192" t="n"/>
      <c r="CO94" s="192" t="n"/>
      <c r="CP94" s="192" t="n"/>
      <c r="CQ94" s="192" t="n"/>
      <c r="CR94" s="192" t="n"/>
      <c r="CS94" s="192" t="n"/>
      <c r="CT94" s="192" t="n"/>
      <c r="CU94" s="192" t="n"/>
      <c r="CV94" s="192" t="n"/>
      <c r="CW94" s="192" t="n"/>
      <c r="CX94" s="192" t="n"/>
      <c r="CY94" s="192" t="n"/>
      <c r="CZ94" s="192" t="n"/>
      <c r="DA94" s="192" t="n"/>
      <c r="DB94" s="192" t="n"/>
      <c r="DC94" s="192" t="n"/>
      <c r="DD94" s="192" t="n"/>
      <c r="DE94" s="192" t="n"/>
      <c r="DF94" s="192" t="n"/>
      <c r="DG94" s="192" t="n"/>
      <c r="DH94" s="192" t="n"/>
      <c r="DI94" s="192" t="n"/>
      <c r="DJ94" s="192" t="n"/>
      <c r="DK94" s="192" t="n"/>
      <c r="DL94" s="192" t="n"/>
      <c r="DM94" s="192" t="n"/>
      <c r="DN94" s="192" t="n"/>
      <c r="DO94" s="192" t="n"/>
      <c r="DP94" s="192" t="n"/>
      <c r="DQ94" s="192" t="n"/>
      <c r="DR94" s="192" t="n"/>
      <c r="DS94" s="192" t="n"/>
      <c r="DT94" s="192" t="n"/>
      <c r="DU94" s="192" t="n"/>
      <c r="DV94" s="192" t="n"/>
      <c r="DW94" s="192" t="n"/>
      <c r="DX94" s="192" t="n"/>
      <c r="DY94" s="192" t="n"/>
      <c r="DZ94" s="192" t="n"/>
      <c r="EA94" s="192" t="n"/>
      <c r="EB94" s="192" t="n"/>
      <c r="EC94" s="192" t="n"/>
      <c r="ED94" s="192" t="n"/>
      <c r="EE94" s="192" t="n"/>
      <c r="EF94" s="192" t="n"/>
      <c r="EG94" s="192" t="n"/>
      <c r="EH94" s="192" t="n"/>
      <c r="EI94" s="192" t="n"/>
      <c r="EJ94" s="192" t="n"/>
      <c r="EK94" s="192" t="n"/>
      <c r="EL94" s="182" t="n"/>
      <c r="EM94" s="176" t="n"/>
      <c r="EN94" s="176" t="n"/>
      <c r="EO94" s="176" t="n"/>
      <c r="EP94" s="176" t="n"/>
      <c r="EQ94" s="176" t="n"/>
      <c r="ER94" s="176" t="n"/>
      <c r="ES94" s="176" t="n"/>
      <c r="ET94" s="176" t="n"/>
      <c r="EU94" s="176" t="n"/>
      <c r="EV94" s="176" t="n"/>
      <c r="EW94" s="176" t="n"/>
      <c r="EX94" s="176" t="n"/>
      <c r="EY94" s="176" t="n"/>
      <c r="EZ94" s="176" t="n"/>
      <c r="FA94" s="176" t="n"/>
      <c r="FB94" s="176" t="n"/>
      <c r="FC94" s="176" t="n"/>
      <c r="FD94" s="176" t="n"/>
      <c r="FE94" s="176" t="n"/>
      <c r="FF94" s="176" t="n"/>
      <c r="FG94" s="176" t="n"/>
      <c r="FH94" s="176" t="n"/>
      <c r="FI94" s="176" t="n"/>
      <c r="FJ94" s="176" t="n"/>
    </row>
    <row r="95" ht="15" customHeight="1" s="392">
      <c r="A95" s="176" t="n"/>
      <c r="B95" s="180" t="n"/>
      <c r="C95" s="183" t="inlineStr">
        <is>
          <t xml:space="preserve">                Repayments for Short Term Debt</t>
        </is>
      </c>
      <c r="D95" s="190">
        <f>IF(COUNT(M95:EK95)&gt;0,MEDIAN(M95:EK95),"")</f>
        <v/>
      </c>
      <c r="E95" s="190">
        <f>IF(COUNT(M95:EK95)&gt;0,AVERAGE(M95:EK95),"")</f>
        <v/>
      </c>
      <c r="F95" s="190">
        <f>IF(COUNT(M95:EK95)&gt;0,MIN(M95:EK95),"")</f>
        <v/>
      </c>
      <c r="G95" s="190">
        <f>IF(COUNT(M95:EK95)&gt;0,MAX(M95:EK95),"")</f>
        <v/>
      </c>
      <c r="H95" s="190">
        <f>IF(COUNT(M95:EK95)&gt;0,QUARTILE(M95:EK95,1),"")</f>
        <v/>
      </c>
      <c r="I95" s="190">
        <f>IF(COUNT(M95:EK95)&gt;0,QUARTILE(M95:EK95,3),"")</f>
        <v/>
      </c>
      <c r="J95" s="190">
        <f>IF(COUNT(M95:EK95)&gt;1,STDEV(M95:EK95),"")</f>
        <v/>
      </c>
      <c r="K95" s="191">
        <f>IF(COUNT(M95:EK95)&gt;1,STDEV(M95:EK95)/AVERAGE(M95:EK95),"")</f>
        <v/>
      </c>
      <c r="M95" s="192" t="n"/>
      <c r="N95" s="192" t="n"/>
      <c r="O95" s="192" t="n"/>
      <c r="P95" s="192" t="n"/>
      <c r="Q95" s="192" t="n"/>
      <c r="R95" s="192" t="n"/>
      <c r="S95" s="192" t="n"/>
      <c r="T95" s="192" t="n"/>
      <c r="U95" s="192" t="n">
        <v>-3</v>
      </c>
      <c r="V95" s="192" t="n"/>
      <c r="W95" s="192" t="n"/>
      <c r="X95" s="192" t="n"/>
      <c r="Y95" s="192" t="n">
        <v>-33924</v>
      </c>
      <c r="Z95" s="192" t="n">
        <v>0</v>
      </c>
      <c r="AA95" s="192" t="n"/>
      <c r="AB95" s="192" t="n"/>
      <c r="AC95" s="192" t="n"/>
      <c r="AD95" s="192" t="n"/>
      <c r="AE95" s="192" t="n"/>
      <c r="AF95" s="192" t="n"/>
      <c r="AG95" s="192" t="n"/>
      <c r="AH95" s="192" t="n"/>
      <c r="AI95" s="192" t="n"/>
      <c r="AJ95" s="192" t="n"/>
      <c r="AK95" s="192" t="n"/>
      <c r="AL95" s="192" t="n"/>
      <c r="AM95" s="192" t="n"/>
      <c r="AN95" s="192" t="n"/>
      <c r="AO95" s="192" t="n"/>
      <c r="AP95" s="192" t="n"/>
      <c r="AQ95" s="192" t="n"/>
      <c r="AR95" s="192" t="n"/>
      <c r="AS95" s="192" t="n"/>
      <c r="AT95" s="192" t="n"/>
      <c r="AU95" s="192" t="n"/>
      <c r="AV95" s="192" t="n"/>
      <c r="AW95" s="192" t="n"/>
      <c r="AX95" s="192" t="n"/>
      <c r="AY95" s="192" t="n"/>
      <c r="AZ95" s="192" t="n"/>
      <c r="BA95" s="192" t="n"/>
      <c r="BB95" s="192" t="n"/>
      <c r="BC95" s="192" t="n"/>
      <c r="BD95" s="192" t="n"/>
      <c r="BE95" s="192" t="n"/>
      <c r="BF95" s="192" t="n"/>
      <c r="BG95" s="192" t="n"/>
      <c r="BH95" s="192" t="n"/>
      <c r="BI95" s="192" t="n"/>
      <c r="BJ95" s="192" t="n"/>
      <c r="BK95" s="192" t="n"/>
      <c r="BL95" s="192" t="n"/>
      <c r="BM95" s="192" t="n"/>
      <c r="BN95" s="192" t="n"/>
      <c r="BO95" s="192" t="n"/>
      <c r="BP95" s="192" t="n"/>
      <c r="BQ95" s="192" t="n"/>
      <c r="BR95" s="192" t="n"/>
      <c r="BS95" s="192" t="n"/>
      <c r="BT95" s="192" t="n"/>
      <c r="BU95" s="192" t="n"/>
      <c r="BV95" s="192" t="n"/>
      <c r="BW95" s="192" t="n"/>
      <c r="BX95" s="192" t="n"/>
      <c r="BY95" s="192" t="n"/>
      <c r="BZ95" s="192" t="n"/>
      <c r="CA95" s="192" t="n"/>
      <c r="CB95" s="192" t="n"/>
      <c r="CC95" s="192" t="n"/>
      <c r="CD95" s="192" t="n"/>
      <c r="CE95" s="192" t="n"/>
      <c r="CF95" s="192" t="n"/>
      <c r="CG95" s="192" t="n"/>
      <c r="CH95" s="192" t="n"/>
      <c r="CI95" s="192" t="n"/>
      <c r="CJ95" s="192" t="n"/>
      <c r="CK95" s="192" t="n"/>
      <c r="CL95" s="192" t="n"/>
      <c r="CM95" s="192" t="n"/>
      <c r="CN95" s="192" t="n"/>
      <c r="CO95" s="192" t="n"/>
      <c r="CP95" s="192" t="n"/>
      <c r="CQ95" s="192" t="n"/>
      <c r="CR95" s="192" t="n"/>
      <c r="CS95" s="192" t="n"/>
      <c r="CT95" s="192" t="n"/>
      <c r="CU95" s="192" t="n"/>
      <c r="CV95" s="192" t="n"/>
      <c r="CW95" s="192" t="n"/>
      <c r="CX95" s="192" t="n"/>
      <c r="CY95" s="192" t="n"/>
      <c r="CZ95" s="192" t="n"/>
      <c r="DA95" s="192" t="n"/>
      <c r="DB95" s="192" t="n"/>
      <c r="DC95" s="192" t="n"/>
      <c r="DD95" s="192" t="n"/>
      <c r="DE95" s="192" t="n"/>
      <c r="DF95" s="192" t="n"/>
      <c r="DG95" s="192" t="n"/>
      <c r="DH95" s="192" t="n"/>
      <c r="DI95" s="192" t="n"/>
      <c r="DJ95" s="192" t="n"/>
      <c r="DK95" s="192" t="n"/>
      <c r="DL95" s="192" t="n"/>
      <c r="DM95" s="192" t="n"/>
      <c r="DN95" s="192" t="n"/>
      <c r="DO95" s="192" t="n"/>
      <c r="DP95" s="192" t="n"/>
      <c r="DQ95" s="192" t="n"/>
      <c r="DR95" s="192" t="n"/>
      <c r="DS95" s="192" t="n"/>
      <c r="DT95" s="192" t="n"/>
      <c r="DU95" s="192" t="n"/>
      <c r="DV95" s="192" t="n"/>
      <c r="DW95" s="192" t="n"/>
      <c r="DX95" s="192" t="n"/>
      <c r="DY95" s="192" t="n"/>
      <c r="DZ95" s="192" t="n"/>
      <c r="EA95" s="192" t="n"/>
      <c r="EB95" s="192" t="n"/>
      <c r="EC95" s="192" t="n"/>
      <c r="ED95" s="192" t="n"/>
      <c r="EE95" s="192" t="n"/>
      <c r="EF95" s="192" t="n"/>
      <c r="EG95" s="192" t="n"/>
      <c r="EH95" s="192" t="n"/>
      <c r="EI95" s="192" t="n"/>
      <c r="EJ95" s="192" t="n"/>
      <c r="EK95" s="192" t="n"/>
      <c r="EL95" s="182" t="n"/>
      <c r="EM95" s="176" t="n"/>
      <c r="EN95" s="176" t="n"/>
      <c r="EO95" s="176" t="n"/>
      <c r="EP95" s="176" t="n"/>
      <c r="EQ95" s="176" t="n"/>
      <c r="ER95" s="176" t="n"/>
      <c r="ES95" s="176" t="n"/>
      <c r="ET95" s="176" t="n"/>
      <c r="EU95" s="176" t="n"/>
      <c r="EV95" s="176" t="n"/>
      <c r="EW95" s="176" t="n"/>
      <c r="EX95" s="176" t="n"/>
      <c r="EY95" s="176" t="n"/>
      <c r="EZ95" s="176" t="n"/>
      <c r="FA95" s="176" t="n"/>
      <c r="FB95" s="176" t="n"/>
      <c r="FC95" s="176" t="n"/>
      <c r="FD95" s="176" t="n"/>
      <c r="FE95" s="176" t="n"/>
      <c r="FF95" s="176" t="n"/>
      <c r="FG95" s="176" t="n"/>
      <c r="FH95" s="176" t="n"/>
      <c r="FI95" s="176" t="n"/>
      <c r="FJ95" s="176" t="n"/>
    </row>
    <row r="96" ht="15" customHeight="1" s="392">
      <c r="A96" s="176" t="n"/>
      <c r="B96" s="180" t="n"/>
      <c r="C96" s="187" t="inlineStr">
        <is>
          <t xml:space="preserve">            Total Issuance of/(Repayments for) Short Term Debt, Net</t>
        </is>
      </c>
      <c r="D96" s="193">
        <f>IF(COUNT(M96:EK96)&gt;0,MEDIAN(M96:EK96),"")</f>
        <v/>
      </c>
      <c r="E96" s="193">
        <f>IF(COUNT(M96:EK96)&gt;0,AVERAGE(M96:EK96),"")</f>
        <v/>
      </c>
      <c r="F96" s="193">
        <f>IF(COUNT(M96:EK96)&gt;0,MIN(M96:EK96),"")</f>
        <v/>
      </c>
      <c r="G96" s="193">
        <f>IF(COUNT(M96:EK96)&gt;0,MAX(M96:EK96),"")</f>
        <v/>
      </c>
      <c r="H96" s="193">
        <f>IF(COUNT(M96:EK96)&gt;0,QUARTILE(M96:EK96,1),"")</f>
        <v/>
      </c>
      <c r="I96" s="193">
        <f>IF(COUNT(M96:EK96)&gt;0,QUARTILE(M96:EK96,3),"")</f>
        <v/>
      </c>
      <c r="J96" s="193">
        <f>IF(COUNT(M96:EK96)&gt;1,STDEV(M96:EK96),"")</f>
        <v/>
      </c>
      <c r="K96" s="194">
        <f>IF(COUNT(M96:EK96)&gt;1,STDEV(M96:EK96)/AVERAGE(M96:EK96),"")</f>
        <v/>
      </c>
      <c r="L96" s="195" t="n"/>
      <c r="M96" s="196" t="n"/>
      <c r="N96" s="196" t="n"/>
      <c r="O96" s="196" t="n"/>
      <c r="P96" s="196" t="n"/>
      <c r="Q96" s="196" t="n"/>
      <c r="R96" s="196" t="n"/>
      <c r="S96" s="196" t="n"/>
      <c r="T96" s="196" t="n"/>
      <c r="U96" s="196" t="n">
        <v>-3</v>
      </c>
      <c r="V96" s="196" t="n"/>
      <c r="W96" s="196" t="n"/>
      <c r="X96" s="196" t="n"/>
      <c r="Y96" s="196" t="n">
        <v>-10911</v>
      </c>
      <c r="Z96" s="196" t="n">
        <v>21481</v>
      </c>
      <c r="AA96" s="196" t="n"/>
      <c r="AB96" s="196" t="n"/>
      <c r="AC96" s="196" t="n">
        <v>0</v>
      </c>
      <c r="AD96" s="196" t="n"/>
      <c r="AE96" s="196" t="n"/>
      <c r="AF96" s="196" t="n"/>
      <c r="AG96" s="196" t="n"/>
      <c r="AH96" s="196" t="n"/>
      <c r="AI96" s="196" t="n"/>
      <c r="AJ96" s="196" t="n"/>
      <c r="AK96" s="196" t="n"/>
      <c r="AL96" s="196" t="n"/>
      <c r="AM96" s="196" t="n"/>
      <c r="AN96" s="196" t="n"/>
      <c r="AO96" s="196" t="n"/>
      <c r="AP96" s="196" t="n"/>
      <c r="AQ96" s="196" t="n"/>
      <c r="AR96" s="196" t="n"/>
      <c r="AS96" s="196" t="n"/>
      <c r="AT96" s="196" t="n"/>
      <c r="AU96" s="196" t="n"/>
      <c r="AV96" s="196" t="n"/>
      <c r="AW96" s="196" t="n"/>
      <c r="AX96" s="196" t="n"/>
      <c r="AY96" s="196" t="n"/>
      <c r="AZ96" s="196" t="n"/>
      <c r="BA96" s="196" t="n"/>
      <c r="BB96" s="196" t="n"/>
      <c r="BC96" s="196" t="n"/>
      <c r="BD96" s="196" t="n"/>
      <c r="BE96" s="196" t="n"/>
      <c r="BF96" s="196" t="n"/>
      <c r="BG96" s="196" t="n"/>
      <c r="BH96" s="196" t="n"/>
      <c r="BI96" s="196" t="n">
        <v>0</v>
      </c>
      <c r="BJ96" s="196" t="n">
        <v>-17034</v>
      </c>
      <c r="BK96" s="196" t="n">
        <v>17034</v>
      </c>
      <c r="BL96" s="196" t="n">
        <v>-16291</v>
      </c>
      <c r="BM96" s="196" t="n">
        <v>16291</v>
      </c>
      <c r="BN96" s="196" t="n">
        <v>0</v>
      </c>
      <c r="BO96" s="196" t="n">
        <v>0</v>
      </c>
      <c r="BP96" s="196" t="n">
        <v>0</v>
      </c>
      <c r="BQ96" s="196" t="n"/>
      <c r="BR96" s="196" t="n"/>
      <c r="BS96" s="196" t="n"/>
      <c r="BT96" s="196" t="n"/>
      <c r="BU96" s="196" t="n"/>
      <c r="BV96" s="196" t="n"/>
      <c r="BW96" s="196" t="n"/>
      <c r="BX96" s="196" t="n"/>
      <c r="BY96" s="196" t="n"/>
      <c r="BZ96" s="196" t="n"/>
      <c r="CA96" s="196" t="n"/>
      <c r="CB96" s="196" t="n"/>
      <c r="CC96" s="196" t="n"/>
      <c r="CD96" s="196" t="n"/>
      <c r="CE96" s="196" t="n"/>
      <c r="CF96" s="196" t="n"/>
      <c r="CG96" s="196" t="n"/>
      <c r="CH96" s="196" t="n"/>
      <c r="CI96" s="196" t="n"/>
      <c r="CJ96" s="196" t="n"/>
      <c r="CK96" s="196" t="n"/>
      <c r="CL96" s="196" t="n"/>
      <c r="CM96" s="196" t="n"/>
      <c r="CN96" s="196" t="n"/>
      <c r="CO96" s="196" t="n"/>
      <c r="CP96" s="196" t="n"/>
      <c r="CQ96" s="196" t="n"/>
      <c r="CR96" s="196" t="n"/>
      <c r="CS96" s="196" t="n"/>
      <c r="CT96" s="196" t="n"/>
      <c r="CU96" s="196" t="n"/>
      <c r="CV96" s="196" t="n"/>
      <c r="CW96" s="196" t="n"/>
      <c r="CX96" s="196" t="n"/>
      <c r="CY96" s="196" t="n"/>
      <c r="CZ96" s="196" t="n"/>
      <c r="DA96" s="196" t="n"/>
      <c r="DB96" s="196" t="n"/>
      <c r="DC96" s="196" t="n"/>
      <c r="DD96" s="196" t="n"/>
      <c r="DE96" s="196" t="n"/>
      <c r="DF96" s="196" t="n"/>
      <c r="DG96" s="196" t="n"/>
      <c r="DH96" s="196" t="n"/>
      <c r="DI96" s="196" t="n"/>
      <c r="DJ96" s="196" t="n"/>
      <c r="DK96" s="196" t="n"/>
      <c r="DL96" s="196" t="n"/>
      <c r="DM96" s="196" t="n"/>
      <c r="DN96" s="196" t="n"/>
      <c r="DO96" s="196" t="n"/>
      <c r="DP96" s="196" t="n"/>
      <c r="DQ96" s="196" t="n"/>
      <c r="DR96" s="196" t="n"/>
      <c r="DS96" s="196" t="n"/>
      <c r="DT96" s="196" t="n"/>
      <c r="DU96" s="196" t="n"/>
      <c r="DV96" s="196" t="n"/>
      <c r="DW96" s="196" t="n"/>
      <c r="DX96" s="196" t="n"/>
      <c r="DY96" s="196" t="n"/>
      <c r="DZ96" s="196" t="n"/>
      <c r="EA96" s="196" t="n"/>
      <c r="EB96" s="196" t="n"/>
      <c r="EC96" s="196" t="n"/>
      <c r="ED96" s="196" t="n"/>
      <c r="EE96" s="196" t="n"/>
      <c r="EF96" s="196" t="n"/>
      <c r="EG96" s="196" t="n"/>
      <c r="EH96" s="196" t="n"/>
      <c r="EI96" s="196" t="n"/>
      <c r="EJ96" s="196" t="n"/>
      <c r="EK96" s="196" t="n"/>
      <c r="EL96" s="182" t="n"/>
      <c r="EM96" s="176" t="n"/>
      <c r="EN96" s="176" t="n"/>
      <c r="EO96" s="176" t="n"/>
      <c r="EP96" s="176" t="n"/>
      <c r="EQ96" s="176" t="n"/>
      <c r="ER96" s="176" t="n"/>
      <c r="ES96" s="176" t="n"/>
      <c r="ET96" s="176" t="n"/>
      <c r="EU96" s="176" t="n"/>
      <c r="EV96" s="176" t="n"/>
      <c r="EW96" s="176" t="n"/>
      <c r="EX96" s="176" t="n"/>
      <c r="EY96" s="176" t="n"/>
      <c r="EZ96" s="176" t="n"/>
      <c r="FA96" s="176" t="n"/>
      <c r="FB96" s="176" t="n"/>
      <c r="FC96" s="176" t="n"/>
      <c r="FD96" s="176" t="n"/>
      <c r="FE96" s="176" t="n"/>
      <c r="FF96" s="176" t="n"/>
      <c r="FG96" s="176" t="n"/>
      <c r="FH96" s="176" t="n"/>
      <c r="FI96" s="176" t="n"/>
      <c r="FJ96" s="176" t="n"/>
    </row>
    <row r="97" ht="15" customHeight="1" s="392">
      <c r="A97" s="176" t="n"/>
      <c r="B97" s="180" t="n"/>
      <c r="C97" s="183" t="inlineStr">
        <is>
          <t xml:space="preserve">            Issuance of/(Repayments for) Long Term Debt, Net</t>
        </is>
      </c>
      <c r="D97" s="185" t="n"/>
      <c r="E97" s="185" t="n"/>
      <c r="F97" s="185" t="n"/>
      <c r="G97" s="185" t="n"/>
      <c r="H97" s="185" t="n"/>
      <c r="I97" s="185" t="n"/>
      <c r="J97" s="185" t="n"/>
      <c r="K97" s="185" t="n"/>
      <c r="EL97" s="182" t="n"/>
      <c r="EM97" s="176" t="n"/>
      <c r="EN97" s="176" t="n"/>
      <c r="EO97" s="176" t="n"/>
      <c r="EP97" s="176" t="n"/>
      <c r="EQ97" s="176" t="n"/>
      <c r="ER97" s="176" t="n"/>
      <c r="ES97" s="176" t="n"/>
      <c r="ET97" s="176" t="n"/>
      <c r="EU97" s="176" t="n"/>
      <c r="EV97" s="176" t="n"/>
      <c r="EW97" s="176" t="n"/>
      <c r="EX97" s="176" t="n"/>
      <c r="EY97" s="176" t="n"/>
      <c r="EZ97" s="176" t="n"/>
      <c r="FA97" s="176" t="n"/>
      <c r="FB97" s="176" t="n"/>
      <c r="FC97" s="176" t="n"/>
      <c r="FD97" s="176" t="n"/>
      <c r="FE97" s="176" t="n"/>
      <c r="FF97" s="176" t="n"/>
      <c r="FG97" s="176" t="n"/>
      <c r="FH97" s="176" t="n"/>
      <c r="FI97" s="176" t="n"/>
      <c r="FJ97" s="176" t="n"/>
    </row>
    <row r="98" ht="15" customHeight="1" s="392">
      <c r="A98" s="176" t="n"/>
      <c r="B98" s="180" t="n"/>
      <c r="C98" s="183" t="inlineStr">
        <is>
          <t xml:space="preserve">                Proceeds from Issuance of Long Term Debt</t>
        </is>
      </c>
      <c r="D98" s="190">
        <f>IF(COUNT(M98:EK98)&gt;0,MEDIAN(M98:EK98),"")</f>
        <v/>
      </c>
      <c r="E98" s="190">
        <f>IF(COUNT(M98:EK98)&gt;0,AVERAGE(M98:EK98),"")</f>
        <v/>
      </c>
      <c r="F98" s="190">
        <f>IF(COUNT(M98:EK98)&gt;0,MIN(M98:EK98),"")</f>
        <v/>
      </c>
      <c r="G98" s="190">
        <f>IF(COUNT(M98:EK98)&gt;0,MAX(M98:EK98),"")</f>
        <v/>
      </c>
      <c r="H98" s="190">
        <f>IF(COUNT(M98:EK98)&gt;0,QUARTILE(M98:EK98,1),"")</f>
        <v/>
      </c>
      <c r="I98" s="190">
        <f>IF(COUNT(M98:EK98)&gt;0,QUARTILE(M98:EK98,3),"")</f>
        <v/>
      </c>
      <c r="J98" s="190">
        <f>IF(COUNT(M98:EK98)&gt;1,STDEV(M98:EK98),"")</f>
        <v/>
      </c>
      <c r="K98" s="191">
        <f>IF(COUNT(M98:EK98)&gt;1,STDEV(M98:EK98)/AVERAGE(M98:EK98),"")</f>
        <v/>
      </c>
      <c r="M98" s="192" t="n"/>
      <c r="N98" s="192" t="n"/>
      <c r="O98" s="192" t="n"/>
      <c r="P98" s="192" t="n"/>
      <c r="Q98" s="192" t="n"/>
      <c r="R98" s="192" t="n"/>
      <c r="S98" s="192" t="n"/>
      <c r="T98" s="192" t="n"/>
      <c r="U98" s="192" t="n"/>
      <c r="V98" s="192" t="n"/>
      <c r="W98" s="192" t="n"/>
      <c r="X98" s="192" t="n"/>
      <c r="Y98" s="192" t="n"/>
      <c r="Z98" s="192" t="n"/>
      <c r="AA98" s="192" t="n"/>
      <c r="AB98" s="192" t="n"/>
      <c r="AC98" s="192" t="n"/>
      <c r="AD98" s="192" t="n"/>
      <c r="AE98" s="192" t="n"/>
      <c r="AF98" s="192" t="n"/>
      <c r="AG98" s="192" t="n"/>
      <c r="AH98" s="192" t="n"/>
      <c r="AI98" s="192" t="n"/>
      <c r="AJ98" s="192" t="n"/>
      <c r="AK98" s="192" t="n"/>
      <c r="AL98" s="192" t="n"/>
      <c r="AM98" s="192" t="n"/>
      <c r="AN98" s="192" t="n"/>
      <c r="AO98" s="192" t="n"/>
      <c r="AP98" s="192" t="n">
        <v>-86300</v>
      </c>
      <c r="AQ98" s="192" t="n"/>
      <c r="AR98" s="192" t="n"/>
      <c r="AS98" s="192" t="n"/>
      <c r="AT98" s="192" t="n"/>
      <c r="AU98" s="192" t="n"/>
      <c r="AV98" s="192" t="n"/>
      <c r="AW98" s="192" t="n"/>
      <c r="AX98" s="192" t="n"/>
      <c r="AY98" s="192" t="n">
        <v>-31900</v>
      </c>
      <c r="AZ98" s="192" t="n">
        <v>103900</v>
      </c>
      <c r="BA98" s="192" t="n">
        <v>238000</v>
      </c>
      <c r="BB98" s="192" t="n">
        <v>25468</v>
      </c>
      <c r="BC98" s="192" t="n"/>
      <c r="BD98" s="192" t="n"/>
      <c r="BE98" s="192" t="n">
        <v>0</v>
      </c>
      <c r="BF98" s="192" t="n">
        <v>0</v>
      </c>
      <c r="BG98" s="192" t="n"/>
      <c r="BH98" s="192" t="n"/>
      <c r="BI98" s="192" t="n"/>
      <c r="BJ98" s="192" t="n">
        <v>0</v>
      </c>
      <c r="BK98" s="192" t="n"/>
      <c r="BL98" s="192" t="n"/>
      <c r="BM98" s="192" t="n"/>
      <c r="BN98" s="192" t="n"/>
      <c r="BO98" s="192" t="n"/>
      <c r="BP98" s="192" t="n"/>
      <c r="BQ98" s="192" t="n">
        <v>0</v>
      </c>
      <c r="BR98" s="192" t="n">
        <v>0</v>
      </c>
      <c r="BS98" s="192" t="n">
        <v>0</v>
      </c>
      <c r="BT98" s="192" t="n">
        <v>125000</v>
      </c>
      <c r="BU98" s="192" t="n">
        <v>0</v>
      </c>
      <c r="BV98" s="192" t="n">
        <v>0</v>
      </c>
      <c r="BW98" s="192" t="n">
        <v>400000</v>
      </c>
      <c r="BX98" s="192" t="n">
        <v>0</v>
      </c>
      <c r="BY98" s="192" t="n">
        <v>0</v>
      </c>
      <c r="BZ98" s="192" t="n">
        <v>0</v>
      </c>
      <c r="CA98" s="192" t="n"/>
      <c r="CB98" s="192" t="n"/>
      <c r="CC98" s="192" t="n"/>
      <c r="CD98" s="192" t="n"/>
      <c r="CE98" s="192" t="n"/>
      <c r="CF98" s="192" t="n"/>
      <c r="CG98" s="192" t="n"/>
      <c r="CH98" s="192" t="n"/>
      <c r="CI98" s="192" t="n"/>
      <c r="CJ98" s="192" t="n"/>
      <c r="CK98" s="192" t="n"/>
      <c r="CL98" s="192" t="n"/>
      <c r="CM98" s="192" t="n"/>
      <c r="CN98" s="192" t="n"/>
      <c r="CO98" s="192" t="n"/>
      <c r="CP98" s="192" t="n"/>
      <c r="CQ98" s="192" t="n"/>
      <c r="CR98" s="192" t="n"/>
      <c r="CS98" s="192" t="n"/>
      <c r="CT98" s="192" t="n"/>
      <c r="CU98" s="192" t="n"/>
      <c r="CV98" s="192" t="n"/>
      <c r="CW98" s="192" t="n"/>
      <c r="CX98" s="192" t="n"/>
      <c r="CY98" s="192" t="n"/>
      <c r="CZ98" s="192" t="n"/>
      <c r="DA98" s="192" t="n"/>
      <c r="DB98" s="192" t="n"/>
      <c r="DC98" s="192" t="n"/>
      <c r="DD98" s="192" t="n"/>
      <c r="DE98" s="192" t="n"/>
      <c r="DF98" s="192" t="n"/>
      <c r="DG98" s="192" t="n"/>
      <c r="DH98" s="192" t="n"/>
      <c r="DI98" s="192" t="n"/>
      <c r="DJ98" s="192" t="n"/>
      <c r="DK98" s="192" t="n"/>
      <c r="DL98" s="192" t="n"/>
      <c r="DM98" s="192" t="n"/>
      <c r="DN98" s="192" t="n"/>
      <c r="DO98" s="192" t="n"/>
      <c r="DP98" s="192" t="n"/>
      <c r="DQ98" s="192" t="n"/>
      <c r="DR98" s="192" t="n"/>
      <c r="DS98" s="192" t="n"/>
      <c r="DT98" s="192" t="n"/>
      <c r="DU98" s="192" t="n"/>
      <c r="DV98" s="192" t="n"/>
      <c r="DW98" s="192" t="n"/>
      <c r="DX98" s="192" t="n"/>
      <c r="DY98" s="192" t="n"/>
      <c r="DZ98" s="192" t="n"/>
      <c r="EA98" s="192" t="n"/>
      <c r="EB98" s="192" t="n"/>
      <c r="EC98" s="192" t="n"/>
      <c r="ED98" s="192" t="n"/>
      <c r="EE98" s="192" t="n"/>
      <c r="EF98" s="192" t="n"/>
      <c r="EG98" s="192" t="n"/>
      <c r="EH98" s="192" t="n"/>
      <c r="EI98" s="192" t="n"/>
      <c r="EJ98" s="192" t="n"/>
      <c r="EK98" s="192" t="n"/>
      <c r="EL98" s="182" t="n"/>
      <c r="EM98" s="176" t="n"/>
      <c r="EN98" s="176" t="n"/>
      <c r="EO98" s="176" t="n"/>
      <c r="EP98" s="176" t="n"/>
      <c r="EQ98" s="176" t="n"/>
      <c r="ER98" s="176" t="n"/>
      <c r="ES98" s="176" t="n"/>
      <c r="ET98" s="176" t="n"/>
      <c r="EU98" s="176" t="n"/>
      <c r="EV98" s="176" t="n"/>
      <c r="EW98" s="176" t="n"/>
      <c r="EX98" s="176" t="n"/>
      <c r="EY98" s="176" t="n"/>
      <c r="EZ98" s="176" t="n"/>
      <c r="FA98" s="176" t="n"/>
      <c r="FB98" s="176" t="n"/>
      <c r="FC98" s="176" t="n"/>
      <c r="FD98" s="176" t="n"/>
      <c r="FE98" s="176" t="n"/>
      <c r="FF98" s="176" t="n"/>
      <c r="FG98" s="176" t="n"/>
      <c r="FH98" s="176" t="n"/>
      <c r="FI98" s="176" t="n"/>
      <c r="FJ98" s="176" t="n"/>
    </row>
    <row r="99" ht="15" customHeight="1" s="392">
      <c r="A99" s="176" t="n"/>
      <c r="B99" s="180" t="n"/>
      <c r="C99" s="183" t="inlineStr">
        <is>
          <t xml:space="preserve">                Repayments for Long Term Debt</t>
        </is>
      </c>
      <c r="D99" s="190">
        <f>IF(COUNT(M99:EK99)&gt;0,MEDIAN(M99:EK99),"")</f>
        <v/>
      </c>
      <c r="E99" s="190">
        <f>IF(COUNT(M99:EK99)&gt;0,AVERAGE(M99:EK99),"")</f>
        <v/>
      </c>
      <c r="F99" s="190">
        <f>IF(COUNT(M99:EK99)&gt;0,MIN(M99:EK99),"")</f>
        <v/>
      </c>
      <c r="G99" s="190">
        <f>IF(COUNT(M99:EK99)&gt;0,MAX(M99:EK99),"")</f>
        <v/>
      </c>
      <c r="H99" s="190">
        <f>IF(COUNT(M99:EK99)&gt;0,QUARTILE(M99:EK99,1),"")</f>
        <v/>
      </c>
      <c r="I99" s="190">
        <f>IF(COUNT(M99:EK99)&gt;0,QUARTILE(M99:EK99,3),"")</f>
        <v/>
      </c>
      <c r="J99" s="190">
        <f>IF(COUNT(M99:EK99)&gt;1,STDEV(M99:EK99),"")</f>
        <v/>
      </c>
      <c r="K99" s="191">
        <f>IF(COUNT(M99:EK99)&gt;1,STDEV(M99:EK99)/AVERAGE(M99:EK99),"")</f>
        <v/>
      </c>
      <c r="M99" s="192" t="n"/>
      <c r="N99" s="192" t="n"/>
      <c r="O99" s="192" t="n"/>
      <c r="P99" s="192" t="n"/>
      <c r="Q99" s="192" t="n"/>
      <c r="R99" s="192" t="n"/>
      <c r="S99" s="192" t="n"/>
      <c r="T99" s="192" t="n"/>
      <c r="U99" s="192" t="n"/>
      <c r="V99" s="192" t="n"/>
      <c r="W99" s="192" t="n"/>
      <c r="X99" s="192" t="n"/>
      <c r="Y99" s="192" t="n"/>
      <c r="Z99" s="192" t="n"/>
      <c r="AA99" s="192" t="n"/>
      <c r="AB99" s="192" t="n"/>
      <c r="AC99" s="192" t="n"/>
      <c r="AD99" s="192" t="n"/>
      <c r="AE99" s="192" t="n"/>
      <c r="AF99" s="192" t="n"/>
      <c r="AG99" s="192" t="n"/>
      <c r="AH99" s="192" t="n"/>
      <c r="AI99" s="192" t="n"/>
      <c r="AJ99" s="192" t="n"/>
      <c r="AK99" s="192" t="n"/>
      <c r="AL99" s="192" t="n"/>
      <c r="AM99" s="192" t="n"/>
      <c r="AN99" s="192" t="n"/>
      <c r="AO99" s="192" t="n"/>
      <c r="AP99" s="192" t="n"/>
      <c r="AQ99" s="192" t="n"/>
      <c r="AR99" s="192" t="n"/>
      <c r="AS99" s="192" t="n">
        <v>0</v>
      </c>
      <c r="AT99" s="192" t="n">
        <v>-110700</v>
      </c>
      <c r="AU99" s="192" t="n">
        <v>-71300</v>
      </c>
      <c r="AV99" s="192" t="n">
        <v>-49000</v>
      </c>
      <c r="AW99" s="192" t="n">
        <v>66000</v>
      </c>
      <c r="AX99" s="192" t="n"/>
      <c r="AY99" s="192" t="n"/>
      <c r="AZ99" s="192" t="n"/>
      <c r="BA99" s="192" t="n">
        <v>-300000</v>
      </c>
      <c r="BB99" s="192" t="n">
        <v>0</v>
      </c>
      <c r="BC99" s="192" t="n">
        <v>-18750</v>
      </c>
      <c r="BD99" s="192" t="n">
        <v>-18750</v>
      </c>
      <c r="BE99" s="192" t="n">
        <v>-18750</v>
      </c>
      <c r="BF99" s="192" t="n">
        <v>-18750</v>
      </c>
      <c r="BG99" s="192" t="n">
        <v>-293750</v>
      </c>
      <c r="BH99" s="192" t="n">
        <v>-18750</v>
      </c>
      <c r="BI99" s="192" t="n">
        <v>-18750</v>
      </c>
      <c r="BJ99" s="192" t="n">
        <v>-18750</v>
      </c>
      <c r="BK99" s="192" t="n">
        <v>-18750</v>
      </c>
      <c r="BL99" s="192" t="n">
        <v>-18750</v>
      </c>
      <c r="BM99" s="192" t="n">
        <v>-40405</v>
      </c>
      <c r="BN99" s="192" t="n">
        <v>-18750</v>
      </c>
      <c r="BO99" s="192" t="n">
        <v>-18750</v>
      </c>
      <c r="BP99" s="192" t="n">
        <v>-18755</v>
      </c>
      <c r="BQ99" s="192" t="n">
        <v>-18750</v>
      </c>
      <c r="BR99" s="192" t="n">
        <v>-18750</v>
      </c>
      <c r="BS99" s="192" t="n">
        <v>-18750</v>
      </c>
      <c r="BT99" s="192" t="n">
        <v>0</v>
      </c>
      <c r="BU99" s="192" t="n">
        <v>-12500</v>
      </c>
      <c r="BV99" s="192" t="n">
        <v>-12500</v>
      </c>
      <c r="BW99" s="192" t="n"/>
      <c r="BX99" s="192" t="n"/>
      <c r="BY99" s="192" t="n"/>
      <c r="BZ99" s="192" t="n"/>
      <c r="CA99" s="192" t="n"/>
      <c r="CB99" s="192" t="n"/>
      <c r="CC99" s="192" t="n">
        <v>0</v>
      </c>
      <c r="CD99" s="192" t="n">
        <v>-9910</v>
      </c>
      <c r="CE99" s="192" t="n"/>
      <c r="CF99" s="192" t="n"/>
      <c r="CG99" s="192" t="n"/>
      <c r="CH99" s="192" t="n"/>
      <c r="CI99" s="192" t="n"/>
      <c r="CJ99" s="192" t="n"/>
      <c r="CK99" s="192" t="n"/>
      <c r="CL99" s="192" t="n"/>
      <c r="CM99" s="192" t="n"/>
      <c r="CN99" s="192" t="n"/>
      <c r="CO99" s="192" t="n"/>
      <c r="CP99" s="192" t="n"/>
      <c r="CQ99" s="192" t="n"/>
      <c r="CR99" s="192" t="n"/>
      <c r="CS99" s="192" t="n"/>
      <c r="CT99" s="192" t="n"/>
      <c r="CU99" s="192" t="n"/>
      <c r="CV99" s="192" t="n"/>
      <c r="CW99" s="192" t="n"/>
      <c r="CX99" s="192" t="n"/>
      <c r="CY99" s="192" t="n"/>
      <c r="CZ99" s="192" t="n"/>
      <c r="DA99" s="192" t="n"/>
      <c r="DB99" s="192" t="n"/>
      <c r="DC99" s="192" t="n"/>
      <c r="DD99" s="192" t="n"/>
      <c r="DE99" s="192" t="n"/>
      <c r="DF99" s="192" t="n"/>
      <c r="DG99" s="192" t="n"/>
      <c r="DH99" s="192" t="n"/>
      <c r="DI99" s="192" t="n"/>
      <c r="DJ99" s="192" t="n"/>
      <c r="DK99" s="192" t="n"/>
      <c r="DL99" s="192" t="n"/>
      <c r="DM99" s="192" t="n"/>
      <c r="DN99" s="192" t="n"/>
      <c r="DO99" s="192" t="n"/>
      <c r="DP99" s="192" t="n"/>
      <c r="DQ99" s="192" t="n"/>
      <c r="DR99" s="192" t="n"/>
      <c r="DS99" s="192" t="n"/>
      <c r="DT99" s="192" t="n"/>
      <c r="DU99" s="192" t="n"/>
      <c r="DV99" s="192" t="n"/>
      <c r="DW99" s="192" t="n"/>
      <c r="DX99" s="192" t="n"/>
      <c r="DY99" s="192" t="n"/>
      <c r="DZ99" s="192" t="n"/>
      <c r="EA99" s="192" t="n"/>
      <c r="EB99" s="192" t="n"/>
      <c r="EC99" s="192" t="n"/>
      <c r="ED99" s="192" t="n"/>
      <c r="EE99" s="192" t="n"/>
      <c r="EF99" s="192" t="n"/>
      <c r="EG99" s="192" t="n"/>
      <c r="EH99" s="192" t="n"/>
      <c r="EI99" s="192" t="n"/>
      <c r="EJ99" s="192" t="n"/>
      <c r="EK99" s="192" t="n"/>
      <c r="EL99" s="182" t="n"/>
      <c r="EM99" s="176" t="n"/>
      <c r="EN99" s="176" t="n"/>
      <c r="EO99" s="176" t="n"/>
      <c r="EP99" s="176" t="n"/>
      <c r="EQ99" s="176" t="n"/>
      <c r="ER99" s="176" t="n"/>
      <c r="ES99" s="176" t="n"/>
      <c r="ET99" s="176" t="n"/>
      <c r="EU99" s="176" t="n"/>
      <c r="EV99" s="176" t="n"/>
      <c r="EW99" s="176" t="n"/>
      <c r="EX99" s="176" t="n"/>
      <c r="EY99" s="176" t="n"/>
      <c r="EZ99" s="176" t="n"/>
      <c r="FA99" s="176" t="n"/>
      <c r="FB99" s="176" t="n"/>
      <c r="FC99" s="176" t="n"/>
      <c r="FD99" s="176" t="n"/>
      <c r="FE99" s="176" t="n"/>
      <c r="FF99" s="176" t="n"/>
      <c r="FG99" s="176" t="n"/>
      <c r="FH99" s="176" t="n"/>
      <c r="FI99" s="176" t="n"/>
      <c r="FJ99" s="176" t="n"/>
    </row>
    <row r="100" ht="15" customHeight="1" s="392">
      <c r="A100" s="176" t="n"/>
      <c r="B100" s="180" t="n"/>
      <c r="C100" s="187" t="inlineStr">
        <is>
          <t xml:space="preserve">            Total Issuance of/(Repayments for) Long Term Debt, Net</t>
        </is>
      </c>
      <c r="D100" s="193">
        <f>IF(COUNT(M100:EK100)&gt;0,MEDIAN(M100:EK100),"")</f>
        <v/>
      </c>
      <c r="E100" s="193">
        <f>IF(COUNT(M100:EK100)&gt;0,AVERAGE(M100:EK100),"")</f>
        <v/>
      </c>
      <c r="F100" s="193">
        <f>IF(COUNT(M100:EK100)&gt;0,MIN(M100:EK100),"")</f>
        <v/>
      </c>
      <c r="G100" s="193">
        <f>IF(COUNT(M100:EK100)&gt;0,MAX(M100:EK100),"")</f>
        <v/>
      </c>
      <c r="H100" s="193">
        <f>IF(COUNT(M100:EK100)&gt;0,QUARTILE(M100:EK100,1),"")</f>
        <v/>
      </c>
      <c r="I100" s="193">
        <f>IF(COUNT(M100:EK100)&gt;0,QUARTILE(M100:EK100,3),"")</f>
        <v/>
      </c>
      <c r="J100" s="193">
        <f>IF(COUNT(M100:EK100)&gt;1,STDEV(M100:EK100),"")</f>
        <v/>
      </c>
      <c r="K100" s="194">
        <f>IF(COUNT(M100:EK100)&gt;1,STDEV(M100:EK100)/AVERAGE(M100:EK100),"")</f>
        <v/>
      </c>
      <c r="L100" s="195" t="n"/>
      <c r="M100" s="196" t="n"/>
      <c r="N100" s="196" t="n"/>
      <c r="O100" s="196" t="n"/>
      <c r="P100" s="196" t="n"/>
      <c r="Q100" s="196" t="n"/>
      <c r="R100" s="196" t="n"/>
      <c r="S100" s="196" t="n"/>
      <c r="T100" s="196" t="n"/>
      <c r="U100" s="196" t="n"/>
      <c r="V100" s="196" t="n"/>
      <c r="W100" s="196" t="n"/>
      <c r="X100" s="196" t="n"/>
      <c r="Y100" s="196" t="n"/>
      <c r="Z100" s="196" t="n"/>
      <c r="AA100" s="196" t="n"/>
      <c r="AB100" s="196" t="n"/>
      <c r="AC100" s="196" t="n"/>
      <c r="AD100" s="196" t="n"/>
      <c r="AE100" s="196" t="n"/>
      <c r="AF100" s="196" t="n"/>
      <c r="AG100" s="196" t="n"/>
      <c r="AH100" s="196" t="n"/>
      <c r="AI100" s="196" t="n"/>
      <c r="AJ100" s="196" t="n"/>
      <c r="AK100" s="196" t="n"/>
      <c r="AL100" s="196" t="n"/>
      <c r="AM100" s="196" t="n"/>
      <c r="AN100" s="196" t="n"/>
      <c r="AO100" s="196" t="n"/>
      <c r="AP100" s="196" t="n">
        <v>-86300</v>
      </c>
      <c r="AQ100" s="196" t="n"/>
      <c r="AR100" s="196" t="n"/>
      <c r="AS100" s="196" t="n">
        <v>0</v>
      </c>
      <c r="AT100" s="196" t="n">
        <v>-110700</v>
      </c>
      <c r="AU100" s="196" t="n">
        <v>-71300</v>
      </c>
      <c r="AV100" s="196" t="n">
        <v>-49000</v>
      </c>
      <c r="AW100" s="196" t="n">
        <v>66000</v>
      </c>
      <c r="AX100" s="196" t="n">
        <v>-145000</v>
      </c>
      <c r="AY100" s="196" t="n">
        <v>-31900</v>
      </c>
      <c r="AZ100" s="196" t="n">
        <v>103900</v>
      </c>
      <c r="BA100" s="196" t="n">
        <v>-62000</v>
      </c>
      <c r="BB100" s="196" t="n">
        <v>25468</v>
      </c>
      <c r="BC100" s="196" t="n">
        <v>49250</v>
      </c>
      <c r="BD100" s="196" t="n">
        <v>-18750</v>
      </c>
      <c r="BE100" s="196" t="n">
        <v>-18750</v>
      </c>
      <c r="BF100" s="196" t="n">
        <v>-18750</v>
      </c>
      <c r="BG100" s="196" t="n">
        <v>405189</v>
      </c>
      <c r="BH100" s="196" t="n">
        <v>-18750</v>
      </c>
      <c r="BI100" s="196" t="n">
        <v>-18750</v>
      </c>
      <c r="BJ100" s="196" t="n">
        <v>-18750</v>
      </c>
      <c r="BK100" s="196" t="n">
        <v>-18750</v>
      </c>
      <c r="BL100" s="196" t="n">
        <v>-18750</v>
      </c>
      <c r="BM100" s="196" t="n">
        <v>-40405</v>
      </c>
      <c r="BN100" s="196" t="n">
        <v>-18750</v>
      </c>
      <c r="BO100" s="196" t="n">
        <v>-18750</v>
      </c>
      <c r="BP100" s="196" t="n">
        <v>-18755</v>
      </c>
      <c r="BQ100" s="196" t="n">
        <v>-18750</v>
      </c>
      <c r="BR100" s="196" t="n">
        <v>-18750</v>
      </c>
      <c r="BS100" s="196" t="n">
        <v>-18750</v>
      </c>
      <c r="BT100" s="196" t="n">
        <v>125000</v>
      </c>
      <c r="BU100" s="196" t="n">
        <v>-12500</v>
      </c>
      <c r="BV100" s="196" t="n">
        <v>-12500</v>
      </c>
      <c r="BW100" s="196" t="n">
        <v>400000</v>
      </c>
      <c r="BX100" s="196" t="n">
        <v>0</v>
      </c>
      <c r="BY100" s="196" t="n">
        <v>0</v>
      </c>
      <c r="BZ100" s="196" t="n">
        <v>0</v>
      </c>
      <c r="CA100" s="196" t="n"/>
      <c r="CB100" s="196" t="n"/>
      <c r="CC100" s="196" t="n">
        <v>0</v>
      </c>
      <c r="CD100" s="196" t="n">
        <v>-9910</v>
      </c>
      <c r="CE100" s="196" t="n"/>
      <c r="CF100" s="196" t="n"/>
      <c r="CG100" s="196" t="n"/>
      <c r="CH100" s="196" t="n"/>
      <c r="CI100" s="196" t="n"/>
      <c r="CJ100" s="196" t="n"/>
      <c r="CK100" s="196" t="n"/>
      <c r="CL100" s="196" t="n"/>
      <c r="CM100" s="196" t="n"/>
      <c r="CN100" s="196" t="n"/>
      <c r="CO100" s="196" t="n"/>
      <c r="CP100" s="196" t="n"/>
      <c r="CQ100" s="196" t="n"/>
      <c r="CR100" s="196" t="n"/>
      <c r="CS100" s="196" t="n"/>
      <c r="CT100" s="196" t="n"/>
      <c r="CU100" s="196" t="n"/>
      <c r="CV100" s="196" t="n"/>
      <c r="CW100" s="196" t="n"/>
      <c r="CX100" s="196" t="n"/>
      <c r="CY100" s="196" t="n"/>
      <c r="CZ100" s="196" t="n"/>
      <c r="DA100" s="196" t="n"/>
      <c r="DB100" s="196" t="n"/>
      <c r="DC100" s="196" t="n"/>
      <c r="DD100" s="196" t="n"/>
      <c r="DE100" s="196" t="n"/>
      <c r="DF100" s="196" t="n"/>
      <c r="DG100" s="196" t="n"/>
      <c r="DH100" s="196" t="n"/>
      <c r="DI100" s="196" t="n"/>
      <c r="DJ100" s="196" t="n"/>
      <c r="DK100" s="196" t="n"/>
      <c r="DL100" s="196" t="n"/>
      <c r="DM100" s="196" t="n"/>
      <c r="DN100" s="196" t="n"/>
      <c r="DO100" s="196" t="n"/>
      <c r="DP100" s="196" t="n"/>
      <c r="DQ100" s="196" t="n"/>
      <c r="DR100" s="196" t="n"/>
      <c r="DS100" s="196" t="n"/>
      <c r="DT100" s="196" t="n"/>
      <c r="DU100" s="196" t="n"/>
      <c r="DV100" s="196" t="n"/>
      <c r="DW100" s="196" t="n"/>
      <c r="DX100" s="196" t="n"/>
      <c r="DY100" s="196" t="n"/>
      <c r="DZ100" s="196" t="n"/>
      <c r="EA100" s="196" t="n"/>
      <c r="EB100" s="196" t="n"/>
      <c r="EC100" s="196" t="n"/>
      <c r="ED100" s="196" t="n"/>
      <c r="EE100" s="196" t="n"/>
      <c r="EF100" s="196" t="n"/>
      <c r="EG100" s="196" t="n"/>
      <c r="EH100" s="196" t="n"/>
      <c r="EI100" s="196" t="n"/>
      <c r="EJ100" s="196" t="n"/>
      <c r="EK100" s="196" t="n"/>
      <c r="EL100" s="182" t="n"/>
      <c r="EM100" s="176" t="n"/>
      <c r="EN100" s="176" t="n"/>
      <c r="EO100" s="176" t="n"/>
      <c r="EP100" s="176" t="n"/>
      <c r="EQ100" s="176" t="n"/>
      <c r="ER100" s="176" t="n"/>
      <c r="ES100" s="176" t="n"/>
      <c r="ET100" s="176" t="n"/>
      <c r="EU100" s="176" t="n"/>
      <c r="EV100" s="176" t="n"/>
      <c r="EW100" s="176" t="n"/>
      <c r="EX100" s="176" t="n"/>
      <c r="EY100" s="176" t="n"/>
      <c r="EZ100" s="176" t="n"/>
      <c r="FA100" s="176" t="n"/>
      <c r="FB100" s="176" t="n"/>
      <c r="FC100" s="176" t="n"/>
      <c r="FD100" s="176" t="n"/>
      <c r="FE100" s="176" t="n"/>
      <c r="FF100" s="176" t="n"/>
      <c r="FG100" s="176" t="n"/>
      <c r="FH100" s="176" t="n"/>
      <c r="FI100" s="176" t="n"/>
      <c r="FJ100" s="176" t="n"/>
    </row>
    <row r="101" ht="15" customHeight="1" s="392">
      <c r="A101" s="176" t="n"/>
      <c r="B101" s="180" t="n"/>
      <c r="C101" s="187" t="inlineStr">
        <is>
          <t xml:space="preserve">        Total Issuance of/(Repayments for) Debt, Net</t>
        </is>
      </c>
      <c r="D101" s="193">
        <f>IF(COUNT(M101:EK101)&gt;0,MEDIAN(M101:EK101),"")</f>
        <v/>
      </c>
      <c r="E101" s="193">
        <f>IF(COUNT(M101:EK101)&gt;0,AVERAGE(M101:EK101),"")</f>
        <v/>
      </c>
      <c r="F101" s="193">
        <f>IF(COUNT(M101:EK101)&gt;0,MIN(M101:EK101),"")</f>
        <v/>
      </c>
      <c r="G101" s="193">
        <f>IF(COUNT(M101:EK101)&gt;0,MAX(M101:EK101),"")</f>
        <v/>
      </c>
      <c r="H101" s="193">
        <f>IF(COUNT(M101:EK101)&gt;0,QUARTILE(M101:EK101,1),"")</f>
        <v/>
      </c>
      <c r="I101" s="193">
        <f>IF(COUNT(M101:EK101)&gt;0,QUARTILE(M101:EK101,3),"")</f>
        <v/>
      </c>
      <c r="J101" s="193">
        <f>IF(COUNT(M101:EK101)&gt;1,STDEV(M101:EK101),"")</f>
        <v/>
      </c>
      <c r="K101" s="194">
        <f>IF(COUNT(M101:EK101)&gt;1,STDEV(M101:EK101)/AVERAGE(M101:EK101),"")</f>
        <v/>
      </c>
      <c r="L101" s="195" t="n"/>
      <c r="M101" s="196" t="n"/>
      <c r="N101" s="196" t="n"/>
      <c r="O101" s="196" t="n"/>
      <c r="P101" s="196" t="n"/>
      <c r="Q101" s="196" t="n"/>
      <c r="R101" s="196" t="n"/>
      <c r="S101" s="196" t="n"/>
      <c r="T101" s="196" t="n"/>
      <c r="U101" s="196" t="n">
        <v>-3</v>
      </c>
      <c r="V101" s="196" t="n">
        <v>2</v>
      </c>
      <c r="W101" s="196" t="n"/>
      <c r="X101" s="196" t="n"/>
      <c r="Y101" s="196" t="n">
        <v>-10911</v>
      </c>
      <c r="Z101" s="196" t="n">
        <v>21481</v>
      </c>
      <c r="AA101" s="196" t="n"/>
      <c r="AB101" s="196" t="n"/>
      <c r="AC101" s="196" t="n">
        <v>-416759</v>
      </c>
      <c r="AD101" s="196" t="n"/>
      <c r="AE101" s="196" t="n"/>
      <c r="AF101" s="196" t="n"/>
      <c r="AG101" s="196" t="n"/>
      <c r="AH101" s="196" t="n"/>
      <c r="AI101" s="196" t="n"/>
      <c r="AJ101" s="196" t="n"/>
      <c r="AK101" s="196" t="n"/>
      <c r="AL101" s="196" t="n"/>
      <c r="AM101" s="196" t="n"/>
      <c r="AN101" s="196" t="n"/>
      <c r="AO101" s="196" t="n"/>
      <c r="AP101" s="196" t="n">
        <v>-86300</v>
      </c>
      <c r="AQ101" s="196" t="n"/>
      <c r="AR101" s="196" t="n"/>
      <c r="AS101" s="196" t="n">
        <v>0</v>
      </c>
      <c r="AT101" s="196" t="n">
        <v>-110700</v>
      </c>
      <c r="AU101" s="196" t="n">
        <v>-71300</v>
      </c>
      <c r="AV101" s="196" t="n">
        <v>-49000</v>
      </c>
      <c r="AW101" s="196" t="n">
        <v>66000</v>
      </c>
      <c r="AX101" s="196" t="n">
        <v>-145000</v>
      </c>
      <c r="AY101" s="196" t="n">
        <v>-31900</v>
      </c>
      <c r="AZ101" s="196" t="n">
        <v>103900</v>
      </c>
      <c r="BA101" s="196" t="n">
        <v>-62000</v>
      </c>
      <c r="BB101" s="196" t="n">
        <v>25468</v>
      </c>
      <c r="BC101" s="196" t="n">
        <v>49250</v>
      </c>
      <c r="BD101" s="196" t="n">
        <v>-18750</v>
      </c>
      <c r="BE101" s="196" t="n">
        <v>-18750</v>
      </c>
      <c r="BF101" s="196" t="n">
        <v>-18750</v>
      </c>
      <c r="BG101" s="196" t="n">
        <v>405189</v>
      </c>
      <c r="BH101" s="196" t="n">
        <v>-18750</v>
      </c>
      <c r="BI101" s="196" t="n">
        <v>-18750</v>
      </c>
      <c r="BJ101" s="196" t="n">
        <v>-35784</v>
      </c>
      <c r="BK101" s="196" t="n">
        <v>-1716</v>
      </c>
      <c r="BL101" s="196" t="n">
        <v>-35041</v>
      </c>
      <c r="BM101" s="196" t="n">
        <v>-24114</v>
      </c>
      <c r="BN101" s="196" t="n">
        <v>-18750</v>
      </c>
      <c r="BO101" s="196" t="n">
        <v>-18750</v>
      </c>
      <c r="BP101" s="196" t="n">
        <v>-18755</v>
      </c>
      <c r="BQ101" s="196" t="n">
        <v>-18750</v>
      </c>
      <c r="BR101" s="196" t="n">
        <v>-18750</v>
      </c>
      <c r="BS101" s="196" t="n">
        <v>-18750</v>
      </c>
      <c r="BT101" s="196" t="n">
        <v>125000</v>
      </c>
      <c r="BU101" s="196" t="n">
        <v>-12500</v>
      </c>
      <c r="BV101" s="196" t="n">
        <v>-12500</v>
      </c>
      <c r="BW101" s="196" t="n">
        <v>400000</v>
      </c>
      <c r="BX101" s="196" t="n">
        <v>0</v>
      </c>
      <c r="BY101" s="196" t="n">
        <v>0</v>
      </c>
      <c r="BZ101" s="196" t="n">
        <v>0</v>
      </c>
      <c r="CA101" s="196" t="n"/>
      <c r="CB101" s="196" t="n"/>
      <c r="CC101" s="196" t="n">
        <v>0</v>
      </c>
      <c r="CD101" s="196" t="n">
        <v>-9910</v>
      </c>
      <c r="CE101" s="196" t="n">
        <v>2331</v>
      </c>
      <c r="CF101" s="196" t="n">
        <v>-9923</v>
      </c>
      <c r="CG101" s="196" t="n"/>
      <c r="CH101" s="196" t="n"/>
      <c r="CI101" s="196" t="n"/>
      <c r="CJ101" s="196" t="n"/>
      <c r="CK101" s="196" t="n"/>
      <c r="CL101" s="196" t="n"/>
      <c r="CM101" s="196" t="n"/>
      <c r="CN101" s="196" t="n"/>
      <c r="CO101" s="196" t="n"/>
      <c r="CP101" s="196" t="n"/>
      <c r="CQ101" s="196" t="n"/>
      <c r="CR101" s="196" t="n"/>
      <c r="CS101" s="196" t="n"/>
      <c r="CT101" s="196" t="n"/>
      <c r="CU101" s="196" t="n"/>
      <c r="CV101" s="196" t="n"/>
      <c r="CW101" s="196" t="n"/>
      <c r="CX101" s="196" t="n"/>
      <c r="CY101" s="196" t="n">
        <v>-1.8</v>
      </c>
      <c r="CZ101" s="196" t="n">
        <v>-86.2</v>
      </c>
      <c r="DA101" s="196" t="n"/>
      <c r="DB101" s="196" t="n">
        <v>-85.3</v>
      </c>
      <c r="DC101" s="196" t="n">
        <v>-80.40000000000001</v>
      </c>
      <c r="DD101" s="196" t="n">
        <v>-79</v>
      </c>
      <c r="DE101" s="196" t="n">
        <v>-77.7</v>
      </c>
      <c r="DF101" s="196" t="n">
        <v>-76.3</v>
      </c>
      <c r="DG101" s="196" t="n">
        <v>-75.2</v>
      </c>
      <c r="DH101" s="196" t="n">
        <v>-73.7</v>
      </c>
      <c r="DI101" s="196" t="n">
        <v>-7572.6</v>
      </c>
      <c r="DJ101" s="196" t="n">
        <v>-88.8</v>
      </c>
      <c r="DK101" s="196" t="n">
        <v>-159.9</v>
      </c>
      <c r="DL101" s="196" t="n">
        <v>-21.1</v>
      </c>
      <c r="DM101" s="196" t="n">
        <v>973.8</v>
      </c>
      <c r="DN101" s="196" t="n">
        <v>-39.4</v>
      </c>
      <c r="DO101" s="196" t="n">
        <v>-100</v>
      </c>
      <c r="DP101" s="196" t="n">
        <v>-100</v>
      </c>
      <c r="DQ101" s="196" t="n">
        <v>-100</v>
      </c>
      <c r="DR101" s="196" t="n">
        <v>-200</v>
      </c>
      <c r="DS101" s="196" t="n">
        <v>-100</v>
      </c>
      <c r="DT101" s="196" t="n">
        <v>-200</v>
      </c>
      <c r="DU101" s="196" t="n">
        <v>0</v>
      </c>
      <c r="DV101" s="196" t="n">
        <v>200</v>
      </c>
      <c r="DW101" s="196" t="n">
        <v>200</v>
      </c>
      <c r="DX101" s="196" t="n">
        <v>-1700</v>
      </c>
      <c r="DY101" s="196" t="n">
        <v>-800</v>
      </c>
      <c r="DZ101" s="196" t="n">
        <v>-300</v>
      </c>
      <c r="EA101" s="196" t="n">
        <v>-200</v>
      </c>
      <c r="EB101" s="196" t="n">
        <v>-200</v>
      </c>
      <c r="EC101" s="196" t="n">
        <v>-100</v>
      </c>
      <c r="ED101" s="196" t="n">
        <v>-200</v>
      </c>
      <c r="EE101" s="196" t="n">
        <v>-200</v>
      </c>
      <c r="EF101" s="196" t="n">
        <v>-100</v>
      </c>
      <c r="EG101" s="196" t="n">
        <v>200</v>
      </c>
      <c r="EH101" s="196" t="n">
        <v>-400</v>
      </c>
      <c r="EI101" s="196" t="n"/>
      <c r="EJ101" s="196" t="n"/>
      <c r="EK101" s="196" t="n">
        <v>-100</v>
      </c>
      <c r="EL101" s="182" t="n"/>
      <c r="EM101" s="176" t="n"/>
      <c r="EN101" s="176" t="n"/>
      <c r="EO101" s="176" t="n"/>
      <c r="EP101" s="176" t="n"/>
      <c r="EQ101" s="176" t="n"/>
      <c r="ER101" s="176" t="n"/>
      <c r="ES101" s="176" t="n"/>
      <c r="ET101" s="176" t="n"/>
      <c r="EU101" s="176" t="n"/>
      <c r="EV101" s="176" t="n"/>
      <c r="EW101" s="176" t="n"/>
      <c r="EX101" s="176" t="n"/>
      <c r="EY101" s="176" t="n"/>
      <c r="EZ101" s="176" t="n"/>
      <c r="FA101" s="176" t="n"/>
      <c r="FB101" s="176" t="n"/>
      <c r="FC101" s="176" t="n"/>
      <c r="FD101" s="176" t="n"/>
      <c r="FE101" s="176" t="n"/>
      <c r="FF101" s="176" t="n"/>
      <c r="FG101" s="176" t="n"/>
      <c r="FH101" s="176" t="n"/>
      <c r="FI101" s="176" t="n"/>
      <c r="FJ101" s="176" t="n"/>
    </row>
    <row r="102" ht="15" customHeight="1" s="392">
      <c r="A102" s="176" t="n"/>
      <c r="B102" s="180" t="n"/>
      <c r="C102" s="183" t="inlineStr">
        <is>
          <t xml:space="preserve">        Issuance of/(Repayments for) Lease Financing</t>
        </is>
      </c>
      <c r="D102" s="185" t="n"/>
      <c r="E102" s="185" t="n"/>
      <c r="F102" s="185" t="n"/>
      <c r="G102" s="185" t="n"/>
      <c r="H102" s="185" t="n"/>
      <c r="I102" s="185" t="n"/>
      <c r="J102" s="185" t="n"/>
      <c r="K102" s="185" t="n"/>
      <c r="EL102" s="182" t="n"/>
      <c r="EM102" s="176" t="n"/>
      <c r="EN102" s="176" t="n"/>
      <c r="EO102" s="176" t="n"/>
      <c r="EP102" s="176" t="n"/>
      <c r="EQ102" s="176" t="n"/>
      <c r="ER102" s="176" t="n"/>
      <c r="ES102" s="176" t="n"/>
      <c r="ET102" s="176" t="n"/>
      <c r="EU102" s="176" t="n"/>
      <c r="EV102" s="176" t="n"/>
      <c r="EW102" s="176" t="n"/>
      <c r="EX102" s="176" t="n"/>
      <c r="EY102" s="176" t="n"/>
      <c r="EZ102" s="176" t="n"/>
      <c r="FA102" s="176" t="n"/>
      <c r="FB102" s="176" t="n"/>
      <c r="FC102" s="176" t="n"/>
      <c r="FD102" s="176" t="n"/>
      <c r="FE102" s="176" t="n"/>
      <c r="FF102" s="176" t="n"/>
      <c r="FG102" s="176" t="n"/>
      <c r="FH102" s="176" t="n"/>
      <c r="FI102" s="176" t="n"/>
      <c r="FJ102" s="176" t="n"/>
    </row>
    <row r="103" ht="15" customHeight="1" s="392">
      <c r="A103" s="176" t="n"/>
      <c r="B103" s="180" t="n"/>
      <c r="C103" s="183" t="inlineStr">
        <is>
          <t xml:space="preserve">            Repayments for Lease Financing</t>
        </is>
      </c>
      <c r="D103" s="190">
        <f>IF(COUNT(M103:EK103)&gt;0,MEDIAN(M103:EK103),"")</f>
        <v/>
      </c>
      <c r="E103" s="190">
        <f>IF(COUNT(M103:EK103)&gt;0,AVERAGE(M103:EK103),"")</f>
        <v/>
      </c>
      <c r="F103" s="190">
        <f>IF(COUNT(M103:EK103)&gt;0,MIN(M103:EK103),"")</f>
        <v/>
      </c>
      <c r="G103" s="190">
        <f>IF(COUNT(M103:EK103)&gt;0,MAX(M103:EK103),"")</f>
        <v/>
      </c>
      <c r="H103" s="190">
        <f>IF(COUNT(M103:EK103)&gt;0,QUARTILE(M103:EK103,1),"")</f>
        <v/>
      </c>
      <c r="I103" s="190">
        <f>IF(COUNT(M103:EK103)&gt;0,QUARTILE(M103:EK103,3),"")</f>
        <v/>
      </c>
      <c r="J103" s="190">
        <f>IF(COUNT(M103:EK103)&gt;1,STDEV(M103:EK103),"")</f>
        <v/>
      </c>
      <c r="K103" s="191">
        <f>IF(COUNT(M103:EK103)&gt;1,STDEV(M103:EK103)/AVERAGE(M103:EK103),"")</f>
        <v/>
      </c>
      <c r="M103" s="192" t="n">
        <v>-49</v>
      </c>
      <c r="N103" s="192" t="n">
        <v>-5</v>
      </c>
      <c r="O103" s="192" t="n">
        <v>-1</v>
      </c>
      <c r="P103" s="192" t="n">
        <v>-5</v>
      </c>
      <c r="Q103" s="192" t="n">
        <v>-5</v>
      </c>
      <c r="R103" s="192" t="n">
        <v>-4</v>
      </c>
      <c r="S103" s="192" t="n">
        <v>-40</v>
      </c>
      <c r="T103" s="192" t="n">
        <v>0</v>
      </c>
      <c r="U103" s="192" t="n">
        <v>0</v>
      </c>
      <c r="V103" s="192" t="n">
        <v>-3</v>
      </c>
      <c r="W103" s="192" t="n">
        <v>-6</v>
      </c>
      <c r="X103" s="192" t="n">
        <v>-5</v>
      </c>
      <c r="Y103" s="192" t="n">
        <v>-5</v>
      </c>
      <c r="Z103" s="192" t="n">
        <v>-5</v>
      </c>
      <c r="AA103" s="192" t="n">
        <v>-6</v>
      </c>
      <c r="AB103" s="192" t="n">
        <v>-7</v>
      </c>
      <c r="AC103" s="192" t="n">
        <v>-58</v>
      </c>
      <c r="AD103" s="192" t="n">
        <v>-158</v>
      </c>
      <c r="AE103" s="192" t="n">
        <v>-157</v>
      </c>
      <c r="AF103" s="192" t="n">
        <v>-157</v>
      </c>
      <c r="AG103" s="192" t="n">
        <v>-156</v>
      </c>
      <c r="AH103" s="192" t="n">
        <v>-340</v>
      </c>
      <c r="AI103" s="192" t="n">
        <v>-295</v>
      </c>
      <c r="AJ103" s="192" t="n">
        <v>-327</v>
      </c>
      <c r="AK103" s="192" t="n">
        <v>-1065</v>
      </c>
      <c r="AL103" s="192" t="n">
        <v>0</v>
      </c>
      <c r="AM103" s="192" t="n">
        <v>0</v>
      </c>
      <c r="AN103" s="192" t="n">
        <v>0</v>
      </c>
      <c r="AO103" s="192" t="n"/>
      <c r="AP103" s="192" t="n"/>
      <c r="AQ103" s="192" t="n"/>
      <c r="AR103" s="192" t="n"/>
      <c r="AS103" s="192" t="n"/>
      <c r="AT103" s="192" t="n"/>
      <c r="AU103" s="192" t="n"/>
      <c r="AV103" s="192" t="n"/>
      <c r="AW103" s="192" t="n"/>
      <c r="AX103" s="192" t="n"/>
      <c r="AY103" s="192" t="n"/>
      <c r="AZ103" s="192" t="n"/>
      <c r="BA103" s="192" t="n"/>
      <c r="BB103" s="192" t="n"/>
      <c r="BC103" s="192" t="n"/>
      <c r="BD103" s="192" t="n"/>
      <c r="BE103" s="192" t="n"/>
      <c r="BF103" s="192" t="n"/>
      <c r="BG103" s="192" t="n"/>
      <c r="BH103" s="192" t="n"/>
      <c r="BI103" s="192" t="n"/>
      <c r="BJ103" s="192" t="n"/>
      <c r="BK103" s="192" t="n"/>
      <c r="BL103" s="192" t="n"/>
      <c r="BM103" s="192" t="n"/>
      <c r="BN103" s="192" t="n"/>
      <c r="BO103" s="192" t="n"/>
      <c r="BP103" s="192" t="n"/>
      <c r="BQ103" s="192" t="n"/>
      <c r="BR103" s="192" t="n"/>
      <c r="BS103" s="192" t="n"/>
      <c r="BT103" s="192" t="n"/>
      <c r="BU103" s="192" t="n"/>
      <c r="BV103" s="192" t="n"/>
      <c r="BW103" s="192" t="n"/>
      <c r="BX103" s="192" t="n"/>
      <c r="BY103" s="192" t="n"/>
      <c r="BZ103" s="192" t="n"/>
      <c r="CA103" s="192" t="n"/>
      <c r="CB103" s="192" t="n"/>
      <c r="CC103" s="192" t="n"/>
      <c r="CD103" s="192" t="n"/>
      <c r="CE103" s="192" t="n"/>
      <c r="CF103" s="192" t="n"/>
      <c r="CG103" s="192" t="n"/>
      <c r="CH103" s="192" t="n"/>
      <c r="CI103" s="192" t="n"/>
      <c r="CJ103" s="192" t="n"/>
      <c r="CK103" s="192" t="n"/>
      <c r="CL103" s="192" t="n"/>
      <c r="CM103" s="192" t="n"/>
      <c r="CN103" s="192" t="n"/>
      <c r="CO103" s="192" t="n"/>
      <c r="CP103" s="192" t="n"/>
      <c r="CQ103" s="192" t="n"/>
      <c r="CR103" s="192" t="n"/>
      <c r="CS103" s="192" t="n"/>
      <c r="CT103" s="192" t="n"/>
      <c r="CU103" s="192" t="n"/>
      <c r="CV103" s="192" t="n"/>
      <c r="CW103" s="192" t="n"/>
      <c r="CX103" s="192" t="n"/>
      <c r="CY103" s="192" t="n"/>
      <c r="CZ103" s="192" t="n"/>
      <c r="DA103" s="192" t="n"/>
      <c r="DB103" s="192" t="n"/>
      <c r="DC103" s="192" t="n"/>
      <c r="DD103" s="192" t="n"/>
      <c r="DE103" s="192" t="n"/>
      <c r="DF103" s="192" t="n"/>
      <c r="DG103" s="192" t="n"/>
      <c r="DH103" s="192" t="n"/>
      <c r="DI103" s="192" t="n"/>
      <c r="DJ103" s="192" t="n"/>
      <c r="DK103" s="192" t="n"/>
      <c r="DL103" s="192" t="n"/>
      <c r="DM103" s="192" t="n"/>
      <c r="DN103" s="192" t="n"/>
      <c r="DO103" s="192" t="n"/>
      <c r="DP103" s="192" t="n"/>
      <c r="DQ103" s="192" t="n"/>
      <c r="DR103" s="192" t="n"/>
      <c r="DS103" s="192" t="n"/>
      <c r="DT103" s="192" t="n"/>
      <c r="DU103" s="192" t="n"/>
      <c r="DV103" s="192" t="n"/>
      <c r="DW103" s="192" t="n"/>
      <c r="DX103" s="192" t="n"/>
      <c r="DY103" s="192" t="n"/>
      <c r="DZ103" s="192" t="n"/>
      <c r="EA103" s="192" t="n"/>
      <c r="EB103" s="192" t="n"/>
      <c r="EC103" s="192" t="n"/>
      <c r="ED103" s="192" t="n"/>
      <c r="EE103" s="192" t="n"/>
      <c r="EF103" s="192" t="n"/>
      <c r="EG103" s="192" t="n"/>
      <c r="EH103" s="192" t="n"/>
      <c r="EI103" s="192" t="n"/>
      <c r="EJ103" s="192" t="n"/>
      <c r="EK103" s="192" t="n"/>
      <c r="EL103" s="182" t="n"/>
      <c r="EM103" s="176" t="n"/>
      <c r="EN103" s="176" t="n"/>
      <c r="EO103" s="176" t="n"/>
      <c r="EP103" s="176" t="n"/>
      <c r="EQ103" s="176" t="n"/>
      <c r="ER103" s="176" t="n"/>
      <c r="ES103" s="176" t="n"/>
      <c r="ET103" s="176" t="n"/>
      <c r="EU103" s="176" t="n"/>
      <c r="EV103" s="176" t="n"/>
      <c r="EW103" s="176" t="n"/>
      <c r="EX103" s="176" t="n"/>
      <c r="EY103" s="176" t="n"/>
      <c r="EZ103" s="176" t="n"/>
      <c r="FA103" s="176" t="n"/>
      <c r="FB103" s="176" t="n"/>
      <c r="FC103" s="176" t="n"/>
      <c r="FD103" s="176" t="n"/>
      <c r="FE103" s="176" t="n"/>
      <c r="FF103" s="176" t="n"/>
      <c r="FG103" s="176" t="n"/>
      <c r="FH103" s="176" t="n"/>
      <c r="FI103" s="176" t="n"/>
      <c r="FJ103" s="176" t="n"/>
    </row>
    <row r="104" ht="15" customHeight="1" s="392">
      <c r="A104" s="176" t="n"/>
      <c r="B104" s="180" t="n"/>
      <c r="C104" s="187" t="inlineStr">
        <is>
          <t xml:space="preserve">        Total Issuance of/(Repayments for) Lease Financing</t>
        </is>
      </c>
      <c r="D104" s="193">
        <f>IF(COUNT(M104:EK104)&gt;0,MEDIAN(M104:EK104),"")</f>
        <v/>
      </c>
      <c r="E104" s="193">
        <f>IF(COUNT(M104:EK104)&gt;0,AVERAGE(M104:EK104),"")</f>
        <v/>
      </c>
      <c r="F104" s="193">
        <f>IF(COUNT(M104:EK104)&gt;0,MIN(M104:EK104),"")</f>
        <v/>
      </c>
      <c r="G104" s="193">
        <f>IF(COUNT(M104:EK104)&gt;0,MAX(M104:EK104),"")</f>
        <v/>
      </c>
      <c r="H104" s="193">
        <f>IF(COUNT(M104:EK104)&gt;0,QUARTILE(M104:EK104,1),"")</f>
        <v/>
      </c>
      <c r="I104" s="193">
        <f>IF(COUNT(M104:EK104)&gt;0,QUARTILE(M104:EK104,3),"")</f>
        <v/>
      </c>
      <c r="J104" s="193">
        <f>IF(COUNT(M104:EK104)&gt;1,STDEV(M104:EK104),"")</f>
        <v/>
      </c>
      <c r="K104" s="194">
        <f>IF(COUNT(M104:EK104)&gt;1,STDEV(M104:EK104)/AVERAGE(M104:EK104),"")</f>
        <v/>
      </c>
      <c r="L104" s="195" t="n"/>
      <c r="M104" s="196" t="n">
        <v>-49</v>
      </c>
      <c r="N104" s="196" t="n">
        <v>-5</v>
      </c>
      <c r="O104" s="196" t="n">
        <v>-1</v>
      </c>
      <c r="P104" s="196" t="n">
        <v>-5</v>
      </c>
      <c r="Q104" s="196" t="n">
        <v>-5</v>
      </c>
      <c r="R104" s="196" t="n">
        <v>-4</v>
      </c>
      <c r="S104" s="196" t="n">
        <v>-40</v>
      </c>
      <c r="T104" s="196" t="n">
        <v>0</v>
      </c>
      <c r="U104" s="196" t="n">
        <v>0</v>
      </c>
      <c r="V104" s="196" t="n">
        <v>-3</v>
      </c>
      <c r="W104" s="196" t="n">
        <v>-6</v>
      </c>
      <c r="X104" s="196" t="n">
        <v>-5</v>
      </c>
      <c r="Y104" s="196" t="n">
        <v>-5</v>
      </c>
      <c r="Z104" s="196" t="n">
        <v>-5</v>
      </c>
      <c r="AA104" s="196" t="n">
        <v>-6</v>
      </c>
      <c r="AB104" s="196" t="n">
        <v>-7</v>
      </c>
      <c r="AC104" s="196" t="n">
        <v>-58</v>
      </c>
      <c r="AD104" s="196" t="n">
        <v>-158</v>
      </c>
      <c r="AE104" s="196" t="n">
        <v>-157</v>
      </c>
      <c r="AF104" s="196" t="n">
        <v>-157</v>
      </c>
      <c r="AG104" s="196" t="n">
        <v>-156</v>
      </c>
      <c r="AH104" s="196" t="n">
        <v>-340</v>
      </c>
      <c r="AI104" s="196" t="n">
        <v>-295</v>
      </c>
      <c r="AJ104" s="196" t="n">
        <v>-327</v>
      </c>
      <c r="AK104" s="196" t="n">
        <v>-1065</v>
      </c>
      <c r="AL104" s="196" t="n">
        <v>0</v>
      </c>
      <c r="AM104" s="196" t="n">
        <v>0</v>
      </c>
      <c r="AN104" s="196" t="n">
        <v>0</v>
      </c>
      <c r="AO104" s="196" t="n"/>
      <c r="AP104" s="196" t="n"/>
      <c r="AQ104" s="196" t="n"/>
      <c r="AR104" s="196" t="n"/>
      <c r="AS104" s="196" t="n"/>
      <c r="AT104" s="196" t="n"/>
      <c r="AU104" s="196" t="n"/>
      <c r="AV104" s="196" t="n"/>
      <c r="AW104" s="196" t="n"/>
      <c r="AX104" s="196" t="n"/>
      <c r="AY104" s="196" t="n"/>
      <c r="AZ104" s="196" t="n"/>
      <c r="BA104" s="196" t="n"/>
      <c r="BB104" s="196" t="n"/>
      <c r="BC104" s="196" t="n"/>
      <c r="BD104" s="196" t="n"/>
      <c r="BE104" s="196" t="n"/>
      <c r="BF104" s="196" t="n"/>
      <c r="BG104" s="196" t="n"/>
      <c r="BH104" s="196" t="n"/>
      <c r="BI104" s="196" t="n"/>
      <c r="BJ104" s="196" t="n"/>
      <c r="BK104" s="196" t="n"/>
      <c r="BL104" s="196" t="n"/>
      <c r="BM104" s="196" t="n"/>
      <c r="BN104" s="196" t="n"/>
      <c r="BO104" s="196" t="n"/>
      <c r="BP104" s="196" t="n"/>
      <c r="BQ104" s="196" t="n"/>
      <c r="BR104" s="196" t="n"/>
      <c r="BS104" s="196" t="n"/>
      <c r="BT104" s="196" t="n"/>
      <c r="BU104" s="196" t="n"/>
      <c r="BV104" s="196" t="n"/>
      <c r="BW104" s="196" t="n"/>
      <c r="BX104" s="196" t="n"/>
      <c r="BY104" s="196" t="n"/>
      <c r="BZ104" s="196" t="n"/>
      <c r="CA104" s="196" t="n"/>
      <c r="CB104" s="196" t="n"/>
      <c r="CC104" s="196" t="n"/>
      <c r="CD104" s="196" t="n"/>
      <c r="CE104" s="196" t="n"/>
      <c r="CF104" s="196" t="n"/>
      <c r="CG104" s="196" t="n"/>
      <c r="CH104" s="196" t="n"/>
      <c r="CI104" s="196" t="n"/>
      <c r="CJ104" s="196" t="n"/>
      <c r="CK104" s="196" t="n"/>
      <c r="CL104" s="196" t="n"/>
      <c r="CM104" s="196" t="n"/>
      <c r="CN104" s="196" t="n"/>
      <c r="CO104" s="196" t="n"/>
      <c r="CP104" s="196" t="n"/>
      <c r="CQ104" s="196" t="n"/>
      <c r="CR104" s="196" t="n"/>
      <c r="CS104" s="196" t="n"/>
      <c r="CT104" s="196" t="n"/>
      <c r="CU104" s="196" t="n"/>
      <c r="CV104" s="196" t="n"/>
      <c r="CW104" s="196" t="n"/>
      <c r="CX104" s="196" t="n"/>
      <c r="CY104" s="196" t="n"/>
      <c r="CZ104" s="196" t="n"/>
      <c r="DA104" s="196" t="n"/>
      <c r="DB104" s="196" t="n"/>
      <c r="DC104" s="196" t="n"/>
      <c r="DD104" s="196" t="n"/>
      <c r="DE104" s="196" t="n"/>
      <c r="DF104" s="196" t="n"/>
      <c r="DG104" s="196" t="n"/>
      <c r="DH104" s="196" t="n"/>
      <c r="DI104" s="196" t="n"/>
      <c r="DJ104" s="196" t="n"/>
      <c r="DK104" s="196" t="n"/>
      <c r="DL104" s="196" t="n"/>
      <c r="DM104" s="196" t="n"/>
      <c r="DN104" s="196" t="n"/>
      <c r="DO104" s="196" t="n"/>
      <c r="DP104" s="196" t="n"/>
      <c r="DQ104" s="196" t="n"/>
      <c r="DR104" s="196" t="n"/>
      <c r="DS104" s="196" t="n"/>
      <c r="DT104" s="196" t="n"/>
      <c r="DU104" s="196" t="n"/>
      <c r="DV104" s="196" t="n"/>
      <c r="DW104" s="196" t="n"/>
      <c r="DX104" s="196" t="n"/>
      <c r="DY104" s="196" t="n"/>
      <c r="DZ104" s="196" t="n"/>
      <c r="EA104" s="196" t="n"/>
      <c r="EB104" s="196" t="n"/>
      <c r="EC104" s="196" t="n"/>
      <c r="ED104" s="196" t="n"/>
      <c r="EE104" s="196" t="n"/>
      <c r="EF104" s="196" t="n"/>
      <c r="EG104" s="196" t="n"/>
      <c r="EH104" s="196" t="n"/>
      <c r="EI104" s="196" t="n"/>
      <c r="EJ104" s="196" t="n"/>
      <c r="EK104" s="196" t="n"/>
      <c r="EL104" s="182" t="n"/>
      <c r="EM104" s="176" t="n"/>
      <c r="EN104" s="176" t="n"/>
      <c r="EO104" s="176" t="n"/>
      <c r="EP104" s="176" t="n"/>
      <c r="EQ104" s="176" t="n"/>
      <c r="ER104" s="176" t="n"/>
      <c r="ES104" s="176" t="n"/>
      <c r="ET104" s="176" t="n"/>
      <c r="EU104" s="176" t="n"/>
      <c r="EV104" s="176" t="n"/>
      <c r="EW104" s="176" t="n"/>
      <c r="EX104" s="176" t="n"/>
      <c r="EY104" s="176" t="n"/>
      <c r="EZ104" s="176" t="n"/>
      <c r="FA104" s="176" t="n"/>
      <c r="FB104" s="176" t="n"/>
      <c r="FC104" s="176" t="n"/>
      <c r="FD104" s="176" t="n"/>
      <c r="FE104" s="176" t="n"/>
      <c r="FF104" s="176" t="n"/>
      <c r="FG104" s="176" t="n"/>
      <c r="FH104" s="176" t="n"/>
      <c r="FI104" s="176" t="n"/>
      <c r="FJ104" s="176" t="n"/>
    </row>
    <row r="105" ht="15" customHeight="1" s="392">
      <c r="A105" s="176" t="n"/>
      <c r="B105" s="180" t="n"/>
      <c r="C105" s="183" t="inlineStr">
        <is>
          <t xml:space="preserve">        Issue and Financing Costs</t>
        </is>
      </c>
      <c r="D105" s="185" t="n"/>
      <c r="E105" s="185" t="n"/>
      <c r="F105" s="185" t="n"/>
      <c r="G105" s="185" t="n"/>
      <c r="H105" s="185" t="n"/>
      <c r="I105" s="185" t="n"/>
      <c r="J105" s="185" t="n"/>
      <c r="K105" s="185" t="n"/>
      <c r="EL105" s="182" t="n"/>
      <c r="EM105" s="176" t="n"/>
      <c r="EN105" s="176" t="n"/>
      <c r="EO105" s="176" t="n"/>
      <c r="EP105" s="176" t="n"/>
      <c r="EQ105" s="176" t="n"/>
      <c r="ER105" s="176" t="n"/>
      <c r="ES105" s="176" t="n"/>
      <c r="ET105" s="176" t="n"/>
      <c r="EU105" s="176" t="n"/>
      <c r="EV105" s="176" t="n"/>
      <c r="EW105" s="176" t="n"/>
      <c r="EX105" s="176" t="n"/>
      <c r="EY105" s="176" t="n"/>
      <c r="EZ105" s="176" t="n"/>
      <c r="FA105" s="176" t="n"/>
      <c r="FB105" s="176" t="n"/>
      <c r="FC105" s="176" t="n"/>
      <c r="FD105" s="176" t="n"/>
      <c r="FE105" s="176" t="n"/>
      <c r="FF105" s="176" t="n"/>
      <c r="FG105" s="176" t="n"/>
      <c r="FH105" s="176" t="n"/>
      <c r="FI105" s="176" t="n"/>
      <c r="FJ105" s="176" t="n"/>
    </row>
    <row r="106" ht="15" customHeight="1" s="392">
      <c r="A106" s="176" t="n"/>
      <c r="B106" s="180" t="n"/>
      <c r="C106" s="183" t="inlineStr">
        <is>
          <t xml:space="preserve">            Debt Issuance Costs</t>
        </is>
      </c>
      <c r="D106" s="190">
        <f>IF(COUNT(M106:EK106)&gt;0,MEDIAN(M106:EK106),"")</f>
        <v/>
      </c>
      <c r="E106" s="190">
        <f>IF(COUNT(M106:EK106)&gt;0,AVERAGE(M106:EK106),"")</f>
        <v/>
      </c>
      <c r="F106" s="190">
        <f>IF(COUNT(M106:EK106)&gt;0,MIN(M106:EK106),"")</f>
        <v/>
      </c>
      <c r="G106" s="190">
        <f>IF(COUNT(M106:EK106)&gt;0,MAX(M106:EK106),"")</f>
        <v/>
      </c>
      <c r="H106" s="190">
        <f>IF(COUNT(M106:EK106)&gt;0,QUARTILE(M106:EK106,1),"")</f>
        <v/>
      </c>
      <c r="I106" s="190">
        <f>IF(COUNT(M106:EK106)&gt;0,QUARTILE(M106:EK106,3),"")</f>
        <v/>
      </c>
      <c r="J106" s="190">
        <f>IF(COUNT(M106:EK106)&gt;1,STDEV(M106:EK106),"")</f>
        <v/>
      </c>
      <c r="K106" s="191">
        <f>IF(COUNT(M106:EK106)&gt;1,STDEV(M106:EK106)/AVERAGE(M106:EK106),"")</f>
        <v/>
      </c>
      <c r="M106" s="192" t="n">
        <v>0</v>
      </c>
      <c r="N106" s="192" t="n">
        <v>0</v>
      </c>
      <c r="O106" s="192" t="n"/>
      <c r="P106" s="192" t="n"/>
      <c r="Q106" s="192" t="n"/>
      <c r="R106" s="192" t="n">
        <v>0</v>
      </c>
      <c r="S106" s="192" t="n"/>
      <c r="T106" s="192" t="n"/>
      <c r="U106" s="192" t="n"/>
      <c r="V106" s="192" t="n"/>
      <c r="W106" s="192" t="n"/>
      <c r="X106" s="192" t="n"/>
      <c r="Y106" s="192" t="n"/>
      <c r="Z106" s="192" t="n"/>
      <c r="AA106" s="192" t="n"/>
      <c r="AB106" s="192" t="n"/>
      <c r="AC106" s="192" t="n">
        <v>0</v>
      </c>
      <c r="AD106" s="192" t="n"/>
      <c r="AE106" s="192" t="n"/>
      <c r="AF106" s="192" t="n"/>
      <c r="AG106" s="192" t="n">
        <v>0</v>
      </c>
      <c r="AH106" s="192" t="n"/>
      <c r="AI106" s="192" t="n"/>
      <c r="AJ106" s="192" t="n"/>
      <c r="AK106" s="192" t="n"/>
      <c r="AL106" s="192" t="n"/>
      <c r="AM106" s="192" t="n"/>
      <c r="AN106" s="192" t="n"/>
      <c r="AO106" s="192" t="n"/>
      <c r="AP106" s="192" t="n"/>
      <c r="AQ106" s="192" t="n"/>
      <c r="AR106" s="192" t="n"/>
      <c r="AS106" s="192" t="n"/>
      <c r="AT106" s="192" t="n"/>
      <c r="AU106" s="192" t="n"/>
      <c r="AV106" s="192" t="n"/>
      <c r="AW106" s="192" t="n"/>
      <c r="AX106" s="192" t="n"/>
      <c r="AY106" s="192" t="n"/>
      <c r="AZ106" s="192" t="n"/>
      <c r="BA106" s="192" t="n">
        <v>-1014</v>
      </c>
      <c r="BB106" s="192" t="n"/>
      <c r="BC106" s="192" t="n"/>
      <c r="BD106" s="192" t="n"/>
      <c r="BE106" s="192" t="n">
        <v>0</v>
      </c>
      <c r="BF106" s="192" t="n">
        <v>0</v>
      </c>
      <c r="BG106" s="192" t="n"/>
      <c r="BH106" s="192" t="n"/>
      <c r="BI106" s="192" t="n"/>
      <c r="BJ106" s="192" t="n">
        <v>0</v>
      </c>
      <c r="BK106" s="192" t="n"/>
      <c r="BL106" s="192" t="n"/>
      <c r="BM106" s="192" t="n"/>
      <c r="BN106" s="192" t="n"/>
      <c r="BO106" s="192" t="n"/>
      <c r="BP106" s="192" t="n"/>
      <c r="BQ106" s="192" t="n">
        <v>0</v>
      </c>
      <c r="BR106" s="192" t="n">
        <v>0</v>
      </c>
      <c r="BS106" s="192" t="n">
        <v>0</v>
      </c>
      <c r="BT106" s="192" t="n">
        <v>-313</v>
      </c>
      <c r="BU106" s="192" t="n">
        <v>0</v>
      </c>
      <c r="BV106" s="192" t="n">
        <v>0</v>
      </c>
      <c r="BW106" s="192" t="n">
        <v>-2023</v>
      </c>
      <c r="BX106" s="192" t="n">
        <v>0</v>
      </c>
      <c r="BY106" s="192" t="n">
        <v>0</v>
      </c>
      <c r="BZ106" s="192" t="n"/>
      <c r="CA106" s="192" t="n"/>
      <c r="CB106" s="192" t="n"/>
      <c r="CC106" s="192" t="n"/>
      <c r="CD106" s="192" t="n"/>
      <c r="CE106" s="192" t="n"/>
      <c r="CF106" s="192" t="n"/>
      <c r="CG106" s="192" t="n"/>
      <c r="CH106" s="192" t="n"/>
      <c r="CI106" s="192" t="n"/>
      <c r="CJ106" s="192" t="n"/>
      <c r="CK106" s="192" t="n"/>
      <c r="CL106" s="192" t="n"/>
      <c r="CM106" s="192" t="n"/>
      <c r="CN106" s="192" t="n"/>
      <c r="CO106" s="192" t="n"/>
      <c r="CP106" s="192" t="n"/>
      <c r="CQ106" s="192" t="n"/>
      <c r="CR106" s="192" t="n"/>
      <c r="CS106" s="192" t="n"/>
      <c r="CT106" s="192" t="n"/>
      <c r="CU106" s="192" t="n"/>
      <c r="CV106" s="192" t="n"/>
      <c r="CW106" s="192" t="n"/>
      <c r="CX106" s="192" t="n"/>
      <c r="CY106" s="192" t="n"/>
      <c r="CZ106" s="192" t="n"/>
      <c r="DA106" s="192" t="n"/>
      <c r="DB106" s="192" t="n"/>
      <c r="DC106" s="192" t="n"/>
      <c r="DD106" s="192" t="n"/>
      <c r="DE106" s="192" t="n"/>
      <c r="DF106" s="192" t="n"/>
      <c r="DG106" s="192" t="n"/>
      <c r="DH106" s="192" t="n"/>
      <c r="DI106" s="192" t="n"/>
      <c r="DJ106" s="192" t="n"/>
      <c r="DK106" s="192" t="n"/>
      <c r="DL106" s="192" t="n"/>
      <c r="DM106" s="192" t="n"/>
      <c r="DN106" s="192" t="n"/>
      <c r="DO106" s="192" t="n"/>
      <c r="DP106" s="192" t="n"/>
      <c r="DQ106" s="192" t="n"/>
      <c r="DR106" s="192" t="n"/>
      <c r="DS106" s="192" t="n"/>
      <c r="DT106" s="192" t="n"/>
      <c r="DU106" s="192" t="n"/>
      <c r="DV106" s="192" t="n"/>
      <c r="DW106" s="192" t="n"/>
      <c r="DX106" s="192" t="n"/>
      <c r="DY106" s="192" t="n"/>
      <c r="DZ106" s="192" t="n"/>
      <c r="EA106" s="192" t="n"/>
      <c r="EB106" s="192" t="n"/>
      <c r="EC106" s="192" t="n"/>
      <c r="ED106" s="192" t="n"/>
      <c r="EE106" s="192" t="n"/>
      <c r="EF106" s="192" t="n"/>
      <c r="EG106" s="192" t="n"/>
      <c r="EH106" s="192" t="n"/>
      <c r="EI106" s="192" t="n"/>
      <c r="EJ106" s="192" t="n"/>
      <c r="EK106" s="192" t="n"/>
      <c r="EL106" s="182" t="n"/>
      <c r="EM106" s="176" t="n"/>
      <c r="EN106" s="176" t="n"/>
      <c r="EO106" s="176" t="n"/>
      <c r="EP106" s="176" t="n"/>
      <c r="EQ106" s="176" t="n"/>
      <c r="ER106" s="176" t="n"/>
      <c r="ES106" s="176" t="n"/>
      <c r="ET106" s="176" t="n"/>
      <c r="EU106" s="176" t="n"/>
      <c r="EV106" s="176" t="n"/>
      <c r="EW106" s="176" t="n"/>
      <c r="EX106" s="176" t="n"/>
      <c r="EY106" s="176" t="n"/>
      <c r="EZ106" s="176" t="n"/>
      <c r="FA106" s="176" t="n"/>
      <c r="FB106" s="176" t="n"/>
      <c r="FC106" s="176" t="n"/>
      <c r="FD106" s="176" t="n"/>
      <c r="FE106" s="176" t="n"/>
      <c r="FF106" s="176" t="n"/>
      <c r="FG106" s="176" t="n"/>
      <c r="FH106" s="176" t="n"/>
      <c r="FI106" s="176" t="n"/>
      <c r="FJ106" s="176" t="n"/>
    </row>
    <row r="107" ht="15" customHeight="1" s="392">
      <c r="A107" s="176" t="n"/>
      <c r="B107" s="180" t="n"/>
      <c r="C107" s="187" t="inlineStr">
        <is>
          <t xml:space="preserve">        Total Issue and Financing Costs</t>
        </is>
      </c>
      <c r="D107" s="193">
        <f>IF(COUNT(M107:EK107)&gt;0,MEDIAN(M107:EK107),"")</f>
        <v/>
      </c>
      <c r="E107" s="193">
        <f>IF(COUNT(M107:EK107)&gt;0,AVERAGE(M107:EK107),"")</f>
        <v/>
      </c>
      <c r="F107" s="193">
        <f>IF(COUNT(M107:EK107)&gt;0,MIN(M107:EK107),"")</f>
        <v/>
      </c>
      <c r="G107" s="193">
        <f>IF(COUNT(M107:EK107)&gt;0,MAX(M107:EK107),"")</f>
        <v/>
      </c>
      <c r="H107" s="193">
        <f>IF(COUNT(M107:EK107)&gt;0,QUARTILE(M107:EK107,1),"")</f>
        <v/>
      </c>
      <c r="I107" s="193">
        <f>IF(COUNT(M107:EK107)&gt;0,QUARTILE(M107:EK107,3),"")</f>
        <v/>
      </c>
      <c r="J107" s="193">
        <f>IF(COUNT(M107:EK107)&gt;1,STDEV(M107:EK107),"")</f>
        <v/>
      </c>
      <c r="K107" s="194">
        <f>IF(COUNT(M107:EK107)&gt;1,STDEV(M107:EK107)/AVERAGE(M107:EK107),"")</f>
        <v/>
      </c>
      <c r="L107" s="195" t="n"/>
      <c r="M107" s="196" t="n">
        <v>0</v>
      </c>
      <c r="N107" s="196" t="n">
        <v>0</v>
      </c>
      <c r="O107" s="196" t="n"/>
      <c r="P107" s="196" t="n"/>
      <c r="Q107" s="196" t="n"/>
      <c r="R107" s="196" t="n">
        <v>0</v>
      </c>
      <c r="S107" s="196" t="n"/>
      <c r="T107" s="196" t="n"/>
      <c r="U107" s="196" t="n"/>
      <c r="V107" s="196" t="n"/>
      <c r="W107" s="196" t="n"/>
      <c r="X107" s="196" t="n"/>
      <c r="Y107" s="196" t="n"/>
      <c r="Z107" s="196" t="n"/>
      <c r="AA107" s="196" t="n"/>
      <c r="AB107" s="196" t="n"/>
      <c r="AC107" s="196" t="n">
        <v>0</v>
      </c>
      <c r="AD107" s="196" t="n"/>
      <c r="AE107" s="196" t="n"/>
      <c r="AF107" s="196" t="n"/>
      <c r="AG107" s="196" t="n">
        <v>0</v>
      </c>
      <c r="AH107" s="196" t="n"/>
      <c r="AI107" s="196" t="n"/>
      <c r="AJ107" s="196" t="n"/>
      <c r="AK107" s="196" t="n"/>
      <c r="AL107" s="196" t="n"/>
      <c r="AM107" s="196" t="n"/>
      <c r="AN107" s="196" t="n"/>
      <c r="AO107" s="196" t="n"/>
      <c r="AP107" s="196" t="n"/>
      <c r="AQ107" s="196" t="n"/>
      <c r="AR107" s="196" t="n"/>
      <c r="AS107" s="196" t="n"/>
      <c r="AT107" s="196" t="n"/>
      <c r="AU107" s="196" t="n"/>
      <c r="AV107" s="196" t="n"/>
      <c r="AW107" s="196" t="n"/>
      <c r="AX107" s="196" t="n"/>
      <c r="AY107" s="196" t="n"/>
      <c r="AZ107" s="196" t="n"/>
      <c r="BA107" s="196" t="n">
        <v>-1014</v>
      </c>
      <c r="BB107" s="196" t="n"/>
      <c r="BC107" s="196" t="n"/>
      <c r="BD107" s="196" t="n"/>
      <c r="BE107" s="196" t="n">
        <v>0</v>
      </c>
      <c r="BF107" s="196" t="n">
        <v>0</v>
      </c>
      <c r="BG107" s="196" t="n"/>
      <c r="BH107" s="196" t="n"/>
      <c r="BI107" s="196" t="n"/>
      <c r="BJ107" s="196" t="n">
        <v>0</v>
      </c>
      <c r="BK107" s="196" t="n"/>
      <c r="BL107" s="196" t="n"/>
      <c r="BM107" s="196" t="n"/>
      <c r="BN107" s="196" t="n"/>
      <c r="BO107" s="196" t="n"/>
      <c r="BP107" s="196" t="n"/>
      <c r="BQ107" s="196" t="n">
        <v>0</v>
      </c>
      <c r="BR107" s="196" t="n">
        <v>0</v>
      </c>
      <c r="BS107" s="196" t="n">
        <v>0</v>
      </c>
      <c r="BT107" s="196" t="n">
        <v>-313</v>
      </c>
      <c r="BU107" s="196" t="n">
        <v>0</v>
      </c>
      <c r="BV107" s="196" t="n">
        <v>0</v>
      </c>
      <c r="BW107" s="196" t="n">
        <v>-2023</v>
      </c>
      <c r="BX107" s="196" t="n">
        <v>0</v>
      </c>
      <c r="BY107" s="196" t="n">
        <v>0</v>
      </c>
      <c r="BZ107" s="196" t="n"/>
      <c r="CA107" s="196" t="n"/>
      <c r="CB107" s="196" t="n"/>
      <c r="CC107" s="196" t="n"/>
      <c r="CD107" s="196" t="n"/>
      <c r="CE107" s="196" t="n"/>
      <c r="CF107" s="196" t="n"/>
      <c r="CG107" s="196" t="n"/>
      <c r="CH107" s="196" t="n"/>
      <c r="CI107" s="196" t="n"/>
      <c r="CJ107" s="196" t="n"/>
      <c r="CK107" s="196" t="n"/>
      <c r="CL107" s="196" t="n"/>
      <c r="CM107" s="196" t="n"/>
      <c r="CN107" s="196" t="n"/>
      <c r="CO107" s="196" t="n"/>
      <c r="CP107" s="196" t="n"/>
      <c r="CQ107" s="196" t="n"/>
      <c r="CR107" s="196" t="n"/>
      <c r="CS107" s="196" t="n"/>
      <c r="CT107" s="196" t="n"/>
      <c r="CU107" s="196" t="n"/>
      <c r="CV107" s="196" t="n"/>
      <c r="CW107" s="196" t="n"/>
      <c r="CX107" s="196" t="n"/>
      <c r="CY107" s="196" t="n"/>
      <c r="CZ107" s="196" t="n"/>
      <c r="DA107" s="196" t="n"/>
      <c r="DB107" s="196" t="n"/>
      <c r="DC107" s="196" t="n"/>
      <c r="DD107" s="196" t="n"/>
      <c r="DE107" s="196" t="n"/>
      <c r="DF107" s="196" t="n"/>
      <c r="DG107" s="196" t="n"/>
      <c r="DH107" s="196" t="n"/>
      <c r="DI107" s="196" t="n"/>
      <c r="DJ107" s="196" t="n"/>
      <c r="DK107" s="196" t="n"/>
      <c r="DL107" s="196" t="n"/>
      <c r="DM107" s="196" t="n"/>
      <c r="DN107" s="196" t="n"/>
      <c r="DO107" s="196" t="n"/>
      <c r="DP107" s="196" t="n"/>
      <c r="DQ107" s="196" t="n"/>
      <c r="DR107" s="196" t="n"/>
      <c r="DS107" s="196" t="n"/>
      <c r="DT107" s="196" t="n"/>
      <c r="DU107" s="196" t="n"/>
      <c r="DV107" s="196" t="n"/>
      <c r="DW107" s="196" t="n"/>
      <c r="DX107" s="196" t="n"/>
      <c r="DY107" s="196" t="n"/>
      <c r="DZ107" s="196" t="n"/>
      <c r="EA107" s="196" t="n"/>
      <c r="EB107" s="196" t="n"/>
      <c r="EC107" s="196" t="n"/>
      <c r="ED107" s="196" t="n"/>
      <c r="EE107" s="196" t="n"/>
      <c r="EF107" s="196" t="n"/>
      <c r="EG107" s="196" t="n"/>
      <c r="EH107" s="196" t="n"/>
      <c r="EI107" s="196" t="n"/>
      <c r="EJ107" s="196" t="n"/>
      <c r="EK107" s="196" t="n"/>
      <c r="EL107" s="182" t="n"/>
      <c r="EM107" s="176" t="n"/>
      <c r="EN107" s="176" t="n"/>
      <c r="EO107" s="176" t="n"/>
      <c r="EP107" s="176" t="n"/>
      <c r="EQ107" s="176" t="n"/>
      <c r="ER107" s="176" t="n"/>
      <c r="ES107" s="176" t="n"/>
      <c r="ET107" s="176" t="n"/>
      <c r="EU107" s="176" t="n"/>
      <c r="EV107" s="176" t="n"/>
      <c r="EW107" s="176" t="n"/>
      <c r="EX107" s="176" t="n"/>
      <c r="EY107" s="176" t="n"/>
      <c r="EZ107" s="176" t="n"/>
      <c r="FA107" s="176" t="n"/>
      <c r="FB107" s="176" t="n"/>
      <c r="FC107" s="176" t="n"/>
      <c r="FD107" s="176" t="n"/>
      <c r="FE107" s="176" t="n"/>
      <c r="FF107" s="176" t="n"/>
      <c r="FG107" s="176" t="n"/>
      <c r="FH107" s="176" t="n"/>
      <c r="FI107" s="176" t="n"/>
      <c r="FJ107" s="176" t="n"/>
    </row>
    <row r="108" ht="15" customHeight="1" s="392">
      <c r="A108" s="176" t="n"/>
      <c r="B108" s="180" t="n"/>
      <c r="C108" s="183" t="inlineStr">
        <is>
          <t xml:space="preserve">        Cash Dividends Paid to Non-Controlling/Minority Interests</t>
        </is>
      </c>
      <c r="D108" s="190">
        <f>IF(COUNT(M108:EK108)&gt;0,MEDIAN(M108:EK108),"")</f>
        <v/>
      </c>
      <c r="E108" s="190">
        <f>IF(COUNT(M108:EK108)&gt;0,AVERAGE(M108:EK108),"")</f>
        <v/>
      </c>
      <c r="F108" s="190">
        <f>IF(COUNT(M108:EK108)&gt;0,MIN(M108:EK108),"")</f>
        <v/>
      </c>
      <c r="G108" s="190">
        <f>IF(COUNT(M108:EK108)&gt;0,MAX(M108:EK108),"")</f>
        <v/>
      </c>
      <c r="H108" s="190">
        <f>IF(COUNT(M108:EK108)&gt;0,QUARTILE(M108:EK108,1),"")</f>
        <v/>
      </c>
      <c r="I108" s="190">
        <f>IF(COUNT(M108:EK108)&gt;0,QUARTILE(M108:EK108,3),"")</f>
        <v/>
      </c>
      <c r="J108" s="190">
        <f>IF(COUNT(M108:EK108)&gt;1,STDEV(M108:EK108),"")</f>
        <v/>
      </c>
      <c r="K108" s="191">
        <f>IF(COUNT(M108:EK108)&gt;1,STDEV(M108:EK108)/AVERAGE(M108:EK108),"")</f>
        <v/>
      </c>
      <c r="M108" s="192" t="n"/>
      <c r="N108" s="192" t="n"/>
      <c r="O108" s="192" t="n"/>
      <c r="P108" s="192" t="n"/>
      <c r="Q108" s="192" t="n"/>
      <c r="R108" s="192" t="n"/>
      <c r="S108" s="192" t="n"/>
      <c r="T108" s="192" t="n"/>
      <c r="U108" s="192" t="n"/>
      <c r="V108" s="192" t="n"/>
      <c r="W108" s="192" t="n"/>
      <c r="X108" s="192" t="n"/>
      <c r="Y108" s="192" t="n"/>
      <c r="Z108" s="192" t="n"/>
      <c r="AA108" s="192" t="n"/>
      <c r="AB108" s="192" t="n"/>
      <c r="AC108" s="192" t="n"/>
      <c r="AD108" s="192" t="n"/>
      <c r="AE108" s="192" t="n"/>
      <c r="AF108" s="192" t="n"/>
      <c r="AG108" s="192" t="n"/>
      <c r="AH108" s="192" t="n"/>
      <c r="AI108" s="192" t="n"/>
      <c r="AJ108" s="192" t="n"/>
      <c r="AK108" s="192" t="n"/>
      <c r="AL108" s="192" t="n"/>
      <c r="AM108" s="192" t="n"/>
      <c r="AN108" s="192" t="n"/>
      <c r="AO108" s="192" t="n"/>
      <c r="AP108" s="192" t="n"/>
      <c r="AQ108" s="192" t="n"/>
      <c r="AR108" s="192" t="n"/>
      <c r="AS108" s="192" t="n">
        <v>-180</v>
      </c>
      <c r="AT108" s="192" t="n">
        <v>0</v>
      </c>
      <c r="AU108" s="192" t="n"/>
      <c r="AV108" s="192" t="n"/>
      <c r="AW108" s="192" t="n"/>
      <c r="AX108" s="192" t="n"/>
      <c r="AY108" s="192" t="n"/>
      <c r="AZ108" s="192" t="n"/>
      <c r="BA108" s="192" t="n"/>
      <c r="BB108" s="192" t="n"/>
      <c r="BC108" s="192" t="n"/>
      <c r="BD108" s="192" t="n"/>
      <c r="BE108" s="192" t="n"/>
      <c r="BF108" s="192" t="n"/>
      <c r="BG108" s="192" t="n"/>
      <c r="BH108" s="192" t="n"/>
      <c r="BI108" s="192" t="n"/>
      <c r="BJ108" s="192" t="n"/>
      <c r="BK108" s="192" t="n"/>
      <c r="BL108" s="192" t="n"/>
      <c r="BM108" s="192" t="n"/>
      <c r="BN108" s="192" t="n"/>
      <c r="BO108" s="192" t="n"/>
      <c r="BP108" s="192" t="n"/>
      <c r="BQ108" s="192" t="n"/>
      <c r="BR108" s="192" t="n"/>
      <c r="BS108" s="192" t="n"/>
      <c r="BT108" s="192" t="n"/>
      <c r="BU108" s="192" t="n"/>
      <c r="BV108" s="192" t="n"/>
      <c r="BW108" s="192" t="n"/>
      <c r="BX108" s="192" t="n"/>
      <c r="BY108" s="192" t="n"/>
      <c r="BZ108" s="192" t="n"/>
      <c r="CA108" s="192" t="n"/>
      <c r="CB108" s="192" t="n"/>
      <c r="CC108" s="192" t="n"/>
      <c r="CD108" s="192" t="n"/>
      <c r="CE108" s="192" t="n"/>
      <c r="CF108" s="192" t="n"/>
      <c r="CG108" s="192" t="n"/>
      <c r="CH108" s="192" t="n"/>
      <c r="CI108" s="192" t="n"/>
      <c r="CJ108" s="192" t="n"/>
      <c r="CK108" s="192" t="n"/>
      <c r="CL108" s="192" t="n"/>
      <c r="CM108" s="192" t="n"/>
      <c r="CN108" s="192" t="n"/>
      <c r="CO108" s="192" t="n"/>
      <c r="CP108" s="192" t="n"/>
      <c r="CQ108" s="192" t="n"/>
      <c r="CR108" s="192" t="n"/>
      <c r="CS108" s="192" t="n"/>
      <c r="CT108" s="192" t="n"/>
      <c r="CU108" s="192" t="n"/>
      <c r="CV108" s="192" t="n"/>
      <c r="CW108" s="192" t="n"/>
      <c r="CX108" s="192" t="n"/>
      <c r="CY108" s="192" t="n"/>
      <c r="CZ108" s="192" t="n"/>
      <c r="DA108" s="192" t="n"/>
      <c r="DB108" s="192" t="n"/>
      <c r="DC108" s="192" t="n"/>
      <c r="DD108" s="192" t="n"/>
      <c r="DE108" s="192" t="n"/>
      <c r="DF108" s="192" t="n"/>
      <c r="DG108" s="192" t="n"/>
      <c r="DH108" s="192" t="n"/>
      <c r="DI108" s="192" t="n"/>
      <c r="DJ108" s="192" t="n"/>
      <c r="DK108" s="192" t="n"/>
      <c r="DL108" s="192" t="n"/>
      <c r="DM108" s="192" t="n"/>
      <c r="DN108" s="192" t="n"/>
      <c r="DO108" s="192" t="n"/>
      <c r="DP108" s="192" t="n"/>
      <c r="DQ108" s="192" t="n"/>
      <c r="DR108" s="192" t="n"/>
      <c r="DS108" s="192" t="n"/>
      <c r="DT108" s="192" t="n"/>
      <c r="DU108" s="192" t="n"/>
      <c r="DV108" s="192" t="n"/>
      <c r="DW108" s="192" t="n"/>
      <c r="DX108" s="192" t="n"/>
      <c r="DY108" s="192" t="n"/>
      <c r="DZ108" s="192" t="n"/>
      <c r="EA108" s="192" t="n"/>
      <c r="EB108" s="192" t="n"/>
      <c r="EC108" s="192" t="n"/>
      <c r="ED108" s="192" t="n"/>
      <c r="EE108" s="192" t="n"/>
      <c r="EF108" s="192" t="n"/>
      <c r="EG108" s="192" t="n"/>
      <c r="EH108" s="192" t="n"/>
      <c r="EI108" s="192" t="n"/>
      <c r="EJ108" s="192" t="n"/>
      <c r="EK108" s="192" t="n"/>
      <c r="EL108" s="182" t="n"/>
      <c r="EM108" s="176" t="n"/>
      <c r="EN108" s="176" t="n"/>
      <c r="EO108" s="176" t="n"/>
      <c r="EP108" s="176" t="n"/>
      <c r="EQ108" s="176" t="n"/>
      <c r="ER108" s="176" t="n"/>
      <c r="ES108" s="176" t="n"/>
      <c r="ET108" s="176" t="n"/>
      <c r="EU108" s="176" t="n"/>
      <c r="EV108" s="176" t="n"/>
      <c r="EW108" s="176" t="n"/>
      <c r="EX108" s="176" t="n"/>
      <c r="EY108" s="176" t="n"/>
      <c r="EZ108" s="176" t="n"/>
      <c r="FA108" s="176" t="n"/>
      <c r="FB108" s="176" t="n"/>
      <c r="FC108" s="176" t="n"/>
      <c r="FD108" s="176" t="n"/>
      <c r="FE108" s="176" t="n"/>
      <c r="FF108" s="176" t="n"/>
      <c r="FG108" s="176" t="n"/>
      <c r="FH108" s="176" t="n"/>
      <c r="FI108" s="176" t="n"/>
      <c r="FJ108" s="176" t="n"/>
    </row>
    <row r="109" ht="15" customHeight="1" s="392">
      <c r="A109" s="176" t="n"/>
      <c r="B109" s="180" t="n"/>
      <c r="C109" s="183" t="inlineStr">
        <is>
          <t xml:space="preserve">        Excess Tax Benefit from Share-Based Compensation, Financing Activities</t>
        </is>
      </c>
      <c r="D109" s="190">
        <f>IF(COUNT(M109:EK109)&gt;0,MEDIAN(M109:EK109),"")</f>
        <v/>
      </c>
      <c r="E109" s="190">
        <f>IF(COUNT(M109:EK109)&gt;0,AVERAGE(M109:EK109),"")</f>
        <v/>
      </c>
      <c r="F109" s="190">
        <f>IF(COUNT(M109:EK109)&gt;0,MIN(M109:EK109),"")</f>
        <v/>
      </c>
      <c r="G109" s="190">
        <f>IF(COUNT(M109:EK109)&gt;0,MAX(M109:EK109),"")</f>
        <v/>
      </c>
      <c r="H109" s="190">
        <f>IF(COUNT(M109:EK109)&gt;0,QUARTILE(M109:EK109,1),"")</f>
        <v/>
      </c>
      <c r="I109" s="190">
        <f>IF(COUNT(M109:EK109)&gt;0,QUARTILE(M109:EK109,3),"")</f>
        <v/>
      </c>
      <c r="J109" s="190">
        <f>IF(COUNT(M109:EK109)&gt;1,STDEV(M109:EK109),"")</f>
        <v/>
      </c>
      <c r="K109" s="191">
        <f>IF(COUNT(M109:EK109)&gt;1,STDEV(M109:EK109)/AVERAGE(M109:EK109),"")</f>
        <v/>
      </c>
      <c r="M109" s="192" t="n"/>
      <c r="N109" s="192" t="n"/>
      <c r="O109" s="192" t="n"/>
      <c r="P109" s="192" t="n"/>
      <c r="Q109" s="192" t="n"/>
      <c r="R109" s="192" t="n"/>
      <c r="S109" s="192" t="n"/>
      <c r="T109" s="192" t="n"/>
      <c r="U109" s="192" t="n"/>
      <c r="V109" s="192" t="n"/>
      <c r="W109" s="192" t="n"/>
      <c r="X109" s="192" t="n"/>
      <c r="Y109" s="192" t="n"/>
      <c r="Z109" s="192" t="n"/>
      <c r="AA109" s="192" t="n"/>
      <c r="AB109" s="192" t="n"/>
      <c r="AC109" s="192" t="n"/>
      <c r="AD109" s="192" t="n"/>
      <c r="AE109" s="192" t="n"/>
      <c r="AF109" s="192" t="n"/>
      <c r="AG109" s="192" t="n"/>
      <c r="AH109" s="192" t="n"/>
      <c r="AI109" s="192" t="n"/>
      <c r="AJ109" s="192" t="n"/>
      <c r="AK109" s="192" t="n"/>
      <c r="AL109" s="192" t="n"/>
      <c r="AM109" s="192" t="n"/>
      <c r="AN109" s="192" t="n"/>
      <c r="AO109" s="192" t="n"/>
      <c r="AP109" s="192" t="n"/>
      <c r="AQ109" s="192" t="n"/>
      <c r="AR109" s="192" t="n"/>
      <c r="AS109" s="192" t="n"/>
      <c r="AT109" s="192" t="n"/>
      <c r="AU109" s="192" t="n"/>
      <c r="AV109" s="192" t="n"/>
      <c r="AW109" s="192" t="n"/>
      <c r="AX109" s="192" t="n"/>
      <c r="AY109" s="192" t="n"/>
      <c r="AZ109" s="192" t="n"/>
      <c r="BA109" s="192" t="n"/>
      <c r="BB109" s="192" t="n"/>
      <c r="BC109" s="192" t="n"/>
      <c r="BD109" s="192" t="n"/>
      <c r="BE109" s="192" t="n">
        <v>1692</v>
      </c>
      <c r="BF109" s="192" t="n">
        <v>745</v>
      </c>
      <c r="BG109" s="192" t="n">
        <v>173</v>
      </c>
      <c r="BH109" s="192" t="n">
        <v>361</v>
      </c>
      <c r="BI109" s="192" t="n">
        <v>1070</v>
      </c>
      <c r="BJ109" s="192" t="n">
        <v>48</v>
      </c>
      <c r="BK109" s="192" t="n">
        <v>1113</v>
      </c>
      <c r="BL109" s="192" t="n">
        <v>58</v>
      </c>
      <c r="BM109" s="192" t="n">
        <v>-67</v>
      </c>
      <c r="BN109" s="192" t="n">
        <v>871</v>
      </c>
      <c r="BO109" s="192" t="n">
        <v>3371</v>
      </c>
      <c r="BP109" s="192" t="n">
        <v>1922</v>
      </c>
      <c r="BQ109" s="192" t="n">
        <v>1671</v>
      </c>
      <c r="BR109" s="192" t="n">
        <v>1592</v>
      </c>
      <c r="BS109" s="192" t="n">
        <v>902</v>
      </c>
      <c r="BT109" s="192" t="n">
        <v>202</v>
      </c>
      <c r="BU109" s="192" t="n">
        <v>622</v>
      </c>
      <c r="BV109" s="192" t="n">
        <v>1882</v>
      </c>
      <c r="BW109" s="192" t="n">
        <v>933</v>
      </c>
      <c r="BX109" s="192" t="n">
        <v>110</v>
      </c>
      <c r="BY109" s="192" t="n">
        <v>2677</v>
      </c>
      <c r="BZ109" s="192" t="n"/>
      <c r="CA109" s="192" t="n"/>
      <c r="CB109" s="192" t="n"/>
      <c r="CC109" s="192" t="n"/>
      <c r="CD109" s="192" t="n"/>
      <c r="CE109" s="192" t="n"/>
      <c r="CF109" s="192" t="n"/>
      <c r="CG109" s="192" t="n"/>
      <c r="CH109" s="192" t="n"/>
      <c r="CI109" s="192" t="n"/>
      <c r="CJ109" s="192" t="n"/>
      <c r="CK109" s="192" t="n"/>
      <c r="CL109" s="192" t="n"/>
      <c r="CM109" s="192" t="n"/>
      <c r="CN109" s="192" t="n"/>
      <c r="CO109" s="192" t="n"/>
      <c r="CP109" s="192" t="n"/>
      <c r="CQ109" s="192" t="n"/>
      <c r="CR109" s="192" t="n"/>
      <c r="CS109" s="192" t="n"/>
      <c r="CT109" s="192" t="n"/>
      <c r="CU109" s="192" t="n"/>
      <c r="CV109" s="192" t="n"/>
      <c r="CW109" s="192" t="n"/>
      <c r="CX109" s="192" t="n"/>
      <c r="CY109" s="192" t="n"/>
      <c r="CZ109" s="192" t="n"/>
      <c r="DA109" s="192" t="n"/>
      <c r="DB109" s="192" t="n"/>
      <c r="DC109" s="192" t="n"/>
      <c r="DD109" s="192" t="n"/>
      <c r="DE109" s="192" t="n"/>
      <c r="DF109" s="192" t="n"/>
      <c r="DG109" s="192" t="n"/>
      <c r="DH109" s="192" t="n"/>
      <c r="DI109" s="192" t="n"/>
      <c r="DJ109" s="192" t="n"/>
      <c r="DK109" s="192" t="n"/>
      <c r="DL109" s="192" t="n"/>
      <c r="DM109" s="192" t="n"/>
      <c r="DN109" s="192" t="n"/>
      <c r="DO109" s="192" t="n"/>
      <c r="DP109" s="192" t="n"/>
      <c r="DQ109" s="192" t="n"/>
      <c r="DR109" s="192" t="n"/>
      <c r="DS109" s="192" t="n"/>
      <c r="DT109" s="192" t="n"/>
      <c r="DU109" s="192" t="n"/>
      <c r="DV109" s="192" t="n"/>
      <c r="DW109" s="192" t="n"/>
      <c r="DX109" s="192" t="n"/>
      <c r="DY109" s="192" t="n"/>
      <c r="DZ109" s="192" t="n"/>
      <c r="EA109" s="192" t="n"/>
      <c r="EB109" s="192" t="n"/>
      <c r="EC109" s="192" t="n"/>
      <c r="ED109" s="192" t="n"/>
      <c r="EE109" s="192" t="n"/>
      <c r="EF109" s="192" t="n"/>
      <c r="EG109" s="192" t="n"/>
      <c r="EH109" s="192" t="n"/>
      <c r="EI109" s="192" t="n"/>
      <c r="EJ109" s="192" t="n"/>
      <c r="EK109" s="192" t="n"/>
      <c r="EL109" s="182" t="n"/>
      <c r="EM109" s="176" t="n"/>
      <c r="EN109" s="176" t="n"/>
      <c r="EO109" s="176" t="n"/>
      <c r="EP109" s="176" t="n"/>
      <c r="EQ109" s="176" t="n"/>
      <c r="ER109" s="176" t="n"/>
      <c r="ES109" s="176" t="n"/>
      <c r="ET109" s="176" t="n"/>
      <c r="EU109" s="176" t="n"/>
      <c r="EV109" s="176" t="n"/>
      <c r="EW109" s="176" t="n"/>
      <c r="EX109" s="176" t="n"/>
      <c r="EY109" s="176" t="n"/>
      <c r="EZ109" s="176" t="n"/>
      <c r="FA109" s="176" t="n"/>
      <c r="FB109" s="176" t="n"/>
      <c r="FC109" s="176" t="n"/>
      <c r="FD109" s="176" t="n"/>
      <c r="FE109" s="176" t="n"/>
      <c r="FF109" s="176" t="n"/>
      <c r="FG109" s="176" t="n"/>
      <c r="FH109" s="176" t="n"/>
      <c r="FI109" s="176" t="n"/>
      <c r="FJ109" s="176" t="n"/>
    </row>
    <row r="110" ht="15" customHeight="1" s="392">
      <c r="A110" s="176" t="n"/>
      <c r="B110" s="180" t="n"/>
      <c r="C110" s="183" t="inlineStr">
        <is>
          <t xml:space="preserve">        Proceeds from Issuance/Exercising of Stock Options/Warrants</t>
        </is>
      </c>
      <c r="D110" s="190">
        <f>IF(COUNT(M110:EK110)&gt;0,MEDIAN(M110:EK110),"")</f>
        <v/>
      </c>
      <c r="E110" s="190">
        <f>IF(COUNT(M110:EK110)&gt;0,AVERAGE(M110:EK110),"")</f>
        <v/>
      </c>
      <c r="F110" s="190">
        <f>IF(COUNT(M110:EK110)&gt;0,MIN(M110:EK110),"")</f>
        <v/>
      </c>
      <c r="G110" s="190">
        <f>IF(COUNT(M110:EK110)&gt;0,MAX(M110:EK110),"")</f>
        <v/>
      </c>
      <c r="H110" s="190">
        <f>IF(COUNT(M110:EK110)&gt;0,QUARTILE(M110:EK110,1),"")</f>
        <v/>
      </c>
      <c r="I110" s="190">
        <f>IF(COUNT(M110:EK110)&gt;0,QUARTILE(M110:EK110,3),"")</f>
        <v/>
      </c>
      <c r="J110" s="190">
        <f>IF(COUNT(M110:EK110)&gt;1,STDEV(M110:EK110),"")</f>
        <v/>
      </c>
      <c r="K110" s="191">
        <f>IF(COUNT(M110:EK110)&gt;1,STDEV(M110:EK110)/AVERAGE(M110:EK110),"")</f>
        <v/>
      </c>
      <c r="M110" s="192" t="n">
        <v>9392</v>
      </c>
      <c r="N110" s="192" t="n">
        <v>5084</v>
      </c>
      <c r="O110" s="192" t="n">
        <v>14753</v>
      </c>
      <c r="P110" s="192" t="n">
        <v>1785</v>
      </c>
      <c r="Q110" s="192" t="n">
        <v>9863</v>
      </c>
      <c r="R110" s="192" t="n">
        <v>7338</v>
      </c>
      <c r="S110" s="192" t="n">
        <v>37380</v>
      </c>
      <c r="T110" s="192" t="n">
        <v>2857</v>
      </c>
      <c r="U110" s="192" t="n">
        <v>10332</v>
      </c>
      <c r="V110" s="192" t="n">
        <v>6891</v>
      </c>
      <c r="W110" s="192" t="n">
        <v>11320</v>
      </c>
      <c r="X110" s="192" t="n">
        <v>8123</v>
      </c>
      <c r="Y110" s="192" t="n">
        <v>28194</v>
      </c>
      <c r="Z110" s="192" t="n">
        <v>16405</v>
      </c>
      <c r="AA110" s="192" t="n">
        <v>15117</v>
      </c>
      <c r="AB110" s="192" t="n">
        <v>1061</v>
      </c>
      <c r="AC110" s="192" t="n">
        <v>16599</v>
      </c>
      <c r="AD110" s="192" t="n">
        <v>4127</v>
      </c>
      <c r="AE110" s="192" t="n">
        <v>11435</v>
      </c>
      <c r="AF110" s="192" t="n">
        <v>5572</v>
      </c>
      <c r="AG110" s="192" t="n">
        <v>14476</v>
      </c>
      <c r="AH110" s="192" t="n">
        <v>5717</v>
      </c>
      <c r="AI110" s="192" t="n">
        <v>7978</v>
      </c>
      <c r="AJ110" s="192" t="n">
        <v>20014</v>
      </c>
      <c r="AK110" s="192" t="n">
        <v>20305</v>
      </c>
      <c r="AL110" s="192" t="n">
        <v>23062</v>
      </c>
      <c r="AM110" s="192" t="n">
        <v>23929</v>
      </c>
      <c r="AN110" s="192" t="n">
        <v>12620</v>
      </c>
      <c r="AO110" s="192" t="n">
        <v>20819</v>
      </c>
      <c r="AP110" s="192" t="n">
        <v>12041</v>
      </c>
      <c r="AQ110" s="192" t="n">
        <v>7492</v>
      </c>
      <c r="AR110" s="192" t="n">
        <v>1229</v>
      </c>
      <c r="AS110" s="192" t="n">
        <v>23773</v>
      </c>
      <c r="AT110" s="192" t="n">
        <v>7213</v>
      </c>
      <c r="AU110" s="192" t="n">
        <v>10073</v>
      </c>
      <c r="AV110" s="192" t="n">
        <v>9253</v>
      </c>
      <c r="AW110" s="192" t="n">
        <v>3379</v>
      </c>
      <c r="AX110" s="192" t="n">
        <v>9790</v>
      </c>
      <c r="AY110" s="192" t="n">
        <v>8312</v>
      </c>
      <c r="AZ110" s="192" t="n">
        <v>13977</v>
      </c>
      <c r="BA110" s="192" t="n">
        <v>9980</v>
      </c>
      <c r="BB110" s="192" t="n">
        <v>4045</v>
      </c>
      <c r="BC110" s="192" t="n">
        <v>2216</v>
      </c>
      <c r="BD110" s="192" t="n">
        <v>368</v>
      </c>
      <c r="BE110" s="192" t="n">
        <v>1846</v>
      </c>
      <c r="BF110" s="192" t="n">
        <v>1069</v>
      </c>
      <c r="BG110" s="192" t="n">
        <v>1867</v>
      </c>
      <c r="BH110" s="192" t="n">
        <v>1931</v>
      </c>
      <c r="BI110" s="192" t="n">
        <v>5956</v>
      </c>
      <c r="BJ110" s="192" t="n">
        <v>1130</v>
      </c>
      <c r="BK110" s="192" t="n">
        <v>5583</v>
      </c>
      <c r="BL110" s="192" t="n">
        <v>82</v>
      </c>
      <c r="BM110" s="192" t="n">
        <v>2860</v>
      </c>
      <c r="BN110" s="192" t="n">
        <v>3221</v>
      </c>
      <c r="BO110" s="192" t="n">
        <v>13161</v>
      </c>
      <c r="BP110" s="192" t="n">
        <v>4148</v>
      </c>
      <c r="BQ110" s="192" t="n">
        <v>5262</v>
      </c>
      <c r="BR110" s="192" t="n">
        <v>2992</v>
      </c>
      <c r="BS110" s="192" t="n">
        <v>5995</v>
      </c>
      <c r="BT110" s="192" t="n">
        <v>1359</v>
      </c>
      <c r="BU110" s="192" t="n">
        <v>3161</v>
      </c>
      <c r="BV110" s="192" t="n">
        <v>3017</v>
      </c>
      <c r="BW110" s="192" t="n">
        <v>2187</v>
      </c>
      <c r="BX110" s="192" t="n">
        <v>674</v>
      </c>
      <c r="BY110" s="192" t="n">
        <v>2191</v>
      </c>
      <c r="BZ110" s="192" t="n">
        <v>1615</v>
      </c>
      <c r="CA110" s="192" t="n">
        <v>1453</v>
      </c>
      <c r="CB110" s="192" t="n">
        <v>1026</v>
      </c>
      <c r="CC110" s="192" t="n">
        <v>1919</v>
      </c>
      <c r="CD110" s="192" t="n">
        <v>381</v>
      </c>
      <c r="CE110" s="192" t="n"/>
      <c r="CF110" s="192" t="n"/>
      <c r="CG110" s="192" t="n"/>
      <c r="CH110" s="192" t="n"/>
      <c r="CI110" s="192" t="n"/>
      <c r="CJ110" s="192" t="n"/>
      <c r="CK110" s="192" t="n"/>
      <c r="CL110" s="192" t="n"/>
      <c r="CM110" s="192" t="n"/>
      <c r="CN110" s="192" t="n"/>
      <c r="CO110" s="192" t="n"/>
      <c r="CP110" s="192" t="n"/>
      <c r="CQ110" s="192" t="n"/>
      <c r="CR110" s="192" t="n"/>
      <c r="CS110" s="192" t="n"/>
      <c r="CT110" s="192" t="n"/>
      <c r="CU110" s="192" t="n"/>
      <c r="CV110" s="192" t="n"/>
      <c r="CW110" s="192" t="n"/>
      <c r="CX110" s="192" t="n"/>
      <c r="CY110" s="192" t="n"/>
      <c r="CZ110" s="192" t="n"/>
      <c r="DA110" s="192" t="n"/>
      <c r="DB110" s="192" t="n"/>
      <c r="DC110" s="192" t="n"/>
      <c r="DD110" s="192" t="n"/>
      <c r="DE110" s="192" t="n"/>
      <c r="DF110" s="192" t="n"/>
      <c r="DG110" s="192" t="n"/>
      <c r="DH110" s="192" t="n"/>
      <c r="DI110" s="192" t="n"/>
      <c r="DJ110" s="192" t="n"/>
      <c r="DK110" s="192" t="n"/>
      <c r="DL110" s="192" t="n"/>
      <c r="DM110" s="192" t="n"/>
      <c r="DN110" s="192" t="n"/>
      <c r="DO110" s="192" t="n"/>
      <c r="DP110" s="192" t="n"/>
      <c r="DQ110" s="192" t="n"/>
      <c r="DR110" s="192" t="n"/>
      <c r="DS110" s="192" t="n"/>
      <c r="DT110" s="192" t="n"/>
      <c r="DU110" s="192" t="n"/>
      <c r="DV110" s="192" t="n"/>
      <c r="DW110" s="192" t="n"/>
      <c r="DX110" s="192" t="n"/>
      <c r="DY110" s="192" t="n"/>
      <c r="DZ110" s="192" t="n"/>
      <c r="EA110" s="192" t="n"/>
      <c r="EB110" s="192" t="n"/>
      <c r="EC110" s="192" t="n"/>
      <c r="ED110" s="192" t="n"/>
      <c r="EE110" s="192" t="n"/>
      <c r="EF110" s="192" t="n"/>
      <c r="EG110" s="192" t="n"/>
      <c r="EH110" s="192" t="n"/>
      <c r="EI110" s="192" t="n"/>
      <c r="EJ110" s="192" t="n"/>
      <c r="EK110" s="192" t="n"/>
      <c r="EL110" s="182" t="n"/>
      <c r="EM110" s="176" t="n"/>
      <c r="EN110" s="176" t="n"/>
      <c r="EO110" s="176" t="n"/>
      <c r="EP110" s="176" t="n"/>
      <c r="EQ110" s="176" t="n"/>
      <c r="ER110" s="176" t="n"/>
      <c r="ES110" s="176" t="n"/>
      <c r="ET110" s="176" t="n"/>
      <c r="EU110" s="176" t="n"/>
      <c r="EV110" s="176" t="n"/>
      <c r="EW110" s="176" t="n"/>
      <c r="EX110" s="176" t="n"/>
      <c r="EY110" s="176" t="n"/>
      <c r="EZ110" s="176" t="n"/>
      <c r="FA110" s="176" t="n"/>
      <c r="FB110" s="176" t="n"/>
      <c r="FC110" s="176" t="n"/>
      <c r="FD110" s="176" t="n"/>
      <c r="FE110" s="176" t="n"/>
      <c r="FF110" s="176" t="n"/>
      <c r="FG110" s="176" t="n"/>
      <c r="FH110" s="176" t="n"/>
      <c r="FI110" s="176" t="n"/>
      <c r="FJ110" s="176" t="n"/>
    </row>
    <row r="111" ht="15" customHeight="1" s="392">
      <c r="A111" s="176" t="n"/>
      <c r="B111" s="180" t="n"/>
      <c r="C111" s="183" t="inlineStr">
        <is>
          <t xml:space="preserve">        Other Financing Cash Flow</t>
        </is>
      </c>
      <c r="D111" s="190">
        <f>IF(COUNT(M111:EK111)&gt;0,MEDIAN(M111:EK111),"")</f>
        <v/>
      </c>
      <c r="E111" s="190">
        <f>IF(COUNT(M111:EK111)&gt;0,AVERAGE(M111:EK111),"")</f>
        <v/>
      </c>
      <c r="F111" s="190">
        <f>IF(COUNT(M111:EK111)&gt;0,MIN(M111:EK111),"")</f>
        <v/>
      </c>
      <c r="G111" s="190">
        <f>IF(COUNT(M111:EK111)&gt;0,MAX(M111:EK111),"")</f>
        <v/>
      </c>
      <c r="H111" s="190">
        <f>IF(COUNT(M111:EK111)&gt;0,QUARTILE(M111:EK111,1),"")</f>
        <v/>
      </c>
      <c r="I111" s="190">
        <f>IF(COUNT(M111:EK111)&gt;0,QUARTILE(M111:EK111,3),"")</f>
        <v/>
      </c>
      <c r="J111" s="190">
        <f>IF(COUNT(M111:EK111)&gt;1,STDEV(M111:EK111),"")</f>
        <v/>
      </c>
      <c r="K111" s="191">
        <f>IF(COUNT(M111:EK111)&gt;1,STDEV(M111:EK111)/AVERAGE(M111:EK111),"")</f>
        <v/>
      </c>
      <c r="M111" s="192" t="n">
        <v>-974</v>
      </c>
      <c r="N111" s="192" t="n">
        <v>-572</v>
      </c>
      <c r="O111" s="192" t="n">
        <v>-860</v>
      </c>
      <c r="P111" s="192" t="n">
        <v>-1330</v>
      </c>
      <c r="Q111" s="192" t="n">
        <v>-1924</v>
      </c>
      <c r="R111" s="192" t="n">
        <v>-874</v>
      </c>
      <c r="S111" s="192" t="n">
        <v>-1764</v>
      </c>
      <c r="T111" s="192" t="n">
        <v>-720</v>
      </c>
      <c r="U111" s="192" t="n">
        <v>-1945</v>
      </c>
      <c r="V111" s="192" t="n">
        <v>-2449</v>
      </c>
      <c r="W111" s="192" t="n">
        <v>-1453</v>
      </c>
      <c r="X111" s="192" t="n">
        <v>-711</v>
      </c>
      <c r="Y111" s="192" t="n">
        <v>-1683</v>
      </c>
      <c r="Z111" s="192" t="n">
        <v>-2195</v>
      </c>
      <c r="AA111" s="192" t="n">
        <v>-536</v>
      </c>
      <c r="AB111" s="192" t="n">
        <v>-295</v>
      </c>
      <c r="AC111" s="192" t="n">
        <v>-1053</v>
      </c>
      <c r="AD111" s="192" t="n">
        <v>-273</v>
      </c>
      <c r="AE111" s="192" t="n">
        <v>-350</v>
      </c>
      <c r="AF111" s="192" t="n">
        <v>-249</v>
      </c>
      <c r="AG111" s="192" t="n">
        <v>-5207</v>
      </c>
      <c r="AH111" s="192" t="n">
        <v>-151</v>
      </c>
      <c r="AI111" s="192" t="n">
        <v>-298</v>
      </c>
      <c r="AJ111" s="192" t="n">
        <v>-489</v>
      </c>
      <c r="AK111" s="192" t="n">
        <v>-1260</v>
      </c>
      <c r="AL111" s="192" t="n">
        <v>-769</v>
      </c>
      <c r="AM111" s="192" t="n">
        <v>-68</v>
      </c>
      <c r="AN111" s="192" t="n">
        <v>-101354</v>
      </c>
      <c r="AO111" s="192" t="n">
        <v>-1294</v>
      </c>
      <c r="AP111" s="192" t="n">
        <v>-45567</v>
      </c>
      <c r="AQ111" s="192" t="n">
        <v>-25</v>
      </c>
      <c r="AR111" s="192" t="n">
        <v>-2</v>
      </c>
      <c r="AS111" s="192" t="n">
        <v>-1112</v>
      </c>
      <c r="AT111" s="192" t="n">
        <v>0</v>
      </c>
      <c r="AU111" s="192" t="n">
        <v>0</v>
      </c>
      <c r="AV111" s="192" t="n">
        <v>-3</v>
      </c>
      <c r="AW111" s="192" t="n">
        <v>-795</v>
      </c>
      <c r="AX111" s="192" t="n">
        <v>0</v>
      </c>
      <c r="AY111" s="192" t="n">
        <v>-23</v>
      </c>
      <c r="AZ111" s="192" t="n">
        <v>-134615</v>
      </c>
      <c r="BA111" s="192" t="n">
        <v>-15039</v>
      </c>
      <c r="BB111" s="192" t="n">
        <v>0</v>
      </c>
      <c r="BC111" s="192" t="n"/>
      <c r="BD111" s="192" t="n"/>
      <c r="BE111" s="192" t="n"/>
      <c r="BF111" s="192" t="n"/>
      <c r="BG111" s="192" t="n"/>
      <c r="BH111" s="192" t="n"/>
      <c r="BI111" s="192" t="n"/>
      <c r="BJ111" s="192" t="n"/>
      <c r="BK111" s="192" t="n"/>
      <c r="BL111" s="192" t="n"/>
      <c r="BM111" s="192" t="n"/>
      <c r="BN111" s="192" t="n"/>
      <c r="BO111" s="192" t="n"/>
      <c r="BP111" s="192" t="n"/>
      <c r="BQ111" s="192" t="n"/>
      <c r="BR111" s="192" t="n"/>
      <c r="BS111" s="192" t="n"/>
      <c r="BT111" s="192" t="n"/>
      <c r="BU111" s="192" t="n"/>
      <c r="BV111" s="192" t="n"/>
      <c r="BW111" s="192" t="n"/>
      <c r="BX111" s="192" t="n"/>
      <c r="BY111" s="192" t="n"/>
      <c r="BZ111" s="192" t="n"/>
      <c r="CA111" s="192" t="n">
        <v>20</v>
      </c>
      <c r="CB111" s="192" t="n">
        <v>2429</v>
      </c>
      <c r="CC111" s="192" t="n">
        <v>3460</v>
      </c>
      <c r="CD111" s="192" t="n">
        <v>-3901</v>
      </c>
      <c r="CE111" s="192" t="n">
        <v>4957</v>
      </c>
      <c r="CF111" s="192" t="n">
        <v>54</v>
      </c>
      <c r="CG111" s="192" t="n">
        <v>10871</v>
      </c>
      <c r="CH111" s="192" t="n">
        <v>166</v>
      </c>
      <c r="CI111" s="192" t="n">
        <v>365</v>
      </c>
      <c r="CJ111" s="192" t="n">
        <v>5540</v>
      </c>
      <c r="CK111" s="192" t="n">
        <v>-1216</v>
      </c>
      <c r="CL111" s="192" t="n">
        <v>627</v>
      </c>
      <c r="CM111" s="192" t="n">
        <v>3833</v>
      </c>
      <c r="CN111" s="192" t="n">
        <v>576</v>
      </c>
      <c r="CO111" s="192" t="n">
        <v>1095</v>
      </c>
      <c r="CP111" s="192" t="n">
        <v>365</v>
      </c>
      <c r="CQ111" s="192" t="n">
        <v>338</v>
      </c>
      <c r="CR111" s="192" t="n">
        <v>519</v>
      </c>
      <c r="CS111" s="192" t="n"/>
      <c r="CT111" s="192" t="n"/>
      <c r="CU111" s="192" t="n"/>
      <c r="CV111" s="192" t="n"/>
      <c r="CW111" s="192" t="n"/>
      <c r="CX111" s="192" t="n"/>
      <c r="CY111" s="192" t="n"/>
      <c r="CZ111" s="192" t="n"/>
      <c r="DA111" s="192" t="n"/>
      <c r="DB111" s="192" t="n"/>
      <c r="DC111" s="192" t="n"/>
      <c r="DD111" s="192" t="n"/>
      <c r="DE111" s="192" t="n"/>
      <c r="DF111" s="192" t="n"/>
      <c r="DG111" s="192" t="n"/>
      <c r="DH111" s="192" t="n"/>
      <c r="DI111" s="192" t="n"/>
      <c r="DJ111" s="192" t="n"/>
      <c r="DK111" s="192" t="n"/>
      <c r="DL111" s="192" t="n"/>
      <c r="DM111" s="192" t="n"/>
      <c r="DN111" s="192" t="n"/>
      <c r="DO111" s="192" t="n"/>
      <c r="DP111" s="192" t="n"/>
      <c r="DQ111" s="192" t="n"/>
      <c r="DR111" s="192" t="n"/>
      <c r="DS111" s="192" t="n"/>
      <c r="DT111" s="192" t="n"/>
      <c r="DU111" s="192" t="n"/>
      <c r="DV111" s="192" t="n"/>
      <c r="DW111" s="192" t="n"/>
      <c r="DX111" s="192" t="n"/>
      <c r="DY111" s="192" t="n"/>
      <c r="DZ111" s="192" t="n"/>
      <c r="EA111" s="192" t="n"/>
      <c r="EB111" s="192" t="n">
        <v>100</v>
      </c>
      <c r="EC111" s="192" t="n"/>
      <c r="ED111" s="192" t="n"/>
      <c r="EE111" s="192" t="n"/>
      <c r="EF111" s="192" t="n"/>
      <c r="EG111" s="192" t="n"/>
      <c r="EH111" s="192" t="n">
        <v>-400</v>
      </c>
      <c r="EI111" s="192" t="n"/>
      <c r="EJ111" s="192" t="n"/>
      <c r="EK111" s="192" t="n"/>
      <c r="EL111" s="182" t="n"/>
      <c r="EM111" s="176" t="n"/>
      <c r="EN111" s="176" t="n"/>
      <c r="EO111" s="176" t="n"/>
      <c r="EP111" s="176" t="n"/>
      <c r="EQ111" s="176" t="n"/>
      <c r="ER111" s="176" t="n"/>
      <c r="ES111" s="176" t="n"/>
      <c r="ET111" s="176" t="n"/>
      <c r="EU111" s="176" t="n"/>
      <c r="EV111" s="176" t="n"/>
      <c r="EW111" s="176" t="n"/>
      <c r="EX111" s="176" t="n"/>
      <c r="EY111" s="176" t="n"/>
      <c r="EZ111" s="176" t="n"/>
      <c r="FA111" s="176" t="n"/>
      <c r="FB111" s="176" t="n"/>
      <c r="FC111" s="176" t="n"/>
      <c r="FD111" s="176" t="n"/>
      <c r="FE111" s="176" t="n"/>
      <c r="FF111" s="176" t="n"/>
      <c r="FG111" s="176" t="n"/>
      <c r="FH111" s="176" t="n"/>
      <c r="FI111" s="176" t="n"/>
      <c r="FJ111" s="176" t="n"/>
    </row>
    <row r="112" ht="15" customHeight="1" s="392">
      <c r="A112" s="176" t="n"/>
      <c r="B112" s="180" t="n"/>
      <c r="C112" s="187" t="inlineStr">
        <is>
          <t xml:space="preserve">    Total Cash Flow from Continuing Financing Activities</t>
        </is>
      </c>
      <c r="D112" s="193">
        <f>IF(COUNT(M112:EK112)&gt;0,MEDIAN(M112:EK112),"")</f>
        <v/>
      </c>
      <c r="E112" s="193">
        <f>IF(COUNT(M112:EK112)&gt;0,AVERAGE(M112:EK112),"")</f>
        <v/>
      </c>
      <c r="F112" s="193">
        <f>IF(COUNT(M112:EK112)&gt;0,MIN(M112:EK112),"")</f>
        <v/>
      </c>
      <c r="G112" s="193">
        <f>IF(COUNT(M112:EK112)&gt;0,MAX(M112:EK112),"")</f>
        <v/>
      </c>
      <c r="H112" s="193">
        <f>IF(COUNT(M112:EK112)&gt;0,QUARTILE(M112:EK112,1),"")</f>
        <v/>
      </c>
      <c r="I112" s="193">
        <f>IF(COUNT(M112:EK112)&gt;0,QUARTILE(M112:EK112,3),"")</f>
        <v/>
      </c>
      <c r="J112" s="193">
        <f>IF(COUNT(M112:EK112)&gt;1,STDEV(M112:EK112),"")</f>
        <v/>
      </c>
      <c r="K112" s="194">
        <f>IF(COUNT(M112:EK112)&gt;1,STDEV(M112:EK112)/AVERAGE(M112:EK112),"")</f>
        <v/>
      </c>
      <c r="L112" s="195" t="n"/>
      <c r="M112" s="196" t="n">
        <v>8368</v>
      </c>
      <c r="N112" s="196" t="n">
        <v>-1409846</v>
      </c>
      <c r="O112" s="196" t="n">
        <v>-205826</v>
      </c>
      <c r="P112" s="196" t="n">
        <v>450</v>
      </c>
      <c r="Q112" s="196" t="n">
        <v>7934</v>
      </c>
      <c r="R112" s="196" t="n">
        <v>6460</v>
      </c>
      <c r="S112" s="196" t="n">
        <v>35576</v>
      </c>
      <c r="T112" s="196" t="n">
        <v>2137</v>
      </c>
      <c r="U112" s="196" t="n">
        <v>8384</v>
      </c>
      <c r="V112" s="196" t="n">
        <v>4441</v>
      </c>
      <c r="W112" s="196" t="n">
        <v>-959</v>
      </c>
      <c r="X112" s="196" t="n">
        <v>7407</v>
      </c>
      <c r="Y112" s="196" t="n">
        <v>15595</v>
      </c>
      <c r="Z112" s="196" t="n">
        <v>35686</v>
      </c>
      <c r="AA112" s="196" t="n">
        <v>14575</v>
      </c>
      <c r="AB112" s="196" t="n">
        <v>759</v>
      </c>
      <c r="AC112" s="196" t="n">
        <v>-401271</v>
      </c>
      <c r="AD112" s="196" t="n">
        <v>2484</v>
      </c>
      <c r="AE112" s="196" t="n">
        <v>10928</v>
      </c>
      <c r="AF112" s="196" t="n">
        <v>5166</v>
      </c>
      <c r="AG112" s="196" t="n">
        <v>9113</v>
      </c>
      <c r="AH112" s="196" t="n">
        <v>5226</v>
      </c>
      <c r="AI112" s="196" t="n">
        <v>7385</v>
      </c>
      <c r="AJ112" s="196" t="n">
        <v>19198</v>
      </c>
      <c r="AK112" s="196" t="n">
        <v>15166</v>
      </c>
      <c r="AL112" s="196" t="n">
        <v>8693</v>
      </c>
      <c r="AM112" s="196" t="n">
        <v>37461</v>
      </c>
      <c r="AN112" s="196" t="n">
        <v>-88734</v>
      </c>
      <c r="AO112" s="196" t="n">
        <v>12525</v>
      </c>
      <c r="AP112" s="196" t="n">
        <v>-119826</v>
      </c>
      <c r="AQ112" s="196" t="n">
        <v>-264230</v>
      </c>
      <c r="AR112" s="196" t="n">
        <v>1227</v>
      </c>
      <c r="AS112" s="196" t="n">
        <v>22481</v>
      </c>
      <c r="AT112" s="196" t="n">
        <v>-103487</v>
      </c>
      <c r="AU112" s="196" t="n">
        <v>-61282</v>
      </c>
      <c r="AV112" s="196" t="n">
        <v>-39750</v>
      </c>
      <c r="AW112" s="196" t="n">
        <v>68584</v>
      </c>
      <c r="AX112" s="196" t="n">
        <v>-135210</v>
      </c>
      <c r="AY112" s="196" t="n">
        <v>-23611</v>
      </c>
      <c r="AZ112" s="196" t="n">
        <v>-16738</v>
      </c>
      <c r="BA112" s="196" t="n">
        <v>-68073</v>
      </c>
      <c r="BB112" s="196" t="n">
        <v>-88507</v>
      </c>
      <c r="BC112" s="196" t="n">
        <v>-273534</v>
      </c>
      <c r="BD112" s="196" t="n">
        <v>-18382</v>
      </c>
      <c r="BE112" s="196" t="n">
        <v>-250781</v>
      </c>
      <c r="BF112" s="196" t="n">
        <v>-17552</v>
      </c>
      <c r="BG112" s="196" t="n">
        <v>406274</v>
      </c>
      <c r="BH112" s="196" t="n">
        <v>-17579</v>
      </c>
      <c r="BI112" s="196" t="n">
        <v>-12216</v>
      </c>
      <c r="BJ112" s="196" t="n">
        <v>-34606</v>
      </c>
      <c r="BK112" s="196" t="n">
        <v>4980</v>
      </c>
      <c r="BL112" s="196" t="n">
        <v>-34981</v>
      </c>
      <c r="BM112" s="196" t="n">
        <v>-21818</v>
      </c>
      <c r="BN112" s="196" t="n">
        <v>-14658</v>
      </c>
      <c r="BO112" s="196" t="n">
        <v>-2845</v>
      </c>
      <c r="BP112" s="196" t="n">
        <v>-26570</v>
      </c>
      <c r="BQ112" s="196" t="n">
        <v>-77447</v>
      </c>
      <c r="BR112" s="196" t="n">
        <v>-16426</v>
      </c>
      <c r="BS112" s="196" t="n">
        <v>-103265</v>
      </c>
      <c r="BT112" s="196" t="n">
        <v>82265</v>
      </c>
      <c r="BU112" s="196" t="n">
        <v>-145990</v>
      </c>
      <c r="BV112" s="196" t="n">
        <v>-72046</v>
      </c>
      <c r="BW112" s="196" t="n">
        <v>-61113</v>
      </c>
      <c r="BX112" s="196" t="n">
        <v>-74926</v>
      </c>
      <c r="BY112" s="196" t="n">
        <v>-3337</v>
      </c>
      <c r="BZ112" s="196" t="n">
        <v>2132</v>
      </c>
      <c r="CA112" s="196" t="n">
        <v>2548</v>
      </c>
      <c r="CB112" s="196" t="n">
        <v>-77</v>
      </c>
      <c r="CC112" s="196" t="n">
        <v>2610</v>
      </c>
      <c r="CD112" s="196" t="n">
        <v>-13430</v>
      </c>
      <c r="CE112" s="196" t="n">
        <v>2429</v>
      </c>
      <c r="CF112" s="196" t="n">
        <v>-9249</v>
      </c>
      <c r="CG112" s="196" t="n">
        <v>-97290</v>
      </c>
      <c r="CH112" s="196" t="n">
        <v>-106628</v>
      </c>
      <c r="CI112" s="196" t="n">
        <v>-38806</v>
      </c>
      <c r="CJ112" s="196" t="n">
        <v>13047</v>
      </c>
      <c r="CK112" s="196" t="n">
        <v>-91894</v>
      </c>
      <c r="CL112" s="196" t="n">
        <v>2046</v>
      </c>
      <c r="CM112" s="196" t="n">
        <v>12310</v>
      </c>
      <c r="CN112" s="196" t="n">
        <v>2153</v>
      </c>
      <c r="CO112" s="196" t="n">
        <v>2659</v>
      </c>
      <c r="CP112" s="196" t="n">
        <v>1923</v>
      </c>
      <c r="CQ112" s="196" t="n">
        <v>-6306</v>
      </c>
      <c r="CR112" s="196" t="n">
        <v>2229</v>
      </c>
      <c r="CS112" s="196" t="n">
        <v>1492</v>
      </c>
      <c r="CT112" s="196" t="n">
        <v>-606</v>
      </c>
      <c r="CU112" s="196" t="n">
        <v>2138</v>
      </c>
      <c r="CV112" s="196" t="n">
        <v>211</v>
      </c>
      <c r="CW112" s="196" t="n">
        <v>3120</v>
      </c>
      <c r="CX112" s="196" t="n">
        <v>2126</v>
      </c>
      <c r="CY112" s="196" t="n">
        <v>1084.7</v>
      </c>
      <c r="CZ112" s="196" t="n">
        <v>-10626.7</v>
      </c>
      <c r="DA112" s="196" t="n">
        <v>-2707.3</v>
      </c>
      <c r="DB112" s="196" t="n">
        <v>-20452.9</v>
      </c>
      <c r="DC112" s="196" t="n">
        <v>1513.3</v>
      </c>
      <c r="DD112" s="196" t="n">
        <v>-15.1</v>
      </c>
      <c r="DE112" s="196" t="n">
        <v>-1935</v>
      </c>
      <c r="DF112" s="196" t="n">
        <v>2391.4</v>
      </c>
      <c r="DG112" s="196" t="n">
        <v>127832</v>
      </c>
      <c r="DH112" s="196" t="n">
        <v>274.9</v>
      </c>
      <c r="DI112" s="196" t="n">
        <v>-7029.8</v>
      </c>
      <c r="DJ112" s="196" t="n">
        <v>1034.5</v>
      </c>
      <c r="DK112" s="196" t="n">
        <v>1818</v>
      </c>
      <c r="DL112" s="196" t="n">
        <v>22.8</v>
      </c>
      <c r="DM112" s="196" t="n">
        <v>2907</v>
      </c>
      <c r="DN112" s="196" t="n">
        <v>344.4</v>
      </c>
      <c r="DO112" s="196" t="n">
        <v>500</v>
      </c>
      <c r="DP112" s="196" t="n">
        <v>-100</v>
      </c>
      <c r="DQ112" s="196" t="n">
        <v>300</v>
      </c>
      <c r="DR112" s="196" t="n">
        <v>100</v>
      </c>
      <c r="DS112" s="196" t="n">
        <v>300</v>
      </c>
      <c r="DT112" s="196" t="n">
        <v>100</v>
      </c>
      <c r="DU112" s="196" t="n">
        <v>1400</v>
      </c>
      <c r="DV112" s="196" t="n">
        <v>200</v>
      </c>
      <c r="DW112" s="196" t="n">
        <v>800</v>
      </c>
      <c r="DX112" s="196" t="n">
        <v>-1600</v>
      </c>
      <c r="DY112" s="196" t="n">
        <v>-600</v>
      </c>
      <c r="DZ112" s="196" t="n">
        <v>-200</v>
      </c>
      <c r="EA112" s="196" t="n">
        <v>2000</v>
      </c>
      <c r="EB112" s="196" t="n">
        <v>0</v>
      </c>
      <c r="EC112" s="196" t="n">
        <v>300</v>
      </c>
      <c r="ED112" s="196" t="n">
        <v>0</v>
      </c>
      <c r="EE112" s="196" t="n">
        <v>200</v>
      </c>
      <c r="EF112" s="196" t="n">
        <v>-100</v>
      </c>
      <c r="EG112" s="196" t="n">
        <v>34700</v>
      </c>
      <c r="EH112" s="196" t="n">
        <v>-800</v>
      </c>
      <c r="EI112" s="196" t="n">
        <v>-200</v>
      </c>
      <c r="EJ112" s="196" t="n">
        <v>200</v>
      </c>
      <c r="EK112" s="196" t="n">
        <v>0</v>
      </c>
      <c r="EL112" s="182" t="n"/>
      <c r="EM112" s="176" t="n"/>
      <c r="EN112" s="176" t="n"/>
      <c r="EO112" s="176" t="n"/>
      <c r="EP112" s="176" t="n"/>
      <c r="EQ112" s="176" t="n"/>
      <c r="ER112" s="176" t="n"/>
      <c r="ES112" s="176" t="n"/>
      <c r="ET112" s="176" t="n"/>
      <c r="EU112" s="176" t="n"/>
      <c r="EV112" s="176" t="n"/>
      <c r="EW112" s="176" t="n"/>
      <c r="EX112" s="176" t="n"/>
      <c r="EY112" s="176" t="n"/>
      <c r="EZ112" s="176" t="n"/>
      <c r="FA112" s="176" t="n"/>
      <c r="FB112" s="176" t="n"/>
      <c r="FC112" s="176" t="n"/>
      <c r="FD112" s="176" t="n"/>
      <c r="FE112" s="176" t="n"/>
      <c r="FF112" s="176" t="n"/>
      <c r="FG112" s="176" t="n"/>
      <c r="FH112" s="176" t="n"/>
      <c r="FI112" s="176" t="n"/>
      <c r="FJ112" s="176" t="n"/>
    </row>
    <row r="113" ht="15" customHeight="1" s="392">
      <c r="A113" s="176" t="n"/>
      <c r="B113" s="180" t="n"/>
      <c r="C113" s="187" t="inlineStr">
        <is>
          <t>Total Cash Flow from Financing Activities</t>
        </is>
      </c>
      <c r="D113" s="193">
        <f>IF(COUNT(M113:EK113)&gt;0,MEDIAN(M113:EK113),"")</f>
        <v/>
      </c>
      <c r="E113" s="193">
        <f>IF(COUNT(M113:EK113)&gt;0,AVERAGE(M113:EK113),"")</f>
        <v/>
      </c>
      <c r="F113" s="193">
        <f>IF(COUNT(M113:EK113)&gt;0,MIN(M113:EK113),"")</f>
        <v/>
      </c>
      <c r="G113" s="193">
        <f>IF(COUNT(M113:EK113)&gt;0,MAX(M113:EK113),"")</f>
        <v/>
      </c>
      <c r="H113" s="193">
        <f>IF(COUNT(M113:EK113)&gt;0,QUARTILE(M113:EK113,1),"")</f>
        <v/>
      </c>
      <c r="I113" s="193">
        <f>IF(COUNT(M113:EK113)&gt;0,QUARTILE(M113:EK113,3),"")</f>
        <v/>
      </c>
      <c r="J113" s="193">
        <f>IF(COUNT(M113:EK113)&gt;1,STDEV(M113:EK113),"")</f>
        <v/>
      </c>
      <c r="K113" s="194">
        <f>IF(COUNT(M113:EK113)&gt;1,STDEV(M113:EK113)/AVERAGE(M113:EK113),"")</f>
        <v/>
      </c>
      <c r="L113" s="195" t="n"/>
      <c r="M113" s="196" t="n">
        <v>8368</v>
      </c>
      <c r="N113" s="196" t="n">
        <v>-1409846</v>
      </c>
      <c r="O113" s="196" t="n">
        <v>-205826</v>
      </c>
      <c r="P113" s="196" t="n">
        <v>450</v>
      </c>
      <c r="Q113" s="196" t="n">
        <v>7934</v>
      </c>
      <c r="R113" s="196" t="n">
        <v>6460</v>
      </c>
      <c r="S113" s="196" t="n">
        <v>35576</v>
      </c>
      <c r="T113" s="196" t="n">
        <v>2137</v>
      </c>
      <c r="U113" s="196" t="n">
        <v>8384</v>
      </c>
      <c r="V113" s="196" t="n">
        <v>4441</v>
      </c>
      <c r="W113" s="196" t="n">
        <v>-959</v>
      </c>
      <c r="X113" s="196" t="n">
        <v>7407</v>
      </c>
      <c r="Y113" s="196" t="n">
        <v>15595</v>
      </c>
      <c r="Z113" s="196" t="n">
        <v>35686</v>
      </c>
      <c r="AA113" s="196" t="n">
        <v>14575</v>
      </c>
      <c r="AB113" s="196" t="n">
        <v>759</v>
      </c>
      <c r="AC113" s="196" t="n">
        <v>-401271</v>
      </c>
      <c r="AD113" s="196" t="n">
        <v>2484</v>
      </c>
      <c r="AE113" s="196" t="n">
        <v>10928</v>
      </c>
      <c r="AF113" s="196" t="n">
        <v>5166</v>
      </c>
      <c r="AG113" s="196" t="n">
        <v>9113</v>
      </c>
      <c r="AH113" s="196" t="n">
        <v>5226</v>
      </c>
      <c r="AI113" s="196" t="n">
        <v>7385</v>
      </c>
      <c r="AJ113" s="196" t="n">
        <v>19198</v>
      </c>
      <c r="AK113" s="196" t="n">
        <v>15166</v>
      </c>
      <c r="AL113" s="196" t="n">
        <v>8693</v>
      </c>
      <c r="AM113" s="196" t="n">
        <v>37461</v>
      </c>
      <c r="AN113" s="196" t="n">
        <v>-88734</v>
      </c>
      <c r="AO113" s="196" t="n">
        <v>12525</v>
      </c>
      <c r="AP113" s="196" t="n">
        <v>-119826</v>
      </c>
      <c r="AQ113" s="196" t="n">
        <v>-264230</v>
      </c>
      <c r="AR113" s="196" t="n">
        <v>1227</v>
      </c>
      <c r="AS113" s="196" t="n">
        <v>22481</v>
      </c>
      <c r="AT113" s="196" t="n">
        <v>-103487</v>
      </c>
      <c r="AU113" s="196" t="n">
        <v>-61282</v>
      </c>
      <c r="AV113" s="196" t="n">
        <v>-39750</v>
      </c>
      <c r="AW113" s="196" t="n">
        <v>68584</v>
      </c>
      <c r="AX113" s="196" t="n">
        <v>-135210</v>
      </c>
      <c r="AY113" s="196" t="n">
        <v>-23611</v>
      </c>
      <c r="AZ113" s="196" t="n">
        <v>-16738</v>
      </c>
      <c r="BA113" s="196" t="n">
        <v>-68073</v>
      </c>
      <c r="BB113" s="196" t="n">
        <v>-88507</v>
      </c>
      <c r="BC113" s="196" t="n">
        <v>-273534</v>
      </c>
      <c r="BD113" s="196" t="n">
        <v>-18382</v>
      </c>
      <c r="BE113" s="196" t="n">
        <v>-250781</v>
      </c>
      <c r="BF113" s="196" t="n">
        <v>-17552</v>
      </c>
      <c r="BG113" s="196" t="n">
        <v>406274</v>
      </c>
      <c r="BH113" s="196" t="n">
        <v>-17579</v>
      </c>
      <c r="BI113" s="196" t="n">
        <v>-12216</v>
      </c>
      <c r="BJ113" s="196" t="n">
        <v>-34606</v>
      </c>
      <c r="BK113" s="196" t="n">
        <v>4980</v>
      </c>
      <c r="BL113" s="196" t="n">
        <v>-34981</v>
      </c>
      <c r="BM113" s="196" t="n">
        <v>-21818</v>
      </c>
      <c r="BN113" s="196" t="n">
        <v>-14658</v>
      </c>
      <c r="BO113" s="196" t="n">
        <v>-2845</v>
      </c>
      <c r="BP113" s="196" t="n">
        <v>-26570</v>
      </c>
      <c r="BQ113" s="196" t="n">
        <v>-77447</v>
      </c>
      <c r="BR113" s="196" t="n">
        <v>-16426</v>
      </c>
      <c r="BS113" s="196" t="n">
        <v>-103265</v>
      </c>
      <c r="BT113" s="196" t="n">
        <v>82265</v>
      </c>
      <c r="BU113" s="196" t="n">
        <v>-145990</v>
      </c>
      <c r="BV113" s="196" t="n">
        <v>-72046</v>
      </c>
      <c r="BW113" s="196" t="n">
        <v>-61113</v>
      </c>
      <c r="BX113" s="196" t="n">
        <v>-74926</v>
      </c>
      <c r="BY113" s="196" t="n">
        <v>-3337</v>
      </c>
      <c r="BZ113" s="196" t="n">
        <v>2132</v>
      </c>
      <c r="CA113" s="196" t="n">
        <v>2548</v>
      </c>
      <c r="CB113" s="196" t="n">
        <v>-77</v>
      </c>
      <c r="CC113" s="196" t="n">
        <v>2610</v>
      </c>
      <c r="CD113" s="196" t="n">
        <v>-13430</v>
      </c>
      <c r="CE113" s="196" t="n">
        <v>2429</v>
      </c>
      <c r="CF113" s="196" t="n">
        <v>-9249</v>
      </c>
      <c r="CG113" s="196" t="n">
        <v>-97290</v>
      </c>
      <c r="CH113" s="196" t="n">
        <v>-106628</v>
      </c>
      <c r="CI113" s="196" t="n">
        <v>-38806</v>
      </c>
      <c r="CJ113" s="196" t="n">
        <v>13047</v>
      </c>
      <c r="CK113" s="196" t="n">
        <v>-91894</v>
      </c>
      <c r="CL113" s="196" t="n">
        <v>2046</v>
      </c>
      <c r="CM113" s="196" t="n">
        <v>12310</v>
      </c>
      <c r="CN113" s="196" t="n">
        <v>2153</v>
      </c>
      <c r="CO113" s="196" t="n">
        <v>2659</v>
      </c>
      <c r="CP113" s="196" t="n">
        <v>1923</v>
      </c>
      <c r="CQ113" s="196" t="n">
        <v>-6306</v>
      </c>
      <c r="CR113" s="196" t="n">
        <v>2229</v>
      </c>
      <c r="CS113" s="196" t="n">
        <v>1492</v>
      </c>
      <c r="CT113" s="196" t="n">
        <v>-606</v>
      </c>
      <c r="CU113" s="196" t="n">
        <v>2138</v>
      </c>
      <c r="CV113" s="196" t="n">
        <v>211</v>
      </c>
      <c r="CW113" s="196" t="n">
        <v>3120</v>
      </c>
      <c r="CX113" s="196" t="n">
        <v>2126</v>
      </c>
      <c r="CY113" s="196" t="n">
        <v>1084.7</v>
      </c>
      <c r="CZ113" s="196" t="n">
        <v>-10626.7</v>
      </c>
      <c r="DA113" s="196" t="n">
        <v>-2707.3</v>
      </c>
      <c r="DB113" s="196" t="n">
        <v>-20452.9</v>
      </c>
      <c r="DC113" s="196" t="n">
        <v>1513.3</v>
      </c>
      <c r="DD113" s="196" t="n">
        <v>-15.1</v>
      </c>
      <c r="DE113" s="196" t="n">
        <v>-1935</v>
      </c>
      <c r="DF113" s="196" t="n">
        <v>2391.4</v>
      </c>
      <c r="DG113" s="196" t="n">
        <v>127832</v>
      </c>
      <c r="DH113" s="196" t="n">
        <v>274.9</v>
      </c>
      <c r="DI113" s="196" t="n">
        <v>-7029.8</v>
      </c>
      <c r="DJ113" s="196" t="n">
        <v>1034.5</v>
      </c>
      <c r="DK113" s="196" t="n">
        <v>1818</v>
      </c>
      <c r="DL113" s="196" t="n">
        <v>22.8</v>
      </c>
      <c r="DM113" s="196" t="n">
        <v>2907</v>
      </c>
      <c r="DN113" s="196" t="n">
        <v>344.4</v>
      </c>
      <c r="DO113" s="196" t="n">
        <v>500</v>
      </c>
      <c r="DP113" s="196" t="n">
        <v>-100</v>
      </c>
      <c r="DQ113" s="196" t="n">
        <v>300</v>
      </c>
      <c r="DR113" s="196" t="n">
        <v>100</v>
      </c>
      <c r="DS113" s="196" t="n">
        <v>300</v>
      </c>
      <c r="DT113" s="196" t="n">
        <v>100</v>
      </c>
      <c r="DU113" s="196" t="n">
        <v>1400</v>
      </c>
      <c r="DV113" s="196" t="n">
        <v>200</v>
      </c>
      <c r="DW113" s="196" t="n">
        <v>800</v>
      </c>
      <c r="DX113" s="196" t="n">
        <v>-1600</v>
      </c>
      <c r="DY113" s="196" t="n">
        <v>-600</v>
      </c>
      <c r="DZ113" s="196" t="n">
        <v>-200</v>
      </c>
      <c r="EA113" s="196" t="n">
        <v>2000</v>
      </c>
      <c r="EB113" s="196" t="n">
        <v>0</v>
      </c>
      <c r="EC113" s="196" t="n">
        <v>300</v>
      </c>
      <c r="ED113" s="196" t="n">
        <v>0</v>
      </c>
      <c r="EE113" s="196" t="n">
        <v>200</v>
      </c>
      <c r="EF113" s="196" t="n">
        <v>-100</v>
      </c>
      <c r="EG113" s="196" t="n">
        <v>34700</v>
      </c>
      <c r="EH113" s="196" t="n">
        <v>-800</v>
      </c>
      <c r="EI113" s="196" t="n">
        <v>-200</v>
      </c>
      <c r="EJ113" s="196" t="n">
        <v>200</v>
      </c>
      <c r="EK113" s="196" t="n">
        <v>0</v>
      </c>
      <c r="EL113" s="182" t="n"/>
      <c r="EM113" s="176" t="n"/>
      <c r="EN113" s="176" t="n"/>
      <c r="EO113" s="176" t="n"/>
      <c r="EP113" s="176" t="n"/>
      <c r="EQ113" s="176" t="n"/>
      <c r="ER113" s="176" t="n"/>
      <c r="ES113" s="176" t="n"/>
      <c r="ET113" s="176" t="n"/>
      <c r="EU113" s="176" t="n"/>
      <c r="EV113" s="176" t="n"/>
      <c r="EW113" s="176" t="n"/>
      <c r="EX113" s="176" t="n"/>
      <c r="EY113" s="176" t="n"/>
      <c r="EZ113" s="176" t="n"/>
      <c r="FA113" s="176" t="n"/>
      <c r="FB113" s="176" t="n"/>
      <c r="FC113" s="176" t="n"/>
      <c r="FD113" s="176" t="n"/>
      <c r="FE113" s="176" t="n"/>
      <c r="FF113" s="176" t="n"/>
      <c r="FG113" s="176" t="n"/>
      <c r="FH113" s="176" t="n"/>
      <c r="FI113" s="176" t="n"/>
      <c r="FJ113" s="176" t="n"/>
    </row>
    <row r="114" ht="15" customHeight="1" s="392">
      <c r="A114" s="176" t="n"/>
      <c r="B114" s="180" t="n"/>
      <c r="C114" s="189" t="inlineStr">
        <is>
          <t>Cash and Cash Equivalents, End of Period</t>
        </is>
      </c>
      <c r="D114" s="185" t="n"/>
      <c r="E114" s="185" t="n"/>
      <c r="F114" s="185" t="n"/>
      <c r="G114" s="185" t="n"/>
      <c r="H114" s="185" t="n"/>
      <c r="I114" s="185" t="n"/>
      <c r="J114" s="185" t="n"/>
      <c r="K114" s="185" t="n"/>
      <c r="L114" s="185" t="n"/>
      <c r="M114" s="185" t="n"/>
      <c r="N114" s="185" t="n"/>
      <c r="O114" s="185" t="n"/>
      <c r="P114" s="185" t="n"/>
      <c r="Q114" s="185" t="n"/>
      <c r="R114" s="185" t="n"/>
      <c r="S114" s="185" t="n"/>
      <c r="T114" s="185" t="n"/>
      <c r="U114" s="185" t="n"/>
      <c r="V114" s="185" t="n"/>
      <c r="W114" s="185" t="n"/>
      <c r="X114" s="185" t="n"/>
      <c r="Y114" s="185" t="n"/>
      <c r="Z114" s="185" t="n"/>
      <c r="AA114" s="185" t="n"/>
      <c r="AB114" s="185" t="n"/>
      <c r="AC114" s="185" t="n"/>
      <c r="AD114" s="185" t="n"/>
      <c r="AE114" s="185" t="n"/>
      <c r="AF114" s="185" t="n"/>
      <c r="AG114" s="185" t="n"/>
      <c r="AH114" s="185" t="n"/>
      <c r="AI114" s="185" t="n"/>
      <c r="AJ114" s="185" t="n"/>
      <c r="AK114" s="185" t="n"/>
      <c r="AL114" s="185" t="n"/>
      <c r="AM114" s="185" t="n"/>
      <c r="AN114" s="185" t="n"/>
      <c r="AO114" s="185" t="n"/>
      <c r="AP114" s="185" t="n"/>
      <c r="AQ114" s="185" t="n"/>
      <c r="AR114" s="185" t="n"/>
      <c r="AS114" s="185" t="n"/>
      <c r="AT114" s="185" t="n"/>
      <c r="AU114" s="185" t="n"/>
      <c r="AV114" s="185" t="n"/>
      <c r="AW114" s="185" t="n"/>
      <c r="AX114" s="185" t="n"/>
      <c r="AY114" s="185" t="n"/>
      <c r="AZ114" s="185" t="n"/>
      <c r="BA114" s="185" t="n"/>
      <c r="BB114" s="185" t="n"/>
      <c r="BC114" s="185" t="n"/>
      <c r="BD114" s="185" t="n"/>
      <c r="BE114" s="185" t="n"/>
      <c r="BF114" s="185" t="n"/>
      <c r="BG114" s="185" t="n"/>
      <c r="BH114" s="185" t="n"/>
      <c r="BI114" s="185" t="n"/>
      <c r="BJ114" s="185" t="n"/>
      <c r="BK114" s="185" t="n"/>
      <c r="BL114" s="185" t="n"/>
      <c r="BM114" s="185" t="n"/>
      <c r="BN114" s="185" t="n"/>
      <c r="BO114" s="185" t="n"/>
      <c r="BP114" s="185" t="n"/>
      <c r="BQ114" s="185" t="n"/>
      <c r="BR114" s="185" t="n"/>
      <c r="BS114" s="185" t="n"/>
      <c r="BT114" s="185" t="n"/>
      <c r="BU114" s="185" t="n"/>
      <c r="BV114" s="185" t="n"/>
      <c r="BW114" s="185" t="n"/>
      <c r="BX114" s="185" t="n"/>
      <c r="BY114" s="185" t="n"/>
      <c r="BZ114" s="185" t="n"/>
      <c r="CA114" s="185" t="n"/>
      <c r="CB114" s="185" t="n"/>
      <c r="CC114" s="185" t="n"/>
      <c r="CD114" s="185" t="n"/>
      <c r="CE114" s="185" t="n"/>
      <c r="CF114" s="185" t="n"/>
      <c r="CG114" s="185" t="n"/>
      <c r="CH114" s="185" t="n"/>
      <c r="CI114" s="185" t="n"/>
      <c r="CJ114" s="185" t="n"/>
      <c r="CK114" s="185" t="n"/>
      <c r="CL114" s="185" t="n"/>
      <c r="CM114" s="185" t="n"/>
      <c r="CN114" s="185" t="n"/>
      <c r="CO114" s="185" t="n"/>
      <c r="CP114" s="185" t="n"/>
      <c r="CQ114" s="185" t="n"/>
      <c r="CR114" s="185" t="n"/>
      <c r="CS114" s="185" t="n"/>
      <c r="CT114" s="185" t="n"/>
      <c r="CU114" s="185" t="n"/>
      <c r="CV114" s="185" t="n"/>
      <c r="CW114" s="185" t="n"/>
      <c r="CX114" s="185" t="n"/>
      <c r="CY114" s="185" t="n"/>
      <c r="CZ114" s="185" t="n"/>
      <c r="DA114" s="185" t="n"/>
      <c r="DB114" s="185" t="n"/>
      <c r="DC114" s="185" t="n"/>
      <c r="DD114" s="185" t="n"/>
      <c r="DE114" s="185" t="n"/>
      <c r="DF114" s="185" t="n"/>
      <c r="DG114" s="185" t="n"/>
      <c r="DH114" s="185" t="n"/>
      <c r="DI114" s="185" t="n"/>
      <c r="DJ114" s="185" t="n"/>
      <c r="DK114" s="185" t="n"/>
      <c r="DL114" s="185" t="n"/>
      <c r="DM114" s="185" t="n"/>
      <c r="DN114" s="185" t="n"/>
      <c r="DO114" s="185" t="n"/>
      <c r="DP114" s="185" t="n"/>
      <c r="DQ114" s="185" t="n"/>
      <c r="DR114" s="185" t="n"/>
      <c r="DS114" s="185" t="n"/>
      <c r="DT114" s="185" t="n"/>
      <c r="DU114" s="185" t="n"/>
      <c r="DV114" s="185" t="n"/>
      <c r="DW114" s="185" t="n"/>
      <c r="DX114" s="185" t="n"/>
      <c r="DY114" s="185" t="n"/>
      <c r="DZ114" s="185" t="n"/>
      <c r="EA114" s="185" t="n"/>
      <c r="EB114" s="185" t="n"/>
      <c r="EC114" s="185" t="n"/>
      <c r="ED114" s="185" t="n"/>
      <c r="EE114" s="185" t="n"/>
      <c r="EF114" s="185" t="n"/>
      <c r="EG114" s="185" t="n"/>
      <c r="EH114" s="185" t="n"/>
      <c r="EI114" s="185" t="n"/>
      <c r="EJ114" s="185" t="n"/>
      <c r="EK114" s="185" t="n"/>
      <c r="EL114" s="182" t="n"/>
      <c r="EM114" s="176" t="n"/>
      <c r="EN114" s="176" t="n"/>
      <c r="EO114" s="176" t="n"/>
      <c r="EP114" s="176" t="n"/>
      <c r="EQ114" s="176" t="n"/>
      <c r="ER114" s="176" t="n"/>
      <c r="ES114" s="176" t="n"/>
      <c r="ET114" s="176" t="n"/>
      <c r="EU114" s="176" t="n"/>
      <c r="EV114" s="176" t="n"/>
      <c r="EW114" s="176" t="n"/>
      <c r="EX114" s="176" t="n"/>
      <c r="EY114" s="176" t="n"/>
      <c r="EZ114" s="176" t="n"/>
      <c r="FA114" s="176" t="n"/>
      <c r="FB114" s="176" t="n"/>
      <c r="FC114" s="176" t="n"/>
      <c r="FD114" s="176" t="n"/>
      <c r="FE114" s="176" t="n"/>
      <c r="FF114" s="176" t="n"/>
      <c r="FG114" s="176" t="n"/>
      <c r="FH114" s="176" t="n"/>
      <c r="FI114" s="176" t="n"/>
      <c r="FJ114" s="176" t="n"/>
    </row>
    <row r="115" ht="15" customHeight="1" s="392">
      <c r="A115" s="176" t="n"/>
      <c r="B115" s="180" t="n"/>
      <c r="C115" s="183" t="inlineStr">
        <is>
          <t xml:space="preserve">    Change in Cash</t>
        </is>
      </c>
      <c r="D115" s="190">
        <f>IF(COUNT(M115:EK115)&gt;0,MEDIAN(M115:EK115),"")</f>
        <v/>
      </c>
      <c r="E115" s="190">
        <f>IF(COUNT(M115:EK115)&gt;0,AVERAGE(M115:EK115),"")</f>
        <v/>
      </c>
      <c r="F115" s="190">
        <f>IF(COUNT(M115:EK115)&gt;0,MIN(M115:EK115),"")</f>
        <v/>
      </c>
      <c r="G115" s="190">
        <f>IF(COUNT(M115:EK115)&gt;0,MAX(M115:EK115),"")</f>
        <v/>
      </c>
      <c r="H115" s="190">
        <f>IF(COUNT(M115:EK115)&gt;0,QUARTILE(M115:EK115,1),"")</f>
        <v/>
      </c>
      <c r="I115" s="190">
        <f>IF(COUNT(M115:EK115)&gt;0,QUARTILE(M115:EK115,3),"")</f>
        <v/>
      </c>
      <c r="J115" s="190">
        <f>IF(COUNT(M115:EK115)&gt;1,STDEV(M115:EK115),"")</f>
        <v/>
      </c>
      <c r="K115" s="191">
        <f>IF(COUNT(M115:EK115)&gt;1,STDEV(M115:EK115)/AVERAGE(M115:EK115),"")</f>
        <v/>
      </c>
      <c r="M115" s="192" t="n">
        <v>-1445162</v>
      </c>
      <c r="N115" s="192" t="n">
        <v>-1750799</v>
      </c>
      <c r="O115" s="192" t="n">
        <v>-136011</v>
      </c>
      <c r="P115" s="192" t="n">
        <v>2452009</v>
      </c>
      <c r="Q115" s="192" t="n">
        <v>418011</v>
      </c>
      <c r="R115" s="192" t="n">
        <v>-979224</v>
      </c>
      <c r="S115" s="192" t="n">
        <v>-361017</v>
      </c>
      <c r="T115" s="192" t="n">
        <v>2186639</v>
      </c>
      <c r="U115" s="192" t="n">
        <v>424020</v>
      </c>
      <c r="V115" s="192" t="n">
        <v>-168069</v>
      </c>
      <c r="W115" s="192" t="n">
        <v>-1322171</v>
      </c>
      <c r="X115" s="192" t="n">
        <v>1617978</v>
      </c>
      <c r="Y115" s="192" t="n">
        <v>-1189118</v>
      </c>
      <c r="Z115" s="192" t="n">
        <v>455096</v>
      </c>
      <c r="AA115" s="192" t="n">
        <v>112950</v>
      </c>
      <c r="AB115" s="192" t="n">
        <v>159848</v>
      </c>
      <c r="AC115" s="192" t="n">
        <v>-73182</v>
      </c>
      <c r="AD115" s="192" t="n">
        <v>492503</v>
      </c>
      <c r="AE115" s="192" t="n">
        <v>-321464</v>
      </c>
      <c r="AF115" s="192" t="n">
        <v>253823</v>
      </c>
      <c r="AG115" s="192" t="n">
        <v>136129</v>
      </c>
      <c r="AH115" s="192" t="n">
        <v>293679</v>
      </c>
      <c r="AI115" s="192" t="n">
        <v>5630</v>
      </c>
      <c r="AJ115" s="192" t="n">
        <v>130909</v>
      </c>
      <c r="AK115" s="192" t="n">
        <v>169720</v>
      </c>
      <c r="AL115" s="192" t="n">
        <v>212609</v>
      </c>
      <c r="AM115" s="192" t="n">
        <v>-85280</v>
      </c>
      <c r="AN115" s="192" t="n">
        <v>-7786</v>
      </c>
      <c r="AO115" s="192" t="n">
        <v>91561</v>
      </c>
      <c r="AP115" s="192" t="n">
        <v>-4448</v>
      </c>
      <c r="AQ115" s="192" t="n">
        <v>-214422</v>
      </c>
      <c r="AR115" s="192" t="n">
        <v>47384</v>
      </c>
      <c r="AS115" s="192" t="n">
        <v>76991</v>
      </c>
      <c r="AT115" s="192" t="n">
        <v>10173</v>
      </c>
      <c r="AU115" s="192" t="n">
        <v>-36877</v>
      </c>
      <c r="AV115" s="192" t="n">
        <v>14268</v>
      </c>
      <c r="AW115" s="192" t="n">
        <v>14746</v>
      </c>
      <c r="AX115" s="192" t="n">
        <v>12443</v>
      </c>
      <c r="AY115" s="192" t="n">
        <v>3617</v>
      </c>
      <c r="AZ115" s="192" t="n">
        <v>18486</v>
      </c>
      <c r="BA115" s="192" t="n">
        <v>26172</v>
      </c>
      <c r="BB115" s="192" t="n">
        <v>-7965</v>
      </c>
      <c r="BC115" s="192" t="n">
        <v>-324647</v>
      </c>
      <c r="BD115" s="192" t="n">
        <v>17566</v>
      </c>
      <c r="BE115" s="192" t="n">
        <v>-222997</v>
      </c>
      <c r="BF115" s="192" t="n">
        <v>87659</v>
      </c>
      <c r="BG115" s="192" t="n">
        <v>395773</v>
      </c>
      <c r="BH115" s="192" t="n">
        <v>43088</v>
      </c>
      <c r="BI115" s="192" t="n">
        <v>25448</v>
      </c>
      <c r="BJ115" s="192" t="n">
        <v>85850</v>
      </c>
      <c r="BK115" s="192" t="n">
        <v>-29622</v>
      </c>
      <c r="BL115" s="192" t="n">
        <v>11992</v>
      </c>
      <c r="BM115" s="192" t="n">
        <v>-73478</v>
      </c>
      <c r="BN115" s="192" t="n">
        <v>90291</v>
      </c>
      <c r="BO115" s="192" t="n">
        <v>-81802</v>
      </c>
      <c r="BP115" s="192" t="n">
        <v>-9597</v>
      </c>
      <c r="BQ115" s="192" t="n">
        <v>-65678</v>
      </c>
      <c r="BR115" s="192" t="n">
        <v>77337</v>
      </c>
      <c r="BS115" s="192" t="n">
        <v>-84306</v>
      </c>
      <c r="BT115" s="192" t="n">
        <v>139360</v>
      </c>
      <c r="BU115" s="192" t="n">
        <v>-117487</v>
      </c>
      <c r="BV115" s="192" t="n">
        <v>-13285</v>
      </c>
      <c r="BW115" s="192" t="n">
        <v>-56390</v>
      </c>
      <c r="BX115" s="192" t="n">
        <v>-8461</v>
      </c>
      <c r="BY115" s="192" t="n">
        <v>3916</v>
      </c>
      <c r="BZ115" s="192" t="n">
        <v>74960</v>
      </c>
      <c r="CA115" s="192" t="n">
        <v>-28935</v>
      </c>
      <c r="CB115" s="192" t="n">
        <v>54707</v>
      </c>
      <c r="CC115" s="192" t="n">
        <v>43388</v>
      </c>
      <c r="CD115" s="192" t="n">
        <v>96615</v>
      </c>
      <c r="CE115" s="192" t="n">
        <v>-28288</v>
      </c>
      <c r="CF115" s="192" t="n">
        <v>14080</v>
      </c>
      <c r="CG115" s="192" t="n">
        <v>-66558</v>
      </c>
      <c r="CH115" s="192" t="n">
        <v>-76864</v>
      </c>
      <c r="CI115" s="192" t="n">
        <v>-75404</v>
      </c>
      <c r="CJ115" s="192" t="n">
        <v>150612</v>
      </c>
      <c r="CK115" s="192" t="n">
        <v>-22657</v>
      </c>
      <c r="CL115" s="192" t="n">
        <v>-3624</v>
      </c>
      <c r="CM115" s="192" t="n">
        <v>-2334</v>
      </c>
      <c r="CN115" s="192" t="n">
        <v>-278</v>
      </c>
      <c r="CO115" s="192" t="n">
        <v>2882</v>
      </c>
      <c r="CP115" s="192" t="n">
        <v>27313</v>
      </c>
      <c r="CQ115" s="192" t="n">
        <v>-8914</v>
      </c>
      <c r="CR115" s="192" t="n">
        <v>-146747</v>
      </c>
      <c r="CS115" s="192" t="n">
        <v>8632</v>
      </c>
      <c r="CT115" s="192" t="n">
        <v>243832</v>
      </c>
      <c r="CU115" s="192" t="n">
        <v>-3816</v>
      </c>
      <c r="CV115" s="192" t="n">
        <v>-1974</v>
      </c>
      <c r="CW115" s="192" t="n">
        <v>308</v>
      </c>
      <c r="CX115" s="192" t="n">
        <v>-2550</v>
      </c>
      <c r="CY115" s="192" t="n">
        <v>-176.5</v>
      </c>
      <c r="CZ115" s="192" t="n">
        <v>2652.5</v>
      </c>
      <c r="DA115" s="192" t="n">
        <v>27183.6</v>
      </c>
      <c r="DB115" s="192" t="n">
        <v>16893.6</v>
      </c>
      <c r="DC115" s="192" t="n">
        <v>-31675.3</v>
      </c>
      <c r="DD115" s="192" t="n">
        <v>-7010.9</v>
      </c>
      <c r="DE115" s="192" t="n">
        <v>-11330.8</v>
      </c>
      <c r="DF115" s="192" t="n">
        <v>20580</v>
      </c>
      <c r="DG115" s="192" t="n">
        <v>110092</v>
      </c>
      <c r="DH115" s="192" t="n">
        <v>-1896.4</v>
      </c>
      <c r="DI115" s="192" t="n">
        <v>-2857.9</v>
      </c>
      <c r="DJ115" s="192" t="n">
        <v>15581.5</v>
      </c>
      <c r="DK115" s="192" t="n">
        <v>-13155.2</v>
      </c>
      <c r="DL115" s="192" t="n">
        <v>3511.9</v>
      </c>
      <c r="DM115" s="192" t="n">
        <v>-8430.1</v>
      </c>
      <c r="DN115" s="192" t="n">
        <v>5247.2</v>
      </c>
      <c r="DO115" s="192" t="n">
        <v>-17700</v>
      </c>
      <c r="DP115" s="192" t="n">
        <v>-4000</v>
      </c>
      <c r="DQ115" s="192" t="n">
        <v>-1100</v>
      </c>
      <c r="DR115" s="192" t="n">
        <v>15300</v>
      </c>
      <c r="DS115" s="192" t="n">
        <v>0</v>
      </c>
      <c r="DT115" s="192" t="n">
        <v>7100</v>
      </c>
      <c r="DU115" s="192" t="n">
        <v>-20900</v>
      </c>
      <c r="DV115" s="192" t="n">
        <v>8900</v>
      </c>
      <c r="DW115" s="192" t="n">
        <v>-3100</v>
      </c>
      <c r="DX115" s="192" t="n">
        <v>3200</v>
      </c>
      <c r="DY115" s="192" t="n">
        <v>8100</v>
      </c>
      <c r="DZ115" s="192" t="n">
        <v>7300</v>
      </c>
      <c r="EA115" s="192" t="n">
        <v>-3100</v>
      </c>
      <c r="EB115" s="192" t="n">
        <v>2400</v>
      </c>
      <c r="EC115" s="192" t="n">
        <v>-4600</v>
      </c>
      <c r="ED115" s="192" t="n">
        <v>5700</v>
      </c>
      <c r="EE115" s="192" t="n">
        <v>-3200</v>
      </c>
      <c r="EF115" s="192" t="n">
        <v>1400</v>
      </c>
      <c r="EG115" s="192" t="n">
        <v>900</v>
      </c>
      <c r="EH115" s="192" t="n">
        <v>-300</v>
      </c>
      <c r="EI115" s="192" t="n">
        <v>-1700</v>
      </c>
      <c r="EJ115" s="192" t="n">
        <v>-3000</v>
      </c>
      <c r="EK115" s="192" t="n">
        <v>-3300</v>
      </c>
      <c r="EL115" s="182" t="n"/>
      <c r="EM115" s="176" t="n"/>
      <c r="EN115" s="176" t="n"/>
      <c r="EO115" s="176" t="n"/>
      <c r="EP115" s="176" t="n"/>
      <c r="EQ115" s="176" t="n"/>
      <c r="ER115" s="176" t="n"/>
      <c r="ES115" s="176" t="n"/>
      <c r="ET115" s="176" t="n"/>
      <c r="EU115" s="176" t="n"/>
      <c r="EV115" s="176" t="n"/>
      <c r="EW115" s="176" t="n"/>
      <c r="EX115" s="176" t="n"/>
      <c r="EY115" s="176" t="n"/>
      <c r="EZ115" s="176" t="n"/>
      <c r="FA115" s="176" t="n"/>
      <c r="FB115" s="176" t="n"/>
      <c r="FC115" s="176" t="n"/>
      <c r="FD115" s="176" t="n"/>
      <c r="FE115" s="176" t="n"/>
      <c r="FF115" s="176" t="n"/>
      <c r="FG115" s="176" t="n"/>
      <c r="FH115" s="176" t="n"/>
      <c r="FI115" s="176" t="n"/>
      <c r="FJ115" s="176" t="n"/>
    </row>
    <row r="116" ht="15" customHeight="1" s="392">
      <c r="A116" s="176" t="n"/>
      <c r="B116" s="180" t="n"/>
      <c r="C116" s="183" t="inlineStr">
        <is>
          <t xml:space="preserve">    Effect of Exchange Rate Changes</t>
        </is>
      </c>
      <c r="D116" s="190">
        <f>IF(COUNT(M116:EK116)&gt;0,MEDIAN(M116:EK116),"")</f>
        <v/>
      </c>
      <c r="E116" s="190">
        <f>IF(COUNT(M116:EK116)&gt;0,AVERAGE(M116:EK116),"")</f>
        <v/>
      </c>
      <c r="F116" s="190">
        <f>IF(COUNT(M116:EK116)&gt;0,MIN(M116:EK116),"")</f>
        <v/>
      </c>
      <c r="G116" s="190">
        <f>IF(COUNT(M116:EK116)&gt;0,MAX(M116:EK116),"")</f>
        <v/>
      </c>
      <c r="H116" s="190">
        <f>IF(COUNT(M116:EK116)&gt;0,QUARTILE(M116:EK116,1),"")</f>
        <v/>
      </c>
      <c r="I116" s="190">
        <f>IF(COUNT(M116:EK116)&gt;0,QUARTILE(M116:EK116,3),"")</f>
        <v/>
      </c>
      <c r="J116" s="190">
        <f>IF(COUNT(M116:EK116)&gt;1,STDEV(M116:EK116),"")</f>
        <v/>
      </c>
      <c r="K116" s="191">
        <f>IF(COUNT(M116:EK116)&gt;1,STDEV(M116:EK116)/AVERAGE(M116:EK116),"")</f>
        <v/>
      </c>
      <c r="M116" s="192" t="n">
        <v>-1079</v>
      </c>
      <c r="N116" s="192" t="n">
        <v>3120</v>
      </c>
      <c r="O116" s="192" t="n">
        <v>4242</v>
      </c>
      <c r="P116" s="192" t="n">
        <v>1050</v>
      </c>
      <c r="Q116" s="192" t="n">
        <v>-3979</v>
      </c>
      <c r="R116" s="192" t="n">
        <v>6814</v>
      </c>
      <c r="S116" s="192" t="n">
        <v>1808</v>
      </c>
      <c r="T116" s="192" t="n">
        <v>-2632</v>
      </c>
      <c r="U116" s="192" t="n">
        <v>96</v>
      </c>
      <c r="V116" s="192" t="n">
        <v>1116</v>
      </c>
      <c r="W116" s="192" t="n">
        <v>-2448</v>
      </c>
      <c r="X116" s="192" t="n">
        <v>6194</v>
      </c>
      <c r="Y116" s="192" t="n">
        <v>32330</v>
      </c>
      <c r="Z116" s="192" t="n">
        <v>-1865</v>
      </c>
      <c r="AA116" s="192" t="n">
        <v>8611</v>
      </c>
      <c r="AB116" s="192" t="n">
        <v>-4693</v>
      </c>
      <c r="AC116" s="192" t="n">
        <v>2600</v>
      </c>
      <c r="AD116" s="192" t="n">
        <v>-9336</v>
      </c>
      <c r="AE116" s="192" t="n">
        <v>-5258</v>
      </c>
      <c r="AF116" s="192" t="n">
        <v>-3710</v>
      </c>
      <c r="AG116" s="192" t="n">
        <v>241</v>
      </c>
      <c r="AH116" s="192" t="n">
        <v>1808</v>
      </c>
      <c r="AI116" s="192" t="n">
        <v>5041</v>
      </c>
      <c r="AJ116" s="192" t="n">
        <v>-2895</v>
      </c>
      <c r="AK116" s="192" t="n">
        <v>1611</v>
      </c>
      <c r="AL116" s="192" t="n">
        <v>267</v>
      </c>
      <c r="AM116" s="192" t="n">
        <v>-2311</v>
      </c>
      <c r="AN116" s="192" t="n">
        <v>2569</v>
      </c>
      <c r="AO116" s="192" t="n">
        <v>-8068</v>
      </c>
      <c r="AP116" s="192" t="n">
        <v>-900</v>
      </c>
      <c r="AQ116" s="192" t="n">
        <v>2287</v>
      </c>
      <c r="AR116" s="192" t="n">
        <v>-1595</v>
      </c>
      <c r="AS116" s="192" t="n">
        <v>-6746</v>
      </c>
      <c r="AT116" s="192" t="n">
        <v>-1198</v>
      </c>
      <c r="AU116" s="192" t="n">
        <v>7931</v>
      </c>
      <c r="AV116" s="192" t="n">
        <v>-122</v>
      </c>
      <c r="AW116" s="192" t="n">
        <v>5733</v>
      </c>
      <c r="AX116" s="192" t="n">
        <v>2226</v>
      </c>
      <c r="AY116" s="192" t="n">
        <v>2914</v>
      </c>
      <c r="AZ116" s="192" t="n">
        <v>-5914</v>
      </c>
      <c r="BA116" s="192" t="n">
        <v>-7976</v>
      </c>
      <c r="BB116" s="192" t="n">
        <v>4202</v>
      </c>
      <c r="BC116" s="192" t="n">
        <v>-6853</v>
      </c>
      <c r="BD116" s="192" t="n">
        <v>-662</v>
      </c>
      <c r="BE116" s="192" t="n">
        <v>267</v>
      </c>
      <c r="BF116" s="192" t="n">
        <v>717</v>
      </c>
      <c r="BG116" s="192" t="n">
        <v>-3891</v>
      </c>
      <c r="BH116" s="192" t="n">
        <v>-3272</v>
      </c>
      <c r="BI116" s="192" t="n">
        <v>388</v>
      </c>
      <c r="BJ116" s="192" t="n">
        <v>783</v>
      </c>
      <c r="BK116" s="192" t="n">
        <v>-1231</v>
      </c>
      <c r="BL116" s="192" t="n">
        <v>1429</v>
      </c>
      <c r="BM116" s="192" t="n">
        <v>-2222</v>
      </c>
      <c r="BN116" s="192" t="n">
        <v>-470</v>
      </c>
      <c r="BO116" s="192" t="n">
        <v>-118</v>
      </c>
      <c r="BP116" s="192" t="n">
        <v>915</v>
      </c>
      <c r="BQ116" s="192" t="n">
        <v>-1344</v>
      </c>
      <c r="BR116" s="192" t="n">
        <v>2157</v>
      </c>
      <c r="BS116" s="192" t="n">
        <v>-731</v>
      </c>
      <c r="BT116" s="192" t="n">
        <v>-692</v>
      </c>
      <c r="BU116" s="192" t="n">
        <v>-652</v>
      </c>
      <c r="BV116" s="192" t="n">
        <v>1479</v>
      </c>
      <c r="BW116" s="192" t="n">
        <v>-126</v>
      </c>
      <c r="BX116" s="192" t="n">
        <v>743</v>
      </c>
      <c r="BY116" s="192" t="n">
        <v>20</v>
      </c>
      <c r="BZ116" s="192" t="n">
        <v>2</v>
      </c>
      <c r="CA116" s="192" t="n">
        <v>-54</v>
      </c>
      <c r="CB116" s="192" t="n">
        <v>881</v>
      </c>
      <c r="CC116" s="192" t="n">
        <v>340</v>
      </c>
      <c r="CD116" s="192" t="n">
        <v>-101</v>
      </c>
      <c r="CE116" s="192" t="n">
        <v>-33</v>
      </c>
      <c r="CF116" s="192" t="n">
        <v>-2264</v>
      </c>
      <c r="CG116" s="192" t="n">
        <v>-89</v>
      </c>
      <c r="CH116" s="192" t="n">
        <v>-16</v>
      </c>
      <c r="CI116" s="192" t="n">
        <v>-1225</v>
      </c>
      <c r="CJ116" s="192" t="n">
        <v>877</v>
      </c>
      <c r="CK116" s="192" t="n">
        <v>243</v>
      </c>
      <c r="CL116" s="192" t="n">
        <v>350</v>
      </c>
      <c r="CM116" s="192" t="n">
        <v>-258</v>
      </c>
      <c r="CN116" s="192" t="n">
        <v>333</v>
      </c>
      <c r="CO116" s="192" t="n">
        <v>-304</v>
      </c>
      <c r="CP116" s="192" t="n">
        <v>-129</v>
      </c>
      <c r="CQ116" s="192" t="n">
        <v>-26</v>
      </c>
      <c r="CR116" s="192" t="n">
        <v>-33</v>
      </c>
      <c r="CS116" s="192" t="n">
        <v>13</v>
      </c>
      <c r="CT116" s="192" t="n">
        <v>71</v>
      </c>
      <c r="CU116" s="192" t="n">
        <v>0</v>
      </c>
      <c r="CV116" s="192" t="n">
        <v>70</v>
      </c>
      <c r="CW116" s="192" t="n">
        <v>123</v>
      </c>
      <c r="CX116" s="192" t="n">
        <v>-13</v>
      </c>
      <c r="CY116" s="192" t="n">
        <v>-79.59999999999999</v>
      </c>
      <c r="CZ116" s="192" t="n">
        <v>64.59999999999999</v>
      </c>
      <c r="DA116" s="192" t="n"/>
      <c r="DB116" s="192" t="n"/>
      <c r="DC116" s="192" t="n"/>
      <c r="DD116" s="192" t="n"/>
      <c r="DE116" s="192" t="n"/>
      <c r="DF116" s="192" t="n"/>
      <c r="DG116" s="192" t="n"/>
      <c r="DH116" s="192" t="n"/>
      <c r="DI116" s="192" t="n"/>
      <c r="DJ116" s="192" t="n"/>
      <c r="DK116" s="192" t="n"/>
      <c r="DL116" s="192" t="n"/>
      <c r="DM116" s="192" t="n"/>
      <c r="DN116" s="192" t="n"/>
      <c r="DO116" s="192" t="n"/>
      <c r="DP116" s="192" t="n"/>
      <c r="DQ116" s="192" t="n"/>
      <c r="DR116" s="192" t="n"/>
      <c r="DS116" s="192" t="n"/>
      <c r="DT116" s="192" t="n"/>
      <c r="DU116" s="192" t="n"/>
      <c r="DV116" s="192" t="n"/>
      <c r="DW116" s="192" t="n"/>
      <c r="DX116" s="192" t="n"/>
      <c r="DY116" s="192" t="n"/>
      <c r="DZ116" s="192" t="n"/>
      <c r="EA116" s="192" t="n"/>
      <c r="EB116" s="192" t="n"/>
      <c r="EC116" s="192" t="n"/>
      <c r="ED116" s="192" t="n"/>
      <c r="EE116" s="192" t="n"/>
      <c r="EF116" s="192" t="n"/>
      <c r="EG116" s="192" t="n"/>
      <c r="EH116" s="192" t="n"/>
      <c r="EI116" s="192" t="n"/>
      <c r="EJ116" s="192" t="n"/>
      <c r="EK116" s="192" t="n"/>
      <c r="EL116" s="182" t="n"/>
      <c r="EM116" s="176" t="n"/>
      <c r="EN116" s="176" t="n"/>
      <c r="EO116" s="176" t="n"/>
      <c r="EP116" s="176" t="n"/>
      <c r="EQ116" s="176" t="n"/>
      <c r="ER116" s="176" t="n"/>
      <c r="ES116" s="176" t="n"/>
      <c r="ET116" s="176" t="n"/>
      <c r="EU116" s="176" t="n"/>
      <c r="EV116" s="176" t="n"/>
      <c r="EW116" s="176" t="n"/>
      <c r="EX116" s="176" t="n"/>
      <c r="EY116" s="176" t="n"/>
      <c r="EZ116" s="176" t="n"/>
      <c r="FA116" s="176" t="n"/>
      <c r="FB116" s="176" t="n"/>
      <c r="FC116" s="176" t="n"/>
      <c r="FD116" s="176" t="n"/>
      <c r="FE116" s="176" t="n"/>
      <c r="FF116" s="176" t="n"/>
      <c r="FG116" s="176" t="n"/>
      <c r="FH116" s="176" t="n"/>
      <c r="FI116" s="176" t="n"/>
      <c r="FJ116" s="176" t="n"/>
    </row>
    <row r="117" ht="15" customHeight="1" s="392">
      <c r="A117" s="176" t="n"/>
      <c r="B117" s="180" t="n"/>
      <c r="C117" s="183" t="inlineStr">
        <is>
          <t xml:space="preserve">    Other Changes</t>
        </is>
      </c>
      <c r="D117" s="190">
        <f>IF(COUNT(M117:EK117)&gt;0,MEDIAN(M117:EK117),"")</f>
        <v/>
      </c>
      <c r="E117" s="190">
        <f>IF(COUNT(M117:EK117)&gt;0,AVERAGE(M117:EK117),"")</f>
        <v/>
      </c>
      <c r="F117" s="190">
        <f>IF(COUNT(M117:EK117)&gt;0,MIN(M117:EK117),"")</f>
        <v/>
      </c>
      <c r="G117" s="190">
        <f>IF(COUNT(M117:EK117)&gt;0,MAX(M117:EK117),"")</f>
        <v/>
      </c>
      <c r="H117" s="190">
        <f>IF(COUNT(M117:EK117)&gt;0,QUARTILE(M117:EK117,1),"")</f>
        <v/>
      </c>
      <c r="I117" s="190">
        <f>IF(COUNT(M117:EK117)&gt;0,QUARTILE(M117:EK117,3),"")</f>
        <v/>
      </c>
      <c r="J117" s="190">
        <f>IF(COUNT(M117:EK117)&gt;1,STDEV(M117:EK117),"")</f>
        <v/>
      </c>
      <c r="K117" s="191">
        <f>IF(COUNT(M117:EK117)&gt;1,STDEV(M117:EK117)/AVERAGE(M117:EK117),"")</f>
        <v/>
      </c>
      <c r="M117" s="192" t="n"/>
      <c r="N117" s="192" t="n"/>
      <c r="O117" s="192" t="n"/>
      <c r="P117" s="192" t="n"/>
      <c r="Q117" s="192" t="n"/>
      <c r="R117" s="192" t="n"/>
      <c r="S117" s="192" t="n"/>
      <c r="T117" s="192" t="n"/>
      <c r="U117" s="192" t="n"/>
      <c r="V117" s="192" t="n"/>
      <c r="W117" s="192" t="n"/>
      <c r="X117" s="192" t="n"/>
      <c r="Y117" s="192" t="n"/>
      <c r="Z117" s="192" t="n"/>
      <c r="AA117" s="192" t="n"/>
      <c r="AB117" s="192" t="n"/>
      <c r="AC117" s="192" t="n"/>
      <c r="AD117" s="192" t="n"/>
      <c r="AE117" s="192" t="n"/>
      <c r="AF117" s="192" t="n"/>
      <c r="AG117" s="192" t="n"/>
      <c r="AH117" s="192" t="n"/>
      <c r="AI117" s="192" t="n"/>
      <c r="AJ117" s="192" t="n"/>
      <c r="AK117" s="192" t="n"/>
      <c r="AL117" s="192" t="n"/>
      <c r="AM117" s="192" t="n"/>
      <c r="AN117" s="192" t="n"/>
      <c r="AO117" s="192" t="n"/>
      <c r="AP117" s="192" t="n"/>
      <c r="AQ117" s="192" t="n"/>
      <c r="AR117" s="192" t="n"/>
      <c r="AS117" s="192" t="n"/>
      <c r="AT117" s="192" t="n"/>
      <c r="AU117" s="192" t="n"/>
      <c r="AV117" s="192" t="n"/>
      <c r="AW117" s="192" t="n"/>
      <c r="AX117" s="192" t="n"/>
      <c r="AY117" s="192" t="n"/>
      <c r="AZ117" s="192" t="n"/>
      <c r="BA117" s="192" t="n"/>
      <c r="BB117" s="192" t="n"/>
      <c r="BC117" s="192" t="n"/>
      <c r="BD117" s="192" t="n"/>
      <c r="BE117" s="192" t="n"/>
      <c r="BF117" s="192" t="n"/>
      <c r="BG117" s="192" t="n"/>
      <c r="BH117" s="192" t="n"/>
      <c r="BI117" s="192" t="n"/>
      <c r="BJ117" s="192" t="n"/>
      <c r="BK117" s="192" t="n"/>
      <c r="BL117" s="192" t="n"/>
      <c r="BM117" s="192" t="n"/>
      <c r="BN117" s="192" t="n"/>
      <c r="BO117" s="192" t="n"/>
      <c r="BP117" s="192" t="n"/>
      <c r="BQ117" s="192" t="n"/>
      <c r="BR117" s="192" t="n"/>
      <c r="BS117" s="192" t="n"/>
      <c r="BT117" s="192" t="n"/>
      <c r="BU117" s="192" t="n"/>
      <c r="BV117" s="192" t="n"/>
      <c r="BW117" s="192" t="n"/>
      <c r="BX117" s="192" t="n"/>
      <c r="BY117" s="192" t="n"/>
      <c r="BZ117" s="192" t="n"/>
      <c r="CA117" s="192" t="n"/>
      <c r="CB117" s="192" t="n"/>
      <c r="CC117" s="192" t="n"/>
      <c r="CD117" s="192" t="n"/>
      <c r="CE117" s="192" t="n"/>
      <c r="CF117" s="192" t="n"/>
      <c r="CG117" s="192" t="n"/>
      <c r="CH117" s="192" t="n"/>
      <c r="CI117" s="192" t="n"/>
      <c r="CJ117" s="192" t="n"/>
      <c r="CK117" s="192" t="n"/>
      <c r="CL117" s="192" t="n"/>
      <c r="CM117" s="192" t="n"/>
      <c r="CN117" s="192" t="n"/>
      <c r="CO117" s="192" t="n"/>
      <c r="CP117" s="192" t="n"/>
      <c r="CQ117" s="192" t="n"/>
      <c r="CR117" s="192" t="n"/>
      <c r="CS117" s="192" t="n"/>
      <c r="CT117" s="192" t="n"/>
      <c r="CU117" s="192" t="n"/>
      <c r="CV117" s="192" t="n"/>
      <c r="CW117" s="192" t="n"/>
      <c r="CX117" s="192" t="n"/>
      <c r="CY117" s="192" t="n"/>
      <c r="CZ117" s="192" t="n"/>
      <c r="DA117" s="192" t="n"/>
      <c r="DB117" s="192" t="n"/>
      <c r="DC117" s="192" t="n"/>
      <c r="DD117" s="192" t="n"/>
      <c r="DE117" s="192" t="n"/>
      <c r="DF117" s="192" t="n"/>
      <c r="DG117" s="192" t="n"/>
      <c r="DH117" s="192" t="n"/>
      <c r="DI117" s="192" t="n"/>
      <c r="DJ117" s="192" t="n"/>
      <c r="DK117" s="192" t="n"/>
      <c r="DL117" s="192" t="n"/>
      <c r="DM117" s="192" t="n"/>
      <c r="DN117" s="192" t="n"/>
      <c r="DO117" s="192" t="n"/>
      <c r="DP117" s="192" t="n"/>
      <c r="DQ117" s="192" t="n"/>
      <c r="DR117" s="192" t="n">
        <v>-15300</v>
      </c>
      <c r="DS117" s="192" t="n">
        <v>-22800</v>
      </c>
      <c r="DT117" s="192" t="n"/>
      <c r="DU117" s="192" t="n">
        <v>20900</v>
      </c>
      <c r="DV117" s="192" t="n">
        <v>-8900</v>
      </c>
      <c r="DW117" s="192" t="n">
        <v>3100</v>
      </c>
      <c r="DX117" s="192" t="n">
        <v>-30900</v>
      </c>
      <c r="DY117" s="192" t="n"/>
      <c r="DZ117" s="192" t="n">
        <v>-7300</v>
      </c>
      <c r="EA117" s="192" t="n">
        <v>3100</v>
      </c>
      <c r="EB117" s="192" t="n">
        <v>-15400</v>
      </c>
      <c r="EC117" s="192" t="n">
        <v>4600</v>
      </c>
      <c r="ED117" s="192" t="n">
        <v>-5700</v>
      </c>
      <c r="EE117" s="192" t="n">
        <v>3200</v>
      </c>
      <c r="EF117" s="192" t="n">
        <v>-15200</v>
      </c>
      <c r="EG117" s="192" t="n">
        <v>-900</v>
      </c>
      <c r="EH117" s="192" t="n">
        <v>300</v>
      </c>
      <c r="EI117" s="192" t="n">
        <v>1700</v>
      </c>
      <c r="EJ117" s="192" t="n">
        <v>-14900</v>
      </c>
      <c r="EK117" s="192" t="n">
        <v>3300</v>
      </c>
      <c r="EL117" s="182" t="n"/>
      <c r="EM117" s="176" t="n"/>
      <c r="EN117" s="176" t="n"/>
      <c r="EO117" s="176" t="n"/>
      <c r="EP117" s="176" t="n"/>
      <c r="EQ117" s="176" t="n"/>
      <c r="ER117" s="176" t="n"/>
      <c r="ES117" s="176" t="n"/>
      <c r="ET117" s="176" t="n"/>
      <c r="EU117" s="176" t="n"/>
      <c r="EV117" s="176" t="n"/>
      <c r="EW117" s="176" t="n"/>
      <c r="EX117" s="176" t="n"/>
      <c r="EY117" s="176" t="n"/>
      <c r="EZ117" s="176" t="n"/>
      <c r="FA117" s="176" t="n"/>
      <c r="FB117" s="176" t="n"/>
      <c r="FC117" s="176" t="n"/>
      <c r="FD117" s="176" t="n"/>
      <c r="FE117" s="176" t="n"/>
      <c r="FF117" s="176" t="n"/>
      <c r="FG117" s="176" t="n"/>
      <c r="FH117" s="176" t="n"/>
      <c r="FI117" s="176" t="n"/>
      <c r="FJ117" s="176" t="n"/>
    </row>
    <row r="118" ht="15" customHeight="1" s="392">
      <c r="A118" s="176" t="n"/>
      <c r="B118" s="180" t="n"/>
      <c r="C118" s="183" t="inlineStr">
        <is>
          <t xml:space="preserve">    Cash and Cash Equivalents, Beginning of Period</t>
        </is>
      </c>
      <c r="D118" s="190">
        <f>IF(COUNT(M118:EK118)&gt;0,MEDIAN(M118:EK118),"")</f>
        <v/>
      </c>
      <c r="E118" s="190">
        <f>IF(COUNT(M118:EK118)&gt;0,AVERAGE(M118:EK118),"")</f>
        <v/>
      </c>
      <c r="F118" s="190">
        <f>IF(COUNT(M118:EK118)&gt;0,MIN(M118:EK118),"")</f>
        <v/>
      </c>
      <c r="G118" s="190">
        <f>IF(COUNT(M118:EK118)&gt;0,MAX(M118:EK118),"")</f>
        <v/>
      </c>
      <c r="H118" s="190">
        <f>IF(COUNT(M118:EK118)&gt;0,QUARTILE(M118:EK118,1),"")</f>
        <v/>
      </c>
      <c r="I118" s="190">
        <f>IF(COUNT(M118:EK118)&gt;0,QUARTILE(M118:EK118,3),"")</f>
        <v/>
      </c>
      <c r="J118" s="190">
        <f>IF(COUNT(M118:EK118)&gt;1,STDEV(M118:EK118),"")</f>
        <v/>
      </c>
      <c r="K118" s="191">
        <f>IF(COUNT(M118:EK118)&gt;1,STDEV(M118:EK118)/AVERAGE(M118:EK118),"")</f>
        <v/>
      </c>
      <c r="M118" s="192" t="n">
        <v>3354142</v>
      </c>
      <c r="N118" s="192" t="n">
        <v>5101821</v>
      </c>
      <c r="O118" s="192" t="n">
        <v>5233590</v>
      </c>
      <c r="P118" s="192" t="n">
        <v>2780531</v>
      </c>
      <c r="Q118" s="192" t="n">
        <v>2366499</v>
      </c>
      <c r="R118" s="192" t="n">
        <v>3338909</v>
      </c>
      <c r="S118" s="192" t="n">
        <v>3698118</v>
      </c>
      <c r="T118" s="192" t="n">
        <v>1514111</v>
      </c>
      <c r="U118" s="192" t="n">
        <v>1089995</v>
      </c>
      <c r="V118" s="192" t="n">
        <v>1256948</v>
      </c>
      <c r="W118" s="192" t="n">
        <v>2581567</v>
      </c>
      <c r="X118" s="192" t="n">
        <v>957395</v>
      </c>
      <c r="Y118" s="192" t="n">
        <v>2114183</v>
      </c>
      <c r="Z118" s="192" t="n">
        <v>1660952</v>
      </c>
      <c r="AA118" s="192" t="n">
        <v>1539391</v>
      </c>
      <c r="AB118" s="192" t="n">
        <v>1384236</v>
      </c>
      <c r="AC118" s="192" t="n">
        <v>1454818</v>
      </c>
      <c r="AD118" s="192" t="n">
        <v>971651</v>
      </c>
      <c r="AE118" s="192" t="n">
        <v>1298373</v>
      </c>
      <c r="AF118" s="192" t="n">
        <v>1048260</v>
      </c>
      <c r="AG118" s="192" t="n">
        <v>911890</v>
      </c>
      <c r="AH118" s="192" t="n">
        <v>616403</v>
      </c>
      <c r="AI118" s="192" t="n">
        <v>605732</v>
      </c>
      <c r="AJ118" s="192" t="n">
        <v>477718</v>
      </c>
      <c r="AK118" s="192" t="n">
        <v>306387</v>
      </c>
      <c r="AL118" s="192" t="n">
        <v>93511</v>
      </c>
      <c r="AM118" s="192" t="n">
        <v>181102</v>
      </c>
      <c r="AN118" s="192" t="n">
        <v>186319</v>
      </c>
      <c r="AO118" s="192" t="n">
        <v>102826</v>
      </c>
      <c r="AP118" s="192" t="n">
        <v>108174</v>
      </c>
      <c r="AQ118" s="192" t="n">
        <v>320309</v>
      </c>
      <c r="AR118" s="192" t="n">
        <v>274520</v>
      </c>
      <c r="AS118" s="192" t="n">
        <v>204275</v>
      </c>
      <c r="AT118" s="192" t="n">
        <v>195300</v>
      </c>
      <c r="AU118" s="192" t="n">
        <v>224246</v>
      </c>
      <c r="AV118" s="192" t="n">
        <v>210100</v>
      </c>
      <c r="AW118" s="192" t="n">
        <v>189621</v>
      </c>
      <c r="AX118" s="192" t="n">
        <v>174952</v>
      </c>
      <c r="AY118" s="192" t="n">
        <v>168421</v>
      </c>
      <c r="AZ118" s="192" t="n">
        <v>155849</v>
      </c>
      <c r="BA118" s="192" t="n">
        <v>137653</v>
      </c>
      <c r="BB118" s="192" t="n">
        <v>141416</v>
      </c>
      <c r="BC118" s="192" t="n">
        <v>472916</v>
      </c>
      <c r="BD118" s="192" t="n">
        <v>456012</v>
      </c>
      <c r="BE118" s="192" t="n">
        <v>678742</v>
      </c>
      <c r="BF118" s="192" t="n">
        <v>590366</v>
      </c>
      <c r="BG118" s="192" t="n">
        <v>198484</v>
      </c>
      <c r="BH118" s="192" t="n">
        <v>158668</v>
      </c>
      <c r="BI118" s="192" t="n">
        <v>132832</v>
      </c>
      <c r="BJ118" s="192" t="n">
        <v>46199</v>
      </c>
      <c r="BK118" s="192" t="n">
        <v>77052</v>
      </c>
      <c r="BL118" s="192" t="n">
        <v>63631</v>
      </c>
      <c r="BM118" s="192" t="n">
        <v>139331</v>
      </c>
      <c r="BN118" s="192" t="n">
        <v>49510</v>
      </c>
      <c r="BO118" s="192" t="n">
        <v>131430</v>
      </c>
      <c r="BP118" s="192" t="n">
        <v>140112</v>
      </c>
      <c r="BQ118" s="192" t="n">
        <v>207134</v>
      </c>
      <c r="BR118" s="192" t="n">
        <v>127640</v>
      </c>
      <c r="BS118" s="192" t="n">
        <v>212677</v>
      </c>
      <c r="BT118" s="192" t="n">
        <v>74009</v>
      </c>
      <c r="BU118" s="192" t="n">
        <v>192148</v>
      </c>
      <c r="BV118" s="192" t="n">
        <v>203954</v>
      </c>
      <c r="BW118" s="192" t="n">
        <v>260470</v>
      </c>
      <c r="BX118" s="192" t="n">
        <v>268188</v>
      </c>
      <c r="BY118" s="192" t="n">
        <v>264252</v>
      </c>
      <c r="BZ118" s="192" t="n">
        <v>189290</v>
      </c>
      <c r="CA118" s="192" t="n">
        <v>218279</v>
      </c>
      <c r="CB118" s="192" t="n">
        <v>162691</v>
      </c>
      <c r="CC118" s="192" t="n">
        <v>118963</v>
      </c>
      <c r="CD118" s="192" t="n">
        <v>22449</v>
      </c>
      <c r="CE118" s="192" t="n">
        <v>50770</v>
      </c>
      <c r="CF118" s="192" t="n">
        <v>38954</v>
      </c>
      <c r="CG118" s="192" t="n">
        <v>96345</v>
      </c>
      <c r="CH118" s="192" t="n">
        <v>173225</v>
      </c>
      <c r="CI118" s="192" t="n">
        <v>249854</v>
      </c>
      <c r="CJ118" s="192" t="n">
        <v>98365</v>
      </c>
      <c r="CK118" s="192" t="n">
        <v>120779</v>
      </c>
      <c r="CL118" s="192" t="n">
        <v>124053</v>
      </c>
      <c r="CM118" s="192" t="n">
        <v>126645</v>
      </c>
      <c r="CN118" s="192" t="n">
        <v>126590</v>
      </c>
      <c r="CO118" s="192" t="n">
        <v>124012</v>
      </c>
      <c r="CP118" s="192" t="n">
        <v>96828</v>
      </c>
      <c r="CQ118" s="192" t="n">
        <v>105768</v>
      </c>
      <c r="CR118" s="192" t="n">
        <v>252548</v>
      </c>
      <c r="CS118" s="192" t="n">
        <v>243903</v>
      </c>
      <c r="CT118" s="192" t="n">
        <v>0</v>
      </c>
      <c r="CU118" s="192" t="n">
        <v>3816</v>
      </c>
      <c r="CV118" s="192" t="n">
        <v>5720</v>
      </c>
      <c r="CW118" s="192" t="n">
        <v>5289</v>
      </c>
      <c r="CX118" s="192" t="n">
        <v>7853</v>
      </c>
      <c r="CY118" s="192" t="n">
        <v>119463.5</v>
      </c>
      <c r="CZ118" s="192" t="n">
        <v>116746.4</v>
      </c>
      <c r="DA118" s="192" t="n">
        <v>110897.4</v>
      </c>
      <c r="DB118" s="192" t="n">
        <v>94003.8</v>
      </c>
      <c r="DC118" s="192" t="n">
        <v>125679.1</v>
      </c>
      <c r="DD118" s="192" t="n">
        <v>132690</v>
      </c>
      <c r="DE118" s="192" t="n">
        <v>144020.8</v>
      </c>
      <c r="DF118" s="192" t="n">
        <v>123440.8</v>
      </c>
      <c r="DG118" s="192" t="n">
        <v>13348.8</v>
      </c>
      <c r="DH118" s="192" t="n">
        <v>15245.2</v>
      </c>
      <c r="DI118" s="192" t="n">
        <v>18103.1</v>
      </c>
      <c r="DJ118" s="192" t="n">
        <v>2521.6</v>
      </c>
      <c r="DK118" s="192" t="n">
        <v>15676.8</v>
      </c>
      <c r="DL118" s="192" t="n">
        <v>12164.9</v>
      </c>
      <c r="DM118" s="192" t="n">
        <v>20595</v>
      </c>
      <c r="DN118" s="192" t="n">
        <v>15300</v>
      </c>
      <c r="DO118" s="192" t="n">
        <v>33000</v>
      </c>
      <c r="DP118" s="192" t="n">
        <v>37000</v>
      </c>
      <c r="DQ118" s="192" t="n">
        <v>0</v>
      </c>
      <c r="DR118" s="192" t="n">
        <v>0</v>
      </c>
      <c r="DS118" s="192" t="n">
        <v>22800</v>
      </c>
      <c r="DT118" s="192" t="n">
        <v>15700</v>
      </c>
      <c r="DU118" s="192" t="n">
        <v>0</v>
      </c>
      <c r="DV118" s="192" t="n">
        <v>0</v>
      </c>
      <c r="DW118" s="192" t="n">
        <v>0</v>
      </c>
      <c r="DX118" s="192" t="n">
        <v>27700</v>
      </c>
      <c r="DY118" s="192" t="n">
        <v>0</v>
      </c>
      <c r="DZ118" s="192" t="n">
        <v>0</v>
      </c>
      <c r="EA118" s="192" t="n">
        <v>0</v>
      </c>
      <c r="EB118" s="192" t="n">
        <v>13000</v>
      </c>
      <c r="EC118" s="192" t="n">
        <v>0</v>
      </c>
      <c r="ED118" s="192" t="n">
        <v>0</v>
      </c>
      <c r="EE118" s="192" t="n">
        <v>0</v>
      </c>
      <c r="EF118" s="192" t="n">
        <v>13800</v>
      </c>
      <c r="EG118" s="192" t="n">
        <v>0</v>
      </c>
      <c r="EH118" s="192" t="n">
        <v>0</v>
      </c>
      <c r="EI118" s="192" t="n">
        <v>0</v>
      </c>
      <c r="EJ118" s="192" t="n">
        <v>17900</v>
      </c>
      <c r="EK118" s="192" t="n">
        <v>0</v>
      </c>
      <c r="EL118" s="182" t="n"/>
      <c r="EM118" s="176" t="n"/>
      <c r="EN118" s="176" t="n"/>
      <c r="EO118" s="176" t="n"/>
      <c r="EP118" s="176" t="n"/>
      <c r="EQ118" s="176" t="n"/>
      <c r="ER118" s="176" t="n"/>
      <c r="ES118" s="176" t="n"/>
      <c r="ET118" s="176" t="n"/>
      <c r="EU118" s="176" t="n"/>
      <c r="EV118" s="176" t="n"/>
      <c r="EW118" s="176" t="n"/>
      <c r="EX118" s="176" t="n"/>
      <c r="EY118" s="176" t="n"/>
      <c r="EZ118" s="176" t="n"/>
      <c r="FA118" s="176" t="n"/>
      <c r="FB118" s="176" t="n"/>
      <c r="FC118" s="176" t="n"/>
      <c r="FD118" s="176" t="n"/>
      <c r="FE118" s="176" t="n"/>
      <c r="FF118" s="176" t="n"/>
      <c r="FG118" s="176" t="n"/>
      <c r="FH118" s="176" t="n"/>
      <c r="FI118" s="176" t="n"/>
      <c r="FJ118" s="176" t="n"/>
    </row>
    <row r="119" ht="15" customHeight="1" s="392">
      <c r="A119" s="176" t="n"/>
      <c r="B119" s="180" t="n"/>
      <c r="C119" s="187" t="inlineStr">
        <is>
          <t>Total Cash and Cash Equivalents, End of Period</t>
        </is>
      </c>
      <c r="D119" s="193">
        <f>IF(COUNT(M119:EK119)&gt;0,MEDIAN(M119:EK119),"")</f>
        <v/>
      </c>
      <c r="E119" s="193">
        <f>IF(COUNT(M119:EK119)&gt;0,AVERAGE(M119:EK119),"")</f>
        <v/>
      </c>
      <c r="F119" s="193">
        <f>IF(COUNT(M119:EK119)&gt;0,MIN(M119:EK119),"")</f>
        <v/>
      </c>
      <c r="G119" s="193">
        <f>IF(COUNT(M119:EK119)&gt;0,MAX(M119:EK119),"")</f>
        <v/>
      </c>
      <c r="H119" s="193">
        <f>IF(COUNT(M119:EK119)&gt;0,QUARTILE(M119:EK119,1),"")</f>
        <v/>
      </c>
      <c r="I119" s="193">
        <f>IF(COUNT(M119:EK119)&gt;0,QUARTILE(M119:EK119,3),"")</f>
        <v/>
      </c>
      <c r="J119" s="193">
        <f>IF(COUNT(M119:EK119)&gt;1,STDEV(M119:EK119),"")</f>
        <v/>
      </c>
      <c r="K119" s="194">
        <f>IF(COUNT(M119:EK119)&gt;1,STDEV(M119:EK119)/AVERAGE(M119:EK119),"")</f>
        <v/>
      </c>
      <c r="L119" s="195" t="n"/>
      <c r="M119" s="196" t="n">
        <v>1907901</v>
      </c>
      <c r="N119" s="196" t="n">
        <v>3354142</v>
      </c>
      <c r="O119" s="196" t="n">
        <v>5101821</v>
      </c>
      <c r="P119" s="196" t="n">
        <v>5233590</v>
      </c>
      <c r="Q119" s="196" t="n">
        <v>2780531</v>
      </c>
      <c r="R119" s="196" t="n">
        <v>2366499</v>
      </c>
      <c r="S119" s="196" t="n">
        <v>3338909</v>
      </c>
      <c r="T119" s="196" t="n">
        <v>3698118</v>
      </c>
      <c r="U119" s="196" t="n">
        <v>1514111</v>
      </c>
      <c r="V119" s="196" t="n">
        <v>1089995</v>
      </c>
      <c r="W119" s="196" t="n">
        <v>1256948</v>
      </c>
      <c r="X119" s="196" t="n">
        <v>2581567</v>
      </c>
      <c r="Y119" s="196" t="n">
        <v>957395</v>
      </c>
      <c r="Z119" s="196" t="n">
        <v>2114183</v>
      </c>
      <c r="AA119" s="196" t="n">
        <v>1660952</v>
      </c>
      <c r="AB119" s="196" t="n">
        <v>1539391</v>
      </c>
      <c r="AC119" s="196" t="n">
        <v>1384236</v>
      </c>
      <c r="AD119" s="196" t="n">
        <v>1454818</v>
      </c>
      <c r="AE119" s="196" t="n">
        <v>971651</v>
      </c>
      <c r="AF119" s="196" t="n">
        <v>1298373</v>
      </c>
      <c r="AG119" s="196" t="n">
        <v>1048260</v>
      </c>
      <c r="AH119" s="196" t="n">
        <v>911890</v>
      </c>
      <c r="AI119" s="196" t="n">
        <v>616403</v>
      </c>
      <c r="AJ119" s="196" t="n">
        <v>605732</v>
      </c>
      <c r="AK119" s="196" t="n">
        <v>477718</v>
      </c>
      <c r="AL119" s="196" t="n">
        <v>306387</v>
      </c>
      <c r="AM119" s="196" t="n">
        <v>93511</v>
      </c>
      <c r="AN119" s="196" t="n">
        <v>181102</v>
      </c>
      <c r="AO119" s="196" t="n">
        <v>186319</v>
      </c>
      <c r="AP119" s="196" t="n">
        <v>102826</v>
      </c>
      <c r="AQ119" s="196" t="n">
        <v>108174</v>
      </c>
      <c r="AR119" s="196" t="n">
        <v>320309</v>
      </c>
      <c r="AS119" s="196" t="n">
        <v>274520</v>
      </c>
      <c r="AT119" s="196" t="n">
        <v>204275</v>
      </c>
      <c r="AU119" s="196" t="n">
        <v>195300</v>
      </c>
      <c r="AV119" s="196" t="n">
        <v>224246</v>
      </c>
      <c r="AW119" s="196" t="n">
        <v>210100</v>
      </c>
      <c r="AX119" s="196" t="n">
        <v>189621</v>
      </c>
      <c r="AY119" s="196" t="n">
        <v>174952</v>
      </c>
      <c r="AZ119" s="196" t="n">
        <v>168421</v>
      </c>
      <c r="BA119" s="196" t="n">
        <v>155849</v>
      </c>
      <c r="BB119" s="196" t="n">
        <v>137653</v>
      </c>
      <c r="BC119" s="196" t="n">
        <v>141416</v>
      </c>
      <c r="BD119" s="196" t="n">
        <v>472916</v>
      </c>
      <c r="BE119" s="196" t="n">
        <v>456012</v>
      </c>
      <c r="BF119" s="196" t="n">
        <v>678742</v>
      </c>
      <c r="BG119" s="196" t="n">
        <v>590366</v>
      </c>
      <c r="BH119" s="196" t="n">
        <v>198484</v>
      </c>
      <c r="BI119" s="196" t="n">
        <v>158668</v>
      </c>
      <c r="BJ119" s="196" t="n">
        <v>132832</v>
      </c>
      <c r="BK119" s="196" t="n">
        <v>46199</v>
      </c>
      <c r="BL119" s="196" t="n">
        <v>77052</v>
      </c>
      <c r="BM119" s="196" t="n">
        <v>63631</v>
      </c>
      <c r="BN119" s="196" t="n">
        <v>139331</v>
      </c>
      <c r="BO119" s="196" t="n">
        <v>49510</v>
      </c>
      <c r="BP119" s="196" t="n">
        <v>131430</v>
      </c>
      <c r="BQ119" s="196" t="n">
        <v>140112</v>
      </c>
      <c r="BR119" s="196" t="n">
        <v>207134</v>
      </c>
      <c r="BS119" s="196" t="n">
        <v>127640</v>
      </c>
      <c r="BT119" s="196" t="n">
        <v>212677</v>
      </c>
      <c r="BU119" s="196" t="n">
        <v>74009</v>
      </c>
      <c r="BV119" s="196" t="n">
        <v>192148</v>
      </c>
      <c r="BW119" s="196" t="n">
        <v>203954</v>
      </c>
      <c r="BX119" s="196" t="n">
        <v>260470</v>
      </c>
      <c r="BY119" s="196" t="n">
        <v>268188</v>
      </c>
      <c r="BZ119" s="196" t="n">
        <v>264252</v>
      </c>
      <c r="CA119" s="196" t="n">
        <v>189290</v>
      </c>
      <c r="CB119" s="196" t="n">
        <v>218279</v>
      </c>
      <c r="CC119" s="196" t="n">
        <v>162691</v>
      </c>
      <c r="CD119" s="196" t="n">
        <v>118963</v>
      </c>
      <c r="CE119" s="196" t="n">
        <v>22449</v>
      </c>
      <c r="CF119" s="196" t="n">
        <v>50770</v>
      </c>
      <c r="CG119" s="196" t="n">
        <v>38954</v>
      </c>
      <c r="CH119" s="196" t="n">
        <v>96345</v>
      </c>
      <c r="CI119" s="196" t="n">
        <v>173225</v>
      </c>
      <c r="CJ119" s="196" t="n">
        <v>249854</v>
      </c>
      <c r="CK119" s="196" t="n">
        <v>98365</v>
      </c>
      <c r="CL119" s="196" t="n">
        <v>120779</v>
      </c>
      <c r="CM119" s="196" t="n">
        <v>124053</v>
      </c>
      <c r="CN119" s="196" t="n">
        <v>126645</v>
      </c>
      <c r="CO119" s="196" t="n">
        <v>126590</v>
      </c>
      <c r="CP119" s="196" t="n">
        <v>124012</v>
      </c>
      <c r="CQ119" s="196" t="n">
        <v>96828</v>
      </c>
      <c r="CR119" s="196" t="n">
        <v>105768</v>
      </c>
      <c r="CS119" s="196" t="n">
        <v>252548</v>
      </c>
      <c r="CT119" s="196" t="n">
        <v>243903</v>
      </c>
      <c r="CU119" s="196" t="n">
        <v>0</v>
      </c>
      <c r="CV119" s="196" t="n">
        <v>3816</v>
      </c>
      <c r="CW119" s="196" t="n">
        <v>5720</v>
      </c>
      <c r="CX119" s="196" t="n">
        <v>5289</v>
      </c>
      <c r="CY119" s="196" t="n">
        <v>7853</v>
      </c>
      <c r="CZ119" s="196" t="n">
        <v>119463.5</v>
      </c>
      <c r="DA119" s="196" t="n">
        <v>5391</v>
      </c>
      <c r="DB119" s="196" t="n">
        <v>110897.4</v>
      </c>
      <c r="DC119" s="196" t="n">
        <v>94003.8</v>
      </c>
      <c r="DD119" s="196" t="n">
        <v>125679.1</v>
      </c>
      <c r="DE119" s="196" t="n">
        <v>132690</v>
      </c>
      <c r="DF119" s="196" t="n">
        <v>144020.8</v>
      </c>
      <c r="DG119" s="196" t="n">
        <v>123440.8</v>
      </c>
      <c r="DH119" s="196" t="n">
        <v>13348.8</v>
      </c>
      <c r="DI119" s="196" t="n">
        <v>15245.2</v>
      </c>
      <c r="DJ119" s="196" t="n">
        <v>18103.1</v>
      </c>
      <c r="DK119" s="196" t="n">
        <v>2521.6</v>
      </c>
      <c r="DL119" s="196" t="n">
        <v>15676.8</v>
      </c>
      <c r="DM119" s="196" t="n">
        <v>12164.9</v>
      </c>
      <c r="DN119" s="196" t="n">
        <v>20595</v>
      </c>
      <c r="DO119" s="196" t="n">
        <v>15300</v>
      </c>
      <c r="DP119" s="196" t="n">
        <v>33000</v>
      </c>
      <c r="DQ119" s="196" t="n">
        <v>37000</v>
      </c>
      <c r="DR119" s="196" t="n">
        <v>0</v>
      </c>
      <c r="DS119" s="196" t="n">
        <v>0</v>
      </c>
      <c r="DT119" s="196" t="n">
        <v>22800</v>
      </c>
      <c r="DU119" s="196" t="n">
        <v>0</v>
      </c>
      <c r="DV119" s="196" t="n">
        <v>0</v>
      </c>
      <c r="DW119" s="196" t="n">
        <v>0</v>
      </c>
      <c r="DX119" s="196" t="n">
        <v>0</v>
      </c>
      <c r="DY119" s="196" t="n">
        <v>27700</v>
      </c>
      <c r="DZ119" s="196" t="n">
        <v>0</v>
      </c>
      <c r="EA119" s="196" t="n">
        <v>0</v>
      </c>
      <c r="EB119" s="196" t="n">
        <v>0</v>
      </c>
      <c r="EC119" s="196" t="n">
        <v>0</v>
      </c>
      <c r="ED119" s="196" t="n">
        <v>0</v>
      </c>
      <c r="EE119" s="196" t="n">
        <v>0</v>
      </c>
      <c r="EF119" s="196" t="n">
        <v>0</v>
      </c>
      <c r="EG119" s="196" t="n">
        <v>0</v>
      </c>
      <c r="EH119" s="196" t="n">
        <v>0</v>
      </c>
      <c r="EI119" s="196" t="n">
        <v>0</v>
      </c>
      <c r="EJ119" s="196" t="n">
        <v>0</v>
      </c>
      <c r="EK119" s="196" t="n">
        <v>0</v>
      </c>
      <c r="EL119" s="182" t="n"/>
      <c r="EM119" s="176" t="n"/>
      <c r="EN119" s="176" t="n"/>
      <c r="EO119" s="176" t="n"/>
      <c r="EP119" s="176" t="n"/>
      <c r="EQ119" s="176" t="n"/>
      <c r="ER119" s="176" t="n"/>
      <c r="ES119" s="176" t="n"/>
      <c r="ET119" s="176" t="n"/>
      <c r="EU119" s="176" t="n"/>
      <c r="EV119" s="176" t="n"/>
      <c r="EW119" s="176" t="n"/>
      <c r="EX119" s="176" t="n"/>
      <c r="EY119" s="176" t="n"/>
      <c r="EZ119" s="176" t="n"/>
      <c r="FA119" s="176" t="n"/>
      <c r="FB119" s="176" t="n"/>
      <c r="FC119" s="176" t="n"/>
      <c r="FD119" s="176" t="n"/>
      <c r="FE119" s="176" t="n"/>
      <c r="FF119" s="176" t="n"/>
      <c r="FG119" s="176" t="n"/>
      <c r="FH119" s="176" t="n"/>
      <c r="FI119" s="176" t="n"/>
      <c r="FJ119" s="176" t="n"/>
    </row>
    <row r="120" ht="15" customHeight="1" s="392">
      <c r="A120" s="176" t="n"/>
      <c r="B120" s="180" t="n"/>
      <c r="C120" s="189" t="inlineStr">
        <is>
          <t>Cash Flow Supplemental Section</t>
        </is>
      </c>
      <c r="D120" s="185" t="n"/>
      <c r="E120" s="185" t="n"/>
      <c r="F120" s="185" t="n"/>
      <c r="G120" s="185" t="n"/>
      <c r="H120" s="185" t="n"/>
      <c r="I120" s="185" t="n"/>
      <c r="J120" s="185" t="n"/>
      <c r="K120" s="185" t="n"/>
      <c r="L120" s="185" t="n"/>
      <c r="M120" s="185" t="n"/>
      <c r="N120" s="185" t="n"/>
      <c r="O120" s="185" t="n"/>
      <c r="P120" s="185" t="n"/>
      <c r="Q120" s="185" t="n"/>
      <c r="R120" s="185" t="n"/>
      <c r="S120" s="185" t="n"/>
      <c r="T120" s="185" t="n"/>
      <c r="U120" s="185" t="n"/>
      <c r="V120" s="185" t="n"/>
      <c r="W120" s="185" t="n"/>
      <c r="X120" s="185" t="n"/>
      <c r="Y120" s="185" t="n"/>
      <c r="Z120" s="185" t="n"/>
      <c r="AA120" s="185" t="n"/>
      <c r="AB120" s="185" t="n"/>
      <c r="AC120" s="185" t="n"/>
      <c r="AD120" s="185" t="n"/>
      <c r="AE120" s="185" t="n"/>
      <c r="AF120" s="185" t="n"/>
      <c r="AG120" s="185" t="n"/>
      <c r="AH120" s="185" t="n"/>
      <c r="AI120" s="185" t="n"/>
      <c r="AJ120" s="185" t="n"/>
      <c r="AK120" s="185" t="n"/>
      <c r="AL120" s="185" t="n"/>
      <c r="AM120" s="185" t="n"/>
      <c r="AN120" s="185" t="n"/>
      <c r="AO120" s="185" t="n"/>
      <c r="AP120" s="185" t="n"/>
      <c r="AQ120" s="185" t="n"/>
      <c r="AR120" s="185" t="n"/>
      <c r="AS120" s="185" t="n"/>
      <c r="AT120" s="185" t="n"/>
      <c r="AU120" s="185" t="n"/>
      <c r="AV120" s="185" t="n"/>
      <c r="AW120" s="185" t="n"/>
      <c r="AX120" s="185" t="n"/>
      <c r="AY120" s="185" t="n"/>
      <c r="AZ120" s="185" t="n"/>
      <c r="BA120" s="185" t="n"/>
      <c r="BB120" s="185" t="n"/>
      <c r="BC120" s="185" t="n"/>
      <c r="BD120" s="185" t="n"/>
      <c r="BE120" s="185" t="n"/>
      <c r="BF120" s="185" t="n"/>
      <c r="BG120" s="185" t="n"/>
      <c r="BH120" s="185" t="n"/>
      <c r="BI120" s="185" t="n"/>
      <c r="BJ120" s="185" t="n"/>
      <c r="BK120" s="185" t="n"/>
      <c r="BL120" s="185" t="n"/>
      <c r="BM120" s="185" t="n"/>
      <c r="BN120" s="185" t="n"/>
      <c r="BO120" s="185" t="n"/>
      <c r="BP120" s="185" t="n"/>
      <c r="BQ120" s="185" t="n"/>
      <c r="BR120" s="185" t="n"/>
      <c r="BS120" s="185" t="n"/>
      <c r="BT120" s="185" t="n"/>
      <c r="BU120" s="185" t="n"/>
      <c r="BV120" s="185" t="n"/>
      <c r="BW120" s="185" t="n"/>
      <c r="BX120" s="185" t="n"/>
      <c r="BY120" s="185" t="n"/>
      <c r="BZ120" s="185" t="n"/>
      <c r="CA120" s="185" t="n"/>
      <c r="CB120" s="185" t="n"/>
      <c r="CC120" s="185" t="n"/>
      <c r="CD120" s="185" t="n"/>
      <c r="CE120" s="185" t="n"/>
      <c r="CF120" s="185" t="n"/>
      <c r="CG120" s="185" t="n"/>
      <c r="CH120" s="185" t="n"/>
      <c r="CI120" s="185" t="n"/>
      <c r="CJ120" s="185" t="n"/>
      <c r="CK120" s="185" t="n"/>
      <c r="CL120" s="185" t="n"/>
      <c r="CM120" s="185" t="n"/>
      <c r="CN120" s="185" t="n"/>
      <c r="CO120" s="185" t="n"/>
      <c r="CP120" s="185" t="n"/>
      <c r="CQ120" s="185" t="n"/>
      <c r="CR120" s="185" t="n"/>
      <c r="CS120" s="185" t="n"/>
      <c r="CT120" s="185" t="n"/>
      <c r="CU120" s="185" t="n"/>
      <c r="CV120" s="185" t="n"/>
      <c r="CW120" s="185" t="n"/>
      <c r="CX120" s="185" t="n"/>
      <c r="CY120" s="185" t="n"/>
      <c r="CZ120" s="185" t="n"/>
      <c r="DA120" s="185" t="n"/>
      <c r="DB120" s="185" t="n"/>
      <c r="DC120" s="185" t="n"/>
      <c r="DD120" s="185" t="n"/>
      <c r="DE120" s="185" t="n"/>
      <c r="DF120" s="185" t="n"/>
      <c r="DG120" s="185" t="n"/>
      <c r="DH120" s="185" t="n"/>
      <c r="DI120" s="185" t="n"/>
      <c r="DJ120" s="185" t="n"/>
      <c r="DK120" s="185" t="n"/>
      <c r="DL120" s="185" t="n"/>
      <c r="DM120" s="185" t="n"/>
      <c r="DN120" s="185" t="n"/>
      <c r="DO120" s="185" t="n"/>
      <c r="DP120" s="185" t="n"/>
      <c r="DQ120" s="185" t="n"/>
      <c r="DR120" s="185" t="n"/>
      <c r="DS120" s="185" t="n"/>
      <c r="DT120" s="185" t="n"/>
      <c r="DU120" s="185" t="n"/>
      <c r="DV120" s="185" t="n"/>
      <c r="DW120" s="185" t="n"/>
      <c r="DX120" s="185" t="n"/>
      <c r="DY120" s="185" t="n"/>
      <c r="DZ120" s="185" t="n"/>
      <c r="EA120" s="185" t="n"/>
      <c r="EB120" s="185" t="n"/>
      <c r="EC120" s="185" t="n"/>
      <c r="ED120" s="185" t="n"/>
      <c r="EE120" s="185" t="n"/>
      <c r="EF120" s="185" t="n"/>
      <c r="EG120" s="185" t="n"/>
      <c r="EH120" s="185" t="n"/>
      <c r="EI120" s="185" t="n"/>
      <c r="EJ120" s="185" t="n"/>
      <c r="EK120" s="185" t="n"/>
      <c r="EL120" s="182" t="n"/>
      <c r="EM120" s="176" t="n"/>
      <c r="EN120" s="176" t="n"/>
      <c r="EO120" s="176" t="n"/>
      <c r="EP120" s="176" t="n"/>
      <c r="EQ120" s="176" t="n"/>
      <c r="ER120" s="176" t="n"/>
      <c r="ES120" s="176" t="n"/>
      <c r="ET120" s="176" t="n"/>
      <c r="EU120" s="176" t="n"/>
      <c r="EV120" s="176" t="n"/>
      <c r="EW120" s="176" t="n"/>
      <c r="EX120" s="176" t="n"/>
      <c r="EY120" s="176" t="n"/>
      <c r="EZ120" s="176" t="n"/>
      <c r="FA120" s="176" t="n"/>
      <c r="FB120" s="176" t="n"/>
      <c r="FC120" s="176" t="n"/>
      <c r="FD120" s="176" t="n"/>
      <c r="FE120" s="176" t="n"/>
      <c r="FF120" s="176" t="n"/>
      <c r="FG120" s="176" t="n"/>
      <c r="FH120" s="176" t="n"/>
      <c r="FI120" s="176" t="n"/>
      <c r="FJ120" s="176" t="n"/>
    </row>
    <row r="121" ht="15" customHeight="1" s="392">
      <c r="A121" s="176" t="n"/>
      <c r="B121" s="180" t="n"/>
      <c r="C121" s="183" t="inlineStr">
        <is>
          <t xml:space="preserve">    Change in Cash As Reported, Supplemental</t>
        </is>
      </c>
      <c r="D121" s="190">
        <f>IF(COUNT(M121:EK121)&gt;0,MEDIAN(M121:EK121),"")</f>
        <v/>
      </c>
      <c r="E121" s="190">
        <f>IF(COUNT(M121:EK121)&gt;0,AVERAGE(M121:EK121),"")</f>
        <v/>
      </c>
      <c r="F121" s="190">
        <f>IF(COUNT(M121:EK121)&gt;0,MIN(M121:EK121),"")</f>
        <v/>
      </c>
      <c r="G121" s="190">
        <f>IF(COUNT(M121:EK121)&gt;0,MAX(M121:EK121),"")</f>
        <v/>
      </c>
      <c r="H121" s="190">
        <f>IF(COUNT(M121:EK121)&gt;0,QUARTILE(M121:EK121,1),"")</f>
        <v/>
      </c>
      <c r="I121" s="190">
        <f>IF(COUNT(M121:EK121)&gt;0,QUARTILE(M121:EK121,3),"")</f>
        <v/>
      </c>
      <c r="J121" s="190">
        <f>IF(COUNT(M121:EK121)&gt;1,STDEV(M121:EK121),"")</f>
        <v/>
      </c>
      <c r="K121" s="191">
        <f>IF(COUNT(M121:EK121)&gt;1,STDEV(M121:EK121)/AVERAGE(M121:EK121),"")</f>
        <v/>
      </c>
      <c r="M121" s="192" t="n">
        <v>-1446241</v>
      </c>
      <c r="N121" s="192" t="n">
        <v>-1747679</v>
      </c>
      <c r="O121" s="192" t="n">
        <v>-131769</v>
      </c>
      <c r="P121" s="192" t="n">
        <v>2453059</v>
      </c>
      <c r="Q121" s="192" t="n">
        <v>414032</v>
      </c>
      <c r="R121" s="192" t="n">
        <v>-972410</v>
      </c>
      <c r="S121" s="192" t="n">
        <v>-359209</v>
      </c>
      <c r="T121" s="192" t="n">
        <v>2184007</v>
      </c>
      <c r="U121" s="192" t="n">
        <v>424116</v>
      </c>
      <c r="V121" s="192" t="n">
        <v>-166953</v>
      </c>
      <c r="W121" s="192" t="n">
        <v>-1324619</v>
      </c>
      <c r="X121" s="192" t="n">
        <v>1624172</v>
      </c>
      <c r="Y121" s="192" t="n">
        <v>-1156788</v>
      </c>
      <c r="Z121" s="192" t="n">
        <v>453231</v>
      </c>
      <c r="AA121" s="192" t="n">
        <v>121561</v>
      </c>
      <c r="AB121" s="192" t="n">
        <v>155155</v>
      </c>
      <c r="AC121" s="192" t="n">
        <v>-70582</v>
      </c>
      <c r="AD121" s="192" t="n">
        <v>483167</v>
      </c>
      <c r="AE121" s="192" t="n">
        <v>-326722</v>
      </c>
      <c r="AF121" s="192" t="n">
        <v>250113</v>
      </c>
      <c r="AG121" s="192" t="n">
        <v>136370</v>
      </c>
      <c r="AH121" s="192" t="n">
        <v>295487</v>
      </c>
      <c r="AI121" s="192" t="n">
        <v>10671</v>
      </c>
      <c r="AJ121" s="192" t="n">
        <v>128014</v>
      </c>
      <c r="AK121" s="192" t="n">
        <v>171331</v>
      </c>
      <c r="AL121" s="192" t="n">
        <v>212876</v>
      </c>
      <c r="AM121" s="192" t="n">
        <v>-87591</v>
      </c>
      <c r="AN121" s="192" t="n">
        <v>-5217</v>
      </c>
      <c r="AO121" s="192" t="n">
        <v>83493</v>
      </c>
      <c r="AP121" s="192" t="n">
        <v>-5348</v>
      </c>
      <c r="AQ121" s="192" t="n">
        <v>-212135</v>
      </c>
      <c r="AR121" s="192" t="n">
        <v>45789</v>
      </c>
      <c r="AS121" s="192" t="n">
        <v>70245</v>
      </c>
      <c r="AT121" s="192" t="n">
        <v>8975</v>
      </c>
      <c r="AU121" s="192" t="n">
        <v>-28946</v>
      </c>
      <c r="AV121" s="192" t="n">
        <v>14146</v>
      </c>
      <c r="AW121" s="192" t="n">
        <v>20479</v>
      </c>
      <c r="AX121" s="192" t="n">
        <v>14669</v>
      </c>
      <c r="AY121" s="192" t="n">
        <v>6531</v>
      </c>
      <c r="AZ121" s="192" t="n">
        <v>12572</v>
      </c>
      <c r="BA121" s="192" t="n">
        <v>18196</v>
      </c>
      <c r="BB121" s="192" t="n">
        <v>-3763</v>
      </c>
      <c r="BC121" s="192" t="n">
        <v>-331500</v>
      </c>
      <c r="BD121" s="192" t="n">
        <v>16904</v>
      </c>
      <c r="BE121" s="192" t="n">
        <v>-222730</v>
      </c>
      <c r="BF121" s="192" t="n">
        <v>88376</v>
      </c>
      <c r="BG121" s="192" t="n">
        <v>391882</v>
      </c>
      <c r="BH121" s="192" t="n">
        <v>39816</v>
      </c>
      <c r="BI121" s="192" t="n">
        <v>25836</v>
      </c>
      <c r="BJ121" s="192" t="n">
        <v>86633</v>
      </c>
      <c r="BK121" s="192" t="n">
        <v>-30853</v>
      </c>
      <c r="BL121" s="192" t="n">
        <v>13421</v>
      </c>
      <c r="BM121" s="192" t="n">
        <v>-75700</v>
      </c>
      <c r="BN121" s="192" t="n">
        <v>89821</v>
      </c>
      <c r="BO121" s="192" t="n">
        <v>-81920</v>
      </c>
      <c r="BP121" s="192" t="n">
        <v>-8682</v>
      </c>
      <c r="BQ121" s="192" t="n">
        <v>-67022</v>
      </c>
      <c r="BR121" s="192" t="n">
        <v>79494</v>
      </c>
      <c r="BS121" s="192" t="n">
        <v>-85037</v>
      </c>
      <c r="BT121" s="192" t="n">
        <v>138668</v>
      </c>
      <c r="BU121" s="192" t="n">
        <v>-118139</v>
      </c>
      <c r="BV121" s="192" t="n">
        <v>-11806</v>
      </c>
      <c r="BW121" s="192" t="n">
        <v>-56516</v>
      </c>
      <c r="BX121" s="192" t="n">
        <v>-7718</v>
      </c>
      <c r="BY121" s="192" t="n">
        <v>3936</v>
      </c>
      <c r="BZ121" s="192" t="n">
        <v>74962</v>
      </c>
      <c r="CA121" s="192" t="n">
        <v>-28989</v>
      </c>
      <c r="CB121" s="192" t="n">
        <v>55588</v>
      </c>
      <c r="CC121" s="192" t="n">
        <v>43728</v>
      </c>
      <c r="CD121" s="192" t="n">
        <v>96514</v>
      </c>
      <c r="CE121" s="192" t="n">
        <v>-28321</v>
      </c>
      <c r="CF121" s="192" t="n">
        <v>11816</v>
      </c>
      <c r="CG121" s="192" t="n">
        <v>-66647</v>
      </c>
      <c r="CH121" s="192" t="n">
        <v>-76880</v>
      </c>
      <c r="CI121" s="192" t="n">
        <v>-76629</v>
      </c>
      <c r="CJ121" s="192" t="n">
        <v>151489</v>
      </c>
      <c r="CK121" s="192" t="n">
        <v>-22414</v>
      </c>
      <c r="CL121" s="192" t="n">
        <v>-3274</v>
      </c>
      <c r="CM121" s="192" t="n">
        <v>-2592</v>
      </c>
      <c r="CN121" s="192" t="n">
        <v>55</v>
      </c>
      <c r="CO121" s="192" t="n">
        <v>2578</v>
      </c>
      <c r="CP121" s="192" t="n">
        <v>27184</v>
      </c>
      <c r="CQ121" s="192" t="n">
        <v>-8940</v>
      </c>
      <c r="CR121" s="192" t="n">
        <v>-146780</v>
      </c>
      <c r="CS121" s="192" t="n">
        <v>8645</v>
      </c>
      <c r="CT121" s="192" t="n">
        <v>243903</v>
      </c>
      <c r="CU121" s="192" t="n">
        <v>-3816</v>
      </c>
      <c r="CV121" s="192" t="n">
        <v>-1904</v>
      </c>
      <c r="CW121" s="192" t="n">
        <v>431</v>
      </c>
      <c r="CX121" s="192" t="n">
        <v>-2563</v>
      </c>
      <c r="CY121" s="192" t="n">
        <v>-256.1</v>
      </c>
      <c r="CZ121" s="192" t="n">
        <v>2717.1</v>
      </c>
      <c r="DA121" s="192" t="n">
        <v>27183.6</v>
      </c>
      <c r="DB121" s="192" t="n">
        <v>16893.6</v>
      </c>
      <c r="DC121" s="192" t="n">
        <v>-31675.3</v>
      </c>
      <c r="DD121" s="192" t="n">
        <v>-7010.9</v>
      </c>
      <c r="DE121" s="192" t="n">
        <v>-11330.8</v>
      </c>
      <c r="DF121" s="192" t="n">
        <v>20580</v>
      </c>
      <c r="DG121" s="192" t="n">
        <v>110092</v>
      </c>
      <c r="DH121" s="192" t="n">
        <v>-1896.4</v>
      </c>
      <c r="DI121" s="192" t="n">
        <v>-2857.9</v>
      </c>
      <c r="DJ121" s="192" t="n">
        <v>15581.5</v>
      </c>
      <c r="DK121" s="192" t="n">
        <v>-13155.2</v>
      </c>
      <c r="DL121" s="192" t="n">
        <v>3511.9</v>
      </c>
      <c r="DM121" s="192" t="n">
        <v>-8430.1</v>
      </c>
      <c r="DN121" s="192" t="n">
        <v>5247.2</v>
      </c>
      <c r="DO121" s="192" t="n">
        <v>-17700</v>
      </c>
      <c r="DP121" s="192" t="n">
        <v>-4000</v>
      </c>
      <c r="DQ121" s="192" t="n">
        <v>-1000</v>
      </c>
      <c r="DR121" s="192" t="n">
        <v>15200</v>
      </c>
      <c r="DS121" s="192" t="n">
        <v>100</v>
      </c>
      <c r="DT121" s="192" t="n">
        <v>7000</v>
      </c>
      <c r="DU121" s="192" t="n">
        <v>-21000</v>
      </c>
      <c r="DV121" s="192" t="n">
        <v>8900</v>
      </c>
      <c r="DW121" s="192" t="n">
        <v>-3200</v>
      </c>
      <c r="DX121" s="192" t="n">
        <v>3300</v>
      </c>
      <c r="DY121" s="192" t="n">
        <v>8100</v>
      </c>
      <c r="DZ121" s="192" t="n">
        <v>7300</v>
      </c>
      <c r="EA121" s="192" t="n">
        <v>-3100</v>
      </c>
      <c r="EB121" s="192" t="n">
        <v>2400</v>
      </c>
      <c r="EC121" s="192" t="n">
        <v>-4700</v>
      </c>
      <c r="ED121" s="192" t="n">
        <v>5700</v>
      </c>
      <c r="EE121" s="192" t="n">
        <v>-3100</v>
      </c>
      <c r="EF121" s="192" t="n">
        <v>1300</v>
      </c>
      <c r="EG121" s="192" t="n">
        <v>1000</v>
      </c>
      <c r="EH121" s="192" t="n">
        <v>-400</v>
      </c>
      <c r="EI121" s="192" t="n">
        <v>-1700</v>
      </c>
      <c r="EJ121" s="192" t="n">
        <v>-3000</v>
      </c>
      <c r="EK121" s="192" t="n">
        <v>-3300</v>
      </c>
      <c r="EL121" s="182" t="n"/>
      <c r="EM121" s="176" t="n"/>
      <c r="EN121" s="176" t="n"/>
      <c r="EO121" s="176" t="n"/>
      <c r="EP121" s="176" t="n"/>
      <c r="EQ121" s="176" t="n"/>
      <c r="ER121" s="176" t="n"/>
      <c r="ES121" s="176" t="n"/>
      <c r="ET121" s="176" t="n"/>
      <c r="EU121" s="176" t="n"/>
      <c r="EV121" s="176" t="n"/>
      <c r="EW121" s="176" t="n"/>
      <c r="EX121" s="176" t="n"/>
      <c r="EY121" s="176" t="n"/>
      <c r="EZ121" s="176" t="n"/>
      <c r="FA121" s="176" t="n"/>
      <c r="FB121" s="176" t="n"/>
      <c r="FC121" s="176" t="n"/>
      <c r="FD121" s="176" t="n"/>
      <c r="FE121" s="176" t="n"/>
      <c r="FF121" s="176" t="n"/>
      <c r="FG121" s="176" t="n"/>
      <c r="FH121" s="176" t="n"/>
      <c r="FI121" s="176" t="n"/>
      <c r="FJ121" s="176" t="n"/>
    </row>
    <row r="122" ht="15" customHeight="1" s="392">
      <c r="A122" s="176" t="n"/>
      <c r="B122" s="180" t="n"/>
      <c r="C122" s="183" t="inlineStr">
        <is>
          <t xml:space="preserve">    Income Tax Paid, Supplemental</t>
        </is>
      </c>
      <c r="D122" s="190">
        <f>IF(COUNT(M122:EK122)&gt;0,MEDIAN(M122:EK122),"")</f>
        <v/>
      </c>
      <c r="E122" s="190">
        <f>IF(COUNT(M122:EK122)&gt;0,AVERAGE(M122:EK122),"")</f>
        <v/>
      </c>
      <c r="F122" s="190">
        <f>IF(COUNT(M122:EK122)&gt;0,MIN(M122:EK122),"")</f>
        <v/>
      </c>
      <c r="G122" s="190">
        <f>IF(COUNT(M122:EK122)&gt;0,MAX(M122:EK122),"")</f>
        <v/>
      </c>
      <c r="H122" s="190">
        <f>IF(COUNT(M122:EK122)&gt;0,QUARTILE(M122:EK122,1),"")</f>
        <v/>
      </c>
      <c r="I122" s="190">
        <f>IF(COUNT(M122:EK122)&gt;0,QUARTILE(M122:EK122,3),"")</f>
        <v/>
      </c>
      <c r="J122" s="190">
        <f>IF(COUNT(M122:EK122)&gt;1,STDEV(M122:EK122),"")</f>
        <v/>
      </c>
      <c r="K122" s="191">
        <f>IF(COUNT(M122:EK122)&gt;1,STDEV(M122:EK122)/AVERAGE(M122:EK122),"")</f>
        <v/>
      </c>
      <c r="M122" s="192" t="n">
        <v>-82843</v>
      </c>
      <c r="N122" s="192" t="n">
        <v>-88067</v>
      </c>
      <c r="O122" s="192" t="n">
        <v>-207415</v>
      </c>
      <c r="P122" s="192" t="n">
        <v>-20055</v>
      </c>
      <c r="Q122" s="192" t="n">
        <v>-90014</v>
      </c>
      <c r="R122" s="192" t="n">
        <v>-41938</v>
      </c>
      <c r="S122" s="192" t="n">
        <v>-196225</v>
      </c>
      <c r="T122" s="192" t="n">
        <v>-80826</v>
      </c>
      <c r="U122" s="192" t="n">
        <v>-19491</v>
      </c>
      <c r="V122" s="192" t="n">
        <v>-77920</v>
      </c>
      <c r="W122" s="192" t="n">
        <v>-179414</v>
      </c>
      <c r="X122" s="192" t="n">
        <v>-9066</v>
      </c>
      <c r="Y122" s="192" t="n">
        <v>-86076</v>
      </c>
      <c r="Z122" s="192" t="n">
        <v>-73114</v>
      </c>
      <c r="AA122" s="192" t="n">
        <v>-92624</v>
      </c>
      <c r="AB122" s="192" t="n">
        <v>-5700</v>
      </c>
      <c r="AC122" s="192" t="n">
        <v>-67705</v>
      </c>
      <c r="AD122" s="192" t="n">
        <v>-66549</v>
      </c>
      <c r="AE122" s="192" t="n">
        <v>-118883</v>
      </c>
      <c r="AF122" s="192" t="n">
        <v>-10089</v>
      </c>
      <c r="AG122" s="192" t="n">
        <v>-51938</v>
      </c>
      <c r="AH122" s="192" t="n">
        <v>-61443</v>
      </c>
      <c r="AI122" s="192" t="n">
        <v>-58703</v>
      </c>
      <c r="AJ122" s="192" t="n">
        <v>-6157</v>
      </c>
      <c r="AK122" s="192" t="n">
        <v>-24468</v>
      </c>
      <c r="AL122" s="192" t="n">
        <v>-1711</v>
      </c>
      <c r="AM122" s="192" t="n">
        <v>-50126</v>
      </c>
      <c r="AN122" s="192" t="n">
        <v>-7465</v>
      </c>
      <c r="AO122" s="192" t="n">
        <v>-21522</v>
      </c>
      <c r="AP122" s="192" t="n">
        <v>-21599</v>
      </c>
      <c r="AQ122" s="192" t="n">
        <v>-33274</v>
      </c>
      <c r="AR122" s="192" t="n">
        <v>-6053</v>
      </c>
      <c r="AS122" s="192" t="n">
        <v>-39399</v>
      </c>
      <c r="AT122" s="192" t="n">
        <v>-38658</v>
      </c>
      <c r="AU122" s="192" t="n">
        <v>-59937</v>
      </c>
      <c r="AV122" s="192" t="n">
        <v>-4167</v>
      </c>
      <c r="AW122" s="192" t="n">
        <v>-4559</v>
      </c>
      <c r="AX122" s="192" t="n">
        <v>-14068</v>
      </c>
      <c r="AY122" s="192" t="n">
        <v>7293</v>
      </c>
      <c r="AZ122" s="192" t="n">
        <v>-2677</v>
      </c>
      <c r="BA122" s="192" t="n">
        <v>-41738</v>
      </c>
      <c r="BB122" s="192" t="n">
        <v>-30830</v>
      </c>
      <c r="BC122" s="192" t="n">
        <v>-54121</v>
      </c>
      <c r="BD122" s="192" t="n">
        <v>-1292</v>
      </c>
      <c r="BE122" s="192" t="n">
        <v>-27930</v>
      </c>
      <c r="BF122" s="192" t="n">
        <v>-17563</v>
      </c>
      <c r="BG122" s="192" t="n">
        <v>-54402</v>
      </c>
      <c r="BH122" s="192" t="n">
        <v>-10030</v>
      </c>
      <c r="BI122" s="192" t="n">
        <v>-17044</v>
      </c>
      <c r="BJ122" s="192" t="n">
        <v>-17878</v>
      </c>
      <c r="BK122" s="192" t="n">
        <v>-46343</v>
      </c>
      <c r="BL122" s="192" t="n">
        <v>-1548</v>
      </c>
      <c r="BM122" s="192" t="n">
        <v>-27003</v>
      </c>
      <c r="BN122" s="192" t="n">
        <v>-12305</v>
      </c>
      <c r="BO122" s="192" t="n">
        <v>-50925</v>
      </c>
      <c r="BP122" s="192" t="n">
        <v>-4949</v>
      </c>
      <c r="BQ122" s="192" t="n">
        <v>-30781</v>
      </c>
      <c r="BR122" s="192" t="n">
        <v>-25781</v>
      </c>
      <c r="BS122" s="192" t="n">
        <v>-47021</v>
      </c>
      <c r="BT122" s="192" t="n">
        <v>-2998</v>
      </c>
      <c r="BU122" s="192" t="n">
        <v>-27705</v>
      </c>
      <c r="BV122" s="192" t="n">
        <v>-18623</v>
      </c>
      <c r="BW122" s="192" t="n">
        <v>-38695</v>
      </c>
      <c r="BX122" s="192" t="n">
        <v>-122</v>
      </c>
      <c r="BY122" s="192" t="n">
        <v>-26343</v>
      </c>
      <c r="BZ122" s="192" t="n">
        <v>-21898</v>
      </c>
      <c r="CA122" s="192" t="n">
        <v>-44141</v>
      </c>
      <c r="CB122" s="192" t="n">
        <v>-1607</v>
      </c>
      <c r="CC122" s="192" t="n">
        <v>-22725</v>
      </c>
      <c r="CD122" s="192" t="n">
        <v>-10014</v>
      </c>
      <c r="CE122" s="192" t="n">
        <v>-39169</v>
      </c>
      <c r="CF122" s="192" t="n"/>
      <c r="CG122" s="192" t="n"/>
      <c r="CH122" s="192" t="n"/>
      <c r="CI122" s="192" t="n"/>
      <c r="CJ122" s="192" t="n"/>
      <c r="CK122" s="192" t="n"/>
      <c r="CL122" s="192" t="n"/>
      <c r="CM122" s="192" t="n"/>
      <c r="CN122" s="192" t="n"/>
      <c r="CO122" s="192" t="n"/>
      <c r="CP122" s="192" t="n"/>
      <c r="CQ122" s="192" t="n"/>
      <c r="CR122" s="192" t="n"/>
      <c r="CS122" s="192" t="n"/>
      <c r="CT122" s="192" t="n"/>
      <c r="CU122" s="192" t="n"/>
      <c r="CV122" s="192" t="n"/>
      <c r="CW122" s="192" t="n"/>
      <c r="CX122" s="192" t="n"/>
      <c r="CY122" s="192" t="n"/>
      <c r="CZ122" s="192" t="n"/>
      <c r="DA122" s="192" t="n"/>
      <c r="DB122" s="192" t="n"/>
      <c r="DC122" s="192" t="n"/>
      <c r="DD122" s="192" t="n"/>
      <c r="DE122" s="192" t="n"/>
      <c r="DF122" s="192" t="n"/>
      <c r="DG122" s="192" t="n"/>
      <c r="DH122" s="192" t="n"/>
      <c r="DI122" s="192" t="n"/>
      <c r="DJ122" s="192" t="n"/>
      <c r="DK122" s="192" t="n"/>
      <c r="DL122" s="192" t="n"/>
      <c r="DM122" s="192" t="n"/>
      <c r="DN122" s="192" t="n"/>
      <c r="DO122" s="192" t="n"/>
      <c r="DP122" s="192" t="n"/>
      <c r="DQ122" s="192" t="n"/>
      <c r="DR122" s="192" t="n"/>
      <c r="DS122" s="192" t="n"/>
      <c r="DT122" s="192" t="n"/>
      <c r="DU122" s="192" t="n"/>
      <c r="DV122" s="192" t="n"/>
      <c r="DW122" s="192" t="n"/>
      <c r="DX122" s="192" t="n"/>
      <c r="DY122" s="192" t="n"/>
      <c r="DZ122" s="192" t="n"/>
      <c r="EA122" s="192" t="n"/>
      <c r="EB122" s="192" t="n"/>
      <c r="EC122" s="192" t="n"/>
      <c r="ED122" s="192" t="n"/>
      <c r="EE122" s="192" t="n"/>
      <c r="EF122" s="192" t="n"/>
      <c r="EG122" s="192" t="n"/>
      <c r="EH122" s="192" t="n"/>
      <c r="EI122" s="192" t="n"/>
      <c r="EJ122" s="192" t="n"/>
      <c r="EK122" s="192" t="n"/>
      <c r="EL122" s="182" t="n"/>
      <c r="EM122" s="176" t="n"/>
      <c r="EN122" s="176" t="n"/>
      <c r="EO122" s="176" t="n"/>
      <c r="EP122" s="176" t="n"/>
      <c r="EQ122" s="176" t="n"/>
      <c r="ER122" s="176" t="n"/>
      <c r="ES122" s="176" t="n"/>
      <c r="ET122" s="176" t="n"/>
      <c r="EU122" s="176" t="n"/>
      <c r="EV122" s="176" t="n"/>
      <c r="EW122" s="176" t="n"/>
      <c r="EX122" s="176" t="n"/>
      <c r="EY122" s="176" t="n"/>
      <c r="EZ122" s="176" t="n"/>
      <c r="FA122" s="176" t="n"/>
      <c r="FB122" s="176" t="n"/>
      <c r="FC122" s="176" t="n"/>
      <c r="FD122" s="176" t="n"/>
      <c r="FE122" s="176" t="n"/>
      <c r="FF122" s="176" t="n"/>
      <c r="FG122" s="176" t="n"/>
      <c r="FH122" s="176" t="n"/>
      <c r="FI122" s="176" t="n"/>
      <c r="FJ122" s="176" t="n"/>
    </row>
    <row r="123" ht="15" customHeight="1" s="392">
      <c r="A123" s="176" t="n"/>
      <c r="B123" s="180" t="n"/>
      <c r="C123" s="183" t="inlineStr">
        <is>
          <t xml:space="preserve">    Interest Paid, Supplemental</t>
        </is>
      </c>
      <c r="D123" s="190">
        <f>IF(COUNT(M123:EK123)&gt;0,MEDIAN(M123:EK123),"")</f>
        <v/>
      </c>
      <c r="E123" s="190">
        <f>IF(COUNT(M123:EK123)&gt;0,AVERAGE(M123:EK123),"")</f>
        <v/>
      </c>
      <c r="F123" s="190">
        <f>IF(COUNT(M123:EK123)&gt;0,MIN(M123:EK123),"")</f>
        <v/>
      </c>
      <c r="G123" s="190">
        <f>IF(COUNT(M123:EK123)&gt;0,MAX(M123:EK123),"")</f>
        <v/>
      </c>
      <c r="H123" s="190">
        <f>IF(COUNT(M123:EK123)&gt;0,QUARTILE(M123:EK123,1),"")</f>
        <v/>
      </c>
      <c r="I123" s="190">
        <f>IF(COUNT(M123:EK123)&gt;0,QUARTILE(M123:EK123,3),"")</f>
        <v/>
      </c>
      <c r="J123" s="190">
        <f>IF(COUNT(M123:EK123)&gt;1,STDEV(M123:EK123),"")</f>
        <v/>
      </c>
      <c r="K123" s="191">
        <f>IF(COUNT(M123:EK123)&gt;1,STDEV(M123:EK123)/AVERAGE(M123:EK123),"")</f>
        <v/>
      </c>
      <c r="M123" s="192" t="n">
        <v>-238</v>
      </c>
      <c r="N123" s="192" t="n">
        <v>-223</v>
      </c>
      <c r="O123" s="192" t="n">
        <v>-764</v>
      </c>
      <c r="P123" s="192" t="n">
        <v>-641</v>
      </c>
      <c r="Q123" s="192" t="n">
        <v>-47</v>
      </c>
      <c r="R123" s="192" t="n">
        <v>-601</v>
      </c>
      <c r="S123" s="192" t="n">
        <v>-1361</v>
      </c>
      <c r="T123" s="192" t="n">
        <v>-10</v>
      </c>
      <c r="U123" s="192" t="n">
        <v>-1181</v>
      </c>
      <c r="V123" s="192" t="n">
        <v>90</v>
      </c>
      <c r="W123" s="192" t="n">
        <v>-1940</v>
      </c>
      <c r="X123" s="192" t="n">
        <v>-96</v>
      </c>
      <c r="Y123" s="192" t="n">
        <v>-1028</v>
      </c>
      <c r="Z123" s="192" t="n">
        <v>-880</v>
      </c>
      <c r="AA123" s="192" t="n">
        <v>-642</v>
      </c>
      <c r="AB123" s="192" t="n">
        <v>-64</v>
      </c>
      <c r="AC123" s="192" t="n">
        <v>-4054</v>
      </c>
      <c r="AD123" s="192" t="n">
        <v>-5174</v>
      </c>
      <c r="AE123" s="192" t="n">
        <v>-4231</v>
      </c>
      <c r="AF123" s="192" t="n">
        <v>-5080</v>
      </c>
      <c r="AG123" s="192" t="n">
        <v>-4987</v>
      </c>
      <c r="AH123" s="192" t="n">
        <v>-7122</v>
      </c>
      <c r="AI123" s="192" t="n">
        <v>-2852</v>
      </c>
      <c r="AJ123" s="192" t="n">
        <v>-4762</v>
      </c>
      <c r="AK123" s="192" t="n">
        <v>-5214</v>
      </c>
      <c r="AL123" s="192" t="n">
        <v>-5507</v>
      </c>
      <c r="AM123" s="192" t="n">
        <v>-4501</v>
      </c>
      <c r="AN123" s="192" t="n">
        <v>-4506</v>
      </c>
      <c r="AO123" s="192" t="n">
        <v>-4589</v>
      </c>
      <c r="AP123" s="192" t="n">
        <v>-5682</v>
      </c>
      <c r="AQ123" s="192" t="n">
        <v>-4493</v>
      </c>
      <c r="AR123" s="192" t="n">
        <v>-4525</v>
      </c>
      <c r="AS123" s="192" t="n">
        <v>-4937</v>
      </c>
      <c r="AT123" s="192" t="n">
        <v>-4396</v>
      </c>
      <c r="AU123" s="192" t="n">
        <v>-5514</v>
      </c>
      <c r="AV123" s="192" t="n">
        <v>-5496</v>
      </c>
      <c r="AW123" s="192" t="n">
        <v>-5540</v>
      </c>
      <c r="AX123" s="192" t="n">
        <v>-29491</v>
      </c>
      <c r="AY123" s="192" t="n">
        <v>17238</v>
      </c>
      <c r="AZ123" s="192" t="n">
        <v>-5428</v>
      </c>
      <c r="BA123" s="192" t="n">
        <v>-6610</v>
      </c>
      <c r="BB123" s="192" t="n">
        <v>-5702</v>
      </c>
      <c r="BC123" s="192" t="n">
        <v>-5571</v>
      </c>
      <c r="BD123" s="192" t="n">
        <v>-5723</v>
      </c>
      <c r="BE123" s="192" t="n">
        <v>-8416</v>
      </c>
      <c r="BF123" s="192" t="n">
        <v>-5917</v>
      </c>
      <c r="BG123" s="192" t="n">
        <v>-1878</v>
      </c>
      <c r="BH123" s="192" t="n">
        <v>-1910</v>
      </c>
      <c r="BI123" s="192" t="n">
        <v>-2169</v>
      </c>
      <c r="BJ123" s="192" t="n">
        <v>-2104</v>
      </c>
      <c r="BK123" s="192" t="n">
        <v>-2209</v>
      </c>
      <c r="BL123" s="192" t="n">
        <v>-2286</v>
      </c>
      <c r="BM123" s="192" t="n">
        <v>-2509</v>
      </c>
      <c r="BN123" s="192" t="n">
        <v>-2538</v>
      </c>
      <c r="BO123" s="192" t="n">
        <v>-2636</v>
      </c>
      <c r="BP123" s="192" t="n">
        <v>-2584</v>
      </c>
      <c r="BQ123" s="192" t="n">
        <v>-3106</v>
      </c>
      <c r="BR123" s="192" t="n">
        <v>-3006</v>
      </c>
      <c r="BS123" s="192" t="n">
        <v>-3210</v>
      </c>
      <c r="BT123" s="192" t="n">
        <v>-2011</v>
      </c>
      <c r="BU123" s="192" t="n">
        <v>-2101</v>
      </c>
      <c r="BV123" s="192" t="n">
        <v>-1713</v>
      </c>
      <c r="BW123" s="192" t="n">
        <v>-65</v>
      </c>
      <c r="BX123" s="192" t="n">
        <v>-15</v>
      </c>
      <c r="BY123" s="192" t="n">
        <v>-15</v>
      </c>
      <c r="BZ123" s="192" t="n">
        <v>-38</v>
      </c>
      <c r="CA123" s="192" t="n">
        <v>-21</v>
      </c>
      <c r="CB123" s="192" t="n">
        <v>-142</v>
      </c>
      <c r="CC123" s="192" t="n">
        <v>-227</v>
      </c>
      <c r="CD123" s="192" t="n">
        <v>-66</v>
      </c>
      <c r="CE123" s="192" t="n">
        <v>-60</v>
      </c>
      <c r="CF123" s="192" t="n"/>
      <c r="CG123" s="192" t="n"/>
      <c r="CH123" s="192" t="n"/>
      <c r="CI123" s="192" t="n"/>
      <c r="CJ123" s="192" t="n"/>
      <c r="CK123" s="192" t="n"/>
      <c r="CL123" s="192" t="n"/>
      <c r="CM123" s="192" t="n"/>
      <c r="CN123" s="192" t="n"/>
      <c r="CO123" s="192" t="n"/>
      <c r="CP123" s="192" t="n"/>
      <c r="CQ123" s="192" t="n"/>
      <c r="CR123" s="192" t="n"/>
      <c r="CS123" s="192" t="n"/>
      <c r="CT123" s="192" t="n"/>
      <c r="CU123" s="192" t="n"/>
      <c r="CV123" s="192" t="n"/>
      <c r="CW123" s="192" t="n"/>
      <c r="CX123" s="192" t="n"/>
      <c r="CY123" s="192" t="n"/>
      <c r="CZ123" s="192" t="n"/>
      <c r="DA123" s="192" t="n"/>
      <c r="DB123" s="192" t="n"/>
      <c r="DC123" s="192" t="n"/>
      <c r="DD123" s="192" t="n"/>
      <c r="DE123" s="192" t="n"/>
      <c r="DF123" s="192" t="n"/>
      <c r="DG123" s="192" t="n"/>
      <c r="DH123" s="192" t="n"/>
      <c r="DI123" s="192" t="n"/>
      <c r="DJ123" s="192" t="n"/>
      <c r="DK123" s="192" t="n"/>
      <c r="DL123" s="192" t="n"/>
      <c r="DM123" s="192" t="n"/>
      <c r="DN123" s="192" t="n"/>
      <c r="DO123" s="192" t="n"/>
      <c r="DP123" s="192" t="n"/>
      <c r="DQ123" s="192" t="n"/>
      <c r="DR123" s="192" t="n"/>
      <c r="DS123" s="192" t="n"/>
      <c r="DT123" s="192" t="n"/>
      <c r="DU123" s="192" t="n"/>
      <c r="DV123" s="192" t="n"/>
      <c r="DW123" s="192" t="n"/>
      <c r="DX123" s="192" t="n"/>
      <c r="DY123" s="192" t="n"/>
      <c r="DZ123" s="192" t="n"/>
      <c r="EA123" s="192" t="n"/>
      <c r="EB123" s="192" t="n"/>
      <c r="EC123" s="192" t="n"/>
      <c r="ED123" s="192" t="n"/>
      <c r="EE123" s="192" t="n"/>
      <c r="EF123" s="192" t="n"/>
      <c r="EG123" s="192" t="n"/>
      <c r="EH123" s="192" t="n"/>
      <c r="EI123" s="192" t="n"/>
      <c r="EJ123" s="192" t="n"/>
      <c r="EK123" s="192" t="n"/>
      <c r="EL123" s="182" t="n"/>
      <c r="EM123" s="176" t="n"/>
      <c r="EN123" s="176" t="n"/>
      <c r="EO123" s="176" t="n"/>
      <c r="EP123" s="176" t="n"/>
      <c r="EQ123" s="176" t="n"/>
      <c r="ER123" s="176" t="n"/>
      <c r="ES123" s="176" t="n"/>
      <c r="ET123" s="176" t="n"/>
      <c r="EU123" s="176" t="n"/>
      <c r="EV123" s="176" t="n"/>
      <c r="EW123" s="176" t="n"/>
      <c r="EX123" s="176" t="n"/>
      <c r="EY123" s="176" t="n"/>
      <c r="EZ123" s="176" t="n"/>
      <c r="FA123" s="176" t="n"/>
      <c r="FB123" s="176" t="n"/>
      <c r="FC123" s="176" t="n"/>
      <c r="FD123" s="176" t="n"/>
      <c r="FE123" s="176" t="n"/>
      <c r="FF123" s="176" t="n"/>
      <c r="FG123" s="176" t="n"/>
      <c r="FH123" s="176" t="n"/>
      <c r="FI123" s="176" t="n"/>
      <c r="FJ123" s="176" t="n"/>
    </row>
    <row r="124" ht="15" customHeight="1" s="392">
      <c r="A124" s="176" t="n"/>
      <c r="B124" s="180" t="n"/>
      <c r="C124" s="189" t="inlineStr">
        <is>
          <t>Cash Flow Metrics</t>
        </is>
      </c>
      <c r="D124" s="185" t="n"/>
      <c r="E124" s="185" t="n"/>
      <c r="F124" s="185" t="n"/>
      <c r="G124" s="185" t="n"/>
      <c r="H124" s="185" t="n"/>
      <c r="I124" s="185" t="n"/>
      <c r="J124" s="185" t="n"/>
      <c r="K124" s="185" t="n"/>
      <c r="L124" s="185" t="n"/>
      <c r="M124" s="185" t="n"/>
      <c r="N124" s="185" t="n"/>
      <c r="O124" s="185" t="n"/>
      <c r="P124" s="185" t="n"/>
      <c r="Q124" s="185" t="n"/>
      <c r="R124" s="185" t="n"/>
      <c r="S124" s="185" t="n"/>
      <c r="T124" s="185" t="n"/>
      <c r="U124" s="185" t="n"/>
      <c r="V124" s="185" t="n"/>
      <c r="W124" s="185" t="n"/>
      <c r="X124" s="185" t="n"/>
      <c r="Y124" s="185" t="n"/>
      <c r="Z124" s="185" t="n"/>
      <c r="AA124" s="185" t="n"/>
      <c r="AB124" s="185" t="n"/>
      <c r="AC124" s="185" t="n"/>
      <c r="AD124" s="185" t="n"/>
      <c r="AE124" s="185" t="n"/>
      <c r="AF124" s="185" t="n"/>
      <c r="AG124" s="185" t="n"/>
      <c r="AH124" s="185" t="n"/>
      <c r="AI124" s="185" t="n"/>
      <c r="AJ124" s="185" t="n"/>
      <c r="AK124" s="185" t="n"/>
      <c r="AL124" s="185" t="n"/>
      <c r="AM124" s="185" t="n"/>
      <c r="AN124" s="185" t="n"/>
      <c r="AO124" s="185" t="n"/>
      <c r="AP124" s="185" t="n"/>
      <c r="AQ124" s="185" t="n"/>
      <c r="AR124" s="185" t="n"/>
      <c r="AS124" s="185" t="n"/>
      <c r="AT124" s="185" t="n"/>
      <c r="AU124" s="185" t="n"/>
      <c r="AV124" s="185" t="n"/>
      <c r="AW124" s="185" t="n"/>
      <c r="AX124" s="185" t="n"/>
      <c r="AY124" s="185" t="n"/>
      <c r="AZ124" s="185" t="n"/>
      <c r="BA124" s="185" t="n"/>
      <c r="BB124" s="185" t="n"/>
      <c r="BC124" s="185" t="n"/>
      <c r="BD124" s="185" t="n"/>
      <c r="BE124" s="185" t="n"/>
      <c r="BF124" s="185" t="n"/>
      <c r="BG124" s="185" t="n"/>
      <c r="BH124" s="185" t="n"/>
      <c r="BI124" s="185" t="n"/>
      <c r="BJ124" s="185" t="n"/>
      <c r="BK124" s="185" t="n"/>
      <c r="BL124" s="185" t="n"/>
      <c r="BM124" s="185" t="n"/>
      <c r="BN124" s="185" t="n"/>
      <c r="BO124" s="185" t="n"/>
      <c r="BP124" s="185" t="n"/>
      <c r="BQ124" s="185" t="n"/>
      <c r="BR124" s="185" t="n"/>
      <c r="BS124" s="185" t="n"/>
      <c r="BT124" s="185" t="n"/>
      <c r="BU124" s="185" t="n"/>
      <c r="BV124" s="185" t="n"/>
      <c r="BW124" s="185" t="n"/>
      <c r="BX124" s="185" t="n"/>
      <c r="BY124" s="185" t="n"/>
      <c r="BZ124" s="185" t="n"/>
      <c r="CA124" s="185" t="n"/>
      <c r="CB124" s="185" t="n"/>
      <c r="CC124" s="185" t="n"/>
      <c r="CD124" s="185" t="n"/>
      <c r="CE124" s="185" t="n"/>
      <c r="CF124" s="185" t="n"/>
      <c r="CG124" s="185" t="n"/>
      <c r="CH124" s="185" t="n"/>
      <c r="CI124" s="185" t="n"/>
      <c r="CJ124" s="185" t="n"/>
      <c r="CK124" s="185" t="n"/>
      <c r="CL124" s="185" t="n"/>
      <c r="CM124" s="185" t="n"/>
      <c r="CN124" s="185" t="n"/>
      <c r="CO124" s="185" t="n"/>
      <c r="CP124" s="185" t="n"/>
      <c r="CQ124" s="185" t="n"/>
      <c r="CR124" s="185" t="n"/>
      <c r="CS124" s="185" t="n"/>
      <c r="CT124" s="185" t="n"/>
      <c r="CU124" s="185" t="n"/>
      <c r="CV124" s="185" t="n"/>
      <c r="CW124" s="185" t="n"/>
      <c r="CX124" s="185" t="n"/>
      <c r="CY124" s="185" t="n"/>
      <c r="CZ124" s="185" t="n"/>
      <c r="DA124" s="185" t="n"/>
      <c r="DB124" s="185" t="n"/>
      <c r="DC124" s="185" t="n"/>
      <c r="DD124" s="185" t="n"/>
      <c r="DE124" s="185" t="n"/>
      <c r="DF124" s="185" t="n"/>
      <c r="DG124" s="185" t="n"/>
      <c r="DH124" s="185" t="n"/>
      <c r="DI124" s="185" t="n"/>
      <c r="DJ124" s="185" t="n"/>
      <c r="DK124" s="185" t="n"/>
      <c r="DL124" s="185" t="n"/>
      <c r="DM124" s="185" t="n"/>
      <c r="DN124" s="185" t="n"/>
      <c r="DO124" s="185" t="n"/>
      <c r="DP124" s="185" t="n"/>
      <c r="DQ124" s="185" t="n"/>
      <c r="DR124" s="185" t="n"/>
      <c r="DS124" s="185" t="n"/>
      <c r="DT124" s="185" t="n"/>
      <c r="DU124" s="185" t="n"/>
      <c r="DV124" s="185" t="n"/>
      <c r="DW124" s="185" t="n"/>
      <c r="DX124" s="185" t="n"/>
      <c r="DY124" s="185" t="n"/>
      <c r="DZ124" s="185" t="n"/>
      <c r="EA124" s="185" t="n"/>
      <c r="EB124" s="185" t="n"/>
      <c r="EC124" s="185" t="n"/>
      <c r="ED124" s="185" t="n"/>
      <c r="EE124" s="185" t="n"/>
      <c r="EF124" s="185" t="n"/>
      <c r="EG124" s="185" t="n"/>
      <c r="EH124" s="185" t="n"/>
      <c r="EI124" s="185" t="n"/>
      <c r="EJ124" s="185" t="n"/>
      <c r="EK124" s="185" t="n"/>
      <c r="EL124" s="182" t="n"/>
      <c r="EM124" s="176" t="n"/>
      <c r="EN124" s="176" t="n"/>
      <c r="EO124" s="176" t="n"/>
      <c r="EP124" s="176" t="n"/>
      <c r="EQ124" s="176" t="n"/>
      <c r="ER124" s="176" t="n"/>
      <c r="ES124" s="176" t="n"/>
      <c r="ET124" s="176" t="n"/>
      <c r="EU124" s="176" t="n"/>
      <c r="EV124" s="176" t="n"/>
      <c r="EW124" s="176" t="n"/>
      <c r="EX124" s="176" t="n"/>
      <c r="EY124" s="176" t="n"/>
      <c r="EZ124" s="176" t="n"/>
      <c r="FA124" s="176" t="n"/>
      <c r="FB124" s="176" t="n"/>
      <c r="FC124" s="176" t="n"/>
      <c r="FD124" s="176" t="n"/>
      <c r="FE124" s="176" t="n"/>
      <c r="FF124" s="176" t="n"/>
      <c r="FG124" s="176" t="n"/>
      <c r="FH124" s="176" t="n"/>
      <c r="FI124" s="176" t="n"/>
      <c r="FJ124" s="176" t="n"/>
    </row>
    <row r="125" ht="15" customHeight="1" s="392">
      <c r="A125" s="176" t="n"/>
      <c r="B125" s="180" t="n"/>
      <c r="C125" s="183" t="inlineStr">
        <is>
          <t xml:space="preserve">    FCF to Firm (FCFF)</t>
        </is>
      </c>
      <c r="D125" s="190">
        <f>IF(COUNT(M125:EK125)&gt;0,MEDIAN(M125:EK125),"")</f>
        <v/>
      </c>
      <c r="E125" s="190">
        <f>IF(COUNT(M125:EK125)&gt;0,AVERAGE(M125:EK125),"")</f>
        <v/>
      </c>
      <c r="F125" s="190">
        <f>IF(COUNT(M125:EK125)&gt;0,MIN(M125:EK125),"")</f>
        <v/>
      </c>
      <c r="G125" s="190">
        <f>IF(COUNT(M125:EK125)&gt;0,MAX(M125:EK125),"")</f>
        <v/>
      </c>
      <c r="H125" s="190">
        <f>IF(COUNT(M125:EK125)&gt;0,QUARTILE(M125:EK125,1),"")</f>
        <v/>
      </c>
      <c r="I125" s="190">
        <f>IF(COUNT(M125:EK125)&gt;0,QUARTILE(M125:EK125,3),"")</f>
        <v/>
      </c>
      <c r="J125" s="190">
        <f>IF(COUNT(M125:EK125)&gt;1,STDEV(M125:EK125),"")</f>
        <v/>
      </c>
      <c r="K125" s="191">
        <f>IF(COUNT(M125:EK125)&gt;1,STDEV(M125:EK125)/AVERAGE(M125:EK125),"")</f>
        <v/>
      </c>
      <c r="M125" s="192" t="n">
        <v>370720</v>
      </c>
      <c r="N125" s="192" t="n">
        <v>392709</v>
      </c>
      <c r="O125" s="192" t="n">
        <v>347525</v>
      </c>
      <c r="P125" s="192" t="n">
        <v>363778</v>
      </c>
      <c r="Q125" s="192" t="n">
        <v>344903</v>
      </c>
      <c r="R125" s="192" t="n">
        <v>339277</v>
      </c>
      <c r="S125" s="192" t="n">
        <v>331644</v>
      </c>
      <c r="T125" s="192" t="n">
        <v>192376</v>
      </c>
      <c r="U125" s="192" t="n">
        <v>242943</v>
      </c>
      <c r="V125" s="192" t="n">
        <v>358611</v>
      </c>
      <c r="W125" s="192" t="n">
        <v>257971</v>
      </c>
      <c r="X125" s="192" t="n">
        <v>216186</v>
      </c>
      <c r="Y125" s="192" t="n">
        <v>243974</v>
      </c>
      <c r="Z125" s="192" t="n">
        <v>308552</v>
      </c>
      <c r="AA125" s="192" t="n">
        <v>238992</v>
      </c>
      <c r="AB125" s="192" t="n">
        <v>144337</v>
      </c>
      <c r="AC125" s="192" t="n">
        <v>228628.250490991</v>
      </c>
      <c r="AD125" s="192" t="n">
        <v>257844.968</v>
      </c>
      <c r="AE125" s="192" t="n">
        <v>242157.72</v>
      </c>
      <c r="AF125" s="192" t="n">
        <v>249590.493</v>
      </c>
      <c r="AG125" s="192" t="n">
        <v>210534.991345755</v>
      </c>
      <c r="AH125" s="192" t="n">
        <v>225857.556</v>
      </c>
      <c r="AI125" s="192" t="n">
        <v>105483.334</v>
      </c>
      <c r="AJ125" s="192" t="n">
        <v>98523.952</v>
      </c>
      <c r="AK125" s="192" t="n">
        <v>112293.196871455</v>
      </c>
      <c r="AL125" s="192" t="n">
        <v>99553.482</v>
      </c>
      <c r="AM125" s="192" t="n">
        <v>-61619.128</v>
      </c>
      <c r="AN125" s="192" t="n">
        <v>124366.98</v>
      </c>
      <c r="AO125" s="192" t="n">
        <v>79134.3928582884</v>
      </c>
      <c r="AP125" s="192" t="n">
        <v>109024.856</v>
      </c>
      <c r="AQ125" s="192" t="n">
        <v>90955.46799999999</v>
      </c>
      <c r="AR125" s="192" t="n">
        <v>82267.317</v>
      </c>
      <c r="AS125" s="192" t="n">
        <v>56876.4761657211</v>
      </c>
      <c r="AT125" s="192" t="n">
        <v>81758.504</v>
      </c>
      <c r="AU125" s="192" t="n">
        <v>62882.97</v>
      </c>
      <c r="AV125" s="192" t="n">
        <v>68855.60000000001</v>
      </c>
      <c r="AW125" s="192" t="n">
        <v>64059.2918245142</v>
      </c>
      <c r="AX125" s="192" t="n">
        <v>79003.47900000001</v>
      </c>
      <c r="AY125" s="192" t="n">
        <v>38088.04</v>
      </c>
      <c r="AZ125" s="192" t="n">
        <v>175048.4</v>
      </c>
      <c r="BA125" s="192" t="n">
        <v>84331.46336745771</v>
      </c>
      <c r="BB125" s="192" t="n">
        <v>29784.28</v>
      </c>
      <c r="BC125" s="192" t="n">
        <v>23347.08</v>
      </c>
      <c r="BD125" s="192" t="n">
        <v>53359.532</v>
      </c>
      <c r="BE125" s="192" t="n">
        <v>46191.7185865481</v>
      </c>
      <c r="BF125" s="192" t="n">
        <v>73156.88400000001</v>
      </c>
      <c r="BG125" s="192" t="n">
        <v>53336.576</v>
      </c>
      <c r="BH125" s="192" t="n">
        <v>46978.4</v>
      </c>
      <c r="BI125" s="192" t="n">
        <v>53649.4606545396</v>
      </c>
      <c r="BJ125" s="192" t="n">
        <v>72651.368</v>
      </c>
      <c r="BK125" s="192" t="n">
        <v>30525.178</v>
      </c>
      <c r="BL125" s="192" t="n">
        <v>37573.47</v>
      </c>
      <c r="BM125" s="192" t="n">
        <v>45541.1235803224</v>
      </c>
      <c r="BN125" s="192" t="n">
        <v>47902.162</v>
      </c>
      <c r="BO125" s="192" t="n">
        <v>16241.612</v>
      </c>
      <c r="BP125" s="192" t="n">
        <v>12018.48</v>
      </c>
      <c r="BQ125" s="192" t="n">
        <v>31329.2120691188</v>
      </c>
      <c r="BR125" s="192" t="n">
        <v>56457.248</v>
      </c>
      <c r="BS125" s="192" t="n">
        <v>48646.549</v>
      </c>
      <c r="BT125" s="192" t="n">
        <v>47738.2148867821</v>
      </c>
      <c r="BU125" s="192" t="n">
        <v>-11594.268804674</v>
      </c>
      <c r="BV125" s="192" t="n">
        <v>65556.11327940261</v>
      </c>
      <c r="BW125" s="192" t="n">
        <v>23382.2464054548</v>
      </c>
      <c r="BX125" s="192" t="n">
        <v>40535.4301314762</v>
      </c>
      <c r="BY125" s="192" t="n">
        <v>-26063.578389904</v>
      </c>
      <c r="BZ125" s="192" t="n">
        <v>59548.5642042915</v>
      </c>
      <c r="CA125" s="192" t="n">
        <v>31453.1125592417</v>
      </c>
      <c r="CB125" s="192" t="n">
        <v>22295.7855289911</v>
      </c>
      <c r="CC125" s="192" t="n">
        <v>38971.3553563504</v>
      </c>
      <c r="CD125" s="192" t="n">
        <v>41375.5759378414</v>
      </c>
      <c r="CE125" s="192" t="n">
        <v>275.593100638327</v>
      </c>
      <c r="CF125" s="192" t="n">
        <v>22382</v>
      </c>
      <c r="CG125" s="192" t="n">
        <v>38365</v>
      </c>
      <c r="CH125" s="192" t="n">
        <v>26841</v>
      </c>
      <c r="CI125" s="192" t="n">
        <v>4343</v>
      </c>
      <c r="CJ125" s="192" t="n">
        <v>28836</v>
      </c>
      <c r="CK125" s="192" t="n">
        <v>-91611</v>
      </c>
      <c r="CL125" s="192" t="n">
        <v>22591</v>
      </c>
      <c r="CM125" s="192" t="n">
        <v>23336</v>
      </c>
      <c r="CN125" s="192" t="n">
        <v>19738</v>
      </c>
      <c r="CO125" s="192" t="n">
        <v>9322</v>
      </c>
      <c r="CP125" s="192" t="n">
        <v>-15233</v>
      </c>
      <c r="CQ125" s="192" t="n">
        <v>21543</v>
      </c>
      <c r="CR125" s="192" t="n">
        <v>2723</v>
      </c>
      <c r="CS125" s="192" t="n">
        <v>-4959</v>
      </c>
      <c r="CT125" s="192" t="n">
        <v>24201</v>
      </c>
      <c r="CU125" s="192" t="n">
        <v>15231</v>
      </c>
      <c r="CV125" s="192" t="n">
        <v>20899</v>
      </c>
      <c r="CW125" s="192" t="n">
        <v>9758</v>
      </c>
      <c r="CX125" s="192" t="n">
        <v>23650</v>
      </c>
      <c r="CY125" s="192" t="n">
        <v>-1997.8</v>
      </c>
      <c r="CZ125" s="192" t="n">
        <v>10736.8</v>
      </c>
      <c r="DA125" s="192" t="n">
        <v>12674.3</v>
      </c>
      <c r="DB125" s="192" t="n">
        <v>17352.1</v>
      </c>
      <c r="DC125" s="192" t="n">
        <v>-11864.4</v>
      </c>
      <c r="DD125" s="192" t="n">
        <v>536</v>
      </c>
      <c r="DE125" s="192" t="n">
        <v>308</v>
      </c>
      <c r="DF125" s="192" t="n">
        <v>-7014.1</v>
      </c>
      <c r="DG125" s="192" t="n">
        <v>-1692.3</v>
      </c>
      <c r="DH125" s="192" t="n">
        <v>-1300.2</v>
      </c>
      <c r="DI125" s="192" t="n">
        <v>9302.9</v>
      </c>
      <c r="DJ125" s="192" t="n">
        <v>802.7</v>
      </c>
      <c r="DK125" s="192" t="n">
        <v>56.2</v>
      </c>
      <c r="DL125" s="192" t="n">
        <v>1457.5</v>
      </c>
      <c r="DM125" s="192" t="n">
        <v>3529.7</v>
      </c>
      <c r="DN125" s="192" t="n">
        <v>1511.8</v>
      </c>
      <c r="DO125" s="192" t="n">
        <v>2200</v>
      </c>
      <c r="DP125" s="192" t="n">
        <v>-2200</v>
      </c>
      <c r="DQ125" s="192" t="n">
        <v>2300</v>
      </c>
      <c r="DR125" s="192" t="n">
        <v>5000</v>
      </c>
      <c r="DS125" s="192" t="n">
        <v>900</v>
      </c>
      <c r="DT125" s="192" t="n">
        <v>2000</v>
      </c>
      <c r="DU125" s="192" t="n">
        <v>3100</v>
      </c>
      <c r="DV125" s="192" t="n">
        <v>2500</v>
      </c>
      <c r="DW125" s="192" t="n">
        <v>3000</v>
      </c>
      <c r="DX125" s="192" t="n">
        <v>2600</v>
      </c>
      <c r="DY125" s="192" t="n">
        <v>3300</v>
      </c>
      <c r="DZ125" s="192" t="n">
        <v>3800</v>
      </c>
      <c r="EA125" s="192" t="n">
        <v>3300</v>
      </c>
      <c r="EB125" s="192" t="n">
        <v>1900</v>
      </c>
      <c r="EC125" s="192" t="n">
        <v>-500</v>
      </c>
      <c r="ED125" s="192" t="n">
        <v>3500</v>
      </c>
      <c r="EE125" s="192" t="n">
        <v>3700</v>
      </c>
      <c r="EF125" s="192" t="n">
        <v>2600</v>
      </c>
      <c r="EG125" s="192" t="n">
        <v>-3900</v>
      </c>
      <c r="EH125" s="192" t="n">
        <v>1700</v>
      </c>
      <c r="EI125" s="192" t="n">
        <v>2100</v>
      </c>
      <c r="EJ125" s="192" t="n">
        <v>700</v>
      </c>
      <c r="EK125" s="192" t="n">
        <v>700</v>
      </c>
      <c r="EL125" s="182" t="n"/>
      <c r="EM125" s="176" t="n"/>
      <c r="EN125" s="176" t="n"/>
      <c r="EO125" s="176" t="n"/>
      <c r="EP125" s="176" t="n"/>
      <c r="EQ125" s="176" t="n"/>
      <c r="ER125" s="176" t="n"/>
      <c r="ES125" s="176" t="n"/>
      <c r="ET125" s="176" t="n"/>
      <c r="EU125" s="176" t="n"/>
      <c r="EV125" s="176" t="n"/>
      <c r="EW125" s="176" t="n"/>
      <c r="EX125" s="176" t="n"/>
      <c r="EY125" s="176" t="n"/>
      <c r="EZ125" s="176" t="n"/>
      <c r="FA125" s="176" t="n"/>
      <c r="FB125" s="176" t="n"/>
      <c r="FC125" s="176" t="n"/>
      <c r="FD125" s="176" t="n"/>
      <c r="FE125" s="176" t="n"/>
      <c r="FF125" s="176" t="n"/>
      <c r="FG125" s="176" t="n"/>
      <c r="FH125" s="176" t="n"/>
      <c r="FI125" s="176" t="n"/>
      <c r="FJ125" s="176" t="n"/>
    </row>
    <row r="126" ht="15" customHeight="1" s="392">
      <c r="A126" s="176" t="n"/>
      <c r="B126" s="180" t="n"/>
      <c r="C126" s="183" t="inlineStr">
        <is>
          <t xml:space="preserve">    FCF to Equityholders (FCFE)</t>
        </is>
      </c>
      <c r="D126" s="190">
        <f>IF(COUNT(M126:EK126)&gt;0,MEDIAN(M126:EK126),"")</f>
        <v/>
      </c>
      <c r="E126" s="190">
        <f>IF(COUNT(M126:EK126)&gt;0,AVERAGE(M126:EK126),"")</f>
        <v/>
      </c>
      <c r="F126" s="190">
        <f>IF(COUNT(M126:EK126)&gt;0,MIN(M126:EK126),"")</f>
        <v/>
      </c>
      <c r="G126" s="190">
        <f>IF(COUNT(M126:EK126)&gt;0,MAX(M126:EK126),"")</f>
        <v/>
      </c>
      <c r="H126" s="190">
        <f>IF(COUNT(M126:EK126)&gt;0,QUARTILE(M126:EK126,1),"")</f>
        <v/>
      </c>
      <c r="I126" s="190">
        <f>IF(COUNT(M126:EK126)&gt;0,QUARTILE(M126:EK126,3),"")</f>
        <v/>
      </c>
      <c r="J126" s="190">
        <f>IF(COUNT(M126:EK126)&gt;1,STDEV(M126:EK126),"")</f>
        <v/>
      </c>
      <c r="K126" s="191">
        <f>IF(COUNT(M126:EK126)&gt;1,STDEV(M126:EK126)/AVERAGE(M126:EK126),"")</f>
        <v/>
      </c>
      <c r="M126" s="192" t="n">
        <v>370720</v>
      </c>
      <c r="N126" s="192" t="n">
        <v>392709</v>
      </c>
      <c r="O126" s="192" t="n">
        <v>347525</v>
      </c>
      <c r="P126" s="192" t="n">
        <v>363778</v>
      </c>
      <c r="Q126" s="192" t="n">
        <v>344903</v>
      </c>
      <c r="R126" s="192" t="n">
        <v>339277</v>
      </c>
      <c r="S126" s="192" t="n">
        <v>331644</v>
      </c>
      <c r="T126" s="192" t="n">
        <v>192376</v>
      </c>
      <c r="U126" s="192" t="n">
        <v>242943</v>
      </c>
      <c r="V126" s="192" t="n">
        <v>358611</v>
      </c>
      <c r="W126" s="192" t="n">
        <v>257971</v>
      </c>
      <c r="X126" s="192" t="n">
        <v>216186</v>
      </c>
      <c r="Y126" s="192" t="n">
        <v>243974</v>
      </c>
      <c r="Z126" s="192" t="n">
        <v>308552</v>
      </c>
      <c r="AA126" s="192" t="n">
        <v>238992</v>
      </c>
      <c r="AB126" s="192" t="n">
        <v>144337</v>
      </c>
      <c r="AC126" s="192" t="n">
        <v>226320</v>
      </c>
      <c r="AD126" s="192" t="n">
        <v>254458</v>
      </c>
      <c r="AE126" s="192" t="n">
        <v>238434</v>
      </c>
      <c r="AF126" s="192" t="n">
        <v>245510</v>
      </c>
      <c r="AG126" s="192" t="n">
        <v>206238</v>
      </c>
      <c r="AH126" s="192" t="n">
        <v>221121</v>
      </c>
      <c r="AI126" s="192" t="n">
        <v>101769</v>
      </c>
      <c r="AJ126" s="192" t="n">
        <v>94443</v>
      </c>
      <c r="AK126" s="192" t="n">
        <v>108355</v>
      </c>
      <c r="AL126" s="192" t="n">
        <v>95264</v>
      </c>
      <c r="AM126" s="192" t="n">
        <v>-65293</v>
      </c>
      <c r="AN126" s="192" t="n">
        <v>121428</v>
      </c>
      <c r="AO126" s="192" t="n">
        <v>77184</v>
      </c>
      <c r="AP126" s="192" t="n">
        <v>103999</v>
      </c>
      <c r="AQ126" s="192" t="n">
        <v>86790</v>
      </c>
      <c r="AR126" s="192" t="n">
        <v>78700</v>
      </c>
      <c r="AS126" s="192" t="n">
        <v>53074</v>
      </c>
      <c r="AT126" s="192" t="n">
        <v>78473</v>
      </c>
      <c r="AU126" s="192" t="n">
        <v>58766</v>
      </c>
      <c r="AV126" s="192" t="n">
        <v>65051</v>
      </c>
      <c r="AW126" s="192" t="n">
        <v>60218</v>
      </c>
      <c r="AX126" s="192" t="n">
        <v>74948</v>
      </c>
      <c r="AY126" s="192" t="n">
        <v>34033</v>
      </c>
      <c r="AZ126" s="192" t="n">
        <v>171473</v>
      </c>
      <c r="BA126" s="192" t="n">
        <v>79085</v>
      </c>
      <c r="BB126" s="192" t="n">
        <v>26135</v>
      </c>
      <c r="BC126" s="192" t="n">
        <v>19760</v>
      </c>
      <c r="BD126" s="192" t="n">
        <v>49679</v>
      </c>
      <c r="BE126" s="192" t="n">
        <v>42240</v>
      </c>
      <c r="BF126" s="192" t="n">
        <v>69299</v>
      </c>
      <c r="BG126" s="192" t="n">
        <v>50280</v>
      </c>
      <c r="BH126" s="192" t="n">
        <v>45756</v>
      </c>
      <c r="BI126" s="192" t="n">
        <v>52151</v>
      </c>
      <c r="BJ126" s="192" t="n">
        <v>71248</v>
      </c>
      <c r="BK126" s="192" t="n">
        <v>29107</v>
      </c>
      <c r="BL126" s="192" t="n">
        <v>36099</v>
      </c>
      <c r="BM126" s="192" t="n">
        <v>43874</v>
      </c>
      <c r="BN126" s="192" t="n">
        <v>46255</v>
      </c>
      <c r="BO126" s="192" t="n">
        <v>14562</v>
      </c>
      <c r="BP126" s="192" t="n">
        <v>10334</v>
      </c>
      <c r="BQ126" s="192" t="n">
        <v>29258</v>
      </c>
      <c r="BR126" s="192" t="n">
        <v>54484</v>
      </c>
      <c r="BS126" s="192" t="n">
        <v>46666</v>
      </c>
      <c r="BT126" s="192" t="n">
        <v>46328</v>
      </c>
      <c r="BU126" s="192" t="n">
        <v>-12767</v>
      </c>
      <c r="BV126" s="192" t="n">
        <v>64413</v>
      </c>
      <c r="BW126" s="192" t="n">
        <v>23122</v>
      </c>
      <c r="BX126" s="192" t="n">
        <v>40526</v>
      </c>
      <c r="BY126" s="192" t="n">
        <v>-26073</v>
      </c>
      <c r="BZ126" s="192" t="n">
        <v>59525</v>
      </c>
      <c r="CA126" s="192" t="n">
        <v>31439</v>
      </c>
      <c r="CB126" s="192" t="n">
        <v>22208</v>
      </c>
      <c r="CC126" s="192" t="n">
        <v>38881</v>
      </c>
      <c r="CD126" s="192" t="n">
        <v>41335</v>
      </c>
      <c r="CE126" s="192" t="n">
        <v>259</v>
      </c>
      <c r="CF126" s="192" t="n">
        <v>22382</v>
      </c>
      <c r="CG126" s="192" t="n">
        <v>38365</v>
      </c>
      <c r="CH126" s="192" t="n">
        <v>26841</v>
      </c>
      <c r="CI126" s="192" t="n">
        <v>4343</v>
      </c>
      <c r="CJ126" s="192" t="n">
        <v>28836</v>
      </c>
      <c r="CK126" s="192" t="n">
        <v>-91611</v>
      </c>
      <c r="CL126" s="192" t="n">
        <v>22591</v>
      </c>
      <c r="CM126" s="192" t="n">
        <v>23336</v>
      </c>
      <c r="CN126" s="192" t="n">
        <v>19738</v>
      </c>
      <c r="CO126" s="192" t="n">
        <v>9322</v>
      </c>
      <c r="CP126" s="192" t="n">
        <v>-15233</v>
      </c>
      <c r="CQ126" s="192" t="n">
        <v>21543</v>
      </c>
      <c r="CR126" s="192" t="n">
        <v>2723</v>
      </c>
      <c r="CS126" s="192" t="n">
        <v>-4959</v>
      </c>
      <c r="CT126" s="192" t="n">
        <v>24201</v>
      </c>
      <c r="CU126" s="192" t="n">
        <v>15231</v>
      </c>
      <c r="CV126" s="192" t="n">
        <v>20899</v>
      </c>
      <c r="CW126" s="192" t="n">
        <v>9758</v>
      </c>
      <c r="CX126" s="192" t="n">
        <v>23650</v>
      </c>
      <c r="CY126" s="192" t="n">
        <v>-1997.8</v>
      </c>
      <c r="CZ126" s="192" t="n">
        <v>10736.8</v>
      </c>
      <c r="DA126" s="192" t="n">
        <v>12674.3</v>
      </c>
      <c r="DB126" s="192" t="n">
        <v>17352.1</v>
      </c>
      <c r="DC126" s="192" t="n">
        <v>-11864.4</v>
      </c>
      <c r="DD126" s="192" t="n">
        <v>536</v>
      </c>
      <c r="DE126" s="192" t="n">
        <v>308</v>
      </c>
      <c r="DF126" s="192" t="n">
        <v>-7014.1</v>
      </c>
      <c r="DG126" s="192" t="n">
        <v>-1692.3</v>
      </c>
      <c r="DH126" s="192" t="n">
        <v>-1300.2</v>
      </c>
      <c r="DI126" s="192" t="n">
        <v>9302.9</v>
      </c>
      <c r="DJ126" s="192" t="n">
        <v>802.7</v>
      </c>
      <c r="DK126" s="192" t="n">
        <v>56.2</v>
      </c>
      <c r="DL126" s="192" t="n">
        <v>1457.5</v>
      </c>
      <c r="DM126" s="192" t="n">
        <v>3529.7</v>
      </c>
      <c r="DN126" s="192" t="n">
        <v>1511.8</v>
      </c>
      <c r="DO126" s="192" t="n">
        <v>2200</v>
      </c>
      <c r="DP126" s="192" t="n">
        <v>-2200</v>
      </c>
      <c r="DQ126" s="192" t="n">
        <v>2300</v>
      </c>
      <c r="DR126" s="192" t="n">
        <v>5000</v>
      </c>
      <c r="DS126" s="192" t="n">
        <v>900</v>
      </c>
      <c r="DT126" s="192" t="n">
        <v>2000</v>
      </c>
      <c r="DU126" s="192" t="n">
        <v>3100</v>
      </c>
      <c r="DV126" s="192" t="n">
        <v>2500</v>
      </c>
      <c r="DW126" s="192" t="n">
        <v>3000</v>
      </c>
      <c r="DX126" s="192" t="n">
        <v>2600</v>
      </c>
      <c r="DY126" s="192" t="n">
        <v>3300</v>
      </c>
      <c r="DZ126" s="192" t="n">
        <v>3800</v>
      </c>
      <c r="EA126" s="192" t="n">
        <v>3300</v>
      </c>
      <c r="EB126" s="192" t="n">
        <v>1900</v>
      </c>
      <c r="EC126" s="192" t="n">
        <v>-500</v>
      </c>
      <c r="ED126" s="192" t="n">
        <v>3500</v>
      </c>
      <c r="EE126" s="192" t="n">
        <v>3700</v>
      </c>
      <c r="EF126" s="192" t="n">
        <v>2600</v>
      </c>
      <c r="EG126" s="192" t="n">
        <v>-3900</v>
      </c>
      <c r="EH126" s="192" t="n">
        <v>1700</v>
      </c>
      <c r="EI126" s="192" t="n">
        <v>2100</v>
      </c>
      <c r="EJ126" s="192" t="n">
        <v>700</v>
      </c>
      <c r="EK126" s="192" t="n">
        <v>700</v>
      </c>
      <c r="EL126" s="182" t="n"/>
      <c r="EM126" s="176" t="n"/>
      <c r="EN126" s="176" t="n"/>
      <c r="EO126" s="176" t="n"/>
      <c r="EP126" s="176" t="n"/>
      <c r="EQ126" s="176" t="n"/>
      <c r="ER126" s="176" t="n"/>
      <c r="ES126" s="176" t="n"/>
      <c r="ET126" s="176" t="n"/>
      <c r="EU126" s="176" t="n"/>
      <c r="EV126" s="176" t="n"/>
      <c r="EW126" s="176" t="n"/>
      <c r="EX126" s="176" t="n"/>
      <c r="EY126" s="176" t="n"/>
      <c r="EZ126" s="176" t="n"/>
      <c r="FA126" s="176" t="n"/>
      <c r="FB126" s="176" t="n"/>
      <c r="FC126" s="176" t="n"/>
      <c r="FD126" s="176" t="n"/>
      <c r="FE126" s="176" t="n"/>
      <c r="FF126" s="176" t="n"/>
      <c r="FG126" s="176" t="n"/>
      <c r="FH126" s="176" t="n"/>
      <c r="FI126" s="176" t="n"/>
      <c r="FJ126" s="176" t="n"/>
    </row>
    <row r="127" ht="15" customHeight="1" s="392">
      <c r="A127" s="176" t="n"/>
      <c r="B127" s="180" t="n"/>
      <c r="C127" s="183" t="inlineStr">
        <is>
          <t xml:space="preserve">    Issuance of Capital Stock</t>
        </is>
      </c>
      <c r="D127" s="190">
        <f>IF(COUNT(M127:EK127)&gt;0,MEDIAN(M127:EK127),"")</f>
        <v/>
      </c>
      <c r="E127" s="190">
        <f>IF(COUNT(M127:EK127)&gt;0,AVERAGE(M127:EK127),"")</f>
        <v/>
      </c>
      <c r="F127" s="190">
        <f>IF(COUNT(M127:EK127)&gt;0,MIN(M127:EK127),"")</f>
        <v/>
      </c>
      <c r="G127" s="190">
        <f>IF(COUNT(M127:EK127)&gt;0,MAX(M127:EK127),"")</f>
        <v/>
      </c>
      <c r="H127" s="190">
        <f>IF(COUNT(M127:EK127)&gt;0,QUARTILE(M127:EK127,1),"")</f>
        <v/>
      </c>
      <c r="I127" s="190">
        <f>IF(COUNT(M127:EK127)&gt;0,QUARTILE(M127:EK127,3),"")</f>
        <v/>
      </c>
      <c r="J127" s="190">
        <f>IF(COUNT(M127:EK127)&gt;1,STDEV(M127:EK127),"")</f>
        <v/>
      </c>
      <c r="K127" s="191">
        <f>IF(COUNT(M127:EK127)&gt;1,STDEV(M127:EK127)/AVERAGE(M127:EK127),"")</f>
        <v/>
      </c>
      <c r="M127" s="192" t="n">
        <v>0</v>
      </c>
      <c r="N127" s="192" t="n">
        <v>0</v>
      </c>
      <c r="O127" s="192" t="n">
        <v>0</v>
      </c>
      <c r="P127" s="192" t="n">
        <v>0</v>
      </c>
      <c r="Q127" s="192" t="n">
        <v>0</v>
      </c>
      <c r="R127" s="192" t="n">
        <v>0</v>
      </c>
      <c r="S127" s="192" t="n">
        <v>0</v>
      </c>
      <c r="T127" s="192" t="n">
        <v>0</v>
      </c>
      <c r="U127" s="192" t="n">
        <v>0</v>
      </c>
      <c r="V127" s="192" t="n">
        <v>0</v>
      </c>
      <c r="W127" s="192" t="n">
        <v>0</v>
      </c>
      <c r="X127" s="192" t="n">
        <v>0</v>
      </c>
      <c r="Y127" s="192" t="n">
        <v>0</v>
      </c>
      <c r="Z127" s="192" t="n">
        <v>0</v>
      </c>
      <c r="AA127" s="192" t="n">
        <v>0</v>
      </c>
      <c r="AB127" s="192" t="n">
        <v>0</v>
      </c>
      <c r="AC127" s="192" t="n">
        <v>0</v>
      </c>
      <c r="AD127" s="192" t="n">
        <v>0</v>
      </c>
      <c r="AE127" s="192" t="n">
        <v>0</v>
      </c>
      <c r="AF127" s="192" t="n">
        <v>0</v>
      </c>
      <c r="AG127" s="192" t="n">
        <v>0</v>
      </c>
      <c r="AH127" s="192" t="n">
        <v>0</v>
      </c>
      <c r="AI127" s="192" t="n">
        <v>0</v>
      </c>
      <c r="AJ127" s="192" t="n">
        <v>0</v>
      </c>
      <c r="AK127" s="192" t="n">
        <v>0</v>
      </c>
      <c r="AL127" s="192" t="n">
        <v>0</v>
      </c>
      <c r="AM127" s="192" t="n">
        <v>0</v>
      </c>
      <c r="AN127" s="192" t="n">
        <v>0</v>
      </c>
      <c r="AO127" s="192" t="n">
        <v>0</v>
      </c>
      <c r="AP127" s="192" t="n">
        <v>0</v>
      </c>
      <c r="AQ127" s="192" t="n">
        <v>0</v>
      </c>
      <c r="AR127" s="192" t="n">
        <v>0</v>
      </c>
      <c r="AS127" s="192" t="n">
        <v>0</v>
      </c>
      <c r="AT127" s="192" t="n">
        <v>0</v>
      </c>
      <c r="AU127" s="192" t="n">
        <v>0</v>
      </c>
      <c r="AV127" s="192" t="n">
        <v>0</v>
      </c>
      <c r="AW127" s="192" t="n">
        <v>0</v>
      </c>
      <c r="AX127" s="192" t="n">
        <v>0</v>
      </c>
      <c r="AY127" s="192" t="n">
        <v>0</v>
      </c>
      <c r="AZ127" s="192" t="n">
        <v>0</v>
      </c>
      <c r="BA127" s="192" t="n">
        <v>0</v>
      </c>
      <c r="BB127" s="192" t="n">
        <v>0</v>
      </c>
      <c r="BC127" s="192" t="n">
        <v>0</v>
      </c>
      <c r="BD127" s="192" t="n">
        <v>0</v>
      </c>
      <c r="BE127" s="192" t="n">
        <v>0</v>
      </c>
      <c r="BF127" s="192" t="n">
        <v>0</v>
      </c>
      <c r="BG127" s="192" t="n">
        <v>0</v>
      </c>
      <c r="BH127" s="192" t="n">
        <v>0</v>
      </c>
      <c r="BI127" s="192" t="n">
        <v>0</v>
      </c>
      <c r="BJ127" s="192" t="n">
        <v>0</v>
      </c>
      <c r="BK127" s="192" t="n">
        <v>0</v>
      </c>
      <c r="BL127" s="192" t="n">
        <v>0</v>
      </c>
      <c r="BM127" s="192" t="n">
        <v>0</v>
      </c>
      <c r="BN127" s="192" t="n">
        <v>0</v>
      </c>
      <c r="BO127" s="192" t="n">
        <v>0</v>
      </c>
      <c r="BP127" s="192" t="n">
        <v>0</v>
      </c>
      <c r="BQ127" s="192" t="n">
        <v>0</v>
      </c>
      <c r="BR127" s="192" t="n">
        <v>0</v>
      </c>
      <c r="BS127" s="192" t="n">
        <v>0</v>
      </c>
      <c r="BT127" s="192" t="n">
        <v>0</v>
      </c>
      <c r="BU127" s="192" t="n">
        <v>0</v>
      </c>
      <c r="BV127" s="192" t="n">
        <v>0</v>
      </c>
      <c r="BW127" s="192" t="n">
        <v>0</v>
      </c>
      <c r="BX127" s="192" t="n">
        <v>0</v>
      </c>
      <c r="BY127" s="192" t="n">
        <v>957</v>
      </c>
      <c r="BZ127" s="192" t="n">
        <v>0</v>
      </c>
      <c r="CA127" s="192" t="n">
        <v>1075</v>
      </c>
      <c r="CB127" s="192" t="n">
        <v>0</v>
      </c>
      <c r="CC127" s="192" t="n">
        <v>1000</v>
      </c>
      <c r="CD127" s="192" t="n">
        <v>0</v>
      </c>
      <c r="CE127" s="192" t="n">
        <v>322</v>
      </c>
      <c r="CF127" s="192" t="n">
        <v>620</v>
      </c>
      <c r="CG127" s="192" t="n">
        <v>4142</v>
      </c>
      <c r="CH127" s="192" t="n">
        <v>960</v>
      </c>
      <c r="CI127" s="192" t="n">
        <v>1777</v>
      </c>
      <c r="CJ127" s="192" t="n">
        <v>7507</v>
      </c>
      <c r="CK127" s="192" t="n">
        <v>934</v>
      </c>
      <c r="CL127" s="192" t="n">
        <v>1419</v>
      </c>
      <c r="CM127" s="192" t="n">
        <v>8477</v>
      </c>
      <c r="CN127" s="192" t="n">
        <v>1577</v>
      </c>
      <c r="CO127" s="192" t="n">
        <v>1564</v>
      </c>
      <c r="CP127" s="192" t="n">
        <v>1558</v>
      </c>
      <c r="CQ127" s="192" t="n">
        <v>2229</v>
      </c>
      <c r="CR127" s="192" t="n">
        <v>1710</v>
      </c>
      <c r="CS127" s="192" t="n">
        <v>1492</v>
      </c>
      <c r="CT127" s="192" t="n">
        <v>527</v>
      </c>
      <c r="CU127" s="192" t="n">
        <v>1005</v>
      </c>
      <c r="CV127" s="192" t="n">
        <v>211</v>
      </c>
      <c r="CW127" s="192" t="n">
        <v>3120</v>
      </c>
      <c r="CX127" s="192" t="n">
        <v>2737</v>
      </c>
      <c r="CY127" s="192" t="n">
        <v>387.4</v>
      </c>
      <c r="CZ127" s="192" t="n">
        <v>182.6</v>
      </c>
      <c r="DA127" s="192" t="n">
        <v>532.7</v>
      </c>
      <c r="DB127" s="192" t="n">
        <v>79.7</v>
      </c>
      <c r="DC127" s="192" t="n">
        <v>1593.7</v>
      </c>
      <c r="DD127" s="192" t="n">
        <v>63.9</v>
      </c>
      <c r="DE127" s="192" t="n">
        <v>0</v>
      </c>
      <c r="DF127" s="192" t="n">
        <v>2467.7</v>
      </c>
      <c r="DG127" s="192" t="n">
        <v>127907.2</v>
      </c>
      <c r="DH127" s="192" t="n">
        <v>348.6</v>
      </c>
      <c r="DI127" s="192" t="n">
        <v>542.8</v>
      </c>
      <c r="DJ127" s="192" t="n">
        <v>1123.3</v>
      </c>
      <c r="DK127" s="192" t="n">
        <v>1977.9</v>
      </c>
      <c r="DL127" s="192" t="n">
        <v>43.9</v>
      </c>
      <c r="DM127" s="192" t="n">
        <v>1933.2</v>
      </c>
      <c r="DN127" s="192" t="n">
        <v>483.8</v>
      </c>
      <c r="DO127" s="192" t="n">
        <v>0</v>
      </c>
      <c r="DP127" s="192" t="n">
        <v>0</v>
      </c>
      <c r="DQ127" s="192" t="n">
        <v>500</v>
      </c>
      <c r="DR127" s="192" t="n">
        <v>200</v>
      </c>
      <c r="DS127" s="192" t="n">
        <v>400</v>
      </c>
      <c r="DT127" s="192" t="n">
        <v>300</v>
      </c>
      <c r="DU127" s="192" t="n">
        <v>1400</v>
      </c>
      <c r="DV127" s="192" t="n">
        <v>0</v>
      </c>
      <c r="DW127" s="192" t="n">
        <v>600</v>
      </c>
      <c r="DX127" s="192" t="n">
        <v>100</v>
      </c>
      <c r="DY127" s="192" t="n">
        <v>0</v>
      </c>
      <c r="DZ127" s="192" t="n">
        <v>100</v>
      </c>
      <c r="EA127" s="192" t="n">
        <v>2300</v>
      </c>
      <c r="EB127" s="192" t="n">
        <v>100</v>
      </c>
      <c r="EC127" s="192" t="n">
        <v>300</v>
      </c>
      <c r="ED127" s="192" t="n">
        <v>200</v>
      </c>
      <c r="EE127" s="192" t="n">
        <v>0</v>
      </c>
      <c r="EF127" s="192" t="n">
        <v>0</v>
      </c>
      <c r="EG127" s="192" t="n">
        <v>34000</v>
      </c>
      <c r="EH127" s="192" t="n">
        <v>0</v>
      </c>
      <c r="EI127" s="192" t="n">
        <v>100</v>
      </c>
      <c r="EJ127" s="192" t="n">
        <v>200</v>
      </c>
      <c r="EK127" s="192" t="n">
        <v>100</v>
      </c>
      <c r="EL127" s="182" t="n"/>
      <c r="EM127" s="176" t="n"/>
      <c r="EN127" s="176" t="n"/>
      <c r="EO127" s="176" t="n"/>
      <c r="EP127" s="176" t="n"/>
      <c r="EQ127" s="176" t="n"/>
      <c r="ER127" s="176" t="n"/>
      <c r="ES127" s="176" t="n"/>
      <c r="ET127" s="176" t="n"/>
      <c r="EU127" s="176" t="n"/>
      <c r="EV127" s="176" t="n"/>
      <c r="EW127" s="176" t="n"/>
      <c r="EX127" s="176" t="n"/>
      <c r="EY127" s="176" t="n"/>
      <c r="EZ127" s="176" t="n"/>
      <c r="FA127" s="176" t="n"/>
      <c r="FB127" s="176" t="n"/>
      <c r="FC127" s="176" t="n"/>
      <c r="FD127" s="176" t="n"/>
      <c r="FE127" s="176" t="n"/>
      <c r="FF127" s="176" t="n"/>
      <c r="FG127" s="176" t="n"/>
      <c r="FH127" s="176" t="n"/>
      <c r="FI127" s="176" t="n"/>
      <c r="FJ127" s="176" t="n"/>
    </row>
    <row r="128" ht="15" customHeight="1" s="392">
      <c r="A128" s="176" t="n"/>
      <c r="B128" s="180" t="n"/>
      <c r="C128" s="183" t="inlineStr">
        <is>
          <t xml:space="preserve">    Issuance of Debt</t>
        </is>
      </c>
      <c r="D128" s="190">
        <f>IF(COUNT(M128:EK128)&gt;0,MEDIAN(M128:EK128),"")</f>
        <v/>
      </c>
      <c r="E128" s="190">
        <f>IF(COUNT(M128:EK128)&gt;0,AVERAGE(M128:EK128),"")</f>
        <v/>
      </c>
      <c r="F128" s="190">
        <f>IF(COUNT(M128:EK128)&gt;0,MIN(M128:EK128),"")</f>
        <v/>
      </c>
      <c r="G128" s="190">
        <f>IF(COUNT(M128:EK128)&gt;0,MAX(M128:EK128),"")</f>
        <v/>
      </c>
      <c r="H128" s="190">
        <f>IF(COUNT(M128:EK128)&gt;0,QUARTILE(M128:EK128,1),"")</f>
        <v/>
      </c>
      <c r="I128" s="190">
        <f>IF(COUNT(M128:EK128)&gt;0,QUARTILE(M128:EK128,3),"")</f>
        <v/>
      </c>
      <c r="J128" s="190">
        <f>IF(COUNT(M128:EK128)&gt;1,STDEV(M128:EK128),"")</f>
        <v/>
      </c>
      <c r="K128" s="191">
        <f>IF(COUNT(M128:EK128)&gt;1,STDEV(M128:EK128)/AVERAGE(M128:EK128),"")</f>
        <v/>
      </c>
      <c r="M128" s="192" t="n">
        <v>0</v>
      </c>
      <c r="N128" s="192" t="n">
        <v>0</v>
      </c>
      <c r="O128" s="192" t="n">
        <v>0</v>
      </c>
      <c r="P128" s="192" t="n">
        <v>0</v>
      </c>
      <c r="Q128" s="192" t="n">
        <v>0</v>
      </c>
      <c r="R128" s="192" t="n">
        <v>0</v>
      </c>
      <c r="S128" s="192" t="n">
        <v>0</v>
      </c>
      <c r="T128" s="192" t="n">
        <v>0</v>
      </c>
      <c r="U128" s="192" t="n">
        <v>0</v>
      </c>
      <c r="V128" s="192" t="n">
        <v>2</v>
      </c>
      <c r="W128" s="192" t="n">
        <v>0</v>
      </c>
      <c r="X128" s="192" t="n">
        <v>0</v>
      </c>
      <c r="Y128" s="192" t="n">
        <v>23013</v>
      </c>
      <c r="Z128" s="192" t="n">
        <v>21481</v>
      </c>
      <c r="AA128" s="192" t="n">
        <v>0</v>
      </c>
      <c r="AB128" s="192" t="n">
        <v>0</v>
      </c>
      <c r="AC128" s="192" t="n">
        <v>0</v>
      </c>
      <c r="AD128" s="192" t="n">
        <v>0</v>
      </c>
      <c r="AE128" s="192" t="n">
        <v>0</v>
      </c>
      <c r="AF128" s="192" t="n">
        <v>0</v>
      </c>
      <c r="AG128" s="192" t="n">
        <v>0</v>
      </c>
      <c r="AH128" s="192" t="n">
        <v>0</v>
      </c>
      <c r="AI128" s="192" t="n">
        <v>0</v>
      </c>
      <c r="AJ128" s="192" t="n">
        <v>0</v>
      </c>
      <c r="AK128" s="192" t="n">
        <v>0</v>
      </c>
      <c r="AL128" s="192" t="n">
        <v>0</v>
      </c>
      <c r="AM128" s="192" t="n">
        <v>0</v>
      </c>
      <c r="AN128" s="192" t="n">
        <v>0</v>
      </c>
      <c r="AO128" s="192" t="n">
        <v>0</v>
      </c>
      <c r="AP128" s="192" t="n">
        <v>0</v>
      </c>
      <c r="AQ128" s="192" t="n">
        <v>0</v>
      </c>
      <c r="AR128" s="192" t="n">
        <v>0</v>
      </c>
      <c r="AS128" s="192" t="n">
        <v>0</v>
      </c>
      <c r="AT128" s="192" t="n">
        <v>0</v>
      </c>
      <c r="AU128" s="192" t="n">
        <v>0</v>
      </c>
      <c r="AV128" s="192" t="n">
        <v>0</v>
      </c>
      <c r="AW128" s="192" t="n">
        <v>66000</v>
      </c>
      <c r="AX128" s="192" t="n">
        <v>0</v>
      </c>
      <c r="AY128" s="192" t="n">
        <v>0</v>
      </c>
      <c r="AZ128" s="192" t="n">
        <v>103900</v>
      </c>
      <c r="BA128" s="192" t="n">
        <v>238000</v>
      </c>
      <c r="BB128" s="192" t="n">
        <v>25468</v>
      </c>
      <c r="BC128" s="192" t="n">
        <v>49250</v>
      </c>
      <c r="BD128" s="192" t="n">
        <v>0</v>
      </c>
      <c r="BE128" s="192" t="n">
        <v>0</v>
      </c>
      <c r="BF128" s="192" t="n">
        <v>0</v>
      </c>
      <c r="BG128" s="192" t="n">
        <v>405189</v>
      </c>
      <c r="BH128" s="192" t="n">
        <v>0</v>
      </c>
      <c r="BI128" s="192" t="n">
        <v>0</v>
      </c>
      <c r="BJ128" s="192" t="n">
        <v>0</v>
      </c>
      <c r="BK128" s="192" t="n">
        <v>17034</v>
      </c>
      <c r="BL128" s="192" t="n">
        <v>0</v>
      </c>
      <c r="BM128" s="192" t="n">
        <v>16291</v>
      </c>
      <c r="BN128" s="192" t="n">
        <v>0</v>
      </c>
      <c r="BO128" s="192" t="n">
        <v>0</v>
      </c>
      <c r="BP128" s="192" t="n">
        <v>0</v>
      </c>
      <c r="BQ128" s="192" t="n">
        <v>0</v>
      </c>
      <c r="BR128" s="192" t="n">
        <v>0</v>
      </c>
      <c r="BS128" s="192" t="n">
        <v>0</v>
      </c>
      <c r="BT128" s="192" t="n">
        <v>125000</v>
      </c>
      <c r="BU128" s="192" t="n">
        <v>0</v>
      </c>
      <c r="BV128" s="192" t="n">
        <v>0</v>
      </c>
      <c r="BW128" s="192" t="n">
        <v>400000</v>
      </c>
      <c r="BX128" s="192" t="n">
        <v>0</v>
      </c>
      <c r="BY128" s="192" t="n">
        <v>0</v>
      </c>
      <c r="BZ128" s="192" t="n">
        <v>0</v>
      </c>
      <c r="CA128" s="192" t="n">
        <v>0</v>
      </c>
      <c r="CB128" s="192" t="n">
        <v>0</v>
      </c>
      <c r="CC128" s="192" t="n">
        <v>0</v>
      </c>
      <c r="CD128" s="192" t="n">
        <v>0</v>
      </c>
      <c r="CE128" s="192" t="n">
        <v>2331</v>
      </c>
      <c r="CF128" s="192" t="n">
        <v>0</v>
      </c>
      <c r="CG128" s="192" t="n">
        <v>0</v>
      </c>
      <c r="CH128" s="192" t="n">
        <v>0</v>
      </c>
      <c r="CI128" s="192" t="n">
        <v>0</v>
      </c>
      <c r="CJ128" s="192" t="n">
        <v>0</v>
      </c>
      <c r="CK128" s="192" t="n">
        <v>0</v>
      </c>
      <c r="CL128" s="192" t="n">
        <v>0</v>
      </c>
      <c r="CM128" s="192" t="n">
        <v>0</v>
      </c>
      <c r="CN128" s="192" t="n">
        <v>0</v>
      </c>
      <c r="CO128" s="192" t="n">
        <v>0</v>
      </c>
      <c r="CP128" s="192" t="n">
        <v>0</v>
      </c>
      <c r="CQ128" s="192" t="n">
        <v>0</v>
      </c>
      <c r="CR128" s="192" t="n">
        <v>0</v>
      </c>
      <c r="CS128" s="192" t="n">
        <v>0</v>
      </c>
      <c r="CT128" s="192" t="n">
        <v>0</v>
      </c>
      <c r="CU128" s="192" t="n">
        <v>0</v>
      </c>
      <c r="CV128" s="192" t="n">
        <v>0</v>
      </c>
      <c r="CW128" s="192" t="n">
        <v>0</v>
      </c>
      <c r="CX128" s="192" t="n">
        <v>0</v>
      </c>
      <c r="CY128" s="192" t="n">
        <v>0</v>
      </c>
      <c r="CZ128" s="192" t="n">
        <v>0</v>
      </c>
      <c r="DA128" s="192" t="n">
        <v>0</v>
      </c>
      <c r="DB128" s="192" t="n">
        <v>0</v>
      </c>
      <c r="DC128" s="192" t="n">
        <v>0</v>
      </c>
      <c r="DD128" s="192" t="n">
        <v>0</v>
      </c>
      <c r="DE128" s="192" t="n">
        <v>0</v>
      </c>
      <c r="DF128" s="192" t="n">
        <v>0</v>
      </c>
      <c r="DG128" s="192" t="n">
        <v>0</v>
      </c>
      <c r="DH128" s="192" t="n">
        <v>0</v>
      </c>
      <c r="DI128" s="192" t="n">
        <v>0</v>
      </c>
      <c r="DJ128" s="192" t="n">
        <v>0</v>
      </c>
      <c r="DK128" s="192" t="n">
        <v>0</v>
      </c>
      <c r="DL128" s="192" t="n">
        <v>0</v>
      </c>
      <c r="DM128" s="192" t="n">
        <v>973.8</v>
      </c>
      <c r="DN128" s="192" t="n">
        <v>0</v>
      </c>
      <c r="DO128" s="192" t="n">
        <v>0</v>
      </c>
      <c r="DP128" s="192" t="n">
        <v>0</v>
      </c>
      <c r="DQ128" s="192" t="n">
        <v>0</v>
      </c>
      <c r="DR128" s="192" t="n">
        <v>0</v>
      </c>
      <c r="DS128" s="192" t="n">
        <v>0</v>
      </c>
      <c r="DT128" s="192" t="n">
        <v>0</v>
      </c>
      <c r="DU128" s="192" t="n">
        <v>0</v>
      </c>
      <c r="DV128" s="192" t="n">
        <v>200</v>
      </c>
      <c r="DW128" s="192" t="n">
        <v>200</v>
      </c>
      <c r="DX128" s="192" t="n">
        <v>0</v>
      </c>
      <c r="DY128" s="192" t="n">
        <v>0</v>
      </c>
      <c r="DZ128" s="192" t="n">
        <v>0</v>
      </c>
      <c r="EA128" s="192" t="n">
        <v>0</v>
      </c>
      <c r="EB128" s="192" t="n">
        <v>0</v>
      </c>
      <c r="EC128" s="192" t="n">
        <v>0</v>
      </c>
      <c r="ED128" s="192" t="n">
        <v>0</v>
      </c>
      <c r="EE128" s="192" t="n">
        <v>0</v>
      </c>
      <c r="EF128" s="192" t="n">
        <v>0</v>
      </c>
      <c r="EG128" s="192" t="n">
        <v>200</v>
      </c>
      <c r="EH128" s="192" t="n">
        <v>0</v>
      </c>
      <c r="EI128" s="192" t="n">
        <v>0</v>
      </c>
      <c r="EJ128" s="192" t="n">
        <v>0</v>
      </c>
      <c r="EK128" s="192" t="n">
        <v>0</v>
      </c>
      <c r="EL128" s="182" t="n"/>
      <c r="EM128" s="176" t="n"/>
      <c r="EN128" s="176" t="n"/>
      <c r="EO128" s="176" t="n"/>
      <c r="EP128" s="176" t="n"/>
      <c r="EQ128" s="176" t="n"/>
      <c r="ER128" s="176" t="n"/>
      <c r="ES128" s="176" t="n"/>
      <c r="ET128" s="176" t="n"/>
      <c r="EU128" s="176" t="n"/>
      <c r="EV128" s="176" t="n"/>
      <c r="EW128" s="176" t="n"/>
      <c r="EX128" s="176" t="n"/>
      <c r="EY128" s="176" t="n"/>
      <c r="EZ128" s="176" t="n"/>
      <c r="FA128" s="176" t="n"/>
      <c r="FB128" s="176" t="n"/>
      <c r="FC128" s="176" t="n"/>
      <c r="FD128" s="176" t="n"/>
      <c r="FE128" s="176" t="n"/>
      <c r="FF128" s="176" t="n"/>
      <c r="FG128" s="176" t="n"/>
      <c r="FH128" s="176" t="n"/>
      <c r="FI128" s="176" t="n"/>
      <c r="FJ128" s="176" t="n"/>
    </row>
    <row r="129" ht="15" customHeight="1" s="392">
      <c r="A129" s="176" t="n"/>
      <c r="B129" s="180" t="n"/>
      <c r="C129" s="183" t="inlineStr">
        <is>
          <t xml:space="preserve">    Repayment of Debt</t>
        </is>
      </c>
      <c r="D129" s="190">
        <f>IF(COUNT(M129:EK129)&gt;0,MEDIAN(M129:EK129),"")</f>
        <v/>
      </c>
      <c r="E129" s="190">
        <f>IF(COUNT(M129:EK129)&gt;0,AVERAGE(M129:EK129),"")</f>
        <v/>
      </c>
      <c r="F129" s="190">
        <f>IF(COUNT(M129:EK129)&gt;0,MIN(M129:EK129),"")</f>
        <v/>
      </c>
      <c r="G129" s="190">
        <f>IF(COUNT(M129:EK129)&gt;0,MAX(M129:EK129),"")</f>
        <v/>
      </c>
      <c r="H129" s="190">
        <f>IF(COUNT(M129:EK129)&gt;0,QUARTILE(M129:EK129,1),"")</f>
        <v/>
      </c>
      <c r="I129" s="190">
        <f>IF(COUNT(M129:EK129)&gt;0,QUARTILE(M129:EK129,3),"")</f>
        <v/>
      </c>
      <c r="J129" s="190">
        <f>IF(COUNT(M129:EK129)&gt;1,STDEV(M129:EK129),"")</f>
        <v/>
      </c>
      <c r="K129" s="191">
        <f>IF(COUNT(M129:EK129)&gt;1,STDEV(M129:EK129)/AVERAGE(M129:EK129),"")</f>
        <v/>
      </c>
      <c r="M129" s="192" t="n">
        <v>-49</v>
      </c>
      <c r="N129" s="192" t="n">
        <v>-5</v>
      </c>
      <c r="O129" s="192" t="n">
        <v>-1</v>
      </c>
      <c r="P129" s="192" t="n">
        <v>-5</v>
      </c>
      <c r="Q129" s="192" t="n">
        <v>-5</v>
      </c>
      <c r="R129" s="192" t="n">
        <v>-4</v>
      </c>
      <c r="S129" s="192" t="n">
        <v>-40</v>
      </c>
      <c r="T129" s="192" t="n">
        <v>0</v>
      </c>
      <c r="U129" s="192" t="n">
        <v>-3</v>
      </c>
      <c r="V129" s="192" t="n">
        <v>-3</v>
      </c>
      <c r="W129" s="192" t="n">
        <v>-6</v>
      </c>
      <c r="X129" s="192" t="n">
        <v>-5</v>
      </c>
      <c r="Y129" s="192" t="n">
        <v>-33929</v>
      </c>
      <c r="Z129" s="192" t="n">
        <v>-5</v>
      </c>
      <c r="AA129" s="192" t="n">
        <v>-6</v>
      </c>
      <c r="AB129" s="192" t="n">
        <v>-7</v>
      </c>
      <c r="AC129" s="192" t="n">
        <v>-416817</v>
      </c>
      <c r="AD129" s="192" t="n">
        <v>-158</v>
      </c>
      <c r="AE129" s="192" t="n">
        <v>-157</v>
      </c>
      <c r="AF129" s="192" t="n">
        <v>-157</v>
      </c>
      <c r="AG129" s="192" t="n">
        <v>-156</v>
      </c>
      <c r="AH129" s="192" t="n">
        <v>-340</v>
      </c>
      <c r="AI129" s="192" t="n">
        <v>-295</v>
      </c>
      <c r="AJ129" s="192" t="n">
        <v>-327</v>
      </c>
      <c r="AK129" s="192" t="n">
        <v>-1065</v>
      </c>
      <c r="AL129" s="192" t="n">
        <v>0</v>
      </c>
      <c r="AM129" s="192" t="n">
        <v>0</v>
      </c>
      <c r="AN129" s="192" t="n">
        <v>0</v>
      </c>
      <c r="AO129" s="192" t="n">
        <v>0</v>
      </c>
      <c r="AP129" s="192" t="n">
        <v>-86300</v>
      </c>
      <c r="AQ129" s="192" t="n">
        <v>0</v>
      </c>
      <c r="AR129" s="192" t="n">
        <v>0</v>
      </c>
      <c r="AS129" s="192" t="n">
        <v>0</v>
      </c>
      <c r="AT129" s="192" t="n">
        <v>-110700</v>
      </c>
      <c r="AU129" s="192" t="n">
        <v>-71300</v>
      </c>
      <c r="AV129" s="192" t="n">
        <v>-49000</v>
      </c>
      <c r="AW129" s="192" t="n">
        <v>0</v>
      </c>
      <c r="AX129" s="192" t="n">
        <v>-145000</v>
      </c>
      <c r="AY129" s="192" t="n">
        <v>-31900</v>
      </c>
      <c r="AZ129" s="192" t="n">
        <v>0</v>
      </c>
      <c r="BA129" s="192" t="n">
        <v>-300000</v>
      </c>
      <c r="BB129" s="192" t="n">
        <v>0</v>
      </c>
      <c r="BC129" s="192" t="n">
        <v>-18750</v>
      </c>
      <c r="BD129" s="192" t="n">
        <v>-18750</v>
      </c>
      <c r="BE129" s="192" t="n">
        <v>-18750</v>
      </c>
      <c r="BF129" s="192" t="n">
        <v>-18750</v>
      </c>
      <c r="BG129" s="192" t="n">
        <v>-293750</v>
      </c>
      <c r="BH129" s="192" t="n">
        <v>-18750</v>
      </c>
      <c r="BI129" s="192" t="n">
        <v>-18750</v>
      </c>
      <c r="BJ129" s="192" t="n">
        <v>-35784</v>
      </c>
      <c r="BK129" s="192" t="n">
        <v>-18750</v>
      </c>
      <c r="BL129" s="192" t="n">
        <v>-35041</v>
      </c>
      <c r="BM129" s="192" t="n">
        <v>-40405</v>
      </c>
      <c r="BN129" s="192" t="n">
        <v>-18750</v>
      </c>
      <c r="BO129" s="192" t="n">
        <v>-18750</v>
      </c>
      <c r="BP129" s="192" t="n">
        <v>-18755</v>
      </c>
      <c r="BQ129" s="192" t="n">
        <v>-18750</v>
      </c>
      <c r="BR129" s="192" t="n">
        <v>-18750</v>
      </c>
      <c r="BS129" s="192" t="n">
        <v>-18750</v>
      </c>
      <c r="BT129" s="192" t="n">
        <v>0</v>
      </c>
      <c r="BU129" s="192" t="n">
        <v>-12500</v>
      </c>
      <c r="BV129" s="192" t="n">
        <v>-12500</v>
      </c>
      <c r="BW129" s="192" t="n">
        <v>0</v>
      </c>
      <c r="BX129" s="192" t="n">
        <v>0</v>
      </c>
      <c r="BY129" s="192" t="n">
        <v>0</v>
      </c>
      <c r="BZ129" s="192" t="n">
        <v>0</v>
      </c>
      <c r="CA129" s="192" t="n">
        <v>0</v>
      </c>
      <c r="CB129" s="192" t="n">
        <v>0</v>
      </c>
      <c r="CC129" s="192" t="n">
        <v>0</v>
      </c>
      <c r="CD129" s="192" t="n">
        <v>-9910</v>
      </c>
      <c r="CE129" s="192" t="n">
        <v>0</v>
      </c>
      <c r="CF129" s="192" t="n">
        <v>-9923</v>
      </c>
      <c r="CG129" s="192" t="n">
        <v>0</v>
      </c>
      <c r="CH129" s="192" t="n">
        <v>0</v>
      </c>
      <c r="CI129" s="192" t="n">
        <v>0</v>
      </c>
      <c r="CJ129" s="192" t="n">
        <v>0</v>
      </c>
      <c r="CK129" s="192" t="n">
        <v>0</v>
      </c>
      <c r="CL129" s="192" t="n">
        <v>0</v>
      </c>
      <c r="CM129" s="192" t="n">
        <v>0</v>
      </c>
      <c r="CN129" s="192" t="n">
        <v>0</v>
      </c>
      <c r="CO129" s="192" t="n">
        <v>0</v>
      </c>
      <c r="CP129" s="192" t="n">
        <v>0</v>
      </c>
      <c r="CQ129" s="192" t="n">
        <v>0</v>
      </c>
      <c r="CR129" s="192" t="n">
        <v>0</v>
      </c>
      <c r="CS129" s="192" t="n">
        <v>0</v>
      </c>
      <c r="CT129" s="192" t="n">
        <v>0</v>
      </c>
      <c r="CU129" s="192" t="n">
        <v>0</v>
      </c>
      <c r="CV129" s="192" t="n">
        <v>0</v>
      </c>
      <c r="CW129" s="192" t="n">
        <v>0</v>
      </c>
      <c r="CX129" s="192" t="n">
        <v>0</v>
      </c>
      <c r="CY129" s="192" t="n">
        <v>-1.8</v>
      </c>
      <c r="CZ129" s="192" t="n">
        <v>-86.2</v>
      </c>
      <c r="DA129" s="192" t="n">
        <v>0</v>
      </c>
      <c r="DB129" s="192" t="n">
        <v>-85.3</v>
      </c>
      <c r="DC129" s="192" t="n">
        <v>-80.40000000000001</v>
      </c>
      <c r="DD129" s="192" t="n">
        <v>-79</v>
      </c>
      <c r="DE129" s="192" t="n">
        <v>-77.7</v>
      </c>
      <c r="DF129" s="192" t="n">
        <v>-76.3</v>
      </c>
      <c r="DG129" s="192" t="n">
        <v>-75.2</v>
      </c>
      <c r="DH129" s="192" t="n">
        <v>-73.7</v>
      </c>
      <c r="DI129" s="192" t="n">
        <v>-7572.6</v>
      </c>
      <c r="DJ129" s="192" t="n">
        <v>-88.8</v>
      </c>
      <c r="DK129" s="192" t="n">
        <v>-159.9</v>
      </c>
      <c r="DL129" s="192" t="n">
        <v>-21.1</v>
      </c>
      <c r="DM129" s="192" t="n">
        <v>0</v>
      </c>
      <c r="DN129" s="192" t="n">
        <v>-39.4</v>
      </c>
      <c r="DO129" s="192" t="n">
        <v>-100</v>
      </c>
      <c r="DP129" s="192" t="n">
        <v>-100</v>
      </c>
      <c r="DQ129" s="192" t="n">
        <v>-100</v>
      </c>
      <c r="DR129" s="192" t="n">
        <v>-200</v>
      </c>
      <c r="DS129" s="192" t="n">
        <v>-100</v>
      </c>
      <c r="DT129" s="192" t="n">
        <v>-200</v>
      </c>
      <c r="DU129" s="192" t="n">
        <v>0</v>
      </c>
      <c r="DV129" s="192" t="n">
        <v>0</v>
      </c>
      <c r="DW129" s="192" t="n">
        <v>0</v>
      </c>
      <c r="DX129" s="192" t="n">
        <v>-1700</v>
      </c>
      <c r="DY129" s="192" t="n">
        <v>-800</v>
      </c>
      <c r="DZ129" s="192" t="n">
        <v>-300</v>
      </c>
      <c r="EA129" s="192" t="n">
        <v>-200</v>
      </c>
      <c r="EB129" s="192" t="n">
        <v>-200</v>
      </c>
      <c r="EC129" s="192" t="n">
        <v>-100</v>
      </c>
      <c r="ED129" s="192" t="n">
        <v>-200</v>
      </c>
      <c r="EE129" s="192" t="n">
        <v>-200</v>
      </c>
      <c r="EF129" s="192" t="n">
        <v>-100</v>
      </c>
      <c r="EG129" s="192" t="n">
        <v>0</v>
      </c>
      <c r="EH129" s="192" t="n">
        <v>-400</v>
      </c>
      <c r="EI129" s="192" t="n">
        <v>0</v>
      </c>
      <c r="EJ129" s="192" t="n">
        <v>0</v>
      </c>
      <c r="EK129" s="192" t="n">
        <v>-100</v>
      </c>
      <c r="EL129" s="182" t="n"/>
      <c r="EM129" s="176" t="n"/>
      <c r="EN129" s="176" t="n"/>
      <c r="EO129" s="176" t="n"/>
      <c r="EP129" s="176" t="n"/>
      <c r="EQ129" s="176" t="n"/>
      <c r="ER129" s="176" t="n"/>
      <c r="ES129" s="176" t="n"/>
      <c r="ET129" s="176" t="n"/>
      <c r="EU129" s="176" t="n"/>
      <c r="EV129" s="176" t="n"/>
      <c r="EW129" s="176" t="n"/>
      <c r="EX129" s="176" t="n"/>
      <c r="EY129" s="176" t="n"/>
      <c r="EZ129" s="176" t="n"/>
      <c r="FA129" s="176" t="n"/>
      <c r="FB129" s="176" t="n"/>
      <c r="FC129" s="176" t="n"/>
      <c r="FD129" s="176" t="n"/>
      <c r="FE129" s="176" t="n"/>
      <c r="FF129" s="176" t="n"/>
      <c r="FG129" s="176" t="n"/>
      <c r="FH129" s="176" t="n"/>
      <c r="FI129" s="176" t="n"/>
      <c r="FJ129" s="176" t="n"/>
    </row>
    <row r="130" ht="15" customHeight="1" s="392">
      <c r="A130" s="176" t="n"/>
      <c r="B130" s="180" t="n"/>
      <c r="C130" s="183" t="inlineStr">
        <is>
          <t xml:space="preserve">    Repurchase of Capital Stock</t>
        </is>
      </c>
      <c r="D130" s="190">
        <f>IF(COUNT(M130:EK130)&gt;0,MEDIAN(M130:EK130),"")</f>
        <v/>
      </c>
      <c r="E130" s="190">
        <f>IF(COUNT(M130:EK130)&gt;0,AVERAGE(M130:EK130),"")</f>
        <v/>
      </c>
      <c r="F130" s="190">
        <f>IF(COUNT(M130:EK130)&gt;0,MIN(M130:EK130),"")</f>
        <v/>
      </c>
      <c r="G130" s="190">
        <f>IF(COUNT(M130:EK130)&gt;0,MAX(M130:EK130),"")</f>
        <v/>
      </c>
      <c r="H130" s="190">
        <f>IF(COUNT(M130:EK130)&gt;0,QUARTILE(M130:EK130,1),"")</f>
        <v/>
      </c>
      <c r="I130" s="190">
        <f>IF(COUNT(M130:EK130)&gt;0,QUARTILE(M130:EK130,3),"")</f>
        <v/>
      </c>
      <c r="J130" s="190">
        <f>IF(COUNT(M130:EK130)&gt;1,STDEV(M130:EK130),"")</f>
        <v/>
      </c>
      <c r="K130" s="191">
        <f>IF(COUNT(M130:EK130)&gt;1,STDEV(M130:EK130)/AVERAGE(M130:EK130),"")</f>
        <v/>
      </c>
      <c r="M130" s="192" t="n">
        <v>-1</v>
      </c>
      <c r="N130" s="192" t="n">
        <v>-1414353</v>
      </c>
      <c r="O130" s="192" t="n">
        <v>0</v>
      </c>
      <c r="P130" s="192" t="n">
        <v>0</v>
      </c>
      <c r="Q130" s="192" t="n">
        <v>0</v>
      </c>
      <c r="R130" s="192" t="n">
        <v>0</v>
      </c>
      <c r="S130" s="192" t="n">
        <v>0</v>
      </c>
      <c r="T130" s="192" t="n">
        <v>0</v>
      </c>
      <c r="U130" s="192" t="n">
        <v>0</v>
      </c>
      <c r="V130" s="192" t="n">
        <v>0</v>
      </c>
      <c r="W130" s="192" t="n">
        <v>0</v>
      </c>
      <c r="X130" s="192" t="n">
        <v>0</v>
      </c>
      <c r="Y130" s="192" t="n">
        <v>0</v>
      </c>
      <c r="Z130" s="192" t="n">
        <v>0</v>
      </c>
      <c r="AA130" s="192" t="n">
        <v>0</v>
      </c>
      <c r="AB130" s="192" t="n">
        <v>0</v>
      </c>
      <c r="AC130" s="192" t="n">
        <v>0</v>
      </c>
      <c r="AD130" s="192" t="n">
        <v>0</v>
      </c>
      <c r="AE130" s="192" t="n">
        <v>0</v>
      </c>
      <c r="AF130" s="192" t="n">
        <v>0</v>
      </c>
      <c r="AG130" s="192" t="n">
        <v>0</v>
      </c>
      <c r="AH130" s="192" t="n">
        <v>0</v>
      </c>
      <c r="AI130" s="192" t="n">
        <v>0</v>
      </c>
      <c r="AJ130" s="192" t="n">
        <v>0</v>
      </c>
      <c r="AK130" s="192" t="n">
        <v>0</v>
      </c>
      <c r="AL130" s="192" t="n">
        <v>0</v>
      </c>
      <c r="AM130" s="192" t="n">
        <v>0</v>
      </c>
      <c r="AN130" s="192" t="n">
        <v>0</v>
      </c>
      <c r="AO130" s="192" t="n">
        <v>0</v>
      </c>
      <c r="AP130" s="192" t="n">
        <v>0</v>
      </c>
      <c r="AQ130" s="192" t="n">
        <v>0</v>
      </c>
      <c r="AR130" s="192" t="n">
        <v>0</v>
      </c>
      <c r="AS130" s="192" t="n">
        <v>0</v>
      </c>
      <c r="AT130" s="192" t="n">
        <v>0</v>
      </c>
      <c r="AU130" s="192" t="n">
        <v>0</v>
      </c>
      <c r="AV130" s="192" t="n">
        <v>0</v>
      </c>
      <c r="AW130" s="192" t="n">
        <v>0</v>
      </c>
      <c r="AX130" s="192" t="n">
        <v>0</v>
      </c>
      <c r="AY130" s="192" t="n">
        <v>0</v>
      </c>
      <c r="AZ130" s="192" t="n">
        <v>0</v>
      </c>
      <c r="BA130" s="192" t="n">
        <v>0</v>
      </c>
      <c r="BB130" s="192" t="n">
        <v>-117855</v>
      </c>
      <c r="BC130" s="192" t="n">
        <v>0</v>
      </c>
      <c r="BD130" s="192" t="n">
        <v>0</v>
      </c>
      <c r="BE130" s="192" t="n">
        <v>-231747</v>
      </c>
      <c r="BF130" s="192" t="n">
        <v>-616</v>
      </c>
      <c r="BG130" s="192" t="n">
        <v>0</v>
      </c>
      <c r="BH130" s="192" t="n">
        <v>-1121</v>
      </c>
      <c r="BI130" s="192" t="n">
        <v>-492</v>
      </c>
      <c r="BJ130" s="192" t="n">
        <v>0</v>
      </c>
      <c r="BK130" s="192" t="n">
        <v>0</v>
      </c>
      <c r="BL130" s="192" t="n">
        <v>-80</v>
      </c>
      <c r="BM130" s="192" t="n">
        <v>-497</v>
      </c>
      <c r="BN130" s="192" t="n">
        <v>0</v>
      </c>
      <c r="BO130" s="192" t="n">
        <v>-627</v>
      </c>
      <c r="BP130" s="192" t="n">
        <v>-13885</v>
      </c>
      <c r="BQ130" s="192" t="n">
        <v>-65630</v>
      </c>
      <c r="BR130" s="192" t="n">
        <v>-2260</v>
      </c>
      <c r="BS130" s="192" t="n">
        <v>-91412</v>
      </c>
      <c r="BT130" s="192" t="n">
        <v>-43983</v>
      </c>
      <c r="BU130" s="192" t="n">
        <v>-136196</v>
      </c>
      <c r="BV130" s="192" t="n">
        <v>-64445</v>
      </c>
      <c r="BW130" s="192" t="n">
        <v>-463287</v>
      </c>
      <c r="BX130" s="192" t="n">
        <v>-75710</v>
      </c>
      <c r="BY130" s="192" t="n">
        <v>-9162</v>
      </c>
      <c r="BZ130" s="192" t="n">
        <v>0</v>
      </c>
      <c r="CA130" s="192" t="n">
        <v>-12</v>
      </c>
      <c r="CB130" s="192" t="n">
        <v>-3532</v>
      </c>
      <c r="CC130" s="192" t="n">
        <v>-3769</v>
      </c>
      <c r="CD130" s="192" t="n">
        <v>0</v>
      </c>
      <c r="CE130" s="192" t="n">
        <v>-5678</v>
      </c>
      <c r="CF130" s="192" t="n">
        <v>0</v>
      </c>
      <c r="CG130" s="192" t="n">
        <v>-120549</v>
      </c>
      <c r="CH130" s="192" t="n">
        <v>-107754</v>
      </c>
      <c r="CI130" s="192" t="n">
        <v>-39171</v>
      </c>
      <c r="CJ130" s="192" t="n">
        <v>0</v>
      </c>
      <c r="CK130" s="192" t="n">
        <v>-88645</v>
      </c>
      <c r="CL130" s="192" t="n">
        <v>0</v>
      </c>
      <c r="CM130" s="192" t="n">
        <v>0</v>
      </c>
      <c r="CN130" s="192" t="n">
        <v>0</v>
      </c>
      <c r="CO130" s="192" t="n">
        <v>0</v>
      </c>
      <c r="CP130" s="192" t="n">
        <v>0</v>
      </c>
      <c r="CQ130" s="192" t="n">
        <v>-6644</v>
      </c>
      <c r="CR130" s="192" t="n">
        <v>0</v>
      </c>
      <c r="CS130" s="192" t="n">
        <v>0</v>
      </c>
      <c r="CT130" s="192" t="n">
        <v>0</v>
      </c>
      <c r="CU130" s="192" t="n">
        <v>0</v>
      </c>
      <c r="CV130" s="192" t="n">
        <v>0</v>
      </c>
      <c r="CW130" s="192" t="n">
        <v>0</v>
      </c>
      <c r="CX130" s="192" t="n">
        <v>0</v>
      </c>
      <c r="CY130" s="192" t="n">
        <v>0</v>
      </c>
      <c r="CZ130" s="192" t="n">
        <v>-10723.1</v>
      </c>
      <c r="DA130" s="192" t="n">
        <v>0</v>
      </c>
      <c r="DB130" s="192" t="n">
        <v>-20367.6</v>
      </c>
      <c r="DC130" s="192" t="n">
        <v>0</v>
      </c>
      <c r="DD130" s="192" t="n">
        <v>0</v>
      </c>
      <c r="DE130" s="192" t="n">
        <v>-1857.3</v>
      </c>
      <c r="DF130" s="192" t="n">
        <v>0</v>
      </c>
      <c r="DG130" s="192" t="n">
        <v>0</v>
      </c>
      <c r="DH130" s="192" t="n">
        <v>0</v>
      </c>
      <c r="DI130" s="192" t="n">
        <v>0</v>
      </c>
      <c r="DJ130" s="192" t="n">
        <v>0</v>
      </c>
      <c r="DK130" s="192" t="n">
        <v>0</v>
      </c>
      <c r="DL130" s="192" t="n">
        <v>0</v>
      </c>
      <c r="DM130" s="192" t="n">
        <v>0</v>
      </c>
      <c r="DN130" s="192" t="n">
        <v>0</v>
      </c>
      <c r="DO130" s="192" t="n">
        <v>0</v>
      </c>
      <c r="DP130" s="192" t="n">
        <v>0</v>
      </c>
      <c r="DQ130" s="192" t="n">
        <v>0</v>
      </c>
      <c r="DR130" s="192" t="n">
        <v>0</v>
      </c>
      <c r="DS130" s="192" t="n">
        <v>0</v>
      </c>
      <c r="DT130" s="192" t="n">
        <v>0</v>
      </c>
      <c r="DU130" s="192" t="n">
        <v>0</v>
      </c>
      <c r="DV130" s="192" t="n">
        <v>0</v>
      </c>
      <c r="DW130" s="192" t="n">
        <v>0</v>
      </c>
      <c r="DX130" s="192" t="n">
        <v>0</v>
      </c>
      <c r="DY130" s="192" t="n">
        <v>-100</v>
      </c>
      <c r="DZ130" s="192" t="n">
        <v>0</v>
      </c>
      <c r="EA130" s="192" t="n">
        <v>0</v>
      </c>
      <c r="EB130" s="192" t="n">
        <v>0</v>
      </c>
      <c r="EC130" s="192" t="n">
        <v>0</v>
      </c>
      <c r="ED130" s="192" t="n">
        <v>0</v>
      </c>
      <c r="EE130" s="192" t="n">
        <v>0</v>
      </c>
      <c r="EF130" s="192" t="n">
        <v>0</v>
      </c>
      <c r="EG130" s="192" t="n">
        <v>0</v>
      </c>
      <c r="EH130" s="192" t="n">
        <v>0</v>
      </c>
      <c r="EI130" s="192" t="n">
        <v>0</v>
      </c>
      <c r="EJ130" s="192" t="n">
        <v>0</v>
      </c>
      <c r="EK130" s="192" t="n">
        <v>0</v>
      </c>
      <c r="EL130" s="182" t="n"/>
      <c r="EM130" s="176" t="n"/>
      <c r="EN130" s="176" t="n"/>
      <c r="EO130" s="176" t="n"/>
      <c r="EP130" s="176" t="n"/>
      <c r="EQ130" s="176" t="n"/>
      <c r="ER130" s="176" t="n"/>
      <c r="ES130" s="176" t="n"/>
      <c r="ET130" s="176" t="n"/>
      <c r="EU130" s="176" t="n"/>
      <c r="EV130" s="176" t="n"/>
      <c r="EW130" s="176" t="n"/>
      <c r="EX130" s="176" t="n"/>
      <c r="EY130" s="176" t="n"/>
      <c r="EZ130" s="176" t="n"/>
      <c r="FA130" s="176" t="n"/>
      <c r="FB130" s="176" t="n"/>
      <c r="FC130" s="176" t="n"/>
      <c r="FD130" s="176" t="n"/>
      <c r="FE130" s="176" t="n"/>
      <c r="FF130" s="176" t="n"/>
      <c r="FG130" s="176" t="n"/>
      <c r="FH130" s="176" t="n"/>
      <c r="FI130" s="176" t="n"/>
      <c r="FJ130" s="176" t="n"/>
    </row>
    <row r="131" ht="15" customHeight="1" s="392">
      <c r="A131" s="176" t="n"/>
      <c r="B131" s="180" t="n"/>
      <c r="C131" s="183" t="inlineStr">
        <is>
          <t xml:space="preserve">    FCF to CFO Ratio</t>
        </is>
      </c>
      <c r="D131" s="201">
        <f>IF(COUNT(M131:EK131)&gt;0,MEDIAN(M131:EK131),"")</f>
        <v/>
      </c>
      <c r="E131" s="201">
        <f>IF(COUNT(M131:EK131)&gt;0,AVERAGE(M131:EK131),"")</f>
        <v/>
      </c>
      <c r="F131" s="201">
        <f>IF(COUNT(M131:EK131)&gt;0,MIN(M131:EK131),"")</f>
        <v/>
      </c>
      <c r="G131" s="201">
        <f>IF(COUNT(M131:EK131)&gt;0,MAX(M131:EK131),"")</f>
        <v/>
      </c>
      <c r="H131" s="201">
        <f>IF(COUNT(M131:EK131)&gt;0,QUARTILE(M131:EK131,1),"")</f>
        <v/>
      </c>
      <c r="I131" s="201">
        <f>IF(COUNT(M131:EK131)&gt;0,QUARTILE(M131:EK131,3),"")</f>
        <v/>
      </c>
      <c r="J131" s="201">
        <f>IF(COUNT(M131:EK131)&gt;1,STDEV(M131:EK131),"")</f>
        <v/>
      </c>
      <c r="K131" s="191">
        <f>IF(COUNT(M131:EK131)&gt;1,STDEV(M131:EK131)/AVERAGE(M131:EK131),"")</f>
        <v/>
      </c>
      <c r="M131" s="202" t="n">
        <v>0.8246835583832</v>
      </c>
      <c r="N131" s="202" t="n">
        <v>0.82919624494829</v>
      </c>
      <c r="O131" s="202" t="n">
        <v>0.83310759140151</v>
      </c>
      <c r="P131" s="202" t="n">
        <v>0.771010130982154</v>
      </c>
      <c r="Q131" s="202" t="n">
        <v>0.797382462824591</v>
      </c>
      <c r="R131" s="202" t="n">
        <v>0.726150243885734</v>
      </c>
      <c r="S131" s="202" t="n">
        <v>0.739806150105402</v>
      </c>
      <c r="T131" s="202" t="n">
        <v>0.448288879464223</v>
      </c>
      <c r="U131" s="202" t="n">
        <v>0.637931985221714</v>
      </c>
      <c r="V131" s="202" t="n">
        <v>0.803293266969218</v>
      </c>
      <c r="W131" s="202" t="n">
        <v>0.677089238845144</v>
      </c>
      <c r="X131" s="202" t="n">
        <v>0.571246624353276</v>
      </c>
      <c r="Y131" s="202" t="n">
        <v>0.589186787285733</v>
      </c>
      <c r="Z131" s="202" t="n">
        <v>0.774561511408109</v>
      </c>
      <c r="AA131" s="202" t="n">
        <v>0.696655939555058</v>
      </c>
      <c r="AB131" s="202" t="n">
        <v>0.485996255791402</v>
      </c>
      <c r="AC131" s="202" t="n">
        <v>0.687990564144967</v>
      </c>
      <c r="AD131" s="202" t="n">
        <v>0.763982129775301</v>
      </c>
      <c r="AE131" s="202" t="n">
        <v>0.72266304578436</v>
      </c>
      <c r="AF131" s="202" t="n">
        <v>0.7914418160835059</v>
      </c>
      <c r="AG131" s="202" t="n">
        <v>0.676547292177182</v>
      </c>
      <c r="AH131" s="202" t="n">
        <v>0.731457284437417</v>
      </c>
      <c r="AI131" s="202" t="n">
        <v>0.427543355515225</v>
      </c>
      <c r="AJ131" s="202" t="n">
        <v>0.391010035771065</v>
      </c>
      <c r="AK131" s="202" t="n">
        <v>0.509673231513145</v>
      </c>
      <c r="AL131" s="202" t="n">
        <v>0.521588681683293</v>
      </c>
      <c r="AM131" s="202" t="n">
        <v>-0.321219485796936</v>
      </c>
      <c r="AN131" s="202" t="n">
        <v>0.479533687964268</v>
      </c>
      <c r="AO131" s="202" t="n">
        <v>0.402564008950039</v>
      </c>
      <c r="AP131" s="202" t="n">
        <v>0.458937901574525</v>
      </c>
      <c r="AQ131" s="202" t="n">
        <v>0.538462970201202</v>
      </c>
      <c r="AR131" s="202" t="n">
        <v>0.558013556822372</v>
      </c>
      <c r="AS131" s="202" t="n">
        <v>0.329061498304286</v>
      </c>
      <c r="AT131" s="202" t="n">
        <v>0.53287655419216</v>
      </c>
      <c r="AU131" s="202" t="n">
        <v>0.458439623362744</v>
      </c>
      <c r="AV131" s="202" t="n">
        <v>0.610606842821608</v>
      </c>
      <c r="AW131" s="202" t="n">
        <v>0.559199895993908</v>
      </c>
      <c r="AX131" s="202" t="n">
        <v>0.698841914849971</v>
      </c>
      <c r="AY131" s="202" t="n">
        <v>0.385704247699352</v>
      </c>
      <c r="AZ131" s="202" t="n">
        <v>0.817776442422335</v>
      </c>
      <c r="BA131" s="202" t="n">
        <v>0.724427264150079</v>
      </c>
      <c r="BB131" s="202" t="n">
        <v>0.283444498671439</v>
      </c>
      <c r="BC131" s="202" t="n">
        <v>0.255287262767593</v>
      </c>
      <c r="BD131" s="202" t="n">
        <v>0.711264782521548</v>
      </c>
      <c r="BE131" s="202" t="n">
        <v>0.584119257681777</v>
      </c>
      <c r="BF131" s="202" t="n">
        <v>0.87810286496281</v>
      </c>
      <c r="BG131" s="202" t="n">
        <v>0.757788126780305</v>
      </c>
      <c r="BH131" s="202" t="n">
        <v>0.661749392572024</v>
      </c>
      <c r="BI131" s="202" t="n">
        <v>0.741370976913454</v>
      </c>
      <c r="BJ131" s="202" t="n">
        <v>0.860514269840695</v>
      </c>
      <c r="BK131" s="202" t="n">
        <v>0.488593826062142</v>
      </c>
      <c r="BL131" s="202" t="n">
        <v>0.628891482726782</v>
      </c>
      <c r="BM131" s="202" t="n">
        <v>0.732772154858536</v>
      </c>
      <c r="BN131" s="202" t="n">
        <v>0.618068360993078</v>
      </c>
      <c r="BO131" s="202" t="n">
        <v>0.276717847370021</v>
      </c>
      <c r="BP131" s="202" t="n">
        <v>0.178313835110605</v>
      </c>
      <c r="BQ131" s="202" t="n">
        <v>0.523698718407675</v>
      </c>
      <c r="BR131" s="202" t="n">
        <v>0.799647758127247</v>
      </c>
      <c r="BS131" s="202" t="n">
        <v>0.765493258095207</v>
      </c>
      <c r="BT131" s="202" t="n">
        <v>0.864296108354166</v>
      </c>
      <c r="BU131" s="202" t="n">
        <v>-0.223253943272829</v>
      </c>
      <c r="BV131" s="202" t="n">
        <v>1</v>
      </c>
      <c r="BW131" s="202" t="n">
        <v>0.456235201262826</v>
      </c>
      <c r="BX131" s="202" t="n">
        <v>0.732799305643455</v>
      </c>
      <c r="BY131" s="202" t="n">
        <v>-0.518236568543658</v>
      </c>
      <c r="BZ131" s="202" t="n">
        <v>1</v>
      </c>
      <c r="CA131" s="202" t="n">
        <v>0.6580776154393601</v>
      </c>
      <c r="CB131" s="202" t="n">
        <v>0.485739282589676</v>
      </c>
      <c r="CC131" s="202" t="n">
        <v>0.7999053634250211</v>
      </c>
      <c r="CD131" s="202" t="n">
        <v>0.7739622146909581</v>
      </c>
      <c r="CE131" s="202" t="n">
        <v>0.009193199162318529</v>
      </c>
      <c r="CF131" s="202" t="n">
        <v>0.433911054243728</v>
      </c>
      <c r="CG131" s="202" t="n">
        <v>0.592052469135803</v>
      </c>
      <c r="CH131" s="202" t="n">
        <v>0.483543209209317</v>
      </c>
      <c r="CI131" s="202" t="n">
        <v>0.101726278312604</v>
      </c>
      <c r="CJ131" s="202" t="n">
        <v>0.591544095021232</v>
      </c>
      <c r="CK131" s="202" t="n">
        <v>-1.98761146427719</v>
      </c>
      <c r="CL131" s="202" t="n">
        <v>0.5088636107669779</v>
      </c>
      <c r="CM131" s="202" t="n">
        <v>0.5894566672560561</v>
      </c>
      <c r="CN131" s="202" t="n">
        <v>0.483300685602351</v>
      </c>
      <c r="CO131" s="202" t="n">
        <v>0.208882316034776</v>
      </c>
      <c r="CP131" s="202" t="n">
        <v>-0.584087423312883</v>
      </c>
      <c r="CQ131" s="202" t="n">
        <v>0.602770005595971</v>
      </c>
      <c r="CR131" s="202" t="n">
        <v>0.0920118943028992</v>
      </c>
      <c r="CS131" s="202" t="n">
        <v>-0.214573146986284</v>
      </c>
      <c r="CT131" s="202" t="n">
        <v>0.588889429628188</v>
      </c>
      <c r="CU131" s="202" t="n">
        <v>0.532589691586824</v>
      </c>
      <c r="CV131" s="202" t="n">
        <v>0.637009266032675</v>
      </c>
      <c r="CW131" s="202" t="n">
        <v>0.400065597966463</v>
      </c>
      <c r="CX131" s="202" t="n">
        <v>0.713488400156877</v>
      </c>
      <c r="CY131" s="202" t="n">
        <v>-0.07065530692866211</v>
      </c>
      <c r="CZ131" s="202" t="n">
        <v>0.488109580073375</v>
      </c>
      <c r="DA131" s="202" t="n">
        <v>0.59003747585019</v>
      </c>
      <c r="DB131" s="202" t="n">
        <v>0.69061160485081</v>
      </c>
      <c r="DC131" s="202" t="n">
        <v>-0.556846769045921</v>
      </c>
      <c r="DD131" s="202" t="n">
        <v>0.0249228136740691</v>
      </c>
      <c r="DE131" s="202" t="n">
        <v>0.0137252455392952</v>
      </c>
      <c r="DF131" s="202" t="n">
        <v>-0.367295748981494</v>
      </c>
      <c r="DG131" s="202" t="n">
        <v>-0.0910068673266901</v>
      </c>
      <c r="DH131" s="202" t="n">
        <v>-0.0807271779015404</v>
      </c>
      <c r="DI131" s="202" t="n">
        <v>0.531931682381396</v>
      </c>
      <c r="DJ131" s="202" t="n">
        <v>0.0525248162907416</v>
      </c>
      <c r="DK131" s="202" t="n">
        <v>0.00442401246910276</v>
      </c>
      <c r="DL131" s="202" t="n">
        <v>0.12068294540908</v>
      </c>
      <c r="DM131" s="202" t="n">
        <v>0.278681794136921</v>
      </c>
      <c r="DN131" s="202" t="n">
        <v>0.133808925315537</v>
      </c>
      <c r="DO131" s="202" t="n">
        <v>0.241758241758242</v>
      </c>
      <c r="DP131" s="202" t="n">
        <v>-0.244444444444444</v>
      </c>
      <c r="DQ131" s="202" t="n">
        <v>0.270588235294118</v>
      </c>
      <c r="DR131" s="202" t="n">
        <v>0.568181818181818</v>
      </c>
      <c r="DS131" s="202" t="n">
        <v>0.125</v>
      </c>
      <c r="DT131" s="202" t="n">
        <v>0.3125</v>
      </c>
      <c r="DU131" s="202" t="n">
        <v>0.484375</v>
      </c>
      <c r="DV131" s="202" t="n">
        <v>0.390625</v>
      </c>
      <c r="DW131" s="202" t="n">
        <v>0.555555555555556</v>
      </c>
      <c r="DX131" s="202" t="n">
        <v>0.5</v>
      </c>
      <c r="DY131" s="202" t="n">
        <v>0.611111111111111</v>
      </c>
      <c r="DZ131" s="202" t="n">
        <v>0.678571428571429</v>
      </c>
      <c r="EA131" s="202" t="n">
        <v>0.673469387755102</v>
      </c>
      <c r="EB131" s="202" t="n">
        <v>0.452380952380952</v>
      </c>
      <c r="EC131" s="202" t="n">
        <v>-0.121951219512195</v>
      </c>
      <c r="ED131" s="202" t="n">
        <v>0.673076923076923</v>
      </c>
      <c r="EE131" s="202" t="n">
        <v>0.822222222222222</v>
      </c>
      <c r="EF131" s="202" t="n">
        <v>0.634146341463415</v>
      </c>
      <c r="EG131" s="202" t="n">
        <v>-1.05405405405405</v>
      </c>
      <c r="EH131" s="202" t="n">
        <v>0.62962962962963</v>
      </c>
      <c r="EI131" s="202" t="n">
        <v>0.91304347826087</v>
      </c>
      <c r="EJ131" s="202" t="n">
        <v>0.388888888888889</v>
      </c>
      <c r="EK131" s="202" t="n">
        <v>0.333333333333333</v>
      </c>
      <c r="EL131" s="182" t="n"/>
      <c r="EM131" s="176" t="n"/>
      <c r="EN131" s="176" t="n"/>
      <c r="EO131" s="176" t="n"/>
      <c r="EP131" s="176" t="n"/>
      <c r="EQ131" s="176" t="n"/>
      <c r="ER131" s="176" t="n"/>
      <c r="ES131" s="176" t="n"/>
      <c r="ET131" s="176" t="n"/>
      <c r="EU131" s="176" t="n"/>
      <c r="EV131" s="176" t="n"/>
      <c r="EW131" s="176" t="n"/>
      <c r="EX131" s="176" t="n"/>
      <c r="EY131" s="176" t="n"/>
      <c r="EZ131" s="176" t="n"/>
      <c r="FA131" s="176" t="n"/>
      <c r="FB131" s="176" t="n"/>
      <c r="FC131" s="176" t="n"/>
      <c r="FD131" s="176" t="n"/>
      <c r="FE131" s="176" t="n"/>
      <c r="FF131" s="176" t="n"/>
      <c r="FG131" s="176" t="n"/>
      <c r="FH131" s="176" t="n"/>
      <c r="FI131" s="176" t="n"/>
      <c r="FJ131" s="176" t="n"/>
    </row>
    <row r="132" ht="15" customHeight="1" s="392">
      <c r="A132" s="176" t="n"/>
      <c r="B132" s="180" t="n"/>
      <c r="C132" s="189" t="inlineStr">
        <is>
          <t>Per Share Calculations</t>
        </is>
      </c>
      <c r="D132" s="185" t="n"/>
      <c r="E132" s="185" t="n"/>
      <c r="F132" s="185" t="n"/>
      <c r="G132" s="185" t="n"/>
      <c r="H132" s="185" t="n"/>
      <c r="I132" s="185" t="n"/>
      <c r="J132" s="185" t="n"/>
      <c r="K132" s="185" t="n"/>
      <c r="L132" s="185" t="n"/>
      <c r="M132" s="185" t="n"/>
      <c r="N132" s="185" t="n"/>
      <c r="O132" s="185" t="n"/>
      <c r="P132" s="185" t="n"/>
      <c r="Q132" s="185" t="n"/>
      <c r="R132" s="185" t="n"/>
      <c r="S132" s="185" t="n"/>
      <c r="T132" s="185" t="n"/>
      <c r="U132" s="185" t="n"/>
      <c r="V132" s="185" t="n"/>
      <c r="W132" s="185" t="n"/>
      <c r="X132" s="185" t="n"/>
      <c r="Y132" s="185" t="n"/>
      <c r="Z132" s="185" t="n"/>
      <c r="AA132" s="185" t="n"/>
      <c r="AB132" s="185" t="n"/>
      <c r="AC132" s="185" t="n"/>
      <c r="AD132" s="185" t="n"/>
      <c r="AE132" s="185" t="n"/>
      <c r="AF132" s="185" t="n"/>
      <c r="AG132" s="185" t="n"/>
      <c r="AH132" s="185" t="n"/>
      <c r="AI132" s="185" t="n"/>
      <c r="AJ132" s="185" t="n"/>
      <c r="AK132" s="185" t="n"/>
      <c r="AL132" s="185" t="n"/>
      <c r="AM132" s="185" t="n"/>
      <c r="AN132" s="185" t="n"/>
      <c r="AO132" s="185" t="n"/>
      <c r="AP132" s="185" t="n"/>
      <c r="AQ132" s="185" t="n"/>
      <c r="AR132" s="185" t="n"/>
      <c r="AS132" s="185" t="n"/>
      <c r="AT132" s="185" t="n"/>
      <c r="AU132" s="185" t="n"/>
      <c r="AV132" s="185" t="n"/>
      <c r="AW132" s="185" t="n"/>
      <c r="AX132" s="185" t="n"/>
      <c r="AY132" s="185" t="n"/>
      <c r="AZ132" s="185" t="n"/>
      <c r="BA132" s="185" t="n"/>
      <c r="BB132" s="185" t="n"/>
      <c r="BC132" s="185" t="n"/>
      <c r="BD132" s="185" t="n"/>
      <c r="BE132" s="185" t="n"/>
      <c r="BF132" s="185" t="n"/>
      <c r="BG132" s="185" t="n"/>
      <c r="BH132" s="185" t="n"/>
      <c r="BI132" s="185" t="n"/>
      <c r="BJ132" s="185" t="n"/>
      <c r="BK132" s="185" t="n"/>
      <c r="BL132" s="185" t="n"/>
      <c r="BM132" s="185" t="n"/>
      <c r="BN132" s="185" t="n"/>
      <c r="BO132" s="185" t="n"/>
      <c r="BP132" s="185" t="n"/>
      <c r="BQ132" s="185" t="n"/>
      <c r="BR132" s="185" t="n"/>
      <c r="BS132" s="185" t="n"/>
      <c r="BT132" s="185" t="n"/>
      <c r="BU132" s="185" t="n"/>
      <c r="BV132" s="185" t="n"/>
      <c r="BW132" s="185" t="n"/>
      <c r="BX132" s="185" t="n"/>
      <c r="BY132" s="185" t="n"/>
      <c r="BZ132" s="185" t="n"/>
      <c r="CA132" s="185" t="n"/>
      <c r="CB132" s="185" t="n"/>
      <c r="CC132" s="185" t="n"/>
      <c r="CD132" s="185" t="n"/>
      <c r="CE132" s="185" t="n"/>
      <c r="CF132" s="185" t="n"/>
      <c r="CG132" s="185" t="n"/>
      <c r="CH132" s="185" t="n"/>
      <c r="CI132" s="185" t="n"/>
      <c r="CJ132" s="185" t="n"/>
      <c r="CK132" s="185" t="n"/>
      <c r="CL132" s="185" t="n"/>
      <c r="CM132" s="185" t="n"/>
      <c r="CN132" s="185" t="n"/>
      <c r="CO132" s="185" t="n"/>
      <c r="CP132" s="185" t="n"/>
      <c r="CQ132" s="185" t="n"/>
      <c r="CR132" s="185" t="n"/>
      <c r="CS132" s="185" t="n"/>
      <c r="CT132" s="185" t="n"/>
      <c r="CU132" s="185" t="n"/>
      <c r="CV132" s="185" t="n"/>
      <c r="CW132" s="185" t="n"/>
      <c r="CX132" s="185" t="n"/>
      <c r="CY132" s="185" t="n"/>
      <c r="CZ132" s="185" t="n"/>
      <c r="DA132" s="185" t="n"/>
      <c r="DB132" s="185" t="n"/>
      <c r="DC132" s="185" t="n"/>
      <c r="DD132" s="185" t="n"/>
      <c r="DE132" s="185" t="n"/>
      <c r="DF132" s="185" t="n"/>
      <c r="DG132" s="185" t="n"/>
      <c r="DH132" s="185" t="n"/>
      <c r="DI132" s="185" t="n"/>
      <c r="DJ132" s="185" t="n"/>
      <c r="DK132" s="185" t="n"/>
      <c r="DL132" s="185" t="n"/>
      <c r="DM132" s="185" t="n"/>
      <c r="DN132" s="185" t="n"/>
      <c r="DO132" s="185" t="n"/>
      <c r="DP132" s="185" t="n"/>
      <c r="DQ132" s="185" t="n"/>
      <c r="DR132" s="185" t="n"/>
      <c r="DS132" s="185" t="n"/>
      <c r="DT132" s="185" t="n"/>
      <c r="DU132" s="185" t="n"/>
      <c r="DV132" s="185" t="n"/>
      <c r="DW132" s="185" t="n"/>
      <c r="DX132" s="185" t="n"/>
      <c r="DY132" s="185" t="n"/>
      <c r="DZ132" s="185" t="n"/>
      <c r="EA132" s="185" t="n"/>
      <c r="EB132" s="185" t="n"/>
      <c r="EC132" s="185" t="n"/>
      <c r="ED132" s="185" t="n"/>
      <c r="EE132" s="185" t="n"/>
      <c r="EF132" s="185" t="n"/>
      <c r="EG132" s="185" t="n"/>
      <c r="EH132" s="185" t="n"/>
      <c r="EI132" s="185" t="n"/>
      <c r="EJ132" s="185" t="n"/>
      <c r="EK132" s="185" t="n"/>
      <c r="EL132" s="182" t="n"/>
      <c r="EM132" s="176" t="n"/>
      <c r="EN132" s="176" t="n"/>
      <c r="EO132" s="176" t="n"/>
      <c r="EP132" s="176" t="n"/>
      <c r="EQ132" s="176" t="n"/>
      <c r="ER132" s="176" t="n"/>
      <c r="ES132" s="176" t="n"/>
      <c r="ET132" s="176" t="n"/>
      <c r="EU132" s="176" t="n"/>
      <c r="EV132" s="176" t="n"/>
      <c r="EW132" s="176" t="n"/>
      <c r="EX132" s="176" t="n"/>
      <c r="EY132" s="176" t="n"/>
      <c r="EZ132" s="176" t="n"/>
      <c r="FA132" s="176" t="n"/>
      <c r="FB132" s="176" t="n"/>
      <c r="FC132" s="176" t="n"/>
      <c r="FD132" s="176" t="n"/>
      <c r="FE132" s="176" t="n"/>
      <c r="FF132" s="176" t="n"/>
      <c r="FG132" s="176" t="n"/>
      <c r="FH132" s="176" t="n"/>
      <c r="FI132" s="176" t="n"/>
      <c r="FJ132" s="176" t="n"/>
    </row>
    <row r="133" ht="15" customHeight="1" s="392">
      <c r="A133" s="176" t="n"/>
      <c r="B133" s="180" t="n"/>
      <c r="C133" s="183" t="inlineStr">
        <is>
          <t xml:space="preserve">    Free Cash Flow per Share</t>
        </is>
      </c>
      <c r="D133" s="191">
        <f>IF(COUNT(M133:EK133)&gt;0,MEDIAN(M133:EK133),"")</f>
        <v/>
      </c>
      <c r="E133" s="191">
        <f>IF(COUNT(M133:EK133)&gt;0,AVERAGE(M133:EK133),"")</f>
        <v/>
      </c>
      <c r="F133" s="191">
        <f>IF(COUNT(M133:EK133)&gt;0,MIN(M133:EK133),"")</f>
        <v/>
      </c>
      <c r="G133" s="191">
        <f>IF(COUNT(M133:EK133)&gt;0,MAX(M133:EK133),"")</f>
        <v/>
      </c>
      <c r="H133" s="191">
        <f>IF(COUNT(M133:EK133)&gt;0,QUARTILE(M133:EK133,1),"")</f>
        <v/>
      </c>
      <c r="I133" s="191">
        <f>IF(COUNT(M133:EK133)&gt;0,QUARTILE(M133:EK133,3),"")</f>
        <v/>
      </c>
      <c r="J133" s="191">
        <f>IF(COUNT(M133:EK133)&gt;1,STDEV(M133:EK133),"")</f>
        <v/>
      </c>
      <c r="K133" s="191">
        <f>IF(COUNT(M133:EK133)&gt;1,STDEV(M133:EK133)/AVERAGE(M133:EK133),"")</f>
        <v/>
      </c>
      <c r="M133" s="197" t="n">
        <v>0.397708498723368</v>
      </c>
      <c r="N133" s="197" t="n">
        <v>0.416548044592</v>
      </c>
      <c r="O133" s="197" t="n">
        <v>0.356403364205729</v>
      </c>
      <c r="P133" s="197" t="n">
        <v>0.372303756012691</v>
      </c>
      <c r="Q133" s="197" t="n">
        <v>0.352734770100542</v>
      </c>
      <c r="R133" s="197" t="n">
        <v>0.346877431399392</v>
      </c>
      <c r="S133" s="197" t="n">
        <v>0.339135503267172</v>
      </c>
      <c r="T133" s="197" t="n">
        <v>0.197004421887833</v>
      </c>
      <c r="U133" s="197" t="n">
        <v>0.248785987707294</v>
      </c>
      <c r="V133" s="197" t="n">
        <v>0.367261852946147</v>
      </c>
      <c r="W133" s="197" t="n">
        <v>0.264697221084991</v>
      </c>
      <c r="X133" s="197" t="n">
        <v>0.222486368997265</v>
      </c>
      <c r="Y133" s="197" t="n">
        <v>0.251447004988251</v>
      </c>
      <c r="Z133" s="197" t="n">
        <v>0.318956356343939</v>
      </c>
      <c r="AA133" s="197" t="n">
        <v>0.24764162673873</v>
      </c>
      <c r="AB133" s="197" t="n">
        <v>0.149675009540243</v>
      </c>
      <c r="AC133" s="197" t="n">
        <v>0.235025338539503</v>
      </c>
      <c r="AD133" s="197" t="n">
        <v>0.264263222611788</v>
      </c>
      <c r="AE133" s="197" t="n">
        <v>0.247146405071583</v>
      </c>
      <c r="AF133" s="197" t="n">
        <v>0.254445093918025</v>
      </c>
      <c r="AG133" s="197" t="n">
        <v>0.214194912613777</v>
      </c>
      <c r="AH133" s="197" t="n">
        <v>0.230134924731899</v>
      </c>
      <c r="AI133" s="197" t="n">
        <v>0.105885841518229</v>
      </c>
      <c r="AJ133" s="197" t="n">
        <v>0.09839124383251099</v>
      </c>
      <c r="AK133" s="197" t="n">
        <v>0.113374307334304</v>
      </c>
      <c r="AL133" s="197" t="n">
        <v>0.0998193561366523</v>
      </c>
      <c r="AM133" s="197" t="n">
        <v>-0.0684499098419088</v>
      </c>
      <c r="AN133" s="197" t="n">
        <v>0.127196621162984</v>
      </c>
      <c r="AO133" s="197" t="n">
        <v>0.0809606525186919</v>
      </c>
      <c r="AP133" s="197" t="n">
        <v>0.10929224185765</v>
      </c>
      <c r="AQ133" s="197" t="n">
        <v>0.09015831463475441</v>
      </c>
      <c r="AR133" s="197" t="n">
        <v>0.0803631967193027</v>
      </c>
      <c r="AS133" s="197" t="n">
        <v>0.0542861000417318</v>
      </c>
      <c r="AT133" s="197" t="n">
        <v>0.0807468307540336</v>
      </c>
      <c r="AU133" s="197" t="n">
        <v>0.0608696552867087</v>
      </c>
      <c r="AV133" s="197" t="n">
        <v>0.0681045349280333</v>
      </c>
      <c r="AW133" s="197" t="n">
        <v>0.06334682645212331</v>
      </c>
      <c r="AX133" s="197" t="n">
        <v>0.07901406371897859</v>
      </c>
      <c r="AY133" s="197" t="n">
        <v>0.0361149549213033</v>
      </c>
      <c r="AZ133" s="197" t="n">
        <v>0.180302029795002</v>
      </c>
      <c r="BA133" s="197" t="n">
        <v>0.085649150927049</v>
      </c>
      <c r="BB133" s="197" t="n">
        <v>0.027637133478842</v>
      </c>
      <c r="BC133" s="197" t="n">
        <v>0.019821526016756</v>
      </c>
      <c r="BD133" s="197" t="n">
        <v>0.0488412744604543</v>
      </c>
      <c r="BE133" s="197" t="n">
        <v>0.0405557987879347</v>
      </c>
      <c r="BF133" s="197" t="n">
        <v>0.0655624640489237</v>
      </c>
      <c r="BG133" s="197" t="n">
        <v>0.0476598519776753</v>
      </c>
      <c r="BH133" s="197" t="n">
        <v>0.0434886744679395</v>
      </c>
      <c r="BI133" s="197" t="n">
        <v>0.0495223534774186</v>
      </c>
      <c r="BJ133" s="197" t="n">
        <v>0.06773344690689501</v>
      </c>
      <c r="BK133" s="197" t="n">
        <v>0.0277524580285429</v>
      </c>
      <c r="BL133" s="197" t="n">
        <v>0.0345230899882178</v>
      </c>
      <c r="BM133" s="197" t="n">
        <v>0.0419869390129997</v>
      </c>
      <c r="BN133" s="197" t="n">
        <v>0.0442953727112541</v>
      </c>
      <c r="BO133" s="197" t="n">
        <v>0.0140538140827671</v>
      </c>
      <c r="BP133" s="197" t="n">
        <v>0.0100546418313576</v>
      </c>
      <c r="BQ133" s="197" t="n">
        <v>0.0281684445642546</v>
      </c>
      <c r="BR133" s="197" t="n">
        <v>0.0522073422204506</v>
      </c>
      <c r="BS133" s="197" t="n">
        <v>0.0443289763659853</v>
      </c>
      <c r="BT133" s="197" t="n">
        <v>0.0432803695012033</v>
      </c>
      <c r="BU133" s="197" t="n">
        <v>-0.0115589509213119</v>
      </c>
      <c r="BV133" s="197" t="n">
        <v>0.056675641431739</v>
      </c>
      <c r="BW133" s="197" t="n">
        <v>0.0176331523396986</v>
      </c>
      <c r="BX133" s="197" t="n">
        <v>0.0300082340118001</v>
      </c>
      <c r="BY133" s="197" t="n">
        <v>-0.0191510459513456</v>
      </c>
      <c r="BZ133" s="197" t="n">
        <v>0.0436923063372011</v>
      </c>
      <c r="CA133" s="197" t="n">
        <v>0.0231367821776349</v>
      </c>
      <c r="CB133" s="197" t="n">
        <v>0.0163394076376136</v>
      </c>
      <c r="CC133" s="197" t="n">
        <v>0.0286357985411438</v>
      </c>
      <c r="CD133" s="197" t="n">
        <v>0.0304715328725437</v>
      </c>
      <c r="CE133" s="197" t="n">
        <v>0.000192236895233119</v>
      </c>
      <c r="CF133" s="197" t="n">
        <v>0.0163956282231599</v>
      </c>
      <c r="CG133" s="197" t="n">
        <v>0.0275842085888159</v>
      </c>
      <c r="CH133" s="197" t="n">
        <v>0.0187004637319273</v>
      </c>
      <c r="CI133" s="197" t="n">
        <v>0.00297195427720539</v>
      </c>
      <c r="CJ133" s="197" t="n">
        <v>0.0198735196171405</v>
      </c>
      <c r="CK133" s="197" t="n">
        <v>-0.0616208646333326</v>
      </c>
      <c r="CL133" s="197" t="n">
        <v>0.0150550461161167</v>
      </c>
      <c r="CM133" s="197" t="n">
        <v>0.0155686257765633</v>
      </c>
      <c r="CN133" s="197" t="n">
        <v>0.0132115127175368</v>
      </c>
      <c r="CO133" s="197" t="n">
        <v>0.00626135130197419</v>
      </c>
      <c r="CP133" s="197" t="n">
        <v>-0.0102500161491753</v>
      </c>
      <c r="CQ133" s="197" t="n">
        <v>0.0145347111274235</v>
      </c>
      <c r="CR133" s="197" t="n">
        <v>0.00183530141270355</v>
      </c>
      <c r="CS133" s="197" t="n">
        <v>-0.00332754474302954</v>
      </c>
      <c r="CT133" s="197" t="n">
        <v>0.0162466433941998</v>
      </c>
      <c r="CU133" s="197" t="n">
        <v>0.0102225867419809</v>
      </c>
      <c r="CV133" s="197" t="n">
        <v>0.0141005192477924</v>
      </c>
      <c r="CW133" s="197" t="n">
        <v>0.00659752271743834</v>
      </c>
      <c r="CX133" s="197" t="n">
        <v>0.0160711179246309</v>
      </c>
      <c r="CY133" s="197" t="n">
        <v>-0.00136484272267883</v>
      </c>
      <c r="CZ133" s="197" t="n">
        <v>0.00735936005755446</v>
      </c>
      <c r="DA133" s="197" t="n">
        <v>0.008674943053639091</v>
      </c>
      <c r="DB133" s="197" t="n">
        <v>0.0117117938001825</v>
      </c>
      <c r="DC133" s="197" t="n">
        <v>-0.00788120245132738</v>
      </c>
      <c r="DD133" s="197" t="n">
        <v>0.000356169655833793</v>
      </c>
      <c r="DE133" s="197" t="n">
        <v>0.000204098942926514</v>
      </c>
      <c r="DF133" s="197" t="n">
        <v>-0.0046877773595478</v>
      </c>
      <c r="DG133" s="197" t="n">
        <v>-0.00114348674060804</v>
      </c>
      <c r="DH133" s="197" t="n">
        <v>-0.000942368942442001</v>
      </c>
      <c r="DI133" s="197" t="n">
        <v>0.00457718066650529</v>
      </c>
      <c r="DJ133" s="197" t="n">
        <v>0.000391854426788295</v>
      </c>
      <c r="DK133" s="197" t="n">
        <v>4.14990459649931e-05</v>
      </c>
      <c r="DL133" s="197" t="n">
        <v>0.00107574356576185</v>
      </c>
      <c r="DM133" s="197" t="n">
        <v>0.00271017379756337</v>
      </c>
      <c r="DN133" s="197" t="n">
        <v>0.00111558980298675</v>
      </c>
      <c r="DO133" s="197" t="n">
        <v>0.00162976870322564</v>
      </c>
      <c r="DP133" s="197" t="n">
        <v>-0.0017071414382201</v>
      </c>
      <c r="DQ133" s="197" t="n">
        <v>0.00178493822561619</v>
      </c>
      <c r="DR133" s="197" t="n">
        <v>0.0039113347351557</v>
      </c>
      <c r="DS133" s="197" t="n">
        <v>0.0007040402523280259</v>
      </c>
      <c r="DT133" s="197" t="n">
        <v>0.00156453389406228</v>
      </c>
      <c r="DU133" s="197" t="n">
        <v>0.00223645085925885</v>
      </c>
      <c r="DV133" s="197" t="n">
        <v>0.0019848831300813</v>
      </c>
      <c r="DW133" s="197" t="n">
        <v>0.00238185975609756</v>
      </c>
      <c r="DX133" s="197" t="n">
        <v>0.00206427845528455</v>
      </c>
      <c r="DY133" s="197" t="n">
        <v>0.00271610303413401</v>
      </c>
      <c r="DZ133" s="197" t="n">
        <v>0.00312763379688158</v>
      </c>
      <c r="EA133" s="197" t="n">
        <v>0.00271610303413401</v>
      </c>
      <c r="EB133" s="197" t="n">
        <v>0.00156381689844079</v>
      </c>
      <c r="EC133" s="197" t="n">
        <v>-0.000420576067009221</v>
      </c>
      <c r="ED133" s="197" t="n">
        <v>0.00294403246906454</v>
      </c>
      <c r="EE133" s="197" t="n">
        <v>0.00311226289586823</v>
      </c>
      <c r="EF133" s="197" t="n">
        <v>0.00218699554844795</v>
      </c>
      <c r="EG133" s="197" t="n">
        <v>-0.00453630723523976</v>
      </c>
      <c r="EH133" s="197" t="n">
        <v>0.001977364692284</v>
      </c>
      <c r="EI133" s="197" t="n">
        <v>0.00244262697282141</v>
      </c>
      <c r="EJ133" s="197" t="n">
        <v>0.000814208990940469</v>
      </c>
      <c r="EK133" s="197" t="n">
        <v>0.000837482781354015</v>
      </c>
      <c r="EL133" s="182" t="n"/>
      <c r="EM133" s="176" t="n"/>
      <c r="EN133" s="176" t="n"/>
      <c r="EO133" s="176" t="n"/>
      <c r="EP133" s="176" t="n"/>
      <c r="EQ133" s="176" t="n"/>
      <c r="ER133" s="176" t="n"/>
      <c r="ES133" s="176" t="n"/>
      <c r="ET133" s="176" t="n"/>
      <c r="EU133" s="176" t="n"/>
      <c r="EV133" s="176" t="n"/>
      <c r="EW133" s="176" t="n"/>
      <c r="EX133" s="176" t="n"/>
      <c r="EY133" s="176" t="n"/>
      <c r="EZ133" s="176" t="n"/>
      <c r="FA133" s="176" t="n"/>
      <c r="FB133" s="176" t="n"/>
      <c r="FC133" s="176" t="n"/>
      <c r="FD133" s="176" t="n"/>
      <c r="FE133" s="176" t="n"/>
      <c r="FF133" s="176" t="n"/>
      <c r="FG133" s="176" t="n"/>
      <c r="FH133" s="176" t="n"/>
      <c r="FI133" s="176" t="n"/>
      <c r="FJ133" s="176" t="n"/>
    </row>
    <row r="134" ht="15" customHeight="1" s="392">
      <c r="A134" s="176" t="n"/>
      <c r="B134" s="180" t="n"/>
      <c r="C134" s="183" t="inlineStr">
        <is>
          <t xml:space="preserve">    Operating Cash Flow per Share</t>
        </is>
      </c>
      <c r="D134" s="191">
        <f>IF(COUNT(M134:EK134)&gt;0,MEDIAN(M134:EK134),"")</f>
        <v/>
      </c>
      <c r="E134" s="191">
        <f>IF(COUNT(M134:EK134)&gt;0,AVERAGE(M134:EK134),"")</f>
        <v/>
      </c>
      <c r="F134" s="191">
        <f>IF(COUNT(M134:EK134)&gt;0,MIN(M134:EK134),"")</f>
        <v/>
      </c>
      <c r="G134" s="191">
        <f>IF(COUNT(M134:EK134)&gt;0,MAX(M134:EK134),"")</f>
        <v/>
      </c>
      <c r="H134" s="191">
        <f>IF(COUNT(M134:EK134)&gt;0,QUARTILE(M134:EK134,1),"")</f>
        <v/>
      </c>
      <c r="I134" s="191">
        <f>IF(COUNT(M134:EK134)&gt;0,QUARTILE(M134:EK134,3),"")</f>
        <v/>
      </c>
      <c r="J134" s="191">
        <f>IF(COUNT(M134:EK134)&gt;1,STDEV(M134:EK134),"")</f>
        <v/>
      </c>
      <c r="K134" s="191">
        <f>IF(COUNT(M134:EK134)&gt;1,STDEV(M134:EK134)/AVERAGE(M134:EK134),"")</f>
        <v/>
      </c>
      <c r="M134" s="197" t="n">
        <v>0.482255884309224</v>
      </c>
      <c r="N134" s="197" t="n">
        <v>0.502351580979454</v>
      </c>
      <c r="O134" s="197" t="n">
        <v>0.427799923904382</v>
      </c>
      <c r="P134" s="197" t="n">
        <v>0.482877904001638</v>
      </c>
      <c r="Q134" s="197" t="n">
        <v>0.442365848944106</v>
      </c>
      <c r="R134" s="197" t="n">
        <v>0.477693747705986</v>
      </c>
      <c r="S134" s="197" t="n">
        <v>0.458411305743882</v>
      </c>
      <c r="T134" s="197" t="n">
        <v>0.439458641319152</v>
      </c>
      <c r="U134" s="197" t="n">
        <v>0.389988264377162</v>
      </c>
      <c r="V134" s="197" t="n">
        <v>0.457195233730523</v>
      </c>
      <c r="W134" s="197" t="n">
        <v>0.39093402449648</v>
      </c>
      <c r="X134" s="197" t="n">
        <v>0.389475157510379</v>
      </c>
      <c r="Y134" s="197" t="n">
        <v>0.42676959228264</v>
      </c>
      <c r="Z134" s="197" t="n">
        <v>0.411789575968079</v>
      </c>
      <c r="AA134" s="197" t="n">
        <v>0.355471923338362</v>
      </c>
      <c r="AB134" s="197" t="n">
        <v>0.307975643344229</v>
      </c>
      <c r="AC134" s="197" t="n">
        <v>0.341611281880867</v>
      </c>
      <c r="AD134" s="197" t="n">
        <v>0.345902361210349</v>
      </c>
      <c r="AE134" s="197" t="n">
        <v>0.341993971482708</v>
      </c>
      <c r="AF134" s="197" t="n">
        <v>0.321495640926785</v>
      </c>
      <c r="AG134" s="197" t="n">
        <v>0.316600058991413</v>
      </c>
      <c r="AH134" s="197" t="n">
        <v>0.314625241457404</v>
      </c>
      <c r="AI134" s="197" t="n">
        <v>0.247661062094223</v>
      </c>
      <c r="AJ134" s="197" t="n">
        <v>0.251633551140152</v>
      </c>
      <c r="AK134" s="197" t="n">
        <v>0.222445088979291</v>
      </c>
      <c r="AL134" s="197" t="n">
        <v>0.191375617688848</v>
      </c>
      <c r="AM134" s="197" t="n">
        <v>0.213093890216799</v>
      </c>
      <c r="AN134" s="197" t="n">
        <v>0.265250647359027</v>
      </c>
      <c r="AO134" s="197" t="n">
        <v>0.201112495699385</v>
      </c>
      <c r="AP134" s="197" t="n">
        <v>0.238141677736116</v>
      </c>
      <c r="AQ134" s="197" t="n">
        <v>0.167436424831713</v>
      </c>
      <c r="AR134" s="197" t="n">
        <v>0.144016566867898</v>
      </c>
      <c r="AS134" s="197" t="n">
        <v>0.164972506116571</v>
      </c>
      <c r="AT134" s="197" t="n">
        <v>0.151530087257162</v>
      </c>
      <c r="AU134" s="197" t="n">
        <v>0.132775729201193</v>
      </c>
      <c r="AV134" s="197" t="n">
        <v>0.111535820026718</v>
      </c>
      <c r="AW134" s="197" t="n">
        <v>0.113281184252605</v>
      </c>
      <c r="AX134" s="197" t="n">
        <v>0.113064288274612</v>
      </c>
      <c r="AY134" s="197" t="n">
        <v>0.09363380138207381</v>
      </c>
      <c r="AZ134" s="197" t="n">
        <v>0.220478385585343</v>
      </c>
      <c r="BA134" s="197" t="n">
        <v>0.118230159417779</v>
      </c>
      <c r="BB134" s="197" t="n">
        <v>0.09750456829602561</v>
      </c>
      <c r="BC134" s="197" t="n">
        <v>0.07764400699772089</v>
      </c>
      <c r="BD134" s="197" t="n">
        <v>0.0686682029824451</v>
      </c>
      <c r="BE134" s="197" t="n">
        <v>0.0694306826124694</v>
      </c>
      <c r="BF134" s="197" t="n">
        <v>0.0746637628288577</v>
      </c>
      <c r="BG134" s="197" t="n">
        <v>0.0628933738776996</v>
      </c>
      <c r="BH134" s="197" t="n">
        <v>0.0657177399119505</v>
      </c>
      <c r="BI134" s="197" t="n">
        <v>0.0667983439054963</v>
      </c>
      <c r="BJ134" s="197" t="n">
        <v>0.0787127526884992</v>
      </c>
      <c r="BK134" s="197" t="n">
        <v>0.056800672763747</v>
      </c>
      <c r="BL134" s="197" t="n">
        <v>0.0548951463590042</v>
      </c>
      <c r="BM134" s="197" t="n">
        <v>0.0572987643356965</v>
      </c>
      <c r="BN134" s="197" t="n">
        <v>0.0716674327740749</v>
      </c>
      <c r="BO134" s="197" t="n">
        <v>0.050787523162446</v>
      </c>
      <c r="BP134" s="197" t="n">
        <v>0.0563873343037058</v>
      </c>
      <c r="BQ134" s="197" t="n">
        <v>0.0537874995186198</v>
      </c>
      <c r="BR134" s="197" t="n">
        <v>0.0652879242014243</v>
      </c>
      <c r="BS134" s="197" t="n">
        <v>0.0579090356410062</v>
      </c>
      <c r="BT134" s="197" t="n">
        <v>0.0500758583578721</v>
      </c>
      <c r="BU134" s="197" t="n">
        <v>0.0517749014949589</v>
      </c>
      <c r="BV134" s="197" t="n">
        <v>0.056675641431739</v>
      </c>
      <c r="BW134" s="197" t="n">
        <v>0.0386492587395522</v>
      </c>
      <c r="BX134" s="197" t="n">
        <v>0.0409501398004881</v>
      </c>
      <c r="BY134" s="197" t="n">
        <v>0.0369542543189564</v>
      </c>
      <c r="BZ134" s="197" t="n">
        <v>0.0436923063372011</v>
      </c>
      <c r="CA134" s="197" t="n">
        <v>0.0351581358107551</v>
      </c>
      <c r="CB134" s="197" t="n">
        <v>0.0336382257380986</v>
      </c>
      <c r="CC134" s="197" t="n">
        <v>0.0357989830428583</v>
      </c>
      <c r="CD134" s="197" t="n">
        <v>0.0393708275341464</v>
      </c>
      <c r="CE134" s="197" t="n">
        <v>0.020910772391516</v>
      </c>
      <c r="CF134" s="197" t="n">
        <v>0.0377856891701828</v>
      </c>
      <c r="CG134" s="197" t="n">
        <v>0.0465908175825693</v>
      </c>
      <c r="CH134" s="197" t="n">
        <v>0.0386738214409132</v>
      </c>
      <c r="CI134" s="197" t="n">
        <v>0.0292152069898065</v>
      </c>
      <c r="CJ134" s="197" t="n">
        <v>0.0335960071014269</v>
      </c>
      <c r="CK134" s="197" t="n">
        <v>0.0310024699197142</v>
      </c>
      <c r="CL134" s="197" t="n">
        <v>0.0295856213680226</v>
      </c>
      <c r="CM134" s="197" t="n">
        <v>0.0264118240430392</v>
      </c>
      <c r="CN134" s="197" t="n">
        <v>0.0273360107095047</v>
      </c>
      <c r="CO134" s="197" t="n">
        <v>0.0299754973079279</v>
      </c>
      <c r="CP134" s="197" t="n">
        <v>0.0175487705094527</v>
      </c>
      <c r="CQ134" s="197" t="n">
        <v>0.02411319573384</v>
      </c>
      <c r="CR134" s="197" t="n">
        <v>0.0199463496171681</v>
      </c>
      <c r="CS134" s="197" t="n">
        <v>0.0155077407856736</v>
      </c>
      <c r="CT134" s="197" t="n">
        <v>0.0275886143931257</v>
      </c>
      <c r="CU134" s="197" t="n">
        <v>0.0191941130357277</v>
      </c>
      <c r="CV134" s="197" t="n">
        <v>0.022135501003951</v>
      </c>
      <c r="CW134" s="197" t="n">
        <v>0.0164911023366508</v>
      </c>
      <c r="CX134" s="197" t="n">
        <v>0.0225247080696719</v>
      </c>
      <c r="CY134" s="197" t="n">
        <v>0.0193169173273404</v>
      </c>
      <c r="CZ134" s="197" t="n">
        <v>0.0150772702646979</v>
      </c>
      <c r="DA134" s="197" t="n">
        <v>0.0147023594410496</v>
      </c>
      <c r="DB134" s="197" t="n">
        <v>0.0169585823897537</v>
      </c>
      <c r="DC134" s="197" t="n">
        <v>0.0141532696056237</v>
      </c>
      <c r="DD134" s="197" t="n">
        <v>0.014290908742955</v>
      </c>
      <c r="DE134" s="197" t="n">
        <v>0.0148703309053511</v>
      </c>
      <c r="DF134" s="197" t="n">
        <v>0.012762950218038</v>
      </c>
      <c r="DG134" s="197" t="n">
        <v>0.012564840151054</v>
      </c>
      <c r="DH134" s="197" t="n">
        <v>0.011673502864071</v>
      </c>
      <c r="DI134" s="197" t="n">
        <v>0.008604828059900061</v>
      </c>
      <c r="DJ134" s="197" t="n">
        <v>0.00746036739318147</v>
      </c>
      <c r="DK134" s="197" t="n">
        <v>0.00938040890590202</v>
      </c>
      <c r="DL134" s="197" t="n">
        <v>0.008913799394897009</v>
      </c>
      <c r="DM134" s="197" t="n">
        <v>0.009724976136158419</v>
      </c>
      <c r="DN134" s="197" t="n">
        <v>0.0083371852838371</v>
      </c>
      <c r="DO134" s="197" t="n">
        <v>0.00674131599970605</v>
      </c>
      <c r="DP134" s="197" t="n">
        <v>0.00698376042908224</v>
      </c>
      <c r="DQ134" s="197" t="n">
        <v>0.00659651083379897</v>
      </c>
      <c r="DR134" s="197" t="n">
        <v>0.00688394913387404</v>
      </c>
      <c r="DS134" s="197" t="n">
        <v>0.00563232201862421</v>
      </c>
      <c r="DT134" s="197" t="n">
        <v>0.0050065084609993</v>
      </c>
      <c r="DU134" s="197" t="n">
        <v>0.00461718887072795</v>
      </c>
      <c r="DV134" s="197" t="n">
        <v>0.00508130081300813</v>
      </c>
      <c r="DW134" s="197" t="n">
        <v>0.00428734756097561</v>
      </c>
      <c r="DX134" s="197" t="n">
        <v>0.00412855691056911</v>
      </c>
      <c r="DY134" s="197" t="n">
        <v>0.00444453223767383</v>
      </c>
      <c r="DZ134" s="197" t="n">
        <v>0.00460914454277286</v>
      </c>
      <c r="EA134" s="197" t="n">
        <v>0.00403300147492625</v>
      </c>
      <c r="EB134" s="197" t="n">
        <v>0.00345685840707965</v>
      </c>
      <c r="EC134" s="197" t="n">
        <v>0.00344872374947561</v>
      </c>
      <c r="ED134" s="197" t="n">
        <v>0.00437399109689589</v>
      </c>
      <c r="EE134" s="197" t="n">
        <v>0.00378518460308299</v>
      </c>
      <c r="EF134" s="197" t="n">
        <v>0.00344872374947561</v>
      </c>
      <c r="EG134" s="197" t="n">
        <v>0.00430367609497105</v>
      </c>
      <c r="EH134" s="197" t="n">
        <v>0.00314052039362752</v>
      </c>
      <c r="EI134" s="197" t="n">
        <v>0.00267525811309011</v>
      </c>
      <c r="EJ134" s="197" t="n">
        <v>0.00209368026241835</v>
      </c>
      <c r="EK134" s="197" t="n">
        <v>0.00251244834406205</v>
      </c>
      <c r="EL134" s="182" t="n"/>
      <c r="EM134" s="176" t="n"/>
      <c r="EN134" s="176" t="n"/>
      <c r="EO134" s="176" t="n"/>
      <c r="EP134" s="176" t="n"/>
      <c r="EQ134" s="176" t="n"/>
      <c r="ER134" s="176" t="n"/>
      <c r="ES134" s="176" t="n"/>
      <c r="ET134" s="176" t="n"/>
      <c r="EU134" s="176" t="n"/>
      <c r="EV134" s="176" t="n"/>
      <c r="EW134" s="176" t="n"/>
      <c r="EX134" s="176" t="n"/>
      <c r="EY134" s="176" t="n"/>
      <c r="EZ134" s="176" t="n"/>
      <c r="FA134" s="176" t="n"/>
      <c r="FB134" s="176" t="n"/>
      <c r="FC134" s="176" t="n"/>
      <c r="FD134" s="176" t="n"/>
      <c r="FE134" s="176" t="n"/>
      <c r="FF134" s="176" t="n"/>
      <c r="FG134" s="176" t="n"/>
      <c r="FH134" s="176" t="n"/>
      <c r="FI134" s="176" t="n"/>
      <c r="FJ134" s="176" t="n"/>
    </row>
    <row r="135" ht="15" customHeight="1" s="392">
      <c r="A135" s="176" t="n"/>
      <c r="B135" s="180" t="n"/>
      <c r="C135" s="189" t="inlineStr">
        <is>
          <t>Data Origination</t>
        </is>
      </c>
      <c r="D135" s="185" t="n"/>
      <c r="E135" s="185" t="n"/>
      <c r="F135" s="185" t="n"/>
      <c r="G135" s="185" t="n"/>
      <c r="H135" s="185" t="n"/>
      <c r="I135" s="185" t="n"/>
      <c r="J135" s="185" t="n"/>
      <c r="K135" s="185" t="n"/>
      <c r="L135" s="185" t="n"/>
      <c r="M135" s="185" t="n"/>
      <c r="N135" s="185" t="n"/>
      <c r="O135" s="185" t="n"/>
      <c r="P135" s="185" t="n"/>
      <c r="Q135" s="185" t="n"/>
      <c r="R135" s="185" t="n"/>
      <c r="S135" s="185" t="n"/>
      <c r="T135" s="185" t="n"/>
      <c r="U135" s="185" t="n"/>
      <c r="V135" s="185" t="n"/>
      <c r="W135" s="185" t="n"/>
      <c r="X135" s="185" t="n"/>
      <c r="Y135" s="185" t="n"/>
      <c r="Z135" s="185" t="n"/>
      <c r="AA135" s="185" t="n"/>
      <c r="AB135" s="185" t="n"/>
      <c r="AC135" s="185" t="n"/>
      <c r="AD135" s="185" t="n"/>
      <c r="AE135" s="185" t="n"/>
      <c r="AF135" s="185" t="n"/>
      <c r="AG135" s="185" t="n"/>
      <c r="AH135" s="185" t="n"/>
      <c r="AI135" s="185" t="n"/>
      <c r="AJ135" s="185" t="n"/>
      <c r="AK135" s="185" t="n"/>
      <c r="AL135" s="185" t="n"/>
      <c r="AM135" s="185" t="n"/>
      <c r="AN135" s="185" t="n"/>
      <c r="AO135" s="185" t="n"/>
      <c r="AP135" s="185" t="n"/>
      <c r="AQ135" s="185" t="n"/>
      <c r="AR135" s="185" t="n"/>
      <c r="AS135" s="185" t="n"/>
      <c r="AT135" s="185" t="n"/>
      <c r="AU135" s="185" t="n"/>
      <c r="AV135" s="185" t="n"/>
      <c r="AW135" s="185" t="n"/>
      <c r="AX135" s="185" t="n"/>
      <c r="AY135" s="185" t="n"/>
      <c r="AZ135" s="185" t="n"/>
      <c r="BA135" s="185" t="n"/>
      <c r="BB135" s="185" t="n"/>
      <c r="BC135" s="185" t="n"/>
      <c r="BD135" s="185" t="n"/>
      <c r="BE135" s="185" t="n"/>
      <c r="BF135" s="185" t="n"/>
      <c r="BG135" s="185" t="n"/>
      <c r="BH135" s="185" t="n"/>
      <c r="BI135" s="185" t="n"/>
      <c r="BJ135" s="185" t="n"/>
      <c r="BK135" s="185" t="n"/>
      <c r="BL135" s="185" t="n"/>
      <c r="BM135" s="185" t="n"/>
      <c r="BN135" s="185" t="n"/>
      <c r="BO135" s="185" t="n"/>
      <c r="BP135" s="185" t="n"/>
      <c r="BQ135" s="185" t="n"/>
      <c r="BR135" s="185" t="n"/>
      <c r="BS135" s="185" t="n"/>
      <c r="BT135" s="185" t="n"/>
      <c r="BU135" s="185" t="n"/>
      <c r="BV135" s="185" t="n"/>
      <c r="BW135" s="185" t="n"/>
      <c r="BX135" s="185" t="n"/>
      <c r="BY135" s="185" t="n"/>
      <c r="BZ135" s="185" t="n"/>
      <c r="CA135" s="185" t="n"/>
      <c r="CB135" s="185" t="n"/>
      <c r="CC135" s="185" t="n"/>
      <c r="CD135" s="185" t="n"/>
      <c r="CE135" s="185" t="n"/>
      <c r="CF135" s="185" t="n"/>
      <c r="CG135" s="185" t="n"/>
      <c r="CH135" s="185" t="n"/>
      <c r="CI135" s="185" t="n"/>
      <c r="CJ135" s="185" t="n"/>
      <c r="CK135" s="185" t="n"/>
      <c r="CL135" s="185" t="n"/>
      <c r="CM135" s="185" t="n"/>
      <c r="CN135" s="185" t="n"/>
      <c r="CO135" s="185" t="n"/>
      <c r="CP135" s="185" t="n"/>
      <c r="CQ135" s="185" t="n"/>
      <c r="CR135" s="185" t="n"/>
      <c r="CS135" s="185" t="n"/>
      <c r="CT135" s="185" t="n"/>
      <c r="CU135" s="185" t="n"/>
      <c r="CV135" s="185" t="n"/>
      <c r="CW135" s="185" t="n"/>
      <c r="CX135" s="185" t="n"/>
      <c r="CY135" s="185" t="n"/>
      <c r="CZ135" s="185" t="n"/>
      <c r="DA135" s="185" t="n"/>
      <c r="DB135" s="185" t="n"/>
      <c r="DC135" s="185" t="n"/>
      <c r="DD135" s="185" t="n"/>
      <c r="DE135" s="185" t="n"/>
      <c r="DF135" s="185" t="n"/>
      <c r="DG135" s="185" t="n"/>
      <c r="DH135" s="185" t="n"/>
      <c r="DI135" s="185" t="n"/>
      <c r="DJ135" s="185" t="n"/>
      <c r="DK135" s="185" t="n"/>
      <c r="DL135" s="185" t="n"/>
      <c r="DM135" s="185" t="n"/>
      <c r="DN135" s="185" t="n"/>
      <c r="DO135" s="185" t="n"/>
      <c r="DP135" s="185" t="n"/>
      <c r="DQ135" s="185" t="n"/>
      <c r="DR135" s="185" t="n"/>
      <c r="DS135" s="185" t="n"/>
      <c r="DT135" s="185" t="n"/>
      <c r="DU135" s="185" t="n"/>
      <c r="DV135" s="185" t="n"/>
      <c r="DW135" s="185" t="n"/>
      <c r="DX135" s="185" t="n"/>
      <c r="DY135" s="185" t="n"/>
      <c r="DZ135" s="185" t="n"/>
      <c r="EA135" s="185" t="n"/>
      <c r="EB135" s="185" t="n"/>
      <c r="EC135" s="185" t="n"/>
      <c r="ED135" s="185" t="n"/>
      <c r="EE135" s="185" t="n"/>
      <c r="EF135" s="185" t="n"/>
      <c r="EG135" s="185" t="n"/>
      <c r="EH135" s="185" t="n"/>
      <c r="EI135" s="185" t="n"/>
      <c r="EJ135" s="185" t="n"/>
      <c r="EK135" s="185" t="n"/>
      <c r="EL135" s="182" t="n"/>
      <c r="EM135" s="176" t="n"/>
      <c r="EN135" s="176" t="n"/>
      <c r="EO135" s="176" t="n"/>
      <c r="EP135" s="176" t="n"/>
      <c r="EQ135" s="176" t="n"/>
      <c r="ER135" s="176" t="n"/>
      <c r="ES135" s="176" t="n"/>
      <c r="ET135" s="176" t="n"/>
      <c r="EU135" s="176" t="n"/>
      <c r="EV135" s="176" t="n"/>
      <c r="EW135" s="176" t="n"/>
      <c r="EX135" s="176" t="n"/>
      <c r="EY135" s="176" t="n"/>
      <c r="EZ135" s="176" t="n"/>
      <c r="FA135" s="176" t="n"/>
      <c r="FB135" s="176" t="n"/>
      <c r="FC135" s="176" t="n"/>
      <c r="FD135" s="176" t="n"/>
      <c r="FE135" s="176" t="n"/>
      <c r="FF135" s="176" t="n"/>
      <c r="FG135" s="176" t="n"/>
      <c r="FH135" s="176" t="n"/>
      <c r="FI135" s="176" t="n"/>
      <c r="FJ135" s="176" t="n"/>
    </row>
    <row r="136" ht="15" customHeight="1" s="392">
      <c r="A136" s="176" t="n"/>
      <c r="B136" s="180" t="n"/>
      <c r="C136" s="183" t="inlineStr">
        <is>
          <t xml:space="preserve">    Preliminary</t>
        </is>
      </c>
      <c r="D136" s="201">
        <f>IF(COUNT(M136:EK136)&gt;0,MEDIAN(M136:EK136),"")</f>
        <v/>
      </c>
      <c r="E136" s="201">
        <f>IF(COUNT(M136:EK136)&gt;0,AVERAGE(M136:EK136),"")</f>
        <v/>
      </c>
      <c r="F136" s="201">
        <f>IF(COUNT(M136:EK136)&gt;0,MIN(M136:EK136),"")</f>
        <v/>
      </c>
      <c r="G136" s="201">
        <f>IF(COUNT(M136:EK136)&gt;0,MAX(M136:EK136),"")</f>
        <v/>
      </c>
      <c r="H136" s="201">
        <f>IF(COUNT(M136:EK136)&gt;0,QUARTILE(M136:EK136,1),"")</f>
        <v/>
      </c>
      <c r="I136" s="201">
        <f>IF(COUNT(M136:EK136)&gt;0,QUARTILE(M136:EK136,3),"")</f>
        <v/>
      </c>
      <c r="J136" s="201">
        <f>IF(COUNT(M136:EK136)&gt;1,STDEV(M136:EK136),"")</f>
        <v/>
      </c>
      <c r="K136" s="191">
        <f>IF(COUNT(M136:EK136)&gt;1,STDEV(M136:EK136)/AVERAGE(M136:EK136),"")</f>
        <v/>
      </c>
      <c r="M136" s="202" t="inlineStr">
        <is>
          <t>Yes</t>
        </is>
      </c>
      <c r="N136" s="202" t="inlineStr">
        <is>
          <t>No</t>
        </is>
      </c>
      <c r="O136" s="202" t="inlineStr">
        <is>
          <t>No</t>
        </is>
      </c>
      <c r="P136" s="202" t="inlineStr">
        <is>
          <t>No</t>
        </is>
      </c>
      <c r="Q136" s="202" t="inlineStr">
        <is>
          <t>No</t>
        </is>
      </c>
      <c r="R136" s="202" t="inlineStr">
        <is>
          <t>No</t>
        </is>
      </c>
      <c r="S136" s="202" t="inlineStr">
        <is>
          <t>No</t>
        </is>
      </c>
      <c r="T136" s="202" t="inlineStr">
        <is>
          <t>No</t>
        </is>
      </c>
      <c r="U136" s="202" t="inlineStr">
        <is>
          <t>No</t>
        </is>
      </c>
      <c r="V136" s="202" t="inlineStr">
        <is>
          <t>No</t>
        </is>
      </c>
      <c r="W136" s="202" t="inlineStr">
        <is>
          <t>No</t>
        </is>
      </c>
      <c r="X136" s="202" t="inlineStr">
        <is>
          <t>No</t>
        </is>
      </c>
      <c r="Y136" s="202" t="inlineStr">
        <is>
          <t>No</t>
        </is>
      </c>
      <c r="Z136" s="202" t="inlineStr">
        <is>
          <t>No</t>
        </is>
      </c>
      <c r="AA136" s="202" t="inlineStr">
        <is>
          <t>No</t>
        </is>
      </c>
      <c r="AB136" s="202" t="inlineStr">
        <is>
          <t>No</t>
        </is>
      </c>
      <c r="AC136" s="202" t="inlineStr">
        <is>
          <t>No</t>
        </is>
      </c>
      <c r="AD136" s="202" t="inlineStr">
        <is>
          <t>No</t>
        </is>
      </c>
      <c r="AE136" s="202" t="inlineStr">
        <is>
          <t>No</t>
        </is>
      </c>
      <c r="AF136" s="202" t="inlineStr">
        <is>
          <t>No</t>
        </is>
      </c>
      <c r="AG136" s="202" t="inlineStr">
        <is>
          <t>No</t>
        </is>
      </c>
      <c r="AH136" s="202" t="inlineStr">
        <is>
          <t>No</t>
        </is>
      </c>
      <c r="AI136" s="202" t="inlineStr">
        <is>
          <t>No</t>
        </is>
      </c>
      <c r="AJ136" s="202" t="inlineStr">
        <is>
          <t>No</t>
        </is>
      </c>
      <c r="AK136" s="202" t="inlineStr">
        <is>
          <t>No</t>
        </is>
      </c>
      <c r="AL136" s="202" t="inlineStr">
        <is>
          <t>No</t>
        </is>
      </c>
      <c r="AM136" s="202" t="inlineStr">
        <is>
          <t>No</t>
        </is>
      </c>
      <c r="AN136" s="202" t="inlineStr">
        <is>
          <t>No</t>
        </is>
      </c>
      <c r="AO136" s="202" t="inlineStr">
        <is>
          <t>No</t>
        </is>
      </c>
      <c r="AP136" s="202" t="inlineStr">
        <is>
          <t>No</t>
        </is>
      </c>
      <c r="AQ136" s="202" t="inlineStr">
        <is>
          <t>No</t>
        </is>
      </c>
      <c r="AR136" s="202" t="inlineStr">
        <is>
          <t>No</t>
        </is>
      </c>
      <c r="AS136" s="202" t="inlineStr">
        <is>
          <t>No</t>
        </is>
      </c>
      <c r="AT136" s="202" t="inlineStr">
        <is>
          <t>No</t>
        </is>
      </c>
      <c r="AU136" s="202" t="inlineStr">
        <is>
          <t>No</t>
        </is>
      </c>
      <c r="AV136" s="202" t="inlineStr">
        <is>
          <t>No</t>
        </is>
      </c>
      <c r="AW136" s="202" t="inlineStr">
        <is>
          <t>No</t>
        </is>
      </c>
      <c r="AX136" s="202" t="inlineStr">
        <is>
          <t>No</t>
        </is>
      </c>
      <c r="AY136" s="202" t="inlineStr">
        <is>
          <t>No</t>
        </is>
      </c>
      <c r="AZ136" s="202" t="inlineStr">
        <is>
          <t>No</t>
        </is>
      </c>
      <c r="BA136" s="202" t="inlineStr">
        <is>
          <t>No</t>
        </is>
      </c>
      <c r="BB136" s="202" t="inlineStr">
        <is>
          <t>No</t>
        </is>
      </c>
      <c r="BC136" s="202" t="inlineStr">
        <is>
          <t>No</t>
        </is>
      </c>
      <c r="BD136" s="202" t="inlineStr">
        <is>
          <t>No</t>
        </is>
      </c>
      <c r="BE136" s="202" t="inlineStr">
        <is>
          <t>No</t>
        </is>
      </c>
      <c r="BF136" s="202" t="inlineStr">
        <is>
          <t>No</t>
        </is>
      </c>
      <c r="BG136" s="202" t="inlineStr">
        <is>
          <t>No</t>
        </is>
      </c>
      <c r="BH136" s="202" t="inlineStr">
        <is>
          <t>No</t>
        </is>
      </c>
      <c r="BI136" s="202" t="inlineStr">
        <is>
          <t>No</t>
        </is>
      </c>
      <c r="BJ136" s="202" t="inlineStr">
        <is>
          <t>No</t>
        </is>
      </c>
      <c r="BK136" s="202" t="inlineStr">
        <is>
          <t>No</t>
        </is>
      </c>
      <c r="BL136" s="202" t="inlineStr">
        <is>
          <t>No</t>
        </is>
      </c>
      <c r="BM136" s="202" t="inlineStr">
        <is>
          <t>No</t>
        </is>
      </c>
      <c r="BN136" s="202" t="inlineStr">
        <is>
          <t>No</t>
        </is>
      </c>
      <c r="BO136" s="202" t="inlineStr">
        <is>
          <t>No</t>
        </is>
      </c>
      <c r="BP136" s="202" t="inlineStr">
        <is>
          <t>No</t>
        </is>
      </c>
      <c r="BQ136" s="202" t="inlineStr">
        <is>
          <t>No</t>
        </is>
      </c>
      <c r="BR136" s="202" t="inlineStr">
        <is>
          <t>No</t>
        </is>
      </c>
      <c r="BS136" s="202" t="inlineStr">
        <is>
          <t>No</t>
        </is>
      </c>
      <c r="BT136" s="202" t="inlineStr">
        <is>
          <t>No</t>
        </is>
      </c>
      <c r="BU136" s="202" t="inlineStr">
        <is>
          <t>No</t>
        </is>
      </c>
      <c r="BV136" s="202" t="inlineStr">
        <is>
          <t>No</t>
        </is>
      </c>
      <c r="BW136" s="202" t="inlineStr">
        <is>
          <t>No</t>
        </is>
      </c>
      <c r="BX136" s="202" t="inlineStr">
        <is>
          <t>No</t>
        </is>
      </c>
      <c r="BY136" s="202" t="inlineStr">
        <is>
          <t>No</t>
        </is>
      </c>
      <c r="BZ136" s="202" t="inlineStr">
        <is>
          <t>No</t>
        </is>
      </c>
      <c r="CA136" s="202" t="inlineStr">
        <is>
          <t>No</t>
        </is>
      </c>
      <c r="CB136" s="202" t="inlineStr">
        <is>
          <t>No</t>
        </is>
      </c>
      <c r="CC136" s="202" t="inlineStr">
        <is>
          <t>No</t>
        </is>
      </c>
      <c r="CD136" s="202" t="inlineStr">
        <is>
          <t>No</t>
        </is>
      </c>
      <c r="CE136" s="202" t="inlineStr">
        <is>
          <t>No</t>
        </is>
      </c>
      <c r="CF136" s="202" t="inlineStr">
        <is>
          <t>No</t>
        </is>
      </c>
      <c r="CG136" s="202" t="inlineStr">
        <is>
          <t>No</t>
        </is>
      </c>
      <c r="CH136" s="202" t="inlineStr">
        <is>
          <t>No</t>
        </is>
      </c>
      <c r="CI136" s="202" t="inlineStr">
        <is>
          <t>No</t>
        </is>
      </c>
      <c r="CJ136" s="202" t="inlineStr">
        <is>
          <t>No</t>
        </is>
      </c>
      <c r="CK136" s="202" t="inlineStr">
        <is>
          <t>No</t>
        </is>
      </c>
      <c r="CL136" s="202" t="inlineStr">
        <is>
          <t>No</t>
        </is>
      </c>
      <c r="CM136" s="202" t="inlineStr">
        <is>
          <t>No</t>
        </is>
      </c>
      <c r="CN136" s="202" t="inlineStr">
        <is>
          <t>No</t>
        </is>
      </c>
      <c r="CO136" s="202" t="inlineStr">
        <is>
          <t>No</t>
        </is>
      </c>
      <c r="CP136" s="202" t="inlineStr">
        <is>
          <t>No</t>
        </is>
      </c>
      <c r="CQ136" s="202" t="inlineStr">
        <is>
          <t>No</t>
        </is>
      </c>
      <c r="CR136" s="202" t="inlineStr">
        <is>
          <t>No</t>
        </is>
      </c>
      <c r="CS136" s="202" t="inlineStr">
        <is>
          <t>No</t>
        </is>
      </c>
      <c r="CT136" s="202" t="inlineStr">
        <is>
          <t>No</t>
        </is>
      </c>
      <c r="CU136" s="202" t="inlineStr">
        <is>
          <t>No</t>
        </is>
      </c>
      <c r="CV136" s="202" t="inlineStr">
        <is>
          <t>No</t>
        </is>
      </c>
      <c r="CW136" s="202" t="inlineStr">
        <is>
          <t>No</t>
        </is>
      </c>
      <c r="CX136" s="202" t="inlineStr">
        <is>
          <t>No</t>
        </is>
      </c>
      <c r="CY136" s="202" t="inlineStr">
        <is>
          <t>No</t>
        </is>
      </c>
      <c r="CZ136" s="202" t="inlineStr">
        <is>
          <t>No</t>
        </is>
      </c>
      <c r="DA136" s="202" t="inlineStr">
        <is>
          <t>No</t>
        </is>
      </c>
      <c r="DB136" s="202" t="inlineStr">
        <is>
          <t>No</t>
        </is>
      </c>
      <c r="DC136" s="202" t="inlineStr">
        <is>
          <t>No</t>
        </is>
      </c>
      <c r="DD136" s="202" t="inlineStr">
        <is>
          <t>No</t>
        </is>
      </c>
      <c r="DE136" s="202" t="inlineStr">
        <is>
          <t>No</t>
        </is>
      </c>
      <c r="DF136" s="202" t="inlineStr">
        <is>
          <t>No</t>
        </is>
      </c>
      <c r="DG136" s="202" t="inlineStr">
        <is>
          <t>No</t>
        </is>
      </c>
      <c r="DH136" s="202" t="inlineStr">
        <is>
          <t>No</t>
        </is>
      </c>
      <c r="DI136" s="202" t="inlineStr">
        <is>
          <t>No</t>
        </is>
      </c>
      <c r="DJ136" s="202" t="inlineStr">
        <is>
          <t>No</t>
        </is>
      </c>
      <c r="DK136" s="202" t="inlineStr">
        <is>
          <t>No</t>
        </is>
      </c>
      <c r="DL136" s="202" t="inlineStr">
        <is>
          <t>No</t>
        </is>
      </c>
      <c r="DM136" s="202" t="inlineStr">
        <is>
          <t>No</t>
        </is>
      </c>
      <c r="DN136" s="202" t="inlineStr">
        <is>
          <t>No</t>
        </is>
      </c>
      <c r="DO136" s="202" t="inlineStr">
        <is>
          <t>No</t>
        </is>
      </c>
      <c r="DP136" s="202" t="inlineStr">
        <is>
          <t>No</t>
        </is>
      </c>
      <c r="DQ136" s="202" t="inlineStr">
        <is>
          <t>No</t>
        </is>
      </c>
      <c r="DR136" s="202" t="inlineStr">
        <is>
          <t>No</t>
        </is>
      </c>
      <c r="DS136" s="202" t="inlineStr">
        <is>
          <t>No</t>
        </is>
      </c>
      <c r="DT136" s="202" t="inlineStr">
        <is>
          <t>No</t>
        </is>
      </c>
      <c r="DU136" s="202" t="inlineStr">
        <is>
          <t>No</t>
        </is>
      </c>
      <c r="DV136" s="202" t="inlineStr">
        <is>
          <t>No</t>
        </is>
      </c>
      <c r="DW136" s="202" t="inlineStr">
        <is>
          <t>No</t>
        </is>
      </c>
      <c r="DX136" s="202" t="inlineStr">
        <is>
          <t>No</t>
        </is>
      </c>
      <c r="DY136" s="202" t="inlineStr">
        <is>
          <t>No</t>
        </is>
      </c>
      <c r="DZ136" s="202" t="inlineStr">
        <is>
          <t>No</t>
        </is>
      </c>
      <c r="EA136" s="202" t="inlineStr">
        <is>
          <t>No</t>
        </is>
      </c>
      <c r="EB136" s="202" t="inlineStr">
        <is>
          <t>No</t>
        </is>
      </c>
      <c r="EC136" s="202" t="inlineStr">
        <is>
          <t>No</t>
        </is>
      </c>
      <c r="ED136" s="202" t="inlineStr">
        <is>
          <t>No</t>
        </is>
      </c>
      <c r="EE136" s="202" t="inlineStr">
        <is>
          <t>No</t>
        </is>
      </c>
      <c r="EF136" s="202" t="inlineStr">
        <is>
          <t>No</t>
        </is>
      </c>
      <c r="EG136" s="202" t="inlineStr">
        <is>
          <t>No</t>
        </is>
      </c>
      <c r="EH136" s="202" t="inlineStr">
        <is>
          <t>No</t>
        </is>
      </c>
      <c r="EI136" s="202" t="inlineStr">
        <is>
          <t>No</t>
        </is>
      </c>
      <c r="EJ136" s="202" t="inlineStr">
        <is>
          <t>No</t>
        </is>
      </c>
      <c r="EK136" s="202" t="inlineStr">
        <is>
          <t>No</t>
        </is>
      </c>
      <c r="EL136" s="182" t="n"/>
      <c r="EM136" s="176" t="n"/>
      <c r="EN136" s="176" t="n"/>
      <c r="EO136" s="176" t="n"/>
      <c r="EP136" s="176" t="n"/>
      <c r="EQ136" s="176" t="n"/>
      <c r="ER136" s="176" t="n"/>
      <c r="ES136" s="176" t="n"/>
      <c r="ET136" s="176" t="n"/>
      <c r="EU136" s="176" t="n"/>
      <c r="EV136" s="176" t="n"/>
      <c r="EW136" s="176" t="n"/>
      <c r="EX136" s="176" t="n"/>
      <c r="EY136" s="176" t="n"/>
      <c r="EZ136" s="176" t="n"/>
      <c r="FA136" s="176" t="n"/>
      <c r="FB136" s="176" t="n"/>
      <c r="FC136" s="176" t="n"/>
      <c r="FD136" s="176" t="n"/>
      <c r="FE136" s="176" t="n"/>
      <c r="FF136" s="176" t="n"/>
      <c r="FG136" s="176" t="n"/>
      <c r="FH136" s="176" t="n"/>
      <c r="FI136" s="176" t="n"/>
      <c r="FJ136" s="176" t="n"/>
    </row>
    <row r="137" ht="15" customHeight="1" s="392">
      <c r="A137" s="176" t="n"/>
      <c r="B137" s="180" t="n"/>
      <c r="C137" s="183" t="inlineStr">
        <is>
          <t xml:space="preserve">    Original</t>
        </is>
      </c>
      <c r="D137" s="201">
        <f>IF(COUNT(M137:EK137)&gt;0,MEDIAN(M137:EK137),"")</f>
        <v/>
      </c>
      <c r="E137" s="201">
        <f>IF(COUNT(M137:EK137)&gt;0,AVERAGE(M137:EK137),"")</f>
        <v/>
      </c>
      <c r="F137" s="201">
        <f>IF(COUNT(M137:EK137)&gt;0,MIN(M137:EK137),"")</f>
        <v/>
      </c>
      <c r="G137" s="201">
        <f>IF(COUNT(M137:EK137)&gt;0,MAX(M137:EK137),"")</f>
        <v/>
      </c>
      <c r="H137" s="201">
        <f>IF(COUNT(M137:EK137)&gt;0,QUARTILE(M137:EK137,1),"")</f>
        <v/>
      </c>
      <c r="I137" s="201">
        <f>IF(COUNT(M137:EK137)&gt;0,QUARTILE(M137:EK137,3),"")</f>
        <v/>
      </c>
      <c r="J137" s="201">
        <f>IF(COUNT(M137:EK137)&gt;1,STDEV(M137:EK137),"")</f>
        <v/>
      </c>
      <c r="K137" s="191">
        <f>IF(COUNT(M137:EK137)&gt;1,STDEV(M137:EK137)/AVERAGE(M137:EK137),"")</f>
        <v/>
      </c>
      <c r="M137" s="202" t="inlineStr">
        <is>
          <t>No</t>
        </is>
      </c>
      <c r="N137" s="202" t="inlineStr">
        <is>
          <t>No</t>
        </is>
      </c>
      <c r="O137" s="202" t="inlineStr">
        <is>
          <t>No</t>
        </is>
      </c>
      <c r="P137" s="202" t="inlineStr">
        <is>
          <t>No</t>
        </is>
      </c>
      <c r="Q137" s="202" t="inlineStr">
        <is>
          <t>No</t>
        </is>
      </c>
      <c r="R137" s="202" t="inlineStr">
        <is>
          <t>No</t>
        </is>
      </c>
      <c r="S137" s="202" t="inlineStr">
        <is>
          <t>No</t>
        </is>
      </c>
      <c r="T137" s="202" t="inlineStr">
        <is>
          <t>No</t>
        </is>
      </c>
      <c r="U137" s="202" t="inlineStr">
        <is>
          <t>No</t>
        </is>
      </c>
      <c r="V137" s="202" t="inlineStr">
        <is>
          <t>No</t>
        </is>
      </c>
      <c r="W137" s="202" t="inlineStr">
        <is>
          <t>No</t>
        </is>
      </c>
      <c r="X137" s="202" t="inlineStr">
        <is>
          <t>No</t>
        </is>
      </c>
      <c r="Y137" s="202" t="inlineStr">
        <is>
          <t>No</t>
        </is>
      </c>
      <c r="Z137" s="202" t="inlineStr">
        <is>
          <t>No</t>
        </is>
      </c>
      <c r="AA137" s="202" t="inlineStr">
        <is>
          <t>No</t>
        </is>
      </c>
      <c r="AB137" s="202" t="inlineStr">
        <is>
          <t>No</t>
        </is>
      </c>
      <c r="AC137" s="202" t="inlineStr">
        <is>
          <t>No</t>
        </is>
      </c>
      <c r="AD137" s="202" t="inlineStr">
        <is>
          <t>No</t>
        </is>
      </c>
      <c r="AE137" s="202" t="inlineStr">
        <is>
          <t>No</t>
        </is>
      </c>
      <c r="AF137" s="202" t="inlineStr">
        <is>
          <t>No</t>
        </is>
      </c>
      <c r="AG137" s="202" t="inlineStr">
        <is>
          <t>No</t>
        </is>
      </c>
      <c r="AH137" s="202" t="inlineStr">
        <is>
          <t>No</t>
        </is>
      </c>
      <c r="AI137" s="202" t="inlineStr">
        <is>
          <t>No</t>
        </is>
      </c>
      <c r="AJ137" s="202" t="inlineStr">
        <is>
          <t>No</t>
        </is>
      </c>
      <c r="AK137" s="202" t="inlineStr">
        <is>
          <t>No</t>
        </is>
      </c>
      <c r="AL137" s="202" t="inlineStr">
        <is>
          <t>No</t>
        </is>
      </c>
      <c r="AM137" s="202" t="inlineStr">
        <is>
          <t>No</t>
        </is>
      </c>
      <c r="AN137" s="202" t="inlineStr">
        <is>
          <t>No</t>
        </is>
      </c>
      <c r="AO137" s="202" t="inlineStr">
        <is>
          <t>No</t>
        </is>
      </c>
      <c r="AP137" s="202" t="inlineStr">
        <is>
          <t>No</t>
        </is>
      </c>
      <c r="AQ137" s="202" t="inlineStr">
        <is>
          <t>No</t>
        </is>
      </c>
      <c r="AR137" s="202" t="inlineStr">
        <is>
          <t>No</t>
        </is>
      </c>
      <c r="AS137" s="202" t="inlineStr">
        <is>
          <t>No</t>
        </is>
      </c>
      <c r="AT137" s="202" t="inlineStr">
        <is>
          <t>No</t>
        </is>
      </c>
      <c r="AU137" s="202" t="inlineStr">
        <is>
          <t>No</t>
        </is>
      </c>
      <c r="AV137" s="202" t="inlineStr">
        <is>
          <t>No</t>
        </is>
      </c>
      <c r="AW137" s="202" t="inlineStr">
        <is>
          <t>No</t>
        </is>
      </c>
      <c r="AX137" s="202" t="inlineStr">
        <is>
          <t>No</t>
        </is>
      </c>
      <c r="AY137" s="202" t="inlineStr">
        <is>
          <t>No</t>
        </is>
      </c>
      <c r="AZ137" s="202" t="inlineStr">
        <is>
          <t>No</t>
        </is>
      </c>
      <c r="BA137" s="202" t="inlineStr">
        <is>
          <t>No</t>
        </is>
      </c>
      <c r="BB137" s="202" t="inlineStr">
        <is>
          <t>No</t>
        </is>
      </c>
      <c r="BC137" s="202" t="inlineStr">
        <is>
          <t>No</t>
        </is>
      </c>
      <c r="BD137" s="202" t="inlineStr">
        <is>
          <t>No</t>
        </is>
      </c>
      <c r="BE137" s="202" t="inlineStr">
        <is>
          <t>No</t>
        </is>
      </c>
      <c r="BF137" s="202" t="inlineStr">
        <is>
          <t>No</t>
        </is>
      </c>
      <c r="BG137" s="202" t="inlineStr">
        <is>
          <t>No</t>
        </is>
      </c>
      <c r="BH137" s="202" t="inlineStr">
        <is>
          <t>No</t>
        </is>
      </c>
      <c r="BI137" s="202" t="inlineStr">
        <is>
          <t>No</t>
        </is>
      </c>
      <c r="BJ137" s="202" t="inlineStr">
        <is>
          <t>No</t>
        </is>
      </c>
      <c r="BK137" s="202" t="inlineStr">
        <is>
          <t>No</t>
        </is>
      </c>
      <c r="BL137" s="202" t="inlineStr">
        <is>
          <t>No</t>
        </is>
      </c>
      <c r="BM137" s="202" t="inlineStr">
        <is>
          <t>No</t>
        </is>
      </c>
      <c r="BN137" s="202" t="inlineStr">
        <is>
          <t>No</t>
        </is>
      </c>
      <c r="BO137" s="202" t="inlineStr">
        <is>
          <t>No</t>
        </is>
      </c>
      <c r="BP137" s="202" t="inlineStr">
        <is>
          <t>No</t>
        </is>
      </c>
      <c r="BQ137" s="202" t="inlineStr">
        <is>
          <t>No</t>
        </is>
      </c>
      <c r="BR137" s="202" t="inlineStr">
        <is>
          <t>No</t>
        </is>
      </c>
      <c r="BS137" s="202" t="inlineStr">
        <is>
          <t>No</t>
        </is>
      </c>
      <c r="BT137" s="202" t="inlineStr">
        <is>
          <t>No</t>
        </is>
      </c>
      <c r="BU137" s="202" t="inlineStr">
        <is>
          <t>No</t>
        </is>
      </c>
      <c r="BV137" s="202" t="inlineStr">
        <is>
          <t>No</t>
        </is>
      </c>
      <c r="BW137" s="202" t="inlineStr">
        <is>
          <t>No</t>
        </is>
      </c>
      <c r="BX137" s="202" t="inlineStr">
        <is>
          <t>No</t>
        </is>
      </c>
      <c r="BY137" s="202" t="inlineStr">
        <is>
          <t>No</t>
        </is>
      </c>
      <c r="BZ137" s="202" t="inlineStr">
        <is>
          <t>No</t>
        </is>
      </c>
      <c r="CA137" s="202" t="inlineStr">
        <is>
          <t>No</t>
        </is>
      </c>
      <c r="CB137" s="202" t="inlineStr">
        <is>
          <t>No</t>
        </is>
      </c>
      <c r="CC137" s="202" t="inlineStr">
        <is>
          <t>No</t>
        </is>
      </c>
      <c r="CD137" s="202" t="inlineStr">
        <is>
          <t>No</t>
        </is>
      </c>
      <c r="CE137" s="202" t="inlineStr">
        <is>
          <t>No</t>
        </is>
      </c>
      <c r="CF137" s="202" t="inlineStr">
        <is>
          <t>No</t>
        </is>
      </c>
      <c r="CG137" s="202" t="inlineStr">
        <is>
          <t>No</t>
        </is>
      </c>
      <c r="CH137" s="202" t="inlineStr">
        <is>
          <t>No</t>
        </is>
      </c>
      <c r="CI137" s="202" t="inlineStr">
        <is>
          <t>No</t>
        </is>
      </c>
      <c r="CJ137" s="202" t="inlineStr">
        <is>
          <t>No</t>
        </is>
      </c>
      <c r="CK137" s="202" t="inlineStr">
        <is>
          <t>No</t>
        </is>
      </c>
      <c r="CL137" s="202" t="inlineStr">
        <is>
          <t>No</t>
        </is>
      </c>
      <c r="CM137" s="202" t="inlineStr">
        <is>
          <t>No</t>
        </is>
      </c>
      <c r="CN137" s="202" t="inlineStr">
        <is>
          <t>No</t>
        </is>
      </c>
      <c r="CO137" s="202" t="inlineStr">
        <is>
          <t>No</t>
        </is>
      </c>
      <c r="CP137" s="202" t="inlineStr">
        <is>
          <t>No</t>
        </is>
      </c>
      <c r="CQ137" s="202" t="inlineStr">
        <is>
          <t>No</t>
        </is>
      </c>
      <c r="CR137" s="202" t="inlineStr">
        <is>
          <t>No</t>
        </is>
      </c>
      <c r="CS137" s="202" t="inlineStr">
        <is>
          <t>No</t>
        </is>
      </c>
      <c r="CT137" s="202" t="inlineStr">
        <is>
          <t>No</t>
        </is>
      </c>
      <c r="CU137" s="202" t="inlineStr">
        <is>
          <t>No</t>
        </is>
      </c>
      <c r="CV137" s="202" t="inlineStr">
        <is>
          <t>No</t>
        </is>
      </c>
      <c r="CW137" s="202" t="inlineStr">
        <is>
          <t>No</t>
        </is>
      </c>
      <c r="CX137" s="202" t="inlineStr">
        <is>
          <t>No</t>
        </is>
      </c>
      <c r="CY137" s="202" t="inlineStr">
        <is>
          <t>No</t>
        </is>
      </c>
      <c r="CZ137" s="202" t="inlineStr">
        <is>
          <t>No</t>
        </is>
      </c>
      <c r="DA137" s="202" t="inlineStr">
        <is>
          <t>No</t>
        </is>
      </c>
      <c r="DB137" s="202" t="inlineStr">
        <is>
          <t>No</t>
        </is>
      </c>
      <c r="DC137" s="202" t="inlineStr">
        <is>
          <t>No</t>
        </is>
      </c>
      <c r="DD137" s="202" t="inlineStr">
        <is>
          <t>No</t>
        </is>
      </c>
      <c r="DE137" s="202" t="inlineStr">
        <is>
          <t>No</t>
        </is>
      </c>
      <c r="DF137" s="202" t="inlineStr">
        <is>
          <t>No</t>
        </is>
      </c>
      <c r="DG137" s="202" t="inlineStr">
        <is>
          <t>No</t>
        </is>
      </c>
      <c r="DH137" s="202" t="inlineStr">
        <is>
          <t>No</t>
        </is>
      </c>
      <c r="DI137" s="202" t="inlineStr">
        <is>
          <t>No</t>
        </is>
      </c>
      <c r="DJ137" s="202" t="inlineStr">
        <is>
          <t>No</t>
        </is>
      </c>
      <c r="DK137" s="202" t="inlineStr">
        <is>
          <t>No</t>
        </is>
      </c>
      <c r="DL137" s="202" t="inlineStr">
        <is>
          <t>No</t>
        </is>
      </c>
      <c r="DM137" s="202" t="inlineStr">
        <is>
          <t>No</t>
        </is>
      </c>
      <c r="DN137" s="202" t="inlineStr">
        <is>
          <t>No</t>
        </is>
      </c>
      <c r="DO137" s="202" t="inlineStr">
        <is>
          <t>No</t>
        </is>
      </c>
      <c r="DP137" s="202" t="inlineStr">
        <is>
          <t>No</t>
        </is>
      </c>
      <c r="DQ137" s="202" t="inlineStr">
        <is>
          <t>No</t>
        </is>
      </c>
      <c r="DR137" s="202" t="inlineStr">
        <is>
          <t>No</t>
        </is>
      </c>
      <c r="DS137" s="202" t="inlineStr">
        <is>
          <t>No</t>
        </is>
      </c>
      <c r="DT137" s="202" t="inlineStr">
        <is>
          <t>No</t>
        </is>
      </c>
      <c r="DU137" s="202" t="inlineStr">
        <is>
          <t>No</t>
        </is>
      </c>
      <c r="DV137" s="202" t="inlineStr">
        <is>
          <t>No</t>
        </is>
      </c>
      <c r="DW137" s="202" t="inlineStr">
        <is>
          <t>No</t>
        </is>
      </c>
      <c r="DX137" s="202" t="inlineStr">
        <is>
          <t>No</t>
        </is>
      </c>
      <c r="DY137" s="202" t="inlineStr">
        <is>
          <t>No</t>
        </is>
      </c>
      <c r="DZ137" s="202" t="inlineStr">
        <is>
          <t>No</t>
        </is>
      </c>
      <c r="EA137" s="202" t="inlineStr">
        <is>
          <t>No</t>
        </is>
      </c>
      <c r="EB137" s="202" t="inlineStr">
        <is>
          <t>No</t>
        </is>
      </c>
      <c r="EC137" s="202" t="inlineStr">
        <is>
          <t>No</t>
        </is>
      </c>
      <c r="ED137" s="202" t="inlineStr">
        <is>
          <t>No</t>
        </is>
      </c>
      <c r="EE137" s="202" t="inlineStr">
        <is>
          <t>No</t>
        </is>
      </c>
      <c r="EF137" s="202" t="inlineStr">
        <is>
          <t>No</t>
        </is>
      </c>
      <c r="EG137" s="202" t="inlineStr">
        <is>
          <t>No</t>
        </is>
      </c>
      <c r="EH137" s="202" t="inlineStr">
        <is>
          <t>No</t>
        </is>
      </c>
      <c r="EI137" s="202" t="inlineStr">
        <is>
          <t>No</t>
        </is>
      </c>
      <c r="EJ137" s="202" t="inlineStr">
        <is>
          <t>No</t>
        </is>
      </c>
      <c r="EK137" s="202" t="inlineStr">
        <is>
          <t>No</t>
        </is>
      </c>
      <c r="EL137" s="182" t="n"/>
      <c r="EM137" s="176" t="n"/>
      <c r="EN137" s="176" t="n"/>
      <c r="EO137" s="176" t="n"/>
      <c r="EP137" s="176" t="n"/>
      <c r="EQ137" s="176" t="n"/>
      <c r="ER137" s="176" t="n"/>
      <c r="ES137" s="176" t="n"/>
      <c r="ET137" s="176" t="n"/>
      <c r="EU137" s="176" t="n"/>
      <c r="EV137" s="176" t="n"/>
      <c r="EW137" s="176" t="n"/>
      <c r="EX137" s="176" t="n"/>
      <c r="EY137" s="176" t="n"/>
      <c r="EZ137" s="176" t="n"/>
      <c r="FA137" s="176" t="n"/>
      <c r="FB137" s="176" t="n"/>
      <c r="FC137" s="176" t="n"/>
      <c r="FD137" s="176" t="n"/>
      <c r="FE137" s="176" t="n"/>
      <c r="FF137" s="176" t="n"/>
      <c r="FG137" s="176" t="n"/>
      <c r="FH137" s="176" t="n"/>
      <c r="FI137" s="176" t="n"/>
      <c r="FJ137" s="176" t="n"/>
    </row>
    <row r="138" ht="15" customHeight="1" s="392">
      <c r="A138" s="176" t="n"/>
      <c r="B138" s="180" t="n"/>
      <c r="C138" s="183" t="inlineStr">
        <is>
          <t xml:space="preserve">    Restated</t>
        </is>
      </c>
      <c r="D138" s="201">
        <f>IF(COUNT(M138:EK138)&gt;0,MEDIAN(M138:EK138),"")</f>
        <v/>
      </c>
      <c r="E138" s="201">
        <f>IF(COUNT(M138:EK138)&gt;0,AVERAGE(M138:EK138),"")</f>
        <v/>
      </c>
      <c r="F138" s="201">
        <f>IF(COUNT(M138:EK138)&gt;0,MIN(M138:EK138),"")</f>
        <v/>
      </c>
      <c r="G138" s="201">
        <f>IF(COUNT(M138:EK138)&gt;0,MAX(M138:EK138),"")</f>
        <v/>
      </c>
      <c r="H138" s="201">
        <f>IF(COUNT(M138:EK138)&gt;0,QUARTILE(M138:EK138,1),"")</f>
        <v/>
      </c>
      <c r="I138" s="201">
        <f>IF(COUNT(M138:EK138)&gt;0,QUARTILE(M138:EK138,3),"")</f>
        <v/>
      </c>
      <c r="J138" s="201">
        <f>IF(COUNT(M138:EK138)&gt;1,STDEV(M138:EK138),"")</f>
        <v/>
      </c>
      <c r="K138" s="191">
        <f>IF(COUNT(M138:EK138)&gt;1,STDEV(M138:EK138)/AVERAGE(M138:EK138),"")</f>
        <v/>
      </c>
      <c r="M138" s="202" t="inlineStr">
        <is>
          <t>Yes</t>
        </is>
      </c>
      <c r="N138" s="202" t="inlineStr">
        <is>
          <t>Yes</t>
        </is>
      </c>
      <c r="O138" s="202" t="inlineStr">
        <is>
          <t>Yes</t>
        </is>
      </c>
      <c r="P138" s="202" t="inlineStr">
        <is>
          <t>Yes</t>
        </is>
      </c>
      <c r="Q138" s="202" t="inlineStr">
        <is>
          <t>Yes</t>
        </is>
      </c>
      <c r="R138" s="202" t="inlineStr">
        <is>
          <t>Yes</t>
        </is>
      </c>
      <c r="S138" s="202" t="inlineStr">
        <is>
          <t>Yes</t>
        </is>
      </c>
      <c r="T138" s="202" t="inlineStr">
        <is>
          <t>Yes</t>
        </is>
      </c>
      <c r="U138" s="202" t="inlineStr">
        <is>
          <t>Yes</t>
        </is>
      </c>
      <c r="V138" s="202" t="inlineStr">
        <is>
          <t>Yes</t>
        </is>
      </c>
      <c r="W138" s="202" t="inlineStr">
        <is>
          <t>Yes</t>
        </is>
      </c>
      <c r="X138" s="202" t="inlineStr">
        <is>
          <t>Yes</t>
        </is>
      </c>
      <c r="Y138" s="202" t="inlineStr">
        <is>
          <t>Yes</t>
        </is>
      </c>
      <c r="Z138" s="202" t="inlineStr">
        <is>
          <t>Yes</t>
        </is>
      </c>
      <c r="AA138" s="202" t="inlineStr">
        <is>
          <t>Yes</t>
        </is>
      </c>
      <c r="AB138" s="202" t="inlineStr">
        <is>
          <t>Yes</t>
        </is>
      </c>
      <c r="AC138" s="202" t="inlineStr">
        <is>
          <t>Yes</t>
        </is>
      </c>
      <c r="AD138" s="202" t="inlineStr">
        <is>
          <t>Yes</t>
        </is>
      </c>
      <c r="AE138" s="202" t="inlineStr">
        <is>
          <t>Yes</t>
        </is>
      </c>
      <c r="AF138" s="202" t="inlineStr">
        <is>
          <t>Yes</t>
        </is>
      </c>
      <c r="AG138" s="202" t="inlineStr">
        <is>
          <t>Yes</t>
        </is>
      </c>
      <c r="AH138" s="202" t="inlineStr">
        <is>
          <t>Yes</t>
        </is>
      </c>
      <c r="AI138" s="202" t="inlineStr">
        <is>
          <t>Yes</t>
        </is>
      </c>
      <c r="AJ138" s="202" t="inlineStr">
        <is>
          <t>Yes</t>
        </is>
      </c>
      <c r="AK138" s="202" t="inlineStr">
        <is>
          <t>Yes</t>
        </is>
      </c>
      <c r="AL138" s="202" t="inlineStr">
        <is>
          <t>Yes</t>
        </is>
      </c>
      <c r="AM138" s="202" t="inlineStr">
        <is>
          <t>Yes</t>
        </is>
      </c>
      <c r="AN138" s="202" t="inlineStr">
        <is>
          <t>Yes</t>
        </is>
      </c>
      <c r="AO138" s="202" t="inlineStr">
        <is>
          <t>Yes</t>
        </is>
      </c>
      <c r="AP138" s="202" t="inlineStr">
        <is>
          <t>Yes</t>
        </is>
      </c>
      <c r="AQ138" s="202" t="inlineStr">
        <is>
          <t>Yes</t>
        </is>
      </c>
      <c r="AR138" s="202" t="inlineStr">
        <is>
          <t>Yes</t>
        </is>
      </c>
      <c r="AS138" s="202" t="inlineStr">
        <is>
          <t>Yes</t>
        </is>
      </c>
      <c r="AT138" s="202" t="inlineStr">
        <is>
          <t>Yes</t>
        </is>
      </c>
      <c r="AU138" s="202" t="inlineStr">
        <is>
          <t>Yes</t>
        </is>
      </c>
      <c r="AV138" s="202" t="inlineStr">
        <is>
          <t>Yes</t>
        </is>
      </c>
      <c r="AW138" s="202" t="inlineStr">
        <is>
          <t>Yes</t>
        </is>
      </c>
      <c r="AX138" s="202" t="inlineStr">
        <is>
          <t>Yes</t>
        </is>
      </c>
      <c r="AY138" s="202" t="inlineStr">
        <is>
          <t>Yes</t>
        </is>
      </c>
      <c r="AZ138" s="202" t="inlineStr">
        <is>
          <t>Yes</t>
        </is>
      </c>
      <c r="BA138" s="202" t="inlineStr">
        <is>
          <t>Yes</t>
        </is>
      </c>
      <c r="BB138" s="202" t="inlineStr">
        <is>
          <t>Yes</t>
        </is>
      </c>
      <c r="BC138" s="202" t="inlineStr">
        <is>
          <t>Yes</t>
        </is>
      </c>
      <c r="BD138" s="202" t="inlineStr">
        <is>
          <t>Yes</t>
        </is>
      </c>
      <c r="BE138" s="202" t="inlineStr">
        <is>
          <t>Yes</t>
        </is>
      </c>
      <c r="BF138" s="202" t="inlineStr">
        <is>
          <t>Yes</t>
        </is>
      </c>
      <c r="BG138" s="202" t="inlineStr">
        <is>
          <t>Yes</t>
        </is>
      </c>
      <c r="BH138" s="202" t="inlineStr">
        <is>
          <t>Yes</t>
        </is>
      </c>
      <c r="BI138" s="202" t="inlineStr">
        <is>
          <t>Yes</t>
        </is>
      </c>
      <c r="BJ138" s="202" t="inlineStr">
        <is>
          <t>Yes</t>
        </is>
      </c>
      <c r="BK138" s="202" t="inlineStr">
        <is>
          <t>Yes</t>
        </is>
      </c>
      <c r="BL138" s="202" t="inlineStr">
        <is>
          <t>Yes</t>
        </is>
      </c>
      <c r="BM138" s="202" t="inlineStr">
        <is>
          <t>Yes</t>
        </is>
      </c>
      <c r="BN138" s="202" t="inlineStr">
        <is>
          <t>Yes</t>
        </is>
      </c>
      <c r="BO138" s="202" t="inlineStr">
        <is>
          <t>Yes</t>
        </is>
      </c>
      <c r="BP138" s="202" t="inlineStr">
        <is>
          <t>Yes</t>
        </is>
      </c>
      <c r="BQ138" s="202" t="inlineStr">
        <is>
          <t>Yes</t>
        </is>
      </c>
      <c r="BR138" s="202" t="inlineStr">
        <is>
          <t>Yes</t>
        </is>
      </c>
      <c r="BS138" s="202" t="inlineStr">
        <is>
          <t>Yes</t>
        </is>
      </c>
      <c r="BT138" s="202" t="inlineStr">
        <is>
          <t>Yes</t>
        </is>
      </c>
      <c r="BU138" s="202" t="inlineStr">
        <is>
          <t>Yes</t>
        </is>
      </c>
      <c r="BV138" s="202" t="inlineStr">
        <is>
          <t>Yes</t>
        </is>
      </c>
      <c r="BW138" s="202" t="inlineStr">
        <is>
          <t>Yes</t>
        </is>
      </c>
      <c r="BX138" s="202" t="inlineStr">
        <is>
          <t>Yes</t>
        </is>
      </c>
      <c r="BY138" s="202" t="inlineStr">
        <is>
          <t>Yes</t>
        </is>
      </c>
      <c r="BZ138" s="202" t="inlineStr">
        <is>
          <t>Yes</t>
        </is>
      </c>
      <c r="CA138" s="202" t="inlineStr">
        <is>
          <t>Yes</t>
        </is>
      </c>
      <c r="CB138" s="202" t="inlineStr">
        <is>
          <t>Yes</t>
        </is>
      </c>
      <c r="CC138" s="202" t="inlineStr">
        <is>
          <t>Yes</t>
        </is>
      </c>
      <c r="CD138" s="202" t="inlineStr">
        <is>
          <t>Yes</t>
        </is>
      </c>
      <c r="CE138" s="202" t="inlineStr">
        <is>
          <t>Yes</t>
        </is>
      </c>
      <c r="CF138" s="202" t="inlineStr">
        <is>
          <t>Yes</t>
        </is>
      </c>
      <c r="CG138" s="202" t="inlineStr">
        <is>
          <t>Yes</t>
        </is>
      </c>
      <c r="CH138" s="202" t="inlineStr">
        <is>
          <t>Yes</t>
        </is>
      </c>
      <c r="CI138" s="202" t="inlineStr">
        <is>
          <t>Yes</t>
        </is>
      </c>
      <c r="CJ138" s="202" t="inlineStr">
        <is>
          <t>Yes</t>
        </is>
      </c>
      <c r="CK138" s="202" t="inlineStr">
        <is>
          <t>Yes</t>
        </is>
      </c>
      <c r="CL138" s="202" t="inlineStr">
        <is>
          <t>Yes</t>
        </is>
      </c>
      <c r="CM138" s="202" t="inlineStr">
        <is>
          <t>Yes</t>
        </is>
      </c>
      <c r="CN138" s="202" t="inlineStr">
        <is>
          <t>Yes</t>
        </is>
      </c>
      <c r="CO138" s="202" t="inlineStr">
        <is>
          <t>Yes</t>
        </is>
      </c>
      <c r="CP138" s="202" t="inlineStr">
        <is>
          <t>Yes</t>
        </is>
      </c>
      <c r="CQ138" s="202" t="inlineStr">
        <is>
          <t>Yes</t>
        </is>
      </c>
      <c r="CR138" s="202" t="inlineStr">
        <is>
          <t>Yes</t>
        </is>
      </c>
      <c r="CS138" s="202" t="inlineStr">
        <is>
          <t>Yes</t>
        </is>
      </c>
      <c r="CT138" s="202" t="inlineStr">
        <is>
          <t>Yes</t>
        </is>
      </c>
      <c r="CU138" s="202" t="inlineStr">
        <is>
          <t>Yes</t>
        </is>
      </c>
      <c r="CV138" s="202" t="inlineStr">
        <is>
          <t>Yes</t>
        </is>
      </c>
      <c r="CW138" s="202" t="inlineStr">
        <is>
          <t>Yes</t>
        </is>
      </c>
      <c r="CX138" s="202" t="inlineStr">
        <is>
          <t>Yes</t>
        </is>
      </c>
      <c r="CY138" s="202" t="inlineStr">
        <is>
          <t>Yes</t>
        </is>
      </c>
      <c r="CZ138" s="202" t="inlineStr">
        <is>
          <t>Yes</t>
        </is>
      </c>
      <c r="DA138" s="202" t="inlineStr">
        <is>
          <t>Yes</t>
        </is>
      </c>
      <c r="DB138" s="202" t="inlineStr">
        <is>
          <t>Yes</t>
        </is>
      </c>
      <c r="DC138" s="202" t="inlineStr">
        <is>
          <t>Yes</t>
        </is>
      </c>
      <c r="DD138" s="202" t="inlineStr">
        <is>
          <t>Yes</t>
        </is>
      </c>
      <c r="DE138" s="202" t="inlineStr">
        <is>
          <t>Yes</t>
        </is>
      </c>
      <c r="DF138" s="202" t="inlineStr">
        <is>
          <t>Yes</t>
        </is>
      </c>
      <c r="DG138" s="202" t="inlineStr">
        <is>
          <t>Yes</t>
        </is>
      </c>
      <c r="DH138" s="202" t="inlineStr">
        <is>
          <t>Yes</t>
        </is>
      </c>
      <c r="DI138" s="202" t="inlineStr">
        <is>
          <t>Yes</t>
        </is>
      </c>
      <c r="DJ138" s="202" t="inlineStr">
        <is>
          <t>Yes</t>
        </is>
      </c>
      <c r="DK138" s="202" t="inlineStr">
        <is>
          <t>Yes</t>
        </is>
      </c>
      <c r="DL138" s="202" t="inlineStr">
        <is>
          <t>Yes</t>
        </is>
      </c>
      <c r="DM138" s="202" t="inlineStr">
        <is>
          <t>Yes</t>
        </is>
      </c>
      <c r="DN138" s="202" t="inlineStr">
        <is>
          <t>Yes</t>
        </is>
      </c>
      <c r="DO138" s="202" t="inlineStr">
        <is>
          <t>Yes</t>
        </is>
      </c>
      <c r="DP138" s="202" t="inlineStr">
        <is>
          <t>Yes</t>
        </is>
      </c>
      <c r="DQ138" s="202" t="inlineStr">
        <is>
          <t>Yes</t>
        </is>
      </c>
      <c r="DR138" s="202" t="inlineStr">
        <is>
          <t>Yes</t>
        </is>
      </c>
      <c r="DS138" s="202" t="inlineStr">
        <is>
          <t>Yes</t>
        </is>
      </c>
      <c r="DT138" s="202" t="inlineStr">
        <is>
          <t>Yes</t>
        </is>
      </c>
      <c r="DU138" s="202" t="inlineStr">
        <is>
          <t>Yes</t>
        </is>
      </c>
      <c r="DV138" s="202" t="inlineStr">
        <is>
          <t>Yes</t>
        </is>
      </c>
      <c r="DW138" s="202" t="inlineStr">
        <is>
          <t>Yes</t>
        </is>
      </c>
      <c r="DX138" s="202" t="inlineStr">
        <is>
          <t>Yes</t>
        </is>
      </c>
      <c r="DY138" s="202" t="inlineStr">
        <is>
          <t>Yes</t>
        </is>
      </c>
      <c r="DZ138" s="202" t="inlineStr">
        <is>
          <t>Yes</t>
        </is>
      </c>
      <c r="EA138" s="202" t="inlineStr">
        <is>
          <t>Yes</t>
        </is>
      </c>
      <c r="EB138" s="202" t="inlineStr">
        <is>
          <t>Yes</t>
        </is>
      </c>
      <c r="EC138" s="202" t="inlineStr">
        <is>
          <t>Yes</t>
        </is>
      </c>
      <c r="ED138" s="202" t="inlineStr">
        <is>
          <t>Yes</t>
        </is>
      </c>
      <c r="EE138" s="202" t="inlineStr">
        <is>
          <t>Yes</t>
        </is>
      </c>
      <c r="EF138" s="202" t="inlineStr">
        <is>
          <t>Yes</t>
        </is>
      </c>
      <c r="EG138" s="202" t="inlineStr">
        <is>
          <t>Yes</t>
        </is>
      </c>
      <c r="EH138" s="202" t="inlineStr">
        <is>
          <t>Yes</t>
        </is>
      </c>
      <c r="EI138" s="202" t="inlineStr">
        <is>
          <t>Yes</t>
        </is>
      </c>
      <c r="EJ138" s="202" t="inlineStr">
        <is>
          <t>Yes</t>
        </is>
      </c>
      <c r="EK138" s="202" t="inlineStr">
        <is>
          <t>Yes</t>
        </is>
      </c>
      <c r="EL138" s="182" t="n"/>
      <c r="EM138" s="176" t="n"/>
      <c r="EN138" s="176" t="n"/>
      <c r="EO138" s="176" t="n"/>
      <c r="EP138" s="176" t="n"/>
      <c r="EQ138" s="176" t="n"/>
      <c r="ER138" s="176" t="n"/>
      <c r="ES138" s="176" t="n"/>
      <c r="ET138" s="176" t="n"/>
      <c r="EU138" s="176" t="n"/>
      <c r="EV138" s="176" t="n"/>
      <c r="EW138" s="176" t="n"/>
      <c r="EX138" s="176" t="n"/>
      <c r="EY138" s="176" t="n"/>
      <c r="EZ138" s="176" t="n"/>
      <c r="FA138" s="176" t="n"/>
      <c r="FB138" s="176" t="n"/>
      <c r="FC138" s="176" t="n"/>
      <c r="FD138" s="176" t="n"/>
      <c r="FE138" s="176" t="n"/>
      <c r="FF138" s="176" t="n"/>
      <c r="FG138" s="176" t="n"/>
      <c r="FH138" s="176" t="n"/>
      <c r="FI138" s="176" t="n"/>
      <c r="FJ138" s="176" t="n"/>
    </row>
    <row r="139" ht="15" customHeight="1" s="392">
      <c r="A139" s="176" t="n"/>
      <c r="B139" s="180" t="n"/>
      <c r="C139" s="183" t="inlineStr">
        <is>
          <t xml:space="preserve">    Calculated</t>
        </is>
      </c>
      <c r="D139" s="201">
        <f>IF(COUNT(M139:EK139)&gt;0,MEDIAN(M139:EK139),"")</f>
        <v/>
      </c>
      <c r="E139" s="201">
        <f>IF(COUNT(M139:EK139)&gt;0,AVERAGE(M139:EK139),"")</f>
        <v/>
      </c>
      <c r="F139" s="201">
        <f>IF(COUNT(M139:EK139)&gt;0,MIN(M139:EK139),"")</f>
        <v/>
      </c>
      <c r="G139" s="201">
        <f>IF(COUNT(M139:EK139)&gt;0,MAX(M139:EK139),"")</f>
        <v/>
      </c>
      <c r="H139" s="201">
        <f>IF(COUNT(M139:EK139)&gt;0,QUARTILE(M139:EK139,1),"")</f>
        <v/>
      </c>
      <c r="I139" s="201">
        <f>IF(COUNT(M139:EK139)&gt;0,QUARTILE(M139:EK139,3),"")</f>
        <v/>
      </c>
      <c r="J139" s="201">
        <f>IF(COUNT(M139:EK139)&gt;1,STDEV(M139:EK139),"")</f>
        <v/>
      </c>
      <c r="K139" s="191">
        <f>IF(COUNT(M139:EK139)&gt;1,STDEV(M139:EK139)/AVERAGE(M139:EK139),"")</f>
        <v/>
      </c>
      <c r="M139" s="202" t="inlineStr">
        <is>
          <t>No</t>
        </is>
      </c>
      <c r="N139" s="202" t="inlineStr">
        <is>
          <t>No</t>
        </is>
      </c>
      <c r="O139" s="202" t="inlineStr">
        <is>
          <t>No</t>
        </is>
      </c>
      <c r="P139" s="202" t="inlineStr">
        <is>
          <t>No</t>
        </is>
      </c>
      <c r="Q139" s="202" t="inlineStr">
        <is>
          <t>No</t>
        </is>
      </c>
      <c r="R139" s="202" t="inlineStr">
        <is>
          <t>No</t>
        </is>
      </c>
      <c r="S139" s="202" t="inlineStr">
        <is>
          <t>No</t>
        </is>
      </c>
      <c r="T139" s="202" t="inlineStr">
        <is>
          <t>No</t>
        </is>
      </c>
      <c r="U139" s="202" t="inlineStr">
        <is>
          <t>No</t>
        </is>
      </c>
      <c r="V139" s="202" t="inlineStr">
        <is>
          <t>No</t>
        </is>
      </c>
      <c r="W139" s="202" t="inlineStr">
        <is>
          <t>No</t>
        </is>
      </c>
      <c r="X139" s="202" t="inlineStr">
        <is>
          <t>No</t>
        </is>
      </c>
      <c r="Y139" s="202" t="inlineStr">
        <is>
          <t>No</t>
        </is>
      </c>
      <c r="Z139" s="202" t="inlineStr">
        <is>
          <t>No</t>
        </is>
      </c>
      <c r="AA139" s="202" t="inlineStr">
        <is>
          <t>No</t>
        </is>
      </c>
      <c r="AB139" s="202" t="inlineStr">
        <is>
          <t>No</t>
        </is>
      </c>
      <c r="AC139" s="202" t="inlineStr">
        <is>
          <t>No</t>
        </is>
      </c>
      <c r="AD139" s="202" t="inlineStr">
        <is>
          <t>No</t>
        </is>
      </c>
      <c r="AE139" s="202" t="inlineStr">
        <is>
          <t>No</t>
        </is>
      </c>
      <c r="AF139" s="202" t="inlineStr">
        <is>
          <t>No</t>
        </is>
      </c>
      <c r="AG139" s="202" t="inlineStr">
        <is>
          <t>No</t>
        </is>
      </c>
      <c r="AH139" s="202" t="inlineStr">
        <is>
          <t>No</t>
        </is>
      </c>
      <c r="AI139" s="202" t="inlineStr">
        <is>
          <t>No</t>
        </is>
      </c>
      <c r="AJ139" s="202" t="inlineStr">
        <is>
          <t>No</t>
        </is>
      </c>
      <c r="AK139" s="202" t="inlineStr">
        <is>
          <t>No</t>
        </is>
      </c>
      <c r="AL139" s="202" t="inlineStr">
        <is>
          <t>No</t>
        </is>
      </c>
      <c r="AM139" s="202" t="inlineStr">
        <is>
          <t>No</t>
        </is>
      </c>
      <c r="AN139" s="202" t="inlineStr">
        <is>
          <t>No</t>
        </is>
      </c>
      <c r="AO139" s="202" t="inlineStr">
        <is>
          <t>No</t>
        </is>
      </c>
      <c r="AP139" s="202" t="inlineStr">
        <is>
          <t>No</t>
        </is>
      </c>
      <c r="AQ139" s="202" t="inlineStr">
        <is>
          <t>No</t>
        </is>
      </c>
      <c r="AR139" s="202" t="inlineStr">
        <is>
          <t>No</t>
        </is>
      </c>
      <c r="AS139" s="202" t="inlineStr">
        <is>
          <t>No</t>
        </is>
      </c>
      <c r="AT139" s="202" t="inlineStr">
        <is>
          <t>No</t>
        </is>
      </c>
      <c r="AU139" s="202" t="inlineStr">
        <is>
          <t>No</t>
        </is>
      </c>
      <c r="AV139" s="202" t="inlineStr">
        <is>
          <t>No</t>
        </is>
      </c>
      <c r="AW139" s="202" t="inlineStr">
        <is>
          <t>No</t>
        </is>
      </c>
      <c r="AX139" s="202" t="inlineStr">
        <is>
          <t>No</t>
        </is>
      </c>
      <c r="AY139" s="202" t="inlineStr">
        <is>
          <t>No</t>
        </is>
      </c>
      <c r="AZ139" s="202" t="inlineStr">
        <is>
          <t>No</t>
        </is>
      </c>
      <c r="BA139" s="202" t="inlineStr">
        <is>
          <t>No</t>
        </is>
      </c>
      <c r="BB139" s="202" t="inlineStr">
        <is>
          <t>No</t>
        </is>
      </c>
      <c r="BC139" s="202" t="inlineStr">
        <is>
          <t>No</t>
        </is>
      </c>
      <c r="BD139" s="202" t="inlineStr">
        <is>
          <t>No</t>
        </is>
      </c>
      <c r="BE139" s="202" t="inlineStr">
        <is>
          <t>No</t>
        </is>
      </c>
      <c r="BF139" s="202" t="inlineStr">
        <is>
          <t>No</t>
        </is>
      </c>
      <c r="BG139" s="202" t="inlineStr">
        <is>
          <t>No</t>
        </is>
      </c>
      <c r="BH139" s="202" t="inlineStr">
        <is>
          <t>No</t>
        </is>
      </c>
      <c r="BI139" s="202" t="inlineStr">
        <is>
          <t>No</t>
        </is>
      </c>
      <c r="BJ139" s="202" t="inlineStr">
        <is>
          <t>No</t>
        </is>
      </c>
      <c r="BK139" s="202" t="inlineStr">
        <is>
          <t>No</t>
        </is>
      </c>
      <c r="BL139" s="202" t="inlineStr">
        <is>
          <t>No</t>
        </is>
      </c>
      <c r="BM139" s="202" t="inlineStr">
        <is>
          <t>No</t>
        </is>
      </c>
      <c r="BN139" s="202" t="inlineStr">
        <is>
          <t>No</t>
        </is>
      </c>
      <c r="BO139" s="202" t="inlineStr">
        <is>
          <t>No</t>
        </is>
      </c>
      <c r="BP139" s="202" t="inlineStr">
        <is>
          <t>No</t>
        </is>
      </c>
      <c r="BQ139" s="202" t="inlineStr">
        <is>
          <t>No</t>
        </is>
      </c>
      <c r="BR139" s="202" t="inlineStr">
        <is>
          <t>No</t>
        </is>
      </c>
      <c r="BS139" s="202" t="inlineStr">
        <is>
          <t>No</t>
        </is>
      </c>
      <c r="BT139" s="202" t="inlineStr">
        <is>
          <t>No</t>
        </is>
      </c>
      <c r="BU139" s="202" t="inlineStr">
        <is>
          <t>No</t>
        </is>
      </c>
      <c r="BV139" s="202" t="inlineStr">
        <is>
          <t>No</t>
        </is>
      </c>
      <c r="BW139" s="202" t="inlineStr">
        <is>
          <t>No</t>
        </is>
      </c>
      <c r="BX139" s="202" t="inlineStr">
        <is>
          <t>No</t>
        </is>
      </c>
      <c r="BY139" s="202" t="inlineStr">
        <is>
          <t>No</t>
        </is>
      </c>
      <c r="BZ139" s="202" t="inlineStr">
        <is>
          <t>No</t>
        </is>
      </c>
      <c r="CA139" s="202" t="inlineStr">
        <is>
          <t>No</t>
        </is>
      </c>
      <c r="CB139" s="202" t="inlineStr">
        <is>
          <t>No</t>
        </is>
      </c>
      <c r="CC139" s="202" t="inlineStr">
        <is>
          <t>No</t>
        </is>
      </c>
      <c r="CD139" s="202" t="inlineStr">
        <is>
          <t>No</t>
        </is>
      </c>
      <c r="CE139" s="202" t="inlineStr">
        <is>
          <t>No</t>
        </is>
      </c>
      <c r="CF139" s="202" t="inlineStr">
        <is>
          <t>No</t>
        </is>
      </c>
      <c r="CG139" s="202" t="inlineStr">
        <is>
          <t>No</t>
        </is>
      </c>
      <c r="CH139" s="202" t="inlineStr">
        <is>
          <t>No</t>
        </is>
      </c>
      <c r="CI139" s="202" t="inlineStr">
        <is>
          <t>No</t>
        </is>
      </c>
      <c r="CJ139" s="202" t="inlineStr">
        <is>
          <t>No</t>
        </is>
      </c>
      <c r="CK139" s="202" t="inlineStr">
        <is>
          <t>No</t>
        </is>
      </c>
      <c r="CL139" s="202" t="inlineStr">
        <is>
          <t>No</t>
        </is>
      </c>
      <c r="CM139" s="202" t="inlineStr">
        <is>
          <t>No</t>
        </is>
      </c>
      <c r="CN139" s="202" t="inlineStr">
        <is>
          <t>No</t>
        </is>
      </c>
      <c r="CO139" s="202" t="inlineStr">
        <is>
          <t>No</t>
        </is>
      </c>
      <c r="CP139" s="202" t="inlineStr">
        <is>
          <t>No</t>
        </is>
      </c>
      <c r="CQ139" s="202" t="inlineStr">
        <is>
          <t>No</t>
        </is>
      </c>
      <c r="CR139" s="202" t="inlineStr">
        <is>
          <t>No</t>
        </is>
      </c>
      <c r="CS139" s="202" t="inlineStr">
        <is>
          <t>No</t>
        </is>
      </c>
      <c r="CT139" s="202" t="inlineStr">
        <is>
          <t>No</t>
        </is>
      </c>
      <c r="CU139" s="202" t="inlineStr">
        <is>
          <t>No</t>
        </is>
      </c>
      <c r="CV139" s="202" t="inlineStr">
        <is>
          <t>No</t>
        </is>
      </c>
      <c r="CW139" s="202" t="inlineStr">
        <is>
          <t>No</t>
        </is>
      </c>
      <c r="CX139" s="202" t="inlineStr">
        <is>
          <t>No</t>
        </is>
      </c>
      <c r="CY139" s="202" t="inlineStr">
        <is>
          <t>No</t>
        </is>
      </c>
      <c r="CZ139" s="202" t="inlineStr">
        <is>
          <t>No</t>
        </is>
      </c>
      <c r="DA139" s="202" t="inlineStr">
        <is>
          <t>No</t>
        </is>
      </c>
      <c r="DB139" s="202" t="inlineStr">
        <is>
          <t>No</t>
        </is>
      </c>
      <c r="DC139" s="202" t="inlineStr">
        <is>
          <t>No</t>
        </is>
      </c>
      <c r="DD139" s="202" t="inlineStr">
        <is>
          <t>No</t>
        </is>
      </c>
      <c r="DE139" s="202" t="inlineStr">
        <is>
          <t>No</t>
        </is>
      </c>
      <c r="DF139" s="202" t="inlineStr">
        <is>
          <t>No</t>
        </is>
      </c>
      <c r="DG139" s="202" t="inlineStr">
        <is>
          <t>No</t>
        </is>
      </c>
      <c r="DH139" s="202" t="inlineStr">
        <is>
          <t>No</t>
        </is>
      </c>
      <c r="DI139" s="202" t="inlineStr">
        <is>
          <t>No</t>
        </is>
      </c>
      <c r="DJ139" s="202" t="inlineStr">
        <is>
          <t>No</t>
        </is>
      </c>
      <c r="DK139" s="202" t="inlineStr">
        <is>
          <t>No</t>
        </is>
      </c>
      <c r="DL139" s="202" t="inlineStr">
        <is>
          <t>No</t>
        </is>
      </c>
      <c r="DM139" s="202" t="inlineStr">
        <is>
          <t>No</t>
        </is>
      </c>
      <c r="DN139" s="202" t="inlineStr">
        <is>
          <t>No</t>
        </is>
      </c>
      <c r="DO139" s="202" t="inlineStr">
        <is>
          <t>No</t>
        </is>
      </c>
      <c r="DP139" s="202" t="inlineStr">
        <is>
          <t>No</t>
        </is>
      </c>
      <c r="DQ139" s="202" t="inlineStr">
        <is>
          <t>No</t>
        </is>
      </c>
      <c r="DR139" s="202" t="inlineStr">
        <is>
          <t>No</t>
        </is>
      </c>
      <c r="DS139" s="202" t="inlineStr">
        <is>
          <t>No</t>
        </is>
      </c>
      <c r="DT139" s="202" t="inlineStr">
        <is>
          <t>No</t>
        </is>
      </c>
      <c r="DU139" s="202" t="inlineStr">
        <is>
          <t>No</t>
        </is>
      </c>
      <c r="DV139" s="202" t="inlineStr">
        <is>
          <t>No</t>
        </is>
      </c>
      <c r="DW139" s="202" t="inlineStr">
        <is>
          <t>No</t>
        </is>
      </c>
      <c r="DX139" s="202" t="inlineStr">
        <is>
          <t>No</t>
        </is>
      </c>
      <c r="DY139" s="202" t="inlineStr">
        <is>
          <t>No</t>
        </is>
      </c>
      <c r="DZ139" s="202" t="inlineStr">
        <is>
          <t>No</t>
        </is>
      </c>
      <c r="EA139" s="202" t="inlineStr">
        <is>
          <t>No</t>
        </is>
      </c>
      <c r="EB139" s="202" t="inlineStr">
        <is>
          <t>No</t>
        </is>
      </c>
      <c r="EC139" s="202" t="inlineStr">
        <is>
          <t>No</t>
        </is>
      </c>
      <c r="ED139" s="202" t="inlineStr">
        <is>
          <t>No</t>
        </is>
      </c>
      <c r="EE139" s="202" t="inlineStr">
        <is>
          <t>No</t>
        </is>
      </c>
      <c r="EF139" s="202" t="inlineStr">
        <is>
          <t>No</t>
        </is>
      </c>
      <c r="EG139" s="202" t="inlineStr">
        <is>
          <t>No</t>
        </is>
      </c>
      <c r="EH139" s="202" t="inlineStr">
        <is>
          <t>No</t>
        </is>
      </c>
      <c r="EI139" s="202" t="inlineStr">
        <is>
          <t>No</t>
        </is>
      </c>
      <c r="EJ139" s="202" t="inlineStr">
        <is>
          <t>No</t>
        </is>
      </c>
      <c r="EK139" s="202" t="inlineStr">
        <is>
          <t>No</t>
        </is>
      </c>
      <c r="EL139" s="182" t="n"/>
      <c r="EM139" s="176" t="n"/>
      <c r="EN139" s="176" t="n"/>
      <c r="EO139" s="176" t="n"/>
      <c r="EP139" s="176" t="n"/>
      <c r="EQ139" s="176" t="n"/>
      <c r="ER139" s="176" t="n"/>
      <c r="ES139" s="176" t="n"/>
      <c r="ET139" s="176" t="n"/>
      <c r="EU139" s="176" t="n"/>
      <c r="EV139" s="176" t="n"/>
      <c r="EW139" s="176" t="n"/>
      <c r="EX139" s="176" t="n"/>
      <c r="EY139" s="176" t="n"/>
      <c r="EZ139" s="176" t="n"/>
      <c r="FA139" s="176" t="n"/>
      <c r="FB139" s="176" t="n"/>
      <c r="FC139" s="176" t="n"/>
      <c r="FD139" s="176" t="n"/>
      <c r="FE139" s="176" t="n"/>
      <c r="FF139" s="176" t="n"/>
      <c r="FG139" s="176" t="n"/>
      <c r="FH139" s="176" t="n"/>
      <c r="FI139" s="176" t="n"/>
      <c r="FJ139" s="176" t="n"/>
    </row>
    <row r="140" ht="15" customHeight="1" s="392">
      <c r="A140" s="176" t="n"/>
      <c r="B140" s="180" t="n"/>
      <c r="EL140" s="182" t="n"/>
      <c r="EM140" s="176" t="n"/>
      <c r="EN140" s="176" t="n"/>
      <c r="EO140" s="176" t="n"/>
      <c r="EP140" s="176" t="n"/>
      <c r="EQ140" s="176" t="n"/>
      <c r="ER140" s="176" t="n"/>
      <c r="ES140" s="176" t="n"/>
      <c r="ET140" s="176" t="n"/>
      <c r="EU140" s="176" t="n"/>
      <c r="EV140" s="176" t="n"/>
      <c r="EW140" s="176" t="n"/>
      <c r="EX140" s="176" t="n"/>
      <c r="EY140" s="176" t="n"/>
      <c r="EZ140" s="176" t="n"/>
      <c r="FA140" s="176" t="n"/>
      <c r="FB140" s="176" t="n"/>
      <c r="FC140" s="176" t="n"/>
      <c r="FD140" s="176" t="n"/>
      <c r="FE140" s="176" t="n"/>
      <c r="FF140" s="176" t="n"/>
      <c r="FG140" s="176" t="n"/>
      <c r="FH140" s="176" t="n"/>
      <c r="FI140" s="176" t="n"/>
      <c r="FJ140" s="176" t="n"/>
    </row>
    <row r="141" ht="15" customHeight="1" s="392">
      <c r="A141" s="176" t="n"/>
      <c r="B141" s="180" t="n"/>
      <c r="EL141" s="182" t="n"/>
      <c r="EM141" s="176" t="n"/>
      <c r="EN141" s="176" t="n"/>
      <c r="EO141" s="176" t="n"/>
      <c r="EP141" s="176" t="n"/>
      <c r="EQ141" s="176" t="n"/>
      <c r="ER141" s="176" t="n"/>
      <c r="ES141" s="176" t="n"/>
      <c r="ET141" s="176" t="n"/>
      <c r="EU141" s="176" t="n"/>
      <c r="EV141" s="176" t="n"/>
      <c r="EW141" s="176" t="n"/>
      <c r="EX141" s="176" t="n"/>
      <c r="EY141" s="176" t="n"/>
      <c r="EZ141" s="176" t="n"/>
      <c r="FA141" s="176" t="n"/>
      <c r="FB141" s="176" t="n"/>
      <c r="FC141" s="176" t="n"/>
      <c r="FD141" s="176" t="n"/>
      <c r="FE141" s="176" t="n"/>
      <c r="FF141" s="176" t="n"/>
      <c r="FG141" s="176" t="n"/>
      <c r="FH141" s="176" t="n"/>
      <c r="FI141" s="176" t="n"/>
      <c r="FJ141" s="176" t="n"/>
    </row>
    <row r="142" ht="15" customHeight="1" s="392">
      <c r="A142" s="176" t="n"/>
      <c r="B142" s="180" t="n"/>
      <c r="C142" s="183" t="inlineStr">
        <is>
          <t>© PitchBook Data, Inc.  2026</t>
        </is>
      </c>
      <c r="EL142" s="182" t="n"/>
      <c r="EM142" s="176" t="n"/>
      <c r="EN142" s="176" t="n"/>
      <c r="EO142" s="176" t="n"/>
      <c r="EP142" s="176" t="n"/>
      <c r="EQ142" s="176" t="n"/>
      <c r="ER142" s="176" t="n"/>
      <c r="ES142" s="176" t="n"/>
      <c r="ET142" s="176" t="n"/>
      <c r="EU142" s="176" t="n"/>
      <c r="EV142" s="176" t="n"/>
      <c r="EW142" s="176" t="n"/>
      <c r="EX142" s="176" t="n"/>
      <c r="EY142" s="176" t="n"/>
      <c r="EZ142" s="176" t="n"/>
      <c r="FA142" s="176" t="n"/>
      <c r="FB142" s="176" t="n"/>
      <c r="FC142" s="176" t="n"/>
      <c r="FD142" s="176" t="n"/>
      <c r="FE142" s="176" t="n"/>
      <c r="FF142" s="176" t="n"/>
      <c r="FG142" s="176" t="n"/>
      <c r="FH142" s="176" t="n"/>
      <c r="FI142" s="176" t="n"/>
      <c r="FJ142" s="176" t="n"/>
    </row>
    <row r="143" ht="15" customHeight="1" s="392">
      <c r="A143" s="176" t="n"/>
      <c r="B143" s="180" t="n"/>
      <c r="EL143" s="182" t="n"/>
      <c r="EM143" s="176" t="n"/>
      <c r="EN143" s="176" t="n"/>
      <c r="EO143" s="176" t="n"/>
      <c r="EP143" s="176" t="n"/>
      <c r="EQ143" s="176" t="n"/>
      <c r="ER143" s="176" t="n"/>
      <c r="ES143" s="176" t="n"/>
      <c r="ET143" s="176" t="n"/>
      <c r="EU143" s="176" t="n"/>
      <c r="EV143" s="176" t="n"/>
      <c r="EW143" s="176" t="n"/>
      <c r="EX143" s="176" t="n"/>
      <c r="EY143" s="176" t="n"/>
      <c r="EZ143" s="176" t="n"/>
      <c r="FA143" s="176" t="n"/>
      <c r="FB143" s="176" t="n"/>
      <c r="FC143" s="176" t="n"/>
      <c r="FD143" s="176" t="n"/>
      <c r="FE143" s="176" t="n"/>
      <c r="FF143" s="176" t="n"/>
      <c r="FG143" s="176" t="n"/>
      <c r="FH143" s="176" t="n"/>
      <c r="FI143" s="176" t="n"/>
      <c r="FJ143" s="176" t="n"/>
    </row>
    <row r="144" ht="15" customHeight="1" s="392">
      <c r="A144" s="176" t="n"/>
      <c r="B144" s="203" t="n"/>
      <c r="C144" s="204" t="n"/>
      <c r="D144" s="204" t="n"/>
      <c r="E144" s="204" t="n"/>
      <c r="F144" s="204" t="n"/>
      <c r="G144" s="204" t="n"/>
      <c r="H144" s="204" t="n"/>
      <c r="I144" s="204" t="n"/>
      <c r="J144" s="204" t="n"/>
      <c r="K144" s="204" t="n"/>
      <c r="L144" s="204" t="n"/>
      <c r="M144" s="204" t="n"/>
      <c r="N144" s="204" t="n"/>
      <c r="O144" s="204" t="n"/>
      <c r="P144" s="204" t="n"/>
      <c r="Q144" s="204" t="n"/>
      <c r="R144" s="204" t="n"/>
      <c r="S144" s="204" t="n"/>
      <c r="T144" s="204" t="n"/>
      <c r="U144" s="204" t="n"/>
      <c r="V144" s="204" t="n"/>
      <c r="W144" s="204" t="n"/>
      <c r="X144" s="204" t="n"/>
      <c r="Y144" s="204" t="n"/>
      <c r="Z144" s="204" t="n"/>
      <c r="AA144" s="204" t="n"/>
      <c r="AB144" s="204" t="n"/>
      <c r="AC144" s="204" t="n"/>
      <c r="AD144" s="204" t="n"/>
      <c r="AE144" s="204" t="n"/>
      <c r="AF144" s="204" t="n"/>
      <c r="AG144" s="204" t="n"/>
      <c r="AH144" s="204" t="n"/>
      <c r="AI144" s="204" t="n"/>
      <c r="AJ144" s="204" t="n"/>
      <c r="AK144" s="204" t="n"/>
      <c r="AL144" s="204" t="n"/>
      <c r="AM144" s="204" t="n"/>
      <c r="AN144" s="204" t="n"/>
      <c r="AO144" s="204" t="n"/>
      <c r="AP144" s="204" t="n"/>
      <c r="AQ144" s="204" t="n"/>
      <c r="AR144" s="204" t="n"/>
      <c r="AS144" s="204" t="n"/>
      <c r="AT144" s="204" t="n"/>
      <c r="AU144" s="204" t="n"/>
      <c r="AV144" s="204" t="n"/>
      <c r="AW144" s="204" t="n"/>
      <c r="AX144" s="204" t="n"/>
      <c r="AY144" s="204" t="n"/>
      <c r="AZ144" s="204" t="n"/>
      <c r="BA144" s="204" t="n"/>
      <c r="BB144" s="204" t="n"/>
      <c r="BC144" s="204" t="n"/>
      <c r="BD144" s="204" t="n"/>
      <c r="BE144" s="204" t="n"/>
      <c r="BF144" s="204" t="n"/>
      <c r="BG144" s="204" t="n"/>
      <c r="BH144" s="204" t="n"/>
      <c r="BI144" s="204" t="n"/>
      <c r="BJ144" s="204" t="n"/>
      <c r="BK144" s="204" t="n"/>
      <c r="BL144" s="204" t="n"/>
      <c r="BM144" s="204" t="n"/>
      <c r="BN144" s="204" t="n"/>
      <c r="BO144" s="204" t="n"/>
      <c r="BP144" s="204" t="n"/>
      <c r="BQ144" s="204" t="n"/>
      <c r="BR144" s="204" t="n"/>
      <c r="BS144" s="204" t="n"/>
      <c r="BT144" s="204" t="n"/>
      <c r="BU144" s="204" t="n"/>
      <c r="BV144" s="204" t="n"/>
      <c r="BW144" s="204" t="n"/>
      <c r="BX144" s="204" t="n"/>
      <c r="BY144" s="204" t="n"/>
      <c r="BZ144" s="204" t="n"/>
      <c r="CA144" s="204" t="n"/>
      <c r="CB144" s="204" t="n"/>
      <c r="CC144" s="204" t="n"/>
      <c r="CD144" s="204" t="n"/>
      <c r="CE144" s="204" t="n"/>
      <c r="CF144" s="204" t="n"/>
      <c r="CG144" s="204" t="n"/>
      <c r="CH144" s="204" t="n"/>
      <c r="CI144" s="204" t="n"/>
      <c r="CJ144" s="204" t="n"/>
      <c r="CK144" s="204" t="n"/>
      <c r="CL144" s="204" t="n"/>
      <c r="CM144" s="204" t="n"/>
      <c r="CN144" s="204" t="n"/>
      <c r="CO144" s="204" t="n"/>
      <c r="CP144" s="204" t="n"/>
      <c r="CQ144" s="204" t="n"/>
      <c r="CR144" s="204" t="n"/>
      <c r="CS144" s="204" t="n"/>
      <c r="CT144" s="204" t="n"/>
      <c r="CU144" s="204" t="n"/>
      <c r="CV144" s="204" t="n"/>
      <c r="CW144" s="204" t="n"/>
      <c r="CX144" s="204" t="n"/>
      <c r="CY144" s="204" t="n"/>
      <c r="CZ144" s="204" t="n"/>
      <c r="DA144" s="204" t="n"/>
      <c r="DB144" s="204" t="n"/>
      <c r="DC144" s="204" t="n"/>
      <c r="DD144" s="204" t="n"/>
      <c r="DE144" s="204" t="n"/>
      <c r="DF144" s="204" t="n"/>
      <c r="DG144" s="204" t="n"/>
      <c r="DH144" s="204" t="n"/>
      <c r="DI144" s="204" t="n"/>
      <c r="DJ144" s="204" t="n"/>
      <c r="DK144" s="204" t="n"/>
      <c r="DL144" s="204" t="n"/>
      <c r="DM144" s="204" t="n"/>
      <c r="DN144" s="204" t="n"/>
      <c r="DO144" s="204" t="n"/>
      <c r="DP144" s="204" t="n"/>
      <c r="DQ144" s="204" t="n"/>
      <c r="DR144" s="204" t="n"/>
      <c r="DS144" s="204" t="n"/>
      <c r="DT144" s="204" t="n"/>
      <c r="DU144" s="204" t="n"/>
      <c r="DV144" s="204" t="n"/>
      <c r="DW144" s="204" t="n"/>
      <c r="DX144" s="204" t="n"/>
      <c r="DY144" s="204" t="n"/>
      <c r="DZ144" s="204" t="n"/>
      <c r="EA144" s="204" t="n"/>
      <c r="EB144" s="204" t="n"/>
      <c r="EC144" s="204" t="n"/>
      <c r="ED144" s="204" t="n"/>
      <c r="EE144" s="204" t="n"/>
      <c r="EF144" s="204" t="n"/>
      <c r="EG144" s="204" t="n"/>
      <c r="EH144" s="204" t="n"/>
      <c r="EI144" s="204" t="n"/>
      <c r="EJ144" s="204" t="n"/>
      <c r="EK144" s="204" t="n"/>
      <c r="EL144" s="205" t="n"/>
      <c r="EM144" s="176" t="n"/>
      <c r="EN144" s="176" t="n"/>
      <c r="EO144" s="176" t="n"/>
      <c r="EP144" s="176" t="n"/>
      <c r="EQ144" s="176" t="n"/>
      <c r="ER144" s="176" t="n"/>
      <c r="ES144" s="176" t="n"/>
      <c r="ET144" s="176" t="n"/>
      <c r="EU144" s="176" t="n"/>
      <c r="EV144" s="176" t="n"/>
      <c r="EW144" s="176" t="n"/>
      <c r="EX144" s="176" t="n"/>
      <c r="EY144" s="176" t="n"/>
      <c r="EZ144" s="176" t="n"/>
      <c r="FA144" s="176" t="n"/>
      <c r="FB144" s="176" t="n"/>
      <c r="FC144" s="176" t="n"/>
      <c r="FD144" s="176" t="n"/>
      <c r="FE144" s="176" t="n"/>
      <c r="FF144" s="176" t="n"/>
      <c r="FG144" s="176" t="n"/>
      <c r="FH144" s="176" t="n"/>
      <c r="FI144" s="176" t="n"/>
      <c r="FJ144" s="176" t="n"/>
    </row>
    <row r="145" ht="15" customHeight="1" s="392">
      <c r="A145" s="176" t="n"/>
      <c r="B145" s="176" t="n"/>
      <c r="C145" s="176" t="n"/>
      <c r="D145" s="176" t="n"/>
      <c r="E145" s="176" t="n"/>
      <c r="F145" s="176" t="n"/>
      <c r="G145" s="176" t="n"/>
      <c r="H145" s="176" t="n"/>
      <c r="I145" s="176" t="n"/>
      <c r="J145" s="176" t="n"/>
      <c r="K145" s="176" t="n"/>
      <c r="L145" s="176" t="n"/>
      <c r="M145" s="176" t="n"/>
      <c r="N145" s="176" t="n"/>
      <c r="O145" s="176" t="n"/>
      <c r="P145" s="176" t="n"/>
      <c r="Q145" s="176" t="n"/>
      <c r="R145" s="176" t="n"/>
      <c r="S145" s="176" t="n"/>
      <c r="T145" s="176" t="n"/>
      <c r="U145" s="176" t="n"/>
      <c r="V145" s="176" t="n"/>
      <c r="W145" s="176" t="n"/>
      <c r="X145" s="176" t="n"/>
      <c r="Y145" s="176" t="n"/>
      <c r="Z145" s="176" t="n"/>
      <c r="AA145" s="176" t="n"/>
      <c r="AB145" s="176" t="n"/>
      <c r="AC145" s="176" t="n"/>
      <c r="AD145" s="176" t="n"/>
      <c r="AE145" s="176" t="n"/>
      <c r="AF145" s="176" t="n"/>
      <c r="AG145" s="176" t="n"/>
      <c r="AH145" s="176" t="n"/>
      <c r="AI145" s="176" t="n"/>
      <c r="AJ145" s="176" t="n"/>
      <c r="AK145" s="176" t="n"/>
      <c r="AL145" s="176" t="n"/>
      <c r="AM145" s="176" t="n"/>
      <c r="AN145" s="176" t="n"/>
      <c r="AO145" s="176" t="n"/>
      <c r="AP145" s="176" t="n"/>
      <c r="AQ145" s="176" t="n"/>
      <c r="AR145" s="176" t="n"/>
      <c r="AS145" s="176" t="n"/>
      <c r="AT145" s="176" t="n"/>
      <c r="AU145" s="176" t="n"/>
      <c r="AV145" s="176" t="n"/>
      <c r="AW145" s="176" t="n"/>
      <c r="AX145" s="176" t="n"/>
      <c r="AY145" s="176" t="n"/>
      <c r="AZ145" s="176" t="n"/>
      <c r="BA145" s="176" t="n"/>
      <c r="BB145" s="176" t="n"/>
      <c r="BC145" s="176" t="n"/>
      <c r="BD145" s="176" t="n"/>
      <c r="BE145" s="176" t="n"/>
      <c r="BF145" s="176" t="n"/>
      <c r="BG145" s="176" t="n"/>
      <c r="BH145" s="176" t="n"/>
      <c r="BI145" s="176" t="n"/>
      <c r="BJ145" s="176" t="n"/>
      <c r="BK145" s="176" t="n"/>
      <c r="BL145" s="176" t="n"/>
      <c r="BM145" s="176" t="n"/>
      <c r="BN145" s="176" t="n"/>
      <c r="BO145" s="176" t="n"/>
      <c r="BP145" s="176" t="n"/>
      <c r="BQ145" s="176" t="n"/>
      <c r="BR145" s="176" t="n"/>
      <c r="BS145" s="176" t="n"/>
      <c r="BT145" s="176" t="n"/>
      <c r="BU145" s="176" t="n"/>
      <c r="BV145" s="176" t="n"/>
      <c r="BW145" s="176" t="n"/>
      <c r="BX145" s="176" t="n"/>
      <c r="BY145" s="176" t="n"/>
      <c r="BZ145" s="176" t="n"/>
      <c r="CA145" s="176" t="n"/>
      <c r="CB145" s="176" t="n"/>
      <c r="CC145" s="176" t="n"/>
      <c r="CD145" s="176" t="n"/>
      <c r="CE145" s="176" t="n"/>
      <c r="CF145" s="176" t="n"/>
      <c r="CG145" s="176" t="n"/>
      <c r="CH145" s="176" t="n"/>
      <c r="CI145" s="176" t="n"/>
      <c r="CJ145" s="176" t="n"/>
      <c r="CK145" s="176" t="n"/>
      <c r="CL145" s="176" t="n"/>
      <c r="CM145" s="176" t="n"/>
      <c r="CN145" s="176" t="n"/>
      <c r="CO145" s="176" t="n"/>
      <c r="CP145" s="176" t="n"/>
      <c r="CQ145" s="176" t="n"/>
      <c r="CR145" s="176" t="n"/>
      <c r="CS145" s="176" t="n"/>
      <c r="CT145" s="176" t="n"/>
      <c r="CU145" s="176" t="n"/>
      <c r="CV145" s="176" t="n"/>
      <c r="CW145" s="176" t="n"/>
      <c r="CX145" s="176" t="n"/>
      <c r="CY145" s="176" t="n"/>
      <c r="CZ145" s="176" t="n"/>
      <c r="DA145" s="176" t="n"/>
      <c r="DB145" s="176" t="n"/>
      <c r="DC145" s="176" t="n"/>
      <c r="DD145" s="176" t="n"/>
      <c r="DE145" s="176" t="n"/>
      <c r="DF145" s="176" t="n"/>
      <c r="DG145" s="176" t="n"/>
      <c r="DH145" s="176" t="n"/>
      <c r="DI145" s="176" t="n"/>
      <c r="DJ145" s="176" t="n"/>
      <c r="DK145" s="176" t="n"/>
      <c r="DL145" s="176" t="n"/>
      <c r="DM145" s="176" t="n"/>
      <c r="DN145" s="176" t="n"/>
      <c r="DO145" s="176" t="n"/>
      <c r="DP145" s="176" t="n"/>
      <c r="DQ145" s="176" t="n"/>
      <c r="DR145" s="176" t="n"/>
      <c r="DS145" s="176" t="n"/>
      <c r="DT145" s="176" t="n"/>
      <c r="DU145" s="176" t="n"/>
      <c r="DV145" s="176" t="n"/>
      <c r="DW145" s="176" t="n"/>
      <c r="DX145" s="176" t="n"/>
      <c r="DY145" s="176" t="n"/>
      <c r="DZ145" s="176" t="n"/>
      <c r="EA145" s="176" t="n"/>
      <c r="EB145" s="176" t="n"/>
      <c r="EC145" s="176" t="n"/>
      <c r="ED145" s="176" t="n"/>
      <c r="EE145" s="176" t="n"/>
      <c r="EF145" s="176" t="n"/>
      <c r="EG145" s="176" t="n"/>
      <c r="EH145" s="176" t="n"/>
      <c r="EI145" s="176" t="n"/>
      <c r="EJ145" s="176" t="n"/>
      <c r="EK145" s="176" t="n"/>
      <c r="EL145" s="176" t="n"/>
      <c r="EM145" s="176" t="n"/>
      <c r="EN145" s="176" t="n"/>
      <c r="EO145" s="176" t="n"/>
      <c r="EP145" s="176" t="n"/>
      <c r="EQ145" s="176" t="n"/>
      <c r="ER145" s="176" t="n"/>
      <c r="ES145" s="176" t="n"/>
      <c r="ET145" s="176" t="n"/>
      <c r="EU145" s="176" t="n"/>
      <c r="EV145" s="176" t="n"/>
      <c r="EW145" s="176" t="n"/>
      <c r="EX145" s="176" t="n"/>
      <c r="EY145" s="176" t="n"/>
      <c r="EZ145" s="176" t="n"/>
      <c r="FA145" s="176" t="n"/>
      <c r="FB145" s="176" t="n"/>
      <c r="FC145" s="176" t="n"/>
      <c r="FD145" s="176" t="n"/>
      <c r="FE145" s="176" t="n"/>
      <c r="FF145" s="176" t="n"/>
      <c r="FG145" s="176" t="n"/>
      <c r="FH145" s="176" t="n"/>
      <c r="FI145" s="176" t="n"/>
      <c r="FJ145" s="176" t="n"/>
    </row>
  </sheetData>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2026-09-27T05:54:33Z</dcterms:created>
  <dcterms:modified xmlns:dcterms="http://purl.org/dc/terms/" xmlns:xsi="http://www.w3.org/2001/XMLSchema-instance" xsi:type="dcterms:W3CDTF">2026-10-02T22:41:48Z</dcterms:modified>
  <cp:lastModifiedBy>Wu, Kendall Shen</cp:lastModifiedBy>
  <cp:revision>0</cp:revision>
</cp:coreProperties>
</file>