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 numFmtId="180" formatCode="&quot;$&quot;#,##0_);\(&quot;$&quot;#,##0\);\-_)0"/>
  </numFmts>
  <fonts count="83">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
      <name val="Garamond"/>
      <b val="1"/>
      <color rgb="00FF0000"/>
      <sz val="11"/>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55">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xf numFmtId="178" fontId="68" fillId="0" borderId="0" pivotButton="0" quotePrefix="0" xfId="0"/>
    <xf numFmtId="180" fontId="72" fillId="0" borderId="0" pivotButton="0" quotePrefix="0" xfId="0"/>
    <xf numFmtId="180" fontId="69" fillId="0" borderId="0" pivotButton="0" quotePrefix="0" xfId="0"/>
    <xf numFmtId="180" fontId="68" fillId="0" borderId="0" pivotButton="0" quotePrefix="0" xfId="0"/>
    <xf numFmtId="2" fontId="69" fillId="0" borderId="0" pivotButton="0" quotePrefix="0" xfId="0"/>
    <xf numFmtId="1" fontId="82" fillId="0" borderId="0" pivotButton="0" quotePrefix="0" xfId="0"/>
    <xf numFmtId="49" fontId="69" fillId="0" borderId="0" pivotButton="0" quotePrefix="0" xfId="0"/>
    <xf numFmtId="164" fontId="69" fillId="0" borderId="7" applyAlignment="1" pivotButton="0" quotePrefix="0" xfId="0">
      <alignment horizontal="right" vertical="center"/>
    </xf>
    <xf numFmtId="164" fontId="69" fillId="0" borderId="0" applyAlignment="1" pivotButton="0" quotePrefix="0" xfId="0">
      <alignment horizontal="right" vertical="center"/>
    </xf>
    <xf numFmtId="165" fontId="68" fillId="4" borderId="7" applyAlignment="1" pivotButton="0" quotePrefix="0" xfId="0">
      <alignment horizontal="right" vertical="center"/>
    </xf>
    <xf numFmtId="165" fontId="68" fillId="4" borderId="0" applyAlignment="1" pivotButton="0" quotePrefix="0" xfId="0">
      <alignment horizontal="right" vertical="center"/>
    </xf>
    <xf numFmtId="180" fontId="75" fillId="0" borderId="0" pivotButton="0" quotePrefix="0" xfId="0"/>
    <xf numFmtId="0" fontId="72" fillId="0" borderId="0" applyAlignment="1" pivotButton="0" quotePrefix="0" xfId="0">
      <alignment indent="1"/>
    </xf>
    <xf numFmtId="175" fontId="75"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2: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2">
      <c r="B2" s="434" t="inlineStr">
        <is>
          <t>Copart, Inc. (NASDAQ: CPRT)</t>
        </is>
      </c>
    </row>
    <row r="3">
      <c r="B3" s="435" t="inlineStr">
        <is>
          <t>Revenue architecture, three-statement model, DCF and reverse DCF — Harvard pitch team, October 2026</t>
        </is>
      </c>
    </row>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7">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42" t="inlineStr">
        <is>
          <t>Purple: value pasted from the Python engine</t>
        </is>
      </c>
    </row>
    <row r="11">
      <c r="B11" s="339" t="inlineStr">
        <is>
          <t>Enterprise value ($m)</t>
        </is>
      </c>
      <c r="D11" s="380">
        <f>D10-DCF!H107-DCF!H108-DCF!H109</f>
        <v/>
      </c>
      <c r="F11" s="335" t="inlineStr">
        <is>
          <t>Grey italic: notes and sources</t>
        </is>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Summary</t>
        </is>
      </c>
      <c r="G16" s="335" t="inlineStr">
        <is>
          <t>headline financials, Street Δ, component delta to Street</t>
        </is>
      </c>
      <c r="H16" s="335" t="inlineStr">
        <is>
          <t>10-K Note 12: 926,298,293 shares at 31 Jul 2026</t>
        </is>
      </c>
    </row>
    <row r="17">
      <c r="B17" s="339" t="inlineStr">
        <is>
          <t>Net shares from options, treasury method (mn): N × max(0, 1 − K/P)</t>
        </is>
      </c>
      <c r="D17" s="433">
        <f>'D 10-K FY26'!C6/1000*MAX(0,1-'D 10-K FY26'!D6/D6)</f>
        <v/>
      </c>
      <c r="F17" s="343" t="inlineStr">
        <is>
          <t>RPM</t>
        </is>
      </c>
      <c r="G17" s="335" t="inlineStr">
        <is>
          <t>one-page revenue build; scenario selector in D3</t>
        </is>
      </c>
      <c r="H17" s="335" t="inlineStr">
        <is>
          <t>10-K Note 12: 12.759m options at a $24.19 weighted-average exercise price</t>
        </is>
      </c>
    </row>
    <row r="18">
      <c r="B18" s="339" t="inlineStr">
        <is>
          <t>Unvested RSUs (mn)</t>
        </is>
      </c>
      <c r="D18" s="433">
        <f>IF(ISNUMBER('D 10-K FY26'!C8),'D 10-K FY26'!C8/1000,0)</f>
        <v/>
      </c>
      <c r="F18" s="343" t="inlineStr">
        <is>
          <t>3SM</t>
        </is>
      </c>
      <c r="G18" s="335" t="inlineStr">
        <is>
          <t>three statements FY22A–FY31E with schedules; feeds the DCF</t>
        </is>
      </c>
      <c r="H18" s="335" t="inlineStr">
        <is>
          <t>RSU count not parsed from the filing text; enter from Note 12 on D 10-K FY26</t>
        </is>
      </c>
    </row>
    <row r="19">
      <c r="F19" s="343" t="inlineStr">
        <is>
          <t>DCF / Reverse DCF</t>
        </is>
      </c>
      <c r="G19" s="335" t="inlineStr">
        <is>
          <t>valuation; WACC and tax build in Reverse DCF columns R–X</t>
        </is>
      </c>
    </row>
    <row r="20">
      <c r="B20" s="339" t="inlineStr">
        <is>
          <t>FY2026A revenue ($m)</t>
        </is>
      </c>
      <c r="D20" s="350">
        <f>RPM!H6</f>
        <v/>
      </c>
      <c r="F20" s="343" t="inlineStr">
        <is>
          <t>E1–E6</t>
        </is>
      </c>
      <c r="G20" s="335" t="inlineStr">
        <is>
          <t>engines: fleet, claims, carriers, aftermarket, fees, branches</t>
        </is>
      </c>
    </row>
    <row r="21">
      <c r="B21" s="339" t="inlineStr">
        <is>
          <t>FY2026A adjusted EBITDA ($m)</t>
        </is>
      </c>
      <c r="D21" s="350">
        <f>DCF!H31</f>
        <v/>
      </c>
      <c r="F21" s="343" t="inlineStr">
        <is>
          <t>Scenarios / Street</t>
        </is>
      </c>
      <c r="G21" s="335" t="inlineStr">
        <is>
          <t>seven cases on one base; broker assumptions</t>
        </is>
      </c>
    </row>
    <row r="22">
      <c r="B22" s="339" t="inlineStr">
        <is>
          <t>FY2027E legacy service revenue, selected case ($m)</t>
        </is>
      </c>
      <c r="D22" s="350">
        <f>RPM!I10</f>
        <v/>
      </c>
      <c r="F22" s="343" t="inlineStr">
        <is>
          <t>Sources / Checks</t>
        </is>
      </c>
      <c r="G22" s="335" t="inlineStr">
        <is>
          <t>every input with its source; live checks</t>
        </is>
      </c>
    </row>
    <row r="23">
      <c r="B23" s="339" t="inlineStr">
        <is>
          <t>Δ to JPMorgan FY27E service revenue ($m)</t>
        </is>
      </c>
      <c r="D23" s="350">
        <f>RPM!D50</f>
        <v/>
      </c>
      <c r="F23" s="343" t="inlineStr">
        <is>
          <t>D …</t>
        </is>
      </c>
      <c r="G23" s="335" t="inlineStr">
        <is>
          <t>data tabs with sources and dates</t>
        </is>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8"/>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row r="62">
      <c r="B62" s="344" t="inlineStr">
        <is>
          <t>Three-statement model (3SM) vs Barclays, FY2027E</t>
        </is>
      </c>
      <c r="C62" s="345" t="n"/>
      <c r="D62" s="345" t="n"/>
      <c r="E62" s="345" t="n"/>
      <c r="F62" s="345" t="n"/>
      <c r="G62" s="345" t="n"/>
      <c r="H62" s="345" t="n"/>
      <c r="I62" s="345" t="n"/>
      <c r="J62" s="345" t="n"/>
      <c r="K62" s="345" t="n"/>
      <c r="L62" s="345" t="n"/>
      <c r="M62" s="345" t="n"/>
      <c r="N62" s="345" t="n"/>
      <c r="O62" s="345" t="n"/>
      <c r="P62" s="345" t="n"/>
      <c r="Q62" s="345" t="n"/>
      <c r="R62" s="345" t="n"/>
      <c r="S62" s="345" t="n"/>
    </row>
    <row r="63">
      <c r="B63" s="339" t="inlineStr">
        <is>
          <t>3SM revenue FY27E</t>
        </is>
      </c>
      <c r="D63" s="351">
        <f>'3SM'!I8</f>
        <v/>
      </c>
      <c r="E63" s="347" t="inlineStr">
        <is>
          <t>$M</t>
        </is>
      </c>
      <c r="F63" s="335" t="inlineStr">
        <is>
          <t>model</t>
        </is>
      </c>
      <c r="H63" s="335" t="inlineStr">
        <is>
          <t>3SM row 8; Δ to Barclays in row 33</t>
        </is>
      </c>
    </row>
    <row r="64">
      <c r="B64" s="339" t="inlineStr">
        <is>
          <t>3SM adjusted EBITDA FY27E</t>
        </is>
      </c>
      <c r="D64" s="351">
        <f>'3SM'!I18</f>
        <v/>
      </c>
      <c r="E64" s="347" t="inlineStr">
        <is>
          <t>$M</t>
        </is>
      </c>
      <c r="F64" s="335" t="inlineStr">
        <is>
          <t>model</t>
        </is>
      </c>
      <c r="H64" s="335" t="inlineStr">
        <is>
          <t>3SM row 18; Barclays 1,916; Δ in row 35</t>
        </is>
      </c>
    </row>
    <row r="65">
      <c r="B65" s="339" t="inlineStr">
        <is>
          <t>3SM diluted EPS FY27E</t>
        </is>
      </c>
      <c r="D65" s="349">
        <f>'3SM'!I28</f>
        <v/>
      </c>
      <c r="E65" s="347" t="inlineStr">
        <is>
          <t>$</t>
        </is>
      </c>
      <c r="F65" s="335" t="inlineStr">
        <is>
          <t>model</t>
        </is>
      </c>
      <c r="H65" s="335" t="inlineStr">
        <is>
          <t>3SM row 28; Barclays $1.56 in row 42</t>
        </is>
      </c>
    </row>
    <row r="66">
      <c r="B66" s="339" t="inlineStr">
        <is>
          <t>3SM free cash flow FY27E (CFO + capex)</t>
        </is>
      </c>
      <c r="D66" s="351">
        <f>'3SM'!I116</f>
        <v/>
      </c>
      <c r="E66" s="347" t="inlineStr">
        <is>
          <t>$M</t>
        </is>
      </c>
      <c r="F66" s="335" t="inlineStr">
        <is>
          <t>model</t>
        </is>
      </c>
      <c r="H66" s="335" t="inlineStr">
        <is>
          <t>3SM row 116</t>
        </is>
      </c>
    </row>
    <row r="67">
      <c r="B67" s="339" t="inlineStr">
        <is>
          <t>3SM cash &amp; HTM FY27E</t>
        </is>
      </c>
      <c r="D67" s="351">
        <f>'3SM'!I49</f>
        <v/>
      </c>
      <c r="E67" s="347" t="inlineStr">
        <is>
          <t>$M</t>
        </is>
      </c>
      <c r="F67" s="335" t="inlineStr">
        <is>
          <t>model</t>
        </is>
      </c>
      <c r="H67" s="335" t="inlineStr">
        <is>
          <t>3SM row 49; Barclays 5,656; Δ in row 82</t>
        </is>
      </c>
    </row>
    <row r="68">
      <c r="B68" s="339" t="inlineStr">
        <is>
          <t>ΔNWC method on the 3SM (1 = days schedule, 2 = Barclays)</t>
        </is>
      </c>
      <c r="D68" s="349">
        <f>'3SM'!D175</f>
        <v/>
      </c>
      <c r="E68" s="347" t="inlineStr">
        <is>
          <t>case</t>
        </is>
      </c>
      <c r="F68" s="335" t="inlineStr">
        <is>
          <t>selector</t>
        </is>
      </c>
      <c r="H68" s="335" t="inlineStr">
        <is>
          <t>3SM D175</t>
        </is>
      </c>
    </row>
  </sheetData>
  <pageMargins left="0.75" right="0.75" top="1" bottom="1" header="0.5" footer="0.5"/>
</worksheet>
</file>

<file path=xl/worksheets/sheet3.xml><?xml version="1.0" encoding="utf-8"?>
<worksheet xmlns="http://schemas.openxmlformats.org/spreadsheetml/2006/main">
  <sheetPr>
    <tabColor rgb="000E2841"/>
    <outlinePr summaryBelow="1" summaryRight="1"/>
    <pageSetUpPr/>
  </sheetPr>
  <dimension ref="B1:S6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13" customWidth="1" min="8" max="8"/>
    <col width="13" customWidth="1" min="9" max="9"/>
    <col width="48" customWidth="1" min="12" max="12"/>
  </cols>
  <sheetData>
    <row r="1">
      <c r="B1" s="333" t="inlineStr">
        <is>
          <t>Copart, Inc. — Summary: headline financials, Street comparison and the component delta to Street</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Every cell links to the 3SM, DCF, Scenarios, Street or D Barclays tab (green). Fiscal years end 31 July. $M except per share. Barclays = 11 Sep 2026 model (Underweight, $25).</t>
        </is>
      </c>
    </row>
    <row r="4">
      <c r="C4" s="372" t="inlineStr">
        <is>
          <t>Units</t>
        </is>
      </c>
      <c r="D4" s="373" t="inlineStr">
        <is>
          <t>Historicals</t>
        </is>
      </c>
      <c r="E4" s="374" t="n"/>
      <c r="F4" s="374" t="n"/>
      <c r="G4" s="373" t="inlineStr">
        <is>
          <t>Projected</t>
        </is>
      </c>
      <c r="H4" s="374" t="n"/>
      <c r="I4" s="374" t="n"/>
      <c r="L4" s="375" t="inlineStr">
        <is>
          <t>Notes / sources</t>
        </is>
      </c>
    </row>
    <row r="5">
      <c r="B5" s="336" t="inlineStr">
        <is>
          <t>Headline financials — 3SM, selected case (RPM D3)</t>
        </is>
      </c>
      <c r="C5" s="337" t="n"/>
      <c r="D5" s="376" t="inlineStr">
        <is>
          <t>FY2024A</t>
        </is>
      </c>
      <c r="E5" s="376" t="inlineStr">
        <is>
          <t>FY2025A</t>
        </is>
      </c>
      <c r="F5" s="376" t="inlineStr">
        <is>
          <t>FY2026A</t>
        </is>
      </c>
      <c r="G5" s="376" t="inlineStr">
        <is>
          <t>FY2027E</t>
        </is>
      </c>
      <c r="H5" s="376" t="inlineStr">
        <is>
          <t>FY2028E</t>
        </is>
      </c>
      <c r="I5" s="376" t="inlineStr">
        <is>
          <t>FY2029E</t>
        </is>
      </c>
      <c r="J5" s="337" t="n"/>
      <c r="K5" s="337" t="n"/>
      <c r="L5" s="337" t="n"/>
      <c r="M5" s="337" t="n"/>
      <c r="N5" s="337" t="n"/>
      <c r="O5" s="337" t="n"/>
      <c r="P5" s="337" t="n"/>
      <c r="Q5" s="337" t="n"/>
      <c r="R5" s="337" t="n"/>
      <c r="S5" s="337" t="n"/>
    </row>
    <row r="6">
      <c r="B6" s="343" t="inlineStr">
        <is>
          <t>Revenue</t>
        </is>
      </c>
      <c r="C6" s="364" t="inlineStr">
        <is>
          <t>$M</t>
        </is>
      </c>
      <c r="D6" s="406">
        <f>'3SM'!F8</f>
        <v/>
      </c>
      <c r="E6" s="406">
        <f>'3SM'!G8</f>
        <v/>
      </c>
      <c r="F6" s="406">
        <f>'3SM'!H8</f>
        <v/>
      </c>
      <c r="G6" s="406">
        <f>'3SM'!I8</f>
        <v/>
      </c>
      <c r="H6" s="406">
        <f>'3SM'!J8</f>
        <v/>
      </c>
      <c r="I6" s="406">
        <f>'3SM'!K8</f>
        <v/>
      </c>
      <c r="L6" s="335" t="inlineStr">
        <is>
          <t>3SM row 8 (RPM)</t>
        </is>
      </c>
    </row>
    <row r="7">
      <c r="B7" s="408" t="inlineStr">
        <is>
          <t>y/y growth</t>
        </is>
      </c>
      <c r="C7" s="364" t="inlineStr">
        <is>
          <t>%</t>
        </is>
      </c>
      <c r="E7" s="382">
        <f>IF(D6=0,0,E6/D6-1)</f>
        <v/>
      </c>
      <c r="F7" s="382">
        <f>IF(E6=0,0,F6/E6-1)</f>
        <v/>
      </c>
      <c r="G7" s="382">
        <f>IF(F6=0,0,G6/F6-1)</f>
        <v/>
      </c>
      <c r="H7" s="382">
        <f>IF(G6=0,0,H6/G6-1)</f>
        <v/>
      </c>
      <c r="I7" s="382">
        <f>IF(H6=0,0,I6/H6-1)</f>
        <v/>
      </c>
    </row>
    <row r="8">
      <c r="B8" s="343" t="inlineStr">
        <is>
          <t>Adjusted EBITDA</t>
        </is>
      </c>
      <c r="C8" s="364" t="inlineStr">
        <is>
          <t>$M</t>
        </is>
      </c>
      <c r="D8" s="406">
        <f>'3SM'!F18</f>
        <v/>
      </c>
      <c r="E8" s="406">
        <f>'3SM'!G18</f>
        <v/>
      </c>
      <c r="F8" s="406">
        <f>'3SM'!H18</f>
        <v/>
      </c>
      <c r="G8" s="406">
        <f>'3SM'!I18</f>
        <v/>
      </c>
      <c r="H8" s="406">
        <f>'3SM'!J18</f>
        <v/>
      </c>
      <c r="I8" s="406">
        <f>'3SM'!K18</f>
        <v/>
      </c>
      <c r="L8" s="335" t="inlineStr">
        <is>
          <t>3SM row 18 (EBIT + D&amp;A, Barclays definition)</t>
        </is>
      </c>
    </row>
    <row r="9">
      <c r="B9" s="408" t="inlineStr">
        <is>
          <t>margin</t>
        </is>
      </c>
      <c r="C9" s="364" t="inlineStr">
        <is>
          <t>%</t>
        </is>
      </c>
      <c r="D9" s="382">
        <f>IF(D6=0,0,D8/D6)</f>
        <v/>
      </c>
      <c r="E9" s="382">
        <f>IF(E6=0,0,E8/E6)</f>
        <v/>
      </c>
      <c r="F9" s="382">
        <f>IF(F6=0,0,F8/F6)</f>
        <v/>
      </c>
      <c r="G9" s="382">
        <f>IF(G6=0,0,G8/G6)</f>
        <v/>
      </c>
      <c r="H9" s="382">
        <f>IF(H6=0,0,H8/H6)</f>
        <v/>
      </c>
      <c r="I9" s="382">
        <f>IF(I6=0,0,I8/I6)</f>
        <v/>
      </c>
    </row>
    <row r="10">
      <c r="B10" s="343" t="inlineStr">
        <is>
          <t>GAAP diluted EPS</t>
        </is>
      </c>
      <c r="C10" s="364" t="inlineStr">
        <is>
          <t>$</t>
        </is>
      </c>
      <c r="D10" s="452">
        <f>'3SM'!F28</f>
        <v/>
      </c>
      <c r="E10" s="452">
        <f>'3SM'!G28</f>
        <v/>
      </c>
      <c r="F10" s="452">
        <f>'3SM'!H28</f>
        <v/>
      </c>
      <c r="G10" s="452">
        <f>'3SM'!I28</f>
        <v/>
      </c>
      <c r="H10" s="452">
        <f>'3SM'!J28</f>
        <v/>
      </c>
      <c r="I10" s="452">
        <f>'3SM'!K28</f>
        <v/>
      </c>
      <c r="L10" s="335" t="inlineStr">
        <is>
          <t>3SM row 28</t>
        </is>
      </c>
    </row>
    <row r="11">
      <c r="B11" s="408" t="inlineStr">
        <is>
          <t>y/y growth</t>
        </is>
      </c>
      <c r="C11" s="364" t="inlineStr">
        <is>
          <t>%</t>
        </is>
      </c>
      <c r="E11" s="382">
        <f>IF(D10=0,0,E10/D10-1)</f>
        <v/>
      </c>
      <c r="F11" s="382">
        <f>IF(E10=0,0,F10/E10-1)</f>
        <v/>
      </c>
      <c r="G11" s="382">
        <f>IF(F10=0,0,G10/F10-1)</f>
        <v/>
      </c>
      <c r="H11" s="382">
        <f>IF(G10=0,0,H10/G10-1)</f>
        <v/>
      </c>
      <c r="I11" s="382">
        <f>IF(H10=0,0,I10/H10-1)</f>
        <v/>
      </c>
    </row>
    <row r="12">
      <c r="B12" s="343" t="inlineStr">
        <is>
          <t>Free cash flow (CFO + capex)</t>
        </is>
      </c>
      <c r="C12" s="364" t="inlineStr">
        <is>
          <t>$M</t>
        </is>
      </c>
      <c r="D12" s="406">
        <f>'3SM'!F116</f>
        <v/>
      </c>
      <c r="E12" s="406">
        <f>'3SM'!G116</f>
        <v/>
      </c>
      <c r="F12" s="406">
        <f>'3SM'!H116</f>
        <v/>
      </c>
      <c r="G12" s="406">
        <f>'3SM'!I116</f>
        <v/>
      </c>
      <c r="H12" s="406">
        <f>'3SM'!J116</f>
        <v/>
      </c>
      <c r="I12" s="406">
        <f>'3SM'!K116</f>
        <v/>
      </c>
      <c r="L12" s="335" t="inlineStr">
        <is>
          <t>3SM row 116</t>
        </is>
      </c>
    </row>
    <row r="13">
      <c r="B13" s="408" t="inlineStr">
        <is>
          <t>margin</t>
        </is>
      </c>
      <c r="C13" s="364" t="inlineStr">
        <is>
          <t>%</t>
        </is>
      </c>
      <c r="D13" s="382">
        <f>IF(D6=0,0,D12/D6)</f>
        <v/>
      </c>
      <c r="E13" s="382">
        <f>IF(E6=0,0,E12/E6)</f>
        <v/>
      </c>
      <c r="F13" s="382">
        <f>IF(F6=0,0,F12/F6)</f>
        <v/>
      </c>
      <c r="G13" s="382">
        <f>IF(G6=0,0,G12/G6)</f>
        <v/>
      </c>
      <c r="H13" s="382">
        <f>IF(H6=0,0,H12/H6)</f>
        <v/>
      </c>
      <c r="I13" s="382">
        <f>IF(I6=0,0,I12/I6)</f>
        <v/>
      </c>
    </row>
    <row r="14">
      <c r="B14" s="339" t="inlineStr">
        <is>
          <t>Unlevered free cash flow (DCF)</t>
        </is>
      </c>
      <c r="C14" s="364" t="inlineStr">
        <is>
          <t>$M</t>
        </is>
      </c>
      <c r="D14" s="351">
        <f>DCF!F63</f>
        <v/>
      </c>
      <c r="E14" s="351">
        <f>DCF!G63</f>
        <v/>
      </c>
      <c r="F14" s="351">
        <f>DCF!H63</f>
        <v/>
      </c>
      <c r="G14" s="351">
        <f>DCF!I63</f>
        <v/>
      </c>
      <c r="H14" s="351">
        <f>DCF!J63</f>
        <v/>
      </c>
      <c r="I14" s="351">
        <f>DCF!K63</f>
        <v/>
      </c>
      <c r="L14" s="335" t="inlineStr">
        <is>
          <t>DCF row 63: NOPAT + D&amp;A + SBC − capex − ΔNWC; D&amp;A, SBC, capex and ΔNWC read the 3SM</t>
        </is>
      </c>
    </row>
    <row r="15">
      <c r="B15" s="408" t="inlineStr">
        <is>
          <t>margin</t>
        </is>
      </c>
      <c r="C15" s="364" t="inlineStr">
        <is>
          <t>%</t>
        </is>
      </c>
      <c r="D15" s="382">
        <f>IF(D6=0,0,D14/D6)</f>
        <v/>
      </c>
      <c r="E15" s="382">
        <f>IF(E6=0,0,E14/E6)</f>
        <v/>
      </c>
      <c r="F15" s="382">
        <f>IF(F6=0,0,F14/F6)</f>
        <v/>
      </c>
      <c r="G15" s="382">
        <f>IF(G6=0,0,G14/G6)</f>
        <v/>
      </c>
      <c r="H15" s="382">
        <f>IF(H6=0,0,H14/H6)</f>
        <v/>
      </c>
      <c r="I15" s="382">
        <f>IF(I6=0,0,I14/I6)</f>
        <v/>
      </c>
    </row>
    <row r="17">
      <c r="B17" s="336" t="inlineStr">
        <is>
          <t>Street — Barclays model (11 Sep 2026) and consensus EPS; % Δ = 3SM ÷ Street − 1</t>
        </is>
      </c>
      <c r="C17" s="337" t="n"/>
      <c r="D17" s="376" t="inlineStr">
        <is>
          <t>FY2024A</t>
        </is>
      </c>
      <c r="E17" s="376" t="inlineStr">
        <is>
          <t>FY2025A</t>
        </is>
      </c>
      <c r="F17" s="376" t="inlineStr">
        <is>
          <t>FY2026A</t>
        </is>
      </c>
      <c r="G17" s="376" t="inlineStr">
        <is>
          <t>FY2027E</t>
        </is>
      </c>
      <c r="H17" s="376" t="inlineStr">
        <is>
          <t>FY2028E</t>
        </is>
      </c>
      <c r="I17" s="376" t="inlineStr">
        <is>
          <t>FY2029E</t>
        </is>
      </c>
      <c r="J17" s="337" t="n"/>
      <c r="K17" s="337" t="n"/>
      <c r="L17" s="337" t="n"/>
      <c r="M17" s="337" t="n"/>
      <c r="N17" s="337" t="n"/>
      <c r="O17" s="337" t="n"/>
      <c r="P17" s="337" t="n"/>
      <c r="Q17" s="337" t="n"/>
      <c r="R17" s="337" t="n"/>
      <c r="S17" s="337" t="n"/>
    </row>
    <row r="18">
      <c r="B18" s="339" t="inlineStr">
        <is>
          <t>Barclays revenue</t>
        </is>
      </c>
      <c r="C18" s="364" t="inlineStr">
        <is>
          <t>$M</t>
        </is>
      </c>
      <c r="F18" s="351">
        <f>'D Barclays'!D5</f>
        <v/>
      </c>
      <c r="G18" s="351">
        <f>'D Barclays'!E5</f>
        <v/>
      </c>
      <c r="H18" s="351">
        <f>'D Barclays'!F5</f>
        <v/>
      </c>
      <c r="I18" s="351">
        <f>'D Barclays'!G5</f>
        <v/>
      </c>
      <c r="L18" s="335" t="inlineStr">
        <is>
          <t>D Barclays (numeric extraction from the licensed report held locally; FY2026A = reported)</t>
        </is>
      </c>
    </row>
    <row r="19">
      <c r="B19" s="408" t="inlineStr">
        <is>
          <t>y/y growth</t>
        </is>
      </c>
      <c r="C19" s="364" t="inlineStr">
        <is>
          <t>%</t>
        </is>
      </c>
      <c r="G19" s="382">
        <f>IF(F18=0,0,G18/F18-1)</f>
        <v/>
      </c>
      <c r="H19" s="382">
        <f>IF(G18=0,0,H18/G18-1)</f>
        <v/>
      </c>
      <c r="I19" s="382">
        <f>IF(H18=0,0,I18/H18-1)</f>
        <v/>
      </c>
    </row>
    <row r="20">
      <c r="B20" s="453" t="inlineStr">
        <is>
          <t>% Δ 3SM vs Barclays</t>
        </is>
      </c>
      <c r="C20" s="364" t="inlineStr">
        <is>
          <t>%</t>
        </is>
      </c>
      <c r="F20" s="368">
        <f>IF(F18=0,0,F6/F18-1)</f>
        <v/>
      </c>
      <c r="G20" s="368">
        <f>IF(G18=0,0,G6/G18-1)</f>
        <v/>
      </c>
      <c r="H20" s="368">
        <f>IF(H18=0,0,H6/H18-1)</f>
        <v/>
      </c>
      <c r="I20" s="368">
        <f>IF(I18=0,0,I6/I18-1)</f>
        <v/>
      </c>
    </row>
    <row r="21">
      <c r="B21" s="339" t="inlineStr">
        <is>
          <t>Barclays adjusted EBITDA</t>
        </is>
      </c>
      <c r="C21" s="364" t="inlineStr">
        <is>
          <t>$M</t>
        </is>
      </c>
      <c r="F21" s="351">
        <f>'D Barclays'!D6</f>
        <v/>
      </c>
      <c r="G21" s="351">
        <f>'D Barclays'!E6</f>
        <v/>
      </c>
      <c r="H21" s="351">
        <f>'D Barclays'!F6</f>
        <v/>
      </c>
      <c r="I21" s="351">
        <f>'D Barclays'!G6</f>
        <v/>
      </c>
    </row>
    <row r="22">
      <c r="B22" s="408" t="inlineStr">
        <is>
          <t>margin</t>
        </is>
      </c>
      <c r="C22" s="364" t="inlineStr">
        <is>
          <t>%</t>
        </is>
      </c>
      <c r="F22" s="382">
        <f>IF(F18=0,0,F21/F18)</f>
        <v/>
      </c>
      <c r="G22" s="382">
        <f>IF(G18=0,0,G21/G18)</f>
        <v/>
      </c>
      <c r="H22" s="382">
        <f>IF(H18=0,0,H21/H18)</f>
        <v/>
      </c>
      <c r="I22" s="382">
        <f>IF(I18=0,0,I21/I18)</f>
        <v/>
      </c>
    </row>
    <row r="23">
      <c r="B23" s="453" t="inlineStr">
        <is>
          <t>% Δ 3SM vs Barclays</t>
        </is>
      </c>
      <c r="C23" s="364" t="inlineStr">
        <is>
          <t>%</t>
        </is>
      </c>
      <c r="F23" s="368">
        <f>IF(F21=0,0,F8/F21-1)</f>
        <v/>
      </c>
      <c r="G23" s="368">
        <f>IF(G21=0,0,G8/G21-1)</f>
        <v/>
      </c>
      <c r="H23" s="368">
        <f>IF(H21=0,0,H8/H21-1)</f>
        <v/>
      </c>
      <c r="I23" s="368">
        <f>IF(I21=0,0,I8/I21-1)</f>
        <v/>
      </c>
    </row>
    <row r="24">
      <c r="B24" s="339" t="inlineStr">
        <is>
          <t>Barclays diluted EPS</t>
        </is>
      </c>
      <c r="C24" s="364" t="inlineStr">
        <is>
          <t>$</t>
        </is>
      </c>
      <c r="F24" s="443">
        <f>'D Barclays'!D10</f>
        <v/>
      </c>
      <c r="G24" s="443">
        <f>'D Barclays'!E10</f>
        <v/>
      </c>
      <c r="H24" s="443">
        <f>'D Barclays'!F10</f>
        <v/>
      </c>
      <c r="I24" s="443">
        <f>'D Barclays'!G10</f>
        <v/>
      </c>
    </row>
    <row r="25">
      <c r="B25" s="453" t="inlineStr">
        <is>
          <t>% Δ 3SM vs Barclays</t>
        </is>
      </c>
      <c r="C25" s="364" t="inlineStr">
        <is>
          <t>%</t>
        </is>
      </c>
      <c r="F25" s="368">
        <f>IF(F24=0,0,F10/F24-1)</f>
        <v/>
      </c>
      <c r="G25" s="368">
        <f>IF(G24=0,0,G10/G24-1)</f>
        <v/>
      </c>
      <c r="H25" s="368">
        <f>IF(H24=0,0,H10/H24-1)</f>
        <v/>
      </c>
      <c r="I25" s="368">
        <f>IF(I24=0,0,I10/I24-1)</f>
        <v/>
      </c>
    </row>
    <row r="26">
      <c r="B26" s="339" t="inlineStr">
        <is>
          <t>Consensus EPS, post-print (owner's DCF row 49)</t>
        </is>
      </c>
      <c r="C26" s="364" t="inlineStr">
        <is>
          <t>$</t>
        </is>
      </c>
      <c r="F26" s="443">
        <f>DCF!H49</f>
        <v/>
      </c>
      <c r="G26" s="443">
        <f>DCF!I49</f>
        <v/>
      </c>
      <c r="L26" s="335" t="inlineStr">
        <is>
          <t>DCF rows 45–49 hold Barclays, JPMorgan, BNP, Stephens and the consensus (owner-entered, dated)</t>
        </is>
      </c>
    </row>
    <row r="27">
      <c r="B27" s="453" t="inlineStr">
        <is>
          <t>% Δ 3SM vs consensus</t>
        </is>
      </c>
      <c r="C27" s="364" t="inlineStr">
        <is>
          <t>%</t>
        </is>
      </c>
      <c r="F27" s="368">
        <f>IF(F26=0,0,F10/F26-1)</f>
        <v/>
      </c>
      <c r="G27" s="368">
        <f>IF(G26=0,0,G10/G26-1)</f>
        <v/>
      </c>
    </row>
    <row r="28">
      <c r="B28" s="339" t="inlineStr">
        <is>
          <t>Broker total revenue — BNP Paribas (Outperform, $40)</t>
        </is>
      </c>
      <c r="C28" s="364" t="inlineStr">
        <is>
          <t>$M</t>
        </is>
      </c>
      <c r="G28" s="351">
        <f>Street!E9</f>
        <v/>
      </c>
      <c r="H28" s="351">
        <f>Street!E10</f>
        <v/>
      </c>
      <c r="L28" s="335" t="inlineStr">
        <is>
          <t>Street tab rows 9–10 (named-broker extractions; report dates in Street row 5)</t>
        </is>
      </c>
    </row>
    <row r="29">
      <c r="B29" s="339" t="inlineStr">
        <is>
          <t>Broker total revenue — J.P. Morgan</t>
        </is>
      </c>
      <c r="C29" s="364" t="inlineStr">
        <is>
          <t>$M</t>
        </is>
      </c>
      <c r="G29" s="351">
        <f>Street!F9</f>
        <v/>
      </c>
      <c r="H29" s="351">
        <f>Street!F10</f>
        <v/>
      </c>
      <c r="L29" s="335" t="inlineStr">
        <is>
          <t>Street tab rows 9–10 (named-broker extractions; report dates in Street row 5)</t>
        </is>
      </c>
    </row>
    <row r="30">
      <c r="B30" s="339" t="inlineStr">
        <is>
          <t>Broker total revenue — BofA Global Research</t>
        </is>
      </c>
      <c r="C30" s="364" t="inlineStr">
        <is>
          <t>$M</t>
        </is>
      </c>
      <c r="G30" s="351">
        <f>Street!G9</f>
        <v/>
      </c>
      <c r="H30" s="351">
        <f>Street!G10</f>
        <v/>
      </c>
      <c r="L30" s="335" t="inlineStr">
        <is>
          <t>Street tab rows 9–10 (named-broker extractions; report dates in Street row 5)</t>
        </is>
      </c>
    </row>
    <row r="31">
      <c r="B31" s="339" t="inlineStr">
        <is>
          <t>Broker total revenue — Barclays, 25 Aug 2026 note</t>
        </is>
      </c>
      <c r="C31" s="364" t="inlineStr">
        <is>
          <t>$M</t>
        </is>
      </c>
      <c r="G31" s="351">
        <f>Street!I9</f>
        <v/>
      </c>
      <c r="H31" s="351">
        <f>Street!I10</f>
        <v/>
      </c>
      <c r="L31" s="335" t="inlineStr">
        <is>
          <t>Street tab rows 9–10 (named-broker extractions; report dates in Street row 5)</t>
        </is>
      </c>
    </row>
    <row r="33">
      <c r="B33" s="336" t="inlineStr">
        <is>
          <t>Component delta to Street — FY2027E legacy service revenue ($M) and the EBITDA bridge to Barclays</t>
        </is>
      </c>
      <c r="C33" s="337" t="n"/>
      <c r="D33" s="376" t="inlineStr">
        <is>
          <t>FY2027E</t>
        </is>
      </c>
      <c r="E33" s="337" t="n"/>
      <c r="F33" s="337" t="n"/>
      <c r="G33" s="337" t="n"/>
      <c r="H33" s="337" t="n"/>
      <c r="I33" s="337" t="n"/>
      <c r="J33" s="337" t="n"/>
      <c r="K33" s="337" t="n"/>
      <c r="L33" s="337" t="n"/>
      <c r="M33" s="337" t="n"/>
      <c r="N33" s="337" t="n"/>
      <c r="O33" s="337" t="n"/>
      <c r="P33" s="337" t="n"/>
      <c r="Q33" s="337" t="n"/>
      <c r="R33" s="337" t="n"/>
      <c r="S33" s="337" t="n"/>
    </row>
    <row r="34">
      <c r="B34" s="339" t="inlineStr">
        <is>
          <t>Street-implied (case 0): known runoff, coverage recovering to the Street path</t>
        </is>
      </c>
      <c r="C34" s="364" t="inlineStr">
        <is>
          <t>$M</t>
        </is>
      </c>
      <c r="D34" s="351">
        <f>Scenarios!D112</f>
        <v/>
      </c>
      <c r="L34" s="335" t="inlineStr">
        <is>
          <t>Scenarios D112; the recovery rate is reverse-solved so case 0 equals JPMorgan</t>
        </is>
      </c>
    </row>
    <row r="35">
      <c r="B35" s="339" t="inlineStr">
        <is>
          <t>JPMorgan FY27E legacy service revenue, 11 Sep 2026 (ex-ACV)</t>
        </is>
      </c>
      <c r="C35" s="364" t="inlineStr">
        <is>
          <t>$M</t>
        </is>
      </c>
      <c r="D35" s="351">
        <f>Scenarios!$D$108</f>
        <v/>
      </c>
      <c r="L35" s="335" t="inlineStr">
        <is>
          <t>Scenarios D108 ← D Facts (licensed report held locally)</t>
        </is>
      </c>
    </row>
    <row r="36">
      <c r="B36" s="343" t="inlineStr">
        <is>
          <t>Thesis 1 — coverage persistence: case 1 (known facts, sticky coverage) − case 0</t>
        </is>
      </c>
      <c r="C36" s="364" t="inlineStr">
        <is>
          <t>$M</t>
        </is>
      </c>
      <c r="D36" s="406">
        <f>Scenarios!F113</f>
        <v/>
      </c>
      <c r="L36" s="335" t="inlineStr">
        <is>
          <t>Scenarios F113</t>
        </is>
      </c>
    </row>
    <row r="37">
      <c r="B37" s="343" t="inlineStr">
        <is>
          <t>Thesis 2 — aftermarket substitution: thesis 2 case − case 1</t>
        </is>
      </c>
      <c r="C37" s="364" t="inlineStr">
        <is>
          <t>$M</t>
        </is>
      </c>
      <c r="D37" s="406">
        <f>Scenarios!E115</f>
        <v/>
      </c>
      <c r="L37" s="335" t="inlineStr">
        <is>
          <t>Scenarios E115</t>
        </is>
      </c>
    </row>
    <row r="38">
      <c r="B38" s="343" t="inlineStr">
        <is>
          <t>Thesis 3 — carrier reallocation (probability-weighted): thesis 3 case − case 1</t>
        </is>
      </c>
      <c r="C38" s="364" t="inlineStr">
        <is>
          <t>$M</t>
        </is>
      </c>
      <c r="D38" s="406">
        <f>Scenarios!E116</f>
        <v/>
      </c>
      <c r="L38" s="335" t="inlineStr">
        <is>
          <t>Scenarios E116</t>
        </is>
      </c>
    </row>
    <row r="39">
      <c r="B39" s="408" t="inlineStr">
        <is>
          <t>Interaction (all three − case 0 − sum of the three parts; exact on the common base)</t>
        </is>
      </c>
      <c r="C39" s="364" t="inlineStr">
        <is>
          <t>$M</t>
        </is>
      </c>
      <c r="D39" s="366">
        <f>Scenarios!F117-D36-D37-D38</f>
        <v/>
      </c>
    </row>
    <row r="40">
      <c r="B40" s="343" t="inlineStr">
        <is>
          <t>All three vs Street-implied</t>
        </is>
      </c>
      <c r="C40" s="364" t="inlineStr">
        <is>
          <t>$M</t>
        </is>
      </c>
      <c r="D40" s="406">
        <f>Scenarios!F117</f>
        <v/>
      </c>
      <c r="L40" s="335" t="inlineStr">
        <is>
          <t>Scenarios F117</t>
        </is>
      </c>
    </row>
    <row r="41">
      <c r="B41" s="339" t="inlineStr">
        <is>
          <t>All three vs JPMorgan, %</t>
        </is>
      </c>
      <c r="C41" s="364" t="inlineStr">
        <is>
          <t>%</t>
        </is>
      </c>
      <c r="D41" s="346">
        <f>Scenarios!H117</f>
        <v/>
      </c>
      <c r="L41" s="335" t="inlineStr">
        <is>
          <t>Scenarios H117</t>
        </is>
      </c>
    </row>
    <row r="42">
      <c r="B42" s="339" t="inlineStr">
        <is>
          <t>Selected case on the RPM (D3): FY27E service revenue</t>
        </is>
      </c>
      <c r="C42" s="364" t="inlineStr">
        <is>
          <t>$M</t>
        </is>
      </c>
      <c r="D42" s="351">
        <f>RPM!I10</f>
        <v/>
      </c>
      <c r="L42" s="335" t="inlineStr">
        <is>
          <t>RPM I10 → 3SM</t>
        </is>
      </c>
    </row>
    <row r="43">
      <c r="B43" s="343" t="inlineStr">
        <is>
          <t>Δ selected case vs Street-implied</t>
        </is>
      </c>
      <c r="C43" s="364" t="inlineStr">
        <is>
          <t>$M</t>
        </is>
      </c>
      <c r="D43" s="367">
        <f>D42-D34</f>
        <v/>
      </c>
    </row>
    <row r="44">
      <c r="B44" s="339" t="inlineStr">
        <is>
          <t>Vehicle sales FY27E (RPM)</t>
        </is>
      </c>
      <c r="C44" s="364" t="inlineStr">
        <is>
          <t>$M</t>
        </is>
      </c>
      <c r="D44" s="351">
        <f>RPM!I12</f>
        <v/>
      </c>
      <c r="L44" s="335" t="inlineStr">
        <is>
          <t>RPM I12; JPMorgan purchased-vehicle revenue 710 on Street F8</t>
        </is>
      </c>
    </row>
    <row r="45">
      <c r="B45" s="408" t="inlineStr">
        <is>
          <t>Δ vs JPMorgan purchased-vehicle revenue</t>
        </is>
      </c>
      <c r="C45" s="364" t="inlineStr">
        <is>
          <t>$M</t>
        </is>
      </c>
      <c r="D45" s="366">
        <f>RPM!I12-Street!F8</f>
        <v/>
      </c>
    </row>
    <row r="47">
      <c r="B47" s="343" t="inlineStr">
        <is>
          <t>EBITDA bridge to Barclays, FY2027E</t>
        </is>
      </c>
    </row>
    <row r="48">
      <c r="B48" s="339" t="inlineStr">
        <is>
          <t>Δ revenue (3SM − Barclays)</t>
        </is>
      </c>
      <c r="C48" s="364" t="inlineStr">
        <is>
          <t>$M</t>
        </is>
      </c>
      <c r="D48" s="351">
        <f>'3SM'!I33</f>
        <v/>
      </c>
      <c r="L48" s="335" t="inlineStr">
        <is>
          <t>3SM row 33</t>
        </is>
      </c>
    </row>
    <row r="49">
      <c r="B49" s="408" t="inlineStr">
        <is>
          <t>of which revenue effect at Barclays' EBITDA margin</t>
        </is>
      </c>
      <c r="C49" s="364" t="inlineStr">
        <is>
          <t>$M</t>
        </is>
      </c>
      <c r="D49" s="366">
        <f>D48*'3SM'!I34/'3SM'!I32</f>
        <v/>
      </c>
    </row>
    <row r="50">
      <c r="B50" s="343" t="inlineStr">
        <is>
          <t>Δ adjusted EBITDA (3SM − Barclays)</t>
        </is>
      </c>
      <c r="C50" s="364" t="inlineStr">
        <is>
          <t>$M</t>
        </is>
      </c>
      <c r="D50" s="406">
        <f>'3SM'!I35</f>
        <v/>
      </c>
      <c r="L50" s="335" t="inlineStr">
        <is>
          <t>3SM row 35</t>
        </is>
      </c>
    </row>
    <row r="51">
      <c r="B51" s="408" t="inlineStr">
        <is>
          <t>of which margin effect (facility cost per unit on fewer units; Barclays-implied G&amp;A ratio)</t>
        </is>
      </c>
      <c r="C51" s="364" t="inlineStr">
        <is>
          <t>$M</t>
        </is>
      </c>
      <c r="D51" s="366">
        <f>D50-D49</f>
        <v/>
      </c>
    </row>
    <row r="52">
      <c r="B52" s="343" t="inlineStr">
        <is>
          <t>Δ diluted EPS ($)</t>
        </is>
      </c>
      <c r="C52" s="364" t="inlineStr">
        <is>
          <t>$</t>
        </is>
      </c>
      <c r="D52" s="442">
        <f>'3SM'!I28-'3SM'!I42</f>
        <v/>
      </c>
    </row>
    <row r="53">
      <c r="B53" s="339" t="inlineStr">
        <is>
          <t>Δ diluted EPS (%)</t>
        </is>
      </c>
      <c r="C53" s="364" t="inlineStr">
        <is>
          <t>%</t>
        </is>
      </c>
      <c r="D53" s="346">
        <f>'3SM'!I43</f>
        <v/>
      </c>
    </row>
    <row r="55">
      <c r="B55" s="343" t="inlineStr">
        <is>
          <t>Valuation (links)</t>
        </is>
      </c>
    </row>
    <row r="56">
      <c r="B56" s="339" t="inlineStr">
        <is>
          <t>Current share price (DCF H118)</t>
        </is>
      </c>
      <c r="C56" s="364" t="inlineStr">
        <is>
          <t>$</t>
        </is>
      </c>
      <c r="D56" s="402">
        <f>DCF!H118</f>
        <v/>
      </c>
    </row>
    <row r="57">
      <c r="B57" s="343" t="inlineStr">
        <is>
          <t>DCF implied share price, selected case (DCF H113)</t>
        </is>
      </c>
      <c r="C57" s="364" t="inlineStr">
        <is>
          <t>$</t>
        </is>
      </c>
      <c r="D57" s="454">
        <f>DCF!H113</f>
        <v/>
      </c>
    </row>
    <row r="58">
      <c r="B58" s="339" t="inlineStr">
        <is>
          <t>Upside / (downside) vs current (DCF H114)</t>
        </is>
      </c>
      <c r="C58" s="364" t="inlineStr">
        <is>
          <t>%</t>
        </is>
      </c>
      <c r="D58" s="346">
        <f>DCF!H114</f>
        <v/>
      </c>
    </row>
    <row r="59">
      <c r="B59" s="339" t="inlineStr">
        <is>
          <t>WACC (Reverse DCF S25, bottom-up build)</t>
        </is>
      </c>
      <c r="C59" s="364" t="inlineStr">
        <is>
          <t>%</t>
        </is>
      </c>
      <c r="D59" s="416">
        <f>'Reverse DCF'!S25</f>
        <v/>
      </c>
    </row>
    <row r="60">
      <c r="B60" s="339" t="inlineStr">
        <is>
          <t>Exit EV/EBITDA multiple (DCF H92; Barclays uses 10×)</t>
        </is>
      </c>
      <c r="C60" s="364" t="inlineStr">
        <is>
          <t>x</t>
        </is>
      </c>
      <c r="D60" s="348">
        <f>DCF!H92</f>
        <v/>
      </c>
    </row>
    <row r="61">
      <c r="B61" s="339" t="inlineStr">
        <is>
          <t>Structural effective tax rate (Reverse DCF S33)</t>
        </is>
      </c>
      <c r="C61" s="364" t="inlineStr">
        <is>
          <t>%</t>
        </is>
      </c>
      <c r="D61" s="416">
        <f>'Reverse DCF'!S33</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000E2841"/>
    <outlinePr summaryBelow="1" summaryRight="1"/>
    <pageSetUpPr/>
  </sheetPr>
  <dimension ref="B1:S19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5" max="15"/>
  </cols>
  <sheetData>
    <row r="1">
      <c r="B1" s="333" t="inlineStr">
        <is>
          <t>Copart, Inc. — Three-statement model (3SM), FY2022A–FY2031E ($M; fiscal year ends 31 July)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Revenue = RPM (selected case). Facility operations = fee units × cost per unit. Other lines: Barclays 11 Sep 2026 where published, else FY2026 actual ratio held. Blue = input, black = formula, green = link, red = selector. History = PitchBook / 10-K.</t>
        </is>
      </c>
    </row>
    <row r="4">
      <c r="C4" s="372" t="inlineStr">
        <is>
          <t>Units</t>
        </is>
      </c>
      <c r="D4" s="373" t="inlineStr">
        <is>
          <t>Historicals</t>
        </is>
      </c>
      <c r="E4" s="374" t="n"/>
      <c r="F4" s="374" t="n"/>
      <c r="G4" s="374" t="n"/>
      <c r="H4" s="374" t="n"/>
      <c r="I4" s="373" t="inlineStr">
        <is>
          <t>Projected</t>
        </is>
      </c>
      <c r="J4" s="374" t="n"/>
      <c r="K4" s="374" t="n"/>
      <c r="L4" s="374" t="n"/>
      <c r="M4" s="374" t="n"/>
      <c r="O4" s="375" t="inlineStr">
        <is>
          <t>Notes / sources</t>
        </is>
      </c>
    </row>
    <row r="5">
      <c r="B5" s="336" t="inlineStr">
        <is>
          <t>Income statement</t>
        </is>
      </c>
      <c r="C5" s="337" t="n"/>
      <c r="D5" s="376" t="inlineStr">
        <is>
          <t>FY2022A</t>
        </is>
      </c>
      <c r="E5" s="376" t="inlineStr">
        <is>
          <t>FY2023A</t>
        </is>
      </c>
      <c r="F5" s="376" t="inlineStr">
        <is>
          <t>FY2024A</t>
        </is>
      </c>
      <c r="G5" s="376" t="inlineStr">
        <is>
          <t>FY2025A</t>
        </is>
      </c>
      <c r="H5" s="376" t="inlineStr">
        <is>
          <t>FY2026A</t>
        </is>
      </c>
      <c r="I5" s="376" t="inlineStr">
        <is>
          <t>FY2027E</t>
        </is>
      </c>
      <c r="J5" s="376" t="inlineStr">
        <is>
          <t>FY2028E</t>
        </is>
      </c>
      <c r="K5" s="376" t="inlineStr">
        <is>
          <t>FY2029E</t>
        </is>
      </c>
      <c r="L5" s="376" t="inlineStr">
        <is>
          <t>FY2030E</t>
        </is>
      </c>
      <c r="M5" s="376" t="inlineStr">
        <is>
          <t>FY2031E</t>
        </is>
      </c>
      <c r="N5" s="337" t="n"/>
      <c r="O5" s="337" t="n"/>
      <c r="P5" s="337" t="n"/>
      <c r="Q5" s="337" t="n"/>
      <c r="R5" s="337" t="n"/>
      <c r="S5" s="337" t="n"/>
    </row>
    <row r="6">
      <c r="B6" s="339" t="inlineStr">
        <is>
          <t>Service revenue</t>
        </is>
      </c>
      <c r="C6" s="364" t="inlineStr">
        <is>
          <t>$M</t>
        </is>
      </c>
      <c r="D6" s="351">
        <f>RPM!D10</f>
        <v/>
      </c>
      <c r="E6" s="351">
        <f>RPM!E10</f>
        <v/>
      </c>
      <c r="F6" s="351">
        <f>RPM!F10</f>
        <v/>
      </c>
      <c r="G6" s="351">
        <f>RPM!G10</f>
        <v/>
      </c>
      <c r="H6" s="351">
        <f>RPM!H10</f>
        <v/>
      </c>
      <c r="I6" s="366">
        <f>RPM!I10</f>
        <v/>
      </c>
      <c r="J6" s="366">
        <f>RPM!J10</f>
        <v/>
      </c>
      <c r="K6" s="366">
        <f>RPM!K10</f>
        <v/>
      </c>
      <c r="L6" s="366">
        <f>RPM!L10</f>
        <v/>
      </c>
      <c r="M6" s="366">
        <f>RPM!M10</f>
        <v/>
      </c>
      <c r="O6" s="335" t="inlineStr">
        <is>
          <t>RPM row 10: FY24–26 per 10-K; FY27–28 from the engines (selected case, RPM D3); FY29–31 fade (RPM row 43)</t>
        </is>
      </c>
    </row>
    <row r="7">
      <c r="B7" s="339" t="inlineStr">
        <is>
          <t>Vehicle sales</t>
        </is>
      </c>
      <c r="C7" s="364" t="inlineStr">
        <is>
          <t>$M</t>
        </is>
      </c>
      <c r="D7" s="351">
        <f>RPM!D12</f>
        <v/>
      </c>
      <c r="E7" s="351">
        <f>RPM!E12</f>
        <v/>
      </c>
      <c r="F7" s="351">
        <f>RPM!F12</f>
        <v/>
      </c>
      <c r="G7" s="351">
        <f>RPM!G12</f>
        <v/>
      </c>
      <c r="H7" s="351">
        <f>RPM!H12</f>
        <v/>
      </c>
      <c r="I7" s="366">
        <f>RPM!I12</f>
        <v/>
      </c>
      <c r="J7" s="366">
        <f>RPM!J12</f>
        <v/>
      </c>
      <c r="K7" s="366">
        <f>RPM!K12</f>
        <v/>
      </c>
      <c r="L7" s="366">
        <f>RPM!L12</f>
        <v/>
      </c>
      <c r="M7" s="366">
        <f>RPM!M12</f>
        <v/>
      </c>
      <c r="O7" s="335" t="inlineStr">
        <is>
          <t>RPM row 12</t>
        </is>
      </c>
    </row>
    <row r="8">
      <c r="B8" s="343" t="inlineStr">
        <is>
          <t>Total revenue</t>
        </is>
      </c>
      <c r="C8" s="364" t="inlineStr">
        <is>
          <t>$M</t>
        </is>
      </c>
      <c r="D8" s="406">
        <f>RPM!D6</f>
        <v/>
      </c>
      <c r="E8" s="406">
        <f>RPM!E6</f>
        <v/>
      </c>
      <c r="F8" s="406">
        <f>RPM!F6</f>
        <v/>
      </c>
      <c r="G8" s="406">
        <f>RPM!G6</f>
        <v/>
      </c>
      <c r="H8" s="406">
        <f>RPM!H6</f>
        <v/>
      </c>
      <c r="I8" s="367">
        <f>RPM!I6</f>
        <v/>
      </c>
      <c r="J8" s="367">
        <f>RPM!J6</f>
        <v/>
      </c>
      <c r="K8" s="367">
        <f>RPM!K6</f>
        <v/>
      </c>
      <c r="L8" s="367">
        <f>RPM!L6</f>
        <v/>
      </c>
      <c r="M8" s="367">
        <f>RPM!M6</f>
        <v/>
      </c>
      <c r="O8" s="335" t="inlineStr">
        <is>
          <t>RPM row 6 (history = PitchBook total revenue)</t>
        </is>
      </c>
    </row>
    <row r="9">
      <c r="B9" s="408" t="inlineStr">
        <is>
          <t>y/y growth</t>
        </is>
      </c>
      <c r="C9" s="364" t="inlineStr">
        <is>
          <t>%</t>
        </is>
      </c>
      <c r="E9" s="382">
        <f>IF(D8=0,0,E8/D8-1)</f>
        <v/>
      </c>
      <c r="F9" s="382">
        <f>IF(E8=0,0,F8/E8-1)</f>
        <v/>
      </c>
      <c r="G9" s="382">
        <f>IF(F8=0,0,G8/F8-1)</f>
        <v/>
      </c>
      <c r="H9" s="382">
        <f>IF(G8=0,0,H8/G8-1)</f>
        <v/>
      </c>
      <c r="I9" s="382">
        <f>IF(H8=0,0,I8/H8-1)</f>
        <v/>
      </c>
      <c r="J9" s="382">
        <f>IF(I8=0,0,J8/I8-1)</f>
        <v/>
      </c>
      <c r="K9" s="382">
        <f>IF(J8=0,0,K8/J8-1)</f>
        <v/>
      </c>
      <c r="L9" s="382">
        <f>IF(K8=0,0,L8/K8-1)</f>
        <v/>
      </c>
      <c r="M9" s="382">
        <f>IF(L8=0,0,M8/L8-1)</f>
        <v/>
      </c>
    </row>
    <row r="10">
      <c r="B10" s="339" t="inlineStr">
        <is>
          <t>Facility operations (incl. yard D&amp;A)</t>
        </is>
      </c>
      <c r="C10" s="364" t="inlineStr">
        <is>
          <t>$M</t>
        </is>
      </c>
      <c r="D10" s="351">
        <f>'PB IS (Annual)'!Q19/1000-D11</f>
        <v/>
      </c>
      <c r="E10" s="351">
        <f>'PB IS (Annual)'!P19/1000-E11</f>
        <v/>
      </c>
      <c r="F10" s="351">
        <f>'PB IS (Annual)'!O19/1000-F11</f>
        <v/>
      </c>
      <c r="G10" s="351">
        <f>'PB IS (Annual)'!N19/1000-G11</f>
        <v/>
      </c>
      <c r="H10" s="351">
        <f>'PB IS (Annual)'!M19/1000-H11</f>
        <v/>
      </c>
      <c r="I10" s="366">
        <f>I131*I132/1000</f>
        <v/>
      </c>
      <c r="J10" s="366">
        <f>J131*J132/1000</f>
        <v/>
      </c>
      <c r="K10" s="366">
        <f>K131*K132/1000</f>
        <v/>
      </c>
      <c r="L10" s="366">
        <f>L131*L132/1000</f>
        <v/>
      </c>
      <c r="M10" s="366">
        <f>M131*M132/1000</f>
        <v/>
      </c>
      <c r="O10" s="335" t="inlineStr">
        <is>
          <t>History: PitchBook total cost of revenue − cost of vehicle sales (10-K). Projection: global fee units (RPM row 29) × facility cost per unit (schedule 1) — the volume-driven margin lever</t>
        </is>
      </c>
    </row>
    <row r="11">
      <c r="B11" s="339" t="inlineStr">
        <is>
          <t>Cost of vehicle sales</t>
        </is>
      </c>
      <c r="C11" s="364" t="inlineStr">
        <is>
          <t>$M</t>
        </is>
      </c>
      <c r="D11" s="351">
        <f>'D 10-K FY26'!E56</f>
        <v/>
      </c>
      <c r="E11" s="351">
        <f>'D 10-K FY26'!D56</f>
        <v/>
      </c>
      <c r="F11" s="351">
        <f>'D 10-K FY26'!E39</f>
        <v/>
      </c>
      <c r="G11" s="351">
        <f>'D 10-K FY26'!D39</f>
        <v/>
      </c>
      <c r="H11" s="351">
        <f>'D 10-K FY26'!C39</f>
        <v/>
      </c>
      <c r="I11" s="366">
        <f>I7*I134</f>
        <v/>
      </c>
      <c r="J11" s="366">
        <f>J7*J134</f>
        <v/>
      </c>
      <c r="K11" s="366">
        <f>K7*K134</f>
        <v/>
      </c>
      <c r="L11" s="366">
        <f>L7*L134</f>
        <v/>
      </c>
      <c r="M11" s="366">
        <f>M7*M134</f>
        <v/>
      </c>
      <c r="O11" s="335" t="inlineStr">
        <is>
          <t>History: 10-K income statements (FY2026 and FY2024 filings, D 10-K FY26). Projection: vehicle sales × FY2026 ratio (schedule 1)</t>
        </is>
      </c>
    </row>
    <row r="12">
      <c r="B12" s="343" t="inlineStr">
        <is>
          <t>Gross profit</t>
        </is>
      </c>
      <c r="C12" s="364" t="inlineStr">
        <is>
          <t>$M</t>
        </is>
      </c>
      <c r="D12" s="367">
        <f>D8-D10-D11</f>
        <v/>
      </c>
      <c r="E12" s="367">
        <f>E8-E10-E11</f>
        <v/>
      </c>
      <c r="F12" s="367">
        <f>F8-F10-F11</f>
        <v/>
      </c>
      <c r="G12" s="367">
        <f>G8-G10-G11</f>
        <v/>
      </c>
      <c r="H12" s="367">
        <f>H8-H10-H11</f>
        <v/>
      </c>
      <c r="I12" s="367">
        <f>I8-I10-I11</f>
        <v/>
      </c>
      <c r="J12" s="367">
        <f>J8-J10-J11</f>
        <v/>
      </c>
      <c r="K12" s="367">
        <f>K8-K10-K11</f>
        <v/>
      </c>
      <c r="L12" s="367">
        <f>L8-L10-L11</f>
        <v/>
      </c>
      <c r="M12" s="367">
        <f>M8-M10-M11</f>
        <v/>
      </c>
    </row>
    <row r="13">
      <c r="B13" s="408" t="inlineStr">
        <is>
          <t>Gross margin</t>
        </is>
      </c>
      <c r="C13" s="364" t="inlineStr">
        <is>
          <t>%</t>
        </is>
      </c>
      <c r="D13" s="382">
        <f>IF(D8=0,0,D12/D8)</f>
        <v/>
      </c>
      <c r="E13" s="382">
        <f>IF(E8=0,0,E12/E8)</f>
        <v/>
      </c>
      <c r="F13" s="382">
        <f>IF(F8=0,0,F12/F8)</f>
        <v/>
      </c>
      <c r="G13" s="382">
        <f>IF(G8=0,0,G12/G8)</f>
        <v/>
      </c>
      <c r="H13" s="382">
        <f>IF(H8=0,0,H12/H8)</f>
        <v/>
      </c>
      <c r="I13" s="382">
        <f>IF(I8=0,0,I12/I8)</f>
        <v/>
      </c>
      <c r="J13" s="382">
        <f>IF(J8=0,0,J12/J8)</f>
        <v/>
      </c>
      <c r="K13" s="382">
        <f>IF(K8=0,0,K12/K8)</f>
        <v/>
      </c>
      <c r="L13" s="382">
        <f>IF(L8=0,0,L12/L8)</f>
        <v/>
      </c>
      <c r="M13" s="382">
        <f>IF(M8=0,0,M12/M8)</f>
        <v/>
      </c>
    </row>
    <row r="14">
      <c r="B14" s="339" t="inlineStr">
        <is>
          <t>General and administrative (incl. D&amp;A, SBC)</t>
        </is>
      </c>
      <c r="C14" s="364" t="inlineStr">
        <is>
          <t>$M</t>
        </is>
      </c>
      <c r="D14" s="351">
        <f>'PB IS (Annual)'!Q31/1000</f>
        <v/>
      </c>
      <c r="E14" s="351">
        <f>'PB IS (Annual)'!P31/1000</f>
        <v/>
      </c>
      <c r="F14" s="351">
        <f>'PB IS (Annual)'!O31/1000</f>
        <v/>
      </c>
      <c r="G14" s="351">
        <f>'PB IS (Annual)'!N31/1000</f>
        <v/>
      </c>
      <c r="H14" s="351">
        <f>'PB IS (Annual)'!M31/1000</f>
        <v/>
      </c>
      <c r="I14" s="366">
        <f>I8*I135</f>
        <v/>
      </c>
      <c r="J14" s="366">
        <f>J8*J135</f>
        <v/>
      </c>
      <c r="K14" s="366">
        <f>K8*K135</f>
        <v/>
      </c>
      <c r="L14" s="366">
        <f>L8*L135</f>
        <v/>
      </c>
      <c r="M14" s="366">
        <f>M8*M135</f>
        <v/>
      </c>
      <c r="O14" s="335" t="inlineStr">
        <is>
          <t>History: PitchBook total operating expenses = 10-K G&amp;A. Projection: revenue × Barclays-implied G&amp;A ratio (schedule 1)</t>
        </is>
      </c>
    </row>
    <row r="15">
      <c r="B15" s="343" t="inlineStr">
        <is>
          <t>Operating income (EBIT)</t>
        </is>
      </c>
      <c r="C15" s="364" t="inlineStr">
        <is>
          <t>$M</t>
        </is>
      </c>
      <c r="D15" s="367">
        <f>D12-D14</f>
        <v/>
      </c>
      <c r="E15" s="367">
        <f>E12-E14</f>
        <v/>
      </c>
      <c r="F15" s="367">
        <f>F12-F14</f>
        <v/>
      </c>
      <c r="G15" s="367">
        <f>G12-G14</f>
        <v/>
      </c>
      <c r="H15" s="367">
        <f>H12-H14</f>
        <v/>
      </c>
      <c r="I15" s="367">
        <f>I12-I14</f>
        <v/>
      </c>
      <c r="J15" s="367">
        <f>J12-J14</f>
        <v/>
      </c>
      <c r="K15" s="367">
        <f>K12-K14</f>
        <v/>
      </c>
      <c r="L15" s="367">
        <f>L12-L14</f>
        <v/>
      </c>
      <c r="M15" s="367">
        <f>M12-M14</f>
        <v/>
      </c>
    </row>
    <row r="16">
      <c r="B16" s="408" t="inlineStr">
        <is>
          <t>Operating margin</t>
        </is>
      </c>
      <c r="C16" s="364" t="inlineStr">
        <is>
          <t>%</t>
        </is>
      </c>
      <c r="D16" s="382">
        <f>IF(D8=0,0,D15/D8)</f>
        <v/>
      </c>
      <c r="E16" s="382">
        <f>IF(E8=0,0,E15/E8)</f>
        <v/>
      </c>
      <c r="F16" s="382">
        <f>IF(F8=0,0,F15/F8)</f>
        <v/>
      </c>
      <c r="G16" s="382">
        <f>IF(G8=0,0,G15/G8)</f>
        <v/>
      </c>
      <c r="H16" s="382">
        <f>IF(H8=0,0,H15/H8)</f>
        <v/>
      </c>
      <c r="I16" s="382">
        <f>IF(I8=0,0,I15/I8)</f>
        <v/>
      </c>
      <c r="J16" s="382">
        <f>IF(J8=0,0,J15/J8)</f>
        <v/>
      </c>
      <c r="K16" s="382">
        <f>IF(K8=0,0,K15/K8)</f>
        <v/>
      </c>
      <c r="L16" s="382">
        <f>IF(L8=0,0,L15/L8)</f>
        <v/>
      </c>
      <c r="M16" s="382">
        <f>IF(M8=0,0,M15/M8)</f>
        <v/>
      </c>
    </row>
    <row r="17">
      <c r="B17" s="339" t="inlineStr">
        <is>
          <t>Depreciation and amortization</t>
        </is>
      </c>
      <c r="C17" s="364" t="inlineStr">
        <is>
          <t>$M</t>
        </is>
      </c>
      <c r="D17" s="351">
        <f>'PB IS (Annual)'!Q93/1000</f>
        <v/>
      </c>
      <c r="E17" s="351">
        <f>'PB IS (Annual)'!P93/1000</f>
        <v/>
      </c>
      <c r="F17" s="351">
        <f>'PB IS (Annual)'!O93/1000</f>
        <v/>
      </c>
      <c r="G17" s="351">
        <f>'PB IS (Annual)'!N93/1000</f>
        <v/>
      </c>
      <c r="H17" s="351">
        <f>'PB IS (Annual)'!M93/1000</f>
        <v/>
      </c>
      <c r="I17" s="366">
        <f>I141</f>
        <v/>
      </c>
      <c r="J17" s="366">
        <f>J141</f>
        <v/>
      </c>
      <c r="K17" s="366">
        <f>K141</f>
        <v/>
      </c>
      <c r="L17" s="366">
        <f>L141</f>
        <v/>
      </c>
      <c r="M17" s="366">
        <f>M141</f>
        <v/>
      </c>
      <c r="O17" s="335" t="inlineStr">
        <is>
          <t>History: PitchBook supplemental D&amp;A (10-K). Projection: schedule 2 (Barclays EBITDA − EBIT for FY27–29)</t>
        </is>
      </c>
    </row>
    <row r="18">
      <c r="B18" s="343" t="inlineStr">
        <is>
          <t>Adjusted EBITDA (EBIT + D&amp;A; Barclays definition)</t>
        </is>
      </c>
      <c r="C18" s="364" t="inlineStr">
        <is>
          <t>$M</t>
        </is>
      </c>
      <c r="D18" s="367">
        <f>D15+D17</f>
        <v/>
      </c>
      <c r="E18" s="367">
        <f>E15+E17</f>
        <v/>
      </c>
      <c r="F18" s="367">
        <f>F15+F17</f>
        <v/>
      </c>
      <c r="G18" s="367">
        <f>G15+G17</f>
        <v/>
      </c>
      <c r="H18" s="367">
        <f>H15+H17</f>
        <v/>
      </c>
      <c r="I18" s="367">
        <f>I15+I17</f>
        <v/>
      </c>
      <c r="J18" s="367">
        <f>J15+J17</f>
        <v/>
      </c>
      <c r="K18" s="367">
        <f>K15+K17</f>
        <v/>
      </c>
      <c r="L18" s="367">
        <f>L15+L17</f>
        <v/>
      </c>
      <c r="M18" s="367">
        <f>M15+M17</f>
        <v/>
      </c>
      <c r="O18" s="335" t="inlineStr">
        <is>
          <t>Barclays' "EBITDA (adj)" = EBIT + D&amp;A (FY26: 1,882); no SBC add-back</t>
        </is>
      </c>
    </row>
    <row r="19">
      <c r="B19" s="408" t="inlineStr">
        <is>
          <t>Adjusted EBITDA margin</t>
        </is>
      </c>
      <c r="C19" s="364" t="inlineStr">
        <is>
          <t>%</t>
        </is>
      </c>
      <c r="D19" s="382">
        <f>IF(D8=0,0,D18/D8)</f>
        <v/>
      </c>
      <c r="E19" s="382">
        <f>IF(E8=0,0,E18/E8)</f>
        <v/>
      </c>
      <c r="F19" s="382">
        <f>IF(F8=0,0,F18/F8)</f>
        <v/>
      </c>
      <c r="G19" s="382">
        <f>IF(G8=0,0,G18/G8)</f>
        <v/>
      </c>
      <c r="H19" s="382">
        <f>IF(H8=0,0,H18/H8)</f>
        <v/>
      </c>
      <c r="I19" s="382">
        <f>IF(I8=0,0,I18/I8)</f>
        <v/>
      </c>
      <c r="J19" s="382">
        <f>IF(J8=0,0,J18/J8)</f>
        <v/>
      </c>
      <c r="K19" s="382">
        <f>IF(K8=0,0,K18/K8)</f>
        <v/>
      </c>
      <c r="L19" s="382">
        <f>IF(L8=0,0,L18/L8)</f>
        <v/>
      </c>
      <c r="M19" s="382">
        <f>IF(M8=0,0,M18/M8)</f>
        <v/>
      </c>
    </row>
    <row r="20">
      <c r="B20" s="339" t="inlineStr">
        <is>
          <t>Interest and other income, net</t>
        </is>
      </c>
      <c r="C20" s="364" t="inlineStr">
        <is>
          <t>$M</t>
        </is>
      </c>
      <c r="D20" s="351">
        <f>'PB IS (Annual)'!Q48/1000</f>
        <v/>
      </c>
      <c r="E20" s="351">
        <f>'PB IS (Annual)'!P48/1000</f>
        <v/>
      </c>
      <c r="F20" s="351">
        <f>'PB IS (Annual)'!O48/1000</f>
        <v/>
      </c>
      <c r="G20" s="351">
        <f>'PB IS (Annual)'!N48/1000</f>
        <v/>
      </c>
      <c r="H20" s="351">
        <f>'PB IS (Annual)'!M48/1000</f>
        <v/>
      </c>
      <c r="I20" s="366">
        <f>I148</f>
        <v/>
      </c>
      <c r="J20" s="366">
        <f>J148</f>
        <v/>
      </c>
      <c r="K20" s="366">
        <f>K148</f>
        <v/>
      </c>
      <c r="L20" s="366">
        <f>L148</f>
        <v/>
      </c>
      <c r="M20" s="366">
        <f>M148</f>
        <v/>
      </c>
      <c r="O20" s="335" t="inlineStr">
        <is>
          <t>History: PitchBook total non-operating income (interest income, net + other). Projection: yield × opening cash &amp; HTM (schedule 3)</t>
        </is>
      </c>
    </row>
    <row r="21">
      <c r="B21" s="343" t="inlineStr">
        <is>
          <t>Pre-tax income</t>
        </is>
      </c>
      <c r="C21" s="364" t="inlineStr">
        <is>
          <t>$M</t>
        </is>
      </c>
      <c r="D21" s="367">
        <f>D15+D20</f>
        <v/>
      </c>
      <c r="E21" s="367">
        <f>E15+E20</f>
        <v/>
      </c>
      <c r="F21" s="367">
        <f>F15+F20</f>
        <v/>
      </c>
      <c r="G21" s="367">
        <f>G15+G20</f>
        <v/>
      </c>
      <c r="H21" s="367">
        <f>H15+H20</f>
        <v/>
      </c>
      <c r="I21" s="367">
        <f>I15+I20</f>
        <v/>
      </c>
      <c r="J21" s="367">
        <f>J15+J20</f>
        <v/>
      </c>
      <c r="K21" s="367">
        <f>K15+K20</f>
        <v/>
      </c>
      <c r="L21" s="367">
        <f>L15+L20</f>
        <v/>
      </c>
      <c r="M21" s="367">
        <f>M15+M20</f>
        <v/>
      </c>
    </row>
    <row r="22">
      <c r="B22" s="339" t="inlineStr">
        <is>
          <t>Income tax expense</t>
        </is>
      </c>
      <c r="C22" s="364" t="inlineStr">
        <is>
          <t>$M</t>
        </is>
      </c>
      <c r="D22" s="351">
        <f>'PB IS (Annual)'!Q50/1000</f>
        <v/>
      </c>
      <c r="E22" s="351">
        <f>'PB IS (Annual)'!P50/1000</f>
        <v/>
      </c>
      <c r="F22" s="351">
        <f>'PB IS (Annual)'!O50/1000</f>
        <v/>
      </c>
      <c r="G22" s="351">
        <f>'PB IS (Annual)'!N50/1000</f>
        <v/>
      </c>
      <c r="H22" s="351">
        <f>'PB IS (Annual)'!M50/1000</f>
        <v/>
      </c>
      <c r="I22" s="366">
        <f>I21*I23</f>
        <v/>
      </c>
      <c r="J22" s="366">
        <f>J21*J23</f>
        <v/>
      </c>
      <c r="K22" s="366">
        <f>K21*K23</f>
        <v/>
      </c>
      <c r="L22" s="366">
        <f>L21*L23</f>
        <v/>
      </c>
      <c r="M22" s="366">
        <f>M21*M23</f>
        <v/>
      </c>
      <c r="O22" s="335" t="inlineStr">
        <is>
          <t>Projection: pre-tax × structural rate</t>
        </is>
      </c>
    </row>
    <row r="23">
      <c r="B23" s="408" t="inlineStr">
        <is>
          <t>Effective tax rate</t>
        </is>
      </c>
      <c r="C23" s="364" t="inlineStr">
        <is>
          <t>%</t>
        </is>
      </c>
      <c r="D23" s="382">
        <f>IF(D21=0,0,D22/D21)</f>
        <v/>
      </c>
      <c r="E23" s="382">
        <f>IF(E21=0,0,E22/E21)</f>
        <v/>
      </c>
      <c r="F23" s="382">
        <f>IF(F21=0,0,F22/F21)</f>
        <v/>
      </c>
      <c r="G23" s="382">
        <f>IF(G21=0,0,G22/G21)</f>
        <v/>
      </c>
      <c r="H23" s="382">
        <f>IF(H21=0,0,H22/H21)</f>
        <v/>
      </c>
      <c r="I23" s="346">
        <f>'Reverse DCF'!$S$33</f>
        <v/>
      </c>
      <c r="J23" s="346">
        <f>'Reverse DCF'!$S$33</f>
        <v/>
      </c>
      <c r="K23" s="346">
        <f>'Reverse DCF'!$S$33</f>
        <v/>
      </c>
      <c r="L23" s="346">
        <f>'Reverse DCF'!$S$33</f>
        <v/>
      </c>
      <c r="M23" s="346">
        <f>'Reverse DCF'!$S$33</f>
        <v/>
      </c>
      <c r="O23" s="335" t="inlineStr">
        <is>
          <t>FY27+: structural rate from the tax build (Reverse DCF S29–S33: 21% statutory + state − FDII − option benefit); Barclays-implied 20.3% in schedule 7</t>
        </is>
      </c>
    </row>
    <row r="24">
      <c r="B24" s="343" t="inlineStr">
        <is>
          <t>Net income (consolidated)</t>
        </is>
      </c>
      <c r="C24" s="364" t="inlineStr">
        <is>
          <t>$M</t>
        </is>
      </c>
      <c r="D24" s="367">
        <f>D21-D22</f>
        <v/>
      </c>
      <c r="E24" s="367">
        <f>E21-E22</f>
        <v/>
      </c>
      <c r="F24" s="367">
        <f>F21-F22</f>
        <v/>
      </c>
      <c r="G24" s="367">
        <f>G21-G22</f>
        <v/>
      </c>
      <c r="H24" s="367">
        <f>H21-H22</f>
        <v/>
      </c>
      <c r="I24" s="367">
        <f>I21-I22</f>
        <v/>
      </c>
      <c r="J24" s="367">
        <f>J21-J22</f>
        <v/>
      </c>
      <c r="K24" s="367">
        <f>K21-K22</f>
        <v/>
      </c>
      <c r="L24" s="367">
        <f>L21-L22</f>
        <v/>
      </c>
      <c r="M24" s="367">
        <f>M21-M22</f>
        <v/>
      </c>
    </row>
    <row r="25">
      <c r="B25" s="339" t="inlineStr">
        <is>
          <t>Net (income) loss attributable to noncontrolling interest</t>
        </is>
      </c>
      <c r="C25" s="364" t="inlineStr">
        <is>
          <t>$M</t>
        </is>
      </c>
      <c r="D25" s="351">
        <f>'PB IS (Annual)'!Q56/1000-'PB IS (Annual)'!Q54/1000</f>
        <v/>
      </c>
      <c r="E25" s="351">
        <f>'PB IS (Annual)'!P56/1000-'PB IS (Annual)'!P54/1000</f>
        <v/>
      </c>
      <c r="F25" s="351">
        <f>'PB IS (Annual)'!O56/1000-'PB IS (Annual)'!O54/1000</f>
        <v/>
      </c>
      <c r="G25" s="351">
        <f>'PB IS (Annual)'!N56/1000-'PB IS (Annual)'!N54/1000</f>
        <v/>
      </c>
      <c r="H25" s="351">
        <f>'PB IS (Annual)'!M56/1000-'PB IS (Annual)'!M54/1000</f>
        <v/>
      </c>
      <c r="I25" s="414" t="n">
        <v>0</v>
      </c>
      <c r="J25" s="414" t="n">
        <v>0</v>
      </c>
      <c r="K25" s="414" t="n">
        <v>0</v>
      </c>
      <c r="L25" s="414" t="n">
        <v>0</v>
      </c>
      <c r="M25" s="414" t="n">
        <v>0</v>
      </c>
      <c r="O25" s="335" t="inlineStr">
        <is>
          <t>History: NI to Copart − consolidated NI (positive = NCI loss added back). Projection: ASSUMED 0 (Barclays ignores NCI; FY26 was +3.9)</t>
        </is>
      </c>
    </row>
    <row r="26">
      <c r="B26" s="343" t="inlineStr">
        <is>
          <t>Net income attributable to Copart</t>
        </is>
      </c>
      <c r="C26" s="364" t="inlineStr">
        <is>
          <t>$M</t>
        </is>
      </c>
      <c r="D26" s="367">
        <f>D24+D25</f>
        <v/>
      </c>
      <c r="E26" s="367">
        <f>E24+E25</f>
        <v/>
      </c>
      <c r="F26" s="367">
        <f>F24+F25</f>
        <v/>
      </c>
      <c r="G26" s="367">
        <f>G24+G25</f>
        <v/>
      </c>
      <c r="H26" s="367">
        <f>H24+H25</f>
        <v/>
      </c>
      <c r="I26" s="367">
        <f>I24+I25</f>
        <v/>
      </c>
      <c r="J26" s="367">
        <f>J24+J25</f>
        <v/>
      </c>
      <c r="K26" s="367">
        <f>K24+K25</f>
        <v/>
      </c>
      <c r="L26" s="367">
        <f>L24+L25</f>
        <v/>
      </c>
      <c r="M26" s="367">
        <f>M24+M25</f>
        <v/>
      </c>
    </row>
    <row r="27">
      <c r="B27" s="339" t="inlineStr">
        <is>
          <t>Diluted weighted-average shares</t>
        </is>
      </c>
      <c r="C27" s="364" t="inlineStr">
        <is>
          <t>M</t>
        </is>
      </c>
      <c r="D27" s="431">
        <f>'PB IS (Annual)'!Q68/1000000</f>
        <v/>
      </c>
      <c r="E27" s="431">
        <f>'PB IS (Annual)'!P68/1000000</f>
        <v/>
      </c>
      <c r="F27" s="431">
        <f>'PB IS (Annual)'!O68/1000000</f>
        <v/>
      </c>
      <c r="G27" s="431">
        <f>'PB IS (Annual)'!N68/1000000</f>
        <v/>
      </c>
      <c r="H27" s="431">
        <f>'PB IS (Annual)'!M68/1000000</f>
        <v/>
      </c>
      <c r="I27" s="441">
        <f>I162</f>
        <v/>
      </c>
      <c r="J27" s="441">
        <f>J162</f>
        <v/>
      </c>
      <c r="K27" s="441">
        <f>K162</f>
        <v/>
      </c>
      <c r="L27" s="441">
        <f>L162</f>
        <v/>
      </c>
      <c r="M27" s="441">
        <f>M162</f>
        <v/>
      </c>
      <c r="O27" s="335" t="inlineStr">
        <is>
          <t>Projection: schedule 5</t>
        </is>
      </c>
    </row>
    <row r="28">
      <c r="B28" s="343" t="inlineStr">
        <is>
          <t>Diluted EPS</t>
        </is>
      </c>
      <c r="C28" s="364" t="inlineStr">
        <is>
          <t>$</t>
        </is>
      </c>
      <c r="D28" s="442">
        <f>IF(D27=0,0,D26/D27)</f>
        <v/>
      </c>
      <c r="E28" s="442">
        <f>IF(E27=0,0,E26/E27)</f>
        <v/>
      </c>
      <c r="F28" s="442">
        <f>IF(F27=0,0,F26/F27)</f>
        <v/>
      </c>
      <c r="G28" s="442">
        <f>IF(G27=0,0,G26/G27)</f>
        <v/>
      </c>
      <c r="H28" s="442">
        <f>IF(H27=0,0,H26/H27)</f>
        <v/>
      </c>
      <c r="I28" s="442">
        <f>IF(I27=0,0,I26/I27)</f>
        <v/>
      </c>
      <c r="J28" s="442">
        <f>IF(J27=0,0,J26/J27)</f>
        <v/>
      </c>
      <c r="K28" s="442">
        <f>IF(K27=0,0,K26/K27)</f>
        <v/>
      </c>
      <c r="L28" s="442">
        <f>IF(L27=0,0,L26/L27)</f>
        <v/>
      </c>
      <c r="M28" s="442">
        <f>IF(M27=0,0,M26/M27)</f>
        <v/>
      </c>
    </row>
    <row r="29">
      <c r="B29" s="408" t="inlineStr">
        <is>
          <t>y/y growth</t>
        </is>
      </c>
      <c r="C29" s="364" t="inlineStr">
        <is>
          <t>%</t>
        </is>
      </c>
      <c r="E29" s="382">
        <f>IF(D28=0,0,E28/D28-1)</f>
        <v/>
      </c>
      <c r="F29" s="382">
        <f>IF(E28=0,0,F28/E28-1)</f>
        <v/>
      </c>
      <c r="G29" s="382">
        <f>IF(F28=0,0,G28/F28-1)</f>
        <v/>
      </c>
      <c r="H29" s="382">
        <f>IF(G28=0,0,H28/G28-1)</f>
        <v/>
      </c>
      <c r="I29" s="382">
        <f>IF(H28=0,0,I28/H28-1)</f>
        <v/>
      </c>
      <c r="J29" s="382">
        <f>IF(I28=0,0,J28/I28-1)</f>
        <v/>
      </c>
      <c r="K29" s="382">
        <f>IF(J28=0,0,K28/J28-1)</f>
        <v/>
      </c>
      <c r="L29" s="382">
        <f>IF(K28=0,0,L28/K28-1)</f>
        <v/>
      </c>
      <c r="M29" s="382">
        <f>IF(L28=0,0,M28/L28-1)</f>
        <v/>
      </c>
    </row>
    <row r="31">
      <c r="B31" s="344" t="inlineStr">
        <is>
          <t>Barclays parity — income statement (Barclays publishes FY2026A–FY2029E only; Δ = 3SM − Barclays)</t>
        </is>
      </c>
      <c r="C31" s="345" t="n"/>
      <c r="D31" s="345" t="n"/>
      <c r="E31" s="345" t="n"/>
      <c r="F31" s="345" t="n"/>
      <c r="G31" s="345" t="n"/>
      <c r="H31" s="345" t="n"/>
      <c r="I31" s="345" t="n"/>
      <c r="J31" s="345" t="n"/>
      <c r="K31" s="345" t="n"/>
      <c r="L31" s="345" t="n"/>
      <c r="M31" s="345" t="n"/>
      <c r="N31" s="345" t="n"/>
      <c r="O31" s="345" t="n"/>
      <c r="P31" s="345" t="n"/>
      <c r="Q31" s="345" t="n"/>
      <c r="R31" s="345" t="n"/>
      <c r="S31" s="345" t="n"/>
    </row>
    <row r="32">
      <c r="B32" s="339" t="inlineStr">
        <is>
          <t>Barclays revenue</t>
        </is>
      </c>
      <c r="C32" s="364" t="inlineStr">
        <is>
          <t>$M</t>
        </is>
      </c>
      <c r="H32" s="351">
        <f>'D Barclays'!D5</f>
        <v/>
      </c>
      <c r="I32" s="366">
        <f>'D Barclays'!E5</f>
        <v/>
      </c>
      <c r="J32" s="366">
        <f>'D Barclays'!F5</f>
        <v/>
      </c>
      <c r="K32" s="366">
        <f>'D Barclays'!G5</f>
        <v/>
      </c>
      <c r="O32" s="335" t="inlineStr">
        <is>
          <t>D Barclays row 5</t>
        </is>
      </c>
    </row>
    <row r="33">
      <c r="B33" s="408" t="inlineStr">
        <is>
          <t>Δ revenue</t>
        </is>
      </c>
      <c r="C33" s="364" t="inlineStr">
        <is>
          <t>$M</t>
        </is>
      </c>
      <c r="H33" s="366">
        <f>H8-H32</f>
        <v/>
      </c>
      <c r="I33" s="366">
        <f>I8-I32</f>
        <v/>
      </c>
      <c r="J33" s="366">
        <f>J8-J32</f>
        <v/>
      </c>
      <c r="K33" s="366">
        <f>K8-K32</f>
        <v/>
      </c>
    </row>
    <row r="34">
      <c r="B34" s="339" t="inlineStr">
        <is>
          <t>Barclays adjusted EBITDA</t>
        </is>
      </c>
      <c r="C34" s="364" t="inlineStr">
        <is>
          <t>$M</t>
        </is>
      </c>
      <c r="H34" s="351">
        <f>'D Barclays'!D6</f>
        <v/>
      </c>
      <c r="I34" s="366">
        <f>'D Barclays'!E6</f>
        <v/>
      </c>
      <c r="J34" s="366">
        <f>'D Barclays'!F6</f>
        <v/>
      </c>
      <c r="K34" s="366">
        <f>'D Barclays'!G6</f>
        <v/>
      </c>
    </row>
    <row r="35">
      <c r="B35" s="408" t="inlineStr">
        <is>
          <t>Δ adjusted EBITDA</t>
        </is>
      </c>
      <c r="C35" s="364" t="inlineStr">
        <is>
          <t>$M</t>
        </is>
      </c>
      <c r="H35" s="366">
        <f>H18-H34</f>
        <v/>
      </c>
      <c r="I35" s="366">
        <f>I18-I34</f>
        <v/>
      </c>
      <c r="J35" s="366">
        <f>J18-J34</f>
        <v/>
      </c>
      <c r="K35" s="366">
        <f>K18-K34</f>
        <v/>
      </c>
    </row>
    <row r="36">
      <c r="B36" s="339" t="inlineStr">
        <is>
          <t>Barclays EBIT</t>
        </is>
      </c>
      <c r="C36" s="364" t="inlineStr">
        <is>
          <t>$M</t>
        </is>
      </c>
      <c r="H36" s="351">
        <f>'D Barclays'!D7</f>
        <v/>
      </c>
      <c r="I36" s="366">
        <f>'D Barclays'!E7</f>
        <v/>
      </c>
      <c r="J36" s="366">
        <f>'D Barclays'!F7</f>
        <v/>
      </c>
      <c r="K36" s="366">
        <f>'D Barclays'!G7</f>
        <v/>
      </c>
    </row>
    <row r="37">
      <c r="B37" s="408" t="inlineStr">
        <is>
          <t>Δ EBIT</t>
        </is>
      </c>
      <c r="C37" s="364" t="inlineStr">
        <is>
          <t>$M</t>
        </is>
      </c>
      <c r="H37" s="366">
        <f>H15-H36</f>
        <v/>
      </c>
      <c r="I37" s="366">
        <f>I15-I36</f>
        <v/>
      </c>
      <c r="J37" s="366">
        <f>J15-J36</f>
        <v/>
      </c>
      <c r="K37" s="366">
        <f>K15-K36</f>
        <v/>
      </c>
    </row>
    <row r="38">
      <c r="B38" s="339" t="inlineStr">
        <is>
          <t>Barclays pre-tax income</t>
        </is>
      </c>
      <c r="C38" s="364" t="inlineStr">
        <is>
          <t>$M</t>
        </is>
      </c>
      <c r="H38" s="351">
        <f>'D Barclays'!D8</f>
        <v/>
      </c>
      <c r="I38" s="366">
        <f>'D Barclays'!E8</f>
        <v/>
      </c>
      <c r="J38" s="366">
        <f>'D Barclays'!F8</f>
        <v/>
      </c>
      <c r="K38" s="366">
        <f>'D Barclays'!G8</f>
        <v/>
      </c>
    </row>
    <row r="39">
      <c r="B39" s="408" t="inlineStr">
        <is>
          <t>Δ pre-tax income</t>
        </is>
      </c>
      <c r="C39" s="364" t="inlineStr">
        <is>
          <t>$M</t>
        </is>
      </c>
      <c r="H39" s="366">
        <f>H21-H38</f>
        <v/>
      </c>
      <c r="I39" s="366">
        <f>I21-I38</f>
        <v/>
      </c>
      <c r="J39" s="366">
        <f>J21-J38</f>
        <v/>
      </c>
      <c r="K39" s="366">
        <f>K21-K38</f>
        <v/>
      </c>
    </row>
    <row r="40">
      <c r="B40" s="339" t="inlineStr">
        <is>
          <t>Barclays net income</t>
        </is>
      </c>
      <c r="C40" s="364" t="inlineStr">
        <is>
          <t>$M</t>
        </is>
      </c>
      <c r="H40" s="351">
        <f>'D Barclays'!D9</f>
        <v/>
      </c>
      <c r="I40" s="366">
        <f>'D Barclays'!E9</f>
        <v/>
      </c>
      <c r="J40" s="366">
        <f>'D Barclays'!F9</f>
        <v/>
      </c>
      <c r="K40" s="366">
        <f>'D Barclays'!G9</f>
        <v/>
      </c>
    </row>
    <row r="41">
      <c r="B41" s="408" t="inlineStr">
        <is>
          <t>Δ net income</t>
        </is>
      </c>
      <c r="C41" s="364" t="inlineStr">
        <is>
          <t>$M</t>
        </is>
      </c>
      <c r="H41" s="366">
        <f>H26-H40</f>
        <v/>
      </c>
      <c r="I41" s="366">
        <f>I26-I40</f>
        <v/>
      </c>
      <c r="J41" s="366">
        <f>J26-J40</f>
        <v/>
      </c>
      <c r="K41" s="366">
        <f>K26-K40</f>
        <v/>
      </c>
    </row>
    <row r="42">
      <c r="B42" s="339" t="inlineStr">
        <is>
          <t>Barclays diluted EPS</t>
        </is>
      </c>
      <c r="C42" s="364" t="inlineStr">
        <is>
          <t>$</t>
        </is>
      </c>
      <c r="H42" s="443">
        <f>'D Barclays'!D10</f>
        <v/>
      </c>
      <c r="I42" s="444">
        <f>'D Barclays'!E10</f>
        <v/>
      </c>
      <c r="J42" s="444">
        <f>'D Barclays'!F10</f>
        <v/>
      </c>
      <c r="K42" s="444">
        <f>'D Barclays'!G10</f>
        <v/>
      </c>
    </row>
    <row r="43">
      <c r="B43" s="408" t="inlineStr">
        <is>
          <t>Δ EPS, %</t>
        </is>
      </c>
      <c r="C43" s="364" t="inlineStr">
        <is>
          <t>%</t>
        </is>
      </c>
      <c r="H43" s="382">
        <f>IF(H42=0,0,H28/H42-1)</f>
        <v/>
      </c>
      <c r="I43" s="382">
        <f>IF(I42=0,0,I28/I42-1)</f>
        <v/>
      </c>
      <c r="J43" s="382">
        <f>IF(J42=0,0,J28/J42-1)</f>
        <v/>
      </c>
      <c r="K43" s="382">
        <f>IF(K42=0,0,K28/K42-1)</f>
        <v/>
      </c>
    </row>
    <row r="45">
      <c r="B45" s="336" t="inlineStr">
        <is>
          <t>Balance sheet</t>
        </is>
      </c>
      <c r="C45" s="337" t="n"/>
      <c r="D45" s="376" t="inlineStr">
        <is>
          <t>FY2022A</t>
        </is>
      </c>
      <c r="E45" s="376" t="inlineStr">
        <is>
          <t>FY2023A</t>
        </is>
      </c>
      <c r="F45" s="376" t="inlineStr">
        <is>
          <t>FY2024A</t>
        </is>
      </c>
      <c r="G45" s="376" t="inlineStr">
        <is>
          <t>FY2025A</t>
        </is>
      </c>
      <c r="H45" s="376" t="inlineStr">
        <is>
          <t>FY2026A</t>
        </is>
      </c>
      <c r="I45" s="376" t="inlineStr">
        <is>
          <t>FY2027E</t>
        </is>
      </c>
      <c r="J45" s="376" t="inlineStr">
        <is>
          <t>FY2028E</t>
        </is>
      </c>
      <c r="K45" s="376" t="inlineStr">
        <is>
          <t>FY2029E</t>
        </is>
      </c>
      <c r="L45" s="376" t="inlineStr">
        <is>
          <t>FY2030E</t>
        </is>
      </c>
      <c r="M45" s="376" t="inlineStr">
        <is>
          <t>FY2031E</t>
        </is>
      </c>
      <c r="N45" s="337" t="n"/>
      <c r="O45" s="337" t="n"/>
      <c r="P45" s="337" t="n"/>
      <c r="Q45" s="337" t="n"/>
      <c r="R45" s="337" t="n"/>
      <c r="S45" s="337" t="n"/>
    </row>
    <row r="46">
      <c r="B46" s="343" t="inlineStr">
        <is>
          <t>Assets</t>
        </is>
      </c>
    </row>
    <row r="47">
      <c r="B47" s="339" t="inlineStr">
        <is>
          <t>Cash and cash equivalents</t>
        </is>
      </c>
      <c r="C47" s="364" t="inlineStr">
        <is>
          <t>$M</t>
        </is>
      </c>
      <c r="D47" s="351">
        <f>'PB BS (Annual)'!Q14/1000</f>
        <v/>
      </c>
      <c r="E47" s="351">
        <f>'PB BS (Annual)'!P14/1000</f>
        <v/>
      </c>
      <c r="F47" s="351">
        <f>'PB BS (Annual)'!O14/1000</f>
        <v/>
      </c>
      <c r="G47" s="351">
        <f>'PB BS (Annual)'!N14/1000</f>
        <v/>
      </c>
      <c r="H47" s="351">
        <f>'PB BS (Annual)'!M14/1000</f>
        <v/>
      </c>
      <c r="I47" s="366">
        <f>I114</f>
        <v/>
      </c>
      <c r="J47" s="366">
        <f>J114</f>
        <v/>
      </c>
      <c r="K47" s="366">
        <f>K114</f>
        <v/>
      </c>
      <c r="L47" s="366">
        <f>L114</f>
        <v/>
      </c>
      <c r="M47" s="366">
        <f>M114</f>
        <v/>
      </c>
      <c r="O47" s="335" t="inlineStr">
        <is>
          <t>Projection: cash-flow statement ending cash (the plug)</t>
        </is>
      </c>
    </row>
    <row r="48">
      <c r="B48" s="339" t="inlineStr">
        <is>
          <t>Held-to-maturity securities (Treasury bills)</t>
        </is>
      </c>
      <c r="C48" s="364" t="inlineStr">
        <is>
          <t>$M</t>
        </is>
      </c>
      <c r="D48" s="351">
        <f>'PB BS (Annual)'!Q16/1000</f>
        <v/>
      </c>
      <c r="E48" s="351">
        <f>'PB BS (Annual)'!P16/1000</f>
        <v/>
      </c>
      <c r="F48" s="351">
        <f>'PB BS (Annual)'!O16/1000</f>
        <v/>
      </c>
      <c r="G48" s="351">
        <f>'PB BS (Annual)'!N16/1000</f>
        <v/>
      </c>
      <c r="H48" s="351">
        <f>'PB BS (Annual)'!M16/1000</f>
        <v/>
      </c>
      <c r="I48" s="366">
        <f>H48</f>
        <v/>
      </c>
      <c r="J48" s="366">
        <f>I48</f>
        <v/>
      </c>
      <c r="K48" s="366">
        <f>J48</f>
        <v/>
      </c>
      <c r="L48" s="366">
        <f>K48</f>
        <v/>
      </c>
      <c r="M48" s="366">
        <f>L48</f>
        <v/>
      </c>
      <c r="O48" s="335" t="inlineStr">
        <is>
          <t>ASSUMED held flat: no net HTM purchases modelled; all liquidity accrues in cash (same pool for interest income)</t>
        </is>
      </c>
    </row>
    <row r="49">
      <c r="B49" s="408" t="inlineStr">
        <is>
          <t>Cash &amp; HTM securities</t>
        </is>
      </c>
      <c r="C49" s="364" t="inlineStr">
        <is>
          <t>$M</t>
        </is>
      </c>
      <c r="D49" s="366">
        <f>D47+D48</f>
        <v/>
      </c>
      <c r="E49" s="366">
        <f>E47+E48</f>
        <v/>
      </c>
      <c r="F49" s="366">
        <f>F47+F48</f>
        <v/>
      </c>
      <c r="G49" s="366">
        <f>G47+G48</f>
        <v/>
      </c>
      <c r="H49" s="366">
        <f>H47+H48</f>
        <v/>
      </c>
      <c r="I49" s="366">
        <f>I47+I48</f>
        <v/>
      </c>
      <c r="J49" s="366">
        <f>J47+J48</f>
        <v/>
      </c>
      <c r="K49" s="366">
        <f>K47+K48</f>
        <v/>
      </c>
      <c r="L49" s="366">
        <f>L47+L48</f>
        <v/>
      </c>
      <c r="M49" s="366">
        <f>M47+M48</f>
        <v/>
      </c>
      <c r="O49" s="335" t="inlineStr">
        <is>
          <t>Barclays' "cash and equivalents" line combines both (FY26: 4,490)</t>
        </is>
      </c>
    </row>
    <row r="50">
      <c r="B50" s="339" t="inlineStr">
        <is>
          <t>Accounts receivable, net</t>
        </is>
      </c>
      <c r="C50" s="364" t="inlineStr">
        <is>
          <t>$M</t>
        </is>
      </c>
      <c r="D50" s="351">
        <f>'PB BS (Annual)'!Q28/1000-'PB BS (Annual)'!Q25/1000</f>
        <v/>
      </c>
      <c r="E50" s="351">
        <f>'PB BS (Annual)'!P28/1000-'PB BS (Annual)'!P25/1000</f>
        <v/>
      </c>
      <c r="F50" s="351">
        <f>'PB BS (Annual)'!O28/1000-'PB BS (Annual)'!O25/1000</f>
        <v/>
      </c>
      <c r="G50" s="351">
        <f>'PB BS (Annual)'!N28/1000-'PB BS (Annual)'!N25/1000</f>
        <v/>
      </c>
      <c r="H50" s="351">
        <f>'PB BS (Annual)'!M28/1000-'PB BS (Annual)'!M25/1000</f>
        <v/>
      </c>
      <c r="I50" s="366">
        <f>I8*I167/365</f>
        <v/>
      </c>
      <c r="J50" s="366">
        <f>J8*J167/365</f>
        <v/>
      </c>
      <c r="K50" s="366">
        <f>K8*K167/365</f>
        <v/>
      </c>
      <c r="L50" s="366">
        <f>L8*L167/365</f>
        <v/>
      </c>
      <c r="M50" s="366">
        <f>M8*M167/365</f>
        <v/>
      </c>
      <c r="O50" s="335" t="inlineStr">
        <is>
          <t>History: PitchBook trade and other receivables − taxes receivable (= 10-K AR, net). Projection: days of revenue (schedule 6)</t>
        </is>
      </c>
    </row>
    <row r="51">
      <c r="B51" s="339" t="inlineStr">
        <is>
          <t>Income taxes receivable</t>
        </is>
      </c>
      <c r="C51" s="364" t="inlineStr">
        <is>
          <t>$M</t>
        </is>
      </c>
      <c r="D51" s="351">
        <f>'PB BS (Annual)'!Q25/1000</f>
        <v/>
      </c>
      <c r="E51" s="351">
        <f>'PB BS (Annual)'!P25/1000</f>
        <v/>
      </c>
      <c r="F51" s="351">
        <f>'PB BS (Annual)'!O25/1000</f>
        <v/>
      </c>
      <c r="G51" s="351">
        <f>'PB BS (Annual)'!N25/1000</f>
        <v/>
      </c>
      <c r="H51" s="351">
        <f>'PB BS (Annual)'!M25/1000</f>
        <v/>
      </c>
      <c r="I51" s="366">
        <f>H51</f>
        <v/>
      </c>
      <c r="J51" s="366">
        <f>I51</f>
        <v/>
      </c>
      <c r="K51" s="366">
        <f>J51</f>
        <v/>
      </c>
      <c r="L51" s="366">
        <f>K51</f>
        <v/>
      </c>
      <c r="M51" s="366">
        <f>L51</f>
        <v/>
      </c>
      <c r="O51" s="335" t="inlineStr">
        <is>
          <t>ASSUMED held flat</t>
        </is>
      </c>
    </row>
    <row r="52">
      <c r="B52" s="339" t="inlineStr">
        <is>
          <t>Vehicle pooling costs</t>
        </is>
      </c>
      <c r="C52" s="364" t="inlineStr">
        <is>
          <t>$M</t>
        </is>
      </c>
      <c r="D52" s="351">
        <f>'PB BS (Annual)'!Q31/1000</f>
        <v/>
      </c>
      <c r="E52" s="351">
        <f>'PB BS (Annual)'!P31/1000</f>
        <v/>
      </c>
      <c r="F52" s="351">
        <f>'PB BS (Annual)'!O31/1000</f>
        <v/>
      </c>
      <c r="G52" s="351">
        <f>'PB BS (Annual)'!N31/1000</f>
        <v/>
      </c>
      <c r="H52" s="351">
        <f>'PB BS (Annual)'!M31/1000</f>
        <v/>
      </c>
      <c r="I52" s="366">
        <f>I10*I168/365</f>
        <v/>
      </c>
      <c r="J52" s="366">
        <f>J10*J168/365</f>
        <v/>
      </c>
      <c r="K52" s="366">
        <f>K10*K168/365</f>
        <v/>
      </c>
      <c r="L52" s="366">
        <f>L10*L168/365</f>
        <v/>
      </c>
      <c r="M52" s="366">
        <f>M10*M168/365</f>
        <v/>
      </c>
      <c r="O52" s="335" t="inlineStr">
        <is>
          <t>Projection: days of facility operations (schedule 6)</t>
        </is>
      </c>
    </row>
    <row r="53">
      <c r="B53" s="339" t="inlineStr">
        <is>
          <t>Inventories</t>
        </is>
      </c>
      <c r="C53" s="364" t="inlineStr">
        <is>
          <t>$M</t>
        </is>
      </c>
      <c r="D53" s="351">
        <f>'PB BS (Annual)'!Q19/1000</f>
        <v/>
      </c>
      <c r="E53" s="351">
        <f>'PB BS (Annual)'!P19/1000</f>
        <v/>
      </c>
      <c r="F53" s="351">
        <f>'PB BS (Annual)'!O19/1000</f>
        <v/>
      </c>
      <c r="G53" s="351">
        <f>'PB BS (Annual)'!N19/1000</f>
        <v/>
      </c>
      <c r="H53" s="351">
        <f>'PB BS (Annual)'!M19/1000</f>
        <v/>
      </c>
      <c r="I53" s="366">
        <f>I11*I169/365</f>
        <v/>
      </c>
      <c r="J53" s="366">
        <f>J11*J169/365</f>
        <v/>
      </c>
      <c r="K53" s="366">
        <f>K11*K169/365</f>
        <v/>
      </c>
      <c r="L53" s="366">
        <f>L11*L169/365</f>
        <v/>
      </c>
      <c r="M53" s="366">
        <f>M11*M169/365</f>
        <v/>
      </c>
      <c r="O53" s="335" t="inlineStr">
        <is>
          <t>Projection: days of cost of vehicle sales (schedule 6)</t>
        </is>
      </c>
    </row>
    <row r="54">
      <c r="B54" s="339" t="inlineStr">
        <is>
          <t>Prepaid expenses and other current assets</t>
        </is>
      </c>
      <c r="C54" s="364" t="inlineStr">
        <is>
          <t>$M</t>
        </is>
      </c>
      <c r="D54" s="351">
        <f>'PB BS (Annual)'!Q33/1000</f>
        <v/>
      </c>
      <c r="E54" s="351">
        <f>'PB BS (Annual)'!P33/1000</f>
        <v/>
      </c>
      <c r="F54" s="351">
        <f>'PB BS (Annual)'!O33/1000</f>
        <v/>
      </c>
      <c r="G54" s="351">
        <f>'PB BS (Annual)'!N33/1000</f>
        <v/>
      </c>
      <c r="H54" s="351">
        <f>'PB BS (Annual)'!M33/1000</f>
        <v/>
      </c>
      <c r="I54" s="366">
        <f>I8*I170/365</f>
        <v/>
      </c>
      <c r="J54" s="366">
        <f>J8*J170/365</f>
        <v/>
      </c>
      <c r="K54" s="366">
        <f>K8*K170/365</f>
        <v/>
      </c>
      <c r="L54" s="366">
        <f>L8*L170/365</f>
        <v/>
      </c>
      <c r="M54" s="366">
        <f>M8*M170/365</f>
        <v/>
      </c>
      <c r="O54" s="335" t="inlineStr">
        <is>
          <t>Projection: days of revenue (schedule 6)</t>
        </is>
      </c>
    </row>
    <row r="55">
      <c r="B55" s="339" t="inlineStr">
        <is>
          <t>Other operating assets (Barclays ΔNWC reconciliation)</t>
        </is>
      </c>
      <c r="C55" s="364" t="inlineStr">
        <is>
          <t>$M</t>
        </is>
      </c>
      <c r="D55" s="366" t="n">
        <v>0</v>
      </c>
      <c r="E55" s="366" t="n">
        <v>0</v>
      </c>
      <c r="F55" s="366" t="n">
        <v>0</v>
      </c>
      <c r="G55" s="366" t="n">
        <v>0</v>
      </c>
      <c r="H55" s="366" t="n">
        <v>0</v>
      </c>
      <c r="I55" s="366">
        <f>H55+(I173-I176)</f>
        <v/>
      </c>
      <c r="J55" s="366">
        <f>I55+(J173-J176)</f>
        <v/>
      </c>
      <c r="K55" s="366">
        <f>J55+(K173-K176)</f>
        <v/>
      </c>
      <c r="L55" s="366">
        <f>K55+(L173-L176)</f>
        <v/>
      </c>
      <c r="M55" s="366">
        <f>L55+(M173-M176)</f>
        <v/>
      </c>
      <c r="O55" s="335" t="inlineStr">
        <is>
          <t>Zero under the days schedule; under the Barclays ΔNWC method it carries the working capital Barclays assumes beyond what the days lines generate, so the balance sheet still balances</t>
        </is>
      </c>
    </row>
    <row r="56">
      <c r="B56" s="343" t="inlineStr">
        <is>
          <t>Total current assets</t>
        </is>
      </c>
      <c r="C56" s="364" t="inlineStr">
        <is>
          <t>$M</t>
        </is>
      </c>
      <c r="D56" s="367">
        <f>SUM(D47:D55)-D49</f>
        <v/>
      </c>
      <c r="E56" s="367">
        <f>SUM(E47:E55)-E49</f>
        <v/>
      </c>
      <c r="F56" s="367">
        <f>SUM(F47:F55)-F49</f>
        <v/>
      </c>
      <c r="G56" s="367">
        <f>SUM(G47:G55)-G49</f>
        <v/>
      </c>
      <c r="H56" s="367">
        <f>SUM(H47:H55)-H49</f>
        <v/>
      </c>
      <c r="I56" s="367">
        <f>SUM(I47:I55)-I49</f>
        <v/>
      </c>
      <c r="J56" s="367">
        <f>SUM(J47:J55)-J49</f>
        <v/>
      </c>
      <c r="K56" s="367">
        <f>SUM(K47:K55)-K49</f>
        <v/>
      </c>
      <c r="L56" s="367">
        <f>SUM(L47:L55)-L49</f>
        <v/>
      </c>
      <c r="M56" s="367">
        <f>SUM(M47:M55)-M49</f>
        <v/>
      </c>
    </row>
    <row r="57">
      <c r="B57" s="339" t="inlineStr">
        <is>
          <t>Property and equipment, net (excl. lease ROU)</t>
        </is>
      </c>
      <c r="C57" s="364" t="inlineStr">
        <is>
          <t>$M</t>
        </is>
      </c>
      <c r="D57" s="351">
        <f>'PB BS (Annual)'!Q52/1000-'PB BS (Annual)'!Q46/1000</f>
        <v/>
      </c>
      <c r="E57" s="351">
        <f>'PB BS (Annual)'!P52/1000-'PB BS (Annual)'!P46/1000</f>
        <v/>
      </c>
      <c r="F57" s="351">
        <f>'PB BS (Annual)'!O52/1000-'PB BS (Annual)'!O46/1000</f>
        <v/>
      </c>
      <c r="G57" s="351">
        <f>'PB BS (Annual)'!N52/1000-'PB BS (Annual)'!N46/1000</f>
        <v/>
      </c>
      <c r="H57" s="351">
        <f>'PB BS (Annual)'!M52/1000-'PB BS (Annual)'!M46/1000</f>
        <v/>
      </c>
      <c r="I57" s="366">
        <f>I143</f>
        <v/>
      </c>
      <c r="J57" s="366">
        <f>J143</f>
        <v/>
      </c>
      <c r="K57" s="366">
        <f>K143</f>
        <v/>
      </c>
      <c r="L57" s="366">
        <f>L143</f>
        <v/>
      </c>
      <c r="M57" s="366">
        <f>M143</f>
        <v/>
      </c>
      <c r="O57" s="335" t="inlineStr">
        <is>
          <t>History: PitchBook net PP&amp;E − leased assets (= 10-K PP&amp;E, net). Projection: schedule 2</t>
        </is>
      </c>
    </row>
    <row r="58">
      <c r="B58" s="339" t="inlineStr">
        <is>
          <t>Operating lease right-of-use assets</t>
        </is>
      </c>
      <c r="C58" s="364" t="inlineStr">
        <is>
          <t>$M</t>
        </is>
      </c>
      <c r="D58" s="351">
        <f>'PB BS (Annual)'!Q46/1000</f>
        <v/>
      </c>
      <c r="E58" s="351">
        <f>'PB BS (Annual)'!P46/1000</f>
        <v/>
      </c>
      <c r="F58" s="351">
        <f>'PB BS (Annual)'!O46/1000</f>
        <v/>
      </c>
      <c r="G58" s="351">
        <f>'PB BS (Annual)'!N46/1000</f>
        <v/>
      </c>
      <c r="H58" s="351">
        <f>'PB BS (Annual)'!M46/1000</f>
        <v/>
      </c>
      <c r="I58" s="366">
        <f>H58</f>
        <v/>
      </c>
      <c r="J58" s="366">
        <f>I58</f>
        <v/>
      </c>
      <c r="K58" s="366">
        <f>J58</f>
        <v/>
      </c>
      <c r="L58" s="366">
        <f>K58</f>
        <v/>
      </c>
      <c r="M58" s="366">
        <f>L58</f>
        <v/>
      </c>
      <c r="O58" s="335" t="inlineStr">
        <is>
          <t>ASSUMED held flat (Barclays holds lease debt flat at 88)</t>
        </is>
      </c>
    </row>
    <row r="59">
      <c r="B59" s="339" t="inlineStr">
        <is>
          <t>Goodwill</t>
        </is>
      </c>
      <c r="C59" s="364" t="inlineStr">
        <is>
          <t>$M</t>
        </is>
      </c>
      <c r="D59" s="351">
        <f>'PB BS (Annual)'!Q55/1000</f>
        <v/>
      </c>
      <c r="E59" s="351">
        <f>'PB BS (Annual)'!P55/1000</f>
        <v/>
      </c>
      <c r="F59" s="351">
        <f>'PB BS (Annual)'!O55/1000</f>
        <v/>
      </c>
      <c r="G59" s="351">
        <f>'PB BS (Annual)'!N55/1000</f>
        <v/>
      </c>
      <c r="H59" s="351">
        <f>'PB BS (Annual)'!M55/1000</f>
        <v/>
      </c>
      <c r="I59" s="366">
        <f>H59+I187</f>
        <v/>
      </c>
      <c r="J59" s="366">
        <f>I59+J187</f>
        <v/>
      </c>
      <c r="K59" s="366">
        <f>J59+K187</f>
        <v/>
      </c>
      <c r="L59" s="366">
        <f>K59+L187</f>
        <v/>
      </c>
      <c r="M59" s="366">
        <f>L59+M187</f>
        <v/>
      </c>
      <c r="O59" s="335" t="inlineStr">
        <is>
          <t>Flat; rises by the ACV consideration in the close year if the DCF toggle is on (schedule 8)</t>
        </is>
      </c>
    </row>
    <row r="60">
      <c r="B60" s="339" t="inlineStr">
        <is>
          <t>Intangible assets, net</t>
        </is>
      </c>
      <c r="C60" s="364" t="inlineStr">
        <is>
          <t>$M</t>
        </is>
      </c>
      <c r="D60" s="351">
        <f>'PB BS (Annual)'!Q73/1000-'PB BS (Annual)'!Q55/1000</f>
        <v/>
      </c>
      <c r="E60" s="351">
        <f>'PB BS (Annual)'!P73/1000-'PB BS (Annual)'!P55/1000</f>
        <v/>
      </c>
      <c r="F60" s="351">
        <f>'PB BS (Annual)'!O73/1000-'PB BS (Annual)'!O55/1000</f>
        <v/>
      </c>
      <c r="G60" s="351">
        <f>'PB BS (Annual)'!N73/1000-'PB BS (Annual)'!N55/1000</f>
        <v/>
      </c>
      <c r="H60" s="351">
        <f>'PB BS (Annual)'!M73/1000-'PB BS (Annual)'!M55/1000</f>
        <v/>
      </c>
      <c r="I60" s="366">
        <f>H60</f>
        <v/>
      </c>
      <c r="J60" s="366">
        <f>I60</f>
        <v/>
      </c>
      <c r="K60" s="366">
        <f>J60</f>
        <v/>
      </c>
      <c r="L60" s="366">
        <f>K60</f>
        <v/>
      </c>
      <c r="M60" s="366">
        <f>L60</f>
        <v/>
      </c>
      <c r="O60" s="335" t="inlineStr">
        <is>
          <t>ASSUMED held flat (amortisation is carried inside D&amp;A against PP&amp;E)</t>
        </is>
      </c>
    </row>
    <row r="61">
      <c r="B61" s="339" t="inlineStr">
        <is>
          <t>Other non-current assets</t>
        </is>
      </c>
      <c r="C61" s="364" t="inlineStr">
        <is>
          <t>$M</t>
        </is>
      </c>
      <c r="D61" s="351">
        <f>'PB BS (Annual)'!Q76/1000</f>
        <v/>
      </c>
      <c r="E61" s="351">
        <f>'PB BS (Annual)'!P76/1000</f>
        <v/>
      </c>
      <c r="F61" s="351">
        <f>'PB BS (Annual)'!O76/1000</f>
        <v/>
      </c>
      <c r="G61" s="351">
        <f>'PB BS (Annual)'!N76/1000</f>
        <v/>
      </c>
      <c r="H61" s="351">
        <f>'PB BS (Annual)'!M76/1000</f>
        <v/>
      </c>
      <c r="I61" s="366">
        <f>H61</f>
        <v/>
      </c>
      <c r="J61" s="366">
        <f>I61</f>
        <v/>
      </c>
      <c r="K61" s="366">
        <f>J61</f>
        <v/>
      </c>
      <c r="L61" s="366">
        <f>K61</f>
        <v/>
      </c>
      <c r="M61" s="366">
        <f>L61</f>
        <v/>
      </c>
      <c r="O61" s="335" t="inlineStr">
        <is>
          <t>ASSUMED held flat</t>
        </is>
      </c>
    </row>
    <row r="62">
      <c r="B62" s="343" t="inlineStr">
        <is>
          <t>Total assets</t>
        </is>
      </c>
      <c r="C62" s="364" t="inlineStr">
        <is>
          <t>$M</t>
        </is>
      </c>
      <c r="D62" s="367">
        <f>D56+SUM(D57:D61)</f>
        <v/>
      </c>
      <c r="E62" s="367">
        <f>E56+SUM(E57:E61)</f>
        <v/>
      </c>
      <c r="F62" s="367">
        <f>F56+SUM(F57:F61)</f>
        <v/>
      </c>
      <c r="G62" s="367">
        <f>G56+SUM(G57:G61)</f>
        <v/>
      </c>
      <c r="H62" s="367">
        <f>H56+SUM(H57:H61)</f>
        <v/>
      </c>
      <c r="I62" s="367">
        <f>I56+SUM(I57:I61)</f>
        <v/>
      </c>
      <c r="J62" s="367">
        <f>J56+SUM(J57:J61)</f>
        <v/>
      </c>
      <c r="K62" s="367">
        <f>K56+SUM(K57:K61)</f>
        <v/>
      </c>
      <c r="L62" s="367">
        <f>L56+SUM(L57:L61)</f>
        <v/>
      </c>
      <c r="M62" s="367">
        <f>M56+SUM(M57:M61)</f>
        <v/>
      </c>
    </row>
    <row r="63">
      <c r="B63" s="343" t="inlineStr">
        <is>
          <t>Liabilities</t>
        </is>
      </c>
    </row>
    <row r="64">
      <c r="B64" s="339" t="inlineStr">
        <is>
          <t>Accounts payable, accrued liabilities and deferred revenue</t>
        </is>
      </c>
      <c r="C64" s="364" t="inlineStr">
        <is>
          <t>$M</t>
        </is>
      </c>
      <c r="D64" s="351">
        <f>'PB BS (Annual)'!Q112/1000-'PB BS (Annual)'!Q85/1000-'PB BS (Annual)'!Q98/1000</f>
        <v/>
      </c>
      <c r="E64" s="351">
        <f>'PB BS (Annual)'!P112/1000-'PB BS (Annual)'!P85/1000-'PB BS (Annual)'!P98/1000</f>
        <v/>
      </c>
      <c r="F64" s="351">
        <f>'PB BS (Annual)'!O112/1000-'PB BS (Annual)'!O85/1000-'PB BS (Annual)'!O98/1000</f>
        <v/>
      </c>
      <c r="G64" s="351">
        <f>'PB BS (Annual)'!N112/1000-'PB BS (Annual)'!N85/1000-'PB BS (Annual)'!N98/1000</f>
        <v/>
      </c>
      <c r="H64" s="351">
        <f>'PB BS (Annual)'!M112/1000-'PB BS (Annual)'!M85/1000-'PB BS (Annual)'!M98/1000</f>
        <v/>
      </c>
      <c r="I64" s="366">
        <f>(I10+I11+I14-I17)*I171/365</f>
        <v/>
      </c>
      <c r="J64" s="366">
        <f>(J10+J11+J14-J17)*J171/365</f>
        <v/>
      </c>
      <c r="K64" s="366">
        <f>(K10+K11+K14-K17)*K171/365</f>
        <v/>
      </c>
      <c r="L64" s="366">
        <f>(L10+L11+L14-L17)*L171/365</f>
        <v/>
      </c>
      <c r="M64" s="366">
        <f>(M10+M11+M14-M17)*M171/365</f>
        <v/>
      </c>
      <c r="O64" s="335" t="inlineStr">
        <is>
          <t>History: PitchBook total current liabilities − income taxes payable − current lease liabilities (FY26: 634.7 AP &amp; accrued + 32.5 deferred revenue). Projection: days of cash operating costs (schedule 6)</t>
        </is>
      </c>
    </row>
    <row r="65">
      <c r="B65" s="339" t="inlineStr">
        <is>
          <t>Income taxes payable</t>
        </is>
      </c>
      <c r="C65" s="364" t="inlineStr">
        <is>
          <t>$M</t>
        </is>
      </c>
      <c r="D65" s="351">
        <f>'PB BS (Annual)'!Q85/1000</f>
        <v/>
      </c>
      <c r="E65" s="351">
        <f>'PB BS (Annual)'!P85/1000</f>
        <v/>
      </c>
      <c r="F65" s="351">
        <f>'PB BS (Annual)'!O85/1000</f>
        <v/>
      </c>
      <c r="G65" s="351">
        <f>'PB BS (Annual)'!N85/1000</f>
        <v/>
      </c>
      <c r="H65" s="351">
        <f>'PB BS (Annual)'!M85/1000</f>
        <v/>
      </c>
      <c r="I65" s="366">
        <f>H65</f>
        <v/>
      </c>
      <c r="J65" s="366">
        <f>I65</f>
        <v/>
      </c>
      <c r="K65" s="366">
        <f>J65</f>
        <v/>
      </c>
      <c r="L65" s="366">
        <f>K65</f>
        <v/>
      </c>
      <c r="M65" s="366">
        <f>L65</f>
        <v/>
      </c>
      <c r="O65" s="335" t="inlineStr">
        <is>
          <t>ASSUMED held flat</t>
        </is>
      </c>
    </row>
    <row r="66">
      <c r="B66" s="339" t="inlineStr">
        <is>
          <t>Lease liabilities, current</t>
        </is>
      </c>
      <c r="C66" s="364" t="inlineStr">
        <is>
          <t>$M</t>
        </is>
      </c>
      <c r="D66" s="351">
        <f>'PB BS (Annual)'!Q98/1000</f>
        <v/>
      </c>
      <c r="E66" s="351">
        <f>'PB BS (Annual)'!P98/1000</f>
        <v/>
      </c>
      <c r="F66" s="351">
        <f>'PB BS (Annual)'!O98/1000</f>
        <v/>
      </c>
      <c r="G66" s="351">
        <f>'PB BS (Annual)'!N98/1000</f>
        <v/>
      </c>
      <c r="H66" s="351">
        <f>'PB BS (Annual)'!M98/1000</f>
        <v/>
      </c>
      <c r="I66" s="366">
        <f>H66</f>
        <v/>
      </c>
      <c r="J66" s="366">
        <f>I66</f>
        <v/>
      </c>
      <c r="K66" s="366">
        <f>J66</f>
        <v/>
      </c>
      <c r="L66" s="366">
        <f>K66</f>
        <v/>
      </c>
      <c r="M66" s="366">
        <f>L66</f>
        <v/>
      </c>
      <c r="O66" s="335" t="inlineStr">
        <is>
          <t>ASSUMED held flat</t>
        </is>
      </c>
    </row>
    <row r="67">
      <c r="B67" s="343" t="inlineStr">
        <is>
          <t>Total current liabilities</t>
        </is>
      </c>
      <c r="C67" s="364" t="inlineStr">
        <is>
          <t>$M</t>
        </is>
      </c>
      <c r="D67" s="367">
        <f>SUM(D64:D66)</f>
        <v/>
      </c>
      <c r="E67" s="367">
        <f>SUM(E64:E66)</f>
        <v/>
      </c>
      <c r="F67" s="367">
        <f>SUM(F64:F66)</f>
        <v/>
      </c>
      <c r="G67" s="367">
        <f>SUM(G64:G66)</f>
        <v/>
      </c>
      <c r="H67" s="367">
        <f>SUM(H64:H66)</f>
        <v/>
      </c>
      <c r="I67" s="367">
        <f>SUM(I64:I66)</f>
        <v/>
      </c>
      <c r="J67" s="367">
        <f>SUM(J64:J66)</f>
        <v/>
      </c>
      <c r="K67" s="367">
        <f>SUM(K64:K66)</f>
        <v/>
      </c>
      <c r="L67" s="367">
        <f>SUM(L64:L66)</f>
        <v/>
      </c>
      <c r="M67" s="367">
        <f>SUM(M64:M66)</f>
        <v/>
      </c>
    </row>
    <row r="68">
      <c r="B68" s="339" t="inlineStr">
        <is>
          <t>Lease liabilities and debt, non-current</t>
        </is>
      </c>
      <c r="C68" s="364" t="inlineStr">
        <is>
          <t>$M</t>
        </is>
      </c>
      <c r="D68" s="351">
        <f>'PB BS (Annual)'!Q119/1000</f>
        <v/>
      </c>
      <c r="E68" s="351">
        <f>'PB BS (Annual)'!P119/1000</f>
        <v/>
      </c>
      <c r="F68" s="351">
        <f>'PB BS (Annual)'!O119/1000</f>
        <v/>
      </c>
      <c r="G68" s="351">
        <f>'PB BS (Annual)'!N119/1000</f>
        <v/>
      </c>
      <c r="H68" s="351">
        <f>'PB BS (Annual)'!M119/1000</f>
        <v/>
      </c>
      <c r="I68" s="366">
        <f>H68</f>
        <v/>
      </c>
      <c r="J68" s="366">
        <f>I68</f>
        <v/>
      </c>
      <c r="K68" s="366">
        <f>J68</f>
        <v/>
      </c>
      <c r="L68" s="366">
        <f>K68</f>
        <v/>
      </c>
      <c r="M68" s="366">
        <f>L68</f>
        <v/>
      </c>
      <c r="O68" s="335" t="inlineStr">
        <is>
          <t>ASSUMED held flat; with the current portion this is Barclays' "debt" of 88</t>
        </is>
      </c>
    </row>
    <row r="69">
      <c r="B69" s="339" t="inlineStr">
        <is>
          <t>Deferred tax liabilities</t>
        </is>
      </c>
      <c r="C69" s="364" t="inlineStr">
        <is>
          <t>$M</t>
        </is>
      </c>
      <c r="D69" s="351">
        <f>'PB BS (Annual)'!Q121/1000</f>
        <v/>
      </c>
      <c r="E69" s="351">
        <f>'PB BS (Annual)'!P121/1000</f>
        <v/>
      </c>
      <c r="F69" s="351">
        <f>'PB BS (Annual)'!O121/1000</f>
        <v/>
      </c>
      <c r="G69" s="351">
        <f>'PB BS (Annual)'!N121/1000</f>
        <v/>
      </c>
      <c r="H69" s="351">
        <f>'PB BS (Annual)'!M121/1000</f>
        <v/>
      </c>
      <c r="I69" s="366">
        <f>H69</f>
        <v/>
      </c>
      <c r="J69" s="366">
        <f>I69</f>
        <v/>
      </c>
      <c r="K69" s="366">
        <f>J69</f>
        <v/>
      </c>
      <c r="L69" s="366">
        <f>K69</f>
        <v/>
      </c>
      <c r="M69" s="366">
        <f>L69</f>
        <v/>
      </c>
      <c r="O69" s="335" t="inlineStr">
        <is>
          <t>ASSUMED held flat</t>
        </is>
      </c>
    </row>
    <row r="70">
      <c r="B70" s="339" t="inlineStr">
        <is>
          <t>Other non-current liabilities (taxes payable)</t>
        </is>
      </c>
      <c r="C70" s="364" t="inlineStr">
        <is>
          <t>$M</t>
        </is>
      </c>
      <c r="D70" s="351">
        <f>'PB BS (Annual)'!Q125/1000</f>
        <v/>
      </c>
      <c r="E70" s="351">
        <f>'PB BS (Annual)'!P125/1000</f>
        <v/>
      </c>
      <c r="F70" s="351">
        <f>'PB BS (Annual)'!O125/1000</f>
        <v/>
      </c>
      <c r="G70" s="351">
        <f>'PB BS (Annual)'!N125/1000</f>
        <v/>
      </c>
      <c r="H70" s="351">
        <f>'PB BS (Annual)'!M125/1000</f>
        <v/>
      </c>
      <c r="I70" s="366">
        <f>H70</f>
        <v/>
      </c>
      <c r="J70" s="366">
        <f>I70</f>
        <v/>
      </c>
      <c r="K70" s="366">
        <f>J70</f>
        <v/>
      </c>
      <c r="L70" s="366">
        <f>K70</f>
        <v/>
      </c>
      <c r="M70" s="366">
        <f>L70</f>
        <v/>
      </c>
      <c r="O70" s="335" t="inlineStr">
        <is>
          <t>ASSUMED held flat</t>
        </is>
      </c>
    </row>
    <row r="71">
      <c r="B71" s="343" t="inlineStr">
        <is>
          <t>Total liabilities</t>
        </is>
      </c>
      <c r="C71" s="364" t="inlineStr">
        <is>
          <t>$M</t>
        </is>
      </c>
      <c r="D71" s="367">
        <f>D67+SUM(D68:D70)</f>
        <v/>
      </c>
      <c r="E71" s="367">
        <f>E67+SUM(E68:E70)</f>
        <v/>
      </c>
      <c r="F71" s="367">
        <f>F67+SUM(F68:F70)</f>
        <v/>
      </c>
      <c r="G71" s="367">
        <f>G67+SUM(G68:G70)</f>
        <v/>
      </c>
      <c r="H71" s="367">
        <f>H67+SUM(H68:H70)</f>
        <v/>
      </c>
      <c r="I71" s="367">
        <f>I67+SUM(I68:I70)</f>
        <v/>
      </c>
      <c r="J71" s="367">
        <f>J67+SUM(J68:J70)</f>
        <v/>
      </c>
      <c r="K71" s="367">
        <f>K67+SUM(K68:K70)</f>
        <v/>
      </c>
      <c r="L71" s="367">
        <f>L67+SUM(L68:L70)</f>
        <v/>
      </c>
      <c r="M71" s="367">
        <f>M67+SUM(M68:M70)</f>
        <v/>
      </c>
    </row>
    <row r="72">
      <c r="B72" s="343" t="inlineStr">
        <is>
          <t>Equity</t>
        </is>
      </c>
    </row>
    <row r="73">
      <c r="B73" s="339" t="inlineStr">
        <is>
          <t>Copart stockholders' equity</t>
        </is>
      </c>
      <c r="C73" s="364" t="inlineStr">
        <is>
          <t>$M</t>
        </is>
      </c>
      <c r="D73" s="351">
        <f>'PB BS (Annual)'!Q147/1000</f>
        <v/>
      </c>
      <c r="E73" s="351">
        <f>'PB BS (Annual)'!P147/1000</f>
        <v/>
      </c>
      <c r="F73" s="351">
        <f>'PB BS (Annual)'!O147/1000</f>
        <v/>
      </c>
      <c r="G73" s="351">
        <f>'PB BS (Annual)'!N147/1000</f>
        <v/>
      </c>
      <c r="H73" s="351">
        <f>'PB BS (Annual)'!M147/1000</f>
        <v/>
      </c>
      <c r="I73" s="366">
        <f>H73+I26+I94+I107+I106</f>
        <v/>
      </c>
      <c r="J73" s="366">
        <f>I73+J26+J94+J107+J106</f>
        <v/>
      </c>
      <c r="K73" s="366">
        <f>J73+K26+K94+K107+K106</f>
        <v/>
      </c>
      <c r="L73" s="366">
        <f>K73+L26+L94+L107+L106</f>
        <v/>
      </c>
      <c r="M73" s="366">
        <f>L73+M26+M94+M107+M106</f>
        <v/>
      </c>
      <c r="O73" s="335" t="inlineStr">
        <is>
          <t>Projection: prior + net income to Copart + SBC + option proceeds − repurchases (no OCI movement assumed)</t>
        </is>
      </c>
    </row>
    <row r="74">
      <c r="B74" s="339" t="inlineStr">
        <is>
          <t>Noncontrolling interest</t>
        </is>
      </c>
      <c r="C74" s="364" t="inlineStr">
        <is>
          <t>$M</t>
        </is>
      </c>
      <c r="D74" s="351">
        <f>'PB BS (Annual)'!Q148/1000</f>
        <v/>
      </c>
      <c r="E74" s="351">
        <f>'PB BS (Annual)'!P148/1000</f>
        <v/>
      </c>
      <c r="F74" s="351">
        <f>'PB BS (Annual)'!O148/1000</f>
        <v/>
      </c>
      <c r="G74" s="351">
        <f>'PB BS (Annual)'!N148/1000</f>
        <v/>
      </c>
      <c r="H74" s="351">
        <f>'PB BS (Annual)'!M148/1000</f>
        <v/>
      </c>
      <c r="I74" s="366">
        <f>H74-I25</f>
        <v/>
      </c>
      <c r="J74" s="366">
        <f>I74-J25</f>
        <v/>
      </c>
      <c r="K74" s="366">
        <f>J74-K25</f>
        <v/>
      </c>
      <c r="L74" s="366">
        <f>K74-L25</f>
        <v/>
      </c>
      <c r="M74" s="366">
        <f>L74-M25</f>
        <v/>
      </c>
      <c r="O74" s="335" t="inlineStr">
        <is>
          <t>Projection: prior less the NCI loss carried on the income statement (0 by assumption)</t>
        </is>
      </c>
    </row>
    <row r="75">
      <c r="B75" s="343" t="inlineStr">
        <is>
          <t>Total equity</t>
        </is>
      </c>
      <c r="C75" s="364" t="inlineStr">
        <is>
          <t>$M</t>
        </is>
      </c>
      <c r="D75" s="367">
        <f>D73+D74</f>
        <v/>
      </c>
      <c r="E75" s="367">
        <f>E73+E74</f>
        <v/>
      </c>
      <c r="F75" s="367">
        <f>F73+F74</f>
        <v/>
      </c>
      <c r="G75" s="367">
        <f>G73+G74</f>
        <v/>
      </c>
      <c r="H75" s="367">
        <f>H73+H74</f>
        <v/>
      </c>
      <c r="I75" s="367">
        <f>I73+I74</f>
        <v/>
      </c>
      <c r="J75" s="367">
        <f>J73+J74</f>
        <v/>
      </c>
      <c r="K75" s="367">
        <f>K73+K74</f>
        <v/>
      </c>
      <c r="L75" s="367">
        <f>L73+L74</f>
        <v/>
      </c>
      <c r="M75" s="367">
        <f>M73+M74</f>
        <v/>
      </c>
    </row>
    <row r="76">
      <c r="B76" s="343" t="inlineStr">
        <is>
          <t>Total liabilities and equity</t>
        </is>
      </c>
      <c r="C76" s="364" t="inlineStr">
        <is>
          <t>$M</t>
        </is>
      </c>
      <c r="D76" s="367">
        <f>D71+D75</f>
        <v/>
      </c>
      <c r="E76" s="367">
        <f>E71+E75</f>
        <v/>
      </c>
      <c r="F76" s="367">
        <f>F71+F75</f>
        <v/>
      </c>
      <c r="G76" s="367">
        <f>G71+G75</f>
        <v/>
      </c>
      <c r="H76" s="367">
        <f>H71+H75</f>
        <v/>
      </c>
      <c r="I76" s="367">
        <f>I71+I75</f>
        <v/>
      </c>
      <c r="J76" s="367">
        <f>J71+J75</f>
        <v/>
      </c>
      <c r="K76" s="367">
        <f>K71+K75</f>
        <v/>
      </c>
      <c r="L76" s="367">
        <f>L71+L75</f>
        <v/>
      </c>
      <c r="M76" s="367">
        <f>M71+M75</f>
        <v/>
      </c>
    </row>
    <row r="77">
      <c r="B77" s="347" t="inlineStr">
        <is>
          <t>Balance check (assets − liabilities and equity; should be 0)</t>
        </is>
      </c>
      <c r="C77" s="364" t="inlineStr">
        <is>
          <t>$M</t>
        </is>
      </c>
      <c r="D77" s="379">
        <f>ROUND(D62-D76,3)</f>
        <v/>
      </c>
      <c r="E77" s="379">
        <f>ROUND(E62-E76,3)</f>
        <v/>
      </c>
      <c r="F77" s="379">
        <f>ROUND(F62-F76,3)</f>
        <v/>
      </c>
      <c r="G77" s="379">
        <f>ROUND(G62-G76,3)</f>
        <v/>
      </c>
      <c r="H77" s="379">
        <f>ROUND(H62-H76,3)</f>
        <v/>
      </c>
      <c r="I77" s="379">
        <f>ROUND(I62-I76,3)</f>
        <v/>
      </c>
      <c r="J77" s="379">
        <f>ROUND(J62-J76,3)</f>
        <v/>
      </c>
      <c r="K77" s="379">
        <f>ROUND(K62-K76,3)</f>
        <v/>
      </c>
      <c r="L77" s="379">
        <f>ROUND(L62-L76,3)</f>
        <v/>
      </c>
      <c r="M77" s="379">
        <f>ROUND(M62-M76,3)</f>
        <v/>
      </c>
    </row>
    <row r="79">
      <c r="B79" s="344" t="inlineStr">
        <is>
          <t>Barclays parity — balance sheet</t>
        </is>
      </c>
      <c r="C79" s="345" t="n"/>
      <c r="D79" s="345" t="n"/>
      <c r="E79" s="345" t="n"/>
      <c r="F79" s="345" t="n"/>
      <c r="G79" s="345" t="n"/>
      <c r="H79" s="345" t="n"/>
      <c r="I79" s="345" t="n"/>
      <c r="J79" s="345" t="n"/>
      <c r="K79" s="345" t="n"/>
      <c r="L79" s="345" t="n"/>
      <c r="M79" s="345" t="n"/>
      <c r="N79" s="345" t="n"/>
      <c r="O79" s="345" t="n"/>
      <c r="P79" s="345" t="n"/>
      <c r="Q79" s="345" t="n"/>
      <c r="R79" s="345" t="n"/>
      <c r="S79" s="345" t="n"/>
    </row>
    <row r="80">
      <c r="B80" s="339" t="inlineStr">
        <is>
          <t>Debt, Barclays definition (lease liabilities, current + non-current)</t>
        </is>
      </c>
      <c r="C80" s="364" t="inlineStr">
        <is>
          <t>$M</t>
        </is>
      </c>
      <c r="D80" s="366">
        <f>D66+D68</f>
        <v/>
      </c>
      <c r="E80" s="366">
        <f>E66+E68</f>
        <v/>
      </c>
      <c r="F80" s="366">
        <f>F66+F68</f>
        <v/>
      </c>
      <c r="G80" s="366">
        <f>G66+G68</f>
        <v/>
      </c>
      <c r="H80" s="366">
        <f>H66+H68</f>
        <v/>
      </c>
      <c r="I80" s="366">
        <f>I66+I68</f>
        <v/>
      </c>
      <c r="J80" s="366">
        <f>J66+J68</f>
        <v/>
      </c>
      <c r="K80" s="366">
        <f>K66+K68</f>
        <v/>
      </c>
      <c r="L80" s="366">
        <f>L66+L68</f>
        <v/>
      </c>
      <c r="M80" s="366">
        <f>M66+M68</f>
        <v/>
      </c>
    </row>
    <row r="81">
      <c r="B81" s="339" t="inlineStr">
        <is>
          <t>Barclays cash and equivalents</t>
        </is>
      </c>
      <c r="C81" s="364" t="inlineStr">
        <is>
          <t>$M</t>
        </is>
      </c>
      <c r="H81" s="351">
        <f>'D Barclays'!D12</f>
        <v/>
      </c>
      <c r="I81" s="366">
        <f>'D Barclays'!E12</f>
        <v/>
      </c>
      <c r="J81" s="366">
        <f>'D Barclays'!F12</f>
        <v/>
      </c>
      <c r="K81" s="366">
        <f>'D Barclays'!G12</f>
        <v/>
      </c>
    </row>
    <row r="82">
      <c r="B82" s="408" t="inlineStr">
        <is>
          <t>Δ cash &amp; HTM</t>
        </is>
      </c>
      <c r="C82" s="364" t="inlineStr">
        <is>
          <t>$M</t>
        </is>
      </c>
      <c r="H82" s="366">
        <f>H49-H81</f>
        <v/>
      </c>
      <c r="I82" s="366">
        <f>I49-I81</f>
        <v/>
      </c>
      <c r="J82" s="366">
        <f>J49-J81</f>
        <v/>
      </c>
      <c r="K82" s="366">
        <f>K49-K81</f>
        <v/>
      </c>
    </row>
    <row r="83">
      <c r="B83" s="339" t="inlineStr">
        <is>
          <t>Barclays total assets</t>
        </is>
      </c>
      <c r="C83" s="364" t="inlineStr">
        <is>
          <t>$M</t>
        </is>
      </c>
      <c r="H83" s="351">
        <f>'D Barclays'!D13</f>
        <v/>
      </c>
      <c r="I83" s="366">
        <f>'D Barclays'!E13</f>
        <v/>
      </c>
      <c r="J83" s="366">
        <f>'D Barclays'!F13</f>
        <v/>
      </c>
      <c r="K83" s="366">
        <f>'D Barclays'!G13</f>
        <v/>
      </c>
    </row>
    <row r="84">
      <c r="B84" s="408" t="inlineStr">
        <is>
          <t>Δ total assets</t>
        </is>
      </c>
      <c r="C84" s="364" t="inlineStr">
        <is>
          <t>$M</t>
        </is>
      </c>
      <c r="H84" s="366">
        <f>H62-H83</f>
        <v/>
      </c>
      <c r="I84" s="366">
        <f>I62-I83</f>
        <v/>
      </c>
      <c r="J84" s="366">
        <f>J62-J83</f>
        <v/>
      </c>
      <c r="K84" s="366">
        <f>K62-K83</f>
        <v/>
      </c>
    </row>
    <row r="85">
      <c r="B85" s="339" t="inlineStr">
        <is>
          <t>Barclays debt</t>
        </is>
      </c>
      <c r="C85" s="364" t="inlineStr">
        <is>
          <t>$M</t>
        </is>
      </c>
      <c r="H85" s="351">
        <f>'D Barclays'!D14</f>
        <v/>
      </c>
      <c r="I85" s="366">
        <f>'D Barclays'!E14</f>
        <v/>
      </c>
      <c r="J85" s="366">
        <f>'D Barclays'!F14</f>
        <v/>
      </c>
      <c r="K85" s="366">
        <f>'D Barclays'!G14</f>
        <v/>
      </c>
    </row>
    <row r="86">
      <c r="B86" s="408" t="inlineStr">
        <is>
          <t>Δ debt</t>
        </is>
      </c>
      <c r="C86" s="364" t="inlineStr">
        <is>
          <t>$M</t>
        </is>
      </c>
      <c r="H86" s="366">
        <f>H80-H85</f>
        <v/>
      </c>
      <c r="I86" s="366">
        <f>I80-I85</f>
        <v/>
      </c>
      <c r="J86" s="366">
        <f>J80-J85</f>
        <v/>
      </c>
      <c r="K86" s="366">
        <f>K80-K85</f>
        <v/>
      </c>
    </row>
    <row r="87">
      <c r="B87" s="339" t="inlineStr">
        <is>
          <t>Barclays shareholders' equity</t>
        </is>
      </c>
      <c r="C87" s="364" t="inlineStr">
        <is>
          <t>$M</t>
        </is>
      </c>
      <c r="H87" s="351">
        <f>'D Barclays'!D16</f>
        <v/>
      </c>
      <c r="I87" s="366">
        <f>'D Barclays'!E16</f>
        <v/>
      </c>
      <c r="J87" s="366">
        <f>'D Barclays'!F16</f>
        <v/>
      </c>
      <c r="K87" s="366">
        <f>'D Barclays'!G16</f>
        <v/>
      </c>
    </row>
    <row r="88">
      <c r="B88" s="408" t="inlineStr">
        <is>
          <t>Δ Copart stockholders' equity</t>
        </is>
      </c>
      <c r="C88" s="364" t="inlineStr">
        <is>
          <t>$M</t>
        </is>
      </c>
      <c r="H88" s="366">
        <f>H73-H87</f>
        <v/>
      </c>
      <c r="I88" s="366">
        <f>I73-I87</f>
        <v/>
      </c>
      <c r="J88" s="366">
        <f>J73-J87</f>
        <v/>
      </c>
      <c r="K88" s="366">
        <f>K73-K87</f>
        <v/>
      </c>
    </row>
    <row r="90">
      <c r="B90" s="336" t="inlineStr">
        <is>
          <t>Cash flow statement</t>
        </is>
      </c>
      <c r="C90" s="337" t="n"/>
      <c r="D90" s="376" t="inlineStr">
        <is>
          <t>FY2022A</t>
        </is>
      </c>
      <c r="E90" s="376" t="inlineStr">
        <is>
          <t>FY2023A</t>
        </is>
      </c>
      <c r="F90" s="376" t="inlineStr">
        <is>
          <t>FY2024A</t>
        </is>
      </c>
      <c r="G90" s="376" t="inlineStr">
        <is>
          <t>FY2025A</t>
        </is>
      </c>
      <c r="H90" s="376" t="inlineStr">
        <is>
          <t>FY2026A</t>
        </is>
      </c>
      <c r="I90" s="376" t="inlineStr">
        <is>
          <t>FY2027E</t>
        </is>
      </c>
      <c r="J90" s="376" t="inlineStr">
        <is>
          <t>FY2028E</t>
        </is>
      </c>
      <c r="K90" s="376" t="inlineStr">
        <is>
          <t>FY2029E</t>
        </is>
      </c>
      <c r="L90" s="376" t="inlineStr">
        <is>
          <t>FY2030E</t>
        </is>
      </c>
      <c r="M90" s="376" t="inlineStr">
        <is>
          <t>FY2031E</t>
        </is>
      </c>
      <c r="N90" s="337" t="n"/>
      <c r="O90" s="337" t="n"/>
      <c r="P90" s="337" t="n"/>
      <c r="Q90" s="337" t="n"/>
      <c r="R90" s="337" t="n"/>
      <c r="S90" s="337" t="n"/>
    </row>
    <row r="91">
      <c r="B91" s="343" t="inlineStr">
        <is>
          <t>Operating activities</t>
        </is>
      </c>
    </row>
    <row r="92">
      <c r="B92" s="339" t="inlineStr">
        <is>
          <t>Net income (consolidated)</t>
        </is>
      </c>
      <c r="C92" s="364" t="inlineStr">
        <is>
          <t>$M</t>
        </is>
      </c>
      <c r="D92" s="351">
        <f>'PB CF (Annual)'!Q14/1000</f>
        <v/>
      </c>
      <c r="E92" s="351">
        <f>'PB CF (Annual)'!P14/1000</f>
        <v/>
      </c>
      <c r="F92" s="351">
        <f>'PB CF (Annual)'!O14/1000</f>
        <v/>
      </c>
      <c r="G92" s="351">
        <f>'PB CF (Annual)'!N14/1000</f>
        <v/>
      </c>
      <c r="H92" s="351">
        <f>'PB CF (Annual)'!M14/1000</f>
        <v/>
      </c>
      <c r="I92" s="366">
        <f>I24</f>
        <v/>
      </c>
      <c r="J92" s="366">
        <f>J24</f>
        <v/>
      </c>
      <c r="K92" s="366">
        <f>K24</f>
        <v/>
      </c>
      <c r="L92" s="366">
        <f>L24</f>
        <v/>
      </c>
      <c r="M92" s="366">
        <f>M24</f>
        <v/>
      </c>
    </row>
    <row r="93">
      <c r="B93" s="339" t="inlineStr">
        <is>
          <t>(+) Depreciation and amortization</t>
        </is>
      </c>
      <c r="C93" s="364" t="inlineStr">
        <is>
          <t>$M</t>
        </is>
      </c>
      <c r="D93" s="351">
        <f>'PB CF (Annual)'!Q17/1000</f>
        <v/>
      </c>
      <c r="E93" s="351">
        <f>'PB CF (Annual)'!P17/1000</f>
        <v/>
      </c>
      <c r="F93" s="351">
        <f>'PB CF (Annual)'!O17/1000</f>
        <v/>
      </c>
      <c r="G93" s="351">
        <f>'PB CF (Annual)'!N17/1000</f>
        <v/>
      </c>
      <c r="H93" s="351">
        <f>'PB CF (Annual)'!M17/1000</f>
        <v/>
      </c>
      <c r="I93" s="366">
        <f>I17</f>
        <v/>
      </c>
      <c r="J93" s="366">
        <f>J17</f>
        <v/>
      </c>
      <c r="K93" s="366">
        <f>K17</f>
        <v/>
      </c>
      <c r="L93" s="366">
        <f>L17</f>
        <v/>
      </c>
      <c r="M93" s="366">
        <f>M17</f>
        <v/>
      </c>
      <c r="O93" s="335" t="inlineStr">
        <is>
          <t>History: cash-flow D&amp;A incl. debt-cost amortisation (FY26 238.5 vs 229.4 on the income statement)</t>
        </is>
      </c>
    </row>
    <row r="94">
      <c r="B94" s="339" t="inlineStr">
        <is>
          <t>(+) Stock-based compensation</t>
        </is>
      </c>
      <c r="C94" s="364" t="inlineStr">
        <is>
          <t>$M</t>
        </is>
      </c>
      <c r="D94" s="351">
        <f>'PB CF (Annual)'!Q20/1000</f>
        <v/>
      </c>
      <c r="E94" s="351">
        <f>'PB CF (Annual)'!P20/1000</f>
        <v/>
      </c>
      <c r="F94" s="351">
        <f>'PB CF (Annual)'!O20/1000</f>
        <v/>
      </c>
      <c r="G94" s="351">
        <f>'PB CF (Annual)'!N20/1000</f>
        <v/>
      </c>
      <c r="H94" s="351">
        <f>'PB CF (Annual)'!M20/1000</f>
        <v/>
      </c>
      <c r="I94" s="366">
        <f>I152</f>
        <v/>
      </c>
      <c r="J94" s="366">
        <f>J152</f>
        <v/>
      </c>
      <c r="K94" s="366">
        <f>K152</f>
        <v/>
      </c>
      <c r="L94" s="366">
        <f>L152</f>
        <v/>
      </c>
      <c r="M94" s="366">
        <f>M152</f>
        <v/>
      </c>
      <c r="O94" s="335" t="inlineStr">
        <is>
          <t>Projection: schedule 4</t>
        </is>
      </c>
    </row>
    <row r="95">
      <c r="B95" s="339" t="inlineStr">
        <is>
          <t>(+) Other non-cash items (deferred taxes, disposals, other)</t>
        </is>
      </c>
      <c r="C95" s="364" t="inlineStr">
        <is>
          <t>$M</t>
        </is>
      </c>
      <c r="D95" s="351">
        <f>'PB CF (Annual)'!Q35/1000-'PB CF (Annual)'!Q17/1000-'PB CF (Annual)'!Q20/1000</f>
        <v/>
      </c>
      <c r="E95" s="351">
        <f>'PB CF (Annual)'!P35/1000-'PB CF (Annual)'!P17/1000-'PB CF (Annual)'!P20/1000</f>
        <v/>
      </c>
      <c r="F95" s="351">
        <f>'PB CF (Annual)'!O35/1000-'PB CF (Annual)'!O17/1000-'PB CF (Annual)'!O20/1000</f>
        <v/>
      </c>
      <c r="G95" s="351">
        <f>'PB CF (Annual)'!N35/1000-'PB CF (Annual)'!N17/1000-'PB CF (Annual)'!N20/1000</f>
        <v/>
      </c>
      <c r="H95" s="351">
        <f>'PB CF (Annual)'!M35/1000-'PB CF (Annual)'!M17/1000-'PB CF (Annual)'!M20/1000</f>
        <v/>
      </c>
      <c r="I95" s="414" t="n">
        <v>0</v>
      </c>
      <c r="J95" s="414" t="n">
        <v>0</v>
      </c>
      <c r="K95" s="414" t="n">
        <v>0</v>
      </c>
      <c r="L95" s="414" t="n">
        <v>0</v>
      </c>
      <c r="M95" s="414" t="n">
        <v>0</v>
      </c>
      <c r="O95" s="335" t="inlineStr">
        <is>
          <t>ASSUMED 0 in projection (FY26: 54.4, mostly deferred taxes)</t>
        </is>
      </c>
    </row>
    <row r="96">
      <c r="B96" s="339" t="inlineStr">
        <is>
          <t>(−) Change in operating working capital</t>
        </is>
      </c>
      <c r="C96" s="364" t="inlineStr">
        <is>
          <t>$M</t>
        </is>
      </c>
      <c r="D96" s="351">
        <f>'PB CF (Annual)'!Q55/1000</f>
        <v/>
      </c>
      <c r="E96" s="351">
        <f>'PB CF (Annual)'!P55/1000</f>
        <v/>
      </c>
      <c r="F96" s="351">
        <f>'PB CF (Annual)'!O55/1000</f>
        <v/>
      </c>
      <c r="G96" s="351">
        <f>'PB CF (Annual)'!N55/1000</f>
        <v/>
      </c>
      <c r="H96" s="351">
        <f>'PB CF (Annual)'!M55/1000</f>
        <v/>
      </c>
      <c r="I96" s="366">
        <f>I176</f>
        <v/>
      </c>
      <c r="J96" s="366">
        <f>J176</f>
        <v/>
      </c>
      <c r="K96" s="366">
        <f>K176</f>
        <v/>
      </c>
      <c r="L96" s="366">
        <f>L176</f>
        <v/>
      </c>
      <c r="M96" s="366">
        <f>M176</f>
        <v/>
      </c>
      <c r="O96" s="335" t="inlineStr">
        <is>
          <t>Projection: selected method (schedule 6; default = Barclays −83 a year)</t>
        </is>
      </c>
    </row>
    <row r="97">
      <c r="B97" s="343" t="inlineStr">
        <is>
          <t>Cash flow from operations</t>
        </is>
      </c>
      <c r="C97" s="364" t="inlineStr">
        <is>
          <t>$M</t>
        </is>
      </c>
      <c r="D97" s="367">
        <f>SUM(D92:D96)</f>
        <v/>
      </c>
      <c r="E97" s="367">
        <f>SUM(E92:E96)</f>
        <v/>
      </c>
      <c r="F97" s="367">
        <f>SUM(F92:F96)</f>
        <v/>
      </c>
      <c r="G97" s="367">
        <f>SUM(G92:G96)</f>
        <v/>
      </c>
      <c r="H97" s="367">
        <f>SUM(H92:H96)</f>
        <v/>
      </c>
      <c r="I97" s="367">
        <f>SUM(I92:I96)</f>
        <v/>
      </c>
      <c r="J97" s="367">
        <f>SUM(J92:J96)</f>
        <v/>
      </c>
      <c r="K97" s="367">
        <f>SUM(K92:K96)</f>
        <v/>
      </c>
      <c r="L97" s="367">
        <f>SUM(L92:L96)</f>
        <v/>
      </c>
      <c r="M97" s="367">
        <f>SUM(M92:M96)</f>
        <v/>
      </c>
    </row>
    <row r="98">
      <c r="B98" s="343" t="inlineStr">
        <is>
          <t>Investing activities</t>
        </is>
      </c>
    </row>
    <row r="99">
      <c r="B99" s="339" t="inlineStr">
        <is>
          <t>(−) Purchases of property and equipment</t>
        </is>
      </c>
      <c r="C99" s="364" t="inlineStr">
        <is>
          <t>$M</t>
        </is>
      </c>
      <c r="D99" s="351">
        <f>'PB CF (Annual)'!Q64/1000</f>
        <v/>
      </c>
      <c r="E99" s="351">
        <f>'PB CF (Annual)'!P64/1000</f>
        <v/>
      </c>
      <c r="F99" s="351">
        <f>'PB CF (Annual)'!O64/1000</f>
        <v/>
      </c>
      <c r="G99" s="351">
        <f>'PB CF (Annual)'!N64/1000</f>
        <v/>
      </c>
      <c r="H99" s="351">
        <f>'PB CF (Annual)'!M64/1000</f>
        <v/>
      </c>
      <c r="I99" s="366">
        <f>I139</f>
        <v/>
      </c>
      <c r="J99" s="366">
        <f>J139</f>
        <v/>
      </c>
      <c r="K99" s="366">
        <f>K139</f>
        <v/>
      </c>
      <c r="L99" s="366">
        <f>L139</f>
        <v/>
      </c>
      <c r="M99" s="366">
        <f>M139</f>
        <v/>
      </c>
      <c r="O99" s="335" t="inlineStr">
        <is>
          <t>Projection: schedule 2 (Barclays −500 a year FY27–29)</t>
        </is>
      </c>
    </row>
    <row r="100">
      <c r="B100" s="339" t="inlineStr">
        <is>
          <t>(+) Proceeds from disposals of property and equipment</t>
        </is>
      </c>
      <c r="C100" s="364" t="inlineStr">
        <is>
          <t>$M</t>
        </is>
      </c>
      <c r="D100" s="351">
        <f>'PB CF (Annual)'!Q65/1000</f>
        <v/>
      </c>
      <c r="E100" s="351">
        <f>'PB CF (Annual)'!P65/1000</f>
        <v/>
      </c>
      <c r="F100" s="351">
        <f>'PB CF (Annual)'!O65/1000</f>
        <v/>
      </c>
      <c r="G100" s="351">
        <f>'PB CF (Annual)'!N65/1000</f>
        <v/>
      </c>
      <c r="H100" s="351">
        <f>'PB CF (Annual)'!M65/1000</f>
        <v/>
      </c>
      <c r="I100" s="414" t="n">
        <v>0</v>
      </c>
      <c r="J100" s="414" t="n">
        <v>0</v>
      </c>
      <c r="K100" s="414" t="n">
        <v>0</v>
      </c>
      <c r="L100" s="414" t="n">
        <v>0</v>
      </c>
      <c r="M100" s="414" t="n">
        <v>0</v>
      </c>
      <c r="O100" s="335" t="inlineStr">
        <is>
          <t>ASSUMED 0</t>
        </is>
      </c>
    </row>
    <row r="101">
      <c r="B101" s="339" t="inlineStr">
        <is>
          <t>(−) Acquisitions and investments in businesses (ACV if toggled)</t>
        </is>
      </c>
      <c r="C101" s="364" t="inlineStr">
        <is>
          <t>$M</t>
        </is>
      </c>
      <c r="D101" s="351">
        <f>'PB CF (Annual)'!Q70/1000+'PB CF (Annual)'!Q73/1000</f>
        <v/>
      </c>
      <c r="E101" s="351">
        <f>'PB CF (Annual)'!P70/1000+'PB CF (Annual)'!P73/1000</f>
        <v/>
      </c>
      <c r="F101" s="351">
        <f>'PB CF (Annual)'!O70/1000+'PB CF (Annual)'!O73/1000</f>
        <v/>
      </c>
      <c r="G101" s="351">
        <f>'PB CF (Annual)'!N70/1000+'PB CF (Annual)'!N73/1000</f>
        <v/>
      </c>
      <c r="H101" s="351">
        <f>'PB CF (Annual)'!M70/1000+'PB CF (Annual)'!M73/1000</f>
        <v/>
      </c>
      <c r="I101" s="366">
        <f>-I187</f>
        <v/>
      </c>
      <c r="J101" s="366">
        <f>-J187</f>
        <v/>
      </c>
      <c r="K101" s="366">
        <f>-K187</f>
        <v/>
      </c>
      <c r="L101" s="366">
        <f>-L187</f>
        <v/>
      </c>
      <c r="M101" s="366">
        <f>-M187</f>
        <v/>
      </c>
      <c r="O101" s="335" t="inlineStr">
        <is>
          <t>Projection: ACV cash consideration in the close year when the DCF toggle is on (schedule 8)</t>
        </is>
      </c>
    </row>
    <row r="102">
      <c r="B102" s="339" t="inlineStr">
        <is>
          <t>(−) Net purchases of held-to-maturity securities</t>
        </is>
      </c>
      <c r="C102" s="364" t="inlineStr">
        <is>
          <t>$M</t>
        </is>
      </c>
      <c r="D102" s="351">
        <f>'PB CF (Annual)'!Q77/1000</f>
        <v/>
      </c>
      <c r="E102" s="351">
        <f>'PB CF (Annual)'!P77/1000</f>
        <v/>
      </c>
      <c r="F102" s="351">
        <f>'PB CF (Annual)'!O77/1000</f>
        <v/>
      </c>
      <c r="G102" s="351">
        <f>'PB CF (Annual)'!N77/1000</f>
        <v/>
      </c>
      <c r="H102" s="351">
        <f>'PB CF (Annual)'!M77/1000</f>
        <v/>
      </c>
      <c r="I102" s="414" t="n">
        <v>0</v>
      </c>
      <c r="J102" s="414" t="n">
        <v>0</v>
      </c>
      <c r="K102" s="414" t="n">
        <v>0</v>
      </c>
      <c r="L102" s="414" t="n">
        <v>0</v>
      </c>
      <c r="M102" s="414" t="n">
        <v>0</v>
      </c>
      <c r="O102" s="335" t="inlineStr">
        <is>
          <t>ASSUMED 0: HTM held flat (balance sheet)</t>
        </is>
      </c>
    </row>
    <row r="103">
      <c r="B103" s="339" t="inlineStr">
        <is>
          <t>Other investing</t>
        </is>
      </c>
      <c r="C103" s="364" t="inlineStr">
        <is>
          <t>$M</t>
        </is>
      </c>
      <c r="D103" s="351">
        <f>'PB CF (Annual)'!Q84/1000-(D99+D100+D101+D102)</f>
        <v/>
      </c>
      <c r="E103" s="351">
        <f>'PB CF (Annual)'!P84/1000-(E99+E100+E101+E102)</f>
        <v/>
      </c>
      <c r="F103" s="351">
        <f>'PB CF (Annual)'!O84/1000-(F99+F100+F101+F102)</f>
        <v/>
      </c>
      <c r="G103" s="351">
        <f>'PB CF (Annual)'!N84/1000-(G99+G100+G101+G102)</f>
        <v/>
      </c>
      <c r="H103" s="351">
        <f>'PB CF (Annual)'!M84/1000-(H99+H100+H101+H102)</f>
        <v/>
      </c>
      <c r="I103" s="414" t="n">
        <v>0</v>
      </c>
      <c r="J103" s="414" t="n">
        <v>0</v>
      </c>
      <c r="K103" s="414" t="n">
        <v>0</v>
      </c>
      <c r="L103" s="414" t="n">
        <v>0</v>
      </c>
      <c r="M103" s="414" t="n">
        <v>0</v>
      </c>
      <c r="O103" s="335" t="inlineStr">
        <is>
          <t>History: residual to PitchBook total investing cash flow</t>
        </is>
      </c>
    </row>
    <row r="104">
      <c r="B104" s="343" t="inlineStr">
        <is>
          <t>Cash flow from investing</t>
        </is>
      </c>
      <c r="C104" s="364" t="inlineStr">
        <is>
          <t>$M</t>
        </is>
      </c>
      <c r="D104" s="367">
        <f>SUM(D99:D103)</f>
        <v/>
      </c>
      <c r="E104" s="367">
        <f>SUM(E99:E103)</f>
        <v/>
      </c>
      <c r="F104" s="367">
        <f>SUM(F99:F103)</f>
        <v/>
      </c>
      <c r="G104" s="367">
        <f>SUM(G99:G103)</f>
        <v/>
      </c>
      <c r="H104" s="367">
        <f>SUM(H99:H103)</f>
        <v/>
      </c>
      <c r="I104" s="367">
        <f>SUM(I99:I103)</f>
        <v/>
      </c>
      <c r="J104" s="367">
        <f>SUM(J99:J103)</f>
        <v/>
      </c>
      <c r="K104" s="367">
        <f>SUM(K99:K103)</f>
        <v/>
      </c>
      <c r="L104" s="367">
        <f>SUM(L99:L103)</f>
        <v/>
      </c>
      <c r="M104" s="367">
        <f>SUM(M99:M103)</f>
        <v/>
      </c>
    </row>
    <row r="105">
      <c r="B105" s="343" t="inlineStr">
        <is>
          <t>Financing activities</t>
        </is>
      </c>
    </row>
    <row r="106">
      <c r="B106" s="339" t="inlineStr">
        <is>
          <t>(−) Repurchases of common stock</t>
        </is>
      </c>
      <c r="C106" s="364" t="inlineStr">
        <is>
          <t>$M</t>
        </is>
      </c>
      <c r="D106" s="351">
        <f>'PB CF (Annual)'!Q90/1000</f>
        <v/>
      </c>
      <c r="E106" s="351">
        <f>'PB CF (Annual)'!P90/1000</f>
        <v/>
      </c>
      <c r="F106" s="351">
        <f>'PB CF (Annual)'!O90/1000</f>
        <v/>
      </c>
      <c r="G106" s="351">
        <f>'PB CF (Annual)'!N90/1000</f>
        <v/>
      </c>
      <c r="H106" s="351">
        <f>'PB CF (Annual)'!M90/1000</f>
        <v/>
      </c>
      <c r="I106" s="366">
        <f>-I155</f>
        <v/>
      </c>
      <c r="J106" s="366">
        <f>-J155</f>
        <v/>
      </c>
      <c r="K106" s="366">
        <f>-K155</f>
        <v/>
      </c>
      <c r="L106" s="366">
        <f>-L155</f>
        <v/>
      </c>
      <c r="M106" s="366">
        <f>-M155</f>
        <v/>
      </c>
      <c r="O106" s="335" t="inlineStr">
        <is>
          <t>Projection: schedule 5 (input, default 0)</t>
        </is>
      </c>
    </row>
    <row r="107">
      <c r="B107" s="339" t="inlineStr">
        <is>
          <t>(+) Proceeds from stock options and ESPP</t>
        </is>
      </c>
      <c r="C107" s="364" t="inlineStr">
        <is>
          <t>$M</t>
        </is>
      </c>
      <c r="D107" s="351">
        <f>'PB CF (Annual)'!Q109/1000</f>
        <v/>
      </c>
      <c r="E107" s="351">
        <f>'PB CF (Annual)'!P109/1000</f>
        <v/>
      </c>
      <c r="F107" s="351">
        <f>'PB CF (Annual)'!O109/1000</f>
        <v/>
      </c>
      <c r="G107" s="351">
        <f>'PB CF (Annual)'!N109/1000</f>
        <v/>
      </c>
      <c r="H107" s="351">
        <f>'PB CF (Annual)'!M109/1000</f>
        <v/>
      </c>
      <c r="I107" s="366">
        <f>H107</f>
        <v/>
      </c>
      <c r="J107" s="366">
        <f>I107</f>
        <v/>
      </c>
      <c r="K107" s="366">
        <f>J107</f>
        <v/>
      </c>
      <c r="L107" s="366">
        <f>K107</f>
        <v/>
      </c>
      <c r="M107" s="366">
        <f>L107</f>
        <v/>
      </c>
      <c r="O107" s="335" t="inlineStr">
        <is>
          <t>ASSUMED held at FY2026 (31.0)</t>
        </is>
      </c>
    </row>
    <row r="108">
      <c r="B108" s="339" t="inlineStr">
        <is>
          <t>Debt and lease repayments, issuance costs</t>
        </is>
      </c>
      <c r="C108" s="364" t="inlineStr">
        <is>
          <t>$M</t>
        </is>
      </c>
      <c r="D108" s="351">
        <f>'PB CF (Annual)'!Q100/1000+'PB CF (Annual)'!Q103/1000+'PB CF (Annual)'!Q106/1000</f>
        <v/>
      </c>
      <c r="E108" s="351">
        <f>'PB CF (Annual)'!P100/1000+'PB CF (Annual)'!P103/1000+'PB CF (Annual)'!P106/1000</f>
        <v/>
      </c>
      <c r="F108" s="351">
        <f>'PB CF (Annual)'!O100/1000+'PB CF (Annual)'!O103/1000+'PB CF (Annual)'!O106/1000</f>
        <v/>
      </c>
      <c r="G108" s="351">
        <f>'PB CF (Annual)'!N100/1000+'PB CF (Annual)'!N103/1000+'PB CF (Annual)'!N106/1000</f>
        <v/>
      </c>
      <c r="H108" s="351">
        <f>'PB CF (Annual)'!M100/1000+'PB CF (Annual)'!M103/1000+'PB CF (Annual)'!M106/1000</f>
        <v/>
      </c>
      <c r="I108" s="414" t="n">
        <v>0</v>
      </c>
      <c r="J108" s="414" t="n">
        <v>0</v>
      </c>
      <c r="K108" s="414" t="n">
        <v>0</v>
      </c>
      <c r="L108" s="414" t="n">
        <v>0</v>
      </c>
      <c r="M108" s="414" t="n">
        <v>0</v>
      </c>
      <c r="O108" s="335" t="inlineStr">
        <is>
          <t>ASSUMED 0 (no funded debt)</t>
        </is>
      </c>
    </row>
    <row r="109">
      <c r="B109" s="339" t="inlineStr">
        <is>
          <t>Other financing (incl. tax withholding on equity awards, NCI)</t>
        </is>
      </c>
      <c r="C109" s="364" t="inlineStr">
        <is>
          <t>$M</t>
        </is>
      </c>
      <c r="D109" s="351">
        <f>'PB CF (Annual)'!Q112/1000-(D106+D107+D108)</f>
        <v/>
      </c>
      <c r="E109" s="351">
        <f>'PB CF (Annual)'!P112/1000-(E106+E107+E108)</f>
        <v/>
      </c>
      <c r="F109" s="351">
        <f>'PB CF (Annual)'!O112/1000-(F106+F107+F108)</f>
        <v/>
      </c>
      <c r="G109" s="351">
        <f>'PB CF (Annual)'!N112/1000-(G106+G107+G108)</f>
        <v/>
      </c>
      <c r="H109" s="351">
        <f>'PB CF (Annual)'!M112/1000-(H106+H107+H108)</f>
        <v/>
      </c>
      <c r="I109" s="414" t="n">
        <v>0</v>
      </c>
      <c r="J109" s="414" t="n">
        <v>0</v>
      </c>
      <c r="K109" s="414" t="n">
        <v>0</v>
      </c>
      <c r="L109" s="414" t="n">
        <v>0</v>
      </c>
      <c r="M109" s="414" t="n">
        <v>0</v>
      </c>
      <c r="O109" s="335" t="inlineStr">
        <is>
          <t>History: residual to PitchBook total financing cash flow. ASSUMED 0</t>
        </is>
      </c>
    </row>
    <row r="110">
      <c r="B110" s="343" t="inlineStr">
        <is>
          <t>Cash flow from financing</t>
        </is>
      </c>
      <c r="C110" s="364" t="inlineStr">
        <is>
          <t>$M</t>
        </is>
      </c>
      <c r="D110" s="367">
        <f>SUM(D106:D109)</f>
        <v/>
      </c>
      <c r="E110" s="367">
        <f>SUM(E106:E109)</f>
        <v/>
      </c>
      <c r="F110" s="367">
        <f>SUM(F106:F109)</f>
        <v/>
      </c>
      <c r="G110" s="367">
        <f>SUM(G106:G109)</f>
        <v/>
      </c>
      <c r="H110" s="367">
        <f>SUM(H106:H109)</f>
        <v/>
      </c>
      <c r="I110" s="367">
        <f>SUM(I106:I109)</f>
        <v/>
      </c>
      <c r="J110" s="367">
        <f>SUM(J106:J109)</f>
        <v/>
      </c>
      <c r="K110" s="367">
        <f>SUM(K106:K109)</f>
        <v/>
      </c>
      <c r="L110" s="367">
        <f>SUM(L106:L109)</f>
        <v/>
      </c>
      <c r="M110" s="367">
        <f>SUM(M106:M109)</f>
        <v/>
      </c>
    </row>
    <row r="111">
      <c r="B111" s="339" t="inlineStr">
        <is>
          <t>Effect of exchange rates on cash</t>
        </is>
      </c>
      <c r="C111" s="364" t="inlineStr">
        <is>
          <t>$M</t>
        </is>
      </c>
      <c r="D111" s="351">
        <f>'PB CF (Annual)'!Q115/1000</f>
        <v/>
      </c>
      <c r="E111" s="351">
        <f>'PB CF (Annual)'!P115/1000</f>
        <v/>
      </c>
      <c r="F111" s="351">
        <f>'PB CF (Annual)'!O115/1000</f>
        <v/>
      </c>
      <c r="G111" s="351">
        <f>'PB CF (Annual)'!N115/1000</f>
        <v/>
      </c>
      <c r="H111" s="351">
        <f>'PB CF (Annual)'!M115/1000</f>
        <v/>
      </c>
      <c r="I111" s="414" t="n">
        <v>0</v>
      </c>
      <c r="J111" s="414" t="n">
        <v>0</v>
      </c>
      <c r="K111" s="414" t="n">
        <v>0</v>
      </c>
      <c r="L111" s="414" t="n">
        <v>0</v>
      </c>
      <c r="M111" s="414" t="n">
        <v>0</v>
      </c>
      <c r="O111" s="335" t="inlineStr">
        <is>
          <t>ASSUMED 0</t>
        </is>
      </c>
    </row>
    <row r="112">
      <c r="B112" s="343" t="inlineStr">
        <is>
          <t>Net change in cash and cash equivalents</t>
        </is>
      </c>
      <c r="C112" s="364" t="inlineStr">
        <is>
          <t>$M</t>
        </is>
      </c>
      <c r="D112" s="367">
        <f>D97+D104+D110+D111</f>
        <v/>
      </c>
      <c r="E112" s="367">
        <f>E97+E104+E110+E111</f>
        <v/>
      </c>
      <c r="F112" s="367">
        <f>F97+F104+F110+F111</f>
        <v/>
      </c>
      <c r="G112" s="367">
        <f>G97+G104+G110+G111</f>
        <v/>
      </c>
      <c r="H112" s="367">
        <f>H97+H104+H110+H111</f>
        <v/>
      </c>
      <c r="I112" s="367">
        <f>I97+I104+I110+I111</f>
        <v/>
      </c>
      <c r="J112" s="367">
        <f>J97+J104+J110+J111</f>
        <v/>
      </c>
      <c r="K112" s="367">
        <f>K97+K104+K110+K111</f>
        <v/>
      </c>
      <c r="L112" s="367">
        <f>L97+L104+L110+L111</f>
        <v/>
      </c>
      <c r="M112" s="367">
        <f>M97+M104+M110+M111</f>
        <v/>
      </c>
    </row>
    <row r="113">
      <c r="B113" s="339" t="inlineStr">
        <is>
          <t>Beginning cash and cash equivalents</t>
        </is>
      </c>
      <c r="C113" s="364" t="inlineStr">
        <is>
          <t>$M</t>
        </is>
      </c>
      <c r="D113" s="351">
        <f>'PB CF (Annual)'!Q117/1000</f>
        <v/>
      </c>
      <c r="E113" s="351">
        <f>'PB CF (Annual)'!P117/1000</f>
        <v/>
      </c>
      <c r="F113" s="351">
        <f>'PB CF (Annual)'!O117/1000</f>
        <v/>
      </c>
      <c r="G113" s="351">
        <f>'PB CF (Annual)'!N117/1000</f>
        <v/>
      </c>
      <c r="H113" s="351">
        <f>'PB CF (Annual)'!M117/1000</f>
        <v/>
      </c>
      <c r="I113" s="366">
        <f>H114</f>
        <v/>
      </c>
      <c r="J113" s="366">
        <f>I114</f>
        <v/>
      </c>
      <c r="K113" s="366">
        <f>J114</f>
        <v/>
      </c>
      <c r="L113" s="366">
        <f>K114</f>
        <v/>
      </c>
      <c r="M113" s="366">
        <f>L114</f>
        <v/>
      </c>
    </row>
    <row r="114">
      <c r="B114" s="343" t="inlineStr">
        <is>
          <t>Ending cash and cash equivalents</t>
        </is>
      </c>
      <c r="C114" s="364" t="inlineStr">
        <is>
          <t>$M</t>
        </is>
      </c>
      <c r="D114" s="367">
        <f>D113+D112</f>
        <v/>
      </c>
      <c r="E114" s="367">
        <f>E113+E112</f>
        <v/>
      </c>
      <c r="F114" s="367">
        <f>F113+F112</f>
        <v/>
      </c>
      <c r="G114" s="367">
        <f>G113+G112</f>
        <v/>
      </c>
      <c r="H114" s="367">
        <f>H113+H112</f>
        <v/>
      </c>
      <c r="I114" s="367">
        <f>I113+I112</f>
        <v/>
      </c>
      <c r="J114" s="367">
        <f>J113+J112</f>
        <v/>
      </c>
      <c r="K114" s="367">
        <f>K113+K112</f>
        <v/>
      </c>
      <c r="L114" s="367">
        <f>L113+L112</f>
        <v/>
      </c>
      <c r="M114" s="367">
        <f>M113+M112</f>
        <v/>
      </c>
    </row>
    <row r="115">
      <c r="B115" s="347" t="inlineStr">
        <is>
          <t>Cash check (ending cash − balance-sheet cash; should be 0)</t>
        </is>
      </c>
      <c r="C115" s="364" t="inlineStr">
        <is>
          <t>$M</t>
        </is>
      </c>
      <c r="D115" s="379">
        <f>ROUND(D114-D47,3)</f>
        <v/>
      </c>
      <c r="E115" s="379">
        <f>ROUND(E114-E47,3)</f>
        <v/>
      </c>
      <c r="F115" s="379">
        <f>ROUND(F114-F47,3)</f>
        <v/>
      </c>
      <c r="G115" s="379">
        <f>ROUND(G114-G47,3)</f>
        <v/>
      </c>
      <c r="H115" s="379">
        <f>ROUND(H114-H47,3)</f>
        <v/>
      </c>
      <c r="I115" s="379">
        <f>ROUND(I114-I47,3)</f>
        <v/>
      </c>
      <c r="J115" s="379">
        <f>ROUND(J114-J47,3)</f>
        <v/>
      </c>
      <c r="K115" s="379">
        <f>ROUND(K114-K47,3)</f>
        <v/>
      </c>
      <c r="L115" s="379">
        <f>ROUND(L114-L47,3)</f>
        <v/>
      </c>
      <c r="M115" s="379">
        <f>ROUND(M114-M47,3)</f>
        <v/>
      </c>
    </row>
    <row r="116">
      <c r="B116" s="343" t="inlineStr">
        <is>
          <t>Free cash flow (CFO + capex)</t>
        </is>
      </c>
      <c r="C116" s="364" t="inlineStr">
        <is>
          <t>$M</t>
        </is>
      </c>
      <c r="D116" s="367">
        <f>D97+D99</f>
        <v/>
      </c>
      <c r="E116" s="367">
        <f>E97+E99</f>
        <v/>
      </c>
      <c r="F116" s="367">
        <f>F97+F99</f>
        <v/>
      </c>
      <c r="G116" s="367">
        <f>G97+G99</f>
        <v/>
      </c>
      <c r="H116" s="367">
        <f>H97+H99</f>
        <v/>
      </c>
      <c r="I116" s="367">
        <f>I97+I99</f>
        <v/>
      </c>
      <c r="J116" s="367">
        <f>J97+J99</f>
        <v/>
      </c>
      <c r="K116" s="367">
        <f>K97+K99</f>
        <v/>
      </c>
      <c r="L116" s="367">
        <f>L97+L99</f>
        <v/>
      </c>
      <c r="M116" s="367">
        <f>M97+M99</f>
        <v/>
      </c>
    </row>
    <row r="117">
      <c r="B117" s="408" t="inlineStr">
        <is>
          <t>FCF margin</t>
        </is>
      </c>
      <c r="C117" s="364" t="inlineStr">
        <is>
          <t>%</t>
        </is>
      </c>
      <c r="D117" s="382">
        <f>IF(D8=0,0,D116/D8)</f>
        <v/>
      </c>
      <c r="E117" s="382">
        <f>IF(E8=0,0,E116/E8)</f>
        <v/>
      </c>
      <c r="F117" s="382">
        <f>IF(F8=0,0,F116/F8)</f>
        <v/>
      </c>
      <c r="G117" s="382">
        <f>IF(G8=0,0,G116/G8)</f>
        <v/>
      </c>
      <c r="H117" s="382">
        <f>IF(H8=0,0,H116/H8)</f>
        <v/>
      </c>
      <c r="I117" s="382">
        <f>IF(I8=0,0,I116/I8)</f>
        <v/>
      </c>
      <c r="J117" s="382">
        <f>IF(J8=0,0,J116/J8)</f>
        <v/>
      </c>
      <c r="K117" s="382">
        <f>IF(K8=0,0,K116/K8)</f>
        <v/>
      </c>
      <c r="L117" s="382">
        <f>IF(L8=0,0,L116/L8)</f>
        <v/>
      </c>
      <c r="M117" s="382">
        <f>IF(M8=0,0,M116/M8)</f>
        <v/>
      </c>
    </row>
    <row r="119">
      <c r="B119" s="344" t="inlineStr">
        <is>
          <t>Barclays parity — cash flow</t>
        </is>
      </c>
      <c r="C119" s="345" t="n"/>
      <c r="D119" s="345" t="n"/>
      <c r="E119" s="345" t="n"/>
      <c r="F119" s="345" t="n"/>
      <c r="G119" s="345" t="n"/>
      <c r="H119" s="345" t="n"/>
      <c r="I119" s="345" t="n"/>
      <c r="J119" s="345" t="n"/>
      <c r="K119" s="345" t="n"/>
      <c r="L119" s="345" t="n"/>
      <c r="M119" s="345" t="n"/>
      <c r="N119" s="345" t="n"/>
      <c r="O119" s="345" t="n"/>
      <c r="P119" s="345" t="n"/>
      <c r="Q119" s="345" t="n"/>
      <c r="R119" s="345" t="n"/>
      <c r="S119" s="345" t="n"/>
    </row>
    <row r="120">
      <c r="B120" s="339" t="inlineStr">
        <is>
          <t>Barclays cash flow from operations</t>
        </is>
      </c>
      <c r="C120" s="364" t="inlineStr">
        <is>
          <t>$M</t>
        </is>
      </c>
      <c r="H120" s="351">
        <f>'D Barclays'!D18</f>
        <v/>
      </c>
      <c r="I120" s="366">
        <f>'D Barclays'!E18</f>
        <v/>
      </c>
      <c r="J120" s="366">
        <f>'D Barclays'!F18</f>
        <v/>
      </c>
      <c r="K120" s="366">
        <f>'D Barclays'!G18</f>
        <v/>
      </c>
    </row>
    <row r="121">
      <c r="B121" s="408" t="inlineStr">
        <is>
          <t>Δ CFO</t>
        </is>
      </c>
      <c r="C121" s="364" t="inlineStr">
        <is>
          <t>$M</t>
        </is>
      </c>
      <c r="H121" s="366">
        <f>H97-H120</f>
        <v/>
      </c>
      <c r="I121" s="366">
        <f>I97-I120</f>
        <v/>
      </c>
      <c r="J121" s="366">
        <f>J97-J120</f>
        <v/>
      </c>
      <c r="K121" s="366">
        <f>K97-K120</f>
        <v/>
      </c>
    </row>
    <row r="122">
      <c r="B122" s="339" t="inlineStr">
        <is>
          <t>Barclays capital expenditure</t>
        </is>
      </c>
      <c r="C122" s="364" t="inlineStr">
        <is>
          <t>$M</t>
        </is>
      </c>
      <c r="H122" s="351">
        <f>'D Barclays'!D19</f>
        <v/>
      </c>
      <c r="I122" s="366">
        <f>'D Barclays'!E19</f>
        <v/>
      </c>
      <c r="J122" s="366">
        <f>'D Barclays'!F19</f>
        <v/>
      </c>
      <c r="K122" s="366">
        <f>'D Barclays'!G19</f>
        <v/>
      </c>
    </row>
    <row r="123">
      <c r="B123" s="408" t="inlineStr">
        <is>
          <t>Δ capex</t>
        </is>
      </c>
      <c r="C123" s="364" t="inlineStr">
        <is>
          <t>$M</t>
        </is>
      </c>
      <c r="H123" s="366">
        <f>H99-H122</f>
        <v/>
      </c>
      <c r="I123" s="366">
        <f>I99-I122</f>
        <v/>
      </c>
      <c r="J123" s="366">
        <f>J99-J122</f>
        <v/>
      </c>
      <c r="K123" s="366">
        <f>K99-K122</f>
        <v/>
      </c>
    </row>
    <row r="124">
      <c r="B124" s="339" t="inlineStr">
        <is>
          <t>Barclays change in working capital</t>
        </is>
      </c>
      <c r="C124" s="364" t="inlineStr">
        <is>
          <t>$M</t>
        </is>
      </c>
      <c r="H124" s="351">
        <f>'D Barclays'!D17</f>
        <v/>
      </c>
      <c r="I124" s="366">
        <f>'D Barclays'!E17</f>
        <v/>
      </c>
      <c r="J124" s="366">
        <f>'D Barclays'!F17</f>
        <v/>
      </c>
      <c r="K124" s="366">
        <f>'D Barclays'!G17</f>
        <v/>
      </c>
    </row>
    <row r="125">
      <c r="B125" s="408" t="inlineStr">
        <is>
          <t>Δ change in working capital</t>
        </is>
      </c>
      <c r="C125" s="364" t="inlineStr">
        <is>
          <t>$M</t>
        </is>
      </c>
      <c r="H125" s="366">
        <f>H96-H124</f>
        <v/>
      </c>
      <c r="I125" s="366">
        <f>I96-I124</f>
        <v/>
      </c>
      <c r="J125" s="366">
        <f>J96-J124</f>
        <v/>
      </c>
      <c r="K125" s="366">
        <f>K96-K124</f>
        <v/>
      </c>
    </row>
    <row r="126">
      <c r="B126" s="347" t="inlineStr">
        <is>
          <t>Barclays free cash flow (memo; Barclays' definition not stated, exceeds CFO + capex)</t>
        </is>
      </c>
      <c r="C126" s="364" t="inlineStr">
        <is>
          <t>$M</t>
        </is>
      </c>
      <c r="H126" s="351">
        <f>'D Barclays'!D20</f>
        <v/>
      </c>
      <c r="I126" s="366">
        <f>'D Barclays'!E20</f>
        <v/>
      </c>
      <c r="J126" s="366">
        <f>'D Barclays'!F20</f>
        <v/>
      </c>
      <c r="K126" s="366">
        <f>'D Barclays'!G20</f>
        <v/>
      </c>
    </row>
    <row r="128">
      <c r="B128" s="336" t="inlineStr">
        <is>
          <t>Supporting schedules</t>
        </is>
      </c>
      <c r="C128" s="337" t="n"/>
      <c r="D128" s="376" t="inlineStr">
        <is>
          <t>FY2022A</t>
        </is>
      </c>
      <c r="E128" s="376" t="inlineStr">
        <is>
          <t>FY2023A</t>
        </is>
      </c>
      <c r="F128" s="376" t="inlineStr">
        <is>
          <t>FY2024A</t>
        </is>
      </c>
      <c r="G128" s="376" t="inlineStr">
        <is>
          <t>FY2025A</t>
        </is>
      </c>
      <c r="H128" s="376" t="inlineStr">
        <is>
          <t>FY2026A</t>
        </is>
      </c>
      <c r="I128" s="376" t="inlineStr">
        <is>
          <t>FY2027E</t>
        </is>
      </c>
      <c r="J128" s="376" t="inlineStr">
        <is>
          <t>FY2028E</t>
        </is>
      </c>
      <c r="K128" s="376" t="inlineStr">
        <is>
          <t>FY2029E</t>
        </is>
      </c>
      <c r="L128" s="376" t="inlineStr">
        <is>
          <t>FY2030E</t>
        </is>
      </c>
      <c r="M128" s="376" t="inlineStr">
        <is>
          <t>FY2031E</t>
        </is>
      </c>
      <c r="N128" s="337" t="n"/>
      <c r="O128" s="337" t="n"/>
      <c r="P128" s="337" t="n"/>
      <c r="Q128" s="337" t="n"/>
      <c r="R128" s="337" t="n"/>
      <c r="S128" s="337" t="n"/>
    </row>
    <row r="130">
      <c r="B130" s="344" t="inlineStr">
        <is>
          <t>1. Revenue drivers and facility cost (the volume-driven gross margin)</t>
        </is>
      </c>
      <c r="C130" s="345" t="n"/>
      <c r="D130" s="345" t="n"/>
      <c r="E130" s="345" t="n"/>
      <c r="F130" s="345" t="n"/>
      <c r="G130" s="345" t="n"/>
      <c r="H130" s="345" t="n"/>
      <c r="I130" s="345" t="n"/>
      <c r="J130" s="345" t="n"/>
      <c r="K130" s="345" t="n"/>
      <c r="L130" s="345" t="n"/>
      <c r="M130" s="345" t="n"/>
      <c r="N130" s="345" t="n"/>
      <c r="O130" s="345" t="n"/>
      <c r="P130" s="345" t="n"/>
      <c r="Q130" s="345" t="n"/>
      <c r="R130" s="345" t="n"/>
      <c r="S130" s="345" t="n"/>
    </row>
    <row r="131">
      <c r="B131" s="339" t="inlineStr">
        <is>
          <t>Global fee units</t>
        </is>
      </c>
      <c r="C131" s="364" t="inlineStr">
        <is>
          <t>000s</t>
        </is>
      </c>
      <c r="D131" s="350">
        <f>RPM!D29</f>
        <v/>
      </c>
      <c r="E131" s="350">
        <f>RPM!E29</f>
        <v/>
      </c>
      <c r="F131" s="350">
        <f>RPM!F29</f>
        <v/>
      </c>
      <c r="G131" s="350">
        <f>RPM!G29</f>
        <v/>
      </c>
      <c r="H131" s="350">
        <f>RPM!H29</f>
        <v/>
      </c>
      <c r="I131" s="380">
        <f>RPM!I29</f>
        <v/>
      </c>
      <c r="J131" s="380">
        <f>RPM!J29</f>
        <v/>
      </c>
      <c r="K131" s="380">
        <f>RPM!K29</f>
        <v/>
      </c>
      <c r="L131" s="380">
        <f>RPM!L29</f>
        <v/>
      </c>
      <c r="M131" s="380">
        <f>RPM!M29</f>
        <v/>
      </c>
      <c r="O131" s="335" t="inlineStr">
        <is>
          <t>RPM row 29 (FY26 anchor 4.0m; FY27–28 from the engines; FY29–31 fade). History before FY26 is blank where the RPM has no units</t>
        </is>
      </c>
    </row>
    <row r="132">
      <c r="B132" s="339" t="inlineStr">
        <is>
          <t>Facility cost per fee unit (incl. yard D&amp;A)</t>
        </is>
      </c>
      <c r="C132" s="364" t="inlineStr">
        <is>
          <t>$</t>
        </is>
      </c>
      <c r="D132" s="401">
        <f>IFERROR(D10*1000/D131,"")</f>
        <v/>
      </c>
      <c r="E132" s="401">
        <f>IFERROR(E10*1000/E131,"")</f>
        <v/>
      </c>
      <c r="F132" s="401">
        <f>IFERROR(F10*1000/F131,"")</f>
        <v/>
      </c>
      <c r="G132" s="401">
        <f>IFERROR(G10*1000/G131,"")</f>
        <v/>
      </c>
      <c r="H132" s="401">
        <f>IFERROR(H10*1000/H131,"")</f>
        <v/>
      </c>
      <c r="I132" s="401">
        <f>H132*(1+I133)</f>
        <v/>
      </c>
      <c r="J132" s="401">
        <f>I132*(1+J133)</f>
        <v/>
      </c>
      <c r="K132" s="401">
        <f>J132*(1+K133)</f>
        <v/>
      </c>
      <c r="L132" s="401">
        <f>K132*(1+L133)</f>
        <v/>
      </c>
      <c r="M132" s="401">
        <f>L132*(1+M133)</f>
        <v/>
      </c>
      <c r="O132" s="335" t="inlineStr">
        <is>
          <t>FY26: 1,965.9 ÷ 4.0m units ≈ $491. Projection: prior × (1 + growth)</t>
        </is>
      </c>
    </row>
    <row r="133">
      <c r="B133" s="408" t="inlineStr">
        <is>
          <t>Facility cost per unit, y/y</t>
        </is>
      </c>
      <c r="C133" s="364" t="inlineStr">
        <is>
          <t>%</t>
        </is>
      </c>
      <c r="E133" s="382">
        <f>IFERROR(E132/D132-1,"")</f>
        <v/>
      </c>
      <c r="F133" s="382">
        <f>IFERROR(F132/E132-1,"")</f>
        <v/>
      </c>
      <c r="G133" s="382">
        <f>IFERROR(G132/F132-1,"")</f>
        <v/>
      </c>
      <c r="H133" s="382">
        <f>IFERROR(H132/G132-1,"")</f>
        <v/>
      </c>
      <c r="I133" s="346">
        <f>DCF!I15</f>
        <v/>
      </c>
      <c r="J133" s="346">
        <f>DCF!J15</f>
        <v/>
      </c>
      <c r="K133" s="346">
        <f>DCF!K15</f>
        <v/>
      </c>
      <c r="L133" s="346">
        <f>DCF!L15</f>
        <v/>
      </c>
      <c r="M133" s="346">
        <f>DCF!M15</f>
        <v/>
      </c>
      <c r="O133" s="335" t="inlineStr">
        <is>
          <t>ASSUMED (owner, DCF row 15): +4.5% FY27 fading to +2.0% FY31 — one input shared with the DCF so the two builds move together</t>
        </is>
      </c>
    </row>
    <row r="134">
      <c r="B134" s="339" t="inlineStr">
        <is>
          <t>Cost of vehicle sales, % of vehicle sales</t>
        </is>
      </c>
      <c r="C134" s="364" t="inlineStr">
        <is>
          <t>%</t>
        </is>
      </c>
      <c r="D134" s="382">
        <f>IF(D7=0,0,D11/D7)</f>
        <v/>
      </c>
      <c r="E134" s="382">
        <f>IF(E7=0,0,E11/E7)</f>
        <v/>
      </c>
      <c r="F134" s="382">
        <f>IF(F7=0,0,F11/F7)</f>
        <v/>
      </c>
      <c r="G134" s="382">
        <f>IF(G7=0,0,G11/G7)</f>
        <v/>
      </c>
      <c r="H134" s="382">
        <f>IF(H7=0,0,H11/H7)</f>
        <v/>
      </c>
      <c r="I134" s="382">
        <f>$H$134</f>
        <v/>
      </c>
      <c r="J134" s="382">
        <f>$H$134</f>
        <v/>
      </c>
      <c r="K134" s="382">
        <f>$H$134</f>
        <v/>
      </c>
      <c r="L134" s="382">
        <f>$H$134</f>
        <v/>
      </c>
      <c r="M134" s="382">
        <f>$H$134</f>
        <v/>
      </c>
      <c r="O134" s="335" t="inlineStr">
        <is>
          <t>CALIBRATED: FY2026 actual (10-K) held</t>
        </is>
      </c>
    </row>
    <row r="135">
      <c r="B135" s="339" t="inlineStr">
        <is>
          <t>G&amp;A (incl. D&amp;A, SBC), % of revenue</t>
        </is>
      </c>
      <c r="C135" s="364" t="inlineStr">
        <is>
          <t>%</t>
        </is>
      </c>
      <c r="D135" s="382">
        <f>IF(D8=0,0,D14/D8)</f>
        <v/>
      </c>
      <c r="E135" s="382">
        <f>IF(E8=0,0,E14/E8)</f>
        <v/>
      </c>
      <c r="F135" s="382">
        <f>IF(F8=0,0,F14/F8)</f>
        <v/>
      </c>
      <c r="G135" s="382">
        <f>IF(G8=0,0,G14/G8)</f>
        <v/>
      </c>
      <c r="H135" s="382">
        <f>IF(H8=0,0,H14/H8)</f>
        <v/>
      </c>
      <c r="I135" s="382">
        <f>('D Barclays'!E5-'D Barclays'!E7)/'D Barclays'!E5-($H$10+$H$11)/$H$8</f>
        <v/>
      </c>
      <c r="J135" s="382">
        <f>('D Barclays'!F5-'D Barclays'!F7)/'D Barclays'!F5-($H$10+$H$11)/$H$8</f>
        <v/>
      </c>
      <c r="K135" s="382">
        <f>('D Barclays'!G5-'D Barclays'!G7)/'D Barclays'!G5-($H$10+$H$11)/$H$8</f>
        <v/>
      </c>
      <c r="L135" s="382">
        <f>K135</f>
        <v/>
      </c>
      <c r="M135" s="382">
        <f>L135</f>
        <v/>
      </c>
      <c r="O135" s="335" t="inlineStr">
        <is>
          <t>Barclays-implied: Barclays' (revenue − EBIT) ÷ revenue less Copart's FY2026 facility and vehicle-cost ratios (FY27 9.2%, FY28 8.6%, FY29 8.1%); held at FY29 after. Barclays' margin expansion therefore sits in G&amp;A; volume leverage sits in facility cost</t>
        </is>
      </c>
    </row>
    <row r="137">
      <c r="B137" s="344" t="inlineStr">
        <is>
          <t>2. Property and equipment, capex and D&amp;A</t>
        </is>
      </c>
      <c r="C137" s="345" t="n"/>
      <c r="D137" s="345" t="n"/>
      <c r="E137" s="345" t="n"/>
      <c r="F137" s="345" t="n"/>
      <c r="G137" s="345" t="n"/>
      <c r="H137" s="345" t="n"/>
      <c r="I137" s="345" t="n"/>
      <c r="J137" s="345" t="n"/>
      <c r="K137" s="345" t="n"/>
      <c r="L137" s="345" t="n"/>
      <c r="M137" s="345" t="n"/>
      <c r="N137" s="345" t="n"/>
      <c r="O137" s="345" t="n"/>
      <c r="P137" s="345" t="n"/>
      <c r="Q137" s="345" t="n"/>
      <c r="R137" s="345" t="n"/>
      <c r="S137" s="345" t="n"/>
    </row>
    <row r="138">
      <c r="B138" s="339" t="inlineStr">
        <is>
          <t>Opening net PP&amp;E</t>
        </is>
      </c>
      <c r="C138" s="364" t="inlineStr">
        <is>
          <t>$M</t>
        </is>
      </c>
      <c r="I138" s="366">
        <f>H57</f>
        <v/>
      </c>
      <c r="J138" s="366">
        <f>I57</f>
        <v/>
      </c>
      <c r="K138" s="366">
        <f>J57</f>
        <v/>
      </c>
      <c r="L138" s="366">
        <f>K57</f>
        <v/>
      </c>
      <c r="M138" s="366">
        <f>L57</f>
        <v/>
      </c>
    </row>
    <row r="139">
      <c r="B139" s="339" t="inlineStr">
        <is>
          <t>Capital expenditure (negative = outflow)</t>
        </is>
      </c>
      <c r="C139" s="364" t="inlineStr">
        <is>
          <t>$M</t>
        </is>
      </c>
      <c r="D139" s="366">
        <f>D99</f>
        <v/>
      </c>
      <c r="E139" s="366">
        <f>E99</f>
        <v/>
      </c>
      <c r="F139" s="366">
        <f>F99</f>
        <v/>
      </c>
      <c r="G139" s="366">
        <f>G99</f>
        <v/>
      </c>
      <c r="H139" s="366">
        <f>H99</f>
        <v/>
      </c>
      <c r="I139" s="351">
        <f>'D Barclays'!E19</f>
        <v/>
      </c>
      <c r="J139" s="351">
        <f>'D Barclays'!F19</f>
        <v/>
      </c>
      <c r="K139" s="351">
        <f>'D Barclays'!G19</f>
        <v/>
      </c>
      <c r="L139" s="351">
        <f>-L8*$K$140</f>
        <v/>
      </c>
      <c r="M139" s="351">
        <f>-M8*$K$140</f>
        <v/>
      </c>
      <c r="O139" s="335" t="inlineStr">
        <is>
          <t>FY27–29: Barclays −500 a year (D Barclays). FY30–31: Barclays' FY29 capex-to-revenue ratio applied to model revenue (no broker projects FY30)</t>
        </is>
      </c>
    </row>
    <row r="140">
      <c r="B140" s="408" t="inlineStr">
        <is>
          <t>Capex, % of revenue</t>
        </is>
      </c>
      <c r="C140" s="364" t="inlineStr">
        <is>
          <t>%</t>
        </is>
      </c>
      <c r="D140" s="382">
        <f>IF(D8=0,0,-D139/D8)</f>
        <v/>
      </c>
      <c r="E140" s="382">
        <f>IF(E8=0,0,-E139/E8)</f>
        <v/>
      </c>
      <c r="F140" s="382">
        <f>IF(F8=0,0,-F139/F8)</f>
        <v/>
      </c>
      <c r="G140" s="382">
        <f>IF(G8=0,0,-G139/G8)</f>
        <v/>
      </c>
      <c r="H140" s="382">
        <f>IF(H8=0,0,-H139/H8)</f>
        <v/>
      </c>
      <c r="I140" s="382">
        <f>IF(I8=0,0,-I139/I8)</f>
        <v/>
      </c>
      <c r="J140" s="382">
        <f>IF(J8=0,0,-J139/J8)</f>
        <v/>
      </c>
      <c r="K140" s="382">
        <f>IF(K8=0,0,-K139/K8)</f>
        <v/>
      </c>
      <c r="L140" s="382">
        <f>IF(L8=0,0,-L139/L8)</f>
        <v/>
      </c>
      <c r="M140" s="382">
        <f>IF(M8=0,0,-M139/M8)</f>
        <v/>
      </c>
    </row>
    <row r="141">
      <c r="B141" s="339" t="inlineStr">
        <is>
          <t>Depreciation and amortization</t>
        </is>
      </c>
      <c r="C141" s="364" t="inlineStr">
        <is>
          <t>$M</t>
        </is>
      </c>
      <c r="D141" s="366">
        <f>D17</f>
        <v/>
      </c>
      <c r="E141" s="366">
        <f>E17</f>
        <v/>
      </c>
      <c r="F141" s="366">
        <f>F17</f>
        <v/>
      </c>
      <c r="G141" s="366">
        <f>G17</f>
        <v/>
      </c>
      <c r="H141" s="366">
        <f>H17</f>
        <v/>
      </c>
      <c r="I141" s="351">
        <f>'D Barclays'!E6-'D Barclays'!E7</f>
        <v/>
      </c>
      <c r="J141" s="351">
        <f>'D Barclays'!F6-'D Barclays'!F7</f>
        <v/>
      </c>
      <c r="K141" s="351">
        <f>'D Barclays'!G6-'D Barclays'!G7</f>
        <v/>
      </c>
      <c r="L141" s="351">
        <f>L138*$K$142</f>
        <v/>
      </c>
      <c r="M141" s="351">
        <f>M138*$K$142</f>
        <v/>
      </c>
      <c r="O141" s="335" t="inlineStr">
        <is>
          <t>FY27–29: Barclays EBITDA − EBIT (226 / 234 / 243). FY30–31: Barclays' FY29 D&amp;A-to-opening-PP&amp;E rate applied to the model's opening balance</t>
        </is>
      </c>
    </row>
    <row r="142">
      <c r="B142" s="408" t="inlineStr">
        <is>
          <t>D&amp;A, % of opening net PP&amp;E</t>
        </is>
      </c>
      <c r="C142" s="364" t="inlineStr">
        <is>
          <t>%</t>
        </is>
      </c>
      <c r="E142" s="382">
        <f>IF(D57=0,0,E17/D57)</f>
        <v/>
      </c>
      <c r="F142" s="382">
        <f>IF(E57=0,0,F17/E57)</f>
        <v/>
      </c>
      <c r="G142" s="382">
        <f>IF(F57=0,0,G17/F57)</f>
        <v/>
      </c>
      <c r="H142" s="382">
        <f>IF(G57=0,0,H17/G57)</f>
        <v/>
      </c>
      <c r="I142" s="382">
        <f>IF(I138=0,0,I141/I138)</f>
        <v/>
      </c>
      <c r="J142" s="382">
        <f>IF(J138=0,0,J141/J138)</f>
        <v/>
      </c>
      <c r="K142" s="382">
        <f>IF(K138=0,0,K141/K138)</f>
        <v/>
      </c>
      <c r="L142" s="382">
        <f>IF(L138=0,0,L141/L138)</f>
        <v/>
      </c>
      <c r="M142" s="382">
        <f>IF(M138=0,0,M141/M138)</f>
        <v/>
      </c>
    </row>
    <row r="143">
      <c r="B143" s="343" t="inlineStr">
        <is>
          <t>Closing net PP&amp;E (opening + capex − D&amp;A)</t>
        </is>
      </c>
      <c r="C143" s="364" t="inlineStr">
        <is>
          <t>$M</t>
        </is>
      </c>
      <c r="I143" s="367">
        <f>I138-I139-I141</f>
        <v/>
      </c>
      <c r="J143" s="367">
        <f>J138-J139-J141</f>
        <v/>
      </c>
      <c r="K143" s="367">
        <f>K138-K139-K141</f>
        <v/>
      </c>
      <c r="L143" s="367">
        <f>L138-L139-L141</f>
        <v/>
      </c>
      <c r="M143" s="367">
        <f>M138-M139-M141</f>
        <v/>
      </c>
      <c r="O143" s="335" t="inlineStr">
        <is>
          <t>All D&amp;A is charged against PP&amp;E (intangibles held flat); ROU assets sit on their own line</t>
        </is>
      </c>
    </row>
    <row r="145">
      <c r="B145" s="344" t="inlineStr">
        <is>
          <t>3. Cash, HTM securities and interest income</t>
        </is>
      </c>
      <c r="C145" s="345" t="n"/>
      <c r="D145" s="345" t="n"/>
      <c r="E145" s="345" t="n"/>
      <c r="F145" s="345" t="n"/>
      <c r="G145" s="345" t="n"/>
      <c r="H145" s="345" t="n"/>
      <c r="I145" s="345" t="n"/>
      <c r="J145" s="345" t="n"/>
      <c r="K145" s="345" t="n"/>
      <c r="L145" s="345" t="n"/>
      <c r="M145" s="345" t="n"/>
      <c r="N145" s="345" t="n"/>
      <c r="O145" s="345" t="n"/>
      <c r="P145" s="345" t="n"/>
      <c r="Q145" s="345" t="n"/>
      <c r="R145" s="345" t="n"/>
      <c r="S145" s="345" t="n"/>
    </row>
    <row r="146">
      <c r="B146" s="339" t="inlineStr">
        <is>
          <t>Opening cash &amp; HTM securities</t>
        </is>
      </c>
      <c r="C146" s="364" t="inlineStr">
        <is>
          <t>$M</t>
        </is>
      </c>
      <c r="I146" s="366">
        <f>H49</f>
        <v/>
      </c>
      <c r="J146" s="366">
        <f>I49</f>
        <v/>
      </c>
      <c r="K146" s="366">
        <f>J49</f>
        <v/>
      </c>
      <c r="L146" s="366">
        <f>K49</f>
        <v/>
      </c>
      <c r="M146" s="366">
        <f>L49</f>
        <v/>
      </c>
    </row>
    <row r="147">
      <c r="B147" s="339" t="inlineStr">
        <is>
          <t>Yield on opening cash &amp; HTM (interest and other income)</t>
        </is>
      </c>
      <c r="C147" s="364" t="inlineStr">
        <is>
          <t>%</t>
        </is>
      </c>
      <c r="E147" s="396">
        <f>IF(D49=0,0,E20/D49)</f>
        <v/>
      </c>
      <c r="F147" s="396">
        <f>IF(E49=0,0,F20/E49)</f>
        <v/>
      </c>
      <c r="G147" s="396">
        <f>IF(F49=0,0,G20/F49)</f>
        <v/>
      </c>
      <c r="H147" s="396">
        <f>IF(G49=0,0,H20/G49)</f>
        <v/>
      </c>
      <c r="I147" s="396">
        <f>('D Barclays'!E8-'D Barclays'!E7)/'D Barclays'!D12</f>
        <v/>
      </c>
      <c r="J147" s="396">
        <f>('D Barclays'!F8-'D Barclays'!F7)/'D Barclays'!E12</f>
        <v/>
      </c>
      <c r="K147" s="396">
        <f>('D Barclays'!G8-'D Barclays'!G7)/'D Barclays'!F12</f>
        <v/>
      </c>
      <c r="L147" s="396">
        <f>K147</f>
        <v/>
      </c>
      <c r="M147" s="396">
        <f>L147</f>
        <v/>
      </c>
      <c r="O147" s="335" t="inlineStr">
        <is>
          <t>FY27–29: Barclays-implied (pre-tax − EBIT = 140 a year ÷ Barclays' opening cash): 3.1% / 2.5% / 2.0%; held at FY29 after. FY26 actual on opening cash &amp; HTM: 3.8% (10-K interest income 181.9). Opening balance avoids a circular reference</t>
        </is>
      </c>
    </row>
    <row r="148">
      <c r="B148" s="339" t="inlineStr">
        <is>
          <t>Interest and other income, net</t>
        </is>
      </c>
      <c r="C148" s="364" t="inlineStr">
        <is>
          <t>$M</t>
        </is>
      </c>
      <c r="I148" s="366">
        <f>I146*I147</f>
        <v/>
      </c>
      <c r="J148" s="366">
        <f>J146*J147</f>
        <v/>
      </c>
      <c r="K148" s="366">
        <f>K146*K147</f>
        <v/>
      </c>
      <c r="L148" s="366">
        <f>L146*L147</f>
        <v/>
      </c>
      <c r="M148" s="366">
        <f>M146*M147</f>
        <v/>
      </c>
    </row>
    <row r="150">
      <c r="B150" s="344" t="inlineStr">
        <is>
          <t>4. Stock-based compensation</t>
        </is>
      </c>
      <c r="C150" s="345" t="n"/>
      <c r="D150" s="345" t="n"/>
      <c r="E150" s="345" t="n"/>
      <c r="F150" s="345" t="n"/>
      <c r="G150" s="345" t="n"/>
      <c r="H150" s="345" t="n"/>
      <c r="I150" s="345" t="n"/>
      <c r="J150" s="345" t="n"/>
      <c r="K150" s="345" t="n"/>
      <c r="L150" s="345" t="n"/>
      <c r="M150" s="345" t="n"/>
      <c r="N150" s="345" t="n"/>
      <c r="O150" s="345" t="n"/>
      <c r="P150" s="345" t="n"/>
      <c r="Q150" s="345" t="n"/>
      <c r="R150" s="345" t="n"/>
      <c r="S150" s="345" t="n"/>
    </row>
    <row r="151">
      <c r="B151" s="339" t="inlineStr">
        <is>
          <t>SBC, % of revenue</t>
        </is>
      </c>
      <c r="C151" s="364" t="inlineStr">
        <is>
          <t>%</t>
        </is>
      </c>
      <c r="D151" s="396">
        <f>IF(D8=0,0,D94/D8)</f>
        <v/>
      </c>
      <c r="E151" s="396">
        <f>IF(E8=0,0,E94/E8)</f>
        <v/>
      </c>
      <c r="F151" s="396">
        <f>IF(F8=0,0,F94/F8)</f>
        <v/>
      </c>
      <c r="G151" s="396">
        <f>IF(G8=0,0,G94/G8)</f>
        <v/>
      </c>
      <c r="H151" s="396">
        <f>IF(H8=0,0,H94/H8)</f>
        <v/>
      </c>
      <c r="I151" s="396">
        <f>$H$151</f>
        <v/>
      </c>
      <c r="J151" s="396">
        <f>$H$151</f>
        <v/>
      </c>
      <c r="K151" s="396">
        <f>$H$151</f>
        <v/>
      </c>
      <c r="L151" s="396">
        <f>$H$151</f>
        <v/>
      </c>
      <c r="M151" s="396">
        <f>$H$151</f>
        <v/>
      </c>
      <c r="O151" s="335" t="inlineStr">
        <is>
          <t>CALIBRATED: FY2026 actual (cash-flow statement 38.8 = 0.83%) held; Barclays publishes no SBC line</t>
        </is>
      </c>
    </row>
    <row r="152">
      <c r="B152" s="339" t="inlineStr">
        <is>
          <t>Stock-based compensation</t>
        </is>
      </c>
      <c r="C152" s="364" t="inlineStr">
        <is>
          <t>$M</t>
        </is>
      </c>
      <c r="I152" s="366">
        <f>I8*I151</f>
        <v/>
      </c>
      <c r="J152" s="366">
        <f>J8*J151</f>
        <v/>
      </c>
      <c r="K152" s="366">
        <f>K8*K151</f>
        <v/>
      </c>
      <c r="L152" s="366">
        <f>L8*L151</f>
        <v/>
      </c>
      <c r="M152" s="366">
        <f>M8*M151</f>
        <v/>
      </c>
    </row>
    <row r="154">
      <c r="B154" s="344" t="inlineStr">
        <is>
          <t>5. Shares and buybacks</t>
        </is>
      </c>
      <c r="C154" s="345" t="n"/>
      <c r="D154" s="345" t="n"/>
      <c r="E154" s="345" t="n"/>
      <c r="F154" s="345" t="n"/>
      <c r="G154" s="345" t="n"/>
      <c r="H154" s="345" t="n"/>
      <c r="I154" s="345" t="n"/>
      <c r="J154" s="345" t="n"/>
      <c r="K154" s="345" t="n"/>
      <c r="L154" s="345" t="n"/>
      <c r="M154" s="345" t="n"/>
      <c r="N154" s="345" t="n"/>
      <c r="O154" s="345" t="n"/>
      <c r="P154" s="345" t="n"/>
      <c r="Q154" s="345" t="n"/>
      <c r="R154" s="345" t="n"/>
      <c r="S154" s="345" t="n"/>
    </row>
    <row r="155">
      <c r="B155" s="339" t="inlineStr">
        <is>
          <t>Share repurchases ($, input)</t>
        </is>
      </c>
      <c r="C155" s="364" t="inlineStr">
        <is>
          <t>$M</t>
        </is>
      </c>
      <c r="D155" s="366">
        <f>-D106</f>
        <v/>
      </c>
      <c r="E155" s="366">
        <f>-E106</f>
        <v/>
      </c>
      <c r="F155" s="366">
        <f>-F106</f>
        <v/>
      </c>
      <c r="G155" s="366">
        <f>-G106</f>
        <v/>
      </c>
      <c r="H155" s="366">
        <f>-H106</f>
        <v/>
      </c>
      <c r="I155" s="414" t="n">
        <v>0</v>
      </c>
      <c r="J155" s="414" t="n">
        <v>0</v>
      </c>
      <c r="K155" s="414" t="n">
        <v>0</v>
      </c>
      <c r="L155" s="414" t="n">
        <v>0</v>
      </c>
      <c r="M155" s="414" t="n">
        <v>0</v>
      </c>
      <c r="O155" s="335" t="inlineStr">
        <is>
          <t>ASSUMED 0: Barclays' flat 933m diluted share count implies no repurchases after FY26. Enter dollars to test; the owner's DCF cash roll carries $600m a year (DCF row 73) as an alternative</t>
        </is>
      </c>
    </row>
    <row r="156">
      <c r="B156" s="339" t="inlineStr">
        <is>
          <t>Average repurchase price</t>
        </is>
      </c>
      <c r="C156" s="364" t="inlineStr">
        <is>
          <t>$</t>
        </is>
      </c>
      <c r="H156" s="402">
        <f>'D 10-K FY26'!D10</f>
        <v/>
      </c>
      <c r="I156" s="401">
        <f>DCF!I74</f>
        <v/>
      </c>
      <c r="J156" s="401">
        <f>DCF!J74</f>
        <v/>
      </c>
      <c r="K156" s="401">
        <f>DCF!K74</f>
        <v/>
      </c>
      <c r="L156" s="401">
        <f>DCF!L74</f>
        <v/>
      </c>
      <c r="M156" s="401">
        <f>DCF!M74</f>
        <v/>
      </c>
      <c r="O156" s="335" t="inlineStr">
        <is>
          <t>FY26: $37.63 (10-K). Projection: owner's DCF row 74</t>
        </is>
      </c>
    </row>
    <row r="157">
      <c r="B157" s="339" t="inlineStr">
        <is>
          <t>Shares repurchased</t>
        </is>
      </c>
      <c r="C157" s="364" t="inlineStr">
        <is>
          <t>M</t>
        </is>
      </c>
      <c r="H157" s="445">
        <f>'D 10-K FY26'!C10</f>
        <v/>
      </c>
      <c r="I157" s="433">
        <f>IF(I156=0,0,I155/I156)</f>
        <v/>
      </c>
      <c r="J157" s="433">
        <f>IF(J156=0,0,J155/J156)</f>
        <v/>
      </c>
      <c r="K157" s="433">
        <f>IF(K156=0,0,K155/K156)</f>
        <v/>
      </c>
      <c r="L157" s="433">
        <f>IF(L156=0,0,L155/L156)</f>
        <v/>
      </c>
      <c r="M157" s="433">
        <f>IF(M156=0,0,M155/M156)</f>
        <v/>
      </c>
      <c r="O157" s="335" t="inlineStr">
        <is>
          <t>FY26: 43.4m (10-K)</t>
        </is>
      </c>
    </row>
    <row r="158">
      <c r="B158" s="339" t="inlineStr">
        <is>
          <t>Net shares issued (options, RSUs, ESPP)</t>
        </is>
      </c>
      <c r="C158" s="364" t="inlineStr">
        <is>
          <t>M</t>
        </is>
      </c>
      <c r="E158" s="433">
        <f>E159-D159+E157</f>
        <v/>
      </c>
      <c r="F158" s="433">
        <f>F159-E159+F157</f>
        <v/>
      </c>
      <c r="G158" s="433">
        <f>G159-F159+G157</f>
        <v/>
      </c>
      <c r="H158" s="433">
        <f>H159-G159+H157</f>
        <v/>
      </c>
      <c r="I158" s="433">
        <f>$H$158</f>
        <v/>
      </c>
      <c r="J158" s="433">
        <f>$H$158</f>
        <v/>
      </c>
      <c r="K158" s="433">
        <f>$H$158</f>
        <v/>
      </c>
      <c r="L158" s="433">
        <f>$H$158</f>
        <v/>
      </c>
      <c r="M158" s="433">
        <f>$H$158</f>
        <v/>
      </c>
      <c r="O158" s="335" t="inlineStr">
        <is>
          <t>History: change in year-end shares + repurchased shares. Projection: FY2026 actual (1.8m) held</t>
        </is>
      </c>
    </row>
    <row r="159">
      <c r="B159" s="339" t="inlineStr">
        <is>
          <t>Basic shares outstanding, year-end</t>
        </is>
      </c>
      <c r="C159" s="364" t="inlineStr">
        <is>
          <t>M</t>
        </is>
      </c>
      <c r="D159" s="431">
        <f>'PB BS (Annual)'!Q152/1000000</f>
        <v/>
      </c>
      <c r="E159" s="431">
        <f>'PB BS (Annual)'!P152/1000000</f>
        <v/>
      </c>
      <c r="F159" s="431">
        <f>'PB BS (Annual)'!O152/1000000</f>
        <v/>
      </c>
      <c r="G159" s="431">
        <f>'PB BS (Annual)'!N152/1000000</f>
        <v/>
      </c>
      <c r="H159" s="431">
        <f>'PB BS (Annual)'!M152/1000000</f>
        <v/>
      </c>
      <c r="I159" s="441">
        <f>H159+I158-I157</f>
        <v/>
      </c>
      <c r="J159" s="441">
        <f>I159+J158-J157</f>
        <v/>
      </c>
      <c r="K159" s="441">
        <f>J159+K158-K157</f>
        <v/>
      </c>
      <c r="L159" s="441">
        <f>K159+L158-L157</f>
        <v/>
      </c>
      <c r="M159" s="441">
        <f>L159+M158-M157</f>
        <v/>
      </c>
      <c r="O159" s="335" t="inlineStr">
        <is>
          <t>History: PitchBook common shares outstanding (FY26 925.8m; the 10-K cover count 926.3m is a later date)</t>
        </is>
      </c>
    </row>
    <row r="160">
      <c r="B160" s="339" t="inlineStr">
        <is>
          <t>Basic weighted-average shares</t>
        </is>
      </c>
      <c r="C160" s="364" t="inlineStr">
        <is>
          <t>M</t>
        </is>
      </c>
      <c r="D160" s="431">
        <f>'PB IS (Annual)'!Q67/1000000</f>
        <v/>
      </c>
      <c r="E160" s="431">
        <f>'PB IS (Annual)'!P67/1000000</f>
        <v/>
      </c>
      <c r="F160" s="431">
        <f>'PB IS (Annual)'!O67/1000000</f>
        <v/>
      </c>
      <c r="G160" s="431">
        <f>'PB IS (Annual)'!N67/1000000</f>
        <v/>
      </c>
      <c r="H160" s="431">
        <f>'PB IS (Annual)'!M67/1000000</f>
        <v/>
      </c>
      <c r="I160" s="441">
        <f>(H159+I159)/2</f>
        <v/>
      </c>
      <c r="J160" s="441">
        <f>(I159+J159)/2</f>
        <v/>
      </c>
      <c r="K160" s="441">
        <f>(J159+K159)/2</f>
        <v/>
      </c>
      <c r="L160" s="441">
        <f>(K159+L159)/2</f>
        <v/>
      </c>
      <c r="M160" s="441">
        <f>(L159+M159)/2</f>
        <v/>
      </c>
    </row>
    <row r="161">
      <c r="B161" s="339" t="inlineStr">
        <is>
          <t>Dilutive securities (options, RSUs; treasury method)</t>
        </is>
      </c>
      <c r="C161" s="364" t="inlineStr">
        <is>
          <t>M</t>
        </is>
      </c>
      <c r="D161" s="433">
        <f>D27-D160</f>
        <v/>
      </c>
      <c r="E161" s="433">
        <f>E27-E160</f>
        <v/>
      </c>
      <c r="F161" s="433">
        <f>F27-F160</f>
        <v/>
      </c>
      <c r="G161" s="433">
        <f>G27-G160</f>
        <v/>
      </c>
      <c r="H161" s="433">
        <f>H27-H160</f>
        <v/>
      </c>
      <c r="I161" s="433">
        <f>$H$161</f>
        <v/>
      </c>
      <c r="J161" s="433">
        <f>$H$161</f>
        <v/>
      </c>
      <c r="K161" s="433">
        <f>$H$161</f>
        <v/>
      </c>
      <c r="L161" s="433">
        <f>$H$161</f>
        <v/>
      </c>
      <c r="M161" s="433">
        <f>$H$161</f>
        <v/>
      </c>
      <c r="O161" s="335" t="inlineStr">
        <is>
          <t>History: diluted − basic weighted-average shares. Projection: FY2026 actual (7.2m) held — matches Barclays' 933m (925.8 + 7.2)</t>
        </is>
      </c>
    </row>
    <row r="162">
      <c r="B162" s="343" t="inlineStr">
        <is>
          <t>Diluted weighted-average shares</t>
        </is>
      </c>
      <c r="C162" s="364" t="inlineStr">
        <is>
          <t>M</t>
        </is>
      </c>
      <c r="D162" s="440">
        <f>D27</f>
        <v/>
      </c>
      <c r="E162" s="440">
        <f>E27</f>
        <v/>
      </c>
      <c r="F162" s="440">
        <f>F27</f>
        <v/>
      </c>
      <c r="G162" s="440">
        <f>G27</f>
        <v/>
      </c>
      <c r="H162" s="440">
        <f>H27</f>
        <v/>
      </c>
      <c r="I162" s="440">
        <f>I160+I161</f>
        <v/>
      </c>
      <c r="J162" s="440">
        <f>J160+J161</f>
        <v/>
      </c>
      <c r="K162" s="440">
        <f>K160+K161</f>
        <v/>
      </c>
      <c r="L162" s="440">
        <f>L160+L161</f>
        <v/>
      </c>
      <c r="M162" s="440">
        <f>M160+M161</f>
        <v/>
      </c>
    </row>
    <row r="163">
      <c r="B163" s="339" t="inlineStr">
        <is>
          <t>Barclays diluted shares</t>
        </is>
      </c>
      <c r="C163" s="364" t="inlineStr">
        <is>
          <t>M</t>
        </is>
      </c>
      <c r="H163" s="431">
        <f>'D Barclays'!D11</f>
        <v/>
      </c>
      <c r="I163" s="441">
        <f>'D Barclays'!E11</f>
        <v/>
      </c>
      <c r="J163" s="441">
        <f>'D Barclays'!F11</f>
        <v/>
      </c>
      <c r="K163" s="441">
        <f>'D Barclays'!G11</f>
        <v/>
      </c>
    </row>
    <row r="164">
      <c r="B164" s="408" t="inlineStr">
        <is>
          <t>Δ diluted shares</t>
        </is>
      </c>
      <c r="C164" s="364" t="inlineStr">
        <is>
          <t>M</t>
        </is>
      </c>
      <c r="H164" s="441">
        <f>H162-H163</f>
        <v/>
      </c>
      <c r="I164" s="441">
        <f>I162-I163</f>
        <v/>
      </c>
      <c r="J164" s="441">
        <f>J162-J163</f>
        <v/>
      </c>
      <c r="K164" s="441">
        <f>K162-K163</f>
        <v/>
      </c>
    </row>
    <row r="166">
      <c r="B166" s="344" t="inlineStr">
        <is>
          <t>6. Working capital (days; FY2026 actual held) and the Barclays ΔNWC method</t>
        </is>
      </c>
      <c r="C166" s="345" t="n"/>
      <c r="D166" s="345" t="n"/>
      <c r="E166" s="345" t="n"/>
      <c r="F166" s="345" t="n"/>
      <c r="G166" s="345" t="n"/>
      <c r="H166" s="345" t="n"/>
      <c r="I166" s="345" t="n"/>
      <c r="J166" s="345" t="n"/>
      <c r="K166" s="345" t="n"/>
      <c r="L166" s="345" t="n"/>
      <c r="M166" s="345" t="n"/>
      <c r="N166" s="345" t="n"/>
      <c r="O166" s="345" t="n"/>
      <c r="P166" s="345" t="n"/>
      <c r="Q166" s="345" t="n"/>
      <c r="R166" s="345" t="n"/>
      <c r="S166" s="345" t="n"/>
    </row>
    <row r="167">
      <c r="B167" s="339" t="inlineStr">
        <is>
          <t>Receivables, days of revenue</t>
        </is>
      </c>
      <c r="C167" s="364" t="inlineStr">
        <is>
          <t>days</t>
        </is>
      </c>
      <c r="D167" s="441">
        <f>IF(D8=0,0,D50/D8*365)</f>
        <v/>
      </c>
      <c r="E167" s="441">
        <f>IF(E8=0,0,E50/E8*365)</f>
        <v/>
      </c>
      <c r="F167" s="441">
        <f>IF(F8=0,0,F50/F8*365)</f>
        <v/>
      </c>
      <c r="G167" s="441">
        <f>IF(G8=0,0,G50/G8*365)</f>
        <v/>
      </c>
      <c r="H167" s="441">
        <f>IF(H8=0,0,H50/H8*365)</f>
        <v/>
      </c>
      <c r="I167" s="441">
        <f>$H$167</f>
        <v/>
      </c>
      <c r="J167" s="441">
        <f>$H$167</f>
        <v/>
      </c>
      <c r="K167" s="441">
        <f>$H$167</f>
        <v/>
      </c>
      <c r="L167" s="441">
        <f>$H$167</f>
        <v/>
      </c>
      <c r="M167" s="441">
        <f>$H$167</f>
        <v/>
      </c>
    </row>
    <row r="168">
      <c r="B168" s="339" t="inlineStr">
        <is>
          <t>Vehicle pooling costs, days of facility operations</t>
        </is>
      </c>
      <c r="C168" s="364" t="inlineStr">
        <is>
          <t>days</t>
        </is>
      </c>
      <c r="D168" s="441">
        <f>IF(D10=0,0,D52/D10*365)</f>
        <v/>
      </c>
      <c r="E168" s="441">
        <f>IF(E10=0,0,E52/E10*365)</f>
        <v/>
      </c>
      <c r="F168" s="441">
        <f>IF(F10=0,0,F52/F10*365)</f>
        <v/>
      </c>
      <c r="G168" s="441">
        <f>IF(G10=0,0,G52/G10*365)</f>
        <v/>
      </c>
      <c r="H168" s="441">
        <f>IF(H10=0,0,H52/H10*365)</f>
        <v/>
      </c>
      <c r="I168" s="441">
        <f>$H$168</f>
        <v/>
      </c>
      <c r="J168" s="441">
        <f>$H$168</f>
        <v/>
      </c>
      <c r="K168" s="441">
        <f>$H$168</f>
        <v/>
      </c>
      <c r="L168" s="441">
        <f>$H$168</f>
        <v/>
      </c>
      <c r="M168" s="441">
        <f>$H$168</f>
        <v/>
      </c>
    </row>
    <row r="169">
      <c r="B169" s="339" t="inlineStr">
        <is>
          <t>Inventories, days of cost of vehicle sales</t>
        </is>
      </c>
      <c r="C169" s="364" t="inlineStr">
        <is>
          <t>days</t>
        </is>
      </c>
      <c r="D169" s="441">
        <f>IF(D11=0,0,D53/D11*365)</f>
        <v/>
      </c>
      <c r="E169" s="441">
        <f>IF(E11=0,0,E53/E11*365)</f>
        <v/>
      </c>
      <c r="F169" s="441">
        <f>IF(F11=0,0,F53/F11*365)</f>
        <v/>
      </c>
      <c r="G169" s="441">
        <f>IF(G11=0,0,G53/G11*365)</f>
        <v/>
      </c>
      <c r="H169" s="441">
        <f>IF(H11=0,0,H53/H11*365)</f>
        <v/>
      </c>
      <c r="I169" s="441">
        <f>$H$169</f>
        <v/>
      </c>
      <c r="J169" s="441">
        <f>$H$169</f>
        <v/>
      </c>
      <c r="K169" s="441">
        <f>$H$169</f>
        <v/>
      </c>
      <c r="L169" s="441">
        <f>$H$169</f>
        <v/>
      </c>
      <c r="M169" s="441">
        <f>$H$169</f>
        <v/>
      </c>
    </row>
    <row r="170">
      <c r="B170" s="339" t="inlineStr">
        <is>
          <t>Prepaid and other current assets, days of revenue</t>
        </is>
      </c>
      <c r="C170" s="364" t="inlineStr">
        <is>
          <t>days</t>
        </is>
      </c>
      <c r="D170" s="441">
        <f>IF(D8=0,0,D54/D8*365)</f>
        <v/>
      </c>
      <c r="E170" s="441">
        <f>IF(E8=0,0,E54/E8*365)</f>
        <v/>
      </c>
      <c r="F170" s="441">
        <f>IF(F8=0,0,F54/F8*365)</f>
        <v/>
      </c>
      <c r="G170" s="441">
        <f>IF(G8=0,0,G54/G8*365)</f>
        <v/>
      </c>
      <c r="H170" s="441">
        <f>IF(H8=0,0,H54/H8*365)</f>
        <v/>
      </c>
      <c r="I170" s="441">
        <f>$H$170</f>
        <v/>
      </c>
      <c r="J170" s="441">
        <f>$H$170</f>
        <v/>
      </c>
      <c r="K170" s="441">
        <f>$H$170</f>
        <v/>
      </c>
      <c r="L170" s="441">
        <f>$H$170</f>
        <v/>
      </c>
      <c r="M170" s="441">
        <f>$H$170</f>
        <v/>
      </c>
    </row>
    <row r="171">
      <c r="B171" s="339" t="inlineStr">
        <is>
          <t>Payables, accrued and deferred revenue, days of cash operating costs</t>
        </is>
      </c>
      <c r="C171" s="364" t="inlineStr">
        <is>
          <t>days</t>
        </is>
      </c>
      <c r="D171" s="441">
        <f>IF((D10+D11+D14-D17)=0,0,D64/(D10+D11+D14-D17)*365)</f>
        <v/>
      </c>
      <c r="E171" s="441">
        <f>IF((E10+E11+E14-E17)=0,0,E64/(E10+E11+E14-E17)*365)</f>
        <v/>
      </c>
      <c r="F171" s="441">
        <f>IF((F10+F11+F14-F17)=0,0,F64/(F10+F11+F14-F17)*365)</f>
        <v/>
      </c>
      <c r="G171" s="441">
        <f>IF((G10+G11+G14-G17)=0,0,G64/(G10+G11+G14-G17)*365)</f>
        <v/>
      </c>
      <c r="H171" s="441">
        <f>IF((H10+H11+H14-H17)=0,0,H64/(H10+H11+H14-H17)*365)</f>
        <v/>
      </c>
      <c r="I171" s="441">
        <f>$H$171</f>
        <v/>
      </c>
      <c r="J171" s="441">
        <f>$H$171</f>
        <v/>
      </c>
      <c r="K171" s="441">
        <f>$H$171</f>
        <v/>
      </c>
      <c r="L171" s="441">
        <f>$H$171</f>
        <v/>
      </c>
      <c r="M171" s="441">
        <f>$H$171</f>
        <v/>
      </c>
      <c r="O171" s="335" t="inlineStr">
        <is>
          <t>Cash operating costs = facility operations + cost of vehicle sales + G&amp;A − D&amp;A</t>
        </is>
      </c>
    </row>
    <row r="172">
      <c r="B172" s="339" t="inlineStr">
        <is>
          <t>Operating working capital (days-driven lines)</t>
        </is>
      </c>
      <c r="C172" s="364" t="inlineStr">
        <is>
          <t>$M</t>
        </is>
      </c>
      <c r="D172" s="366">
        <f>D50+D52+D53+D54-D64</f>
        <v/>
      </c>
      <c r="E172" s="366">
        <f>E50+E52+E53+E54-E64</f>
        <v/>
      </c>
      <c r="F172" s="366">
        <f>F50+F52+F53+F54-F64</f>
        <v/>
      </c>
      <c r="G172" s="366">
        <f>G50+G52+G53+G54-G64</f>
        <v/>
      </c>
      <c r="H172" s="366">
        <f>H50+H52+H53+H54-H64</f>
        <v/>
      </c>
      <c r="I172" s="366">
        <f>I50+I52+I53+I54-I64</f>
        <v/>
      </c>
      <c r="J172" s="366">
        <f>J50+J52+J53+J54-J64</f>
        <v/>
      </c>
      <c r="K172" s="366">
        <f>K50+K52+K53+K54-K64</f>
        <v/>
      </c>
      <c r="L172" s="366">
        <f>L50+L52+L53+L54-L64</f>
        <v/>
      </c>
      <c r="M172" s="366">
        <f>M50+M52+M53+M54-M64</f>
        <v/>
      </c>
    </row>
    <row r="173">
      <c r="B173" s="339" t="inlineStr">
        <is>
          <t>Change in working capital, days basis (cash effect)</t>
        </is>
      </c>
      <c r="C173" s="364" t="inlineStr">
        <is>
          <t>$M</t>
        </is>
      </c>
      <c r="E173" s="366">
        <f>-(E172-D172)</f>
        <v/>
      </c>
      <c r="F173" s="366">
        <f>-(F172-E172)</f>
        <v/>
      </c>
      <c r="G173" s="366">
        <f>-(G172-F172)</f>
        <v/>
      </c>
      <c r="H173" s="366">
        <f>-(H172-G172)</f>
        <v/>
      </c>
      <c r="I173" s="366">
        <f>-(I172-H172)</f>
        <v/>
      </c>
      <c r="J173" s="366">
        <f>-(J172-I172)</f>
        <v/>
      </c>
      <c r="K173" s="366">
        <f>-(K172-J172)</f>
        <v/>
      </c>
      <c r="L173" s="366">
        <f>-(L172-K172)</f>
        <v/>
      </c>
      <c r="M173" s="366">
        <f>-(M172-L172)</f>
        <v/>
      </c>
      <c r="O173" s="335" t="inlineStr">
        <is>
          <t>FY2026 days held produce only a small outflow (the lines grow with revenue); Copart's reported outflows have been larger (FY22–26 average −102)</t>
        </is>
      </c>
    </row>
    <row r="174">
      <c r="B174" s="339" t="inlineStr">
        <is>
          <t>Barclays change in working capital (FY30–31 held at FY29)</t>
        </is>
      </c>
      <c r="C174" s="364" t="inlineStr">
        <is>
          <t>$M</t>
        </is>
      </c>
      <c r="H174" s="351">
        <f>'D Barclays'!D17</f>
        <v/>
      </c>
      <c r="I174" s="351">
        <f>'D Barclays'!E17</f>
        <v/>
      </c>
      <c r="J174" s="351">
        <f>'D Barclays'!F17</f>
        <v/>
      </c>
      <c r="K174" s="351">
        <f>'D Barclays'!G17</f>
        <v/>
      </c>
      <c r="L174" s="351">
        <f>K174</f>
        <v/>
      </c>
      <c r="M174" s="351">
        <f>L174</f>
        <v/>
      </c>
    </row>
    <row r="175">
      <c r="B175" s="339" t="inlineStr">
        <is>
          <t>ΔNWC method: 1 = days schedule, 2 = Barclays (default)</t>
        </is>
      </c>
      <c r="D175" s="446" t="n">
        <v>2</v>
      </c>
      <c r="O175" s="335" t="inlineStr">
        <is>
          <t>Selector. 2 keeps the cash flow on Barclays' −83 a year; 1 lets the days schedule drive it</t>
        </is>
      </c>
    </row>
    <row r="176">
      <c r="B176" s="343" t="inlineStr">
        <is>
          <t>Change in working capital, selected (to the cash flow statement)</t>
        </is>
      </c>
      <c r="C176" s="364" t="inlineStr">
        <is>
          <t>$M</t>
        </is>
      </c>
      <c r="I176" s="367">
        <f>IF($D$175=1,I173,I174)</f>
        <v/>
      </c>
      <c r="J176" s="367">
        <f>IF($D$175=1,J173,J174)</f>
        <v/>
      </c>
      <c r="K176" s="367">
        <f>IF($D$175=1,K173,K174)</f>
        <v/>
      </c>
      <c r="L176" s="367">
        <f>IF($D$175=1,L173,L174)</f>
        <v/>
      </c>
      <c r="M176" s="367">
        <f>IF($D$175=1,M173,M174)</f>
        <v/>
      </c>
    </row>
    <row r="178">
      <c r="B178" s="344" t="inlineStr">
        <is>
          <t>7. Tax (rates; the build lives on the Reverse DCF tab, columns R–X)</t>
        </is>
      </c>
      <c r="C178" s="345" t="n"/>
      <c r="D178" s="345" t="n"/>
      <c r="E178" s="345" t="n"/>
      <c r="F178" s="345" t="n"/>
      <c r="G178" s="345" t="n"/>
      <c r="H178" s="345" t="n"/>
      <c r="I178" s="345" t="n"/>
      <c r="J178" s="345" t="n"/>
      <c r="K178" s="345" t="n"/>
      <c r="L178" s="345" t="n"/>
      <c r="M178" s="345" t="n"/>
      <c r="N178" s="345" t="n"/>
      <c r="O178" s="345" t="n"/>
      <c r="P178" s="345" t="n"/>
      <c r="Q178" s="345" t="n"/>
      <c r="R178" s="345" t="n"/>
      <c r="S178" s="345" t="n"/>
    </row>
    <row r="179">
      <c r="B179" s="339" t="inlineStr">
        <is>
          <t>Structural effective tax rate applied FY27+ (Reverse DCF S33)</t>
        </is>
      </c>
      <c r="D179" s="416">
        <f>'Reverse DCF'!S33</f>
        <v/>
      </c>
      <c r="O179" s="335" t="inlineStr">
        <is>
          <t>21% statutory + state − FDII − excess option benefit (10-K tax note)</t>
        </is>
      </c>
    </row>
    <row r="180">
      <c r="B180" s="339" t="inlineStr">
        <is>
          <t>Barclays-implied FY2027E rate (Reverse DCF S36)</t>
        </is>
      </c>
      <c r="D180" s="416">
        <f>'Reverse DCF'!S36</f>
        <v/>
      </c>
      <c r="O180" s="335" t="inlineStr">
        <is>
          <t>1 − Barclays adj. net income ÷ adj. pre-tax</t>
        </is>
      </c>
    </row>
    <row r="181">
      <c r="B181" s="339" t="inlineStr">
        <is>
          <t>FY2026 actual effective rate (10-K)</t>
        </is>
      </c>
      <c r="D181" s="416">
        <f>'D 10-K FY26'!C33</f>
        <v/>
      </c>
      <c r="O181" s="335" t="inlineStr">
        <is>
          <t>MD&amp;A: 19.3%</t>
        </is>
      </c>
    </row>
    <row r="183">
      <c r="B183" s="344" t="inlineStr">
        <is>
          <t>8. ACV Auctions acquisition gate (links to the owner's DCF toggle)</t>
        </is>
      </c>
      <c r="C183" s="345" t="n"/>
      <c r="D183" s="345" t="n"/>
      <c r="E183" s="345" t="n"/>
      <c r="F183" s="345" t="n"/>
      <c r="G183" s="345" t="n"/>
      <c r="H183" s="345" t="n"/>
      <c r="I183" s="345" t="n"/>
      <c r="J183" s="345" t="n"/>
      <c r="K183" s="345" t="n"/>
      <c r="L183" s="345" t="n"/>
      <c r="M183" s="345" t="n"/>
      <c r="N183" s="345" t="n"/>
      <c r="O183" s="345" t="n"/>
      <c r="P183" s="345" t="n"/>
      <c r="Q183" s="345" t="n"/>
      <c r="R183" s="345" t="n"/>
      <c r="S183" s="345" t="n"/>
    </row>
    <row r="184">
      <c r="B184" s="339" t="inlineStr">
        <is>
          <t>Toggle (1 = include cash consideration; DCF H115)</t>
        </is>
      </c>
      <c r="D184" s="349">
        <f>DCF!H115</f>
        <v/>
      </c>
    </row>
    <row r="185">
      <c r="B185" s="339" t="inlineStr">
        <is>
          <t>Cash consideration ($M; DCF H116)</t>
        </is>
      </c>
      <c r="D185" s="351">
        <f>DCF!H116</f>
        <v/>
      </c>
    </row>
    <row r="186">
      <c r="B186" s="339" t="inlineStr">
        <is>
          <t>Closes in fiscal year (DCF I117)</t>
        </is>
      </c>
      <c r="D186" s="447">
        <f>DCF!I117</f>
        <v/>
      </c>
    </row>
    <row r="187">
      <c r="B187" s="339" t="inlineStr">
        <is>
          <t>Cash consideration by year (to investing cash flow and goodwill)</t>
        </is>
      </c>
      <c r="C187" s="364" t="inlineStr">
        <is>
          <t>$M</t>
        </is>
      </c>
      <c r="I187" s="366">
        <f>IF(AND($D$184=1,I$5=$D$186),$D$185,0)</f>
        <v/>
      </c>
      <c r="J187" s="366">
        <f>IF(AND($D$184=1,J$5=$D$186),$D$185,0)</f>
        <v/>
      </c>
      <c r="K187" s="366">
        <f>IF(AND($D$184=1,K$5=$D$186),$D$185,0)</f>
        <v/>
      </c>
      <c r="L187" s="366">
        <f>IF(AND($D$184=1,L$5=$D$186),$D$185,0)</f>
        <v/>
      </c>
      <c r="M187" s="366">
        <f>IF(AND($D$184=1,M$5=$D$186),$D$185,0)</f>
        <v/>
      </c>
      <c r="O187" s="335" t="inlineStr">
        <is>
          <t>ACV's revenue and EBITDA contribution is excluded until the deal is classified (plan §2.8); only the cash outflow and goodwill are carried</t>
        </is>
      </c>
    </row>
    <row r="189">
      <c r="B189" s="344" t="inlineStr">
        <is>
          <t>9. Memo: the owner's DCF operating build</t>
        </is>
      </c>
      <c r="C189" s="345" t="n"/>
      <c r="D189" s="345" t="n"/>
      <c r="E189" s="345" t="n"/>
      <c r="F189" s="345" t="n"/>
      <c r="G189" s="345" t="n"/>
      <c r="H189" s="345" t="n"/>
      <c r="I189" s="345" t="n"/>
      <c r="J189" s="345" t="n"/>
      <c r="K189" s="345" t="n"/>
      <c r="L189" s="345" t="n"/>
      <c r="M189" s="345" t="n"/>
      <c r="N189" s="345" t="n"/>
      <c r="O189" s="345" t="n"/>
      <c r="P189" s="345" t="n"/>
      <c r="Q189" s="345" t="n"/>
      <c r="R189" s="345" t="n"/>
      <c r="S189" s="345" t="n"/>
    </row>
    <row r="190">
      <c r="B190" s="339" t="inlineStr">
        <is>
          <t>DCF operating income (DCF row 24)</t>
        </is>
      </c>
      <c r="C190" s="364" t="inlineStr">
        <is>
          <t>$M</t>
        </is>
      </c>
      <c r="I190" s="351">
        <f>DCF!I24</f>
        <v/>
      </c>
      <c r="J190" s="351">
        <f>DCF!J24</f>
        <v/>
      </c>
      <c r="K190" s="351">
        <f>DCF!K24</f>
        <v/>
      </c>
      <c r="L190" s="351">
        <f>DCF!L24</f>
        <v/>
      </c>
      <c r="M190" s="351">
        <f>DCF!M24</f>
        <v/>
      </c>
    </row>
    <row r="191">
      <c r="B191" s="408" t="inlineStr">
        <is>
          <t>Δ 3SM EBIT − DCF EBIT</t>
        </is>
      </c>
      <c r="C191" s="364" t="inlineStr">
        <is>
          <t>$M</t>
        </is>
      </c>
      <c r="I191" s="366">
        <f>I15-I190</f>
        <v/>
      </c>
      <c r="J191" s="366">
        <f>J15-J190</f>
        <v/>
      </c>
      <c r="K191" s="366">
        <f>K15-K190</f>
        <v/>
      </c>
      <c r="L191" s="366">
        <f>L15-L190</f>
        <v/>
      </c>
      <c r="M191" s="366">
        <f>M15-M190</f>
        <v/>
      </c>
      <c r="O191" s="335" t="inlineStr">
        <is>
          <t>The DCF grows G&amp;A at its own rates (DCF row 22); the 3SM uses the Barclays-implied ratio. Link DCF row 24 here to make them one build</t>
        </is>
      </c>
    </row>
  </sheetData>
  <mergeCells count="2">
    <mergeCell ref="D4:H4"/>
    <mergeCell ref="I4:M4"/>
  </mergeCell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448">
        <f>'3SM'!I17</f>
        <v/>
      </c>
      <c r="J29" s="449">
        <f>'3SM'!J17</f>
        <v/>
      </c>
      <c r="K29" s="449">
        <f>'3SM'!K17</f>
        <v/>
      </c>
      <c r="L29" s="449">
        <f>'3SM'!L17</f>
        <v/>
      </c>
      <c r="M29" s="449">
        <f>'3SM'!M17</f>
        <v/>
      </c>
      <c r="P29" s="335" t="inlineStr">
        <is>
          <t>From the 3SM row 17 (Barclays D&amp;A FY27–29; FY30–31 at the FY29 rate); row 30 is now the implied %</t>
        </is>
      </c>
    </row>
    <row r="30" ht="15" customHeight="1">
      <c r="B30" s="78" t="inlineStr">
        <is>
          <t xml:space="preserve">   as % of revenue</t>
        </is>
      </c>
      <c r="C30" s="73" t="inlineStr">
        <is>
          <t>%</t>
        </is>
      </c>
      <c r="D30" s="98">
        <f>D29/D6</f>
        <v/>
      </c>
      <c r="E30" s="80">
        <f>E29/E6</f>
        <v/>
      </c>
      <c r="F30" s="80">
        <f>F29/F6</f>
        <v/>
      </c>
      <c r="G30" s="80">
        <f>G29/G6</f>
        <v/>
      </c>
      <c r="H30" s="80">
        <f>H29/H6</f>
        <v/>
      </c>
      <c r="I30" s="450">
        <f>I29/I6</f>
        <v/>
      </c>
      <c r="J30" s="451">
        <f>J29/J6</f>
        <v/>
      </c>
      <c r="K30" s="451">
        <f>K29/K6</f>
        <v/>
      </c>
      <c r="L30" s="451">
        <f>L29/L6</f>
        <v/>
      </c>
      <c r="M30" s="451">
        <f>M29/M6</f>
        <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448">
        <f>'3SM'!I94</f>
        <v/>
      </c>
      <c r="J57" s="449">
        <f>'3SM'!J94</f>
        <v/>
      </c>
      <c r="K57" s="449">
        <f>'3SM'!K94</f>
        <v/>
      </c>
      <c r="L57" s="449">
        <f>'3SM'!L94</f>
        <v/>
      </c>
      <c r="M57" s="449">
        <f>'3SM'!M94</f>
        <v/>
      </c>
      <c r="P57" s="335" t="inlineStr">
        <is>
          <t>From the 3SM row 94 (FY26 % of revenue held); row 58 implied</t>
        </is>
      </c>
    </row>
    <row r="58" ht="15" customHeight="1">
      <c r="B58" s="78" t="inlineStr">
        <is>
          <t xml:space="preserve">   as % of revenue</t>
        </is>
      </c>
      <c r="C58" s="73" t="inlineStr">
        <is>
          <t>%</t>
        </is>
      </c>
      <c r="D58" s="98">
        <f>D57/D6</f>
        <v/>
      </c>
      <c r="E58" s="80">
        <f>E57/E6</f>
        <v/>
      </c>
      <c r="F58" s="80">
        <f>F57/F6</f>
        <v/>
      </c>
      <c r="G58" s="80">
        <f>G57/G6</f>
        <v/>
      </c>
      <c r="H58" s="80">
        <f>H57/H6</f>
        <v/>
      </c>
      <c r="I58" s="450">
        <f>I57/I6</f>
        <v/>
      </c>
      <c r="J58" s="451">
        <f>J57/J6</f>
        <v/>
      </c>
      <c r="K58" s="451">
        <f>K57/K6</f>
        <v/>
      </c>
      <c r="L58" s="451">
        <f>L57/L6</f>
        <v/>
      </c>
      <c r="M58" s="451">
        <f>M57/M6</f>
        <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448">
        <f>'3SM'!I99</f>
        <v/>
      </c>
      <c r="J59" s="449">
        <f>'3SM'!J99</f>
        <v/>
      </c>
      <c r="K59" s="449">
        <f>'3SM'!K99</f>
        <v/>
      </c>
      <c r="L59" s="449">
        <f>'3SM'!L99</f>
        <v/>
      </c>
      <c r="M59" s="449">
        <f>'3SM'!M99</f>
        <v/>
      </c>
      <c r="P59" s="335" t="inlineStr">
        <is>
          <t>From the 3SM row 99 (Barclays −500 FY27–29; FY29 ratio after); row 60 implied</t>
        </is>
      </c>
    </row>
    <row r="60" ht="15" customHeight="1">
      <c r="B60" s="223" t="inlineStr">
        <is>
          <t xml:space="preserve">   as % of revenue</t>
        </is>
      </c>
      <c r="C60" s="73" t="inlineStr">
        <is>
          <t>%</t>
        </is>
      </c>
      <c r="D60" s="98">
        <f>-D59/D6</f>
        <v/>
      </c>
      <c r="E60" s="80">
        <f>-E59/E6</f>
        <v/>
      </c>
      <c r="F60" s="80">
        <f>-F59/F6</f>
        <v/>
      </c>
      <c r="G60" s="80">
        <f>-G59/G6</f>
        <v/>
      </c>
      <c r="H60" s="80">
        <f>-H59/H6</f>
        <v/>
      </c>
      <c r="I60" s="450">
        <f>-I59/I6</f>
        <v/>
      </c>
      <c r="J60" s="451">
        <f>-J59/J6</f>
        <v/>
      </c>
      <c r="K60" s="451">
        <f>-K59/K6</f>
        <v/>
      </c>
      <c r="L60" s="451">
        <f>-L59/L6</f>
        <v/>
      </c>
      <c r="M60" s="451">
        <f>-M59/M6</f>
        <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448">
        <f>'3SM'!I96</f>
        <v/>
      </c>
      <c r="J61" s="449">
        <f>'3SM'!J96</f>
        <v/>
      </c>
      <c r="K61" s="449">
        <f>'3SM'!K96</f>
        <v/>
      </c>
      <c r="L61" s="449">
        <f>'3SM'!L96</f>
        <v/>
      </c>
      <c r="M61" s="449">
        <f>'3SM'!M96</f>
        <v/>
      </c>
      <c r="P61" s="335" t="inlineStr">
        <is>
          <t>From the 3SM row 96 (selected ΔNWC method, 3SM D175); row 62 implied</t>
        </is>
      </c>
    </row>
    <row r="62" ht="15" customHeight="1">
      <c r="B62" s="219" t="inlineStr">
        <is>
          <t xml:space="preserve">   NWC as % of Δrevenue</t>
        </is>
      </c>
      <c r="C62" s="73" t="inlineStr">
        <is>
          <t>%</t>
        </is>
      </c>
      <c r="D62" s="86" t="n"/>
      <c r="E62" s="87" t="n"/>
      <c r="F62" s="87" t="n"/>
      <c r="G62" s="87" t="n"/>
      <c r="H62" s="87" t="n"/>
      <c r="I62" s="450">
        <f>IFERROR(-I61/(I6-H6),0)</f>
        <v/>
      </c>
      <c r="J62" s="451">
        <f>IFERROR(-J61/(J6-I6),0)</f>
        <v/>
      </c>
      <c r="K62" s="451">
        <f>IFERROR(-K61/(K6-J6),0)</f>
        <v/>
      </c>
      <c r="L62" s="451">
        <f>IFERROR(-L61/(L6-K6),0)</f>
        <v/>
      </c>
      <c r="M62" s="451">
        <f>IFERROR(-M61/(M6-L6),0)</f>
        <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396">
        <f>'D 10-K FY26'!C32/1834.977</f>
        <v/>
      </c>
      <c r="T35" s="39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21.xml><?xml version="1.0" encoding="utf-8"?>
<worksheet xmlns="http://schemas.openxmlformats.org/spreadsheetml/2006/main">
  <sheetPr>
    <tabColor rgb="000E2841"/>
    <outlinePr summaryBelow="1" summaryRight="1"/>
    <pageSetUpPr/>
  </sheetPr>
  <dimension ref="B1:S3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8">
      <c r="B18" s="339" t="inlineStr">
        <is>
          <t>3SM: balance sheet balances, FY2027E</t>
        </is>
      </c>
      <c r="D18" s="348">
        <f>'3SM'!I77</f>
        <v/>
      </c>
      <c r="E18" s="383" t="n">
        <v>0</v>
      </c>
      <c r="F18" s="379">
        <f>D18-E18</f>
        <v/>
      </c>
      <c r="G18" s="343">
        <f>IF(ABS(F18)&lt;=0.01,"PASS","FAIL")</f>
        <v/>
      </c>
    </row>
    <row r="19">
      <c r="B19" s="339" t="inlineStr">
        <is>
          <t>3SM: balance sheet balances, FY2031E</t>
        </is>
      </c>
      <c r="D19" s="348">
        <f>'3SM'!M77</f>
        <v/>
      </c>
      <c r="E19" s="383" t="n">
        <v>0</v>
      </c>
      <c r="F19" s="379">
        <f>D19-E19</f>
        <v/>
      </c>
      <c r="G19" s="343">
        <f>IF(ABS(F19)&lt;=0.01,"PASS","FAIL")</f>
        <v/>
      </c>
    </row>
    <row r="20">
      <c r="B20" s="339" t="inlineStr">
        <is>
          <t>3SM: cash flow ending cash ties to balance-sheet cash, FY2031E</t>
        </is>
      </c>
      <c r="D20" s="348">
        <f>'3SM'!M115</f>
        <v/>
      </c>
      <c r="E20" s="383" t="n">
        <v>0</v>
      </c>
      <c r="F20" s="379">
        <f>D20-E20</f>
        <v/>
      </c>
      <c r="G20" s="343">
        <f>IF(ABS(F20)&lt;=0.01,"PASS","FAIL")</f>
        <v/>
      </c>
    </row>
    <row r="21">
      <c r="B21" s="339" t="inlineStr">
        <is>
          <t>3SM: FY2026A total assets tie to PitchBook</t>
        </is>
      </c>
      <c r="D21" s="351">
        <f>'3SM'!H62</f>
        <v/>
      </c>
      <c r="E21" s="351">
        <f>'PB BS (Annual)'!M78/1000</f>
        <v/>
      </c>
      <c r="F21" s="366">
        <f>D21-E21</f>
        <v/>
      </c>
      <c r="G21" s="343">
        <f>IF(ABS(F21)&lt;=0.01,"PASS","FAIL")</f>
        <v/>
      </c>
    </row>
    <row r="22">
      <c r="B22" s="339" t="inlineStr">
        <is>
          <t>3SM: FY2026A operating income ties to the 10-K (1,652.6)</t>
        </is>
      </c>
      <c r="D22" s="351">
        <f>'3SM'!H15</f>
        <v/>
      </c>
      <c r="E22" s="351">
        <f>'D 10-K FY26'!C41</f>
        <v/>
      </c>
      <c r="F22" s="366">
        <f>D22-E22</f>
        <v/>
      </c>
      <c r="G22" s="343">
        <f>IF(ABS(F22)&lt;=0.05,"PASS","FAIL")</f>
        <v/>
      </c>
    </row>
    <row r="23">
      <c r="B23" s="339" t="inlineStr">
        <is>
          <t>3SM: FY2026A adjusted EBITDA ties to Barclays (1,882) within $1m</t>
        </is>
      </c>
      <c r="D23" s="351">
        <f>'3SM'!H18</f>
        <v/>
      </c>
      <c r="E23" s="351">
        <f>'D Barclays'!D6</f>
        <v/>
      </c>
      <c r="F23" s="366">
        <f>D23-E23</f>
        <v/>
      </c>
      <c r="G23" s="343">
        <f>IF(ABS(F23)&lt;=1.0,"PASS","FAIL")</f>
        <v/>
      </c>
    </row>
    <row r="24">
      <c r="B24" s="339" t="inlineStr">
        <is>
          <t>3SM: FY2026A CFO ties to PitchBook / 10-K (1,604.5)</t>
        </is>
      </c>
      <c r="D24" s="351">
        <f>'3SM'!H97</f>
        <v/>
      </c>
      <c r="E24" s="351">
        <f>'PB CF (Annual)'!M56/1000</f>
        <v/>
      </c>
      <c r="F24" s="366">
        <f>D24-E24</f>
        <v/>
      </c>
      <c r="G24" s="343">
        <f>IF(ABS(F24)&lt;=0.01,"PASS","FAIL")</f>
        <v/>
      </c>
    </row>
    <row r="25">
      <c r="B25" s="339" t="inlineStr">
        <is>
          <t>RPM FY2026 service revenue (owner-typed) equals the 10-K (3,969.5)</t>
        </is>
      </c>
      <c r="D25" s="351">
        <f>RPM!H10</f>
        <v/>
      </c>
      <c r="E25" s="351">
        <f>'D 10-K FY26'!C36</f>
        <v/>
      </c>
      <c r="F25" s="366">
        <f>D25-E25</f>
        <v/>
      </c>
      <c r="G25" s="343">
        <f>IF(ABS(F25)&lt;=0.1,"PASS","FAIL")</f>
        <v/>
      </c>
    </row>
    <row r="26">
      <c r="B26" s="339" t="inlineStr">
        <is>
          <t>DCF reads the 3SM: D&amp;A FY2027E</t>
        </is>
      </c>
      <c r="D26" s="351">
        <f>DCF!I29</f>
        <v/>
      </c>
      <c r="E26" s="351">
        <f>'3SM'!I17</f>
        <v/>
      </c>
      <c r="F26" s="366">
        <f>D26-E26</f>
        <v/>
      </c>
      <c r="G26" s="343">
        <f>IF(ABS(F26)&lt;=0.001,"PASS","FAIL")</f>
        <v/>
      </c>
    </row>
    <row r="27">
      <c r="B27" s="339" t="inlineStr">
        <is>
          <t>DCF reads the 3SM: capex FY2027E</t>
        </is>
      </c>
      <c r="D27" s="351">
        <f>DCF!I59</f>
        <v/>
      </c>
      <c r="E27" s="351">
        <f>'3SM'!I99</f>
        <v/>
      </c>
      <c r="F27" s="366">
        <f>D27-E27</f>
        <v/>
      </c>
      <c r="G27" s="343">
        <f>IF(ABS(F27)&lt;=0.001,"PASS","FAIL")</f>
        <v/>
      </c>
    </row>
    <row r="29">
      <c r="B29" s="343" t="inlineStr">
        <is>
          <t>Typed numbers inside calculation blocks (should be reference rows only)</t>
        </is>
      </c>
      <c r="D29" s="388" t="n">
        <v>6</v>
      </c>
      <c r="E29" s="335" t="inlineStr">
        <is>
          <t>E3 Carriers!I77=2; E3 Carriers!I78=4; E3 Carriers!D79=0.12; E3 Carriers!I79=3; E3 Carriers!D80=-0.2; E3 Carriers!I80=2.2</t>
        </is>
      </c>
    </row>
    <row r="30">
      <c r="B30" s="343" t="inlineStr">
        <is>
          <t>Verified / measured / engine data typed on engine tabs instead of linked to a data tab (must be 0)</t>
        </is>
      </c>
      <c r="D30" s="388" t="n">
        <v>0</v>
      </c>
      <c r="E30" s="335" t="inlineStr"/>
    </row>
    <row r="31">
      <c r="B31" s="343" t="inlineStr">
        <is>
          <t>Inputs without a source note (from the Sources tab; must be 0)</t>
        </is>
      </c>
      <c r="D31" s="388" t="n">
        <v>0</v>
      </c>
      <c r="E31" s="335" t="inlineStr"/>
    </row>
    <row r="33">
      <c r="B33" s="335"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5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row r="36">
      <c r="B36" s="339" t="inlineStr">
        <is>
          <t>Service revenues ($m), FY2026 / FY2025 / FY2024</t>
        </is>
      </c>
      <c r="C36" s="414" t="n">
        <v>3969.52</v>
      </c>
      <c r="D36" s="414" t="n">
        <v>3968.662</v>
      </c>
      <c r="E36" s="414" t="n">
        <v>3561.002</v>
      </c>
      <c r="F36" s="347" t="inlineStr">
        <is>
          <t>$m</t>
        </is>
      </c>
      <c r="I36" s="335" t="inlineStr">
        <is>
          <t>Consolidated statements of income: "Service revenues"</t>
        </is>
      </c>
    </row>
    <row r="37">
      <c r="B37" s="339" t="inlineStr">
        <is>
          <t>Vehicle sales ($m), FY2026 / FY2025 / FY2024</t>
        </is>
      </c>
      <c r="C37" s="414" t="n">
        <v>696.689</v>
      </c>
      <c r="D37" s="414" t="n">
        <v>678.296</v>
      </c>
      <c r="E37" s="414" t="n">
        <v>675.821</v>
      </c>
      <c r="F37" s="347" t="inlineStr">
        <is>
          <t>$m</t>
        </is>
      </c>
      <c r="I37" s="335" t="inlineStr">
        <is>
          <t>Consolidated statements of income: "Vehicle sales"</t>
        </is>
      </c>
    </row>
    <row r="38">
      <c r="B38" s="339" t="inlineStr">
        <is>
          <t>Facility operations ($m), FY2026 / FY2025 / FY2024</t>
        </is>
      </c>
      <c r="C38" s="414" t="n">
        <v>1965.888</v>
      </c>
      <c r="D38" s="414" t="n">
        <v>1944.318</v>
      </c>
      <c r="E38" s="414" t="n">
        <v>1710.084</v>
      </c>
      <c r="F38" s="347" t="inlineStr">
        <is>
          <t>$m</t>
        </is>
      </c>
      <c r="I38" s="335" t="inlineStr">
        <is>
          <t>Consolidated statements of income: "Facility operations"</t>
        </is>
      </c>
    </row>
    <row r="39">
      <c r="B39" s="339" t="inlineStr">
        <is>
          <t>Cost of vehicle sales ($m), FY2026 / FY2025 / FY2024</t>
        </is>
      </c>
      <c r="C39" s="414" t="n">
        <v>616.463</v>
      </c>
      <c r="D39" s="414" t="n">
        <v>602.997</v>
      </c>
      <c r="E39" s="414" t="n">
        <v>619.487</v>
      </c>
      <c r="F39" s="347" t="inlineStr">
        <is>
          <t>$m</t>
        </is>
      </c>
      <c r="I39" s="335" t="inlineStr">
        <is>
          <t>Consolidated statements of income: "Cost of vehicle sales"</t>
        </is>
      </c>
    </row>
    <row r="40">
      <c r="B40" s="339" t="inlineStr">
        <is>
          <t>General and administrative ($m), FY2026 / FY2025 / FY2024</t>
        </is>
      </c>
      <c r="C40" s="414" t="n">
        <v>431.268</v>
      </c>
      <c r="D40" s="414" t="n">
        <v>402.929</v>
      </c>
      <c r="E40" s="414" t="n">
        <v>335.229</v>
      </c>
      <c r="F40" s="347" t="inlineStr">
        <is>
          <t>$m</t>
        </is>
      </c>
      <c r="I40" s="335" t="inlineStr">
        <is>
          <t>Consolidated statements of income: "General and administrative"</t>
        </is>
      </c>
    </row>
    <row r="41">
      <c r="B41" s="339" t="inlineStr">
        <is>
          <t>Operating income ($m), FY2026 / FY2025 / FY2024</t>
        </is>
      </c>
      <c r="C41" s="414" t="n">
        <v>1652.59</v>
      </c>
      <c r="D41" s="414" t="n">
        <v>1696.714</v>
      </c>
      <c r="E41" s="414" t="n">
        <v>1572.023</v>
      </c>
      <c r="F41" s="347" t="inlineStr">
        <is>
          <t>$m</t>
        </is>
      </c>
      <c r="I41" s="335" t="inlineStr">
        <is>
          <t>Consolidated statements of income: "Operating income"</t>
        </is>
      </c>
    </row>
    <row r="42">
      <c r="B42" s="339" t="inlineStr">
        <is>
          <t>Income before income taxes ($m), FY2026 / FY2025 / FY2024</t>
        </is>
      </c>
      <c r="C42" s="414" t="n">
        <v>1834.977</v>
      </c>
      <c r="D42" s="414" t="n">
        <v>1895.581</v>
      </c>
      <c r="E42" s="414" t="n">
        <v>1714.601</v>
      </c>
      <c r="F42" s="347" t="inlineStr">
        <is>
          <t>$m</t>
        </is>
      </c>
      <c r="I42" s="335" t="inlineStr">
        <is>
          <t>Consolidated statements of income: "Income before income taxes"</t>
        </is>
      </c>
    </row>
    <row r="43">
      <c r="B43" s="339" t="inlineStr">
        <is>
          <t>Income tax expense ($m), FY2026 / FY2025 / FY2024</t>
        </is>
      </c>
      <c r="C43" s="414" t="n">
        <v>354.58</v>
      </c>
      <c r="D43" s="414" t="n">
        <v>347.218</v>
      </c>
      <c r="E43" s="414" t="n">
        <v>352.254</v>
      </c>
      <c r="F43" s="347" t="inlineStr">
        <is>
          <t>$m</t>
        </is>
      </c>
      <c r="I43" s="335" t="inlineStr">
        <is>
          <t>Consolidated statements of income: "Income tax expense"</t>
        </is>
      </c>
    </row>
    <row r="44">
      <c r="B44" s="339" t="inlineStr">
        <is>
          <t>Net income (consolidated) ($m), FY2026 / FY2025 / FY2024</t>
        </is>
      </c>
      <c r="C44" s="414" t="n">
        <v>1480.397</v>
      </c>
      <c r="D44" s="414" t="n">
        <v>1548.363</v>
      </c>
      <c r="E44" s="414" t="n">
        <v>1362.347</v>
      </c>
      <c r="F44" s="347" t="inlineStr">
        <is>
          <t>$m</t>
        </is>
      </c>
      <c r="I44" s="335" t="inlineStr">
        <is>
          <t>Consolidated statements of income: "Net income (consolidated)"</t>
        </is>
      </c>
    </row>
    <row r="45">
      <c r="B45" s="339" t="inlineStr">
        <is>
          <t>Net income attributable to Copart ($m), FY2026 / FY2025 / FY2024</t>
        </is>
      </c>
      <c r="C45" s="414" t="n">
        <v>1484.27</v>
      </c>
      <c r="D45" s="414" t="n">
        <v>1552.449</v>
      </c>
      <c r="E45" s="414" t="n">
        <v>1363.02</v>
      </c>
      <c r="F45" s="347" t="inlineStr">
        <is>
          <t>$m</t>
        </is>
      </c>
      <c r="I45" s="335" t="inlineStr">
        <is>
          <t>Consolidated statements of income: "Net income attributable to Copart"</t>
        </is>
      </c>
    </row>
    <row r="46">
      <c r="B46" s="339" t="inlineStr">
        <is>
          <t>Diluted net income per share ($), FY2026 / FY2025 / FY2024</t>
        </is>
      </c>
      <c r="C46" s="421" t="n">
        <v>1.55</v>
      </c>
      <c r="D46" s="421" t="n">
        <v>1.59</v>
      </c>
      <c r="E46" s="421" t="n">
        <v>1.4</v>
      </c>
      <c r="F46" s="347" t="inlineStr">
        <is>
          <t>mixed</t>
        </is>
      </c>
      <c r="I46" s="335" t="inlineStr">
        <is>
          <t>Consolidated statements of income: "Diluted net income per common share"</t>
        </is>
      </c>
    </row>
    <row r="47">
      <c r="B47" s="339" t="inlineStr">
        <is>
          <t>Diluted weighted-average shares (mn), FY2026 / FY2025 / FY2024</t>
        </is>
      </c>
      <c r="C47" s="414" t="n">
        <v>956.86</v>
      </c>
      <c r="D47" s="414" t="n">
        <v>977.563</v>
      </c>
      <c r="E47" s="414" t="n">
        <v>974.798</v>
      </c>
      <c r="F47" s="347" t="inlineStr">
        <is>
          <t>$m</t>
        </is>
      </c>
      <c r="I47" s="335" t="inlineStr">
        <is>
          <t>Consolidated statements of income: "Diluted weighted average common shares outstanding"</t>
        </is>
      </c>
    </row>
    <row r="48">
      <c r="B48" s="339" t="inlineStr">
        <is>
          <t>Depreciation and amortization, incl. debt cost (cash flow) ($m), FY2026 / FY2025 / FY2024</t>
        </is>
      </c>
      <c r="C48" s="414" t="n">
        <v>238.466</v>
      </c>
      <c r="D48" s="414" t="n">
        <v>217.784</v>
      </c>
      <c r="E48" s="414" t="n">
        <v>190.256</v>
      </c>
      <c r="F48" s="347" t="inlineStr">
        <is>
          <t>$m</t>
        </is>
      </c>
      <c r="I48" s="335" t="inlineStr">
        <is>
          <t>Consolidated statements of cash flows: "Depreciation and amortization, incl. debt cost (cash flow)"</t>
        </is>
      </c>
    </row>
    <row r="49">
      <c r="B49" s="339" t="inlineStr">
        <is>
          <t>Stock-based compensation (cash flow) ($m), FY2026 / FY2025 / FY2024</t>
        </is>
      </c>
      <c r="C49" s="414" t="n">
        <v>38.818</v>
      </c>
      <c r="D49" s="414" t="n">
        <v>38.004</v>
      </c>
      <c r="E49" s="414" t="n">
        <v>35.234</v>
      </c>
      <c r="F49" s="347" t="inlineStr">
        <is>
          <t>$m</t>
        </is>
      </c>
      <c r="I49" s="335" t="inlineStr">
        <is>
          <t>Consolidated statements of cash flows: "Stock-based compensation (cash flow)"</t>
        </is>
      </c>
    </row>
    <row r="50">
      <c r="B50" s="339" t="inlineStr">
        <is>
          <t>Purchases of property and equipment ($m), FY2026 / FY2025 / FY2024</t>
        </is>
      </c>
      <c r="C50" s="414" t="n">
        <v>-337.363</v>
      </c>
      <c r="D50" s="414" t="n">
        <v>-568.99</v>
      </c>
      <c r="E50" s="414" t="n">
        <v>-510.99</v>
      </c>
      <c r="F50" s="347" t="inlineStr">
        <is>
          <t>$m</t>
        </is>
      </c>
      <c r="I50" s="335" t="inlineStr">
        <is>
          <t>Consolidated statements of cash flows: "Purchases of property and equipment"</t>
        </is>
      </c>
    </row>
    <row r="51">
      <c r="B51" s="339" t="inlineStr">
        <is>
          <t>Repurchases of common stock ($m), FY2026 / FY2025 / FY2024</t>
        </is>
      </c>
      <c r="C51" s="414" t="n">
        <v>-1632.538</v>
      </c>
      <c r="D51" s="414" t="n">
        <v>0</v>
      </c>
      <c r="E51" s="414" t="n">
        <v>0</v>
      </c>
      <c r="F51" s="347" t="inlineStr">
        <is>
          <t>$m</t>
        </is>
      </c>
      <c r="I51" s="335" t="inlineStr">
        <is>
          <t>Consolidated statements of cash flows: "Repurchases of common stock"</t>
        </is>
      </c>
    </row>
    <row r="52">
      <c r="B52" s="344" t="inlineStr">
        <is>
          <t>From the FY2024 Form 10-K on disk (raw/sec/10k/cprt_2024-07-31.htm): columns read FY2024 / FY2023 / FY2022</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Service revenues ($m), FY2024 / FY2023 / FY2022</t>
        </is>
      </c>
      <c r="C53" s="414" t="n">
        <v>3561.002</v>
      </c>
      <c r="D53" s="414" t="n">
        <v>3198.128</v>
      </c>
      <c r="E53" s="414" t="n">
        <v>2853.04</v>
      </c>
      <c r="F53" s="347" t="inlineStr">
        <is>
          <t>$m</t>
        </is>
      </c>
      <c r="I53" s="335" t="inlineStr">
        <is>
          <t>FY2024 10-K, consolidated statements of income: "Service revenues"</t>
        </is>
      </c>
    </row>
    <row r="54">
      <c r="B54" s="339" t="inlineStr">
        <is>
          <t>Vehicle sales ($m), FY2024 / FY2023 / FY2022</t>
        </is>
      </c>
      <c r="C54" s="414" t="n">
        <v>675.821</v>
      </c>
      <c r="D54" s="414" t="n">
        <v>671.39</v>
      </c>
      <c r="E54" s="414" t="n">
        <v>647.881</v>
      </c>
      <c r="F54" s="347" t="inlineStr">
        <is>
          <t>$m</t>
        </is>
      </c>
      <c r="I54" s="335" t="inlineStr">
        <is>
          <t>FY2024 10-K, consolidated statements of income: "Vehicle sales"</t>
        </is>
      </c>
    </row>
    <row r="55">
      <c r="B55" s="339" t="inlineStr">
        <is>
          <t>Facility operations ($m), FY2024 / FY2023 / FY2022</t>
        </is>
      </c>
      <c r="C55" s="414" t="n">
        <v>1710.084</v>
      </c>
      <c r="D55" s="414" t="n">
        <v>1518.029</v>
      </c>
      <c r="E55" s="414" t="n">
        <v>1309.497</v>
      </c>
      <c r="F55" s="347" t="inlineStr">
        <is>
          <t>$m</t>
        </is>
      </c>
      <c r="I55" s="335" t="inlineStr">
        <is>
          <t>FY2024 10-K, consolidated statements of income: "Facility operations"</t>
        </is>
      </c>
    </row>
    <row r="56">
      <c r="B56" s="339" t="inlineStr">
        <is>
          <t>Cost of vehicle sales ($m), FY2024 / FY2023 / FY2022</t>
        </is>
      </c>
      <c r="C56" s="414" t="n">
        <v>619.487</v>
      </c>
      <c r="D56" s="414" t="n">
        <v>614.498</v>
      </c>
      <c r="E56" s="414" t="n">
        <v>585.203</v>
      </c>
      <c r="F56" s="347" t="inlineStr">
        <is>
          <t>$m</t>
        </is>
      </c>
      <c r="I56" s="335" t="inlineStr">
        <is>
          <t>FY2024 10-K, consolidated statements of income: "Cost of vehicle sales"</t>
        </is>
      </c>
    </row>
    <row r="57">
      <c r="B57" s="339" t="inlineStr">
        <is>
          <t>General and administrative ($m), FY2024 / FY2023 / FY2022</t>
        </is>
      </c>
      <c r="C57" s="414" t="n">
        <v>335.229</v>
      </c>
      <c r="D57" s="414" t="n">
        <v>250.422</v>
      </c>
      <c r="E57" s="414" t="n">
        <v>231.224</v>
      </c>
      <c r="F57" s="347" t="inlineStr">
        <is>
          <t>$m</t>
        </is>
      </c>
      <c r="I57" s="335"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2026-10-02T19:26:14Z</dcterms:modified>
  <cp:lastModifiedBy>Wu, Kendall Shen</cp:lastModifiedBy>
  <cp:revision>0</cp:revision>
</cp:coreProperties>
</file>