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Barclays" sheetId="23" state="visible" r:id="rId23"/>
    <sheet xmlns:r="http://schemas.openxmlformats.org/officeDocument/2006/relationships" name="D 10-K FY26" sheetId="24" state="visible" r:id="rId24"/>
    <sheet xmlns:r="http://schemas.openxmlformats.org/officeDocument/2006/relationships" name="D Coverage" sheetId="25" state="visible" r:id="rId25"/>
    <sheet xmlns:r="http://schemas.openxmlformats.org/officeDocument/2006/relationships" name="D CCC" sheetId="26" state="visible" r:id="rId26"/>
    <sheet xmlns:r="http://schemas.openxmlformats.org/officeDocument/2006/relationships" name="D Fleet" sheetId="27" state="visible" r:id="rId27"/>
    <sheet xmlns:r="http://schemas.openxmlformats.org/officeDocument/2006/relationships" name="D Fees" sheetId="28" state="visible" r:id="rId28"/>
    <sheet xmlns:r="http://schemas.openxmlformats.org/officeDocument/2006/relationships" name="D Carriers" sheetId="29" state="visible" r:id="rId29"/>
    <sheet xmlns:r="http://schemas.openxmlformats.org/officeDocument/2006/relationships" name="D Engine" sheetId="30" state="visible" r:id="rId30"/>
    <sheet xmlns:r="http://schemas.openxmlformats.org/officeDocument/2006/relationships" name="Volume Build" sheetId="31" state="hidden" r:id="rId31"/>
    <sheet xmlns:r="http://schemas.openxmlformats.org/officeDocument/2006/relationships" name="RPU Build" sheetId="32" state="hidden" r:id="rId32"/>
    <sheet xmlns:r="http://schemas.openxmlformats.org/officeDocument/2006/relationships" name="PB IS (Annual)" sheetId="33" state="hidden" r:id="rId33"/>
    <sheet xmlns:r="http://schemas.openxmlformats.org/officeDocument/2006/relationships" name="PB BS (Annual)" sheetId="34" state="hidden" r:id="rId34"/>
    <sheet xmlns:r="http://schemas.openxmlformats.org/officeDocument/2006/relationships" name="PB CF (Annual)" sheetId="35" state="hidden" r:id="rId35"/>
    <sheet xmlns:r="http://schemas.openxmlformats.org/officeDocument/2006/relationships" name="PB IS (Qtr)" sheetId="36" state="hidden" r:id="rId36"/>
    <sheet xmlns:r="http://schemas.openxmlformats.org/officeDocument/2006/relationships" name="PB BS (Qtr)" sheetId="37" state="hidden" r:id="rId37"/>
    <sheet xmlns:r="http://schemas.openxmlformats.org/officeDocument/2006/relationships" name="PB CF (Qtr)" sheetId="38" state="hidden" r:id="rId38"/>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s>
  <fonts count="8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41">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2: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2">
      <c r="B2" s="434" t="inlineStr">
        <is>
          <t>Copart, Inc. (NASDAQ: CPRT)</t>
        </is>
      </c>
    </row>
    <row r="3">
      <c r="B3" s="435" t="inlineStr">
        <is>
          <t>Revenue architecture, three-statement model, DCF and reverse DCF — Harvard pitch team, October 2026</t>
        </is>
      </c>
    </row>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7">
        <f>DCF!H118</f>
        <v/>
      </c>
      <c r="F6" s="338" t="inlineStr">
        <is>
          <t>Blue: typed input, with label and source</t>
        </is>
      </c>
      <c r="H6" s="335" t="inlineStr">
        <is>
          <t>DCF tab; price as of 26 Sep 2026</t>
        </is>
      </c>
    </row>
    <row r="7">
      <c r="B7" s="343" t="inlineStr">
        <is>
          <t>Price target (DCF implied share price, selected case)</t>
        </is>
      </c>
      <c r="D7" s="438">
        <f>DCF!H113</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42" t="inlineStr">
        <is>
          <t>Purple: value pasted from the Python engine</t>
        </is>
      </c>
    </row>
    <row r="11">
      <c r="B11" s="339" t="inlineStr">
        <is>
          <t>Enterprise value ($m)</t>
        </is>
      </c>
      <c r="D11" s="380">
        <f>D10-DCF!H107-DCF!H108-DCF!H109</f>
        <v/>
      </c>
      <c r="F11" s="335" t="inlineStr">
        <is>
          <t>Grey italic: notes and sources</t>
        </is>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RPM</t>
        </is>
      </c>
      <c r="G16" s="335" t="inlineStr">
        <is>
          <t>one-page revenue build; scenario selector in D3</t>
        </is>
      </c>
      <c r="H16" s="335" t="inlineStr">
        <is>
          <t>10-K Note 12: 926,298,293 shares at 31 Jul 2026</t>
        </is>
      </c>
    </row>
    <row r="17">
      <c r="B17" s="339" t="inlineStr">
        <is>
          <t>Net shares from options, treasury method (mn): N × max(0, 1 − K/P)</t>
        </is>
      </c>
      <c r="D17" s="433">
        <f>'D 10-K FY26'!C6/1000*MAX(0,1-'D 10-K FY26'!D6/D6)</f>
        <v/>
      </c>
      <c r="F17" s="343" t="inlineStr">
        <is>
          <t>DCF / Reverse DCF</t>
        </is>
      </c>
      <c r="G17" s="335" t="inlineStr">
        <is>
          <t>valuation; WACC and tax build in Reverse DCF columns R–X</t>
        </is>
      </c>
      <c r="H17" s="335" t="inlineStr">
        <is>
          <t>10-K Note 12: 12.759m options at a $24.19 weighted-average exercise price</t>
        </is>
      </c>
    </row>
    <row r="18">
      <c r="B18" s="339" t="inlineStr">
        <is>
          <t>Unvested RSUs (mn)</t>
        </is>
      </c>
      <c r="D18" s="433">
        <f>IF(ISNUMBER('D 10-K FY26'!C8),'D 10-K FY26'!C8/1000,0)</f>
        <v/>
      </c>
      <c r="F18" s="343" t="inlineStr">
        <is>
          <t>E1–E6</t>
        </is>
      </c>
      <c r="G18" s="335" t="inlineStr">
        <is>
          <t>engines: fleet, claims, carriers, aftermarket, fees, branches</t>
        </is>
      </c>
      <c r="H18" s="335" t="inlineStr">
        <is>
          <t>RSU count not parsed from the filing text; enter from Note 12 on D 10-K FY26</t>
        </is>
      </c>
    </row>
    <row r="19">
      <c r="F19" s="343" t="inlineStr">
        <is>
          <t>Scenarios / Street</t>
        </is>
      </c>
      <c r="G19" s="335" t="inlineStr">
        <is>
          <t>seven cases on one base; broker assumptions</t>
        </is>
      </c>
    </row>
    <row r="20">
      <c r="B20" s="339" t="inlineStr">
        <is>
          <t>FY2026A revenue ($m)</t>
        </is>
      </c>
      <c r="D20" s="350">
        <f>RPM!H6</f>
        <v/>
      </c>
      <c r="F20" s="343" t="inlineStr">
        <is>
          <t>Sources / Checks</t>
        </is>
      </c>
      <c r="G20" s="335" t="inlineStr">
        <is>
          <t>every input with its source; live checks</t>
        </is>
      </c>
    </row>
    <row r="21">
      <c r="B21" s="339" t="inlineStr">
        <is>
          <t>FY2026A adjusted EBITDA ($m)</t>
        </is>
      </c>
      <c r="D21" s="350">
        <f>DCF!H31</f>
        <v/>
      </c>
      <c r="F21" s="343" t="inlineStr">
        <is>
          <t>D …</t>
        </is>
      </c>
      <c r="G21" s="335" t="inlineStr">
        <is>
          <t>data tabs with sources and dates</t>
        </is>
      </c>
    </row>
    <row r="22">
      <c r="B22" s="339" t="inlineStr">
        <is>
          <t>FY2027E legacy service revenue, selected case ($m)</t>
        </is>
      </c>
      <c r="D22" s="350">
        <f>RPM!I10</f>
        <v/>
      </c>
    </row>
    <row r="23">
      <c r="B23" s="339" t="inlineStr">
        <is>
          <t>Δ to JPMorgan FY27E service revenue ($m)</t>
        </is>
      </c>
      <c r="D23" s="350">
        <f>RPM!D50</f>
        <v/>
      </c>
    </row>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FY26'!E34/1834.977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FY26'!C34/1834.977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FY26'!D34/1834.977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FY26'!C33</f>
        <v/>
      </c>
      <c r="T34" s="416">
        <f>'D 10-K FY26'!D33</f>
        <v/>
      </c>
    </row>
    <row r="35" ht="15" customHeight="1">
      <c r="B35" s="87" t="inlineStr">
        <is>
          <t>WACC</t>
        </is>
      </c>
      <c r="H35" s="179">
        <f>DCF!H88</f>
        <v/>
      </c>
      <c r="R35" s="347" t="inlineStr">
        <is>
          <t>Cash taxes paid ÷ pre-tax income, FY2026 / FY2025</t>
        </is>
      </c>
      <c r="S35" s="396">
        <f>'D 10-K FY26'!C32/1834.977</f>
        <v/>
      </c>
      <c r="T35" s="396">
        <f>'D 10-K FY26'!D32/1895.581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35"/>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cash equivalents, and restricted cash ($m), 31 Jul 2026 / 2025</t>
        </is>
      </c>
      <c r="C12" s="414" t="n">
        <v>1907.901</v>
      </c>
      <c r="D12" s="414" t="n">
        <v>2780.531</v>
      </c>
      <c r="F12" s="347" t="inlineStr">
        <is>
          <t>$m</t>
        </is>
      </c>
      <c r="I12" s="335" t="inlineStr">
        <is>
          <t>Consolidated balance sheets: "Cash, cash equivalents, and restricted cash"</t>
        </is>
      </c>
    </row>
    <row r="13">
      <c r="B13" s="339" t="inlineStr">
        <is>
          <t>Investment in held to maturity securities ($m), 31 Jul 2026 / 2025</t>
        </is>
      </c>
      <c r="C13" s="414" t="n">
        <v>2581.901</v>
      </c>
      <c r="D13" s="414" t="n">
        <v>2008.539</v>
      </c>
      <c r="F13" s="347" t="inlineStr">
        <is>
          <t>$m</t>
        </is>
      </c>
      <c r="I13" s="335" t="inlineStr">
        <is>
          <t>Consolidated balance sheets: "Investment in held to maturity securities"</t>
        </is>
      </c>
    </row>
    <row r="14">
      <c r="B14" s="339" t="inlineStr">
        <is>
          <t>Income taxes receivable ($m), 31 Jul 2026 / 2025</t>
        </is>
      </c>
      <c r="C14" s="414" t="n">
        <v>49.856</v>
      </c>
      <c r="D14" s="414" t="n">
        <v>0.58</v>
      </c>
      <c r="F14" s="347" t="inlineStr">
        <is>
          <t>$m</t>
        </is>
      </c>
      <c r="I14" s="335" t="inlineStr">
        <is>
          <t>Consolidated balance sheets: "Income taxes receivable"</t>
        </is>
      </c>
    </row>
    <row r="15">
      <c r="B15" s="339" t="inlineStr">
        <is>
          <t>Prepaid expenses and other assets ($m), 31 Jul 2026 / 2025</t>
        </is>
      </c>
      <c r="C15" s="414" t="n">
        <v>44.959</v>
      </c>
      <c r="D15" s="414" t="n">
        <v>46.361</v>
      </c>
      <c r="F15" s="347" t="inlineStr">
        <is>
          <t>$m</t>
        </is>
      </c>
      <c r="I15" s="335" t="inlineStr">
        <is>
          <t>Consolidated balance sheets: "Prepaid expenses and other assets"</t>
        </is>
      </c>
    </row>
    <row r="16">
      <c r="B16" s="339" t="inlineStr">
        <is>
          <t>Accounts receivable, net ($m), 31 Jul 2026 / 2025</t>
        </is>
      </c>
      <c r="C16" s="414" t="n">
        <v>809.247</v>
      </c>
      <c r="D16" s="414" t="n">
        <v>762.811</v>
      </c>
      <c r="F16" s="347" t="inlineStr">
        <is>
          <t>$m</t>
        </is>
      </c>
      <c r="I16" s="335" t="inlineStr">
        <is>
          <t>Consolidated balance sheets: "Accounts receivable, net"</t>
        </is>
      </c>
    </row>
    <row r="17">
      <c r="B17" s="339" t="inlineStr">
        <is>
          <t>Vehicle pooling costs ($m), 31 Jul 2026 / 2025</t>
        </is>
      </c>
      <c r="C17" s="414" t="n">
        <v>122.948</v>
      </c>
      <c r="D17" s="414" t="n">
        <v>116.145</v>
      </c>
      <c r="F17" s="347" t="inlineStr">
        <is>
          <t>$m</t>
        </is>
      </c>
      <c r="I17" s="335" t="inlineStr">
        <is>
          <t>Consolidated balance sheets: "Vehicle pooling costs"</t>
        </is>
      </c>
    </row>
    <row r="18">
      <c r="B18" s="339" t="inlineStr">
        <is>
          <t>Inventories ($m), 31 Jul 2026 / 2025</t>
        </is>
      </c>
      <c r="C18" s="414" t="n">
        <v>51.382</v>
      </c>
      <c r="D18" s="414" t="n">
        <v>39.661</v>
      </c>
      <c r="F18" s="347" t="inlineStr">
        <is>
          <t>$m</t>
        </is>
      </c>
      <c r="I18" s="335" t="inlineStr">
        <is>
          <t>Consolidated balance sheets: "Inventories"</t>
        </is>
      </c>
    </row>
    <row r="19">
      <c r="B19" s="339" t="inlineStr">
        <is>
          <t>Total current assets ($m), 31 Jul 2026 / 2025</t>
        </is>
      </c>
      <c r="C19" s="414" t="n">
        <v>5568.194</v>
      </c>
      <c r="D19" s="414" t="n">
        <v>5754.628</v>
      </c>
      <c r="F19" s="347" t="inlineStr">
        <is>
          <t>$m</t>
        </is>
      </c>
      <c r="I19" s="335" t="inlineStr">
        <is>
          <t>Consolidated balance sheets: "Total current assets"</t>
        </is>
      </c>
    </row>
    <row r="20">
      <c r="B20" s="339" t="inlineStr">
        <is>
          <t>Property and equipment, net ($m), 31 Jul 2026 / 2025</t>
        </is>
      </c>
      <c r="C20" s="414" t="n">
        <v>3733.22</v>
      </c>
      <c r="D20" s="414" t="n">
        <v>3598.093</v>
      </c>
      <c r="F20" s="347" t="inlineStr">
        <is>
          <t>$m</t>
        </is>
      </c>
      <c r="I20" s="335" t="inlineStr">
        <is>
          <t>Consolidated balance sheets: "Property and equipment, net"</t>
        </is>
      </c>
    </row>
    <row r="21">
      <c r="B21" s="339" t="inlineStr">
        <is>
          <t>Operating lease right-of-use assets ($m), 31 Jul 2026 / 2025</t>
        </is>
      </c>
      <c r="C21" s="414" t="n">
        <v>83.72799999999999</v>
      </c>
      <c r="D21" s="414" t="n">
        <v>99.708</v>
      </c>
      <c r="F21" s="347" t="inlineStr">
        <is>
          <t>$m</t>
        </is>
      </c>
      <c r="I21" s="335" t="inlineStr">
        <is>
          <t>Consolidated balance sheets: "Operating lease right-of-use assets"</t>
        </is>
      </c>
    </row>
    <row r="22">
      <c r="B22" s="339" t="inlineStr">
        <is>
          <t>Intangibles, net ($m), 31 Jul 2026 / 2025</t>
        </is>
      </c>
      <c r="C22" s="414" t="n">
        <v>50.477</v>
      </c>
      <c r="D22" s="414" t="n">
        <v>62.832</v>
      </c>
      <c r="F22" s="347" t="inlineStr">
        <is>
          <t>$m</t>
        </is>
      </c>
      <c r="I22" s="335" t="inlineStr">
        <is>
          <t>Consolidated balance sheets: "Intangibles, net"</t>
        </is>
      </c>
    </row>
    <row r="23">
      <c r="B23" s="339" t="inlineStr">
        <is>
          <t>Goodwill ($m), 31 Jul 2026 / 2025</t>
        </is>
      </c>
      <c r="C23" s="414" t="n">
        <v>511.297</v>
      </c>
      <c r="D23" s="414" t="n">
        <v>517.779</v>
      </c>
      <c r="F23" s="347" t="inlineStr">
        <is>
          <t>$m</t>
        </is>
      </c>
      <c r="I23" s="335" t="inlineStr">
        <is>
          <t>Consolidated balance sheets: "Goodwill"</t>
        </is>
      </c>
    </row>
    <row r="24">
      <c r="B24" s="339" t="inlineStr">
        <is>
          <t>Total assets ($m), 31 Jul 2026 / 2025</t>
        </is>
      </c>
      <c r="C24" s="414" t="n">
        <v>10027.81</v>
      </c>
      <c r="D24" s="414" t="n">
        <v>10090.902</v>
      </c>
      <c r="F24" s="347" t="inlineStr">
        <is>
          <t>$m</t>
        </is>
      </c>
      <c r="I24" s="335" t="inlineStr">
        <is>
          <t>Consolidated balance sheets: "Total assets"</t>
        </is>
      </c>
    </row>
    <row r="25">
      <c r="B25" s="339" t="inlineStr">
        <is>
          <t>Accounts payable and accrued liabilities ($m), 31 Jul 2026 / 2025</t>
        </is>
      </c>
      <c r="C25" s="414" t="n">
        <v>634.675</v>
      </c>
      <c r="D25" s="414" t="n">
        <v>591.831</v>
      </c>
      <c r="F25" s="347" t="inlineStr">
        <is>
          <t>$m</t>
        </is>
      </c>
      <c r="I25" s="335" t="inlineStr">
        <is>
          <t>Consolidated balance sheets: "Accounts payable and accrued liabilities"</t>
        </is>
      </c>
    </row>
    <row r="26">
      <c r="B26" s="339" t="inlineStr">
        <is>
          <t>Deferred revenue ($m), 31 Jul 2026 / 2025</t>
        </is>
      </c>
      <c r="C26" s="414" t="n">
        <v>32.466</v>
      </c>
      <c r="D26" s="414" t="n">
        <v>30.44</v>
      </c>
      <c r="F26" s="347" t="inlineStr">
        <is>
          <t>$m</t>
        </is>
      </c>
      <c r="I26" s="335" t="inlineStr">
        <is>
          <t>Consolidated balance sheets: "Deferred revenue"</t>
        </is>
      </c>
    </row>
    <row r="27">
      <c r="B27" s="339" t="inlineStr">
        <is>
          <t>Income taxes payable ($m), 31 Jul 2026 / 2025</t>
        </is>
      </c>
      <c r="C27" s="414" t="n">
        <v>21.437</v>
      </c>
      <c r="D27" s="414" t="n">
        <v>41.141</v>
      </c>
      <c r="F27" s="347" t="inlineStr">
        <is>
          <t>$m</t>
        </is>
      </c>
      <c r="I27" s="335" t="inlineStr">
        <is>
          <t>Consolidated balance sheets: "Income taxes payable"</t>
        </is>
      </c>
    </row>
    <row r="28">
      <c r="B28" s="339" t="inlineStr">
        <is>
          <t>Current portion of operating and finance lease liabilities ($m), 31 Jul 2026 / 2025</t>
        </is>
      </c>
      <c r="C28" s="414" t="n">
        <v>15.163</v>
      </c>
      <c r="D28" s="414" t="n">
        <v>19.869</v>
      </c>
      <c r="F28" s="347" t="inlineStr">
        <is>
          <t>$m</t>
        </is>
      </c>
      <c r="I28" s="335" t="inlineStr">
        <is>
          <t>Consolidated balance sheets: "Current portion of operating and finance lease liabilities"</t>
        </is>
      </c>
    </row>
    <row r="29">
      <c r="B29" s="339" t="inlineStr">
        <is>
          <t>Total current liabilities ($m), 31 Jul 2026 / 2025</t>
        </is>
      </c>
      <c r="C29" s="414" t="n">
        <v>703.741</v>
      </c>
      <c r="D29" s="414" t="n">
        <v>683.2809999999999</v>
      </c>
      <c r="F29" s="347" t="inlineStr">
        <is>
          <t>$m</t>
        </is>
      </c>
      <c r="I29" s="335" t="inlineStr">
        <is>
          <t>Consolidated balance sheets: "Total current liabilities"</t>
        </is>
      </c>
    </row>
    <row r="30">
      <c r="B30" s="339" t="inlineStr">
        <is>
          <t>Total liabilities ($m), 31 Jul 2026 / 2025</t>
        </is>
      </c>
      <c r="C30" s="414" t="n">
        <v>913.9299999999999</v>
      </c>
      <c r="D30" s="414" t="n">
        <v>883.4109999999999</v>
      </c>
      <c r="F30" s="347" t="inlineStr">
        <is>
          <t>$m</t>
        </is>
      </c>
      <c r="I30" s="335" t="inlineStr">
        <is>
          <t>Consolidated balance sheets: "Total liabilities"</t>
        </is>
      </c>
    </row>
    <row r="31">
      <c r="B31" s="339" t="inlineStr">
        <is>
          <t>Total stockholders' equity ($m), 31 Jul 2026 / 2025</t>
        </is>
      </c>
      <c r="C31" s="414" t="n">
        <v>9097.295</v>
      </c>
      <c r="D31" s="414" t="n">
        <v>9187.032999999999</v>
      </c>
      <c r="F31" s="347" t="inlineStr">
        <is>
          <t>$m</t>
        </is>
      </c>
      <c r="I31" s="335" t="inlineStr">
        <is>
          <t>Consolidated balance sheets: "Total stockholders' equity"</t>
        </is>
      </c>
    </row>
    <row r="32">
      <c r="B32" s="339" t="inlineStr">
        <is>
          <t>Income taxes paid, net of refunds ($m)</t>
        </is>
      </c>
      <c r="C32" s="414" t="n">
        <v>398.38</v>
      </c>
      <c r="D32" s="414" t="n">
        <v>409.003</v>
      </c>
      <c r="E32" s="414" t="n">
        <v>285.891</v>
      </c>
      <c r="F32" s="347" t="inlineStr">
        <is>
          <t>$m</t>
        </is>
      </c>
      <c r="I32" s="335" t="inlineStr">
        <is>
          <t>Supplemental cash flow: "Income taxes paid, net of refunds"</t>
        </is>
      </c>
    </row>
    <row r="33">
      <c r="B33" s="339" t="inlineStr">
        <is>
          <t>Effective tax rate FY2026 / FY2025</t>
        </is>
      </c>
      <c r="C33" s="365" t="n">
        <v>0.193</v>
      </c>
      <c r="D33" s="365" t="n">
        <v>0.183</v>
      </c>
      <c r="F33" s="347" t="inlineStr">
        <is>
          <t>%</t>
        </is>
      </c>
      <c r="I33" s="335" t="inlineStr">
        <is>
          <t>MD&amp;A Income Taxes: "19.3% and 18.3%"</t>
        </is>
      </c>
    </row>
    <row r="34">
      <c r="B34" s="339" t="inlineStr">
        <is>
          <t>Tax reconciliation FY2026 ($m): FDII benefit / excess stock-option benefit / state taxes</t>
        </is>
      </c>
      <c r="C34" s="414" t="n">
        <v>-46.7</v>
      </c>
      <c r="D34" s="414" t="n">
        <v>-6.6</v>
      </c>
      <c r="E34" s="414" t="n">
        <v>21.5</v>
      </c>
      <c r="F34" s="347" t="inlineStr">
        <is>
          <t>$m</t>
        </is>
      </c>
      <c r="I34" s="335" t="inlineStr">
        <is>
          <t>MD&amp;A Income Taxes paragraph (statutory rate 21.0%)</t>
        </is>
      </c>
    </row>
    <row r="35">
      <c r="B35" s="339" t="inlineStr">
        <is>
          <t>Revolving credit facility: capacity ($m) / maturity</t>
        </is>
      </c>
      <c r="C35" s="414" t="n">
        <v>1250</v>
      </c>
      <c r="F35" s="347" t="inlineStr">
        <is>
          <t>$m</t>
        </is>
      </c>
      <c r="I35" s="335" t="inlineStr">
        <is>
          <t>Risk factors: "2026 Credit Agreement … up to $1,250 million maturing on January 23, 2031"</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1.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2026-10-02T19:01:18Z</dcterms:modified>
  <cp:lastModifiedBy>Wu, Kendall Shen</cp:lastModifiedBy>
  <cp:revision>0</cp:revision>
</cp:coreProperties>
</file>